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lobal History Jan 2014 MC" sheetId="1" r:id="rId4"/>
    <sheet state="visible" name="Cover Sheet" sheetId="2" r:id="rId5"/>
    <sheet state="visible" name="Analysis All Exams" sheetId="3" r:id="rId6"/>
    <sheet state="visible" name="Visualization All Exams" sheetId="4" r:id="rId7"/>
    <sheet state="visible" name="Analysis All Part 1" sheetId="5" r:id="rId8"/>
    <sheet state="hidden" name="Copy of Visualization All Exams" sheetId="6" r:id="rId9"/>
    <sheet state="visible" name="Analysis All Part 2" sheetId="7" r:id="rId10"/>
    <sheet state="visible" name="Analysis All Part 3" sheetId="8" r:id="rId11"/>
    <sheet state="visible" name="Analysis 202506" sheetId="9" r:id="rId12"/>
    <sheet state="visible" name="Itemization 202506" sheetId="10" r:id="rId13"/>
    <sheet state="visible" name="Analysis 202501" sheetId="11" r:id="rId14"/>
    <sheet state="visible" name="Itemization 202501" sheetId="12" r:id="rId15"/>
    <sheet state="visible" name="Analysis 202408" sheetId="13" r:id="rId16"/>
    <sheet state="visible" name="Itemization 202408" sheetId="14" r:id="rId17"/>
    <sheet state="visible" name="Analysis 202406" sheetId="15" r:id="rId18"/>
    <sheet state="visible" name="Itemization 202406" sheetId="16" r:id="rId19"/>
    <sheet state="visible" name="Analysis 202401" sheetId="17" r:id="rId20"/>
    <sheet state="visible" name="Itemization 202401" sheetId="18" r:id="rId21"/>
    <sheet state="visible" name="Analysis 202308" sheetId="19" r:id="rId22"/>
    <sheet state="visible" name="Itemization 202308" sheetId="20" r:id="rId23"/>
    <sheet state="visible" name="Analysis 202306" sheetId="21" r:id="rId24"/>
    <sheet state="visible" name="Itemization 202306" sheetId="22" r:id="rId25"/>
    <sheet state="visible" name="US History Framework Standards" sheetId="23" r:id="rId26"/>
    <sheet state="hidden" name="Global History Jan 2014 TEQ_DBQ" sheetId="24" r:id="rId27"/>
    <sheet state="hidden" name="Global History June 2014" sheetId="25" r:id="rId28"/>
    <sheet state="hidden" name="headers" sheetId="26" r:id="rId29"/>
    <sheet state="hidden" name="QType" sheetId="27" r:id="rId30"/>
    <sheet state="hidden" name="Global History Aug 2014 MC" sheetId="28" r:id="rId31"/>
    <sheet state="hidden" name="Global History Jan 2015 MC" sheetId="29" r:id="rId32"/>
    <sheet state="visible" name="Global June 2012 MC" sheetId="30" r:id="rId33"/>
    <sheet state="visible" name="Global June 2012 TEQ_DBQ" sheetId="31" r:id="rId34"/>
    <sheet state="visible" name="Global Aug 2012 MC" sheetId="32" r:id="rId35"/>
    <sheet state="hidden" name="Global August 2012 TEQ_DBQ" sheetId="33" r:id="rId36"/>
    <sheet state="visible" name="Global Jan 2013 MC" sheetId="34" r:id="rId37"/>
    <sheet state="hidden" name="Global Jan 13 TEQ_DBQ" sheetId="35" r:id="rId38"/>
    <sheet state="visible" name="Global June 2013 MC" sheetId="36" r:id="rId39"/>
    <sheet state="hidden" name="Global June 2013 TEQ_DBQ" sheetId="37" r:id="rId40"/>
  </sheets>
  <definedNames>
    <definedName hidden="1" localSheetId="24" name="_xlnm._FilterDatabase">'Global History June 2014'!$A$1:$AJ$66</definedName>
    <definedName hidden="1" localSheetId="29" name="_xlnm._FilterDatabase">'Global June 2012 MC'!$A$1:$K$51</definedName>
    <definedName hidden="1" localSheetId="35" name="_xlnm._FilterDatabase">'Global June 2013 MC'!$A$1:$F$51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Copy and paste code strand into new spreadsheet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Response to Problem</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 &amp; Resistance</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Response to Problem</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Response to Problem</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 &amp; Resistance</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Response to Problem</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 &amp; Resistance</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Response to Problem</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Solution</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Solution</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Solution</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Solution</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Solution</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Outside Information</t>
      </text>
    </comment>
    <comment authorId="0" ref="G5">
      <text>
        <t xml:space="preserve">Colonial Foundations (1607-1763)
</t>
      </text>
    </comment>
    <comment authorId="0" ref="J5">
      <text>
        <t xml:space="preserve">European Colonizing Nations</t>
      </text>
    </comment>
    <comment authorId="0" ref="M5">
      <text>
        <t xml:space="preserve">Best Use</t>
      </text>
    </comment>
    <comment authorId="0" ref="G6">
      <text>
        <t xml:space="preserve">Constitutional Foundations (1763–1824)</t>
      </text>
    </comment>
    <comment authorId="0" ref="J6">
      <text>
        <t xml:space="preserve">Colonization Impact on Native Americans</t>
      </text>
    </comment>
    <comment authorId="0" ref="M6">
      <text>
        <t xml:space="preserve">Point of View</t>
      </text>
    </comment>
    <comment authorId="0" ref="G7">
      <text>
        <t xml:space="preserve">Expansion, Nationalism, and Sectionalism (1800-1865)</t>
      </text>
    </comment>
    <comment authorId="0" ref="J7">
      <text>
        <t xml:space="preserve">Geography &amp; Economic Systems</t>
      </text>
    </comment>
    <comment authorId="0" ref="M7">
      <text>
        <t xml:space="preserve">Claim Validity (with outside info)</t>
      </text>
    </comment>
    <comment authorId="0" ref="G8">
      <text>
        <t xml:space="preserve">Post-Civil War Era (1865-1900)
</t>
      </text>
    </comment>
    <comment authorId="0" ref="J8">
      <text>
        <t xml:space="preserve">Social Structures &amp; Labor</t>
      </text>
    </comment>
    <comment authorId="0" ref="M8">
      <text>
        <t xml:space="preserve">Claim Validity (without outside info)</t>
      </text>
    </comment>
    <comment authorId="0" ref="G9">
      <text>
        <t xml:space="preserve">Industrialization and Urbanization (1870-1920)</t>
      </text>
    </comment>
    <comment authorId="0" ref="J9">
      <text>
        <t xml:space="preserve">Colonial Slavery</t>
      </text>
    </comment>
    <comment authorId="0" ref="M9">
      <text>
        <t xml:space="preserve">Turning Point</t>
      </text>
    </comment>
    <comment authorId="0" ref="G10">
      <text>
        <t xml:space="preserve">Rise of American Power (1890-1920)</t>
      </text>
    </comment>
    <comment authorId="0" ref="J10">
      <text>
        <t xml:space="preserve">Enlightenment &amp; British Traditions</t>
      </text>
    </comment>
    <comment authorId="0" ref="M10">
      <text>
        <t xml:space="preserve">Change Over Time</t>
      </text>
    </comment>
    <comment authorId="0" ref="G11">
      <text>
        <t xml:space="preserve">Prosperity and Depression (1920-1939)</t>
      </text>
    </comment>
    <comment authorId="0" ref="J11">
      <text>
        <t xml:space="preserve">Colonial Democracy &amp; Key Documents</t>
      </text>
    </comment>
    <comment authorId="0" ref="M11">
      <text>
        <t xml:space="preserve">Cause</t>
      </text>
    </comment>
    <comment authorId="0" ref="G12">
      <text>
        <t xml:space="preserve">World War II (1935-1945)</t>
      </text>
    </comment>
    <comment authorId="0" ref="J12">
      <text>
        <t xml:space="preserve">British Control &amp; Colonial Resistance</t>
      </text>
    </comment>
    <comment authorId="0" ref="M12">
      <text>
        <t xml:space="preserve">Effect</t>
      </text>
    </comment>
    <comment authorId="0" ref="G13">
      <text>
        <t xml:space="preserve">Cold War (1945-1990)</t>
      </text>
    </comment>
    <comment authorId="0" ref="J13">
      <text>
        <t xml:space="preserve">Declaration of Independence</t>
      </text>
    </comment>
    <comment authorId="0" ref="M13">
      <text>
        <t xml:space="preserve">Impact of Time/Place</t>
      </text>
    </comment>
    <comment authorId="0" ref="G14">
      <text>
        <t xml:space="preserve">Social and Economic Change/ Domestic Issues (1945-present)</t>
      </text>
    </comment>
    <comment authorId="0" ref="J14">
      <text>
        <t xml:space="preserve">Impact on Marginalized Groups</t>
      </text>
    </comment>
    <comment authorId="0" ref="M14">
      <text>
        <t xml:space="preserve">Compare</t>
      </text>
    </comment>
    <comment authorId="0" ref="G15">
      <text>
        <t xml:space="preserve">United States in a Changing World (1990-present)</t>
      </text>
    </comment>
    <comment authorId="0" ref="J15">
      <text>
        <t xml:space="preserve">Articles of Confederation</t>
      </text>
    </comment>
    <comment authorId="0" ref="M15">
      <text>
        <t xml:space="preserve">Contrast</t>
      </text>
    </comment>
    <comment authorId="0" ref="J16">
      <text>
        <t xml:space="preserve">Constitution Development &amp; Debates</t>
      </text>
    </comment>
    <comment authorId="0" ref="M16">
      <text>
        <t xml:space="preserve">Informed Civic Action</t>
      </text>
    </comment>
    <comment authorId="0" ref="J17">
      <text>
        <t xml:space="preserve">Federal Government Structure &amp; Principles</t>
      </text>
    </comment>
    <comment authorId="0" ref="M17">
      <text>
        <t xml:space="preserve">Interpret Visual Data</t>
      </text>
    </comment>
    <comment authorId="0" ref="J18">
      <text>
        <t xml:space="preserve">Federalist vs. Antifederalist</t>
      </text>
    </comment>
    <comment authorId="0" ref="M18">
      <text>
        <t xml:space="preserve">Stakeholder/s Issue</t>
      </text>
    </comment>
    <comment authorId="0" ref="J19">
      <text>
        <t xml:space="preserve">Bill of Rights</t>
      </text>
    </comment>
    <comment authorId="0" ref="M19">
      <text>
        <t xml:space="preserve">Recommended Action</t>
      </text>
    </comment>
    <comment authorId="0" ref="J20">
      <text>
        <t xml:space="preserve">President George Washington</t>
      </text>
    </comment>
    <comment authorId="0" ref="M20">
      <text>
        <t xml:space="preserve">Sequence of Events</t>
      </text>
    </comment>
    <comment authorId="0" ref="J21">
      <text>
        <t xml:space="preserve">Hamilton's Economic Plan &amp; Political Parties</t>
      </text>
    </comment>
    <comment authorId="0" ref="M21">
      <text>
        <t xml:space="preserve">Problem</t>
      </text>
    </comment>
    <comment authorId="0" ref="J22">
      <text>
        <t xml:space="preserve">Peaceful Transfers of Power: 1800 vs. 2000</t>
      </text>
    </comment>
    <comment authorId="0" ref="M22">
      <text>
        <t xml:space="preserve">Solution</t>
      </text>
    </comment>
    <comment authorId="0" ref="J23">
      <text>
        <t xml:space="preserve">Early Supreme Court Cases</t>
      </text>
    </comment>
    <comment authorId="0" ref="J24">
      <text>
        <t xml:space="preserve">American Nationalism</t>
      </text>
    </comment>
    <comment authorId="0" ref="J25">
      <text>
        <t xml:space="preserve">Market Revolution</t>
      </text>
    </comment>
    <comment authorId="0" ref="J26">
      <text>
        <t xml:space="preserve">President Jackson</t>
      </text>
    </comment>
    <comment authorId="0" ref="J27">
      <text>
        <t xml:space="preserve">Resolutions &amp; Nullifications</t>
      </text>
    </comment>
    <comment authorId="0" ref="J28">
      <text>
        <t xml:space="preserve">Abolitionism</t>
      </text>
    </comment>
    <comment authorId="0" ref="J29">
      <text>
        <t xml:space="preserve">Early Women's Rights Movement</t>
      </text>
    </comment>
    <comment authorId="0" ref="J30">
      <text>
        <t xml:space="preserve">Expansion of Slavery</t>
      </text>
    </comment>
    <comment authorId="0" ref="J31">
      <text>
        <t xml:space="preserve">Union vs. Confederacy</t>
      </text>
    </comment>
    <comment authorId="0" ref="J32">
      <text>
        <t xml:space="preserve">Federal Power: Habeas Corpus &amp; Emancipation</t>
      </text>
    </comment>
    <comment authorId="0" ref="J33">
      <text>
        <t xml:space="preserve">Gettysburg Address</t>
      </text>
    </comment>
    <comment authorId="0" ref="J34">
      <text>
        <t xml:space="preserve">Amendments &amp; Reconstruction</t>
      </text>
    </comment>
    <comment authorId="0" ref="J35">
      <text>
        <t xml:space="preserve">Limiting of Black Rights</t>
      </text>
    </comment>
    <comment authorId="0" ref="J36">
      <text>
        <t xml:space="preserve">Freedmen's Pursuit of Independence</t>
      </text>
    </comment>
    <comment authorId="0" ref="J37">
      <text>
        <t xml:space="preserve">End of Reconstruction</t>
      </text>
    </comment>
    <comment authorId="0" ref="J38">
      <text>
        <t xml:space="preserve">Exclusion of Women &amp; Struggle for Rights</t>
      </text>
    </comment>
    <comment authorId="0" ref="J39">
      <text>
        <t xml:space="preserve">Federal Policies &amp; Western Expansion</t>
      </text>
    </comment>
    <comment authorId="0" ref="J40">
      <text>
        <t xml:space="preserve">Western Expansion &amp; Native American Impact</t>
      </text>
    </comment>
    <comment authorId="0" ref="J41">
      <text>
        <t xml:space="preserve">Treatment of Mexicans &amp; Mexican Americans</t>
      </text>
    </comment>
    <comment authorId="0" ref="J42">
      <text>
        <t xml:space="preserve">Chinese Immigration &amp; Exclusion</t>
      </text>
    </comment>
    <comment authorId="0" ref="J43">
      <text>
        <t xml:space="preserve">Technological Innovations</t>
      </text>
    </comment>
    <comment authorId="0" ref="J44">
      <text>
        <t xml:space="preserve">Growth of Industrial Businesses</t>
      </text>
    </comment>
    <comment authorId="0" ref="J45">
      <text>
        <t xml:space="preserve">Regulation vs Monopolies</t>
      </text>
    </comment>
    <comment authorId="0" ref="J46">
      <text>
        <t xml:space="preserve">Urbanization &amp; Immigration</t>
      </text>
    </comment>
    <comment authorId="0" ref="J47">
      <text>
        <t xml:space="preserve">Grange Movement &amp; Populist Party</t>
      </text>
    </comment>
    <comment authorId="0" ref="J48">
      <text>
        <t xml:space="preserve">Early Unionization</t>
      </text>
    </comment>
    <comment authorId="0" ref="J49">
      <text>
        <t xml:space="preserve">Progressive Era</t>
      </text>
    </comment>
    <comment authorId="0" ref="J50">
      <text>
        <t xml:space="preserve">Women's Suffrage</t>
      </text>
    </comment>
    <comment authorId="0" ref="J51">
      <text>
        <t xml:space="preserve">Temperance &amp; Prohibition</t>
      </text>
    </comment>
    <comment authorId="0" ref="J52">
      <text>
        <t xml:space="preserve">Influential Documents of the Progressive Era</t>
      </text>
    </comment>
    <comment authorId="0" ref="J53">
      <text>
        <t xml:space="preserve">Gowing Economic Interests, Foreign Involvement, &amp; Hawaii</t>
      </text>
    </comment>
    <comment authorId="0" ref="J54">
      <text>
        <t xml:space="preserve">Spanish American War</t>
      </text>
    </comment>
    <comment authorId="0" ref="J55">
      <text>
        <t xml:space="preserve">Imperialism &amp; the Philippines</t>
      </text>
    </comment>
    <comment authorId="0" ref="J56">
      <text>
        <t xml:space="preserve">Imperialism in the Caribbean &amp; Latin America</t>
      </text>
    </comment>
    <comment authorId="0" ref="J57">
      <text>
        <t xml:space="preserve">President Wilson: Neutrality to Involvement</t>
      </text>
    </comment>
    <comment authorId="0" ref="J58">
      <text>
        <t xml:space="preserve">Attempts at Peace after WWI</t>
      </text>
    </comment>
    <comment authorId="0" ref="J59">
      <text>
        <t xml:space="preserve">Unsuccessful Ratification of the Treaty of Versailles</t>
      </text>
    </comment>
    <comment authorId="0" ref="J60">
      <text>
        <t xml:space="preserve">Mobilization Economic Effects</t>
      </text>
    </comment>
    <comment authorId="0" ref="J61">
      <text>
        <t xml:space="preserve">Great Migration</t>
      </text>
    </comment>
    <comment authorId="0" ref="J62">
      <text>
        <t xml:space="preserve">Schenck v. US (1919)</t>
      </text>
    </comment>
    <comment authorId="0" ref="J63">
      <text>
        <t xml:space="preserve">Fear of Radicals, Xenophobia, and the Red Scare</t>
      </text>
    </comment>
    <comment authorId="0" ref="J64">
      <text>
        <t xml:space="preserve">Roaring Twenties</t>
      </text>
    </comment>
    <comment authorId="0" ref="J65">
      <text>
        <t xml:space="preserve">Prohibition</t>
      </text>
    </comment>
    <comment authorId="0" ref="J66">
      <text>
        <t xml:space="preserve">Immigration in the 1920's</t>
      </text>
    </comment>
    <comment authorId="0" ref="J67">
      <text>
        <t xml:space="preserve">Resurgence of the KKK</t>
      </text>
    </comment>
    <comment authorId="0" ref="J68">
      <text>
        <t xml:space="preserve">Scopes Trial</t>
      </text>
    </comment>
    <comment authorId="0" ref="J69">
      <text>
        <t xml:space="preserve">Harlem Renaissance</t>
      </text>
    </comment>
    <comment authorId="0" ref="J70">
      <text>
        <t xml:space="preserve">Black Pride, Nationalism &amp; Marcus Garvey</t>
      </text>
    </comment>
    <comment authorId="0" ref="J71">
      <text>
        <t xml:space="preserve">Economic Prosperity</t>
      </text>
    </comment>
    <comment authorId="0" ref="J72">
      <text>
        <t xml:space="preserve">The Great Depression</t>
      </text>
    </comment>
    <comment authorId="0" ref="J73">
      <text>
        <t xml:space="preserve">Hoover vs. FDR</t>
      </text>
    </comment>
    <comment authorId="0" ref="J74">
      <text>
        <t xml:space="preserve">Dust Bowl</t>
      </text>
    </comment>
    <comment authorId="0" ref="J75">
      <text>
        <t xml:space="preserve">New Deal</t>
      </text>
    </comment>
    <comment authorId="0" ref="J76">
      <text>
        <t xml:space="preserve">Neutrality Acts</t>
      </text>
    </comment>
    <comment authorId="0" ref="J77">
      <text>
        <t xml:space="preserve">Negotiations with Japan</t>
      </text>
    </comment>
    <comment authorId="0" ref="J78">
      <text>
        <t xml:space="preserve">Pearl Harbor</t>
      </text>
    </comment>
    <comment authorId="0" ref="J79">
      <text>
        <t xml:space="preserve">FDR &amp; the Grand Alliance</t>
      </text>
    </comment>
    <comment authorId="0" ref="J80">
      <text>
        <t xml:space="preserve">Technological Advancements &amp; the Atomic Bomb</t>
      </text>
    </comment>
    <comment authorId="0" ref="J81">
      <text>
        <t xml:space="preserve">Mobilizations</t>
      </text>
    </comment>
    <comment authorId="0" ref="J82">
      <text>
        <t xml:space="preserve">Japanese Internment</t>
      </text>
    </comment>
    <comment authorId="0" ref="J83">
      <text>
        <t xml:space="preserve">Women &amp; BIPOC Contribution to WW2</t>
      </text>
    </comment>
    <comment authorId="0" ref="J84">
      <text>
        <t xml:space="preserve">Holocaust</t>
      </text>
    </comment>
    <comment authorId="0" ref="J85">
      <text>
        <t xml:space="preserve">Nuremberg War Crime Trials</t>
      </text>
    </comment>
    <comment authorId="0" ref="J86">
      <text>
        <t xml:space="preserve">Eleanor Roosevelt &amp; UN's Universal Declaration of Human Rights</t>
      </text>
    </comment>
    <comment authorId="0" ref="J87">
      <text>
        <t xml:space="preserve">US Decisions for post-war Europe</t>
      </text>
    </comment>
    <comment authorId="0" ref="J88">
      <text>
        <t xml:space="preserve">Containment Policies</t>
      </text>
    </comment>
    <comment authorId="0" ref="J89">
      <text>
        <t xml:space="preserve">McCarthyism</t>
      </text>
    </comment>
    <comment authorId="0" ref="J90">
      <text>
        <t xml:space="preserve">Korean War</t>
      </text>
    </comment>
    <comment authorId="0" ref="J91">
      <text>
        <t xml:space="preserve">Vietnam War</t>
      </text>
    </comment>
    <comment authorId="0" ref="J92">
      <text>
        <t xml:space="preserve">Antiwar Movement &amp; Watergate</t>
      </text>
    </comment>
    <comment authorId="0" ref="J93">
      <text>
        <t xml:space="preserve">War Powers Act</t>
      </text>
    </comment>
    <comment authorId="0" ref="J94">
      <text>
        <t xml:space="preserve">Nuclear Arms Race</t>
      </text>
    </comment>
    <comment authorId="0" ref="J95">
      <text>
        <t xml:space="preserve">Cuban Missile Crisis &amp; the Nuclear Test Ban Treaty</t>
      </text>
    </comment>
    <comment authorId="0" ref="J96">
      <text>
        <t xml:space="preserve">Détente</t>
      </text>
    </comment>
    <comment authorId="0" ref="J97">
      <text>
        <t xml:space="preserve">Israel &amp; the Camp David Accords</t>
      </text>
    </comment>
    <comment authorId="0" ref="J98">
      <text>
        <t xml:space="preserve">Berlin Wall &amp; the Soviet Loss of Control</t>
      </text>
    </comment>
    <comment authorId="0" ref="J99">
      <text>
        <t xml:space="preserve">Important Civil Rights Individuals</t>
      </text>
    </comment>
    <comment authorId="0" ref="J100">
      <text>
        <t xml:space="preserve">Civil Rights Groups &amp; Tactics</t>
      </text>
    </comment>
    <comment authorId="0" ref="J101">
      <text>
        <t xml:space="preserve">Civil Rights Judicial &amp; Legislative Achievements</t>
      </text>
    </comment>
    <comment authorId="0" ref="J102">
      <text>
        <t xml:space="preserve">Civil Rights Protests &amp; Civil Resistance</t>
      </text>
    </comment>
    <comment authorId="0" ref="J103">
      <text>
        <t xml:space="preserve">Individuals &amp; Groups Fight for Equality</t>
      </text>
    </comment>
    <comment authorId="0" ref="J104">
      <text>
        <t xml:space="preserve">Civil Rights Case Studies</t>
      </text>
    </comment>
    <comment authorId="0" ref="J105">
      <text>
        <t xml:space="preserve">Great Society vs Reaganomics</t>
      </text>
    </comment>
    <comment authorId="0" ref="J106">
      <text>
        <t xml:space="preserve">Great Recession</t>
      </text>
    </comment>
    <comment authorId="0" ref="J107">
      <text>
        <t xml:space="preserve">Social Safety Nets</t>
      </text>
    </comment>
    <comment authorId="0" ref="J108">
      <text>
        <t xml:space="preserve">Persian Gulf War</t>
      </text>
    </comment>
    <comment authorId="0" ref="J109">
      <text>
        <t xml:space="preserve">Reluctance to Defend Human Rights</t>
      </text>
    </comment>
    <comment authorId="0" ref="J110">
      <text>
        <t xml:space="preserve">9-11, War on Terror, &amp; PATRIOT Act</t>
      </text>
    </comment>
    <comment authorId="0" ref="J111">
      <text>
        <t xml:space="preserve">Invasion of Iraq</t>
      </text>
    </comment>
    <comment authorId="0" ref="J112">
      <text>
        <t xml:space="preserve">Violation of Civil Liberties &amp; Surveillance</t>
      </text>
    </comment>
    <comment authorId="0" ref="J113">
      <text>
        <t xml:space="preserve">Globalization &amp; the US Economy</t>
      </text>
    </comment>
    <comment authorId="0" ref="J114">
      <text>
        <t xml:space="preserve">Multinational Corporations</t>
      </text>
    </comment>
    <comment authorId="0" ref="J115">
      <text>
        <t xml:space="preserve">US vs China Rivalry</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Copy and paste code strand into new spreadsheet
</t>
      </text>
    </comment>
    <comment authorId="0" ref="A56">
      <text>
        <t xml:space="preserve">This item was changed from QDBQ4 to QDBQ4a and QDBQ4b
</t>
      </text>
    </comment>
    <comment authorId="0" ref="A59">
      <text>
        <t xml:space="preserve">Item changed from QDBQ6a and QDBQ6b to just QDBQ6</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Copy and paste code strand into new spreadsheet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Copy and paste code strand into new spreadsheet
</t>
      </text>
    </comment>
  </commentList>
</comments>
</file>

<file path=xl/sharedStrings.xml><?xml version="1.0" encoding="utf-8"?>
<sst xmlns="http://schemas.openxmlformats.org/spreadsheetml/2006/main" count="7490" uniqueCount="1514">
  <si>
    <t>Question</t>
  </si>
  <si>
    <t>Code</t>
  </si>
  <si>
    <t>Unit</t>
  </si>
  <si>
    <t>Category</t>
  </si>
  <si>
    <t xml:space="preserve">Content </t>
  </si>
  <si>
    <t>Subcontent/Key Ideas</t>
  </si>
  <si>
    <t>Additional Code</t>
  </si>
  <si>
    <t>Notes</t>
  </si>
  <si>
    <t xml:space="preserve">Social Studies Methods: Economics </t>
  </si>
  <si>
    <t>World Geography</t>
  </si>
  <si>
    <t>1.2.1</t>
  </si>
  <si>
    <t>1.3.3</t>
  </si>
  <si>
    <t>1.4.2</t>
  </si>
  <si>
    <t>2.6.2</t>
  </si>
  <si>
    <t>2.5.6</t>
  </si>
  <si>
    <t>2.3.6</t>
  </si>
  <si>
    <t>3.1.3</t>
  </si>
  <si>
    <t>3.3.1</t>
  </si>
  <si>
    <t>2.6.9</t>
  </si>
  <si>
    <t>3.6.2</t>
  </si>
  <si>
    <t>4.2.3</t>
  </si>
  <si>
    <t>1.3.6</t>
  </si>
  <si>
    <t>4.3.4</t>
  </si>
  <si>
    <t>4.5.1</t>
  </si>
  <si>
    <t>4.5.6</t>
  </si>
  <si>
    <t>4.6.4</t>
  </si>
  <si>
    <t>4.7.4</t>
  </si>
  <si>
    <t>4.7.1</t>
  </si>
  <si>
    <t>5.2.2</t>
  </si>
  <si>
    <t>5.3.3</t>
  </si>
  <si>
    <t>5.3.4</t>
  </si>
  <si>
    <t>5.7.1</t>
  </si>
  <si>
    <t>5.7.6</t>
  </si>
  <si>
    <t>5.8.1</t>
  </si>
  <si>
    <t>5.9.3</t>
  </si>
  <si>
    <t>6.3.3</t>
  </si>
  <si>
    <t>6.1.7</t>
  </si>
  <si>
    <t>6.3.6</t>
  </si>
  <si>
    <t>7.5.3</t>
  </si>
  <si>
    <t>6.3.1</t>
  </si>
  <si>
    <t>7.5.2</t>
  </si>
  <si>
    <t>6.4.1</t>
  </si>
  <si>
    <t>6.4.4</t>
  </si>
  <si>
    <t>7.3.4</t>
  </si>
  <si>
    <t>7.7.4</t>
  </si>
  <si>
    <t>7.4.4</t>
  </si>
  <si>
    <t>8.2.3</t>
  </si>
  <si>
    <t>7.6.1</t>
  </si>
  <si>
    <t>7.6.2, 7.6.3, 7.6.4, 7.5.2</t>
  </si>
  <si>
    <t>8.4.7</t>
  </si>
  <si>
    <t>7.1.5</t>
  </si>
  <si>
    <t>8.4.8</t>
  </si>
  <si>
    <t>2.3.4, 1.3.4, 5.3.3</t>
  </si>
  <si>
    <t>3.5.2</t>
  </si>
  <si>
    <t>3.5.6</t>
  </si>
  <si>
    <t>5.8.5</t>
  </si>
  <si>
    <t>6.2.8</t>
  </si>
  <si>
    <t>Assessment Data Spreadsheet</t>
  </si>
  <si>
    <r>
      <rPr>
        <rFont val="Sanchez"/>
        <b/>
        <color rgb="FF000000"/>
        <sz val="14.0"/>
      </rPr>
      <t xml:space="preserve">Exam: </t>
    </r>
    <r>
      <rPr>
        <rFont val="Sanchez"/>
        <color rgb="FF000000"/>
        <sz val="14.0"/>
      </rPr>
      <t>2023-2025 United States History Regents Exams</t>
    </r>
  </si>
  <si>
    <t xml:space="preserve">This spreadsheet is a sortable version of the information found in the teacher materials for this exam. </t>
  </si>
  <si>
    <t>Make a copy to see hover text.</t>
  </si>
  <si>
    <t>Click here for exam resources</t>
  </si>
  <si>
    <t>Key:</t>
  </si>
  <si>
    <t>Source</t>
  </si>
  <si>
    <t>Primary or Secondary</t>
  </si>
  <si>
    <t xml:space="preserve">We identify the source of the stimuli and link to it when possible so educators can review the original document and feed confident in its sourcing.
</t>
  </si>
  <si>
    <t xml:space="preserve">Though an often debated classification, we have tried to categorize documents into primary or secondary texts. Any texts that might be considered tertiary are classified as secondary.
</t>
  </si>
  <si>
    <t>General and Specific Stimuli Types</t>
  </si>
  <si>
    <t>Framework Unit/Content Specification</t>
  </si>
  <si>
    <r>
      <rPr>
        <rFont val="Lato"/>
        <color rgb="FF000000"/>
        <sz val="12.0"/>
      </rPr>
      <t xml:space="preserve">To organize stimuli on our exams, we use the following categories:
</t>
    </r>
    <r>
      <rPr>
        <rFont val="Lato"/>
        <b/>
        <color rgb="FF000000"/>
        <sz val="12.0"/>
      </rPr>
      <t xml:space="preserve">Text-based </t>
    </r>
    <r>
      <rPr>
        <rFont val="Lato"/>
        <color rgb="FF000000"/>
        <sz val="12.0"/>
      </rPr>
      <t xml:space="preserve">(i.e.- diary, memoir, letter, monograph, speech, literature, newspaper article)
</t>
    </r>
    <r>
      <rPr>
        <rFont val="Lato"/>
        <b/>
        <color rgb="FF000000"/>
        <sz val="12.0"/>
      </rPr>
      <t>Data-based</t>
    </r>
    <r>
      <rPr>
        <rFont val="Lato"/>
        <color rgb="FF000000"/>
        <sz val="12.0"/>
      </rPr>
      <t xml:space="preserve"> (i.e.- graph, chart, diagram)
</t>
    </r>
    <r>
      <rPr>
        <rFont val="Lato"/>
        <b/>
        <color rgb="FF000000"/>
        <sz val="12.0"/>
      </rPr>
      <t>Map-based</t>
    </r>
    <r>
      <rPr>
        <rFont val="Lato"/>
        <color rgb="FF000000"/>
        <sz val="12.0"/>
      </rPr>
      <t xml:space="preserve"> (i.e.- political map, physical map, thematic map)
</t>
    </r>
    <r>
      <rPr>
        <rFont val="Lato"/>
        <b/>
        <color rgb="FF000000"/>
        <sz val="12.0"/>
      </rPr>
      <t>Visual-based</t>
    </r>
    <r>
      <rPr>
        <rFont val="Lato"/>
        <color rgb="FF000000"/>
        <sz val="12.0"/>
      </rPr>
      <t xml:space="preserve"> (i.e.- political cartoon, photograph, illustration)
</t>
    </r>
  </si>
  <si>
    <t xml:space="preserve">The Content Specifications identified in these teacher materials come from the NYS Grades 9-12 Social Studies Framework. In the excerpt of the framework to the right, 11.1 is the Big Idea, 11.1a is the Conceptual Understanding, and the bulleted line below that is the Content Specification. All of our questions are aligned to a content specification.
</t>
  </si>
  <si>
    <t>Task Model</t>
  </si>
  <si>
    <t>Need OI?</t>
  </si>
  <si>
    <t>The task models referenced refer to those used to create NYS Social Studies Regents Exam which can be accessed through the link located in the above "Task Model" heading.</t>
  </si>
  <si>
    <t xml:space="preserve">This column identifies if outside information is needed to answer the question (yes) or if students can answer the question based solely on the stimuli (no).
</t>
  </si>
  <si>
    <t>All Exams &amp; Parts Analysis</t>
  </si>
  <si>
    <t>Stimuli</t>
  </si>
  <si>
    <t>General Stimuli Type</t>
  </si>
  <si>
    <t>Framework Unit</t>
  </si>
  <si>
    <t>Content Specification</t>
  </si>
  <si>
    <t>#</t>
  </si>
  <si>
    <t>%</t>
  </si>
  <si>
    <t>Primary</t>
  </si>
  <si>
    <t>Text-based</t>
  </si>
  <si>
    <t>11.01a.1</t>
  </si>
  <si>
    <t>Yes</t>
  </si>
  <si>
    <t>Secondary</t>
  </si>
  <si>
    <t>Visual-based</t>
  </si>
  <si>
    <t>11.01a.2</t>
  </si>
  <si>
    <t>No</t>
  </si>
  <si>
    <t>Both</t>
  </si>
  <si>
    <t>Data-based</t>
  </si>
  <si>
    <t>11.01b.1</t>
  </si>
  <si>
    <t>Total</t>
  </si>
  <si>
    <t>Map-based</t>
  </si>
  <si>
    <t>11.01b.2</t>
  </si>
  <si>
    <t>Multiple</t>
  </si>
  <si>
    <t>11.01b.3</t>
  </si>
  <si>
    <t>11.01c.1</t>
  </si>
  <si>
    <t>11.01c.2</t>
  </si>
  <si>
    <t>11.02a.1</t>
  </si>
  <si>
    <t>11.02b.1</t>
  </si>
  <si>
    <t>11.10</t>
  </si>
  <si>
    <t>11.02b.2</t>
  </si>
  <si>
    <t>11.11</t>
  </si>
  <si>
    <t>11.02c.1</t>
  </si>
  <si>
    <t>11.02c.2</t>
  </si>
  <si>
    <t>11.02c.3</t>
  </si>
  <si>
    <t>11.02c.4</t>
  </si>
  <si>
    <t>Color Code</t>
  </si>
  <si>
    <t>11.02c.5</t>
  </si>
  <si>
    <t>Blue: Most common</t>
  </si>
  <si>
    <t>11.02d.1</t>
  </si>
  <si>
    <t>Green: 2nd most common</t>
  </si>
  <si>
    <t>11.02d.2</t>
  </si>
  <si>
    <t>Yellow: 3rd most common</t>
  </si>
  <si>
    <t>11.02d.3</t>
  </si>
  <si>
    <t>Clear: Less than 3rd</t>
  </si>
  <si>
    <t>11.02d.4</t>
  </si>
  <si>
    <t>Red: Unused</t>
  </si>
  <si>
    <t>11.03a.1</t>
  </si>
  <si>
    <t>11.03a.2</t>
  </si>
  <si>
    <t>11.03a.3</t>
  </si>
  <si>
    <t>11.03b.1</t>
  </si>
  <si>
    <t>11.03b.2</t>
  </si>
  <si>
    <t>11.03b.3</t>
  </si>
  <si>
    <t>11.03b.4</t>
  </si>
  <si>
    <t>11.03c.1</t>
  </si>
  <si>
    <t>11.03c.2</t>
  </si>
  <si>
    <t>11.03c.3</t>
  </si>
  <si>
    <t>11.04a.1</t>
  </si>
  <si>
    <t>11.04a.2</t>
  </si>
  <si>
    <t>11.04a.3</t>
  </si>
  <si>
    <t>11.04a.4</t>
  </si>
  <si>
    <t>11.04b.1</t>
  </si>
  <si>
    <t>11.04c.1</t>
  </si>
  <si>
    <t>11.04c.2</t>
  </si>
  <si>
    <t>11.04d.1</t>
  </si>
  <si>
    <t>11.04d.2</t>
  </si>
  <si>
    <t>11.05a.1</t>
  </si>
  <si>
    <t>11.05a.2</t>
  </si>
  <si>
    <t>11.05a.3</t>
  </si>
  <si>
    <t>11.05b.1</t>
  </si>
  <si>
    <t>11.05b.2</t>
  </si>
  <si>
    <t>11.05b.3</t>
  </si>
  <si>
    <t>11.05b.4</t>
  </si>
  <si>
    <t>11.05b.5</t>
  </si>
  <si>
    <t>11.05b.6</t>
  </si>
  <si>
    <t>11.05b.7</t>
  </si>
  <si>
    <t>11.06a.1</t>
  </si>
  <si>
    <t>11.06a.2</t>
  </si>
  <si>
    <t>11.06a.3</t>
  </si>
  <si>
    <t>11.06a.4</t>
  </si>
  <si>
    <t>11.06b.1</t>
  </si>
  <si>
    <t>11.06b.2</t>
  </si>
  <si>
    <t>11.06b.3</t>
  </si>
  <si>
    <t>11.06c.1</t>
  </si>
  <si>
    <t>11.06c.2</t>
  </si>
  <si>
    <t>11.06c.3</t>
  </si>
  <si>
    <t>11.06c.4</t>
  </si>
  <si>
    <t>11.07a.1</t>
  </si>
  <si>
    <t>11.07a.2</t>
  </si>
  <si>
    <t>11.07a.3</t>
  </si>
  <si>
    <t>11.07a.4</t>
  </si>
  <si>
    <t>11.07a.5</t>
  </si>
  <si>
    <t>11.07b.1</t>
  </si>
  <si>
    <t>11.07b.2</t>
  </si>
  <si>
    <t>11.07c.1</t>
  </si>
  <si>
    <t>11.07c.2</t>
  </si>
  <si>
    <t>11.07c.3</t>
  </si>
  <si>
    <t>11.07c.4</t>
  </si>
  <si>
    <t>11.07c.5</t>
  </si>
  <si>
    <t>11.08a.1</t>
  </si>
  <si>
    <t>11.08a.2</t>
  </si>
  <si>
    <t>11.08a.3</t>
  </si>
  <si>
    <t>11.08a.4</t>
  </si>
  <si>
    <t>11.08a.5</t>
  </si>
  <si>
    <t>11.08b.1</t>
  </si>
  <si>
    <t>11.08b.2</t>
  </si>
  <si>
    <t>11.08b.3</t>
  </si>
  <si>
    <t>11.08c.1</t>
  </si>
  <si>
    <t>11.08c.2</t>
  </si>
  <si>
    <t>11.08c.3</t>
  </si>
  <si>
    <t>11.09a.1</t>
  </si>
  <si>
    <t>11.09a.2</t>
  </si>
  <si>
    <t>11.09a.3</t>
  </si>
  <si>
    <t>11.09a.4</t>
  </si>
  <si>
    <t>11.09a.5</t>
  </si>
  <si>
    <t>11.09a.6</t>
  </si>
  <si>
    <t>11.09a.7</t>
  </si>
  <si>
    <t>11.09b.1</t>
  </si>
  <si>
    <t>11.09b.2</t>
  </si>
  <si>
    <t>11.09b.3</t>
  </si>
  <si>
    <t>11.09c.1</t>
  </si>
  <si>
    <t>11.09d.1</t>
  </si>
  <si>
    <t>11.10a.1</t>
  </si>
  <si>
    <t>11.10a.2</t>
  </si>
  <si>
    <t>11.10a.3</t>
  </si>
  <si>
    <t>11.10a.4</t>
  </si>
  <si>
    <t>11.10b.1</t>
  </si>
  <si>
    <t>11.10b.2</t>
  </si>
  <si>
    <t>11.10c.1</t>
  </si>
  <si>
    <t>11.10c.2</t>
  </si>
  <si>
    <t>11.10c.3</t>
  </si>
  <si>
    <t>11.11a.1</t>
  </si>
  <si>
    <t>11.11a.2</t>
  </si>
  <si>
    <t>11.11b.1</t>
  </si>
  <si>
    <t>11.11b.2</t>
  </si>
  <si>
    <t>11.11b.3</t>
  </si>
  <si>
    <t>11.11c.1</t>
  </si>
  <si>
    <t>11.11c.2</t>
  </si>
  <si>
    <t>11.11c.3</t>
  </si>
  <si>
    <t>Orange: Less than 3rd</t>
  </si>
  <si>
    <t>Needs Outside Information</t>
  </si>
  <si>
    <t>All Exams Part 1 Analysis</t>
  </si>
  <si>
    <t>10.10</t>
  </si>
  <si>
    <t>10.11</t>
  </si>
  <si>
    <t>All Exams Part 2 Analysis</t>
  </si>
  <si>
    <t>All Exams Part 3 Analysis</t>
  </si>
  <si>
    <t>January 2025 Exam Analysis</t>
  </si>
  <si>
    <t>Orange: Used but less than 3rd</t>
  </si>
  <si>
    <t>Detailed Standard Information</t>
  </si>
  <si>
    <t>Question Code</t>
  </si>
  <si>
    <t>Exam Section</t>
  </si>
  <si>
    <t>Question Number</t>
  </si>
  <si>
    <t>Scoring Key</t>
  </si>
  <si>
    <t>Points</t>
  </si>
  <si>
    <t>Weight</t>
  </si>
  <si>
    <t>Question Type</t>
  </si>
  <si>
    <t>Primary or Secondary Source</t>
  </si>
  <si>
    <t>l1_code</t>
  </si>
  <si>
    <t>l2_code</t>
  </si>
  <si>
    <t>Key Idea</t>
  </si>
  <si>
    <t>l3_code</t>
  </si>
  <si>
    <t>Content Specifications</t>
  </si>
  <si>
    <t>Sort Order</t>
  </si>
  <si>
    <t>Exam Code</t>
  </si>
  <si>
    <t>Exam Admin Date</t>
  </si>
  <si>
    <t>Pilot Unit</t>
  </si>
  <si>
    <t>NV Curriculum Program</t>
  </si>
  <si>
    <t>Resource Link</t>
  </si>
  <si>
    <t>Image Link</t>
  </si>
  <si>
    <t>Image Link File Name</t>
  </si>
  <si>
    <t>Multiple Choice</t>
  </si>
  <si>
    <t>Part I</t>
  </si>
  <si>
    <t>Theodor de Bry, engraver, 1590 (adapted)</t>
  </si>
  <si>
    <t>11.01</t>
  </si>
  <si>
    <t>HXRG</t>
  </si>
  <si>
    <t>https://curriculum.newvisions.org/social-studies/course/10th-grade-global-history/</t>
  </si>
  <si>
    <t>Schwartz and O’Connor, Exploring American History, Globe Book Company (adapted)</t>
  </si>
  <si>
    <t>11.02</t>
  </si>
  <si>
    <t>Alexander Hamilton, The Federalist Papers: No. 15, December 1, 1787 (adapted)</t>
  </si>
  <si>
    <t>Chief Justice John Marshall, Majority Opinion, Marbury v. Madison, February 24, 1803 (adapted)</t>
  </si>
  <si>
    <t>President Andrew Jackson, Second Annual Message to Congress, December 6, 1830</t>
  </si>
  <si>
    <t>11.03</t>
  </si>
  <si>
    <t>Blum et al., The National Experience: A History of the United States, Harcourt Brace Jovanovich, 1985 (adapted)</t>
  </si>
  <si>
    <t>11.04</t>
  </si>
  <si>
    <t>Emma Lazarus, “The New Colossus,” 1883 (adapted)</t>
  </si>
  <si>
    <t>11.05</t>
  </si>
  <si>
    <t>Ron Chernow, Titan: The Life of John D. Rockefeller, Sr., Vintage Books, 1998</t>
  </si>
  <si>
    <t>Platform of the American Anti -lmperialist League, 1899</t>
  </si>
  <si>
    <t>11.06</t>
  </si>
  <si>
    <t>Supreme Court Justice Oliver Wendell Holmes, Majority Opinion, Schenck v. United States, 1919 (adapted)</t>
  </si>
  <si>
    <t>President Franklin D. Roosevelt, First Inaugural Address, March 4, 1933 (adapted)</t>
  </si>
  <si>
    <t>11.07</t>
  </si>
  <si>
    <t>Supreme Court Justice Frank Murphy, Dissenting Opinion, Korematsu v. United States, 1944 (adapted)</t>
  </si>
  <si>
    <t>11.08</t>
  </si>
  <si>
    <t>Herblock, Washington Post, 1951</t>
  </si>
  <si>
    <t>11.09</t>
  </si>
  <si>
    <t>President Ronald Reagan, Speech at the Berlin Wall, June 12, 1987</t>
  </si>
  <si>
    <t>Tony Auth, Philadelphia Inquirer, May 9, 2004</t>
  </si>
  <si>
    <t>SEQ</t>
  </si>
  <si>
    <t>Part II</t>
  </si>
  <si>
    <t>29a</t>
  </si>
  <si>
    <t>Herblock, Washington Post, May 24, 1974</t>
  </si>
  <si>
    <t>Doc</t>
  </si>
  <si>
    <t>29b</t>
  </si>
  <si>
    <t>John P. MacKenzie, Washington Post, July 25, 1974 (adapted)</t>
  </si>
  <si>
    <t>30a</t>
  </si>
  <si>
    <t>E. Lapp et al., Petition to the President of the United States from  the Manhattan Project Scientists at Los Alamos, July 17, 1945</t>
  </si>
  <si>
    <t>30b</t>
  </si>
  <si>
    <t>President Harry S. Truman, Statement Announcing the Use of the A-Bomb at Hiroshima, August 6, 1945</t>
  </si>
  <si>
    <t>Part III</t>
  </si>
  <si>
    <t>“The Louisiana Purchase,” Museum Gazette, National Park Service, December 1991 (adapted)</t>
  </si>
  <si>
    <t>Joseph A. Harriss, “How the Louisiana Purchase Changed the World,” Smithsonian, April 2003 (adapted)</t>
  </si>
  <si>
    <t>DBQ</t>
  </si>
  <si>
    <t>“The Louisiana Purchase: Jefferson’s Constitutional Gamble,” Constitution Daily, National Constitution Center (adapted)</t>
  </si>
  <si>
    <t>Thomas J. Farnham, “The Federal-State Issue and the Louisiana Purchase,” Louisiana History: The Journal of the Louisiana Historical Association, 1965 (adapted)</t>
  </si>
  <si>
    <t>Joyce Appleby et al., The American Journey, Glencoe McGraw–Hill, 2003 (adapted)
Charles A. Cerami, Jefferson’s Great Gamble, Sourcebooks, 2003 (adapted)</t>
  </si>
  <si>
    <t>“The Louisiana Purchase: Aftermath,” The Lehrman Institute online (adapted)</t>
  </si>
  <si>
    <t>Fundamental Orders of Connecticut, Section 1, January 14, 1639</t>
  </si>
  <si>
    <t>President George Washington, Proclamation of Neutrality, April 22, 1793</t>
  </si>
  <si>
    <t>McCulloch v. Maryland, 1819</t>
  </si>
  <si>
    <t>Thomas Jefferson, letter to John Breckinridge, August 12, 1803 (adapted)</t>
  </si>
  <si>
    <t>Letter from President Abraham Lincoln to Horace Greeley, August 22, 1862</t>
  </si>
  <si>
    <t>Charles Green Bush, August 7, 1902, Library of Congress (adapted)</t>
  </si>
  <si>
    <t>Library of Congress (adapted)
Edward Alsworth Ross, The Old World in the New:The Significance of Past and Present Immigration to the American People, 1914 (adapted)</t>
  </si>
  <si>
    <t>President Theodore Roosevelt, Second Annual Message to Congress, December 2, 1902</t>
  </si>
  <si>
    <t>President Franklin D. Roosevelt, statement on signing the Social Security Act, August 14, 1935</t>
  </si>
  <si>
    <t>Office of Price Administration</t>
  </si>
  <si>
    <t>President Harry Truman, statement on the situation in Korea, June 27, 1950</t>
  </si>
  <si>
    <t>Dr. Martin Luther King Jr., “Give Us the Ballot,” May 17, 1957</t>
  </si>
  <si>
    <t>New York Times, October 5, 1957</t>
  </si>
  <si>
    <t>President Lyndon B. Johnson, Special Message to Congress,“The American Promise”</t>
  </si>
  <si>
    <t>New York Times, December 20, 1998</t>
  </si>
  <si>
    <t>14th and 15th amendments, United States Constitution</t>
  </si>
  <si>
    <t>An Account of the Proceedings on the Trial of Susan B. Anthony on the Charge of Illegal Voting, Rochester, New York, 1874</t>
  </si>
  <si>
    <t>Thomas Whately, The Regulations Lately Made Concerning the Colonies, and the Taxes Imposed Upon Them, Considered, January 1765 (adapted)</t>
  </si>
  <si>
    <t>Declaration of Rights and Grievances, Stamp Act Congress, October 19, 1765 (adapted)</t>
  </si>
  <si>
    <t xml:space="preserve"> “League of Nations,” The President Woodrow Wilson House (adapted)</t>
  </si>
  <si>
    <t xml:space="preserve"> “Henry Cabot Lodge: Constitution of the League of Nations,” Classic Senate Speeches, U.S. Senate</t>
  </si>
  <si>
    <t>President Woodrow Wilson, The Pueblo Speech, September 25, 1919</t>
  </si>
  <si>
    <t>Leonard F. James, American Foreign Policy, Scott, Foresman and Company, 1967</t>
  </si>
  <si>
    <t xml:space="preserve"> New York Tribune, March 20, 1920
 Leonard Raven-Hill, Punch (adapted)</t>
  </si>
  <si>
    <t>William E. Leuchtenburg, The Perils of Prosperity: 1914–1932, The University of Chicago Press, 1993</t>
  </si>
  <si>
    <t>August 2024 Exam Analysis</t>
  </si>
  <si>
    <t>Smithsonian National Museum of American History (adapted)</t>
  </si>
  <si>
    <t>Virginia Gazette, March 18, 1775 (adapted)</t>
  </si>
  <si>
    <t>Pennsylvania Resolutions on the Boston Port Act, June 20, 1774</t>
  </si>
  <si>
    <t>Antifederalist No. 46, November 2, 1788</t>
  </si>
  <si>
    <t xml:space="preserve"> Chief Justice John Marshall, majority opinion, Marbury v. Madison, February 24, 1803</t>
  </si>
  <si>
    <t>Frederick Douglass, Narrative of the Life of Frederick Douglass, 1845</t>
  </si>
  <si>
    <t>The Sherman Antitrust Act, December 2, 1890</t>
  </si>
  <si>
    <t xml:space="preserve"> U.S. Department of Homeland Security (adapted)</t>
  </si>
  <si>
    <t>Literary Digest, August 9, 1919 (adapted)</t>
  </si>
  <si>
    <t>Kirstin Downey, The Woman Behind the New Deal: The Life of Frances Perkins, FDR’s Secretary of Labor and His Moral Conscience, Doubleday, 2009</t>
  </si>
  <si>
    <t>Secretary of State George C. Marshall, Harvard University, June 1947</t>
  </si>
  <si>
    <t>Senator Margaret Chase Smith, Declaration of Conscience Speech, June 1, 1950</t>
  </si>
  <si>
    <t>Brown v. Board of Education of Topeka, May 17, 1954</t>
  </si>
  <si>
    <t>Eric Draper, White House, October 26, 2001</t>
  </si>
  <si>
    <t>James G. Thompson, letter to the editor, Pittsburgh Courier, originally printed January 31, 1942; reprinted April 11, 1942 (adapted)</t>
  </si>
  <si>
    <t>President Harry Truman, “Special message to the Congress on Civil Rights,” February 2, 1948</t>
  </si>
  <si>
    <t>Hinton Helper, The Impending Crisis of the South: How To Meet It, 1857</t>
  </si>
  <si>
    <t>James West Davidson et al., The American Nation, Prentice Hall, 2000; 1860 Census, U.S. Census Bureau (adapted)</t>
  </si>
  <si>
    <t>Tony Mauro, Illustrated Great Decisions of the Supreme Court, CQ Press, 2006.
 Pacific Northwest Labor and Civil Rights Projects, University of Washington, 2009.</t>
  </si>
  <si>
    <t>Howard Zinn, A People’s History of the United States, 1492–Present, Harper Perennial, 2001.
Winsor McCay, New York American, May 3, 1917 (adapted).</t>
  </si>
  <si>
    <t>Senator Robert M. La Follette Sr., “Free Speech in Wartime,” October 6, 1917, Congressional Record, 65th Congress</t>
  </si>
  <si>
    <t>Haynes, Chaltain, and Glisson, A Documentary History Of First Amendment Rights in America, Oxford University Press, 2006</t>
  </si>
  <si>
    <t>Ken Gormley, The Presidents and the Constitution, A Living History, New York University Press, 2016 (adapted)</t>
  </si>
  <si>
    <t>Geoffrey R. Stone, War and Liberty, An American Dilemma: 1790 to the present, W. W. Norton &amp; Company, 2007</t>
  </si>
  <si>
    <t>June 2024 Exam Analysis</t>
  </si>
  <si>
    <t>Benjamin Franklin Papers (Wampum Chronicles) before January 7, 1784</t>
  </si>
  <si>
    <t>Alan Taylor, American Revolutions: A Continental History, 1750–1804, W. W. Norton &amp; Company, 2016</t>
  </si>
  <si>
    <t>President Thomas Jeff erson, Second Inaugural Address, March 4, 1805</t>
  </si>
  <si>
    <t>President Abraham Lincoln, Second Inaugural Address, March 4, 1865</t>
  </si>
  <si>
    <r>
      <rPr>
        <rFont val="Lato"/>
        <sz val="11.0"/>
      </rPr>
      <t xml:space="preserve">The Elizabeth Cady Stanton and Susan B. Anthony Papers Project, </t>
    </r>
    <r>
      <rPr>
        <rFont val="Lato"/>
        <color rgb="FF1155CC"/>
        <sz val="11.0"/>
        <u/>
      </rPr>
      <t>Rutgers.edu</t>
    </r>
  </si>
  <si>
    <r>
      <rPr>
        <rFont val="Lato"/>
        <sz val="11.0"/>
      </rPr>
      <t xml:space="preserve">The Elizabeth Cady Stanton and Susan B. Anthony Papers Project, </t>
    </r>
    <r>
      <rPr>
        <rFont val="Lato"/>
        <color rgb="FF1155CC"/>
        <sz val="11.0"/>
        <u/>
      </rPr>
      <t>Rutgers.edu</t>
    </r>
  </si>
  <si>
    <t xml:space="preserve"> Joseph J. Keppler, Puck, 1889 (adapted)</t>
  </si>
  <si>
    <t xml:space="preserve"> President William McKinley, Message to Congress, April 11, 1898</t>
  </si>
  <si>
    <t xml:space="preserve"> Philadelphia Press, 1899 (adapted)</t>
  </si>
  <si>
    <t xml:space="preserve"> Utica Saturday Globe, 1906 (adapted)</t>
  </si>
  <si>
    <t xml:space="preserve"> President Woodrow Wilson’s War Message to Congress, April 2, 1917</t>
  </si>
  <si>
    <t>Library of Congress (adapted)</t>
  </si>
  <si>
    <t>New York City Mayor Fiorello H. LaGuardia, Statement to Congress on the subject of Prohibition, 1926</t>
  </si>
  <si>
    <t xml:space="preserve"> President Franklin D. Roosevelt, First Inaugural Address, March 4, 1933</t>
  </si>
  <si>
    <t xml:space="preserve"> Maggie Zhang</t>
  </si>
  <si>
    <t xml:space="preserve"> Stuart Carlson, 2012</t>
  </si>
  <si>
    <t xml:space="preserve"> Demographic Trends in the 20th Century, U.S. Census Bureau, November 2002</t>
  </si>
  <si>
    <t xml:space="preserve"> Justice Henry Billings Brown, Majority Opinion in Plessy v. Ferguson, 1896</t>
  </si>
  <si>
    <t>Chief Justice Earl Warren, Majority Opinion in Brown v. Board of Education, 1954</t>
  </si>
  <si>
    <t xml:space="preserve"> President Harry Truman, Radio Report to the American People on Korea and on U.S. Policy in the Far East, April 11, 1951</t>
  </si>
  <si>
    <t>General Douglas MacArthur, Farewell Speech to Congress, April 19, 1951</t>
  </si>
  <si>
    <t>President Franklin D. Roosevelt, Fireside Chat, December 9, 1941</t>
  </si>
  <si>
    <t xml:space="preserve"> National Archives, adapted by Newsweek, 1991</t>
  </si>
  <si>
    <t>Stephen Breyer, Making Our Democracy Work, A Judge’s View, Alfred A. Knopf, New York, 2010</t>
  </si>
  <si>
    <t>Introduction from Greg Robinson, Université du Québec Á Montréal; Speech from: Confi nement and Ethnicity: An Overview of World War II Japanese American Relocation Sites, by J. Burton, et al.</t>
  </si>
  <si>
    <t>Richard Reeves, The Shocking Story of Japanese American Internment in World War II, Holt and Company, New York, 2015</t>
  </si>
  <si>
    <t>Personal Justice Denied: Report of the Commission on Wartime Relocation and Internment of Civilians, 1982 
President Ronald Reagan, Remarks on Signing the Bill Providing Restitution for the Wartime Internment of Japanese-American Civilians, August 10, 1988</t>
  </si>
  <si>
    <t>January 2024 Exam Analysis</t>
  </si>
  <si>
    <t>Narragansett Chief Miantonomo</t>
  </si>
  <si>
    <t>Declaration of Independence</t>
  </si>
  <si>
    <t>Henry Mellen, 1808, Massachusetts Historical Society Broadsides</t>
  </si>
  <si>
    <t xml:space="preserve"> maps.com (adapted)</t>
  </si>
  <si>
    <t>National Archives and Records Administration</t>
  </si>
  <si>
    <t>Langston Hughes, 1924, in Rampersad and Roessel, eds., The Collected Poems of Langston Hughes, Alfred A. Knopf</t>
  </si>
  <si>
    <t>Milton Halladay, Providence Journal (adapted)</t>
  </si>
  <si>
    <t>Deb Mulvey, ed., “We Had Everything but Money” (adapted)</t>
  </si>
  <si>
    <t>President Franklin D. Roosevelt, Second Inaugural Address, January 20, 1937 (adapted)</t>
  </si>
  <si>
    <t>Gene Elderman, Washington Post, February 6, 1937 (adapted)</t>
  </si>
  <si>
    <t>Secretary of State George Marshall, June 5, 1947</t>
  </si>
  <si>
    <t>Mike Wallace interview with Arkansas Governor Orval Faubus, September 15, 1957</t>
  </si>
  <si>
    <t>Herblock, Washington Post, June 10, 1965</t>
  </si>
  <si>
    <t>President Lyndon B. Johnson, Statement Upon Signing  the Wholesome Poultry Products Act, August 19, 1968</t>
  </si>
  <si>
    <t>President George Washington, Farewell Address, September 19, 1796</t>
  </si>
  <si>
    <t>James Monroe, message to Congress outlining what became known as the Monroe Doctrine, December 2, 1823</t>
  </si>
  <si>
    <t xml:space="preserve"> Udo J. Keppler, Puck, September 7, 1904 (adapted)</t>
  </si>
  <si>
    <t>Ida Tarbell, The History of the Standard Oil Company, 1904</t>
  </si>
  <si>
    <t>Eric Foner, Forever Free: The Story of Emancipation and Reconstruction, Vintage Books, 2005</t>
  </si>
  <si>
    <t xml:space="preserve">What a colored man should do to vote, Press of E. A. Wright, Philadelphia, ca. 1901 </t>
  </si>
  <si>
    <t>The Student Voice, Student Nonviolent Coordinating Committee, June 30, 1964</t>
  </si>
  <si>
    <t>Gary May, Bending Toward Justice: The Voting Rights Act and the Transformation of American Democracy, 2013</t>
  </si>
  <si>
    <t>U.S. Commission on Civil Rights, 1975 (adapted)</t>
  </si>
  <si>
    <t>36a</t>
  </si>
  <si>
    <t>President Barack Obama, “Remarks on the Voting Rights Act,” August 6, 2015</t>
  </si>
  <si>
    <t>36b</t>
  </si>
  <si>
    <t>Brennan Center for Justice, 2017 (adapted)</t>
  </si>
  <si>
    <t>August 2023 Exam Analysis</t>
  </si>
  <si>
    <t>Antifederalist Papers No. 46, November 2, 1788 (adapted)</t>
  </si>
  <si>
    <t>Article II, Section 1, United States Constitution</t>
  </si>
  <si>
    <t>President George Washington, Farewell Address, 1796 (adapted)</t>
  </si>
  <si>
    <t xml:space="preserve"> Robert A. Divine et al., America: Past and Present, Scott, Foresman (adapted)</t>
  </si>
  <si>
    <t>Declaration of Sentiments, Seneca Falls, 1848</t>
  </si>
  <si>
    <t>John Brown, Letter to Orson Day, December 14, 1855 (adapted)</t>
  </si>
  <si>
    <t>Joyce Appleby et al., The American Republic, McGraw Hill, 2003 (adapted)</t>
  </si>
  <si>
    <t>Chicago Labor, July 7, 1894 (adapted)</t>
  </si>
  <si>
    <t>W. A. Rogers, 1904 (adapted)</t>
  </si>
  <si>
    <t>Letter from Caroline A. Henderson, printed in The Atlantic (adapted)</t>
  </si>
  <si>
    <t>President Franklin D. Roosevelt, Press Conference, December 17, 1940 (adapted)</t>
  </si>
  <si>
    <t>Robert A. Divine et al., America Past and Present, Addison Wesley Longman, 1999 (adapted)</t>
  </si>
  <si>
    <t xml:space="preserve">James Farmer, Director of the Congress of Racial Equality, in Voices of Freedom: An Oral History of the Civil Rights Movement from the 1950s through the 1980s, Random House, 1990
</t>
  </si>
  <si>
    <t>United States Congress, August 6, 1965</t>
  </si>
  <si>
    <t xml:space="preserve"> Richard Holbrooke, “Was Bosnia Worth It?”, Washington Post, July 19, 2005</t>
  </si>
  <si>
    <t>New York Daily News, November 10, 1989</t>
  </si>
  <si>
    <t>President Herbert Hoover, Press Statement, February 3, 1931</t>
  </si>
  <si>
    <t xml:space="preserve"> Franklin D. Roosevelt, Inaugural Address, March 4, 1933</t>
  </si>
  <si>
    <t xml:space="preserve"> Carey Orr, Chicago Daily Tribune, December 27, 1918 (adapted)</t>
  </si>
  <si>
    <t>United States Senator Robert M. La Follette, Speech on the League of Nations, November 13, 1919</t>
  </si>
  <si>
    <t>Wendell H. Oswalt, This Land Was Theirs: A Study of Native North Americans, Eighth Edition, 2006</t>
  </si>
  <si>
    <t>Mary Beth Norton et al., A People and a Nation, Houghton Mifflin and Robert A. Divine et al., America: Past and Present, HarperCollins (adapted)</t>
  </si>
  <si>
    <t>Kathy Weiser, ed., “Native American Timeline of Events,” Legends of America online (adapted)</t>
  </si>
  <si>
    <t>Suzan Shown Harjo, “Threatened and Damaged: Protecting Sacred Places,” Expedition Magazine, Penn Museum, Vol. 55, Issue 3, 2013
CQ Researcher, April 24, 2015, Volume 25, Number 16</t>
  </si>
  <si>
    <t>Justine Worland, "What to Know About the Dakota Access Pipeline Protest," Time, October 28, 2016
Seattle Times online, September 1, 2016</t>
  </si>
  <si>
    <t>Katie Reilly, “A New North Dakota Law Threatened Native American Votes. They Responded by Turning Out in Historic Numbers,” Time, November 7, 2018</t>
  </si>
  <si>
    <t>June 2023 Exam Analysis</t>
  </si>
  <si>
    <t xml:space="preserve"> Thomas Paine, Common Sense, 1776</t>
  </si>
  <si>
    <t>James Madison, Federalist No. 51, 1788</t>
  </si>
  <si>
    <t>Max Lerner, Wounded Titans: American Presidents and the Perils of Power, Arcade Publishing, 1996</t>
  </si>
  <si>
    <t>First Inaugural Address of Abraham Lincoln, March 4, 1861</t>
  </si>
  <si>
    <t>Frederick Jackson Turner, “The Significance of the Frontier in American History,” 1893</t>
  </si>
  <si>
    <t>Democratic Party Platform of 1900</t>
  </si>
  <si>
    <t xml:space="preserve"> New York Journal, February 17, 1898 (adapted)</t>
  </si>
  <si>
    <t>Michael Siegel, Rutgers Cartography, 2005 (adapted)</t>
  </si>
  <si>
    <t xml:space="preserve"> Senator Robert M. La Follette, Free Speech in Wartime, October 6, 1917</t>
  </si>
  <si>
    <t>John T. McCutcheon, Chicago Tribune, 1931 (adapted)</t>
  </si>
  <si>
    <t>Ray O. Evans, Columbus Dispatch, February 10, 1937 (adapted)</t>
  </si>
  <si>
    <t>Oakland Museum of California (adapted)</t>
  </si>
  <si>
    <t>Edwin Marcus, ca. 1947, Library of Congress (adapted)</t>
  </si>
  <si>
    <t xml:space="preserve"> War Powers Resolution, 1973</t>
  </si>
  <si>
    <t>LBJ Presidential Library, August 6, 1965 (adapted)</t>
  </si>
  <si>
    <t>Upton Sinclair, The Jungle, February 1906</t>
  </si>
  <si>
    <t>Meat Inspection Act, June 30, 1906, as amended in 1967 and 2005</t>
  </si>
  <si>
    <t>Engraved and printed by Paul Revere, Library of Congress, Prints and Photographs Division</t>
  </si>
  <si>
    <t>Transcript of British Captain Thomas Preston’s testimony, from “The Boston Massacre, The British View, 1770,” EyeWitness to History, 2009</t>
  </si>
  <si>
    <t>Jean H. Baker, ed., Introduction to Votes For Women: The Struggle for Suffrage Revisited, Oxford University Press, 2002</t>
  </si>
  <si>
    <t>Peter Jennings and Todd Brewster, The Century, Doubleday, 1998.
Library of Congress (adapted).</t>
  </si>
  <si>
    <t>Library of Congress, ca. 1911.
 Judith E. Harper, Susan B. Anthony: A Biographical Companion, ABC-CLIO Biographical Companion (adapted).</t>
  </si>
  <si>
    <t>Robert Cooney, “Taking a New Look at the Woman Suffrage Movement,” in The Feminist Movement, Nick Treanor, ed., Greenhaven Press, 2002</t>
  </si>
  <si>
    <t>Elaine Weiss, The Woman’s Hour: The Great Fight to Win the Vote, Viking, 2018</t>
  </si>
  <si>
    <t>Anna Brown, “Despite gains, women remain underrepresented among U.S. political and business leaders,” Pew Research Center, March 20, 2017 (adapted).
Pew Research Center (adapted).</t>
  </si>
  <si>
    <r>
      <rPr>
        <rFont val="Sanchez, Arial"/>
        <b/>
        <sz val="12.0"/>
      </rPr>
      <t xml:space="preserve">Framework Unit - </t>
    </r>
    <r>
      <rPr>
        <rFont val="Lato"/>
        <b/>
        <sz val="11.0"/>
      </rPr>
      <t>Concept</t>
    </r>
    <r>
      <rPr>
        <rFont val="Sanchez, Arial"/>
        <b/>
        <sz val="12.0"/>
      </rPr>
      <t xml:space="preserve"> - </t>
    </r>
    <r>
      <rPr>
        <rFont val="Lato"/>
        <b val="0"/>
        <sz val="12.0"/>
      </rPr>
      <t>Content</t>
    </r>
  </si>
  <si>
    <t>Key Ideas</t>
  </si>
  <si>
    <t>Conceptual Understanding</t>
  </si>
  <si>
    <t>Specifications</t>
  </si>
  <si>
    <t>Colonial Foundations (1607-1763)</t>
  </si>
  <si>
    <t>European colonization in North America prompted cultural contact and exchange between diverse peoples; cultural differences and misunderstandings at times led to conflict. A variety of factors contributed to the development of regional differences, including social and racial hierarchies, in colonial America.</t>
  </si>
  <si>
    <t>11.01a</t>
  </si>
  <si>
    <t>Native American Groups and European Arrival</t>
  </si>
  <si>
    <t>Contact between Native American∗ groups and Europeans occurred through cultural exchanges, resistance efforts, and conflict</t>
  </si>
  <si>
    <t>European Colonizing Nations</t>
  </si>
  <si>
    <t>Students will trace European contact with Native Americans, including the Dutch, the English, the French and the Spanish.</t>
  </si>
  <si>
    <t>Colonization Impact on Native Americans</t>
  </si>
  <si>
    <t>Students will examine the impacts of European colonization on Native Americans, who eventually lost much of their land and experienced a drastic decline in population through diseases and armed conflict.</t>
  </si>
  <si>
    <t>11.01b</t>
  </si>
  <si>
    <t>Colonial Economic Development, Social Structures, and Labor Systems</t>
  </si>
  <si>
    <t>A number of factors influenced colonial economic development, social structures,and labor systems, causing variation by region.</t>
  </si>
  <si>
    <t>Geography &amp; Economic Systems</t>
  </si>
  <si>
    <t>Students will examine the impacts of geographic factors on patterns of settlement and the development of colonial economic systems.</t>
  </si>
  <si>
    <t>Social Structures &amp; Labor</t>
  </si>
  <si>
    <t>Students will examine the factors influencing variations in colonial social structures and labor systems.</t>
  </si>
  <si>
    <t>Colonial Slavery</t>
  </si>
  <si>
    <t>Students will analyze slavery as a deeply established component of the colonial economic system and social structure, indentured servitude vs. slavery, the increased concentration of slaves in the South, and the development of slavery asa racial institution.</t>
  </si>
  <si>
    <t>11.01c</t>
  </si>
  <si>
    <r>
      <rPr>
        <rFont val="Lato, Arial"/>
        <b/>
        <sz val="11.0"/>
      </rPr>
      <t>Political Developments</t>
    </r>
    <r>
      <rPr>
        <rFont val="Lato, Arial"/>
        <b val="0"/>
        <sz val="11.0"/>
      </rPr>
      <t xml:space="preserve"> (British Political Traditions, Enlightenment Ideas, and
the Colonial Experience)</t>
    </r>
  </si>
  <si>
    <t>Colonial political developments were influenced by British political traditions, Enlightenment ideas, and the colonial experience. Self-governing structures were common, and yet varied across the colonies.</t>
  </si>
  <si>
    <t>Enlightenment &amp; British Traditions</t>
  </si>
  <si>
    <t>Students will examine colonial political institutions to determine how they were influenced by Enlightenment ideas, British traditions such as the Magna Carta, and the colonial experience.</t>
  </si>
  <si>
    <t>Colonial Democracy &amp; Key Documents</t>
  </si>
  <si>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</si>
  <si>
    <t>Constitutional Foundations (1763–1824)</t>
  </si>
  <si>
    <t>Growing political and economic tensions led the American colonists to declare their independence from Great Britain. Once independent, the new nation confronted the challenge of creating a stable federal republic.</t>
  </si>
  <si>
    <t>11.02a</t>
  </si>
  <si>
    <t>Britain and the Colonies Following the French and Indian War</t>
  </si>
  <si>
    <t>Following the French and Indian War, the British government attempted to gain greater political and economic control over the colonies. Colonists resisted these efforts, leading to increasing tensions between the colonists and the British government.</t>
  </si>
  <si>
    <t>British Control &amp; Colonial Resistance</t>
  </si>
  <si>
    <t>Students will examine British efforts to gain greater political and economic control, such as the Proclamation of 1763, the Stamp Act, the Townsend Acts, the Tea Act, the Boston Massacre, and the Coercive Acts, and colonial reactions to these efforts.</t>
  </si>
  <si>
    <t>11.02b</t>
  </si>
  <si>
    <t>Failed attempts to mitigate the conflicts between the British government and the colonists led the colonists to declare independence, which they eventually won through the Revolutionary War, which affected individuals in different ways.</t>
  </si>
  <si>
    <t>Students will examine the purpose of and the ideas contained in the Declaration of Independence and consider its long term impacts.</t>
  </si>
  <si>
    <t>Impact on Marginalized Groups</t>
  </si>
  <si>
    <t>Students will examine the impacts of the Revolutionary War on workers, African Americans, women, and Native Americans.</t>
  </si>
  <si>
    <t>11.02c</t>
  </si>
  <si>
    <r>
      <rPr>
        <rFont val="Lato, Arial"/>
        <b/>
        <sz val="11.0"/>
      </rPr>
      <t xml:space="preserve">Constitutional Convention </t>
    </r>
    <r>
      <rPr>
        <rFont val="Lato, Arial"/>
        <b val="0"/>
        <sz val="11.0"/>
      </rPr>
      <t>(1787-1788)</t>
    </r>
  </si>
  <si>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</si>
  <si>
    <t>Articles of Confederation</t>
  </si>
  <si>
    <t>Students will examine the weaknesses and successes of government under the Articles of Confederation.</t>
  </si>
  <si>
    <t>Constitution Development &amp; Debates</t>
  </si>
  <si>
    <t>Students will explore the development of the Constitution, including the major debates and their resolutions, which included compromises over representation, taxation, and slavery.</t>
  </si>
  <si>
    <t>Federal Government Structure &amp; Principles</t>
  </si>
  <si>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</si>
  <si>
    <t>Federalist vs. Antifederalist</t>
  </si>
  <si>
    <t>Students will examine the key points of debate expressed in the Federalist Papers and the Antifederalist Papers, focusing on the protection of individual rights and the proper size for a republic.</t>
  </si>
  <si>
    <t>Bill of Rights</t>
  </si>
  <si>
    <t>Students will examine the rights and protections provided by the Bill of Rights and to whom they initially applied.</t>
  </si>
  <si>
    <t>11.02d</t>
  </si>
  <si>
    <t>Nation-Building &amp; Government Stability</t>
  </si>
  <si>
    <t>Under the new Constitution, the young nation sought to achieve national security and political stability, as the three branches of government established their relationships with each other and the states.</t>
  </si>
  <si>
    <t>President George Washington</t>
  </si>
  <si>
    <t>Students will identify presidential actions and precedents established by George Washington, including those articulated in his Farewell Address.</t>
  </si>
  <si>
    <t>Hamilton's Economic Plan &amp; Political Parties</t>
  </si>
  <si>
    <t>Students will examine Hamilton’s economic plan, the debate surrounding the plan, and its impacts on the development of political parties.</t>
  </si>
  <si>
    <t>Peaceful Transfers of Power: 1800 vs. 2000</t>
  </si>
  <si>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</si>
  <si>
    <t>Early Supreme Court Cases</t>
  </si>
  <si>
    <t>Students will examine Supreme Court cases, including Marbury v. Madison, McCulloch v. Maryland, and Gibbons v. Ogden, and analyze how these decisions strengthened the powers of the federal government.</t>
  </si>
  <si>
    <t>Expansion, Nationalism, and Sectionalism (1800-1865)</t>
  </si>
  <si>
    <t>As the nation expanded, growing sectional tensions, especially over slavery, resulted in political and constitutional crises that culminated in the Civil War.</t>
  </si>
  <si>
    <t>11.03a</t>
  </si>
  <si>
    <t>American Nationalism, Expansion, and Economic Growth</t>
  </si>
  <si>
    <t>American nationalism was both strengthened and challenged by territorial expansion and economic growth.</t>
  </si>
  <si>
    <t>American Nationalism</t>
  </si>
  <si>
    <t>Students will examine how the Louisiana Purchase, the War of 1812, and the Monroe Doctrine strengthened nationalism.</t>
  </si>
  <si>
    <t>Market Revolution</t>
  </si>
  <si>
    <t>Students will examine the market revolution, including technological developments, the development of transportation networks, the growth of domestic industries, the increased demands for free and enslaved labor, the changing role of women, and the rise of political democracy</t>
  </si>
  <si>
    <t>President Jackson</t>
  </si>
  <si>
    <t>Students will examine Jackson’s presidency, noting the ways it strengthened presidential power yet challenged constitutional principles in the case of Worcester v. Georgia (1832), including the controversy concerning the Indian Removal Act and its implementation.</t>
  </si>
  <si>
    <t>11.03b</t>
  </si>
  <si>
    <t>Sectionalism: The Constitution in Jeopardy</t>
  </si>
  <si>
    <t>Different perspectives concerning constitutional, political, economic, and social issues contributed to the growth of sectionalism.</t>
  </si>
  <si>
    <t>Resolutions &amp; Nullifications</t>
  </si>
  <si>
    <t>Students will compare different perspectives on States rights by examining the Kentucky and Virginia Resolutions and the nullification crisis</t>
  </si>
  <si>
    <t>Resistance &amp; Abolitionism</t>
  </si>
  <si>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</si>
  <si>
    <t>Early Women's Rights Movement</t>
  </si>
  <si>
    <t>Students will examine the emergence of the women’s rights movement out of the abolitionist movement, including the role of the Grimké sisters, Lucretia Mott,and Elizabeth Cady Stanton, and evaluate the demands made at the Seneca Falls Convention (1848).</t>
  </si>
  <si>
    <t>Expansion of Slavery</t>
  </si>
  <si>
    <t>Students will examine the issues surrounding the expansion of slavery into new territories, by exploring the Missouri Compromise, Manifest Destiny, Texas and the Mexican-American war, the Compromise of 1850, the Kansas-Nebraska Act, the Dred Scott decision, and John Brown’s raid.</t>
  </si>
  <si>
    <t>11.03c</t>
  </si>
  <si>
    <r>
      <rPr>
        <rFont val="Lato, Arial"/>
        <b/>
        <sz val="11.0"/>
      </rPr>
      <t>American Civil War</t>
    </r>
    <r>
      <rPr>
        <rFont val="Lato, Arial"/>
        <b val="0"/>
        <sz val="11.0"/>
      </rPr>
      <t xml:space="preserve"> (1861-1865)</t>
    </r>
  </si>
  <si>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</si>
  <si>
    <t>Union vs. Confederacy</t>
  </si>
  <si>
    <t>Students will compare the relative strengths of the Union and the Confederacy in terms of industrial capacity, transportation facilities, and military leadership, and evaluate the reasons why the North prevailed over the South and the impacts of the war.</t>
  </si>
  <si>
    <t>Federal Power: Habeas Corpus &amp; Emancipation</t>
  </si>
  <si>
    <t>Students will examine the expansion of executive and federal power as they relate to the suspension of habeas corpus within the Union and the issuance of the Emancipation Proclamation.</t>
  </si>
  <si>
    <t>Gettysburg Address</t>
  </si>
  <si>
    <t>Students will analyze the ideas expressed in the Gettysburg Address, considering its long-term effects.</t>
  </si>
  <si>
    <t>Post-Civil War Era (1865-1900)</t>
  </si>
  <si>
    <t>Reconstruction resulted in political reunion and expanded constitutional rights. However, those rights were undermined, and issues of inequality continued for African Americans, women, Native Americans, Mexican Americans, and Chinese immigrants.</t>
  </si>
  <si>
    <t>11.04a</t>
  </si>
  <si>
    <t>Civil War Amendments and the Southern Response</t>
  </si>
  <si>
    <t>Between 1865 and 1900, constitutional rights were extended to African Americans. However, their ability to exercise these rights was undermined by individuals, groups, and government institutions.</t>
  </si>
  <si>
    <t>Amendments &amp; Reconstruction</t>
  </si>
  <si>
    <t>Students will examine the 13th, 14th, and 15th amendments and consider the role of Radical Republicans in Reconstruction</t>
  </si>
  <si>
    <t>Limiting of Black Rights</t>
  </si>
  <si>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</si>
  <si>
    <t>Freedmen's Pursuit of Independence</t>
  </si>
  <si>
    <t>Students will examine the ways in which freedmen attempted to build independent lives, including the activities of the Freedmen’s Bureau, the creation of educational institutions, and political participation.</t>
  </si>
  <si>
    <t>End of Reconstruction</t>
  </si>
  <si>
    <t>Students will examine the impacts of the election of 1876 and the compromise of 1877 on African Americans.</t>
  </si>
  <si>
    <t>11.04b</t>
  </si>
  <si>
    <t>Women and Equality</t>
  </si>
  <si>
    <t>The 14th and 15th amendments failed to address the rights of women.</t>
  </si>
  <si>
    <t>Exclusion of Women &amp; Struggle for Rights</t>
  </si>
  <si>
    <t>Students will examine the exclusion of women from the 14th and 15th amendments and the subsequent struggle for voting and increased property rights in the late 19th century. The students will examine the work of Susan B.Anthony.</t>
  </si>
  <si>
    <t>11.04c</t>
  </si>
  <si>
    <r>
      <rPr>
        <rFont val="Lato, Arial"/>
        <b/>
        <sz val="11.0"/>
      </rPr>
      <t>New American Frontier</t>
    </r>
    <r>
      <rPr>
        <rFont val="Lato, Arial"/>
        <b val="0"/>
        <sz val="11.0"/>
      </rPr>
      <t xml:space="preserve"> (1850-1890)</t>
    </r>
  </si>
  <si>
    <t>Federal policies regarding westward expansion had positive effects on the national economy but negative consequences for Native Americans</t>
  </si>
  <si>
    <t>Federal Policies &amp; Western Expansion</t>
  </si>
  <si>
    <t>Students will examine the economic effects of the Homestead Act (1862) and the Pacific Railway Act (1862) on westward expansion.</t>
  </si>
  <si>
    <t>Western Expansion &amp; Native American Impact</t>
  </si>
  <si>
    <t>Students will examine the effect of federal policies on Native Americans, including reservation policies, the Dawes Act (1887), and forced assimilation efforts (Carlisle Indian School).</t>
  </si>
  <si>
    <t>11.04d</t>
  </si>
  <si>
    <t>Hostility Towards Immigrants</t>
  </si>
  <si>
    <t>Racial and economic motives contributed to long-standing discrimination against Mexican Americans and opposition to Chinese immigration.</t>
  </si>
  <si>
    <t>Treatment of Mexicans &amp; Mexican Americans</t>
  </si>
  <si>
    <t>Students will analyze relevant provisions of the Treaty of Guadalupe Hidalgo as compared with the actual treatment of Mexicans and Mexican Americans in the Southwest, including California, from 1848 to 1900.</t>
  </si>
  <si>
    <t>Chinese Immigration &amp; Exclusion</t>
  </si>
  <si>
    <t>Students will examine the contributions of Chinese to the national economy and reasons for nativist opposition to their continued immigration (Chinese Exclusion Act of 1882).</t>
  </si>
  <si>
    <t>Industrialization and Urbanization (1870-1920)</t>
  </si>
  <si>
    <t>The United States was transformed from an agrarian to an increasingly industrial and urbanized society. Although this transformation created new economic opportunities, it also created societal problems that were addressed by a variety of reform efforts.</t>
  </si>
  <si>
    <t>11.05a</t>
  </si>
  <si>
    <t>New Technologies Transform the United States</t>
  </si>
  <si>
    <t>New technologies and economic models created rapid industrial growth and transformed the United States.</t>
  </si>
  <si>
    <t>Technological Innovations</t>
  </si>
  <si>
    <t>Students will examine the technological innovations that facilitated industrialization, considering energy sources, natural resources, transportation, and communication.</t>
  </si>
  <si>
    <t>Growth of Industrial Businesses</t>
  </si>
  <si>
    <t>Students will examine the growth of industries under the leadership of businessmen such as John D. Rockefeller, Andrew Carnegie, J.P. Morgan, and Henry Ford and analyze their business practices and organizational structures.</t>
  </si>
  <si>
    <t>Regulation vs Monopolies</t>
  </si>
  <si>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</si>
  <si>
    <t>11.05b</t>
  </si>
  <si>
    <t>Rapid Industrialization and Urbanization Leads to New Reforms</t>
  </si>
  <si>
    <t>Rapid industrialization and urbanization created significant challenges and societal problems that were addressed by a variety of reform efforts.</t>
  </si>
  <si>
    <t>Urbanization &amp; Immigration</t>
  </si>
  <si>
    <t>Students will examine demographic trends associated with urbanization and immigration between 1840 and 1920, including push-pull factors regarding Irish immigration and immigration from southern and eastern Europe.</t>
  </si>
  <si>
    <t>Grange Movement &amp; Populist Party</t>
  </si>
  <si>
    <t>Students will examine problems faced by farmers between 1870 and 1900 and examine the goals and achievements of the Grange Movement and the Populist Party.</t>
  </si>
  <si>
    <t>Early Unionization</t>
  </si>
  <si>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</si>
  <si>
    <t>Progressive Era</t>
  </si>
  <si>
    <t>Students will examine Progressive Era reforms, such as the 16th and 17th amendments (1913) and the establishment of the Federal Reserve System (1913).</t>
  </si>
  <si>
    <t>Women's Suffrage</t>
  </si>
  <si>
    <t>Students will examine the efforts of the women’s suffrage movement after 1900, leading to ratification of the 19th amendment(1920).</t>
  </si>
  <si>
    <t>Temperance &amp; Prohibition</t>
  </si>
  <si>
    <t>Students will trace the temperance and prohibition movements leading to the ratification of the 18th amendment (1919).</t>
  </si>
  <si>
    <t>Influential Documents of the Progressive Era</t>
  </si>
  <si>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</si>
  <si>
    <t>Rise of American Power (1890-1920)</t>
  </si>
  <si>
    <t>Numerous factors contributed to the rise of the United States as a world power. Debates over the United States’ role in world affairs increased in response to overseas expansion and involvement in World War I. United States participation in the war had important effects on American society.</t>
  </si>
  <si>
    <t>11.06a</t>
  </si>
  <si>
    <t>United States Emerges as a Global Power</t>
  </si>
  <si>
    <t>In the late 1800s, various strategic and economic factors led to a greater focus on foreign affairs and debates over the United States’ role in the world.</t>
  </si>
  <si>
    <t>Gowing Economic Interests, Foreign Involvement, &amp; Hawaii</t>
  </si>
  <si>
    <t>Students will examine factors such as the economic and strategic interests that led the United States to seek foreign markets, resources, and coaling stations, including interest in Hawaii.</t>
  </si>
  <si>
    <t>Spanish American War</t>
  </si>
  <si>
    <t>Students will investigate the causes and effects of the Spanish-American War, evaluating Spanish, Cuban, and United States interests and actions.</t>
  </si>
  <si>
    <t>Imperialism &amp; the Philippines</t>
  </si>
  <si>
    <t>Students will examine debates between anti-imperialists and imperialists surrounding ratification of the Treaty of Paris of 1898 and annexation of the Philippines.</t>
  </si>
  <si>
    <t>Imperialism in the Caribbean &amp; Latin America</t>
  </si>
  <si>
    <t>Students will investigate expanding American influence in the Caribbean and Latin America through the creation of the Panama Canal and the Roosevelt Corollary.</t>
  </si>
  <si>
    <t>11.06b</t>
  </si>
  <si>
    <r>
      <rPr>
        <rFont val="Lato, Arial"/>
        <b/>
        <sz val="11.0"/>
      </rPr>
      <t xml:space="preserve">American Neutrality Turns to Involvement in WWI </t>
    </r>
    <r>
      <rPr>
        <rFont val="Lato, Arial"/>
        <b val="0"/>
        <sz val="11.0"/>
      </rPr>
      <t>(1914-1918)</t>
    </r>
  </si>
  <si>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</si>
  <si>
    <t>President Wilson: Neutrality to Involvement</t>
  </si>
  <si>
    <t>Students will investigate the reasons for President Wilson’s shift from neutrality to involvement in World War I.</t>
  </si>
  <si>
    <t>Attempts at Peace after WWI</t>
  </si>
  <si>
    <t>Students will examine Wilson’s goals as expressed in the Fourteen Points, his role at the Versailles Peace Conference, and the compromises he was forced to make to gain approval for the League of Nations.</t>
  </si>
  <si>
    <t>Unsuccessful Ratification of the Treaty of Versailles</t>
  </si>
  <si>
    <t>Students will examine the reasons why President Wilson was unsuccessful in gaining support for Senate ratification of the Treaty of Versailles.</t>
  </si>
  <si>
    <t>11.06c</t>
  </si>
  <si>
    <t>War and Prosperity (1917 – 1929)</t>
  </si>
  <si>
    <t>World War I had important social, political, and economic effects on American Society.</t>
  </si>
  <si>
    <t>Mobilization Economic Effects</t>
  </si>
  <si>
    <t>Students will investigate the effects of mobilization on the United States economy, including the role and contributions of women and African Americans in the war effort.</t>
  </si>
  <si>
    <t>Great Migration</t>
  </si>
  <si>
    <t>Students will investigate the causes and effects of the Great Migration on American society.</t>
  </si>
  <si>
    <t>Schenck v. US (1919)</t>
  </si>
  <si>
    <t>Students will examine the Supreme Court decision concerning civil liberties in Schenck v. United States (1919).</t>
  </si>
  <si>
    <t>Fear of Radicals, Xenophobia, and the Red Scare</t>
  </si>
  <si>
    <t>Students will examine the relationship between postwar recession, fear of radicals, xenophobia, and the Red Scare (1919–1921).</t>
  </si>
  <si>
    <t>Prosperity and Depression (1920-1939)</t>
  </si>
  <si>
    <t>The 1920s and 1930s were a time of cultural and economic changes in the nation. During this period, the nation faced significant domestic challenges, including the Great Depression</t>
  </si>
  <si>
    <t>11.07a</t>
  </si>
  <si>
    <t>1920s and Cultural Changes</t>
  </si>
  <si>
    <t>The 1920s was a time of cultural change in the country, characterized by clashes between modern and traditional values.</t>
  </si>
  <si>
    <t>Roaring Twenties</t>
  </si>
  <si>
    <t>Students will examine the cultural trends associated with the Roaring Twenties, including women’s efforts at self-expression and their changing roles.</t>
  </si>
  <si>
    <t>Prohibition</t>
  </si>
  <si>
    <t>Students will examine the impact of Prohibition on American society.</t>
  </si>
  <si>
    <t>Immigration in the 1920's</t>
  </si>
  <si>
    <t>Students will examine change in immigration policy as reflected by the passage of the Quota Acts of the 1920s.</t>
  </si>
  <si>
    <t>Resurgence of the KKK</t>
  </si>
  <si>
    <t>Students will examine the reasons for the resurgence of the Ku Klux Klan.</t>
  </si>
  <si>
    <t>Scopes Trial</t>
  </si>
  <si>
    <t>Students will examine the key issues related to the Scopes trial.</t>
  </si>
  <si>
    <t>11.07b</t>
  </si>
  <si>
    <t>Black American Struggles and Thriving Culture</t>
  </si>
  <si>
    <t>African Americans continued to struggle for social and economic equality while expanding their own thriving and unique culture. African American cultural achievements were increasingly integrated into national culture.</t>
  </si>
  <si>
    <t>Harlem Renaissance</t>
  </si>
  <si>
    <t>Students will examine literary and artistic contributions associated with the Harlem Renaissance and its impact on national culture.</t>
  </si>
  <si>
    <t>Black Pride, Nationalism &amp; Marcus Garvey</t>
  </si>
  <si>
    <t>Students will examine the rise of African American racial pride and Black Nationalism, including the role of Marcus Garvey.</t>
  </si>
  <si>
    <t>11.07c</t>
  </si>
  <si>
    <t>Economic Prosperity to Economic Depression</t>
  </si>
  <si>
    <t>For many Americans, the 1920s was a time of prosperity. However, underlying economic problems, reflected in the stock market crash of 1929, led to the Great Depression.President Franklin D. Roosevelt’s responses to the Great Depression increased the role of the federal government.</t>
  </si>
  <si>
    <t>Economic Prosperity</t>
  </si>
  <si>
    <t>Students will examine the reasons for economic prosperity during the 1920s.</t>
  </si>
  <si>
    <t>The Great Depression</t>
  </si>
  <si>
    <t>Students will examine the underlying weaknesses of the economy that led to the stock market crash of 1929 and the Great Depression.</t>
  </si>
  <si>
    <t>Hoover vs. FDR</t>
  </si>
  <si>
    <t>Students will compare and contrast the responses of Presidents Herbert Hoover and Franklin D. Roosevelt to the Great Depression.</t>
  </si>
  <si>
    <t>Dust Bowl</t>
  </si>
  <si>
    <t>Students will examine the human and environmental causes of the Dust Bowl and its effects.</t>
  </si>
  <si>
    <t>New Deal</t>
  </si>
  <si>
    <t>Students will evaluate President Roosevelt’s leadership during the Depression, including key legislative initiatives of the New Deal, expansion of federal government power, and the constitutional challenge represented by his court packing effort.</t>
  </si>
  <si>
    <t>World War II (1935-1945)</t>
  </si>
  <si>
    <t>The participation of the United States in World War II was a transformative event for the nation and its role in the world.</t>
  </si>
  <si>
    <t>11.08a</t>
  </si>
  <si>
    <t>U.S. Returns to War</t>
  </si>
  <si>
    <t>As situations overseas deteriorated, President Roosevelt’s leadership helped to move the nation from a policy of neutrality to a pro-Allied position and, ultimately, direct involvement in the war.</t>
  </si>
  <si>
    <t>Neutrality Acts</t>
  </si>
  <si>
    <t>Students will examine reasons for the passage of the Neutrality Acts (1935–1937) and consider the national debate as a shift to pro-Allied policies, including “cash and carry” and Lend-Lease.</t>
  </si>
  <si>
    <t>Negotiations with Japan</t>
  </si>
  <si>
    <t>Students will trace ongoing negotiations with Japan and United States efforts to stop Japanese aggression without resorting to war and without appeasing Japanese demands.</t>
  </si>
  <si>
    <t>Pearl Harbor</t>
  </si>
  <si>
    <t>Students will examine the impact of the Japanese attack on Pearl Harbor.</t>
  </si>
  <si>
    <t>FDR &amp; the Grand Alliance</t>
  </si>
  <si>
    <t>Students will examine President Roosevelt’s leadership during World War II, including his role as commander in chief and his diplomatic efforts to maintain the Grand Alliance.</t>
  </si>
  <si>
    <t>Technological Advancements &amp; the Atomic Bomb</t>
  </si>
  <si>
    <t>Students will examine how technological advancements altered the nature of war and the extent of its devastation, including the use of airpower over civilian targets and President Truman’s decision to use the atomic bomb against the Japanese cities of Hiroshima and Nagasaki.</t>
  </si>
  <si>
    <t>11.08b</t>
  </si>
  <si>
    <t>U.S. in World War II</t>
  </si>
  <si>
    <t>United States entry into World War II had a significant impact on American Society.</t>
  </si>
  <si>
    <t>Mobilizations</t>
  </si>
  <si>
    <t>Students will examine United States mobilization efforts and wartime production and their effects on unemployment rates.</t>
  </si>
  <si>
    <t>Japanese Internment</t>
  </si>
  <si>
    <t>Students will examine the reasons for President Roosevelt’s executive order for Japanese removal, the impact of removal on Japanese people living in the United States, and the Supreme Court’s decision in Korematsu v. United States(1944).</t>
  </si>
  <si>
    <t>Women &amp; BIPOC Contribution to WW2</t>
  </si>
  <si>
    <t>Students will examine the contributions of women, African Americans, Native Americans, Asian Americans, Mexican workers, and Mexican Americans to the war effort, as well as the discrimination that they experienced in the military and workforce.</t>
  </si>
  <si>
    <t>11.08c</t>
  </si>
  <si>
    <t>United States’ Role in Preventing Human Suffering in the Future</t>
  </si>
  <si>
    <t>In response to World War II and the Holocaust, the United States played a major role in efforts to prevent such human suffering in the future.</t>
  </si>
  <si>
    <t>Holocaust</t>
  </si>
  <si>
    <t>Students will investigate American officials' knowledge of the Holocaust, evaluating the degree to which intervention may have been possible.</t>
  </si>
  <si>
    <t>Nuremberg War Crime Trials</t>
  </si>
  <si>
    <t>Students will examine the contributions of Supreme Court Justice Robert Jackson and his arguments made as Chief Prosecutor for the United States at the Nuremberg War Crimes trials.</t>
  </si>
  <si>
    <t>Eleanor Roosevelt &amp; UN's Universal Declaration of Human Rights</t>
  </si>
  <si>
    <t>Students will investigate the role of Eleanor Roosevelt in creating the United Nations Universal Declaration of Human Rights.</t>
  </si>
  <si>
    <t>Cold War (1945-1990)</t>
  </si>
  <si>
    <t>In the period following World War II, the United States entered into an extended era of international conflict called the Cold War which influenced foreign and domestic policy for more than 40 years.</t>
  </si>
  <si>
    <t>11.09a</t>
  </si>
  <si>
    <t>Ideological Differences Between the United States and the Soviet Union</t>
  </si>
  <si>
    <t>After World War II, ideological differences led to political tensions between the United States and the Soviet Union. In an attempt to halt the spread of Soviet influence, the United States pursued a policy of containment.</t>
  </si>
  <si>
    <t>US Decisions for post-war Europe</t>
  </si>
  <si>
    <t>Students will trace key decisions made at wartime conferences as they applied to Poland, Eastern Europe, and postwar Germany, and note how continuing disagreements over these decisions helped bring about the start of the Cold War.</t>
  </si>
  <si>
    <t>Containment Policies</t>
  </si>
  <si>
    <t>Students will trace United States containment policies, including the Truman Doctrine (1947), the Marshall Plan (1948), and the North Atlantic Treaty Organization (1949), and actions taken during the Berlin blockade, and consider how they represent a shift in American foreign policy.</t>
  </si>
  <si>
    <t>McCarthyism</t>
  </si>
  <si>
    <t>Students will examine domestic concerns about the spread of communism and the rise of McCarthyism.</t>
  </si>
  <si>
    <t>Korean War</t>
  </si>
  <si>
    <t>Students will examine the consequences of Truman’s decision to fight a limited war in defense of South Korea.</t>
  </si>
  <si>
    <t>Vietnam War</t>
  </si>
  <si>
    <t>Students will trace the United States involvement in Vietnam, including President Johnson’s decision to escalate the fighting in Vietnam.</t>
  </si>
  <si>
    <t>Antiwar Movement &amp; Watergate</t>
  </si>
  <si>
    <t>Students will examine reasons for declining public confidence in government, including America’s involvement in Vietnam, student protests, the growing antiwar movement, and the Watergate affair.</t>
  </si>
  <si>
    <t>War Powers Act</t>
  </si>
  <si>
    <t>Students will examine the congressional effort to limit presidential power through the War Powers Act.</t>
  </si>
  <si>
    <t>11.09b</t>
  </si>
  <si>
    <t>Nuclear Arms Race</t>
  </si>
  <si>
    <t>The United States and the Soviet Union engaged in a nuclear arms race that eventually led to agreements that limited the arms buildup and improved United States-Soviet relations.</t>
  </si>
  <si>
    <t>Students will trace the acceleration of the nuclear arms race, beginning with the detonation of an atomic bomb by the Soviet Union in 1949, through 1969, including the effects of Sputnik and the Space Race.</t>
  </si>
  <si>
    <t>Cuban Missile Crisis &amp; the Nuclear Test Ban Treaty</t>
  </si>
  <si>
    <t>Students will examine Soviet motives for placing missiles in Cuba and the impact of the Cuban missile crisis on Soviet-American relations, leading to the adoption of the Nuclear Test Ban Treaty.</t>
  </si>
  <si>
    <t>Détente</t>
  </si>
  <si>
    <t>Students will examine the policy of détente and its effect on the nuclear arms race.</t>
  </si>
  <si>
    <t>11.09c</t>
  </si>
  <si>
    <t>Foreign Policy</t>
  </si>
  <si>
    <t>American strategic interests in the Middle East grew with the Cold War, the creation of the State of Israel, and the increased United States dependence on Middle Eastern oil. The continuing nature of the Arab-Israeli dispute has helped to define the contours of American policy in the Middle East.</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</si>
  <si>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</si>
  <si>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</si>
  <si>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t>
  </si>
  <si>
    <t>Cold War Ends</t>
  </si>
  <si>
    <t>A combination of factors contributed to the end of the Cold War, including American policies and Soviet economic and political problems that led to the loss of Soviet control over Eastern Europe</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</si>
  <si>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</si>
  <si>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</si>
  <si>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Social and Economic Change/ Domestic Issues (1945-present)</t>
  </si>
  <si>
    <t>Racial, gender, and socioeconomic inequalities were addressed by individuals, groups, and organizations. Varying political philosophies prompted debates over the role of the federal government in regulating the economy and providing a social safety net.</t>
  </si>
  <si>
    <t>11.10a</t>
  </si>
  <si>
    <t>Civil Rights Movement</t>
  </si>
  <si>
    <t>After World War II, long-term demands for equality by African Americans led to the civil rights movement. The efforts of individuals, groups, and institutions helped to redefine African American civil rights, though numerous issues remain unresolved.</t>
  </si>
  <si>
    <t>Important Civil Rights Individuals</t>
  </si>
  <si>
    <t>Students will examine the roles and impact of individuals such as Rev. Martin Luther King Jr., Stokely Carmichael, Fannie Lou Hamer, and Malcolm X on the movement and their perspectives on change.</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</si>
  <si>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</si>
  <si>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</si>
  <si>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</si>
  <si>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</si>
  <si>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Civil Rights Protests &amp; Civil Resistance</t>
  </si>
  <si>
    <t>Students will analyze the significance of key events in the movement, including the Montgomery bus boycott, federal intervention at Little Rock, Arkansas; the Birmingham protest; and the March on Washington.</t>
  </si>
  <si>
    <t>11.10b</t>
  </si>
  <si>
    <t>Individuals, Diverse Groups, and Organizations That Have Changed America</t>
  </si>
  <si>
    <t>Individuals, diverse groups, and organizations have sought to bring about change in American society through a variety of methods.</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</si>
  <si>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</si>
  <si>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</si>
  <si>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Civil Rights Case Studies</t>
  </si>
  <si>
    <t>Students will thoroughly investigate at least one of the efforts above.</t>
  </si>
  <si>
    <t>11.10c</t>
  </si>
  <si>
    <t>Domestic Policies and Problems and the Role of Government</t>
  </si>
  <si>
    <t>Varying political philosophies prompted debates over the role of the federal government in regulating the economy and providing a social safety net.</t>
  </si>
  <si>
    <t>Great Society vs Reaganomics</t>
  </si>
  <si>
    <t>Students will compare and contrast the economic policies of President Johnson (Great Society) and President Reagan (Reaganomics) regarding the size and role of the federal government.</t>
  </si>
  <si>
    <t>Great Recession</t>
  </si>
  <si>
    <t>Students will examine the causes of the financial panic of 2008 and the federal government's response to the Great Recession.</t>
  </si>
  <si>
    <t>Social Safety Nets</t>
  </si>
  <si>
    <t>Students will examine the debates over the role of the government in providing a social safety net, including the stability of the Social Security Trust Fund and Medicare Trust Fund, as well as changes under the Affordable Care Act.</t>
  </si>
  <si>
    <t>United States in a Changing World (1990-present)</t>
  </si>
  <si>
    <t>The United States’ political and economic status in the world has faced external and internal challenges related to international conflicts, economic competition, and globalization. Throughout this time period, the nation has continued to debate and define its role in the world.</t>
  </si>
  <si>
    <t>11.11a</t>
  </si>
  <si>
    <t>United States: Political and Economic Status</t>
  </si>
  <si>
    <t>The United States created a coalition to defeat Iraq in the Persian Gulf War (1991), but was reluctant to commit American military power through the rest of the decade.</t>
  </si>
  <si>
    <t>Persian Gulf War</t>
  </si>
  <si>
    <t>Students will examine the decision of President George H. W. Bush to oppose Iraq’s invasion of Kuwait. Students will evaluate the positive and negative consequences of the Persian Gulf War.</t>
  </si>
  <si>
    <t>Reluctance to Defend Human Rights</t>
  </si>
  <si>
    <t>Students will trace United States foreign policy regarding Bosnia, Rwanda, and Kosovo, exploring the tension between defending human rights and the reluctance to intervene stemming from the Vietnam syndrome.</t>
  </si>
  <si>
    <t>11.11b</t>
  </si>
  <si>
    <t>War on Terror</t>
  </si>
  <si>
    <t>In response to the terrorist attacks of September 11, 2001, the United States launched the War on Terror, which involved controversial foreign and domestic policies.</t>
  </si>
  <si>
    <t>9-11, War on Terror, &amp; PATRIOT Act</t>
  </si>
  <si>
    <t>Students will trace the reactions to the September 11, 2001, attacks, including responses of the American public, the authorization of the War on Terror, the invasion of Afghanistan, and the passage of the USA PATRIOT Act.</t>
  </si>
  <si>
    <t>Invasion of Iraq</t>
  </si>
  <si>
    <t>Students will examine the decision to invade Iraq, which was based on allegations concerning weapons of mass destruction, and trace the course of the war.</t>
  </si>
  <si>
    <t>Violation of Civil Liberties &amp; Surveillance</t>
  </si>
  <si>
    <t>Students will evaluate the USA PATRIOT Act, including constitutional issues raised about the violation of civil liberties by the federal government’s electronic surveillance programs.</t>
  </si>
  <si>
    <t>11.11c</t>
  </si>
  <si>
    <t>Globalization and Advances in Technology</t>
  </si>
  <si>
    <t>Globalization and advances in technology have affected the United States economy and society.</t>
  </si>
  <si>
    <t>Globalization &amp; the US Economy</t>
  </si>
  <si>
    <t>Students will examine the positive and negative consequences of globalization in relation to the United States economy.</t>
  </si>
  <si>
    <t>Multinational Corporations</t>
  </si>
  <si>
    <t>Students will investigate the role of multinational corporations and their influence on both the United States economy and on other countries around the world.</t>
  </si>
  <si>
    <t>US vs China Rivalry</t>
  </si>
  <si>
    <t>Students will examine the economic relationship and the strategic rivalry between the United States and China.</t>
  </si>
  <si>
    <t>Content</t>
  </si>
  <si>
    <t>2a</t>
  </si>
  <si>
    <t>2b</t>
  </si>
  <si>
    <t>4.4.1</t>
  </si>
  <si>
    <t>5a</t>
  </si>
  <si>
    <t>5b</t>
  </si>
  <si>
    <t>7a</t>
  </si>
  <si>
    <t>7b</t>
  </si>
  <si>
    <t>Quesiton Code</t>
  </si>
  <si>
    <t>Question File Name</t>
  </si>
  <si>
    <t>Correct Response</t>
  </si>
  <si>
    <t>Point Value</t>
  </si>
  <si>
    <t>weight</t>
  </si>
  <si>
    <t>Weighting</t>
  </si>
  <si>
    <t>Item Resource</t>
  </si>
  <si>
    <t>Skill</t>
  </si>
  <si>
    <t>Skill Resource</t>
  </si>
  <si>
    <t>Cognitive Reasoning</t>
  </si>
  <si>
    <t>Concept Resource</t>
  </si>
  <si>
    <t>Constructed Response Resource
Jill to Contact Erik</t>
  </si>
  <si>
    <t>Image URL</t>
  </si>
  <si>
    <t>Question Type Resource</t>
  </si>
  <si>
    <t>Standard</t>
  </si>
  <si>
    <t>Key Ideas Description</t>
  </si>
  <si>
    <t>Student tasks</t>
  </si>
  <si>
    <t>Student Performance Indicators</t>
  </si>
  <si>
    <t>Extra Category</t>
  </si>
  <si>
    <t>QMC1</t>
  </si>
  <si>
    <t>Map</t>
  </si>
  <si>
    <t>Interpet</t>
  </si>
  <si>
    <t>[Link to page Jill to provide]</t>
  </si>
  <si>
    <t>Understand</t>
  </si>
  <si>
    <t>https://docs.google.com/a/newvisions.org/file/d/0B1WZ4tpCx4YORWhDenh3a1pJSGc/edit?usp=drivesdk</t>
  </si>
  <si>
    <t>QMC2</t>
  </si>
  <si>
    <t>0.1.1</t>
  </si>
  <si>
    <t>Reading Passage</t>
  </si>
  <si>
    <t>Infer</t>
  </si>
  <si>
    <t>https://docs.google.com/a/newvisions.org/file/d/0B1WZ4tpCx4YOZzlvaVlHbGc0OVE/edit?usp=drivesdk</t>
  </si>
  <si>
    <t>QMC3</t>
  </si>
  <si>
    <t>0.3.1</t>
  </si>
  <si>
    <t>Recall</t>
  </si>
  <si>
    <t>Identify</t>
  </si>
  <si>
    <t>https://docs.google.com/a/newvisions.org/file/d/0B1WZ4tpCx4YOT2I2eXlHTFk5RXc/edit?usp=drivesdk</t>
  </si>
  <si>
    <t>QMC4</t>
  </si>
  <si>
    <t>1.3.5</t>
  </si>
  <si>
    <t xml:space="preserve">Recall </t>
  </si>
  <si>
    <t>Remember</t>
  </si>
  <si>
    <t>https://docs.google.com/a/newvisions.org/file/d/0B1WZ4tpCx4YOTHVLMHNIdUJ3UjA/edit?usp=drivesdk</t>
  </si>
  <si>
    <t>QMC5</t>
  </si>
  <si>
    <t>1.2.2</t>
  </si>
  <si>
    <t>Fact vs. Opinion</t>
  </si>
  <si>
    <t>https://docs.google.com/a/newvisions.org/file/d/0B1WZ4tpCx4YOemExYW1aQ1d0YUU/edit?usp=drivesdk</t>
  </si>
  <si>
    <t>QMC6</t>
  </si>
  <si>
    <t>Explain</t>
  </si>
  <si>
    <t>https://docs.google.com/a/newvisions.org/file/d/0B1WZ4tpCx4YOR3d1eTJSX3VnZW8/edit?usp=drivesdk</t>
  </si>
  <si>
    <t>QMC7</t>
  </si>
  <si>
    <t>1.3.4</t>
  </si>
  <si>
    <t>Compare</t>
  </si>
  <si>
    <t>https://docs.google.com/a/newvisions.org/file/d/0B1WZ4tpCx4YOQWtmekJZUHZFVDg/edit?usp=drivesdk</t>
  </si>
  <si>
    <t>QMC8</t>
  </si>
  <si>
    <t>1.4.1</t>
  </si>
  <si>
    <t>https://docs.google.com/a/newvisions.org/file/d/0B1WZ4tpCx4YObHBIYlhHQVBpa1U/edit?usp=drivesdk</t>
  </si>
  <si>
    <t>QMC9</t>
  </si>
  <si>
    <t>2.1.2</t>
  </si>
  <si>
    <t>https://docs.google.com/a/newvisions.org/file/d/0B1WZ4tpCx4YOdEtseGs1MzVnck0/edit?usp=drivesdk</t>
  </si>
  <si>
    <t>QMC10</t>
  </si>
  <si>
    <t>https://docs.google.com/a/newvisions.org/file/d/0B1WZ4tpCx4YOR3M3UGt3T1F1Um8/edit?usp=drivesdk</t>
  </si>
  <si>
    <t>QMC11</t>
  </si>
  <si>
    <t>3.3.4</t>
  </si>
  <si>
    <t>Data</t>
  </si>
  <si>
    <t>https://docs.google.com/a/newvisions.org/file/d/0B1WZ4tpCx4YOMFBCTTdLamVRbEE/edit?usp=drivesdk</t>
  </si>
  <si>
    <t>QMC12</t>
  </si>
  <si>
    <t>5.7.2</t>
  </si>
  <si>
    <t>https://docs.google.com/a/newvisions.org/file/d/0B1WZ4tpCx4YORUNiS3N5QWFlelk/edit?usp=drivesdk</t>
  </si>
  <si>
    <t>QMC13</t>
  </si>
  <si>
    <t>3.5.3</t>
  </si>
  <si>
    <t>https://docs.google.com/a/newvisions.org/file/d/0B1WZ4tpCx4YOU1RNYnhMdnMyWVU/edit?usp=drivesdk</t>
  </si>
  <si>
    <t>QMC14</t>
  </si>
  <si>
    <t>3.6.8</t>
  </si>
  <si>
    <t>https://docs.google.com/a/newvisions.org/file/d/0B1WZ4tpCx4YOSGtQcGxTWTBSc3c/edit?usp=drivesdk</t>
  </si>
  <si>
    <t>QMC15</t>
  </si>
  <si>
    <t>2.5.1</t>
  </si>
  <si>
    <t>https://docs.google.com/a/newvisions.org/file/d/0B1WZ4tpCx4YONy04NXZtN3FIRW8/edit?usp=drivesdk</t>
  </si>
  <si>
    <t>QMC16</t>
  </si>
  <si>
    <t>3.5.5</t>
  </si>
  <si>
    <t>https://docs.google.com/a/newvisions.org/file/d/0B1WZ4tpCx4YONEpCdGxlTUVjVHc/edit?usp=drivesdk</t>
  </si>
  <si>
    <t>QMC17</t>
  </si>
  <si>
    <t>4.2.4</t>
  </si>
  <si>
    <t>https://docs.google.com/a/newvisions.org/file/d/0B1WZ4tpCx4YOWWFGa3pocFVEakk/edit?usp=drivesdk</t>
  </si>
  <si>
    <t>QMC18</t>
  </si>
  <si>
    <t>https://docs.google.com/a/newvisions.org/file/d/0B1WZ4tpCx4YOeWNJczg2RFFKMVU/edit?usp=drivesdk</t>
  </si>
  <si>
    <t>QMC19</t>
  </si>
  <si>
    <t>https://docs.google.com/a/newvisions.org/file/d/0B1WZ4tpCx4YOd3RUX3ZLak5UZGM/edit?usp=drivesdk</t>
  </si>
  <si>
    <t>QMC20</t>
  </si>
  <si>
    <t>4.5.5</t>
  </si>
  <si>
    <t>https://docs.google.com/a/newvisions.org/file/d/0B1WZ4tpCx4YOcTVuQ1F6RFZyX3M/edit?usp=drivesdk</t>
  </si>
  <si>
    <t>QMC21</t>
  </si>
  <si>
    <t>3.5.7</t>
  </si>
  <si>
    <t>https://docs.google.com/a/newvisions.org/file/d/0B1WZ4tpCx4YOOU1iZVpMWGRpMlU/edit?usp=drivesdk</t>
  </si>
  <si>
    <t>QMC22</t>
  </si>
  <si>
    <t>https://docs.google.com/a/newvisions.org/file/d/0B1WZ4tpCx4YOUWMyekFvZUxsamM/edit?usp=drivesdk</t>
  </si>
  <si>
    <t>QMC23</t>
  </si>
  <si>
    <t>5.1.1</t>
  </si>
  <si>
    <t>https://docs.google.com/a/newvisions.org/file/d/0B1WZ4tpCx4YOWUN6OXJ1WHI1dGc/edit?usp=drivesdk</t>
  </si>
  <si>
    <t>QMC24</t>
  </si>
  <si>
    <t>Analyze</t>
  </si>
  <si>
    <t>https://docs.google.com/a/newvisions.org/file/d/0B1WZ4tpCx4YOZjMwUXEtMlNBWjg/edit?usp=drivesdk</t>
  </si>
  <si>
    <t>QMC25</t>
  </si>
  <si>
    <t>5.2.1</t>
  </si>
  <si>
    <t>https://docs.google.com/a/newvisions.org/file/d/0B1WZ4tpCx4YOXzFadFc4T05MTU0/edit?usp=drivesdk</t>
  </si>
  <si>
    <t>QMC26</t>
  </si>
  <si>
    <t>5.3.1</t>
  </si>
  <si>
    <t>https://docs.google.com/a/newvisions.org/file/d/0B1WZ4tpCx4YOOURBZGMwblF6c1k/edit?usp=drivesdk</t>
  </si>
  <si>
    <t>QMC27</t>
  </si>
  <si>
    <t>5.7.3</t>
  </si>
  <si>
    <t>https://docs.google.com/a/newvisions.org/file/d/0B1WZ4tpCx4YONlphVE1jQ3dxVkE/edit?usp=drivesdk</t>
  </si>
  <si>
    <t>QMC28</t>
  </si>
  <si>
    <t>https://docs.google.com/a/newvisions.org/file/d/0B1WZ4tpCx4YORzVRRnAyN3JfTWs/edit?usp=drivesdk</t>
  </si>
  <si>
    <t>QMC29</t>
  </si>
  <si>
    <t>5.9.4</t>
  </si>
  <si>
    <t>https://docs.google.com/a/newvisions.org/file/d/0B1WZ4tpCx4YObElrNzNKTTFfZkU/edit?usp=drivesdk</t>
  </si>
  <si>
    <t>QMC30</t>
  </si>
  <si>
    <t>5.8.6</t>
  </si>
  <si>
    <t>https://docs.google.com/a/newvisions.org/file/d/0B1WZ4tpCx4YOMnh1Nk5LN2pqc3c/edit?usp=drivesdk</t>
  </si>
  <si>
    <t>QMC31</t>
  </si>
  <si>
    <t>5.5.5</t>
  </si>
  <si>
    <t>https://docs.google.com/a/newvisions.org/file/d/0B1WZ4tpCx4YORlNwTFE1enBYZUE/edit?usp=drivesdk</t>
  </si>
  <si>
    <t>QMC32</t>
  </si>
  <si>
    <t>7.4.2</t>
  </si>
  <si>
    <t>https://docs.google.com/a/newvisions.org/file/d/0B1WZ4tpCx4YOMXAzY3RwUlZNQ2M/edit?usp=drivesdk</t>
  </si>
  <si>
    <t>QMC33</t>
  </si>
  <si>
    <t>https://docs.google.com/a/newvisions.org/file/d/0B1WZ4tpCx4YOTkcwR0xZWWpXTE0/edit?usp=drivesdk</t>
  </si>
  <si>
    <t>QMC34</t>
  </si>
  <si>
    <t>6.2.6</t>
  </si>
  <si>
    <t>https://docs.google.com/a/newvisions.org/file/d/0B1WZ4tpCx4YONThMd0JRY2NQWFE/edit?usp=drivesdk</t>
  </si>
  <si>
    <t>QMC35</t>
  </si>
  <si>
    <t>https://docs.google.com/a/newvisions.org/file/d/0B1WZ4tpCx4YOb1BnSFdtQlVpQk0/edit?usp=drivesdk</t>
  </si>
  <si>
    <t>QMC36</t>
  </si>
  <si>
    <t>7.6.2</t>
  </si>
  <si>
    <t>https://docs.google.com/a/newvisions.org/file/d/0B1WZ4tpCx4YOeTZqWE96dlVHUlU/edit?usp=drivesdk</t>
  </si>
  <si>
    <t>QMC37</t>
  </si>
  <si>
    <t>Political Cartoon</t>
  </si>
  <si>
    <t>https://docs.google.com/a/newvisions.org/file/d/0B1WZ4tpCx4YOOVFURmlpcENRV28/edit?usp=drivesdk</t>
  </si>
  <si>
    <t>QMC38</t>
  </si>
  <si>
    <t>https://docs.google.com/a/newvisions.org/file/d/0B1WZ4tpCx4YOMHNUcDhHdTY1VUE/edit?usp=drivesdk</t>
  </si>
  <si>
    <t>QMC39</t>
  </si>
  <si>
    <t>https://docs.google.com/a/newvisions.org/file/d/0B1WZ4tpCx4YOcTJldzhacjB4ZUE/edit?usp=drivesdk</t>
  </si>
  <si>
    <t>QMC40</t>
  </si>
  <si>
    <t>https://docs.google.com/a/newvisions.org/file/d/0B1WZ4tpCx4YOU1ZISXFLQ3JtZnM/edit?usp=drivesdk</t>
  </si>
  <si>
    <t>QMC41</t>
  </si>
  <si>
    <t>7.3.2</t>
  </si>
  <si>
    <t>https://docs.google.com/a/newvisions.org/file/d/0B1WZ4tpCx4YOcHQtcnhNZ0NIbjg/edit?usp=drivesdk</t>
  </si>
  <si>
    <t>QMC42</t>
  </si>
  <si>
    <t>8.1.7</t>
  </si>
  <si>
    <t>https://docs.google.com/a/newvisions.org/file/d/0B1WZ4tpCx4YOMXNsZmhleEo2Rkk/edit?usp=drivesdk</t>
  </si>
  <si>
    <t>QMC43</t>
  </si>
  <si>
    <t>https://docs.google.com/a/newvisions.org/file/d/0B1WZ4tpCx4YOY3BIRDBqb29GeG8/edit?usp=drivesdk</t>
  </si>
  <si>
    <t>QMC44</t>
  </si>
  <si>
    <t>8.3.2</t>
  </si>
  <si>
    <t>https://docs.google.com/a/newvisions.org/file/d/0B1WZ4tpCx4YOWndiTXNsbGJ1Qk0/edit?usp=drivesdk</t>
  </si>
  <si>
    <t>QMC45</t>
  </si>
  <si>
    <t>https://docs.google.com/a/newvisions.org/file/d/0B1WZ4tpCx4YOd2xsZHprcXI1Tzg/edit?usp=drivesdk</t>
  </si>
  <si>
    <t>QMC46</t>
  </si>
  <si>
    <t>8.4.3</t>
  </si>
  <si>
    <t>https://docs.google.com/a/newvisions.org/file/d/0B1WZ4tpCx4YOdVRhU1dvMVlpMGc/edit?usp=drivesdk</t>
  </si>
  <si>
    <t>QMC47</t>
  </si>
  <si>
    <t>2.6.4</t>
  </si>
  <si>
    <t>https://docs.google.com/a/newvisions.org/file/d/0B1WZ4tpCx4YONEZRZUVSaFJOb0E/edit?usp=drivesdk</t>
  </si>
  <si>
    <t>QMC48</t>
  </si>
  <si>
    <t>3.1.5</t>
  </si>
  <si>
    <t>https://docs.google.com/a/newvisions.org/file/d/0B1WZ4tpCx4YOT3JEaUZXQ3NTNUk/edit?usp=drivesdk</t>
  </si>
  <si>
    <t>QMC49</t>
  </si>
  <si>
    <t>4.5.8</t>
  </si>
  <si>
    <t>https://docs.google.com/a/newvisions.org/file/d/0B1WZ4tpCx4YOZkZGb1M3Q2tXakU/edit?usp=drivesdk</t>
  </si>
  <si>
    <t>QMC50</t>
  </si>
  <si>
    <t>https://docs.google.com/a/newvisions.org/file/d/0B1WZ4tpCx4YOMzVFWWh1YVlIZDg/edit?usp=drivesdk</t>
  </si>
  <si>
    <t>QTE1</t>
  </si>
  <si>
    <t>Thematic Essay</t>
  </si>
  <si>
    <t>-</t>
  </si>
  <si>
    <t>T.2</t>
  </si>
  <si>
    <t>https://docs.google.com/a/newvisions.org/file/d/0B1WZ4tpCx4YOQlhyRFNDZmFLWHM/edit?usp=drivesdk</t>
  </si>
  <si>
    <t>QDBQ1</t>
  </si>
  <si>
    <t>Part IIIA</t>
  </si>
  <si>
    <t>Document-Based</t>
  </si>
  <si>
    <t>https://docs.google.com/a/newvisions.org/file/d/0B1WZ4tpCx4YOQW5yNHFfU1NjOHM/edit?usp=drivesdk</t>
  </si>
  <si>
    <t>QDBQ2</t>
  </si>
  <si>
    <t>https://docs.google.com/a/newvisions.org/file/d/0B1WZ4tpCx4YOenZEWnZKblZvaTg/edit?usp=drivesdk</t>
  </si>
  <si>
    <t>QDBQ3</t>
  </si>
  <si>
    <t>https://docs.google.com/a/newvisions.org/file/d/0B1WZ4tpCx4YOT0w2dXRjUURrbzQ/edit?usp=drivesdk</t>
  </si>
  <si>
    <t>QDBQ4</t>
  </si>
  <si>
    <t>https://docs.google.com/a/newvisions.org/file/d/0B1WZ4tpCx4YOWkp3ODJhSkEyNjA/edit?usp=drivesdk</t>
  </si>
  <si>
    <t>QDBQ5</t>
  </si>
  <si>
    <t>https://docs.google.com/a/newvisions.org/file/d/0B1WZ4tpCx4YOdmpsQXJRRk1GdzA/edit?usp=drivesdk</t>
  </si>
  <si>
    <t>QDBQ6a</t>
  </si>
  <si>
    <t>6a</t>
  </si>
  <si>
    <t>https://docs.google.com/a/newvisions.org/file/d/0B1WZ4tpCx4YORDg4RHVpZEQ4Vzg/edit?usp=drivesdk</t>
  </si>
  <si>
    <t>QDBQ6b</t>
  </si>
  <si>
    <t>6b</t>
  </si>
  <si>
    <t>https://docs.google.com/a/newvisions.org/file/d/0B1WZ4tpCx4YOLVZlTXowaFQtZWc/edit?usp=drivesdk</t>
  </si>
  <si>
    <t>QDBQ7a</t>
  </si>
  <si>
    <t>6.1.2</t>
  </si>
  <si>
    <t>https://docs.google.com/a/newvisions.org/file/d/0B1WZ4tpCx4YOaHM2NUt5N29FZXc/edit?usp=drivesdk</t>
  </si>
  <si>
    <t>QDBQ7b</t>
  </si>
  <si>
    <t>https://docs.google.com/a/newvisions.org/file/d/0B1WZ4tpCx4YOZUxSenlRWDZDUjg/edit?usp=drivesdk</t>
  </si>
  <si>
    <t>QDBQ8</t>
  </si>
  <si>
    <t>https://docs.google.com/a/newvisions.org/file/d/0B1WZ4tpCx4YOVThnV1djTF96Ykk/edit?usp=drivesdk</t>
  </si>
  <si>
    <t>QDBQ9</t>
  </si>
  <si>
    <t>https://docs.google.com/a/newvisions.org/file/d/0B1WZ4tpCx4YOWi15RmY0ZFp4OGM/edit?usp=drivesdk</t>
  </si>
  <si>
    <t>QDE1</t>
  </si>
  <si>
    <t>Part IIIB</t>
  </si>
  <si>
    <t>Document Essay</t>
  </si>
  <si>
    <t>https://docs.google.com/a/newvisions.org/file/d/0B1WZ4tpCx4YOYnZSUl9SN3pidDA/edit?usp=drivesdk</t>
  </si>
  <si>
    <t>Name</t>
  </si>
  <si>
    <t>Student Id</t>
  </si>
  <si>
    <t>Ofc Cls</t>
  </si>
  <si>
    <t>Section</t>
  </si>
  <si>
    <t>Room Num</t>
  </si>
  <si>
    <t>Non Pub</t>
  </si>
  <si>
    <t>Raw Score</t>
  </si>
  <si>
    <t>Ess Score</t>
  </si>
  <si>
    <t>Final Score</t>
  </si>
  <si>
    <t>Scan Date</t>
  </si>
  <si>
    <t>Page Num</t>
  </si>
  <si>
    <t>Scan Date 2</t>
  </si>
  <si>
    <t>Page Num 2</t>
  </si>
  <si>
    <t>IEP</t>
  </si>
  <si>
    <t>ELL</t>
  </si>
  <si>
    <t>Errors</t>
  </si>
  <si>
    <t>Alt Lang</t>
  </si>
  <si>
    <t>Multi Scan</t>
  </si>
  <si>
    <t>Questions:</t>
  </si>
  <si>
    <t>QThematic_Essay</t>
  </si>
  <si>
    <t>QDBQ4a</t>
  </si>
  <si>
    <t>QDBQ4b</t>
  </si>
  <si>
    <t>QDBQ6</t>
  </si>
  <si>
    <t>QDBQ7</t>
  </si>
  <si>
    <t>QDocument_Essay</t>
  </si>
  <si>
    <t>Omitted</t>
  </si>
  <si>
    <t>Content Skill</t>
  </si>
  <si>
    <t>Geographic Area</t>
  </si>
  <si>
    <t>Text Type</t>
  </si>
  <si>
    <t>Literacy Skill</t>
  </si>
  <si>
    <t>Signal Word</t>
  </si>
  <si>
    <t>Vocabulary</t>
  </si>
  <si>
    <t>Additional Standards</t>
  </si>
  <si>
    <t>9.3.1</t>
  </si>
  <si>
    <t>Methodology of Global History and Geography</t>
  </si>
  <si>
    <t>Economics</t>
  </si>
  <si>
    <t>Major economic concepts (scarcity, supply/demand, opportunity costs, production, resources)</t>
  </si>
  <si>
    <t>Content Knowledge</t>
  </si>
  <si>
    <t>1.1.1</t>
  </si>
  <si>
    <t>Unit 1: Ancient World - Civilizations and Religions (4000 BC - 500 AD)</t>
  </si>
  <si>
    <t>Early Peoples</t>
  </si>
  <si>
    <t>Human and physical geography</t>
  </si>
  <si>
    <t>Asia</t>
  </si>
  <si>
    <t xml:space="preserve">Fertile Crescent </t>
  </si>
  <si>
    <t>Neolithic Revolution and Early River Civilizations</t>
  </si>
  <si>
    <t>Identify demographic patterns of early civilizations and movement of people—Bantu migration (500 BC - 1500 AD)</t>
  </si>
  <si>
    <t>Middle East</t>
  </si>
  <si>
    <t>Text</t>
  </si>
  <si>
    <t>Synthesis</t>
  </si>
  <si>
    <t>1.1.4</t>
  </si>
  <si>
    <t>Migration of early human populations.</t>
  </si>
  <si>
    <t>Interactions</t>
  </si>
  <si>
    <t>Associated with</t>
  </si>
  <si>
    <t>Bering Strait</t>
  </si>
  <si>
    <t>2.3.4</t>
  </si>
  <si>
    <t>Unit 2: Expanding Zones of Exchange and Encounter (500 - 1200)</t>
  </si>
  <si>
    <t>Byzantine Empire (330-1453 AD)</t>
  </si>
  <si>
    <t>Political structure and Justinian Code</t>
  </si>
  <si>
    <t>Europe, Asia</t>
  </si>
  <si>
    <t>Inference</t>
  </si>
  <si>
    <t>Gupta Empire (320-550 AD)</t>
  </si>
  <si>
    <t>Artistic, scientific, and mathematical contributions</t>
  </si>
  <si>
    <t>Comparison</t>
  </si>
  <si>
    <t>Compare/Contrast</t>
  </si>
  <si>
    <t>similar</t>
  </si>
  <si>
    <t>2.3.2</t>
  </si>
  <si>
    <t>Achievements (law—Justinian Code, engineering, art, and commerce</t>
  </si>
  <si>
    <t>Justinian Code, Code of Hammurabi, Twelve Tables of Romans</t>
  </si>
  <si>
    <t>3.1.2</t>
  </si>
  <si>
    <t>Unit 3: Global Interactions (1200 - 1650)</t>
  </si>
  <si>
    <t>Early Japanese history and feudalism</t>
  </si>
  <si>
    <t>Early traditions (Shintoism)</t>
  </si>
  <si>
    <t>Daoism, Animism, Shintoism</t>
  </si>
  <si>
    <t>Ties with China and Korea: cultural diffusion, Buddhism, and Confucianism</t>
  </si>
  <si>
    <t>3.2.5</t>
  </si>
  <si>
    <t>The rise and fall of the Mongols and their impact on Eurasia</t>
  </si>
  <si>
    <t>Impact on Central Asia, China, Korea, Europe, India, Southwest Asia</t>
  </si>
  <si>
    <t>Global trade and interactions</t>
  </si>
  <si>
    <t>Resurgence of Europe</t>
  </si>
  <si>
    <t>Europe</t>
  </si>
  <si>
    <t>Cause and Effect</t>
  </si>
  <si>
    <t>result of</t>
  </si>
  <si>
    <t>3.4.4</t>
  </si>
  <si>
    <t>Rise and fall of African civilizations: Ghana, Mali, Axum, and Songhai empires</t>
  </si>
  <si>
    <t>Roles in global trade routes</t>
  </si>
  <si>
    <t>Africa</t>
  </si>
  <si>
    <t>Contributed to</t>
  </si>
  <si>
    <t>Black Death</t>
  </si>
  <si>
    <t>3.7.2</t>
  </si>
  <si>
    <t>Reformation and Counter Reformation</t>
  </si>
  <si>
    <t>Martin Luther’s Ninety-Five Theses: the challenge to the power and authority of the Roman Catholic Church</t>
  </si>
  <si>
    <t>Reflects</t>
  </si>
  <si>
    <t>Martin Luther</t>
  </si>
  <si>
    <t>3.7.5</t>
  </si>
  <si>
    <t>Calvin and other reformers</t>
  </si>
  <si>
    <t>John Calvin</t>
  </si>
  <si>
    <t>Unit 4: The First Global Age (1450-1770)</t>
  </si>
  <si>
    <t>The rise of Mesoamerican empires: Aztec and Incan empires before 1500</t>
  </si>
  <si>
    <t>Latin America</t>
  </si>
  <si>
    <t>4.1.4</t>
  </si>
  <si>
    <t>The Ming Dynasty (1368-1644)</t>
  </si>
  <si>
    <t>China's relationship with the West</t>
  </si>
  <si>
    <t>Timeline</t>
  </si>
  <si>
    <t>4.2.1</t>
  </si>
  <si>
    <t>The impact of the Ottoman Empire on the Middle East and Europe</t>
  </si>
  <si>
    <t>Spain and Portugal on the eve of the encounter</t>
  </si>
  <si>
    <t>Exploration and overseas expansion</t>
  </si>
  <si>
    <t>4.4.2</t>
  </si>
  <si>
    <t>The rise of Mesoamerican empires: Aztec and Incan empires before 1501</t>
  </si>
  <si>
    <t>Organizational Structure</t>
  </si>
  <si>
    <t>The encounter between Europeans and the peoples of Africa, the Americas, and Asia Case study: The Columbian exchange</t>
  </si>
  <si>
    <t>Spanish colonialism and the introduction of the Encomienda system to Latin America</t>
  </si>
  <si>
    <t>Express</t>
  </si>
  <si>
    <t>4.5.2</t>
  </si>
  <si>
    <t>European competition for colonies in the Americas, Africa, East Asia, and Southeast Asia - the "old imperialism"</t>
  </si>
  <si>
    <t>The response to absolutism: The rise of parliamentary democracy in England</t>
  </si>
  <si>
    <t>Background - Magna Carta</t>
  </si>
  <si>
    <t>Content Vocab</t>
  </si>
  <si>
    <t>Magna Carta</t>
  </si>
  <si>
    <t>Unit 5: An Age of Revolution (1750-1914)</t>
  </si>
  <si>
    <t>Political Revolutions</t>
  </si>
  <si>
    <t xml:space="preserve">Independence movements in Latin America, Case studies: Simon Bolivar, Toussaint L’Ouverture, José de San Martin </t>
  </si>
  <si>
    <t>Effect of</t>
  </si>
  <si>
    <t>5.1.2</t>
  </si>
  <si>
    <t>Scientific Revolution</t>
  </si>
  <si>
    <t>The work of Copernicus, Galileo, Newton, and Descartes</t>
  </si>
  <si>
    <t>5.6.3</t>
  </si>
  <si>
    <t>Global Nationalism</t>
  </si>
  <si>
    <t>Force for unity and self-determination</t>
  </si>
  <si>
    <t>Economic and social revolutions</t>
  </si>
  <si>
    <t>the British Industrial Revolution</t>
  </si>
  <si>
    <t>Resulted</t>
  </si>
  <si>
    <t>Illustrated</t>
  </si>
  <si>
    <t>6.2.9</t>
  </si>
  <si>
    <t>Unit 6: A Half Century of Crisis and Achievement</t>
  </si>
  <si>
    <t>Revolution and change in Russia - causes and impacts</t>
  </si>
  <si>
    <t>Reign of Terror</t>
  </si>
  <si>
    <t>Known for</t>
  </si>
  <si>
    <t>6.2.2</t>
  </si>
  <si>
    <t>The Revolution of 1905</t>
  </si>
  <si>
    <t>Cause of</t>
  </si>
  <si>
    <t>Between the wars</t>
  </si>
  <si>
    <t>Modernization and westernization of a secular Turkey—Kemal Atatürk</t>
  </si>
  <si>
    <t>6.3.4</t>
  </si>
  <si>
    <t>Women's suffrage movement</t>
  </si>
  <si>
    <t>Illustration</t>
  </si>
  <si>
    <t>6.3.9</t>
  </si>
  <si>
    <t>Colonial response to European imperialism Case studies: Mohandas Gandhi, Reza Khan,Jiang Jieshi (Chiang Kai­shek), Mao Zedong.;Zionism, Arab nationalism, the Amritsar massacre—Indian nationalism, Salt March, civil disobedience</t>
  </si>
  <si>
    <t>6.3.2</t>
  </si>
  <si>
    <t>Treaty of Versailles and the League of Nations</t>
  </si>
  <si>
    <t>Chronology</t>
  </si>
  <si>
    <t>Chronological Order</t>
  </si>
  <si>
    <t>6.4.7</t>
  </si>
  <si>
    <t>World War II - causes and impact</t>
  </si>
  <si>
    <t>War in China - Long March</t>
  </si>
  <si>
    <t>6.4.3</t>
  </si>
  <si>
    <t>Key individuals—Hitler, Mussolini, Stalin, Churchill, and Roosevelt</t>
  </si>
  <si>
    <t>Forced famine in Ukraine</t>
  </si>
  <si>
    <t>7.2.1</t>
  </si>
  <si>
    <t>Unit 7: The 20th Century since 1951</t>
  </si>
  <si>
    <t>Role of the United Nations</t>
  </si>
  <si>
    <t>Peace keeping</t>
  </si>
  <si>
    <t>Unit 7: The 20th Century since 1961</t>
  </si>
  <si>
    <t>Chinese Communist Revolution</t>
  </si>
  <si>
    <t>Communist rise to power (1936-1949) Jiang Jieshi (Chiang Kai-shek), Mao Zedong</t>
  </si>
  <si>
    <t>7.8.3</t>
  </si>
  <si>
    <t>Unit 7: The 20th Century since 1968</t>
  </si>
  <si>
    <t>Collapse of European imperialism</t>
  </si>
  <si>
    <t>African independence movements and Pan Africanism</t>
  </si>
  <si>
    <t>7.6.7</t>
  </si>
  <si>
    <t>Unit 7: The 20th Century since 1976</t>
  </si>
  <si>
    <t>Conflicts and change in the Middle East</t>
  </si>
  <si>
    <t>The Iranian Revolution</t>
  </si>
  <si>
    <t>Shah Reza Pahlavi</t>
  </si>
  <si>
    <t>7.7.1</t>
  </si>
  <si>
    <t>Unit 7: The 20th Century since 1978</t>
  </si>
  <si>
    <t>Collapse of communism and the breakup of the Soviet Union</t>
  </si>
  <si>
    <t>7.7.5</t>
  </si>
  <si>
    <t>Unit 7: The 20th Century since 1982</t>
  </si>
  <si>
    <t>Fall of the Berlin Wall and the reunification of Germany—causes and impacts</t>
  </si>
  <si>
    <t>Cold War</t>
  </si>
  <si>
    <t>8.1.2</t>
  </si>
  <si>
    <t>Unit 8: Global Connections and Interactions</t>
  </si>
  <si>
    <t>Social and political patterns and change</t>
  </si>
  <si>
    <t>Population pressures and poverty (China, India, Africa, and Latin America)</t>
  </si>
  <si>
    <t>8.4.1</t>
  </si>
  <si>
    <t>Science and technology</t>
  </si>
  <si>
    <t>Information age/Computer Revolution /Internet</t>
  </si>
  <si>
    <t>Conclusion</t>
  </si>
  <si>
    <t>8.1.8</t>
  </si>
  <si>
    <t>Ethnic and religious tensions: an analysis of multiple perspectives</t>
  </si>
  <si>
    <t>Graph</t>
  </si>
  <si>
    <t>Part II: Thematic essay</t>
  </si>
  <si>
    <t>9.2.2</t>
  </si>
  <si>
    <t>Geography</t>
  </si>
  <si>
    <t>Critical thinking skills including asking and answering geographic questions and organizing/analyzing geographic information</t>
  </si>
  <si>
    <t>9.2.1</t>
  </si>
  <si>
    <t>Part IIIA-1</t>
  </si>
  <si>
    <t>9.4.3</t>
  </si>
  <si>
    <t>Political Science</t>
  </si>
  <si>
    <t>Political concepts of power, authority, governance and law</t>
  </si>
  <si>
    <t>Graphic Organization</t>
  </si>
  <si>
    <t>Autocrat</t>
  </si>
  <si>
    <t>9.4.2</t>
  </si>
  <si>
    <t>Part IIIA-2</t>
  </si>
  <si>
    <t>Political systems around the world</t>
  </si>
  <si>
    <t>China</t>
  </si>
  <si>
    <t>Shi Huangdi</t>
  </si>
  <si>
    <t>Part IIIA-3</t>
  </si>
  <si>
    <t>Part IIIA-4</t>
  </si>
  <si>
    <t>Part IIIA-5</t>
  </si>
  <si>
    <t>Political ideologies: global absolutism</t>
  </si>
  <si>
    <t>Case studies: Akbar the Great, Suleiman the Magnificent, Philip II, Louis XIV, Ivan the Terrible, and Peter the Great</t>
  </si>
  <si>
    <t>Peter the Great</t>
  </si>
  <si>
    <t>Part IIIA-6</t>
  </si>
  <si>
    <t>Part IIIA-7</t>
  </si>
  <si>
    <t>Part IIIA-8</t>
  </si>
  <si>
    <t>Part IIIA-9</t>
  </si>
  <si>
    <t>King Louis XIV</t>
  </si>
  <si>
    <t>Part B-Essay</t>
  </si>
  <si>
    <t>Content Vocabulary</t>
  </si>
  <si>
    <t>Emperor Shi Huangdi. King Louis XIV, Czar Peter the Great</t>
  </si>
  <si>
    <t>Compare and contrast (Mesopotamia, Egypt, the Indus Valley, and Yellow River civilizations)</t>
  </si>
  <si>
    <t>1.3.2</t>
  </si>
  <si>
    <t>Classical Civilizations</t>
  </si>
  <si>
    <t>Greek Civilization</t>
  </si>
  <si>
    <t>The rise and fall of great empires</t>
  </si>
  <si>
    <t>Han Dynasty</t>
  </si>
  <si>
    <t>1.5.1</t>
  </si>
  <si>
    <t>The emergence and spread of belief systems</t>
  </si>
  <si>
    <t>Place of origin and major beliefs</t>
  </si>
  <si>
    <t>2.1.3</t>
  </si>
  <si>
    <t>Ties to Hinduism</t>
  </si>
  <si>
    <t>2.3.5</t>
  </si>
  <si>
    <t>Role in preserving and transmitting Greek and Roman cultures</t>
  </si>
  <si>
    <t>The spread of Islam to Europe, Asia, and Africa</t>
  </si>
  <si>
    <t>The Golden Age of Islam</t>
  </si>
  <si>
    <t>Medieval Europe (500-1400)</t>
  </si>
  <si>
    <t>Feudalism</t>
  </si>
  <si>
    <t>3.5.1</t>
  </si>
  <si>
    <t>Social, economic, and political impacts of the plague on Eurasia and Africa</t>
  </si>
  <si>
    <t>3.6.3</t>
  </si>
  <si>
    <t>Renaissance and humanism</t>
  </si>
  <si>
    <t>Greco-Roman revival (interest in humanism)</t>
  </si>
  <si>
    <t>3.7.4</t>
  </si>
  <si>
    <t>Henry VIII and the English Reformation</t>
  </si>
  <si>
    <t>Disruption of established trade routes and European search for new ones</t>
  </si>
  <si>
    <t>European mercantilism</t>
  </si>
  <si>
    <t>Exchange of food and disease</t>
  </si>
  <si>
    <t>Glorious Revolution—John Locke and the English Bill of Rights</t>
  </si>
  <si>
    <t>The Enlightenment in Europe</t>
  </si>
  <si>
    <t>The writings of Locke, Voltaire, Rousseau, and Montesquieu</t>
  </si>
  <si>
    <t>Agrarian revolution</t>
  </si>
  <si>
    <t>Imperialism</t>
  </si>
  <si>
    <t>Reasons for imperialism-nationalistic, political, economic, “The White Man’s Burden”, Social Darwinism</t>
  </si>
  <si>
    <t>5.8.3</t>
  </si>
  <si>
    <t>British in India</t>
  </si>
  <si>
    <t>Japan and the Meiji restoration</t>
  </si>
  <si>
    <t>Modernization, industrialization</t>
  </si>
  <si>
    <t>6.2.5</t>
  </si>
  <si>
    <t>V.I. Lenin's rule in Russia</t>
  </si>
  <si>
    <t>6.4.5</t>
  </si>
  <si>
    <t>The Nazi Holocaust: the extermination of Jews, Poles, other Slavs, Gypsies, disabled, and others</t>
  </si>
  <si>
    <t>6.4.9</t>
  </si>
  <si>
    <t>Hiroshima and Nagasaki</t>
  </si>
  <si>
    <t>Unit 7: The 20th Century since 1957</t>
  </si>
  <si>
    <t>Economic issues in the Cold War and Post-Cold War era</t>
  </si>
  <si>
    <t>Organization of Petroleum Exporting Countries (OPEC): oil crisis in the 1970s</t>
  </si>
  <si>
    <t>Unit 7: The 20th Century since 1967</t>
  </si>
  <si>
    <t>India—independence and partition</t>
  </si>
  <si>
    <t>7.7.2</t>
  </si>
  <si>
    <t>Unit 7: The 20th Century since 1979</t>
  </si>
  <si>
    <t>Background events, 1970 -1987</t>
  </si>
  <si>
    <t>7.7.7</t>
  </si>
  <si>
    <t>Unit 7: The 20th Century since 1984</t>
  </si>
  <si>
    <t>Changing political boundaries</t>
  </si>
  <si>
    <t>8.1.6</t>
  </si>
  <si>
    <t>Urbanization—use and distribution of scarce resources (Africa, India, Latin America)</t>
  </si>
  <si>
    <t>PartIIIA-3a</t>
  </si>
  <si>
    <t>Part IIIA-3b</t>
  </si>
  <si>
    <t>Part IIIA-4a</t>
  </si>
  <si>
    <t>Part IIIA- 4b</t>
  </si>
  <si>
    <t>Part IIIA- 5a</t>
  </si>
  <si>
    <t>Part IIIA- 5b</t>
  </si>
  <si>
    <t>Part IIIA- 6</t>
  </si>
  <si>
    <t>9.4.5</t>
  </si>
  <si>
    <t>Critical thinking skills such as assuming a skeptical attitude toward questionable political statements</t>
  </si>
  <si>
    <t>Part IIIA-8a</t>
  </si>
  <si>
    <t>Part IIIA-8b</t>
  </si>
  <si>
    <t>Part IIIB: DBQ Essay</t>
  </si>
  <si>
    <t>Q</t>
  </si>
  <si>
    <t>Unit One: Ancient World – Civilizations and Religion (4000 BCE – 500 CE)</t>
  </si>
  <si>
    <t>Early peoples</t>
  </si>
  <si>
    <t>Human origins and geography</t>
  </si>
  <si>
    <t>3.1c</t>
  </si>
  <si>
    <t>Neolithic Revolution &amp; Early River Civilizations</t>
  </si>
  <si>
    <t>Foundations of early civilization (Mesopotamia, Egypt, the Indus Valley, &amp; Yellow River</t>
  </si>
  <si>
    <t xml:space="preserve"> -Human &amp; physical geography 3.1c
- Traditional economies 4.1b, 4.2b
- Political systems 2.1a, 2.2c, 5.1d
- Social structures &amp; urbanization 2.1d, 2.3b
- Contributions (writing systems; belief systems; technology; architecture, art) 2.1d,
2.3a, 2.3b, 3.1d</t>
  </si>
  <si>
    <t>The emergence &amp; spread of belief systems</t>
  </si>
  <si>
    <t xml:space="preserve">Place of origin &amp; major beliefs (Animism;; Chinese philosophies such as Confucianism and Daoism; Judaism;; Islam; Legalism; Shintoism; </t>
  </si>
  <si>
    <t>2.3a, 2.3b</t>
  </si>
  <si>
    <t>Unit Two: Expanding Zones of Exchange and Encounter (500-1200 CE)</t>
  </si>
  <si>
    <t>Artistic, scientific, &amp; mathematical contributions</t>
  </si>
  <si>
    <t>2.1d, 2.3a, 2.3b, 3.1d</t>
  </si>
  <si>
    <t>2.1d</t>
  </si>
  <si>
    <t>2.3.1</t>
  </si>
  <si>
    <t>Human &amp; physical geography</t>
  </si>
  <si>
    <t>The spread of Islam to Europe, Asia, &amp; Africa</t>
  </si>
  <si>
    <t>The golden age of Islam</t>
  </si>
  <si>
    <t>Contributions (mathematics, science, medicine, art, architecture &amp; literature)
2.1d, 2.3a, 2.3b, 3.1d
- Role in preserving Greek and Roman culture 2.1a, 2.3b, 2.3c
- Islamic Spain 2.3a, 2.3b</t>
  </si>
  <si>
    <t>2.6.3</t>
  </si>
  <si>
    <t>Manorialism</t>
  </si>
  <si>
    <t>2.1a, 4.1g</t>
  </si>
  <si>
    <t>2.6.8</t>
  </si>
  <si>
    <t>Art and architecture</t>
  </si>
  <si>
    <t>2.3a</t>
  </si>
  <si>
    <t>Bubonic Plague</t>
  </si>
  <si>
    <t>2.7.3</t>
  </si>
  <si>
    <t>Crusades</t>
  </si>
  <si>
    <t>Perspectives</t>
  </si>
  <si>
    <t>2.1c</t>
  </si>
  <si>
    <t>Unit Three: Global Interactions (1200-1650 CE)</t>
  </si>
  <si>
    <t>The rise &amp; fall of the Mongols &amp; their impact on Eurasia</t>
  </si>
  <si>
    <t>Global trade &amp; interactions</t>
  </si>
  <si>
    <t>Major trading centers (Nanjing; Calicut; Mogadishu; Venice)</t>
  </si>
  <si>
    <t>2.1d, 2.3b, 4.1b, 4.1f</t>
  </si>
  <si>
    <t>Renaissance &amp; humanism</t>
  </si>
  <si>
    <t>Shift in worldview (otherworldly to secular)</t>
  </si>
  <si>
    <t>2.1a, 2.1d, 2.3b</t>
  </si>
  <si>
    <t>Political science (Machiavelli)</t>
  </si>
  <si>
    <t>2.3a, 5.1d</t>
  </si>
  <si>
    <t>Unit Four: The First Global Age (1450-1770 CE)</t>
  </si>
  <si>
    <t>The rise of Mesoamerican empires: Aztec &amp; Incan empires before 1501</t>
  </si>
  <si>
    <t>Organizational structure</t>
  </si>
  <si>
    <t>5.1d</t>
  </si>
  <si>
    <t>The encounter between Europeans &amp; the peoples of Africa, the Americas, &amp; Asia
Case study: The Columbian exchange</t>
  </si>
  <si>
    <t>European competition for colonies in the Americas, Africa, East Asia, &amp; Southeast
Asia—The “old imperialism</t>
  </si>
  <si>
    <t>2.1b, 2.2e, 2.3a, 3.1f</t>
  </si>
  <si>
    <t>4.5.3</t>
  </si>
  <si>
    <t>Global demographic shifts Case study: The triangular trade &amp; slavery</t>
  </si>
  <si>
    <t>3.1f, 4.1g</t>
  </si>
  <si>
    <t>4.1e, 4.1g</t>
  </si>
  <si>
    <t>Case studies: Akbar the Great, Suleiman the Magnificent, Philip II, Louis XIV, Ivan
the Terrible, &amp; Peter the Great</t>
  </si>
  <si>
    <t>2.1d, 2.3a</t>
  </si>
  <si>
    <t>4.7.3</t>
  </si>
  <si>
    <t>Puritan Revolution—Oliver Cromwell</t>
  </si>
  <si>
    <t>2.3a, 2.3b, 5.1d</t>
  </si>
  <si>
    <t>Glorious Revolution—John Locke &amp; the English Bill of Rights</t>
  </si>
  <si>
    <t>1.1a, 1.1b. 2.1a, 2.2e</t>
  </si>
  <si>
    <t>Unit Five: An Age of Revolution (1750 - 1914 CE)</t>
  </si>
  <si>
    <t>Political revolutions</t>
  </si>
  <si>
    <t>Case studies: Simon Bolivar, Toussaint L’Ouverture, José de San Martín) 2.1b,
2.3a, 2.3b</t>
  </si>
  <si>
    <t>Economic &amp; social revolutions</t>
  </si>
  <si>
    <t>5.7.4</t>
  </si>
  <si>
    <t>Urbanization</t>
  </si>
  <si>
    <t>3.1c, 3.1e, 4.1a, 4.1b</t>
  </si>
  <si>
    <t>5.7.5</t>
  </si>
  <si>
    <t>Responses to industrialization</t>
  </si>
  <si>
    <t xml:space="preserve"> - Utopian reform (Robert Owen) 4.1a, 4.1b, 4.1c, 4.1e, 5.1d
- Legislative reform 4.1a, 4.1b, 4.1c, 4.1e, 5.1d
- Role of unions 2.3a
- Karl Marx &amp; Friedrich Engels &amp; command economies 2.3a, 4.1a, 4.1b, 4.1c, 4.1e,
5.1d
- Sadler Report &amp; reform legislation 2.3a
- Parliamentary reforms; expansion of suffrage 2.3a
- Writers (Dickens &amp; Zola) 2.3a
- Global migrations during 19th Century 3.1c
- Writings of Thomas Malthus (Essay on the Principles of Population) 2.3a</t>
  </si>
  <si>
    <t>Mass starvation in Ireland (1845 - 1850)</t>
  </si>
  <si>
    <t>Growth of Irish nationalism 2.1d, 2.2e, 2.3a
- Global migration 3.1c, 4.1a, 4.1b, 4.1c</t>
  </si>
  <si>
    <t>Reasons for imperialism (nationalistic, political, economic, “The White Man’s Burden”,
Social Darwinism)</t>
  </si>
  <si>
    <t>2.1a, 2.2e</t>
  </si>
  <si>
    <t>European spheres of influence in China</t>
  </si>
  <si>
    <t>Opium Wars (1839 - 1842 &amp; 1858 - 1860) &amp; the Treaty of Nanjing 2.1d, 2.2e, 3.1e
- Boxer Rebellion 2.2e, 2.3a
- Sun Yat-sen (Sun Yixian) &amp; the Chinese Revolution (1910- 1911) 2.2e, 2.3a</t>
  </si>
  <si>
    <t>Unit Six: A Half Century of Crisis and Achievement (1900 - 1945 CE)</t>
  </si>
  <si>
    <t>World War I</t>
  </si>
  <si>
    <t>Causes of War</t>
  </si>
  <si>
    <t>2.2e</t>
  </si>
  <si>
    <t>The war as reflected in literature, art, &amp; propaganda</t>
  </si>
  <si>
    <t>2.1c, 2.2c</t>
  </si>
  <si>
    <t>6.2.4</t>
  </si>
  <si>
    <t>Revolution &amp; change in Russia</t>
  </si>
  <si>
    <t>Bolshevik Revolution</t>
  </si>
  <si>
    <t>2.2e, 2.3b</t>
  </si>
  <si>
    <t>Stalin &amp; the rise of a modern totalitarian state (industrialization, command economy,
collectivization)</t>
  </si>
  <si>
    <t>2.2e, 2.3a, 2.3b, 4.1e</t>
  </si>
  <si>
    <t>World War II—causes &amp; impact</t>
  </si>
  <si>
    <t>Key events (Dunkirk, the Blitz, D-Day, Hitler’s second front, the war in the Pacific)</t>
  </si>
  <si>
    <t>7.3.6</t>
  </si>
  <si>
    <t>Unit Seven: The 20th Century Since 1958</t>
  </si>
  <si>
    <t>Economic issues in the Cold War &amp; Post-Cold War era</t>
  </si>
  <si>
    <t>North America Free Trade Agreement (NAFTA), 1997</t>
  </si>
  <si>
    <t>4.1f</t>
  </si>
  <si>
    <t>Unit Seven: The 20th Century Since 1960</t>
  </si>
  <si>
    <t>Communist rise to power (1936- 1949); Jiang Jieshi (Chiang Kai-shek), Mao
Zedong</t>
  </si>
  <si>
    <t>2.3a, 2.3b, 2.3c, 5.1a</t>
  </si>
  <si>
    <t>Unit Seven: The 20th Century Since 1966</t>
  </si>
  <si>
    <t>India—independence &amp; partition</t>
  </si>
  <si>
    <t xml:space="preserve"> - Political system 5.1d
- Muslim/Hindu conflicts 2.1c, 2.2e
- Status of the caste system 2.3b
- Roles of Mohandas Gandhi &amp; Jawaharlal Nehru 2.3a
- Nonalignment 2.3b
- Kashmir &amp; Punjab 2.3b</t>
  </si>
  <si>
    <t>Unit Seven: The 20th Century Since 1967</t>
  </si>
  <si>
    <t>African independence movements &amp; Pan Africanism</t>
  </si>
  <si>
    <t xml:space="preserve"> - Changing political boundaries in Africa (Nigeria, Ghana, &amp; Kenya) 3.1e
- Roles of Jomo Kenyatta &amp; Kwame Nkrumah 2.3a
- Economic links to former colonial powers 4.1f
- Ethnic tensions vs. nationalism: Nigeria &amp; civil war 2.1a, 2.2e
- Apartheid (African National Congress; Nelson Mandela, Desmond Tutu, F.
W. de Klerk) 2.3a
- Political &amp; economic instability— Congo (Zaire) or any other examples 2.1d,
4.1a
- Ethnic tensions: Rwanda— Hutu-Tutsi 2.3b</t>
  </si>
  <si>
    <t>7.5.4</t>
  </si>
  <si>
    <t>Unit Seven: The 20th Century Since 1968</t>
  </si>
  <si>
    <t>Southeast Asia</t>
  </si>
  <si>
    <t xml:space="preserve"> - Vietnam/Ho Chi Minh 2.2e, 2.3a
- Cambodia/Pol Pot/Khmer Rouge 2.2e, 2.3a
- Aung San Suu Kyi—Myanmar</t>
  </si>
  <si>
    <t>Unit Eight: Global Connections and Interactions</t>
  </si>
  <si>
    <t>Social &amp; political patterns &amp; change</t>
  </si>
  <si>
    <t>Status of women &amp; children</t>
  </si>
  <si>
    <t xml:space="preserve"> - Economic issues, e.g., child labor 4.1c
- Social issues, e.g., abuse &amp; access to education 2.1d
- Political issues, e.g., participation in the political process 5.1a</t>
  </si>
  <si>
    <t>8.2.1</t>
  </si>
  <si>
    <t>Economic Issues</t>
  </si>
  <si>
    <t>North/South dichotomy: issues of development and post-colonialism</t>
  </si>
  <si>
    <t>4.1, 4.1f
- Africa
- Latin America</t>
  </si>
  <si>
    <t>8.2.4</t>
  </si>
  <si>
    <t>World hunger</t>
  </si>
  <si>
    <t>4.1, 4.1f</t>
  </si>
  <si>
    <t>8.3.4</t>
  </si>
  <si>
    <t>The environment &amp; sustainability</t>
  </si>
  <si>
    <t>Nuclear safety (Chernobyl)</t>
  </si>
  <si>
    <t>3.1b, 4.1a</t>
  </si>
  <si>
    <t>Science &amp; technology</t>
  </si>
  <si>
    <t>Epidemics (AID</t>
  </si>
  <si>
    <t>2.2e, 4.1a, 4.1b, 4.1c</t>
  </si>
  <si>
    <t>World History</t>
  </si>
  <si>
    <t>Students will use a variety of intellectual skills to demonstrate their understanding of major ideas, eras, themes, developments, and turning points in world history and
examine the broad sweep of history from a variety of perspectives.</t>
  </si>
  <si>
    <t>Establishing timeframes, exploring different periodizations, examining themes across time and within cultures, and focusing on important turning points in world history help
organize the study of world cultures and civilizations</t>
  </si>
  <si>
    <t>Investigate key events and developments and major turning points in world history to identify the factors that brought about change and the long-term effects of these changes</t>
  </si>
  <si>
    <t>Part IIIA- 5</t>
  </si>
  <si>
    <t>Student will use a variety of intellectual skills to demonstrate their understanding of the geography of the interdependent world in which we live -local, national, and
global - including the distribution of people, places, and environments over the Earth’s surface</t>
  </si>
  <si>
    <t>Geography can be divided into six essential elements which can be used to analyze important historic, geographic, economic, and environmental questions and issues. These six
elements include: the world in spatial terms, places and regions, physical settings (including natural resources), human systems, environment and society, and the use of geography</t>
  </si>
  <si>
    <t>Understand the development and interactions of social/cultural, political, economic, and religious systems in different regions of the world</t>
  </si>
  <si>
    <t>3.2d</t>
  </si>
  <si>
    <t>Geography requires the development and application of the skills of asking and answering geographic questions; analyzing theories of geography; and acquiring, organizing, and
analyzing geographic information</t>
  </si>
  <si>
    <t>Analyze geographic information by developing and testing inferences and hypotheses, and formulating conclusions from maps, photographs, computer models, and other
geographic representations (Adapted from National Geography Standards, 1994).</t>
  </si>
  <si>
    <t>4.1a</t>
  </si>
  <si>
    <t>Students will use a variety of intellectual skills to demonstrate their understanding of how the United States and other societies develop economic systems and
associated institutions to allocate scarce resources; how major decision-making units function in the U.S. and other national economies; and how an economy solves the
scarcity problem through market and non-market mechanisms.</t>
  </si>
  <si>
    <t>The study of economics requires an understanding of major economic concepts and systems, the principles of economic decision making, and the interdependence of economies
and economic systems throughout the world.</t>
  </si>
  <si>
    <t>Analyze the effectiveness of varying ways societies, nations, and regions of the world attempt to satisfy their basic needs and wants by utilizing scarce resources.</t>
  </si>
  <si>
    <t>PartIIIA-3</t>
  </si>
  <si>
    <t>Part IIIA-7a</t>
  </si>
  <si>
    <t>Part IIIA-7b</t>
  </si>
  <si>
    <t>4.1c</t>
  </si>
  <si>
    <t>Understand the nature of scarcity and how nations of the world make choices which involve economic and social costs and benefits</t>
  </si>
  <si>
    <t>Standard Description</t>
  </si>
  <si>
    <t>River Systems</t>
  </si>
  <si>
    <t>Opinion V. Facts</t>
  </si>
  <si>
    <t>Scarcity</t>
  </si>
  <si>
    <t>The Great Bantu migration 500 BCE-1500 CE</t>
  </si>
  <si>
    <t xml:space="preserve"> -Human &amp; physical geography 3.1c
- Theories and patterns
- Causes 3.1c, 4.1b
- Impact on other areas of Africa 2.3b</t>
  </si>
  <si>
    <t>The rise &amp; fall of classical civilizations</t>
  </si>
  <si>
    <t>Roman Republic and Roman Empire</t>
  </si>
  <si>
    <t xml:space="preserve"> -Human &amp; physical geography 3.1c
- Factors leading to growth (engineering, empire building, trade) 2.4d, 4.1f
- Contributions (law, architecture, infrastructure, literature) 2.1d, 2.3a, 2.3b, 3.1d
- Role of migrating nomadic groups from Central Asia 3.1c, 3.1d
- Pax Romana 2.1d
- Rise of Christianity
- Causes of decline 2.2e, 2.4d, 4.1f</t>
  </si>
  <si>
    <t>Impact on Russia and Eastern Europe</t>
  </si>
  <si>
    <t>2.4a, 2.4d</t>
  </si>
  <si>
    <t>2.1.1</t>
  </si>
  <si>
    <t>Agrarian Revolution”	3.1c, 3.1e, 4.1a, 4.1b
5.7.3	Unit Five: An Age of Revolution (1750 - 1914 CE)	Economic &amp; social revolutions	The British Industrial Revolution	 -Capitalism &amp; a market economy 4.1a, 4.1b, 4.1c</t>
  </si>
  <si>
    <t>3.4.5</t>
  </si>
  <si>
    <t>Rise &amp; fall of African civilizations: Ghana, Mali, Axum, &amp; Songhai empires</t>
  </si>
  <si>
    <t>Spread &amp; impact of Islam (Mansa Musa)</t>
  </si>
  <si>
    <t>2.3a, 3.1d</t>
  </si>
  <si>
    <t>Reformation &amp; Counter Reformation</t>
  </si>
  <si>
    <t>Martin Luther’s Ninety-Five Theses: the challenge to the power &amp; authority of the
Roman Catholic Church</t>
  </si>
  <si>
    <t>2.2e, 2.3a</t>
  </si>
  <si>
    <t>Social Hierarchy</t>
  </si>
  <si>
    <t>4.2.2</t>
  </si>
  <si>
    <t>The impact of the Ottoman Empire on the Middle East &amp; Europe</t>
  </si>
  <si>
    <t>Contributions</t>
  </si>
  <si>
    <t>4.1.5</t>
  </si>
  <si>
    <t>5.2.3</t>
  </si>
  <si>
    <t>The enlightened despots (Maria Theresa, Catherine the Great)</t>
  </si>
  <si>
    <t>4.5.4</t>
  </si>
  <si>
    <t>The extent of European expansionism</t>
  </si>
  <si>
    <t>The British Industrial Revolution</t>
  </si>
  <si>
    <t xml:space="preserve"> -Capitalism &amp; a market economy 4.1a, 4.1b, 4.1c
- Factory system 4.1g
- Shift from mercantilism to laissez-faire economics (Adam Smith, The Wealth of
Nations) 4.1a, 4.1b, 4.2c
- Changes in social classes 2.3a, 2.3b, 2.3c
- Changing roles of men, women, &amp; children 2.3a, 2.3b, 2.3c</t>
  </si>
  <si>
    <t>Interdependence</t>
  </si>
  <si>
    <t>Japan &amp; the Meiji restoration</t>
  </si>
  <si>
    <t>2.1a, 4.1a, 4.1b</t>
  </si>
  <si>
    <t>5.8.4</t>
  </si>
  <si>
    <t>British, French, Belgians, &amp; Germans in Africa</t>
  </si>
  <si>
    <t xml:space="preserve"> - The Congress of Berlin 2.1b, 2.1d, 3.1a, 3.1e
- African resistance (Zulu Empire) 2.3a
- Boer War 2.2e, 2.3a
- Cecil Rhodes 2.3a, 3.1e
- 19th-century anti-slave trade legislation 2.1a</t>
  </si>
  <si>
    <t>6.1.3</t>
  </si>
  <si>
    <t>Impacts of War</t>
  </si>
  <si>
    <t>Marxism</t>
  </si>
  <si>
    <t>Weimar Republic &amp; the rise of fascism</t>
  </si>
  <si>
    <t>The Nazi Holocaust</t>
  </si>
  <si>
    <t>2.2e, 2.3a, 2.3b, 2.3c</t>
  </si>
  <si>
    <t>Nuremberg Trials</t>
  </si>
  <si>
    <t>Japan as an imperialist power</t>
  </si>
  <si>
    <t xml:space="preserve"> - First Sino-Japanese War (1894 - 1895) 2.2e, 2.3b
- Russo-Japanese War 2.2e, 2.3b
- Annexation of Korea 2.2e, 2.3b
- Dependence on world market 4.1c, 4.1f</t>
  </si>
  <si>
    <t>Unit Seven: The 20th Century Since 1949</t>
  </si>
  <si>
    <t>Cold War balance of power</t>
  </si>
  <si>
    <t>Political climate of the Cold War</t>
  </si>
  <si>
    <t>2.1c, 2.2e, 2.3b
Marshall Plan
- Truman Doctrine
- Berlin airlift &amp; a divided Germany
- North Atlantic Treaty Organization (NATO)/Warsaw Pact—expanding
membership &amp; role of NATO
- Hungarian Revolt
- Soviet invasion of Czechoslovakia
- Nuclear weapons &amp; space
- Surrogate superpower rivalries
Case studies: Egypt, Congo, Angola, Chile, Iran, Iraq, Vietnam, Guatemala
- Role of nonaligned nations</t>
  </si>
  <si>
    <t>European Union / NAFTA</t>
  </si>
  <si>
    <t>Nuclear proliferation</t>
  </si>
  <si>
    <t>7.1.4</t>
  </si>
  <si>
    <t>Unit Seven: The 20th Century Since 1948</t>
  </si>
  <si>
    <t>Emergence of the superpowers</t>
  </si>
  <si>
    <t>2.3b</t>
  </si>
  <si>
    <t>Ethnic Loyalties/National Unity</t>
  </si>
  <si>
    <t>7.1.3</t>
  </si>
  <si>
    <t>Unit Seven: The 20th Century Since 1947</t>
  </si>
  <si>
    <t>United States occupation of Germany &amp; Japan</t>
  </si>
  <si>
    <t xml:space="preserve"> - The adoption of democratic systems of government 5.1b
- Economic rebuilding of Germany &amp; Japan 4.1c</t>
  </si>
  <si>
    <t>Feudalism (social hierarchy and stratification and the role of men &amp; women)</t>
  </si>
  <si>
    <t>2.1a, 2.1d, 2.2c, 2.3c, 4.1g</t>
  </si>
  <si>
    <t>Revolutions (Political &amp; Social)</t>
  </si>
  <si>
    <t>Mongols</t>
  </si>
  <si>
    <t>Spanish</t>
  </si>
  <si>
    <t>India</t>
  </si>
  <si>
    <t>Technology (Mongols, Spanish &amp; India)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</si>
</sst>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
    <numFmt numFmtId="166" formatCode="yyyy/mm"/>
  </numFmts>
  <fonts count="47">
    <font>
      <sz val="10.0"/>
      <color rgb="FF000000"/>
      <name val="Arial"/>
    </font>
    <font>
      <b/>
      <sz val="10.0"/>
      <color rgb="FF000000"/>
    </font>
    <font/>
    <font>
      <b/>
      <sz val="14.0"/>
      <color rgb="FF000000"/>
      <name val="Sanchez"/>
    </font>
    <font>
      <sz val="14.0"/>
      <color rgb="FF000000"/>
      <name val="Sanchez"/>
    </font>
    <font>
      <sz val="12.0"/>
      <color rgb="FF000000"/>
      <name val="Lato"/>
    </font>
    <font>
      <u/>
      <sz val="12.0"/>
      <color rgb="FF0000FF"/>
      <name val="Lato"/>
    </font>
    <font>
      <b/>
      <sz val="12.0"/>
      <color rgb="FF000000"/>
      <name val="Sanchez"/>
    </font>
    <font>
      <sz val="12.0"/>
      <color rgb="FF000000"/>
      <name val="Sanchez"/>
    </font>
    <font>
      <b/>
      <u/>
      <sz val="12.0"/>
      <color rgb="FF0000FF"/>
      <name val="Sanchez"/>
    </font>
    <font>
      <b/>
      <u/>
      <sz val="12.0"/>
      <color rgb="FF0000FF"/>
      <name val="Sanchez"/>
    </font>
    <font>
      <b/>
      <sz val="18.0"/>
      <name val="Sanchez"/>
    </font>
    <font>
      <b/>
      <sz val="14.0"/>
      <name val="Sanchez"/>
    </font>
    <font>
      <b/>
      <sz val="12.0"/>
      <name val="Sanchez"/>
    </font>
    <font>
      <b/>
      <u/>
      <sz val="12.0"/>
      <color rgb="FF000000"/>
      <name val="Sanchez"/>
    </font>
    <font>
      <b/>
      <sz val="12.0"/>
      <name val="Lato"/>
    </font>
    <font>
      <sz val="12.0"/>
      <name val="Lato"/>
    </font>
    <font>
      <sz val="12.0"/>
      <name val="Roboto"/>
    </font>
    <font>
      <b/>
      <sz val="12.0"/>
      <name val="Roboto"/>
    </font>
    <font>
      <b/>
      <u/>
      <sz val="12.0"/>
      <color rgb="FF000000"/>
      <name val="Sanchez"/>
    </font>
    <font>
      <name val="Arial"/>
    </font>
    <font>
      <sz val="13.0"/>
      <name val="Sanchez"/>
    </font>
    <font>
      <b/>
      <sz val="13.0"/>
      <name val="Sanchez"/>
    </font>
    <font>
      <b/>
      <sz val="11.0"/>
      <color rgb="FF000000"/>
      <name val="Sanchez"/>
    </font>
    <font>
      <b/>
      <u/>
      <sz val="11.0"/>
      <color rgb="FF000000"/>
      <name val="Sanchez"/>
    </font>
    <font>
      <sz val="11.0"/>
      <name val="Lato"/>
    </font>
    <font>
      <sz val="11.0"/>
      <color rgb="FF000000"/>
      <name val="Lato"/>
    </font>
    <font>
      <b/>
      <u/>
      <sz val="11.0"/>
      <color rgb="FF000000"/>
      <name val="Sanchez"/>
    </font>
    <font>
      <name val="Sanchez"/>
    </font>
    <font>
      <name val="Lato"/>
    </font>
    <font>
      <u/>
      <sz val="11.0"/>
      <color rgb="FF0000FF"/>
      <name val="Lato"/>
    </font>
    <font>
      <b/>
      <sz val="14.0"/>
      <name val="Rockwell"/>
    </font>
    <font>
      <sz val="10.0"/>
      <name val="Lato"/>
    </font>
    <font>
      <b/>
      <sz val="11.0"/>
      <name val="Lato"/>
    </font>
    <font>
      <b/>
    </font>
    <font>
      <b/>
      <sz val="10.0"/>
      <color rgb="FF3C78D8"/>
    </font>
    <font>
      <b/>
      <sz val="10.0"/>
    </font>
    <font>
      <sz val="10.0"/>
    </font>
    <font>
      <b/>
      <u/>
      <sz val="10.0"/>
      <color rgb="FF6D9EEB"/>
    </font>
    <font>
      <sz val="7.0"/>
    </font>
    <font>
      <b/>
      <sz val="10.0"/>
      <color rgb="FF000000"/>
      <name val="Calibri"/>
    </font>
    <font>
      <sz val="10.0"/>
      <color rgb="FF000000"/>
    </font>
    <font>
      <b/>
      <sz val="11.0"/>
      <color rgb="FF000000"/>
      <name val="Calibri"/>
    </font>
    <font>
      <sz val="11.0"/>
      <color rgb="FF000000"/>
    </font>
    <font>
      <sz val="9.0"/>
      <color rgb="FF000000"/>
    </font>
    <font>
      <sz val="11.0"/>
    </font>
    <font>
      <sz val="9.0"/>
    </font>
  </fonts>
  <fills count="22">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F3F3F3"/>
        <bgColor rgb="FFF3F3F3"/>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9FC5E8"/>
        <bgColor rgb="FF9FC5E8"/>
      </patternFill>
    </fill>
    <fill>
      <patternFill patternType="solid">
        <fgColor rgb="FFB4A7D6"/>
        <bgColor rgb="FFB4A7D6"/>
      </patternFill>
    </fill>
    <fill>
      <patternFill patternType="solid">
        <fgColor rgb="FFD9D2E9"/>
        <bgColor rgb="FFD9D2E9"/>
      </patternFill>
    </fill>
    <fill>
      <patternFill patternType="solid">
        <fgColor rgb="FF999999"/>
        <bgColor rgb="FF999999"/>
      </patternFill>
    </fill>
    <fill>
      <patternFill patternType="solid">
        <fgColor rgb="FFFFFF00"/>
        <bgColor rgb="FFFFFF00"/>
      </patternFill>
    </fill>
    <fill>
      <patternFill patternType="solid">
        <fgColor rgb="FFC27BA0"/>
        <bgColor rgb="FFC27BA0"/>
      </patternFill>
    </fill>
    <fill>
      <patternFill patternType="solid">
        <fgColor rgb="FFFFFFFF"/>
        <bgColor rgb="FFFFFFFF"/>
      </patternFill>
    </fill>
  </fills>
  <borders count="20">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rder>
    <border>
      <right style="medium">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84">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bottom" wrapText="1"/>
    </xf>
    <xf borderId="0" fillId="0" fontId="2" numFmtId="0" xfId="0" applyAlignment="1" applyFont="1">
      <alignment readingOrder="0" shrinkToFit="0"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3"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3" fontId="4" numFmtId="0" xfId="0" applyAlignment="1" applyFill="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shrinkToFit="0" vertical="center" wrapText="1"/>
    </xf>
    <xf borderId="0" fillId="0" fontId="5" numFmtId="0" xfId="0" applyAlignment="1" applyFont="1">
      <alignment horizontal="center" shrinkToFit="0" vertical="center" wrapText="1"/>
    </xf>
    <xf borderId="1" fillId="3" fontId="7" numFmtId="0" xfId="0" applyAlignment="1" applyBorder="1" applyFont="1">
      <alignment horizontal="center" readingOrder="0" shrinkToFit="0" vertical="center" wrapText="1"/>
    </xf>
    <xf borderId="2" fillId="0" fontId="2" numFmtId="0" xfId="0" applyAlignment="1" applyBorder="1" applyFont="1">
      <alignment shrinkToFit="0" wrapText="1"/>
    </xf>
    <xf borderId="3" fillId="0" fontId="5" numFmtId="0" xfId="0" applyAlignment="1" applyBorder="1" applyFont="1">
      <alignment readingOrder="0" shrinkToFit="0" vertical="top" wrapText="1"/>
    </xf>
    <xf borderId="4" fillId="0" fontId="2" numFmtId="0" xfId="0" applyAlignment="1" applyBorder="1" applyFont="1">
      <alignment shrinkToFit="0" wrapText="1"/>
    </xf>
    <xf borderId="5" fillId="3" fontId="7" numFmtId="0" xfId="0" applyAlignment="1" applyBorder="1" applyFont="1">
      <alignment horizontal="center" readingOrder="0" shrinkToFit="0" vertical="center" wrapText="1"/>
    </xf>
    <xf borderId="6" fillId="0" fontId="2" numFmtId="0" xfId="0" applyAlignment="1" applyBorder="1" applyFont="1">
      <alignment shrinkToFit="0" wrapText="1"/>
    </xf>
    <xf borderId="5" fillId="3" fontId="9" numFmtId="0" xfId="0" applyAlignment="1" applyBorder="1" applyFont="1">
      <alignment horizontal="center" readingOrder="0" shrinkToFit="0" vertical="center" wrapText="1"/>
    </xf>
    <xf borderId="7" fillId="0" fontId="5" numFmtId="0" xfId="0" applyAlignment="1" applyBorder="1" applyFont="1">
      <alignment readingOrder="0" shrinkToFit="0" vertical="top" wrapText="1"/>
    </xf>
    <xf borderId="8" fillId="0" fontId="2" numFmtId="0" xfId="0" applyAlignment="1" applyBorder="1" applyFont="1">
      <alignment shrinkToFit="0" wrapText="1"/>
    </xf>
    <xf borderId="7" fillId="0" fontId="5" numFmtId="0" xfId="0" applyAlignment="1" applyBorder="1" applyFont="1">
      <alignment readingOrder="0" shrinkToFit="0" vertical="top" wrapText="1"/>
    </xf>
    <xf borderId="0" fillId="0" fontId="7" numFmtId="0" xfId="0" applyAlignment="1" applyFont="1">
      <alignment readingOrder="0" shrinkToFit="0" vertical="center" wrapText="1"/>
    </xf>
    <xf borderId="1" fillId="3" fontId="10" numFmtId="0" xfId="0" applyAlignment="1" applyBorder="1" applyFont="1">
      <alignment horizontal="center" readingOrder="0" shrinkToFit="0" vertical="center" wrapText="1"/>
    </xf>
    <xf borderId="0" fillId="0" fontId="5" numFmtId="0" xfId="0" applyAlignment="1" applyFont="1">
      <alignment readingOrder="0" shrinkToFit="0" vertical="center" wrapText="1"/>
    </xf>
    <xf borderId="3" fillId="0" fontId="5" numFmtId="0" xfId="0" applyAlignment="1" applyBorder="1" applyFont="1">
      <alignment readingOrder="0" shrinkToFit="0" vertical="top" wrapText="1"/>
    </xf>
    <xf borderId="9" fillId="2" fontId="11" numFmtId="0" xfId="0" applyAlignment="1" applyBorder="1" applyFont="1">
      <alignment horizontal="center" readingOrder="0" shrinkToFit="0" wrapText="1"/>
    </xf>
    <xf borderId="10" fillId="0" fontId="2" numFmtId="0" xfId="0" applyAlignment="1" applyBorder="1" applyFont="1">
      <alignment shrinkToFit="0" wrapText="1"/>
    </xf>
    <xf borderId="11" fillId="0" fontId="2" numFmtId="0" xfId="0" applyAlignment="1" applyBorder="1" applyFont="1">
      <alignment shrinkToFit="0" wrapText="1"/>
    </xf>
    <xf borderId="0" fillId="2" fontId="12" numFmtId="0" xfId="0" applyAlignment="1" applyFont="1">
      <alignment horizontal="center" readingOrder="0" shrinkToFit="0" vertical="center" wrapText="0"/>
    </xf>
    <xf borderId="12" fillId="0" fontId="2" numFmtId="0" xfId="0" applyAlignment="1" applyBorder="1" applyFont="1">
      <alignment shrinkToFit="0" wrapText="1"/>
    </xf>
    <xf borderId="13" fillId="2" fontId="12" numFmtId="0" xfId="0" applyAlignment="1" applyBorder="1" applyFont="1">
      <alignment horizontal="center" readingOrder="0" shrinkToFit="0" vertical="center" wrapText="0"/>
    </xf>
    <xf borderId="14" fillId="3" fontId="13" numFmtId="0" xfId="0" applyAlignment="1" applyBorder="1" applyFont="1">
      <alignment horizontal="center" readingOrder="0" shrinkToFit="0" vertical="center" wrapText="1"/>
    </xf>
    <xf borderId="15" fillId="0" fontId="2" numFmtId="0" xfId="0" applyAlignment="1" applyBorder="1" applyFont="1">
      <alignment shrinkToFit="0" wrapText="1"/>
    </xf>
    <xf borderId="16" fillId="0" fontId="2" numFmtId="0" xfId="0" applyAlignment="1" applyBorder="1" applyFont="1">
      <alignment shrinkToFit="0" wrapText="1"/>
    </xf>
    <xf borderId="14" fillId="3" fontId="14" numFmtId="0" xfId="0" applyAlignment="1" applyBorder="1" applyFont="1">
      <alignment horizontal="center" readingOrder="0" shrinkToFit="0" vertical="center" wrapText="1"/>
    </xf>
    <xf borderId="13" fillId="4" fontId="15" numFmtId="0" xfId="0" applyAlignment="1" applyBorder="1" applyFill="1" applyFont="1">
      <alignment horizontal="center" readingOrder="0" shrinkToFit="0" vertical="center" wrapText="1"/>
    </xf>
    <xf borderId="0" fillId="4" fontId="15" numFmtId="0" xfId="0" applyAlignment="1" applyFont="1">
      <alignment horizontal="center" readingOrder="0" shrinkToFit="0" vertical="center" wrapText="1"/>
    </xf>
    <xf borderId="12" fillId="4" fontId="15" numFmtId="164" xfId="0" applyAlignment="1" applyBorder="1" applyFont="1" applyNumberFormat="1">
      <alignment horizontal="center" readingOrder="0" shrinkToFit="0" vertical="center" wrapText="1"/>
    </xf>
    <xf borderId="0" fillId="4" fontId="15" numFmtId="0" xfId="0" applyAlignment="1" applyFont="1">
      <alignment horizontal="center" shrinkToFit="0" vertical="center" wrapText="1"/>
    </xf>
    <xf borderId="12" fillId="4" fontId="15" numFmtId="164" xfId="0" applyAlignment="1" applyBorder="1" applyFont="1" applyNumberFormat="1">
      <alignment horizontal="center" shrinkToFit="0" vertical="center" wrapText="1"/>
    </xf>
    <xf borderId="12" fillId="4" fontId="15" numFmtId="165" xfId="0" applyAlignment="1" applyBorder="1" applyFont="1" applyNumberFormat="1">
      <alignment horizontal="center" readingOrder="0" shrinkToFit="0" vertical="center" wrapText="1"/>
    </xf>
    <xf borderId="13" fillId="5" fontId="15" numFmtId="0" xfId="0" applyAlignment="1" applyBorder="1" applyFill="1" applyFont="1">
      <alignment horizontal="center" readingOrder="0" shrinkToFit="0" vertical="center" wrapText="1"/>
    </xf>
    <xf borderId="0" fillId="5" fontId="15" numFmtId="0" xfId="0" applyAlignment="1" applyFont="1">
      <alignment horizontal="center" shrinkToFit="0" vertical="center" wrapText="1"/>
    </xf>
    <xf borderId="12" fillId="5" fontId="15" numFmtId="164" xfId="0" applyAlignment="1" applyBorder="1" applyFont="1" applyNumberFormat="1">
      <alignment horizontal="center" shrinkToFit="0" vertical="center" wrapText="1"/>
    </xf>
    <xf borderId="13" fillId="0" fontId="16" numFmtId="0" xfId="0" applyAlignment="1" applyBorder="1" applyFont="1">
      <alignment horizontal="center" readingOrder="0" shrinkToFit="0" vertical="center" wrapText="1"/>
    </xf>
    <xf borderId="0" fillId="0" fontId="16" numFmtId="0" xfId="0" applyAlignment="1" applyFont="1">
      <alignment horizontal="center" shrinkToFit="0" vertical="center" wrapText="1"/>
    </xf>
    <xf borderId="12" fillId="0" fontId="16" numFmtId="164" xfId="0" applyAlignment="1" applyBorder="1" applyFont="1" applyNumberFormat="1">
      <alignment horizontal="center" shrinkToFit="0" vertical="center" wrapText="1"/>
    </xf>
    <xf borderId="13" fillId="6" fontId="16" numFmtId="49" xfId="0" applyAlignment="1" applyBorder="1" applyFill="1" applyFont="1" applyNumberFormat="1">
      <alignment horizontal="center" readingOrder="0" shrinkToFit="0" vertical="center" wrapText="1"/>
    </xf>
    <xf borderId="0" fillId="6" fontId="16" numFmtId="0" xfId="0" applyAlignment="1" applyFont="1">
      <alignment horizontal="center" shrinkToFit="0" vertical="center" wrapText="1"/>
    </xf>
    <xf borderId="12" fillId="6" fontId="16" numFmtId="164" xfId="0" applyAlignment="1" applyBorder="1" applyFont="1" applyNumberFormat="1">
      <alignment horizontal="center" shrinkToFit="0" vertical="center" wrapText="1"/>
    </xf>
    <xf borderId="13" fillId="7" fontId="16" numFmtId="0" xfId="0" applyAlignment="1" applyBorder="1" applyFill="1" applyFont="1">
      <alignment horizontal="center" readingOrder="0" shrinkToFit="0" vertical="center" wrapText="1"/>
    </xf>
    <xf borderId="0" fillId="7" fontId="16" numFmtId="0" xfId="0" applyAlignment="1" applyFont="1">
      <alignment horizontal="center" shrinkToFit="0" vertical="center" wrapText="1"/>
    </xf>
    <xf borderId="12" fillId="7" fontId="16" numFmtId="164" xfId="0" applyAlignment="1" applyBorder="1" applyFont="1" applyNumberFormat="1">
      <alignment horizontal="center" shrinkToFit="0" vertical="center" wrapText="1"/>
    </xf>
    <xf borderId="12" fillId="5" fontId="15" numFmtId="165" xfId="0" applyAlignment="1" applyBorder="1" applyFont="1" applyNumberFormat="1">
      <alignment horizontal="center" shrinkToFit="0" vertical="center" wrapText="1"/>
    </xf>
    <xf borderId="13" fillId="8" fontId="16" numFmtId="0" xfId="0" applyAlignment="1" applyBorder="1" applyFill="1" applyFont="1">
      <alignment horizontal="center" readingOrder="0" shrinkToFit="0" vertical="center" wrapText="1"/>
    </xf>
    <xf borderId="0" fillId="8" fontId="16" numFmtId="0" xfId="0" applyAlignment="1" applyFont="1">
      <alignment horizontal="center" shrinkToFit="0" vertical="center" wrapText="1"/>
    </xf>
    <xf borderId="12" fillId="8" fontId="16" numFmtId="164" xfId="0" applyAlignment="1" applyBorder="1" applyFont="1" applyNumberFormat="1">
      <alignment horizontal="center" shrinkToFit="0" vertical="center" wrapText="1"/>
    </xf>
    <xf borderId="13" fillId="0" fontId="16" numFmtId="49" xfId="0" applyAlignment="1" applyBorder="1" applyFont="1" applyNumberFormat="1">
      <alignment horizontal="center" readingOrder="0" shrinkToFit="0" vertical="center" wrapText="1"/>
    </xf>
    <xf borderId="17" fillId="8" fontId="16" numFmtId="0" xfId="0" applyAlignment="1" applyBorder="1" applyFont="1">
      <alignment horizontal="center" readingOrder="0" shrinkToFit="0" vertical="center" wrapText="1"/>
    </xf>
    <xf borderId="18" fillId="8" fontId="16" numFmtId="165" xfId="0" applyAlignment="1" applyBorder="1" applyFont="1" applyNumberFormat="1">
      <alignment horizontal="center" shrinkToFit="0" vertical="center" wrapText="1"/>
    </xf>
    <xf borderId="17" fillId="7" fontId="16" numFmtId="0" xfId="0" applyAlignment="1" applyBorder="1" applyFont="1">
      <alignment horizontal="center" readingOrder="0" shrinkToFit="0" vertical="center" wrapText="1"/>
    </xf>
    <xf borderId="18" fillId="7" fontId="16" numFmtId="164" xfId="0" applyAlignment="1" applyBorder="1" applyFont="1" applyNumberFormat="1">
      <alignment horizontal="center" shrinkToFit="0" vertical="center" wrapText="1"/>
    </xf>
    <xf borderId="9" fillId="4" fontId="15" numFmtId="0" xfId="0" applyAlignment="1" applyBorder="1" applyFont="1">
      <alignment horizontal="center" readingOrder="0" shrinkToFit="0" vertical="center" wrapText="1"/>
    </xf>
    <xf borderId="10" fillId="4" fontId="16" numFmtId="0" xfId="0" applyAlignment="1" applyBorder="1" applyFont="1">
      <alignment horizontal="center" shrinkToFit="0" vertical="center" wrapText="1"/>
    </xf>
    <xf borderId="11" fillId="4" fontId="16" numFmtId="165" xfId="0" applyAlignment="1" applyBorder="1" applyFont="1" applyNumberFormat="1">
      <alignment horizontal="center" shrinkToFit="0" vertical="center" wrapText="1"/>
    </xf>
    <xf borderId="11" fillId="4" fontId="16" numFmtId="164" xfId="0" applyAlignment="1" applyBorder="1" applyFont="1" applyNumberFormat="1">
      <alignment horizontal="center" shrinkToFit="0" vertical="center" wrapText="1"/>
    </xf>
    <xf borderId="0" fillId="0" fontId="16" numFmtId="165" xfId="0" applyAlignment="1" applyFont="1" applyNumberFormat="1">
      <alignment horizontal="center" shrinkToFit="0" vertical="center" wrapText="1"/>
    </xf>
    <xf borderId="0" fillId="0" fontId="15" numFmtId="0" xfId="0" applyAlignment="1" applyFont="1">
      <alignment horizontal="center" readingOrder="0" shrinkToFit="0" vertical="center" wrapText="1"/>
    </xf>
    <xf borderId="0" fillId="0" fontId="15" numFmtId="164" xfId="0" applyAlignment="1" applyFont="1" applyNumberFormat="1">
      <alignment horizontal="center" readingOrder="0" shrinkToFit="0" vertical="center" wrapText="1"/>
    </xf>
    <xf borderId="17" fillId="0" fontId="16" numFmtId="0" xfId="0" applyAlignment="1" applyBorder="1" applyFont="1">
      <alignment horizontal="center" readingOrder="0" shrinkToFit="0" vertical="center" wrapText="1"/>
    </xf>
    <xf borderId="18" fillId="0" fontId="16" numFmtId="164" xfId="0" applyAlignment="1" applyBorder="1" applyFont="1" applyNumberFormat="1">
      <alignment horizontal="center" shrinkToFit="0" vertical="center" wrapText="1"/>
    </xf>
    <xf borderId="0" fillId="0" fontId="16" numFmtId="0" xfId="0" applyAlignment="1" applyFont="1">
      <alignment horizontal="center" readingOrder="0" shrinkToFit="0" vertical="center" wrapText="1"/>
    </xf>
    <xf borderId="0" fillId="0" fontId="16" numFmtId="164" xfId="0" applyAlignment="1" applyFont="1" applyNumberFormat="1">
      <alignment horizontal="center" shrinkToFit="0" vertical="center" wrapText="1"/>
    </xf>
    <xf borderId="17" fillId="0" fontId="16" numFmtId="49" xfId="0" applyAlignment="1" applyBorder="1" applyFont="1" applyNumberFormat="1">
      <alignment horizontal="center" readingOrder="0" shrinkToFit="0" vertical="center" wrapText="1"/>
    </xf>
    <xf borderId="0" fillId="3" fontId="13" numFmtId="0" xfId="0" applyAlignment="1" applyFont="1">
      <alignment horizontal="center" readingOrder="0" shrinkToFit="0" vertical="center" wrapText="1"/>
    </xf>
    <xf borderId="0" fillId="5" fontId="15" numFmtId="0" xfId="0" applyAlignment="1" applyFont="1">
      <alignment horizontal="left" readingOrder="0" shrinkToFit="0" vertical="center" wrapText="1"/>
    </xf>
    <xf borderId="0" fillId="8" fontId="16" numFmtId="0" xfId="0" applyAlignment="1" applyFont="1">
      <alignment horizontal="left" readingOrder="0" shrinkToFit="0" vertical="center" wrapText="1"/>
    </xf>
    <xf borderId="0" fillId="7" fontId="16" numFmtId="0" xfId="0" applyAlignment="1" applyFont="1">
      <alignment horizontal="left" readingOrder="0" shrinkToFit="0" vertical="center" wrapText="1"/>
    </xf>
    <xf borderId="17" fillId="0" fontId="16" numFmtId="0" xfId="0" applyAlignment="1" applyBorder="1" applyFont="1">
      <alignment horizontal="center" shrinkToFit="0" vertical="center" wrapText="1"/>
    </xf>
    <xf borderId="0" fillId="0" fontId="16" numFmtId="0" xfId="0" applyAlignment="1" applyFont="1">
      <alignment horizontal="left" readingOrder="0" shrinkToFit="0" vertical="center" wrapText="1"/>
    </xf>
    <xf borderId="0" fillId="6" fontId="16" numFmtId="0" xfId="0" applyAlignment="1" applyFont="1">
      <alignment horizontal="left" readingOrder="0" shrinkToFit="0" vertical="center" wrapText="1"/>
    </xf>
    <xf borderId="13" fillId="5" fontId="15" numFmtId="49" xfId="0" applyAlignment="1" applyBorder="1" applyFont="1" applyNumberFormat="1">
      <alignment horizontal="center" readingOrder="0" shrinkToFit="0" vertical="center" wrapText="1"/>
    </xf>
    <xf borderId="13" fillId="7" fontId="16" numFmtId="49" xfId="0" applyAlignment="1" applyBorder="1" applyFont="1" applyNumberFormat="1">
      <alignment horizontal="center" readingOrder="0" shrinkToFit="0" vertical="center" wrapText="1"/>
    </xf>
    <xf borderId="13" fillId="8" fontId="16" numFmtId="49" xfId="0" applyAlignment="1" applyBorder="1" applyFont="1" applyNumberFormat="1">
      <alignment horizontal="center" readingOrder="0" shrinkToFit="0" vertical="center" wrapText="1"/>
    </xf>
    <xf borderId="17" fillId="6" fontId="16" numFmtId="49" xfId="0" applyAlignment="1" applyBorder="1" applyFont="1" applyNumberFormat="1">
      <alignment horizontal="center" readingOrder="0" shrinkToFit="0" vertical="center" wrapText="1"/>
    </xf>
    <xf borderId="0" fillId="0" fontId="16" numFmtId="49" xfId="0" applyAlignment="1" applyFont="1" applyNumberFormat="1">
      <alignment horizontal="center" readingOrder="0" shrinkToFit="0" vertical="center" wrapText="1"/>
    </xf>
    <xf borderId="0" fillId="0" fontId="17" numFmtId="0" xfId="0" applyAlignment="1" applyFont="1">
      <alignment horizontal="center" shrinkToFit="0" vertical="center" wrapText="1"/>
    </xf>
    <xf borderId="13" fillId="4" fontId="18" numFmtId="0" xfId="0" applyAlignment="1" applyBorder="1" applyFont="1">
      <alignment horizontal="center" readingOrder="0" shrinkToFit="0" vertical="center" wrapText="1"/>
    </xf>
    <xf borderId="0" fillId="4" fontId="18" numFmtId="166" xfId="0" applyAlignment="1" applyFont="1" applyNumberFormat="1">
      <alignment horizontal="center" readingOrder="0" shrinkToFit="0" vertical="center" wrapText="1"/>
    </xf>
    <xf borderId="13" fillId="4" fontId="18" numFmtId="0" xfId="0" applyAlignment="1" applyBorder="1" applyFont="1">
      <alignment horizontal="center" shrinkToFit="0" vertical="center" wrapText="1"/>
    </xf>
    <xf borderId="0" fillId="5" fontId="15" numFmtId="0" xfId="0" applyAlignment="1" applyFont="1">
      <alignment horizontal="center" shrinkToFit="0" wrapText="1"/>
    </xf>
    <xf borderId="0" fillId="5" fontId="18" numFmtId="0" xfId="0" applyAlignment="1" applyFont="1">
      <alignment horizontal="center" shrinkToFit="0" wrapText="1"/>
    </xf>
    <xf borderId="0" fillId="5" fontId="18" numFmtId="0" xfId="0" applyAlignment="1" applyFont="1">
      <alignment horizontal="center" readingOrder="0" shrinkToFit="0" wrapText="1"/>
    </xf>
    <xf borderId="0" fillId="6" fontId="16" numFmtId="0" xfId="0" applyAlignment="1" applyFont="1">
      <alignment horizontal="center" shrinkToFit="0" wrapText="1"/>
    </xf>
    <xf borderId="0" fillId="8" fontId="17" numFmtId="0" xfId="0" applyAlignment="1" applyFont="1">
      <alignment horizontal="center" shrinkToFit="0" wrapText="1"/>
    </xf>
    <xf borderId="0" fillId="8" fontId="17" numFmtId="0" xfId="0" applyAlignment="1" applyFont="1">
      <alignment horizontal="center" readingOrder="0" shrinkToFit="0" wrapText="1"/>
    </xf>
    <xf borderId="0" fillId="8" fontId="16" numFmtId="0" xfId="0" applyAlignment="1" applyFont="1">
      <alignment horizontal="center" shrinkToFit="0" wrapText="1"/>
    </xf>
    <xf borderId="0" fillId="6" fontId="17" numFmtId="0" xfId="0" applyAlignment="1" applyFont="1">
      <alignment horizontal="center" shrinkToFit="0" wrapText="1"/>
    </xf>
    <xf borderId="0" fillId="7" fontId="17" numFmtId="0" xfId="0" applyAlignment="1" applyFont="1">
      <alignment horizontal="center" readingOrder="0" shrinkToFit="0" wrapText="1"/>
    </xf>
    <xf borderId="13" fillId="4" fontId="18" numFmtId="0" xfId="0" applyAlignment="1" applyBorder="1" applyFont="1">
      <alignment horizontal="center" shrinkToFit="0" wrapText="1"/>
    </xf>
    <xf borderId="0" fillId="5" fontId="15" numFmtId="0" xfId="0" applyAlignment="1" applyFont="1">
      <alignment horizontal="center" readingOrder="0" shrinkToFit="0" wrapText="1"/>
    </xf>
    <xf borderId="0" fillId="8" fontId="16" numFmtId="0" xfId="0" applyAlignment="1" applyFont="1">
      <alignment horizontal="center" readingOrder="0" shrinkToFit="0" wrapText="1"/>
    </xf>
    <xf borderId="0" fillId="6" fontId="16" numFmtId="0" xfId="0" applyAlignment="1" applyFont="1">
      <alignment horizontal="center" readingOrder="0" shrinkToFit="0" wrapText="1"/>
    </xf>
    <xf borderId="0" fillId="9" fontId="17" numFmtId="0" xfId="0" applyAlignment="1" applyFill="1" applyFont="1">
      <alignment horizontal="center" shrinkToFit="0" wrapText="1"/>
    </xf>
    <xf borderId="0" fillId="6" fontId="17" numFmtId="0" xfId="0" applyAlignment="1" applyFont="1">
      <alignment horizontal="center" readingOrder="0" shrinkToFit="0" wrapText="1"/>
    </xf>
    <xf borderId="0" fillId="7" fontId="17" numFmtId="0" xfId="0" applyAlignment="1" applyFont="1">
      <alignment horizontal="center" shrinkToFit="0" wrapText="1"/>
    </xf>
    <xf borderId="0" fillId="9" fontId="17" numFmtId="0" xfId="0" applyAlignment="1" applyFont="1">
      <alignment horizontal="center" readingOrder="0" shrinkToFit="0" wrapText="1"/>
    </xf>
    <xf borderId="0" fillId="9" fontId="16" numFmtId="0" xfId="0" applyAlignment="1" applyFont="1">
      <alignment horizontal="left" readingOrder="0" shrinkToFit="0" vertical="center" wrapText="1"/>
    </xf>
    <xf borderId="0" fillId="9" fontId="16" numFmtId="0" xfId="0" applyAlignment="1" applyFont="1">
      <alignment horizontal="center" shrinkToFit="0" vertical="center" wrapText="1"/>
    </xf>
    <xf borderId="0" fillId="9" fontId="16" numFmtId="0" xfId="0" applyAlignment="1" applyFont="1">
      <alignment horizontal="center" readingOrder="0" shrinkToFit="0" wrapText="1"/>
    </xf>
    <xf borderId="13" fillId="4" fontId="18" numFmtId="0" xfId="0" applyAlignment="1" applyBorder="1" applyFont="1">
      <alignment horizontal="center" readingOrder="0" shrinkToFit="0" wrapText="1"/>
    </xf>
    <xf borderId="0" fillId="7" fontId="16" numFmtId="0" xfId="0" applyAlignment="1" applyFont="1">
      <alignment horizontal="center" readingOrder="0" shrinkToFit="0" wrapText="1"/>
    </xf>
    <xf borderId="13" fillId="4" fontId="18" numFmtId="49" xfId="0" applyAlignment="1" applyBorder="1" applyFont="1" applyNumberFormat="1">
      <alignment horizontal="center" readingOrder="0" shrinkToFit="0" wrapText="1"/>
    </xf>
    <xf borderId="0" fillId="7" fontId="16" numFmtId="0" xfId="0" applyAlignment="1" applyFont="1">
      <alignment horizontal="center" shrinkToFit="0" wrapText="1"/>
    </xf>
    <xf borderId="0" fillId="9" fontId="16" numFmtId="0" xfId="0" applyAlignment="1" applyFont="1">
      <alignment horizontal="center" shrinkToFit="0" wrapText="1"/>
    </xf>
    <xf borderId="13" fillId="6" fontId="16" numFmtId="0" xfId="0" applyAlignment="1" applyBorder="1" applyFont="1">
      <alignment horizontal="center" shrinkToFit="0" vertical="center" wrapText="1"/>
    </xf>
    <xf borderId="13" fillId="7" fontId="16" numFmtId="0" xfId="0" applyAlignment="1" applyBorder="1" applyFont="1">
      <alignment horizontal="center" shrinkToFit="0" vertical="center" wrapText="1"/>
    </xf>
    <xf borderId="13" fillId="0" fontId="16" numFmtId="0" xfId="0" applyAlignment="1" applyBorder="1" applyFont="1">
      <alignment horizontal="center" shrinkToFit="0" vertical="center" wrapText="1"/>
    </xf>
    <xf borderId="13" fillId="8" fontId="16" numFmtId="0" xfId="0" applyAlignment="1" applyBorder="1" applyFont="1">
      <alignment horizontal="center" shrinkToFit="0" vertical="center" wrapText="1"/>
    </xf>
    <xf borderId="13" fillId="6" fontId="16" numFmtId="0" xfId="0" applyAlignment="1" applyBorder="1" applyFont="1">
      <alignment horizontal="center" readingOrder="0" shrinkToFit="0" vertical="center" wrapText="1"/>
    </xf>
    <xf borderId="13" fillId="5" fontId="15" numFmtId="0" xfId="0" applyAlignment="1" applyBorder="1" applyFont="1">
      <alignment horizontal="center" shrinkToFit="0" vertical="center" wrapText="1"/>
    </xf>
    <xf borderId="0" fillId="0" fontId="16" numFmtId="49" xfId="0" applyAlignment="1" applyFont="1" applyNumberFormat="1">
      <alignment horizontal="left" readingOrder="0" shrinkToFit="0" vertical="center" wrapText="1"/>
    </xf>
    <xf borderId="13" fillId="4" fontId="18" numFmtId="166" xfId="0" applyAlignment="1" applyBorder="1" applyFont="1" applyNumberFormat="1">
      <alignment horizontal="center" readingOrder="0" shrinkToFit="0" vertical="center" wrapText="1"/>
    </xf>
    <xf borderId="17" fillId="4" fontId="18" numFmtId="0" xfId="0" applyAlignment="1" applyBorder="1" applyFont="1">
      <alignment horizontal="center" shrinkToFit="0" vertical="center" wrapText="1"/>
    </xf>
    <xf borderId="19" fillId="7" fontId="17" numFmtId="0" xfId="0" applyAlignment="1" applyBorder="1" applyFont="1">
      <alignment horizontal="center" readingOrder="0" shrinkToFit="0" wrapText="1"/>
    </xf>
    <xf borderId="17" fillId="4" fontId="18" numFmtId="0" xfId="0" applyAlignment="1" applyBorder="1" applyFont="1">
      <alignment horizontal="center" shrinkToFit="0" wrapText="1"/>
    </xf>
    <xf borderId="19" fillId="9" fontId="17" numFmtId="0" xfId="0" applyAlignment="1" applyBorder="1" applyFont="1">
      <alignment horizontal="center" readingOrder="0" shrinkToFit="0" wrapText="1"/>
    </xf>
    <xf borderId="0" fillId="5" fontId="17" numFmtId="0" xfId="0" applyAlignment="1" applyFont="1">
      <alignment horizontal="center" readingOrder="0" shrinkToFit="0" wrapText="1"/>
    </xf>
    <xf borderId="17" fillId="4" fontId="18" numFmtId="49" xfId="0" applyAlignment="1" applyBorder="1" applyFont="1" applyNumberFormat="1">
      <alignment horizontal="center" readingOrder="0" shrinkToFit="0" wrapText="1"/>
    </xf>
    <xf borderId="19" fillId="6" fontId="17" numFmtId="0" xfId="0" applyAlignment="1" applyBorder="1" applyFont="1">
      <alignment horizontal="center" readingOrder="0" shrinkToFit="0" wrapText="1"/>
    </xf>
    <xf borderId="19" fillId="8" fontId="17" numFmtId="0" xfId="0" applyAlignment="1" applyBorder="1" applyFont="1">
      <alignment horizontal="center" readingOrder="0" shrinkToFit="0" wrapText="1"/>
    </xf>
    <xf borderId="14" fillId="3" fontId="7" numFmtId="0" xfId="0" applyAlignment="1" applyBorder="1" applyFont="1">
      <alignment horizontal="center" readingOrder="0" shrinkToFit="0" vertical="center" wrapText="1"/>
    </xf>
    <xf borderId="13" fillId="10" fontId="16" numFmtId="0" xfId="0" applyAlignment="1" applyBorder="1" applyFill="1" applyFont="1">
      <alignment horizontal="center" readingOrder="0" shrinkToFit="0" vertical="center" wrapText="1"/>
    </xf>
    <xf borderId="0" fillId="10" fontId="16" numFmtId="0" xfId="0" applyAlignment="1" applyFont="1">
      <alignment horizontal="center" shrinkToFit="0" vertical="center" wrapText="1"/>
    </xf>
    <xf borderId="12" fillId="10" fontId="16" numFmtId="164" xfId="0" applyAlignment="1" applyBorder="1" applyFont="1" applyNumberFormat="1">
      <alignment horizontal="center" shrinkToFit="0" vertical="center" wrapText="1"/>
    </xf>
    <xf borderId="17" fillId="6" fontId="16" numFmtId="0" xfId="0" applyAlignment="1" applyBorder="1" applyFont="1">
      <alignment horizontal="center" readingOrder="0" shrinkToFit="0" vertical="center" wrapText="1"/>
    </xf>
    <xf borderId="18" fillId="6" fontId="16" numFmtId="165" xfId="0" applyAlignment="1" applyBorder="1" applyFont="1" applyNumberFormat="1">
      <alignment horizontal="center" shrinkToFit="0" vertical="center" wrapText="1"/>
    </xf>
    <xf borderId="18" fillId="6" fontId="16" numFmtId="164" xfId="0" applyAlignment="1" applyBorder="1" applyFont="1" applyNumberFormat="1">
      <alignment horizontal="center" shrinkToFit="0" vertical="center" wrapText="1"/>
    </xf>
    <xf borderId="13" fillId="9" fontId="16" numFmtId="0" xfId="0" applyAlignment="1" applyBorder="1" applyFont="1">
      <alignment horizontal="center" readingOrder="0" shrinkToFit="0" vertical="center" wrapText="1"/>
    </xf>
    <xf borderId="12" fillId="9" fontId="16" numFmtId="164" xfId="0" applyAlignment="1" applyBorder="1" applyFont="1" applyNumberFormat="1">
      <alignment horizontal="center" shrinkToFit="0" vertical="center" wrapText="1"/>
    </xf>
    <xf borderId="13" fillId="9" fontId="16" numFmtId="49" xfId="0" applyAlignment="1" applyBorder="1" applyFont="1" applyNumberFormat="1">
      <alignment horizontal="center" readingOrder="0" shrinkToFit="0" vertical="center" wrapText="1"/>
    </xf>
    <xf borderId="17" fillId="10" fontId="16" numFmtId="0" xfId="0" applyAlignment="1" applyBorder="1" applyFont="1">
      <alignment horizontal="center" shrinkToFit="0" vertical="center" wrapText="1"/>
    </xf>
    <xf borderId="18" fillId="10" fontId="16" numFmtId="164" xfId="0" applyAlignment="1" applyBorder="1" applyFont="1" applyNumberFormat="1">
      <alignment horizontal="center" shrinkToFit="0" vertical="center" wrapText="1"/>
    </xf>
    <xf borderId="9" fillId="2" fontId="11" numFmtId="0" xfId="0" applyAlignment="1" applyBorder="1" applyFont="1">
      <alignment horizontal="center" readingOrder="0" shrinkToFit="0" vertical="bottom" wrapText="1"/>
    </xf>
    <xf borderId="0" fillId="2" fontId="12" numFmtId="0" xfId="0" applyAlignment="1" applyFont="1">
      <alignment horizontal="center" shrinkToFit="0" wrapText="0"/>
    </xf>
    <xf borderId="13" fillId="2" fontId="12" numFmtId="0" xfId="0" applyAlignment="1" applyBorder="1" applyFont="1">
      <alignment horizontal="center" shrinkToFit="0" wrapText="0"/>
    </xf>
    <xf borderId="14" fillId="3" fontId="13" numFmtId="0" xfId="0" applyAlignment="1" applyBorder="1" applyFont="1">
      <alignment horizontal="center" shrinkToFit="0" wrapText="1"/>
    </xf>
    <xf borderId="14" fillId="3" fontId="19" numFmtId="0" xfId="0" applyAlignment="1" applyBorder="1" applyFont="1">
      <alignment horizontal="center" shrinkToFit="0" wrapText="1"/>
    </xf>
    <xf borderId="13" fillId="4" fontId="20" numFmtId="0" xfId="0" applyAlignment="1" applyBorder="1" applyFont="1">
      <alignment shrinkToFit="0" wrapText="1"/>
    </xf>
    <xf borderId="0" fillId="4" fontId="15" numFmtId="0" xfId="0" applyAlignment="1" applyFont="1">
      <alignment horizontal="center" shrinkToFit="0" wrapText="1"/>
    </xf>
    <xf borderId="12" fillId="4" fontId="15" numFmtId="164" xfId="0" applyAlignment="1" applyBorder="1" applyFont="1" applyNumberFormat="1">
      <alignment horizontal="center" shrinkToFit="0" wrapText="1"/>
    </xf>
    <xf borderId="0" fillId="4" fontId="20" numFmtId="0" xfId="0" applyAlignment="1" applyFont="1">
      <alignment shrinkToFit="0" wrapText="1"/>
    </xf>
    <xf borderId="0" fillId="4" fontId="15" numFmtId="0" xfId="0" applyAlignment="1" applyFont="1">
      <alignment horizontal="center" shrinkToFit="0" wrapText="1"/>
    </xf>
    <xf borderId="12" fillId="4" fontId="15" numFmtId="165" xfId="0" applyAlignment="1" applyBorder="1" applyFont="1" applyNumberFormat="1">
      <alignment horizontal="center" shrinkToFit="0" wrapText="1"/>
    </xf>
    <xf borderId="13" fillId="5" fontId="16" numFmtId="0" xfId="0" applyAlignment="1" applyBorder="1" applyFont="1">
      <alignment horizontal="center" shrinkToFit="0" wrapText="1"/>
    </xf>
    <xf borderId="0" fillId="5" fontId="16" numFmtId="0" xfId="0" applyAlignment="1" applyFont="1">
      <alignment horizontal="center" shrinkToFit="0" wrapText="1"/>
    </xf>
    <xf borderId="12" fillId="5" fontId="16" numFmtId="164" xfId="0" applyAlignment="1" applyBorder="1" applyFont="1" applyNumberFormat="1">
      <alignment horizontal="center" shrinkToFit="0" wrapText="1"/>
    </xf>
    <xf borderId="13" fillId="5" fontId="15" numFmtId="0" xfId="0" applyAlignment="1" applyBorder="1" applyFont="1">
      <alignment horizontal="center" shrinkToFit="0" wrapText="1"/>
    </xf>
    <xf borderId="0" fillId="5" fontId="15" numFmtId="0" xfId="0" applyAlignment="1" applyFont="1">
      <alignment horizontal="center" shrinkToFit="0" wrapText="1"/>
    </xf>
    <xf borderId="12" fillId="5" fontId="15" numFmtId="164" xfId="0" applyAlignment="1" applyBorder="1" applyFont="1" applyNumberFormat="1">
      <alignment horizontal="center" shrinkToFit="0" wrapText="1"/>
    </xf>
    <xf borderId="13" fillId="9" fontId="16" numFmtId="0" xfId="0" applyAlignment="1" applyBorder="1" applyFont="1">
      <alignment horizontal="center" shrinkToFit="0" wrapText="1"/>
    </xf>
    <xf borderId="0" fillId="9" fontId="16" numFmtId="0" xfId="0" applyAlignment="1" applyFont="1">
      <alignment horizontal="center" shrinkToFit="0" wrapText="1"/>
    </xf>
    <xf borderId="12" fillId="9" fontId="16" numFmtId="164" xfId="0" applyAlignment="1" applyBorder="1" applyFont="1" applyNumberFormat="1">
      <alignment horizontal="center" shrinkToFit="0" wrapText="1"/>
    </xf>
    <xf borderId="13" fillId="6" fontId="16" numFmtId="49" xfId="0" applyAlignment="1" applyBorder="1" applyFont="1" applyNumberFormat="1">
      <alignment horizontal="center" shrinkToFit="0" wrapText="1"/>
    </xf>
    <xf borderId="0" fillId="6" fontId="16" numFmtId="0" xfId="0" applyAlignment="1" applyFont="1">
      <alignment horizontal="center" shrinkToFit="0" wrapText="1"/>
    </xf>
    <xf borderId="12" fillId="6" fontId="16" numFmtId="164" xfId="0" applyAlignment="1" applyBorder="1" applyFont="1" applyNumberFormat="1">
      <alignment horizontal="center" shrinkToFit="0" wrapText="1"/>
    </xf>
    <xf borderId="13" fillId="6" fontId="16" numFmtId="0" xfId="0" applyAlignment="1" applyBorder="1" applyFont="1">
      <alignment horizontal="center" shrinkToFit="0" wrapText="1"/>
    </xf>
    <xf borderId="13" fillId="8" fontId="16" numFmtId="0" xfId="0" applyAlignment="1" applyBorder="1" applyFont="1">
      <alignment horizontal="center" shrinkToFit="0" wrapText="1"/>
    </xf>
    <xf borderId="0" fillId="8" fontId="16" numFmtId="0" xfId="0" applyAlignment="1" applyFont="1">
      <alignment horizontal="center" shrinkToFit="0" wrapText="1"/>
    </xf>
    <xf borderId="12" fillId="8" fontId="16" numFmtId="165" xfId="0" applyAlignment="1" applyBorder="1" applyFont="1" applyNumberFormat="1">
      <alignment horizontal="center" shrinkToFit="0" wrapText="1"/>
    </xf>
    <xf borderId="17" fillId="5" fontId="15" numFmtId="0" xfId="0" applyAlignment="1" applyBorder="1" applyFont="1">
      <alignment horizontal="center" shrinkToFit="0" wrapText="1"/>
    </xf>
    <xf borderId="18" fillId="5" fontId="15" numFmtId="165" xfId="0" applyAlignment="1" applyBorder="1" applyFont="1" applyNumberFormat="1">
      <alignment horizontal="center" shrinkToFit="0" wrapText="1"/>
    </xf>
    <xf borderId="17" fillId="8" fontId="16" numFmtId="0" xfId="0" applyAlignment="1" applyBorder="1" applyFont="1">
      <alignment horizontal="center" shrinkToFit="0" wrapText="1"/>
    </xf>
    <xf borderId="18" fillId="8" fontId="16" numFmtId="164" xfId="0" applyAlignment="1" applyBorder="1" applyFont="1" applyNumberFormat="1">
      <alignment horizontal="center" shrinkToFit="0" wrapText="1"/>
    </xf>
    <xf borderId="12" fillId="8" fontId="16" numFmtId="164" xfId="0" applyAlignment="1" applyBorder="1" applyFont="1" applyNumberFormat="1">
      <alignment horizontal="center" shrinkToFit="0" wrapText="1"/>
    </xf>
    <xf borderId="9" fillId="4" fontId="15" numFmtId="0" xfId="0" applyAlignment="1" applyBorder="1" applyFont="1">
      <alignment horizontal="center" shrinkToFit="0" wrapText="1"/>
    </xf>
    <xf borderId="10" fillId="4" fontId="16" numFmtId="0" xfId="0" applyAlignment="1" applyBorder="1" applyFont="1">
      <alignment horizontal="center" shrinkToFit="0" wrapText="1"/>
    </xf>
    <xf borderId="11" fillId="4" fontId="16" numFmtId="165" xfId="0" applyAlignment="1" applyBorder="1" applyFont="1" applyNumberFormat="1">
      <alignment horizontal="center" shrinkToFit="0" wrapText="1"/>
    </xf>
    <xf borderId="11" fillId="4" fontId="16" numFmtId="164" xfId="0" applyAlignment="1" applyBorder="1" applyFont="1" applyNumberFormat="1">
      <alignment horizontal="center" shrinkToFit="0" wrapText="1"/>
    </xf>
    <xf borderId="13" fillId="7" fontId="16" numFmtId="0" xfId="0" applyAlignment="1" applyBorder="1" applyFont="1">
      <alignment horizontal="center" shrinkToFit="0" wrapText="1"/>
    </xf>
    <xf borderId="0" fillId="7" fontId="16" numFmtId="0" xfId="0" applyAlignment="1" applyFont="1">
      <alignment horizontal="center" shrinkToFit="0" wrapText="1"/>
    </xf>
    <xf borderId="12" fillId="7" fontId="16" numFmtId="164" xfId="0" applyAlignment="1" applyBorder="1" applyFont="1" applyNumberFormat="1">
      <alignment horizontal="center" shrinkToFit="0" wrapText="1"/>
    </xf>
    <xf borderId="0" fillId="0" fontId="20" numFmtId="0" xfId="0" applyAlignment="1" applyFont="1">
      <alignment shrinkToFit="0" wrapText="1"/>
    </xf>
    <xf borderId="0" fillId="0" fontId="20" numFmtId="165" xfId="0" applyAlignment="1" applyFont="1" applyNumberFormat="1">
      <alignment shrinkToFit="0" wrapText="1"/>
    </xf>
    <xf borderId="0" fillId="0" fontId="20" numFmtId="0" xfId="0" applyAlignment="1" applyFont="1">
      <alignment shrinkToFit="0" wrapText="1"/>
    </xf>
    <xf borderId="0" fillId="0" fontId="20" numFmtId="164" xfId="0" applyAlignment="1" applyFont="1" applyNumberFormat="1">
      <alignment shrinkToFit="0" wrapText="1"/>
    </xf>
    <xf borderId="13" fillId="9" fontId="16" numFmtId="49" xfId="0" applyAlignment="1" applyBorder="1" applyFont="1" applyNumberFormat="1">
      <alignment horizontal="center" shrinkToFit="0" wrapText="1"/>
    </xf>
    <xf borderId="17" fillId="9" fontId="16" numFmtId="49" xfId="0" applyAlignment="1" applyBorder="1" applyFont="1" applyNumberFormat="1">
      <alignment horizontal="center" shrinkToFit="0" wrapText="1"/>
    </xf>
    <xf borderId="18" fillId="9" fontId="16" numFmtId="164" xfId="0" applyAlignment="1" applyBorder="1" applyFont="1" applyNumberFormat="1">
      <alignment horizontal="center" shrinkToFit="0" wrapText="1"/>
    </xf>
    <xf borderId="0" fillId="3" fontId="13" numFmtId="0" xfId="0" applyAlignment="1" applyFont="1">
      <alignment horizontal="center" shrinkToFit="0" wrapText="1"/>
    </xf>
    <xf borderId="0" fillId="5" fontId="15" numFmtId="0" xfId="0" applyAlignment="1" applyFont="1">
      <alignment shrinkToFit="0" wrapText="1"/>
    </xf>
    <xf borderId="0" fillId="8" fontId="16" numFmtId="0" xfId="0" applyAlignment="1" applyFont="1">
      <alignment shrinkToFit="0" wrapText="1"/>
    </xf>
    <xf borderId="0" fillId="7" fontId="16" numFmtId="0" xfId="0" applyAlignment="1" applyFont="1">
      <alignment shrinkToFit="0" wrapText="1"/>
    </xf>
    <xf borderId="17" fillId="8" fontId="16" numFmtId="0" xfId="0" applyAlignment="1" applyBorder="1" applyFont="1">
      <alignment horizontal="center" shrinkToFit="0" vertical="center" wrapText="1"/>
    </xf>
    <xf borderId="0" fillId="9" fontId="16" numFmtId="0" xfId="0" applyAlignment="1" applyFont="1">
      <alignment shrinkToFit="0" wrapText="1"/>
    </xf>
    <xf borderId="0" fillId="6" fontId="16" numFmtId="0" xfId="0" applyAlignment="1" applyFont="1">
      <alignment shrinkToFit="0" wrapText="1"/>
    </xf>
    <xf borderId="13" fillId="5" fontId="15" numFmtId="49" xfId="0" applyAlignment="1" applyBorder="1" applyFont="1" applyNumberFormat="1">
      <alignment horizontal="center" shrinkToFit="0" wrapText="1"/>
    </xf>
    <xf borderId="13" fillId="8" fontId="16" numFmtId="49" xfId="0" applyAlignment="1" applyBorder="1" applyFont="1" applyNumberFormat="1">
      <alignment horizontal="center" shrinkToFit="0" wrapText="1"/>
    </xf>
    <xf borderId="13" fillId="7" fontId="16" numFmtId="49" xfId="0" applyAlignment="1" applyBorder="1" applyFont="1" applyNumberFormat="1">
      <alignment horizontal="center" shrinkToFit="0" wrapText="1"/>
    </xf>
    <xf borderId="17" fillId="6" fontId="16" numFmtId="49" xfId="0" applyAlignment="1" applyBorder="1" applyFont="1" applyNumberFormat="1">
      <alignment horizontal="center" shrinkToFit="0" wrapText="1"/>
    </xf>
    <xf borderId="0" fillId="0" fontId="20" numFmtId="49" xfId="0" applyAlignment="1" applyFont="1" applyNumberFormat="1">
      <alignment shrinkToFit="0" wrapText="1"/>
    </xf>
    <xf borderId="17" fillId="9" fontId="16" numFmtId="0" xfId="0" applyAlignment="1" applyBorder="1" applyFont="1">
      <alignment horizontal="center" readingOrder="0" shrinkToFit="0" vertical="center" wrapText="1"/>
    </xf>
    <xf borderId="18" fillId="9" fontId="16" numFmtId="164" xfId="0" applyAlignment="1" applyBorder="1" applyFont="1" applyNumberFormat="1">
      <alignment horizontal="center" shrinkToFit="0" vertical="center" wrapText="1"/>
    </xf>
    <xf borderId="17" fillId="7" fontId="16" numFmtId="0" xfId="0" applyAlignment="1" applyBorder="1" applyFont="1">
      <alignment horizontal="center" shrinkToFit="0" vertical="center" wrapText="1"/>
    </xf>
    <xf borderId="13" fillId="9" fontId="16" numFmtId="0" xfId="0" applyAlignment="1" applyBorder="1" applyFont="1">
      <alignment horizontal="center" shrinkToFit="0" vertical="center" wrapText="1"/>
    </xf>
    <xf borderId="0" fillId="2" fontId="21" numFmtId="0" xfId="0" applyAlignment="1" applyFont="1">
      <alignment horizontal="center" shrinkToFit="0" vertical="center" wrapText="0"/>
    </xf>
    <xf borderId="0" fillId="2" fontId="21" numFmtId="0" xfId="0" applyAlignment="1" applyFont="1">
      <alignment shrinkToFit="0" vertical="center" wrapText="0"/>
    </xf>
    <xf borderId="0" fillId="2" fontId="22" numFmtId="0" xfId="0" applyAlignment="1" applyFont="1">
      <alignment horizontal="center" shrinkToFit="0" vertical="center" wrapText="0"/>
    </xf>
    <xf borderId="0" fillId="3" fontId="23" numFmtId="0" xfId="0" applyAlignment="1" applyFont="1">
      <alignment horizontal="center" readingOrder="0" shrinkToFit="0" vertical="center" wrapText="0"/>
    </xf>
    <xf borderId="0" fillId="3" fontId="23" numFmtId="49" xfId="0" applyAlignment="1" applyFont="1" applyNumberFormat="1">
      <alignment horizontal="center" readingOrder="0" shrinkToFit="0" vertical="center" wrapText="0"/>
    </xf>
    <xf borderId="0" fillId="3" fontId="24" numFmtId="0" xfId="0" applyAlignment="1" applyFont="1">
      <alignment horizontal="center" readingOrder="0" shrinkToFit="0" vertical="center" wrapText="0"/>
    </xf>
    <xf borderId="0" fillId="3" fontId="23" numFmtId="0" xfId="0" applyAlignment="1" applyFont="1">
      <alignment horizontal="center" shrinkToFit="0" vertical="center" wrapText="0"/>
    </xf>
    <xf borderId="0" fillId="0" fontId="25" numFmtId="0" xfId="0" applyAlignment="1" applyFont="1">
      <alignment horizontal="center" readingOrder="0" shrinkToFit="0" vertical="center" wrapText="0"/>
    </xf>
    <xf borderId="0" fillId="0" fontId="26" numFmtId="0" xfId="0" applyAlignment="1" applyFont="1">
      <alignment horizontal="center" readingOrder="0" shrinkToFit="0" vertical="center" wrapText="0"/>
    </xf>
    <xf borderId="0" fillId="0" fontId="25" numFmtId="0" xfId="0" applyAlignment="1" applyFont="1">
      <alignment horizontal="center" shrinkToFit="0" vertical="center" wrapText="0"/>
    </xf>
    <xf borderId="0" fillId="0" fontId="25" numFmtId="0" xfId="0" applyAlignment="1" applyFont="1">
      <alignment horizontal="left" readingOrder="0" shrinkToFit="0" vertical="center" wrapText="0"/>
    </xf>
    <xf borderId="0" fillId="0" fontId="25" numFmtId="49" xfId="0" applyAlignment="1" applyFont="1" applyNumberFormat="1">
      <alignment horizontal="center" readingOrder="0" shrinkToFit="0" vertical="center" wrapText="0"/>
    </xf>
    <xf borderId="0" fillId="0" fontId="25" numFmtId="0" xfId="0" applyAlignment="1" applyFont="1">
      <alignment shrinkToFit="0" vertical="center" wrapText="0"/>
    </xf>
    <xf borderId="0" fillId="10" fontId="25" numFmtId="0" xfId="0" applyAlignment="1" applyFont="1">
      <alignment horizontal="center" readingOrder="0" shrinkToFit="0" vertical="center" wrapText="0"/>
    </xf>
    <xf borderId="0" fillId="10" fontId="26" numFmtId="0" xfId="0" applyAlignment="1" applyFont="1">
      <alignment horizontal="center" readingOrder="0" shrinkToFit="0" vertical="center" wrapText="0"/>
    </xf>
    <xf borderId="0" fillId="10" fontId="25" numFmtId="0" xfId="0" applyAlignment="1" applyFont="1">
      <alignment horizontal="center" shrinkToFit="0" vertical="center" wrapText="0"/>
    </xf>
    <xf borderId="0" fillId="10" fontId="25" numFmtId="0" xfId="0" applyAlignment="1" applyFont="1">
      <alignment horizontal="left" readingOrder="0" shrinkToFit="0" vertical="center" wrapText="0"/>
    </xf>
    <xf borderId="0" fillId="10" fontId="25" numFmtId="49" xfId="0" applyAlignment="1" applyFont="1" applyNumberFormat="1">
      <alignment horizontal="center" readingOrder="0" shrinkToFit="0" vertical="center" wrapText="0"/>
    </xf>
    <xf borderId="0" fillId="10" fontId="25" numFmtId="0" xfId="0" applyAlignment="1" applyFont="1">
      <alignment shrinkToFit="0" vertical="center" wrapText="0"/>
    </xf>
    <xf borderId="0" fillId="1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0" fillId="1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19" fillId="0" fontId="25" numFmtId="0" xfId="0" applyAlignment="1" applyBorder="1" applyFont="1">
      <alignment horizontal="center" readingOrder="0" shrinkToFit="0" vertical="center" wrapText="0"/>
    </xf>
    <xf borderId="19" fillId="0" fontId="26" numFmtId="0" xfId="0" applyAlignment="1" applyBorder="1" applyFont="1">
      <alignment horizontal="center" readingOrder="0" shrinkToFit="0" vertical="center" wrapText="0"/>
    </xf>
    <xf borderId="19" fillId="0" fontId="25" numFmtId="0" xfId="0" applyAlignment="1" applyBorder="1" applyFont="1">
      <alignment horizontal="center" shrinkToFit="0" vertical="center" wrapText="0"/>
    </xf>
    <xf borderId="19" fillId="0" fontId="25" numFmtId="49" xfId="0" applyAlignment="1" applyBorder="1" applyFont="1" applyNumberFormat="1">
      <alignment horizontal="center" readingOrder="0" shrinkToFit="0" vertical="center" wrapText="0"/>
    </xf>
    <xf borderId="19" fillId="0" fontId="25" numFmtId="0" xfId="0" applyAlignment="1" applyBorder="1" applyFont="1">
      <alignment shrinkToFit="0" vertical="center" wrapText="0"/>
    </xf>
    <xf borderId="15" fillId="0" fontId="25" numFmtId="0" xfId="0" applyAlignment="1" applyBorder="1" applyFont="1">
      <alignment horizontal="center" readingOrder="0" shrinkToFit="0" vertical="center" wrapText="0"/>
    </xf>
    <xf borderId="15" fillId="0" fontId="26" numFmtId="0" xfId="0" applyAlignment="1" applyBorder="1" applyFont="1">
      <alignment horizontal="center" readingOrder="0" shrinkToFit="0" vertical="center" wrapText="0"/>
    </xf>
    <xf borderId="15" fillId="0" fontId="25" numFmtId="0" xfId="0" applyAlignment="1" applyBorder="1" applyFont="1">
      <alignment horizontal="center" shrinkToFit="0" vertical="center" wrapText="0"/>
    </xf>
    <xf borderId="15" fillId="0" fontId="26" numFmtId="0" xfId="0" applyAlignment="1" applyBorder="1" applyFont="1">
      <alignment horizontal="left" readingOrder="0" shrinkToFit="0" vertical="center" wrapText="0"/>
    </xf>
    <xf borderId="15" fillId="0" fontId="25" numFmtId="0" xfId="0" applyAlignment="1" applyBorder="1" applyFont="1">
      <alignment shrinkToFit="0" vertical="center" wrapText="0"/>
    </xf>
    <xf borderId="19" fillId="10" fontId="25" numFmtId="0" xfId="0" applyAlignment="1" applyBorder="1" applyFont="1">
      <alignment horizontal="center" readingOrder="0" shrinkToFit="0" vertical="center" wrapText="0"/>
    </xf>
    <xf borderId="19" fillId="10" fontId="25" numFmtId="0" xfId="0" applyAlignment="1" applyBorder="1" applyFont="1">
      <alignment horizontal="center" shrinkToFit="0" vertical="center" wrapText="0"/>
    </xf>
    <xf borderId="19" fillId="10" fontId="26" numFmtId="0" xfId="0" applyAlignment="1" applyBorder="1" applyFont="1">
      <alignment horizontal="left" readingOrder="0" shrinkToFit="0" vertical="center" wrapText="0"/>
    </xf>
    <xf borderId="19" fillId="10" fontId="25" numFmtId="49" xfId="0" applyAlignment="1" applyBorder="1" applyFont="1" applyNumberFormat="1">
      <alignment horizontal="center" readingOrder="0" shrinkToFit="0" vertical="center" wrapText="0"/>
    </xf>
    <xf borderId="19" fillId="10" fontId="25" numFmtId="0" xfId="0" applyAlignment="1" applyBorder="1" applyFont="1">
      <alignment shrinkToFit="0" vertical="center" wrapText="0"/>
    </xf>
    <xf borderId="15" fillId="0" fontId="25" numFmtId="49" xfId="0" applyAlignment="1" applyBorder="1" applyFont="1" applyNumberFormat="1">
      <alignment horizontal="center" readingOrder="0" shrinkToFit="0" vertical="center" wrapText="0"/>
    </xf>
    <xf borderId="0" fillId="10" fontId="26" numFmtId="0" xfId="0" applyAlignment="1" applyFont="1">
      <alignment horizontal="left" readingOrder="0" shrinkToFit="0" vertical="center" wrapText="0"/>
    </xf>
    <xf borderId="18" fillId="8" fontId="16" numFmtId="164" xfId="0" applyAlignment="1" applyBorder="1" applyFont="1" applyNumberFormat="1">
      <alignment horizontal="center" shrinkToFit="0" vertical="center" wrapText="1"/>
    </xf>
    <xf borderId="17" fillId="9" fontId="16" numFmtId="49" xfId="0" applyAlignment="1" applyBorder="1" applyFont="1" applyNumberFormat="1">
      <alignment horizontal="center" readingOrder="0" shrinkToFit="0" vertical="center" wrapText="1"/>
    </xf>
    <xf borderId="17" fillId="5" fontId="15" numFmtId="0" xfId="0" applyAlignment="1" applyBorder="1" applyFont="1">
      <alignment horizontal="center" readingOrder="0" shrinkToFit="0" vertical="center" wrapText="1"/>
    </xf>
    <xf borderId="18" fillId="5" fontId="15" numFmtId="164" xfId="0" applyAlignment="1" applyBorder="1" applyFont="1" applyNumberFormat="1">
      <alignment horizontal="center" shrinkToFit="0" vertical="center" wrapText="1"/>
    </xf>
    <xf borderId="0" fillId="2" fontId="21" numFmtId="0" xfId="0" applyAlignment="1" applyFont="1">
      <alignment horizontal="center" shrinkToFit="0" vertical="center" wrapText="1"/>
    </xf>
    <xf borderId="0" fillId="2" fontId="21" numFmtId="0" xfId="0" applyAlignment="1" applyFont="1">
      <alignment shrinkToFit="0" vertical="center" wrapText="1"/>
    </xf>
    <xf borderId="0" fillId="2" fontId="22" numFmtId="0" xfId="0" applyAlignment="1" applyFont="1">
      <alignment horizontal="center" shrinkToFit="0" vertical="center" wrapText="1"/>
    </xf>
    <xf borderId="0" fillId="3" fontId="23" numFmtId="0" xfId="0" applyAlignment="1" applyFont="1">
      <alignment horizontal="center" readingOrder="0" shrinkToFit="0" vertical="center" wrapText="0"/>
    </xf>
    <xf borderId="0" fillId="3" fontId="23" numFmtId="0" xfId="0" applyAlignment="1" applyFont="1">
      <alignment horizontal="center" readingOrder="0" shrinkToFit="0" vertical="center" wrapText="1"/>
    </xf>
    <xf borderId="0" fillId="3" fontId="23" numFmtId="49" xfId="0" applyAlignment="1" applyFont="1" applyNumberFormat="1">
      <alignment horizontal="center" readingOrder="0" shrinkToFit="0" vertical="center" wrapText="1"/>
    </xf>
    <xf borderId="0" fillId="3" fontId="27" numFmtId="0" xfId="0" applyAlignment="1" applyFont="1">
      <alignment horizontal="center" readingOrder="0" shrinkToFit="0" vertical="center" wrapText="1"/>
    </xf>
    <xf borderId="0" fillId="3" fontId="23" numFmtId="0" xfId="0" applyAlignment="1" applyFont="1">
      <alignment horizontal="center" readingOrder="0" shrinkToFit="0" vertical="center" wrapText="1"/>
    </xf>
    <xf borderId="0" fillId="3" fontId="23" numFmtId="0" xfId="0" applyAlignment="1" applyFont="1">
      <alignment horizontal="center" shrinkToFit="0" vertical="center" wrapText="0"/>
    </xf>
    <xf borderId="0" fillId="0" fontId="25" numFmtId="0" xfId="0" applyAlignment="1" applyFont="1">
      <alignment horizontal="center" readingOrder="0" shrinkToFit="0" vertical="center" wrapText="0"/>
    </xf>
    <xf borderId="0" fillId="0" fontId="25"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5" numFmtId="0" xfId="0" applyAlignment="1" applyFont="1">
      <alignment horizontal="center" shrinkToFit="0" vertical="center" wrapText="1"/>
    </xf>
    <xf borderId="0" fillId="0" fontId="25" numFmtId="0" xfId="0" applyAlignment="1" applyFont="1">
      <alignment horizontal="left" readingOrder="0" shrinkToFit="0" vertical="center" wrapText="0"/>
    </xf>
    <xf borderId="0" fillId="0" fontId="25" numFmtId="0" xfId="0" applyAlignment="1" applyFont="1">
      <alignment horizontal="center" shrinkToFit="0" vertical="center" wrapText="1"/>
    </xf>
    <xf borderId="0" fillId="0" fontId="25" numFmtId="49" xfId="0" applyAlignment="1" applyFont="1" applyNumberFormat="1">
      <alignment horizontal="center" shrinkToFit="0" vertical="center" wrapText="1"/>
    </xf>
    <xf borderId="0" fillId="0" fontId="25" numFmtId="0" xfId="0" applyAlignment="1" applyFont="1">
      <alignment shrinkToFit="0" vertical="center" wrapText="1"/>
    </xf>
    <xf borderId="0" fillId="0" fontId="25" numFmtId="0" xfId="0" applyAlignment="1" applyFont="1">
      <alignment horizontal="center" shrinkToFit="0" vertical="center" wrapText="0"/>
    </xf>
    <xf borderId="0" fillId="10" fontId="25" numFmtId="0" xfId="0" applyAlignment="1" applyFont="1">
      <alignment horizontal="center" readingOrder="0" shrinkToFit="0" vertical="center" wrapText="0"/>
    </xf>
    <xf borderId="0" fillId="10" fontId="25" numFmtId="0" xfId="0" applyAlignment="1" applyFont="1">
      <alignment horizontal="center" readingOrder="0" shrinkToFit="0" vertical="center" wrapText="1"/>
    </xf>
    <xf borderId="0" fillId="10" fontId="26" numFmtId="0" xfId="0" applyAlignment="1" applyFont="1">
      <alignment horizontal="center" readingOrder="0" shrinkToFit="0" vertical="center" wrapText="1"/>
    </xf>
    <xf borderId="0" fillId="10" fontId="25" numFmtId="0" xfId="0" applyAlignment="1" applyFont="1">
      <alignment horizontal="center" shrinkToFit="0" vertical="center" wrapText="1"/>
    </xf>
    <xf borderId="0" fillId="10" fontId="25" numFmtId="0" xfId="0" applyAlignment="1" applyFont="1">
      <alignment horizontal="left" readingOrder="0" shrinkToFit="0" vertical="center" wrapText="0"/>
    </xf>
    <xf borderId="0" fillId="10" fontId="25" numFmtId="0" xfId="0" applyAlignment="1" applyFont="1">
      <alignment horizontal="center" shrinkToFit="0" vertical="center" wrapText="1"/>
    </xf>
    <xf borderId="0" fillId="10" fontId="25" numFmtId="49" xfId="0" applyAlignment="1" applyFont="1" applyNumberFormat="1">
      <alignment horizontal="center" readingOrder="0" shrinkToFit="0" vertical="center" wrapText="1"/>
    </xf>
    <xf borderId="0" fillId="10" fontId="25" numFmtId="0" xfId="0" applyAlignment="1" applyFont="1">
      <alignment shrinkToFit="0" vertical="center" wrapText="1"/>
    </xf>
    <xf borderId="0" fillId="10" fontId="25" numFmtId="0" xfId="0" applyAlignment="1" applyFont="1">
      <alignment horizontal="center" shrinkToFit="0" vertical="center" wrapText="0"/>
    </xf>
    <xf borderId="0" fillId="1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0" fillId="0" fontId="25" numFmtId="49" xfId="0" applyAlignment="1" applyFont="1" applyNumberFormat="1">
      <alignment horizontal="center" readingOrder="0" shrinkToFit="0" vertical="center" wrapText="1"/>
    </xf>
    <xf borderId="0" fillId="1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19" fillId="0" fontId="25" numFmtId="0" xfId="0" applyAlignment="1" applyBorder="1" applyFont="1">
      <alignment horizontal="center" readingOrder="0" shrinkToFit="0" vertical="center" wrapText="0"/>
    </xf>
    <xf borderId="19" fillId="0" fontId="25" numFmtId="0" xfId="0" applyAlignment="1" applyBorder="1" applyFont="1">
      <alignment horizontal="center" readingOrder="0" shrinkToFit="0" vertical="center" wrapText="1"/>
    </xf>
    <xf borderId="19" fillId="0" fontId="26" numFmtId="0" xfId="0" applyAlignment="1" applyBorder="1" applyFont="1">
      <alignment horizontal="center" readingOrder="0" shrinkToFit="0" vertical="center" wrapText="1"/>
    </xf>
    <xf borderId="19" fillId="0" fontId="25" numFmtId="0" xfId="0" applyAlignment="1" applyBorder="1" applyFont="1">
      <alignment horizontal="center" shrinkToFit="0" vertical="center" wrapText="1"/>
    </xf>
    <xf borderId="19" fillId="0" fontId="25" numFmtId="0" xfId="0" applyAlignment="1" applyBorder="1" applyFont="1">
      <alignment horizontal="center" shrinkToFit="0" vertical="center" wrapText="1"/>
    </xf>
    <xf borderId="19" fillId="0" fontId="25" numFmtId="49" xfId="0" applyAlignment="1" applyBorder="1" applyFont="1" applyNumberFormat="1">
      <alignment horizontal="center" readingOrder="0" shrinkToFit="0" vertical="center" wrapText="1"/>
    </xf>
    <xf borderId="19" fillId="0" fontId="25" numFmtId="0" xfId="0" applyAlignment="1" applyBorder="1" applyFont="1">
      <alignment shrinkToFit="0" vertical="center" wrapText="1"/>
    </xf>
    <xf borderId="19" fillId="0" fontId="25" numFmtId="0" xfId="0" applyAlignment="1" applyBorder="1" applyFont="1">
      <alignment horizontal="center" shrinkToFit="0" vertical="center" wrapText="0"/>
    </xf>
    <xf borderId="15" fillId="0" fontId="25" numFmtId="0" xfId="0" applyAlignment="1" applyBorder="1" applyFont="1">
      <alignment horizontal="center" readingOrder="0" shrinkToFit="0" vertical="center" wrapText="0"/>
    </xf>
    <xf borderId="15" fillId="0" fontId="25" numFmtId="0" xfId="0" applyAlignment="1" applyBorder="1" applyFont="1">
      <alignment horizontal="center" readingOrder="0" shrinkToFit="0" vertical="center" wrapText="1"/>
    </xf>
    <xf borderId="15" fillId="0" fontId="26" numFmtId="0" xfId="0" applyAlignment="1" applyBorder="1" applyFont="1">
      <alignment horizontal="center" readingOrder="0" shrinkToFit="0" vertical="center" wrapText="1"/>
    </xf>
    <xf borderId="15" fillId="0" fontId="25" numFmtId="0" xfId="0" applyAlignment="1" applyBorder="1" applyFont="1">
      <alignment horizontal="center" shrinkToFit="0" vertical="center" wrapText="1"/>
    </xf>
    <xf borderId="15" fillId="0" fontId="26" numFmtId="0" xfId="0" applyAlignment="1" applyBorder="1" applyFont="1">
      <alignment horizontal="left" readingOrder="0" shrinkToFit="0" vertical="center" wrapText="0"/>
    </xf>
    <xf borderId="15" fillId="0" fontId="25" numFmtId="0" xfId="0" applyAlignment="1" applyBorder="1" applyFont="1">
      <alignment horizontal="center" shrinkToFit="0" vertical="center" wrapText="1"/>
    </xf>
    <xf borderId="15" fillId="0" fontId="25" numFmtId="0" xfId="0" applyAlignment="1" applyBorder="1" applyFont="1">
      <alignment shrinkToFit="0" vertical="center" wrapText="1"/>
    </xf>
    <xf borderId="15" fillId="0" fontId="25" numFmtId="0" xfId="0" applyAlignment="1" applyBorder="1" applyFont="1">
      <alignment horizontal="center" shrinkToFit="0" vertical="center" wrapText="0"/>
    </xf>
    <xf borderId="19" fillId="10" fontId="25" numFmtId="0" xfId="0" applyAlignment="1" applyBorder="1" applyFont="1">
      <alignment horizontal="center" readingOrder="0" shrinkToFit="0" vertical="center" wrapText="0"/>
    </xf>
    <xf borderId="19" fillId="10" fontId="25" numFmtId="0" xfId="0" applyAlignment="1" applyBorder="1" applyFont="1">
      <alignment horizontal="center" readingOrder="0" shrinkToFit="0" vertical="center" wrapText="1"/>
    </xf>
    <xf borderId="19" fillId="10" fontId="25" numFmtId="0" xfId="0" applyAlignment="1" applyBorder="1" applyFont="1">
      <alignment horizontal="center" shrinkToFit="0" vertical="center" wrapText="1"/>
    </xf>
    <xf borderId="19" fillId="10" fontId="26" numFmtId="0" xfId="0" applyAlignment="1" applyBorder="1" applyFont="1">
      <alignment horizontal="left" readingOrder="0" shrinkToFit="0" vertical="center" wrapText="0"/>
    </xf>
    <xf borderId="19" fillId="10" fontId="25" numFmtId="0" xfId="0" applyAlignment="1" applyBorder="1" applyFont="1">
      <alignment horizontal="center" shrinkToFit="0" vertical="center" wrapText="1"/>
    </xf>
    <xf borderId="19" fillId="10" fontId="25" numFmtId="49" xfId="0" applyAlignment="1" applyBorder="1" applyFont="1" applyNumberFormat="1">
      <alignment horizontal="center" readingOrder="0" shrinkToFit="0" vertical="center" wrapText="1"/>
    </xf>
    <xf borderId="19" fillId="10" fontId="25" numFmtId="0" xfId="0" applyAlignment="1" applyBorder="1" applyFont="1">
      <alignment shrinkToFit="0" vertical="center" wrapText="1"/>
    </xf>
    <xf borderId="19" fillId="10" fontId="25" numFmtId="0" xfId="0" applyAlignment="1" applyBorder="1" applyFont="1">
      <alignment horizontal="center" shrinkToFit="0" vertical="center" wrapText="0"/>
    </xf>
    <xf borderId="15" fillId="0" fontId="25" numFmtId="49" xfId="0" applyAlignment="1" applyBorder="1" applyFont="1" applyNumberFormat="1">
      <alignment horizontal="center" readingOrder="0" shrinkToFit="0" vertical="center" wrapText="1"/>
    </xf>
    <xf borderId="15" fillId="0" fontId="25" numFmtId="0" xfId="0" applyAlignment="1" applyBorder="1" applyFont="1">
      <alignment horizontal="center" shrinkToFit="0" wrapText="0"/>
    </xf>
    <xf borderId="15" fillId="0" fontId="25" numFmtId="0" xfId="0" applyAlignment="1" applyBorder="1" applyFont="1">
      <alignment horizontal="center" readingOrder="0" shrinkToFit="0" wrapText="0"/>
    </xf>
    <xf borderId="0" fillId="10" fontId="26" numFmtId="0" xfId="0" applyAlignment="1" applyFont="1">
      <alignment horizontal="left" readingOrder="0" shrinkToFit="0" vertical="center" wrapText="0"/>
    </xf>
    <xf borderId="13" fillId="5" fontId="16" numFmtId="0" xfId="0" applyAlignment="1" applyBorder="1" applyFont="1">
      <alignment horizontal="center" readingOrder="0" shrinkToFit="0" vertical="center" wrapText="1"/>
    </xf>
    <xf borderId="0" fillId="5" fontId="16" numFmtId="0" xfId="0" applyAlignment="1" applyFont="1">
      <alignment horizontal="center" shrinkToFit="0" vertical="center" wrapText="1"/>
    </xf>
    <xf borderId="12" fillId="5" fontId="16" numFmtId="164" xfId="0" applyAlignment="1" applyBorder="1" applyFont="1" applyNumberFormat="1">
      <alignment horizontal="center" shrinkToFit="0" vertical="center" wrapText="1"/>
    </xf>
    <xf borderId="13" fillId="5" fontId="16" numFmtId="0" xfId="0" applyAlignment="1" applyBorder="1" applyFont="1">
      <alignment horizontal="center" shrinkToFit="0" vertical="center" wrapText="1"/>
    </xf>
    <xf borderId="19" fillId="10" fontId="26" numFmtId="0" xfId="0" applyAlignment="1" applyBorder="1" applyFont="1">
      <alignment horizontal="center" readingOrder="0" shrinkToFit="0" vertical="center" wrapText="1"/>
    </xf>
    <xf borderId="0" fillId="2" fontId="28" numFmtId="0" xfId="0" applyAlignment="1" applyFont="1">
      <alignment horizontal="center" shrinkToFit="0" vertical="center" wrapText="1"/>
    </xf>
    <xf borderId="0" fillId="2" fontId="28" numFmtId="0" xfId="0" applyAlignment="1" applyFont="1">
      <alignment shrinkToFit="0" vertical="center" wrapText="1"/>
    </xf>
    <xf borderId="0" fillId="2" fontId="12" numFmtId="0" xfId="0" applyAlignment="1" applyFont="1">
      <alignment horizontal="center" shrinkToFit="0" vertical="center" wrapText="1"/>
    </xf>
    <xf borderId="0" fillId="0" fontId="29" numFmtId="49" xfId="0" applyAlignment="1" applyFont="1" applyNumberFormat="1">
      <alignment horizontal="center" shrinkToFit="0" vertical="center" wrapText="1"/>
    </xf>
    <xf borderId="0" fillId="0" fontId="29" numFmtId="0" xfId="0" applyAlignment="1" applyFont="1">
      <alignment shrinkToFit="0" vertical="center" wrapText="1"/>
    </xf>
    <xf borderId="0" fillId="10" fontId="29" numFmtId="0" xfId="0" applyAlignment="1" applyFont="1">
      <alignment shrinkToFit="0" vertical="center" wrapText="1"/>
    </xf>
    <xf borderId="0" fillId="0" fontId="30" numFmtId="0" xfId="0" applyAlignment="1" applyFont="1">
      <alignment horizontal="left" readingOrder="0" shrinkToFit="0" vertical="center" wrapText="0"/>
    </xf>
    <xf borderId="19" fillId="10" fontId="29" numFmtId="0" xfId="0" applyAlignment="1" applyBorder="1" applyFont="1">
      <alignment shrinkToFit="0" vertical="center" wrapText="1"/>
    </xf>
    <xf borderId="15" fillId="0" fontId="29" numFmtId="0" xfId="0" applyAlignment="1" applyBorder="1" applyFont="1">
      <alignment shrinkToFit="0" vertical="center" wrapText="1"/>
    </xf>
    <xf borderId="0" fillId="10" fontId="26" numFmtId="0" xfId="0" applyAlignment="1" applyFont="1">
      <alignment horizontal="left" readingOrder="0" shrinkToFit="0" vertical="center" wrapText="1"/>
    </xf>
    <xf borderId="19" fillId="0" fontId="29" numFmtId="0" xfId="0" applyAlignment="1" applyBorder="1" applyFont="1">
      <alignment shrinkToFit="0" vertical="center" wrapText="1"/>
    </xf>
    <xf borderId="15" fillId="10" fontId="25" numFmtId="0" xfId="0" applyAlignment="1" applyBorder="1" applyFont="1">
      <alignment horizontal="center" readingOrder="0" shrinkToFit="0" vertical="center" wrapText="0"/>
    </xf>
    <xf borderId="15" fillId="10" fontId="25" numFmtId="0" xfId="0" applyAlignment="1" applyBorder="1" applyFont="1">
      <alignment horizontal="center" readingOrder="0" shrinkToFit="0" vertical="center" wrapText="1"/>
    </xf>
    <xf borderId="15" fillId="10" fontId="26" numFmtId="0" xfId="0" applyAlignment="1" applyBorder="1" applyFont="1">
      <alignment horizontal="center" readingOrder="0" shrinkToFit="0" vertical="center" wrapText="1"/>
    </xf>
    <xf borderId="15" fillId="10" fontId="25" numFmtId="0" xfId="0" applyAlignment="1" applyBorder="1" applyFont="1">
      <alignment horizontal="center" shrinkToFit="0" vertical="center" wrapText="1"/>
    </xf>
    <xf borderId="15" fillId="10" fontId="26" numFmtId="0" xfId="0" applyAlignment="1" applyBorder="1" applyFont="1">
      <alignment horizontal="left" readingOrder="0" shrinkToFit="0" vertical="center" wrapText="0"/>
    </xf>
    <xf borderId="15" fillId="10" fontId="29" numFmtId="0" xfId="0" applyAlignment="1" applyBorder="1" applyFont="1">
      <alignment shrinkToFit="0" vertical="center" wrapText="1"/>
    </xf>
    <xf borderId="15" fillId="10" fontId="25" numFmtId="0" xfId="0" applyAlignment="1" applyBorder="1" applyFont="1">
      <alignment horizontal="center" shrinkToFit="0" vertical="center" wrapText="0"/>
    </xf>
    <xf borderId="19" fillId="0" fontId="26" numFmtId="0" xfId="0" applyAlignment="1" applyBorder="1" applyFont="1">
      <alignment horizontal="left" readingOrder="0" shrinkToFit="0" vertical="center" wrapText="0"/>
    </xf>
    <xf borderId="15" fillId="10" fontId="25" numFmtId="49" xfId="0" applyAlignment="1" applyBorder="1" applyFont="1" applyNumberFormat="1">
      <alignment horizontal="center" readingOrder="0" shrinkToFit="0" vertical="center" wrapText="1"/>
    </xf>
    <xf borderId="15" fillId="10" fontId="25" numFmtId="0" xfId="0" applyAlignment="1" applyBorder="1" applyFont="1">
      <alignment shrinkToFit="0" vertical="center" wrapText="1"/>
    </xf>
    <xf borderId="0" fillId="0" fontId="26" numFmtId="0" xfId="0" applyAlignment="1" applyFont="1">
      <alignment horizontal="left" readingOrder="0" shrinkToFit="0" vertical="center" wrapText="1"/>
    </xf>
    <xf borderId="14" fillId="6" fontId="16" numFmtId="0" xfId="0" applyAlignment="1" applyBorder="1" applyFont="1">
      <alignment horizontal="center" shrinkToFit="0" vertical="center" wrapText="1"/>
    </xf>
    <xf borderId="15" fillId="6" fontId="16" numFmtId="0" xfId="0" applyAlignment="1" applyBorder="1" applyFont="1">
      <alignment horizontal="center" shrinkToFit="0" vertical="center" wrapText="1"/>
    </xf>
    <xf borderId="16" fillId="6" fontId="16" numFmtId="164" xfId="0" applyAlignment="1" applyBorder="1" applyFont="1" applyNumberFormat="1">
      <alignment horizontal="center" shrinkToFit="0" vertical="center" wrapText="1"/>
    </xf>
    <xf borderId="0" fillId="10" fontId="26" numFmtId="0" xfId="0" applyAlignment="1" applyFont="1">
      <alignment horizontal="left" readingOrder="0" shrinkToFit="0" wrapText="1"/>
    </xf>
    <xf borderId="13" fillId="8" fontId="15" numFmtId="49" xfId="0" applyAlignment="1" applyBorder="1" applyFont="1" applyNumberFormat="1">
      <alignment horizontal="center" readingOrder="0" shrinkToFit="0" vertical="center" wrapText="1"/>
    </xf>
    <xf borderId="0" fillId="0" fontId="25" numFmtId="0" xfId="0" applyAlignment="1" applyFont="1">
      <alignment horizontal="left" readingOrder="0" shrinkToFit="0" vertical="center" wrapText="0"/>
    </xf>
    <xf borderId="0" fillId="0" fontId="25" numFmtId="0" xfId="0" applyAlignment="1" applyFont="1">
      <alignment horizontal="left" readingOrder="0" shrinkToFit="0" vertical="center" wrapText="1"/>
    </xf>
    <xf borderId="0" fillId="0" fontId="25" numFmtId="0" xfId="0" applyAlignment="1" applyFont="1">
      <alignment horizontal="left" shrinkToFit="0" vertical="center" wrapText="1"/>
    </xf>
    <xf borderId="0" fillId="0" fontId="29" numFmtId="0" xfId="0" applyAlignment="1" applyFont="1">
      <alignment horizontal="left" shrinkToFit="0" vertical="center" wrapText="1"/>
    </xf>
    <xf borderId="0" fillId="0" fontId="25" numFmtId="0" xfId="0" applyAlignment="1" applyFont="1">
      <alignment horizontal="left" shrinkToFit="0" vertical="center" wrapText="0"/>
    </xf>
    <xf borderId="0" fillId="10" fontId="25" numFmtId="0" xfId="0" applyAlignment="1" applyFont="1">
      <alignment horizontal="left" readingOrder="0" shrinkToFit="0" vertical="center" wrapText="0"/>
    </xf>
    <xf borderId="0" fillId="10" fontId="25" numFmtId="0" xfId="0" applyAlignment="1" applyFont="1">
      <alignment horizontal="left" readingOrder="0" shrinkToFit="0" vertical="center" wrapText="1"/>
    </xf>
    <xf borderId="0" fillId="10" fontId="25" numFmtId="0" xfId="0" applyAlignment="1" applyFont="1">
      <alignment horizontal="left" shrinkToFit="0" vertical="center" wrapText="1"/>
    </xf>
    <xf borderId="0" fillId="10" fontId="29" numFmtId="0" xfId="0" applyAlignment="1" applyFont="1">
      <alignment horizontal="left" shrinkToFit="0" vertical="center" wrapText="1"/>
    </xf>
    <xf borderId="0" fillId="10" fontId="25" numFmtId="0" xfId="0" applyAlignment="1" applyFont="1">
      <alignment horizontal="left" shrinkToFit="0" vertical="center" wrapText="0"/>
    </xf>
    <xf borderId="19" fillId="0" fontId="25" numFmtId="0" xfId="0" applyAlignment="1" applyBorder="1" applyFont="1">
      <alignment horizontal="left" readingOrder="0" shrinkToFit="0" vertical="center" wrapText="0"/>
    </xf>
    <xf borderId="19" fillId="0" fontId="25" numFmtId="0" xfId="0" applyAlignment="1" applyBorder="1" applyFont="1">
      <alignment horizontal="left" readingOrder="0" shrinkToFit="0" vertical="center" wrapText="1"/>
    </xf>
    <xf borderId="19" fillId="0" fontId="25" numFmtId="0" xfId="0" applyAlignment="1" applyBorder="1" applyFont="1">
      <alignment horizontal="left" shrinkToFit="0" vertical="center" wrapText="1"/>
    </xf>
    <xf borderId="19" fillId="0" fontId="29" numFmtId="0" xfId="0" applyAlignment="1" applyBorder="1" applyFont="1">
      <alignment horizontal="left" shrinkToFit="0" vertical="center" wrapText="1"/>
    </xf>
    <xf borderId="19" fillId="0" fontId="25" numFmtId="0" xfId="0" applyAlignment="1" applyBorder="1" applyFont="1">
      <alignment horizontal="left" shrinkToFit="0" vertical="center" wrapText="0"/>
    </xf>
    <xf borderId="15" fillId="10" fontId="25" numFmtId="0" xfId="0" applyAlignment="1" applyBorder="1" applyFont="1">
      <alignment horizontal="left" readingOrder="0" shrinkToFit="0" vertical="center" wrapText="0"/>
    </xf>
    <xf borderId="15" fillId="10" fontId="25" numFmtId="0" xfId="0" applyAlignment="1" applyBorder="1" applyFont="1">
      <alignment horizontal="left" readingOrder="0" shrinkToFit="0" vertical="center" wrapText="1"/>
    </xf>
    <xf borderId="15" fillId="10" fontId="25" numFmtId="0" xfId="0" applyAlignment="1" applyBorder="1" applyFont="1">
      <alignment horizontal="left" shrinkToFit="0" vertical="center" wrapText="1"/>
    </xf>
    <xf borderId="15" fillId="10" fontId="29" numFmtId="0" xfId="0" applyAlignment="1" applyBorder="1" applyFont="1">
      <alignment horizontal="left" shrinkToFit="0" vertical="center" wrapText="1"/>
    </xf>
    <xf borderId="15" fillId="10" fontId="25" numFmtId="0" xfId="0" applyAlignment="1" applyBorder="1" applyFont="1">
      <alignment horizontal="left" shrinkToFit="0" vertical="center" wrapText="0"/>
    </xf>
    <xf borderId="0" fillId="3" fontId="13" numFmtId="49" xfId="0" applyAlignment="1" applyFont="1" applyNumberFormat="1">
      <alignment horizontal="center" shrinkToFit="0" vertical="center" wrapText="1"/>
    </xf>
    <xf borderId="0" fillId="3" fontId="13" numFmtId="0" xfId="0" applyAlignment="1" applyFont="1">
      <alignment horizontal="center" shrinkToFit="0" vertical="center" wrapText="1"/>
    </xf>
    <xf borderId="0" fillId="3" fontId="31" numFmtId="0" xfId="0" applyAlignment="1" applyFont="1">
      <alignment horizontal="center" shrinkToFit="0" vertical="center" wrapText="0"/>
    </xf>
    <xf borderId="0" fillId="3" fontId="31" numFmtId="0" xfId="0" applyAlignment="1" applyFont="1">
      <alignment horizontal="center" shrinkToFit="0" vertical="center" wrapText="1"/>
    </xf>
    <xf borderId="0" fillId="3" fontId="12" numFmtId="0" xfId="0" applyAlignment="1" applyFont="1">
      <alignment horizontal="center" readingOrder="0" shrinkToFit="0" vertical="center" wrapText="1"/>
    </xf>
    <xf borderId="0" fillId="11" fontId="13" numFmtId="49" xfId="0" applyAlignment="1" applyFill="1" applyFont="1" applyNumberFormat="1">
      <alignment horizontal="left" shrinkToFit="0" vertical="center" wrapText="1"/>
    </xf>
    <xf borderId="0" fillId="11" fontId="13" numFmtId="0" xfId="0" applyAlignment="1" applyFont="1">
      <alignment shrinkToFit="0" vertical="center" wrapText="1"/>
    </xf>
    <xf borderId="0" fillId="11" fontId="17" numFmtId="0" xfId="0" applyAlignment="1" applyFont="1">
      <alignment horizontal="center" shrinkToFit="0" vertical="center" wrapText="1"/>
    </xf>
    <xf borderId="0" fillId="11" fontId="32" numFmtId="0" xfId="0" applyAlignment="1" applyFont="1">
      <alignment readingOrder="0" shrinkToFit="0" vertical="center" wrapText="1"/>
    </xf>
    <xf borderId="0" fillId="6" fontId="33" numFmtId="49" xfId="0" applyAlignment="1" applyFont="1" applyNumberFormat="1">
      <alignment horizontal="left" shrinkToFit="0" vertical="center" wrapText="1"/>
    </xf>
    <xf borderId="0" fillId="6" fontId="33" numFmtId="0" xfId="0" applyAlignment="1" applyFont="1">
      <alignment shrinkToFit="0" vertical="center" wrapText="1"/>
    </xf>
    <xf borderId="0" fillId="6" fontId="17" numFmtId="0" xfId="0" applyAlignment="1" applyFont="1">
      <alignment horizontal="center" shrinkToFit="0" vertical="center" wrapText="1"/>
    </xf>
    <xf borderId="0" fillId="6" fontId="32" numFmtId="0" xfId="0" applyAlignment="1" applyFont="1">
      <alignment readingOrder="0" shrinkToFit="0" vertical="center" wrapText="1"/>
    </xf>
    <xf borderId="0" fillId="0" fontId="29" numFmtId="49" xfId="0" applyAlignment="1" applyFont="1" applyNumberFormat="1">
      <alignment horizontal="left" shrinkToFit="0" vertical="center" wrapText="1"/>
    </xf>
    <xf borderId="0" fillId="0" fontId="29" numFmtId="0" xfId="0" applyAlignment="1" applyFont="1">
      <alignment shrinkToFit="0" vertical="center" wrapText="1"/>
    </xf>
    <xf borderId="0" fillId="0" fontId="32" numFmtId="0" xfId="0" applyAlignment="1" applyFont="1">
      <alignment readingOrder="0" shrinkToFit="0" vertical="center" wrapText="1"/>
    </xf>
    <xf borderId="0" fillId="6" fontId="33" numFmtId="0" xfId="0" applyAlignment="1" applyFont="1">
      <alignment shrinkToFit="0" vertical="center" wrapText="1"/>
    </xf>
    <xf borderId="0" fillId="12" fontId="13" numFmtId="49" xfId="0" applyAlignment="1" applyFill="1" applyFont="1" applyNumberFormat="1">
      <alignment horizontal="left" shrinkToFit="0" vertical="center" wrapText="1"/>
    </xf>
    <xf borderId="0" fillId="12" fontId="13" numFmtId="0" xfId="0" applyAlignment="1" applyFont="1">
      <alignment shrinkToFit="0" vertical="center" wrapText="1"/>
    </xf>
    <xf borderId="0" fillId="12" fontId="17" numFmtId="0" xfId="0" applyAlignment="1" applyFont="1">
      <alignment horizontal="center" shrinkToFit="0" vertical="center" wrapText="1"/>
    </xf>
    <xf borderId="0" fillId="12" fontId="32" numFmtId="0" xfId="0" applyAlignment="1" applyFont="1">
      <alignment readingOrder="0" shrinkToFit="0" vertical="center" wrapText="1"/>
    </xf>
    <xf borderId="0" fillId="9" fontId="33" numFmtId="49" xfId="0" applyAlignment="1" applyFont="1" applyNumberFormat="1">
      <alignment horizontal="left" shrinkToFit="0" vertical="center" wrapText="1"/>
    </xf>
    <xf borderId="0" fillId="9" fontId="33" numFmtId="0" xfId="0" applyAlignment="1" applyFont="1">
      <alignment shrinkToFit="0" vertical="center" wrapText="1"/>
    </xf>
    <xf borderId="0" fillId="9" fontId="17" numFmtId="0" xfId="0" applyAlignment="1" applyFont="1">
      <alignment horizontal="center" shrinkToFit="0" vertical="center" wrapText="1"/>
    </xf>
    <xf borderId="0" fillId="9" fontId="29" numFmtId="0" xfId="0" applyAlignment="1" applyFont="1">
      <alignment readingOrder="0" shrinkToFit="0" vertical="center" wrapText="1"/>
    </xf>
    <xf borderId="0" fillId="0" fontId="29" numFmtId="0" xfId="0" applyAlignment="1" applyFont="1">
      <alignment readingOrder="0" shrinkToFit="0" vertical="center" wrapText="1"/>
    </xf>
    <xf borderId="0" fillId="9" fontId="33" numFmtId="0" xfId="0" applyAlignment="1" applyFont="1">
      <alignment shrinkToFit="0" vertical="center" wrapText="1"/>
    </xf>
    <xf borderId="0" fillId="13" fontId="13" numFmtId="49" xfId="0" applyAlignment="1" applyFill="1" applyFont="1" applyNumberFormat="1">
      <alignment horizontal="left" shrinkToFit="0" vertical="center" wrapText="1"/>
    </xf>
    <xf borderId="0" fillId="13" fontId="13" numFmtId="0" xfId="0" applyAlignment="1" applyFont="1">
      <alignment shrinkToFit="0" vertical="center" wrapText="1"/>
    </xf>
    <xf borderId="0" fillId="13" fontId="17" numFmtId="0" xfId="0" applyAlignment="1" applyFont="1">
      <alignment horizontal="center" shrinkToFit="0" vertical="center" wrapText="1"/>
    </xf>
    <xf borderId="0" fillId="13" fontId="32" numFmtId="0" xfId="0" applyAlignment="1" applyFont="1">
      <alignment readingOrder="0" shrinkToFit="0" vertical="center" wrapText="1"/>
    </xf>
    <xf borderId="0" fillId="7" fontId="33" numFmtId="49" xfId="0" applyAlignment="1" applyFont="1" applyNumberFormat="1">
      <alignment horizontal="left" shrinkToFit="0" vertical="center" wrapText="1"/>
    </xf>
    <xf borderId="0" fillId="7" fontId="33" numFmtId="0" xfId="0" applyAlignment="1" applyFont="1">
      <alignment shrinkToFit="0" vertical="center" wrapText="1"/>
    </xf>
    <xf borderId="0" fillId="7" fontId="17" numFmtId="0" xfId="0" applyAlignment="1" applyFont="1">
      <alignment horizontal="center" shrinkToFit="0" vertical="center" wrapText="1"/>
    </xf>
    <xf borderId="0" fillId="7" fontId="29" numFmtId="0" xfId="0" applyAlignment="1" applyFont="1">
      <alignment horizontal="left" readingOrder="0" shrinkToFit="0" vertical="center" wrapText="1"/>
    </xf>
    <xf borderId="0" fillId="0" fontId="29" numFmtId="0" xfId="0" applyAlignment="1" applyFont="1">
      <alignment horizontal="left" readingOrder="0" shrinkToFit="0" vertical="center" wrapText="1"/>
    </xf>
    <xf borderId="0" fillId="7" fontId="33" numFmtId="0" xfId="0" applyAlignment="1" applyFont="1">
      <alignment shrinkToFit="0" vertical="center" wrapText="1"/>
    </xf>
    <xf borderId="0" fillId="14" fontId="13" numFmtId="49" xfId="0" applyAlignment="1" applyFill="1" applyFont="1" applyNumberFormat="1">
      <alignment horizontal="left" shrinkToFit="0" vertical="center" wrapText="1"/>
    </xf>
    <xf borderId="0" fillId="14" fontId="13" numFmtId="0" xfId="0" applyAlignment="1" applyFont="1">
      <alignment shrinkToFit="0" vertical="center" wrapText="1"/>
    </xf>
    <xf borderId="0" fillId="14" fontId="17" numFmtId="0" xfId="0" applyAlignment="1" applyFont="1">
      <alignment horizontal="center" shrinkToFit="0" vertical="center" wrapText="1"/>
    </xf>
    <xf borderId="0" fillId="14" fontId="32" numFmtId="0" xfId="0" applyAlignment="1" applyFont="1">
      <alignment readingOrder="0" shrinkToFit="0" vertical="center" wrapText="1"/>
    </xf>
    <xf borderId="0" fillId="8" fontId="33" numFmtId="49" xfId="0" applyAlignment="1" applyFont="1" applyNumberFormat="1">
      <alignment horizontal="left" shrinkToFit="0" vertical="center" wrapText="1"/>
    </xf>
    <xf borderId="0" fillId="8" fontId="33" numFmtId="0" xfId="0" applyAlignment="1" applyFont="1">
      <alignment shrinkToFit="0" vertical="center" wrapText="1"/>
    </xf>
    <xf borderId="0" fillId="8" fontId="17" numFmtId="0" xfId="0" applyAlignment="1" applyFont="1">
      <alignment horizontal="center" shrinkToFit="0" vertical="center" wrapText="1"/>
    </xf>
    <xf borderId="0" fillId="8" fontId="29" numFmtId="0" xfId="0" applyAlignment="1" applyFont="1">
      <alignment readingOrder="0" shrinkToFit="0" vertical="center" wrapText="1"/>
    </xf>
    <xf borderId="0" fillId="8" fontId="33" numFmtId="0" xfId="0" applyAlignment="1" applyFont="1">
      <alignment shrinkToFit="0" vertical="center" wrapText="1"/>
    </xf>
    <xf borderId="0" fillId="15" fontId="13" numFmtId="49" xfId="0" applyAlignment="1" applyFill="1" applyFont="1" applyNumberFormat="1">
      <alignment horizontal="left" shrinkToFit="0" vertical="center" wrapText="1"/>
    </xf>
    <xf borderId="0" fillId="15" fontId="13" numFmtId="0" xfId="0" applyAlignment="1" applyFont="1">
      <alignment shrinkToFit="0" vertical="center" wrapText="1"/>
    </xf>
    <xf borderId="0" fillId="15" fontId="17" numFmtId="0" xfId="0" applyAlignment="1" applyFont="1">
      <alignment horizontal="center" shrinkToFit="0" vertical="center" wrapText="1"/>
    </xf>
    <xf borderId="0" fillId="15" fontId="32" numFmtId="0" xfId="0" applyAlignment="1" applyFont="1">
      <alignment readingOrder="0" shrinkToFit="0" vertical="center" wrapText="1"/>
    </xf>
    <xf borderId="0" fillId="5" fontId="33" numFmtId="49" xfId="0" applyAlignment="1" applyFont="1" applyNumberFormat="1">
      <alignment horizontal="left" shrinkToFit="0" vertical="center" wrapText="1"/>
    </xf>
    <xf borderId="0" fillId="5" fontId="33" numFmtId="0" xfId="0" applyAlignment="1" applyFont="1">
      <alignment shrinkToFit="0" vertical="center" wrapText="1"/>
    </xf>
    <xf borderId="0" fillId="5" fontId="17" numFmtId="0" xfId="0" applyAlignment="1" applyFont="1">
      <alignment horizontal="center" shrinkToFit="0" vertical="center" wrapText="1"/>
    </xf>
    <xf borderId="0" fillId="5" fontId="29" numFmtId="0" xfId="0" applyAlignment="1" applyFont="1">
      <alignment readingOrder="0" shrinkToFit="0" vertical="center" wrapText="1"/>
    </xf>
    <xf borderId="0" fillId="16" fontId="13" numFmtId="49" xfId="0" applyAlignment="1" applyFill="1" applyFont="1" applyNumberFormat="1">
      <alignment horizontal="left" shrinkToFit="0" vertical="center" wrapText="1"/>
    </xf>
    <xf borderId="0" fillId="16" fontId="13" numFmtId="0" xfId="0" applyAlignment="1" applyFont="1">
      <alignment shrinkToFit="0" vertical="center" wrapText="1"/>
    </xf>
    <xf borderId="0" fillId="16" fontId="17" numFmtId="0" xfId="0" applyAlignment="1" applyFont="1">
      <alignment horizontal="center" shrinkToFit="0" vertical="center" wrapText="1"/>
    </xf>
    <xf borderId="0" fillId="16" fontId="32" numFmtId="0" xfId="0" applyAlignment="1" applyFont="1">
      <alignment readingOrder="0" shrinkToFit="0" vertical="center" wrapText="1"/>
    </xf>
    <xf borderId="0" fillId="17" fontId="33" numFmtId="49" xfId="0" applyAlignment="1" applyFill="1" applyFont="1" applyNumberFormat="1">
      <alignment horizontal="left" shrinkToFit="0" vertical="center" wrapText="1"/>
    </xf>
    <xf borderId="0" fillId="17" fontId="33" numFmtId="0" xfId="0" applyAlignment="1" applyFont="1">
      <alignment shrinkToFit="0" vertical="center" wrapText="1"/>
    </xf>
    <xf borderId="0" fillId="17" fontId="17" numFmtId="0" xfId="0" applyAlignment="1" applyFont="1">
      <alignment horizontal="center" shrinkToFit="0" vertical="center" wrapText="1"/>
    </xf>
    <xf borderId="0" fillId="17" fontId="29" numFmtId="0" xfId="0" applyAlignment="1" applyFont="1">
      <alignment readingOrder="0" shrinkToFit="0" vertical="center" wrapText="1"/>
    </xf>
    <xf borderId="0" fillId="17" fontId="33" numFmtId="0" xfId="0" applyAlignment="1" applyFont="1">
      <alignment shrinkToFit="0" vertical="center" wrapText="1"/>
    </xf>
    <xf borderId="0" fillId="6" fontId="29" numFmtId="0" xfId="0" applyAlignment="1" applyFont="1">
      <alignment readingOrder="0" shrinkToFit="0" vertical="center" wrapText="1"/>
    </xf>
    <xf borderId="0" fillId="0" fontId="17" numFmtId="0" xfId="0" applyAlignment="1" applyFont="1">
      <alignment horizontal="center" readingOrder="0" shrinkToFit="0" vertical="center" wrapText="1"/>
    </xf>
    <xf borderId="0" fillId="9" fontId="17"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29" numFmtId="0" xfId="0" applyAlignment="1" applyFont="1">
      <alignment readingOrder="0" shrinkToFit="0" vertical="center" wrapText="1"/>
    </xf>
    <xf borderId="0" fillId="8" fontId="17" numFmtId="0" xfId="0" applyAlignment="1" applyFont="1">
      <alignment horizontal="center" readingOrder="0" shrinkToFit="0" vertical="center" wrapText="1"/>
    </xf>
    <xf borderId="0" fillId="5" fontId="17" numFmtId="0" xfId="0" applyAlignment="1" applyFont="1">
      <alignment horizontal="center" readingOrder="0" shrinkToFit="0" vertical="center" wrapText="1"/>
    </xf>
    <xf borderId="0" fillId="16" fontId="20" numFmtId="49" xfId="0" applyAlignment="1" applyFont="1" applyNumberFormat="1">
      <alignment horizontal="left" shrinkToFit="0" vertical="center" wrapText="1"/>
    </xf>
    <xf borderId="0" fillId="16" fontId="20" numFmtId="49" xfId="0" applyAlignment="1" applyFont="1" applyNumberFormat="1">
      <alignment shrinkToFit="0" vertical="center" wrapText="1"/>
    </xf>
    <xf borderId="0" fillId="16" fontId="20" numFmtId="49" xfId="0" applyAlignment="1" applyFont="1" applyNumberFormat="1">
      <alignment horizontal="center" shrinkToFit="0" vertical="center" wrapText="1"/>
    </xf>
    <xf borderId="0" fillId="16" fontId="29" numFmtId="49" xfId="0" applyAlignment="1" applyFont="1" applyNumberFormat="1">
      <alignment horizontal="center" shrinkToFit="0" vertical="center" wrapText="1"/>
    </xf>
    <xf borderId="0" fillId="18" fontId="1" numFmtId="0" xfId="0" applyAlignment="1" applyFill="1" applyFont="1">
      <alignment horizontal="center" readingOrder="0" shrinkToFit="0" vertical="bottom" wrapText="0"/>
    </xf>
    <xf borderId="0" fillId="0" fontId="2" numFmtId="0" xfId="0" applyAlignment="1" applyFont="1">
      <alignment horizontal="right" readingOrder="0" shrinkToFit="0" vertical="bottom" wrapText="1"/>
    </xf>
    <xf borderId="0" fillId="2" fontId="1" numFmtId="0" xfId="0" applyAlignment="1" applyFont="1">
      <alignment horizontal="center" readingOrder="0" shrinkToFit="0" vertical="bottom" wrapText="1"/>
    </xf>
    <xf borderId="0" fillId="2" fontId="34" numFmtId="0" xfId="0" applyAlignment="1" applyFont="1">
      <alignment horizontal="center" readingOrder="0" shrinkToFit="0" wrapText="1"/>
    </xf>
    <xf borderId="0" fillId="19" fontId="35" numFmtId="0" xfId="0" applyAlignment="1" applyFill="1" applyFont="1">
      <alignment horizontal="center" readingOrder="0" shrinkToFit="0" vertical="bottom" wrapText="1"/>
    </xf>
    <xf borderId="0" fillId="19" fontId="1" numFmtId="0" xfId="0" applyAlignment="1" applyFont="1">
      <alignment horizontal="center" readingOrder="0" shrinkToFit="0" vertical="bottom" wrapText="1"/>
    </xf>
    <xf borderId="0" fillId="12" fontId="36" numFmtId="0" xfId="0" applyAlignment="1" applyFont="1">
      <alignment horizontal="center" shrinkToFit="0" vertical="bottom" wrapText="1"/>
    </xf>
    <xf borderId="0" fillId="12" fontId="36" numFmtId="0" xfId="0" applyAlignment="1" applyFont="1">
      <alignment horizontal="center" readingOrder="0" shrinkToFit="0" vertical="bottom" wrapText="1"/>
    </xf>
    <xf borderId="0" fillId="20" fontId="36" numFmtId="0" xfId="0" applyAlignment="1" applyFill="1" applyFont="1">
      <alignment horizontal="center" shrinkToFit="0" vertical="bottom" wrapText="1"/>
    </xf>
    <xf borderId="0" fillId="0" fontId="37" numFmtId="0" xfId="0" applyAlignment="1" applyFont="1">
      <alignment shrinkToFit="0" vertical="bottom" wrapText="1"/>
    </xf>
    <xf borderId="0" fillId="19" fontId="38" numFmtId="0" xfId="0" applyAlignment="1" applyFont="1">
      <alignment horizontal="center" readingOrder="0" shrinkToFit="0" vertical="bottom" wrapText="1"/>
    </xf>
    <xf borderId="0" fillId="2" fontId="34" numFmtId="0" xfId="0" applyAlignment="1" applyFont="1">
      <alignment horizontal="center" readingOrder="0" shrinkToFit="0" vertical="bottom" wrapText="1"/>
    </xf>
    <xf borderId="0" fillId="2" fontId="1" numFmtId="0" xfId="0" applyAlignment="1" applyFont="1">
      <alignment horizontal="left" readingOrder="0" shrinkToFit="0" vertical="bottom" wrapText="1"/>
    </xf>
    <xf borderId="0" fillId="2"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horizontal="center" readingOrder="0" shrinkToFit="0" vertical="bottom" wrapText="1"/>
    </xf>
    <xf borderId="0" fillId="0" fontId="37" numFmtId="0" xfId="0" applyAlignment="1" applyFont="1">
      <alignment readingOrder="0" shrinkToFit="0" vertical="bottom" wrapText="1"/>
    </xf>
    <xf borderId="0" fillId="0" fontId="39" numFmtId="0" xfId="0" applyAlignment="1" applyFont="1">
      <alignment shrinkToFit="0" vertical="bottom" wrapText="1"/>
    </xf>
    <xf borderId="0" fillId="0" fontId="37" numFmtId="0" xfId="0" applyAlignment="1" applyFont="1">
      <alignment shrinkToFit="0" wrapText="1"/>
    </xf>
    <xf borderId="0" fillId="0" fontId="37" numFmtId="0" xfId="0" applyAlignment="1" applyFont="1">
      <alignment shrinkToFit="0" wrapText="1"/>
    </xf>
    <xf borderId="0" fillId="21" fontId="37" numFmtId="0" xfId="0" applyAlignment="1" applyFill="1" applyFont="1">
      <alignment horizontal="left" readingOrder="0" shrinkToFit="0" wrapText="1"/>
    </xf>
    <xf borderId="0" fillId="0" fontId="2" numFmtId="0" xfId="0" applyAlignment="1" applyFont="1">
      <alignment horizontal="right" readingOrder="0" shrinkToFit="0" wrapText="1"/>
    </xf>
    <xf borderId="0" fillId="0" fontId="37" numFmtId="0" xfId="0" applyAlignment="1" applyFont="1">
      <alignment shrinkToFit="0" vertical="bottom" wrapText="1"/>
    </xf>
    <xf borderId="0" fillId="0" fontId="2" numFmtId="0" xfId="0" applyAlignment="1" applyFont="1">
      <alignment shrinkToFit="0" wrapText="1"/>
    </xf>
    <xf borderId="0" fillId="18" fontId="40" numFmtId="0" xfId="0" applyAlignment="1" applyFont="1">
      <alignment horizontal="center" readingOrder="0" shrinkToFit="0" vertical="bottom" wrapText="0"/>
    </xf>
    <xf borderId="0" fillId="18" fontId="40" numFmtId="0" xfId="0" applyAlignment="1" applyFont="1">
      <alignment horizontal="center" readingOrder="0" shrinkToFit="0" vertical="bottom" wrapText="1"/>
    </xf>
    <xf borderId="0" fillId="18" fontId="1" numFmtId="0" xfId="0" applyAlignment="1" applyFont="1">
      <alignment horizontal="center" readingOrder="0" shrinkToFit="0" vertical="bottom" wrapText="1"/>
    </xf>
    <xf borderId="0" fillId="0" fontId="41" numFmtId="0" xfId="0" applyAlignment="1" applyFont="1">
      <alignment horizontal="center" readingOrder="0" shrinkToFit="0" vertical="bottom" wrapText="0"/>
    </xf>
    <xf borderId="0" fillId="0" fontId="41" numFmtId="0" xfId="0" applyAlignment="1" applyFont="1">
      <alignment horizontal="center" readingOrder="0" shrinkToFit="0" vertical="bottom" wrapText="1"/>
    </xf>
    <xf borderId="0" fillId="0" fontId="41" numFmtId="0" xfId="0" applyAlignment="1" applyFont="1">
      <alignment horizontal="center" shrinkToFit="0" vertical="bottom" wrapText="0"/>
    </xf>
    <xf borderId="0" fillId="0" fontId="41" numFmtId="0" xfId="0" applyAlignment="1" applyFont="1">
      <alignment horizontal="center" shrinkToFit="0" vertical="bottom" wrapText="1"/>
    </xf>
    <xf borderId="0" fillId="18" fontId="42" numFmtId="0" xfId="0" applyAlignment="1" applyFont="1">
      <alignment horizontal="center" readingOrder="0" shrinkToFit="0" vertical="bottom" wrapText="1"/>
    </xf>
    <xf borderId="0" fillId="0" fontId="43" numFmtId="0" xfId="0" applyAlignment="1" applyFont="1">
      <alignment horizontal="center" readingOrder="0" shrinkToFit="0" vertical="bottom" wrapText="1"/>
    </xf>
    <xf borderId="0" fillId="0" fontId="44" numFmtId="0" xfId="0" applyAlignment="1" applyFont="1">
      <alignment horizontal="center" shrinkToFit="0" vertical="bottom" wrapText="1"/>
    </xf>
    <xf borderId="0" fillId="0" fontId="44" numFmtId="0" xfId="0" applyAlignment="1" applyFont="1">
      <alignment horizontal="center" readingOrder="0" shrinkToFit="0" vertical="bottom" wrapText="1"/>
    </xf>
    <xf borderId="0" fillId="0" fontId="45" numFmtId="0" xfId="0" applyAlignment="1" applyFont="1">
      <alignment readingOrder="0" shrinkToFit="0" wrapText="1"/>
    </xf>
    <xf borderId="0" fillId="0" fontId="46" numFmtId="0" xfId="0" applyAlignment="1" applyFont="1">
      <alignment shrinkToFit="0" wrapText="1"/>
    </xf>
    <xf borderId="0" fillId="0" fontId="46" numFmtId="0" xfId="0" applyAlignment="1" applyFont="1">
      <alignment horizontal="center" readingOrder="0" shrinkToFit="0" vertical="bottom" wrapText="1"/>
    </xf>
    <xf borderId="0" fillId="0" fontId="43" numFmtId="0" xfId="0" applyAlignment="1" applyFont="1">
      <alignment horizontal="center" readingOrder="0" shrinkToFit="0" vertical="bottom" wrapText="1"/>
    </xf>
    <xf borderId="0" fillId="0" fontId="43" numFmtId="0" xfId="0" applyAlignment="1" applyFont="1">
      <alignment horizontal="center" shrinkToFit="0" vertical="bottom" wrapText="1"/>
    </xf>
    <xf borderId="0" fillId="0" fontId="46" numFmtId="0" xfId="0" applyAlignment="1" applyFont="1">
      <alignment readingOrder="0" shrinkToFit="0" wrapText="1"/>
    </xf>
    <xf borderId="0" fillId="0" fontId="45" numFmtId="0" xfId="0" applyAlignment="1" applyFont="1">
      <alignment shrinkToFit="0" wrapText="1"/>
    </xf>
    <xf borderId="0" fillId="0" fontId="45"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Primary or Secondary</a:t>
            </a:r>
          </a:p>
        </c:rich>
      </c:tx>
      <c:overlay val="0"/>
    </c:title>
    <c:plotArea>
      <c:layout/>
      <c:lineChart>
        <c:ser>
          <c:idx val="0"/>
          <c:order val="0"/>
          <c:tx>
            <c:strRef>
              <c:f>'Visualization All Exams'!$A$64</c:f>
            </c:strRef>
          </c:tx>
          <c:spPr>
            <a:ln cmpd="sng" w="19050">
              <a:solidFill>
                <a:srgbClr val="0264C9">
                  <a:alpha val="100000"/>
                </a:srgbClr>
              </a:solidFill>
            </a:ln>
          </c:spPr>
          <c:marker>
            <c:symbol val="none"/>
          </c:marker>
          <c:trendline>
            <c:name/>
            <c:spPr>
              <a:ln w="38100">
                <a:solidFill>
                  <a:srgbClr val="0264C9">
                    <a:alpha val="50196"/>
                  </a:srgbClr>
                </a:solidFill>
              </a:ln>
            </c:spPr>
            <c:trendlineType val="linear"/>
            <c:dispRSqr val="0"/>
            <c:dispEq val="0"/>
          </c:trendline>
          <c:cat>
            <c:strRef>
              <c:f>'Visualization All Exams'!$B$63:$AB$63</c:f>
            </c:strRef>
          </c:cat>
          <c:val>
            <c:numRef>
              <c:f>'Visualization All Exams'!$B$64:$AB$64</c:f>
              <c:numCache/>
            </c:numRef>
          </c:val>
          <c:smooth val="0"/>
        </c:ser>
        <c:ser>
          <c:idx val="1"/>
          <c:order val="1"/>
          <c:tx>
            <c:strRef>
              <c:f>'Visualization All Exams'!$A$65</c:f>
            </c:strRef>
          </c:tx>
          <c:spPr>
            <a:ln cmpd="sng" w="19050">
              <a:solidFill>
                <a:srgbClr val="C20018">
                  <a:alpha val="100000"/>
                </a:srgbClr>
              </a:solidFill>
            </a:ln>
          </c:spPr>
          <c:marker>
            <c:symbol val="none"/>
          </c:marker>
          <c:trendline>
            <c:name/>
            <c:spPr>
              <a:ln w="38100">
                <a:solidFill>
                  <a:srgbClr val="C20018">
                    <a:alpha val="50196"/>
                  </a:srgbClr>
                </a:solidFill>
              </a:ln>
            </c:spPr>
            <c:trendlineType val="linear"/>
            <c:dispRSqr val="0"/>
            <c:dispEq val="0"/>
          </c:trendline>
          <c:cat>
            <c:strRef>
              <c:f>'Visualization All Exams'!$B$63:$AB$63</c:f>
            </c:strRef>
          </c:cat>
          <c:val>
            <c:numRef>
              <c:f>'Visualization All Exams'!$B$65:$AB$65</c:f>
              <c:numCache/>
            </c:numRef>
          </c:val>
          <c:smooth val="0"/>
        </c:ser>
        <c:ser>
          <c:idx val="2"/>
          <c:order val="2"/>
          <c:tx>
            <c:strRef>
              <c:f>'Visualization All Exams'!$A$66</c:f>
            </c:strRef>
          </c:tx>
          <c:spPr>
            <a:ln cmpd="sng" w="19050">
              <a:solidFill>
                <a:srgbClr val="662D91">
                  <a:alpha val="100000"/>
                </a:srgbClr>
              </a:solidFill>
            </a:ln>
          </c:spPr>
          <c:marker>
            <c:symbol val="none"/>
          </c:marker>
          <c:trendline>
            <c:name/>
            <c:spPr>
              <a:ln w="38100">
                <a:solidFill>
                  <a:srgbClr val="662D91">
                    <a:alpha val="50196"/>
                  </a:srgbClr>
                </a:solidFill>
              </a:ln>
            </c:spPr>
            <c:trendlineType val="linear"/>
            <c:dispRSqr val="0"/>
            <c:dispEq val="0"/>
          </c:trendline>
          <c:cat>
            <c:strRef>
              <c:f>'Visualization All Exams'!$B$63:$AB$63</c:f>
            </c:strRef>
          </c:cat>
          <c:val>
            <c:numRef>
              <c:f>'Visualization All Exams'!$B$66:$AB$66</c:f>
              <c:numCache/>
            </c:numRef>
          </c:val>
          <c:smooth val="0"/>
        </c:ser>
        <c:axId val="1932737149"/>
        <c:axId val="1618054817"/>
      </c:lineChart>
      <c:catAx>
        <c:axId val="193273714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Primary or Secondary</a:t>
                </a:r>
              </a:p>
            </c:rich>
          </c:tx>
          <c:overlay val="0"/>
        </c:title>
        <c:numFmt formatCode="General" sourceLinked="1"/>
        <c:majorTickMark val="none"/>
        <c:minorTickMark val="none"/>
        <c:spPr/>
        <c:txPr>
          <a:bodyPr/>
          <a:lstStyle/>
          <a:p>
            <a:pPr lvl="0">
              <a:defRPr b="0">
                <a:solidFill>
                  <a:srgbClr val="000000"/>
                </a:solidFill>
                <a:latin typeface="Roboto"/>
              </a:defRPr>
            </a:pPr>
          </a:p>
        </c:txPr>
        <c:crossAx val="1618054817"/>
      </c:catAx>
      <c:valAx>
        <c:axId val="16180548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32737149"/>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General Stimuli Type</a:t>
            </a:r>
          </a:p>
        </c:rich>
      </c:tx>
      <c:overlay val="0"/>
    </c:title>
    <c:plotArea>
      <c:layout/>
      <c:lineChart>
        <c:ser>
          <c:idx val="0"/>
          <c:order val="0"/>
          <c:tx>
            <c:strRef>
              <c:f>'Visualization All Exams'!$A$69</c:f>
            </c:strRef>
          </c:tx>
          <c:spPr>
            <a:ln cmpd="sng" w="19050">
              <a:solidFill>
                <a:srgbClr val="0264C9">
                  <a:alpha val="100000"/>
                </a:srgbClr>
              </a:solidFill>
            </a:ln>
          </c:spPr>
          <c:marker>
            <c:symbol val="none"/>
          </c:marker>
          <c:trendline>
            <c:name/>
            <c:spPr>
              <a:ln w="38100">
                <a:solidFill>
                  <a:srgbClr val="0264C9">
                    <a:alpha val="50196"/>
                  </a:srgbClr>
                </a:solidFill>
              </a:ln>
            </c:spPr>
            <c:trendlineType val="linear"/>
            <c:dispRSqr val="0"/>
            <c:dispEq val="0"/>
          </c:trendline>
          <c:cat>
            <c:strRef>
              <c:f>'Visualization All Exams'!$B$68:$AB$68</c:f>
            </c:strRef>
          </c:cat>
          <c:val>
            <c:numRef>
              <c:f>'Visualization All Exams'!$B$69:$AB$69</c:f>
              <c:numCache/>
            </c:numRef>
          </c:val>
          <c:smooth val="0"/>
        </c:ser>
        <c:ser>
          <c:idx val="1"/>
          <c:order val="1"/>
          <c:tx>
            <c:strRef>
              <c:f>'Visualization All Exams'!$A$70</c:f>
            </c:strRef>
          </c:tx>
          <c:spPr>
            <a:ln cmpd="sng" w="19050">
              <a:solidFill>
                <a:srgbClr val="C20018">
                  <a:alpha val="100000"/>
                </a:srgbClr>
              </a:solidFill>
            </a:ln>
          </c:spPr>
          <c:marker>
            <c:symbol val="none"/>
          </c:marker>
          <c:trendline>
            <c:name/>
            <c:spPr>
              <a:ln w="38100">
                <a:solidFill>
                  <a:srgbClr val="C20018">
                    <a:alpha val="50196"/>
                  </a:srgbClr>
                </a:solidFill>
              </a:ln>
            </c:spPr>
            <c:trendlineType val="linear"/>
            <c:dispRSqr val="0"/>
            <c:dispEq val="0"/>
          </c:trendline>
          <c:cat>
            <c:strRef>
              <c:f>'Visualization All Exams'!$B$68:$AB$68</c:f>
            </c:strRef>
          </c:cat>
          <c:val>
            <c:numRef>
              <c:f>'Visualization All Exams'!$B$70:$AB$70</c:f>
              <c:numCache/>
            </c:numRef>
          </c:val>
          <c:smooth val="0"/>
        </c:ser>
        <c:ser>
          <c:idx val="2"/>
          <c:order val="2"/>
          <c:tx>
            <c:strRef>
              <c:f>'Visualization All Exams'!$A$71</c:f>
            </c:strRef>
          </c:tx>
          <c:spPr>
            <a:ln cmpd="sng" w="19050">
              <a:solidFill>
                <a:srgbClr val="FFC400">
                  <a:alpha val="100000"/>
                </a:srgbClr>
              </a:solidFill>
            </a:ln>
          </c:spPr>
          <c:marker>
            <c:symbol val="none"/>
          </c:marker>
          <c:trendline>
            <c:name/>
            <c:spPr>
              <a:ln w="38100">
                <a:solidFill>
                  <a:srgbClr val="FFC400">
                    <a:alpha val="50196"/>
                  </a:srgbClr>
                </a:solidFill>
              </a:ln>
            </c:spPr>
            <c:trendlineType val="linear"/>
            <c:dispRSqr val="0"/>
            <c:dispEq val="0"/>
          </c:trendline>
          <c:cat>
            <c:strRef>
              <c:f>'Visualization All Exams'!$B$68:$AB$68</c:f>
            </c:strRef>
          </c:cat>
          <c:val>
            <c:numRef>
              <c:f>'Visualization All Exams'!$B$71:$AB$71</c:f>
              <c:numCache/>
            </c:numRef>
          </c:val>
          <c:smooth val="0"/>
        </c:ser>
        <c:ser>
          <c:idx val="3"/>
          <c:order val="3"/>
          <c:tx>
            <c:strRef>
              <c:f>'Visualization All Exams'!$A$72</c:f>
            </c:strRef>
          </c:tx>
          <c:spPr>
            <a:ln cmpd="sng" w="19050">
              <a:solidFill>
                <a:srgbClr val="009B48">
                  <a:alpha val="100000"/>
                </a:srgbClr>
              </a:solidFill>
            </a:ln>
          </c:spPr>
          <c:marker>
            <c:symbol val="none"/>
          </c:marker>
          <c:trendline>
            <c:name/>
            <c:spPr>
              <a:ln w="38100">
                <a:solidFill>
                  <a:srgbClr val="009B48">
                    <a:alpha val="50196"/>
                  </a:srgbClr>
                </a:solidFill>
              </a:ln>
            </c:spPr>
            <c:trendlineType val="linear"/>
            <c:dispRSqr val="0"/>
            <c:dispEq val="0"/>
          </c:trendline>
          <c:cat>
            <c:strRef>
              <c:f>'Visualization All Exams'!$B$68:$AB$68</c:f>
            </c:strRef>
          </c:cat>
          <c:val>
            <c:numRef>
              <c:f>'Visualization All Exams'!$B$72:$AB$72</c:f>
              <c:numCache/>
            </c:numRef>
          </c:val>
          <c:smooth val="0"/>
        </c:ser>
        <c:ser>
          <c:idx val="4"/>
          <c:order val="4"/>
          <c:tx>
            <c:strRef>
              <c:f>'Visualization All Exams'!$A$73</c:f>
            </c:strRef>
          </c:tx>
          <c:spPr>
            <a:ln cmpd="sng" w="19050">
              <a:solidFill>
                <a:srgbClr val="662D91">
                  <a:alpha val="100000"/>
                </a:srgbClr>
              </a:solidFill>
            </a:ln>
          </c:spPr>
          <c:marker>
            <c:symbol val="none"/>
          </c:marker>
          <c:trendline>
            <c:name/>
            <c:spPr>
              <a:ln w="38100">
                <a:solidFill>
                  <a:srgbClr val="662D91">
                    <a:alpha val="50196"/>
                  </a:srgbClr>
                </a:solidFill>
              </a:ln>
            </c:spPr>
            <c:trendlineType val="linear"/>
            <c:dispRSqr val="0"/>
            <c:dispEq val="0"/>
          </c:trendline>
          <c:cat>
            <c:strRef>
              <c:f>'Visualization All Exams'!$B$68:$AB$68</c:f>
            </c:strRef>
          </c:cat>
          <c:val>
            <c:numRef>
              <c:f>'Visualization All Exams'!$B$73:$AB$73</c:f>
              <c:numCache/>
            </c:numRef>
          </c:val>
          <c:smooth val="0"/>
        </c:ser>
        <c:axId val="946801190"/>
        <c:axId val="705324270"/>
      </c:lineChart>
      <c:catAx>
        <c:axId val="94680119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General Stimuli Type</a:t>
                </a:r>
              </a:p>
            </c:rich>
          </c:tx>
          <c:overlay val="0"/>
        </c:title>
        <c:numFmt formatCode="General" sourceLinked="1"/>
        <c:majorTickMark val="none"/>
        <c:minorTickMark val="none"/>
        <c:spPr/>
        <c:txPr>
          <a:bodyPr/>
          <a:lstStyle/>
          <a:p>
            <a:pPr lvl="0">
              <a:defRPr b="0">
                <a:solidFill>
                  <a:srgbClr val="000000"/>
                </a:solidFill>
                <a:latin typeface="Roboto"/>
              </a:defRPr>
            </a:pPr>
          </a:p>
        </c:txPr>
        <c:crossAx val="705324270"/>
      </c:catAx>
      <c:valAx>
        <c:axId val="7053242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4680119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Framework Unit</a:t>
            </a:r>
          </a:p>
        </c:rich>
      </c:tx>
      <c:overlay val="0"/>
    </c:title>
    <c:plotArea>
      <c:layout/>
      <c:areaChart>
        <c:grouping val="percentStacked"/>
        <c:ser>
          <c:idx val="0"/>
          <c:order val="0"/>
          <c:tx>
            <c:strRef>
              <c:f>'Visualization All Exams'!$A$76</c:f>
            </c:strRef>
          </c:tx>
          <c:spPr>
            <a:solidFill>
              <a:srgbClr val="CC0000">
                <a:alpha val="30000"/>
              </a:srgbClr>
            </a:solidFill>
            <a:ln cmpd="sng">
              <a:solidFill>
                <a:srgbClr val="CC0000">
                  <a:alpha val="100000"/>
                </a:srgbClr>
              </a:solidFill>
            </a:ln>
          </c:spPr>
          <c:cat>
            <c:strRef>
              <c:f>'Visualization All Exams'!$B$75:$AB$75</c:f>
            </c:strRef>
          </c:cat>
          <c:val>
            <c:numRef>
              <c:f>'Visualization All Exams'!$B$76:$AB$76</c:f>
              <c:numCache/>
            </c:numRef>
          </c:val>
        </c:ser>
        <c:ser>
          <c:idx val="1"/>
          <c:order val="1"/>
          <c:tx>
            <c:strRef>
              <c:f>'Visualization All Exams'!$A$77</c:f>
            </c:strRef>
          </c:tx>
          <c:spPr>
            <a:solidFill>
              <a:srgbClr val="E69138">
                <a:alpha val="30000"/>
              </a:srgbClr>
            </a:solidFill>
            <a:ln cmpd="sng">
              <a:solidFill>
                <a:srgbClr val="E69138">
                  <a:alpha val="100000"/>
                </a:srgbClr>
              </a:solidFill>
            </a:ln>
          </c:spPr>
          <c:cat>
            <c:strRef>
              <c:f>'Visualization All Exams'!$B$75:$AB$75</c:f>
            </c:strRef>
          </c:cat>
          <c:val>
            <c:numRef>
              <c:f>'Visualization All Exams'!$B$77:$AB$77</c:f>
              <c:numCache/>
            </c:numRef>
          </c:val>
        </c:ser>
        <c:ser>
          <c:idx val="2"/>
          <c:order val="2"/>
          <c:tx>
            <c:strRef>
              <c:f>'Visualization All Exams'!$A$78</c:f>
            </c:strRef>
          </c:tx>
          <c:spPr>
            <a:solidFill>
              <a:srgbClr val="F1C232">
                <a:alpha val="30000"/>
              </a:srgbClr>
            </a:solidFill>
            <a:ln cmpd="sng">
              <a:solidFill>
                <a:srgbClr val="F1C232">
                  <a:alpha val="100000"/>
                </a:srgbClr>
              </a:solidFill>
            </a:ln>
          </c:spPr>
          <c:cat>
            <c:strRef>
              <c:f>'Visualization All Exams'!$B$75:$AB$75</c:f>
            </c:strRef>
          </c:cat>
          <c:val>
            <c:numRef>
              <c:f>'Visualization All Exams'!$B$78:$AB$78</c:f>
              <c:numCache/>
            </c:numRef>
          </c:val>
        </c:ser>
        <c:ser>
          <c:idx val="3"/>
          <c:order val="3"/>
          <c:tx>
            <c:strRef>
              <c:f>'Visualization All Exams'!$A$79</c:f>
            </c:strRef>
          </c:tx>
          <c:spPr>
            <a:solidFill>
              <a:srgbClr val="6AA84F">
                <a:alpha val="30000"/>
              </a:srgbClr>
            </a:solidFill>
            <a:ln cmpd="sng">
              <a:solidFill>
                <a:srgbClr val="6AA84F">
                  <a:alpha val="100000"/>
                </a:srgbClr>
              </a:solidFill>
            </a:ln>
          </c:spPr>
          <c:cat>
            <c:strRef>
              <c:f>'Visualization All Exams'!$B$75:$AB$75</c:f>
            </c:strRef>
          </c:cat>
          <c:val>
            <c:numRef>
              <c:f>'Visualization All Exams'!$B$79:$AB$79</c:f>
              <c:numCache/>
            </c:numRef>
          </c:val>
        </c:ser>
        <c:ser>
          <c:idx val="4"/>
          <c:order val="4"/>
          <c:tx>
            <c:strRef>
              <c:f>'Visualization All Exams'!$A$80</c:f>
            </c:strRef>
          </c:tx>
          <c:spPr>
            <a:solidFill>
              <a:srgbClr val="45818E">
                <a:alpha val="30000"/>
              </a:srgbClr>
            </a:solidFill>
            <a:ln cmpd="sng">
              <a:solidFill>
                <a:srgbClr val="45818E">
                  <a:alpha val="100000"/>
                </a:srgbClr>
              </a:solidFill>
            </a:ln>
          </c:spPr>
          <c:cat>
            <c:strRef>
              <c:f>'Visualization All Exams'!$B$75:$AB$75</c:f>
            </c:strRef>
          </c:cat>
          <c:val>
            <c:numRef>
              <c:f>'Visualization All Exams'!$B$80:$AB$80</c:f>
              <c:numCache/>
            </c:numRef>
          </c:val>
        </c:ser>
        <c:ser>
          <c:idx val="5"/>
          <c:order val="5"/>
          <c:tx>
            <c:strRef>
              <c:f>'Visualization All Exams'!$A$81</c:f>
            </c:strRef>
          </c:tx>
          <c:spPr>
            <a:solidFill>
              <a:srgbClr val="3C78D8">
                <a:alpha val="30000"/>
              </a:srgbClr>
            </a:solidFill>
            <a:ln cmpd="sng">
              <a:solidFill>
                <a:srgbClr val="3C78D8">
                  <a:alpha val="100000"/>
                </a:srgbClr>
              </a:solidFill>
            </a:ln>
          </c:spPr>
          <c:cat>
            <c:strRef>
              <c:f>'Visualization All Exams'!$B$75:$AB$75</c:f>
            </c:strRef>
          </c:cat>
          <c:val>
            <c:numRef>
              <c:f>'Visualization All Exams'!$B$81:$AB$81</c:f>
              <c:numCache/>
            </c:numRef>
          </c:val>
        </c:ser>
        <c:ser>
          <c:idx val="6"/>
          <c:order val="6"/>
          <c:tx>
            <c:strRef>
              <c:f>'Visualization All Exams'!$A$82</c:f>
            </c:strRef>
          </c:tx>
          <c:spPr>
            <a:solidFill>
              <a:srgbClr val="3D85C6">
                <a:alpha val="30000"/>
              </a:srgbClr>
            </a:solidFill>
            <a:ln cmpd="sng">
              <a:solidFill>
                <a:srgbClr val="3D85C6">
                  <a:alpha val="100000"/>
                </a:srgbClr>
              </a:solidFill>
            </a:ln>
          </c:spPr>
          <c:cat>
            <c:strRef>
              <c:f>'Visualization All Exams'!$B$75:$AB$75</c:f>
            </c:strRef>
          </c:cat>
          <c:val>
            <c:numRef>
              <c:f>'Visualization All Exams'!$B$82:$AB$82</c:f>
              <c:numCache/>
            </c:numRef>
          </c:val>
        </c:ser>
        <c:ser>
          <c:idx val="7"/>
          <c:order val="7"/>
          <c:tx>
            <c:strRef>
              <c:f>'Visualization All Exams'!$A$83</c:f>
            </c:strRef>
          </c:tx>
          <c:spPr>
            <a:solidFill>
              <a:srgbClr val="674EA7">
                <a:alpha val="30000"/>
              </a:srgbClr>
            </a:solidFill>
            <a:ln cmpd="sng">
              <a:solidFill>
                <a:srgbClr val="674EA7">
                  <a:alpha val="100000"/>
                </a:srgbClr>
              </a:solidFill>
            </a:ln>
          </c:spPr>
          <c:cat>
            <c:strRef>
              <c:f>'Visualization All Exams'!$B$75:$AB$75</c:f>
            </c:strRef>
          </c:cat>
          <c:val>
            <c:numRef>
              <c:f>'Visualization All Exams'!$B$83:$AB$83</c:f>
              <c:numCache/>
            </c:numRef>
          </c:val>
        </c:ser>
        <c:ser>
          <c:idx val="8"/>
          <c:order val="8"/>
          <c:tx>
            <c:strRef>
              <c:f>'Visualization All Exams'!$A$84</c:f>
            </c:strRef>
          </c:tx>
          <c:spPr>
            <a:solidFill>
              <a:srgbClr val="A64D79">
                <a:alpha val="30000"/>
              </a:srgbClr>
            </a:solidFill>
            <a:ln cmpd="sng">
              <a:solidFill>
                <a:srgbClr val="A64D79">
                  <a:alpha val="100000"/>
                </a:srgbClr>
              </a:solidFill>
            </a:ln>
          </c:spPr>
          <c:cat>
            <c:strRef>
              <c:f>'Visualization All Exams'!$B$75:$AB$75</c:f>
            </c:strRef>
          </c:cat>
          <c:val>
            <c:numRef>
              <c:f>'Visualization All Exams'!$B$84:$AB$84</c:f>
              <c:numCache/>
            </c:numRef>
          </c:val>
        </c:ser>
        <c:ser>
          <c:idx val="9"/>
          <c:order val="9"/>
          <c:tx>
            <c:strRef>
              <c:f>'Visualization All Exams'!$A$85</c:f>
            </c:strRef>
          </c:tx>
          <c:spPr>
            <a:solidFill>
              <a:srgbClr val="A61C00">
                <a:alpha val="30000"/>
              </a:srgbClr>
            </a:solidFill>
            <a:ln cmpd="sng">
              <a:solidFill>
                <a:srgbClr val="A61C00">
                  <a:alpha val="100000"/>
                </a:srgbClr>
              </a:solidFill>
            </a:ln>
          </c:spPr>
          <c:cat>
            <c:strRef>
              <c:f>'Visualization All Exams'!$B$75:$AB$75</c:f>
            </c:strRef>
          </c:cat>
          <c:val>
            <c:numRef>
              <c:f>'Visualization All Exams'!$B$85:$AB$85</c:f>
              <c:numCache/>
            </c:numRef>
          </c:val>
        </c:ser>
        <c:ser>
          <c:idx val="10"/>
          <c:order val="10"/>
          <c:tx>
            <c:strRef>
              <c:f>'Visualization All Exams'!$A$86</c:f>
            </c:strRef>
          </c:tx>
          <c:spPr>
            <a:solidFill>
              <a:srgbClr val="666666">
                <a:alpha val="30000"/>
              </a:srgbClr>
            </a:solidFill>
            <a:ln cmpd="sng">
              <a:solidFill>
                <a:srgbClr val="666666">
                  <a:alpha val="100000"/>
                </a:srgbClr>
              </a:solidFill>
            </a:ln>
          </c:spPr>
          <c:cat>
            <c:strRef>
              <c:f>'Visualization All Exams'!$B$75:$AB$75</c:f>
            </c:strRef>
          </c:cat>
          <c:val>
            <c:numRef>
              <c:f>'Visualization All Exams'!$B$86:$AB$86</c:f>
              <c:numCache/>
            </c:numRef>
          </c:val>
        </c:ser>
        <c:axId val="1837357017"/>
        <c:axId val="64559424"/>
      </c:areaChart>
      <c:catAx>
        <c:axId val="183735701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Framework Unit</a:t>
                </a:r>
              </a:p>
            </c:rich>
          </c:tx>
          <c:overlay val="0"/>
        </c:title>
        <c:numFmt formatCode="General" sourceLinked="1"/>
        <c:majorTickMark val="none"/>
        <c:minorTickMark val="none"/>
        <c:spPr/>
        <c:txPr>
          <a:bodyPr/>
          <a:lstStyle/>
          <a:p>
            <a:pPr lvl="0">
              <a:defRPr b="0">
                <a:solidFill>
                  <a:srgbClr val="000000"/>
                </a:solidFill>
                <a:latin typeface="Roboto"/>
              </a:defRPr>
            </a:pPr>
          </a:p>
        </c:txPr>
        <c:crossAx val="64559424"/>
      </c:catAx>
      <c:valAx>
        <c:axId val="645594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37357017"/>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Needs Outside Information</a:t>
            </a:r>
          </a:p>
        </c:rich>
      </c:tx>
      <c:overlay val="0"/>
    </c:title>
    <c:plotArea>
      <c:layout/>
      <c:lineChart>
        <c:ser>
          <c:idx val="0"/>
          <c:order val="0"/>
          <c:tx>
            <c:strRef>
              <c:f>'Visualization All Exams'!$A$109</c:f>
            </c:strRef>
          </c:tx>
          <c:spPr>
            <a:ln cmpd="sng" w="19050">
              <a:solidFill>
                <a:srgbClr val="0264C9">
                  <a:alpha val="100000"/>
                </a:srgbClr>
              </a:solidFill>
            </a:ln>
          </c:spPr>
          <c:marker>
            <c:symbol val="none"/>
          </c:marker>
          <c:trendline>
            <c:name/>
            <c:spPr>
              <a:ln w="38100">
                <a:solidFill>
                  <a:srgbClr val="0264C9">
                    <a:alpha val="50196"/>
                  </a:srgbClr>
                </a:solidFill>
              </a:ln>
            </c:spPr>
            <c:trendlineType val="linear"/>
            <c:dispRSqr val="0"/>
            <c:dispEq val="0"/>
          </c:trendline>
          <c:cat>
            <c:strRef>
              <c:f>'Visualization All Exams'!$B$108:$AB$108</c:f>
            </c:strRef>
          </c:cat>
          <c:val>
            <c:numRef>
              <c:f>'Visualization All Exams'!$B$109:$AB$109</c:f>
              <c:numCache/>
            </c:numRef>
          </c:val>
          <c:smooth val="0"/>
        </c:ser>
        <c:ser>
          <c:idx val="1"/>
          <c:order val="1"/>
          <c:tx>
            <c:strRef>
              <c:f>'Visualization All Exams'!$A$110</c:f>
            </c:strRef>
          </c:tx>
          <c:spPr>
            <a:ln cmpd="sng" w="19050">
              <a:solidFill>
                <a:srgbClr val="C20018">
                  <a:alpha val="100000"/>
                </a:srgbClr>
              </a:solidFill>
            </a:ln>
          </c:spPr>
          <c:marker>
            <c:symbol val="none"/>
          </c:marker>
          <c:trendline>
            <c:name/>
            <c:spPr>
              <a:ln w="38100">
                <a:solidFill>
                  <a:srgbClr val="C20018">
                    <a:alpha val="50196"/>
                  </a:srgbClr>
                </a:solidFill>
              </a:ln>
            </c:spPr>
            <c:trendlineType val="linear"/>
            <c:dispRSqr val="0"/>
            <c:dispEq val="0"/>
          </c:trendline>
          <c:cat>
            <c:strRef>
              <c:f>'Visualization All Exams'!$B$108:$AB$108</c:f>
            </c:strRef>
          </c:cat>
          <c:val>
            <c:numRef>
              <c:f>'Visualization All Exams'!$B$110:$AB$110</c:f>
              <c:numCache/>
            </c:numRef>
          </c:val>
          <c:smooth val="0"/>
        </c:ser>
        <c:axId val="1797842306"/>
        <c:axId val="668733349"/>
      </c:lineChart>
      <c:catAx>
        <c:axId val="179784230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Needs Outside Infromation</a:t>
                </a:r>
              </a:p>
            </c:rich>
          </c:tx>
          <c:overlay val="0"/>
        </c:title>
        <c:numFmt formatCode="General" sourceLinked="1"/>
        <c:majorTickMark val="none"/>
        <c:minorTickMark val="none"/>
        <c:spPr/>
        <c:txPr>
          <a:bodyPr/>
          <a:lstStyle/>
          <a:p>
            <a:pPr lvl="0">
              <a:defRPr b="0">
                <a:solidFill>
                  <a:srgbClr val="000000"/>
                </a:solidFill>
                <a:latin typeface="Roboto"/>
              </a:defRPr>
            </a:pPr>
          </a:p>
        </c:txPr>
        <c:crossAx val="668733349"/>
      </c:catAx>
      <c:valAx>
        <c:axId val="668733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97842306"/>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Primary or Secondary</a:t>
            </a:r>
          </a:p>
        </c:rich>
      </c:tx>
      <c:overlay val="0"/>
    </c:title>
    <c:plotArea>
      <c:layout/>
      <c:lineChart>
        <c:ser>
          <c:idx val="0"/>
          <c:order val="0"/>
          <c:tx>
            <c:strRef>
              <c:f>'Copy of Visualization All Exams'!$A$64</c:f>
            </c:strRef>
          </c:tx>
          <c:spPr>
            <a:ln cmpd="sng" w="38100">
              <a:solidFill>
                <a:srgbClr val="0264C9">
                  <a:alpha val="100000"/>
                </a:srgbClr>
              </a:solidFill>
            </a:ln>
          </c:spPr>
          <c:marker>
            <c:symbol val="none"/>
          </c:marker>
          <c:trendline>
            <c:name/>
            <c:spPr>
              <a:ln w="19050">
                <a:solidFill>
                  <a:srgbClr val="0264C9">
                    <a:alpha val="50196"/>
                  </a:srgbClr>
                </a:solidFill>
              </a:ln>
            </c:spPr>
            <c:trendlineType val="linear"/>
            <c:dispRSqr val="0"/>
            <c:dispEq val="0"/>
          </c:trendline>
          <c:cat>
            <c:strRef>
              <c:f>'Copy of Visualization All Exams'!$B$63:$W$63</c:f>
            </c:strRef>
          </c:cat>
          <c:val>
            <c:numRef>
              <c:f>'Copy of Visualization All Exams'!$B$64:$W$64</c:f>
              <c:numCache/>
            </c:numRef>
          </c:val>
          <c:smooth val="0"/>
        </c:ser>
        <c:ser>
          <c:idx val="1"/>
          <c:order val="1"/>
          <c:tx>
            <c:strRef>
              <c:f>'Copy of Visualization All Exams'!$A$65</c:f>
            </c:strRef>
          </c:tx>
          <c:spPr>
            <a:ln cmpd="sng" w="38100">
              <a:solidFill>
                <a:srgbClr val="C20018">
                  <a:alpha val="100000"/>
                </a:srgbClr>
              </a:solidFill>
            </a:ln>
          </c:spPr>
          <c:marker>
            <c:symbol val="none"/>
          </c:marker>
          <c:trendline>
            <c:name/>
            <c:spPr>
              <a:ln w="19050">
                <a:solidFill>
                  <a:srgbClr val="C20018">
                    <a:alpha val="50196"/>
                  </a:srgbClr>
                </a:solidFill>
              </a:ln>
            </c:spPr>
            <c:trendlineType val="linear"/>
            <c:dispRSqr val="0"/>
            <c:dispEq val="0"/>
          </c:trendline>
          <c:cat>
            <c:strRef>
              <c:f>'Copy of Visualization All Exams'!$B$63:$W$63</c:f>
            </c:strRef>
          </c:cat>
          <c:val>
            <c:numRef>
              <c:f>'Copy of Visualization All Exams'!$B$65:$W$65</c:f>
              <c:numCache/>
            </c:numRef>
          </c:val>
          <c:smooth val="0"/>
        </c:ser>
        <c:ser>
          <c:idx val="2"/>
          <c:order val="2"/>
          <c:tx>
            <c:strRef>
              <c:f>'Copy of Visualization All Exams'!$A$66</c:f>
            </c:strRef>
          </c:tx>
          <c:spPr>
            <a:ln cmpd="sng" w="38100">
              <a:solidFill>
                <a:srgbClr val="662D91">
                  <a:alpha val="100000"/>
                </a:srgbClr>
              </a:solidFill>
            </a:ln>
          </c:spPr>
          <c:marker>
            <c:symbol val="none"/>
          </c:marker>
          <c:trendline>
            <c:name/>
            <c:spPr>
              <a:ln w="19050">
                <a:solidFill>
                  <a:srgbClr val="662D91">
                    <a:alpha val="50196"/>
                  </a:srgbClr>
                </a:solidFill>
              </a:ln>
            </c:spPr>
            <c:trendlineType val="linear"/>
            <c:dispRSqr val="0"/>
            <c:dispEq val="0"/>
          </c:trendline>
          <c:cat>
            <c:strRef>
              <c:f>'Copy of Visualization All Exams'!$B$63:$W$63</c:f>
            </c:strRef>
          </c:cat>
          <c:val>
            <c:numRef>
              <c:f>'Copy of Visualization All Exams'!$B$66:$W$66</c:f>
              <c:numCache/>
            </c:numRef>
          </c:val>
          <c:smooth val="0"/>
        </c:ser>
        <c:axId val="1649981603"/>
        <c:axId val="1815320901"/>
      </c:lineChart>
      <c:catAx>
        <c:axId val="16499816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Primary or Secondary</a:t>
                </a:r>
              </a:p>
            </c:rich>
          </c:tx>
          <c:overlay val="0"/>
        </c:title>
        <c:numFmt formatCode="General" sourceLinked="1"/>
        <c:majorTickMark val="none"/>
        <c:minorTickMark val="none"/>
        <c:spPr/>
        <c:txPr>
          <a:bodyPr/>
          <a:lstStyle/>
          <a:p>
            <a:pPr lvl="0">
              <a:defRPr b="0">
                <a:solidFill>
                  <a:srgbClr val="000000"/>
                </a:solidFill>
                <a:latin typeface="Roboto"/>
              </a:defRPr>
            </a:pPr>
          </a:p>
        </c:txPr>
        <c:crossAx val="1815320901"/>
      </c:catAx>
      <c:valAx>
        <c:axId val="18153209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49981603"/>
      </c:valAx>
    </c:plotArea>
    <c:legend>
      <c:legendPos val="r"/>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General Stimuli Type</a:t>
            </a:r>
          </a:p>
        </c:rich>
      </c:tx>
      <c:overlay val="0"/>
    </c:title>
    <c:plotArea>
      <c:layout/>
      <c:lineChart>
        <c:ser>
          <c:idx val="0"/>
          <c:order val="0"/>
          <c:tx>
            <c:strRef>
              <c:f>'Copy of Visualization All Exams'!$A$69</c:f>
            </c:strRef>
          </c:tx>
          <c:spPr>
            <a:ln cmpd="sng" w="38100">
              <a:solidFill>
                <a:srgbClr val="0264C9">
                  <a:alpha val="100000"/>
                </a:srgbClr>
              </a:solidFill>
            </a:ln>
          </c:spPr>
          <c:marker>
            <c:symbol val="none"/>
          </c:marker>
          <c:trendline>
            <c:name/>
            <c:spPr>
              <a:ln w="19050">
                <a:solidFill>
                  <a:srgbClr val="0264C9">
                    <a:alpha val="50196"/>
                  </a:srgbClr>
                </a:solidFill>
              </a:ln>
            </c:spPr>
            <c:trendlineType val="linear"/>
            <c:dispRSqr val="0"/>
            <c:dispEq val="0"/>
          </c:trendline>
          <c:cat>
            <c:strRef>
              <c:f>'Copy of Visualization All Exams'!$B$68:$C$68</c:f>
            </c:strRef>
          </c:cat>
          <c:val>
            <c:numRef>
              <c:f>'Copy of Visualization All Exams'!$B$69:$C$69</c:f>
              <c:numCache/>
            </c:numRef>
          </c:val>
          <c:smooth val="0"/>
        </c:ser>
        <c:ser>
          <c:idx val="1"/>
          <c:order val="1"/>
          <c:tx>
            <c:strRef>
              <c:f>'Copy of Visualization All Exams'!$A$70</c:f>
            </c:strRef>
          </c:tx>
          <c:spPr>
            <a:ln cmpd="sng" w="38100">
              <a:solidFill>
                <a:srgbClr val="C20018">
                  <a:alpha val="100000"/>
                </a:srgbClr>
              </a:solidFill>
            </a:ln>
          </c:spPr>
          <c:marker>
            <c:symbol val="none"/>
          </c:marker>
          <c:trendline>
            <c:name/>
            <c:spPr>
              <a:ln w="19050">
                <a:solidFill>
                  <a:srgbClr val="C20018">
                    <a:alpha val="50196"/>
                  </a:srgbClr>
                </a:solidFill>
              </a:ln>
            </c:spPr>
            <c:trendlineType val="linear"/>
            <c:dispRSqr val="0"/>
            <c:dispEq val="0"/>
          </c:trendline>
          <c:cat>
            <c:strRef>
              <c:f>'Copy of Visualization All Exams'!$B$68:$C$68</c:f>
            </c:strRef>
          </c:cat>
          <c:val>
            <c:numRef>
              <c:f>'Copy of Visualization All Exams'!$B$70:$C$70</c:f>
              <c:numCache/>
            </c:numRef>
          </c:val>
          <c:smooth val="0"/>
        </c:ser>
        <c:ser>
          <c:idx val="2"/>
          <c:order val="2"/>
          <c:tx>
            <c:strRef>
              <c:f>'Copy of Visualization All Exams'!$A$71</c:f>
            </c:strRef>
          </c:tx>
          <c:spPr>
            <a:ln cmpd="sng" w="38100">
              <a:solidFill>
                <a:srgbClr val="FFC400">
                  <a:alpha val="100000"/>
                </a:srgbClr>
              </a:solidFill>
            </a:ln>
          </c:spPr>
          <c:marker>
            <c:symbol val="none"/>
          </c:marker>
          <c:trendline>
            <c:name/>
            <c:spPr>
              <a:ln w="19050">
                <a:solidFill>
                  <a:srgbClr val="FFC400">
                    <a:alpha val="50196"/>
                  </a:srgbClr>
                </a:solidFill>
              </a:ln>
            </c:spPr>
            <c:trendlineType val="linear"/>
            <c:dispRSqr val="0"/>
            <c:dispEq val="0"/>
          </c:trendline>
          <c:cat>
            <c:strRef>
              <c:f>'Copy of Visualization All Exams'!$B$68:$C$68</c:f>
            </c:strRef>
          </c:cat>
          <c:val>
            <c:numRef>
              <c:f>'Copy of Visualization All Exams'!$B$71:$C$71</c:f>
              <c:numCache/>
            </c:numRef>
          </c:val>
          <c:smooth val="0"/>
        </c:ser>
        <c:ser>
          <c:idx val="3"/>
          <c:order val="3"/>
          <c:tx>
            <c:strRef>
              <c:f>'Copy of Visualization All Exams'!$A$72</c:f>
            </c:strRef>
          </c:tx>
          <c:spPr>
            <a:ln cmpd="sng" w="38100">
              <a:solidFill>
                <a:srgbClr val="009B48">
                  <a:alpha val="100000"/>
                </a:srgbClr>
              </a:solidFill>
            </a:ln>
          </c:spPr>
          <c:marker>
            <c:symbol val="none"/>
          </c:marker>
          <c:trendline>
            <c:name/>
            <c:spPr>
              <a:ln w="19050">
                <a:solidFill>
                  <a:srgbClr val="009B48">
                    <a:alpha val="50196"/>
                  </a:srgbClr>
                </a:solidFill>
              </a:ln>
            </c:spPr>
            <c:trendlineType val="linear"/>
            <c:dispRSqr val="0"/>
            <c:dispEq val="0"/>
          </c:trendline>
          <c:cat>
            <c:strRef>
              <c:f>'Copy of Visualization All Exams'!$B$68:$C$68</c:f>
            </c:strRef>
          </c:cat>
          <c:val>
            <c:numRef>
              <c:f>'Copy of Visualization All Exams'!$B$72:$C$72</c:f>
              <c:numCache/>
            </c:numRef>
          </c:val>
          <c:smooth val="0"/>
        </c:ser>
        <c:ser>
          <c:idx val="4"/>
          <c:order val="4"/>
          <c:tx>
            <c:strRef>
              <c:f>'Copy of Visualization All Exams'!$A$73</c:f>
            </c:strRef>
          </c:tx>
          <c:spPr>
            <a:ln cmpd="sng" w="38100">
              <a:solidFill>
                <a:srgbClr val="662D91">
                  <a:alpha val="100000"/>
                </a:srgbClr>
              </a:solidFill>
            </a:ln>
          </c:spPr>
          <c:marker>
            <c:symbol val="none"/>
          </c:marker>
          <c:trendline>
            <c:name/>
            <c:spPr>
              <a:ln w="19050">
                <a:solidFill>
                  <a:srgbClr val="662D91">
                    <a:alpha val="50196"/>
                  </a:srgbClr>
                </a:solidFill>
              </a:ln>
            </c:spPr>
            <c:trendlineType val="linear"/>
            <c:dispRSqr val="0"/>
            <c:dispEq val="0"/>
          </c:trendline>
          <c:cat>
            <c:strRef>
              <c:f>'Copy of Visualization All Exams'!$B$68:$C$68</c:f>
            </c:strRef>
          </c:cat>
          <c:val>
            <c:numRef>
              <c:f>'Copy of Visualization All Exams'!$B$73:$C$73</c:f>
              <c:numCache/>
            </c:numRef>
          </c:val>
          <c:smooth val="0"/>
        </c:ser>
        <c:axId val="1121035347"/>
        <c:axId val="1546115231"/>
      </c:lineChart>
      <c:catAx>
        <c:axId val="112103534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General Stimuli Type</a:t>
                </a:r>
              </a:p>
            </c:rich>
          </c:tx>
          <c:overlay val="0"/>
        </c:title>
        <c:numFmt formatCode="General" sourceLinked="1"/>
        <c:majorTickMark val="none"/>
        <c:minorTickMark val="none"/>
        <c:spPr/>
        <c:txPr>
          <a:bodyPr/>
          <a:lstStyle/>
          <a:p>
            <a:pPr lvl="0">
              <a:defRPr b="0">
                <a:solidFill>
                  <a:srgbClr val="000000"/>
                </a:solidFill>
                <a:latin typeface="Roboto"/>
              </a:defRPr>
            </a:pPr>
          </a:p>
        </c:txPr>
        <c:crossAx val="1546115231"/>
      </c:catAx>
      <c:valAx>
        <c:axId val="15461152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21035347"/>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Framework Unit</a:t>
            </a:r>
          </a:p>
        </c:rich>
      </c:tx>
      <c:overlay val="0"/>
    </c:title>
    <c:plotArea>
      <c:layout/>
      <c:areaChart>
        <c:grouping val="percentStacked"/>
        <c:ser>
          <c:idx val="0"/>
          <c:order val="0"/>
          <c:tx>
            <c:strRef>
              <c:f>'Copy of Visualization All Exams'!$A$76</c:f>
            </c:strRef>
          </c:tx>
          <c:spPr>
            <a:solidFill>
              <a:srgbClr val="CC0000">
                <a:alpha val="30000"/>
              </a:srgbClr>
            </a:solidFill>
            <a:ln cmpd="sng">
              <a:solidFill>
                <a:srgbClr val="CC0000">
                  <a:alpha val="100000"/>
                </a:srgbClr>
              </a:solidFill>
            </a:ln>
          </c:spPr>
          <c:cat>
            <c:strRef>
              <c:f>'Copy of Visualization All Exams'!$B$75:$W$75</c:f>
            </c:strRef>
          </c:cat>
          <c:val>
            <c:numRef>
              <c:f>'Copy of Visualization All Exams'!$B$76:$W$76</c:f>
              <c:numCache/>
            </c:numRef>
          </c:val>
        </c:ser>
        <c:ser>
          <c:idx val="1"/>
          <c:order val="1"/>
          <c:tx>
            <c:strRef>
              <c:f>'Copy of Visualization All Exams'!$A$77</c:f>
            </c:strRef>
          </c:tx>
          <c:spPr>
            <a:solidFill>
              <a:srgbClr val="E69138">
                <a:alpha val="30000"/>
              </a:srgbClr>
            </a:solidFill>
            <a:ln cmpd="sng">
              <a:solidFill>
                <a:srgbClr val="E69138">
                  <a:alpha val="100000"/>
                </a:srgbClr>
              </a:solidFill>
            </a:ln>
          </c:spPr>
          <c:cat>
            <c:strRef>
              <c:f>'Copy of Visualization All Exams'!$B$75:$W$75</c:f>
            </c:strRef>
          </c:cat>
          <c:val>
            <c:numRef>
              <c:f>'Copy of Visualization All Exams'!$B$77:$W$77</c:f>
              <c:numCache/>
            </c:numRef>
          </c:val>
        </c:ser>
        <c:ser>
          <c:idx val="2"/>
          <c:order val="2"/>
          <c:tx>
            <c:strRef>
              <c:f>'Copy of Visualization All Exams'!$A$78</c:f>
            </c:strRef>
          </c:tx>
          <c:spPr>
            <a:solidFill>
              <a:srgbClr val="F1C232">
                <a:alpha val="30000"/>
              </a:srgbClr>
            </a:solidFill>
            <a:ln cmpd="sng">
              <a:solidFill>
                <a:srgbClr val="F1C232">
                  <a:alpha val="100000"/>
                </a:srgbClr>
              </a:solidFill>
            </a:ln>
          </c:spPr>
          <c:cat>
            <c:strRef>
              <c:f>'Copy of Visualization All Exams'!$B$75:$W$75</c:f>
            </c:strRef>
          </c:cat>
          <c:val>
            <c:numRef>
              <c:f>'Copy of Visualization All Exams'!$B$78:$W$78</c:f>
              <c:numCache/>
            </c:numRef>
          </c:val>
        </c:ser>
        <c:ser>
          <c:idx val="3"/>
          <c:order val="3"/>
          <c:tx>
            <c:strRef>
              <c:f>'Copy of Visualization All Exams'!$A$79</c:f>
            </c:strRef>
          </c:tx>
          <c:spPr>
            <a:solidFill>
              <a:srgbClr val="6AA84F">
                <a:alpha val="30000"/>
              </a:srgbClr>
            </a:solidFill>
            <a:ln cmpd="sng">
              <a:solidFill>
                <a:srgbClr val="6AA84F">
                  <a:alpha val="100000"/>
                </a:srgbClr>
              </a:solidFill>
            </a:ln>
          </c:spPr>
          <c:cat>
            <c:strRef>
              <c:f>'Copy of Visualization All Exams'!$B$75:$W$75</c:f>
            </c:strRef>
          </c:cat>
          <c:val>
            <c:numRef>
              <c:f>'Copy of Visualization All Exams'!$B$79:$W$79</c:f>
              <c:numCache/>
            </c:numRef>
          </c:val>
        </c:ser>
        <c:ser>
          <c:idx val="4"/>
          <c:order val="4"/>
          <c:tx>
            <c:strRef>
              <c:f>'Copy of Visualization All Exams'!$A$80</c:f>
            </c:strRef>
          </c:tx>
          <c:spPr>
            <a:solidFill>
              <a:srgbClr val="45818E">
                <a:alpha val="30000"/>
              </a:srgbClr>
            </a:solidFill>
            <a:ln cmpd="sng">
              <a:solidFill>
                <a:srgbClr val="45818E">
                  <a:alpha val="100000"/>
                </a:srgbClr>
              </a:solidFill>
            </a:ln>
          </c:spPr>
          <c:cat>
            <c:strRef>
              <c:f>'Copy of Visualization All Exams'!$B$75:$W$75</c:f>
            </c:strRef>
          </c:cat>
          <c:val>
            <c:numRef>
              <c:f>'Copy of Visualization All Exams'!$B$80:$W$80</c:f>
              <c:numCache/>
            </c:numRef>
          </c:val>
        </c:ser>
        <c:ser>
          <c:idx val="5"/>
          <c:order val="5"/>
          <c:tx>
            <c:strRef>
              <c:f>'Copy of Visualization All Exams'!$A$81</c:f>
            </c:strRef>
          </c:tx>
          <c:spPr>
            <a:solidFill>
              <a:srgbClr val="3C78D8">
                <a:alpha val="30000"/>
              </a:srgbClr>
            </a:solidFill>
            <a:ln cmpd="sng">
              <a:solidFill>
                <a:srgbClr val="3C78D8">
                  <a:alpha val="100000"/>
                </a:srgbClr>
              </a:solidFill>
            </a:ln>
          </c:spPr>
          <c:cat>
            <c:strRef>
              <c:f>'Copy of Visualization All Exams'!$B$75:$W$75</c:f>
            </c:strRef>
          </c:cat>
          <c:val>
            <c:numRef>
              <c:f>'Copy of Visualization All Exams'!$B$81:$W$81</c:f>
              <c:numCache/>
            </c:numRef>
          </c:val>
        </c:ser>
        <c:ser>
          <c:idx val="6"/>
          <c:order val="6"/>
          <c:tx>
            <c:strRef>
              <c:f>'Copy of Visualization All Exams'!$A$82</c:f>
            </c:strRef>
          </c:tx>
          <c:spPr>
            <a:solidFill>
              <a:srgbClr val="3D85C6">
                <a:alpha val="30000"/>
              </a:srgbClr>
            </a:solidFill>
            <a:ln cmpd="sng">
              <a:solidFill>
                <a:srgbClr val="3D85C6">
                  <a:alpha val="100000"/>
                </a:srgbClr>
              </a:solidFill>
            </a:ln>
          </c:spPr>
          <c:cat>
            <c:strRef>
              <c:f>'Copy of Visualization All Exams'!$B$75:$W$75</c:f>
            </c:strRef>
          </c:cat>
          <c:val>
            <c:numRef>
              <c:f>'Copy of Visualization All Exams'!$B$82:$W$82</c:f>
              <c:numCache/>
            </c:numRef>
          </c:val>
        </c:ser>
        <c:ser>
          <c:idx val="7"/>
          <c:order val="7"/>
          <c:tx>
            <c:strRef>
              <c:f>'Copy of Visualization All Exams'!$A$83</c:f>
            </c:strRef>
          </c:tx>
          <c:spPr>
            <a:solidFill>
              <a:srgbClr val="674EA7">
                <a:alpha val="30000"/>
              </a:srgbClr>
            </a:solidFill>
            <a:ln cmpd="sng">
              <a:solidFill>
                <a:srgbClr val="674EA7">
                  <a:alpha val="100000"/>
                </a:srgbClr>
              </a:solidFill>
            </a:ln>
          </c:spPr>
          <c:cat>
            <c:strRef>
              <c:f>'Copy of Visualization All Exams'!$B$75:$W$75</c:f>
            </c:strRef>
          </c:cat>
          <c:val>
            <c:numRef>
              <c:f>'Copy of Visualization All Exams'!$B$83:$W$83</c:f>
              <c:numCache/>
            </c:numRef>
          </c:val>
        </c:ser>
        <c:ser>
          <c:idx val="8"/>
          <c:order val="8"/>
          <c:tx>
            <c:strRef>
              <c:f>'Copy of Visualization All Exams'!$A$84</c:f>
            </c:strRef>
          </c:tx>
          <c:spPr>
            <a:solidFill>
              <a:srgbClr val="A64D79">
                <a:alpha val="30000"/>
              </a:srgbClr>
            </a:solidFill>
            <a:ln cmpd="sng">
              <a:solidFill>
                <a:srgbClr val="A64D79">
                  <a:alpha val="100000"/>
                </a:srgbClr>
              </a:solidFill>
            </a:ln>
          </c:spPr>
          <c:cat>
            <c:strRef>
              <c:f>'Copy of Visualization All Exams'!$B$75:$W$75</c:f>
            </c:strRef>
          </c:cat>
          <c:val>
            <c:numRef>
              <c:f>'Copy of Visualization All Exams'!$B$84:$W$84</c:f>
              <c:numCache/>
            </c:numRef>
          </c:val>
        </c:ser>
        <c:ser>
          <c:idx val="9"/>
          <c:order val="9"/>
          <c:tx>
            <c:strRef>
              <c:f>'Copy of Visualization All Exams'!$A$85</c:f>
            </c:strRef>
          </c:tx>
          <c:spPr>
            <a:solidFill>
              <a:srgbClr val="A61C00">
                <a:alpha val="30000"/>
              </a:srgbClr>
            </a:solidFill>
            <a:ln cmpd="sng">
              <a:solidFill>
                <a:srgbClr val="A61C00">
                  <a:alpha val="100000"/>
                </a:srgbClr>
              </a:solidFill>
            </a:ln>
          </c:spPr>
          <c:cat>
            <c:strRef>
              <c:f>'Copy of Visualization All Exams'!$B$75:$W$75</c:f>
            </c:strRef>
          </c:cat>
          <c:val>
            <c:numRef>
              <c:f>'Copy of Visualization All Exams'!$B$85:$W$85</c:f>
              <c:numCache/>
            </c:numRef>
          </c:val>
        </c:ser>
        <c:ser>
          <c:idx val="10"/>
          <c:order val="10"/>
          <c:tx>
            <c:strRef>
              <c:f>'Copy of Visualization All Exams'!$A$86</c:f>
            </c:strRef>
          </c:tx>
          <c:spPr>
            <a:solidFill>
              <a:srgbClr val="666666">
                <a:alpha val="30000"/>
              </a:srgbClr>
            </a:solidFill>
            <a:ln cmpd="sng">
              <a:solidFill>
                <a:srgbClr val="666666">
                  <a:alpha val="100000"/>
                </a:srgbClr>
              </a:solidFill>
            </a:ln>
          </c:spPr>
          <c:cat>
            <c:strRef>
              <c:f>'Copy of Visualization All Exams'!$B$75:$W$75</c:f>
            </c:strRef>
          </c:cat>
          <c:val>
            <c:numRef>
              <c:f>'Copy of Visualization All Exams'!$B$86:$W$86</c:f>
              <c:numCache/>
            </c:numRef>
          </c:val>
        </c:ser>
        <c:axId val="1752896015"/>
        <c:axId val="540725467"/>
      </c:areaChart>
      <c:catAx>
        <c:axId val="175289601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Framework Unit</a:t>
                </a:r>
              </a:p>
            </c:rich>
          </c:tx>
          <c:overlay val="0"/>
        </c:title>
        <c:numFmt formatCode="General" sourceLinked="1"/>
        <c:majorTickMark val="none"/>
        <c:minorTickMark val="none"/>
        <c:spPr/>
        <c:txPr>
          <a:bodyPr/>
          <a:lstStyle/>
          <a:p>
            <a:pPr lvl="0">
              <a:defRPr b="0">
                <a:solidFill>
                  <a:srgbClr val="000000"/>
                </a:solidFill>
                <a:latin typeface="Roboto"/>
              </a:defRPr>
            </a:pPr>
          </a:p>
        </c:txPr>
        <c:crossAx val="540725467"/>
      </c:catAx>
      <c:valAx>
        <c:axId val="5407254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52896015"/>
      </c:valAx>
    </c:plotArea>
    <c:legend>
      <c:legendPos val="r"/>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Needs Outside Information</a:t>
            </a:r>
          </a:p>
        </c:rich>
      </c:tx>
      <c:overlay val="0"/>
    </c:title>
    <c:plotArea>
      <c:layout/>
      <c:lineChart>
        <c:ser>
          <c:idx val="0"/>
          <c:order val="0"/>
          <c:tx>
            <c:strRef>
              <c:f>'Copy of Visualization All Exams'!$A$109</c:f>
            </c:strRef>
          </c:tx>
          <c:spPr>
            <a:ln cmpd="sng" w="38100">
              <a:solidFill>
                <a:srgbClr val="0264C9">
                  <a:alpha val="100000"/>
                </a:srgbClr>
              </a:solidFill>
            </a:ln>
          </c:spPr>
          <c:marker>
            <c:symbol val="none"/>
          </c:marker>
          <c:trendline>
            <c:name/>
            <c:spPr>
              <a:ln w="19050">
                <a:solidFill>
                  <a:srgbClr val="0264C9">
                    <a:alpha val="50196"/>
                  </a:srgbClr>
                </a:solidFill>
              </a:ln>
            </c:spPr>
            <c:trendlineType val="linear"/>
            <c:dispRSqr val="0"/>
            <c:dispEq val="0"/>
          </c:trendline>
          <c:cat>
            <c:strRef>
              <c:f>'Copy of Visualization All Exams'!$B$108:$C$108</c:f>
            </c:strRef>
          </c:cat>
          <c:val>
            <c:numRef>
              <c:f>'Copy of Visualization All Exams'!$B$109:$C$109</c:f>
              <c:numCache/>
            </c:numRef>
          </c:val>
          <c:smooth val="0"/>
        </c:ser>
        <c:ser>
          <c:idx val="1"/>
          <c:order val="1"/>
          <c:tx>
            <c:strRef>
              <c:f>'Copy of Visualization All Exams'!$A$110</c:f>
            </c:strRef>
          </c:tx>
          <c:spPr>
            <a:ln cmpd="sng" w="38100">
              <a:solidFill>
                <a:srgbClr val="C20018">
                  <a:alpha val="100000"/>
                </a:srgbClr>
              </a:solidFill>
            </a:ln>
          </c:spPr>
          <c:marker>
            <c:symbol val="none"/>
          </c:marker>
          <c:trendline>
            <c:name/>
            <c:spPr>
              <a:ln w="19050">
                <a:solidFill>
                  <a:srgbClr val="C20018">
                    <a:alpha val="50196"/>
                  </a:srgbClr>
                </a:solidFill>
              </a:ln>
            </c:spPr>
            <c:trendlineType val="linear"/>
            <c:dispRSqr val="0"/>
            <c:dispEq val="0"/>
          </c:trendline>
          <c:cat>
            <c:strRef>
              <c:f>'Copy of Visualization All Exams'!$B$108:$C$108</c:f>
            </c:strRef>
          </c:cat>
          <c:val>
            <c:numRef>
              <c:f>'Copy of Visualization All Exams'!$B$110:$C$110</c:f>
              <c:numCache/>
            </c:numRef>
          </c:val>
          <c:smooth val="0"/>
        </c:ser>
        <c:axId val="2760020"/>
        <c:axId val="481421358"/>
      </c:lineChart>
      <c:catAx>
        <c:axId val="276002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Needs Outside Infromation</a:t>
                </a:r>
              </a:p>
            </c:rich>
          </c:tx>
          <c:overlay val="0"/>
        </c:title>
        <c:numFmt formatCode="General" sourceLinked="1"/>
        <c:majorTickMark val="none"/>
        <c:minorTickMark val="none"/>
        <c:spPr/>
        <c:txPr>
          <a:bodyPr/>
          <a:lstStyle/>
          <a:p>
            <a:pPr lvl="0">
              <a:defRPr b="0">
                <a:solidFill>
                  <a:srgbClr val="000000"/>
                </a:solidFill>
                <a:latin typeface="Roboto"/>
              </a:defRPr>
            </a:pPr>
          </a:p>
        </c:txPr>
        <c:crossAx val="481421358"/>
      </c:catAx>
      <c:valAx>
        <c:axId val="4814213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760020"/>
      </c:valAx>
    </c:plotArea>
    <c:legend>
      <c:legendPos val="r"/>
      <c:overlay val="0"/>
      <c:txPr>
        <a:bodyPr/>
        <a:lstStyle/>
        <a:p>
          <a:pPr lvl="0">
            <a:defRPr b="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Task Models</a:t>
            </a:r>
          </a:p>
        </c:rich>
      </c:tx>
      <c:overlay val="0"/>
    </c:title>
    <c:plotArea>
      <c:layout/>
      <c:areaChart>
        <c:grouping val="percentStacked"/>
        <c:ser>
          <c:idx val="0"/>
          <c:order val="0"/>
          <c:tx>
            <c:strRef>
              <c:f>'Copy of Visualization All Exams'!$A$89</c:f>
            </c:strRef>
          </c:tx>
          <c:spPr>
            <a:solidFill>
              <a:srgbClr val="E06666">
                <a:alpha val="30000"/>
              </a:srgbClr>
            </a:solidFill>
            <a:ln cmpd="sng">
              <a:solidFill>
                <a:srgbClr val="E06666">
                  <a:alpha val="100000"/>
                </a:srgbClr>
              </a:solidFill>
            </a:ln>
          </c:spPr>
          <c:cat>
            <c:strRef>
              <c:f>'Copy of Visualization All Exams'!$B$88:$C$88</c:f>
            </c:strRef>
          </c:cat>
          <c:val>
            <c:numRef>
              <c:f>'Copy of Visualization All Exams'!$B$89:$C$89</c:f>
              <c:numCache/>
            </c:numRef>
          </c:val>
        </c:ser>
        <c:ser>
          <c:idx val="1"/>
          <c:order val="1"/>
          <c:tx>
            <c:strRef>
              <c:f>'Copy of Visualization All Exams'!$A$90</c:f>
            </c:strRef>
          </c:tx>
          <c:spPr>
            <a:solidFill>
              <a:srgbClr val="F6B26B">
                <a:alpha val="30000"/>
              </a:srgbClr>
            </a:solidFill>
            <a:ln cmpd="sng">
              <a:solidFill>
                <a:srgbClr val="F6B26B">
                  <a:alpha val="100000"/>
                </a:srgbClr>
              </a:solidFill>
            </a:ln>
          </c:spPr>
          <c:cat>
            <c:strRef>
              <c:f>'Copy of Visualization All Exams'!$B$88:$C$88</c:f>
            </c:strRef>
          </c:cat>
          <c:val>
            <c:numRef>
              <c:f>'Copy of Visualization All Exams'!$B$90:$C$90</c:f>
              <c:numCache/>
            </c:numRef>
          </c:val>
        </c:ser>
        <c:ser>
          <c:idx val="2"/>
          <c:order val="2"/>
          <c:tx>
            <c:strRef>
              <c:f>'Copy of Visualization All Exams'!$A$91</c:f>
            </c:strRef>
          </c:tx>
          <c:spPr>
            <a:solidFill>
              <a:srgbClr val="FFD966">
                <a:alpha val="30000"/>
              </a:srgbClr>
            </a:solidFill>
            <a:ln cmpd="sng">
              <a:solidFill>
                <a:srgbClr val="FFD966">
                  <a:alpha val="100000"/>
                </a:srgbClr>
              </a:solidFill>
            </a:ln>
          </c:spPr>
          <c:cat>
            <c:strRef>
              <c:f>'Copy of Visualization All Exams'!$B$88:$C$88</c:f>
            </c:strRef>
          </c:cat>
          <c:val>
            <c:numRef>
              <c:f>'Copy of Visualization All Exams'!$B$91:$C$91</c:f>
              <c:numCache/>
            </c:numRef>
          </c:val>
        </c:ser>
        <c:ser>
          <c:idx val="3"/>
          <c:order val="3"/>
          <c:tx>
            <c:strRef>
              <c:f>'Copy of Visualization All Exams'!$A$92</c:f>
            </c:strRef>
          </c:tx>
          <c:spPr>
            <a:solidFill>
              <a:srgbClr val="93C47D">
                <a:alpha val="30000"/>
              </a:srgbClr>
            </a:solidFill>
            <a:ln cmpd="sng">
              <a:solidFill>
                <a:srgbClr val="93C47D">
                  <a:alpha val="100000"/>
                </a:srgbClr>
              </a:solidFill>
            </a:ln>
          </c:spPr>
          <c:cat>
            <c:strRef>
              <c:f>'Copy of Visualization All Exams'!$B$88:$C$88</c:f>
            </c:strRef>
          </c:cat>
          <c:val>
            <c:numRef>
              <c:f>'Copy of Visualization All Exams'!$B$92:$C$92</c:f>
              <c:numCache/>
            </c:numRef>
          </c:val>
        </c:ser>
        <c:ser>
          <c:idx val="4"/>
          <c:order val="4"/>
          <c:tx>
            <c:strRef>
              <c:f>'Copy of Visualization All Exams'!$A$93</c:f>
            </c:strRef>
          </c:tx>
          <c:spPr>
            <a:solidFill>
              <a:srgbClr val="6FA8DC">
                <a:alpha val="30000"/>
              </a:srgbClr>
            </a:solidFill>
            <a:ln cmpd="sng">
              <a:solidFill>
                <a:srgbClr val="6FA8DC">
                  <a:alpha val="100000"/>
                </a:srgbClr>
              </a:solidFill>
            </a:ln>
          </c:spPr>
          <c:cat>
            <c:strRef>
              <c:f>'Copy of Visualization All Exams'!$B$88:$C$88</c:f>
            </c:strRef>
          </c:cat>
          <c:val>
            <c:numRef>
              <c:f>'Copy of Visualization All Exams'!$B$93:$C$93</c:f>
              <c:numCache/>
            </c:numRef>
          </c:val>
        </c:ser>
        <c:ser>
          <c:idx val="5"/>
          <c:order val="5"/>
          <c:tx>
            <c:strRef>
              <c:f>'Copy of Visualization All Exams'!$A$94</c:f>
            </c:strRef>
          </c:tx>
          <c:spPr>
            <a:solidFill>
              <a:srgbClr val="8E7CC3">
                <a:alpha val="30000"/>
              </a:srgbClr>
            </a:solidFill>
            <a:ln cmpd="sng">
              <a:solidFill>
                <a:srgbClr val="8E7CC3">
                  <a:alpha val="100000"/>
                </a:srgbClr>
              </a:solidFill>
            </a:ln>
          </c:spPr>
          <c:cat>
            <c:strRef>
              <c:f>'Copy of Visualization All Exams'!$B$88:$C$88</c:f>
            </c:strRef>
          </c:cat>
          <c:val>
            <c:numRef>
              <c:f>'Copy of Visualization All Exams'!$B$94:$C$94</c:f>
              <c:numCache/>
            </c:numRef>
          </c:val>
        </c:ser>
        <c:ser>
          <c:idx val="6"/>
          <c:order val="6"/>
          <c:tx>
            <c:strRef>
              <c:f>'Copy of Visualization All Exams'!$A$95</c:f>
            </c:strRef>
          </c:tx>
          <c:spPr>
            <a:solidFill>
              <a:srgbClr val="CC0000">
                <a:alpha val="30000"/>
              </a:srgbClr>
            </a:solidFill>
            <a:ln cmpd="sng">
              <a:solidFill>
                <a:srgbClr val="CC0000">
                  <a:alpha val="100000"/>
                </a:srgbClr>
              </a:solidFill>
            </a:ln>
          </c:spPr>
          <c:cat>
            <c:strRef>
              <c:f>'Copy of Visualization All Exams'!$B$88:$C$88</c:f>
            </c:strRef>
          </c:cat>
          <c:val>
            <c:numRef>
              <c:f>'Copy of Visualization All Exams'!$B$95:$C$95</c:f>
              <c:numCache/>
            </c:numRef>
          </c:val>
        </c:ser>
        <c:ser>
          <c:idx val="7"/>
          <c:order val="7"/>
          <c:tx>
            <c:strRef>
              <c:f>'Copy of Visualization All Exams'!$A$96</c:f>
            </c:strRef>
          </c:tx>
          <c:spPr>
            <a:solidFill>
              <a:srgbClr val="E69138">
                <a:alpha val="30000"/>
              </a:srgbClr>
            </a:solidFill>
            <a:ln cmpd="sng">
              <a:solidFill>
                <a:srgbClr val="E69138">
                  <a:alpha val="100000"/>
                </a:srgbClr>
              </a:solidFill>
            </a:ln>
          </c:spPr>
          <c:cat>
            <c:strRef>
              <c:f>'Copy of Visualization All Exams'!$B$88:$C$88</c:f>
            </c:strRef>
          </c:cat>
          <c:val>
            <c:numRef>
              <c:f>'Copy of Visualization All Exams'!$B$96:$C$96</c:f>
              <c:numCache/>
            </c:numRef>
          </c:val>
        </c:ser>
        <c:ser>
          <c:idx val="8"/>
          <c:order val="8"/>
          <c:tx>
            <c:strRef>
              <c:f>'Copy of Visualization All Exams'!$A$97</c:f>
            </c:strRef>
          </c:tx>
          <c:spPr>
            <a:solidFill>
              <a:srgbClr val="F1C232">
                <a:alpha val="30000"/>
              </a:srgbClr>
            </a:solidFill>
            <a:ln cmpd="sng">
              <a:solidFill>
                <a:srgbClr val="F1C232">
                  <a:alpha val="100000"/>
                </a:srgbClr>
              </a:solidFill>
            </a:ln>
          </c:spPr>
          <c:cat>
            <c:strRef>
              <c:f>'Copy of Visualization All Exams'!$B$88:$C$88</c:f>
            </c:strRef>
          </c:cat>
          <c:val>
            <c:numRef>
              <c:f>'Copy of Visualization All Exams'!$B$97:$C$97</c:f>
              <c:numCache/>
            </c:numRef>
          </c:val>
        </c:ser>
        <c:ser>
          <c:idx val="9"/>
          <c:order val="9"/>
          <c:tx>
            <c:strRef>
              <c:f>'Copy of Visualization All Exams'!$A$98</c:f>
            </c:strRef>
          </c:tx>
          <c:spPr>
            <a:solidFill>
              <a:srgbClr val="6AA84F">
                <a:alpha val="30000"/>
              </a:srgbClr>
            </a:solidFill>
            <a:ln cmpd="sng">
              <a:solidFill>
                <a:srgbClr val="6AA84F">
                  <a:alpha val="100000"/>
                </a:srgbClr>
              </a:solidFill>
            </a:ln>
          </c:spPr>
          <c:cat>
            <c:strRef>
              <c:f>'Copy of Visualization All Exams'!$B$88:$C$88</c:f>
            </c:strRef>
          </c:cat>
          <c:val>
            <c:numRef>
              <c:f>'Copy of Visualization All Exams'!$B$98:$C$98</c:f>
              <c:numCache/>
            </c:numRef>
          </c:val>
        </c:ser>
        <c:ser>
          <c:idx val="10"/>
          <c:order val="10"/>
          <c:tx>
            <c:strRef>
              <c:f>'Copy of Visualization All Exams'!$A$99</c:f>
            </c:strRef>
          </c:tx>
          <c:spPr>
            <a:solidFill>
              <a:srgbClr val="3D85C6">
                <a:alpha val="30000"/>
              </a:srgbClr>
            </a:solidFill>
            <a:ln cmpd="sng">
              <a:solidFill>
                <a:srgbClr val="3D85C6">
                  <a:alpha val="100000"/>
                </a:srgbClr>
              </a:solidFill>
            </a:ln>
          </c:spPr>
          <c:cat>
            <c:strRef>
              <c:f>'Copy of Visualization All Exams'!$B$88:$C$88</c:f>
            </c:strRef>
          </c:cat>
          <c:val>
            <c:numRef>
              <c:f>'Copy of Visualization All Exams'!$B$99:$C$99</c:f>
              <c:numCache/>
            </c:numRef>
          </c:val>
        </c:ser>
        <c:ser>
          <c:idx val="11"/>
          <c:order val="11"/>
          <c:tx>
            <c:strRef>
              <c:f>'Copy of Visualization All Exams'!$A$100</c:f>
            </c:strRef>
          </c:tx>
          <c:spPr>
            <a:solidFill>
              <a:srgbClr val="674EA7">
                <a:alpha val="30000"/>
              </a:srgbClr>
            </a:solidFill>
            <a:ln cmpd="sng">
              <a:solidFill>
                <a:srgbClr val="674EA7">
                  <a:alpha val="100000"/>
                </a:srgbClr>
              </a:solidFill>
            </a:ln>
          </c:spPr>
          <c:cat>
            <c:strRef>
              <c:f>'Copy of Visualization All Exams'!$B$88:$C$88</c:f>
            </c:strRef>
          </c:cat>
          <c:val>
            <c:numRef>
              <c:f>'Copy of Visualization All Exams'!$B$100:$C$100</c:f>
              <c:numCache/>
            </c:numRef>
          </c:val>
        </c:ser>
        <c:ser>
          <c:idx val="12"/>
          <c:order val="12"/>
          <c:tx>
            <c:strRef>
              <c:f>'Copy of Visualization All Exams'!$A$101</c:f>
            </c:strRef>
          </c:tx>
          <c:spPr>
            <a:solidFill>
              <a:srgbClr val="990000">
                <a:alpha val="30000"/>
              </a:srgbClr>
            </a:solidFill>
            <a:ln cmpd="sng">
              <a:solidFill>
                <a:srgbClr val="990000">
                  <a:alpha val="100000"/>
                </a:srgbClr>
              </a:solidFill>
            </a:ln>
          </c:spPr>
          <c:cat>
            <c:strRef>
              <c:f>'Copy of Visualization All Exams'!$B$88:$C$88</c:f>
            </c:strRef>
          </c:cat>
          <c:val>
            <c:numRef>
              <c:f>'Copy of Visualization All Exams'!$B$101:$C$101</c:f>
              <c:numCache/>
            </c:numRef>
          </c:val>
        </c:ser>
        <c:ser>
          <c:idx val="13"/>
          <c:order val="13"/>
          <c:tx>
            <c:strRef>
              <c:f>'Copy of Visualization All Exams'!$A$102</c:f>
            </c:strRef>
          </c:tx>
          <c:spPr>
            <a:solidFill>
              <a:srgbClr val="B45F06">
                <a:alpha val="30000"/>
              </a:srgbClr>
            </a:solidFill>
            <a:ln cmpd="sng">
              <a:solidFill>
                <a:srgbClr val="B45F06">
                  <a:alpha val="100000"/>
                </a:srgbClr>
              </a:solidFill>
            </a:ln>
          </c:spPr>
          <c:cat>
            <c:strRef>
              <c:f>'Copy of Visualization All Exams'!$B$88:$C$88</c:f>
            </c:strRef>
          </c:cat>
          <c:val>
            <c:numRef>
              <c:f>'Copy of Visualization All Exams'!$B$102:$C$102</c:f>
              <c:numCache/>
            </c:numRef>
          </c:val>
        </c:ser>
        <c:ser>
          <c:idx val="14"/>
          <c:order val="14"/>
          <c:tx>
            <c:strRef>
              <c:f>'Copy of Visualization All Exams'!$A$103</c:f>
            </c:strRef>
          </c:tx>
          <c:spPr>
            <a:solidFill>
              <a:srgbClr val="BF9000">
                <a:alpha val="30000"/>
              </a:srgbClr>
            </a:solidFill>
            <a:ln cmpd="sng">
              <a:solidFill>
                <a:srgbClr val="BF9000">
                  <a:alpha val="100000"/>
                </a:srgbClr>
              </a:solidFill>
            </a:ln>
          </c:spPr>
          <c:cat>
            <c:strRef>
              <c:f>'Copy of Visualization All Exams'!$B$88:$C$88</c:f>
            </c:strRef>
          </c:cat>
          <c:val>
            <c:numRef>
              <c:f>'Copy of Visualization All Exams'!$B$103:$C$103</c:f>
              <c:numCache/>
            </c:numRef>
          </c:val>
        </c:ser>
        <c:ser>
          <c:idx val="15"/>
          <c:order val="15"/>
          <c:tx>
            <c:strRef>
              <c:f>'Copy of Visualization All Exams'!$A$104</c:f>
            </c:strRef>
          </c:tx>
          <c:spPr>
            <a:solidFill>
              <a:srgbClr val="38761D">
                <a:alpha val="30000"/>
              </a:srgbClr>
            </a:solidFill>
            <a:ln cmpd="sng">
              <a:solidFill>
                <a:srgbClr val="38761D">
                  <a:alpha val="100000"/>
                </a:srgbClr>
              </a:solidFill>
            </a:ln>
          </c:spPr>
          <c:cat>
            <c:strRef>
              <c:f>'Copy of Visualization All Exams'!$B$88:$C$88</c:f>
            </c:strRef>
          </c:cat>
          <c:val>
            <c:numRef>
              <c:f>'Copy of Visualization All Exams'!$B$104:$C$104</c:f>
              <c:numCache/>
            </c:numRef>
          </c:val>
        </c:ser>
        <c:ser>
          <c:idx val="16"/>
          <c:order val="16"/>
          <c:tx>
            <c:strRef>
              <c:f>'Copy of Visualization All Exams'!$A$105</c:f>
            </c:strRef>
          </c:tx>
          <c:spPr>
            <a:solidFill>
              <a:srgbClr val="0B5394">
                <a:alpha val="30000"/>
              </a:srgbClr>
            </a:solidFill>
            <a:ln cmpd="sng">
              <a:solidFill>
                <a:srgbClr val="0B5394">
                  <a:alpha val="100000"/>
                </a:srgbClr>
              </a:solidFill>
            </a:ln>
          </c:spPr>
          <c:cat>
            <c:strRef>
              <c:f>'Copy of Visualization All Exams'!$B$88:$C$88</c:f>
            </c:strRef>
          </c:cat>
          <c:val>
            <c:numRef>
              <c:f>'Copy of Visualization All Exams'!$B$105:$C$105</c:f>
              <c:numCache/>
            </c:numRef>
          </c:val>
        </c:ser>
        <c:ser>
          <c:idx val="17"/>
          <c:order val="17"/>
          <c:tx>
            <c:strRef>
              <c:f>'Copy of Visualization All Exams'!$A$106</c:f>
            </c:strRef>
          </c:tx>
          <c:spPr>
            <a:solidFill>
              <a:srgbClr val="351C75">
                <a:alpha val="30000"/>
              </a:srgbClr>
            </a:solidFill>
            <a:ln cmpd="sng">
              <a:solidFill>
                <a:srgbClr val="351C75">
                  <a:alpha val="100000"/>
                </a:srgbClr>
              </a:solidFill>
            </a:ln>
          </c:spPr>
          <c:cat>
            <c:strRef>
              <c:f>'Copy of Visualization All Exams'!$B$88:$C$88</c:f>
            </c:strRef>
          </c:cat>
          <c:val>
            <c:numRef>
              <c:f>'Copy of Visualization All Exams'!$B$106:$C$106</c:f>
              <c:numCache/>
            </c:numRef>
          </c:val>
        </c:ser>
        <c:axId val="793420944"/>
        <c:axId val="107026291"/>
      </c:areaChart>
      <c:catAx>
        <c:axId val="7934209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Task Model</a:t>
                </a:r>
              </a:p>
            </c:rich>
          </c:tx>
          <c:overlay val="0"/>
        </c:title>
        <c:numFmt formatCode="General" sourceLinked="1"/>
        <c:majorTickMark val="none"/>
        <c:minorTickMark val="none"/>
        <c:spPr/>
        <c:txPr>
          <a:bodyPr/>
          <a:lstStyle/>
          <a:p>
            <a:pPr lvl="0">
              <a:defRPr b="0">
                <a:solidFill>
                  <a:srgbClr val="000000"/>
                </a:solidFill>
                <a:latin typeface="Roboto"/>
              </a:defRPr>
            </a:pPr>
          </a:p>
        </c:txPr>
        <c:crossAx val="107026291"/>
      </c:catAx>
      <c:valAx>
        <c:axId val="107026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93420944"/>
      </c:valAx>
    </c:plotArea>
    <c:legend>
      <c:legendPos val="r"/>
      <c:overlay val="0"/>
      <c:txPr>
        <a:bodyPr/>
        <a:lstStyle/>
        <a:p>
          <a:pPr lvl="0">
            <a:defRPr b="0">
              <a:solidFill>
                <a:srgbClr val="000000"/>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390775" cy="1190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142875</xdr:rowOff>
    </xdr:from>
    <xdr:ext cx="6134100" cy="3200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6134100" cy="3200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942975</xdr:colOff>
      <xdr:row>0</xdr:row>
      <xdr:rowOff>0</xdr:rowOff>
    </xdr:from>
    <xdr:ext cx="7124700" cy="47910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39</xdr:row>
      <xdr:rowOff>133350</xdr:rowOff>
    </xdr:from>
    <xdr:ext cx="6134100" cy="32004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19</xdr:row>
      <xdr:rowOff>161925</xdr:rowOff>
    </xdr:from>
    <xdr:ext cx="6134100" cy="32004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952500</xdr:colOff>
      <xdr:row>0</xdr:row>
      <xdr:rowOff>0</xdr:rowOff>
    </xdr:from>
    <xdr:ext cx="6134100" cy="320040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0</xdr:row>
      <xdr:rowOff>0</xdr:rowOff>
    </xdr:from>
    <xdr:ext cx="6134100" cy="47910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952500</xdr:colOff>
      <xdr:row>39</xdr:row>
      <xdr:rowOff>142875</xdr:rowOff>
    </xdr:from>
    <xdr:ext cx="6134100" cy="32004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29</xdr:row>
      <xdr:rowOff>152400</xdr:rowOff>
    </xdr:from>
    <xdr:ext cx="6134100" cy="47910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ysedregents.org/ushg-framework/home.html"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s://docs.google.com/document/d/1ZHwCCCeot30d4xvHovseKJE9pEYuiKNgZIIBg5BdJ4k/edit?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5.xml"/><Relationship Id="rId6"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9.xml"/><Relationship Id="rId6"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ZHwCCCeot30d4xvHovseKJE9pEYuiKNgZIIBg5BdJ4k/edit?usp=sharing"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11.xml"/><Relationship Id="rId6"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ZHwCCCeot30d4xvHovseKJE9pEYuiKNgZIIBg5BdJ4k/edit?usp=sharing"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13.xml"/><Relationship Id="rId6"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ZHwCCCeot30d4xvHovseKJE9pEYuiKNgZIIBg5BdJ4k/edit?usp=sharing"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15.xml"/><Relationship Id="rId6"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ZHwCCCeot30d4xvHovseKJE9pEYuiKNgZIIBg5BdJ4k/edit?usp=sharing"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rutgers.edu/" TargetMode="External"/><Relationship Id="rId5" Type="http://schemas.openxmlformats.org/officeDocument/2006/relationships/hyperlink" Target="http://rutgers.edu/"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17.xml"/><Relationship Id="rId6"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ZHwCCCeot30d4xvHovseKJE9pEYuiKNgZIIBg5BdJ4k/edit?usp=sharing"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19.xml"/><Relationship Id="rId6"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ZHwCCCeot30d4xvHovseKJE9pEYuiKNgZIIBg5BdJ4k/edit?usp=sharing"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www.seattletimes.com/seattle-news/environment/washington-tribes-stand-with-standing-rock-sioux-against-north-dakota-oil-pipeline/"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hyperlink" Target="https://docs.google.com/document/d/1ZHwCCCeot30d4xvHovseKJE9pEYuiKNgZIIBg5BdJ4k/edit?usp=sharing" TargetMode="External"/><Relationship Id="rId5" Type="http://schemas.openxmlformats.org/officeDocument/2006/relationships/drawing" Target="../drawings/drawing21.xml"/><Relationship Id="rId6"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document/d/1ZHwCCCeot30d4xvHovseKJE9pEYuiKNgZIIBg5BdJ4k/edit?usp=sharing" TargetMode="External"/><Relationship Id="rId2" Type="http://schemas.openxmlformats.org/officeDocument/2006/relationships/hyperlink" Target="http://www.nysed.gov/curriculum-instruction/k-12-social-studies-framework" TargetMode="External"/><Relationship Id="rId3" Type="http://schemas.openxmlformats.org/officeDocument/2006/relationships/hyperlink" Target="http://www.nysed.gov/curriculum-instruction/k-12-social-studies-framework"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5.xml"/><Relationship Id="rId3" Type="http://schemas.openxmlformats.org/officeDocument/2006/relationships/vmlDrawing" Target="../drawings/vmlDrawing13.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8.xml"/><Relationship Id="rId3" Type="http://schemas.openxmlformats.org/officeDocument/2006/relationships/vmlDrawing" Target="../drawings/vmlDrawing14.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9.xml"/><Relationship Id="rId3" Type="http://schemas.openxmlformats.org/officeDocument/2006/relationships/vmlDrawing" Target="../drawings/vmlDrawing15.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5.13"/>
    <col customWidth="1" min="3" max="3" width="31.5"/>
    <col customWidth="1" min="4" max="4" width="30.63"/>
    <col customWidth="1" min="5" max="5" width="27.75"/>
    <col customWidth="1" min="6" max="6" width="38.0"/>
    <col customWidth="1" min="7" max="7" width="15.13"/>
    <col customWidth="1" min="8" max="8" width="33.38"/>
  </cols>
  <sheetData>
    <row r="1">
      <c r="A1" s="1" t="s">
        <v>0</v>
      </c>
      <c r="B1" s="1" t="s">
        <v>1</v>
      </c>
      <c r="C1" s="1" t="s">
        <v>2</v>
      </c>
      <c r="D1" s="1" t="s">
        <v>3</v>
      </c>
      <c r="E1" s="1" t="s">
        <v>4</v>
      </c>
      <c r="F1" s="1" t="s">
        <v>5</v>
      </c>
      <c r="G1" s="1" t="s">
        <v>6</v>
      </c>
      <c r="H1" s="1" t="s">
        <v>7</v>
      </c>
    </row>
    <row r="2">
      <c r="A2" s="2">
        <v>1.0</v>
      </c>
      <c r="B2" s="3"/>
      <c r="C2" t="str">
        <f t="shared" ref="C2:C100" si="1">VLOOKUP(B2,'Global History Standards'!$A:$E,2,false)</f>
        <v>#REF!</v>
      </c>
      <c r="D2" t="str">
        <f t="shared" ref="D2:D100" si="2">VLOOKUP(B2,'Global History Standards'!$A:$E,3,false)</f>
        <v>#REF!</v>
      </c>
      <c r="E2" t="str">
        <f t="shared" ref="E2:E100" si="3">VLOOKUP(B2,'Global History Standards'!$A:$E,4,false)</f>
        <v>#REF!</v>
      </c>
      <c r="F2" t="str">
        <f t="shared" ref="F2:F100" si="4">VLOOKUP(B2,'Global History Standards'!$A:$E,5,false)</f>
        <v>#REF!</v>
      </c>
      <c r="H2" s="2" t="s">
        <v>8</v>
      </c>
    </row>
    <row r="3">
      <c r="A3" s="2">
        <v>2.0</v>
      </c>
      <c r="B3" s="3"/>
      <c r="C3" t="str">
        <f t="shared" si="1"/>
        <v>#REF!</v>
      </c>
      <c r="D3" t="str">
        <f t="shared" si="2"/>
        <v>#REF!</v>
      </c>
      <c r="E3" t="str">
        <f t="shared" si="3"/>
        <v>#REF!</v>
      </c>
      <c r="F3" t="str">
        <f t="shared" si="4"/>
        <v>#REF!</v>
      </c>
      <c r="H3" s="2" t="s">
        <v>9</v>
      </c>
    </row>
    <row r="4">
      <c r="A4" s="2">
        <v>3.0</v>
      </c>
      <c r="B4" s="4" t="s">
        <v>10</v>
      </c>
      <c r="C4" t="str">
        <f t="shared" si="1"/>
        <v>#REF!</v>
      </c>
      <c r="D4" t="str">
        <f t="shared" si="2"/>
        <v>#REF!</v>
      </c>
      <c r="E4" t="str">
        <f t="shared" si="3"/>
        <v>#REF!</v>
      </c>
      <c r="F4" t="str">
        <f t="shared" si="4"/>
        <v>#REF!</v>
      </c>
    </row>
    <row r="5">
      <c r="A5" s="2">
        <v>4.0</v>
      </c>
      <c r="B5" s="4" t="s">
        <v>11</v>
      </c>
      <c r="C5" t="str">
        <f t="shared" si="1"/>
        <v>#REF!</v>
      </c>
      <c r="D5" t="str">
        <f t="shared" si="2"/>
        <v>#REF!</v>
      </c>
      <c r="E5" t="str">
        <f t="shared" si="3"/>
        <v>#REF!</v>
      </c>
      <c r="F5" t="str">
        <f t="shared" si="4"/>
        <v>#REF!</v>
      </c>
    </row>
    <row r="6">
      <c r="A6" s="2">
        <v>5.0</v>
      </c>
      <c r="B6" s="4" t="s">
        <v>12</v>
      </c>
      <c r="C6" t="str">
        <f t="shared" si="1"/>
        <v>#REF!</v>
      </c>
      <c r="D6" t="str">
        <f t="shared" si="2"/>
        <v>#REF!</v>
      </c>
      <c r="E6" t="str">
        <f t="shared" si="3"/>
        <v>#REF!</v>
      </c>
      <c r="F6" t="str">
        <f t="shared" si="4"/>
        <v>#REF!</v>
      </c>
    </row>
    <row r="7">
      <c r="A7" s="2">
        <v>6.0</v>
      </c>
      <c r="B7" s="4" t="s">
        <v>13</v>
      </c>
      <c r="C7" t="str">
        <f t="shared" si="1"/>
        <v>#REF!</v>
      </c>
      <c r="D7" t="str">
        <f t="shared" si="2"/>
        <v>#REF!</v>
      </c>
      <c r="E7" t="str">
        <f t="shared" si="3"/>
        <v>#REF!</v>
      </c>
      <c r="F7" t="str">
        <f t="shared" si="4"/>
        <v>#REF!</v>
      </c>
    </row>
    <row r="8">
      <c r="A8" s="2">
        <v>7.0</v>
      </c>
      <c r="B8" s="4" t="s">
        <v>14</v>
      </c>
      <c r="C8" t="str">
        <f t="shared" si="1"/>
        <v>#REF!</v>
      </c>
      <c r="D8" t="str">
        <f t="shared" si="2"/>
        <v>#REF!</v>
      </c>
      <c r="E8" t="str">
        <f t="shared" si="3"/>
        <v>#REF!</v>
      </c>
      <c r="F8" t="str">
        <f t="shared" si="4"/>
        <v>#REF!</v>
      </c>
    </row>
    <row r="9">
      <c r="A9" s="2">
        <v>8.0</v>
      </c>
      <c r="B9" s="4" t="s">
        <v>15</v>
      </c>
      <c r="C9" t="str">
        <f t="shared" si="1"/>
        <v>#REF!</v>
      </c>
      <c r="D9" t="str">
        <f t="shared" si="2"/>
        <v>#REF!</v>
      </c>
      <c r="E9" t="str">
        <f t="shared" si="3"/>
        <v>#REF!</v>
      </c>
      <c r="F9" t="str">
        <f t="shared" si="4"/>
        <v>#REF!</v>
      </c>
    </row>
    <row r="10">
      <c r="A10" s="2">
        <v>9.0</v>
      </c>
      <c r="B10" s="4" t="s">
        <v>16</v>
      </c>
      <c r="C10" t="str">
        <f t="shared" si="1"/>
        <v>#REF!</v>
      </c>
      <c r="D10" t="str">
        <f t="shared" si="2"/>
        <v>#REF!</v>
      </c>
      <c r="E10" t="str">
        <f t="shared" si="3"/>
        <v>#REF!</v>
      </c>
      <c r="F10" t="str">
        <f t="shared" si="4"/>
        <v>#REF!</v>
      </c>
    </row>
    <row r="11">
      <c r="A11" s="2">
        <v>10.0</v>
      </c>
      <c r="B11" s="4" t="s">
        <v>17</v>
      </c>
      <c r="C11" t="str">
        <f t="shared" si="1"/>
        <v>#REF!</v>
      </c>
      <c r="D11" t="str">
        <f t="shared" si="2"/>
        <v>#REF!</v>
      </c>
      <c r="E11" t="str">
        <f t="shared" si="3"/>
        <v>#REF!</v>
      </c>
      <c r="F11" t="str">
        <f t="shared" si="4"/>
        <v>#REF!</v>
      </c>
    </row>
    <row r="12">
      <c r="A12" s="2">
        <v>11.0</v>
      </c>
      <c r="B12" s="4" t="s">
        <v>18</v>
      </c>
      <c r="C12" t="str">
        <f t="shared" si="1"/>
        <v>#REF!</v>
      </c>
      <c r="D12" t="str">
        <f t="shared" si="2"/>
        <v>#REF!</v>
      </c>
      <c r="E12" t="str">
        <f t="shared" si="3"/>
        <v>#REF!</v>
      </c>
      <c r="F12" t="str">
        <f t="shared" si="4"/>
        <v>#REF!</v>
      </c>
    </row>
    <row r="13">
      <c r="A13" s="2">
        <v>12.0</v>
      </c>
      <c r="B13" s="4" t="s">
        <v>19</v>
      </c>
      <c r="C13" t="str">
        <f t="shared" si="1"/>
        <v>#REF!</v>
      </c>
      <c r="D13" t="str">
        <f t="shared" si="2"/>
        <v>#REF!</v>
      </c>
      <c r="E13" t="str">
        <f t="shared" si="3"/>
        <v>#REF!</v>
      </c>
      <c r="F13" t="str">
        <f t="shared" si="4"/>
        <v>#REF!</v>
      </c>
    </row>
    <row r="14">
      <c r="A14" s="2">
        <v>13.0</v>
      </c>
      <c r="B14" s="4" t="s">
        <v>20</v>
      </c>
      <c r="C14" t="str">
        <f t="shared" si="1"/>
        <v>#REF!</v>
      </c>
      <c r="D14" t="str">
        <f t="shared" si="2"/>
        <v>#REF!</v>
      </c>
      <c r="E14" t="str">
        <f t="shared" si="3"/>
        <v>#REF!</v>
      </c>
      <c r="F14" t="str">
        <f t="shared" si="4"/>
        <v>#REF!</v>
      </c>
    </row>
    <row r="15">
      <c r="A15" s="2">
        <v>14.0</v>
      </c>
      <c r="B15" s="4" t="s">
        <v>21</v>
      </c>
      <c r="C15" t="str">
        <f t="shared" si="1"/>
        <v>#REF!</v>
      </c>
      <c r="D15" t="str">
        <f t="shared" si="2"/>
        <v>#REF!</v>
      </c>
      <c r="E15" t="str">
        <f t="shared" si="3"/>
        <v>#REF!</v>
      </c>
      <c r="F15" t="str">
        <f t="shared" si="4"/>
        <v>#REF!</v>
      </c>
    </row>
    <row r="16">
      <c r="A16" s="2">
        <v>15.0</v>
      </c>
      <c r="B16" s="4" t="s">
        <v>22</v>
      </c>
      <c r="C16" t="str">
        <f t="shared" si="1"/>
        <v>#REF!</v>
      </c>
      <c r="D16" t="str">
        <f t="shared" si="2"/>
        <v>#REF!</v>
      </c>
      <c r="E16" t="str">
        <f t="shared" si="3"/>
        <v>#REF!</v>
      </c>
      <c r="F16" t="str">
        <f t="shared" si="4"/>
        <v>#REF!</v>
      </c>
    </row>
    <row r="17">
      <c r="A17" s="2">
        <v>16.0</v>
      </c>
      <c r="B17" s="4" t="s">
        <v>23</v>
      </c>
      <c r="C17" t="str">
        <f t="shared" si="1"/>
        <v>#REF!</v>
      </c>
      <c r="D17" t="str">
        <f t="shared" si="2"/>
        <v>#REF!</v>
      </c>
      <c r="E17" t="str">
        <f t="shared" si="3"/>
        <v>#REF!</v>
      </c>
      <c r="F17" t="str">
        <f t="shared" si="4"/>
        <v>#REF!</v>
      </c>
    </row>
    <row r="18">
      <c r="A18" s="2">
        <v>17.0</v>
      </c>
      <c r="B18" s="4" t="s">
        <v>24</v>
      </c>
      <c r="C18" t="str">
        <f t="shared" si="1"/>
        <v>#REF!</v>
      </c>
      <c r="D18" t="str">
        <f t="shared" si="2"/>
        <v>#REF!</v>
      </c>
      <c r="E18" t="str">
        <f t="shared" si="3"/>
        <v>#REF!</v>
      </c>
      <c r="F18" t="str">
        <f t="shared" si="4"/>
        <v>#REF!</v>
      </c>
    </row>
    <row r="19">
      <c r="A19" s="2">
        <v>18.0</v>
      </c>
      <c r="B19" s="4" t="s">
        <v>25</v>
      </c>
      <c r="C19" t="str">
        <f t="shared" si="1"/>
        <v>#REF!</v>
      </c>
      <c r="D19" t="str">
        <f t="shared" si="2"/>
        <v>#REF!</v>
      </c>
      <c r="E19" t="str">
        <f t="shared" si="3"/>
        <v>#REF!</v>
      </c>
      <c r="F19" t="str">
        <f t="shared" si="4"/>
        <v>#REF!</v>
      </c>
    </row>
    <row r="20">
      <c r="A20" s="2">
        <v>19.0</v>
      </c>
      <c r="B20" s="4" t="s">
        <v>26</v>
      </c>
      <c r="C20" t="str">
        <f t="shared" si="1"/>
        <v>#REF!</v>
      </c>
      <c r="D20" t="str">
        <f t="shared" si="2"/>
        <v>#REF!</v>
      </c>
      <c r="E20" t="str">
        <f t="shared" si="3"/>
        <v>#REF!</v>
      </c>
      <c r="F20" t="str">
        <f t="shared" si="4"/>
        <v>#REF!</v>
      </c>
      <c r="G20" s="2" t="s">
        <v>27</v>
      </c>
    </row>
    <row r="21">
      <c r="A21" s="2">
        <v>20.0</v>
      </c>
      <c r="B21" s="4" t="s">
        <v>28</v>
      </c>
      <c r="C21" t="str">
        <f t="shared" si="1"/>
        <v>#REF!</v>
      </c>
      <c r="D21" t="str">
        <f t="shared" si="2"/>
        <v>#REF!</v>
      </c>
      <c r="E21" t="str">
        <f t="shared" si="3"/>
        <v>#REF!</v>
      </c>
      <c r="F21" t="str">
        <f t="shared" si="4"/>
        <v>#REF!</v>
      </c>
    </row>
    <row r="22">
      <c r="A22" s="2">
        <v>21.0</v>
      </c>
      <c r="B22" s="4" t="s">
        <v>29</v>
      </c>
      <c r="C22" t="str">
        <f t="shared" si="1"/>
        <v>#REF!</v>
      </c>
      <c r="D22" t="str">
        <f t="shared" si="2"/>
        <v>#REF!</v>
      </c>
      <c r="E22" t="str">
        <f t="shared" si="3"/>
        <v>#REF!</v>
      </c>
      <c r="F22" t="str">
        <f t="shared" si="4"/>
        <v>#REF!</v>
      </c>
    </row>
    <row r="23">
      <c r="A23" s="2">
        <v>22.0</v>
      </c>
      <c r="B23" s="4" t="s">
        <v>30</v>
      </c>
      <c r="C23" t="str">
        <f t="shared" si="1"/>
        <v>#REF!</v>
      </c>
      <c r="D23" t="str">
        <f t="shared" si="2"/>
        <v>#REF!</v>
      </c>
      <c r="E23" t="str">
        <f t="shared" si="3"/>
        <v>#REF!</v>
      </c>
      <c r="F23" t="str">
        <f t="shared" si="4"/>
        <v>#REF!</v>
      </c>
    </row>
    <row r="24">
      <c r="A24" s="2">
        <v>23.0</v>
      </c>
      <c r="B24" s="4" t="s">
        <v>31</v>
      </c>
      <c r="C24" t="str">
        <f t="shared" si="1"/>
        <v>#REF!</v>
      </c>
      <c r="D24" t="str">
        <f t="shared" si="2"/>
        <v>#REF!</v>
      </c>
      <c r="E24" t="str">
        <f t="shared" si="3"/>
        <v>#REF!</v>
      </c>
      <c r="F24" t="str">
        <f t="shared" si="4"/>
        <v>#REF!</v>
      </c>
    </row>
    <row r="25">
      <c r="A25" s="2">
        <v>24.0</v>
      </c>
      <c r="B25" s="4" t="s">
        <v>32</v>
      </c>
      <c r="C25" t="str">
        <f t="shared" si="1"/>
        <v>#REF!</v>
      </c>
      <c r="D25" t="str">
        <f t="shared" si="2"/>
        <v>#REF!</v>
      </c>
      <c r="E25" t="str">
        <f t="shared" si="3"/>
        <v>#REF!</v>
      </c>
      <c r="F25" t="str">
        <f t="shared" si="4"/>
        <v>#REF!</v>
      </c>
    </row>
    <row r="26">
      <c r="A26" s="2">
        <v>25.0</v>
      </c>
      <c r="B26" s="4" t="s">
        <v>33</v>
      </c>
      <c r="C26" t="str">
        <f t="shared" si="1"/>
        <v>#REF!</v>
      </c>
      <c r="D26" t="str">
        <f t="shared" si="2"/>
        <v>#REF!</v>
      </c>
      <c r="E26" t="str">
        <f t="shared" si="3"/>
        <v>#REF!</v>
      </c>
      <c r="F26" t="str">
        <f t="shared" si="4"/>
        <v>#REF!</v>
      </c>
    </row>
    <row r="27">
      <c r="A27" s="2">
        <v>26.0</v>
      </c>
      <c r="B27" s="4" t="s">
        <v>34</v>
      </c>
      <c r="C27" t="str">
        <f t="shared" si="1"/>
        <v>#REF!</v>
      </c>
      <c r="D27" t="str">
        <f t="shared" si="2"/>
        <v>#REF!</v>
      </c>
      <c r="E27" t="str">
        <f t="shared" si="3"/>
        <v>#REF!</v>
      </c>
      <c r="F27" t="str">
        <f t="shared" si="4"/>
        <v>#REF!</v>
      </c>
      <c r="G27" s="2" t="s">
        <v>35</v>
      </c>
    </row>
    <row r="28">
      <c r="A28" s="2">
        <v>27.0</v>
      </c>
      <c r="B28" s="4" t="s">
        <v>36</v>
      </c>
      <c r="C28" t="str">
        <f t="shared" si="1"/>
        <v>#REF!</v>
      </c>
      <c r="D28" t="str">
        <f t="shared" si="2"/>
        <v>#REF!</v>
      </c>
      <c r="E28" t="str">
        <f t="shared" si="3"/>
        <v>#REF!</v>
      </c>
      <c r="F28" t="str">
        <f t="shared" si="4"/>
        <v>#REF!</v>
      </c>
    </row>
    <row r="29">
      <c r="A29" s="2">
        <v>28.0</v>
      </c>
      <c r="B29" s="4" t="s">
        <v>37</v>
      </c>
      <c r="C29" t="str">
        <f t="shared" si="1"/>
        <v>#REF!</v>
      </c>
      <c r="D29" t="str">
        <f t="shared" si="2"/>
        <v>#REF!</v>
      </c>
      <c r="E29" t="str">
        <f t="shared" si="3"/>
        <v>#REF!</v>
      </c>
      <c r="F29" t="str">
        <f t="shared" si="4"/>
        <v>#REF!</v>
      </c>
    </row>
    <row r="30">
      <c r="A30" s="2">
        <v>29.0</v>
      </c>
      <c r="B30" s="4" t="s">
        <v>38</v>
      </c>
      <c r="C30" t="str">
        <f t="shared" si="1"/>
        <v>#REF!</v>
      </c>
      <c r="D30" t="str">
        <f t="shared" si="2"/>
        <v>#REF!</v>
      </c>
      <c r="E30" t="str">
        <f t="shared" si="3"/>
        <v>#REF!</v>
      </c>
      <c r="F30" t="str">
        <f t="shared" si="4"/>
        <v>#REF!</v>
      </c>
    </row>
    <row r="31">
      <c r="A31" s="2">
        <v>30.0</v>
      </c>
      <c r="B31" s="4" t="s">
        <v>39</v>
      </c>
      <c r="C31" t="str">
        <f t="shared" si="1"/>
        <v>#REF!</v>
      </c>
      <c r="D31" t="str">
        <f t="shared" si="2"/>
        <v>#REF!</v>
      </c>
      <c r="E31" t="str">
        <f t="shared" si="3"/>
        <v>#REF!</v>
      </c>
      <c r="F31" t="str">
        <f t="shared" si="4"/>
        <v>#REF!</v>
      </c>
    </row>
    <row r="32">
      <c r="A32" s="2">
        <v>31.0</v>
      </c>
      <c r="B32" s="4" t="s">
        <v>40</v>
      </c>
      <c r="C32" t="str">
        <f t="shared" si="1"/>
        <v>#REF!</v>
      </c>
      <c r="D32" t="str">
        <f t="shared" si="2"/>
        <v>#REF!</v>
      </c>
      <c r="E32" t="str">
        <f t="shared" si="3"/>
        <v>#REF!</v>
      </c>
      <c r="F32" t="str">
        <f t="shared" si="4"/>
        <v>#REF!</v>
      </c>
    </row>
    <row r="33">
      <c r="A33" s="2">
        <v>32.0</v>
      </c>
      <c r="B33" s="4" t="s">
        <v>41</v>
      </c>
      <c r="C33" t="str">
        <f t="shared" si="1"/>
        <v>#REF!</v>
      </c>
      <c r="D33" t="str">
        <f t="shared" si="2"/>
        <v>#REF!</v>
      </c>
      <c r="E33" t="str">
        <f t="shared" si="3"/>
        <v>#REF!</v>
      </c>
      <c r="F33" t="str">
        <f t="shared" si="4"/>
        <v>#REF!</v>
      </c>
      <c r="G33" s="2" t="s">
        <v>42</v>
      </c>
    </row>
    <row r="34">
      <c r="A34" s="2">
        <v>33.0</v>
      </c>
      <c r="B34" s="4" t="s">
        <v>43</v>
      </c>
      <c r="C34" t="str">
        <f t="shared" si="1"/>
        <v>#REF!</v>
      </c>
      <c r="D34" t="str">
        <f t="shared" si="2"/>
        <v>#REF!</v>
      </c>
      <c r="E34" t="str">
        <f t="shared" si="3"/>
        <v>#REF!</v>
      </c>
      <c r="F34" t="str">
        <f t="shared" si="4"/>
        <v>#REF!</v>
      </c>
    </row>
    <row r="35">
      <c r="A35" s="2">
        <v>34.0</v>
      </c>
      <c r="B35" s="4" t="s">
        <v>44</v>
      </c>
      <c r="C35" t="str">
        <f t="shared" si="1"/>
        <v>#REF!</v>
      </c>
      <c r="D35" t="str">
        <f t="shared" si="2"/>
        <v>#REF!</v>
      </c>
      <c r="E35" t="str">
        <f t="shared" si="3"/>
        <v>#REF!</v>
      </c>
      <c r="F35" t="str">
        <f t="shared" si="4"/>
        <v>#REF!</v>
      </c>
      <c r="G35" s="2" t="s">
        <v>45</v>
      </c>
    </row>
    <row r="36">
      <c r="A36" s="2">
        <v>35.0</v>
      </c>
      <c r="B36" s="4" t="s">
        <v>38</v>
      </c>
      <c r="C36" t="str">
        <f t="shared" si="1"/>
        <v>#REF!</v>
      </c>
      <c r="D36" t="str">
        <f t="shared" si="2"/>
        <v>#REF!</v>
      </c>
      <c r="E36" t="str">
        <f t="shared" si="3"/>
        <v>#REF!</v>
      </c>
      <c r="F36" t="str">
        <f t="shared" si="4"/>
        <v>#REF!</v>
      </c>
    </row>
    <row r="37">
      <c r="A37" s="2">
        <v>36.0</v>
      </c>
      <c r="B37" s="4" t="s">
        <v>46</v>
      </c>
      <c r="C37" t="str">
        <f t="shared" si="1"/>
        <v>#REF!</v>
      </c>
      <c r="D37" t="str">
        <f t="shared" si="2"/>
        <v>#REF!</v>
      </c>
      <c r="E37" t="str">
        <f t="shared" si="3"/>
        <v>#REF!</v>
      </c>
      <c r="F37" t="str">
        <f t="shared" si="4"/>
        <v>#REF!</v>
      </c>
    </row>
    <row r="38">
      <c r="A38" s="2">
        <v>37.0</v>
      </c>
      <c r="B38" s="4" t="s">
        <v>47</v>
      </c>
      <c r="C38" t="str">
        <f t="shared" si="1"/>
        <v>#REF!</v>
      </c>
      <c r="D38" t="str">
        <f t="shared" si="2"/>
        <v>#REF!</v>
      </c>
      <c r="E38" t="str">
        <f t="shared" si="3"/>
        <v>#REF!</v>
      </c>
      <c r="F38" t="str">
        <f t="shared" si="4"/>
        <v>#REF!</v>
      </c>
      <c r="G38" s="2" t="s">
        <v>48</v>
      </c>
    </row>
    <row r="39">
      <c r="A39" s="2">
        <v>38.0</v>
      </c>
      <c r="B39" s="4" t="s">
        <v>46</v>
      </c>
      <c r="C39" t="str">
        <f t="shared" si="1"/>
        <v>#REF!</v>
      </c>
      <c r="D39" t="str">
        <f t="shared" si="2"/>
        <v>#REF!</v>
      </c>
      <c r="E39" t="str">
        <f t="shared" si="3"/>
        <v>#REF!</v>
      </c>
      <c r="F39" t="str">
        <f t="shared" si="4"/>
        <v>#REF!</v>
      </c>
    </row>
    <row r="40">
      <c r="A40" s="2">
        <v>39.0</v>
      </c>
      <c r="B40" s="4" t="s">
        <v>49</v>
      </c>
      <c r="C40" t="str">
        <f t="shared" si="1"/>
        <v>#REF!</v>
      </c>
      <c r="D40" t="str">
        <f t="shared" si="2"/>
        <v>#REF!</v>
      </c>
      <c r="E40" t="str">
        <f t="shared" si="3"/>
        <v>#REF!</v>
      </c>
      <c r="F40" t="str">
        <f t="shared" si="4"/>
        <v>#REF!</v>
      </c>
    </row>
    <row r="41">
      <c r="A41" s="2">
        <v>40.0</v>
      </c>
      <c r="B41" s="4" t="s">
        <v>50</v>
      </c>
      <c r="C41" t="str">
        <f t="shared" si="1"/>
        <v>#REF!</v>
      </c>
      <c r="D41" t="str">
        <f t="shared" si="2"/>
        <v>#REF!</v>
      </c>
      <c r="E41" t="str">
        <f t="shared" si="3"/>
        <v>#REF!</v>
      </c>
      <c r="F41" t="str">
        <f t="shared" si="4"/>
        <v>#REF!</v>
      </c>
    </row>
    <row r="42">
      <c r="A42" s="2">
        <v>41.0</v>
      </c>
      <c r="B42" s="4" t="s">
        <v>51</v>
      </c>
      <c r="C42" t="str">
        <f t="shared" si="1"/>
        <v>#REF!</v>
      </c>
      <c r="D42" t="str">
        <f t="shared" si="2"/>
        <v>#REF!</v>
      </c>
      <c r="E42" t="str">
        <f t="shared" si="3"/>
        <v>#REF!</v>
      </c>
      <c r="F42" t="str">
        <f t="shared" si="4"/>
        <v>#REF!</v>
      </c>
    </row>
    <row r="43">
      <c r="A43" s="2">
        <v>42.0</v>
      </c>
      <c r="B43" s="4" t="s">
        <v>10</v>
      </c>
      <c r="C43" t="str">
        <f t="shared" si="1"/>
        <v>#REF!</v>
      </c>
      <c r="D43" t="str">
        <f t="shared" si="2"/>
        <v>#REF!</v>
      </c>
      <c r="E43" t="str">
        <f t="shared" si="3"/>
        <v>#REF!</v>
      </c>
      <c r="F43" t="str">
        <f t="shared" si="4"/>
        <v>#REF!</v>
      </c>
    </row>
    <row r="44">
      <c r="A44" s="2">
        <v>43.0</v>
      </c>
      <c r="B44" s="4" t="s">
        <v>10</v>
      </c>
      <c r="C44" t="str">
        <f t="shared" si="1"/>
        <v>#REF!</v>
      </c>
      <c r="D44" t="str">
        <f t="shared" si="2"/>
        <v>#REF!</v>
      </c>
      <c r="E44" t="str">
        <f t="shared" si="3"/>
        <v>#REF!</v>
      </c>
      <c r="F44" t="str">
        <f t="shared" si="4"/>
        <v>#REF!</v>
      </c>
      <c r="G44" s="2" t="s">
        <v>52</v>
      </c>
    </row>
    <row r="45">
      <c r="A45" s="2">
        <v>44.0</v>
      </c>
      <c r="B45" s="4" t="s">
        <v>53</v>
      </c>
      <c r="C45" t="str">
        <f t="shared" si="1"/>
        <v>#REF!</v>
      </c>
      <c r="D45" t="str">
        <f t="shared" si="2"/>
        <v>#REF!</v>
      </c>
      <c r="E45" t="str">
        <f t="shared" si="3"/>
        <v>#REF!</v>
      </c>
      <c r="F45" t="str">
        <f t="shared" si="4"/>
        <v>#REF!</v>
      </c>
    </row>
    <row r="46">
      <c r="A46" s="2">
        <v>45.0</v>
      </c>
      <c r="B46" s="4" t="s">
        <v>54</v>
      </c>
      <c r="C46" t="str">
        <f t="shared" si="1"/>
        <v>#REF!</v>
      </c>
      <c r="D46" t="str">
        <f t="shared" si="2"/>
        <v>#REF!</v>
      </c>
      <c r="E46" t="str">
        <f t="shared" si="3"/>
        <v>#REF!</v>
      </c>
      <c r="F46" t="str">
        <f t="shared" si="4"/>
        <v>#REF!</v>
      </c>
    </row>
    <row r="47">
      <c r="A47" s="2">
        <v>46.0</v>
      </c>
      <c r="B47" s="4" t="s">
        <v>25</v>
      </c>
      <c r="C47" t="str">
        <f t="shared" si="1"/>
        <v>#REF!</v>
      </c>
      <c r="D47" t="str">
        <f t="shared" si="2"/>
        <v>#REF!</v>
      </c>
      <c r="E47" t="str">
        <f t="shared" si="3"/>
        <v>#REF!</v>
      </c>
      <c r="F47" t="str">
        <f t="shared" si="4"/>
        <v>#REF!</v>
      </c>
    </row>
    <row r="48">
      <c r="A48" s="2">
        <v>47.0</v>
      </c>
      <c r="B48" s="4" t="s">
        <v>29</v>
      </c>
      <c r="C48" t="str">
        <f t="shared" si="1"/>
        <v>#REF!</v>
      </c>
      <c r="D48" t="str">
        <f t="shared" si="2"/>
        <v>#REF!</v>
      </c>
      <c r="E48" t="str">
        <f t="shared" si="3"/>
        <v>#REF!</v>
      </c>
      <c r="F48" t="str">
        <f t="shared" si="4"/>
        <v>#REF!</v>
      </c>
      <c r="G48" s="2">
        <v>1.41</v>
      </c>
    </row>
    <row r="49">
      <c r="A49" s="2">
        <v>48.0</v>
      </c>
      <c r="B49" s="4" t="s">
        <v>55</v>
      </c>
      <c r="C49" t="str">
        <f t="shared" si="1"/>
        <v>#REF!</v>
      </c>
      <c r="D49" t="str">
        <f t="shared" si="2"/>
        <v>#REF!</v>
      </c>
      <c r="E49" t="str">
        <f t="shared" si="3"/>
        <v>#REF!</v>
      </c>
      <c r="F49" t="str">
        <f t="shared" si="4"/>
        <v>#REF!</v>
      </c>
    </row>
    <row r="50">
      <c r="A50" s="2">
        <v>49.0</v>
      </c>
      <c r="B50" s="4" t="s">
        <v>56</v>
      </c>
      <c r="C50" t="str">
        <f t="shared" si="1"/>
        <v>#REF!</v>
      </c>
      <c r="D50" t="str">
        <f t="shared" si="2"/>
        <v>#REF!</v>
      </c>
      <c r="E50" t="str">
        <f t="shared" si="3"/>
        <v>#REF!</v>
      </c>
      <c r="F50" t="str">
        <f t="shared" si="4"/>
        <v>#REF!</v>
      </c>
    </row>
    <row r="51">
      <c r="A51" s="2">
        <v>50.0</v>
      </c>
      <c r="B51" s="4" t="s">
        <v>10</v>
      </c>
      <c r="C51" t="str">
        <f t="shared" si="1"/>
        <v>#REF!</v>
      </c>
      <c r="D51" t="str">
        <f t="shared" si="2"/>
        <v>#REF!</v>
      </c>
      <c r="E51" t="str">
        <f t="shared" si="3"/>
        <v>#REF!</v>
      </c>
      <c r="F51" t="str">
        <f t="shared" si="4"/>
        <v>#REF!</v>
      </c>
    </row>
    <row r="52">
      <c r="C52" t="str">
        <f t="shared" si="1"/>
        <v>#REF!</v>
      </c>
      <c r="D52" t="str">
        <f t="shared" si="2"/>
        <v>#REF!</v>
      </c>
      <c r="E52" t="str">
        <f t="shared" si="3"/>
        <v>#REF!</v>
      </c>
      <c r="F52" t="str">
        <f t="shared" si="4"/>
        <v>#REF!</v>
      </c>
    </row>
    <row r="53">
      <c r="C53" t="str">
        <f t="shared" si="1"/>
        <v>#REF!</v>
      </c>
      <c r="D53" t="str">
        <f t="shared" si="2"/>
        <v>#REF!</v>
      </c>
      <c r="E53" t="str">
        <f t="shared" si="3"/>
        <v>#REF!</v>
      </c>
      <c r="F53" t="str">
        <f t="shared" si="4"/>
        <v>#REF!</v>
      </c>
    </row>
    <row r="54">
      <c r="C54" t="str">
        <f t="shared" si="1"/>
        <v>#REF!</v>
      </c>
      <c r="D54" t="str">
        <f t="shared" si="2"/>
        <v>#REF!</v>
      </c>
      <c r="E54" t="str">
        <f t="shared" si="3"/>
        <v>#REF!</v>
      </c>
      <c r="F54" t="str">
        <f t="shared" si="4"/>
        <v>#REF!</v>
      </c>
    </row>
    <row r="55">
      <c r="C55" t="str">
        <f t="shared" si="1"/>
        <v>#REF!</v>
      </c>
      <c r="D55" t="str">
        <f t="shared" si="2"/>
        <v>#REF!</v>
      </c>
      <c r="E55" t="str">
        <f t="shared" si="3"/>
        <v>#REF!</v>
      </c>
      <c r="F55" t="str">
        <f t="shared" si="4"/>
        <v>#REF!</v>
      </c>
    </row>
    <row r="56">
      <c r="C56" t="str">
        <f t="shared" si="1"/>
        <v>#REF!</v>
      </c>
      <c r="D56" t="str">
        <f t="shared" si="2"/>
        <v>#REF!</v>
      </c>
      <c r="E56" t="str">
        <f t="shared" si="3"/>
        <v>#REF!</v>
      </c>
      <c r="F56" t="str">
        <f t="shared" si="4"/>
        <v>#REF!</v>
      </c>
    </row>
    <row r="57">
      <c r="C57" t="str">
        <f t="shared" si="1"/>
        <v>#REF!</v>
      </c>
      <c r="D57" t="str">
        <f t="shared" si="2"/>
        <v>#REF!</v>
      </c>
      <c r="E57" t="str">
        <f t="shared" si="3"/>
        <v>#REF!</v>
      </c>
      <c r="F57" t="str">
        <f t="shared" si="4"/>
        <v>#REF!</v>
      </c>
    </row>
    <row r="58">
      <c r="C58" t="str">
        <f t="shared" si="1"/>
        <v>#REF!</v>
      </c>
      <c r="D58" t="str">
        <f t="shared" si="2"/>
        <v>#REF!</v>
      </c>
      <c r="E58" t="str">
        <f t="shared" si="3"/>
        <v>#REF!</v>
      </c>
      <c r="F58" t="str">
        <f t="shared" si="4"/>
        <v>#REF!</v>
      </c>
    </row>
    <row r="59">
      <c r="C59" t="str">
        <f t="shared" si="1"/>
        <v>#REF!</v>
      </c>
      <c r="D59" t="str">
        <f t="shared" si="2"/>
        <v>#REF!</v>
      </c>
      <c r="E59" t="str">
        <f t="shared" si="3"/>
        <v>#REF!</v>
      </c>
      <c r="F59" t="str">
        <f t="shared" si="4"/>
        <v>#REF!</v>
      </c>
    </row>
    <row r="60">
      <c r="C60" t="str">
        <f t="shared" si="1"/>
        <v>#REF!</v>
      </c>
      <c r="D60" t="str">
        <f t="shared" si="2"/>
        <v>#REF!</v>
      </c>
      <c r="E60" t="str">
        <f t="shared" si="3"/>
        <v>#REF!</v>
      </c>
      <c r="F60" t="str">
        <f t="shared" si="4"/>
        <v>#REF!</v>
      </c>
    </row>
    <row r="61">
      <c r="C61" t="str">
        <f t="shared" si="1"/>
        <v>#REF!</v>
      </c>
      <c r="D61" t="str">
        <f t="shared" si="2"/>
        <v>#REF!</v>
      </c>
      <c r="E61" t="str">
        <f t="shared" si="3"/>
        <v>#REF!</v>
      </c>
      <c r="F61" t="str">
        <f t="shared" si="4"/>
        <v>#REF!</v>
      </c>
    </row>
    <row r="62">
      <c r="C62" t="str">
        <f t="shared" si="1"/>
        <v>#REF!</v>
      </c>
      <c r="D62" t="str">
        <f t="shared" si="2"/>
        <v>#REF!</v>
      </c>
      <c r="E62" t="str">
        <f t="shared" si="3"/>
        <v>#REF!</v>
      </c>
      <c r="F62" t="str">
        <f t="shared" si="4"/>
        <v>#REF!</v>
      </c>
    </row>
    <row r="63">
      <c r="C63" t="str">
        <f t="shared" si="1"/>
        <v>#REF!</v>
      </c>
      <c r="D63" t="str">
        <f t="shared" si="2"/>
        <v>#REF!</v>
      </c>
      <c r="E63" t="str">
        <f t="shared" si="3"/>
        <v>#REF!</v>
      </c>
      <c r="F63" t="str">
        <f t="shared" si="4"/>
        <v>#REF!</v>
      </c>
    </row>
    <row r="64">
      <c r="C64" t="str">
        <f t="shared" si="1"/>
        <v>#REF!</v>
      </c>
      <c r="D64" t="str">
        <f t="shared" si="2"/>
        <v>#REF!</v>
      </c>
      <c r="E64" t="str">
        <f t="shared" si="3"/>
        <v>#REF!</v>
      </c>
      <c r="F64" t="str">
        <f t="shared" si="4"/>
        <v>#REF!</v>
      </c>
    </row>
    <row r="65">
      <c r="C65" t="str">
        <f t="shared" si="1"/>
        <v>#REF!</v>
      </c>
      <c r="D65" t="str">
        <f t="shared" si="2"/>
        <v>#REF!</v>
      </c>
      <c r="E65" t="str">
        <f t="shared" si="3"/>
        <v>#REF!</v>
      </c>
      <c r="F65" t="str">
        <f t="shared" si="4"/>
        <v>#REF!</v>
      </c>
    </row>
    <row r="66">
      <c r="C66" t="str">
        <f t="shared" si="1"/>
        <v>#REF!</v>
      </c>
      <c r="D66" t="str">
        <f t="shared" si="2"/>
        <v>#REF!</v>
      </c>
      <c r="E66" t="str">
        <f t="shared" si="3"/>
        <v>#REF!</v>
      </c>
      <c r="F66" t="str">
        <f t="shared" si="4"/>
        <v>#REF!</v>
      </c>
    </row>
    <row r="67">
      <c r="C67" t="str">
        <f t="shared" si="1"/>
        <v>#REF!</v>
      </c>
      <c r="D67" t="str">
        <f t="shared" si="2"/>
        <v>#REF!</v>
      </c>
      <c r="E67" t="str">
        <f t="shared" si="3"/>
        <v>#REF!</v>
      </c>
      <c r="F67" t="str">
        <f t="shared" si="4"/>
        <v>#REF!</v>
      </c>
    </row>
    <row r="68">
      <c r="C68" t="str">
        <f t="shared" si="1"/>
        <v>#REF!</v>
      </c>
      <c r="D68" t="str">
        <f t="shared" si="2"/>
        <v>#REF!</v>
      </c>
      <c r="E68" t="str">
        <f t="shared" si="3"/>
        <v>#REF!</v>
      </c>
      <c r="F68" t="str">
        <f t="shared" si="4"/>
        <v>#REF!</v>
      </c>
    </row>
    <row r="69">
      <c r="C69" t="str">
        <f t="shared" si="1"/>
        <v>#REF!</v>
      </c>
      <c r="D69" t="str">
        <f t="shared" si="2"/>
        <v>#REF!</v>
      </c>
      <c r="E69" t="str">
        <f t="shared" si="3"/>
        <v>#REF!</v>
      </c>
      <c r="F69" t="str">
        <f t="shared" si="4"/>
        <v>#REF!</v>
      </c>
    </row>
    <row r="70">
      <c r="C70" t="str">
        <f t="shared" si="1"/>
        <v>#REF!</v>
      </c>
      <c r="D70" t="str">
        <f t="shared" si="2"/>
        <v>#REF!</v>
      </c>
      <c r="E70" t="str">
        <f t="shared" si="3"/>
        <v>#REF!</v>
      </c>
      <c r="F70" t="str">
        <f t="shared" si="4"/>
        <v>#REF!</v>
      </c>
    </row>
    <row r="71">
      <c r="C71" t="str">
        <f t="shared" si="1"/>
        <v>#REF!</v>
      </c>
      <c r="D71" t="str">
        <f t="shared" si="2"/>
        <v>#REF!</v>
      </c>
      <c r="E71" t="str">
        <f t="shared" si="3"/>
        <v>#REF!</v>
      </c>
      <c r="F71" t="str">
        <f t="shared" si="4"/>
        <v>#REF!</v>
      </c>
    </row>
    <row r="72">
      <c r="C72" t="str">
        <f t="shared" si="1"/>
        <v>#REF!</v>
      </c>
      <c r="D72" t="str">
        <f t="shared" si="2"/>
        <v>#REF!</v>
      </c>
      <c r="E72" t="str">
        <f t="shared" si="3"/>
        <v>#REF!</v>
      </c>
      <c r="F72" t="str">
        <f t="shared" si="4"/>
        <v>#REF!</v>
      </c>
    </row>
    <row r="73">
      <c r="C73" t="str">
        <f t="shared" si="1"/>
        <v>#REF!</v>
      </c>
      <c r="D73" t="str">
        <f t="shared" si="2"/>
        <v>#REF!</v>
      </c>
      <c r="E73" t="str">
        <f t="shared" si="3"/>
        <v>#REF!</v>
      </c>
      <c r="F73" t="str">
        <f t="shared" si="4"/>
        <v>#REF!</v>
      </c>
    </row>
    <row r="74">
      <c r="C74" t="str">
        <f t="shared" si="1"/>
        <v>#REF!</v>
      </c>
      <c r="D74" t="str">
        <f t="shared" si="2"/>
        <v>#REF!</v>
      </c>
      <c r="E74" t="str">
        <f t="shared" si="3"/>
        <v>#REF!</v>
      </c>
      <c r="F74" t="str">
        <f t="shared" si="4"/>
        <v>#REF!</v>
      </c>
    </row>
    <row r="75">
      <c r="C75" t="str">
        <f t="shared" si="1"/>
        <v>#REF!</v>
      </c>
      <c r="D75" t="str">
        <f t="shared" si="2"/>
        <v>#REF!</v>
      </c>
      <c r="E75" t="str">
        <f t="shared" si="3"/>
        <v>#REF!</v>
      </c>
      <c r="F75" t="str">
        <f t="shared" si="4"/>
        <v>#REF!</v>
      </c>
    </row>
    <row r="76">
      <c r="C76" t="str">
        <f t="shared" si="1"/>
        <v>#REF!</v>
      </c>
      <c r="D76" t="str">
        <f t="shared" si="2"/>
        <v>#REF!</v>
      </c>
      <c r="E76" t="str">
        <f t="shared" si="3"/>
        <v>#REF!</v>
      </c>
      <c r="F76" t="str">
        <f t="shared" si="4"/>
        <v>#REF!</v>
      </c>
    </row>
    <row r="77">
      <c r="C77" t="str">
        <f t="shared" si="1"/>
        <v>#REF!</v>
      </c>
      <c r="D77" t="str">
        <f t="shared" si="2"/>
        <v>#REF!</v>
      </c>
      <c r="E77" t="str">
        <f t="shared" si="3"/>
        <v>#REF!</v>
      </c>
      <c r="F77" t="str">
        <f t="shared" si="4"/>
        <v>#REF!</v>
      </c>
    </row>
    <row r="78">
      <c r="C78" t="str">
        <f t="shared" si="1"/>
        <v>#REF!</v>
      </c>
      <c r="D78" t="str">
        <f t="shared" si="2"/>
        <v>#REF!</v>
      </c>
      <c r="E78" t="str">
        <f t="shared" si="3"/>
        <v>#REF!</v>
      </c>
      <c r="F78" t="str">
        <f t="shared" si="4"/>
        <v>#REF!</v>
      </c>
    </row>
    <row r="79">
      <c r="C79" t="str">
        <f t="shared" si="1"/>
        <v>#REF!</v>
      </c>
      <c r="D79" t="str">
        <f t="shared" si="2"/>
        <v>#REF!</v>
      </c>
      <c r="E79" t="str">
        <f t="shared" si="3"/>
        <v>#REF!</v>
      </c>
      <c r="F79" t="str">
        <f t="shared" si="4"/>
        <v>#REF!</v>
      </c>
    </row>
    <row r="80">
      <c r="C80" t="str">
        <f t="shared" si="1"/>
        <v>#REF!</v>
      </c>
      <c r="D80" t="str">
        <f t="shared" si="2"/>
        <v>#REF!</v>
      </c>
      <c r="E80" t="str">
        <f t="shared" si="3"/>
        <v>#REF!</v>
      </c>
      <c r="F80" t="str">
        <f t="shared" si="4"/>
        <v>#REF!</v>
      </c>
    </row>
    <row r="81">
      <c r="C81" t="str">
        <f t="shared" si="1"/>
        <v>#REF!</v>
      </c>
      <c r="D81" t="str">
        <f t="shared" si="2"/>
        <v>#REF!</v>
      </c>
      <c r="E81" t="str">
        <f t="shared" si="3"/>
        <v>#REF!</v>
      </c>
      <c r="F81" t="str">
        <f t="shared" si="4"/>
        <v>#REF!</v>
      </c>
    </row>
    <row r="82">
      <c r="C82" t="str">
        <f t="shared" si="1"/>
        <v>#REF!</v>
      </c>
      <c r="D82" t="str">
        <f t="shared" si="2"/>
        <v>#REF!</v>
      </c>
      <c r="E82" t="str">
        <f t="shared" si="3"/>
        <v>#REF!</v>
      </c>
      <c r="F82" t="str">
        <f t="shared" si="4"/>
        <v>#REF!</v>
      </c>
    </row>
    <row r="83">
      <c r="C83" t="str">
        <f t="shared" si="1"/>
        <v>#REF!</v>
      </c>
      <c r="D83" t="str">
        <f t="shared" si="2"/>
        <v>#REF!</v>
      </c>
      <c r="E83" t="str">
        <f t="shared" si="3"/>
        <v>#REF!</v>
      </c>
      <c r="F83" t="str">
        <f t="shared" si="4"/>
        <v>#REF!</v>
      </c>
    </row>
    <row r="84">
      <c r="C84" t="str">
        <f t="shared" si="1"/>
        <v>#REF!</v>
      </c>
      <c r="D84" t="str">
        <f t="shared" si="2"/>
        <v>#REF!</v>
      </c>
      <c r="E84" t="str">
        <f t="shared" si="3"/>
        <v>#REF!</v>
      </c>
      <c r="F84" t="str">
        <f t="shared" si="4"/>
        <v>#REF!</v>
      </c>
    </row>
    <row r="85">
      <c r="C85" t="str">
        <f t="shared" si="1"/>
        <v>#REF!</v>
      </c>
      <c r="D85" t="str">
        <f t="shared" si="2"/>
        <v>#REF!</v>
      </c>
      <c r="E85" t="str">
        <f t="shared" si="3"/>
        <v>#REF!</v>
      </c>
      <c r="F85" t="str">
        <f t="shared" si="4"/>
        <v>#REF!</v>
      </c>
    </row>
    <row r="86">
      <c r="C86" t="str">
        <f t="shared" si="1"/>
        <v>#REF!</v>
      </c>
      <c r="D86" t="str">
        <f t="shared" si="2"/>
        <v>#REF!</v>
      </c>
      <c r="E86" t="str">
        <f t="shared" si="3"/>
        <v>#REF!</v>
      </c>
      <c r="F86" t="str">
        <f t="shared" si="4"/>
        <v>#REF!</v>
      </c>
    </row>
    <row r="87">
      <c r="C87" t="str">
        <f t="shared" si="1"/>
        <v>#REF!</v>
      </c>
      <c r="D87" t="str">
        <f t="shared" si="2"/>
        <v>#REF!</v>
      </c>
      <c r="E87" t="str">
        <f t="shared" si="3"/>
        <v>#REF!</v>
      </c>
      <c r="F87" t="str">
        <f t="shared" si="4"/>
        <v>#REF!</v>
      </c>
    </row>
    <row r="88">
      <c r="C88" t="str">
        <f t="shared" si="1"/>
        <v>#REF!</v>
      </c>
      <c r="D88" t="str">
        <f t="shared" si="2"/>
        <v>#REF!</v>
      </c>
      <c r="E88" t="str">
        <f t="shared" si="3"/>
        <v>#REF!</v>
      </c>
      <c r="F88" t="str">
        <f t="shared" si="4"/>
        <v>#REF!</v>
      </c>
    </row>
    <row r="89">
      <c r="C89" t="str">
        <f t="shared" si="1"/>
        <v>#REF!</v>
      </c>
      <c r="D89" t="str">
        <f t="shared" si="2"/>
        <v>#REF!</v>
      </c>
      <c r="E89" t="str">
        <f t="shared" si="3"/>
        <v>#REF!</v>
      </c>
      <c r="F89" t="str">
        <f t="shared" si="4"/>
        <v>#REF!</v>
      </c>
    </row>
    <row r="90">
      <c r="C90" t="str">
        <f t="shared" si="1"/>
        <v>#REF!</v>
      </c>
      <c r="D90" t="str">
        <f t="shared" si="2"/>
        <v>#REF!</v>
      </c>
      <c r="E90" t="str">
        <f t="shared" si="3"/>
        <v>#REF!</v>
      </c>
      <c r="F90" t="str">
        <f t="shared" si="4"/>
        <v>#REF!</v>
      </c>
    </row>
    <row r="91">
      <c r="C91" t="str">
        <f t="shared" si="1"/>
        <v>#REF!</v>
      </c>
      <c r="D91" t="str">
        <f t="shared" si="2"/>
        <v>#REF!</v>
      </c>
      <c r="E91" t="str">
        <f t="shared" si="3"/>
        <v>#REF!</v>
      </c>
      <c r="F91" t="str">
        <f t="shared" si="4"/>
        <v>#REF!</v>
      </c>
    </row>
    <row r="92">
      <c r="C92" t="str">
        <f t="shared" si="1"/>
        <v>#REF!</v>
      </c>
      <c r="D92" t="str">
        <f t="shared" si="2"/>
        <v>#REF!</v>
      </c>
      <c r="E92" t="str">
        <f t="shared" si="3"/>
        <v>#REF!</v>
      </c>
      <c r="F92" t="str">
        <f t="shared" si="4"/>
        <v>#REF!</v>
      </c>
    </row>
    <row r="93">
      <c r="C93" t="str">
        <f t="shared" si="1"/>
        <v>#REF!</v>
      </c>
      <c r="D93" t="str">
        <f t="shared" si="2"/>
        <v>#REF!</v>
      </c>
      <c r="E93" t="str">
        <f t="shared" si="3"/>
        <v>#REF!</v>
      </c>
      <c r="F93" t="str">
        <f t="shared" si="4"/>
        <v>#REF!</v>
      </c>
    </row>
    <row r="94">
      <c r="C94" t="str">
        <f t="shared" si="1"/>
        <v>#REF!</v>
      </c>
      <c r="D94" t="str">
        <f t="shared" si="2"/>
        <v>#REF!</v>
      </c>
      <c r="E94" t="str">
        <f t="shared" si="3"/>
        <v>#REF!</v>
      </c>
      <c r="F94" t="str">
        <f t="shared" si="4"/>
        <v>#REF!</v>
      </c>
    </row>
    <row r="95">
      <c r="C95" t="str">
        <f t="shared" si="1"/>
        <v>#REF!</v>
      </c>
      <c r="D95" t="str">
        <f t="shared" si="2"/>
        <v>#REF!</v>
      </c>
      <c r="E95" t="str">
        <f t="shared" si="3"/>
        <v>#REF!</v>
      </c>
      <c r="F95" t="str">
        <f t="shared" si="4"/>
        <v>#REF!</v>
      </c>
    </row>
    <row r="96">
      <c r="C96" t="str">
        <f t="shared" si="1"/>
        <v>#REF!</v>
      </c>
      <c r="D96" t="str">
        <f t="shared" si="2"/>
        <v>#REF!</v>
      </c>
      <c r="E96" t="str">
        <f t="shared" si="3"/>
        <v>#REF!</v>
      </c>
      <c r="F96" t="str">
        <f t="shared" si="4"/>
        <v>#REF!</v>
      </c>
    </row>
    <row r="97">
      <c r="C97" t="str">
        <f t="shared" si="1"/>
        <v>#REF!</v>
      </c>
      <c r="D97" t="str">
        <f t="shared" si="2"/>
        <v>#REF!</v>
      </c>
      <c r="E97" t="str">
        <f t="shared" si="3"/>
        <v>#REF!</v>
      </c>
      <c r="F97" t="str">
        <f t="shared" si="4"/>
        <v>#REF!</v>
      </c>
    </row>
    <row r="98">
      <c r="C98" t="str">
        <f t="shared" si="1"/>
        <v>#REF!</v>
      </c>
      <c r="D98" t="str">
        <f t="shared" si="2"/>
        <v>#REF!</v>
      </c>
      <c r="E98" t="str">
        <f t="shared" si="3"/>
        <v>#REF!</v>
      </c>
      <c r="F98" t="str">
        <f t="shared" si="4"/>
        <v>#REF!</v>
      </c>
    </row>
    <row r="99">
      <c r="C99" t="str">
        <f t="shared" si="1"/>
        <v>#REF!</v>
      </c>
      <c r="D99" t="str">
        <f t="shared" si="2"/>
        <v>#REF!</v>
      </c>
      <c r="E99" t="str">
        <f t="shared" si="3"/>
        <v>#REF!</v>
      </c>
      <c r="F99" t="str">
        <f t="shared" si="4"/>
        <v>#REF!</v>
      </c>
    </row>
    <row r="100">
      <c r="C100" t="str">
        <f t="shared" si="1"/>
        <v>#REF!</v>
      </c>
      <c r="D100" t="str">
        <f t="shared" si="2"/>
        <v>#REF!</v>
      </c>
      <c r="E100" t="str">
        <f t="shared" si="3"/>
        <v>#REF!</v>
      </c>
      <c r="F100" t="str">
        <f t="shared" si="4"/>
        <v>#REF!</v>
      </c>
    </row>
  </sheetData>
  <dataValidations>
    <dataValidation type="list" allowBlank="1" sqref="B2:B100">
      <formula1>'Global History Standards'!$A$2:$A$277</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5" width="31.38"/>
    <col customWidth="1" min="6" max="6" width="6.38"/>
  </cols>
  <sheetData>
    <row r="1" ht="37.5" customHeight="1">
      <c r="A1" s="5"/>
      <c r="B1" s="6" t="s">
        <v>57</v>
      </c>
      <c r="F1" s="7"/>
    </row>
    <row r="2" ht="37.5" customHeight="1">
      <c r="A2" s="8"/>
      <c r="B2" s="9" t="s">
        <v>58</v>
      </c>
      <c r="F2" s="7"/>
    </row>
    <row r="3">
      <c r="A3" s="10"/>
      <c r="B3" s="10"/>
      <c r="C3" s="10"/>
      <c r="D3" s="10"/>
      <c r="E3" s="10"/>
      <c r="F3" s="11"/>
    </row>
    <row r="4">
      <c r="A4" s="10"/>
      <c r="B4" s="10" t="s">
        <v>59</v>
      </c>
      <c r="F4" s="11"/>
    </row>
    <row r="5">
      <c r="A5" s="10"/>
      <c r="B5" s="10" t="s">
        <v>60</v>
      </c>
      <c r="C5" s="10"/>
      <c r="D5" s="10"/>
      <c r="E5" s="10"/>
      <c r="F5" s="11"/>
    </row>
    <row r="6">
      <c r="A6" s="12"/>
      <c r="B6" s="13" t="s">
        <v>61</v>
      </c>
      <c r="F6" s="11"/>
    </row>
    <row r="7">
      <c r="A7" s="11"/>
      <c r="B7" s="11"/>
      <c r="C7" s="11"/>
      <c r="D7" s="11"/>
      <c r="E7" s="11"/>
      <c r="F7" s="11"/>
    </row>
    <row r="8">
      <c r="A8" s="14"/>
      <c r="B8" s="14" t="s">
        <v>62</v>
      </c>
      <c r="C8" s="15"/>
      <c r="D8" s="15"/>
      <c r="E8" s="15"/>
      <c r="F8" s="15"/>
    </row>
    <row r="9" ht="187.5" customHeight="1">
      <c r="A9" s="16"/>
      <c r="B9" s="16"/>
      <c r="F9" s="11"/>
    </row>
    <row r="10">
      <c r="A10" s="11"/>
      <c r="B10" s="11"/>
      <c r="C10" s="11"/>
      <c r="D10" s="11"/>
      <c r="E10" s="11"/>
      <c r="F10" s="11"/>
    </row>
    <row r="11">
      <c r="A11" s="14"/>
      <c r="B11" s="17" t="s">
        <v>63</v>
      </c>
      <c r="C11" s="18"/>
      <c r="D11" s="17" t="s">
        <v>64</v>
      </c>
      <c r="E11" s="18"/>
      <c r="F11" s="15"/>
    </row>
    <row r="12">
      <c r="A12" s="10"/>
      <c r="B12" s="19" t="s">
        <v>65</v>
      </c>
      <c r="C12" s="20"/>
      <c r="D12" s="19" t="s">
        <v>66</v>
      </c>
      <c r="E12" s="20"/>
      <c r="F12" s="11"/>
    </row>
    <row r="13">
      <c r="A13" s="14"/>
      <c r="B13" s="21" t="s">
        <v>67</v>
      </c>
      <c r="C13" s="22"/>
      <c r="D13" s="23" t="s">
        <v>68</v>
      </c>
      <c r="E13" s="22"/>
      <c r="F13" s="15"/>
    </row>
    <row r="14">
      <c r="A14" s="10"/>
      <c r="B14" s="24" t="s">
        <v>69</v>
      </c>
      <c r="C14" s="25"/>
      <c r="D14" s="26" t="s">
        <v>70</v>
      </c>
      <c r="E14" s="25"/>
      <c r="F14" s="11"/>
    </row>
    <row r="15">
      <c r="A15" s="27"/>
      <c r="B15" s="28" t="s">
        <v>71</v>
      </c>
      <c r="C15" s="18"/>
      <c r="D15" s="17" t="s">
        <v>72</v>
      </c>
      <c r="E15" s="18"/>
      <c r="F15" s="15"/>
    </row>
    <row r="16">
      <c r="A16" s="29"/>
      <c r="B16" s="30" t="s">
        <v>73</v>
      </c>
      <c r="C16" s="20"/>
      <c r="D16" s="19" t="s">
        <v>74</v>
      </c>
      <c r="E16" s="20"/>
      <c r="F16" s="11"/>
    </row>
    <row r="17">
      <c r="A17" s="11"/>
      <c r="B17" s="11"/>
      <c r="C17" s="11"/>
      <c r="D17" s="11"/>
      <c r="E17" s="11"/>
      <c r="F17" s="11"/>
    </row>
  </sheetData>
  <mergeCells count="17">
    <mergeCell ref="B1:E1"/>
    <mergeCell ref="B2:E2"/>
    <mergeCell ref="B4:E4"/>
    <mergeCell ref="B6:E6"/>
    <mergeCell ref="B9:E9"/>
    <mergeCell ref="B11:C11"/>
    <mergeCell ref="D11:E11"/>
    <mergeCell ref="B15:C15"/>
    <mergeCell ref="B16:C16"/>
    <mergeCell ref="B12:C12"/>
    <mergeCell ref="D12:E12"/>
    <mergeCell ref="B13:C13"/>
    <mergeCell ref="D13:E13"/>
    <mergeCell ref="B14:C14"/>
    <mergeCell ref="D14:E14"/>
    <mergeCell ref="D15:E15"/>
    <mergeCell ref="D16:E16"/>
  </mergeCells>
  <hyperlinks>
    <hyperlink r:id="rId1" ref="B6"/>
    <hyperlink r:id="rId2" ref="D13"/>
    <hyperlink r:id="rId3" ref="B1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75</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SUM(COUNTIF('Itemization 202506'!I:I,A5),COUNTIF('Itemization 202501'!I:I,A5),COUNTIF('Itemization 202408'!I:I,A5),COUNTIF('Itemization 202406'!I:I,A5),COUNTIF('Itemization 202401'!I:I,A5),COUNTIF('Itemization 202306'!I:I,A5),COUNTIF('Itemization 202308'!I:I,A5))</f>
        <v>210</v>
      </c>
      <c r="C5" s="49">
        <f>(B5/B8)</f>
        <v>0.7865168539</v>
      </c>
      <c r="D5" s="47" t="s">
        <v>83</v>
      </c>
      <c r="E5" s="48">
        <f>SUM(COUNTIF('Itemization 202506'!J:J,D5),COUNTIF('Itemization 202501'!J:J,D5),COUNTIF('Itemization 202408'!J:J,D5),COUNTIF('Itemization 202406'!J:J,D5),COUNTIF('Itemization 202401'!J:J,D5),COUNTIF('Itemization 202308'!J:J,D5),COUNTIF('Itemization 202306'!J:J,D5))</f>
        <v>191</v>
      </c>
      <c r="F5" s="49">
        <f>(E5/E10)</f>
        <v>0.7153558052</v>
      </c>
      <c r="G5" s="50">
        <v>11.01</v>
      </c>
      <c r="H5" s="51">
        <f>SUM(COUNTIF('Itemization 202506'!K:K,G5),COUNTIF('Itemization 202501'!K:K,G5),COUNTIF('Itemization 202408'!K:K,G5),COUNTIF('Itemization 202406'!K:K,G5),COUNTIF('Itemization 202401'!K:K,G5),COUNTIF('Itemization 202308'!K:K,G5),COUNTIF('Itemization 202306'!K:K,G5))</f>
        <v>11</v>
      </c>
      <c r="I5" s="52">
        <f>(H5/H16)</f>
        <v>0.04150943396</v>
      </c>
      <c r="J5" s="53" t="s">
        <v>84</v>
      </c>
      <c r="K5" s="54">
        <f>SUM(COUNTIF('Itemization 202506'!L:L,J5),COUNTIF('Itemization 202501'!L:L,J5),COUNTIF('Itemization 202408'!L:L,J5),COUNTIF('Itemization 202406'!L:L,J5),COUNTIF('Itemization 202401'!L:L,J5),COUNTIF('Itemization 202308'!L:L,J5),COUNTIF('Itemization 202306'!L:L,J5))</f>
        <v>0</v>
      </c>
      <c r="L5" s="55">
        <f>(K5/K116)</f>
        <v>0</v>
      </c>
      <c r="M5" s="56">
        <v>1.0</v>
      </c>
      <c r="N5" s="57">
        <f>SUM(countif('Itemization 202506'!M:M,M5),countif('Itemization 202501'!M:M,M5),countif('Itemization 202408'!M:M,M5),countif('Itemization 202406'!M:M,M5),countif('Itemization 202401'!M:M,M5),countif('Itemization 202308'!M:M,M5),countif('Itemization 202306'!M:M,M5))</f>
        <v>23</v>
      </c>
      <c r="O5" s="58">
        <f>(N5/N23)</f>
        <v>0.09663865546</v>
      </c>
      <c r="P5" s="47" t="s">
        <v>85</v>
      </c>
      <c r="Q5" s="48">
        <f>SUM(countif('Itemization 202506'!N:N,P5),countif('Itemization 202501'!N:N,P5),countif('Itemization 202408'!N:N,P5),countif('Itemization 202406'!N:N,P5),countif('Itemization 202401'!N:N,P5),countif('Itemization 202308'!N:N,P5),countif('Itemization 202306'!N:N,P5))</f>
        <v>179</v>
      </c>
      <c r="R5" s="59">
        <f>(Q5/Q7)</f>
        <v>0.680608365</v>
      </c>
    </row>
    <row r="6" ht="15.75" customHeight="1">
      <c r="A6" s="60" t="s">
        <v>86</v>
      </c>
      <c r="B6" s="61">
        <f>SUM(COUNTIF('Itemization 202506'!I:I,A6),COUNTIF('Itemization 202501'!I:I,A6),COUNTIF('Itemization 202408'!I:I,A6),COUNTIF('Itemization 202406'!I:I,A6),COUNTIF('Itemization 202401'!I:I,A6),COUNTIF('Itemization 202306'!I:I,A6),COUNTIF('Itemization 202308'!I:I,A6))</f>
        <v>50</v>
      </c>
      <c r="C6" s="62">
        <f>(B6/B8)</f>
        <v>0.1872659176</v>
      </c>
      <c r="D6" s="60" t="s">
        <v>87</v>
      </c>
      <c r="E6" s="61">
        <f>SUM(COUNTIF('Itemization 202506'!J:J,D6),COUNTIF('Itemization 202501'!J:J,D6),COUNTIF('Itemization 202408'!J:J,D6),COUNTIF('Itemization 202406'!J:J,D6),COUNTIF('Itemization 202401'!J:J,D6),COUNTIF('Itemization 202308'!J:J,D6),COUNTIF('Itemization 202306'!J:J,D6))</f>
        <v>44</v>
      </c>
      <c r="F6" s="62">
        <f>(E6/E10)</f>
        <v>0.1647940075</v>
      </c>
      <c r="G6" s="47">
        <v>11.02</v>
      </c>
      <c r="H6" s="48">
        <f>SUM(COUNTIF('Itemization 202506'!K:K,G6),COUNTIF('Itemization 202501'!K:K,G6),COUNTIF('Itemization 202408'!K:K,G6),COUNTIF('Itemization 202406'!K:K,G6),COUNTIF('Itemization 202401'!K:K,G6),COUNTIF('Itemization 202308'!K:K,G6),COUNTIF('Itemization 202306'!K:K,G6))</f>
        <v>38</v>
      </c>
      <c r="I6" s="49">
        <f>(H6/H16)</f>
        <v>0.1433962264</v>
      </c>
      <c r="J6" s="63" t="s">
        <v>88</v>
      </c>
      <c r="K6" s="51">
        <f>SUM(COUNTIF('Itemization 202506'!L:L,J6),COUNTIF('Itemization 202501'!L:L,J6),COUNTIF('Itemization 202408'!L:L,J6),COUNTIF('Itemization 202406'!L:L,J6),COUNTIF('Itemization 202401'!L:L,J6),COUNTIF('Itemization 202308'!L:L,J6),COUNTIF('Itemization 202306'!L:L,J6))</f>
        <v>7</v>
      </c>
      <c r="L6" s="52">
        <f>(K6/K116)</f>
        <v>0.02651515152</v>
      </c>
      <c r="M6" s="50">
        <v>2.0</v>
      </c>
      <c r="N6" s="51">
        <f>SUM(countif('Itemization 202506'!M:M,M6),countif('Itemization 202501'!M:M,M6),countif('Itemization 202408'!M:M,M6),countif('Itemization 202406'!M:M,M6),countif('Itemization 202401'!M:M,M6),countif('Itemization 202308'!M:M,M6),countif('Itemization 202306'!M:M,M6))</f>
        <v>21</v>
      </c>
      <c r="O6" s="52">
        <f>(N6/N23)</f>
        <v>0.08823529412</v>
      </c>
      <c r="P6" s="64" t="s">
        <v>89</v>
      </c>
      <c r="Q6" s="61">
        <f>SUM(countif('Itemization 202506'!N:N,P6),countif('Itemization 202501'!N:N,P6),countif('Itemization 202408'!N:N,P6),countif('Itemization 202406'!N:N,P6),countif('Itemization 202401'!N:N,P6),countif('Itemization 202308'!N:N,P6),countif('Itemization 202306'!N:N,P6))</f>
        <v>84</v>
      </c>
      <c r="R6" s="65">
        <f>(Q6/Q7)</f>
        <v>0.319391635</v>
      </c>
    </row>
    <row r="7" ht="15.75" customHeight="1">
      <c r="A7" s="66" t="s">
        <v>90</v>
      </c>
      <c r="B7" s="57">
        <f>SUM(COUNTIF('Itemization 202506'!I:I,A7),COUNTIF('Itemization 202501'!I:I,A7),COUNTIF('Itemization 202408'!I:I,A7),COUNTIF('Itemization 202406'!I:I,A7),COUNTIF('Itemization 202401'!I:I,A7),COUNTIF('Itemization 202306'!I:I,A7),COUNTIF('Itemization 202308'!I:I,A7))</f>
        <v>7</v>
      </c>
      <c r="C7" s="67">
        <f>(B7/B8)</f>
        <v>0.02621722846</v>
      </c>
      <c r="D7" s="50" t="s">
        <v>91</v>
      </c>
      <c r="E7" s="51">
        <f>SUM(COUNTIF('Itemization 202506'!J:J,D7),COUNTIF('Itemization 202501'!J:J,D7),COUNTIF('Itemization 202408'!J:J,D7),COUNTIF('Itemization 202406'!J:J,D7),COUNTIF('Itemization 202401'!J:J,D7),COUNTIF('Itemization 202308'!J:J,D7),COUNTIF('Itemization 202306'!J:J,D7))</f>
        <v>6</v>
      </c>
      <c r="F7" s="52">
        <f>(E7/E10)</f>
        <v>0.02247191011</v>
      </c>
      <c r="G7" s="60">
        <v>11.03</v>
      </c>
      <c r="H7" s="61">
        <f>SUM(COUNTIF('Itemization 202506'!K:K,G7),COUNTIF('Itemization 202501'!K:K,G7),COUNTIF('Itemization 202408'!K:K,G7),COUNTIF('Itemization 202406'!K:K,G7),COUNTIF('Itemization 202401'!K:K,G7),COUNTIF('Itemization 202308'!K:K,G7),COUNTIF('Itemization 202306'!K:K,G7))</f>
        <v>36</v>
      </c>
      <c r="I7" s="62">
        <f>(H7/H16)</f>
        <v>0.1358490566</v>
      </c>
      <c r="J7" s="53" t="s">
        <v>92</v>
      </c>
      <c r="K7" s="54">
        <f>SUM(COUNTIF('Itemization 202506'!L:L,J7),COUNTIF('Itemization 202501'!L:L,J7),COUNTIF('Itemization 202408'!L:L,J7),COUNTIF('Itemization 202406'!L:L,J7),COUNTIF('Itemization 202401'!L:L,J7),COUNTIF('Itemization 202308'!L:L,J7),COUNTIF('Itemization 202306'!L:L,J7))</f>
        <v>0</v>
      </c>
      <c r="L7" s="55">
        <f>(K7/K116)</f>
        <v>0</v>
      </c>
      <c r="M7" s="50">
        <v>3.0</v>
      </c>
      <c r="N7" s="51">
        <f>SUM(countif('Itemization 202506'!M:M,M7),countif('Itemization 202501'!M:M,M7),countif('Itemization 202408'!M:M,M7),countif('Itemization 202406'!M:M,M7),countif('Itemization 202401'!M:M,M7),countif('Itemization 202308'!M:M,M7),countif('Itemization 202306'!M:M,M7))</f>
        <v>8</v>
      </c>
      <c r="O7" s="52">
        <f>(N7/N23)</f>
        <v>0.03361344538</v>
      </c>
      <c r="P7" s="68" t="s">
        <v>93</v>
      </c>
      <c r="Q7" s="69">
        <f t="shared" ref="Q7:R7" si="1">SUM(Q5:Q6)</f>
        <v>263</v>
      </c>
      <c r="R7" s="70">
        <f t="shared" si="1"/>
        <v>1</v>
      </c>
    </row>
    <row r="8" ht="15.75" customHeight="1">
      <c r="A8" s="68" t="s">
        <v>93</v>
      </c>
      <c r="B8" s="69">
        <f t="shared" ref="B8:C8" si="2">SUM(B5:B7)</f>
        <v>267</v>
      </c>
      <c r="C8" s="71">
        <f t="shared" si="2"/>
        <v>1</v>
      </c>
      <c r="D8" s="56" t="s">
        <v>94</v>
      </c>
      <c r="E8" s="57">
        <f>SUM(COUNTIF('Itemization 202506'!J:J,D8),COUNTIF('Itemization 202501'!J:J,D8),COUNTIF('Itemization 202408'!J:J,D8),COUNTIF('Itemization 202406'!J:J,D8),COUNTIF('Itemization 202401'!J:J,D8),COUNTIF('Itemization 202308'!J:J,D8),COUNTIF('Itemization 202306'!J:J,D8))</f>
        <v>16</v>
      </c>
      <c r="F8" s="58">
        <f>(E8/E10)</f>
        <v>0.05992509363</v>
      </c>
      <c r="G8" s="50">
        <v>11.04</v>
      </c>
      <c r="H8" s="51">
        <f>SUM(COUNTIF('Itemization 202506'!K:K,G8),COUNTIF('Itemization 202501'!K:K,G8),COUNTIF('Itemization 202408'!K:K,G8),COUNTIF('Itemization 202406'!K:K,G8),COUNTIF('Itemization 202401'!K:K,G8),COUNTIF('Itemization 202308'!K:K,G8),COUNTIF('Itemization 202306'!K:K,G8))</f>
        <v>18</v>
      </c>
      <c r="I8" s="52">
        <f>(H8/H16)</f>
        <v>0.0679245283</v>
      </c>
      <c r="J8" s="63" t="s">
        <v>95</v>
      </c>
      <c r="K8" s="51">
        <f>SUM(COUNTIF('Itemization 202506'!L:L,J8),COUNTIF('Itemization 202501'!L:L,J8),COUNTIF('Itemization 202408'!L:L,J8),COUNTIF('Itemization 202406'!L:L,J8),COUNTIF('Itemization 202401'!L:L,J8),COUNTIF('Itemization 202308'!L:L,J8),COUNTIF('Itemization 202306'!L:L,J8))</f>
        <v>2</v>
      </c>
      <c r="L8" s="52">
        <f>(K8/K116)</f>
        <v>0.007575757576</v>
      </c>
      <c r="M8" s="50">
        <v>4.0</v>
      </c>
      <c r="N8" s="51">
        <f>SUM(countif('Itemization 202506'!M:M,M8),countif('Itemization 202501'!M:M,M8),countif('Itemization 202408'!M:M,M8),countif('Itemization 202406'!M:M,M8),countif('Itemization 202401'!M:M,M8),countif('Itemization 202308'!M:M,M8),countif('Itemization 202306'!M:M,M8))</f>
        <v>9</v>
      </c>
      <c r="O8" s="52">
        <f>(N8/N23)</f>
        <v>0.03781512605</v>
      </c>
      <c r="P8" s="51"/>
      <c r="Q8" s="51"/>
      <c r="R8" s="72"/>
    </row>
    <row r="9" ht="15.75" customHeight="1">
      <c r="A9" s="73"/>
      <c r="B9" s="73"/>
      <c r="C9" s="74"/>
      <c r="D9" s="75" t="s">
        <v>96</v>
      </c>
      <c r="E9" s="51">
        <f>SUM(COUNTIF('Itemization 202506'!J:J,D9),COUNTIF('Itemization 202501'!J:J,D9),COUNTIF('Itemization 202408'!J:J,D9),COUNTIF('Itemization 202406'!J:J,D9),COUNTIF('Itemization 202401'!J:J,D9),COUNTIF('Itemization 202308'!J:J,D9),COUNTIF('Itemization 202306'!J:J,D9))</f>
        <v>10</v>
      </c>
      <c r="F9" s="76">
        <f>(E9/E10)</f>
        <v>0.03745318352</v>
      </c>
      <c r="G9" s="50">
        <v>11.05</v>
      </c>
      <c r="H9" s="51">
        <f>SUM(COUNTIF('Itemization 202506'!K:K,G9),COUNTIF('Itemization 202501'!K:K,G9),COUNTIF('Itemization 202408'!K:K,G9),COUNTIF('Itemization 202406'!K:K,G9),COUNTIF('Itemization 202401'!K:K,G9),COUNTIF('Itemization 202308'!K:K,G9),COUNTIF('Itemization 202306'!K:K,G9))</f>
        <v>31</v>
      </c>
      <c r="I9" s="52">
        <f>(H9/H16)</f>
        <v>0.1169811321</v>
      </c>
      <c r="J9" s="53" t="s">
        <v>97</v>
      </c>
      <c r="K9" s="54">
        <f>SUM(COUNTIF('Itemization 202506'!L:L,J9),COUNTIF('Itemization 202501'!L:L,J9),COUNTIF('Itemization 202408'!L:L,J9),COUNTIF('Itemization 202406'!L:L,J9),COUNTIF('Itemization 202401'!L:L,J9),COUNTIF('Itemization 202308'!L:L,J9),COUNTIF('Itemization 202306'!L:L,J9))</f>
        <v>0</v>
      </c>
      <c r="L9" s="55">
        <f>(K9/K116)</f>
        <v>0</v>
      </c>
      <c r="M9" s="50">
        <v>5.0</v>
      </c>
      <c r="N9" s="51">
        <f>SUM(countif('Itemization 202506'!M:M,M9),countif('Itemization 202501'!M:M,M9),countif('Itemization 202408'!M:M,M9),countif('Itemization 202406'!M:M,M9),countif('Itemization 202401'!M:M,M9),countif('Itemization 202308'!M:M,M9),countif('Itemization 202306'!M:M,M9))</f>
        <v>2</v>
      </c>
      <c r="O9" s="52">
        <f>(N9/N23)</f>
        <v>0.008403361345</v>
      </c>
      <c r="P9" s="51"/>
      <c r="Q9" s="51"/>
      <c r="R9" s="72"/>
    </row>
    <row r="10" ht="15.75" customHeight="1">
      <c r="A10" s="77"/>
      <c r="B10" s="51"/>
      <c r="C10" s="78"/>
      <c r="D10" s="68" t="s">
        <v>93</v>
      </c>
      <c r="E10" s="69">
        <f t="shared" ref="E10:F10" si="3">SUM(E5:E9)</f>
        <v>267</v>
      </c>
      <c r="F10" s="71">
        <f t="shared" si="3"/>
        <v>1</v>
      </c>
      <c r="G10" s="56">
        <v>11.06</v>
      </c>
      <c r="H10" s="57">
        <f>SUM(COUNTIF('Itemization 202506'!K:K,G10),COUNTIF('Itemization 202501'!K:K,G10),COUNTIF('Itemization 202408'!K:K,G10),COUNTIF('Itemization 202406'!K:K,G10),COUNTIF('Itemization 202401'!K:K,G10),COUNTIF('Itemization 202308'!K:K,G10),COUNTIF('Itemization 202306'!K:K,G10))</f>
        <v>34</v>
      </c>
      <c r="I10" s="58">
        <f>(H10/H16)</f>
        <v>0.1283018868</v>
      </c>
      <c r="J10" s="53" t="s">
        <v>98</v>
      </c>
      <c r="K10" s="54">
        <f>SUM(COUNTIF('Itemization 202506'!L:L,J10),COUNTIF('Itemization 202501'!L:L,J10),COUNTIF('Itemization 202408'!L:L,J10),COUNTIF('Itemization 202406'!L:L,J10),COUNTIF('Itemization 202401'!L:L,J10),COUNTIF('Itemization 202308'!L:L,J10),COUNTIF('Itemization 202306'!L:L,J10))</f>
        <v>0</v>
      </c>
      <c r="L10" s="55">
        <f>(K10/K116)</f>
        <v>0</v>
      </c>
      <c r="M10" s="50">
        <v>6.0</v>
      </c>
      <c r="N10" s="51">
        <f>SUM(countif('Itemization 202506'!M:M,M10),countif('Itemization 202501'!M:M,M10),countif('Itemization 202408'!M:M,M10),countif('Itemization 202406'!M:M,M10),countif('Itemization 202401'!M:M,M10),countif('Itemization 202308'!M:M,M10),countif('Itemization 202306'!M:M,M10))</f>
        <v>6</v>
      </c>
      <c r="O10" s="52">
        <f>(N10/N23)</f>
        <v>0.02521008403</v>
      </c>
      <c r="P10" s="51"/>
      <c r="Q10" s="51"/>
      <c r="R10" s="72"/>
    </row>
    <row r="11" ht="15.75" customHeight="1">
      <c r="A11" s="77"/>
      <c r="B11" s="51"/>
      <c r="C11" s="78"/>
      <c r="D11" s="51"/>
      <c r="E11" s="51"/>
      <c r="F11" s="78"/>
      <c r="G11" s="50">
        <v>11.07</v>
      </c>
      <c r="H11" s="51">
        <f>SUM(COUNTIF('Itemization 202506'!K:K,G11),COUNTIF('Itemization 202501'!K:K,G11),COUNTIF('Itemization 202408'!K:K,G11),COUNTIF('Itemization 202406'!K:K,G11),COUNTIF('Itemization 202401'!K:K,G11),COUNTIF('Itemization 202308'!K:K,G11),COUNTIF('Itemization 202306'!K:K,G11))</f>
        <v>24</v>
      </c>
      <c r="I11" s="52">
        <f>(H11/H16)</f>
        <v>0.09056603774</v>
      </c>
      <c r="J11" s="63" t="s">
        <v>99</v>
      </c>
      <c r="K11" s="51">
        <f>SUM(COUNTIF('Itemization 202506'!L:L,J11),COUNTIF('Itemization 202501'!L:L,J11),COUNTIF('Itemization 202408'!L:L,J11),COUNTIF('Itemization 202406'!L:L,J11),COUNTIF('Itemization 202401'!L:L,J11),COUNTIF('Itemization 202308'!L:L,J11),COUNTIF('Itemization 202306'!L:L,J11))</f>
        <v>2</v>
      </c>
      <c r="L11" s="52">
        <f>(K11/K116)</f>
        <v>0.007575757576</v>
      </c>
      <c r="M11" s="60">
        <v>7.0</v>
      </c>
      <c r="N11" s="61">
        <f>SUM(countif('Itemization 202506'!M:M,M11),countif('Itemization 202501'!M:M,M11),countif('Itemization 202408'!M:M,M11),countif('Itemization 202406'!M:M,M11),countif('Itemization 202401'!M:M,M11),countif('Itemization 202308'!M:M,M11),countif('Itemization 202306'!M:M,M11))</f>
        <v>24</v>
      </c>
      <c r="O11" s="62">
        <f>(N11/N23)</f>
        <v>0.1008403361</v>
      </c>
      <c r="P11" s="51"/>
      <c r="Q11" s="51"/>
      <c r="R11" s="72"/>
    </row>
    <row r="12" ht="15.75" customHeight="1">
      <c r="A12" s="77"/>
      <c r="B12" s="51"/>
      <c r="C12" s="78"/>
      <c r="D12" s="51"/>
      <c r="E12" s="51"/>
      <c r="F12" s="78"/>
      <c r="G12" s="50">
        <v>11.08</v>
      </c>
      <c r="H12" s="51">
        <f>SUM(COUNTIF('Itemization 202506'!K:K,G12),COUNTIF('Itemization 202501'!K:K,G12),COUNTIF('Itemization 202408'!K:K,G12),COUNTIF('Itemization 202406'!K:K,G12),COUNTIF('Itemization 202401'!K:K,G12),COUNTIF('Itemization 202308'!K:K,G12),COUNTIF('Itemization 202306'!K:K,G12))</f>
        <v>14</v>
      </c>
      <c r="I12" s="52">
        <f>(H12/H16)</f>
        <v>0.05283018868</v>
      </c>
      <c r="J12" s="63" t="s">
        <v>100</v>
      </c>
      <c r="K12" s="51">
        <f>SUM(COUNTIF('Itemization 202506'!L:L,J12),COUNTIF('Itemization 202501'!L:L,J12),COUNTIF('Itemization 202408'!L:L,J12),COUNTIF('Itemization 202406'!L:L,J12),COUNTIF('Itemization 202401'!L:L,J12),COUNTIF('Itemization 202308'!L:L,J12),COUNTIF('Itemization 202306'!L:L,J12))</f>
        <v>10</v>
      </c>
      <c r="L12" s="52">
        <f>(K12/K116)</f>
        <v>0.03787878788</v>
      </c>
      <c r="M12" s="47">
        <v>8.0</v>
      </c>
      <c r="N12" s="48">
        <f>SUM(countif('Itemization 202506'!M:M,M12),countif('Itemization 202501'!M:M,M12),countif('Itemization 202408'!M:M,M12),countif('Itemization 202406'!M:M,M12),countif('Itemization 202401'!M:M,M12),countif('Itemization 202308'!M:M,M12),countif('Itemization 202306'!M:M,M12))</f>
        <v>38</v>
      </c>
      <c r="O12" s="49">
        <f>(N12/N23)</f>
        <v>0.1596638655</v>
      </c>
      <c r="P12" s="51"/>
      <c r="Q12" s="51"/>
      <c r="R12" s="72"/>
    </row>
    <row r="13" ht="15.75" customHeight="1">
      <c r="A13" s="77"/>
      <c r="B13" s="51"/>
      <c r="C13" s="78"/>
      <c r="D13" s="51"/>
      <c r="E13" s="51"/>
      <c r="F13" s="78"/>
      <c r="G13" s="50">
        <v>11.09</v>
      </c>
      <c r="H13" s="51">
        <f>SUM(COUNTIF('Itemization 202506'!K:K,G13),COUNTIF('Itemization 202501'!K:K,G13),COUNTIF('Itemization 202408'!K:K,G13),COUNTIF('Itemization 202406'!K:K,G13),COUNTIF('Itemization 202401'!K:K,G13),COUNTIF('Itemization 202308'!K:K,G13),COUNTIF('Itemization 202306'!K:K,G13))</f>
        <v>27</v>
      </c>
      <c r="I13" s="52">
        <f>(H13/H16)</f>
        <v>0.1018867925</v>
      </c>
      <c r="J13" s="63" t="s">
        <v>101</v>
      </c>
      <c r="K13" s="51">
        <f>SUM(COUNTIF('Itemization 202506'!L:L,J13),COUNTIF('Itemization 202501'!L:L,J13),COUNTIF('Itemization 202408'!L:L,J13),COUNTIF('Itemization 202406'!L:L,J13),COUNTIF('Itemization 202401'!L:L,J13),COUNTIF('Itemization 202308'!L:L,J13),COUNTIF('Itemization 202306'!L:L,J13))</f>
        <v>2</v>
      </c>
      <c r="L13" s="52">
        <f>(K13/K116)</f>
        <v>0.007575757576</v>
      </c>
      <c r="M13" s="50">
        <v>9.0</v>
      </c>
      <c r="N13" s="51">
        <f>SUM(countif('Itemization 202506'!M:M,M13),countif('Itemization 202501'!M:M,M13),countif('Itemization 202408'!M:M,M13),countif('Itemization 202406'!M:M,M13),countif('Itemization 202401'!M:M,M13),countif('Itemization 202308'!M:M,M13),countif('Itemization 202306'!M:M,M13))</f>
        <v>12</v>
      </c>
      <c r="O13" s="52">
        <f>(N13/N23)</f>
        <v>0.05042016807</v>
      </c>
      <c r="P13" s="51"/>
      <c r="Q13" s="51"/>
      <c r="R13" s="72"/>
    </row>
    <row r="14" ht="15.75" customHeight="1">
      <c r="A14" s="51"/>
      <c r="B14" s="51"/>
      <c r="C14" s="78"/>
      <c r="D14" s="51"/>
      <c r="E14" s="51"/>
      <c r="F14" s="78"/>
      <c r="G14" s="63" t="s">
        <v>102</v>
      </c>
      <c r="H14" s="51">
        <f>SUM(COUNTIF('Itemization 202506'!K:K,G14),COUNTIF('Itemization 202501'!K:K,G14),COUNTIF('Itemization 202408'!K:K,G14),COUNTIF('Itemization 202406'!K:K,G14),COUNTIF('Itemization 202401'!K:K,G14),COUNTIF('Itemization 202308'!K:K,G14),COUNTIF('Itemization 202306'!K:K,G14))</f>
        <v>26</v>
      </c>
      <c r="I14" s="52">
        <f>(H14/H16)</f>
        <v>0.09811320755</v>
      </c>
      <c r="J14" s="53" t="s">
        <v>103</v>
      </c>
      <c r="K14" s="54">
        <f>SUM(COUNTIF('Itemization 202506'!L:L,J14),COUNTIF('Itemization 202501'!L:L,J14),COUNTIF('Itemization 202408'!L:L,J14),COUNTIF('Itemization 202406'!L:L,J14),COUNTIF('Itemization 202401'!L:L,J14),COUNTIF('Itemization 202308'!L:L,J14),COUNTIF('Itemization 202306'!L:L,J14))</f>
        <v>0</v>
      </c>
      <c r="L14" s="55">
        <f>(K14/K116)</f>
        <v>0</v>
      </c>
      <c r="M14" s="50">
        <v>10.0</v>
      </c>
      <c r="N14" s="51">
        <f>SUM(countif('Itemization 202506'!M:M,M14),countif('Itemization 202501'!M:M,M14),countif('Itemization 202408'!M:M,M14),countif('Itemization 202406'!M:M,M14),countif('Itemization 202401'!M:M,M14),countif('Itemization 202308'!M:M,M14),countif('Itemization 202306'!M:M,M14))</f>
        <v>6</v>
      </c>
      <c r="O14" s="52">
        <f>(N14/N23)</f>
        <v>0.02521008403</v>
      </c>
      <c r="P14" s="51"/>
      <c r="Q14" s="51"/>
      <c r="R14" s="72"/>
    </row>
    <row r="15" ht="15.75" customHeight="1">
      <c r="A15" s="73"/>
      <c r="B15" s="73"/>
      <c r="C15" s="74"/>
      <c r="D15" s="51"/>
      <c r="E15" s="51"/>
      <c r="F15" s="78"/>
      <c r="G15" s="79" t="s">
        <v>104</v>
      </c>
      <c r="H15" s="51">
        <f>SUM(COUNTIF('Itemization 202506'!K:K,G15),COUNTIF('Itemization 202501'!K:K,G15),COUNTIF('Itemization 202408'!K:K,G15),COUNTIF('Itemization 202406'!K:K,G15),COUNTIF('Itemization 202401'!K:K,G15),COUNTIF('Itemization 202308'!K:K,G15),COUNTIF('Itemization 202306'!K:K,G15))</f>
        <v>6</v>
      </c>
      <c r="I15" s="76">
        <f>(H15/H16)</f>
        <v>0.02264150943</v>
      </c>
      <c r="J15" s="53" t="s">
        <v>105</v>
      </c>
      <c r="K15" s="54">
        <f>SUM(COUNTIF('Itemization 202506'!L:L,J15),COUNTIF('Itemization 202501'!L:L,J15),COUNTIF('Itemization 202408'!L:L,J15),COUNTIF('Itemization 202406'!L:L,J15),COUNTIF('Itemization 202401'!L:L,J15),COUNTIF('Itemization 202308'!L:L,J15),COUNTIF('Itemization 202306'!L:L,J15))</f>
        <v>0</v>
      </c>
      <c r="L15" s="55">
        <f>(K15/K116)</f>
        <v>0</v>
      </c>
      <c r="M15" s="50">
        <v>11.0</v>
      </c>
      <c r="N15" s="51">
        <f>SUM(countif('Itemization 202506'!M:M,M15),countif('Itemization 202501'!M:M,M15),countif('Itemization 202408'!M:M,M15),countif('Itemization 202406'!M:M,M15),countif('Itemization 202401'!M:M,M15),countif('Itemization 202308'!M:M,M15),countif('Itemization 202306'!M:M,M15))</f>
        <v>2</v>
      </c>
      <c r="O15" s="52">
        <f>(N15/N23)</f>
        <v>0.008403361345</v>
      </c>
      <c r="P15" s="51"/>
      <c r="Q15" s="51"/>
      <c r="R15" s="72"/>
    </row>
    <row r="16" ht="15.75" customHeight="1">
      <c r="A16" s="51"/>
      <c r="B16" s="51"/>
      <c r="C16" s="78"/>
      <c r="D16" s="51"/>
      <c r="E16" s="51"/>
      <c r="F16" s="78"/>
      <c r="G16" s="68" t="s">
        <v>93</v>
      </c>
      <c r="H16" s="69">
        <f>SUM(H5:H15)</f>
        <v>265</v>
      </c>
      <c r="I16" s="71">
        <f>sum(I5:I15)</f>
        <v>1</v>
      </c>
      <c r="J16" s="63" t="s">
        <v>106</v>
      </c>
      <c r="K16" s="51">
        <f>SUM(COUNTIF('Itemization 202506'!L:L,J16),COUNTIF('Itemization 202501'!L:L,J16),COUNTIF('Itemization 202408'!L:L,J16),COUNTIF('Itemization 202406'!L:L,J16),COUNTIF('Itemization 202401'!L:L,J16),COUNTIF('Itemization 202308'!L:L,J16),COUNTIF('Itemization 202306'!L:L,J16))</f>
        <v>2</v>
      </c>
      <c r="L16" s="52">
        <f>(K16/K116)</f>
        <v>0.007575757576</v>
      </c>
      <c r="M16" s="50">
        <v>12.0</v>
      </c>
      <c r="N16" s="51">
        <f>SUM(countif('Itemization 202506'!M:M,M16),countif('Itemization 202501'!M:M,M16),countif('Itemization 202408'!M:M,M16),countif('Itemization 202406'!M:M,M16),countif('Itemization 202401'!M:M,M16),countif('Itemization 202308'!M:M,M16),countif('Itemization 202306'!M:M,M16))</f>
        <v>16</v>
      </c>
      <c r="O16" s="52">
        <f>(N16/N23)</f>
        <v>0.06722689076</v>
      </c>
      <c r="P16" s="51"/>
      <c r="Q16" s="51"/>
      <c r="R16" s="72"/>
    </row>
    <row r="17" ht="15.75" customHeight="1">
      <c r="A17" s="73"/>
      <c r="B17" s="73"/>
      <c r="C17" s="74"/>
      <c r="D17" s="51"/>
      <c r="E17" s="51"/>
      <c r="F17" s="78"/>
      <c r="G17" s="51"/>
      <c r="H17" s="51"/>
      <c r="I17" s="78"/>
      <c r="J17" s="63" t="s">
        <v>107</v>
      </c>
      <c r="K17" s="51">
        <f>SUM(COUNTIF('Itemization 202506'!L:L,J17),COUNTIF('Itemization 202501'!L:L,J17),COUNTIF('Itemization 202408'!L:L,J17),COUNTIF('Itemization 202406'!L:L,J17),COUNTIF('Itemization 202401'!L:L,J17),COUNTIF('Itemization 202308'!L:L,J17),COUNTIF('Itemization 202306'!L:L,J17))</f>
        <v>3</v>
      </c>
      <c r="L17" s="52">
        <f>(K17/K116)</f>
        <v>0.01136363636</v>
      </c>
      <c r="M17" s="50">
        <v>13.0</v>
      </c>
      <c r="N17" s="51">
        <f>SUM(countif('Itemization 202506'!M:M,M17),countif('Itemization 202501'!M:M,M17),countif('Itemization 202408'!M:M,M17),countif('Itemization 202406'!M:M,M17),countif('Itemization 202401'!M:M,M17),countif('Itemization 202308'!M:M,M17),countif('Itemization 202306'!M:M,M17))</f>
        <v>11</v>
      </c>
      <c r="O17" s="52">
        <f>(N17/N23)</f>
        <v>0.04621848739</v>
      </c>
      <c r="P17" s="51"/>
      <c r="Q17" s="51"/>
      <c r="R17" s="72"/>
    </row>
    <row r="18" ht="15.75" customHeight="1">
      <c r="A18" s="73"/>
      <c r="B18" s="73"/>
      <c r="C18" s="74"/>
      <c r="D18" s="51"/>
      <c r="E18" s="51"/>
      <c r="F18" s="78"/>
      <c r="G18" s="51"/>
      <c r="H18" s="51"/>
      <c r="I18" s="78"/>
      <c r="J18" s="63" t="s">
        <v>108</v>
      </c>
      <c r="K18" s="51">
        <f>SUM(COUNTIF('Itemization 202506'!L:L,J18),COUNTIF('Itemization 202501'!L:L,J18),COUNTIF('Itemization 202408'!L:L,J18),COUNTIF('Itemization 202406'!L:L,J18),COUNTIF('Itemization 202401'!L:L,J18),COUNTIF('Itemization 202308'!L:L,J18),COUNTIF('Itemization 202306'!L:L,J18))</f>
        <v>8</v>
      </c>
      <c r="L18" s="52">
        <f>(K18/K116)</f>
        <v>0.0303030303</v>
      </c>
      <c r="M18" s="50">
        <v>14.0</v>
      </c>
      <c r="N18" s="51">
        <f>SUM(countif('Itemization 202506'!M:M,M18),countif('Itemization 202501'!M:M,M18),countif('Itemization 202408'!M:M,M18),countif('Itemization 202406'!M:M,M18),countif('Itemization 202401'!M:M,M18),countif('Itemization 202308'!M:M,M18),countif('Itemization 202306'!M:M,M18))</f>
        <v>14</v>
      </c>
      <c r="O18" s="52">
        <f>(N18/N23)</f>
        <v>0.05882352941</v>
      </c>
      <c r="P18" s="51"/>
      <c r="Q18" s="51"/>
      <c r="R18" s="72"/>
    </row>
    <row r="19" ht="15.75" customHeight="1">
      <c r="A19" s="80" t="s">
        <v>109</v>
      </c>
      <c r="D19" s="51"/>
      <c r="E19" s="51"/>
      <c r="F19" s="78"/>
      <c r="G19" s="51"/>
      <c r="H19" s="51"/>
      <c r="I19" s="78"/>
      <c r="J19" s="63" t="s">
        <v>110</v>
      </c>
      <c r="K19" s="51">
        <f>SUM(COUNTIF('Itemization 202506'!L:L,J19),COUNTIF('Itemization 202501'!L:L,J19),COUNTIF('Itemization 202408'!L:L,J19),COUNTIF('Itemization 202406'!L:L,J19),COUNTIF('Itemization 202401'!L:L,J19),COUNTIF('Itemization 202308'!L:L,J19),COUNTIF('Itemization 202306'!L:L,J19))</f>
        <v>1</v>
      </c>
      <c r="L19" s="52">
        <f>(K19/K116)</f>
        <v>0.003787878788</v>
      </c>
      <c r="M19" s="50">
        <v>15.0</v>
      </c>
      <c r="N19" s="51">
        <f>SUM(countif('Itemization 202506'!M:M,M19),countif('Itemization 202501'!M:M,M19),countif('Itemization 202408'!M:M,M19),countif('Itemization 202406'!M:M,M19),countif('Itemization 202401'!M:M,M19),countif('Itemization 202308'!M:M,M19),countif('Itemization 202306'!M:M,M19))</f>
        <v>10</v>
      </c>
      <c r="O19" s="52">
        <f>(N19/N23)</f>
        <v>0.04201680672</v>
      </c>
      <c r="P19" s="51"/>
      <c r="Q19" s="51"/>
      <c r="R19" s="72"/>
    </row>
    <row r="20" ht="15.75" customHeight="1">
      <c r="A20" s="81" t="s">
        <v>111</v>
      </c>
      <c r="D20" s="51"/>
      <c r="E20" s="51"/>
      <c r="F20" s="78"/>
      <c r="G20" s="51"/>
      <c r="H20" s="51"/>
      <c r="I20" s="78"/>
      <c r="J20" s="63" t="s">
        <v>112</v>
      </c>
      <c r="K20" s="51">
        <f>SUM(COUNTIF('Itemization 202506'!L:L,J20),COUNTIF('Itemization 202501'!L:L,J20),COUNTIF('Itemization 202408'!L:L,J20),COUNTIF('Itemization 202406'!L:L,J20),COUNTIF('Itemization 202401'!L:L,J20),COUNTIF('Itemization 202308'!L:L,J20),COUNTIF('Itemization 202306'!L:L,J20))</f>
        <v>5</v>
      </c>
      <c r="L20" s="52">
        <f>(K20/K116)</f>
        <v>0.01893939394</v>
      </c>
      <c r="M20" s="50">
        <v>16.0</v>
      </c>
      <c r="N20" s="51">
        <f>SUM(countif('Itemization 202506'!M:M,M20),countif('Itemization 202501'!M:M,M20),countif('Itemization 202408'!M:M,M20),countif('Itemization 202406'!M:M,M20),countif('Itemization 202401'!M:M,M20),countif('Itemization 202308'!M:M,M20),countif('Itemization 202306'!M:M,M20))</f>
        <v>1</v>
      </c>
      <c r="O20" s="52">
        <f>(N20/N23)</f>
        <v>0.004201680672</v>
      </c>
      <c r="P20" s="51"/>
      <c r="Q20" s="51"/>
      <c r="R20" s="72"/>
    </row>
    <row r="21" ht="15.75" customHeight="1">
      <c r="A21" s="82" t="s">
        <v>113</v>
      </c>
      <c r="D21" s="51"/>
      <c r="E21" s="51"/>
      <c r="F21" s="78"/>
      <c r="G21" s="51"/>
      <c r="H21" s="51"/>
      <c r="I21" s="78"/>
      <c r="J21" s="53" t="s">
        <v>114</v>
      </c>
      <c r="K21" s="54">
        <f>SUM(COUNTIF('Itemization 202506'!L:L,J21),COUNTIF('Itemization 202501'!L:L,J21),COUNTIF('Itemization 202408'!L:L,J21),COUNTIF('Itemization 202406'!L:L,J21),COUNTIF('Itemization 202401'!L:L,J21),COUNTIF('Itemization 202308'!L:L,J21),COUNTIF('Itemization 202306'!L:L,J21))</f>
        <v>0</v>
      </c>
      <c r="L21" s="55">
        <f>(K21/K116)</f>
        <v>0</v>
      </c>
      <c r="M21" s="50">
        <v>17.0</v>
      </c>
      <c r="N21" s="51">
        <f>SUM(countif('Itemization 202506'!M:M,M21),countif('Itemization 202501'!M:M,M21),countif('Itemization 202408'!M:M,M21),countif('Itemization 202406'!M:M,M21),countif('Itemization 202401'!M:M,M21),countif('Itemization 202308'!M:M,M21),countif('Itemization 202306'!M:M,M21))</f>
        <v>13</v>
      </c>
      <c r="O21" s="52">
        <f>(N21/N23)</f>
        <v>0.05462184874</v>
      </c>
      <c r="P21" s="51"/>
      <c r="Q21" s="51"/>
      <c r="R21" s="72"/>
    </row>
    <row r="22" ht="15.75" customHeight="1">
      <c r="A22" s="83" t="s">
        <v>115</v>
      </c>
      <c r="D22" s="51"/>
      <c r="E22" s="51"/>
      <c r="F22" s="78"/>
      <c r="G22" s="51"/>
      <c r="H22" s="51"/>
      <c r="I22" s="78"/>
      <c r="J22" s="63" t="s">
        <v>116</v>
      </c>
      <c r="K22" s="51">
        <f>SUM(COUNTIF('Itemization 202506'!L:L,J22),COUNTIF('Itemization 202501'!L:L,J22),COUNTIF('Itemization 202408'!L:L,J22),COUNTIF('Itemization 202406'!L:L,J22),COUNTIF('Itemization 202401'!L:L,J22),COUNTIF('Itemization 202308'!L:L,J22),COUNTIF('Itemization 202306'!L:L,J22))</f>
        <v>3</v>
      </c>
      <c r="L22" s="52">
        <f>(K22/K116)</f>
        <v>0.01136363636</v>
      </c>
      <c r="M22" s="84">
        <v>18.0</v>
      </c>
      <c r="N22" s="51">
        <f>SUM(countif('Itemization 202506'!M:M,M22),countif('Itemization 202501'!M:M,M22),countif('Itemization 202408'!M:M,M22),countif('Itemization 202406'!M:M,M22),countif('Itemization 202401'!M:M,M22),countif('Itemization 202308'!M:M,M22),countif('Itemization 202306'!M:M,M22))</f>
        <v>22</v>
      </c>
      <c r="O22" s="76">
        <f>(N22/N23)</f>
        <v>0.09243697479</v>
      </c>
      <c r="P22" s="51"/>
      <c r="Q22" s="51"/>
      <c r="R22" s="72"/>
    </row>
    <row r="23" ht="15.75" customHeight="1">
      <c r="A23" s="85" t="s">
        <v>117</v>
      </c>
      <c r="D23" s="51"/>
      <c r="E23" s="51"/>
      <c r="F23" s="78"/>
      <c r="G23" s="51"/>
      <c r="H23" s="51"/>
      <c r="I23" s="78"/>
      <c r="J23" s="63" t="s">
        <v>118</v>
      </c>
      <c r="K23" s="51">
        <f>SUM(COUNTIF('Itemization 202506'!L:L,J23),COUNTIF('Itemization 202501'!L:L,J23),COUNTIF('Itemization 202408'!L:L,J23),COUNTIF('Itemization 202406'!L:L,J23),COUNTIF('Itemization 202401'!L:L,J23),COUNTIF('Itemization 202308'!L:L,J23),COUNTIF('Itemization 202306'!L:L,J23))</f>
        <v>6</v>
      </c>
      <c r="L23" s="52">
        <f>(K23/K116)</f>
        <v>0.02272727273</v>
      </c>
      <c r="M23" s="68" t="s">
        <v>93</v>
      </c>
      <c r="N23" s="69">
        <f>SUM(N5:N22)</f>
        <v>238</v>
      </c>
      <c r="O23" s="71">
        <f>SUM(O4:O22)</f>
        <v>1</v>
      </c>
      <c r="P23" s="51"/>
      <c r="Q23" s="51"/>
      <c r="R23" s="72"/>
    </row>
    <row r="24" ht="15.75" customHeight="1">
      <c r="A24" s="86" t="s">
        <v>119</v>
      </c>
      <c r="D24" s="51"/>
      <c r="E24" s="51"/>
      <c r="F24" s="78"/>
      <c r="G24" s="51"/>
      <c r="H24" s="51"/>
      <c r="I24" s="78"/>
      <c r="J24" s="87" t="s">
        <v>120</v>
      </c>
      <c r="K24" s="48">
        <f>SUM(COUNTIF('Itemization 202506'!L:L,J24),COUNTIF('Itemization 202501'!L:L,J24),COUNTIF('Itemization 202408'!L:L,J24),COUNTIF('Itemization 202406'!L:L,J24),COUNTIF('Itemization 202401'!L:L,J24),COUNTIF('Itemization 202308'!L:L,J24),COUNTIF('Itemization 202306'!L:L,J24))</f>
        <v>15</v>
      </c>
      <c r="L24" s="49">
        <f>(K24/K116)</f>
        <v>0.05681818182</v>
      </c>
      <c r="M24" s="51"/>
      <c r="N24" s="51"/>
      <c r="O24" s="78"/>
      <c r="P24" s="51"/>
      <c r="Q24" s="51"/>
      <c r="R24" s="72"/>
    </row>
    <row r="25" ht="15.75" customHeight="1">
      <c r="A25" s="85"/>
      <c r="B25" s="85"/>
      <c r="C25" s="85"/>
      <c r="D25" s="51"/>
      <c r="E25" s="51"/>
      <c r="F25" s="78"/>
      <c r="G25" s="51"/>
      <c r="H25" s="51"/>
      <c r="I25" s="78"/>
      <c r="J25" s="53" t="s">
        <v>121</v>
      </c>
      <c r="K25" s="54">
        <f>SUM(COUNTIF('Itemization 202506'!L:L,J25),COUNTIF('Itemization 202501'!L:L,J25),COUNTIF('Itemization 202408'!L:L,J25),COUNTIF('Itemization 202406'!L:L,J25),COUNTIF('Itemization 202401'!L:L,J25),COUNTIF('Itemization 202308'!L:L,J25),COUNTIF('Itemization 202306'!L:L,J25))</f>
        <v>0</v>
      </c>
      <c r="L25" s="55">
        <f>(K25/K116)</f>
        <v>0</v>
      </c>
      <c r="M25" s="51"/>
      <c r="N25" s="51"/>
      <c r="O25" s="78"/>
      <c r="P25" s="51"/>
      <c r="Q25" s="51"/>
      <c r="R25" s="72"/>
    </row>
    <row r="26" ht="15.75" customHeight="1">
      <c r="A26" s="85"/>
      <c r="B26" s="85"/>
      <c r="C26" s="85"/>
      <c r="D26" s="51"/>
      <c r="E26" s="51"/>
      <c r="F26" s="78"/>
      <c r="G26" s="51"/>
      <c r="H26" s="51"/>
      <c r="I26" s="78"/>
      <c r="J26" s="63" t="s">
        <v>122</v>
      </c>
      <c r="K26" s="51">
        <f>SUM(COUNTIF('Itemization 202506'!L:L,J26),COUNTIF('Itemization 202501'!L:L,J26),COUNTIF('Itemization 202408'!L:L,J26),COUNTIF('Itemization 202406'!L:L,J26),COUNTIF('Itemization 202401'!L:L,J26),COUNTIF('Itemization 202308'!L:L,J26),COUNTIF('Itemization 202306'!L:L,J26))</f>
        <v>2</v>
      </c>
      <c r="L26" s="52">
        <f>(K26/K116)</f>
        <v>0.007575757576</v>
      </c>
      <c r="M26" s="51"/>
      <c r="N26" s="51"/>
      <c r="O26" s="78"/>
      <c r="P26" s="51"/>
      <c r="Q26" s="51"/>
      <c r="R26" s="72"/>
    </row>
    <row r="27" ht="15.75" customHeight="1">
      <c r="A27" s="85"/>
      <c r="B27" s="85"/>
      <c r="C27" s="85"/>
      <c r="D27" s="51"/>
      <c r="E27" s="51"/>
      <c r="F27" s="78"/>
      <c r="G27" s="51"/>
      <c r="H27" s="51"/>
      <c r="I27" s="78"/>
      <c r="J27" s="53" t="s">
        <v>123</v>
      </c>
      <c r="K27" s="54">
        <f>SUM(COUNTIF('Itemization 202506'!L:L,J27),COUNTIF('Itemization 202501'!L:L,J27),COUNTIF('Itemization 202408'!L:L,J27),COUNTIF('Itemization 202406'!L:L,J27),COUNTIF('Itemization 202401'!L:L,J27),COUNTIF('Itemization 202308'!L:L,J27),COUNTIF('Itemization 202306'!L:L,J27))</f>
        <v>0</v>
      </c>
      <c r="L27" s="55">
        <f>(K27/K116)</f>
        <v>0</v>
      </c>
      <c r="M27" s="51"/>
      <c r="N27" s="51"/>
      <c r="O27" s="78"/>
      <c r="P27" s="51"/>
      <c r="Q27" s="51"/>
      <c r="R27" s="72"/>
    </row>
    <row r="28" ht="15.75" customHeight="1">
      <c r="A28" s="85"/>
      <c r="B28" s="85"/>
      <c r="C28" s="85"/>
      <c r="D28" s="51"/>
      <c r="E28" s="51"/>
      <c r="F28" s="78"/>
      <c r="G28" s="51"/>
      <c r="H28" s="51"/>
      <c r="I28" s="78"/>
      <c r="J28" s="63" t="s">
        <v>124</v>
      </c>
      <c r="K28" s="51">
        <f>SUM(COUNTIF('Itemization 202506'!L:L,J28),COUNTIF('Itemization 202501'!L:L,J28),COUNTIF('Itemization 202408'!L:L,J28),COUNTIF('Itemization 202406'!L:L,J28),COUNTIF('Itemization 202401'!L:L,J28),COUNTIF('Itemization 202308'!L:L,J28),COUNTIF('Itemization 202306'!L:L,J28))</f>
        <v>4</v>
      </c>
      <c r="L28" s="52">
        <f>(K28/K116)</f>
        <v>0.01515151515</v>
      </c>
      <c r="M28" s="51"/>
      <c r="N28" s="51"/>
      <c r="O28" s="78"/>
      <c r="P28" s="51"/>
      <c r="Q28" s="51"/>
      <c r="R28" s="72"/>
    </row>
    <row r="29" ht="15.75" customHeight="1">
      <c r="A29" s="85"/>
      <c r="B29" s="85"/>
      <c r="C29" s="85"/>
      <c r="D29" s="51"/>
      <c r="E29" s="51"/>
      <c r="F29" s="78"/>
      <c r="G29" s="51"/>
      <c r="H29" s="51"/>
      <c r="I29" s="78"/>
      <c r="J29" s="63" t="s">
        <v>125</v>
      </c>
      <c r="K29" s="51">
        <f>SUM(COUNTIF('Itemization 202506'!L:L,J29),COUNTIF('Itemization 202501'!L:L,J29),COUNTIF('Itemization 202408'!L:L,J29),COUNTIF('Itemization 202406'!L:L,J29),COUNTIF('Itemization 202401'!L:L,J29),COUNTIF('Itemization 202308'!L:L,J29),COUNTIF('Itemization 202306'!L:L,J29))</f>
        <v>3</v>
      </c>
      <c r="L29" s="52">
        <f>(K29/K116)</f>
        <v>0.01136363636</v>
      </c>
      <c r="M29" s="51"/>
      <c r="N29" s="51"/>
      <c r="O29" s="78"/>
      <c r="P29" s="51"/>
      <c r="Q29" s="51"/>
      <c r="R29" s="72"/>
    </row>
    <row r="30" ht="15.75" customHeight="1">
      <c r="A30" s="85"/>
      <c r="B30" s="85"/>
      <c r="C30" s="85"/>
      <c r="D30" s="51"/>
      <c r="E30" s="51"/>
      <c r="F30" s="78"/>
      <c r="G30" s="51"/>
      <c r="H30" s="51"/>
      <c r="I30" s="78"/>
      <c r="J30" s="63" t="s">
        <v>126</v>
      </c>
      <c r="K30" s="51">
        <f>SUM(COUNTIF('Itemization 202506'!L:L,J30),COUNTIF('Itemization 202501'!L:L,J30),COUNTIF('Itemization 202408'!L:L,J30),COUNTIF('Itemization 202406'!L:L,J30),COUNTIF('Itemization 202401'!L:L,J30),COUNTIF('Itemization 202308'!L:L,J30),COUNTIF('Itemization 202306'!L:L,J30))</f>
        <v>5</v>
      </c>
      <c r="L30" s="52">
        <f>(K30/K116)</f>
        <v>0.01893939394</v>
      </c>
      <c r="M30" s="51"/>
      <c r="N30" s="51"/>
      <c r="O30" s="78"/>
      <c r="P30" s="51"/>
      <c r="Q30" s="51"/>
      <c r="R30" s="72"/>
    </row>
    <row r="31" ht="15.75" customHeight="1">
      <c r="A31" s="85"/>
      <c r="B31" s="85"/>
      <c r="C31" s="85"/>
      <c r="D31" s="51"/>
      <c r="E31" s="51"/>
      <c r="F31" s="78"/>
      <c r="G31" s="51"/>
      <c r="H31" s="51"/>
      <c r="I31" s="78"/>
      <c r="J31" s="63" t="s">
        <v>127</v>
      </c>
      <c r="K31" s="51">
        <f>SUM(COUNTIF('Itemization 202506'!L:L,J31),COUNTIF('Itemization 202501'!L:L,J31),COUNTIF('Itemization 202408'!L:L,J31),COUNTIF('Itemization 202406'!L:L,J31),COUNTIF('Itemization 202401'!L:L,J31),COUNTIF('Itemization 202308'!L:L,J31),COUNTIF('Itemization 202306'!L:L,J31))</f>
        <v>1</v>
      </c>
      <c r="L31" s="52">
        <f>(K31/K116)</f>
        <v>0.003787878788</v>
      </c>
      <c r="M31" s="51"/>
      <c r="N31" s="51"/>
      <c r="O31" s="78"/>
      <c r="P31" s="51"/>
      <c r="Q31" s="51"/>
      <c r="R31" s="72"/>
    </row>
    <row r="32" ht="15.75" customHeight="1">
      <c r="A32" s="85"/>
      <c r="B32" s="85"/>
      <c r="C32" s="85"/>
      <c r="D32" s="51"/>
      <c r="E32" s="51"/>
      <c r="F32" s="78"/>
      <c r="G32" s="51"/>
      <c r="H32" s="51"/>
      <c r="I32" s="78"/>
      <c r="J32" s="63" t="s">
        <v>128</v>
      </c>
      <c r="K32" s="51">
        <f>SUM(COUNTIF('Itemization 202506'!L:L,J32),COUNTIF('Itemization 202501'!L:L,J32),COUNTIF('Itemization 202408'!L:L,J32),COUNTIF('Itemization 202406'!L:L,J32),COUNTIF('Itemization 202401'!L:L,J32),COUNTIF('Itemization 202308'!L:L,J32),COUNTIF('Itemization 202306'!L:L,J32))</f>
        <v>6</v>
      </c>
      <c r="L32" s="52">
        <f>(K32/K116)</f>
        <v>0.02272727273</v>
      </c>
      <c r="M32" s="51"/>
      <c r="N32" s="51"/>
      <c r="O32" s="78"/>
      <c r="P32" s="51"/>
      <c r="Q32" s="51"/>
      <c r="R32" s="72"/>
    </row>
    <row r="33" ht="15.75" customHeight="1">
      <c r="A33" s="85"/>
      <c r="B33" s="85"/>
      <c r="C33" s="85"/>
      <c r="D33" s="51"/>
      <c r="E33" s="51"/>
      <c r="F33" s="78"/>
      <c r="G33" s="51"/>
      <c r="H33" s="51"/>
      <c r="I33" s="78"/>
      <c r="J33" s="53" t="s">
        <v>129</v>
      </c>
      <c r="K33" s="54">
        <f>SUM(COUNTIF('Itemization 202506'!L:L,J33),COUNTIF('Itemization 202501'!L:L,J33),COUNTIF('Itemization 202408'!L:L,J33),COUNTIF('Itemization 202406'!L:L,J33),COUNTIF('Itemization 202401'!L:L,J33),COUNTIF('Itemization 202308'!L:L,J33),COUNTIF('Itemization 202306'!L:L,J33))</f>
        <v>0</v>
      </c>
      <c r="L33" s="55">
        <f>(K33/K116)</f>
        <v>0</v>
      </c>
      <c r="M33" s="51"/>
      <c r="N33" s="51"/>
      <c r="O33" s="78"/>
      <c r="P33" s="51"/>
      <c r="Q33" s="51"/>
      <c r="R33" s="72"/>
    </row>
    <row r="34" ht="15.75" customHeight="1">
      <c r="A34" s="85"/>
      <c r="B34" s="85"/>
      <c r="C34" s="85"/>
      <c r="D34" s="51"/>
      <c r="E34" s="51"/>
      <c r="F34" s="78"/>
      <c r="G34" s="51"/>
      <c r="H34" s="51"/>
      <c r="I34" s="78"/>
      <c r="J34" s="63" t="s">
        <v>130</v>
      </c>
      <c r="K34" s="51">
        <f>SUM(COUNTIF('Itemization 202506'!L:L,J34),COUNTIF('Itemization 202501'!L:L,J34),COUNTIF('Itemization 202408'!L:L,J34),COUNTIF('Itemization 202406'!L:L,J34),COUNTIF('Itemization 202401'!L:L,J34),COUNTIF('Itemization 202308'!L:L,J34),COUNTIF('Itemization 202306'!L:L,J34))</f>
        <v>2</v>
      </c>
      <c r="L34" s="52">
        <f>(K34/K116)</f>
        <v>0.007575757576</v>
      </c>
      <c r="M34" s="51"/>
      <c r="N34" s="51"/>
      <c r="O34" s="78"/>
      <c r="P34" s="51"/>
      <c r="Q34" s="51"/>
      <c r="R34" s="72"/>
    </row>
    <row r="35" ht="15.75" customHeight="1">
      <c r="A35" s="85"/>
      <c r="B35" s="85"/>
      <c r="C35" s="85"/>
      <c r="D35" s="51"/>
      <c r="E35" s="51"/>
      <c r="F35" s="78"/>
      <c r="G35" s="51"/>
      <c r="H35" s="51"/>
      <c r="I35" s="78"/>
      <c r="J35" s="63" t="s">
        <v>131</v>
      </c>
      <c r="K35" s="51">
        <f>SUM(COUNTIF('Itemization 202506'!L:L,J35),COUNTIF('Itemization 202501'!L:L,J35),COUNTIF('Itemization 202408'!L:L,J35),COUNTIF('Itemization 202406'!L:L,J35),COUNTIF('Itemization 202401'!L:L,J35),COUNTIF('Itemization 202308'!L:L,J35),COUNTIF('Itemization 202306'!L:L,J35))</f>
        <v>3</v>
      </c>
      <c r="L35" s="52">
        <f>(K35/K116)</f>
        <v>0.01136363636</v>
      </c>
      <c r="M35" s="51"/>
      <c r="N35" s="51"/>
      <c r="O35" s="78"/>
      <c r="P35" s="51"/>
      <c r="Q35" s="51"/>
      <c r="R35" s="72"/>
    </row>
    <row r="36" ht="15.75" customHeight="1">
      <c r="A36" s="85"/>
      <c r="B36" s="85"/>
      <c r="C36" s="85"/>
      <c r="D36" s="51"/>
      <c r="E36" s="51"/>
      <c r="F36" s="78"/>
      <c r="G36" s="51"/>
      <c r="H36" s="51"/>
      <c r="I36" s="78"/>
      <c r="J36" s="53" t="s">
        <v>132</v>
      </c>
      <c r="K36" s="54">
        <f>SUM(COUNTIF('Itemization 202506'!L:L,J36),COUNTIF('Itemization 202501'!L:L,J36),COUNTIF('Itemization 202408'!L:L,J36),COUNTIF('Itemization 202406'!L:L,J36),COUNTIF('Itemization 202401'!L:L,J36),COUNTIF('Itemization 202308'!L:L,J36),COUNTIF('Itemization 202306'!L:L,J36))</f>
        <v>0</v>
      </c>
      <c r="L36" s="55">
        <f>(K36/K116)</f>
        <v>0</v>
      </c>
      <c r="M36" s="51"/>
      <c r="N36" s="51"/>
      <c r="O36" s="78"/>
      <c r="P36" s="51"/>
      <c r="Q36" s="51"/>
      <c r="R36" s="72"/>
    </row>
    <row r="37" ht="15.75" customHeight="1">
      <c r="A37" s="85"/>
      <c r="B37" s="85"/>
      <c r="C37" s="85"/>
      <c r="D37" s="51"/>
      <c r="E37" s="51"/>
      <c r="F37" s="78"/>
      <c r="G37" s="51"/>
      <c r="H37" s="51"/>
      <c r="I37" s="78"/>
      <c r="J37" s="63" t="s">
        <v>133</v>
      </c>
      <c r="K37" s="51">
        <f>SUM(COUNTIF('Itemization 202506'!L:L,J37),COUNTIF('Itemization 202501'!L:L,J37),COUNTIF('Itemization 202408'!L:L,J37),COUNTIF('Itemization 202406'!L:L,J37),COUNTIF('Itemization 202401'!L:L,J37),COUNTIF('Itemization 202308'!L:L,J37),COUNTIF('Itemization 202306'!L:L,J37))</f>
        <v>4</v>
      </c>
      <c r="L37" s="52">
        <f>(K37/K116)</f>
        <v>0.01515151515</v>
      </c>
      <c r="M37" s="51"/>
      <c r="N37" s="51"/>
      <c r="O37" s="78"/>
      <c r="P37" s="51"/>
      <c r="Q37" s="51"/>
      <c r="R37" s="72"/>
    </row>
    <row r="38" ht="15.75" customHeight="1">
      <c r="A38" s="85"/>
      <c r="B38" s="85"/>
      <c r="C38" s="85"/>
      <c r="D38" s="51"/>
      <c r="E38" s="51"/>
      <c r="F38" s="78"/>
      <c r="G38" s="51"/>
      <c r="H38" s="51"/>
      <c r="I38" s="78"/>
      <c r="J38" s="63" t="s">
        <v>134</v>
      </c>
      <c r="K38" s="51">
        <f>SUM(COUNTIF('Itemization 202506'!L:L,J38),COUNTIF('Itemization 202501'!L:L,J38),COUNTIF('Itemization 202408'!L:L,J38),COUNTIF('Itemization 202406'!L:L,J38),COUNTIF('Itemization 202401'!L:L,J38),COUNTIF('Itemization 202308'!L:L,J38),COUNTIF('Itemization 202306'!L:L,J38))</f>
        <v>4</v>
      </c>
      <c r="L38" s="52">
        <f>(K38/K116)</f>
        <v>0.01515151515</v>
      </c>
      <c r="M38" s="51"/>
      <c r="N38" s="51"/>
      <c r="O38" s="78"/>
      <c r="P38" s="51"/>
      <c r="Q38" s="51"/>
      <c r="R38" s="72"/>
    </row>
    <row r="39" ht="15.75" customHeight="1">
      <c r="A39" s="85"/>
      <c r="B39" s="85"/>
      <c r="C39" s="85"/>
      <c r="D39" s="51"/>
      <c r="E39" s="51"/>
      <c r="F39" s="78"/>
      <c r="G39" s="51"/>
      <c r="H39" s="51"/>
      <c r="I39" s="78"/>
      <c r="J39" s="63" t="s">
        <v>135</v>
      </c>
      <c r="K39" s="51">
        <f>SUM(COUNTIF('Itemization 202506'!L:L,J39),COUNTIF('Itemization 202501'!L:L,J39),COUNTIF('Itemization 202408'!L:L,J39),COUNTIF('Itemization 202406'!L:L,J39),COUNTIF('Itemization 202401'!L:L,J39),COUNTIF('Itemization 202308'!L:L,J39),COUNTIF('Itemization 202306'!L:L,J39))</f>
        <v>3</v>
      </c>
      <c r="L39" s="52">
        <f>(K39/K116)</f>
        <v>0.01136363636</v>
      </c>
      <c r="M39" s="51"/>
      <c r="N39" s="51"/>
      <c r="O39" s="78"/>
      <c r="P39" s="51"/>
      <c r="Q39" s="51"/>
      <c r="R39" s="72"/>
    </row>
    <row r="40" ht="15.75" customHeight="1">
      <c r="A40" s="85"/>
      <c r="B40" s="85"/>
      <c r="C40" s="85"/>
      <c r="D40" s="51"/>
      <c r="E40" s="51"/>
      <c r="F40" s="78"/>
      <c r="G40" s="51"/>
      <c r="H40" s="51"/>
      <c r="I40" s="78"/>
      <c r="J40" s="63" t="s">
        <v>136</v>
      </c>
      <c r="K40" s="51">
        <f>SUM(COUNTIF('Itemization 202506'!L:L,J40),COUNTIF('Itemization 202501'!L:L,J40),COUNTIF('Itemization 202408'!L:L,J40),COUNTIF('Itemization 202406'!L:L,J40),COUNTIF('Itemization 202401'!L:L,J40),COUNTIF('Itemization 202308'!L:L,J40),COUNTIF('Itemization 202306'!L:L,J40))</f>
        <v>1</v>
      </c>
      <c r="L40" s="52">
        <f>(K40/K116)</f>
        <v>0.003787878788</v>
      </c>
      <c r="M40" s="51"/>
      <c r="N40" s="51"/>
      <c r="O40" s="78"/>
      <c r="P40" s="51"/>
      <c r="Q40" s="51"/>
      <c r="R40" s="72"/>
    </row>
    <row r="41" ht="15.75" customHeight="1">
      <c r="A41" s="85"/>
      <c r="B41" s="85"/>
      <c r="C41" s="85"/>
      <c r="D41" s="51"/>
      <c r="E41" s="51"/>
      <c r="F41" s="78"/>
      <c r="G41" s="51"/>
      <c r="H41" s="51"/>
      <c r="I41" s="78"/>
      <c r="J41" s="53" t="s">
        <v>137</v>
      </c>
      <c r="K41" s="54">
        <f>SUM(COUNTIF('Itemization 202506'!L:L,J41),COUNTIF('Itemization 202501'!L:L,J41),COUNTIF('Itemization 202408'!L:L,J41),COUNTIF('Itemization 202406'!L:L,J41),COUNTIF('Itemization 202401'!L:L,J41),COUNTIF('Itemization 202308'!L:L,J41),COUNTIF('Itemization 202306'!L:L,J41))</f>
        <v>0</v>
      </c>
      <c r="L41" s="55">
        <f>(K41/K116)</f>
        <v>0</v>
      </c>
      <c r="M41" s="51"/>
      <c r="N41" s="51"/>
      <c r="O41" s="78"/>
      <c r="P41" s="51"/>
      <c r="Q41" s="51"/>
      <c r="R41" s="72"/>
    </row>
    <row r="42" ht="15.75" customHeight="1">
      <c r="A42" s="85"/>
      <c r="B42" s="85"/>
      <c r="C42" s="85"/>
      <c r="D42" s="51"/>
      <c r="E42" s="51"/>
      <c r="F42" s="78"/>
      <c r="G42" s="51"/>
      <c r="H42" s="51"/>
      <c r="I42" s="78"/>
      <c r="J42" s="63" t="s">
        <v>138</v>
      </c>
      <c r="K42" s="51">
        <f>SUM(COUNTIF('Itemization 202506'!L:L,J42),COUNTIF('Itemization 202501'!L:L,J42),COUNTIF('Itemization 202408'!L:L,J42),COUNTIF('Itemization 202406'!L:L,J42),COUNTIF('Itemization 202401'!L:L,J42),COUNTIF('Itemization 202308'!L:L,J42),COUNTIF('Itemization 202306'!L:L,J42))</f>
        <v>2</v>
      </c>
      <c r="L42" s="52">
        <f>(K42/K116)</f>
        <v>0.007575757576</v>
      </c>
      <c r="M42" s="51"/>
      <c r="N42" s="51"/>
      <c r="O42" s="78"/>
      <c r="P42" s="51"/>
      <c r="Q42" s="51"/>
      <c r="R42" s="72"/>
    </row>
    <row r="43" ht="15.75" customHeight="1">
      <c r="A43" s="85"/>
      <c r="B43" s="85"/>
      <c r="C43" s="85"/>
      <c r="D43" s="51"/>
      <c r="E43" s="51"/>
      <c r="F43" s="78"/>
      <c r="G43" s="51"/>
      <c r="H43" s="51"/>
      <c r="I43" s="78"/>
      <c r="J43" s="63" t="s">
        <v>139</v>
      </c>
      <c r="K43" s="51">
        <f>SUM(COUNTIF('Itemization 202506'!L:L,J43),COUNTIF('Itemization 202501'!L:L,J43),COUNTIF('Itemization 202408'!L:L,J43),COUNTIF('Itemization 202406'!L:L,J43),COUNTIF('Itemization 202401'!L:L,J43),COUNTIF('Itemization 202308'!L:L,J43),COUNTIF('Itemization 202306'!L:L,J43))</f>
        <v>2</v>
      </c>
      <c r="L43" s="52">
        <f>(K43/K116)</f>
        <v>0.007575757576</v>
      </c>
      <c r="M43" s="51"/>
      <c r="N43" s="51"/>
      <c r="O43" s="78"/>
      <c r="P43" s="51"/>
      <c r="Q43" s="51"/>
      <c r="R43" s="72"/>
    </row>
    <row r="44" ht="15.75" customHeight="1">
      <c r="A44" s="85"/>
      <c r="B44" s="85"/>
      <c r="C44" s="85"/>
      <c r="D44" s="51"/>
      <c r="E44" s="51"/>
      <c r="F44" s="78"/>
      <c r="G44" s="51"/>
      <c r="H44" s="51"/>
      <c r="I44" s="78"/>
      <c r="J44" s="63" t="s">
        <v>140</v>
      </c>
      <c r="K44" s="51">
        <f>SUM(COUNTIF('Itemization 202506'!L:L,J44),COUNTIF('Itemization 202501'!L:L,J44),COUNTIF('Itemization 202408'!L:L,J44),COUNTIF('Itemization 202406'!L:L,J44),COUNTIF('Itemization 202401'!L:L,J44),COUNTIF('Itemization 202308'!L:L,J44),COUNTIF('Itemization 202306'!L:L,J44))</f>
        <v>2</v>
      </c>
      <c r="L44" s="52">
        <f>(K44/K116)</f>
        <v>0.007575757576</v>
      </c>
      <c r="M44" s="51"/>
      <c r="N44" s="51"/>
      <c r="O44" s="78"/>
      <c r="P44" s="51"/>
      <c r="Q44" s="51"/>
      <c r="R44" s="72"/>
    </row>
    <row r="45" ht="15.75" customHeight="1">
      <c r="A45" s="85"/>
      <c r="B45" s="85"/>
      <c r="C45" s="85"/>
      <c r="D45" s="51"/>
      <c r="E45" s="51"/>
      <c r="F45" s="78"/>
      <c r="G45" s="51"/>
      <c r="H45" s="51"/>
      <c r="I45" s="78"/>
      <c r="J45" s="63" t="s">
        <v>141</v>
      </c>
      <c r="K45" s="51">
        <f>SUM(COUNTIF('Itemization 202506'!L:L,J45),COUNTIF('Itemization 202501'!L:L,J45),COUNTIF('Itemization 202408'!L:L,J45),COUNTIF('Itemization 202406'!L:L,J45),COUNTIF('Itemization 202401'!L:L,J45),COUNTIF('Itemization 202308'!L:L,J45),COUNTIF('Itemization 202306'!L:L,J45))</f>
        <v>7</v>
      </c>
      <c r="L45" s="52">
        <f>(K45/K116)</f>
        <v>0.02651515152</v>
      </c>
      <c r="M45" s="51"/>
      <c r="N45" s="51"/>
      <c r="O45" s="78"/>
      <c r="P45" s="51"/>
      <c r="Q45" s="51"/>
      <c r="R45" s="72"/>
    </row>
    <row r="46" ht="15.75" customHeight="1">
      <c r="A46" s="85"/>
      <c r="B46" s="85"/>
      <c r="C46" s="85"/>
      <c r="D46" s="51"/>
      <c r="E46" s="51"/>
      <c r="F46" s="78"/>
      <c r="G46" s="51"/>
      <c r="H46" s="51"/>
      <c r="I46" s="78"/>
      <c r="J46" s="63" t="s">
        <v>142</v>
      </c>
      <c r="K46" s="51">
        <f>SUM(COUNTIF('Itemization 202506'!L:L,J46),COUNTIF('Itemization 202501'!L:L,J46),COUNTIF('Itemization 202408'!L:L,J46),COUNTIF('Itemization 202406'!L:L,J46),COUNTIF('Itemization 202401'!L:L,J46),COUNTIF('Itemization 202308'!L:L,J46),COUNTIF('Itemization 202306'!L:L,J46))</f>
        <v>6</v>
      </c>
      <c r="L46" s="52">
        <f>(K46/K116)</f>
        <v>0.02272727273</v>
      </c>
      <c r="M46" s="51"/>
      <c r="N46" s="51"/>
      <c r="O46" s="78"/>
      <c r="P46" s="51"/>
      <c r="Q46" s="51"/>
      <c r="R46" s="72"/>
    </row>
    <row r="47" ht="15.75" customHeight="1">
      <c r="A47" s="85"/>
      <c r="B47" s="85"/>
      <c r="C47" s="85"/>
      <c r="D47" s="51"/>
      <c r="E47" s="51"/>
      <c r="F47" s="78"/>
      <c r="G47" s="51"/>
      <c r="H47" s="51"/>
      <c r="I47" s="78"/>
      <c r="J47" s="53" t="s">
        <v>143</v>
      </c>
      <c r="K47" s="54">
        <f>SUM(COUNTIF('Itemization 202506'!L:L,J47),COUNTIF('Itemization 202501'!L:L,J47),COUNTIF('Itemization 202408'!L:L,J47),COUNTIF('Itemization 202406'!L:L,J47),COUNTIF('Itemization 202401'!L:L,J47),COUNTIF('Itemization 202308'!L:L,J47),COUNTIF('Itemization 202306'!L:L,J47))</f>
        <v>0</v>
      </c>
      <c r="L47" s="55">
        <f>(K47/K116)</f>
        <v>0</v>
      </c>
      <c r="M47" s="51"/>
      <c r="N47" s="51"/>
      <c r="O47" s="78"/>
      <c r="P47" s="51"/>
      <c r="Q47" s="51"/>
      <c r="R47" s="72"/>
    </row>
    <row r="48" ht="15.75" customHeight="1">
      <c r="A48" s="85"/>
      <c r="B48" s="85"/>
      <c r="C48" s="85"/>
      <c r="D48" s="51"/>
      <c r="E48" s="51"/>
      <c r="F48" s="78"/>
      <c r="G48" s="51"/>
      <c r="H48" s="51"/>
      <c r="I48" s="78"/>
      <c r="J48" s="63" t="s">
        <v>144</v>
      </c>
      <c r="K48" s="51">
        <f>SUM(COUNTIF('Itemization 202506'!L:L,J48),COUNTIF('Itemization 202501'!L:L,J48),COUNTIF('Itemization 202408'!L:L,J48),COUNTIF('Itemization 202406'!L:L,J48),COUNTIF('Itemization 202401'!L:L,J48),COUNTIF('Itemization 202308'!L:L,J48),COUNTIF('Itemization 202306'!L:L,J48))</f>
        <v>1</v>
      </c>
      <c r="L48" s="52">
        <f>(K48/K116)</f>
        <v>0.003787878788</v>
      </c>
      <c r="M48" s="51"/>
      <c r="N48" s="51"/>
      <c r="O48" s="78"/>
      <c r="P48" s="51"/>
      <c r="Q48" s="51"/>
      <c r="R48" s="72"/>
    </row>
    <row r="49" ht="15.75" customHeight="1">
      <c r="A49" s="85"/>
      <c r="B49" s="85"/>
      <c r="C49" s="85"/>
      <c r="D49" s="51"/>
      <c r="E49" s="51"/>
      <c r="F49" s="78"/>
      <c r="G49" s="51"/>
      <c r="H49" s="51"/>
      <c r="I49" s="78"/>
      <c r="J49" s="53" t="s">
        <v>145</v>
      </c>
      <c r="K49" s="54">
        <f>SUM(COUNTIF('Itemization 202506'!L:L,J49),COUNTIF('Itemization 202501'!L:L,J49),COUNTIF('Itemization 202408'!L:L,J49),COUNTIF('Itemization 202406'!L:L,J49),COUNTIF('Itemization 202401'!L:L,J49),COUNTIF('Itemization 202308'!L:L,J49),COUNTIF('Itemization 202306'!L:L,J49))</f>
        <v>0</v>
      </c>
      <c r="L49" s="55">
        <f>(K49/K116)</f>
        <v>0</v>
      </c>
      <c r="M49" s="51"/>
      <c r="N49" s="51"/>
      <c r="O49" s="78"/>
      <c r="P49" s="51"/>
      <c r="Q49" s="51"/>
      <c r="R49" s="72"/>
    </row>
    <row r="50" ht="15.75" customHeight="1">
      <c r="A50" s="85"/>
      <c r="B50" s="85"/>
      <c r="C50" s="85"/>
      <c r="D50" s="51"/>
      <c r="E50" s="51"/>
      <c r="F50" s="78"/>
      <c r="G50" s="51"/>
      <c r="H50" s="51"/>
      <c r="I50" s="78"/>
      <c r="J50" s="63" t="s">
        <v>146</v>
      </c>
      <c r="K50" s="51">
        <f>SUM(COUNTIF('Itemization 202506'!L:L,J50),COUNTIF('Itemization 202501'!L:L,J50),COUNTIF('Itemization 202408'!L:L,J50),COUNTIF('Itemization 202406'!L:L,J50),COUNTIF('Itemization 202401'!L:L,J50),COUNTIF('Itemization 202308'!L:L,J50),COUNTIF('Itemization 202306'!L:L,J50))</f>
        <v>6</v>
      </c>
      <c r="L50" s="52">
        <f>(K50/K116)</f>
        <v>0.02272727273</v>
      </c>
      <c r="M50" s="51"/>
      <c r="N50" s="51"/>
      <c r="O50" s="78"/>
      <c r="P50" s="51"/>
      <c r="Q50" s="51"/>
      <c r="R50" s="72"/>
    </row>
    <row r="51" ht="15.75" customHeight="1">
      <c r="A51" s="85"/>
      <c r="B51" s="85"/>
      <c r="C51" s="85"/>
      <c r="D51" s="51"/>
      <c r="E51" s="51"/>
      <c r="F51" s="78"/>
      <c r="G51" s="51"/>
      <c r="H51" s="51"/>
      <c r="I51" s="78"/>
      <c r="J51" s="53" t="s">
        <v>147</v>
      </c>
      <c r="K51" s="54">
        <f>SUM(COUNTIF('Itemization 202506'!L:L,J51),COUNTIF('Itemization 202501'!L:L,J51),COUNTIF('Itemization 202408'!L:L,J51),COUNTIF('Itemization 202406'!L:L,J51),COUNTIF('Itemization 202401'!L:L,J51),COUNTIF('Itemization 202308'!L:L,J51),COUNTIF('Itemization 202306'!L:L,J51))</f>
        <v>0</v>
      </c>
      <c r="L51" s="55">
        <f>(K51/K116)</f>
        <v>0</v>
      </c>
      <c r="M51" s="51"/>
      <c r="N51" s="51"/>
      <c r="O51" s="78"/>
      <c r="P51" s="51"/>
      <c r="Q51" s="51"/>
      <c r="R51" s="72"/>
    </row>
    <row r="52" ht="15.75" customHeight="1">
      <c r="A52" s="85"/>
      <c r="B52" s="85"/>
      <c r="C52" s="85"/>
      <c r="D52" s="51"/>
      <c r="E52" s="51"/>
      <c r="F52" s="78"/>
      <c r="G52" s="51"/>
      <c r="H52" s="51"/>
      <c r="I52" s="78"/>
      <c r="J52" s="63" t="s">
        <v>148</v>
      </c>
      <c r="K52" s="51">
        <f>SUM(COUNTIF('Itemization 202506'!L:L,J52),COUNTIF('Itemization 202501'!L:L,J52),COUNTIF('Itemization 202408'!L:L,J52),COUNTIF('Itemization 202406'!L:L,J52),COUNTIF('Itemization 202401'!L:L,J52),COUNTIF('Itemization 202308'!L:L,J52),COUNTIF('Itemization 202306'!L:L,J52))</f>
        <v>6</v>
      </c>
      <c r="L52" s="52">
        <f>(K52/K116)</f>
        <v>0.02272727273</v>
      </c>
      <c r="M52" s="51"/>
      <c r="N52" s="51"/>
      <c r="O52" s="78"/>
      <c r="P52" s="51"/>
      <c r="Q52" s="51"/>
      <c r="R52" s="72"/>
    </row>
    <row r="53" ht="15.75" customHeight="1">
      <c r="A53" s="85"/>
      <c r="B53" s="85"/>
      <c r="C53" s="85"/>
      <c r="D53" s="51"/>
      <c r="E53" s="51"/>
      <c r="F53" s="78"/>
      <c r="G53" s="51"/>
      <c r="H53" s="51"/>
      <c r="I53" s="78"/>
      <c r="J53" s="53" t="s">
        <v>149</v>
      </c>
      <c r="K53" s="54">
        <f>SUM(COUNTIF('Itemization 202506'!L:L,J53),COUNTIF('Itemization 202501'!L:L,J53),COUNTIF('Itemization 202408'!L:L,J53),COUNTIF('Itemization 202406'!L:L,J53),COUNTIF('Itemization 202401'!L:L,J53),COUNTIF('Itemization 202308'!L:L,J53),COUNTIF('Itemization 202306'!L:L,J53))</f>
        <v>0</v>
      </c>
      <c r="L53" s="55">
        <f>(K53/K116)</f>
        <v>0</v>
      </c>
      <c r="M53" s="51"/>
      <c r="N53" s="51"/>
      <c r="O53" s="78"/>
      <c r="P53" s="51"/>
      <c r="Q53" s="51"/>
      <c r="R53" s="72"/>
    </row>
    <row r="54" ht="15.75" customHeight="1">
      <c r="A54" s="85"/>
      <c r="B54" s="85"/>
      <c r="C54" s="85"/>
      <c r="D54" s="51"/>
      <c r="E54" s="51"/>
      <c r="F54" s="78"/>
      <c r="G54" s="51"/>
      <c r="H54" s="51"/>
      <c r="I54" s="78"/>
      <c r="J54" s="63" t="s">
        <v>150</v>
      </c>
      <c r="K54" s="51">
        <f>SUM(COUNTIF('Itemization 202506'!L:L,J54),COUNTIF('Itemization 202501'!L:L,J54),COUNTIF('Itemization 202408'!L:L,J54),COUNTIF('Itemization 202406'!L:L,J54),COUNTIF('Itemization 202401'!L:L,J54),COUNTIF('Itemization 202308'!L:L,J54),COUNTIF('Itemization 202306'!L:L,J54))</f>
        <v>4</v>
      </c>
      <c r="L54" s="52">
        <f>(K54/K116)</f>
        <v>0.01515151515</v>
      </c>
      <c r="M54" s="51"/>
      <c r="N54" s="51"/>
      <c r="O54" s="78"/>
      <c r="P54" s="51"/>
      <c r="Q54" s="51"/>
      <c r="R54" s="72"/>
    </row>
    <row r="55" ht="15.75" customHeight="1">
      <c r="A55" s="85"/>
      <c r="B55" s="85"/>
      <c r="C55" s="85"/>
      <c r="D55" s="51"/>
      <c r="E55" s="51"/>
      <c r="F55" s="78"/>
      <c r="G55" s="51"/>
      <c r="H55" s="51"/>
      <c r="I55" s="78"/>
      <c r="J55" s="63" t="s">
        <v>151</v>
      </c>
      <c r="K55" s="51">
        <f>SUM(COUNTIF('Itemization 202506'!L:L,J55),COUNTIF('Itemization 202501'!L:L,J55),COUNTIF('Itemization 202408'!L:L,J55),COUNTIF('Itemization 202406'!L:L,J55),COUNTIF('Itemization 202401'!L:L,J55),COUNTIF('Itemization 202308'!L:L,J55),COUNTIF('Itemization 202306'!L:L,J55))</f>
        <v>4</v>
      </c>
      <c r="L55" s="52">
        <f>(K55/K116)</f>
        <v>0.01515151515</v>
      </c>
      <c r="M55" s="51"/>
      <c r="N55" s="51"/>
      <c r="O55" s="78"/>
      <c r="P55" s="51"/>
      <c r="Q55" s="51"/>
      <c r="R55" s="72"/>
    </row>
    <row r="56" ht="15.75" customHeight="1">
      <c r="A56" s="85"/>
      <c r="B56" s="85"/>
      <c r="C56" s="85"/>
      <c r="D56" s="51"/>
      <c r="E56" s="51"/>
      <c r="F56" s="78"/>
      <c r="G56" s="51"/>
      <c r="H56" s="51"/>
      <c r="I56" s="78"/>
      <c r="J56" s="63" t="s">
        <v>152</v>
      </c>
      <c r="K56" s="51">
        <f>SUM(COUNTIF('Itemization 202506'!L:L,J56),COUNTIF('Itemization 202501'!L:L,J56),COUNTIF('Itemization 202408'!L:L,J56),COUNTIF('Itemization 202406'!L:L,J56),COUNTIF('Itemization 202401'!L:L,J56),COUNTIF('Itemization 202308'!L:L,J56),COUNTIF('Itemization 202306'!L:L,J56))</f>
        <v>3</v>
      </c>
      <c r="L56" s="52">
        <f>(K56/K116)</f>
        <v>0.01136363636</v>
      </c>
      <c r="M56" s="51"/>
      <c r="N56" s="51"/>
      <c r="O56" s="78"/>
      <c r="P56" s="51"/>
      <c r="Q56" s="51"/>
      <c r="R56" s="72"/>
    </row>
    <row r="57" ht="15.75" customHeight="1">
      <c r="A57" s="85"/>
      <c r="B57" s="85"/>
      <c r="C57" s="85"/>
      <c r="D57" s="51"/>
      <c r="E57" s="51"/>
      <c r="F57" s="78"/>
      <c r="G57" s="51"/>
      <c r="H57" s="51"/>
      <c r="I57" s="78"/>
      <c r="J57" s="63" t="s">
        <v>153</v>
      </c>
      <c r="K57" s="51">
        <f>SUM(COUNTIF('Itemization 202506'!L:L,J57),COUNTIF('Itemization 202501'!L:L,J57),COUNTIF('Itemization 202408'!L:L,J57),COUNTIF('Itemization 202406'!L:L,J57),COUNTIF('Itemization 202401'!L:L,J57),COUNTIF('Itemization 202308'!L:L,J57),COUNTIF('Itemization 202306'!L:L,J57))</f>
        <v>3</v>
      </c>
      <c r="L57" s="52">
        <f>(K57/K116)</f>
        <v>0.01136363636</v>
      </c>
      <c r="M57" s="51"/>
      <c r="N57" s="51"/>
      <c r="O57" s="78"/>
      <c r="P57" s="51"/>
      <c r="Q57" s="51"/>
      <c r="R57" s="72"/>
    </row>
    <row r="58" ht="15.75" customHeight="1">
      <c r="A58" s="85"/>
      <c r="B58" s="85"/>
      <c r="C58" s="85"/>
      <c r="D58" s="51"/>
      <c r="E58" s="51"/>
      <c r="F58" s="78"/>
      <c r="G58" s="51"/>
      <c r="H58" s="51"/>
      <c r="I58" s="78"/>
      <c r="J58" s="63" t="s">
        <v>154</v>
      </c>
      <c r="K58" s="51">
        <f>SUM(COUNTIF('Itemization 202506'!L:L,J58),COUNTIF('Itemization 202501'!L:L,J58),COUNTIF('Itemization 202408'!L:L,J58),COUNTIF('Itemization 202406'!L:L,J58),COUNTIF('Itemization 202401'!L:L,J58),COUNTIF('Itemization 202308'!L:L,J58),COUNTIF('Itemization 202306'!L:L,J58))</f>
        <v>6</v>
      </c>
      <c r="L58" s="52">
        <f>(K58/K116)</f>
        <v>0.02272727273</v>
      </c>
      <c r="M58" s="51"/>
      <c r="N58" s="51"/>
      <c r="O58" s="78"/>
      <c r="P58" s="51"/>
      <c r="Q58" s="51"/>
      <c r="R58" s="72"/>
    </row>
    <row r="59" ht="15.75" customHeight="1">
      <c r="A59" s="85"/>
      <c r="B59" s="85"/>
      <c r="C59" s="85"/>
      <c r="D59" s="51"/>
      <c r="E59" s="51"/>
      <c r="F59" s="78"/>
      <c r="G59" s="51"/>
      <c r="H59" s="51"/>
      <c r="I59" s="78"/>
      <c r="J59" s="63" t="s">
        <v>155</v>
      </c>
      <c r="K59" s="51">
        <f>SUM(COUNTIF('Itemization 202506'!L:L,J59),COUNTIF('Itemization 202501'!L:L,J59),COUNTIF('Itemization 202408'!L:L,J59),COUNTIF('Itemization 202406'!L:L,J59),COUNTIF('Itemization 202401'!L:L,J59),COUNTIF('Itemization 202308'!L:L,J59),COUNTIF('Itemization 202306'!L:L,J59))</f>
        <v>4</v>
      </c>
      <c r="L59" s="52">
        <f>(K59/K116)</f>
        <v>0.01515151515</v>
      </c>
      <c r="M59" s="51"/>
      <c r="N59" s="51"/>
      <c r="O59" s="78"/>
      <c r="P59" s="51"/>
      <c r="Q59" s="51"/>
      <c r="R59" s="72"/>
    </row>
    <row r="60" ht="15.75" customHeight="1">
      <c r="A60" s="85"/>
      <c r="B60" s="85"/>
      <c r="C60" s="85"/>
      <c r="D60" s="51"/>
      <c r="E60" s="51"/>
      <c r="F60" s="78"/>
      <c r="G60" s="51"/>
      <c r="H60" s="51"/>
      <c r="I60" s="78"/>
      <c r="J60" s="53" t="s">
        <v>156</v>
      </c>
      <c r="K60" s="54">
        <f>SUM(COUNTIF('Itemization 202506'!L:L,J60),COUNTIF('Itemization 202501'!L:L,J60),COUNTIF('Itemization 202408'!L:L,J60),COUNTIF('Itemization 202406'!L:L,J60),COUNTIF('Itemization 202401'!L:L,J60),COUNTIF('Itemization 202308'!L:L,J60),COUNTIF('Itemization 202306'!L:L,J60))</f>
        <v>0</v>
      </c>
      <c r="L60" s="55">
        <f>(K60/K116)</f>
        <v>0</v>
      </c>
      <c r="M60" s="51"/>
      <c r="N60" s="51"/>
      <c r="O60" s="78"/>
      <c r="P60" s="51"/>
      <c r="Q60" s="51"/>
      <c r="R60" s="72"/>
    </row>
    <row r="61" ht="15.75" customHeight="1">
      <c r="A61" s="85"/>
      <c r="B61" s="85"/>
      <c r="C61" s="85"/>
      <c r="D61" s="51"/>
      <c r="E61" s="51"/>
      <c r="F61" s="78"/>
      <c r="G61" s="51"/>
      <c r="H61" s="51"/>
      <c r="I61" s="78"/>
      <c r="J61" s="63" t="s">
        <v>157</v>
      </c>
      <c r="K61" s="51">
        <f>SUM(COUNTIF('Itemization 202506'!L:L,J61),COUNTIF('Itemization 202501'!L:L,J61),COUNTIF('Itemization 202408'!L:L,J61),COUNTIF('Itemization 202406'!L:L,J61),COUNTIF('Itemization 202401'!L:L,J61),COUNTIF('Itemization 202308'!L:L,J61),COUNTIF('Itemization 202306'!L:L,J61))</f>
        <v>1</v>
      </c>
      <c r="L61" s="52">
        <f>(K61/K116)</f>
        <v>0.003787878788</v>
      </c>
      <c r="M61" s="51"/>
      <c r="N61" s="51"/>
      <c r="O61" s="78"/>
      <c r="P61" s="51"/>
      <c r="Q61" s="51"/>
      <c r="R61" s="72"/>
    </row>
    <row r="62" ht="15.75" customHeight="1">
      <c r="A62" s="85"/>
      <c r="B62" s="85"/>
      <c r="C62" s="85"/>
      <c r="D62" s="51"/>
      <c r="E62" s="51"/>
      <c r="F62" s="78"/>
      <c r="G62" s="51"/>
      <c r="H62" s="51"/>
      <c r="I62" s="78"/>
      <c r="J62" s="63" t="s">
        <v>158</v>
      </c>
      <c r="K62" s="51">
        <f>SUM(COUNTIF('Itemization 202506'!L:L,J62),COUNTIF('Itemization 202501'!L:L,J62),COUNTIF('Itemization 202408'!L:L,J62),COUNTIF('Itemization 202406'!L:L,J62),COUNTIF('Itemization 202401'!L:L,J62),COUNTIF('Itemization 202308'!L:L,J62),COUNTIF('Itemization 202306'!L:L,J62))</f>
        <v>6</v>
      </c>
      <c r="L62" s="52">
        <f>(K62/K116)</f>
        <v>0.02272727273</v>
      </c>
      <c r="M62" s="51"/>
      <c r="N62" s="51"/>
      <c r="O62" s="78"/>
      <c r="P62" s="51"/>
      <c r="Q62" s="51"/>
      <c r="R62" s="72"/>
    </row>
    <row r="63" ht="15.75" customHeight="1">
      <c r="A63" s="85"/>
      <c r="B63" s="85"/>
      <c r="C63" s="85"/>
      <c r="D63" s="51"/>
      <c r="E63" s="51"/>
      <c r="F63" s="78"/>
      <c r="G63" s="51"/>
      <c r="H63" s="51"/>
      <c r="I63" s="78"/>
      <c r="J63" s="63" t="s">
        <v>159</v>
      </c>
      <c r="K63" s="51">
        <f>SUM(COUNTIF('Itemization 202506'!L:L,J63),COUNTIF('Itemization 202501'!L:L,J63),COUNTIF('Itemization 202408'!L:L,J63),COUNTIF('Itemization 202406'!L:L,J63),COUNTIF('Itemization 202401'!L:L,J63),COUNTIF('Itemization 202308'!L:L,J63),COUNTIF('Itemization 202306'!L:L,J63))</f>
        <v>3</v>
      </c>
      <c r="L63" s="52">
        <f>(K63/K116)</f>
        <v>0.01136363636</v>
      </c>
      <c r="M63" s="51"/>
      <c r="N63" s="51"/>
      <c r="O63" s="78"/>
      <c r="P63" s="51"/>
      <c r="Q63" s="51"/>
      <c r="R63" s="72"/>
    </row>
    <row r="64" ht="15.75" customHeight="1">
      <c r="A64" s="85"/>
      <c r="B64" s="85"/>
      <c r="C64" s="85"/>
      <c r="D64" s="51"/>
      <c r="E64" s="51"/>
      <c r="F64" s="78"/>
      <c r="G64" s="51"/>
      <c r="H64" s="51"/>
      <c r="I64" s="78"/>
      <c r="J64" s="53" t="s">
        <v>160</v>
      </c>
      <c r="K64" s="54">
        <f>SUM(COUNTIF('Itemization 202506'!L:L,J64),COUNTIF('Itemization 202501'!L:L,J64),COUNTIF('Itemization 202408'!L:L,J64),COUNTIF('Itemization 202406'!L:L,J64),COUNTIF('Itemization 202401'!L:L,J64),COUNTIF('Itemization 202308'!L:L,J64),COUNTIF('Itemization 202306'!L:L,J64))</f>
        <v>0</v>
      </c>
      <c r="L64" s="55">
        <f>(K64/K116)</f>
        <v>0</v>
      </c>
      <c r="M64" s="51"/>
      <c r="N64" s="51"/>
      <c r="O64" s="78"/>
      <c r="P64" s="51"/>
      <c r="Q64" s="51"/>
      <c r="R64" s="72"/>
    </row>
    <row r="65" ht="15.75" customHeight="1">
      <c r="A65" s="85"/>
      <c r="B65" s="85"/>
      <c r="C65" s="85"/>
      <c r="D65" s="51"/>
      <c r="E65" s="51"/>
      <c r="F65" s="78"/>
      <c r="G65" s="51"/>
      <c r="H65" s="51"/>
      <c r="I65" s="78"/>
      <c r="J65" s="63" t="s">
        <v>161</v>
      </c>
      <c r="K65" s="51">
        <f>SUM(COUNTIF('Itemization 202506'!L:L,J65),COUNTIF('Itemization 202501'!L:L,J65),COUNTIF('Itemization 202408'!L:L,J65),COUNTIF('Itemization 202406'!L:L,J65),COUNTIF('Itemization 202401'!L:L,J65),COUNTIF('Itemization 202308'!L:L,J65),COUNTIF('Itemization 202306'!L:L,J65))</f>
        <v>1</v>
      </c>
      <c r="L65" s="52">
        <f>(K65/K116)</f>
        <v>0.003787878788</v>
      </c>
      <c r="M65" s="51"/>
      <c r="N65" s="51"/>
      <c r="O65" s="78"/>
      <c r="P65" s="51"/>
      <c r="Q65" s="51"/>
      <c r="R65" s="72"/>
    </row>
    <row r="66" ht="15.75" customHeight="1">
      <c r="A66" s="85"/>
      <c r="B66" s="85"/>
      <c r="C66" s="85"/>
      <c r="D66" s="51"/>
      <c r="E66" s="51"/>
      <c r="F66" s="78"/>
      <c r="G66" s="51"/>
      <c r="H66" s="51"/>
      <c r="I66" s="78"/>
      <c r="J66" s="63" t="s">
        <v>162</v>
      </c>
      <c r="K66" s="51">
        <f>SUM(COUNTIF('Itemization 202506'!L:L,J66),COUNTIF('Itemization 202501'!L:L,J66),COUNTIF('Itemization 202408'!L:L,J66),COUNTIF('Itemization 202406'!L:L,J66),COUNTIF('Itemization 202401'!L:L,J66),COUNTIF('Itemization 202308'!L:L,J66),COUNTIF('Itemization 202306'!L:L,J66))</f>
        <v>2</v>
      </c>
      <c r="L66" s="52">
        <f>(K66/K116)</f>
        <v>0.007575757576</v>
      </c>
      <c r="M66" s="51"/>
      <c r="N66" s="51"/>
      <c r="O66" s="78"/>
      <c r="P66" s="51"/>
      <c r="Q66" s="51"/>
      <c r="R66" s="72"/>
    </row>
    <row r="67" ht="15.75" customHeight="1">
      <c r="A67" s="85"/>
      <c r="B67" s="85"/>
      <c r="C67" s="85"/>
      <c r="D67" s="51"/>
      <c r="E67" s="51"/>
      <c r="F67" s="78"/>
      <c r="G67" s="51"/>
      <c r="H67" s="51"/>
      <c r="I67" s="78"/>
      <c r="J67" s="53" t="s">
        <v>163</v>
      </c>
      <c r="K67" s="54">
        <f>SUM(COUNTIF('Itemization 202506'!L:L,J67),COUNTIF('Itemization 202501'!L:L,J67),COUNTIF('Itemization 202408'!L:L,J67),COUNTIF('Itemization 202406'!L:L,J67),COUNTIF('Itemization 202401'!L:L,J67),COUNTIF('Itemization 202308'!L:L,J67),COUNTIF('Itemization 202306'!L:L,J67))</f>
        <v>0</v>
      </c>
      <c r="L67" s="55">
        <f>(K67/K116)</f>
        <v>0</v>
      </c>
      <c r="M67" s="51"/>
      <c r="N67" s="51"/>
      <c r="O67" s="78"/>
      <c r="P67" s="51"/>
      <c r="Q67" s="51"/>
      <c r="R67" s="72"/>
    </row>
    <row r="68" ht="15.75" customHeight="1">
      <c r="A68" s="85"/>
      <c r="B68" s="85"/>
      <c r="C68" s="85"/>
      <c r="D68" s="51"/>
      <c r="E68" s="51"/>
      <c r="F68" s="78"/>
      <c r="G68" s="51"/>
      <c r="H68" s="51"/>
      <c r="I68" s="78"/>
      <c r="J68" s="53" t="s">
        <v>164</v>
      </c>
      <c r="K68" s="54">
        <f>SUM(COUNTIF('Itemization 202506'!L:L,J68),COUNTIF('Itemization 202501'!L:L,J68),COUNTIF('Itemization 202408'!L:L,J68),COUNTIF('Itemization 202406'!L:L,J68),COUNTIF('Itemization 202401'!L:L,J68),COUNTIF('Itemization 202308'!L:L,J68),COUNTIF('Itemization 202306'!L:L,J68))</f>
        <v>0</v>
      </c>
      <c r="L68" s="55">
        <f>(K68/K116)</f>
        <v>0</v>
      </c>
      <c r="M68" s="51"/>
      <c r="N68" s="51"/>
      <c r="O68" s="78"/>
      <c r="P68" s="51"/>
      <c r="Q68" s="51"/>
      <c r="R68" s="72"/>
    </row>
    <row r="69" ht="15.75" customHeight="1">
      <c r="A69" s="85"/>
      <c r="B69" s="85"/>
      <c r="C69" s="85"/>
      <c r="D69" s="51"/>
      <c r="E69" s="51"/>
      <c r="F69" s="78"/>
      <c r="G69" s="51"/>
      <c r="H69" s="51"/>
      <c r="I69" s="78"/>
      <c r="J69" s="63" t="s">
        <v>165</v>
      </c>
      <c r="K69" s="51">
        <f>SUM(COUNTIF('Itemization 202506'!L:L,J69),COUNTIF('Itemization 202501'!L:L,J69),COUNTIF('Itemization 202408'!L:L,J69),COUNTIF('Itemization 202406'!L:L,J69),COUNTIF('Itemization 202401'!L:L,J69),COUNTIF('Itemization 202308'!L:L,J69),COUNTIF('Itemization 202306'!L:L,J69))</f>
        <v>2</v>
      </c>
      <c r="L69" s="52">
        <f>(K69/K116)</f>
        <v>0.007575757576</v>
      </c>
      <c r="M69" s="51"/>
      <c r="N69" s="51"/>
      <c r="O69" s="78"/>
      <c r="P69" s="51"/>
      <c r="Q69" s="51"/>
      <c r="R69" s="72"/>
    </row>
    <row r="70" ht="15.75" customHeight="1">
      <c r="A70" s="85"/>
      <c r="B70" s="85"/>
      <c r="C70" s="85"/>
      <c r="D70" s="51"/>
      <c r="E70" s="51"/>
      <c r="F70" s="78"/>
      <c r="G70" s="51"/>
      <c r="H70" s="51"/>
      <c r="I70" s="78"/>
      <c r="J70" s="63" t="s">
        <v>166</v>
      </c>
      <c r="K70" s="51">
        <f>SUM(COUNTIF('Itemization 202506'!L:L,J70),COUNTIF('Itemization 202501'!L:L,J70),COUNTIF('Itemization 202408'!L:L,J70),COUNTIF('Itemization 202406'!L:L,J70),COUNTIF('Itemization 202401'!L:L,J70),COUNTIF('Itemization 202308'!L:L,J70),COUNTIF('Itemization 202306'!L:L,J70))</f>
        <v>1</v>
      </c>
      <c r="L70" s="52">
        <f>(K70/K116)</f>
        <v>0.003787878788</v>
      </c>
      <c r="M70" s="51"/>
      <c r="N70" s="51"/>
      <c r="O70" s="78"/>
      <c r="P70" s="51"/>
      <c r="Q70" s="51"/>
      <c r="R70" s="72"/>
    </row>
    <row r="71" ht="15.75" customHeight="1">
      <c r="A71" s="85"/>
      <c r="B71" s="85"/>
      <c r="C71" s="85"/>
      <c r="D71" s="51"/>
      <c r="E71" s="51"/>
      <c r="F71" s="78"/>
      <c r="G71" s="51"/>
      <c r="H71" s="51"/>
      <c r="I71" s="78"/>
      <c r="J71" s="53" t="s">
        <v>167</v>
      </c>
      <c r="K71" s="54">
        <f>SUM(COUNTIF('Itemization 202506'!L:L,J71),COUNTIF('Itemization 202501'!L:L,J71),COUNTIF('Itemization 202408'!L:L,J71),COUNTIF('Itemization 202406'!L:L,J71),COUNTIF('Itemization 202401'!L:L,J71),COUNTIF('Itemization 202308'!L:L,J71),COUNTIF('Itemization 202306'!L:L,J71))</f>
        <v>0</v>
      </c>
      <c r="L71" s="55">
        <f>(K71/K116)</f>
        <v>0</v>
      </c>
      <c r="M71" s="51"/>
      <c r="N71" s="51"/>
      <c r="O71" s="78"/>
      <c r="P71" s="51"/>
      <c r="Q71" s="51"/>
      <c r="R71" s="72"/>
    </row>
    <row r="72" ht="15.75" customHeight="1">
      <c r="A72" s="85"/>
      <c r="B72" s="85"/>
      <c r="C72" s="85"/>
      <c r="D72" s="51"/>
      <c r="E72" s="51"/>
      <c r="F72" s="78"/>
      <c r="G72" s="51"/>
      <c r="H72" s="51"/>
      <c r="I72" s="78"/>
      <c r="J72" s="63" t="s">
        <v>168</v>
      </c>
      <c r="K72" s="51">
        <f>SUM(COUNTIF('Itemization 202506'!L:L,J72),COUNTIF('Itemization 202501'!L:L,J72),COUNTIF('Itemization 202408'!L:L,J72),COUNTIF('Itemization 202406'!L:L,J72),COUNTIF('Itemization 202401'!L:L,J72),COUNTIF('Itemization 202308'!L:L,J72),COUNTIF('Itemization 202306'!L:L,J72))</f>
        <v>1</v>
      </c>
      <c r="L72" s="52">
        <f>(K72/K116)</f>
        <v>0.003787878788</v>
      </c>
      <c r="M72" s="51"/>
      <c r="N72" s="51"/>
      <c r="O72" s="78"/>
      <c r="P72" s="51"/>
      <c r="Q72" s="51"/>
      <c r="R72" s="72"/>
    </row>
    <row r="73" ht="15.75" customHeight="1">
      <c r="A73" s="85"/>
      <c r="B73" s="85"/>
      <c r="C73" s="85"/>
      <c r="D73" s="51"/>
      <c r="E73" s="51"/>
      <c r="F73" s="78"/>
      <c r="G73" s="51"/>
      <c r="H73" s="51"/>
      <c r="I73" s="78"/>
      <c r="J73" s="63" t="s">
        <v>169</v>
      </c>
      <c r="K73" s="51">
        <f>SUM(COUNTIF('Itemization 202506'!L:L,J73),COUNTIF('Itemization 202501'!L:L,J73),COUNTIF('Itemization 202408'!L:L,J73),COUNTIF('Itemization 202406'!L:L,J73),COUNTIF('Itemization 202401'!L:L,J73),COUNTIF('Itemization 202308'!L:L,J73),COUNTIF('Itemization 202306'!L:L,J73))</f>
        <v>2</v>
      </c>
      <c r="L73" s="52">
        <f>(K73/K116)</f>
        <v>0.007575757576</v>
      </c>
      <c r="M73" s="51"/>
      <c r="N73" s="51"/>
      <c r="O73" s="78"/>
      <c r="P73" s="51"/>
      <c r="Q73" s="51"/>
      <c r="R73" s="72"/>
    </row>
    <row r="74" ht="15.75" customHeight="1">
      <c r="A74" s="85"/>
      <c r="B74" s="85"/>
      <c r="C74" s="85"/>
      <c r="D74" s="51"/>
      <c r="E74" s="51"/>
      <c r="F74" s="78"/>
      <c r="G74" s="51"/>
      <c r="H74" s="51"/>
      <c r="I74" s="78"/>
      <c r="J74" s="63" t="s">
        <v>170</v>
      </c>
      <c r="K74" s="51">
        <f>SUM(COUNTIF('Itemization 202506'!L:L,J74),COUNTIF('Itemization 202501'!L:L,J74),COUNTIF('Itemization 202408'!L:L,J74),COUNTIF('Itemization 202406'!L:L,J74),COUNTIF('Itemization 202401'!L:L,J74),COUNTIF('Itemization 202308'!L:L,J74),COUNTIF('Itemization 202306'!L:L,J74))</f>
        <v>4</v>
      </c>
      <c r="L74" s="52">
        <f>(K74/K116)</f>
        <v>0.01515151515</v>
      </c>
      <c r="M74" s="51"/>
      <c r="N74" s="51"/>
      <c r="O74" s="78"/>
      <c r="P74" s="51"/>
      <c r="Q74" s="51"/>
      <c r="R74" s="72"/>
    </row>
    <row r="75" ht="15.75" customHeight="1">
      <c r="A75" s="85"/>
      <c r="B75" s="85"/>
      <c r="C75" s="85"/>
      <c r="D75" s="51"/>
      <c r="E75" s="51"/>
      <c r="F75" s="78"/>
      <c r="G75" s="51"/>
      <c r="H75" s="51"/>
      <c r="I75" s="78"/>
      <c r="J75" s="88" t="s">
        <v>171</v>
      </c>
      <c r="K75" s="57">
        <f>SUM(COUNTIF('Itemization 202506'!L:L,J75),COUNTIF('Itemization 202501'!L:L,J75),COUNTIF('Itemization 202408'!L:L,J75),COUNTIF('Itemization 202406'!L:L,J75),COUNTIF('Itemization 202401'!L:L,J75),COUNTIF('Itemization 202308'!L:L,J75),COUNTIF('Itemization 202306'!L:L,J75))</f>
        <v>11</v>
      </c>
      <c r="L75" s="58">
        <f>(K75/K116)</f>
        <v>0.04166666667</v>
      </c>
      <c r="M75" s="51"/>
      <c r="N75" s="51"/>
      <c r="O75" s="78"/>
      <c r="P75" s="51"/>
      <c r="Q75" s="51"/>
      <c r="R75" s="72"/>
    </row>
    <row r="76" ht="15.75" customHeight="1">
      <c r="A76" s="85"/>
      <c r="B76" s="85"/>
      <c r="C76" s="85"/>
      <c r="D76" s="51"/>
      <c r="E76" s="51"/>
      <c r="F76" s="78"/>
      <c r="G76" s="51"/>
      <c r="H76" s="51"/>
      <c r="I76" s="78"/>
      <c r="J76" s="63" t="s">
        <v>172</v>
      </c>
      <c r="K76" s="51">
        <f>SUM(COUNTIF('Itemization 202506'!L:L,J76),COUNTIF('Itemization 202501'!L:L,J76),COUNTIF('Itemization 202408'!L:L,J76),COUNTIF('Itemization 202406'!L:L,J76),COUNTIF('Itemization 202401'!L:L,J76),COUNTIF('Itemization 202308'!L:L,J76),COUNTIF('Itemization 202306'!L:L,J76))</f>
        <v>2</v>
      </c>
      <c r="L76" s="52">
        <f>(K76/K116)</f>
        <v>0.007575757576</v>
      </c>
      <c r="M76" s="51"/>
      <c r="N76" s="51"/>
      <c r="O76" s="78"/>
      <c r="P76" s="51"/>
      <c r="Q76" s="51"/>
      <c r="R76" s="72"/>
    </row>
    <row r="77" ht="15.75" customHeight="1">
      <c r="A77" s="85"/>
      <c r="B77" s="85"/>
      <c r="C77" s="85"/>
      <c r="D77" s="51"/>
      <c r="E77" s="51"/>
      <c r="F77" s="78"/>
      <c r="G77" s="51"/>
      <c r="H77" s="51"/>
      <c r="I77" s="78"/>
      <c r="J77" s="53" t="s">
        <v>173</v>
      </c>
      <c r="K77" s="54">
        <f>SUM(COUNTIF('Itemization 202506'!L:L,J77),COUNTIF('Itemization 202501'!L:L,J77),COUNTIF('Itemization 202408'!L:L,J77),COUNTIF('Itemization 202406'!L:L,J77),COUNTIF('Itemization 202401'!L:L,J77),COUNTIF('Itemization 202308'!L:L,J77),COUNTIF('Itemization 202306'!L:L,J77))</f>
        <v>0</v>
      </c>
      <c r="L77" s="55">
        <f>(K77/K116)</f>
        <v>0</v>
      </c>
      <c r="M77" s="51"/>
      <c r="N77" s="51"/>
      <c r="O77" s="78"/>
      <c r="P77" s="51"/>
      <c r="Q77" s="51"/>
      <c r="R77" s="72"/>
    </row>
    <row r="78" ht="15.75" customHeight="1">
      <c r="A78" s="85"/>
      <c r="B78" s="85"/>
      <c r="C78" s="85"/>
      <c r="D78" s="51"/>
      <c r="E78" s="51"/>
      <c r="F78" s="78"/>
      <c r="G78" s="51"/>
      <c r="H78" s="51"/>
      <c r="I78" s="78"/>
      <c r="J78" s="63" t="s">
        <v>174</v>
      </c>
      <c r="K78" s="51">
        <f>SUM(COUNTIF('Itemization 202506'!L:L,J78),COUNTIF('Itemization 202501'!L:L,J78),COUNTIF('Itemization 202408'!L:L,J78),COUNTIF('Itemization 202406'!L:L,J78),COUNTIF('Itemization 202401'!L:L,J78),COUNTIF('Itemization 202308'!L:L,J78),COUNTIF('Itemization 202306'!L:L,J78))</f>
        <v>1</v>
      </c>
      <c r="L78" s="52">
        <f>(K78/K116)</f>
        <v>0.003787878788</v>
      </c>
      <c r="M78" s="51"/>
      <c r="N78" s="51"/>
      <c r="O78" s="78"/>
      <c r="P78" s="51"/>
      <c r="Q78" s="51"/>
      <c r="R78" s="72"/>
    </row>
    <row r="79" ht="15.75" customHeight="1">
      <c r="A79" s="85"/>
      <c r="B79" s="85"/>
      <c r="C79" s="85"/>
      <c r="D79" s="51"/>
      <c r="E79" s="51"/>
      <c r="F79" s="78"/>
      <c r="G79" s="51"/>
      <c r="H79" s="51"/>
      <c r="I79" s="78"/>
      <c r="J79" s="53" t="s">
        <v>175</v>
      </c>
      <c r="K79" s="54">
        <f>SUM(COUNTIF('Itemization 202506'!L:L,J79),COUNTIF('Itemization 202501'!L:L,J79),COUNTIF('Itemization 202408'!L:L,J79),COUNTIF('Itemization 202406'!L:L,J79),COUNTIF('Itemization 202401'!L:L,J79),COUNTIF('Itemization 202308'!L:L,J79),COUNTIF('Itemization 202306'!L:L,J79))</f>
        <v>0</v>
      </c>
      <c r="L79" s="55">
        <f>(K79/K116)</f>
        <v>0</v>
      </c>
      <c r="M79" s="51"/>
      <c r="N79" s="51"/>
      <c r="O79" s="78"/>
      <c r="P79" s="51"/>
      <c r="Q79" s="51"/>
      <c r="R79" s="72"/>
    </row>
    <row r="80" ht="15.75" customHeight="1">
      <c r="A80" s="85"/>
      <c r="B80" s="85"/>
      <c r="C80" s="85"/>
      <c r="D80" s="51"/>
      <c r="E80" s="51"/>
      <c r="F80" s="78"/>
      <c r="G80" s="51"/>
      <c r="H80" s="51"/>
      <c r="I80" s="78"/>
      <c r="J80" s="53" t="s">
        <v>176</v>
      </c>
      <c r="K80" s="54">
        <f>SUM(COUNTIF('Itemization 202506'!L:L,J80),COUNTIF('Itemization 202501'!L:L,J80),COUNTIF('Itemization 202408'!L:L,J80),COUNTIF('Itemization 202406'!L:L,J80),COUNTIF('Itemization 202401'!L:L,J80),COUNTIF('Itemization 202308'!L:L,J80),COUNTIF('Itemization 202306'!L:L,J80))</f>
        <v>0</v>
      </c>
      <c r="L80" s="55">
        <f>(K80/K116)</f>
        <v>0</v>
      </c>
      <c r="M80" s="51"/>
      <c r="N80" s="51"/>
      <c r="O80" s="78"/>
      <c r="P80" s="51"/>
      <c r="Q80" s="51"/>
      <c r="R80" s="72"/>
    </row>
    <row r="81" ht="15.75" customHeight="1">
      <c r="A81" s="85"/>
      <c r="B81" s="85"/>
      <c r="C81" s="85"/>
      <c r="D81" s="51"/>
      <c r="E81" s="51"/>
      <c r="F81" s="78"/>
      <c r="G81" s="51"/>
      <c r="H81" s="51"/>
      <c r="I81" s="78"/>
      <c r="J81" s="63" t="s">
        <v>177</v>
      </c>
      <c r="K81" s="51">
        <f>SUM(COUNTIF('Itemization 202506'!L:L,J81),COUNTIF('Itemization 202501'!L:L,J81),COUNTIF('Itemization 202408'!L:L,J81),COUNTIF('Itemization 202406'!L:L,J81),COUNTIF('Itemization 202401'!L:L,J81),COUNTIF('Itemization 202308'!L:L,J81),COUNTIF('Itemization 202306'!L:L,J81))</f>
        <v>2</v>
      </c>
      <c r="L81" s="52">
        <f>(K81/K116)</f>
        <v>0.007575757576</v>
      </c>
      <c r="M81" s="51"/>
      <c r="N81" s="51"/>
      <c r="O81" s="78"/>
      <c r="P81" s="51"/>
      <c r="Q81" s="51"/>
      <c r="R81" s="72"/>
    </row>
    <row r="82" ht="15.75" customHeight="1">
      <c r="A82" s="85"/>
      <c r="B82" s="85"/>
      <c r="C82" s="85"/>
      <c r="D82" s="51"/>
      <c r="E82" s="51"/>
      <c r="F82" s="78"/>
      <c r="G82" s="51"/>
      <c r="H82" s="51"/>
      <c r="I82" s="78"/>
      <c r="J82" s="63" t="s">
        <v>178</v>
      </c>
      <c r="K82" s="51">
        <f>SUM(COUNTIF('Itemization 202506'!L:L,J82),COUNTIF('Itemization 202501'!L:L,J82),COUNTIF('Itemization 202408'!L:L,J82),COUNTIF('Itemization 202406'!L:L,J82),COUNTIF('Itemization 202401'!L:L,J82),COUNTIF('Itemization 202308'!L:L,J82),COUNTIF('Itemization 202306'!L:L,J82))</f>
        <v>9</v>
      </c>
      <c r="L82" s="52">
        <f>(K82/K116)</f>
        <v>0.03409090909</v>
      </c>
      <c r="M82" s="51"/>
      <c r="N82" s="51"/>
      <c r="O82" s="78"/>
      <c r="P82" s="51"/>
      <c r="Q82" s="51"/>
      <c r="R82" s="72"/>
    </row>
    <row r="83" ht="15.75" customHeight="1">
      <c r="A83" s="85"/>
      <c r="B83" s="85"/>
      <c r="C83" s="85"/>
      <c r="D83" s="51"/>
      <c r="E83" s="51"/>
      <c r="F83" s="78"/>
      <c r="G83" s="51"/>
      <c r="H83" s="51"/>
      <c r="I83" s="78"/>
      <c r="J83" s="53" t="s">
        <v>179</v>
      </c>
      <c r="K83" s="54">
        <f>SUM(COUNTIF('Itemization 202506'!L:L,J83),COUNTIF('Itemization 202501'!L:L,J83),COUNTIF('Itemization 202408'!L:L,J83),COUNTIF('Itemization 202406'!L:L,J83),COUNTIF('Itemization 202401'!L:L,J83),COUNTIF('Itemization 202308'!L:L,J83),COUNTIF('Itemization 202306'!L:L,J83))</f>
        <v>0</v>
      </c>
      <c r="L83" s="55">
        <f>(K83/K116)</f>
        <v>0</v>
      </c>
      <c r="M83" s="51"/>
      <c r="N83" s="51"/>
      <c r="O83" s="78"/>
      <c r="P83" s="51"/>
      <c r="Q83" s="51"/>
      <c r="R83" s="72"/>
    </row>
    <row r="84" ht="15.75" customHeight="1">
      <c r="A84" s="85"/>
      <c r="B84" s="85"/>
      <c r="C84" s="85"/>
      <c r="D84" s="51"/>
      <c r="E84" s="51"/>
      <c r="F84" s="78"/>
      <c r="G84" s="51"/>
      <c r="H84" s="51"/>
      <c r="I84" s="78"/>
      <c r="J84" s="53" t="s">
        <v>180</v>
      </c>
      <c r="K84" s="54">
        <f>SUM(COUNTIF('Itemization 202506'!L:L,J84),COUNTIF('Itemization 202501'!L:L,J84),COUNTIF('Itemization 202408'!L:L,J84),COUNTIF('Itemization 202406'!L:L,J84),COUNTIF('Itemization 202401'!L:L,J84),COUNTIF('Itemization 202308'!L:L,J84),COUNTIF('Itemization 202306'!L:L,J84))</f>
        <v>0</v>
      </c>
      <c r="L84" s="55">
        <f>(K84/K116)</f>
        <v>0</v>
      </c>
      <c r="M84" s="51"/>
      <c r="N84" s="51"/>
      <c r="O84" s="78"/>
      <c r="P84" s="51"/>
      <c r="Q84" s="51"/>
      <c r="R84" s="72"/>
    </row>
    <row r="85" ht="15.75" customHeight="1">
      <c r="A85" s="85"/>
      <c r="B85" s="85"/>
      <c r="C85" s="85"/>
      <c r="D85" s="51"/>
      <c r="E85" s="51"/>
      <c r="F85" s="78"/>
      <c r="G85" s="51"/>
      <c r="H85" s="51"/>
      <c r="I85" s="78"/>
      <c r="J85" s="53" t="s">
        <v>181</v>
      </c>
      <c r="K85" s="54">
        <f>SUM(COUNTIF('Itemization 202506'!L:L,J85),COUNTIF('Itemization 202501'!L:L,J85),COUNTIF('Itemization 202408'!L:L,J85),COUNTIF('Itemization 202406'!L:L,J85),COUNTIF('Itemization 202401'!L:L,J85),COUNTIF('Itemization 202308'!L:L,J85),COUNTIF('Itemization 202306'!L:L,J85))</f>
        <v>0</v>
      </c>
      <c r="L85" s="55">
        <f>(K85/K116)</f>
        <v>0</v>
      </c>
      <c r="M85" s="51"/>
      <c r="N85" s="51"/>
      <c r="O85" s="78"/>
      <c r="P85" s="51"/>
      <c r="Q85" s="51"/>
      <c r="R85" s="72"/>
    </row>
    <row r="86" ht="15.75" customHeight="1">
      <c r="A86" s="85"/>
      <c r="B86" s="85"/>
      <c r="C86" s="85"/>
      <c r="D86" s="51"/>
      <c r="E86" s="51"/>
      <c r="F86" s="78"/>
      <c r="G86" s="51"/>
      <c r="H86" s="51"/>
      <c r="I86" s="78"/>
      <c r="J86" s="53" t="s">
        <v>182</v>
      </c>
      <c r="K86" s="54">
        <f>SUM(COUNTIF('Itemization 202506'!L:L,J86),COUNTIF('Itemization 202501'!L:L,J86),COUNTIF('Itemization 202408'!L:L,J86),COUNTIF('Itemization 202406'!L:L,J86),COUNTIF('Itemization 202401'!L:L,J86),COUNTIF('Itemization 202308'!L:L,J86),COUNTIF('Itemization 202306'!L:L,J86))</f>
        <v>0</v>
      </c>
      <c r="L86" s="55">
        <f>(K86/K116)</f>
        <v>0</v>
      </c>
      <c r="M86" s="51"/>
      <c r="N86" s="51"/>
      <c r="O86" s="78"/>
      <c r="P86" s="51"/>
      <c r="Q86" s="51"/>
      <c r="R86" s="72"/>
    </row>
    <row r="87" ht="15.75" customHeight="1">
      <c r="A87" s="85"/>
      <c r="B87" s="85"/>
      <c r="C87" s="85"/>
      <c r="D87" s="51"/>
      <c r="E87" s="51"/>
      <c r="F87" s="78"/>
      <c r="G87" s="51"/>
      <c r="H87" s="51"/>
      <c r="I87" s="78"/>
      <c r="J87" s="53" t="s">
        <v>183</v>
      </c>
      <c r="K87" s="54">
        <f>SUM(COUNTIF('Itemization 202506'!L:L,J87),COUNTIF('Itemization 202501'!L:L,J87),COUNTIF('Itemization 202408'!L:L,J87),COUNTIF('Itemization 202406'!L:L,J87),COUNTIF('Itemization 202401'!L:L,J87),COUNTIF('Itemization 202308'!L:L,J87),COUNTIF('Itemization 202306'!L:L,J87))</f>
        <v>0</v>
      </c>
      <c r="L87" s="55">
        <f>(K87/K116)</f>
        <v>0</v>
      </c>
      <c r="M87" s="51"/>
      <c r="N87" s="51"/>
      <c r="O87" s="78"/>
      <c r="P87" s="51"/>
      <c r="Q87" s="51"/>
      <c r="R87" s="72"/>
    </row>
    <row r="88" ht="15.75" customHeight="1">
      <c r="A88" s="85"/>
      <c r="B88" s="85"/>
      <c r="C88" s="85"/>
      <c r="D88" s="51"/>
      <c r="E88" s="51"/>
      <c r="F88" s="78"/>
      <c r="G88" s="51"/>
      <c r="H88" s="51"/>
      <c r="I88" s="78"/>
      <c r="J88" s="88" t="s">
        <v>184</v>
      </c>
      <c r="K88" s="57">
        <f>SUM(COUNTIF('Itemization 202506'!L:L,J88),COUNTIF('Itemization 202501'!L:L,J88),COUNTIF('Itemization 202408'!L:L,J88),COUNTIF('Itemization 202406'!L:L,J88),COUNTIF('Itemization 202401'!L:L,J88),COUNTIF('Itemization 202308'!L:L,J88),COUNTIF('Itemization 202306'!L:L,J88))</f>
        <v>11</v>
      </c>
      <c r="L88" s="58">
        <f>(K88/K116)</f>
        <v>0.04166666667</v>
      </c>
      <c r="M88" s="51"/>
      <c r="N88" s="51"/>
      <c r="O88" s="78"/>
      <c r="P88" s="51"/>
      <c r="Q88" s="51"/>
      <c r="R88" s="72"/>
    </row>
    <row r="89" ht="15.75" customHeight="1">
      <c r="A89" s="85"/>
      <c r="B89" s="85"/>
      <c r="C89" s="85"/>
      <c r="D89" s="51"/>
      <c r="E89" s="51"/>
      <c r="F89" s="78"/>
      <c r="G89" s="51"/>
      <c r="H89" s="51"/>
      <c r="I89" s="78"/>
      <c r="J89" s="63" t="s">
        <v>185</v>
      </c>
      <c r="K89" s="51">
        <f>SUM(COUNTIF('Itemization 202506'!L:L,J89),COUNTIF('Itemization 202501'!L:L,J89),COUNTIF('Itemization 202408'!L:L,J89),COUNTIF('Itemization 202406'!L:L,J89),COUNTIF('Itemization 202401'!L:L,J89),COUNTIF('Itemization 202308'!L:L,J89),COUNTIF('Itemization 202306'!L:L,J89))</f>
        <v>2</v>
      </c>
      <c r="L89" s="52">
        <f>(K89/K116)</f>
        <v>0.007575757576</v>
      </c>
      <c r="M89" s="51"/>
      <c r="N89" s="51"/>
      <c r="O89" s="78"/>
      <c r="P89" s="51"/>
      <c r="Q89" s="51"/>
      <c r="R89" s="72"/>
    </row>
    <row r="90" ht="15.75" customHeight="1">
      <c r="A90" s="85"/>
      <c r="B90" s="85"/>
      <c r="C90" s="85"/>
      <c r="D90" s="51"/>
      <c r="E90" s="51"/>
      <c r="F90" s="78"/>
      <c r="G90" s="51"/>
      <c r="H90" s="51"/>
      <c r="I90" s="78"/>
      <c r="J90" s="63" t="s">
        <v>186</v>
      </c>
      <c r="K90" s="51">
        <f>SUM(COUNTIF('Itemization 202506'!L:L,J90),COUNTIF('Itemization 202501'!L:L,J90),COUNTIF('Itemization 202408'!L:L,J90),COUNTIF('Itemization 202406'!L:L,J90),COUNTIF('Itemization 202401'!L:L,J90),COUNTIF('Itemization 202308'!L:L,J90),COUNTIF('Itemization 202306'!L:L,J90))</f>
        <v>3</v>
      </c>
      <c r="L90" s="52">
        <f>(K90/K116)</f>
        <v>0.01136363636</v>
      </c>
      <c r="M90" s="51"/>
      <c r="N90" s="51"/>
      <c r="O90" s="78"/>
      <c r="P90" s="51"/>
      <c r="Q90" s="51"/>
      <c r="R90" s="72"/>
    </row>
    <row r="91" ht="15.75" customHeight="1">
      <c r="A91" s="85"/>
      <c r="B91" s="85"/>
      <c r="C91" s="85"/>
      <c r="D91" s="51"/>
      <c r="E91" s="51"/>
      <c r="F91" s="78"/>
      <c r="G91" s="51"/>
      <c r="H91" s="51"/>
      <c r="I91" s="78"/>
      <c r="J91" s="63" t="s">
        <v>187</v>
      </c>
      <c r="K91" s="51">
        <f>SUM(COUNTIF('Itemization 202506'!L:L,J91),COUNTIF('Itemization 202501'!L:L,J91),COUNTIF('Itemization 202408'!L:L,J91),COUNTIF('Itemization 202406'!L:L,J91),COUNTIF('Itemization 202401'!L:L,J91),COUNTIF('Itemization 202308'!L:L,J91),COUNTIF('Itemization 202306'!L:L,J91))</f>
        <v>1</v>
      </c>
      <c r="L91" s="52">
        <f>(K91/K116)</f>
        <v>0.003787878788</v>
      </c>
      <c r="M91" s="51"/>
      <c r="N91" s="51"/>
      <c r="O91" s="78"/>
      <c r="P91" s="51"/>
      <c r="Q91" s="51"/>
      <c r="R91" s="72"/>
    </row>
    <row r="92" ht="15.75" customHeight="1">
      <c r="A92" s="85"/>
      <c r="B92" s="85"/>
      <c r="C92" s="85"/>
      <c r="D92" s="51"/>
      <c r="E92" s="51"/>
      <c r="F92" s="78"/>
      <c r="G92" s="51"/>
      <c r="H92" s="51"/>
      <c r="I92" s="78"/>
      <c r="J92" s="63" t="s">
        <v>188</v>
      </c>
      <c r="K92" s="51">
        <f>SUM(COUNTIF('Itemization 202506'!L:L,J92),COUNTIF('Itemization 202501'!L:L,J92),COUNTIF('Itemization 202408'!L:L,J92),COUNTIF('Itemization 202406'!L:L,J92),COUNTIF('Itemization 202401'!L:L,J92),COUNTIF('Itemization 202308'!L:L,J92),COUNTIF('Itemization 202306'!L:L,J92))</f>
        <v>2</v>
      </c>
      <c r="L92" s="52">
        <f>(K92/K116)</f>
        <v>0.007575757576</v>
      </c>
      <c r="M92" s="51"/>
      <c r="N92" s="51"/>
      <c r="O92" s="78"/>
      <c r="P92" s="51"/>
      <c r="Q92" s="51"/>
      <c r="R92" s="72"/>
    </row>
    <row r="93" ht="15.75" customHeight="1">
      <c r="A93" s="85"/>
      <c r="B93" s="85"/>
      <c r="C93" s="85"/>
      <c r="D93" s="51"/>
      <c r="E93" s="51"/>
      <c r="F93" s="78"/>
      <c r="G93" s="51"/>
      <c r="H93" s="51"/>
      <c r="I93" s="78"/>
      <c r="J93" s="63" t="s">
        <v>189</v>
      </c>
      <c r="K93" s="51">
        <f>SUM(COUNTIF('Itemization 202506'!L:L,J93),COUNTIF('Itemization 202501'!L:L,J93),COUNTIF('Itemization 202408'!L:L,J93),COUNTIF('Itemization 202406'!L:L,J93),COUNTIF('Itemization 202401'!L:L,J93),COUNTIF('Itemization 202308'!L:L,J93),COUNTIF('Itemization 202306'!L:L,J93))</f>
        <v>2</v>
      </c>
      <c r="L93" s="52">
        <f>(K93/K116)</f>
        <v>0.007575757576</v>
      </c>
      <c r="M93" s="51"/>
      <c r="N93" s="51"/>
      <c r="O93" s="78"/>
      <c r="P93" s="51"/>
      <c r="Q93" s="51"/>
      <c r="R93" s="72"/>
    </row>
    <row r="94" ht="15.75" customHeight="1">
      <c r="A94" s="85"/>
      <c r="B94" s="85"/>
      <c r="C94" s="85"/>
      <c r="D94" s="51"/>
      <c r="E94" s="51"/>
      <c r="F94" s="78"/>
      <c r="G94" s="51"/>
      <c r="H94" s="51"/>
      <c r="I94" s="78"/>
      <c r="J94" s="63" t="s">
        <v>190</v>
      </c>
      <c r="K94" s="51">
        <f>SUM(COUNTIF('Itemization 202506'!L:L,J94),COUNTIF('Itemization 202501'!L:L,J94),COUNTIF('Itemization 202408'!L:L,J94),COUNTIF('Itemization 202406'!L:L,J94),COUNTIF('Itemization 202401'!L:L,J94),COUNTIF('Itemization 202308'!L:L,J94),COUNTIF('Itemization 202306'!L:L,J94))</f>
        <v>3</v>
      </c>
      <c r="L94" s="52">
        <f>(K94/K116)</f>
        <v>0.01136363636</v>
      </c>
      <c r="M94" s="51"/>
      <c r="N94" s="51"/>
      <c r="O94" s="78"/>
      <c r="P94" s="51"/>
      <c r="Q94" s="51"/>
      <c r="R94" s="72"/>
    </row>
    <row r="95" ht="15.75" customHeight="1">
      <c r="A95" s="85"/>
      <c r="B95" s="85"/>
      <c r="C95" s="85"/>
      <c r="D95" s="51"/>
      <c r="E95" s="51"/>
      <c r="F95" s="78"/>
      <c r="G95" s="51"/>
      <c r="H95" s="51"/>
      <c r="I95" s="78"/>
      <c r="J95" s="53" t="s">
        <v>191</v>
      </c>
      <c r="K95" s="54">
        <f>SUM(COUNTIF('Itemization 202506'!L:L,J95),COUNTIF('Itemization 202501'!L:L,J95),COUNTIF('Itemization 202408'!L:L,J95),COUNTIF('Itemization 202406'!L:L,J95),COUNTIF('Itemization 202401'!L:L,J95),COUNTIF('Itemization 202308'!L:L,J95),COUNTIF('Itemization 202306'!L:L,J95))</f>
        <v>0</v>
      </c>
      <c r="L95" s="55">
        <f>(K95/K116)</f>
        <v>0</v>
      </c>
      <c r="M95" s="51"/>
      <c r="N95" s="51"/>
      <c r="O95" s="78"/>
      <c r="P95" s="51"/>
      <c r="Q95" s="51"/>
      <c r="R95" s="72"/>
    </row>
    <row r="96" ht="15.75" customHeight="1">
      <c r="A96" s="85"/>
      <c r="B96" s="85"/>
      <c r="C96" s="85"/>
      <c r="D96" s="51"/>
      <c r="E96" s="51"/>
      <c r="F96" s="78"/>
      <c r="G96" s="51"/>
      <c r="H96" s="51"/>
      <c r="I96" s="78"/>
      <c r="J96" s="63" t="s">
        <v>192</v>
      </c>
      <c r="K96" s="51">
        <f>SUM(COUNTIF('Itemization 202506'!L:L,J96),COUNTIF('Itemization 202501'!L:L,J96),COUNTIF('Itemization 202408'!L:L,J96),COUNTIF('Itemization 202406'!L:L,J96),COUNTIF('Itemization 202401'!L:L,J96),COUNTIF('Itemization 202308'!L:L,J96),COUNTIF('Itemization 202306'!L:L,J96))</f>
        <v>1</v>
      </c>
      <c r="L96" s="52">
        <f>(K96/K116)</f>
        <v>0.003787878788</v>
      </c>
      <c r="M96" s="51"/>
      <c r="N96" s="51"/>
      <c r="O96" s="78"/>
      <c r="P96" s="51"/>
      <c r="Q96" s="51"/>
      <c r="R96" s="72"/>
    </row>
    <row r="97" ht="15.75" customHeight="1">
      <c r="A97" s="85"/>
      <c r="B97" s="85"/>
      <c r="C97" s="85"/>
      <c r="D97" s="51"/>
      <c r="E97" s="51"/>
      <c r="F97" s="78"/>
      <c r="G97" s="51"/>
      <c r="H97" s="51"/>
      <c r="I97" s="78"/>
      <c r="J97" s="53" t="s">
        <v>193</v>
      </c>
      <c r="K97" s="54">
        <f>SUM(COUNTIF('Itemization 202506'!L:L,J97),COUNTIF('Itemization 202501'!L:L,J97),COUNTIF('Itemization 202408'!L:L,J97),COUNTIF('Itemization 202406'!L:L,J97),COUNTIF('Itemization 202401'!L:L,J97),COUNTIF('Itemization 202308'!L:L,J97),COUNTIF('Itemization 202306'!L:L,J97))</f>
        <v>0</v>
      </c>
      <c r="L97" s="55">
        <f>(K97/K116)</f>
        <v>0</v>
      </c>
      <c r="M97" s="51"/>
      <c r="N97" s="51"/>
      <c r="O97" s="78"/>
      <c r="P97" s="51"/>
      <c r="Q97" s="51"/>
      <c r="R97" s="72"/>
    </row>
    <row r="98" ht="15.75" customHeight="1">
      <c r="A98" s="85"/>
      <c r="B98" s="85"/>
      <c r="C98" s="85"/>
      <c r="D98" s="51"/>
      <c r="E98" s="51"/>
      <c r="F98" s="78"/>
      <c r="G98" s="51"/>
      <c r="H98" s="51"/>
      <c r="I98" s="78"/>
      <c r="J98" s="63" t="s">
        <v>194</v>
      </c>
      <c r="K98" s="51">
        <f>SUM(COUNTIF('Itemization 202506'!L:L,J98),COUNTIF('Itemization 202501'!L:L,J98),COUNTIF('Itemization 202408'!L:L,J98),COUNTIF('Itemization 202406'!L:L,J98),COUNTIF('Itemization 202401'!L:L,J98),COUNTIF('Itemization 202308'!L:L,J98),COUNTIF('Itemization 202306'!L:L,J98))</f>
        <v>2</v>
      </c>
      <c r="L98" s="52">
        <f>(K98/K116)</f>
        <v>0.007575757576</v>
      </c>
      <c r="M98" s="51"/>
      <c r="N98" s="51"/>
      <c r="O98" s="78"/>
      <c r="P98" s="51"/>
      <c r="Q98" s="51"/>
      <c r="R98" s="72"/>
    </row>
    <row r="99" ht="15.75" customHeight="1">
      <c r="A99" s="85"/>
      <c r="B99" s="85"/>
      <c r="C99" s="85"/>
      <c r="D99" s="51"/>
      <c r="E99" s="51"/>
      <c r="F99" s="78"/>
      <c r="G99" s="51"/>
      <c r="H99" s="51"/>
      <c r="I99" s="78"/>
      <c r="J99" s="63" t="s">
        <v>195</v>
      </c>
      <c r="K99" s="51">
        <f>SUM(COUNTIF('Itemization 202506'!L:L,J99),COUNTIF('Itemization 202501'!L:L,J99),COUNTIF('Itemization 202408'!L:L,J99),COUNTIF('Itemization 202406'!L:L,J99),COUNTIF('Itemization 202401'!L:L,J99),COUNTIF('Itemization 202308'!L:L,J99),COUNTIF('Itemization 202306'!L:L,J99))</f>
        <v>1</v>
      </c>
      <c r="L99" s="52">
        <f>(K99/K116)</f>
        <v>0.003787878788</v>
      </c>
      <c r="M99" s="51"/>
      <c r="N99" s="51"/>
      <c r="O99" s="78"/>
      <c r="P99" s="51"/>
      <c r="Q99" s="51"/>
      <c r="R99" s="72"/>
    </row>
    <row r="100" ht="15.75" customHeight="1">
      <c r="A100" s="85"/>
      <c r="B100" s="85"/>
      <c r="C100" s="85"/>
      <c r="D100" s="51"/>
      <c r="E100" s="51"/>
      <c r="F100" s="78"/>
      <c r="G100" s="51"/>
      <c r="H100" s="51"/>
      <c r="I100" s="78"/>
      <c r="J100" s="63" t="s">
        <v>196</v>
      </c>
      <c r="K100" s="51">
        <f>SUM(COUNTIF('Itemization 202506'!L:L,J100),COUNTIF('Itemization 202501'!L:L,J100),COUNTIF('Itemization 202408'!L:L,J100),COUNTIF('Itemization 202406'!L:L,J100),COUNTIF('Itemization 202401'!L:L,J100),COUNTIF('Itemization 202308'!L:L,J100),COUNTIF('Itemization 202306'!L:L,J100))</f>
        <v>3</v>
      </c>
      <c r="L100" s="52">
        <f>(K100/K116)</f>
        <v>0.01136363636</v>
      </c>
      <c r="M100" s="51"/>
      <c r="N100" s="51"/>
      <c r="O100" s="78"/>
      <c r="P100" s="51"/>
      <c r="Q100" s="51"/>
      <c r="R100" s="72"/>
    </row>
    <row r="101" ht="15.75" customHeight="1">
      <c r="A101" s="85"/>
      <c r="B101" s="85"/>
      <c r="C101" s="85"/>
      <c r="D101" s="51"/>
      <c r="E101" s="51"/>
      <c r="F101" s="78"/>
      <c r="G101" s="51"/>
      <c r="H101" s="51"/>
      <c r="I101" s="78"/>
      <c r="J101" s="89" t="s">
        <v>197</v>
      </c>
      <c r="K101" s="61">
        <f>SUM(COUNTIF('Itemization 202506'!L:L,J101),COUNTIF('Itemization 202501'!L:L,J101),COUNTIF('Itemization 202408'!L:L,J101),COUNTIF('Itemization 202406'!L:L,J101),COUNTIF('Itemization 202401'!L:L,J101),COUNTIF('Itemization 202308'!L:L,J101),COUNTIF('Itemization 202306'!L:L,J101))</f>
        <v>14</v>
      </c>
      <c r="L101" s="62">
        <f>(K101/K116)</f>
        <v>0.05303030303</v>
      </c>
      <c r="M101" s="51"/>
      <c r="N101" s="51"/>
      <c r="O101" s="78"/>
      <c r="P101" s="51"/>
      <c r="Q101" s="51"/>
      <c r="R101" s="72"/>
    </row>
    <row r="102" ht="15.75" customHeight="1">
      <c r="A102" s="85"/>
      <c r="B102" s="85"/>
      <c r="C102" s="85"/>
      <c r="D102" s="51"/>
      <c r="E102" s="51"/>
      <c r="F102" s="78"/>
      <c r="G102" s="51"/>
      <c r="H102" s="51"/>
      <c r="I102" s="78"/>
      <c r="J102" s="53" t="s">
        <v>198</v>
      </c>
      <c r="K102" s="54">
        <f>SUM(COUNTIF('Itemization 202506'!L:L,J102),COUNTIF('Itemization 202501'!L:L,J102),COUNTIF('Itemization 202408'!L:L,J102),COUNTIF('Itemization 202406'!L:L,J102),COUNTIF('Itemization 202401'!L:L,J102),COUNTIF('Itemization 202308'!L:L,J102),COUNTIF('Itemization 202306'!L:L,J102))</f>
        <v>0</v>
      </c>
      <c r="L102" s="55">
        <f>(K102/K116)</f>
        <v>0</v>
      </c>
      <c r="M102" s="51"/>
      <c r="N102" s="51"/>
      <c r="O102" s="78"/>
      <c r="P102" s="51"/>
      <c r="Q102" s="51"/>
      <c r="R102" s="72"/>
    </row>
    <row r="103" ht="15.75" customHeight="1">
      <c r="A103" s="85"/>
      <c r="B103" s="85"/>
      <c r="C103" s="85"/>
      <c r="D103" s="51"/>
      <c r="E103" s="51"/>
      <c r="F103" s="78"/>
      <c r="G103" s="51"/>
      <c r="H103" s="51"/>
      <c r="I103" s="78"/>
      <c r="J103" s="63" t="s">
        <v>199</v>
      </c>
      <c r="K103" s="51">
        <f>SUM(COUNTIF('Itemization 202506'!L:L,J103),COUNTIF('Itemization 202501'!L:L,J103),COUNTIF('Itemization 202408'!L:L,J103),COUNTIF('Itemization 202406'!L:L,J103),COUNTIF('Itemization 202401'!L:L,J103),COUNTIF('Itemization 202308'!L:L,J103),COUNTIF('Itemization 202306'!L:L,J103))</f>
        <v>5</v>
      </c>
      <c r="L103" s="52">
        <f>(K103/K116)</f>
        <v>0.01893939394</v>
      </c>
      <c r="M103" s="51"/>
      <c r="N103" s="51"/>
      <c r="O103" s="78"/>
      <c r="P103" s="51"/>
      <c r="Q103" s="51"/>
      <c r="R103" s="72"/>
    </row>
    <row r="104" ht="15.75" customHeight="1">
      <c r="A104" s="85"/>
      <c r="B104" s="85"/>
      <c r="C104" s="85"/>
      <c r="D104" s="51"/>
      <c r="E104" s="51"/>
      <c r="F104" s="78"/>
      <c r="G104" s="51"/>
      <c r="H104" s="51"/>
      <c r="I104" s="78"/>
      <c r="J104" s="53" t="s">
        <v>200</v>
      </c>
      <c r="K104" s="54">
        <f>SUM(COUNTIF('Itemization 202506'!L:L,J104),COUNTIF('Itemization 202501'!L:L,J104),COUNTIF('Itemization 202408'!L:L,J104),COUNTIF('Itemization 202406'!L:L,J104),COUNTIF('Itemization 202401'!L:L,J104),COUNTIF('Itemization 202308'!L:L,J104),COUNTIF('Itemization 202306'!L:L,J104))</f>
        <v>0</v>
      </c>
      <c r="L104" s="55">
        <f>(K104/K116)</f>
        <v>0</v>
      </c>
      <c r="M104" s="51"/>
      <c r="N104" s="51"/>
      <c r="O104" s="78"/>
      <c r="P104" s="51"/>
      <c r="Q104" s="51"/>
      <c r="R104" s="72"/>
    </row>
    <row r="105" ht="15.75" customHeight="1">
      <c r="A105" s="85"/>
      <c r="B105" s="85"/>
      <c r="C105" s="85"/>
      <c r="D105" s="51"/>
      <c r="E105" s="51"/>
      <c r="F105" s="78"/>
      <c r="G105" s="51"/>
      <c r="H105" s="51"/>
      <c r="I105" s="78"/>
      <c r="J105" s="63" t="s">
        <v>201</v>
      </c>
      <c r="K105" s="51">
        <f>SUM(COUNTIF('Itemization 202506'!L:L,J105),COUNTIF('Itemization 202501'!L:L,J105),COUNTIF('Itemization 202408'!L:L,J105),COUNTIF('Itemization 202406'!L:L,J105),COUNTIF('Itemization 202401'!L:L,J105),COUNTIF('Itemization 202308'!L:L,J105),COUNTIF('Itemization 202306'!L:L,J105))</f>
        <v>2</v>
      </c>
      <c r="L105" s="52">
        <f>(K105/K116)</f>
        <v>0.007575757576</v>
      </c>
      <c r="M105" s="51"/>
      <c r="N105" s="51"/>
      <c r="O105" s="78"/>
      <c r="P105" s="51"/>
      <c r="Q105" s="51"/>
      <c r="R105" s="72"/>
    </row>
    <row r="106" ht="15.75" customHeight="1">
      <c r="A106" s="85"/>
      <c r="B106" s="85"/>
      <c r="C106" s="85"/>
      <c r="D106" s="51"/>
      <c r="E106" s="51"/>
      <c r="F106" s="78"/>
      <c r="G106" s="51"/>
      <c r="H106" s="51"/>
      <c r="I106" s="78"/>
      <c r="J106" s="53" t="s">
        <v>202</v>
      </c>
      <c r="K106" s="54">
        <f>SUM(COUNTIF('Itemization 202506'!L:L,J106),COUNTIF('Itemization 202501'!L:L,J106),COUNTIF('Itemization 202408'!L:L,J106),COUNTIF('Itemization 202406'!L:L,J106),COUNTIF('Itemization 202401'!L:L,J106),COUNTIF('Itemization 202308'!L:L,J106),COUNTIF('Itemization 202306'!L:L,J106))</f>
        <v>0</v>
      </c>
      <c r="L106" s="55">
        <f>(K106/K116)</f>
        <v>0</v>
      </c>
      <c r="M106" s="51"/>
      <c r="N106" s="51"/>
      <c r="O106" s="78"/>
      <c r="P106" s="51"/>
      <c r="Q106" s="51"/>
      <c r="R106" s="72"/>
    </row>
    <row r="107" ht="15.75" customHeight="1">
      <c r="A107" s="85"/>
      <c r="B107" s="85"/>
      <c r="C107" s="85"/>
      <c r="D107" s="51"/>
      <c r="E107" s="51"/>
      <c r="F107" s="78"/>
      <c r="G107" s="51"/>
      <c r="H107" s="51"/>
      <c r="I107" s="78"/>
      <c r="J107" s="53" t="s">
        <v>203</v>
      </c>
      <c r="K107" s="54">
        <f>SUM(COUNTIF('Itemization 202506'!L:L,J107),COUNTIF('Itemization 202501'!L:L,J107),COUNTIF('Itemization 202408'!L:L,J107),COUNTIF('Itemization 202406'!L:L,J107),COUNTIF('Itemization 202401'!L:L,J107),COUNTIF('Itemization 202308'!L:L,J107),COUNTIF('Itemization 202306'!L:L,J107))</f>
        <v>0</v>
      </c>
      <c r="L107" s="55">
        <f>(K107/K116)</f>
        <v>0</v>
      </c>
      <c r="M107" s="51"/>
      <c r="N107" s="51"/>
      <c r="O107" s="78"/>
      <c r="P107" s="51"/>
      <c r="Q107" s="51"/>
      <c r="R107" s="72"/>
    </row>
    <row r="108" ht="15.75" customHeight="1">
      <c r="A108" s="85"/>
      <c r="B108" s="85"/>
      <c r="C108" s="85"/>
      <c r="D108" s="51"/>
      <c r="E108" s="51"/>
      <c r="F108" s="78"/>
      <c r="G108" s="51"/>
      <c r="H108" s="51"/>
      <c r="I108" s="78"/>
      <c r="J108" s="53" t="s">
        <v>204</v>
      </c>
      <c r="K108" s="54">
        <f>SUM(COUNTIF('Itemization 202506'!L:L,J108),COUNTIF('Itemization 202501'!L:L,J108),COUNTIF('Itemization 202408'!L:L,J108),COUNTIF('Itemization 202406'!L:L,J108),COUNTIF('Itemization 202401'!L:L,J108),COUNTIF('Itemization 202308'!L:L,J108),COUNTIF('Itemization 202306'!L:L,J108))</f>
        <v>0</v>
      </c>
      <c r="L108" s="55">
        <f>(K108/K116)</f>
        <v>0</v>
      </c>
      <c r="M108" s="51"/>
      <c r="N108" s="51"/>
      <c r="O108" s="78"/>
      <c r="P108" s="51"/>
      <c r="Q108" s="51"/>
      <c r="R108" s="72"/>
    </row>
    <row r="109" ht="15.75" customHeight="1">
      <c r="A109" s="85"/>
      <c r="B109" s="85"/>
      <c r="C109" s="85"/>
      <c r="D109" s="51"/>
      <c r="E109" s="51"/>
      <c r="F109" s="78"/>
      <c r="G109" s="51"/>
      <c r="H109" s="51"/>
      <c r="I109" s="78"/>
      <c r="J109" s="63" t="s">
        <v>205</v>
      </c>
      <c r="K109" s="51">
        <f>SUM(COUNTIF('Itemization 202506'!L:L,J109),COUNTIF('Itemization 202501'!L:L,J109),COUNTIF('Itemization 202408'!L:L,J109),COUNTIF('Itemization 202406'!L:L,J109),COUNTIF('Itemization 202401'!L:L,J109),COUNTIF('Itemization 202308'!L:L,J109),COUNTIF('Itemization 202306'!L:L,J109))</f>
        <v>2</v>
      </c>
      <c r="L109" s="52">
        <f>(K109/K116)</f>
        <v>0.007575757576</v>
      </c>
      <c r="M109" s="51"/>
      <c r="N109" s="51"/>
      <c r="O109" s="78"/>
      <c r="P109" s="51"/>
      <c r="Q109" s="51"/>
      <c r="R109" s="72"/>
    </row>
    <row r="110" ht="15.75" customHeight="1">
      <c r="A110" s="85"/>
      <c r="B110" s="85"/>
      <c r="C110" s="85"/>
      <c r="D110" s="51"/>
      <c r="E110" s="51"/>
      <c r="F110" s="78"/>
      <c r="G110" s="51"/>
      <c r="H110" s="51"/>
      <c r="I110" s="78"/>
      <c r="J110" s="63" t="s">
        <v>206</v>
      </c>
      <c r="K110" s="51">
        <f>SUM(COUNTIF('Itemization 202506'!L:L,J110),COUNTIF('Itemization 202501'!L:L,J110),COUNTIF('Itemization 202408'!L:L,J110),COUNTIF('Itemization 202406'!L:L,J110),COUNTIF('Itemization 202401'!L:L,J110),COUNTIF('Itemization 202308'!L:L,J110),COUNTIF('Itemization 202306'!L:L,J110))</f>
        <v>2</v>
      </c>
      <c r="L110" s="52">
        <f>(K110/K116)</f>
        <v>0.007575757576</v>
      </c>
      <c r="M110" s="51"/>
      <c r="N110" s="51"/>
      <c r="O110" s="78"/>
      <c r="P110" s="51"/>
      <c r="Q110" s="51"/>
      <c r="R110" s="72"/>
    </row>
    <row r="111" ht="15.75" customHeight="1">
      <c r="A111" s="85"/>
      <c r="B111" s="85"/>
      <c r="C111" s="85"/>
      <c r="D111" s="51"/>
      <c r="E111" s="51"/>
      <c r="F111" s="78"/>
      <c r="G111" s="51"/>
      <c r="H111" s="51"/>
      <c r="I111" s="78"/>
      <c r="J111" s="53" t="s">
        <v>207</v>
      </c>
      <c r="K111" s="54">
        <f>SUM(COUNTIF('Itemization 202506'!L:L,J111),COUNTIF('Itemization 202501'!L:L,J111),COUNTIF('Itemization 202408'!L:L,J111),COUNTIF('Itemization 202406'!L:L,J111),COUNTIF('Itemization 202401'!L:L,J111),COUNTIF('Itemization 202308'!L:L,J111),COUNTIF('Itemization 202306'!L:L,J111))</f>
        <v>0</v>
      </c>
      <c r="L111" s="55">
        <f>(K111/K116)</f>
        <v>0</v>
      </c>
      <c r="M111" s="51"/>
      <c r="N111" s="51"/>
      <c r="O111" s="78"/>
      <c r="P111" s="51"/>
      <c r="Q111" s="51"/>
      <c r="R111" s="72"/>
    </row>
    <row r="112" ht="15.75" customHeight="1">
      <c r="A112" s="85"/>
      <c r="B112" s="85"/>
      <c r="C112" s="85"/>
      <c r="D112" s="51"/>
      <c r="E112" s="51"/>
      <c r="F112" s="78"/>
      <c r="G112" s="51"/>
      <c r="H112" s="51"/>
      <c r="I112" s="78"/>
      <c r="J112" s="53" t="s">
        <v>208</v>
      </c>
      <c r="K112" s="54">
        <f>SUM(COUNTIF('Itemization 202506'!L:L,J112),COUNTIF('Itemization 202501'!L:L,J112),COUNTIF('Itemization 202408'!L:L,J112),COUNTIF('Itemization 202406'!L:L,J112),COUNTIF('Itemization 202401'!L:L,J112),COUNTIF('Itemization 202308'!L:L,J112),COUNTIF('Itemization 202306'!L:L,J112))</f>
        <v>0</v>
      </c>
      <c r="L112" s="55">
        <f>(K112/K116)</f>
        <v>0</v>
      </c>
      <c r="M112" s="51"/>
      <c r="N112" s="51"/>
      <c r="O112" s="78"/>
      <c r="P112" s="51"/>
      <c r="Q112" s="51"/>
      <c r="R112" s="72"/>
    </row>
    <row r="113" ht="15.75" customHeight="1">
      <c r="A113" s="85"/>
      <c r="B113" s="85"/>
      <c r="C113" s="85"/>
      <c r="D113" s="51"/>
      <c r="E113" s="51"/>
      <c r="F113" s="78"/>
      <c r="G113" s="51"/>
      <c r="H113" s="51"/>
      <c r="I113" s="78"/>
      <c r="J113" s="53" t="s">
        <v>209</v>
      </c>
      <c r="K113" s="54">
        <f>SUM(COUNTIF('Itemization 202506'!L:L,J113),COUNTIF('Itemization 202501'!L:L,J113),COUNTIF('Itemization 202408'!L:L,J113),COUNTIF('Itemization 202406'!L:L,J113),COUNTIF('Itemization 202401'!L:L,J113),COUNTIF('Itemization 202308'!L:L,J113),COUNTIF('Itemization 202306'!L:L,J113))</f>
        <v>0</v>
      </c>
      <c r="L113" s="55">
        <f>(K113/K116)</f>
        <v>0</v>
      </c>
      <c r="M113" s="51"/>
      <c r="N113" s="51"/>
      <c r="O113" s="78"/>
      <c r="P113" s="51"/>
      <c r="Q113" s="51"/>
      <c r="R113" s="72"/>
    </row>
    <row r="114" ht="15.75" customHeight="1">
      <c r="A114" s="85"/>
      <c r="B114" s="85"/>
      <c r="C114" s="85"/>
      <c r="D114" s="51"/>
      <c r="E114" s="51"/>
      <c r="F114" s="78"/>
      <c r="G114" s="51"/>
      <c r="H114" s="51"/>
      <c r="I114" s="78"/>
      <c r="J114" s="53" t="s">
        <v>210</v>
      </c>
      <c r="K114" s="54">
        <f>SUM(COUNTIF('Itemization 202506'!L:L,J114),COUNTIF('Itemization 202501'!L:L,J114),COUNTIF('Itemization 202408'!L:L,J114),COUNTIF('Itemization 202406'!L:L,J114),COUNTIF('Itemization 202401'!L:L,J114),COUNTIF('Itemization 202308'!L:L,J114),COUNTIF('Itemization 202306'!L:L,J114))</f>
        <v>0</v>
      </c>
      <c r="L114" s="55">
        <f>(K114/K116)</f>
        <v>0</v>
      </c>
      <c r="M114" s="51"/>
      <c r="N114" s="51"/>
      <c r="O114" s="78"/>
      <c r="P114" s="51"/>
      <c r="Q114" s="51"/>
      <c r="R114" s="72"/>
    </row>
    <row r="115" ht="15.75" customHeight="1">
      <c r="A115" s="85"/>
      <c r="B115" s="85"/>
      <c r="C115" s="85"/>
      <c r="D115" s="51"/>
      <c r="E115" s="51"/>
      <c r="F115" s="78"/>
      <c r="G115" s="51"/>
      <c r="H115" s="51"/>
      <c r="I115" s="78"/>
      <c r="J115" s="90" t="s">
        <v>211</v>
      </c>
      <c r="K115" s="54">
        <f>SUM(COUNTIF('Itemization 202506'!L:L,J115),COUNTIF('Itemization 202501'!L:L,J115),COUNTIF('Itemization 202408'!L:L,J115),COUNTIF('Itemization 202406'!L:L,J115),COUNTIF('Itemization 202401'!L:L,J115),COUNTIF('Itemization 202308'!L:L,J115),COUNTIF('Itemization 202306'!L:L,J115))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264</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7.63"/>
  </cols>
  <sheetData>
    <row r="1">
      <c r="A1" s="92"/>
      <c r="B1" s="92"/>
      <c r="C1" s="92"/>
      <c r="D1" s="92"/>
      <c r="E1" s="92"/>
      <c r="F1" s="92"/>
      <c r="G1" s="92"/>
      <c r="H1" s="92"/>
      <c r="I1" s="92"/>
      <c r="J1" s="92"/>
      <c r="K1" s="92"/>
      <c r="L1" s="92"/>
      <c r="M1" s="92"/>
      <c r="N1" s="92"/>
      <c r="O1" s="92"/>
      <c r="P1" s="92"/>
      <c r="Q1" s="92"/>
      <c r="R1" s="92"/>
      <c r="S1" s="92"/>
      <c r="T1" s="92"/>
      <c r="U1" s="92"/>
      <c r="V1" s="92"/>
      <c r="W1" s="92"/>
      <c r="X1" s="92"/>
      <c r="Y1" s="92"/>
      <c r="Z1" s="92"/>
      <c r="AA1" s="92"/>
      <c r="AB1" s="92"/>
    </row>
    <row r="2">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row>
    <row r="3">
      <c r="A3" s="92"/>
      <c r="B3" s="92"/>
      <c r="C3" s="92"/>
      <c r="D3" s="92"/>
      <c r="E3" s="92"/>
      <c r="F3" s="92"/>
      <c r="G3" s="92"/>
      <c r="H3" s="92"/>
      <c r="I3" s="92"/>
      <c r="J3" s="92"/>
      <c r="K3" s="92"/>
      <c r="L3" s="92"/>
      <c r="M3" s="92"/>
      <c r="N3" s="92"/>
      <c r="O3" s="92"/>
      <c r="P3" s="92"/>
      <c r="Q3" s="92"/>
      <c r="R3" s="92"/>
      <c r="S3" s="92"/>
      <c r="T3" s="92"/>
      <c r="U3" s="92"/>
      <c r="V3" s="92"/>
      <c r="W3" s="92"/>
      <c r="X3" s="92"/>
      <c r="Y3" s="92"/>
      <c r="Z3" s="92"/>
      <c r="AA3" s="92"/>
      <c r="AB3" s="92"/>
    </row>
    <row r="4">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row>
    <row r="5">
      <c r="A5" s="92"/>
      <c r="B5" s="92"/>
      <c r="C5" s="92"/>
      <c r="D5" s="92"/>
      <c r="E5" s="92"/>
      <c r="F5" s="92"/>
      <c r="G5" s="92"/>
      <c r="H5" s="92"/>
      <c r="I5" s="92"/>
      <c r="J5" s="92"/>
      <c r="K5" s="92"/>
      <c r="L5" s="92"/>
      <c r="M5" s="92"/>
      <c r="N5" s="92"/>
      <c r="O5" s="92"/>
      <c r="P5" s="92"/>
      <c r="Q5" s="92"/>
      <c r="R5" s="92"/>
      <c r="S5" s="92"/>
      <c r="T5" s="92"/>
      <c r="U5" s="92"/>
      <c r="V5" s="92"/>
      <c r="W5" s="92"/>
      <c r="X5" s="92"/>
      <c r="Y5" s="92"/>
      <c r="Z5" s="92"/>
      <c r="AA5" s="92"/>
      <c r="AB5" s="92"/>
    </row>
    <row r="6">
      <c r="A6" s="92"/>
      <c r="B6" s="92"/>
      <c r="C6" s="92"/>
      <c r="D6" s="92"/>
      <c r="E6" s="92"/>
      <c r="F6" s="92"/>
      <c r="G6" s="92"/>
      <c r="H6" s="92"/>
      <c r="I6" s="92"/>
      <c r="J6" s="92"/>
      <c r="K6" s="92"/>
      <c r="L6" s="92"/>
      <c r="M6" s="92"/>
      <c r="N6" s="92"/>
      <c r="O6" s="92"/>
      <c r="P6" s="92"/>
      <c r="Q6" s="92"/>
      <c r="R6" s="92"/>
      <c r="S6" s="92"/>
      <c r="T6" s="92"/>
      <c r="U6" s="92"/>
      <c r="V6" s="92"/>
      <c r="W6" s="92"/>
      <c r="X6" s="92"/>
      <c r="Y6" s="92"/>
      <c r="Z6" s="92"/>
      <c r="AA6" s="92"/>
      <c r="AB6" s="92"/>
    </row>
    <row r="7">
      <c r="A7" s="92"/>
      <c r="B7" s="92"/>
      <c r="C7" s="92"/>
      <c r="D7" s="92"/>
      <c r="E7" s="92"/>
      <c r="F7" s="92"/>
      <c r="G7" s="92"/>
      <c r="H7" s="92"/>
      <c r="I7" s="92"/>
      <c r="J7" s="92"/>
      <c r="K7" s="92"/>
      <c r="L7" s="92"/>
      <c r="M7" s="92"/>
      <c r="N7" s="92"/>
      <c r="O7" s="92"/>
      <c r="P7" s="92"/>
      <c r="Q7" s="92"/>
      <c r="R7" s="92"/>
      <c r="S7" s="92"/>
      <c r="T7" s="92"/>
      <c r="U7" s="92"/>
      <c r="V7" s="92"/>
      <c r="W7" s="92"/>
      <c r="X7" s="92"/>
      <c r="Y7" s="92"/>
      <c r="Z7" s="92"/>
      <c r="AA7" s="92"/>
      <c r="AB7" s="92"/>
    </row>
    <row r="8">
      <c r="A8" s="92"/>
      <c r="B8" s="92"/>
      <c r="C8" s="92"/>
      <c r="D8" s="92"/>
      <c r="E8" s="92"/>
      <c r="F8" s="92"/>
      <c r="G8" s="92"/>
      <c r="H8" s="92"/>
      <c r="I8" s="92"/>
      <c r="J8" s="92"/>
      <c r="K8" s="92"/>
      <c r="L8" s="92"/>
      <c r="M8" s="92"/>
      <c r="N8" s="92"/>
      <c r="O8" s="92"/>
      <c r="P8" s="92"/>
      <c r="Q8" s="92"/>
      <c r="R8" s="92"/>
      <c r="S8" s="92"/>
      <c r="T8" s="92"/>
      <c r="U8" s="92"/>
      <c r="V8" s="92"/>
      <c r="W8" s="92"/>
      <c r="X8" s="92"/>
      <c r="Y8" s="92"/>
      <c r="Z8" s="92"/>
      <c r="AA8" s="92"/>
      <c r="AB8" s="92"/>
    </row>
    <row r="9">
      <c r="A9" s="92"/>
      <c r="B9" s="92"/>
      <c r="C9" s="92"/>
      <c r="D9" s="92"/>
      <c r="E9" s="92"/>
      <c r="F9" s="92"/>
      <c r="G9" s="92"/>
      <c r="H9" s="92"/>
      <c r="I9" s="92"/>
      <c r="J9" s="92"/>
      <c r="K9" s="92"/>
      <c r="L9" s="92"/>
      <c r="M9" s="92"/>
      <c r="N9" s="92"/>
      <c r="O9" s="92"/>
      <c r="P9" s="92"/>
      <c r="Q9" s="92"/>
      <c r="R9" s="92"/>
      <c r="S9" s="92"/>
      <c r="T9" s="92"/>
      <c r="U9" s="92"/>
      <c r="V9" s="92"/>
      <c r="W9" s="92"/>
      <c r="X9" s="92"/>
      <c r="Y9" s="92"/>
      <c r="Z9" s="92"/>
      <c r="AA9" s="92"/>
      <c r="AB9" s="92"/>
    </row>
    <row r="10">
      <c r="A10" s="92"/>
      <c r="B10" s="92"/>
      <c r="C10" s="92"/>
      <c r="D10" s="92"/>
      <c r="E10" s="92"/>
      <c r="F10" s="92"/>
      <c r="G10" s="92"/>
      <c r="H10" s="92"/>
      <c r="I10" s="92"/>
      <c r="J10" s="92"/>
      <c r="K10" s="92"/>
      <c r="L10" s="92"/>
      <c r="M10" s="92"/>
      <c r="N10" s="92"/>
      <c r="O10" s="92"/>
      <c r="P10" s="92"/>
      <c r="Q10" s="92"/>
      <c r="R10" s="92"/>
      <c r="S10" s="92"/>
      <c r="T10" s="92"/>
      <c r="U10" s="92"/>
      <c r="V10" s="92"/>
      <c r="W10" s="92"/>
      <c r="X10" s="92"/>
      <c r="Y10" s="92"/>
      <c r="Z10" s="92"/>
      <c r="AA10" s="92"/>
      <c r="AB10" s="92"/>
    </row>
    <row r="11">
      <c r="A11" s="92"/>
      <c r="B11" s="92"/>
      <c r="C11" s="92"/>
      <c r="D11" s="92"/>
      <c r="E11" s="92"/>
      <c r="F11" s="92"/>
      <c r="G11" s="92"/>
      <c r="H11" s="92"/>
      <c r="I11" s="92"/>
      <c r="J11" s="92"/>
      <c r="K11" s="92"/>
      <c r="L11" s="92"/>
      <c r="M11" s="92"/>
      <c r="N11" s="92"/>
      <c r="O11" s="92"/>
      <c r="P11" s="92"/>
      <c r="Q11" s="92"/>
      <c r="R11" s="92"/>
      <c r="S11" s="92"/>
      <c r="T11" s="92"/>
      <c r="U11" s="92"/>
      <c r="V11" s="92"/>
      <c r="W11" s="92"/>
      <c r="X11" s="92"/>
      <c r="Y11" s="92"/>
      <c r="Z11" s="92"/>
      <c r="AA11" s="92"/>
      <c r="AB11" s="92"/>
    </row>
    <row r="12">
      <c r="A12" s="92"/>
      <c r="B12" s="92"/>
      <c r="C12" s="92"/>
      <c r="D12" s="92"/>
      <c r="E12" s="92"/>
      <c r="F12" s="92"/>
      <c r="G12" s="92"/>
      <c r="H12" s="92"/>
      <c r="I12" s="92"/>
      <c r="J12" s="92"/>
      <c r="K12" s="92"/>
      <c r="L12" s="92"/>
      <c r="M12" s="92"/>
      <c r="N12" s="92"/>
      <c r="O12" s="92"/>
      <c r="P12" s="92"/>
      <c r="Q12" s="92"/>
      <c r="R12" s="92"/>
      <c r="S12" s="92"/>
      <c r="T12" s="92"/>
      <c r="U12" s="92"/>
      <c r="V12" s="92"/>
      <c r="W12" s="92"/>
      <c r="X12" s="92"/>
      <c r="Y12" s="92"/>
      <c r="Z12" s="92"/>
      <c r="AA12" s="92"/>
      <c r="AB12" s="92"/>
    </row>
    <row r="13">
      <c r="A13" s="92"/>
      <c r="B13" s="92"/>
      <c r="C13" s="92"/>
      <c r="D13" s="92"/>
      <c r="E13" s="92"/>
      <c r="F13" s="92"/>
      <c r="G13" s="92"/>
      <c r="H13" s="92"/>
      <c r="I13" s="92"/>
      <c r="J13" s="92"/>
      <c r="K13" s="92"/>
      <c r="L13" s="92"/>
      <c r="M13" s="92"/>
      <c r="N13" s="92"/>
      <c r="O13" s="92"/>
      <c r="P13" s="92"/>
      <c r="Q13" s="92"/>
      <c r="R13" s="92"/>
      <c r="S13" s="92"/>
      <c r="T13" s="92"/>
      <c r="U13" s="92"/>
      <c r="V13" s="92"/>
      <c r="W13" s="92"/>
      <c r="X13" s="92"/>
      <c r="Y13" s="92"/>
      <c r="Z13" s="92"/>
      <c r="AA13" s="92"/>
      <c r="AB13" s="92"/>
    </row>
    <row r="14">
      <c r="A14" s="92"/>
      <c r="B14" s="92"/>
      <c r="C14" s="92"/>
      <c r="D14" s="92"/>
      <c r="E14" s="92"/>
      <c r="F14" s="92"/>
      <c r="G14" s="92"/>
      <c r="H14" s="92"/>
      <c r="I14" s="92"/>
      <c r="J14" s="92"/>
      <c r="K14" s="92"/>
      <c r="L14" s="92"/>
      <c r="M14" s="92"/>
      <c r="N14" s="92"/>
      <c r="O14" s="92"/>
      <c r="P14" s="92"/>
      <c r="Q14" s="92"/>
      <c r="R14" s="92"/>
      <c r="S14" s="92"/>
      <c r="T14" s="92"/>
      <c r="U14" s="92"/>
      <c r="V14" s="92"/>
      <c r="W14" s="92"/>
      <c r="X14" s="92"/>
      <c r="Y14" s="92"/>
      <c r="Z14" s="92"/>
      <c r="AA14" s="92"/>
      <c r="AB14" s="92"/>
    </row>
    <row r="15">
      <c r="A15" s="92"/>
      <c r="B15" s="92"/>
      <c r="C15" s="92"/>
      <c r="D15" s="92"/>
      <c r="E15" s="92"/>
      <c r="F15" s="92"/>
      <c r="G15" s="92"/>
      <c r="H15" s="92"/>
      <c r="I15" s="92"/>
      <c r="J15" s="92"/>
      <c r="K15" s="92"/>
      <c r="L15" s="92"/>
      <c r="M15" s="92"/>
      <c r="N15" s="92"/>
      <c r="O15" s="92"/>
      <c r="P15" s="92"/>
      <c r="Q15" s="92"/>
      <c r="R15" s="92"/>
      <c r="S15" s="92"/>
      <c r="T15" s="92"/>
      <c r="U15" s="92"/>
      <c r="V15" s="92"/>
      <c r="W15" s="92"/>
      <c r="X15" s="92"/>
      <c r="Y15" s="92"/>
      <c r="Z15" s="92"/>
      <c r="AA15" s="92"/>
      <c r="AB15" s="92"/>
    </row>
    <row r="16">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c r="AB16" s="92"/>
    </row>
    <row r="17">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c r="AA17" s="92"/>
      <c r="AB17" s="92"/>
    </row>
    <row r="18">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row>
    <row r="19">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92"/>
    </row>
    <row r="20">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row>
    <row r="2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row>
    <row r="22">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c r="AA22" s="92"/>
      <c r="AB22" s="92"/>
    </row>
    <row r="23">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row>
    <row r="24">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row>
    <row r="25">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row>
    <row r="26">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row>
    <row r="27">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row>
    <row r="28">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row>
    <row r="29">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row>
    <row r="30">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row>
    <row r="3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row>
    <row r="32">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row>
    <row r="33">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row>
    <row r="36">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row>
    <row r="37">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row>
    <row r="40">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row>
    <row r="4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row>
    <row r="43">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row>
    <row r="44">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row>
    <row r="48">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row>
    <row r="49">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c r="AB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row>
    <row r="63">
      <c r="A63" s="93" t="s">
        <v>64</v>
      </c>
      <c r="B63" s="94">
        <v>45809.0</v>
      </c>
      <c r="C63" s="94">
        <v>45658.0</v>
      </c>
      <c r="D63" s="94">
        <v>45505.0</v>
      </c>
      <c r="E63" s="94">
        <v>45444.0</v>
      </c>
      <c r="F63" s="94">
        <v>45292.0</v>
      </c>
      <c r="G63" s="94">
        <v>45139.0</v>
      </c>
      <c r="H63" s="94">
        <v>45078.0</v>
      </c>
      <c r="I63" s="92"/>
      <c r="J63" s="92"/>
      <c r="K63" s="92"/>
      <c r="L63" s="92"/>
      <c r="M63" s="92"/>
      <c r="N63" s="92"/>
      <c r="O63" s="92"/>
      <c r="P63" s="92"/>
      <c r="Q63" s="92"/>
      <c r="R63" s="92"/>
      <c r="S63" s="92"/>
      <c r="T63" s="92"/>
      <c r="U63" s="92"/>
      <c r="V63" s="92"/>
      <c r="W63" s="92"/>
      <c r="X63" s="92"/>
      <c r="Y63" s="92"/>
      <c r="Z63" s="92"/>
      <c r="AA63" s="92"/>
      <c r="AB63" s="92"/>
    </row>
    <row r="64">
      <c r="A64" s="95" t="s">
        <v>82</v>
      </c>
      <c r="B64" s="48">
        <f>COUNTIF('Itemization 202506'!I:I,A64)</f>
        <v>26</v>
      </c>
      <c r="C64" s="96">
        <f>COUNTIF('Itemization 202501'!I:I,A64)</f>
        <v>36</v>
      </c>
      <c r="D64" s="48">
        <f>COUNTIF('Itemization 202408'!I:I,A64)</f>
        <v>26</v>
      </c>
      <c r="E64" s="48">
        <f>COUNTIF('Itemization 202406'!I:I,A64)</f>
        <v>36</v>
      </c>
      <c r="F64" s="97">
        <v>34.0</v>
      </c>
      <c r="G64" s="98">
        <v>26.0</v>
      </c>
      <c r="H64" s="98">
        <v>26.0</v>
      </c>
      <c r="I64" s="92"/>
      <c r="J64" s="92"/>
      <c r="K64" s="92"/>
      <c r="L64" s="92"/>
      <c r="M64" s="92"/>
      <c r="N64" s="92"/>
      <c r="O64" s="92"/>
      <c r="P64" s="92"/>
      <c r="Q64" s="92"/>
      <c r="R64" s="92"/>
      <c r="S64" s="92"/>
      <c r="T64" s="92"/>
      <c r="U64" s="92"/>
      <c r="V64" s="92"/>
      <c r="W64" s="92"/>
      <c r="X64" s="92"/>
      <c r="Y64" s="92"/>
      <c r="Z64" s="92"/>
      <c r="AA64" s="92"/>
      <c r="AB64" s="92"/>
    </row>
    <row r="65">
      <c r="A65" s="95" t="s">
        <v>86</v>
      </c>
      <c r="B65" s="61">
        <f>COUNTIF('Itemization 202506'!I:I,A65)</f>
        <v>12</v>
      </c>
      <c r="C65" s="99">
        <f>COUNTIF('Itemization 202501'!I:I,A65)</f>
        <v>0</v>
      </c>
      <c r="D65" s="61">
        <f>COUNTIF('Itemization 202408'!I:I,A65)</f>
        <v>11</v>
      </c>
      <c r="E65" s="61">
        <f>COUNTIF('Itemization 202406'!I:I,A65)</f>
        <v>2</v>
      </c>
      <c r="F65" s="100">
        <v>5.0</v>
      </c>
      <c r="G65" s="101">
        <v>11.0</v>
      </c>
      <c r="H65" s="101">
        <v>9.0</v>
      </c>
      <c r="I65" s="92"/>
      <c r="J65" s="92"/>
      <c r="K65" s="92"/>
      <c r="L65" s="92"/>
      <c r="M65" s="92"/>
      <c r="N65" s="92"/>
      <c r="O65" s="92"/>
      <c r="P65" s="92"/>
      <c r="Q65" s="92"/>
      <c r="R65" s="92"/>
      <c r="S65" s="92"/>
      <c r="T65" s="92"/>
      <c r="U65" s="92"/>
      <c r="V65" s="92"/>
      <c r="W65" s="92"/>
      <c r="X65" s="92"/>
      <c r="Y65" s="92"/>
      <c r="Z65" s="92"/>
      <c r="AA65" s="92"/>
      <c r="AB65" s="92"/>
    </row>
    <row r="66">
      <c r="A66" s="95" t="s">
        <v>90</v>
      </c>
      <c r="B66" s="54">
        <f>COUNTIF('Itemization 202506'!I:I,A66)</f>
        <v>0</v>
      </c>
      <c r="C66" s="102">
        <f>COUNTIF('Itemization 202501'!I:I,A66)</f>
        <v>2</v>
      </c>
      <c r="D66" s="57">
        <f>COUNTIF('Itemization 202408'!I:I,A66)</f>
        <v>1</v>
      </c>
      <c r="E66" s="54">
        <f>COUNTIF('Itemization 202406'!I:I,A66)</f>
        <v>0</v>
      </c>
      <c r="F66" s="103">
        <v>0.0</v>
      </c>
      <c r="G66" s="104">
        <v>1.0</v>
      </c>
      <c r="H66" s="104">
        <v>3.0</v>
      </c>
      <c r="I66" s="92"/>
      <c r="J66" s="92"/>
      <c r="K66" s="92"/>
      <c r="L66" s="92"/>
      <c r="M66" s="92"/>
      <c r="N66" s="92"/>
      <c r="O66" s="92"/>
      <c r="P66" s="92"/>
      <c r="Q66" s="92"/>
      <c r="R66" s="92"/>
      <c r="S66" s="92"/>
      <c r="T66" s="92"/>
      <c r="U66" s="92"/>
      <c r="V66" s="92"/>
      <c r="W66" s="92"/>
      <c r="X66" s="92"/>
      <c r="Y66" s="92"/>
      <c r="Z66" s="92"/>
      <c r="AA66" s="92"/>
      <c r="AB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row>
    <row r="68">
      <c r="A68" s="93" t="s">
        <v>77</v>
      </c>
      <c r="B68" s="94">
        <v>45809.0</v>
      </c>
      <c r="C68" s="94">
        <v>45658.0</v>
      </c>
      <c r="D68" s="94">
        <v>45505.0</v>
      </c>
      <c r="E68" s="94">
        <v>45444.0</v>
      </c>
      <c r="F68" s="94">
        <v>45292.0</v>
      </c>
      <c r="G68" s="94">
        <v>45139.0</v>
      </c>
      <c r="H68" s="94">
        <v>45078.0</v>
      </c>
      <c r="I68" s="92"/>
      <c r="J68" s="80" t="s">
        <v>109</v>
      </c>
      <c r="M68" s="92"/>
      <c r="N68" s="92"/>
      <c r="O68" s="92"/>
      <c r="P68" s="92"/>
      <c r="Q68" s="92"/>
      <c r="R68" s="92"/>
      <c r="S68" s="92"/>
      <c r="T68" s="92"/>
      <c r="U68" s="92"/>
      <c r="V68" s="92"/>
      <c r="W68" s="92"/>
      <c r="X68" s="92"/>
      <c r="Y68" s="92"/>
      <c r="Z68" s="92"/>
      <c r="AA68" s="92"/>
      <c r="AB68" s="92"/>
    </row>
    <row r="69">
      <c r="A69" s="105" t="s">
        <v>83</v>
      </c>
      <c r="B69" s="48">
        <v>26.0</v>
      </c>
      <c r="C69" s="106">
        <v>33.0</v>
      </c>
      <c r="D69" s="48">
        <v>28.0</v>
      </c>
      <c r="E69" s="48">
        <v>25.0</v>
      </c>
      <c r="F69" s="97">
        <v>27.0</v>
      </c>
      <c r="G69" s="98">
        <v>26.0</v>
      </c>
      <c r="H69" s="98">
        <v>26.0</v>
      </c>
      <c r="I69" s="92"/>
      <c r="J69" s="81" t="s">
        <v>111</v>
      </c>
      <c r="M69" s="92"/>
      <c r="N69" s="92"/>
      <c r="O69" s="92"/>
      <c r="P69" s="92"/>
      <c r="Q69" s="92"/>
      <c r="R69" s="92"/>
      <c r="S69" s="92"/>
      <c r="T69" s="92"/>
      <c r="U69" s="92"/>
      <c r="V69" s="92"/>
      <c r="W69" s="92"/>
      <c r="X69" s="92"/>
      <c r="Y69" s="92"/>
      <c r="Z69" s="92"/>
      <c r="AA69" s="92"/>
      <c r="AB69" s="92"/>
    </row>
    <row r="70">
      <c r="A70" s="105" t="s">
        <v>87</v>
      </c>
      <c r="B70" s="61">
        <v>7.0</v>
      </c>
      <c r="C70" s="107">
        <v>3.0</v>
      </c>
      <c r="D70" s="57">
        <v>4.0</v>
      </c>
      <c r="E70" s="61">
        <v>11.0</v>
      </c>
      <c r="F70" s="100">
        <v>8.0</v>
      </c>
      <c r="G70" s="104">
        <v>4.0</v>
      </c>
      <c r="H70" s="101">
        <v>7.0</v>
      </c>
      <c r="I70" s="92"/>
      <c r="J70" s="82" t="s">
        <v>113</v>
      </c>
      <c r="M70" s="92"/>
      <c r="N70" s="92"/>
      <c r="O70" s="92"/>
      <c r="P70" s="92"/>
      <c r="Q70" s="92"/>
      <c r="R70" s="92"/>
      <c r="S70" s="92"/>
      <c r="T70" s="92"/>
      <c r="U70" s="92"/>
      <c r="V70" s="92"/>
      <c r="W70" s="92"/>
      <c r="X70" s="92"/>
      <c r="Y70" s="92"/>
      <c r="Z70" s="92"/>
      <c r="AA70" s="92"/>
      <c r="AB70" s="92"/>
    </row>
    <row r="71">
      <c r="A71" s="105" t="s">
        <v>91</v>
      </c>
      <c r="B71" s="54">
        <v>0.0</v>
      </c>
      <c r="C71" s="108">
        <v>0.0</v>
      </c>
      <c r="D71" s="61">
        <v>5.0</v>
      </c>
      <c r="E71" s="54">
        <v>0.0</v>
      </c>
      <c r="F71" s="109">
        <v>1.0</v>
      </c>
      <c r="G71" s="110">
        <v>0.0</v>
      </c>
      <c r="H71" s="110">
        <v>0.0</v>
      </c>
      <c r="I71" s="92"/>
      <c r="J71" s="83" t="s">
        <v>115</v>
      </c>
      <c r="M71" s="92"/>
      <c r="N71" s="92"/>
      <c r="O71" s="92"/>
      <c r="P71" s="92"/>
      <c r="Q71" s="92"/>
      <c r="R71" s="92"/>
      <c r="S71" s="92"/>
      <c r="T71" s="92"/>
      <c r="U71" s="92"/>
      <c r="V71" s="92"/>
      <c r="W71" s="92"/>
      <c r="X71" s="92"/>
      <c r="Y71" s="92"/>
      <c r="Z71" s="92"/>
      <c r="AA71" s="92"/>
      <c r="AB71" s="92"/>
    </row>
    <row r="72">
      <c r="A72" s="105" t="s">
        <v>94</v>
      </c>
      <c r="B72" s="57">
        <v>4.0</v>
      </c>
      <c r="C72" s="108">
        <v>0.0</v>
      </c>
      <c r="D72" s="54">
        <v>0.0</v>
      </c>
      <c r="E72" s="54">
        <v>0.0</v>
      </c>
      <c r="F72" s="111">
        <v>3.0</v>
      </c>
      <c r="G72" s="101">
        <v>7.0</v>
      </c>
      <c r="H72" s="112">
        <v>2.0</v>
      </c>
      <c r="I72" s="92"/>
      <c r="J72" s="113" t="s">
        <v>212</v>
      </c>
      <c r="M72" s="92"/>
      <c r="N72" s="92"/>
      <c r="O72" s="92"/>
      <c r="P72" s="92"/>
      <c r="Q72" s="92"/>
      <c r="R72" s="92"/>
      <c r="S72" s="92"/>
      <c r="T72" s="92"/>
      <c r="U72" s="92"/>
      <c r="V72" s="92"/>
      <c r="W72" s="92"/>
      <c r="X72" s="92"/>
      <c r="Y72" s="92"/>
      <c r="Z72" s="92"/>
      <c r="AA72" s="92"/>
      <c r="AB72" s="92"/>
    </row>
    <row r="73">
      <c r="A73" s="105" t="s">
        <v>96</v>
      </c>
      <c r="B73" s="114">
        <v>1.0</v>
      </c>
      <c r="C73" s="115">
        <v>2.0</v>
      </c>
      <c r="D73" s="114">
        <v>1.0</v>
      </c>
      <c r="E73" s="57">
        <v>2.0</v>
      </c>
      <c r="F73" s="103">
        <v>0.0</v>
      </c>
      <c r="G73" s="112">
        <v>1.0</v>
      </c>
      <c r="H73" s="104">
        <v>3.0</v>
      </c>
      <c r="I73" s="92"/>
      <c r="J73" s="86" t="s">
        <v>119</v>
      </c>
      <c r="M73" s="92"/>
      <c r="N73" s="92"/>
      <c r="O73" s="92"/>
      <c r="P73" s="92"/>
      <c r="Q73" s="92"/>
      <c r="R73" s="92"/>
      <c r="S73" s="92"/>
      <c r="T73" s="92"/>
      <c r="U73" s="92"/>
      <c r="V73" s="92"/>
      <c r="W73" s="92"/>
      <c r="X73" s="92"/>
      <c r="Y73" s="92"/>
      <c r="Z73" s="92"/>
      <c r="AA73" s="92"/>
      <c r="AB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row>
    <row r="75">
      <c r="A75" s="93" t="s">
        <v>78</v>
      </c>
      <c r="B75" s="94">
        <v>45809.0</v>
      </c>
      <c r="C75" s="94">
        <v>45658.0</v>
      </c>
      <c r="D75" s="94">
        <v>45505.0</v>
      </c>
      <c r="E75" s="94">
        <v>45444.0</v>
      </c>
      <c r="F75" s="94">
        <v>45292.0</v>
      </c>
      <c r="G75" s="94">
        <v>45139.0</v>
      </c>
      <c r="H75" s="94">
        <v>45078.0</v>
      </c>
      <c r="I75" s="92"/>
      <c r="J75" s="92"/>
      <c r="K75" s="92"/>
      <c r="L75" s="92"/>
      <c r="M75" s="92"/>
      <c r="N75" s="92"/>
      <c r="O75" s="92"/>
      <c r="P75" s="92"/>
      <c r="Q75" s="92"/>
      <c r="R75" s="92"/>
      <c r="S75" s="92"/>
      <c r="T75" s="92"/>
      <c r="U75" s="92"/>
      <c r="V75" s="92"/>
      <c r="W75" s="92"/>
      <c r="X75" s="92"/>
      <c r="Y75" s="92"/>
      <c r="Z75" s="92"/>
      <c r="AA75" s="92"/>
      <c r="AB75" s="92"/>
    </row>
    <row r="76">
      <c r="A76" s="116">
        <v>11.01</v>
      </c>
      <c r="B76" s="114">
        <v>2.0</v>
      </c>
      <c r="C76" s="115">
        <v>2.0</v>
      </c>
      <c r="D76" s="57">
        <v>4.0</v>
      </c>
      <c r="E76" s="114">
        <v>1.0</v>
      </c>
      <c r="F76" s="109">
        <v>2.0</v>
      </c>
      <c r="G76" s="110">
        <v>0.0</v>
      </c>
      <c r="H76" s="112">
        <v>2.0</v>
      </c>
      <c r="I76" s="92"/>
      <c r="J76" s="92"/>
      <c r="K76" s="92"/>
      <c r="L76" s="92"/>
      <c r="M76" s="92"/>
      <c r="N76" s="92"/>
      <c r="O76" s="92"/>
      <c r="P76" s="92"/>
      <c r="Q76" s="92"/>
      <c r="R76" s="92"/>
      <c r="S76" s="92"/>
      <c r="T76" s="92"/>
      <c r="U76" s="92"/>
      <c r="V76" s="92"/>
      <c r="W76" s="92"/>
      <c r="X76" s="92"/>
      <c r="Y76" s="92"/>
      <c r="Z76" s="92"/>
      <c r="AA76" s="92"/>
      <c r="AB76" s="92"/>
    </row>
    <row r="77">
      <c r="A77" s="116">
        <v>11.02</v>
      </c>
      <c r="B77" s="61">
        <v>6.0</v>
      </c>
      <c r="C77" s="107">
        <v>6.0</v>
      </c>
      <c r="D77" s="61">
        <v>6.0</v>
      </c>
      <c r="E77" s="57">
        <v>5.0</v>
      </c>
      <c r="F77" s="109">
        <v>3.0</v>
      </c>
      <c r="G77" s="98">
        <v>6.0</v>
      </c>
      <c r="H77" s="104">
        <v>4.0</v>
      </c>
      <c r="I77" s="92"/>
      <c r="J77" s="92"/>
      <c r="K77" s="92"/>
      <c r="L77" s="92"/>
      <c r="M77" s="92"/>
      <c r="N77" s="92"/>
      <c r="O77" s="92"/>
      <c r="P77" s="92"/>
      <c r="Q77" s="92"/>
      <c r="R77" s="92"/>
      <c r="S77" s="92"/>
      <c r="T77" s="92"/>
      <c r="U77" s="92"/>
      <c r="V77" s="92"/>
      <c r="W77" s="92"/>
      <c r="X77" s="92"/>
      <c r="Y77" s="92"/>
      <c r="Z77" s="92"/>
      <c r="AA77" s="92"/>
      <c r="AB77" s="92"/>
    </row>
    <row r="78">
      <c r="A78" s="116">
        <v>11.03</v>
      </c>
      <c r="B78" s="48">
        <v>8.0</v>
      </c>
      <c r="C78" s="117">
        <v>4.0</v>
      </c>
      <c r="D78" s="57">
        <v>4.0</v>
      </c>
      <c r="E78" s="114">
        <v>4.0</v>
      </c>
      <c r="F78" s="111">
        <v>5.0</v>
      </c>
      <c r="G78" s="98">
        <v>6.0</v>
      </c>
      <c r="H78" s="101">
        <v>5.0</v>
      </c>
      <c r="I78" s="92"/>
      <c r="J78" s="92"/>
      <c r="K78" s="92"/>
      <c r="L78" s="92"/>
      <c r="M78" s="92"/>
      <c r="N78" s="92"/>
      <c r="O78" s="92"/>
      <c r="P78" s="92"/>
      <c r="Q78" s="92"/>
      <c r="R78" s="92"/>
      <c r="S78" s="92"/>
      <c r="T78" s="92"/>
      <c r="U78" s="92"/>
      <c r="V78" s="92"/>
      <c r="W78" s="92"/>
      <c r="X78" s="92"/>
      <c r="Y78" s="92"/>
      <c r="Z78" s="92"/>
      <c r="AA78" s="92"/>
      <c r="AB78" s="92"/>
    </row>
    <row r="79">
      <c r="A79" s="116">
        <v>11.04</v>
      </c>
      <c r="B79" s="114">
        <v>2.0</v>
      </c>
      <c r="C79" s="115">
        <v>2.0</v>
      </c>
      <c r="D79" s="54">
        <v>0.0</v>
      </c>
      <c r="E79" s="114">
        <v>3.0</v>
      </c>
      <c r="F79" s="109">
        <v>4.0</v>
      </c>
      <c r="G79" s="101">
        <v>4.0</v>
      </c>
      <c r="H79" s="112">
        <v>2.0</v>
      </c>
      <c r="I79" s="92"/>
      <c r="J79" s="92"/>
      <c r="K79" s="92"/>
      <c r="L79" s="92"/>
      <c r="M79" s="92"/>
      <c r="N79" s="92"/>
      <c r="O79" s="92"/>
      <c r="P79" s="92"/>
      <c r="Q79" s="92"/>
      <c r="R79" s="92"/>
      <c r="S79" s="92"/>
      <c r="T79" s="92"/>
      <c r="U79" s="92"/>
      <c r="V79" s="92"/>
      <c r="W79" s="92"/>
      <c r="X79" s="92"/>
      <c r="Y79" s="92"/>
      <c r="Z79" s="92"/>
      <c r="AA79" s="92"/>
      <c r="AB79" s="92"/>
    </row>
    <row r="80">
      <c r="A80" s="116">
        <v>11.05</v>
      </c>
      <c r="B80" s="57">
        <v>5.0</v>
      </c>
      <c r="C80" s="117">
        <v>4.0</v>
      </c>
      <c r="D80" s="57">
        <v>4.0</v>
      </c>
      <c r="E80" s="61">
        <v>6.0</v>
      </c>
      <c r="F80" s="109">
        <v>3.0</v>
      </c>
      <c r="G80" s="112">
        <v>1.0</v>
      </c>
      <c r="H80" s="98">
        <v>6.0</v>
      </c>
      <c r="I80" s="92"/>
      <c r="J80" s="92"/>
      <c r="K80" s="92"/>
      <c r="L80" s="92"/>
      <c r="M80" s="92"/>
      <c r="N80" s="92"/>
      <c r="O80" s="92"/>
      <c r="P80" s="92"/>
      <c r="Q80" s="92"/>
      <c r="R80" s="92"/>
      <c r="S80" s="92"/>
      <c r="T80" s="92"/>
      <c r="U80" s="92"/>
      <c r="V80" s="92"/>
      <c r="W80" s="92"/>
      <c r="X80" s="92"/>
      <c r="Y80" s="92"/>
      <c r="Z80" s="92"/>
      <c r="AA80" s="92"/>
      <c r="AB80" s="92"/>
    </row>
    <row r="81">
      <c r="A81" s="116">
        <v>11.06</v>
      </c>
      <c r="B81" s="114">
        <v>4.0</v>
      </c>
      <c r="C81" s="106">
        <v>8.0</v>
      </c>
      <c r="D81" s="48">
        <v>7.0</v>
      </c>
      <c r="E81" s="61">
        <v>6.0</v>
      </c>
      <c r="F81" s="109">
        <v>1.0</v>
      </c>
      <c r="G81" s="104">
        <v>3.0</v>
      </c>
      <c r="H81" s="98">
        <v>6.0</v>
      </c>
      <c r="I81" s="92"/>
      <c r="J81" s="92"/>
      <c r="K81" s="92"/>
      <c r="L81" s="92"/>
      <c r="M81" s="92"/>
      <c r="N81" s="92"/>
      <c r="O81" s="92"/>
      <c r="P81" s="92"/>
      <c r="Q81" s="92"/>
      <c r="R81" s="92"/>
      <c r="S81" s="92"/>
      <c r="T81" s="92"/>
      <c r="U81" s="92"/>
      <c r="V81" s="92"/>
      <c r="W81" s="92"/>
      <c r="X81" s="92"/>
      <c r="Y81" s="92"/>
      <c r="Z81" s="92"/>
      <c r="AA81" s="92"/>
      <c r="AB81" s="92"/>
    </row>
    <row r="82">
      <c r="A82" s="116">
        <v>11.07</v>
      </c>
      <c r="B82" s="114">
        <v>2.0</v>
      </c>
      <c r="C82" s="115">
        <v>2.0</v>
      </c>
      <c r="D82" s="114">
        <v>2.0</v>
      </c>
      <c r="E82" s="114">
        <v>3.0</v>
      </c>
      <c r="F82" s="100">
        <v>8.0</v>
      </c>
      <c r="G82" s="101">
        <v>4.0</v>
      </c>
      <c r="H82" s="112">
        <v>2.0</v>
      </c>
      <c r="I82" s="92"/>
      <c r="J82" s="92"/>
      <c r="K82" s="92"/>
      <c r="L82" s="92"/>
      <c r="M82" s="92"/>
      <c r="N82" s="92"/>
      <c r="O82" s="92"/>
      <c r="P82" s="92"/>
      <c r="Q82" s="92"/>
      <c r="R82" s="92"/>
      <c r="S82" s="92"/>
      <c r="T82" s="92"/>
      <c r="U82" s="92"/>
      <c r="V82" s="92"/>
      <c r="W82" s="92"/>
      <c r="X82" s="92"/>
      <c r="Y82" s="92"/>
      <c r="Z82" s="92"/>
      <c r="AA82" s="92"/>
      <c r="AB82" s="92"/>
    </row>
    <row r="83">
      <c r="A83" s="116">
        <v>11.08</v>
      </c>
      <c r="B83" s="114">
        <v>1.0</v>
      </c>
      <c r="C83" s="115">
        <v>2.0</v>
      </c>
      <c r="D83" s="61">
        <v>1.0</v>
      </c>
      <c r="E83" s="61">
        <v>6.0</v>
      </c>
      <c r="F83" s="103">
        <v>0.0</v>
      </c>
      <c r="G83" s="112">
        <v>2.0</v>
      </c>
      <c r="H83" s="112">
        <v>2.0</v>
      </c>
      <c r="I83" s="92"/>
      <c r="J83" s="92"/>
      <c r="K83" s="92"/>
      <c r="L83" s="92"/>
      <c r="M83" s="92"/>
      <c r="N83" s="92"/>
      <c r="O83" s="92"/>
      <c r="P83" s="92"/>
      <c r="Q83" s="92"/>
      <c r="R83" s="92"/>
      <c r="S83" s="92"/>
      <c r="T83" s="92"/>
      <c r="U83" s="92"/>
      <c r="V83" s="92"/>
      <c r="W83" s="92"/>
      <c r="X83" s="92"/>
      <c r="Y83" s="92"/>
      <c r="Z83" s="92"/>
      <c r="AA83" s="92"/>
      <c r="AB83" s="92"/>
    </row>
    <row r="84">
      <c r="A84" s="116">
        <v>11.09</v>
      </c>
      <c r="B84" s="61">
        <v>6.0</v>
      </c>
      <c r="C84" s="117">
        <v>4.0</v>
      </c>
      <c r="D84" s="57">
        <v>4.0</v>
      </c>
      <c r="E84" s="114">
        <v>3.0</v>
      </c>
      <c r="F84" s="109">
        <v>3.0</v>
      </c>
      <c r="G84" s="104">
        <v>3.0</v>
      </c>
      <c r="H84" s="104">
        <v>4.0</v>
      </c>
      <c r="I84" s="92"/>
      <c r="J84" s="92"/>
      <c r="K84" s="92"/>
      <c r="L84" s="92"/>
      <c r="M84" s="92"/>
      <c r="N84" s="92"/>
      <c r="O84" s="92"/>
      <c r="P84" s="92"/>
      <c r="Q84" s="92"/>
      <c r="R84" s="92"/>
      <c r="S84" s="92"/>
      <c r="T84" s="92"/>
      <c r="U84" s="92"/>
      <c r="V84" s="92"/>
      <c r="W84" s="92"/>
      <c r="X84" s="92"/>
      <c r="Y84" s="92"/>
      <c r="Z84" s="92"/>
      <c r="AA84" s="92"/>
      <c r="AB84" s="92"/>
    </row>
    <row r="85">
      <c r="A85" s="118" t="s">
        <v>102</v>
      </c>
      <c r="B85" s="114">
        <v>2.0</v>
      </c>
      <c r="C85" s="115">
        <v>2.0</v>
      </c>
      <c r="D85" s="57">
        <v>4.0</v>
      </c>
      <c r="E85" s="114">
        <v>1.0</v>
      </c>
      <c r="F85" s="97">
        <v>9.0</v>
      </c>
      <c r="G85" s="98">
        <v>6.0</v>
      </c>
      <c r="H85" s="101">
        <v>5.0</v>
      </c>
      <c r="I85" s="92"/>
      <c r="J85" s="92"/>
      <c r="K85" s="92"/>
      <c r="L85" s="92"/>
      <c r="M85" s="92"/>
      <c r="N85" s="92"/>
      <c r="O85" s="92"/>
      <c r="P85" s="92"/>
      <c r="Q85" s="92"/>
      <c r="R85" s="92"/>
      <c r="S85" s="92"/>
      <c r="T85" s="92"/>
      <c r="U85" s="92"/>
      <c r="V85" s="92"/>
      <c r="W85" s="92"/>
      <c r="X85" s="92"/>
      <c r="Y85" s="92"/>
      <c r="Z85" s="92"/>
      <c r="AA85" s="92"/>
      <c r="AB85" s="92"/>
    </row>
    <row r="86">
      <c r="A86" s="118" t="s">
        <v>104</v>
      </c>
      <c r="B86" s="54">
        <v>0.0</v>
      </c>
      <c r="C86" s="115">
        <v>2.0</v>
      </c>
      <c r="D86" s="114">
        <v>2.0</v>
      </c>
      <c r="E86" s="54">
        <v>0.0</v>
      </c>
      <c r="F86" s="103">
        <v>0.0</v>
      </c>
      <c r="G86" s="112">
        <v>2.0</v>
      </c>
      <c r="H86" s="110">
        <v>0.0</v>
      </c>
      <c r="I86" s="92"/>
      <c r="J86" s="92"/>
      <c r="K86" s="92"/>
      <c r="L86" s="92"/>
      <c r="M86" s="92"/>
      <c r="N86" s="92"/>
      <c r="O86" s="92"/>
      <c r="P86" s="92"/>
      <c r="Q86" s="92"/>
      <c r="R86" s="92"/>
      <c r="S86" s="92"/>
      <c r="T86" s="92"/>
      <c r="U86" s="92"/>
      <c r="V86" s="92"/>
      <c r="W86" s="92"/>
      <c r="X86" s="92"/>
      <c r="Y86" s="92"/>
      <c r="Z86" s="92"/>
      <c r="AA86" s="92"/>
      <c r="AB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row>
    <row r="88">
      <c r="A88" s="116" t="s">
        <v>71</v>
      </c>
      <c r="B88" s="94">
        <v>45809.0</v>
      </c>
      <c r="C88" s="94">
        <v>45658.0</v>
      </c>
      <c r="D88" s="94">
        <v>45505.0</v>
      </c>
      <c r="E88" s="94">
        <v>45444.0</v>
      </c>
      <c r="F88" s="94">
        <v>45292.0</v>
      </c>
      <c r="G88" s="94">
        <v>45139.0</v>
      </c>
      <c r="H88" s="94">
        <v>45078.0</v>
      </c>
      <c r="I88" s="92"/>
      <c r="J88" s="92"/>
      <c r="K88" s="92"/>
      <c r="L88" s="92"/>
      <c r="M88" s="92"/>
      <c r="N88" s="92"/>
      <c r="O88" s="92"/>
      <c r="P88" s="92"/>
      <c r="Q88" s="92"/>
      <c r="R88" s="92"/>
      <c r="S88" s="92"/>
      <c r="T88" s="92"/>
      <c r="U88" s="92"/>
      <c r="V88" s="92"/>
      <c r="W88" s="92"/>
      <c r="X88" s="92"/>
      <c r="Y88" s="92"/>
      <c r="Z88" s="92"/>
      <c r="AA88" s="92"/>
      <c r="AB88" s="92"/>
    </row>
    <row r="89">
      <c r="A89" s="105">
        <v>1.0</v>
      </c>
      <c r="B89" s="114">
        <v>2.0</v>
      </c>
      <c r="C89" s="119">
        <f>countif('Itemization 202501'!$M$3:$M$41,A89)</f>
        <v>3</v>
      </c>
      <c r="D89" s="57">
        <v>4.0</v>
      </c>
      <c r="E89" s="57">
        <v>3.0</v>
      </c>
      <c r="F89" s="97">
        <v>7.0</v>
      </c>
      <c r="G89" s="112">
        <v>2.0</v>
      </c>
      <c r="H89" s="112">
        <v>2.0</v>
      </c>
      <c r="I89" s="92"/>
      <c r="J89" s="92"/>
      <c r="K89" s="92"/>
      <c r="L89" s="92"/>
      <c r="M89" s="92"/>
      <c r="N89" s="92"/>
      <c r="O89" s="92"/>
      <c r="P89" s="92"/>
      <c r="Q89" s="92"/>
      <c r="R89" s="92"/>
      <c r="S89" s="92"/>
      <c r="T89" s="92"/>
      <c r="U89" s="92"/>
      <c r="V89" s="92"/>
      <c r="W89" s="92"/>
      <c r="X89" s="92"/>
      <c r="Y89" s="92"/>
      <c r="Z89" s="92"/>
      <c r="AA89" s="92"/>
      <c r="AB89" s="92"/>
    </row>
    <row r="90">
      <c r="A90" s="105">
        <v>2.0</v>
      </c>
      <c r="B90" s="61">
        <v>5.0</v>
      </c>
      <c r="C90" s="102">
        <f>countif('Itemization 202501'!$M$3:$M$41,A90)</f>
        <v>4</v>
      </c>
      <c r="D90" s="54">
        <v>0.0</v>
      </c>
      <c r="E90" s="57">
        <v>3.0</v>
      </c>
      <c r="F90" s="111">
        <v>3.0</v>
      </c>
      <c r="G90" s="112">
        <v>2.0</v>
      </c>
      <c r="H90" s="101">
        <v>4.0</v>
      </c>
      <c r="I90" s="92"/>
      <c r="J90" s="92"/>
      <c r="K90" s="92"/>
      <c r="L90" s="92"/>
      <c r="M90" s="92"/>
      <c r="N90" s="92"/>
      <c r="O90" s="92"/>
      <c r="P90" s="92"/>
      <c r="Q90" s="92"/>
      <c r="R90" s="92"/>
      <c r="S90" s="92"/>
      <c r="T90" s="92"/>
      <c r="U90" s="92"/>
      <c r="V90" s="92"/>
      <c r="W90" s="92"/>
      <c r="X90" s="92"/>
      <c r="Y90" s="92"/>
      <c r="Z90" s="92"/>
      <c r="AA90" s="92"/>
      <c r="AB90" s="92"/>
    </row>
    <row r="91">
      <c r="A91" s="105">
        <v>3.0</v>
      </c>
      <c r="B91" s="54">
        <v>0.0</v>
      </c>
      <c r="C91" s="120">
        <f>countif('Itemization 202501'!$M$3:$M$41,A91)</f>
        <v>1</v>
      </c>
      <c r="D91" s="114">
        <v>2.0</v>
      </c>
      <c r="E91" s="114">
        <v>1.0</v>
      </c>
      <c r="F91" s="103">
        <v>0.0</v>
      </c>
      <c r="G91" s="112">
        <v>3.0</v>
      </c>
      <c r="H91" s="110">
        <v>0.0</v>
      </c>
      <c r="I91" s="92"/>
      <c r="J91" s="92"/>
      <c r="K91" s="92"/>
      <c r="L91" s="92"/>
      <c r="M91" s="92"/>
      <c r="N91" s="92"/>
      <c r="O91" s="92"/>
      <c r="P91" s="92"/>
      <c r="Q91" s="92"/>
      <c r="R91" s="92"/>
      <c r="S91" s="92"/>
      <c r="T91" s="92"/>
      <c r="U91" s="92"/>
      <c r="V91" s="92"/>
      <c r="W91" s="92"/>
      <c r="X91" s="92"/>
      <c r="Y91" s="92"/>
      <c r="Z91" s="92"/>
      <c r="AA91" s="92"/>
      <c r="AB91" s="92"/>
    </row>
    <row r="92">
      <c r="A92" s="105">
        <v>4.0</v>
      </c>
      <c r="B92" s="54">
        <v>0.0</v>
      </c>
      <c r="C92" s="120">
        <f>countif('Itemization 202501'!$M$3:$M$41,A92)</f>
        <v>1</v>
      </c>
      <c r="D92" s="114">
        <v>2.0</v>
      </c>
      <c r="E92" s="57">
        <v>3.0</v>
      </c>
      <c r="F92" s="109">
        <v>1.0</v>
      </c>
      <c r="G92" s="112">
        <v>1.0</v>
      </c>
      <c r="H92" s="112">
        <v>1.0</v>
      </c>
      <c r="I92" s="92"/>
      <c r="J92" s="92"/>
      <c r="K92" s="92"/>
      <c r="L92" s="92"/>
      <c r="M92" s="92"/>
      <c r="N92" s="92"/>
      <c r="O92" s="92"/>
      <c r="P92" s="92"/>
      <c r="Q92" s="92"/>
      <c r="R92" s="92"/>
      <c r="S92" s="92"/>
      <c r="T92" s="92"/>
      <c r="U92" s="92"/>
      <c r="V92" s="92"/>
      <c r="W92" s="92"/>
      <c r="X92" s="92"/>
      <c r="Y92" s="92"/>
      <c r="Z92" s="92"/>
      <c r="AA92" s="92"/>
      <c r="AB92" s="92"/>
    </row>
    <row r="93">
      <c r="A93" s="105">
        <v>5.0</v>
      </c>
      <c r="B93" s="54">
        <v>0.0</v>
      </c>
      <c r="C93" s="99">
        <f>countif('Itemization 202501'!$M$3:$M$41,A93)</f>
        <v>0</v>
      </c>
      <c r="D93" s="114">
        <v>1.0</v>
      </c>
      <c r="E93" s="54">
        <v>0.0</v>
      </c>
      <c r="F93" s="103">
        <v>0.0</v>
      </c>
      <c r="G93" s="112">
        <v>1.0</v>
      </c>
      <c r="H93" s="110">
        <v>0.0</v>
      </c>
      <c r="I93" s="92"/>
      <c r="J93" s="92"/>
      <c r="K93" s="92"/>
      <c r="L93" s="92"/>
      <c r="M93" s="92"/>
      <c r="N93" s="92"/>
      <c r="O93" s="92"/>
      <c r="P93" s="92"/>
      <c r="Q93" s="92"/>
      <c r="R93" s="92"/>
      <c r="S93" s="92"/>
      <c r="T93" s="92"/>
      <c r="U93" s="92"/>
      <c r="V93" s="92"/>
      <c r="W93" s="92"/>
      <c r="X93" s="92"/>
      <c r="Y93" s="92"/>
      <c r="Z93" s="92"/>
      <c r="AA93" s="92"/>
      <c r="AB93" s="92"/>
    </row>
    <row r="94">
      <c r="A94" s="105">
        <v>6.0</v>
      </c>
      <c r="B94" s="114">
        <v>1.0</v>
      </c>
      <c r="C94" s="120">
        <f>countif('Itemization 202501'!$M$3:$M$41,A94)</f>
        <v>1</v>
      </c>
      <c r="D94" s="114">
        <v>1.0</v>
      </c>
      <c r="E94" s="54">
        <v>0.0</v>
      </c>
      <c r="F94" s="103">
        <v>0.0</v>
      </c>
      <c r="G94" s="112">
        <v>1.0</v>
      </c>
      <c r="H94" s="112">
        <v>2.0</v>
      </c>
      <c r="I94" s="92"/>
      <c r="J94" s="92"/>
      <c r="K94" s="92"/>
      <c r="L94" s="92"/>
      <c r="M94" s="92"/>
      <c r="N94" s="92"/>
      <c r="O94" s="92"/>
      <c r="P94" s="92"/>
      <c r="Q94" s="92"/>
      <c r="R94" s="92"/>
      <c r="S94" s="92"/>
      <c r="T94" s="92"/>
      <c r="U94" s="92"/>
      <c r="V94" s="92"/>
      <c r="W94" s="92"/>
      <c r="X94" s="92"/>
      <c r="Y94" s="92"/>
      <c r="Z94" s="92"/>
      <c r="AA94" s="92"/>
      <c r="AB94" s="92"/>
    </row>
    <row r="95">
      <c r="A95" s="105">
        <v>7.0</v>
      </c>
      <c r="B95" s="57">
        <v>4.0</v>
      </c>
      <c r="C95" s="120">
        <f>countif('Itemization 202501'!$M$3:$M$41,A95)</f>
        <v>1</v>
      </c>
      <c r="D95" s="48">
        <v>8.0</v>
      </c>
      <c r="E95" s="114">
        <v>2.0</v>
      </c>
      <c r="F95" s="109">
        <v>2.0</v>
      </c>
      <c r="G95" s="104">
        <v>4.0</v>
      </c>
      <c r="H95" s="104">
        <v>3.0</v>
      </c>
      <c r="I95" s="92"/>
      <c r="J95" s="92"/>
      <c r="K95" s="92"/>
      <c r="L95" s="92"/>
      <c r="M95" s="92"/>
      <c r="N95" s="92"/>
      <c r="O95" s="92"/>
      <c r="P95" s="92"/>
      <c r="Q95" s="92"/>
      <c r="R95" s="92"/>
      <c r="S95" s="92"/>
      <c r="T95" s="92"/>
      <c r="U95" s="92"/>
      <c r="V95" s="92"/>
      <c r="W95" s="92"/>
      <c r="X95" s="92"/>
      <c r="Y95" s="92"/>
      <c r="Z95" s="92"/>
      <c r="AA95" s="92"/>
      <c r="AB95" s="92"/>
    </row>
    <row r="96">
      <c r="A96" s="105">
        <v>8.0</v>
      </c>
      <c r="B96" s="61">
        <v>5.0</v>
      </c>
      <c r="C96" s="102">
        <f>countif('Itemization 202501'!$M$3:$M$41,A96)</f>
        <v>4</v>
      </c>
      <c r="D96" s="61">
        <v>7.0</v>
      </c>
      <c r="E96" s="57">
        <v>3.0</v>
      </c>
      <c r="F96" s="100">
        <v>4.0</v>
      </c>
      <c r="G96" s="98">
        <v>6.0</v>
      </c>
      <c r="H96" s="98">
        <v>9.0</v>
      </c>
      <c r="I96" s="92"/>
      <c r="J96" s="92"/>
      <c r="K96" s="92"/>
      <c r="L96" s="92"/>
      <c r="M96" s="92"/>
      <c r="N96" s="92"/>
      <c r="O96" s="92"/>
      <c r="P96" s="92"/>
      <c r="Q96" s="92"/>
      <c r="R96" s="92"/>
      <c r="S96" s="92"/>
      <c r="T96" s="92"/>
      <c r="U96" s="92"/>
      <c r="V96" s="92"/>
      <c r="W96" s="92"/>
      <c r="X96" s="92"/>
      <c r="Y96" s="92"/>
      <c r="Z96" s="92"/>
      <c r="AA96" s="92"/>
      <c r="AB96" s="92"/>
    </row>
    <row r="97">
      <c r="A97" s="105">
        <v>9.0</v>
      </c>
      <c r="B97" s="114">
        <v>1.0</v>
      </c>
      <c r="C97" s="120">
        <f>countif('Itemization 202501'!$M$3:$M$41,A97)</f>
        <v>2</v>
      </c>
      <c r="D97" s="114">
        <v>1.0</v>
      </c>
      <c r="E97" s="114">
        <v>1.0</v>
      </c>
      <c r="F97" s="109">
        <v>2.0</v>
      </c>
      <c r="G97" s="112">
        <v>2.0</v>
      </c>
      <c r="H97" s="104">
        <v>3.0</v>
      </c>
      <c r="I97" s="92"/>
      <c r="J97" s="92"/>
      <c r="K97" s="92"/>
      <c r="L97" s="92"/>
      <c r="M97" s="92"/>
      <c r="N97" s="92"/>
      <c r="O97" s="92"/>
      <c r="P97" s="92"/>
      <c r="Q97" s="92"/>
      <c r="R97" s="92"/>
      <c r="S97" s="92"/>
      <c r="T97" s="92"/>
      <c r="U97" s="92"/>
      <c r="V97" s="92"/>
      <c r="W97" s="92"/>
      <c r="X97" s="92"/>
      <c r="Y97" s="92"/>
      <c r="Z97" s="92"/>
      <c r="AA97" s="92"/>
      <c r="AB97" s="92"/>
    </row>
    <row r="98">
      <c r="A98" s="105">
        <v>10.0</v>
      </c>
      <c r="B98" s="54">
        <v>0.0</v>
      </c>
      <c r="C98" s="102">
        <f>countif('Itemization 202501'!$M$3:$M$41,A98)</f>
        <v>4</v>
      </c>
      <c r="D98" s="54">
        <v>0.0</v>
      </c>
      <c r="E98" s="54">
        <v>0.0</v>
      </c>
      <c r="F98" s="109">
        <v>1.0</v>
      </c>
      <c r="G98" s="110">
        <v>0.0</v>
      </c>
      <c r="H98" s="112">
        <v>1.0</v>
      </c>
      <c r="I98" s="92"/>
      <c r="J98" s="92"/>
      <c r="K98" s="92"/>
      <c r="L98" s="92"/>
      <c r="M98" s="92"/>
      <c r="N98" s="92"/>
      <c r="O98" s="92"/>
      <c r="P98" s="92"/>
      <c r="Q98" s="92"/>
      <c r="R98" s="92"/>
      <c r="S98" s="92"/>
      <c r="T98" s="92"/>
      <c r="U98" s="92"/>
      <c r="V98" s="92"/>
      <c r="W98" s="92"/>
      <c r="X98" s="92"/>
      <c r="Y98" s="92"/>
      <c r="Z98" s="92"/>
      <c r="AA98" s="92"/>
      <c r="AB98" s="92"/>
    </row>
    <row r="99">
      <c r="A99" s="105">
        <v>11.0</v>
      </c>
      <c r="B99" s="54">
        <v>0.0</v>
      </c>
      <c r="C99" s="120">
        <f>countif('Itemization 202501'!$M$3:$M$41,A99)</f>
        <v>1</v>
      </c>
      <c r="D99" s="54">
        <v>0.0</v>
      </c>
      <c r="E99" s="54">
        <v>0.0</v>
      </c>
      <c r="F99" s="109">
        <v>0.0</v>
      </c>
      <c r="G99" s="110">
        <v>0.0</v>
      </c>
      <c r="H99" s="112">
        <v>1.0</v>
      </c>
      <c r="I99" s="92"/>
      <c r="J99" s="92"/>
      <c r="K99" s="92"/>
      <c r="L99" s="92"/>
      <c r="M99" s="92"/>
      <c r="N99" s="92"/>
      <c r="O99" s="92"/>
      <c r="P99" s="92"/>
      <c r="Q99" s="92"/>
      <c r="R99" s="92"/>
      <c r="S99" s="92"/>
      <c r="T99" s="92"/>
      <c r="U99" s="92"/>
      <c r="V99" s="92"/>
      <c r="W99" s="92"/>
      <c r="X99" s="92"/>
      <c r="Y99" s="92"/>
      <c r="Z99" s="92"/>
      <c r="AA99" s="92"/>
      <c r="AB99" s="92"/>
    </row>
    <row r="100">
      <c r="A100" s="105">
        <v>12.0</v>
      </c>
      <c r="B100" s="114">
        <v>1.0</v>
      </c>
      <c r="C100" s="99">
        <f>countif('Itemization 202501'!$M$3:$M$41,A100)</f>
        <v>0</v>
      </c>
      <c r="D100" s="114">
        <v>1.0</v>
      </c>
      <c r="E100" s="61">
        <v>4.0</v>
      </c>
      <c r="F100" s="111">
        <v>3.0</v>
      </c>
      <c r="G100" s="101">
        <v>5.0</v>
      </c>
      <c r="H100" s="112">
        <v>2.0</v>
      </c>
      <c r="I100" s="92"/>
      <c r="J100" s="92"/>
      <c r="K100" s="92"/>
      <c r="L100" s="92"/>
      <c r="M100" s="92"/>
      <c r="N100" s="92"/>
      <c r="O100" s="92"/>
      <c r="P100" s="92"/>
      <c r="Q100" s="92"/>
      <c r="R100" s="92"/>
      <c r="S100" s="92"/>
      <c r="T100" s="92"/>
      <c r="U100" s="92"/>
      <c r="V100" s="92"/>
      <c r="W100" s="92"/>
      <c r="X100" s="92"/>
      <c r="Y100" s="92"/>
      <c r="Z100" s="92"/>
      <c r="AA100" s="92"/>
      <c r="AB100" s="92"/>
    </row>
    <row r="101">
      <c r="A101" s="105">
        <v>13.0</v>
      </c>
      <c r="B101" s="61">
        <v>5.0</v>
      </c>
      <c r="C101" s="99">
        <f>countif('Itemization 202501'!$M$3:$M$41,A101)</f>
        <v>0</v>
      </c>
      <c r="D101" s="114">
        <v>1.0</v>
      </c>
      <c r="E101" s="54">
        <v>0.0</v>
      </c>
      <c r="F101" s="103">
        <v>0.0</v>
      </c>
      <c r="G101" s="104">
        <v>4.0</v>
      </c>
      <c r="H101" s="112">
        <v>1.0</v>
      </c>
      <c r="I101" s="92"/>
      <c r="J101" s="92"/>
      <c r="K101" s="92"/>
      <c r="L101" s="92"/>
      <c r="M101" s="92"/>
      <c r="N101" s="92"/>
      <c r="O101" s="92"/>
      <c r="P101" s="92"/>
      <c r="Q101" s="92"/>
      <c r="R101" s="92"/>
      <c r="S101" s="92"/>
      <c r="T101" s="92"/>
      <c r="U101" s="92"/>
      <c r="V101" s="92"/>
      <c r="W101" s="92"/>
      <c r="X101" s="92"/>
      <c r="Y101" s="92"/>
      <c r="Z101" s="92"/>
      <c r="AA101" s="92"/>
      <c r="AB101" s="92"/>
    </row>
    <row r="102">
      <c r="A102" s="105">
        <v>14.0</v>
      </c>
      <c r="B102" s="114">
        <v>3.0</v>
      </c>
      <c r="C102" s="120">
        <f>countif('Itemization 202501'!$M$3:$M$41,A102)</f>
        <v>1</v>
      </c>
      <c r="D102" s="114">
        <v>2.0</v>
      </c>
      <c r="E102" s="57">
        <v>3.0</v>
      </c>
      <c r="F102" s="100">
        <v>4.0</v>
      </c>
      <c r="G102" s="112">
        <v>1.0</v>
      </c>
      <c r="H102" s="110">
        <v>0.0</v>
      </c>
      <c r="I102" s="92"/>
      <c r="J102" s="92"/>
      <c r="K102" s="92"/>
      <c r="L102" s="92"/>
      <c r="M102" s="92"/>
      <c r="N102" s="92"/>
      <c r="O102" s="92"/>
      <c r="P102" s="92"/>
      <c r="Q102" s="92"/>
      <c r="R102" s="92"/>
      <c r="S102" s="92"/>
      <c r="T102" s="92"/>
      <c r="U102" s="92"/>
      <c r="V102" s="92"/>
      <c r="W102" s="92"/>
      <c r="X102" s="92"/>
      <c r="Y102" s="92"/>
      <c r="Z102" s="92"/>
      <c r="AA102" s="92"/>
      <c r="AB102" s="92"/>
    </row>
    <row r="103">
      <c r="A103" s="105">
        <v>15.0</v>
      </c>
      <c r="B103" s="114">
        <v>1.0</v>
      </c>
      <c r="C103" s="120">
        <f>countif('Itemization 202501'!$M$3:$M$41,A103)</f>
        <v>2</v>
      </c>
      <c r="D103" s="54">
        <v>0.0</v>
      </c>
      <c r="E103" s="57">
        <v>3.0</v>
      </c>
      <c r="F103" s="109">
        <v>2.0</v>
      </c>
      <c r="G103" s="112">
        <v>2.0</v>
      </c>
      <c r="H103" s="112">
        <v>1.0</v>
      </c>
      <c r="I103" s="92"/>
      <c r="J103" s="92"/>
      <c r="K103" s="92"/>
      <c r="L103" s="92"/>
      <c r="M103" s="92"/>
      <c r="N103" s="92"/>
      <c r="O103" s="92"/>
      <c r="P103" s="92"/>
      <c r="Q103" s="92"/>
      <c r="R103" s="92"/>
      <c r="S103" s="92"/>
      <c r="T103" s="92"/>
      <c r="U103" s="92"/>
      <c r="V103" s="92"/>
      <c r="W103" s="92"/>
      <c r="X103" s="92"/>
      <c r="Y103" s="92"/>
      <c r="Z103" s="92"/>
      <c r="AA103" s="92"/>
      <c r="AB103" s="92"/>
    </row>
    <row r="104">
      <c r="A104" s="105">
        <v>16.0</v>
      </c>
      <c r="B104" s="54">
        <v>0.0</v>
      </c>
      <c r="C104" s="99">
        <f>countif('Itemization 202501'!$M$3:$M$41,A104)</f>
        <v>0</v>
      </c>
      <c r="D104" s="114">
        <v>1.0</v>
      </c>
      <c r="E104" s="54">
        <v>0.0</v>
      </c>
      <c r="F104" s="103">
        <v>0.0</v>
      </c>
      <c r="G104" s="110">
        <v>0.0</v>
      </c>
      <c r="H104" s="110">
        <v>0.0</v>
      </c>
      <c r="I104" s="92"/>
      <c r="J104" s="92"/>
      <c r="K104" s="92"/>
      <c r="L104" s="92"/>
      <c r="M104" s="92"/>
      <c r="N104" s="92"/>
      <c r="O104" s="92"/>
      <c r="P104" s="92"/>
      <c r="Q104" s="92"/>
      <c r="R104" s="92"/>
      <c r="S104" s="92"/>
      <c r="T104" s="92"/>
      <c r="U104" s="92"/>
      <c r="V104" s="92"/>
      <c r="W104" s="92"/>
      <c r="X104" s="92"/>
      <c r="Y104" s="92"/>
      <c r="Z104" s="92"/>
      <c r="AA104" s="92"/>
      <c r="AB104" s="92"/>
    </row>
    <row r="105">
      <c r="A105" s="105">
        <v>17.0</v>
      </c>
      <c r="B105" s="114">
        <v>2.0</v>
      </c>
      <c r="C105" s="120">
        <f>countif('Itemization 202501'!$M$3:$M$41,A105)</f>
        <v>3</v>
      </c>
      <c r="D105" s="114">
        <v>1.0</v>
      </c>
      <c r="E105" s="61">
        <v>4.0</v>
      </c>
      <c r="F105" s="109">
        <v>1.0</v>
      </c>
      <c r="G105" s="110">
        <v>0.0</v>
      </c>
      <c r="H105" s="112">
        <v>2.0</v>
      </c>
      <c r="I105" s="92"/>
      <c r="J105" s="92"/>
      <c r="K105" s="92"/>
      <c r="L105" s="92"/>
      <c r="M105" s="92"/>
      <c r="N105" s="92"/>
      <c r="O105" s="92"/>
      <c r="P105" s="92"/>
      <c r="Q105" s="92"/>
      <c r="R105" s="92"/>
      <c r="S105" s="92"/>
      <c r="T105" s="92"/>
      <c r="U105" s="92"/>
      <c r="V105" s="92"/>
      <c r="W105" s="92"/>
      <c r="X105" s="92"/>
      <c r="Y105" s="92"/>
      <c r="Z105" s="92"/>
      <c r="AA105" s="92"/>
      <c r="AB105" s="92"/>
    </row>
    <row r="106">
      <c r="A106" s="105">
        <v>18.0</v>
      </c>
      <c r="B106" s="57">
        <v>4.0</v>
      </c>
      <c r="C106" s="96">
        <f>countif('Itemization 202501'!$M$3:$M$41,A106)</f>
        <v>6</v>
      </c>
      <c r="D106" s="114">
        <v>2.0</v>
      </c>
      <c r="E106" s="61">
        <v>4.0</v>
      </c>
      <c r="F106" s="100">
        <v>4.0</v>
      </c>
      <c r="G106" s="110">
        <v>0.0</v>
      </c>
      <c r="H106" s="112">
        <v>2.0</v>
      </c>
      <c r="I106" s="92"/>
      <c r="J106" s="92"/>
      <c r="K106" s="92"/>
      <c r="L106" s="92"/>
      <c r="M106" s="92"/>
      <c r="N106" s="92"/>
      <c r="O106" s="92"/>
      <c r="P106" s="92"/>
      <c r="Q106" s="92"/>
      <c r="R106" s="92"/>
      <c r="S106" s="92"/>
      <c r="T106" s="92"/>
      <c r="U106" s="92"/>
      <c r="V106" s="92"/>
      <c r="W106" s="92"/>
      <c r="X106" s="92"/>
      <c r="Y106" s="92"/>
      <c r="Z106" s="92"/>
      <c r="AA106" s="92"/>
      <c r="AB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row>
    <row r="108">
      <c r="A108" s="93" t="s">
        <v>213</v>
      </c>
      <c r="B108" s="94">
        <v>45809.0</v>
      </c>
      <c r="C108" s="94">
        <v>45658.0</v>
      </c>
      <c r="D108" s="94">
        <v>45505.0</v>
      </c>
      <c r="E108" s="94">
        <v>45444.0</v>
      </c>
      <c r="F108" s="94">
        <v>45292.0</v>
      </c>
      <c r="G108" s="94">
        <v>45139.0</v>
      </c>
      <c r="H108" s="94">
        <v>45078.0</v>
      </c>
      <c r="I108" s="92"/>
      <c r="J108" s="92"/>
      <c r="K108" s="92"/>
      <c r="L108" s="92"/>
      <c r="M108" s="92"/>
      <c r="N108" s="92"/>
      <c r="O108" s="92"/>
      <c r="P108" s="92"/>
      <c r="Q108" s="92"/>
      <c r="R108" s="92"/>
      <c r="S108" s="92"/>
      <c r="T108" s="92"/>
      <c r="U108" s="92"/>
      <c r="V108" s="92"/>
      <c r="W108" s="92"/>
      <c r="X108" s="92"/>
      <c r="Y108" s="92"/>
      <c r="Z108" s="92"/>
      <c r="AA108" s="92"/>
      <c r="AB108" s="92"/>
    </row>
    <row r="109">
      <c r="A109" s="105" t="s">
        <v>85</v>
      </c>
      <c r="B109" s="48">
        <v>21.0</v>
      </c>
      <c r="C109" s="106">
        <v>27.0</v>
      </c>
      <c r="D109" s="48">
        <v>29.0</v>
      </c>
      <c r="E109" s="48">
        <v>25.0</v>
      </c>
      <c r="F109" s="97">
        <v>29.0</v>
      </c>
      <c r="G109" s="98">
        <v>22.0</v>
      </c>
      <c r="H109" s="98">
        <v>26.0</v>
      </c>
      <c r="I109" s="92"/>
      <c r="J109" s="92"/>
      <c r="K109" s="92"/>
      <c r="L109" s="92"/>
      <c r="M109" s="92"/>
      <c r="N109" s="92"/>
      <c r="O109" s="92"/>
      <c r="P109" s="92"/>
      <c r="Q109" s="92"/>
      <c r="R109" s="92"/>
      <c r="S109" s="92"/>
      <c r="T109" s="92"/>
      <c r="U109" s="92"/>
      <c r="V109" s="92"/>
      <c r="W109" s="92"/>
      <c r="X109" s="92"/>
      <c r="Y109" s="92"/>
      <c r="Z109" s="92"/>
      <c r="AA109" s="92"/>
      <c r="AB109" s="92"/>
    </row>
    <row r="110">
      <c r="A110" s="105" t="s">
        <v>89</v>
      </c>
      <c r="B110" s="61">
        <v>14.0</v>
      </c>
      <c r="C110" s="107">
        <v>8.0</v>
      </c>
      <c r="D110" s="61">
        <v>10.0</v>
      </c>
      <c r="E110" s="61">
        <v>14.0</v>
      </c>
      <c r="F110" s="100">
        <v>9.0</v>
      </c>
      <c r="G110" s="101">
        <v>16.0</v>
      </c>
      <c r="H110" s="101">
        <v>13.0</v>
      </c>
      <c r="I110" s="92"/>
      <c r="J110" s="92"/>
      <c r="K110" s="92"/>
      <c r="L110" s="92"/>
      <c r="M110" s="92"/>
      <c r="N110" s="92"/>
      <c r="O110" s="92"/>
      <c r="P110" s="92"/>
      <c r="Q110" s="92"/>
      <c r="R110" s="92"/>
      <c r="S110" s="92"/>
      <c r="T110" s="92"/>
      <c r="U110" s="92"/>
      <c r="V110" s="92"/>
      <c r="W110" s="92"/>
      <c r="X110" s="92"/>
      <c r="Y110" s="92"/>
      <c r="Z110" s="92"/>
      <c r="AA110" s="92"/>
      <c r="AB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c r="AB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c r="AB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c r="AB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c r="AB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c r="AB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c r="AB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c r="AB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c r="AB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c r="AB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c r="AB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c r="AB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c r="AB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c r="AB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c r="AB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c r="AB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c r="AB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c r="AB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c r="AB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c r="AB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c r="AB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c r="AB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c r="AB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c r="AB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c r="AB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c r="AB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c r="AB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c r="AB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c r="AB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c r="AB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c r="AB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c r="AB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c r="AB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c r="AB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c r="AB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c r="AB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c r="AB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c r="AB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c r="AB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c r="AB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c r="AB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c r="AB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c r="AB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c r="AB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c r="AB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c r="AB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c r="AB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c r="AB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c r="AB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c r="AB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c r="AB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c r="AB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c r="AB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c r="AB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c r="AB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c r="AB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c r="AB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c r="AB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c r="AB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c r="AB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c r="AB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c r="AB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c r="AB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c r="AB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c r="AB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c r="AB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c r="AB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c r="AB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c r="AB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c r="AB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c r="AB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c r="AB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c r="AB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c r="AB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c r="AB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c r="AB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c r="AB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c r="AB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c r="AB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c r="AB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c r="AB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c r="AB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c r="AB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c r="AB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c r="AB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c r="AB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c r="AB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c r="AB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c r="AB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c r="AB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c r="AB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c r="AB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c r="AB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c r="AB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c r="AB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c r="AB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c r="AB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c r="AB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c r="AB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c r="AB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c r="AB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c r="AB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c r="AB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c r="AB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c r="AB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c r="AB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c r="AB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c r="AB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c r="AB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c r="AB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c r="AB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c r="AB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c r="AB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c r="AB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c r="AB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c r="AB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c r="AB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c r="AB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c r="AB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c r="AB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c r="AB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c r="AB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c r="AB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c r="AB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c r="AB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c r="AB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c r="AB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c r="AB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c r="AB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c r="AB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c r="AB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c r="AB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c r="AB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c r="AB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c r="AB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c r="AB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c r="AB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c r="AB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c r="AB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c r="AB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c r="AB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c r="AB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c r="AB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c r="AB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c r="AB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c r="AB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c r="AB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c r="AB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c r="AB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c r="AB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c r="AB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c r="AB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c r="AB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c r="AB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c r="AB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c r="AB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c r="AB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c r="AB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c r="AB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c r="AB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c r="AB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c r="AB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c r="AB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c r="AB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c r="AB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c r="AB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c r="AB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c r="AB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c r="AB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c r="AB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c r="AB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c r="AB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c r="AB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c r="AB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c r="AB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c r="AB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c r="AB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c r="AB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c r="AB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c r="AB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c r="AB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c r="AB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c r="AB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c r="AB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c r="AB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c r="AB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c r="AB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c r="AB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c r="AB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c r="AB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c r="AB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c r="AB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c r="AB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c r="AB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c r="AB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c r="AB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c r="AB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c r="AB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c r="AB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c r="AB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c r="AB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c r="AB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c r="AB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c r="AB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c r="AB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c r="AB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c r="AB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c r="AB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c r="AB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c r="AB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c r="AB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c r="AB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c r="AB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c r="AB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c r="AB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c r="AB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c r="AB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c r="AB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c r="AB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c r="AB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c r="AB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c r="AB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c r="AB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c r="AB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c r="AB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c r="AB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c r="AB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c r="AB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c r="AB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c r="AB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c r="AB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c r="AB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c r="AB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c r="AB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c r="AB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c r="AB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c r="AB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c r="AB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c r="AB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c r="AB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c r="AB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c r="AB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c r="AB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c r="AB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c r="AB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c r="AB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c r="AB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c r="AB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c r="AB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c r="AB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c r="AB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c r="AB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c r="AB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c r="AB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c r="AB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c r="AB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c r="AB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c r="AB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c r="AB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c r="AB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c r="AB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c r="AB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c r="AB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c r="AB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c r="AB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c r="AB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c r="AB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c r="AB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c r="AB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c r="AB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c r="AB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c r="AB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c r="AB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c r="AB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c r="AB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c r="AB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c r="AB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c r="AB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c r="AB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c r="AB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c r="AB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c r="AB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c r="AB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c r="AB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c r="AB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c r="AB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c r="AB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c r="AB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c r="AB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c r="AB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c r="AB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c r="AB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c r="AB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c r="AB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c r="AB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c r="AB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c r="AB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c r="AB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c r="AB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c r="AB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c r="AB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c r="AB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c r="AB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c r="AB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c r="AB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c r="AB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c r="AB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c r="AB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c r="AB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c r="AB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c r="AB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c r="AB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c r="AB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c r="AB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c r="AB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c r="AB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c r="AB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c r="AB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c r="AB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c r="AB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c r="AB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c r="AB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c r="AB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c r="AB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c r="AB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c r="AB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c r="AB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c r="AB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c r="AB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c r="AB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c r="AB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c r="AB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c r="AB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c r="AB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c r="AB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c r="AB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c r="AB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c r="AB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c r="AB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c r="AB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c r="AB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c r="AB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c r="AB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c r="AB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c r="AB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c r="AB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c r="AB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c r="AB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c r="AB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c r="AB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c r="AB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c r="AB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c r="AB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c r="AB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c r="AB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c r="AB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c r="AB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c r="AB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c r="AB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c r="AB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c r="AB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c r="AB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c r="AB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c r="AB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c r="AB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c r="AB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c r="AB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c r="AB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c r="AB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c r="AB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c r="AB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c r="AB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c r="AB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c r="AB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c r="AB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c r="AB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c r="AB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c r="AB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c r="AB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c r="AB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c r="AB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c r="AB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c r="AB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c r="AB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c r="AB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c r="AB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c r="AB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c r="AB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c r="AB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c r="AB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c r="AB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c r="AB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c r="AB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c r="AB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c r="AB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c r="AB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c r="AB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c r="AB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c r="AB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c r="AB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c r="AB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c r="AB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c r="AB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c r="AB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c r="AB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c r="AB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c r="AB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c r="AB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c r="AB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c r="AB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c r="AB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c r="AB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c r="AB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c r="AB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c r="AB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c r="AB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c r="AB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c r="AB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c r="AB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c r="AB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c r="AB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c r="AB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c r="AB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c r="AB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c r="AB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c r="AB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c r="AB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c r="AB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c r="AB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c r="AB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c r="AB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c r="AB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c r="AB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c r="AB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c r="AB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c r="AB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c r="AB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c r="AB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c r="AB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c r="AB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c r="AB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c r="AB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c r="AB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c r="AB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c r="AB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c r="AB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c r="AB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c r="AB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c r="AB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c r="AB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c r="AB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c r="AB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c r="AB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c r="AB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c r="AB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c r="AB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c r="AB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c r="AB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c r="AB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c r="AB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c r="AB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c r="AB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c r="AB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c r="AB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c r="AB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c r="AB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c r="AB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c r="AB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c r="AB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c r="AB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c r="AB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c r="AB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c r="AB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c r="AB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c r="AB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c r="AB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c r="AB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c r="AB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c r="AB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c r="AB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c r="AB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c r="AB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c r="AB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c r="AB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c r="AB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c r="AB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c r="AB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c r="AB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c r="AB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c r="AB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c r="AB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c r="AB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c r="AB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c r="AB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c r="AB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c r="AB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c r="AB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c r="AB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c r="AB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c r="AB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c r="AB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c r="AB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c r="AB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c r="AB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c r="AB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c r="AB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c r="AB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c r="AB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c r="AB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c r="AB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c r="AB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c r="AB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c r="AB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c r="AB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c r="AB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c r="AB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c r="AB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c r="AB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c r="AB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c r="AB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c r="AB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c r="AB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c r="AB964" s="92"/>
    </row>
  </sheetData>
  <mergeCells count="6">
    <mergeCell ref="J68:L68"/>
    <mergeCell ref="J69:L69"/>
    <mergeCell ref="J70:L70"/>
    <mergeCell ref="J71:L71"/>
    <mergeCell ref="J72:L72"/>
    <mergeCell ref="J73:L7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214</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SUM(COUNTIF('Itemization 202506'!I3:I30,A5),COUNTIF('Itemization 202501'!I3:I30,A5),COUNTIF('Itemization 202408'!I3:I30,A5),COUNTIF('Itemization 202406'!I3:I30,A5),COUNTIF('Itemization 202401'!I3:I30,A5),COUNTIF('Itemization 202306'!I3:I30,A5),COUNTIF('Itemization 202308'!I3:I30,A5))</f>
        <v>164</v>
      </c>
      <c r="C5" s="49">
        <f>(B5/B8)</f>
        <v>0.8367346939</v>
      </c>
      <c r="D5" s="47" t="s">
        <v>83</v>
      </c>
      <c r="E5" s="48">
        <f>SUM(COUNTIF('Itemization 202506'!J3:J30,D5),COUNTIF('Itemization 202501'!J3:J30,D5),COUNTIF('Itemization 202408'!J3:J30,D5),COUNTIF('Itemization 202406'!J3:J30,D5),COUNTIF('Itemization 202401'!J3:J30,D5),COUNTIF('Itemization 202308'!J3:J30,D5),COUNTIF('Itemization 202306'!J3:J30,D5))</f>
        <v>137</v>
      </c>
      <c r="F5" s="49">
        <f>(E5/E10)</f>
        <v>0.6989795918</v>
      </c>
      <c r="G5" s="50">
        <v>11.01</v>
      </c>
      <c r="H5" s="51">
        <f>SUM(COUNTIF('Itemization 202506'!K3:K30,G5),COUNTIF('Itemization 202501'!K3:K30,G5),COUNTIF('Itemization 202408'!K3:K30,G5),COUNTIF('Itemization 202406'!K3:K30,G5),COUNTIF('Itemization 202401'!K3:K30,G5),COUNTIF('Itemization 202308'!K3:K30,G5),COUNTIF('Itemization 202306'!K3:K30,G5))</f>
        <v>11</v>
      </c>
      <c r="I5" s="52">
        <f>(H5/H16)</f>
        <v>0.05612244898</v>
      </c>
      <c r="J5" s="121" t="s">
        <v>84</v>
      </c>
      <c r="K5" s="54">
        <f>SUM(COUNTIF('Itemization 202506'!L3:L30,J5),COUNTIF('Itemization 202501'!L3:L30,J5),COUNTIF('Itemization 202408'!L3:L30,J5),COUNTIF('Itemization 202406'!L3:L30,J5),COUNTIF('Itemization 202401'!L3:L30,J5),COUNTIF('Itemization 202308'!L3:L30,J5),COUNTIF('Itemization 202306'!L3:L30,J5))</f>
        <v>0</v>
      </c>
      <c r="L5" s="55">
        <f>(K5/K116)</f>
        <v>0</v>
      </c>
      <c r="M5" s="60">
        <v>1.0</v>
      </c>
      <c r="N5" s="61">
        <f>SUM(countif('Itemization 202506'!M3:M30,M5),countif('Itemization 202501'!M3:M30,M5),countif('Itemization 202408'!M3:M30,M5),countif('Itemization 202406'!M3:M30,M5),countif('Itemization 202401'!M3:M30,M5),countif('Itemization 202308'!M3:M30,M5),countif('Itemization 202306'!M3:M30,M5))</f>
        <v>23</v>
      </c>
      <c r="O5" s="62">
        <f>(N5/N23)</f>
        <v>0.1173469388</v>
      </c>
      <c r="P5" s="47" t="s">
        <v>85</v>
      </c>
      <c r="Q5" s="48">
        <f>SUM(countif('Itemization 202506'!N3:N30,P5),countif('Itemization 202501'!N3:N30,P5),countif('Itemization 202408'!N3:N30,P5),countif('Itemization 202406'!N3:N30,P5),countif('Itemization 202401'!N3:N30,P5),countif('Itemization 202308'!N3:N30,P5),countif('Itemization 202306'!N3:N30,P5))</f>
        <v>150</v>
      </c>
      <c r="R5" s="59">
        <f>(Q5/Q7)</f>
        <v>0.7653061224</v>
      </c>
    </row>
    <row r="6" ht="15.75" customHeight="1">
      <c r="A6" s="60" t="s">
        <v>86</v>
      </c>
      <c r="B6" s="61">
        <f>SUM(COUNTIF('Itemization 202506'!I3:I30,A6),COUNTIF('Itemization 202501'!I3:I30,A6),COUNTIF('Itemization 202408'!I3:I30,A6),COUNTIF('Itemization 202406'!I3:I30,A6),COUNTIF('Itemization 202401'!I3:I30,A6),COUNTIF('Itemization 202306'!I3:I30,A6),COUNTIF('Itemization 202308'!I3:I30,A6))</f>
        <v>30</v>
      </c>
      <c r="C6" s="62">
        <f>(B6/B8)</f>
        <v>0.1530612245</v>
      </c>
      <c r="D6" s="60" t="s">
        <v>87</v>
      </c>
      <c r="E6" s="61">
        <f>SUM(COUNTIF('Itemization 202506'!J3:J30,D6),COUNTIF('Itemization 202501'!J3:J30,D6),COUNTIF('Itemization 202408'!J3:J30,D6),COUNTIF('Itemization 202406'!J3:J30,D6),COUNTIF('Itemization 202401'!J3:J30,D6),COUNTIF('Itemization 202308'!J3:J30,D6),COUNTIF('Itemization 202306'!J3:J30,D6))</f>
        <v>39</v>
      </c>
      <c r="F6" s="62">
        <f>(E6/E10)</f>
        <v>0.1989795918</v>
      </c>
      <c r="G6" s="47">
        <v>11.02</v>
      </c>
      <c r="H6" s="48">
        <f>SUM(COUNTIF('Itemization 202506'!K3:K30,G6),COUNTIF('Itemization 202501'!K3:K30,G6),COUNTIF('Itemization 202408'!K3:K30,G6),COUNTIF('Itemization 202406'!K3:K30,G6),COUNTIF('Itemization 202401'!K3:K30,G6),COUNTIF('Itemization 202308'!K3:K30,G6),COUNTIF('Itemization 202306'!K3:K30,G6))</f>
        <v>33</v>
      </c>
      <c r="I6" s="49">
        <f>(H6/H16)</f>
        <v>0.1683673469</v>
      </c>
      <c r="J6" s="122" t="s">
        <v>88</v>
      </c>
      <c r="K6" s="57">
        <f>SUM(COUNTIF('Itemization 202506'!L3:L30,J6),COUNTIF('Itemization 202501'!L3:L30,J6),COUNTIF('Itemization 202408'!L3:L30,J6),COUNTIF('Itemization 202406'!L3:L30,J6),COUNTIF('Itemization 202401'!L3:L30,J6),COUNTIF('Itemization 202308'!L3:L30,J6),COUNTIF('Itemization 202306'!L3:L30,J6))</f>
        <v>7</v>
      </c>
      <c r="L6" s="58">
        <f>(K6/K116)</f>
        <v>0.03571428571</v>
      </c>
      <c r="M6" s="50">
        <v>2.0</v>
      </c>
      <c r="N6" s="51">
        <f>SUM(countif('Itemization 202506'!M3:M30,M6),countif('Itemization 202501'!M3:M30,M6),countif('Itemization 202408'!M3:M30,M6),countif('Itemization 202406'!M3:M30,M6),countif('Itemization 202401'!M3:M30,M6),countif('Itemization 202308'!M3:M30,M6),countif('Itemization 202306'!M3:M30,M6))</f>
        <v>19</v>
      </c>
      <c r="O6" s="52">
        <f>(N6/N23)</f>
        <v>0.09693877551</v>
      </c>
      <c r="P6" s="64" t="s">
        <v>89</v>
      </c>
      <c r="Q6" s="61">
        <f>SUM(countif('Itemization 202506'!N3:N30,P6),countif('Itemization 202501'!N3:N30,P6),countif('Itemization 202408'!N3:N30,P6),countif('Itemization 202406'!N3:N30,P6),countif('Itemization 202401'!N3:N30,P6),countif('Itemization 202308'!N3:N30,P6),countif('Itemization 202306'!N3:N30,P6))</f>
        <v>46</v>
      </c>
      <c r="R6" s="65">
        <f>(Q6/Q7)</f>
        <v>0.2346938776</v>
      </c>
    </row>
    <row r="7" ht="15.75" customHeight="1">
      <c r="A7" s="66" t="s">
        <v>90</v>
      </c>
      <c r="B7" s="57">
        <f>SUM(COUNTIF('Itemization 202506'!I3:I30,A7),COUNTIF('Itemization 202501'!I3:I30,A7),COUNTIF('Itemization 202408'!I3:I30,A7),COUNTIF('Itemization 202406'!I3:I30,A7),COUNTIF('Itemization 202401'!I3:I30,A7),COUNTIF('Itemization 202306'!I3:I30,A7),COUNTIF('Itemization 202308'!I3:I30,A7))</f>
        <v>2</v>
      </c>
      <c r="C7" s="67">
        <f>(B7/B8)</f>
        <v>0.01020408163</v>
      </c>
      <c r="D7" s="50" t="s">
        <v>91</v>
      </c>
      <c r="E7" s="51">
        <f>SUM(COUNTIF('Itemization 202506'!J3:J30,D7),COUNTIF('Itemization 202501'!J3:J30,D7),COUNTIF('Itemization 202408'!J3:J30,D7),COUNTIF('Itemization 202406'!J3:J30,D7),COUNTIF('Itemization 202401'!J3:J30,D7),COUNTIF('Itemization 202308'!J3:J30,D7),COUNTIF('Itemization 202306'!J3:J30,D7))</f>
        <v>4</v>
      </c>
      <c r="F7" s="52">
        <f>(E7/E10)</f>
        <v>0.02040816327</v>
      </c>
      <c r="G7" s="60">
        <v>11.03</v>
      </c>
      <c r="H7" s="61">
        <f>SUM(COUNTIF('Itemization 202506'!K3:K30,G7),COUNTIF('Itemization 202501'!K3:K30,G7),COUNTIF('Itemization 202408'!K3:K30,G7),COUNTIF('Itemization 202406'!K3:K30,G7),COUNTIF('Itemization 202401'!K3:K30,G7),COUNTIF('Itemization 202308'!K3:K30,G7),COUNTIF('Itemization 202306'!K3:K30,G7))</f>
        <v>26</v>
      </c>
      <c r="I7" s="62">
        <f>(H7/H16)</f>
        <v>0.1326530612</v>
      </c>
      <c r="J7" s="121" t="s">
        <v>92</v>
      </c>
      <c r="K7" s="54">
        <f>SUM(COUNTIF('Itemization 202506'!L3:L30,J7),COUNTIF('Itemization 202501'!L3:L30,J7),COUNTIF('Itemization 202408'!L3:L30,J7),COUNTIF('Itemization 202406'!L3:L30,J7),COUNTIF('Itemization 202401'!L3:L30,J7),COUNTIF('Itemization 202308'!L3:L30,J7),COUNTIF('Itemization 202306'!L3:L30,J7))</f>
        <v>0</v>
      </c>
      <c r="L7" s="55">
        <f>(K7/K116)</f>
        <v>0</v>
      </c>
      <c r="M7" s="50">
        <v>3.0</v>
      </c>
      <c r="N7" s="51">
        <f>SUM(countif('Itemization 202506'!M3:M30,M7),countif('Itemization 202501'!M3:M30,M7),countif('Itemization 202408'!M3:M30,M7),countif('Itemization 202406'!M3:M30,M7),countif('Itemization 202401'!M3:M30,M7),countif('Itemization 202308'!M3:M30,M7),countif('Itemization 202306'!M3:M30,M7))</f>
        <v>8</v>
      </c>
      <c r="O7" s="52">
        <f>(N7/N23)</f>
        <v>0.04081632653</v>
      </c>
      <c r="P7" s="68" t="s">
        <v>93</v>
      </c>
      <c r="Q7" s="69">
        <f t="shared" ref="Q7:R7" si="1">SUM(Q5:Q6)</f>
        <v>196</v>
      </c>
      <c r="R7" s="70">
        <f t="shared" si="1"/>
        <v>1</v>
      </c>
    </row>
    <row r="8" ht="15.75" customHeight="1">
      <c r="A8" s="68" t="s">
        <v>93</v>
      </c>
      <c r="B8" s="69">
        <f t="shared" ref="B8:C8" si="2">SUM(B5:B7)</f>
        <v>196</v>
      </c>
      <c r="C8" s="71">
        <f t="shared" si="2"/>
        <v>1</v>
      </c>
      <c r="D8" s="56" t="s">
        <v>94</v>
      </c>
      <c r="E8" s="57">
        <f>SUM(COUNTIF('Itemization 202506'!J3:J30,D8),COUNTIF('Itemization 202501'!J3:J30,D8),COUNTIF('Itemization 202408'!J3:J30,D8),COUNTIF('Itemization 202406'!J3:J30,D8),COUNTIF('Itemization 202401'!J3:J30,D8),COUNTIF('Itemization 202308'!J3:J30,D8),COUNTIF('Itemization 202306'!J3:J30,D8))</f>
        <v>14</v>
      </c>
      <c r="F8" s="58">
        <f>(E8/E10)</f>
        <v>0.07142857143</v>
      </c>
      <c r="G8" s="50">
        <v>11.04</v>
      </c>
      <c r="H8" s="51">
        <f>SUM(COUNTIF('Itemization 202506'!K3:K30,G8),COUNTIF('Itemization 202501'!K3:K30,G8),COUNTIF('Itemization 202408'!K3:K30,G8),COUNTIF('Itemization 202406'!K3:K30,G8),COUNTIF('Itemization 202401'!K3:K30,G8),COUNTIF('Itemization 202308'!K3:K30,G8),COUNTIF('Itemization 202306'!K3:K30,G8))</f>
        <v>10</v>
      </c>
      <c r="I8" s="52">
        <f>(H8/H16)</f>
        <v>0.05102040816</v>
      </c>
      <c r="J8" s="123" t="s">
        <v>95</v>
      </c>
      <c r="K8" s="51">
        <f>SUM(COUNTIF('Itemization 202506'!L3:L30,J8),COUNTIF('Itemization 202501'!L3:L30,J8),COUNTIF('Itemization 202408'!L3:L30,J8),COUNTIF('Itemization 202406'!L3:L30,J8),COUNTIF('Itemization 202401'!L3:L30,J8),COUNTIF('Itemization 202308'!L3:L30,J8),COUNTIF('Itemization 202306'!L3:L30,J8))</f>
        <v>2</v>
      </c>
      <c r="L8" s="52">
        <f>(K8/K116)</f>
        <v>0.01020408163</v>
      </c>
      <c r="M8" s="50">
        <v>4.0</v>
      </c>
      <c r="N8" s="51">
        <f>SUM(countif('Itemization 202506'!M3:M30,M8),countif('Itemization 202501'!M3:M30,M8),countif('Itemization 202408'!M3:M30,M8),countif('Itemization 202406'!M3:M30,M8),countif('Itemization 202401'!M3:M30,M8),countif('Itemization 202308'!M3:M30,M8),countif('Itemization 202306'!M3:M30,M8))</f>
        <v>8</v>
      </c>
      <c r="O8" s="52">
        <f>(N8/N23)</f>
        <v>0.04081632653</v>
      </c>
      <c r="P8" s="51"/>
      <c r="Q8" s="51"/>
      <c r="R8" s="72"/>
    </row>
    <row r="9" ht="15.75" customHeight="1">
      <c r="A9" s="73"/>
      <c r="B9" s="73"/>
      <c r="C9" s="74"/>
      <c r="D9" s="75" t="s">
        <v>96</v>
      </c>
      <c r="E9" s="51">
        <f>SUM(COUNTIF('Itemization 202506'!J3:J30,D9),COUNTIF('Itemization 202501'!J3:J30,D9),COUNTIF('Itemization 202408'!J3:J30,D9),COUNTIF('Itemization 202406'!J3:J30,D9),COUNTIF('Itemization 202401'!J3:J30,D9),COUNTIF('Itemization 202308'!J3:J30,D9),COUNTIF('Itemization 202306'!J3:J30,D9))</f>
        <v>2</v>
      </c>
      <c r="F9" s="76">
        <f>(E9/E10)</f>
        <v>0.01020408163</v>
      </c>
      <c r="G9" s="56">
        <v>11.05</v>
      </c>
      <c r="H9" s="57">
        <f>SUM(COUNTIF('Itemization 202506'!K3:K30,G9),COUNTIF('Itemization 202501'!K3:K30,G9),COUNTIF('Itemization 202408'!K3:K30,G9),COUNTIF('Itemization 202406'!K3:K30,G9),COUNTIF('Itemization 202401'!K3:K30,G9),COUNTIF('Itemization 202308'!K3:K30,G9),COUNTIF('Itemization 202306'!K3:K30,G9))</f>
        <v>22</v>
      </c>
      <c r="I9" s="58">
        <f>(H9/H16)</f>
        <v>0.112244898</v>
      </c>
      <c r="J9" s="121" t="s">
        <v>97</v>
      </c>
      <c r="K9" s="54">
        <f>SUM(COUNTIF('Itemization 202506'!L3:L30,J9),COUNTIF('Itemization 202501'!L3:L30,J9),COUNTIF('Itemization 202408'!L3:L30,J9),COUNTIF('Itemization 202406'!L3:L30,J9),COUNTIF('Itemization 202401'!L3:L30,J9),COUNTIF('Itemization 202308'!L3:L30,J9),COUNTIF('Itemization 202306'!L3:L30,J9))</f>
        <v>0</v>
      </c>
      <c r="L9" s="55">
        <f>(K9/K116)</f>
        <v>0</v>
      </c>
      <c r="M9" s="50">
        <v>5.0</v>
      </c>
      <c r="N9" s="51">
        <f>SUM(countif('Itemization 202506'!M3:M30,M9),countif('Itemization 202501'!M3:M30,M9),countif('Itemization 202408'!M3:M30,M9),countif('Itemization 202406'!M3:M30,M9),countif('Itemization 202401'!M3:M30,M9),countif('Itemization 202308'!M3:M30,M9),countif('Itemization 202306'!M3:M30,M9))</f>
        <v>2</v>
      </c>
      <c r="O9" s="52">
        <f>(N9/N23)</f>
        <v>0.01020408163</v>
      </c>
      <c r="P9" s="51"/>
      <c r="Q9" s="51"/>
      <c r="R9" s="72"/>
    </row>
    <row r="10" ht="15.75" customHeight="1">
      <c r="A10" s="77"/>
      <c r="B10" s="51"/>
      <c r="C10" s="78"/>
      <c r="D10" s="68" t="s">
        <v>93</v>
      </c>
      <c r="E10" s="69">
        <f t="shared" ref="E10:F10" si="3">SUM(E5:E9)</f>
        <v>196</v>
      </c>
      <c r="F10" s="71">
        <f t="shared" si="3"/>
        <v>1</v>
      </c>
      <c r="G10" s="50">
        <v>11.06</v>
      </c>
      <c r="H10" s="51">
        <f>SUM(COUNTIF('Itemization 202506'!K3:K30,G10),COUNTIF('Itemization 202501'!K3:K30,G10),COUNTIF('Itemization 202408'!K3:K30,G10),COUNTIF('Itemization 202406'!K3:K30,G10),COUNTIF('Itemization 202401'!K3:K30,G10),COUNTIF('Itemization 202308'!K3:K30,G10),COUNTIF('Itemization 202306'!K3:K30,G10))</f>
        <v>21</v>
      </c>
      <c r="I10" s="52">
        <f>(H10/H16)</f>
        <v>0.1071428571</v>
      </c>
      <c r="J10" s="121" t="s">
        <v>98</v>
      </c>
      <c r="K10" s="54">
        <f>SUM(COUNTIF('Itemization 202506'!L3:L30,J10),COUNTIF('Itemization 202501'!L3:L30,J10),COUNTIF('Itemization 202408'!L3:L30,J10),COUNTIF('Itemization 202406'!L3:L30,J10),COUNTIF('Itemization 202401'!L3:L30,J10),COUNTIF('Itemization 202308'!L3:L30,J10),COUNTIF('Itemization 202306'!L3:L30,J10))</f>
        <v>0</v>
      </c>
      <c r="L10" s="55">
        <f>(K10/K116)</f>
        <v>0</v>
      </c>
      <c r="M10" s="50">
        <v>6.0</v>
      </c>
      <c r="N10" s="51">
        <f>SUM(countif('Itemization 202506'!M3:M30,M10),countif('Itemization 202501'!M3:M30,M10),countif('Itemization 202408'!M3:M30,M10),countif('Itemization 202406'!M3:M30,M10),countif('Itemization 202401'!M3:M30,M10),countif('Itemization 202308'!M3:M30,M10),countif('Itemization 202306'!M3:M30,M10))</f>
        <v>6</v>
      </c>
      <c r="O10" s="52">
        <f>(N10/N23)</f>
        <v>0.0306122449</v>
      </c>
      <c r="P10" s="51"/>
      <c r="Q10" s="51"/>
      <c r="R10" s="72"/>
    </row>
    <row r="11" ht="15.75" customHeight="1">
      <c r="A11" s="77"/>
      <c r="B11" s="51"/>
      <c r="C11" s="78"/>
      <c r="D11" s="51"/>
      <c r="E11" s="51"/>
      <c r="F11" s="78"/>
      <c r="G11" s="56">
        <v>11.07</v>
      </c>
      <c r="H11" s="57">
        <f>SUM(COUNTIF('Itemization 202506'!K3:K30,G11),COUNTIF('Itemization 202501'!K3:K30,G11),COUNTIF('Itemization 202408'!K3:K30,G11),COUNTIF('Itemization 202406'!K3:K30,G11),COUNTIF('Itemization 202401'!K3:K30,G11),COUNTIF('Itemization 202308'!K3:K30,G11),COUNTIF('Itemization 202306'!K3:K30,G11))</f>
        <v>22</v>
      </c>
      <c r="I11" s="58">
        <f>(H11/H16)</f>
        <v>0.112244898</v>
      </c>
      <c r="J11" s="123" t="s">
        <v>99</v>
      </c>
      <c r="K11" s="51">
        <f>SUM(COUNTIF('Itemization 202506'!L3:L30,J11),COUNTIF('Itemization 202501'!L3:L30,J11),COUNTIF('Itemization 202408'!L3:L30,J11),COUNTIF('Itemization 202406'!L3:L30,J11),COUNTIF('Itemization 202401'!L3:L30,J11),COUNTIF('Itemization 202308'!L3:L30,J11),COUNTIF('Itemization 202306'!L3:L30,J11))</f>
        <v>2</v>
      </c>
      <c r="L11" s="52">
        <f>(K11/K116)</f>
        <v>0.01020408163</v>
      </c>
      <c r="M11" s="56">
        <v>7.0</v>
      </c>
      <c r="N11" s="57">
        <f>SUM(countif('Itemization 202506'!M3:M30,M11),countif('Itemization 202501'!M3:M30,M11),countif('Itemization 202408'!M3:M30,M11),countif('Itemization 202406'!M3:M30,M11),countif('Itemization 202401'!M3:M30,M11),countif('Itemization 202308'!M3:M30,M11),countif('Itemization 202306'!M3:M30,M11))</f>
        <v>20</v>
      </c>
      <c r="O11" s="58">
        <f>(N11/N23)</f>
        <v>0.1020408163</v>
      </c>
      <c r="P11" s="51"/>
      <c r="Q11" s="51"/>
      <c r="R11" s="72"/>
    </row>
    <row r="12" ht="15.75" customHeight="1">
      <c r="A12" s="77"/>
      <c r="B12" s="51"/>
      <c r="C12" s="78"/>
      <c r="D12" s="51"/>
      <c r="E12" s="51"/>
      <c r="F12" s="78"/>
      <c r="G12" s="50">
        <v>11.08</v>
      </c>
      <c r="H12" s="51">
        <f>SUM(COUNTIF('Itemization 202506'!K3:K30,G12),COUNTIF('Itemization 202501'!K3:K30,G12),COUNTIF('Itemization 202408'!K3:K30,G12),COUNTIF('Itemization 202406'!K3:K30,G12),COUNTIF('Itemization 202401'!K3:K30,G12),COUNTIF('Itemization 202308'!K3:K30,G12),COUNTIF('Itemization 202306'!K3:K30,G12))</f>
        <v>7</v>
      </c>
      <c r="I12" s="52">
        <f>(H12/H16)</f>
        <v>0.03571428571</v>
      </c>
      <c r="J12" s="123" t="s">
        <v>100</v>
      </c>
      <c r="K12" s="51">
        <f>SUM(COUNTIF('Itemization 202506'!L3:L30,J12),COUNTIF('Itemization 202501'!L3:L30,J12),COUNTIF('Itemization 202408'!L3:L30,J12),COUNTIF('Itemization 202406'!L3:L30,J12),COUNTIF('Itemization 202401'!L3:L30,J12),COUNTIF('Itemization 202308'!L3:L30,J12),COUNTIF('Itemization 202306'!L3:L30,J12))</f>
        <v>6</v>
      </c>
      <c r="L12" s="52">
        <f>(K12/K116)</f>
        <v>0.0306122449</v>
      </c>
      <c r="M12" s="47">
        <v>8.0</v>
      </c>
      <c r="N12" s="48">
        <f>SUM(countif('Itemization 202506'!M3:M30,M12),countif('Itemization 202501'!M3:M30,M12),countif('Itemization 202408'!M3:M30,M12),countif('Itemization 202406'!M3:M30,M12),countif('Itemization 202401'!M3:M30,M12),countif('Itemization 202308'!M3:M30,M12),countif('Itemization 202306'!M3:M30,M12))</f>
        <v>25</v>
      </c>
      <c r="O12" s="49">
        <f>(N12/N23)</f>
        <v>0.1275510204</v>
      </c>
      <c r="P12" s="51"/>
      <c r="Q12" s="51"/>
      <c r="R12" s="72"/>
    </row>
    <row r="13" ht="15.75" customHeight="1">
      <c r="A13" s="77"/>
      <c r="B13" s="51"/>
      <c r="C13" s="78"/>
      <c r="D13" s="51"/>
      <c r="E13" s="51"/>
      <c r="F13" s="78"/>
      <c r="G13" s="56">
        <v>11.09</v>
      </c>
      <c r="H13" s="57">
        <f>SUM(COUNTIF('Itemization 202506'!K3:K30,G13),COUNTIF('Itemization 202501'!K3:K30,G13),COUNTIF('Itemization 202408'!K3:K30,G13),COUNTIF('Itemization 202406'!K3:K30,G13),COUNTIF('Itemization 202401'!K3:K30,G13),COUNTIF('Itemization 202308'!K3:K30,G13),COUNTIF('Itemization 202306'!K3:K30,G13))</f>
        <v>22</v>
      </c>
      <c r="I13" s="58">
        <f>(H13/H16)</f>
        <v>0.112244898</v>
      </c>
      <c r="J13" s="123" t="s">
        <v>101</v>
      </c>
      <c r="K13" s="51">
        <f>SUM(COUNTIF('Itemization 202506'!L3:L30,J13),COUNTIF('Itemization 202501'!L3:L30,J13),COUNTIF('Itemization 202408'!L3:L30,J13),COUNTIF('Itemization 202406'!L3:L30,J13),COUNTIF('Itemization 202401'!L3:L30,J13),COUNTIF('Itemization 202308'!L3:L30,J13),COUNTIF('Itemization 202306'!L3:L30,J13))</f>
        <v>2</v>
      </c>
      <c r="L13" s="52">
        <f>(K13/K116)</f>
        <v>0.01020408163</v>
      </c>
      <c r="M13" s="50">
        <v>9.0</v>
      </c>
      <c r="N13" s="51">
        <f>SUM(countif('Itemization 202506'!M3:M30,M13),countif('Itemization 202501'!M3:M30,M13),countif('Itemization 202408'!M3:M30,M13),countif('Itemization 202406'!M3:M30,M13),countif('Itemization 202401'!M3:M30,M13),countif('Itemization 202308'!M3:M30,M13),countif('Itemization 202306'!M3:M30,M13))</f>
        <v>8</v>
      </c>
      <c r="O13" s="52">
        <f>(N13/N23)</f>
        <v>0.04081632653</v>
      </c>
      <c r="P13" s="51"/>
      <c r="Q13" s="51"/>
      <c r="R13" s="72"/>
    </row>
    <row r="14" ht="15.75" customHeight="1">
      <c r="A14" s="51"/>
      <c r="B14" s="51"/>
      <c r="C14" s="78"/>
      <c r="D14" s="51"/>
      <c r="E14" s="51"/>
      <c r="F14" s="78"/>
      <c r="G14" s="63" t="s">
        <v>102</v>
      </c>
      <c r="H14" s="51">
        <f>SUM(COUNTIF('Itemization 202506'!K3:K30,G14),COUNTIF('Itemization 202501'!K3:K30,G14),COUNTIF('Itemization 202408'!K3:K30,G14),COUNTIF('Itemization 202406'!K3:K30,G14),COUNTIF('Itemization 202401'!K3:K30,G14),COUNTIF('Itemization 202308'!K3:K30,G14),COUNTIF('Itemization 202306'!K3:K30,G14))</f>
        <v>16</v>
      </c>
      <c r="I14" s="52">
        <f>(H14/H16)</f>
        <v>0.08163265306</v>
      </c>
      <c r="J14" s="121" t="s">
        <v>103</v>
      </c>
      <c r="K14" s="54">
        <f>SUM(COUNTIF('Itemization 202506'!L3:L30,J14),COUNTIF('Itemization 202501'!L3:L30,J14),COUNTIF('Itemization 202408'!L3:L30,J14),COUNTIF('Itemization 202406'!L3:L30,J14),COUNTIF('Itemization 202401'!L3:L30,J14),COUNTIF('Itemization 202308'!L3:L30,J14),COUNTIF('Itemization 202306'!L3:L30,J14))</f>
        <v>0</v>
      </c>
      <c r="L14" s="55">
        <f>(K14/K116)</f>
        <v>0</v>
      </c>
      <c r="M14" s="50">
        <v>10.0</v>
      </c>
      <c r="N14" s="51">
        <f>SUM(countif('Itemization 202506'!M3:M30,M14),countif('Itemization 202501'!M3:M30,M14),countif('Itemization 202408'!M3:M30,M14),countif('Itemization 202406'!M3:M30,M14),countif('Itemization 202401'!M3:M30,M14),countif('Itemization 202308'!M3:M30,M14),countif('Itemization 202306'!M3:M30,M14))</f>
        <v>6</v>
      </c>
      <c r="O14" s="52">
        <f>(N14/N23)</f>
        <v>0.0306122449</v>
      </c>
      <c r="P14" s="51"/>
      <c r="Q14" s="51"/>
      <c r="R14" s="72"/>
    </row>
    <row r="15" ht="15.75" customHeight="1">
      <c r="A15" s="73"/>
      <c r="B15" s="73"/>
      <c r="C15" s="74"/>
      <c r="D15" s="51"/>
      <c r="E15" s="51"/>
      <c r="F15" s="78"/>
      <c r="G15" s="79" t="s">
        <v>104</v>
      </c>
      <c r="H15" s="51">
        <f>SUM(COUNTIF('Itemization 202506'!K3:K30,G15),COUNTIF('Itemization 202501'!K3:K30,G15),COUNTIF('Itemization 202408'!K3:K30,G15),COUNTIF('Itemization 202406'!K3:K30,G15),COUNTIF('Itemization 202401'!K3:K30,G15),COUNTIF('Itemization 202308'!K3:K30,G15),COUNTIF('Itemization 202306'!K3:K30,G15))</f>
        <v>6</v>
      </c>
      <c r="I15" s="76">
        <f>(H15/H16)</f>
        <v>0.0306122449</v>
      </c>
      <c r="J15" s="121" t="s">
        <v>105</v>
      </c>
      <c r="K15" s="54">
        <f>SUM(COUNTIF('Itemization 202506'!L3:L30,J15),COUNTIF('Itemization 202501'!L3:L30,J15),COUNTIF('Itemization 202408'!L3:L30,J15),COUNTIF('Itemization 202406'!L3:L30,J15),COUNTIF('Itemization 202401'!L3:L30,J15),COUNTIF('Itemization 202308'!L3:L30,J15),COUNTIF('Itemization 202306'!L3:L30,J15))</f>
        <v>0</v>
      </c>
      <c r="L15" s="55">
        <f>(K15/K116)</f>
        <v>0</v>
      </c>
      <c r="M15" s="50">
        <v>11.0</v>
      </c>
      <c r="N15" s="51">
        <f>SUM(countif('Itemization 202506'!M3:M30,M15),countif('Itemization 202501'!M3:M30,M15),countif('Itemization 202408'!M3:M30,M15),countif('Itemization 202406'!M3:M30,M15),countif('Itemization 202401'!M3:M30,M15),countif('Itemization 202308'!M3:M30,M15),countif('Itemization 202306'!M3:M30,M15))</f>
        <v>2</v>
      </c>
      <c r="O15" s="52">
        <f>(N15/N23)</f>
        <v>0.01020408163</v>
      </c>
      <c r="P15" s="51"/>
      <c r="Q15" s="51"/>
      <c r="R15" s="72"/>
    </row>
    <row r="16" ht="15.75" customHeight="1">
      <c r="A16" s="51"/>
      <c r="B16" s="51"/>
      <c r="C16" s="78"/>
      <c r="D16" s="51"/>
      <c r="E16" s="51"/>
      <c r="F16" s="78"/>
      <c r="G16" s="68" t="s">
        <v>93</v>
      </c>
      <c r="H16" s="69">
        <f>SUM(H5:H15)</f>
        <v>196</v>
      </c>
      <c r="I16" s="71">
        <f>sum(I5:I15)</f>
        <v>1</v>
      </c>
      <c r="J16" s="123" t="s">
        <v>106</v>
      </c>
      <c r="K16" s="51">
        <f>SUM(COUNTIF('Itemization 202506'!L3:L30,J16),COUNTIF('Itemization 202501'!L3:L30,J16),COUNTIF('Itemization 202408'!L3:L30,J16),COUNTIF('Itemization 202406'!L3:L30,J16),COUNTIF('Itemization 202401'!L3:L30,J16),COUNTIF('Itemization 202308'!L3:L30,J16),COUNTIF('Itemization 202306'!L3:L30,J16))</f>
        <v>2</v>
      </c>
      <c r="L16" s="52">
        <f>(K16/K116)</f>
        <v>0.01020408163</v>
      </c>
      <c r="M16" s="50">
        <v>12.0</v>
      </c>
      <c r="N16" s="51">
        <f>SUM(countif('Itemization 202506'!M3:M30,M16),countif('Itemization 202501'!M3:M30,M16),countif('Itemization 202408'!M3:M30,M16),countif('Itemization 202406'!M3:M30,M16),countif('Itemization 202401'!M3:M30,M16),countif('Itemization 202308'!M3:M30,M16),countif('Itemization 202306'!M3:M30,M16))</f>
        <v>12</v>
      </c>
      <c r="O16" s="52">
        <f>(N16/N23)</f>
        <v>0.0612244898</v>
      </c>
      <c r="P16" s="51"/>
      <c r="Q16" s="51"/>
      <c r="R16" s="72"/>
    </row>
    <row r="17" ht="15.75" customHeight="1">
      <c r="A17" s="73"/>
      <c r="B17" s="73"/>
      <c r="C17" s="74"/>
      <c r="D17" s="51"/>
      <c r="E17" s="51"/>
      <c r="F17" s="78"/>
      <c r="G17" s="51"/>
      <c r="H17" s="51"/>
      <c r="I17" s="78"/>
      <c r="J17" s="123" t="s">
        <v>107</v>
      </c>
      <c r="K17" s="51">
        <f>SUM(COUNTIF('Itemization 202506'!L3:L30,J17),COUNTIF('Itemization 202501'!L3:L30,J17),COUNTIF('Itemization 202408'!L3:L30,J17),COUNTIF('Itemization 202406'!L3:L30,J17),COUNTIF('Itemization 202401'!L3:L30,J17),COUNTIF('Itemization 202308'!L3:L30,J17),COUNTIF('Itemization 202306'!L3:L30,J17))</f>
        <v>3</v>
      </c>
      <c r="L17" s="52">
        <f>(K17/K116)</f>
        <v>0.01530612245</v>
      </c>
      <c r="M17" s="50">
        <v>13.0</v>
      </c>
      <c r="N17" s="51">
        <f>SUM(countif('Itemization 202506'!M3:M30,M17),countif('Itemization 202501'!M3:M30,M17),countif('Itemization 202408'!M3:M30,M17),countif('Itemization 202406'!M3:M30,M17),countif('Itemization 202401'!M3:M30,M17),countif('Itemization 202308'!M3:M30,M17),countif('Itemization 202306'!M3:M30,M17))</f>
        <v>11</v>
      </c>
      <c r="O17" s="52">
        <f>(N17/N23)</f>
        <v>0.05612244898</v>
      </c>
      <c r="P17" s="51"/>
      <c r="Q17" s="51"/>
      <c r="R17" s="72"/>
    </row>
    <row r="18" ht="15.75" customHeight="1">
      <c r="A18" s="73"/>
      <c r="B18" s="73"/>
      <c r="C18" s="74"/>
      <c r="D18" s="51"/>
      <c r="E18" s="51"/>
      <c r="F18" s="78"/>
      <c r="G18" s="51"/>
      <c r="H18" s="51"/>
      <c r="I18" s="78"/>
      <c r="J18" s="124" t="s">
        <v>108</v>
      </c>
      <c r="K18" s="61">
        <f>SUM(COUNTIF('Itemization 202506'!L3:L30,J18),COUNTIF('Itemization 202501'!L3:L30,J18),COUNTIF('Itemization 202408'!L3:L30,J18),COUNTIF('Itemization 202406'!L3:L30,J18),COUNTIF('Itemization 202401'!L3:L30,J18),COUNTIF('Itemization 202308'!L3:L30,J18),COUNTIF('Itemization 202306'!L3:L30,J18))</f>
        <v>8</v>
      </c>
      <c r="L18" s="62">
        <f>(K18/K116)</f>
        <v>0.04081632653</v>
      </c>
      <c r="M18" s="50">
        <v>14.0</v>
      </c>
      <c r="N18" s="51">
        <f>SUM(countif('Itemization 202506'!M3:M30,M18),countif('Itemization 202501'!M3:M30,M18),countif('Itemization 202408'!M3:M30,M18),countif('Itemization 202406'!M3:M30,M18),countif('Itemization 202401'!M3:M30,M18),countif('Itemization 202308'!M3:M30,M18),countif('Itemization 202306'!M3:M30,M18))</f>
        <v>11</v>
      </c>
      <c r="O18" s="52">
        <f>(N18/N23)</f>
        <v>0.05612244898</v>
      </c>
      <c r="P18" s="51"/>
      <c r="Q18" s="51"/>
      <c r="R18" s="72"/>
    </row>
    <row r="19" ht="15.75" customHeight="1">
      <c r="A19" s="80" t="s">
        <v>109</v>
      </c>
      <c r="D19" s="51"/>
      <c r="E19" s="51"/>
      <c r="F19" s="78"/>
      <c r="G19" s="51"/>
      <c r="H19" s="51"/>
      <c r="I19" s="78"/>
      <c r="J19" s="123" t="s">
        <v>110</v>
      </c>
      <c r="K19" s="51">
        <f>SUM(COUNTIF('Itemization 202506'!L3:L30,J19),COUNTIF('Itemization 202501'!L3:L30,J19),COUNTIF('Itemization 202408'!L3:L30,J19),COUNTIF('Itemization 202406'!L3:L30,J19),COUNTIF('Itemization 202401'!L3:L30,J19),COUNTIF('Itemization 202308'!L3:L30,J19),COUNTIF('Itemization 202306'!L3:L30,J19))</f>
        <v>1</v>
      </c>
      <c r="L19" s="52">
        <f>(K19/K116)</f>
        <v>0.005102040816</v>
      </c>
      <c r="M19" s="50">
        <v>15.0</v>
      </c>
      <c r="N19" s="51">
        <f>SUM(countif('Itemization 202506'!M3:M30,M19),countif('Itemization 202501'!M3:M30,M19),countif('Itemization 202408'!M3:M30,M19),countif('Itemization 202406'!M3:M30,M19),countif('Itemization 202401'!M3:M30,M19),countif('Itemization 202308'!M3:M30,M19),countif('Itemization 202306'!M3:M30,M19))</f>
        <v>9</v>
      </c>
      <c r="O19" s="52">
        <f>(N19/N23)</f>
        <v>0.04591836735</v>
      </c>
      <c r="P19" s="51"/>
      <c r="Q19" s="51"/>
      <c r="R19" s="72"/>
    </row>
    <row r="20" ht="15.75" customHeight="1">
      <c r="A20" s="81" t="s">
        <v>111</v>
      </c>
      <c r="D20" s="51"/>
      <c r="E20" s="51"/>
      <c r="F20" s="78"/>
      <c r="G20" s="51"/>
      <c r="H20" s="51"/>
      <c r="I20" s="78"/>
      <c r="J20" s="123" t="s">
        <v>112</v>
      </c>
      <c r="K20" s="51">
        <f>SUM(COUNTIF('Itemization 202506'!L3:L30,J20),COUNTIF('Itemization 202501'!L3:L30,J20),COUNTIF('Itemization 202408'!L3:L30,J20),COUNTIF('Itemization 202406'!L3:L30,J20),COUNTIF('Itemization 202401'!L3:L30,J20),COUNTIF('Itemization 202308'!L3:L30,J20),COUNTIF('Itemization 202306'!L3:L30,J20))</f>
        <v>4</v>
      </c>
      <c r="L20" s="52">
        <f>(K20/K116)</f>
        <v>0.02040816327</v>
      </c>
      <c r="M20" s="125">
        <v>16.0</v>
      </c>
      <c r="N20" s="54">
        <f>SUM(countif('Itemization 202506'!M3:M30,M20),countif('Itemization 202501'!M3:M30,M20),countif('Itemization 202408'!M3:M30,M20),countif('Itemization 202406'!M3:M30,M20),countif('Itemization 202401'!M3:M30,M20),countif('Itemization 202308'!M3:M30,M20),countif('Itemization 202306'!M3:M30,M20))</f>
        <v>0</v>
      </c>
      <c r="O20" s="55">
        <f>(N20/N23)</f>
        <v>0</v>
      </c>
      <c r="P20" s="51"/>
      <c r="Q20" s="51"/>
      <c r="R20" s="72"/>
    </row>
    <row r="21" ht="15.75" customHeight="1">
      <c r="A21" s="82" t="s">
        <v>113</v>
      </c>
      <c r="D21" s="51"/>
      <c r="E21" s="51"/>
      <c r="F21" s="78"/>
      <c r="G21" s="51"/>
      <c r="H21" s="51"/>
      <c r="I21" s="78"/>
      <c r="J21" s="121" t="s">
        <v>114</v>
      </c>
      <c r="K21" s="54">
        <f>SUM(COUNTIF('Itemization 202506'!L3:L30,J21),COUNTIF('Itemization 202501'!L3:L30,J21),COUNTIF('Itemization 202408'!L3:L30,J21),COUNTIF('Itemization 202406'!L3:L30,J21),COUNTIF('Itemization 202401'!L3:L30,J21),COUNTIF('Itemization 202308'!L3:L30,J21),COUNTIF('Itemization 202306'!L3:L30,J21))</f>
        <v>0</v>
      </c>
      <c r="L21" s="55">
        <f>(K21/K116)</f>
        <v>0</v>
      </c>
      <c r="M21" s="50">
        <v>17.0</v>
      </c>
      <c r="N21" s="51">
        <f>SUM(countif('Itemization 202506'!M3:M30,M21),countif('Itemization 202501'!M3:M30,M21),countif('Itemization 202408'!M3:M30,M21),countif('Itemization 202406'!M3:M30,M21),countif('Itemization 202401'!M3:M30,M21),countif('Itemization 202308'!M3:M30,M21),countif('Itemization 202306'!M3:M30,M21))</f>
        <v>9</v>
      </c>
      <c r="O21" s="52">
        <f>(N21/N23)</f>
        <v>0.04591836735</v>
      </c>
      <c r="P21" s="51"/>
      <c r="Q21" s="51"/>
      <c r="R21" s="72"/>
    </row>
    <row r="22" ht="15.75" customHeight="1">
      <c r="A22" s="83" t="s">
        <v>115</v>
      </c>
      <c r="D22" s="51"/>
      <c r="E22" s="51"/>
      <c r="F22" s="78"/>
      <c r="G22" s="51"/>
      <c r="H22" s="51"/>
      <c r="I22" s="78"/>
      <c r="J22" s="123" t="s">
        <v>116</v>
      </c>
      <c r="K22" s="51">
        <f>SUM(COUNTIF('Itemization 202506'!L3:L30,J22),COUNTIF('Itemization 202501'!L3:L30,J22),COUNTIF('Itemization 202408'!L3:L30,J22),COUNTIF('Itemization 202406'!L3:L30,J22),COUNTIF('Itemization 202401'!L3:L30,J22),COUNTIF('Itemization 202308'!L3:L30,J22),COUNTIF('Itemization 202306'!L3:L30,J22))</f>
        <v>3</v>
      </c>
      <c r="L22" s="52">
        <f>(K22/K116)</f>
        <v>0.01530612245</v>
      </c>
      <c r="M22" s="84">
        <v>18.0</v>
      </c>
      <c r="N22" s="51">
        <f>SUM(countif('Itemization 202506'!M3:M30,M22),countif('Itemization 202501'!M3:M30,M22),countif('Itemization 202408'!M3:M30,M22),countif('Itemization 202406'!M3:M30,M22),countif('Itemization 202401'!M3:M30,M22),countif('Itemization 202308'!M3:M30,M22),countif('Itemization 202306'!M3:M30,M22))</f>
        <v>17</v>
      </c>
      <c r="O22" s="76">
        <f>(N22/N23)</f>
        <v>0.08673469388</v>
      </c>
      <c r="P22" s="51"/>
      <c r="Q22" s="51"/>
      <c r="R22" s="72"/>
    </row>
    <row r="23" ht="15.75" customHeight="1">
      <c r="A23" s="85" t="s">
        <v>117</v>
      </c>
      <c r="D23" s="51"/>
      <c r="E23" s="51"/>
      <c r="F23" s="78"/>
      <c r="G23" s="51"/>
      <c r="H23" s="51"/>
      <c r="I23" s="78"/>
      <c r="J23" s="123" t="s">
        <v>118</v>
      </c>
      <c r="K23" s="51">
        <f>SUM(COUNTIF('Itemization 202506'!L3:L30,J23),COUNTIF('Itemization 202501'!L3:L30,J23),COUNTIF('Itemization 202408'!L3:L30,J23),COUNTIF('Itemization 202406'!L3:L30,J23),COUNTIF('Itemization 202401'!L3:L30,J23),COUNTIF('Itemization 202308'!L3:L30,J23),COUNTIF('Itemization 202306'!L3:L30,J23))</f>
        <v>6</v>
      </c>
      <c r="L23" s="52">
        <f>(K23/K116)</f>
        <v>0.0306122449</v>
      </c>
      <c r="M23" s="68" t="s">
        <v>93</v>
      </c>
      <c r="N23" s="69">
        <f>SUM(N5:N22)</f>
        <v>196</v>
      </c>
      <c r="O23" s="71">
        <f>SUM(O4:O22)</f>
        <v>1</v>
      </c>
      <c r="P23" s="51"/>
      <c r="Q23" s="51"/>
      <c r="R23" s="72"/>
    </row>
    <row r="24" ht="15.75" customHeight="1">
      <c r="A24" s="86" t="s">
        <v>119</v>
      </c>
      <c r="D24" s="51"/>
      <c r="E24" s="51"/>
      <c r="F24" s="78"/>
      <c r="G24" s="51"/>
      <c r="H24" s="51"/>
      <c r="I24" s="78"/>
      <c r="J24" s="124" t="s">
        <v>120</v>
      </c>
      <c r="K24" s="61">
        <f>SUM(COUNTIF('Itemization 202506'!L3:L30,J24),COUNTIF('Itemization 202501'!L3:L30,J24),COUNTIF('Itemization 202408'!L3:L30,J24),COUNTIF('Itemization 202406'!L3:L30,J24),COUNTIF('Itemization 202401'!L3:L30,J24),COUNTIF('Itemization 202308'!L3:L30,J24),COUNTIF('Itemization 202306'!L3:L30,J24))</f>
        <v>8</v>
      </c>
      <c r="L24" s="62">
        <f>(K24/K116)</f>
        <v>0.04081632653</v>
      </c>
      <c r="M24" s="51"/>
      <c r="N24" s="51"/>
      <c r="O24" s="78"/>
      <c r="P24" s="51"/>
      <c r="Q24" s="51"/>
      <c r="R24" s="72"/>
    </row>
    <row r="25" ht="15.75" customHeight="1">
      <c r="A25" s="85"/>
      <c r="B25" s="85"/>
      <c r="C25" s="85"/>
      <c r="D25" s="51"/>
      <c r="E25" s="51"/>
      <c r="F25" s="78"/>
      <c r="G25" s="51"/>
      <c r="H25" s="51"/>
      <c r="I25" s="78"/>
      <c r="J25" s="121" t="s">
        <v>121</v>
      </c>
      <c r="K25" s="54">
        <f>SUM(COUNTIF('Itemization 202506'!L3:L30,J25),COUNTIF('Itemization 202501'!L3:L30,J25),COUNTIF('Itemization 202408'!L3:L30,J25),COUNTIF('Itemization 202406'!L3:L30,J25),COUNTIF('Itemization 202401'!L3:L30,J25),COUNTIF('Itemization 202308'!L3:L30,J25),COUNTIF('Itemization 202306'!L3:L30,J25))</f>
        <v>0</v>
      </c>
      <c r="L25" s="55">
        <f>(K25/K116)</f>
        <v>0</v>
      </c>
      <c r="M25" s="51"/>
      <c r="N25" s="51"/>
      <c r="O25" s="78"/>
      <c r="P25" s="51"/>
      <c r="Q25" s="51"/>
      <c r="R25" s="72"/>
    </row>
    <row r="26" ht="15.75" customHeight="1">
      <c r="A26" s="85"/>
      <c r="B26" s="85"/>
      <c r="C26" s="85"/>
      <c r="D26" s="51"/>
      <c r="E26" s="51"/>
      <c r="F26" s="78"/>
      <c r="G26" s="51"/>
      <c r="H26" s="51"/>
      <c r="I26" s="78"/>
      <c r="J26" s="123" t="s">
        <v>122</v>
      </c>
      <c r="K26" s="51">
        <f>SUM(COUNTIF('Itemization 202506'!L3:L30,J26),COUNTIF('Itemization 202501'!L3:L30,J26),COUNTIF('Itemization 202408'!L3:L30,J26),COUNTIF('Itemization 202406'!L3:L30,J26),COUNTIF('Itemization 202401'!L3:L30,J26),COUNTIF('Itemization 202308'!L3:L30,J26),COUNTIF('Itemization 202306'!L3:L30,J26))</f>
        <v>2</v>
      </c>
      <c r="L26" s="52">
        <f>(K26/K116)</f>
        <v>0.01020408163</v>
      </c>
      <c r="M26" s="51"/>
      <c r="N26" s="51"/>
      <c r="O26" s="78"/>
      <c r="P26" s="51"/>
      <c r="Q26" s="51"/>
      <c r="R26" s="72"/>
    </row>
    <row r="27" ht="15.75" customHeight="1">
      <c r="A27" s="85"/>
      <c r="B27" s="85"/>
      <c r="C27" s="85"/>
      <c r="D27" s="51"/>
      <c r="E27" s="51"/>
      <c r="F27" s="78"/>
      <c r="G27" s="51"/>
      <c r="H27" s="51"/>
      <c r="I27" s="78"/>
      <c r="J27" s="121" t="s">
        <v>123</v>
      </c>
      <c r="K27" s="54">
        <f>SUM(COUNTIF('Itemization 202506'!L3:L30,J27),COUNTIF('Itemization 202501'!L3:L30,J27),COUNTIF('Itemization 202408'!L3:L30,J27),COUNTIF('Itemization 202406'!L3:L30,J27),COUNTIF('Itemization 202401'!L3:L30,J27),COUNTIF('Itemization 202308'!L3:L30,J27),COUNTIF('Itemization 202306'!L3:L30,J27))</f>
        <v>0</v>
      </c>
      <c r="L27" s="55">
        <f>(K27/K116)</f>
        <v>0</v>
      </c>
      <c r="M27" s="51"/>
      <c r="N27" s="51"/>
      <c r="O27" s="78"/>
      <c r="P27" s="51"/>
      <c r="Q27" s="51"/>
      <c r="R27" s="72"/>
    </row>
    <row r="28" ht="15.75" customHeight="1">
      <c r="A28" s="85"/>
      <c r="B28" s="85"/>
      <c r="C28" s="85"/>
      <c r="D28" s="51"/>
      <c r="E28" s="51"/>
      <c r="F28" s="78"/>
      <c r="G28" s="51"/>
      <c r="H28" s="51"/>
      <c r="I28" s="78"/>
      <c r="J28" s="123" t="s">
        <v>124</v>
      </c>
      <c r="K28" s="51">
        <f>SUM(COUNTIF('Itemization 202506'!L3:L30,J28),COUNTIF('Itemization 202501'!L3:L30,J28),COUNTIF('Itemization 202408'!L3:L30,J28),COUNTIF('Itemization 202406'!L3:L30,J28),COUNTIF('Itemization 202401'!L3:L30,J28),COUNTIF('Itemization 202308'!L3:L30,J28),COUNTIF('Itemization 202306'!L3:L30,J28))</f>
        <v>4</v>
      </c>
      <c r="L28" s="52">
        <f>(K28/K116)</f>
        <v>0.02040816327</v>
      </c>
      <c r="M28" s="51"/>
      <c r="N28" s="51"/>
      <c r="O28" s="78"/>
      <c r="P28" s="51"/>
      <c r="Q28" s="51"/>
      <c r="R28" s="72"/>
    </row>
    <row r="29" ht="15.75" customHeight="1">
      <c r="A29" s="85"/>
      <c r="B29" s="85"/>
      <c r="C29" s="85"/>
      <c r="D29" s="51"/>
      <c r="E29" s="51"/>
      <c r="F29" s="78"/>
      <c r="G29" s="51"/>
      <c r="H29" s="51"/>
      <c r="I29" s="78"/>
      <c r="J29" s="123" t="s">
        <v>125</v>
      </c>
      <c r="K29" s="51">
        <f>SUM(COUNTIF('Itemization 202506'!L3:L30,J29),COUNTIF('Itemization 202501'!L3:L30,J29),COUNTIF('Itemization 202408'!L3:L30,J29),COUNTIF('Itemization 202406'!L3:L30,J29),COUNTIF('Itemization 202401'!L3:L30,J29),COUNTIF('Itemization 202308'!L3:L30,J29),COUNTIF('Itemization 202306'!L3:L30,J29))</f>
        <v>2</v>
      </c>
      <c r="L29" s="52">
        <f>(K29/K116)</f>
        <v>0.01020408163</v>
      </c>
      <c r="M29" s="51"/>
      <c r="N29" s="51"/>
      <c r="O29" s="78"/>
      <c r="P29" s="51"/>
      <c r="Q29" s="51"/>
      <c r="R29" s="72"/>
    </row>
    <row r="30" ht="15.75" customHeight="1">
      <c r="A30" s="85"/>
      <c r="B30" s="85"/>
      <c r="C30" s="85"/>
      <c r="D30" s="51"/>
      <c r="E30" s="51"/>
      <c r="F30" s="78"/>
      <c r="G30" s="51"/>
      <c r="H30" s="51"/>
      <c r="I30" s="78"/>
      <c r="J30" s="123" t="s">
        <v>126</v>
      </c>
      <c r="K30" s="51">
        <f>SUM(COUNTIF('Itemization 202506'!L3:L30,J30),COUNTIF('Itemization 202501'!L3:L30,J30),COUNTIF('Itemization 202408'!L3:L30,J30),COUNTIF('Itemization 202406'!L3:L30,J30),COUNTIF('Itemization 202401'!L3:L30,J30),COUNTIF('Itemization 202308'!L3:L30,J30),COUNTIF('Itemization 202306'!L3:L30,J30))</f>
        <v>4</v>
      </c>
      <c r="L30" s="52">
        <f>(K30/K116)</f>
        <v>0.02040816327</v>
      </c>
      <c r="M30" s="51"/>
      <c r="N30" s="51"/>
      <c r="O30" s="78"/>
      <c r="P30" s="51"/>
      <c r="Q30" s="51"/>
      <c r="R30" s="72"/>
    </row>
    <row r="31" ht="15.75" customHeight="1">
      <c r="A31" s="85"/>
      <c r="B31" s="85"/>
      <c r="C31" s="85"/>
      <c r="D31" s="51"/>
      <c r="E31" s="51"/>
      <c r="F31" s="78"/>
      <c r="G31" s="51"/>
      <c r="H31" s="51"/>
      <c r="I31" s="78"/>
      <c r="J31" s="121" t="s">
        <v>127</v>
      </c>
      <c r="K31" s="54">
        <f>SUM(COUNTIF('Itemization 202506'!L3:L30,J31),COUNTIF('Itemization 202501'!L3:L30,J31),COUNTIF('Itemization 202408'!L3:L30,J31),COUNTIF('Itemization 202406'!L3:L30,J31),COUNTIF('Itemization 202401'!L3:L30,J31),COUNTIF('Itemization 202308'!L3:L30,J31),COUNTIF('Itemization 202306'!L3:L30,J31))</f>
        <v>0</v>
      </c>
      <c r="L31" s="55">
        <f>(K31/K116)</f>
        <v>0</v>
      </c>
      <c r="M31" s="51"/>
      <c r="N31" s="51"/>
      <c r="O31" s="78"/>
      <c r="P31" s="51"/>
      <c r="Q31" s="51"/>
      <c r="R31" s="72"/>
    </row>
    <row r="32" ht="15.75" customHeight="1">
      <c r="A32" s="85"/>
      <c r="B32" s="85"/>
      <c r="C32" s="85"/>
      <c r="D32" s="51"/>
      <c r="E32" s="51"/>
      <c r="F32" s="78"/>
      <c r="G32" s="51"/>
      <c r="H32" s="51"/>
      <c r="I32" s="78"/>
      <c r="J32" s="123" t="s">
        <v>128</v>
      </c>
      <c r="K32" s="51">
        <f>SUM(COUNTIF('Itemization 202506'!L3:L30,J32),COUNTIF('Itemization 202501'!L3:L30,J32),COUNTIF('Itemization 202408'!L3:L30,J32),COUNTIF('Itemization 202406'!L3:L30,J32),COUNTIF('Itemization 202401'!L3:L30,J32),COUNTIF('Itemization 202308'!L3:L30,J32),COUNTIF('Itemization 202306'!L3:L30,J32))</f>
        <v>6</v>
      </c>
      <c r="L32" s="52">
        <f>(K32/K116)</f>
        <v>0.0306122449</v>
      </c>
      <c r="M32" s="51"/>
      <c r="N32" s="51"/>
      <c r="O32" s="78"/>
      <c r="P32" s="51"/>
      <c r="Q32" s="51"/>
      <c r="R32" s="72"/>
    </row>
    <row r="33" ht="15.75" customHeight="1">
      <c r="A33" s="85"/>
      <c r="B33" s="85"/>
      <c r="C33" s="85"/>
      <c r="D33" s="51"/>
      <c r="E33" s="51"/>
      <c r="F33" s="78"/>
      <c r="G33" s="51"/>
      <c r="H33" s="51"/>
      <c r="I33" s="78"/>
      <c r="J33" s="121" t="s">
        <v>129</v>
      </c>
      <c r="K33" s="54">
        <f>SUM(COUNTIF('Itemization 202506'!L3:L30,J33),COUNTIF('Itemization 202501'!L3:L30,J33),COUNTIF('Itemization 202408'!L3:L30,J33),COUNTIF('Itemization 202406'!L3:L30,J33),COUNTIF('Itemization 202401'!L3:L30,J33),COUNTIF('Itemization 202308'!L3:L30,J33),COUNTIF('Itemization 202306'!L3:L30,J33))</f>
        <v>0</v>
      </c>
      <c r="L33" s="55">
        <f>(K33/K116)</f>
        <v>0</v>
      </c>
      <c r="M33" s="51"/>
      <c r="N33" s="51"/>
      <c r="O33" s="78"/>
      <c r="P33" s="51"/>
      <c r="Q33" s="51"/>
      <c r="R33" s="72"/>
    </row>
    <row r="34" ht="15.75" customHeight="1">
      <c r="A34" s="85"/>
      <c r="B34" s="85"/>
      <c r="C34" s="85"/>
      <c r="D34" s="51"/>
      <c r="E34" s="51"/>
      <c r="F34" s="78"/>
      <c r="G34" s="51"/>
      <c r="H34" s="51"/>
      <c r="I34" s="78"/>
      <c r="J34" s="123" t="s">
        <v>130</v>
      </c>
      <c r="K34" s="51">
        <f>SUM(COUNTIF('Itemization 202506'!L3:L30,J34),COUNTIF('Itemization 202501'!L3:L30,J34),COUNTIF('Itemization 202408'!L3:L30,J34),COUNTIF('Itemization 202406'!L3:L30,J34),COUNTIF('Itemization 202401'!L3:L30,J34),COUNTIF('Itemization 202308'!L3:L30,J34),COUNTIF('Itemization 202306'!L3:L30,J34))</f>
        <v>1</v>
      </c>
      <c r="L34" s="52">
        <f>(K34/K116)</f>
        <v>0.005102040816</v>
      </c>
      <c r="M34" s="51"/>
      <c r="N34" s="51"/>
      <c r="O34" s="78"/>
      <c r="P34" s="51"/>
      <c r="Q34" s="51"/>
      <c r="R34" s="72"/>
    </row>
    <row r="35" ht="15.75" customHeight="1">
      <c r="A35" s="85"/>
      <c r="B35" s="85"/>
      <c r="C35" s="85"/>
      <c r="D35" s="51"/>
      <c r="E35" s="51"/>
      <c r="F35" s="78"/>
      <c r="G35" s="51"/>
      <c r="H35" s="51"/>
      <c r="I35" s="78"/>
      <c r="J35" s="121" t="s">
        <v>131</v>
      </c>
      <c r="K35" s="54">
        <f>SUM(COUNTIF('Itemization 202506'!L3:L30,J35),COUNTIF('Itemization 202501'!L3:L30,J35),COUNTIF('Itemization 202408'!L3:L30,J35),COUNTIF('Itemization 202406'!L3:L30,J35),COUNTIF('Itemization 202401'!L3:L30,J35),COUNTIF('Itemization 202308'!L3:L30,J35),COUNTIF('Itemization 202306'!L3:L30,J35))</f>
        <v>0</v>
      </c>
      <c r="L35" s="55">
        <f>(K35/K116)</f>
        <v>0</v>
      </c>
      <c r="M35" s="51"/>
      <c r="N35" s="51"/>
      <c r="O35" s="78"/>
      <c r="P35" s="51"/>
      <c r="Q35" s="51"/>
      <c r="R35" s="72"/>
    </row>
    <row r="36" ht="15.75" customHeight="1">
      <c r="A36" s="85"/>
      <c r="B36" s="85"/>
      <c r="C36" s="85"/>
      <c r="D36" s="51"/>
      <c r="E36" s="51"/>
      <c r="F36" s="78"/>
      <c r="G36" s="51"/>
      <c r="H36" s="51"/>
      <c r="I36" s="78"/>
      <c r="J36" s="121" t="s">
        <v>132</v>
      </c>
      <c r="K36" s="54">
        <f>SUM(COUNTIF('Itemization 202506'!L3:L30,J36),COUNTIF('Itemization 202501'!L3:L30,J36),COUNTIF('Itemization 202408'!L3:L30,J36),COUNTIF('Itemization 202406'!L3:L30,J36),COUNTIF('Itemization 202401'!L3:L30,J36),COUNTIF('Itemization 202308'!L3:L30,J36),COUNTIF('Itemization 202306'!L3:L30,J36))</f>
        <v>0</v>
      </c>
      <c r="L36" s="55">
        <f>(K36/K116)</f>
        <v>0</v>
      </c>
      <c r="M36" s="51"/>
      <c r="N36" s="51"/>
      <c r="O36" s="78"/>
      <c r="P36" s="51"/>
      <c r="Q36" s="51"/>
      <c r="R36" s="72"/>
    </row>
    <row r="37" ht="15.75" customHeight="1">
      <c r="A37" s="85"/>
      <c r="B37" s="85"/>
      <c r="C37" s="85"/>
      <c r="D37" s="51"/>
      <c r="E37" s="51"/>
      <c r="F37" s="78"/>
      <c r="G37" s="51"/>
      <c r="H37" s="51"/>
      <c r="I37" s="78"/>
      <c r="J37" s="123" t="s">
        <v>133</v>
      </c>
      <c r="K37" s="51">
        <f>SUM(COUNTIF('Itemization 202506'!L3:L30,J37),COUNTIF('Itemization 202501'!L3:L30,J37),COUNTIF('Itemization 202408'!L3:L30,J37),COUNTIF('Itemization 202406'!L3:L30,J37),COUNTIF('Itemization 202401'!L3:L30,J37),COUNTIF('Itemization 202308'!L3:L30,J37),COUNTIF('Itemization 202306'!L3:L30,J37))</f>
        <v>4</v>
      </c>
      <c r="L37" s="52">
        <f>(K37/K116)</f>
        <v>0.02040816327</v>
      </c>
      <c r="M37" s="51"/>
      <c r="N37" s="51"/>
      <c r="O37" s="78"/>
      <c r="P37" s="51"/>
      <c r="Q37" s="51"/>
      <c r="R37" s="72"/>
    </row>
    <row r="38" ht="15.75" customHeight="1">
      <c r="A38" s="85"/>
      <c r="B38" s="85"/>
      <c r="C38" s="85"/>
      <c r="D38" s="51"/>
      <c r="E38" s="51"/>
      <c r="F38" s="78"/>
      <c r="G38" s="51"/>
      <c r="H38" s="51"/>
      <c r="I38" s="78"/>
      <c r="J38" s="123" t="s">
        <v>134</v>
      </c>
      <c r="K38" s="51">
        <f>SUM(COUNTIF('Itemization 202506'!L3:L30,J38),COUNTIF('Itemization 202501'!L3:L30,J38),COUNTIF('Itemization 202408'!L3:L30,J38),COUNTIF('Itemization 202406'!L3:L30,J38),COUNTIF('Itemization 202401'!L3:L30,J38),COUNTIF('Itemization 202308'!L3:L30,J38),COUNTIF('Itemization 202306'!L3:L30,J38))</f>
        <v>2</v>
      </c>
      <c r="L38" s="52">
        <f>(K38/K116)</f>
        <v>0.01020408163</v>
      </c>
      <c r="M38" s="51"/>
      <c r="N38" s="51"/>
      <c r="O38" s="78"/>
      <c r="P38" s="51"/>
      <c r="Q38" s="51"/>
      <c r="R38" s="72"/>
    </row>
    <row r="39" ht="15.75" customHeight="1">
      <c r="A39" s="85"/>
      <c r="B39" s="85"/>
      <c r="C39" s="85"/>
      <c r="D39" s="51"/>
      <c r="E39" s="51"/>
      <c r="F39" s="78"/>
      <c r="G39" s="51"/>
      <c r="H39" s="51"/>
      <c r="I39" s="78"/>
      <c r="J39" s="123" t="s">
        <v>135</v>
      </c>
      <c r="K39" s="51">
        <f>SUM(COUNTIF('Itemization 202506'!L3:L30,J39),COUNTIF('Itemization 202501'!L3:L30,J39),COUNTIF('Itemization 202408'!L3:L30,J39),COUNTIF('Itemization 202406'!L3:L30,J39),COUNTIF('Itemization 202401'!L3:L30,J39),COUNTIF('Itemization 202308'!L3:L30,J39),COUNTIF('Itemization 202306'!L3:L30,J39))</f>
        <v>2</v>
      </c>
      <c r="L39" s="52">
        <f>(K39/K116)</f>
        <v>0.01020408163</v>
      </c>
      <c r="M39" s="51"/>
      <c r="N39" s="51"/>
      <c r="O39" s="78"/>
      <c r="P39" s="51"/>
      <c r="Q39" s="51"/>
      <c r="R39" s="72"/>
    </row>
    <row r="40" ht="15.75" customHeight="1">
      <c r="A40" s="85"/>
      <c r="B40" s="85"/>
      <c r="C40" s="85"/>
      <c r="D40" s="51"/>
      <c r="E40" s="51"/>
      <c r="F40" s="78"/>
      <c r="G40" s="51"/>
      <c r="H40" s="51"/>
      <c r="I40" s="78"/>
      <c r="J40" s="121" t="s">
        <v>136</v>
      </c>
      <c r="K40" s="54">
        <f>SUM(COUNTIF('Itemization 202506'!L3:L30,J40),COUNTIF('Itemization 202501'!L3:L30,J40),COUNTIF('Itemization 202408'!L3:L30,J40),COUNTIF('Itemization 202406'!L3:L30,J40),COUNTIF('Itemization 202401'!L3:L30,J40),COUNTIF('Itemization 202308'!L3:L30,J40),COUNTIF('Itemization 202306'!L3:L30,J40))</f>
        <v>0</v>
      </c>
      <c r="L40" s="55">
        <f>(K40/K116)</f>
        <v>0</v>
      </c>
      <c r="M40" s="51"/>
      <c r="N40" s="51"/>
      <c r="O40" s="78"/>
      <c r="P40" s="51"/>
      <c r="Q40" s="51"/>
      <c r="R40" s="72"/>
    </row>
    <row r="41" ht="15.75" customHeight="1">
      <c r="A41" s="85"/>
      <c r="B41" s="85"/>
      <c r="C41" s="85"/>
      <c r="D41" s="51"/>
      <c r="E41" s="51"/>
      <c r="F41" s="78"/>
      <c r="G41" s="51"/>
      <c r="H41" s="51"/>
      <c r="I41" s="78"/>
      <c r="J41" s="121" t="s">
        <v>137</v>
      </c>
      <c r="K41" s="54">
        <f>SUM(COUNTIF('Itemization 202506'!L3:L30,J41),COUNTIF('Itemization 202501'!L3:L30,J41),COUNTIF('Itemization 202408'!L3:L30,J41),COUNTIF('Itemization 202406'!L3:L30,J41),COUNTIF('Itemization 202401'!L3:L30,J41),COUNTIF('Itemization 202308'!L3:L30,J41),COUNTIF('Itemization 202306'!L3:L30,J41))</f>
        <v>0</v>
      </c>
      <c r="L41" s="55">
        <f>(K41/K116)</f>
        <v>0</v>
      </c>
      <c r="M41" s="51"/>
      <c r="N41" s="51"/>
      <c r="O41" s="78"/>
      <c r="P41" s="51"/>
      <c r="Q41" s="51"/>
      <c r="R41" s="72"/>
    </row>
    <row r="42" ht="15.75" customHeight="1">
      <c r="A42" s="85"/>
      <c r="B42" s="85"/>
      <c r="C42" s="85"/>
      <c r="D42" s="51"/>
      <c r="E42" s="51"/>
      <c r="F42" s="78"/>
      <c r="G42" s="51"/>
      <c r="H42" s="51"/>
      <c r="I42" s="78"/>
      <c r="J42" s="123" t="s">
        <v>138</v>
      </c>
      <c r="K42" s="51">
        <f>SUM(COUNTIF('Itemization 202506'!L3:L30,J42),COUNTIF('Itemization 202501'!L3:L30,J42),COUNTIF('Itemization 202408'!L3:L30,J42),COUNTIF('Itemization 202406'!L3:L30,J42),COUNTIF('Itemization 202401'!L3:L30,J42),COUNTIF('Itemization 202308'!L3:L30,J42),COUNTIF('Itemization 202306'!L3:L30,J42))</f>
        <v>2</v>
      </c>
      <c r="L42" s="52">
        <f>(K42/K116)</f>
        <v>0.01020408163</v>
      </c>
      <c r="M42" s="51"/>
      <c r="N42" s="51"/>
      <c r="O42" s="78"/>
      <c r="P42" s="51"/>
      <c r="Q42" s="51"/>
      <c r="R42" s="72"/>
    </row>
    <row r="43" ht="15.75" customHeight="1">
      <c r="A43" s="85"/>
      <c r="B43" s="85"/>
      <c r="C43" s="85"/>
      <c r="D43" s="51"/>
      <c r="E43" s="51"/>
      <c r="F43" s="78"/>
      <c r="G43" s="51"/>
      <c r="H43" s="51"/>
      <c r="I43" s="78"/>
      <c r="J43" s="123" t="s">
        <v>139</v>
      </c>
      <c r="K43" s="51">
        <f>SUM(COUNTIF('Itemization 202506'!L3:L30,J43),COUNTIF('Itemization 202501'!L3:L30,J43),COUNTIF('Itemization 202408'!L3:L30,J43),COUNTIF('Itemization 202406'!L3:L30,J43),COUNTIF('Itemization 202401'!L3:L30,J43),COUNTIF('Itemization 202308'!L3:L30,J43),COUNTIF('Itemization 202306'!L3:L30,J43))</f>
        <v>2</v>
      </c>
      <c r="L43" s="52">
        <f>(K43/K116)</f>
        <v>0.01020408163</v>
      </c>
      <c r="M43" s="51"/>
      <c r="N43" s="51"/>
      <c r="O43" s="78"/>
      <c r="P43" s="51"/>
      <c r="Q43" s="51"/>
      <c r="R43" s="72"/>
    </row>
    <row r="44" ht="15.75" customHeight="1">
      <c r="A44" s="85"/>
      <c r="B44" s="85"/>
      <c r="C44" s="85"/>
      <c r="D44" s="51"/>
      <c r="E44" s="51"/>
      <c r="F44" s="78"/>
      <c r="G44" s="51"/>
      <c r="H44" s="51"/>
      <c r="I44" s="78"/>
      <c r="J44" s="121" t="s">
        <v>140</v>
      </c>
      <c r="K44" s="54">
        <f>SUM(COUNTIF('Itemization 202506'!L3:L30,J44),COUNTIF('Itemization 202501'!L3:L30,J44),COUNTIF('Itemization 202408'!L3:L30,J44),COUNTIF('Itemization 202406'!L3:L30,J44),COUNTIF('Itemization 202401'!L3:L30,J44),COUNTIF('Itemization 202308'!L3:L30,J44),COUNTIF('Itemization 202306'!L3:L30,J44))</f>
        <v>2</v>
      </c>
      <c r="L44" s="55">
        <f>(K44/K116)</f>
        <v>0.01020408163</v>
      </c>
      <c r="M44" s="51"/>
      <c r="N44" s="51"/>
      <c r="O44" s="78"/>
      <c r="P44" s="51"/>
      <c r="Q44" s="51"/>
      <c r="R44" s="72"/>
    </row>
    <row r="45" ht="15.75" customHeight="1">
      <c r="A45" s="85"/>
      <c r="B45" s="85"/>
      <c r="C45" s="85"/>
      <c r="D45" s="51"/>
      <c r="E45" s="51"/>
      <c r="F45" s="78"/>
      <c r="G45" s="51"/>
      <c r="H45" s="51"/>
      <c r="I45" s="78"/>
      <c r="J45" s="123" t="s">
        <v>141</v>
      </c>
      <c r="K45" s="51">
        <f>SUM(COUNTIF('Itemization 202506'!L3:L30,J45),COUNTIF('Itemization 202501'!L3:L30,J45),COUNTIF('Itemization 202408'!L3:L30,J45),COUNTIF('Itemization 202406'!L3:L30,J45),COUNTIF('Itemization 202401'!L3:L30,J45),COUNTIF('Itemization 202308'!L3:L30,J45),COUNTIF('Itemization 202306'!L3:L30,J45))</f>
        <v>6</v>
      </c>
      <c r="L45" s="52">
        <f>(K45/K116)</f>
        <v>0.0306122449</v>
      </c>
      <c r="M45" s="51"/>
      <c r="N45" s="51"/>
      <c r="O45" s="78"/>
      <c r="P45" s="51"/>
      <c r="Q45" s="51"/>
      <c r="R45" s="72"/>
    </row>
    <row r="46" ht="15.75" customHeight="1">
      <c r="A46" s="85"/>
      <c r="B46" s="85"/>
      <c r="C46" s="85"/>
      <c r="D46" s="51"/>
      <c r="E46" s="51"/>
      <c r="F46" s="78"/>
      <c r="G46" s="51"/>
      <c r="H46" s="51"/>
      <c r="I46" s="78"/>
      <c r="J46" s="123" t="s">
        <v>142</v>
      </c>
      <c r="K46" s="51">
        <f>SUM(COUNTIF('Itemization 202506'!L3:L30,J46),COUNTIF('Itemization 202501'!L3:L30,J46),COUNTIF('Itemization 202408'!L3:L30,J46),COUNTIF('Itemization 202406'!L3:L30,J46),COUNTIF('Itemization 202401'!L3:L30,J46),COUNTIF('Itemization 202308'!L3:L30,J46),COUNTIF('Itemization 202306'!L3:L30,J46))</f>
        <v>6</v>
      </c>
      <c r="L46" s="52">
        <f>(K46/K116)</f>
        <v>0.0306122449</v>
      </c>
      <c r="M46" s="51"/>
      <c r="N46" s="51"/>
      <c r="O46" s="78"/>
      <c r="P46" s="51"/>
      <c r="Q46" s="51"/>
      <c r="R46" s="72"/>
    </row>
    <row r="47" ht="15.75" customHeight="1">
      <c r="A47" s="85"/>
      <c r="B47" s="85"/>
      <c r="C47" s="85"/>
      <c r="D47" s="51"/>
      <c r="E47" s="51"/>
      <c r="F47" s="78"/>
      <c r="G47" s="51"/>
      <c r="H47" s="51"/>
      <c r="I47" s="78"/>
      <c r="J47" s="121" t="s">
        <v>143</v>
      </c>
      <c r="K47" s="54">
        <f>SUM(COUNTIF('Itemization 202506'!L3:L30,J47),COUNTIF('Itemization 202501'!L3:L30,J47),COUNTIF('Itemization 202408'!L3:L30,J47),COUNTIF('Itemization 202406'!L3:L30,J47),COUNTIF('Itemization 202401'!L3:L30,J47),COUNTIF('Itemization 202308'!L3:L30,J47),COUNTIF('Itemization 202306'!L3:L30,J47))</f>
        <v>0</v>
      </c>
      <c r="L47" s="55">
        <f>(K47/K116)</f>
        <v>0</v>
      </c>
      <c r="M47" s="51"/>
      <c r="N47" s="51"/>
      <c r="O47" s="78"/>
      <c r="P47" s="51"/>
      <c r="Q47" s="51"/>
      <c r="R47" s="72"/>
    </row>
    <row r="48" ht="15.75" customHeight="1">
      <c r="A48" s="85"/>
      <c r="B48" s="85"/>
      <c r="C48" s="85"/>
      <c r="D48" s="51"/>
      <c r="E48" s="51"/>
      <c r="F48" s="78"/>
      <c r="G48" s="51"/>
      <c r="H48" s="51"/>
      <c r="I48" s="78"/>
      <c r="J48" s="123" t="s">
        <v>144</v>
      </c>
      <c r="K48" s="51">
        <f>SUM(COUNTIF('Itemization 202506'!L3:L30,J48),COUNTIF('Itemization 202501'!L3:L30,J48),COUNTIF('Itemization 202408'!L3:L30,J48),COUNTIF('Itemization 202406'!L3:L30,J48),COUNTIF('Itemization 202401'!L3:L30,J48),COUNTIF('Itemization 202308'!L3:L30,J48),COUNTIF('Itemization 202306'!L3:L30,J48))</f>
        <v>1</v>
      </c>
      <c r="L48" s="52">
        <f>(K48/K116)</f>
        <v>0.005102040816</v>
      </c>
      <c r="M48" s="51"/>
      <c r="N48" s="51"/>
      <c r="O48" s="78"/>
      <c r="P48" s="51"/>
      <c r="Q48" s="51"/>
      <c r="R48" s="72"/>
    </row>
    <row r="49" ht="15.75" customHeight="1">
      <c r="A49" s="85"/>
      <c r="B49" s="85"/>
      <c r="C49" s="85"/>
      <c r="D49" s="51"/>
      <c r="E49" s="51"/>
      <c r="F49" s="78"/>
      <c r="G49" s="51"/>
      <c r="H49" s="51"/>
      <c r="I49" s="78"/>
      <c r="J49" s="121" t="s">
        <v>145</v>
      </c>
      <c r="K49" s="54">
        <f>SUM(COUNTIF('Itemization 202506'!L3:L30,J49),COUNTIF('Itemization 202501'!L3:L30,J49),COUNTIF('Itemization 202408'!L3:L30,J49),COUNTIF('Itemization 202406'!L3:L30,J49),COUNTIF('Itemization 202401'!L3:L30,J49),COUNTIF('Itemization 202308'!L3:L30,J49),COUNTIF('Itemization 202306'!L3:L30,J49))</f>
        <v>0</v>
      </c>
      <c r="L49" s="55">
        <f>(K49/K116)</f>
        <v>0</v>
      </c>
      <c r="M49" s="51"/>
      <c r="N49" s="51"/>
      <c r="O49" s="78"/>
      <c r="P49" s="51"/>
      <c r="Q49" s="51"/>
      <c r="R49" s="72"/>
    </row>
    <row r="50" ht="15.75" customHeight="1">
      <c r="A50" s="85"/>
      <c r="B50" s="85"/>
      <c r="C50" s="85"/>
      <c r="D50" s="51"/>
      <c r="E50" s="51"/>
      <c r="F50" s="78"/>
      <c r="G50" s="51"/>
      <c r="H50" s="51"/>
      <c r="I50" s="78"/>
      <c r="J50" s="123" t="s">
        <v>146</v>
      </c>
      <c r="K50" s="51">
        <f>SUM(COUNTIF('Itemization 202506'!L3:L30,J50),COUNTIF('Itemization 202501'!L3:L30,J50),COUNTIF('Itemization 202408'!L3:L30,J50),COUNTIF('Itemization 202406'!L3:L30,J50),COUNTIF('Itemization 202401'!L3:L30,J50),COUNTIF('Itemization 202308'!L3:L30,J50),COUNTIF('Itemization 202306'!L3:L30,J50))</f>
        <v>2</v>
      </c>
      <c r="L50" s="52">
        <f>(K50/K116)</f>
        <v>0.01020408163</v>
      </c>
      <c r="M50" s="51"/>
      <c r="N50" s="51"/>
      <c r="O50" s="78"/>
      <c r="P50" s="51"/>
      <c r="Q50" s="51"/>
      <c r="R50" s="72"/>
    </row>
    <row r="51" ht="15.75" customHeight="1">
      <c r="A51" s="85"/>
      <c r="B51" s="85"/>
      <c r="C51" s="85"/>
      <c r="D51" s="51"/>
      <c r="E51" s="51"/>
      <c r="F51" s="78"/>
      <c r="G51" s="51"/>
      <c r="H51" s="51"/>
      <c r="I51" s="78"/>
      <c r="J51" s="121" t="s">
        <v>147</v>
      </c>
      <c r="K51" s="54">
        <f>SUM(COUNTIF('Itemization 202506'!L3:L30,J51),COUNTIF('Itemization 202501'!L3:L30,J51),COUNTIF('Itemization 202408'!L3:L30,J51),COUNTIF('Itemization 202406'!L3:L30,J51),COUNTIF('Itemization 202401'!L3:L30,J51),COUNTIF('Itemization 202308'!L3:L30,J51),COUNTIF('Itemization 202306'!L3:L30,J51))</f>
        <v>0</v>
      </c>
      <c r="L51" s="55">
        <f>(K51/K116)</f>
        <v>0</v>
      </c>
      <c r="M51" s="51"/>
      <c r="N51" s="51"/>
      <c r="O51" s="78"/>
      <c r="P51" s="51"/>
      <c r="Q51" s="51"/>
      <c r="R51" s="72"/>
    </row>
    <row r="52" ht="15.75" customHeight="1">
      <c r="A52" s="85"/>
      <c r="B52" s="85"/>
      <c r="C52" s="85"/>
      <c r="D52" s="51"/>
      <c r="E52" s="51"/>
      <c r="F52" s="78"/>
      <c r="G52" s="51"/>
      <c r="H52" s="51"/>
      <c r="I52" s="78"/>
      <c r="J52" s="123" t="s">
        <v>148</v>
      </c>
      <c r="K52" s="51">
        <f>SUM(COUNTIF('Itemization 202506'!L3:L30,J52),COUNTIF('Itemization 202501'!L3:L30,J52),COUNTIF('Itemization 202408'!L3:L30,J52),COUNTIF('Itemization 202406'!L3:L30,J52),COUNTIF('Itemization 202401'!L3:L30,J52),COUNTIF('Itemization 202308'!L3:L30,J52),COUNTIF('Itemization 202306'!L3:L30,J52))</f>
        <v>3</v>
      </c>
      <c r="L52" s="52">
        <f>(K52/K116)</f>
        <v>0.01530612245</v>
      </c>
      <c r="M52" s="51"/>
      <c r="N52" s="51"/>
      <c r="O52" s="78"/>
      <c r="P52" s="51"/>
      <c r="Q52" s="51"/>
      <c r="R52" s="72"/>
    </row>
    <row r="53" ht="15.75" customHeight="1">
      <c r="A53" s="85"/>
      <c r="B53" s="85"/>
      <c r="C53" s="85"/>
      <c r="D53" s="51"/>
      <c r="E53" s="51"/>
      <c r="F53" s="78"/>
      <c r="G53" s="51"/>
      <c r="H53" s="51"/>
      <c r="I53" s="78"/>
      <c r="J53" s="121" t="s">
        <v>149</v>
      </c>
      <c r="K53" s="54">
        <f>SUM(COUNTIF('Itemization 202506'!L3:L30,J53),COUNTIF('Itemization 202501'!L3:L30,J53),COUNTIF('Itemization 202408'!L3:L30,J53),COUNTIF('Itemization 202406'!L3:L30,J53),COUNTIF('Itemization 202401'!L3:L30,J53),COUNTIF('Itemization 202308'!L3:L30,J53),COUNTIF('Itemization 202306'!L3:L30,J53))</f>
        <v>0</v>
      </c>
      <c r="L53" s="55">
        <f>(K53/K116)</f>
        <v>0</v>
      </c>
      <c r="M53" s="51"/>
      <c r="N53" s="51"/>
      <c r="O53" s="78"/>
      <c r="P53" s="51"/>
      <c r="Q53" s="51"/>
      <c r="R53" s="72"/>
    </row>
    <row r="54" ht="15.75" customHeight="1">
      <c r="A54" s="85"/>
      <c r="B54" s="85"/>
      <c r="C54" s="85"/>
      <c r="D54" s="51"/>
      <c r="E54" s="51"/>
      <c r="F54" s="78"/>
      <c r="G54" s="51"/>
      <c r="H54" s="51"/>
      <c r="I54" s="78"/>
      <c r="J54" s="123" t="s">
        <v>150</v>
      </c>
      <c r="K54" s="51">
        <f>SUM(COUNTIF('Itemization 202506'!L3:L30,J54),COUNTIF('Itemization 202501'!L3:L30,J54),COUNTIF('Itemization 202408'!L3:L30,J54),COUNTIF('Itemization 202406'!L3:L30,J54),COUNTIF('Itemization 202401'!L3:L30,J54),COUNTIF('Itemization 202308'!L3:L30,J54),COUNTIF('Itemization 202306'!L3:L30,J54))</f>
        <v>4</v>
      </c>
      <c r="L54" s="52">
        <f>(K54/K116)</f>
        <v>0.02040816327</v>
      </c>
      <c r="M54" s="51"/>
      <c r="N54" s="51"/>
      <c r="O54" s="78"/>
      <c r="P54" s="51"/>
      <c r="Q54" s="51"/>
      <c r="R54" s="72"/>
    </row>
    <row r="55" ht="15.75" customHeight="1">
      <c r="A55" s="85"/>
      <c r="B55" s="85"/>
      <c r="C55" s="85"/>
      <c r="D55" s="51"/>
      <c r="E55" s="51"/>
      <c r="F55" s="78"/>
      <c r="G55" s="51"/>
      <c r="H55" s="51"/>
      <c r="I55" s="78"/>
      <c r="J55" s="123" t="s">
        <v>151</v>
      </c>
      <c r="K55" s="51">
        <f>SUM(COUNTIF('Itemization 202506'!L3:L30,J55),COUNTIF('Itemization 202501'!L3:L30,J55),COUNTIF('Itemization 202408'!L3:L30,J55),COUNTIF('Itemization 202406'!L3:L30,J55),COUNTIF('Itemization 202401'!L3:L30,J55),COUNTIF('Itemization 202308'!L3:L30,J55),COUNTIF('Itemization 202306'!L3:L30,J55))</f>
        <v>4</v>
      </c>
      <c r="L55" s="52">
        <f>(K55/K116)</f>
        <v>0.02040816327</v>
      </c>
      <c r="M55" s="51"/>
      <c r="N55" s="51"/>
      <c r="O55" s="78"/>
      <c r="P55" s="51"/>
      <c r="Q55" s="51"/>
      <c r="R55" s="72"/>
    </row>
    <row r="56" ht="15.75" customHeight="1">
      <c r="A56" s="85"/>
      <c r="B56" s="85"/>
      <c r="C56" s="85"/>
      <c r="D56" s="51"/>
      <c r="E56" s="51"/>
      <c r="F56" s="78"/>
      <c r="G56" s="51"/>
      <c r="H56" s="51"/>
      <c r="I56" s="78"/>
      <c r="J56" s="123" t="s">
        <v>152</v>
      </c>
      <c r="K56" s="51">
        <f>SUM(COUNTIF('Itemization 202506'!L3:L30,J56),COUNTIF('Itemization 202501'!L3:L30,J56),COUNTIF('Itemization 202408'!L3:L30,J56),COUNTIF('Itemization 202406'!L3:L30,J56),COUNTIF('Itemization 202401'!L3:L30,J56),COUNTIF('Itemization 202308'!L3:L30,J56),COUNTIF('Itemization 202306'!L3:L30,J56))</f>
        <v>3</v>
      </c>
      <c r="L56" s="52">
        <f>(K56/K116)</f>
        <v>0.01530612245</v>
      </c>
      <c r="M56" s="51"/>
      <c r="N56" s="51"/>
      <c r="O56" s="78"/>
      <c r="P56" s="51"/>
      <c r="Q56" s="51"/>
      <c r="R56" s="72"/>
    </row>
    <row r="57" ht="15.75" customHeight="1">
      <c r="A57" s="85"/>
      <c r="B57" s="85"/>
      <c r="C57" s="85"/>
      <c r="D57" s="51"/>
      <c r="E57" s="51"/>
      <c r="F57" s="78"/>
      <c r="G57" s="51"/>
      <c r="H57" s="51"/>
      <c r="I57" s="78"/>
      <c r="J57" s="123" t="s">
        <v>153</v>
      </c>
      <c r="K57" s="51">
        <f>SUM(COUNTIF('Itemization 202506'!L3:L30,J57),COUNTIF('Itemization 202501'!L3:L30,J57),COUNTIF('Itemization 202408'!L3:L30,J57),COUNTIF('Itemization 202406'!L3:L30,J57),COUNTIF('Itemization 202401'!L3:L30,J57),COUNTIF('Itemization 202308'!L3:L30,J57),COUNTIF('Itemization 202306'!L3:L30,J57))</f>
        <v>3</v>
      </c>
      <c r="L57" s="52">
        <f>(K57/K116)</f>
        <v>0.01530612245</v>
      </c>
      <c r="M57" s="51"/>
      <c r="N57" s="51"/>
      <c r="O57" s="78"/>
      <c r="P57" s="51"/>
      <c r="Q57" s="51"/>
      <c r="R57" s="72"/>
    </row>
    <row r="58" ht="15.75" customHeight="1">
      <c r="A58" s="85"/>
      <c r="B58" s="85"/>
      <c r="C58" s="85"/>
      <c r="D58" s="51"/>
      <c r="E58" s="51"/>
      <c r="F58" s="78"/>
      <c r="G58" s="51"/>
      <c r="H58" s="51"/>
      <c r="I58" s="78"/>
      <c r="J58" s="123" t="s">
        <v>154</v>
      </c>
      <c r="K58" s="51">
        <f>SUM(COUNTIF('Itemization 202506'!L3:L30,J58),COUNTIF('Itemization 202501'!L3:L30,J58),COUNTIF('Itemization 202408'!L3:L30,J58),COUNTIF('Itemization 202406'!L3:L30,J58),COUNTIF('Itemization 202401'!L3:L30,J58),COUNTIF('Itemization 202308'!L3:L30,J58),COUNTIF('Itemization 202306'!L3:L30,J58))</f>
        <v>2</v>
      </c>
      <c r="L58" s="52">
        <f>(K58/K116)</f>
        <v>0.01020408163</v>
      </c>
      <c r="M58" s="51"/>
      <c r="N58" s="51"/>
      <c r="O58" s="78"/>
      <c r="P58" s="51"/>
      <c r="Q58" s="51"/>
      <c r="R58" s="72"/>
    </row>
    <row r="59" ht="15.75" customHeight="1">
      <c r="A59" s="85"/>
      <c r="B59" s="85"/>
      <c r="C59" s="85"/>
      <c r="D59" s="51"/>
      <c r="E59" s="51"/>
      <c r="F59" s="78"/>
      <c r="G59" s="51"/>
      <c r="H59" s="51"/>
      <c r="I59" s="78"/>
      <c r="J59" s="121" t="s">
        <v>155</v>
      </c>
      <c r="K59" s="54">
        <f>SUM(COUNTIF('Itemization 202506'!L3:L30,J59),COUNTIF('Itemization 202501'!L3:L30,J59),COUNTIF('Itemization 202408'!L3:L30,J59),COUNTIF('Itemization 202406'!L3:L30,J59),COUNTIF('Itemization 202401'!L3:L30,J59),COUNTIF('Itemization 202308'!L3:L30,J59),COUNTIF('Itemization 202306'!L3:L30,J59))</f>
        <v>0</v>
      </c>
      <c r="L59" s="55">
        <f>(K59/K116)</f>
        <v>0</v>
      </c>
      <c r="M59" s="51"/>
      <c r="N59" s="51"/>
      <c r="O59" s="78"/>
      <c r="P59" s="51"/>
      <c r="Q59" s="51"/>
      <c r="R59" s="72"/>
    </row>
    <row r="60" ht="15.75" customHeight="1">
      <c r="A60" s="85"/>
      <c r="B60" s="85"/>
      <c r="C60" s="85"/>
      <c r="D60" s="51"/>
      <c r="E60" s="51"/>
      <c r="F60" s="78"/>
      <c r="G60" s="51"/>
      <c r="H60" s="51"/>
      <c r="I60" s="78"/>
      <c r="J60" s="121" t="s">
        <v>156</v>
      </c>
      <c r="K60" s="54">
        <f>SUM(COUNTIF('Itemization 202506'!L3:L30,J60),COUNTIF('Itemization 202501'!L3:L30,J60),COUNTIF('Itemization 202408'!L3:L30,J60),COUNTIF('Itemization 202406'!L3:L30,J60),COUNTIF('Itemization 202401'!L3:L30,J60),COUNTIF('Itemization 202308'!L3:L30,J60),COUNTIF('Itemization 202306'!L3:L30,J60))</f>
        <v>0</v>
      </c>
      <c r="L60" s="55">
        <f>(K60/K116)</f>
        <v>0</v>
      </c>
      <c r="M60" s="51"/>
      <c r="N60" s="51"/>
      <c r="O60" s="78"/>
      <c r="P60" s="51"/>
      <c r="Q60" s="51"/>
      <c r="R60" s="72"/>
    </row>
    <row r="61" ht="15.75" customHeight="1">
      <c r="A61" s="85"/>
      <c r="B61" s="85"/>
      <c r="C61" s="85"/>
      <c r="D61" s="51"/>
      <c r="E61" s="51"/>
      <c r="F61" s="78"/>
      <c r="G61" s="51"/>
      <c r="H61" s="51"/>
      <c r="I61" s="78"/>
      <c r="J61" s="123" t="s">
        <v>157</v>
      </c>
      <c r="K61" s="51">
        <f>SUM(COUNTIF('Itemization 202506'!L3:L30,J61),COUNTIF('Itemization 202501'!L3:L30,J61),COUNTIF('Itemization 202408'!L3:L30,J61),COUNTIF('Itemization 202406'!L3:L30,J61),COUNTIF('Itemization 202401'!L3:L30,J61),COUNTIF('Itemization 202308'!L3:L30,J61),COUNTIF('Itemization 202306'!L3:L30,J61))</f>
        <v>1</v>
      </c>
      <c r="L61" s="52">
        <f>(K61/K116)</f>
        <v>0.005102040816</v>
      </c>
      <c r="M61" s="51"/>
      <c r="N61" s="51"/>
      <c r="O61" s="78"/>
      <c r="P61" s="51"/>
      <c r="Q61" s="51"/>
      <c r="R61" s="72"/>
    </row>
    <row r="62" ht="15.75" customHeight="1">
      <c r="A62" s="85"/>
      <c r="B62" s="85"/>
      <c r="C62" s="85"/>
      <c r="D62" s="51"/>
      <c r="E62" s="51"/>
      <c r="F62" s="78"/>
      <c r="G62" s="51"/>
      <c r="H62" s="51"/>
      <c r="I62" s="78"/>
      <c r="J62" s="123" t="s">
        <v>158</v>
      </c>
      <c r="K62" s="51">
        <f>SUM(COUNTIF('Itemization 202506'!L3:L30,J62),COUNTIF('Itemization 202501'!L3:L30,J62),COUNTIF('Itemization 202408'!L3:L30,J62),COUNTIF('Itemization 202406'!L3:L30,J62),COUNTIF('Itemization 202401'!L3:L30,J62),COUNTIF('Itemization 202308'!L3:L30,J62),COUNTIF('Itemization 202306'!L3:L30,J62))</f>
        <v>4</v>
      </c>
      <c r="L62" s="52">
        <f>(K62/K116)</f>
        <v>0.02040816327</v>
      </c>
      <c r="M62" s="51"/>
      <c r="N62" s="51"/>
      <c r="O62" s="78"/>
      <c r="P62" s="51"/>
      <c r="Q62" s="51"/>
      <c r="R62" s="72"/>
    </row>
    <row r="63" ht="15.75" customHeight="1">
      <c r="A63" s="85"/>
      <c r="B63" s="85"/>
      <c r="C63" s="85"/>
      <c r="D63" s="51"/>
      <c r="E63" s="51"/>
      <c r="F63" s="78"/>
      <c r="G63" s="51"/>
      <c r="H63" s="51"/>
      <c r="I63" s="78"/>
      <c r="J63" s="121" t="s">
        <v>159</v>
      </c>
      <c r="K63" s="54">
        <f>SUM(COUNTIF('Itemization 202506'!L3:L30,J63),COUNTIF('Itemization 202501'!L3:L30,J63),COUNTIF('Itemization 202408'!L3:L30,J63),COUNTIF('Itemization 202406'!L3:L30,J63),COUNTIF('Itemization 202401'!L3:L30,J63),COUNTIF('Itemization 202308'!L3:L30,J63),COUNTIF('Itemization 202306'!L3:L30,J63))</f>
        <v>0</v>
      </c>
      <c r="L63" s="55">
        <f>(K63/K116)</f>
        <v>0</v>
      </c>
      <c r="M63" s="51"/>
      <c r="N63" s="51"/>
      <c r="O63" s="78"/>
      <c r="P63" s="51"/>
      <c r="Q63" s="51"/>
      <c r="R63" s="72"/>
    </row>
    <row r="64" ht="15.75" customHeight="1">
      <c r="A64" s="85"/>
      <c r="B64" s="85"/>
      <c r="C64" s="85"/>
      <c r="D64" s="51"/>
      <c r="E64" s="51"/>
      <c r="F64" s="78"/>
      <c r="G64" s="51"/>
      <c r="H64" s="51"/>
      <c r="I64" s="78"/>
      <c r="J64" s="121" t="s">
        <v>160</v>
      </c>
      <c r="K64" s="54">
        <f>SUM(COUNTIF('Itemization 202506'!L3:L30,J64),COUNTIF('Itemization 202501'!L3:L30,J64),COUNTIF('Itemization 202408'!L3:L30,J64),COUNTIF('Itemization 202406'!L3:L30,J64),COUNTIF('Itemization 202401'!L3:L30,J64),COUNTIF('Itemization 202308'!L3:L30,J64),COUNTIF('Itemization 202306'!L3:L30,J64))</f>
        <v>0</v>
      </c>
      <c r="L64" s="55">
        <f>(K64/K116)</f>
        <v>0</v>
      </c>
      <c r="M64" s="51"/>
      <c r="N64" s="51"/>
      <c r="O64" s="78"/>
      <c r="P64" s="51"/>
      <c r="Q64" s="51"/>
      <c r="R64" s="72"/>
    </row>
    <row r="65" ht="15.75" customHeight="1">
      <c r="A65" s="85"/>
      <c r="B65" s="85"/>
      <c r="C65" s="85"/>
      <c r="D65" s="51"/>
      <c r="E65" s="51"/>
      <c r="F65" s="78"/>
      <c r="G65" s="51"/>
      <c r="H65" s="51"/>
      <c r="I65" s="78"/>
      <c r="J65" s="123" t="s">
        <v>161</v>
      </c>
      <c r="K65" s="51">
        <f>SUM(COUNTIF('Itemization 202506'!L3:L30,J65),COUNTIF('Itemization 202501'!L3:L30,J65),COUNTIF('Itemization 202408'!L3:L30,J65),COUNTIF('Itemization 202406'!L3:L30,J65),COUNTIF('Itemization 202401'!L3:L30,J65),COUNTIF('Itemization 202308'!L3:L30,J65),COUNTIF('Itemization 202306'!L3:L30,J65))</f>
        <v>1</v>
      </c>
      <c r="L65" s="52">
        <f>(K65/K116)</f>
        <v>0.005102040816</v>
      </c>
      <c r="M65" s="51"/>
      <c r="N65" s="51"/>
      <c r="O65" s="78"/>
      <c r="P65" s="51"/>
      <c r="Q65" s="51"/>
      <c r="R65" s="72"/>
    </row>
    <row r="66" ht="15.75" customHeight="1">
      <c r="A66" s="85"/>
      <c r="B66" s="85"/>
      <c r="C66" s="85"/>
      <c r="D66" s="51"/>
      <c r="E66" s="51"/>
      <c r="F66" s="78"/>
      <c r="G66" s="51"/>
      <c r="H66" s="51"/>
      <c r="I66" s="78"/>
      <c r="J66" s="123" t="s">
        <v>162</v>
      </c>
      <c r="K66" s="51">
        <f>SUM(COUNTIF('Itemization 202506'!L3:L30,J66),COUNTIF('Itemization 202501'!L3:L30,J66),COUNTIF('Itemization 202408'!L3:L30,J66),COUNTIF('Itemization 202406'!L3:L30,J66),COUNTIF('Itemization 202401'!L3:L30,J66),COUNTIF('Itemization 202308'!L3:L30,J66),COUNTIF('Itemization 202306'!L3:L30,J66))</f>
        <v>2</v>
      </c>
      <c r="L66" s="52">
        <f>(K66/K116)</f>
        <v>0.01020408163</v>
      </c>
      <c r="M66" s="51"/>
      <c r="N66" s="51"/>
      <c r="O66" s="78"/>
      <c r="P66" s="51"/>
      <c r="Q66" s="51"/>
      <c r="R66" s="72"/>
    </row>
    <row r="67" ht="15.75" customHeight="1">
      <c r="A67" s="85"/>
      <c r="B67" s="85"/>
      <c r="C67" s="85"/>
      <c r="D67" s="51"/>
      <c r="E67" s="51"/>
      <c r="F67" s="78"/>
      <c r="G67" s="51"/>
      <c r="H67" s="51"/>
      <c r="I67" s="78"/>
      <c r="J67" s="121" t="s">
        <v>163</v>
      </c>
      <c r="K67" s="54">
        <f>SUM(COUNTIF('Itemization 202506'!L3:L30,J67),COUNTIF('Itemization 202501'!L3:L30,J67),COUNTIF('Itemization 202408'!L3:L30,J67),COUNTIF('Itemization 202406'!L3:L30,J67),COUNTIF('Itemization 202401'!L3:L30,J67),COUNTIF('Itemization 202308'!L3:L30,J67),COUNTIF('Itemization 202306'!L3:L30,J67))</f>
        <v>0</v>
      </c>
      <c r="L67" s="55">
        <f>(K67/K116)</f>
        <v>0</v>
      </c>
      <c r="M67" s="51"/>
      <c r="N67" s="51"/>
      <c r="O67" s="78"/>
      <c r="P67" s="51"/>
      <c r="Q67" s="51"/>
      <c r="R67" s="72"/>
    </row>
    <row r="68" ht="15.75" customHeight="1">
      <c r="A68" s="85"/>
      <c r="B68" s="85"/>
      <c r="C68" s="85"/>
      <c r="D68" s="51"/>
      <c r="E68" s="51"/>
      <c r="F68" s="78"/>
      <c r="G68" s="51"/>
      <c r="H68" s="51"/>
      <c r="I68" s="78"/>
      <c r="J68" s="121" t="s">
        <v>164</v>
      </c>
      <c r="K68" s="54">
        <f>SUM(COUNTIF('Itemization 202506'!L3:L30,J68),COUNTIF('Itemization 202501'!L3:L30,J68),COUNTIF('Itemization 202408'!L3:L30,J68),COUNTIF('Itemization 202406'!L3:L30,J68),COUNTIF('Itemization 202401'!L3:L30,J68),COUNTIF('Itemization 202308'!L3:L30,J68),COUNTIF('Itemization 202306'!L3:L30,J68))</f>
        <v>0</v>
      </c>
      <c r="L68" s="55">
        <f>(K68/K116)</f>
        <v>0</v>
      </c>
      <c r="M68" s="51"/>
      <c r="N68" s="51"/>
      <c r="O68" s="78"/>
      <c r="P68" s="51"/>
      <c r="Q68" s="51"/>
      <c r="R68" s="72"/>
    </row>
    <row r="69" ht="15.75" customHeight="1">
      <c r="A69" s="85"/>
      <c r="B69" s="85"/>
      <c r="C69" s="85"/>
      <c r="D69" s="51"/>
      <c r="E69" s="51"/>
      <c r="F69" s="78"/>
      <c r="G69" s="51"/>
      <c r="H69" s="51"/>
      <c r="I69" s="78"/>
      <c r="J69" s="123" t="s">
        <v>165</v>
      </c>
      <c r="K69" s="51">
        <f>SUM(COUNTIF('Itemization 202506'!L3:L30,J69),COUNTIF('Itemization 202501'!L3:L30,J69),COUNTIF('Itemization 202408'!L3:L30,J69),COUNTIF('Itemization 202406'!L3:L30,J69),COUNTIF('Itemization 202401'!L3:L30,J69),COUNTIF('Itemization 202308'!L3:L30,J69),COUNTIF('Itemization 202306'!L3:L30,J69))</f>
        <v>2</v>
      </c>
      <c r="L69" s="52">
        <f>(K69/K116)</f>
        <v>0.01020408163</v>
      </c>
      <c r="M69" s="51"/>
      <c r="N69" s="51"/>
      <c r="O69" s="78"/>
      <c r="P69" s="51"/>
      <c r="Q69" s="51"/>
      <c r="R69" s="72"/>
    </row>
    <row r="70" ht="15.75" customHeight="1">
      <c r="A70" s="85"/>
      <c r="B70" s="85"/>
      <c r="C70" s="85"/>
      <c r="D70" s="51"/>
      <c r="E70" s="51"/>
      <c r="F70" s="78"/>
      <c r="G70" s="51"/>
      <c r="H70" s="51"/>
      <c r="I70" s="78"/>
      <c r="J70" s="123" t="s">
        <v>166</v>
      </c>
      <c r="K70" s="51">
        <f>SUM(COUNTIF('Itemization 202506'!L3:L30,J70),COUNTIF('Itemization 202501'!L3:L30,J70),COUNTIF('Itemization 202408'!L3:L30,J70),COUNTIF('Itemization 202406'!L3:L30,J70),COUNTIF('Itemization 202401'!L3:L30,J70),COUNTIF('Itemization 202308'!L3:L30,J70),COUNTIF('Itemization 202306'!L3:L30,J70))</f>
        <v>1</v>
      </c>
      <c r="L70" s="52">
        <f>(K70/K116)</f>
        <v>0.005102040816</v>
      </c>
      <c r="M70" s="51"/>
      <c r="N70" s="51"/>
      <c r="O70" s="78"/>
      <c r="P70" s="51"/>
      <c r="Q70" s="51"/>
      <c r="R70" s="72"/>
    </row>
    <row r="71" ht="15.75" customHeight="1">
      <c r="A71" s="85"/>
      <c r="B71" s="85"/>
      <c r="C71" s="85"/>
      <c r="D71" s="51"/>
      <c r="E71" s="51"/>
      <c r="F71" s="78"/>
      <c r="G71" s="51"/>
      <c r="H71" s="51"/>
      <c r="I71" s="78"/>
      <c r="J71" s="121" t="s">
        <v>167</v>
      </c>
      <c r="K71" s="54">
        <f>SUM(COUNTIF('Itemization 202506'!L3:L30,J71),COUNTIF('Itemization 202501'!L3:L30,J71),COUNTIF('Itemization 202408'!L3:L30,J71),COUNTIF('Itemization 202406'!L3:L30,J71),COUNTIF('Itemization 202401'!L3:L30,J71),COUNTIF('Itemization 202308'!L3:L30,J71),COUNTIF('Itemization 202306'!L3:L30,J71))</f>
        <v>0</v>
      </c>
      <c r="L71" s="55">
        <f>(K71/K116)</f>
        <v>0</v>
      </c>
      <c r="M71" s="51"/>
      <c r="N71" s="51"/>
      <c r="O71" s="78"/>
      <c r="P71" s="51"/>
      <c r="Q71" s="51"/>
      <c r="R71" s="72"/>
    </row>
    <row r="72" ht="15.75" customHeight="1">
      <c r="A72" s="85"/>
      <c r="B72" s="85"/>
      <c r="C72" s="85"/>
      <c r="D72" s="51"/>
      <c r="E72" s="51"/>
      <c r="F72" s="78"/>
      <c r="G72" s="51"/>
      <c r="H72" s="51"/>
      <c r="I72" s="78"/>
      <c r="J72" s="123" t="s">
        <v>168</v>
      </c>
      <c r="K72" s="51">
        <f>SUM(COUNTIF('Itemization 202506'!L3:L30,J72),COUNTIF('Itemization 202501'!L3:L30,J72),COUNTIF('Itemization 202408'!L3:L30,J72),COUNTIF('Itemization 202406'!L3:L30,J72),COUNTIF('Itemization 202401'!L3:L30,J72),COUNTIF('Itemization 202308'!L3:L30,J72),COUNTIF('Itemization 202306'!L3:L30,J72))</f>
        <v>1</v>
      </c>
      <c r="L72" s="52">
        <f>(K72/K116)</f>
        <v>0.005102040816</v>
      </c>
      <c r="M72" s="51"/>
      <c r="N72" s="51"/>
      <c r="O72" s="78"/>
      <c r="P72" s="51"/>
      <c r="Q72" s="51"/>
      <c r="R72" s="72"/>
    </row>
    <row r="73" ht="15.75" customHeight="1">
      <c r="A73" s="85"/>
      <c r="B73" s="85"/>
      <c r="C73" s="85"/>
      <c r="D73" s="51"/>
      <c r="E73" s="51"/>
      <c r="F73" s="78"/>
      <c r="G73" s="51"/>
      <c r="H73" s="51"/>
      <c r="I73" s="78"/>
      <c r="J73" s="121" t="s">
        <v>169</v>
      </c>
      <c r="K73" s="54">
        <f>SUM(COUNTIF('Itemization 202506'!L3:L30,J73),COUNTIF('Itemization 202501'!L3:L30,J73),COUNTIF('Itemization 202408'!L3:L30,J73),COUNTIF('Itemization 202406'!L3:L30,J73),COUNTIF('Itemization 202401'!L3:L30,J73),COUNTIF('Itemization 202308'!L3:L30,J73),COUNTIF('Itemization 202306'!L3:L30,J73))</f>
        <v>0</v>
      </c>
      <c r="L73" s="55">
        <f>(K73/K116)</f>
        <v>0</v>
      </c>
      <c r="M73" s="51"/>
      <c r="N73" s="51"/>
      <c r="O73" s="78"/>
      <c r="P73" s="51"/>
      <c r="Q73" s="51"/>
      <c r="R73" s="72"/>
    </row>
    <row r="74" ht="15.75" customHeight="1">
      <c r="A74" s="85"/>
      <c r="B74" s="85"/>
      <c r="C74" s="85"/>
      <c r="D74" s="51"/>
      <c r="E74" s="51"/>
      <c r="F74" s="78"/>
      <c r="G74" s="51"/>
      <c r="H74" s="51"/>
      <c r="I74" s="78"/>
      <c r="J74" s="123" t="s">
        <v>170</v>
      </c>
      <c r="K74" s="51">
        <f>SUM(COUNTIF('Itemization 202506'!L3:L30,J74),COUNTIF('Itemization 202501'!L3:L30,J74),COUNTIF('Itemization 202408'!L3:L30,J74),COUNTIF('Itemization 202406'!L3:L30,J74),COUNTIF('Itemization 202401'!L3:L30,J74),COUNTIF('Itemization 202308'!L3:L30,J74),COUNTIF('Itemization 202306'!L3:L30,J74))</f>
        <v>4</v>
      </c>
      <c r="L74" s="52">
        <f>(K74/K116)</f>
        <v>0.02040816327</v>
      </c>
      <c r="M74" s="51"/>
      <c r="N74" s="51"/>
      <c r="O74" s="78"/>
      <c r="P74" s="51"/>
      <c r="Q74" s="51"/>
      <c r="R74" s="72"/>
    </row>
    <row r="75" ht="15.75" customHeight="1">
      <c r="A75" s="85"/>
      <c r="B75" s="85"/>
      <c r="C75" s="85"/>
      <c r="D75" s="51"/>
      <c r="E75" s="51"/>
      <c r="F75" s="78"/>
      <c r="G75" s="51"/>
      <c r="H75" s="51"/>
      <c r="I75" s="78"/>
      <c r="J75" s="126" t="s">
        <v>171</v>
      </c>
      <c r="K75" s="48">
        <f>SUM(COUNTIF('Itemization 202506'!L3:L30,J75),COUNTIF('Itemization 202501'!L3:L30,J75),COUNTIF('Itemization 202408'!L3:L30,J75),COUNTIF('Itemization 202406'!L3:L30,J75),COUNTIF('Itemization 202401'!L3:L30,J75),COUNTIF('Itemization 202308'!L3:L30,J75),COUNTIF('Itemization 202306'!L3:L30,J75))</f>
        <v>11</v>
      </c>
      <c r="L75" s="49">
        <f>(K75/K116)</f>
        <v>0.05612244898</v>
      </c>
      <c r="M75" s="51"/>
      <c r="N75" s="51"/>
      <c r="O75" s="78"/>
      <c r="P75" s="51"/>
      <c r="Q75" s="51"/>
      <c r="R75" s="72"/>
    </row>
    <row r="76" ht="15.75" customHeight="1">
      <c r="A76" s="85"/>
      <c r="B76" s="85"/>
      <c r="C76" s="85"/>
      <c r="D76" s="51"/>
      <c r="E76" s="51"/>
      <c r="F76" s="78"/>
      <c r="G76" s="51"/>
      <c r="H76" s="51"/>
      <c r="I76" s="78"/>
      <c r="J76" s="123" t="s">
        <v>172</v>
      </c>
      <c r="K76" s="51">
        <f>SUM(COUNTIF('Itemization 202506'!L3:L30,J76),COUNTIF('Itemization 202501'!L3:L30,J76),COUNTIF('Itemization 202408'!L3:L30,J76),COUNTIF('Itemization 202406'!L3:L30,J76),COUNTIF('Itemization 202401'!L3:L30,J76),COUNTIF('Itemization 202308'!L3:L30,J76),COUNTIF('Itemization 202306'!L3:L30,J76))</f>
        <v>2</v>
      </c>
      <c r="L76" s="52">
        <f>(K76/K116)</f>
        <v>0.01020408163</v>
      </c>
      <c r="M76" s="51"/>
      <c r="N76" s="51"/>
      <c r="O76" s="78"/>
      <c r="P76" s="51"/>
      <c r="Q76" s="51"/>
      <c r="R76" s="72"/>
    </row>
    <row r="77" ht="15.75" customHeight="1">
      <c r="A77" s="85"/>
      <c r="B77" s="85"/>
      <c r="C77" s="85"/>
      <c r="D77" s="51"/>
      <c r="E77" s="51"/>
      <c r="F77" s="78"/>
      <c r="G77" s="51"/>
      <c r="H77" s="51"/>
      <c r="I77" s="78"/>
      <c r="J77" s="121" t="s">
        <v>173</v>
      </c>
      <c r="K77" s="54">
        <f>SUM(COUNTIF('Itemization 202506'!L3:L30,J77),COUNTIF('Itemization 202501'!L3:L30,J77),COUNTIF('Itemization 202408'!L3:L30,J77),COUNTIF('Itemization 202406'!L3:L30,J77),COUNTIF('Itemization 202401'!L3:L30,J77),COUNTIF('Itemization 202308'!L3:L30,J77),COUNTIF('Itemization 202306'!L3:L30,J77))</f>
        <v>0</v>
      </c>
      <c r="L77" s="55">
        <f>(K77/K116)</f>
        <v>0</v>
      </c>
      <c r="M77" s="51"/>
      <c r="N77" s="51"/>
      <c r="O77" s="78"/>
      <c r="P77" s="51"/>
      <c r="Q77" s="51"/>
      <c r="R77" s="72"/>
    </row>
    <row r="78" ht="15.75" customHeight="1">
      <c r="A78" s="85"/>
      <c r="B78" s="85"/>
      <c r="C78" s="85"/>
      <c r="D78" s="51"/>
      <c r="E78" s="51"/>
      <c r="F78" s="78"/>
      <c r="G78" s="51"/>
      <c r="H78" s="51"/>
      <c r="I78" s="78"/>
      <c r="J78" s="121" t="s">
        <v>174</v>
      </c>
      <c r="K78" s="54">
        <f>SUM(COUNTIF('Itemization 202506'!L3:L30,J78),COUNTIF('Itemization 202501'!L3:L30,J78),COUNTIF('Itemization 202408'!L3:L30,J78),COUNTIF('Itemization 202406'!L3:L30,J78),COUNTIF('Itemization 202401'!L3:L30,J78),COUNTIF('Itemization 202308'!L3:L30,J78),COUNTIF('Itemization 202306'!L3:L30,J78))</f>
        <v>0</v>
      </c>
      <c r="L78" s="55">
        <f>(K78/K116)</f>
        <v>0</v>
      </c>
      <c r="M78" s="51"/>
      <c r="N78" s="51"/>
      <c r="O78" s="78"/>
      <c r="P78" s="51"/>
      <c r="Q78" s="51"/>
      <c r="R78" s="72"/>
    </row>
    <row r="79" ht="15.75" customHeight="1">
      <c r="A79" s="85"/>
      <c r="B79" s="85"/>
      <c r="C79" s="85"/>
      <c r="D79" s="51"/>
      <c r="E79" s="51"/>
      <c r="F79" s="78"/>
      <c r="G79" s="51"/>
      <c r="H79" s="51"/>
      <c r="I79" s="78"/>
      <c r="J79" s="121" t="s">
        <v>175</v>
      </c>
      <c r="K79" s="54">
        <f>SUM(COUNTIF('Itemization 202506'!L3:L30,J79),COUNTIF('Itemization 202501'!L3:L30,J79),COUNTIF('Itemization 202408'!L3:L30,J79),COUNTIF('Itemization 202406'!L3:L30,J79),COUNTIF('Itemization 202401'!L3:L30,J79),COUNTIF('Itemization 202308'!L3:L30,J79),COUNTIF('Itemization 202306'!L3:L30,J79))</f>
        <v>0</v>
      </c>
      <c r="L79" s="55">
        <f>(K79/K116)</f>
        <v>0</v>
      </c>
      <c r="M79" s="51"/>
      <c r="N79" s="51"/>
      <c r="O79" s="78"/>
      <c r="P79" s="51"/>
      <c r="Q79" s="51"/>
      <c r="R79" s="72"/>
    </row>
    <row r="80" ht="15.75" customHeight="1">
      <c r="A80" s="85"/>
      <c r="B80" s="85"/>
      <c r="C80" s="85"/>
      <c r="D80" s="51"/>
      <c r="E80" s="51"/>
      <c r="F80" s="78"/>
      <c r="G80" s="51"/>
      <c r="H80" s="51"/>
      <c r="I80" s="78"/>
      <c r="J80" s="121" t="s">
        <v>176</v>
      </c>
      <c r="K80" s="54">
        <f>SUM(COUNTIF('Itemization 202506'!L3:L30,J80),COUNTIF('Itemization 202501'!L3:L30,J80),COUNTIF('Itemization 202408'!L3:L30,J80),COUNTIF('Itemization 202406'!L3:L30,J80),COUNTIF('Itemization 202401'!L3:L30,J80),COUNTIF('Itemization 202308'!L3:L30,J80),COUNTIF('Itemization 202306'!L3:L30,J80))</f>
        <v>0</v>
      </c>
      <c r="L80" s="55">
        <f>(K80/K116)</f>
        <v>0</v>
      </c>
      <c r="M80" s="51"/>
      <c r="N80" s="51"/>
      <c r="O80" s="78"/>
      <c r="P80" s="51"/>
      <c r="Q80" s="51"/>
      <c r="R80" s="72"/>
    </row>
    <row r="81" ht="15.75" customHeight="1">
      <c r="A81" s="85"/>
      <c r="B81" s="85"/>
      <c r="C81" s="85"/>
      <c r="D81" s="51"/>
      <c r="E81" s="51"/>
      <c r="F81" s="78"/>
      <c r="G81" s="51"/>
      <c r="H81" s="51"/>
      <c r="I81" s="78"/>
      <c r="J81" s="123" t="s">
        <v>177</v>
      </c>
      <c r="K81" s="51">
        <f>SUM(COUNTIF('Itemization 202506'!L3:L30,J81),COUNTIF('Itemization 202501'!L3:L30,J81),COUNTIF('Itemization 202408'!L3:L30,J81),COUNTIF('Itemization 202406'!L3:L30,J81),COUNTIF('Itemization 202401'!L3:L30,J81),COUNTIF('Itemization 202308'!L3:L30,J81),COUNTIF('Itemization 202306'!L3:L30,J81))</f>
        <v>2</v>
      </c>
      <c r="L81" s="52">
        <f>(K81/K116)</f>
        <v>0.01020408163</v>
      </c>
      <c r="M81" s="51"/>
      <c r="N81" s="51"/>
      <c r="O81" s="78"/>
      <c r="P81" s="51"/>
      <c r="Q81" s="51"/>
      <c r="R81" s="72"/>
    </row>
    <row r="82" ht="15.75" customHeight="1">
      <c r="A82" s="85"/>
      <c r="B82" s="85"/>
      <c r="C82" s="85"/>
      <c r="D82" s="51"/>
      <c r="E82" s="51"/>
      <c r="F82" s="78"/>
      <c r="G82" s="51"/>
      <c r="H82" s="51"/>
      <c r="I82" s="78"/>
      <c r="J82" s="123" t="s">
        <v>178</v>
      </c>
      <c r="K82" s="51">
        <f>SUM(COUNTIF('Itemization 202506'!L3:L30,J82),COUNTIF('Itemization 202501'!L3:L30,J82),COUNTIF('Itemization 202408'!L3:L30,J82),COUNTIF('Itemization 202406'!L3:L30,J82),COUNTIF('Itemization 202401'!L3:L30,J82),COUNTIF('Itemization 202308'!L3:L30,J82),COUNTIF('Itemization 202306'!L3:L30,J82))</f>
        <v>3</v>
      </c>
      <c r="L82" s="52">
        <f>(K82/K116)</f>
        <v>0.01530612245</v>
      </c>
      <c r="M82" s="51"/>
      <c r="N82" s="51"/>
      <c r="O82" s="78"/>
      <c r="P82" s="51"/>
      <c r="Q82" s="51"/>
      <c r="R82" s="72"/>
    </row>
    <row r="83" ht="15.75" customHeight="1">
      <c r="A83" s="85"/>
      <c r="B83" s="85"/>
      <c r="C83" s="85"/>
      <c r="D83" s="51"/>
      <c r="E83" s="51"/>
      <c r="F83" s="78"/>
      <c r="G83" s="51"/>
      <c r="H83" s="51"/>
      <c r="I83" s="78"/>
      <c r="J83" s="121" t="s">
        <v>179</v>
      </c>
      <c r="K83" s="54">
        <f>SUM(COUNTIF('Itemization 202506'!L3:L30,J83),COUNTIF('Itemization 202501'!L3:L30,J83),COUNTIF('Itemization 202408'!L3:L30,J83),COUNTIF('Itemization 202406'!L3:L30,J83),COUNTIF('Itemization 202401'!L3:L30,J83),COUNTIF('Itemization 202308'!L3:L30,J83),COUNTIF('Itemization 202306'!L3:L30,J83))</f>
        <v>0</v>
      </c>
      <c r="L83" s="55">
        <f>(K83/K116)</f>
        <v>0</v>
      </c>
      <c r="M83" s="51"/>
      <c r="N83" s="51"/>
      <c r="O83" s="78"/>
      <c r="P83" s="51"/>
      <c r="Q83" s="51"/>
      <c r="R83" s="72"/>
    </row>
    <row r="84" ht="15.75" customHeight="1">
      <c r="A84" s="85"/>
      <c r="B84" s="85"/>
      <c r="C84" s="85"/>
      <c r="D84" s="51"/>
      <c r="E84" s="51"/>
      <c r="F84" s="78"/>
      <c r="G84" s="51"/>
      <c r="H84" s="51"/>
      <c r="I84" s="78"/>
      <c r="J84" s="121" t="s">
        <v>180</v>
      </c>
      <c r="K84" s="54">
        <f>SUM(COUNTIF('Itemization 202506'!L3:L30,J84),COUNTIF('Itemization 202501'!L3:L30,J84),COUNTIF('Itemization 202408'!L3:L30,J84),COUNTIF('Itemization 202406'!L3:L30,J84),COUNTIF('Itemization 202401'!L3:L30,J84),COUNTIF('Itemization 202308'!L3:L30,J84),COUNTIF('Itemization 202306'!L3:L30,J84))</f>
        <v>0</v>
      </c>
      <c r="L84" s="55">
        <f>(K84/K116)</f>
        <v>0</v>
      </c>
      <c r="M84" s="51"/>
      <c r="N84" s="51"/>
      <c r="O84" s="78"/>
      <c r="P84" s="51"/>
      <c r="Q84" s="51"/>
      <c r="R84" s="72"/>
    </row>
    <row r="85" ht="15.75" customHeight="1">
      <c r="A85" s="85"/>
      <c r="B85" s="85"/>
      <c r="C85" s="85"/>
      <c r="D85" s="51"/>
      <c r="E85" s="51"/>
      <c r="F85" s="78"/>
      <c r="G85" s="51"/>
      <c r="H85" s="51"/>
      <c r="I85" s="78"/>
      <c r="J85" s="121" t="s">
        <v>181</v>
      </c>
      <c r="K85" s="54">
        <f>SUM(COUNTIF('Itemization 202506'!L3:L30,J85),COUNTIF('Itemization 202501'!L3:L30,J85),COUNTIF('Itemization 202408'!L3:L30,J85),COUNTIF('Itemization 202406'!L3:L30,J85),COUNTIF('Itemization 202401'!L3:L30,J85),COUNTIF('Itemization 202308'!L3:L30,J85),COUNTIF('Itemization 202306'!L3:L30,J85))</f>
        <v>0</v>
      </c>
      <c r="L85" s="55">
        <f>(K85/K116)</f>
        <v>0</v>
      </c>
      <c r="M85" s="51"/>
      <c r="N85" s="51"/>
      <c r="O85" s="78"/>
      <c r="P85" s="51"/>
      <c r="Q85" s="51"/>
      <c r="R85" s="72"/>
    </row>
    <row r="86" ht="15.75" customHeight="1">
      <c r="A86" s="85"/>
      <c r="B86" s="85"/>
      <c r="C86" s="85"/>
      <c r="D86" s="51"/>
      <c r="E86" s="51"/>
      <c r="F86" s="78"/>
      <c r="G86" s="51"/>
      <c r="H86" s="51"/>
      <c r="I86" s="78"/>
      <c r="J86" s="121" t="s">
        <v>182</v>
      </c>
      <c r="K86" s="54">
        <f>SUM(COUNTIF('Itemization 202506'!L3:L30,J86),COUNTIF('Itemization 202501'!L3:L30,J86),COUNTIF('Itemization 202408'!L3:L30,J86),COUNTIF('Itemization 202406'!L3:L30,J86),COUNTIF('Itemization 202401'!L3:L30,J86),COUNTIF('Itemization 202308'!L3:L30,J86),COUNTIF('Itemization 202306'!L3:L30,J86))</f>
        <v>0</v>
      </c>
      <c r="L86" s="55">
        <f>(K86/K116)</f>
        <v>0</v>
      </c>
      <c r="M86" s="51"/>
      <c r="N86" s="51"/>
      <c r="O86" s="78"/>
      <c r="P86" s="51"/>
      <c r="Q86" s="51"/>
      <c r="R86" s="72"/>
    </row>
    <row r="87" ht="15.75" customHeight="1">
      <c r="A87" s="85"/>
      <c r="B87" s="85"/>
      <c r="C87" s="85"/>
      <c r="D87" s="51"/>
      <c r="E87" s="51"/>
      <c r="F87" s="78"/>
      <c r="G87" s="51"/>
      <c r="H87" s="51"/>
      <c r="I87" s="78"/>
      <c r="J87" s="121" t="s">
        <v>183</v>
      </c>
      <c r="K87" s="54">
        <f>SUM(COUNTIF('Itemization 202506'!L3:L30,J87),COUNTIF('Itemization 202501'!L3:L30,J87),COUNTIF('Itemization 202408'!L3:L30,J87),COUNTIF('Itemization 202406'!L3:L30,J87),COUNTIF('Itemization 202401'!L3:L30,J87),COUNTIF('Itemization 202308'!L3:L30,J87),COUNTIF('Itemization 202306'!L3:L30,J87))</f>
        <v>0</v>
      </c>
      <c r="L87" s="55">
        <f>(K87/K116)</f>
        <v>0</v>
      </c>
      <c r="M87" s="51"/>
      <c r="N87" s="51"/>
      <c r="O87" s="78"/>
      <c r="P87" s="51"/>
      <c r="Q87" s="51"/>
      <c r="R87" s="72"/>
    </row>
    <row r="88" ht="15.75" customHeight="1">
      <c r="A88" s="85"/>
      <c r="B88" s="85"/>
      <c r="C88" s="85"/>
      <c r="D88" s="51"/>
      <c r="E88" s="51"/>
      <c r="F88" s="78"/>
      <c r="G88" s="51"/>
      <c r="H88" s="51"/>
      <c r="I88" s="78"/>
      <c r="J88" s="126" t="s">
        <v>184</v>
      </c>
      <c r="K88" s="48">
        <f>SUM(COUNTIF('Itemization 202506'!L3:L30,J88),COUNTIF('Itemization 202501'!L3:L30,J88),COUNTIF('Itemization 202408'!L3:L30,J88),COUNTIF('Itemization 202406'!L3:L30,J88),COUNTIF('Itemization 202401'!L3:L30,J88),COUNTIF('Itemization 202308'!L3:L30,J88),COUNTIF('Itemization 202306'!L3:L30,J88))</f>
        <v>11</v>
      </c>
      <c r="L88" s="49">
        <f>(K88/K116)</f>
        <v>0.05612244898</v>
      </c>
      <c r="M88" s="51"/>
      <c r="N88" s="51"/>
      <c r="O88" s="78"/>
      <c r="P88" s="51"/>
      <c r="Q88" s="51"/>
      <c r="R88" s="72"/>
    </row>
    <row r="89" ht="15.75" customHeight="1">
      <c r="A89" s="85"/>
      <c r="B89" s="85"/>
      <c r="C89" s="85"/>
      <c r="D89" s="51"/>
      <c r="E89" s="51"/>
      <c r="F89" s="78"/>
      <c r="G89" s="51"/>
      <c r="H89" s="51"/>
      <c r="I89" s="78"/>
      <c r="J89" s="123" t="s">
        <v>185</v>
      </c>
      <c r="K89" s="51">
        <f>SUM(COUNTIF('Itemization 202506'!L3:L30,J89),COUNTIF('Itemization 202501'!L3:L30,J89),COUNTIF('Itemization 202408'!L3:L30,J89),COUNTIF('Itemization 202406'!L3:L30,J89),COUNTIF('Itemization 202401'!L3:L30,J89),COUNTIF('Itemization 202308'!L3:L30,J89),COUNTIF('Itemization 202306'!L3:L30,J89))</f>
        <v>2</v>
      </c>
      <c r="L89" s="52">
        <f>(K89/K116)</f>
        <v>0.01020408163</v>
      </c>
      <c r="M89" s="51"/>
      <c r="N89" s="51"/>
      <c r="O89" s="78"/>
      <c r="P89" s="51"/>
      <c r="Q89" s="51"/>
      <c r="R89" s="72"/>
    </row>
    <row r="90" ht="15.75" customHeight="1">
      <c r="A90" s="85"/>
      <c r="B90" s="85"/>
      <c r="C90" s="85"/>
      <c r="D90" s="51"/>
      <c r="E90" s="51"/>
      <c r="F90" s="78"/>
      <c r="G90" s="51"/>
      <c r="H90" s="51"/>
      <c r="I90" s="78"/>
      <c r="J90" s="123" t="s">
        <v>186</v>
      </c>
      <c r="K90" s="51">
        <f>SUM(COUNTIF('Itemization 202506'!L3:L30,J90),COUNTIF('Itemization 202501'!L3:L30,J90),COUNTIF('Itemization 202408'!L3:L30,J90),COUNTIF('Itemization 202406'!L3:L30,J90),COUNTIF('Itemization 202401'!L3:L30,J90),COUNTIF('Itemization 202308'!L3:L30,J90),COUNTIF('Itemization 202306'!L3:L30,J90))</f>
        <v>2</v>
      </c>
      <c r="L90" s="52">
        <f>(K90/K116)</f>
        <v>0.01020408163</v>
      </c>
      <c r="M90" s="51"/>
      <c r="N90" s="51"/>
      <c r="O90" s="78"/>
      <c r="P90" s="51"/>
      <c r="Q90" s="51"/>
      <c r="R90" s="72"/>
    </row>
    <row r="91" ht="15.75" customHeight="1">
      <c r="A91" s="85"/>
      <c r="B91" s="85"/>
      <c r="C91" s="85"/>
      <c r="D91" s="51"/>
      <c r="E91" s="51"/>
      <c r="F91" s="78"/>
      <c r="G91" s="51"/>
      <c r="H91" s="51"/>
      <c r="I91" s="78"/>
      <c r="J91" s="123" t="s">
        <v>187</v>
      </c>
      <c r="K91" s="51">
        <f>SUM(COUNTIF('Itemization 202506'!L3:L30,J91),COUNTIF('Itemization 202501'!L3:L30,J91),COUNTIF('Itemization 202408'!L3:L30,J91),COUNTIF('Itemization 202406'!L3:L30,J91),COUNTIF('Itemization 202401'!L3:L30,J91),COUNTIF('Itemization 202308'!L3:L30,J91),COUNTIF('Itemization 202306'!L3:L30,J91))</f>
        <v>1</v>
      </c>
      <c r="L91" s="52">
        <f>(K91/K116)</f>
        <v>0.005102040816</v>
      </c>
      <c r="M91" s="51"/>
      <c r="N91" s="51"/>
      <c r="O91" s="78"/>
      <c r="P91" s="51"/>
      <c r="Q91" s="51"/>
      <c r="R91" s="72"/>
    </row>
    <row r="92" ht="15.75" customHeight="1">
      <c r="A92" s="85"/>
      <c r="B92" s="85"/>
      <c r="C92" s="85"/>
      <c r="D92" s="51"/>
      <c r="E92" s="51"/>
      <c r="F92" s="78"/>
      <c r="G92" s="51"/>
      <c r="H92" s="51"/>
      <c r="I92" s="78"/>
      <c r="J92" s="121" t="s">
        <v>188</v>
      </c>
      <c r="K92" s="54">
        <f>SUM(COUNTIF('Itemization 202506'!L3:L30,J92),COUNTIF('Itemization 202501'!L3:L30,J92),COUNTIF('Itemization 202408'!L3:L30,J92),COUNTIF('Itemization 202406'!L3:L30,J92),COUNTIF('Itemization 202401'!L3:L30,J92),COUNTIF('Itemization 202308'!L3:L30,J92),COUNTIF('Itemization 202306'!L3:L30,J92))</f>
        <v>0</v>
      </c>
      <c r="L92" s="55">
        <f>(K92/K116)</f>
        <v>0</v>
      </c>
      <c r="M92" s="51"/>
      <c r="N92" s="51"/>
      <c r="O92" s="78"/>
      <c r="P92" s="51"/>
      <c r="Q92" s="51"/>
      <c r="R92" s="72"/>
    </row>
    <row r="93" ht="15.75" customHeight="1">
      <c r="A93" s="85"/>
      <c r="B93" s="85"/>
      <c r="C93" s="85"/>
      <c r="D93" s="51"/>
      <c r="E93" s="51"/>
      <c r="F93" s="78"/>
      <c r="G93" s="51"/>
      <c r="H93" s="51"/>
      <c r="I93" s="78"/>
      <c r="J93" s="123" t="s">
        <v>189</v>
      </c>
      <c r="K93" s="51">
        <f>SUM(COUNTIF('Itemization 202506'!L3:L30,J93),COUNTIF('Itemization 202501'!L3:L30,J93),COUNTIF('Itemization 202408'!L3:L30,J93),COUNTIF('Itemization 202406'!L3:L30,J93),COUNTIF('Itemization 202401'!L3:L30,J93),COUNTIF('Itemization 202308'!L3:L30,J93),COUNTIF('Itemization 202306'!L3:L30,J93))</f>
        <v>2</v>
      </c>
      <c r="L93" s="52">
        <f>(K93/K116)</f>
        <v>0.01020408163</v>
      </c>
      <c r="M93" s="51"/>
      <c r="N93" s="51"/>
      <c r="O93" s="78"/>
      <c r="P93" s="51"/>
      <c r="Q93" s="51"/>
      <c r="R93" s="72"/>
    </row>
    <row r="94" ht="15.75" customHeight="1">
      <c r="A94" s="85"/>
      <c r="B94" s="85"/>
      <c r="C94" s="85"/>
      <c r="D94" s="51"/>
      <c r="E94" s="51"/>
      <c r="F94" s="78"/>
      <c r="G94" s="51"/>
      <c r="H94" s="51"/>
      <c r="I94" s="78"/>
      <c r="J94" s="123" t="s">
        <v>190</v>
      </c>
      <c r="K94" s="51">
        <f>SUM(COUNTIF('Itemization 202506'!L3:L30,J94),COUNTIF('Itemization 202501'!L3:L30,J94),COUNTIF('Itemization 202408'!L3:L30,J94),COUNTIF('Itemization 202406'!L3:L30,J94),COUNTIF('Itemization 202401'!L3:L30,J94),COUNTIF('Itemization 202308'!L3:L30,J94),COUNTIF('Itemization 202306'!L3:L30,J94))</f>
        <v>2</v>
      </c>
      <c r="L94" s="52">
        <f>(K94/K116)</f>
        <v>0.01020408163</v>
      </c>
      <c r="M94" s="51"/>
      <c r="N94" s="51"/>
      <c r="O94" s="78"/>
      <c r="P94" s="51"/>
      <c r="Q94" s="51"/>
      <c r="R94" s="72"/>
    </row>
    <row r="95" ht="15.75" customHeight="1">
      <c r="A95" s="85"/>
      <c r="B95" s="85"/>
      <c r="C95" s="85"/>
      <c r="D95" s="51"/>
      <c r="E95" s="51"/>
      <c r="F95" s="78"/>
      <c r="G95" s="51"/>
      <c r="H95" s="51"/>
      <c r="I95" s="78"/>
      <c r="J95" s="121" t="s">
        <v>191</v>
      </c>
      <c r="K95" s="54">
        <f>SUM(COUNTIF('Itemization 202506'!L3:L30,J95),COUNTIF('Itemization 202501'!L3:L30,J95),COUNTIF('Itemization 202408'!L3:L30,J95),COUNTIF('Itemization 202406'!L3:L30,J95),COUNTIF('Itemization 202401'!L3:L30,J95),COUNTIF('Itemization 202308'!L3:L30,J95),COUNTIF('Itemization 202306'!L3:L30,J95))</f>
        <v>0</v>
      </c>
      <c r="L95" s="55">
        <f>(K95/K116)</f>
        <v>0</v>
      </c>
      <c r="M95" s="51"/>
      <c r="N95" s="51"/>
      <c r="O95" s="78"/>
      <c r="P95" s="51"/>
      <c r="Q95" s="51"/>
      <c r="R95" s="72"/>
    </row>
    <row r="96" ht="15.75" customHeight="1">
      <c r="A96" s="85"/>
      <c r="B96" s="85"/>
      <c r="C96" s="85"/>
      <c r="D96" s="51"/>
      <c r="E96" s="51"/>
      <c r="F96" s="78"/>
      <c r="G96" s="51"/>
      <c r="H96" s="51"/>
      <c r="I96" s="78"/>
      <c r="J96" s="121" t="s">
        <v>192</v>
      </c>
      <c r="K96" s="54">
        <f>SUM(COUNTIF('Itemization 202506'!L3:L30,J96),COUNTIF('Itemization 202501'!L3:L30,J96),COUNTIF('Itemization 202408'!L3:L30,J96),COUNTIF('Itemization 202406'!L3:L30,J96),COUNTIF('Itemization 202401'!L3:L30,J96),COUNTIF('Itemization 202308'!L3:L30,J96),COUNTIF('Itemization 202306'!L3:L30,J96))</f>
        <v>0</v>
      </c>
      <c r="L96" s="55">
        <f>(K96/K116)</f>
        <v>0</v>
      </c>
      <c r="M96" s="51"/>
      <c r="N96" s="51"/>
      <c r="O96" s="78"/>
      <c r="P96" s="51"/>
      <c r="Q96" s="51"/>
      <c r="R96" s="72"/>
    </row>
    <row r="97" ht="15.75" customHeight="1">
      <c r="A97" s="85"/>
      <c r="B97" s="85"/>
      <c r="C97" s="85"/>
      <c r="D97" s="51"/>
      <c r="E97" s="51"/>
      <c r="F97" s="78"/>
      <c r="G97" s="51"/>
      <c r="H97" s="51"/>
      <c r="I97" s="78"/>
      <c r="J97" s="121" t="s">
        <v>193</v>
      </c>
      <c r="K97" s="54">
        <f>SUM(COUNTIF('Itemization 202506'!L3:L30,J97),COUNTIF('Itemization 202501'!L3:L30,J97),COUNTIF('Itemization 202408'!L3:L30,J97),COUNTIF('Itemization 202406'!L3:L30,J97),COUNTIF('Itemization 202401'!L3:L30,J97),COUNTIF('Itemization 202308'!L3:L30,J97),COUNTIF('Itemization 202306'!L3:L30,J97))</f>
        <v>0</v>
      </c>
      <c r="L97" s="55">
        <f>(K97/K116)</f>
        <v>0</v>
      </c>
      <c r="M97" s="51"/>
      <c r="N97" s="51"/>
      <c r="O97" s="78"/>
      <c r="P97" s="51"/>
      <c r="Q97" s="51"/>
      <c r="R97" s="72"/>
    </row>
    <row r="98" ht="15.75" customHeight="1">
      <c r="A98" s="85"/>
      <c r="B98" s="85"/>
      <c r="C98" s="85"/>
      <c r="D98" s="51"/>
      <c r="E98" s="51"/>
      <c r="F98" s="78"/>
      <c r="G98" s="51"/>
      <c r="H98" s="51"/>
      <c r="I98" s="78"/>
      <c r="J98" s="123" t="s">
        <v>194</v>
      </c>
      <c r="K98" s="51">
        <f>SUM(COUNTIF('Itemization 202506'!L3:L30,J98),COUNTIF('Itemization 202501'!L3:L30,J98),COUNTIF('Itemization 202408'!L3:L30,J98),COUNTIF('Itemization 202406'!L3:L30,J98),COUNTIF('Itemization 202401'!L3:L30,J98),COUNTIF('Itemization 202308'!L3:L30,J98),COUNTIF('Itemization 202306'!L3:L30,J98))</f>
        <v>2</v>
      </c>
      <c r="L98" s="52">
        <f>(K98/K116)</f>
        <v>0.01020408163</v>
      </c>
      <c r="M98" s="51"/>
      <c r="N98" s="51"/>
      <c r="O98" s="78"/>
      <c r="P98" s="51"/>
      <c r="Q98" s="51"/>
      <c r="R98" s="72"/>
    </row>
    <row r="99" ht="15.75" customHeight="1">
      <c r="A99" s="85"/>
      <c r="B99" s="85"/>
      <c r="C99" s="85"/>
      <c r="D99" s="51"/>
      <c r="E99" s="51"/>
      <c r="F99" s="78"/>
      <c r="G99" s="51"/>
      <c r="H99" s="51"/>
      <c r="I99" s="78"/>
      <c r="J99" s="123" t="s">
        <v>195</v>
      </c>
      <c r="K99" s="51">
        <f>SUM(COUNTIF('Itemization 202506'!L3:L30,J99),COUNTIF('Itemization 202501'!L3:L30,J99),COUNTIF('Itemization 202408'!L3:L30,J99),COUNTIF('Itemization 202406'!L3:L30,J99),COUNTIF('Itemization 202401'!L3:L30,J99),COUNTIF('Itemization 202308'!L3:L30,J99),COUNTIF('Itemization 202306'!L3:L30,J99))</f>
        <v>1</v>
      </c>
      <c r="L99" s="52">
        <f>(K99/K116)</f>
        <v>0.005102040816</v>
      </c>
      <c r="M99" s="51"/>
      <c r="N99" s="51"/>
      <c r="O99" s="78"/>
      <c r="P99" s="51"/>
      <c r="Q99" s="51"/>
      <c r="R99" s="72"/>
    </row>
    <row r="100" ht="15.75" customHeight="1">
      <c r="A100" s="85"/>
      <c r="B100" s="85"/>
      <c r="C100" s="85"/>
      <c r="D100" s="51"/>
      <c r="E100" s="51"/>
      <c r="F100" s="78"/>
      <c r="G100" s="51"/>
      <c r="H100" s="51"/>
      <c r="I100" s="78"/>
      <c r="J100" s="123" t="s">
        <v>196</v>
      </c>
      <c r="K100" s="51">
        <f>SUM(COUNTIF('Itemization 202506'!L3:L30,J100),COUNTIF('Itemization 202501'!L3:L30,J100),COUNTIF('Itemization 202408'!L3:L30,J100),COUNTIF('Itemization 202406'!L3:L30,J100),COUNTIF('Itemization 202401'!L3:L30,J100),COUNTIF('Itemization 202308'!L3:L30,J100),COUNTIF('Itemization 202306'!L3:L30,J100))</f>
        <v>2</v>
      </c>
      <c r="L100" s="52">
        <f>(K100/K116)</f>
        <v>0.01020408163</v>
      </c>
      <c r="M100" s="51"/>
      <c r="N100" s="51"/>
      <c r="O100" s="78"/>
      <c r="P100" s="51"/>
      <c r="Q100" s="51"/>
      <c r="R100" s="72"/>
    </row>
    <row r="101" ht="15.75" customHeight="1">
      <c r="A101" s="85"/>
      <c r="B101" s="85"/>
      <c r="C101" s="85"/>
      <c r="D101" s="51"/>
      <c r="E101" s="51"/>
      <c r="F101" s="78"/>
      <c r="G101" s="51"/>
      <c r="H101" s="51"/>
      <c r="I101" s="78"/>
      <c r="J101" s="124" t="s">
        <v>197</v>
      </c>
      <c r="K101" s="61">
        <f>SUM(COUNTIF('Itemization 202506'!L3:L30,J101),COUNTIF('Itemization 202501'!L3:L30,J101),COUNTIF('Itemization 202408'!L3:L30,J101),COUNTIF('Itemization 202406'!L3:L30,J101),COUNTIF('Itemization 202401'!L3:L30,J101),COUNTIF('Itemization 202308'!L3:L30,J101),COUNTIF('Itemization 202306'!L3:L30,J101))</f>
        <v>8</v>
      </c>
      <c r="L101" s="62">
        <f>(K101/K116)</f>
        <v>0.04081632653</v>
      </c>
      <c r="M101" s="51"/>
      <c r="N101" s="51"/>
      <c r="O101" s="78"/>
      <c r="P101" s="51"/>
      <c r="Q101" s="51"/>
      <c r="R101" s="72"/>
    </row>
    <row r="102" ht="15.75" customHeight="1">
      <c r="A102" s="85"/>
      <c r="B102" s="85"/>
      <c r="C102" s="85"/>
      <c r="D102" s="51"/>
      <c r="E102" s="51"/>
      <c r="F102" s="78"/>
      <c r="G102" s="51"/>
      <c r="H102" s="51"/>
      <c r="I102" s="78"/>
      <c r="J102" s="121" t="s">
        <v>198</v>
      </c>
      <c r="K102" s="54">
        <f>SUM(COUNTIF('Itemization 202506'!L3:L30,J102),COUNTIF('Itemization 202501'!L3:L30,J102),COUNTIF('Itemization 202408'!L3:L30,J102),COUNTIF('Itemization 202406'!L3:L30,J102),COUNTIF('Itemization 202401'!L3:L30,J102),COUNTIF('Itemization 202308'!L3:L30,J102),COUNTIF('Itemization 202306'!L3:L30,J102))</f>
        <v>0</v>
      </c>
      <c r="L102" s="55">
        <f>(K102/K116)</f>
        <v>0</v>
      </c>
      <c r="M102" s="51"/>
      <c r="N102" s="51"/>
      <c r="O102" s="78"/>
      <c r="P102" s="51"/>
      <c r="Q102" s="51"/>
      <c r="R102" s="72"/>
    </row>
    <row r="103" ht="15.75" customHeight="1">
      <c r="A103" s="85"/>
      <c r="B103" s="85"/>
      <c r="C103" s="85"/>
      <c r="D103" s="51"/>
      <c r="E103" s="51"/>
      <c r="F103" s="78"/>
      <c r="G103" s="51"/>
      <c r="H103" s="51"/>
      <c r="I103" s="78"/>
      <c r="J103" s="123" t="s">
        <v>199</v>
      </c>
      <c r="K103" s="51">
        <f>SUM(COUNTIF('Itemization 202506'!L3:L30,J103),COUNTIF('Itemization 202501'!L3:L30,J103),COUNTIF('Itemization 202408'!L3:L30,J103),COUNTIF('Itemization 202406'!L3:L30,J103),COUNTIF('Itemization 202401'!L3:L30,J103),COUNTIF('Itemization 202308'!L3:L30,J103),COUNTIF('Itemization 202306'!L3:L30,J103))</f>
        <v>2</v>
      </c>
      <c r="L103" s="52">
        <f>(K103/K116)</f>
        <v>0.01020408163</v>
      </c>
      <c r="M103" s="51"/>
      <c r="N103" s="51"/>
      <c r="O103" s="78"/>
      <c r="P103" s="51"/>
      <c r="Q103" s="51"/>
      <c r="R103" s="72"/>
    </row>
    <row r="104" ht="15.75" customHeight="1">
      <c r="A104" s="85"/>
      <c r="B104" s="85"/>
      <c r="C104" s="85"/>
      <c r="D104" s="51"/>
      <c r="E104" s="51"/>
      <c r="F104" s="78"/>
      <c r="G104" s="51"/>
      <c r="H104" s="51"/>
      <c r="I104" s="78"/>
      <c r="J104" s="121" t="s">
        <v>200</v>
      </c>
      <c r="K104" s="54">
        <f>SUM(COUNTIF('Itemization 202506'!L3:L30,J104),COUNTIF('Itemization 202501'!L3:L30,J104),COUNTIF('Itemization 202408'!L3:L30,J104),COUNTIF('Itemization 202406'!L3:L30,J104),COUNTIF('Itemization 202401'!L3:L30,J104),COUNTIF('Itemization 202308'!L3:L30,J104),COUNTIF('Itemization 202306'!L3:L30,J104))</f>
        <v>0</v>
      </c>
      <c r="L104" s="55">
        <f>(K104/K116)</f>
        <v>0</v>
      </c>
      <c r="M104" s="51"/>
      <c r="N104" s="51"/>
      <c r="O104" s="78"/>
      <c r="P104" s="51"/>
      <c r="Q104" s="51"/>
      <c r="R104" s="72"/>
    </row>
    <row r="105" ht="15.75" customHeight="1">
      <c r="A105" s="85"/>
      <c r="B105" s="85"/>
      <c r="C105" s="85"/>
      <c r="D105" s="51"/>
      <c r="E105" s="51"/>
      <c r="F105" s="78"/>
      <c r="G105" s="51"/>
      <c r="H105" s="51"/>
      <c r="I105" s="78"/>
      <c r="J105" s="123" t="s">
        <v>201</v>
      </c>
      <c r="K105" s="51">
        <f>SUM(COUNTIF('Itemization 202506'!L3:L30,J105),COUNTIF('Itemization 202501'!L3:L30,J105),COUNTIF('Itemization 202408'!L3:L30,J105),COUNTIF('Itemization 202406'!L3:L30,J105),COUNTIF('Itemization 202401'!L3:L30,J105),COUNTIF('Itemization 202308'!L3:L30,J105),COUNTIF('Itemization 202306'!L3:L30,J105))</f>
        <v>2</v>
      </c>
      <c r="L105" s="52">
        <f>(K105/K116)</f>
        <v>0.01020408163</v>
      </c>
      <c r="M105" s="51"/>
      <c r="N105" s="51"/>
      <c r="O105" s="78"/>
      <c r="P105" s="51"/>
      <c r="Q105" s="51"/>
      <c r="R105" s="72"/>
    </row>
    <row r="106" ht="15.75" customHeight="1">
      <c r="A106" s="85"/>
      <c r="B106" s="85"/>
      <c r="C106" s="85"/>
      <c r="D106" s="51"/>
      <c r="E106" s="51"/>
      <c r="F106" s="78"/>
      <c r="G106" s="51"/>
      <c r="H106" s="51"/>
      <c r="I106" s="78"/>
      <c r="J106" s="121" t="s">
        <v>202</v>
      </c>
      <c r="K106" s="54">
        <f>SUM(COUNTIF('Itemization 202506'!L3:L30,J106),COUNTIF('Itemization 202501'!L3:L30,J106),COUNTIF('Itemization 202408'!L3:L30,J106),COUNTIF('Itemization 202406'!L3:L30,J106),COUNTIF('Itemization 202401'!L3:L30,J106),COUNTIF('Itemization 202308'!L3:L30,J106),COUNTIF('Itemization 202306'!L3:L30,J106))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SUM(COUNTIF('Itemization 202506'!L3:L30,J107),COUNTIF('Itemization 202501'!L3:L30,J107),COUNTIF('Itemization 202408'!L3:L30,J107),COUNTIF('Itemization 202406'!L3:L30,J107),COUNTIF('Itemization 202401'!L3:L30,J107),COUNTIF('Itemization 202308'!L3:L30,J107),COUNTIF('Itemization 202306'!L3:L30,J107))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SUM(COUNTIF('Itemization 202506'!L3:L30,J108),COUNTIF('Itemization 202501'!L3:L30,J108),COUNTIF('Itemization 202408'!L3:L30,J108),COUNTIF('Itemization 202406'!L3:L30,J108),COUNTIF('Itemization 202401'!L3:L30,J108),COUNTIF('Itemization 202308'!L3:L30,J108),COUNTIF('Itemization 202306'!L3:L30,J108))</f>
        <v>0</v>
      </c>
      <c r="L108" s="55">
        <f>(K108/K116)</f>
        <v>0</v>
      </c>
      <c r="M108" s="51"/>
      <c r="N108" s="51"/>
      <c r="O108" s="78"/>
      <c r="P108" s="51"/>
      <c r="Q108" s="51"/>
      <c r="R108" s="72"/>
    </row>
    <row r="109" ht="15.75" customHeight="1">
      <c r="A109" s="85"/>
      <c r="B109" s="85"/>
      <c r="C109" s="85"/>
      <c r="D109" s="51"/>
      <c r="E109" s="51"/>
      <c r="F109" s="78"/>
      <c r="G109" s="51"/>
      <c r="H109" s="51"/>
      <c r="I109" s="78"/>
      <c r="J109" s="123" t="s">
        <v>205</v>
      </c>
      <c r="K109" s="51">
        <f>SUM(COUNTIF('Itemization 202506'!L3:L30,J109),COUNTIF('Itemization 202501'!L3:L30,J109),COUNTIF('Itemization 202408'!L3:L30,J109),COUNTIF('Itemization 202406'!L3:L30,J109),COUNTIF('Itemization 202401'!L3:L30,J109),COUNTIF('Itemization 202308'!L3:L30,J109),COUNTIF('Itemization 202306'!L3:L30,J109))</f>
        <v>2</v>
      </c>
      <c r="L109" s="52">
        <f>(K109/K116)</f>
        <v>0.01020408163</v>
      </c>
      <c r="M109" s="51"/>
      <c r="N109" s="51"/>
      <c r="O109" s="78"/>
      <c r="P109" s="51"/>
      <c r="Q109" s="51"/>
      <c r="R109" s="72"/>
    </row>
    <row r="110" ht="15.75" customHeight="1">
      <c r="A110" s="85"/>
      <c r="B110" s="85"/>
      <c r="C110" s="85"/>
      <c r="D110" s="51"/>
      <c r="E110" s="51"/>
      <c r="F110" s="78"/>
      <c r="G110" s="51"/>
      <c r="H110" s="51"/>
      <c r="I110" s="78"/>
      <c r="J110" s="123" t="s">
        <v>206</v>
      </c>
      <c r="K110" s="51">
        <f>SUM(COUNTIF('Itemization 202506'!L3:L30,J110),COUNTIF('Itemization 202501'!L3:L30,J110),COUNTIF('Itemization 202408'!L3:L30,J110),COUNTIF('Itemization 202406'!L3:L30,J110),COUNTIF('Itemization 202401'!L3:L30,J110),COUNTIF('Itemization 202308'!L3:L30,J110),COUNTIF('Itemization 202306'!L3:L30,J110))</f>
        <v>2</v>
      </c>
      <c r="L110" s="52">
        <f>(K110/K116)</f>
        <v>0.01020408163</v>
      </c>
      <c r="M110" s="51"/>
      <c r="N110" s="51"/>
      <c r="O110" s="78"/>
      <c r="P110" s="51"/>
      <c r="Q110" s="51"/>
      <c r="R110" s="72"/>
    </row>
    <row r="111" ht="15.75" customHeight="1">
      <c r="A111" s="85"/>
      <c r="B111" s="85"/>
      <c r="C111" s="85"/>
      <c r="D111" s="51"/>
      <c r="E111" s="51"/>
      <c r="F111" s="78"/>
      <c r="G111" s="51"/>
      <c r="H111" s="51"/>
      <c r="I111" s="78"/>
      <c r="J111" s="121" t="s">
        <v>207</v>
      </c>
      <c r="K111" s="54">
        <f>SUM(COUNTIF('Itemization 202506'!L3:L30,J111),COUNTIF('Itemization 202501'!L3:L30,J111),COUNTIF('Itemization 202408'!L3:L30,J111),COUNTIF('Itemization 202406'!L3:L30,J111),COUNTIF('Itemization 202401'!L3:L30,J111),COUNTIF('Itemization 202308'!L3:L30,J111),COUNTIF('Itemization 202306'!L3:L30,J111))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SUM(COUNTIF('Itemization 202506'!L3:L30,J112),COUNTIF('Itemization 202501'!L3:L30,J112),COUNTIF('Itemization 202408'!L3:L30,J112),COUNTIF('Itemization 202406'!L3:L30,J112),COUNTIF('Itemization 202401'!L3:L30,J112),COUNTIF('Itemization 202308'!L3:L30,J112),COUNTIF('Itemization 202306'!L3:L30,J112))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SUM(COUNTIF('Itemization 202506'!L3:L30,J113),COUNTIF('Itemization 202501'!L3:L30,J113),COUNTIF('Itemization 202408'!L3:L30,J113),COUNTIF('Itemization 202406'!L3:L30,J113),COUNTIF('Itemization 202401'!L3:L30,J113),COUNTIF('Itemization 202308'!L3:L30,J113),COUNTIF('Itemization 202306'!L3:L30,J113))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SUM(COUNTIF('Itemization 202506'!L3:L30,J114),COUNTIF('Itemization 202501'!L3:L30,J114),COUNTIF('Itemization 202408'!L3:L30,J114),COUNTIF('Itemization 202406'!L3:L30,J114),COUNTIF('Itemization 202401'!L3:L30,J114),COUNTIF('Itemization 202308'!L3:L30,J114),COUNTIF('Itemization 202306'!L3:L30,J114))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SUM(COUNTIF('Itemization 202506'!L3:L30,J115),COUNTIF('Itemization 202501'!L3:L30,J115),COUNTIF('Itemization 202408'!L3:L30,J115),COUNTIF('Itemization 202406'!L3:L30,J115),COUNTIF('Itemization 202401'!L3:L30,J115),COUNTIF('Itemization 202308'!L3:L30,J115),COUNTIF('Itemization 202306'!L3:L30,J115))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196</v>
      </c>
      <c r="L116" s="71">
        <f t="shared" si="4"/>
        <v>1</v>
      </c>
      <c r="M116" s="51"/>
      <c r="N116" s="51"/>
      <c r="O116" s="78"/>
      <c r="P116" s="51"/>
      <c r="Q116" s="51"/>
      <c r="R116" s="72"/>
    </row>
    <row r="117" ht="15.75" customHeight="1">
      <c r="A117" s="85"/>
      <c r="B117" s="85"/>
      <c r="C117" s="85"/>
      <c r="D117" s="51"/>
      <c r="E117" s="51"/>
      <c r="F117" s="78"/>
      <c r="G117" s="51"/>
      <c r="H117" s="51"/>
      <c r="I117" s="78"/>
      <c r="J117" s="127"/>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7.63"/>
  </cols>
  <sheetData>
    <row r="1">
      <c r="A1" s="92"/>
      <c r="B1" s="92"/>
      <c r="C1" s="92"/>
      <c r="D1" s="92"/>
      <c r="E1" s="92"/>
      <c r="F1" s="92"/>
      <c r="G1" s="92"/>
      <c r="H1" s="92"/>
      <c r="I1" s="92"/>
      <c r="J1" s="92"/>
      <c r="K1" s="92"/>
      <c r="L1" s="92"/>
      <c r="M1" s="92"/>
      <c r="N1" s="92"/>
      <c r="O1" s="92"/>
      <c r="P1" s="92"/>
      <c r="Q1" s="92"/>
      <c r="R1" s="92"/>
      <c r="S1" s="92"/>
      <c r="T1" s="92"/>
      <c r="U1" s="92"/>
      <c r="V1" s="92"/>
      <c r="W1" s="92"/>
    </row>
    <row r="2">
      <c r="A2" s="92"/>
      <c r="B2" s="92"/>
      <c r="C2" s="92"/>
      <c r="D2" s="92"/>
      <c r="E2" s="92"/>
      <c r="F2" s="92"/>
      <c r="G2" s="92"/>
      <c r="H2" s="92"/>
      <c r="I2" s="92"/>
      <c r="J2" s="92"/>
      <c r="K2" s="92"/>
      <c r="L2" s="92"/>
      <c r="M2" s="92"/>
      <c r="N2" s="92"/>
      <c r="O2" s="92"/>
      <c r="P2" s="92"/>
      <c r="Q2" s="92"/>
      <c r="R2" s="92"/>
      <c r="S2" s="92"/>
      <c r="T2" s="92"/>
      <c r="U2" s="92"/>
      <c r="V2" s="92"/>
      <c r="W2" s="92"/>
    </row>
    <row r="3">
      <c r="A3" s="92"/>
      <c r="B3" s="92"/>
      <c r="C3" s="92"/>
      <c r="D3" s="92"/>
      <c r="E3" s="92"/>
      <c r="F3" s="92"/>
      <c r="G3" s="92"/>
      <c r="H3" s="92"/>
      <c r="I3" s="92"/>
      <c r="J3" s="92"/>
      <c r="K3" s="92"/>
      <c r="L3" s="92"/>
      <c r="M3" s="92"/>
      <c r="N3" s="92"/>
      <c r="O3" s="92"/>
      <c r="P3" s="92"/>
      <c r="Q3" s="92"/>
      <c r="R3" s="92"/>
      <c r="S3" s="92"/>
      <c r="T3" s="92"/>
      <c r="U3" s="92"/>
      <c r="V3" s="92"/>
      <c r="W3" s="92"/>
    </row>
    <row r="4">
      <c r="A4" s="92"/>
      <c r="B4" s="92"/>
      <c r="C4" s="92"/>
      <c r="D4" s="92"/>
      <c r="E4" s="92"/>
      <c r="F4" s="92"/>
      <c r="G4" s="92"/>
      <c r="H4" s="92"/>
      <c r="I4" s="92"/>
      <c r="J4" s="92"/>
      <c r="K4" s="92"/>
      <c r="L4" s="92"/>
      <c r="M4" s="92"/>
      <c r="N4" s="92"/>
      <c r="O4" s="92"/>
      <c r="P4" s="92"/>
      <c r="Q4" s="92"/>
      <c r="R4" s="92"/>
      <c r="S4" s="92"/>
      <c r="T4" s="92"/>
      <c r="U4" s="92"/>
      <c r="V4" s="92"/>
      <c r="W4" s="92"/>
    </row>
    <row r="5">
      <c r="A5" s="92"/>
      <c r="B5" s="92"/>
      <c r="C5" s="92"/>
      <c r="D5" s="92"/>
      <c r="E5" s="92"/>
      <c r="F5" s="92"/>
      <c r="G5" s="92"/>
      <c r="H5" s="92"/>
      <c r="I5" s="92"/>
      <c r="J5" s="92"/>
      <c r="K5" s="92"/>
      <c r="L5" s="92"/>
      <c r="M5" s="92"/>
      <c r="N5" s="92"/>
      <c r="O5" s="92"/>
      <c r="P5" s="92"/>
      <c r="Q5" s="92"/>
      <c r="R5" s="92"/>
      <c r="S5" s="92"/>
      <c r="T5" s="92"/>
      <c r="U5" s="92"/>
      <c r="V5" s="92"/>
      <c r="W5" s="92"/>
    </row>
    <row r="6">
      <c r="A6" s="92"/>
      <c r="B6" s="92"/>
      <c r="C6" s="92"/>
      <c r="D6" s="92"/>
      <c r="E6" s="92"/>
      <c r="F6" s="92"/>
      <c r="G6" s="92"/>
      <c r="H6" s="92"/>
      <c r="I6" s="92"/>
      <c r="J6" s="92"/>
      <c r="K6" s="92"/>
      <c r="L6" s="92"/>
      <c r="M6" s="92"/>
      <c r="N6" s="92"/>
      <c r="O6" s="92"/>
      <c r="P6" s="92"/>
      <c r="Q6" s="92"/>
      <c r="R6" s="92"/>
      <c r="S6" s="92"/>
      <c r="T6" s="92"/>
      <c r="U6" s="92"/>
      <c r="V6" s="92"/>
      <c r="W6" s="92"/>
    </row>
    <row r="7">
      <c r="A7" s="92"/>
      <c r="B7" s="92"/>
      <c r="C7" s="92"/>
      <c r="D7" s="92"/>
      <c r="E7" s="92"/>
      <c r="F7" s="92"/>
      <c r="G7" s="92"/>
      <c r="H7" s="92"/>
      <c r="I7" s="92"/>
      <c r="J7" s="92"/>
      <c r="K7" s="92"/>
      <c r="L7" s="92"/>
      <c r="M7" s="92"/>
      <c r="N7" s="92"/>
      <c r="O7" s="92"/>
      <c r="P7" s="92"/>
      <c r="Q7" s="92"/>
      <c r="R7" s="92"/>
      <c r="S7" s="92"/>
      <c r="T7" s="92"/>
      <c r="U7" s="92"/>
      <c r="V7" s="92"/>
      <c r="W7" s="92"/>
    </row>
    <row r="8">
      <c r="A8" s="92"/>
      <c r="B8" s="92"/>
      <c r="C8" s="92"/>
      <c r="D8" s="92"/>
      <c r="E8" s="92"/>
      <c r="F8" s="92"/>
      <c r="G8" s="92"/>
      <c r="H8" s="92"/>
      <c r="I8" s="92"/>
      <c r="J8" s="92"/>
      <c r="K8" s="92"/>
      <c r="L8" s="92"/>
      <c r="M8" s="92"/>
      <c r="N8" s="92"/>
      <c r="O8" s="92"/>
      <c r="P8" s="92"/>
      <c r="Q8" s="92"/>
      <c r="R8" s="92"/>
      <c r="S8" s="92"/>
      <c r="T8" s="92"/>
      <c r="U8" s="92"/>
      <c r="V8" s="92"/>
      <c r="W8" s="92"/>
    </row>
    <row r="9">
      <c r="A9" s="92"/>
      <c r="B9" s="92"/>
      <c r="C9" s="92"/>
      <c r="D9" s="92"/>
      <c r="E9" s="92"/>
      <c r="F9" s="92"/>
      <c r="G9" s="92"/>
      <c r="H9" s="92"/>
      <c r="I9" s="92"/>
      <c r="J9" s="92"/>
      <c r="K9" s="92"/>
      <c r="L9" s="92"/>
      <c r="M9" s="92"/>
      <c r="N9" s="92"/>
      <c r="O9" s="92"/>
      <c r="P9" s="92"/>
      <c r="Q9" s="92"/>
      <c r="R9" s="92"/>
      <c r="S9" s="92"/>
      <c r="T9" s="92"/>
      <c r="U9" s="92"/>
      <c r="V9" s="92"/>
      <c r="W9" s="92"/>
    </row>
    <row r="10">
      <c r="A10" s="92"/>
      <c r="B10" s="92"/>
      <c r="C10" s="92"/>
      <c r="D10" s="92"/>
      <c r="E10" s="92"/>
      <c r="F10" s="92"/>
      <c r="G10" s="92"/>
      <c r="H10" s="92"/>
      <c r="I10" s="92"/>
      <c r="J10" s="92"/>
      <c r="K10" s="92"/>
      <c r="L10" s="92"/>
      <c r="M10" s="92"/>
      <c r="N10" s="92"/>
      <c r="O10" s="92"/>
      <c r="P10" s="92"/>
      <c r="Q10" s="92"/>
      <c r="R10" s="92"/>
      <c r="S10" s="92"/>
      <c r="T10" s="92"/>
      <c r="U10" s="92"/>
      <c r="V10" s="92"/>
      <c r="W10" s="92"/>
    </row>
    <row r="11">
      <c r="A11" s="92"/>
      <c r="B11" s="92"/>
      <c r="C11" s="92"/>
      <c r="D11" s="92"/>
      <c r="E11" s="92"/>
      <c r="F11" s="92"/>
      <c r="G11" s="92"/>
      <c r="H11" s="92"/>
      <c r="I11" s="92"/>
      <c r="J11" s="92"/>
      <c r="K11" s="92"/>
      <c r="L11" s="92"/>
      <c r="M11" s="92"/>
      <c r="N11" s="92"/>
      <c r="O11" s="92"/>
      <c r="P11" s="92"/>
      <c r="Q11" s="92"/>
      <c r="R11" s="92"/>
      <c r="S11" s="92"/>
      <c r="T11" s="92"/>
      <c r="U11" s="92"/>
      <c r="V11" s="92"/>
      <c r="W11" s="92"/>
    </row>
    <row r="12">
      <c r="A12" s="92"/>
      <c r="B12" s="92"/>
      <c r="C12" s="92"/>
      <c r="D12" s="92"/>
      <c r="E12" s="92"/>
      <c r="F12" s="92"/>
      <c r="G12" s="92"/>
      <c r="H12" s="92"/>
      <c r="I12" s="92"/>
      <c r="J12" s="92"/>
      <c r="K12" s="92"/>
      <c r="L12" s="92"/>
      <c r="M12" s="92"/>
      <c r="N12" s="92"/>
      <c r="O12" s="92"/>
      <c r="P12" s="92"/>
      <c r="Q12" s="92"/>
      <c r="R12" s="92"/>
      <c r="S12" s="92"/>
      <c r="T12" s="92"/>
      <c r="U12" s="92"/>
      <c r="V12" s="92"/>
      <c r="W12" s="92"/>
    </row>
    <row r="13">
      <c r="A13" s="92"/>
      <c r="B13" s="92"/>
      <c r="C13" s="92"/>
      <c r="D13" s="92"/>
      <c r="E13" s="92"/>
      <c r="F13" s="92"/>
      <c r="G13" s="92"/>
      <c r="H13" s="92"/>
      <c r="I13" s="92"/>
      <c r="J13" s="92"/>
      <c r="K13" s="92"/>
      <c r="L13" s="92"/>
      <c r="M13" s="92"/>
      <c r="N13" s="92"/>
      <c r="O13" s="92"/>
      <c r="P13" s="92"/>
      <c r="Q13" s="92"/>
      <c r="R13" s="92"/>
      <c r="S13" s="92"/>
      <c r="T13" s="92"/>
      <c r="U13" s="92"/>
      <c r="V13" s="92"/>
      <c r="W13" s="92"/>
    </row>
    <row r="14">
      <c r="A14" s="92"/>
      <c r="B14" s="92"/>
      <c r="C14" s="92"/>
      <c r="D14" s="92"/>
      <c r="E14" s="92"/>
      <c r="F14" s="92"/>
      <c r="G14" s="92"/>
      <c r="H14" s="92"/>
      <c r="I14" s="92"/>
      <c r="J14" s="92"/>
      <c r="K14" s="92"/>
      <c r="L14" s="92"/>
      <c r="M14" s="92"/>
      <c r="N14" s="92"/>
      <c r="O14" s="92"/>
      <c r="P14" s="92"/>
      <c r="Q14" s="92"/>
      <c r="R14" s="92"/>
      <c r="S14" s="92"/>
      <c r="T14" s="92"/>
      <c r="U14" s="92"/>
      <c r="V14" s="92"/>
      <c r="W14" s="92"/>
    </row>
    <row r="15">
      <c r="A15" s="92"/>
      <c r="B15" s="92"/>
      <c r="C15" s="92"/>
      <c r="D15" s="92"/>
      <c r="E15" s="92"/>
      <c r="F15" s="92"/>
      <c r="G15" s="92"/>
      <c r="H15" s="92"/>
      <c r="I15" s="92"/>
      <c r="J15" s="92"/>
      <c r="K15" s="92"/>
      <c r="L15" s="92"/>
      <c r="M15" s="92"/>
      <c r="N15" s="92"/>
      <c r="O15" s="92"/>
      <c r="P15" s="92"/>
      <c r="Q15" s="92"/>
      <c r="R15" s="92"/>
      <c r="S15" s="92"/>
      <c r="T15" s="92"/>
      <c r="U15" s="92"/>
      <c r="V15" s="92"/>
      <c r="W15" s="92"/>
    </row>
    <row r="16">
      <c r="A16" s="92"/>
      <c r="B16" s="92"/>
      <c r="C16" s="92"/>
      <c r="D16" s="92"/>
      <c r="E16" s="92"/>
      <c r="F16" s="92"/>
      <c r="G16" s="92"/>
      <c r="H16" s="92"/>
      <c r="I16" s="92"/>
      <c r="J16" s="92"/>
      <c r="K16" s="92"/>
      <c r="L16" s="92"/>
      <c r="M16" s="92"/>
      <c r="N16" s="92"/>
      <c r="O16" s="92"/>
      <c r="P16" s="92"/>
      <c r="Q16" s="92"/>
      <c r="R16" s="92"/>
      <c r="S16" s="92"/>
      <c r="T16" s="92"/>
      <c r="U16" s="92"/>
      <c r="V16" s="92"/>
      <c r="W16" s="92"/>
    </row>
    <row r="17">
      <c r="A17" s="92"/>
      <c r="B17" s="92"/>
      <c r="C17" s="92"/>
      <c r="D17" s="92"/>
      <c r="E17" s="92"/>
      <c r="F17" s="92"/>
      <c r="G17" s="92"/>
      <c r="H17" s="92"/>
      <c r="I17" s="92"/>
      <c r="J17" s="92"/>
      <c r="K17" s="92"/>
      <c r="L17" s="92"/>
      <c r="M17" s="92"/>
      <c r="N17" s="92"/>
      <c r="O17" s="92"/>
      <c r="P17" s="92"/>
      <c r="Q17" s="92"/>
      <c r="R17" s="92"/>
      <c r="S17" s="92"/>
      <c r="T17" s="92"/>
      <c r="U17" s="92"/>
      <c r="V17" s="92"/>
      <c r="W17" s="92"/>
    </row>
    <row r="18">
      <c r="A18" s="92"/>
      <c r="B18" s="92"/>
      <c r="C18" s="92"/>
      <c r="D18" s="92"/>
      <c r="E18" s="92"/>
      <c r="F18" s="92"/>
      <c r="G18" s="92"/>
      <c r="H18" s="92"/>
      <c r="I18" s="92"/>
      <c r="J18" s="92"/>
      <c r="K18" s="92"/>
      <c r="L18" s="92"/>
      <c r="M18" s="92"/>
      <c r="N18" s="92"/>
      <c r="O18" s="92"/>
      <c r="P18" s="92"/>
      <c r="Q18" s="92"/>
      <c r="R18" s="92"/>
      <c r="S18" s="92"/>
      <c r="T18" s="92"/>
      <c r="U18" s="92"/>
      <c r="V18" s="92"/>
      <c r="W18" s="92"/>
    </row>
    <row r="19">
      <c r="A19" s="92"/>
      <c r="B19" s="92"/>
      <c r="C19" s="92"/>
      <c r="D19" s="92"/>
      <c r="E19" s="92"/>
      <c r="F19" s="92"/>
      <c r="G19" s="92"/>
      <c r="H19" s="92"/>
      <c r="I19" s="92"/>
      <c r="J19" s="92"/>
      <c r="K19" s="92"/>
      <c r="L19" s="92"/>
      <c r="M19" s="92"/>
      <c r="N19" s="92"/>
      <c r="O19" s="92"/>
      <c r="P19" s="92"/>
      <c r="Q19" s="92"/>
      <c r="R19" s="92"/>
      <c r="S19" s="92"/>
      <c r="T19" s="92"/>
      <c r="U19" s="92"/>
      <c r="V19" s="92"/>
      <c r="W19" s="92"/>
    </row>
    <row r="20">
      <c r="A20" s="92"/>
      <c r="B20" s="92"/>
      <c r="C20" s="92"/>
      <c r="D20" s="92"/>
      <c r="E20" s="92"/>
      <c r="F20" s="92"/>
      <c r="G20" s="92"/>
      <c r="H20" s="92"/>
      <c r="I20" s="92"/>
      <c r="J20" s="92"/>
      <c r="K20" s="92"/>
      <c r="L20" s="92"/>
      <c r="M20" s="92"/>
      <c r="N20" s="92"/>
      <c r="O20" s="92"/>
      <c r="P20" s="92"/>
      <c r="Q20" s="92"/>
      <c r="R20" s="92"/>
      <c r="S20" s="92"/>
      <c r="T20" s="92"/>
      <c r="U20" s="92"/>
      <c r="V20" s="92"/>
      <c r="W20" s="92"/>
    </row>
    <row r="21">
      <c r="A21" s="92"/>
      <c r="B21" s="92"/>
      <c r="C21" s="92"/>
      <c r="D21" s="92"/>
      <c r="E21" s="92"/>
      <c r="F21" s="92"/>
      <c r="G21" s="92"/>
      <c r="H21" s="92"/>
      <c r="I21" s="92"/>
      <c r="J21" s="92"/>
      <c r="K21" s="92"/>
      <c r="L21" s="92"/>
      <c r="M21" s="92"/>
      <c r="N21" s="92"/>
      <c r="O21" s="92"/>
      <c r="P21" s="92"/>
      <c r="Q21" s="92"/>
      <c r="R21" s="92"/>
      <c r="S21" s="92"/>
      <c r="T21" s="92"/>
      <c r="U21" s="92"/>
      <c r="V21" s="92"/>
      <c r="W21" s="92"/>
    </row>
    <row r="22">
      <c r="A22" s="92"/>
      <c r="B22" s="92"/>
      <c r="C22" s="92"/>
      <c r="D22" s="92"/>
      <c r="E22" s="92"/>
      <c r="F22" s="92"/>
      <c r="G22" s="92"/>
      <c r="H22" s="92"/>
      <c r="I22" s="92"/>
      <c r="J22" s="92"/>
      <c r="K22" s="92"/>
      <c r="L22" s="92"/>
      <c r="M22" s="92"/>
      <c r="N22" s="92"/>
      <c r="O22" s="92"/>
      <c r="P22" s="92"/>
      <c r="Q22" s="92"/>
      <c r="R22" s="92"/>
      <c r="S22" s="92"/>
      <c r="T22" s="92"/>
      <c r="U22" s="92"/>
      <c r="V22" s="92"/>
      <c r="W22" s="92"/>
    </row>
    <row r="23">
      <c r="A23" s="92"/>
      <c r="B23" s="92"/>
      <c r="C23" s="92"/>
      <c r="D23" s="92"/>
      <c r="E23" s="92"/>
      <c r="F23" s="92"/>
      <c r="G23" s="92"/>
      <c r="H23" s="92"/>
      <c r="I23" s="92"/>
      <c r="J23" s="92"/>
      <c r="K23" s="92"/>
      <c r="L23" s="92"/>
      <c r="M23" s="92"/>
      <c r="N23" s="92"/>
      <c r="O23" s="92"/>
      <c r="P23" s="92"/>
      <c r="Q23" s="92"/>
      <c r="R23" s="92"/>
      <c r="S23" s="92"/>
      <c r="T23" s="92"/>
      <c r="U23" s="92"/>
      <c r="V23" s="92"/>
      <c r="W23" s="92"/>
    </row>
    <row r="24">
      <c r="A24" s="92"/>
      <c r="B24" s="92"/>
      <c r="C24" s="92"/>
      <c r="D24" s="92"/>
      <c r="E24" s="92"/>
      <c r="F24" s="92"/>
      <c r="G24" s="92"/>
      <c r="H24" s="92"/>
      <c r="I24" s="92"/>
      <c r="J24" s="92"/>
      <c r="K24" s="92"/>
      <c r="L24" s="92"/>
      <c r="M24" s="92"/>
      <c r="N24" s="92"/>
      <c r="O24" s="92"/>
      <c r="P24" s="92"/>
      <c r="Q24" s="92"/>
      <c r="R24" s="92"/>
      <c r="S24" s="92"/>
      <c r="T24" s="92"/>
      <c r="U24" s="92"/>
      <c r="V24" s="92"/>
      <c r="W24" s="92"/>
    </row>
    <row r="25">
      <c r="A25" s="92"/>
      <c r="B25" s="92"/>
      <c r="C25" s="92"/>
      <c r="D25" s="92"/>
      <c r="E25" s="92"/>
      <c r="F25" s="92"/>
      <c r="G25" s="92"/>
      <c r="H25" s="92"/>
      <c r="I25" s="92"/>
      <c r="J25" s="92"/>
      <c r="K25" s="92"/>
      <c r="L25" s="92"/>
      <c r="M25" s="92"/>
      <c r="N25" s="92"/>
      <c r="O25" s="92"/>
      <c r="P25" s="92"/>
      <c r="Q25" s="92"/>
      <c r="R25" s="92"/>
      <c r="S25" s="92"/>
      <c r="T25" s="92"/>
      <c r="U25" s="92"/>
      <c r="V25" s="92"/>
      <c r="W25" s="92"/>
    </row>
    <row r="26">
      <c r="A26" s="92"/>
      <c r="B26" s="92"/>
      <c r="C26" s="92"/>
      <c r="D26" s="92"/>
      <c r="E26" s="92"/>
      <c r="F26" s="92"/>
      <c r="G26" s="92"/>
      <c r="H26" s="92"/>
      <c r="I26" s="92"/>
      <c r="J26" s="92"/>
      <c r="K26" s="92"/>
      <c r="L26" s="92"/>
      <c r="M26" s="92"/>
      <c r="N26" s="92"/>
      <c r="O26" s="92"/>
      <c r="P26" s="92"/>
      <c r="Q26" s="92"/>
      <c r="R26" s="92"/>
      <c r="S26" s="92"/>
      <c r="T26" s="92"/>
      <c r="U26" s="92"/>
      <c r="V26" s="92"/>
      <c r="W26" s="92"/>
    </row>
    <row r="27">
      <c r="A27" s="92"/>
      <c r="B27" s="92"/>
      <c r="C27" s="92"/>
      <c r="D27" s="92"/>
      <c r="E27" s="92"/>
      <c r="F27" s="92"/>
      <c r="G27" s="92"/>
      <c r="H27" s="92"/>
      <c r="I27" s="92"/>
      <c r="J27" s="92"/>
      <c r="K27" s="92"/>
      <c r="L27" s="92"/>
      <c r="M27" s="92"/>
      <c r="N27" s="92"/>
      <c r="O27" s="92"/>
      <c r="P27" s="92"/>
      <c r="Q27" s="92"/>
      <c r="R27" s="92"/>
      <c r="S27" s="92"/>
      <c r="T27" s="92"/>
      <c r="U27" s="92"/>
      <c r="V27" s="92"/>
      <c r="W27" s="92"/>
    </row>
    <row r="28">
      <c r="A28" s="92"/>
      <c r="B28" s="92"/>
      <c r="C28" s="92"/>
      <c r="D28" s="92"/>
      <c r="E28" s="92"/>
      <c r="F28" s="92"/>
      <c r="G28" s="92"/>
      <c r="H28" s="92"/>
      <c r="I28" s="92"/>
      <c r="J28" s="92"/>
      <c r="K28" s="92"/>
      <c r="L28" s="92"/>
      <c r="M28" s="92"/>
      <c r="N28" s="92"/>
      <c r="O28" s="92"/>
      <c r="P28" s="92"/>
      <c r="Q28" s="92"/>
      <c r="R28" s="92"/>
      <c r="S28" s="92"/>
      <c r="T28" s="92"/>
      <c r="U28" s="92"/>
      <c r="V28" s="92"/>
      <c r="W28" s="92"/>
    </row>
    <row r="29">
      <c r="A29" s="92"/>
      <c r="B29" s="92"/>
      <c r="C29" s="92"/>
      <c r="D29" s="92"/>
      <c r="E29" s="92"/>
      <c r="F29" s="92"/>
      <c r="G29" s="92"/>
      <c r="H29" s="92"/>
      <c r="I29" s="92"/>
      <c r="J29" s="92"/>
      <c r="K29" s="92"/>
      <c r="L29" s="92"/>
      <c r="M29" s="92"/>
      <c r="N29" s="92"/>
      <c r="O29" s="92"/>
      <c r="P29" s="92"/>
      <c r="Q29" s="92"/>
      <c r="R29" s="92"/>
      <c r="S29" s="92"/>
      <c r="T29" s="92"/>
      <c r="U29" s="92"/>
      <c r="V29" s="92"/>
      <c r="W29" s="92"/>
    </row>
    <row r="30">
      <c r="A30" s="92"/>
      <c r="B30" s="92"/>
      <c r="C30" s="92"/>
      <c r="D30" s="92"/>
      <c r="E30" s="92"/>
      <c r="F30" s="92"/>
      <c r="G30" s="92"/>
      <c r="H30" s="92"/>
      <c r="I30" s="92"/>
      <c r="J30" s="92"/>
      <c r="K30" s="92"/>
      <c r="L30" s="92"/>
      <c r="M30" s="92"/>
      <c r="N30" s="92"/>
      <c r="O30" s="92"/>
      <c r="P30" s="92"/>
      <c r="Q30" s="92"/>
      <c r="R30" s="92"/>
      <c r="S30" s="92"/>
      <c r="T30" s="92"/>
      <c r="U30" s="92"/>
      <c r="V30" s="92"/>
      <c r="W30" s="92"/>
    </row>
    <row r="31">
      <c r="A31" s="92"/>
      <c r="B31" s="92"/>
      <c r="C31" s="92"/>
      <c r="D31" s="92"/>
      <c r="E31" s="92"/>
      <c r="F31" s="92"/>
      <c r="G31" s="92"/>
      <c r="H31" s="92"/>
      <c r="I31" s="92"/>
      <c r="J31" s="92"/>
      <c r="K31" s="92"/>
      <c r="L31" s="92"/>
      <c r="M31" s="92"/>
      <c r="N31" s="92"/>
      <c r="O31" s="92"/>
      <c r="P31" s="92"/>
      <c r="Q31" s="92"/>
      <c r="R31" s="92"/>
      <c r="S31" s="92"/>
      <c r="T31" s="92"/>
      <c r="U31" s="92"/>
      <c r="V31" s="92"/>
      <c r="W31" s="92"/>
    </row>
    <row r="32">
      <c r="A32" s="92"/>
      <c r="B32" s="92"/>
      <c r="C32" s="92"/>
      <c r="D32" s="92"/>
      <c r="E32" s="92"/>
      <c r="F32" s="92"/>
      <c r="G32" s="92"/>
      <c r="H32" s="92"/>
      <c r="I32" s="92"/>
      <c r="J32" s="92"/>
      <c r="K32" s="92"/>
      <c r="L32" s="92"/>
      <c r="M32" s="92"/>
      <c r="N32" s="92"/>
      <c r="O32" s="92"/>
      <c r="P32" s="92"/>
      <c r="Q32" s="92"/>
      <c r="R32" s="92"/>
      <c r="S32" s="92"/>
      <c r="T32" s="92"/>
      <c r="U32" s="92"/>
      <c r="V32" s="92"/>
      <c r="W32" s="92"/>
    </row>
    <row r="33">
      <c r="A33" s="92"/>
      <c r="B33" s="92"/>
      <c r="C33" s="92"/>
      <c r="D33" s="92"/>
      <c r="E33" s="92"/>
      <c r="F33" s="92"/>
      <c r="G33" s="92"/>
      <c r="H33" s="92"/>
      <c r="I33" s="92"/>
      <c r="J33" s="92"/>
      <c r="K33" s="92"/>
      <c r="L33" s="92"/>
      <c r="M33" s="92"/>
      <c r="N33" s="92"/>
      <c r="O33" s="92"/>
      <c r="P33" s="92"/>
      <c r="Q33" s="92"/>
      <c r="R33" s="92"/>
      <c r="S33" s="92"/>
      <c r="T33" s="92"/>
      <c r="U33" s="92"/>
      <c r="V33" s="92"/>
      <c r="W33" s="92"/>
    </row>
    <row r="34">
      <c r="A34" s="92"/>
      <c r="B34" s="92"/>
      <c r="C34" s="92"/>
      <c r="D34" s="92"/>
      <c r="E34" s="92"/>
      <c r="F34" s="92"/>
      <c r="G34" s="92"/>
      <c r="H34" s="92"/>
      <c r="I34" s="92"/>
      <c r="J34" s="92"/>
      <c r="K34" s="92"/>
      <c r="L34" s="92"/>
      <c r="M34" s="92"/>
      <c r="N34" s="92"/>
      <c r="O34" s="92"/>
      <c r="P34" s="92"/>
      <c r="Q34" s="92"/>
      <c r="R34" s="92"/>
      <c r="S34" s="92"/>
      <c r="T34" s="92"/>
      <c r="U34" s="92"/>
      <c r="V34" s="92"/>
      <c r="W34" s="92"/>
    </row>
    <row r="35">
      <c r="A35" s="92"/>
      <c r="B35" s="92"/>
      <c r="C35" s="92"/>
      <c r="D35" s="92"/>
      <c r="E35" s="92"/>
      <c r="F35" s="92"/>
      <c r="G35" s="92"/>
      <c r="H35" s="92"/>
      <c r="I35" s="92"/>
      <c r="J35" s="92"/>
      <c r="K35" s="92"/>
      <c r="L35" s="92"/>
      <c r="M35" s="92"/>
      <c r="N35" s="92"/>
      <c r="O35" s="92"/>
      <c r="P35" s="92"/>
      <c r="Q35" s="92"/>
      <c r="R35" s="92"/>
      <c r="S35" s="92"/>
      <c r="T35" s="92"/>
      <c r="U35" s="92"/>
      <c r="V35" s="92"/>
      <c r="W35" s="92"/>
    </row>
    <row r="36">
      <c r="A36" s="92"/>
      <c r="B36" s="92"/>
      <c r="C36" s="92"/>
      <c r="D36" s="92"/>
      <c r="E36" s="92"/>
      <c r="F36" s="92"/>
      <c r="G36" s="92"/>
      <c r="H36" s="92"/>
      <c r="I36" s="92"/>
      <c r="J36" s="92"/>
      <c r="K36" s="92"/>
      <c r="L36" s="92"/>
      <c r="M36" s="92"/>
      <c r="N36" s="92"/>
      <c r="O36" s="92"/>
      <c r="P36" s="92"/>
      <c r="Q36" s="92"/>
      <c r="R36" s="92"/>
      <c r="S36" s="92"/>
      <c r="T36" s="92"/>
      <c r="U36" s="92"/>
      <c r="V36" s="92"/>
      <c r="W36" s="92"/>
    </row>
    <row r="37">
      <c r="A37" s="92"/>
      <c r="B37" s="92"/>
      <c r="C37" s="92"/>
      <c r="D37" s="92"/>
      <c r="E37" s="92"/>
      <c r="F37" s="92"/>
      <c r="G37" s="92"/>
      <c r="H37" s="92"/>
      <c r="I37" s="92"/>
      <c r="J37" s="92"/>
      <c r="K37" s="92"/>
      <c r="L37" s="92"/>
      <c r="M37" s="92"/>
      <c r="N37" s="92"/>
      <c r="O37" s="92"/>
      <c r="P37" s="92"/>
      <c r="Q37" s="92"/>
      <c r="R37" s="92"/>
      <c r="S37" s="92"/>
      <c r="T37" s="92"/>
      <c r="U37" s="92"/>
      <c r="V37" s="92"/>
      <c r="W37" s="92"/>
    </row>
    <row r="38">
      <c r="A38" s="92"/>
      <c r="B38" s="92"/>
      <c r="C38" s="92"/>
      <c r="D38" s="92"/>
      <c r="E38" s="92"/>
      <c r="F38" s="92"/>
      <c r="G38" s="92"/>
      <c r="H38" s="92"/>
      <c r="I38" s="92"/>
      <c r="J38" s="92"/>
      <c r="K38" s="92"/>
      <c r="L38" s="92"/>
      <c r="M38" s="92"/>
      <c r="N38" s="92"/>
      <c r="O38" s="92"/>
      <c r="P38" s="92"/>
      <c r="Q38" s="92"/>
      <c r="R38" s="92"/>
      <c r="S38" s="92"/>
      <c r="T38" s="92"/>
      <c r="U38" s="92"/>
      <c r="V38" s="92"/>
      <c r="W38" s="92"/>
    </row>
    <row r="39">
      <c r="A39" s="92"/>
      <c r="B39" s="92"/>
      <c r="C39" s="92"/>
      <c r="D39" s="92"/>
      <c r="E39" s="92"/>
      <c r="F39" s="92"/>
      <c r="G39" s="92"/>
      <c r="H39" s="92"/>
      <c r="I39" s="92"/>
      <c r="J39" s="92"/>
      <c r="K39" s="92"/>
      <c r="L39" s="92"/>
      <c r="M39" s="92"/>
      <c r="N39" s="92"/>
      <c r="O39" s="92"/>
      <c r="P39" s="92"/>
      <c r="Q39" s="92"/>
      <c r="R39" s="92"/>
      <c r="S39" s="92"/>
      <c r="T39" s="92"/>
      <c r="U39" s="92"/>
      <c r="V39" s="92"/>
      <c r="W39" s="92"/>
    </row>
    <row r="40">
      <c r="A40" s="92"/>
      <c r="B40" s="92"/>
      <c r="C40" s="92"/>
      <c r="D40" s="92"/>
      <c r="E40" s="92"/>
      <c r="F40" s="92"/>
      <c r="G40" s="92"/>
      <c r="H40" s="92"/>
      <c r="I40" s="92"/>
      <c r="J40" s="92"/>
      <c r="K40" s="92"/>
      <c r="L40" s="92"/>
      <c r="M40" s="92"/>
      <c r="N40" s="92"/>
      <c r="O40" s="92"/>
      <c r="P40" s="92"/>
      <c r="Q40" s="92"/>
      <c r="R40" s="92"/>
      <c r="S40" s="92"/>
      <c r="T40" s="92"/>
      <c r="U40" s="92"/>
      <c r="V40" s="92"/>
      <c r="W40" s="92"/>
    </row>
    <row r="41">
      <c r="A41" s="92"/>
      <c r="B41" s="92"/>
      <c r="C41" s="92"/>
      <c r="D41" s="92"/>
      <c r="E41" s="92"/>
      <c r="F41" s="92"/>
      <c r="G41" s="92"/>
      <c r="H41" s="92"/>
      <c r="I41" s="92"/>
      <c r="J41" s="92"/>
      <c r="K41" s="92"/>
      <c r="L41" s="92"/>
      <c r="M41" s="92"/>
      <c r="N41" s="92"/>
      <c r="O41" s="92"/>
      <c r="P41" s="92"/>
      <c r="Q41" s="92"/>
      <c r="R41" s="92"/>
      <c r="S41" s="92"/>
      <c r="T41" s="92"/>
      <c r="U41" s="92"/>
      <c r="V41" s="92"/>
      <c r="W41" s="92"/>
    </row>
    <row r="42">
      <c r="A42" s="92"/>
      <c r="B42" s="92"/>
      <c r="C42" s="92"/>
      <c r="D42" s="92"/>
      <c r="E42" s="92"/>
      <c r="F42" s="92"/>
      <c r="G42" s="92"/>
      <c r="H42" s="92"/>
      <c r="I42" s="92"/>
      <c r="J42" s="92"/>
      <c r="K42" s="92"/>
      <c r="L42" s="92"/>
      <c r="M42" s="92"/>
      <c r="N42" s="92"/>
      <c r="O42" s="92"/>
      <c r="P42" s="92"/>
      <c r="Q42" s="92"/>
      <c r="R42" s="92"/>
      <c r="S42" s="92"/>
      <c r="T42" s="92"/>
      <c r="U42" s="92"/>
      <c r="V42" s="92"/>
      <c r="W42" s="92"/>
    </row>
    <row r="43">
      <c r="A43" s="92"/>
      <c r="B43" s="92"/>
      <c r="C43" s="92"/>
      <c r="D43" s="92"/>
      <c r="E43" s="92"/>
      <c r="F43" s="92"/>
      <c r="G43" s="92"/>
      <c r="H43" s="92"/>
      <c r="I43" s="92"/>
      <c r="J43" s="92"/>
      <c r="K43" s="92"/>
      <c r="L43" s="92"/>
      <c r="M43" s="92"/>
      <c r="N43" s="92"/>
      <c r="O43" s="92"/>
      <c r="P43" s="92"/>
      <c r="Q43" s="92"/>
      <c r="R43" s="92"/>
      <c r="S43" s="92"/>
      <c r="T43" s="92"/>
      <c r="U43" s="92"/>
      <c r="V43" s="92"/>
      <c r="W43" s="92"/>
    </row>
    <row r="44">
      <c r="A44" s="92"/>
      <c r="B44" s="92"/>
      <c r="C44" s="92"/>
      <c r="D44" s="92"/>
      <c r="E44" s="92"/>
      <c r="F44" s="92"/>
      <c r="G44" s="92"/>
      <c r="H44" s="92"/>
      <c r="I44" s="92"/>
      <c r="J44" s="92"/>
      <c r="K44" s="92"/>
      <c r="L44" s="92"/>
      <c r="M44" s="92"/>
      <c r="N44" s="92"/>
      <c r="O44" s="92"/>
      <c r="P44" s="92"/>
      <c r="Q44" s="92"/>
      <c r="R44" s="92"/>
      <c r="S44" s="92"/>
      <c r="T44" s="92"/>
      <c r="U44" s="92"/>
      <c r="V44" s="92"/>
      <c r="W44" s="92"/>
    </row>
    <row r="45">
      <c r="A45" s="92"/>
      <c r="B45" s="92"/>
      <c r="C45" s="92"/>
      <c r="D45" s="92"/>
      <c r="E45" s="92"/>
      <c r="F45" s="92"/>
      <c r="G45" s="92"/>
      <c r="H45" s="92"/>
      <c r="I45" s="92"/>
      <c r="J45" s="92"/>
      <c r="K45" s="92"/>
      <c r="L45" s="92"/>
      <c r="M45" s="92"/>
      <c r="N45" s="92"/>
      <c r="O45" s="92"/>
      <c r="P45" s="92"/>
      <c r="Q45" s="92"/>
      <c r="R45" s="92"/>
      <c r="S45" s="92"/>
      <c r="T45" s="92"/>
      <c r="U45" s="92"/>
      <c r="V45" s="92"/>
      <c r="W45" s="92"/>
    </row>
    <row r="46">
      <c r="A46" s="92"/>
      <c r="B46" s="92"/>
      <c r="C46" s="92"/>
      <c r="D46" s="92"/>
      <c r="E46" s="92"/>
      <c r="F46" s="92"/>
      <c r="G46" s="92"/>
      <c r="H46" s="92"/>
      <c r="I46" s="92"/>
      <c r="J46" s="92"/>
      <c r="K46" s="92"/>
      <c r="L46" s="92"/>
      <c r="M46" s="92"/>
      <c r="N46" s="92"/>
      <c r="O46" s="92"/>
      <c r="P46" s="92"/>
      <c r="Q46" s="92"/>
      <c r="R46" s="92"/>
      <c r="S46" s="92"/>
      <c r="T46" s="92"/>
      <c r="U46" s="92"/>
      <c r="V46" s="92"/>
      <c r="W46" s="92"/>
    </row>
    <row r="47">
      <c r="A47" s="92"/>
      <c r="B47" s="92"/>
      <c r="C47" s="92"/>
      <c r="D47" s="92"/>
      <c r="E47" s="92"/>
      <c r="F47" s="92"/>
      <c r="G47" s="92"/>
      <c r="H47" s="92"/>
      <c r="I47" s="92"/>
      <c r="J47" s="92"/>
      <c r="K47" s="92"/>
      <c r="L47" s="92"/>
      <c r="M47" s="92"/>
      <c r="N47" s="92"/>
      <c r="O47" s="92"/>
      <c r="P47" s="92"/>
      <c r="Q47" s="92"/>
      <c r="R47" s="92"/>
      <c r="S47" s="92"/>
      <c r="T47" s="92"/>
      <c r="U47" s="92"/>
      <c r="V47" s="92"/>
      <c r="W47" s="92"/>
    </row>
    <row r="48">
      <c r="A48" s="92"/>
      <c r="B48" s="92"/>
      <c r="C48" s="92"/>
      <c r="D48" s="92"/>
      <c r="E48" s="92"/>
      <c r="F48" s="92"/>
      <c r="G48" s="92"/>
      <c r="H48" s="92"/>
      <c r="I48" s="92"/>
      <c r="J48" s="92"/>
      <c r="K48" s="92"/>
      <c r="L48" s="92"/>
      <c r="M48" s="92"/>
      <c r="N48" s="92"/>
      <c r="O48" s="92"/>
      <c r="P48" s="92"/>
      <c r="Q48" s="92"/>
      <c r="R48" s="92"/>
      <c r="S48" s="92"/>
      <c r="T48" s="92"/>
      <c r="U48" s="92"/>
      <c r="V48" s="92"/>
      <c r="W48" s="92"/>
    </row>
    <row r="49">
      <c r="A49" s="92"/>
      <c r="B49" s="92"/>
      <c r="C49" s="92"/>
      <c r="D49" s="92"/>
      <c r="E49" s="92"/>
      <c r="F49" s="92"/>
      <c r="G49" s="92"/>
      <c r="H49" s="92"/>
      <c r="I49" s="92"/>
      <c r="J49" s="92"/>
      <c r="K49" s="92"/>
      <c r="L49" s="92"/>
      <c r="M49" s="92"/>
      <c r="N49" s="92"/>
      <c r="O49" s="92"/>
      <c r="P49" s="92"/>
      <c r="Q49" s="92"/>
      <c r="R49" s="92"/>
      <c r="S49" s="92"/>
      <c r="T49" s="92"/>
      <c r="U49" s="92"/>
      <c r="V49" s="92"/>
      <c r="W49" s="92"/>
    </row>
    <row r="50">
      <c r="A50" s="92"/>
      <c r="B50" s="92"/>
      <c r="C50" s="92"/>
      <c r="D50" s="92"/>
      <c r="E50" s="92"/>
      <c r="F50" s="92"/>
      <c r="G50" s="92"/>
      <c r="H50" s="92"/>
      <c r="I50" s="92"/>
      <c r="J50" s="92"/>
      <c r="K50" s="92"/>
      <c r="L50" s="92"/>
      <c r="M50" s="92"/>
      <c r="N50" s="92"/>
      <c r="O50" s="92"/>
      <c r="P50" s="92"/>
      <c r="Q50" s="92"/>
      <c r="R50" s="92"/>
      <c r="S50" s="92"/>
      <c r="T50" s="92"/>
      <c r="U50" s="92"/>
      <c r="V50" s="92"/>
      <c r="W50" s="92"/>
    </row>
    <row r="51">
      <c r="A51" s="92"/>
      <c r="B51" s="92"/>
      <c r="C51" s="92"/>
      <c r="D51" s="92"/>
      <c r="E51" s="92"/>
      <c r="F51" s="92"/>
      <c r="G51" s="92"/>
      <c r="H51" s="92"/>
      <c r="I51" s="92"/>
      <c r="J51" s="92"/>
      <c r="K51" s="92"/>
      <c r="L51" s="92"/>
      <c r="M51" s="92"/>
      <c r="N51" s="92"/>
      <c r="O51" s="92"/>
      <c r="P51" s="92"/>
      <c r="Q51" s="92"/>
      <c r="R51" s="92"/>
      <c r="S51" s="92"/>
      <c r="T51" s="92"/>
      <c r="U51" s="92"/>
      <c r="V51" s="92"/>
      <c r="W51" s="92"/>
    </row>
    <row r="52">
      <c r="A52" s="92"/>
      <c r="B52" s="92"/>
      <c r="C52" s="92"/>
      <c r="D52" s="92"/>
      <c r="E52" s="92"/>
      <c r="F52" s="92"/>
      <c r="G52" s="92"/>
      <c r="H52" s="92"/>
      <c r="I52" s="92"/>
      <c r="J52" s="92"/>
      <c r="K52" s="92"/>
      <c r="L52" s="92"/>
      <c r="M52" s="92"/>
      <c r="N52" s="92"/>
      <c r="O52" s="92"/>
      <c r="P52" s="92"/>
      <c r="Q52" s="92"/>
      <c r="R52" s="92"/>
      <c r="S52" s="92"/>
      <c r="T52" s="92"/>
      <c r="U52" s="92"/>
      <c r="V52" s="92"/>
      <c r="W52" s="92"/>
    </row>
    <row r="53">
      <c r="A53" s="92"/>
      <c r="B53" s="92"/>
      <c r="C53" s="92"/>
      <c r="D53" s="92"/>
      <c r="E53" s="92"/>
      <c r="F53" s="92"/>
      <c r="G53" s="92"/>
      <c r="H53" s="92"/>
      <c r="I53" s="92"/>
      <c r="J53" s="92"/>
      <c r="K53" s="92"/>
      <c r="L53" s="92"/>
      <c r="M53" s="92"/>
      <c r="N53" s="92"/>
      <c r="O53" s="92"/>
      <c r="P53" s="92"/>
      <c r="Q53" s="92"/>
      <c r="R53" s="92"/>
      <c r="S53" s="92"/>
      <c r="T53" s="92"/>
      <c r="U53" s="92"/>
      <c r="V53" s="92"/>
      <c r="W53" s="92"/>
    </row>
    <row r="54">
      <c r="A54" s="92"/>
      <c r="B54" s="92"/>
      <c r="C54" s="92"/>
      <c r="D54" s="92"/>
      <c r="E54" s="92"/>
      <c r="F54" s="92"/>
      <c r="G54" s="92"/>
      <c r="H54" s="92"/>
      <c r="I54" s="92"/>
      <c r="J54" s="92"/>
      <c r="K54" s="92"/>
      <c r="L54" s="92"/>
      <c r="M54" s="92"/>
      <c r="N54" s="92"/>
      <c r="O54" s="92"/>
      <c r="P54" s="92"/>
      <c r="Q54" s="92"/>
      <c r="R54" s="92"/>
      <c r="S54" s="92"/>
      <c r="T54" s="92"/>
      <c r="U54" s="92"/>
      <c r="V54" s="92"/>
      <c r="W54" s="92"/>
    </row>
    <row r="55">
      <c r="A55" s="92"/>
      <c r="B55" s="92"/>
      <c r="C55" s="92"/>
      <c r="D55" s="92"/>
      <c r="E55" s="92"/>
      <c r="F55" s="92"/>
      <c r="G55" s="92"/>
      <c r="H55" s="92"/>
      <c r="I55" s="92"/>
      <c r="J55" s="92"/>
      <c r="K55" s="92"/>
      <c r="L55" s="92"/>
      <c r="M55" s="92"/>
      <c r="N55" s="92"/>
      <c r="O55" s="92"/>
      <c r="P55" s="92"/>
      <c r="Q55" s="92"/>
      <c r="R55" s="92"/>
      <c r="S55" s="92"/>
      <c r="T55" s="92"/>
      <c r="U55" s="92"/>
      <c r="V55" s="92"/>
      <c r="W55" s="92"/>
    </row>
    <row r="56">
      <c r="A56" s="92"/>
      <c r="B56" s="92"/>
      <c r="C56" s="92"/>
      <c r="D56" s="92"/>
      <c r="E56" s="92"/>
      <c r="F56" s="92"/>
      <c r="G56" s="92"/>
      <c r="H56" s="92"/>
      <c r="I56" s="92"/>
      <c r="J56" s="92"/>
      <c r="K56" s="92"/>
      <c r="L56" s="92"/>
      <c r="M56" s="92"/>
      <c r="N56" s="92"/>
      <c r="O56" s="92"/>
      <c r="P56" s="92"/>
      <c r="Q56" s="92"/>
      <c r="R56" s="92"/>
      <c r="S56" s="92"/>
      <c r="T56" s="92"/>
      <c r="U56" s="92"/>
      <c r="V56" s="92"/>
      <c r="W56" s="92"/>
    </row>
    <row r="57">
      <c r="A57" s="92"/>
      <c r="B57" s="92"/>
      <c r="C57" s="92"/>
      <c r="D57" s="92"/>
      <c r="E57" s="92"/>
      <c r="F57" s="92"/>
      <c r="G57" s="92"/>
      <c r="H57" s="92"/>
      <c r="I57" s="92"/>
      <c r="J57" s="92"/>
      <c r="K57" s="92"/>
      <c r="L57" s="92"/>
      <c r="M57" s="92"/>
      <c r="N57" s="92"/>
      <c r="O57" s="92"/>
      <c r="P57" s="92"/>
      <c r="Q57" s="92"/>
      <c r="R57" s="92"/>
      <c r="S57" s="92"/>
      <c r="T57" s="92"/>
      <c r="U57" s="92"/>
      <c r="V57" s="92"/>
      <c r="W57" s="92"/>
    </row>
    <row r="58">
      <c r="A58" s="92"/>
      <c r="B58" s="92"/>
      <c r="C58" s="92"/>
      <c r="D58" s="92"/>
      <c r="E58" s="92"/>
      <c r="F58" s="92"/>
      <c r="G58" s="92"/>
      <c r="H58" s="92"/>
      <c r="I58" s="92"/>
      <c r="J58" s="92"/>
      <c r="K58" s="92"/>
      <c r="L58" s="92"/>
      <c r="M58" s="92"/>
      <c r="N58" s="92"/>
      <c r="O58" s="92"/>
      <c r="P58" s="92"/>
      <c r="Q58" s="92"/>
      <c r="R58" s="92"/>
      <c r="S58" s="92"/>
      <c r="T58" s="92"/>
      <c r="U58" s="92"/>
      <c r="V58" s="92"/>
      <c r="W58" s="92"/>
    </row>
    <row r="59">
      <c r="A59" s="92"/>
      <c r="B59" s="92"/>
      <c r="C59" s="92"/>
      <c r="D59" s="92"/>
      <c r="E59" s="92"/>
      <c r="F59" s="92"/>
      <c r="G59" s="92"/>
      <c r="H59" s="92"/>
      <c r="I59" s="92"/>
      <c r="J59" s="92"/>
      <c r="K59" s="92"/>
      <c r="L59" s="92"/>
      <c r="M59" s="92"/>
      <c r="N59" s="92"/>
      <c r="O59" s="92"/>
      <c r="P59" s="92"/>
      <c r="Q59" s="92"/>
      <c r="R59" s="92"/>
      <c r="S59" s="92"/>
      <c r="T59" s="92"/>
      <c r="U59" s="92"/>
      <c r="V59" s="92"/>
      <c r="W59" s="92"/>
    </row>
    <row r="60">
      <c r="A60" s="92"/>
      <c r="B60" s="92"/>
      <c r="C60" s="92"/>
      <c r="D60" s="92"/>
      <c r="E60" s="92"/>
      <c r="F60" s="92"/>
      <c r="G60" s="92"/>
      <c r="H60" s="92"/>
      <c r="I60" s="92"/>
      <c r="J60" s="92"/>
      <c r="K60" s="92"/>
      <c r="L60" s="92"/>
      <c r="M60" s="92"/>
      <c r="N60" s="92"/>
      <c r="O60" s="92"/>
      <c r="P60" s="92"/>
      <c r="Q60" s="92"/>
      <c r="R60" s="92"/>
      <c r="S60" s="92"/>
      <c r="T60" s="92"/>
      <c r="U60" s="92"/>
      <c r="V60" s="92"/>
      <c r="W60" s="92"/>
    </row>
    <row r="61">
      <c r="A61" s="92"/>
      <c r="B61" s="92"/>
      <c r="C61" s="92"/>
      <c r="D61" s="92"/>
      <c r="E61" s="92"/>
      <c r="F61" s="92"/>
      <c r="G61" s="92"/>
      <c r="H61" s="92"/>
      <c r="I61" s="92"/>
      <c r="J61" s="92"/>
      <c r="K61" s="92"/>
      <c r="L61" s="92"/>
      <c r="M61" s="92"/>
      <c r="N61" s="92"/>
      <c r="O61" s="92"/>
      <c r="P61" s="92"/>
      <c r="Q61" s="92"/>
      <c r="R61" s="92"/>
      <c r="S61" s="92"/>
      <c r="T61" s="92"/>
      <c r="U61" s="92"/>
      <c r="V61" s="92"/>
      <c r="W61" s="92"/>
    </row>
    <row r="62">
      <c r="A62" s="92"/>
      <c r="B62" s="92"/>
      <c r="C62" s="92"/>
      <c r="D62" s="92"/>
      <c r="E62" s="92"/>
      <c r="F62" s="92"/>
      <c r="G62" s="92"/>
      <c r="H62" s="92"/>
      <c r="I62" s="92"/>
      <c r="J62" s="92"/>
      <c r="K62" s="92"/>
      <c r="L62" s="92"/>
      <c r="M62" s="92"/>
      <c r="N62" s="92"/>
      <c r="O62" s="92"/>
      <c r="P62" s="92"/>
      <c r="Q62" s="92"/>
      <c r="R62" s="92"/>
      <c r="S62" s="92"/>
      <c r="T62" s="92"/>
      <c r="U62" s="92"/>
      <c r="V62" s="92"/>
      <c r="W62" s="92"/>
    </row>
    <row r="63">
      <c r="A63" s="93" t="s">
        <v>64</v>
      </c>
      <c r="B63" s="128">
        <v>45078.0</v>
      </c>
      <c r="C63" s="128">
        <v>45139.0</v>
      </c>
      <c r="D63" s="92"/>
      <c r="E63" s="92"/>
      <c r="F63" s="92"/>
      <c r="G63" s="92"/>
      <c r="H63" s="92"/>
      <c r="I63" s="92"/>
      <c r="J63" s="92"/>
      <c r="K63" s="92"/>
      <c r="L63" s="92"/>
      <c r="M63" s="92"/>
      <c r="N63" s="92"/>
      <c r="O63" s="92"/>
      <c r="P63" s="92"/>
      <c r="Q63" s="92"/>
      <c r="R63" s="92"/>
      <c r="S63" s="92"/>
      <c r="T63" s="92"/>
      <c r="U63" s="92"/>
      <c r="V63" s="92"/>
      <c r="W63" s="92"/>
    </row>
    <row r="64">
      <c r="A64" s="95" t="s">
        <v>82</v>
      </c>
      <c r="B64" s="98">
        <v>26.0</v>
      </c>
      <c r="C64" s="98">
        <v>26.0</v>
      </c>
      <c r="D64" s="92"/>
      <c r="E64" s="92"/>
      <c r="F64" s="92"/>
      <c r="G64" s="92"/>
      <c r="H64" s="92"/>
      <c r="I64" s="92"/>
      <c r="J64" s="92"/>
      <c r="K64" s="92"/>
      <c r="L64" s="92"/>
      <c r="M64" s="92"/>
      <c r="N64" s="92"/>
      <c r="O64" s="92"/>
      <c r="P64" s="92"/>
      <c r="Q64" s="92"/>
      <c r="R64" s="92"/>
      <c r="S64" s="92"/>
      <c r="T64" s="92"/>
      <c r="U64" s="92"/>
      <c r="V64" s="92"/>
      <c r="W64" s="92"/>
    </row>
    <row r="65">
      <c r="A65" s="95" t="s">
        <v>86</v>
      </c>
      <c r="B65" s="101">
        <v>9.0</v>
      </c>
      <c r="C65" s="101">
        <v>11.0</v>
      </c>
      <c r="D65" s="92"/>
      <c r="E65" s="92"/>
      <c r="F65" s="92"/>
      <c r="G65" s="92"/>
      <c r="H65" s="92"/>
      <c r="I65" s="92"/>
      <c r="J65" s="92"/>
      <c r="K65" s="92"/>
      <c r="L65" s="92"/>
      <c r="M65" s="92"/>
      <c r="N65" s="92"/>
      <c r="O65" s="92"/>
      <c r="P65" s="92"/>
      <c r="Q65" s="92"/>
      <c r="R65" s="92"/>
      <c r="S65" s="92"/>
      <c r="T65" s="92"/>
      <c r="U65" s="92"/>
      <c r="V65" s="92"/>
      <c r="W65" s="92"/>
    </row>
    <row r="66">
      <c r="A66" s="129" t="s">
        <v>90</v>
      </c>
      <c r="B66" s="130">
        <v>3.0</v>
      </c>
      <c r="C66" s="130">
        <v>1.0</v>
      </c>
      <c r="D66" s="92"/>
      <c r="E66" s="92"/>
      <c r="F66" s="92"/>
      <c r="G66" s="92"/>
      <c r="H66" s="92"/>
      <c r="I66" s="92"/>
      <c r="J66" s="92"/>
      <c r="K66" s="92"/>
      <c r="L66" s="92"/>
      <c r="M66" s="92"/>
      <c r="N66" s="92"/>
      <c r="O66" s="92"/>
      <c r="P66" s="92"/>
      <c r="Q66" s="92"/>
      <c r="R66" s="92"/>
      <c r="S66" s="92"/>
      <c r="T66" s="92"/>
      <c r="U66" s="92"/>
      <c r="V66" s="92"/>
      <c r="W66" s="92"/>
    </row>
    <row r="67">
      <c r="A67" s="92"/>
      <c r="B67" s="92"/>
      <c r="C67" s="92"/>
      <c r="D67" s="92"/>
      <c r="E67" s="92"/>
      <c r="F67" s="92"/>
      <c r="G67" s="92"/>
      <c r="H67" s="92"/>
      <c r="I67" s="92"/>
      <c r="J67" s="92"/>
      <c r="K67" s="92"/>
      <c r="L67" s="92"/>
      <c r="M67" s="92"/>
      <c r="N67" s="92"/>
      <c r="O67" s="92"/>
      <c r="P67" s="92"/>
      <c r="Q67" s="92"/>
      <c r="R67" s="92"/>
      <c r="S67" s="92"/>
      <c r="T67" s="92"/>
      <c r="U67" s="92"/>
      <c r="V67" s="92"/>
      <c r="W67" s="92"/>
    </row>
    <row r="68">
      <c r="A68" s="93" t="s">
        <v>77</v>
      </c>
      <c r="B68" s="128">
        <v>45078.0</v>
      </c>
      <c r="C68" s="128">
        <v>45139.0</v>
      </c>
      <c r="D68" s="92"/>
      <c r="E68" s="92"/>
      <c r="F68" s="92"/>
      <c r="G68" s="92"/>
      <c r="H68" s="92"/>
      <c r="I68" s="92"/>
      <c r="J68" s="92"/>
      <c r="K68" s="92"/>
      <c r="L68" s="92"/>
      <c r="M68" s="92"/>
      <c r="N68" s="92"/>
      <c r="O68" s="92"/>
      <c r="P68" s="92"/>
      <c r="Q68" s="92"/>
      <c r="R68" s="92"/>
      <c r="S68" s="92"/>
      <c r="T68" s="92"/>
      <c r="U68" s="92"/>
      <c r="V68" s="92"/>
      <c r="W68" s="92"/>
    </row>
    <row r="69">
      <c r="A69" s="105" t="s">
        <v>83</v>
      </c>
      <c r="B69" s="98">
        <v>26.0</v>
      </c>
      <c r="C69" s="98">
        <v>26.0</v>
      </c>
      <c r="D69" s="92"/>
      <c r="E69" s="92"/>
      <c r="F69" s="92"/>
      <c r="G69" s="92"/>
      <c r="H69" s="92"/>
      <c r="I69" s="92"/>
      <c r="J69" s="92"/>
      <c r="K69" s="92"/>
      <c r="L69" s="92"/>
      <c r="M69" s="92"/>
      <c r="N69" s="92"/>
      <c r="O69" s="92"/>
      <c r="P69" s="92"/>
      <c r="Q69" s="92"/>
      <c r="R69" s="92"/>
      <c r="S69" s="92"/>
      <c r="T69" s="92"/>
      <c r="U69" s="92"/>
      <c r="V69" s="92"/>
      <c r="W69" s="92"/>
    </row>
    <row r="70">
      <c r="A70" s="105" t="s">
        <v>87</v>
      </c>
      <c r="B70" s="101">
        <v>7.0</v>
      </c>
      <c r="C70" s="104">
        <v>4.0</v>
      </c>
      <c r="D70" s="92"/>
      <c r="E70" s="92"/>
      <c r="F70" s="92"/>
      <c r="G70" s="92"/>
      <c r="H70" s="92"/>
      <c r="I70" s="92"/>
      <c r="J70" s="92"/>
      <c r="K70" s="92"/>
      <c r="L70" s="92"/>
      <c r="M70" s="92"/>
      <c r="N70" s="92"/>
      <c r="O70" s="92"/>
      <c r="P70" s="92"/>
      <c r="Q70" s="92"/>
      <c r="R70" s="92"/>
      <c r="S70" s="92"/>
      <c r="T70" s="92"/>
      <c r="U70" s="92"/>
      <c r="V70" s="92"/>
      <c r="W70" s="92"/>
    </row>
    <row r="71">
      <c r="A71" s="105" t="s">
        <v>91</v>
      </c>
      <c r="B71" s="110">
        <v>0.0</v>
      </c>
      <c r="C71" s="110">
        <v>0.0</v>
      </c>
      <c r="D71" s="92"/>
      <c r="E71" s="92"/>
      <c r="F71" s="92"/>
      <c r="G71" s="92"/>
      <c r="H71" s="92"/>
      <c r="I71" s="92"/>
      <c r="J71" s="92"/>
      <c r="K71" s="92"/>
      <c r="L71" s="92"/>
      <c r="M71" s="92"/>
      <c r="N71" s="92"/>
      <c r="O71" s="92"/>
      <c r="P71" s="92"/>
      <c r="Q71" s="92"/>
      <c r="R71" s="92"/>
      <c r="S71" s="92"/>
      <c r="T71" s="92"/>
      <c r="U71" s="92"/>
      <c r="V71" s="92"/>
      <c r="W71" s="92"/>
    </row>
    <row r="72">
      <c r="A72" s="105" t="s">
        <v>94</v>
      </c>
      <c r="B72" s="112">
        <v>2.0</v>
      </c>
      <c r="C72" s="101">
        <v>7.0</v>
      </c>
      <c r="D72" s="92"/>
      <c r="E72" s="92"/>
      <c r="F72" s="92"/>
      <c r="G72" s="92"/>
      <c r="H72" s="92"/>
      <c r="I72" s="92"/>
      <c r="J72" s="92"/>
      <c r="K72" s="92"/>
      <c r="L72" s="92"/>
      <c r="M72" s="92"/>
      <c r="N72" s="92"/>
      <c r="O72" s="92"/>
      <c r="P72" s="92"/>
      <c r="Q72" s="92"/>
      <c r="R72" s="92"/>
      <c r="S72" s="92"/>
      <c r="T72" s="92"/>
      <c r="U72" s="92"/>
      <c r="V72" s="92"/>
      <c r="W72" s="92"/>
    </row>
    <row r="73">
      <c r="A73" s="131" t="s">
        <v>96</v>
      </c>
      <c r="B73" s="130">
        <v>3.0</v>
      </c>
      <c r="C73" s="132">
        <v>1.0</v>
      </c>
      <c r="D73" s="92"/>
      <c r="E73" s="92"/>
      <c r="F73" s="92"/>
      <c r="G73" s="92"/>
      <c r="H73" s="92"/>
      <c r="I73" s="92"/>
      <c r="J73" s="92"/>
      <c r="K73" s="92"/>
      <c r="L73" s="92"/>
      <c r="M73" s="92"/>
      <c r="N73" s="92"/>
      <c r="O73" s="92"/>
      <c r="P73" s="92"/>
      <c r="Q73" s="92"/>
      <c r="R73" s="92"/>
      <c r="S73" s="92"/>
      <c r="T73" s="92"/>
      <c r="U73" s="92"/>
      <c r="V73" s="92"/>
      <c r="W73" s="92"/>
    </row>
    <row r="74">
      <c r="A74" s="92"/>
      <c r="B74" s="92"/>
      <c r="C74" s="92"/>
      <c r="D74" s="92"/>
      <c r="E74" s="92"/>
      <c r="F74" s="92"/>
      <c r="G74" s="92"/>
      <c r="H74" s="92"/>
      <c r="I74" s="92"/>
      <c r="J74" s="92"/>
      <c r="K74" s="92"/>
      <c r="L74" s="92"/>
      <c r="M74" s="92"/>
      <c r="N74" s="92"/>
      <c r="O74" s="92"/>
      <c r="P74" s="92"/>
      <c r="Q74" s="92"/>
      <c r="R74" s="92"/>
      <c r="S74" s="92"/>
      <c r="T74" s="92"/>
      <c r="U74" s="92"/>
      <c r="V74" s="92"/>
      <c r="W74" s="92"/>
    </row>
    <row r="75">
      <c r="A75" s="93" t="s">
        <v>78</v>
      </c>
      <c r="B75" s="128">
        <v>45078.0</v>
      </c>
      <c r="C75" s="128">
        <v>45139.0</v>
      </c>
      <c r="D75" s="92"/>
      <c r="E75" s="92"/>
      <c r="F75" s="92"/>
      <c r="G75" s="92"/>
      <c r="H75" s="92"/>
      <c r="I75" s="92"/>
      <c r="J75" s="92"/>
      <c r="K75" s="92"/>
      <c r="L75" s="92"/>
      <c r="M75" s="92"/>
      <c r="N75" s="92"/>
      <c r="O75" s="92"/>
      <c r="P75" s="92"/>
      <c r="Q75" s="92"/>
      <c r="R75" s="92"/>
      <c r="S75" s="92"/>
      <c r="T75" s="92"/>
      <c r="U75" s="92"/>
      <c r="V75" s="92"/>
      <c r="W75" s="92"/>
    </row>
    <row r="76">
      <c r="A76" s="105">
        <v>10.01</v>
      </c>
      <c r="B76" s="112">
        <v>2.0</v>
      </c>
      <c r="C76" s="110">
        <v>0.0</v>
      </c>
      <c r="D76" s="92"/>
      <c r="E76" s="92"/>
      <c r="F76" s="92"/>
      <c r="G76" s="92"/>
      <c r="H76" s="92"/>
      <c r="I76" s="92"/>
      <c r="J76" s="92"/>
      <c r="K76" s="92"/>
      <c r="L76" s="92"/>
      <c r="M76" s="92"/>
      <c r="N76" s="92"/>
      <c r="O76" s="92"/>
      <c r="P76" s="92"/>
      <c r="Q76" s="92"/>
      <c r="R76" s="92"/>
      <c r="S76" s="92"/>
      <c r="T76" s="92"/>
      <c r="U76" s="92"/>
      <c r="V76" s="92"/>
      <c r="W76" s="92"/>
    </row>
    <row r="77">
      <c r="A77" s="105">
        <v>10.02</v>
      </c>
      <c r="B77" s="104">
        <v>4.0</v>
      </c>
      <c r="C77" s="133">
        <v>6.0</v>
      </c>
      <c r="D77" s="92"/>
      <c r="E77" s="92"/>
      <c r="F77" s="92"/>
      <c r="G77" s="92"/>
      <c r="H77" s="92"/>
      <c r="I77" s="92"/>
      <c r="J77" s="92"/>
      <c r="K77" s="92"/>
      <c r="L77" s="92"/>
      <c r="M77" s="92"/>
      <c r="N77" s="92"/>
      <c r="O77" s="92"/>
      <c r="P77" s="92"/>
      <c r="Q77" s="92"/>
      <c r="R77" s="92"/>
      <c r="S77" s="92"/>
      <c r="T77" s="92"/>
      <c r="U77" s="92"/>
      <c r="V77" s="92"/>
      <c r="W77" s="92"/>
    </row>
    <row r="78">
      <c r="A78" s="105">
        <v>10.03</v>
      </c>
      <c r="B78" s="101">
        <v>5.0</v>
      </c>
      <c r="C78" s="133">
        <v>6.0</v>
      </c>
      <c r="D78" s="92"/>
      <c r="E78" s="92"/>
      <c r="F78" s="92"/>
      <c r="G78" s="92"/>
      <c r="H78" s="92"/>
      <c r="I78" s="92"/>
      <c r="J78" s="92"/>
      <c r="K78" s="92"/>
      <c r="L78" s="92"/>
      <c r="M78" s="92"/>
      <c r="N78" s="92"/>
      <c r="O78" s="92"/>
      <c r="P78" s="92"/>
      <c r="Q78" s="92"/>
      <c r="R78" s="92"/>
      <c r="S78" s="92"/>
      <c r="T78" s="92"/>
      <c r="U78" s="92"/>
      <c r="V78" s="92"/>
      <c r="W78" s="92"/>
    </row>
    <row r="79">
      <c r="A79" s="105">
        <v>10.04</v>
      </c>
      <c r="B79" s="112">
        <v>2.0</v>
      </c>
      <c r="C79" s="101">
        <v>4.0</v>
      </c>
      <c r="D79" s="92"/>
      <c r="E79" s="92"/>
      <c r="F79" s="92"/>
      <c r="G79" s="92"/>
      <c r="H79" s="92"/>
      <c r="I79" s="92"/>
      <c r="J79" s="92"/>
      <c r="K79" s="92"/>
      <c r="L79" s="92"/>
      <c r="M79" s="92"/>
      <c r="N79" s="92"/>
      <c r="O79" s="92"/>
      <c r="P79" s="92"/>
      <c r="Q79" s="92"/>
      <c r="R79" s="92"/>
      <c r="S79" s="92"/>
      <c r="T79" s="92"/>
      <c r="U79" s="92"/>
      <c r="V79" s="92"/>
      <c r="W79" s="92"/>
    </row>
    <row r="80">
      <c r="A80" s="105">
        <v>10.05</v>
      </c>
      <c r="B80" s="98">
        <v>6.0</v>
      </c>
      <c r="C80" s="112">
        <v>1.0</v>
      </c>
      <c r="D80" s="92"/>
      <c r="E80" s="92"/>
      <c r="F80" s="92"/>
      <c r="G80" s="92"/>
      <c r="H80" s="92"/>
      <c r="I80" s="92"/>
      <c r="J80" s="92"/>
      <c r="K80" s="92"/>
      <c r="L80" s="92"/>
      <c r="M80" s="92"/>
      <c r="N80" s="92"/>
      <c r="O80" s="92"/>
      <c r="P80" s="92"/>
      <c r="Q80" s="92"/>
      <c r="R80" s="92"/>
      <c r="S80" s="92"/>
      <c r="T80" s="92"/>
      <c r="U80" s="92"/>
      <c r="V80" s="92"/>
      <c r="W80" s="92"/>
    </row>
    <row r="81">
      <c r="A81" s="105">
        <v>10.06</v>
      </c>
      <c r="B81" s="98">
        <v>6.0</v>
      </c>
      <c r="C81" s="104">
        <v>3.0</v>
      </c>
      <c r="D81" s="92"/>
      <c r="E81" s="92"/>
      <c r="F81" s="92"/>
      <c r="G81" s="92"/>
      <c r="H81" s="92"/>
      <c r="I81" s="92"/>
      <c r="J81" s="92"/>
      <c r="K81" s="92"/>
      <c r="L81" s="92"/>
      <c r="M81" s="92"/>
      <c r="N81" s="92"/>
      <c r="O81" s="92"/>
      <c r="P81" s="92"/>
      <c r="Q81" s="92"/>
      <c r="R81" s="92"/>
      <c r="S81" s="92"/>
      <c r="T81" s="92"/>
      <c r="U81" s="92"/>
      <c r="V81" s="92"/>
      <c r="W81" s="92"/>
    </row>
    <row r="82">
      <c r="A82" s="105">
        <v>10.07</v>
      </c>
      <c r="B82" s="112">
        <v>2.0</v>
      </c>
      <c r="C82" s="101">
        <v>4.0</v>
      </c>
      <c r="D82" s="92"/>
      <c r="E82" s="92"/>
      <c r="F82" s="92"/>
      <c r="G82" s="92"/>
      <c r="H82" s="92"/>
      <c r="I82" s="92"/>
      <c r="J82" s="92"/>
      <c r="K82" s="92"/>
      <c r="L82" s="92"/>
      <c r="M82" s="92"/>
      <c r="N82" s="92"/>
      <c r="O82" s="92"/>
      <c r="P82" s="92"/>
      <c r="Q82" s="92"/>
      <c r="R82" s="92"/>
      <c r="S82" s="92"/>
      <c r="T82" s="92"/>
      <c r="U82" s="92"/>
      <c r="V82" s="92"/>
      <c r="W82" s="92"/>
    </row>
    <row r="83">
      <c r="A83" s="105">
        <v>10.08</v>
      </c>
      <c r="B83" s="112">
        <v>2.0</v>
      </c>
      <c r="C83" s="112">
        <v>2.0</v>
      </c>
      <c r="D83" s="92"/>
      <c r="E83" s="92"/>
      <c r="F83" s="92"/>
      <c r="G83" s="92"/>
      <c r="H83" s="92"/>
      <c r="I83" s="92"/>
      <c r="J83" s="92"/>
      <c r="K83" s="92"/>
      <c r="L83" s="92"/>
      <c r="M83" s="92"/>
      <c r="N83" s="92"/>
      <c r="O83" s="92"/>
      <c r="P83" s="92"/>
      <c r="Q83" s="92"/>
      <c r="R83" s="92"/>
      <c r="S83" s="92"/>
      <c r="T83" s="92"/>
      <c r="U83" s="92"/>
      <c r="V83" s="92"/>
      <c r="W83" s="92"/>
    </row>
    <row r="84">
      <c r="A84" s="105">
        <v>10.09</v>
      </c>
      <c r="B84" s="104">
        <v>4.0</v>
      </c>
      <c r="C84" s="104">
        <v>3.0</v>
      </c>
      <c r="D84" s="92"/>
      <c r="E84" s="92"/>
      <c r="F84" s="92"/>
      <c r="G84" s="92"/>
      <c r="H84" s="92"/>
      <c r="I84" s="92"/>
      <c r="J84" s="92"/>
      <c r="K84" s="92"/>
      <c r="L84" s="92"/>
      <c r="M84" s="92"/>
      <c r="N84" s="92"/>
      <c r="O84" s="92"/>
      <c r="P84" s="92"/>
      <c r="Q84" s="92"/>
      <c r="R84" s="92"/>
      <c r="S84" s="92"/>
      <c r="T84" s="92"/>
      <c r="U84" s="92"/>
      <c r="V84" s="92"/>
      <c r="W84" s="92"/>
    </row>
    <row r="85">
      <c r="A85" s="118" t="s">
        <v>215</v>
      </c>
      <c r="B85" s="101">
        <v>5.0</v>
      </c>
      <c r="C85" s="133">
        <v>6.0</v>
      </c>
      <c r="D85" s="92"/>
      <c r="E85" s="92"/>
      <c r="F85" s="92"/>
      <c r="G85" s="92"/>
      <c r="H85" s="92"/>
      <c r="I85" s="92"/>
      <c r="J85" s="92"/>
      <c r="K85" s="92"/>
      <c r="L85" s="92"/>
      <c r="M85" s="92"/>
      <c r="N85" s="92"/>
      <c r="O85" s="92"/>
      <c r="P85" s="92"/>
      <c r="Q85" s="92"/>
      <c r="R85" s="92"/>
      <c r="S85" s="92"/>
      <c r="T85" s="92"/>
      <c r="U85" s="92"/>
      <c r="V85" s="92"/>
      <c r="W85" s="92"/>
    </row>
    <row r="86">
      <c r="A86" s="134" t="s">
        <v>216</v>
      </c>
      <c r="B86" s="135">
        <v>0.0</v>
      </c>
      <c r="C86" s="132">
        <v>2.0</v>
      </c>
      <c r="D86" s="92"/>
      <c r="E86" s="92"/>
      <c r="F86" s="92"/>
      <c r="G86" s="92"/>
      <c r="H86" s="92"/>
      <c r="I86" s="92"/>
      <c r="J86" s="92"/>
      <c r="K86" s="92"/>
      <c r="L86" s="92"/>
      <c r="M86" s="92"/>
      <c r="N86" s="92"/>
      <c r="O86" s="92"/>
      <c r="P86" s="92"/>
      <c r="Q86" s="92"/>
      <c r="R86" s="92"/>
      <c r="S86" s="92"/>
      <c r="T86" s="92"/>
      <c r="U86" s="92"/>
      <c r="V86" s="92"/>
      <c r="W86" s="92"/>
    </row>
    <row r="87">
      <c r="A87" s="92"/>
      <c r="B87" s="92"/>
      <c r="C87" s="92"/>
      <c r="D87" s="92"/>
      <c r="E87" s="92"/>
      <c r="F87" s="92"/>
      <c r="G87" s="92"/>
      <c r="H87" s="92"/>
      <c r="I87" s="92"/>
      <c r="J87" s="92"/>
      <c r="K87" s="92"/>
      <c r="L87" s="92"/>
      <c r="M87" s="92"/>
      <c r="N87" s="92"/>
      <c r="O87" s="92"/>
      <c r="P87" s="92"/>
      <c r="Q87" s="92"/>
      <c r="R87" s="92"/>
      <c r="S87" s="92"/>
      <c r="T87" s="92"/>
      <c r="U87" s="92"/>
      <c r="V87" s="92"/>
      <c r="W87" s="92"/>
    </row>
    <row r="88">
      <c r="A88" s="116" t="s">
        <v>71</v>
      </c>
      <c r="B88" s="128">
        <v>45078.0</v>
      </c>
      <c r="C88" s="128">
        <v>45139.0</v>
      </c>
      <c r="D88" s="92"/>
      <c r="E88" s="92"/>
      <c r="F88" s="92"/>
      <c r="G88" s="92"/>
      <c r="H88" s="92"/>
      <c r="I88" s="92"/>
      <c r="J88" s="92"/>
      <c r="K88" s="92"/>
      <c r="L88" s="92"/>
      <c r="M88" s="92"/>
      <c r="N88" s="92"/>
      <c r="O88" s="92"/>
      <c r="P88" s="92"/>
      <c r="Q88" s="92"/>
      <c r="R88" s="92"/>
      <c r="S88" s="92"/>
      <c r="T88" s="92"/>
      <c r="U88" s="92"/>
      <c r="V88" s="92"/>
      <c r="W88" s="92"/>
    </row>
    <row r="89">
      <c r="A89" s="105">
        <v>1.0</v>
      </c>
      <c r="B89" s="112">
        <v>2.0</v>
      </c>
      <c r="C89" s="112">
        <v>2.0</v>
      </c>
      <c r="D89" s="92"/>
      <c r="E89" s="92"/>
      <c r="F89" s="92"/>
      <c r="G89" s="92"/>
      <c r="H89" s="92"/>
      <c r="I89" s="92"/>
      <c r="J89" s="92"/>
      <c r="K89" s="92"/>
      <c r="L89" s="92"/>
      <c r="M89" s="92"/>
      <c r="N89" s="92"/>
      <c r="O89" s="92"/>
      <c r="P89" s="92"/>
      <c r="Q89" s="92"/>
      <c r="R89" s="92"/>
      <c r="S89" s="92"/>
      <c r="T89" s="92"/>
      <c r="U89" s="92"/>
      <c r="V89" s="92"/>
      <c r="W89" s="92"/>
    </row>
    <row r="90">
      <c r="A90" s="105">
        <v>2.0</v>
      </c>
      <c r="B90" s="101">
        <v>4.0</v>
      </c>
      <c r="C90" s="112">
        <v>2.0</v>
      </c>
      <c r="D90" s="92"/>
      <c r="E90" s="92"/>
      <c r="F90" s="92"/>
      <c r="G90" s="92"/>
      <c r="H90" s="92"/>
      <c r="I90" s="92"/>
      <c r="J90" s="92"/>
      <c r="K90" s="92"/>
      <c r="L90" s="92"/>
      <c r="M90" s="92"/>
      <c r="N90" s="92"/>
      <c r="O90" s="92"/>
      <c r="P90" s="92"/>
      <c r="Q90" s="92"/>
      <c r="R90" s="92"/>
      <c r="S90" s="92"/>
      <c r="T90" s="92"/>
      <c r="U90" s="92"/>
      <c r="V90" s="92"/>
      <c r="W90" s="92"/>
    </row>
    <row r="91">
      <c r="A91" s="105">
        <v>3.0</v>
      </c>
      <c r="B91" s="110">
        <v>0.0</v>
      </c>
      <c r="C91" s="112">
        <v>3.0</v>
      </c>
      <c r="D91" s="92"/>
      <c r="E91" s="92"/>
      <c r="F91" s="92"/>
      <c r="G91" s="92"/>
      <c r="H91" s="92"/>
      <c r="I91" s="92"/>
      <c r="J91" s="92"/>
      <c r="K91" s="92"/>
      <c r="L91" s="92"/>
      <c r="M91" s="92"/>
      <c r="N91" s="92"/>
      <c r="O91" s="92"/>
      <c r="P91" s="92"/>
      <c r="Q91" s="92"/>
      <c r="R91" s="92"/>
      <c r="S91" s="92"/>
      <c r="T91" s="92"/>
      <c r="U91" s="92"/>
      <c r="V91" s="92"/>
      <c r="W91" s="92"/>
    </row>
    <row r="92">
      <c r="A92" s="105">
        <v>4.0</v>
      </c>
      <c r="B92" s="112">
        <v>1.0</v>
      </c>
      <c r="C92" s="112">
        <v>1.0</v>
      </c>
      <c r="D92" s="92"/>
      <c r="E92" s="92"/>
      <c r="F92" s="92"/>
      <c r="G92" s="92"/>
      <c r="H92" s="92"/>
      <c r="I92" s="92"/>
      <c r="J92" s="92"/>
      <c r="K92" s="92"/>
      <c r="L92" s="92"/>
      <c r="M92" s="92"/>
      <c r="N92" s="92"/>
      <c r="O92" s="92"/>
      <c r="P92" s="92"/>
      <c r="Q92" s="92"/>
      <c r="R92" s="92"/>
      <c r="S92" s="92"/>
      <c r="T92" s="92"/>
      <c r="U92" s="92"/>
      <c r="V92" s="92"/>
      <c r="W92" s="92"/>
    </row>
    <row r="93">
      <c r="A93" s="105">
        <v>5.0</v>
      </c>
      <c r="B93" s="110">
        <v>0.0</v>
      </c>
      <c r="C93" s="112">
        <v>1.0</v>
      </c>
      <c r="D93" s="92"/>
      <c r="E93" s="92"/>
      <c r="F93" s="92"/>
      <c r="G93" s="92"/>
      <c r="H93" s="92"/>
      <c r="I93" s="92"/>
      <c r="J93" s="92"/>
      <c r="K93" s="92"/>
      <c r="L93" s="92"/>
      <c r="M93" s="92"/>
      <c r="N93" s="92"/>
      <c r="O93" s="92"/>
      <c r="P93" s="92"/>
      <c r="Q93" s="92"/>
      <c r="R93" s="92"/>
      <c r="S93" s="92"/>
      <c r="T93" s="92"/>
      <c r="U93" s="92"/>
      <c r="V93" s="92"/>
      <c r="W93" s="92"/>
    </row>
    <row r="94">
      <c r="A94" s="105">
        <v>6.0</v>
      </c>
      <c r="B94" s="112">
        <v>2.0</v>
      </c>
      <c r="C94" s="112">
        <v>1.0</v>
      </c>
      <c r="D94" s="92"/>
      <c r="E94" s="92"/>
      <c r="F94" s="92"/>
      <c r="G94" s="92"/>
      <c r="H94" s="92"/>
      <c r="I94" s="92"/>
      <c r="J94" s="92"/>
      <c r="K94" s="92"/>
      <c r="L94" s="92"/>
      <c r="M94" s="92"/>
      <c r="N94" s="92"/>
      <c r="O94" s="92"/>
      <c r="P94" s="92"/>
      <c r="Q94" s="92"/>
      <c r="R94" s="92"/>
      <c r="S94" s="92"/>
      <c r="T94" s="92"/>
      <c r="U94" s="92"/>
      <c r="V94" s="92"/>
      <c r="W94" s="92"/>
    </row>
    <row r="95">
      <c r="A95" s="105">
        <v>7.0</v>
      </c>
      <c r="B95" s="104">
        <v>3.0</v>
      </c>
      <c r="C95" s="104">
        <v>4.0</v>
      </c>
      <c r="D95" s="92"/>
      <c r="E95" s="92"/>
      <c r="F95" s="92"/>
      <c r="G95" s="92"/>
      <c r="H95" s="92"/>
      <c r="I95" s="92"/>
      <c r="J95" s="92"/>
      <c r="K95" s="92"/>
      <c r="L95" s="92"/>
      <c r="M95" s="92"/>
      <c r="N95" s="92"/>
      <c r="O95" s="92"/>
      <c r="P95" s="92"/>
      <c r="Q95" s="92"/>
      <c r="R95" s="92"/>
      <c r="S95" s="92"/>
      <c r="T95" s="92"/>
      <c r="U95" s="92"/>
      <c r="V95" s="92"/>
      <c r="W95" s="92"/>
    </row>
    <row r="96">
      <c r="A96" s="105">
        <v>8.0</v>
      </c>
      <c r="B96" s="98">
        <v>9.0</v>
      </c>
      <c r="C96" s="98">
        <v>6.0</v>
      </c>
      <c r="D96" s="92"/>
      <c r="E96" s="92"/>
      <c r="F96" s="92"/>
      <c r="G96" s="92"/>
      <c r="H96" s="92"/>
      <c r="I96" s="92"/>
      <c r="J96" s="92"/>
      <c r="K96" s="92"/>
      <c r="L96" s="92"/>
      <c r="M96" s="92"/>
      <c r="N96" s="92"/>
      <c r="O96" s="92"/>
      <c r="P96" s="92"/>
      <c r="Q96" s="92"/>
      <c r="R96" s="92"/>
      <c r="S96" s="92"/>
      <c r="T96" s="92"/>
      <c r="U96" s="92"/>
      <c r="V96" s="92"/>
      <c r="W96" s="92"/>
    </row>
    <row r="97">
      <c r="A97" s="105">
        <v>9.0</v>
      </c>
      <c r="B97" s="104">
        <v>3.0</v>
      </c>
      <c r="C97" s="112">
        <v>2.0</v>
      </c>
      <c r="D97" s="92"/>
      <c r="E97" s="92"/>
      <c r="F97" s="92"/>
      <c r="G97" s="92"/>
      <c r="H97" s="92"/>
      <c r="I97" s="92"/>
      <c r="J97" s="92"/>
      <c r="K97" s="92"/>
      <c r="L97" s="92"/>
      <c r="M97" s="92"/>
      <c r="N97" s="92"/>
      <c r="O97" s="92"/>
      <c r="P97" s="92"/>
      <c r="Q97" s="92"/>
      <c r="R97" s="92"/>
      <c r="S97" s="92"/>
      <c r="T97" s="92"/>
      <c r="U97" s="92"/>
      <c r="V97" s="92"/>
      <c r="W97" s="92"/>
    </row>
    <row r="98">
      <c r="A98" s="105">
        <v>10.0</v>
      </c>
      <c r="B98" s="112">
        <v>1.0</v>
      </c>
      <c r="C98" s="110">
        <v>0.0</v>
      </c>
      <c r="D98" s="92"/>
      <c r="E98" s="92"/>
      <c r="F98" s="92"/>
      <c r="G98" s="92"/>
      <c r="H98" s="92"/>
      <c r="I98" s="92"/>
      <c r="J98" s="92"/>
      <c r="K98" s="92"/>
      <c r="L98" s="92"/>
      <c r="M98" s="92"/>
      <c r="N98" s="92"/>
      <c r="O98" s="92"/>
      <c r="P98" s="92"/>
      <c r="Q98" s="92"/>
      <c r="R98" s="92"/>
      <c r="S98" s="92"/>
      <c r="T98" s="92"/>
      <c r="U98" s="92"/>
      <c r="V98" s="92"/>
      <c r="W98" s="92"/>
    </row>
    <row r="99">
      <c r="A99" s="105">
        <v>11.0</v>
      </c>
      <c r="B99" s="112">
        <v>1.0</v>
      </c>
      <c r="C99" s="110">
        <v>0.0</v>
      </c>
      <c r="D99" s="92"/>
      <c r="E99" s="92"/>
      <c r="F99" s="92"/>
      <c r="G99" s="92"/>
      <c r="H99" s="92"/>
      <c r="I99" s="92"/>
      <c r="J99" s="92"/>
      <c r="K99" s="92"/>
      <c r="L99" s="92"/>
      <c r="M99" s="92"/>
      <c r="N99" s="92"/>
      <c r="O99" s="92"/>
      <c r="P99" s="92"/>
      <c r="Q99" s="92"/>
      <c r="R99" s="92"/>
      <c r="S99" s="92"/>
      <c r="T99" s="92"/>
      <c r="U99" s="92"/>
      <c r="V99" s="92"/>
      <c r="W99" s="92"/>
    </row>
    <row r="100">
      <c r="A100" s="105">
        <v>12.0</v>
      </c>
      <c r="B100" s="112">
        <v>2.0</v>
      </c>
      <c r="C100" s="101">
        <v>5.0</v>
      </c>
      <c r="D100" s="92"/>
      <c r="E100" s="92"/>
      <c r="F100" s="92"/>
      <c r="G100" s="92"/>
      <c r="H100" s="92"/>
      <c r="I100" s="92"/>
      <c r="J100" s="92"/>
      <c r="K100" s="92"/>
      <c r="L100" s="92"/>
      <c r="M100" s="92"/>
      <c r="N100" s="92"/>
      <c r="O100" s="92"/>
      <c r="P100" s="92"/>
      <c r="Q100" s="92"/>
      <c r="R100" s="92"/>
      <c r="S100" s="92"/>
      <c r="T100" s="92"/>
      <c r="U100" s="92"/>
      <c r="V100" s="92"/>
      <c r="W100" s="92"/>
    </row>
    <row r="101">
      <c r="A101" s="105">
        <v>13.0</v>
      </c>
      <c r="B101" s="112">
        <v>1.0</v>
      </c>
      <c r="C101" s="104">
        <v>4.0</v>
      </c>
      <c r="D101" s="92"/>
      <c r="E101" s="92"/>
      <c r="F101" s="92"/>
      <c r="G101" s="92"/>
      <c r="H101" s="92"/>
      <c r="I101" s="92"/>
      <c r="J101" s="92"/>
      <c r="K101" s="92"/>
      <c r="L101" s="92"/>
      <c r="M101" s="92"/>
      <c r="N101" s="92"/>
      <c r="O101" s="92"/>
      <c r="P101" s="92"/>
      <c r="Q101" s="92"/>
      <c r="R101" s="92"/>
      <c r="S101" s="92"/>
      <c r="T101" s="92"/>
      <c r="U101" s="92"/>
      <c r="V101" s="92"/>
      <c r="W101" s="92"/>
    </row>
    <row r="102">
      <c r="A102" s="105">
        <v>14.0</v>
      </c>
      <c r="B102" s="110">
        <v>0.0</v>
      </c>
      <c r="C102" s="112">
        <v>1.0</v>
      </c>
      <c r="D102" s="92"/>
      <c r="E102" s="92"/>
      <c r="F102" s="92"/>
      <c r="G102" s="92"/>
      <c r="H102" s="92"/>
      <c r="I102" s="92"/>
      <c r="J102" s="92"/>
      <c r="K102" s="92"/>
      <c r="L102" s="92"/>
      <c r="M102" s="92"/>
      <c r="N102" s="92"/>
      <c r="O102" s="92"/>
      <c r="P102" s="92"/>
      <c r="Q102" s="92"/>
      <c r="R102" s="92"/>
      <c r="S102" s="92"/>
      <c r="T102" s="92"/>
      <c r="U102" s="92"/>
      <c r="V102" s="92"/>
      <c r="W102" s="92"/>
    </row>
    <row r="103">
      <c r="A103" s="105">
        <v>15.0</v>
      </c>
      <c r="B103" s="112">
        <v>1.0</v>
      </c>
      <c r="C103" s="112">
        <v>2.0</v>
      </c>
      <c r="D103" s="92"/>
      <c r="E103" s="92"/>
      <c r="F103" s="92"/>
      <c r="G103" s="92"/>
      <c r="H103" s="92"/>
      <c r="I103" s="92"/>
      <c r="J103" s="92"/>
      <c r="K103" s="92"/>
      <c r="L103" s="92"/>
      <c r="M103" s="92"/>
      <c r="N103" s="92"/>
      <c r="O103" s="92"/>
      <c r="P103" s="92"/>
      <c r="Q103" s="92"/>
      <c r="R103" s="92"/>
      <c r="S103" s="92"/>
      <c r="T103" s="92"/>
      <c r="U103" s="92"/>
      <c r="V103" s="92"/>
      <c r="W103" s="92"/>
    </row>
    <row r="104">
      <c r="A104" s="105">
        <v>16.0</v>
      </c>
      <c r="B104" s="110">
        <v>0.0</v>
      </c>
      <c r="C104" s="110">
        <v>0.0</v>
      </c>
      <c r="D104" s="92"/>
      <c r="E104" s="92"/>
      <c r="F104" s="92"/>
      <c r="G104" s="92"/>
      <c r="H104" s="92"/>
      <c r="I104" s="92"/>
      <c r="J104" s="92"/>
      <c r="K104" s="92"/>
      <c r="L104" s="92"/>
      <c r="M104" s="92"/>
      <c r="N104" s="92"/>
      <c r="O104" s="92"/>
      <c r="P104" s="92"/>
      <c r="Q104" s="92"/>
      <c r="R104" s="92"/>
      <c r="S104" s="92"/>
      <c r="T104" s="92"/>
      <c r="U104" s="92"/>
      <c r="V104" s="92"/>
      <c r="W104" s="92"/>
    </row>
    <row r="105">
      <c r="A105" s="105">
        <v>17.0</v>
      </c>
      <c r="B105" s="112">
        <v>2.0</v>
      </c>
      <c r="C105" s="110">
        <v>0.0</v>
      </c>
      <c r="D105" s="92"/>
      <c r="E105" s="92"/>
      <c r="F105" s="92"/>
      <c r="G105" s="92"/>
      <c r="H105" s="92"/>
      <c r="I105" s="92"/>
      <c r="J105" s="92"/>
      <c r="K105" s="92"/>
      <c r="L105" s="92"/>
      <c r="M105" s="92"/>
      <c r="N105" s="92"/>
      <c r="O105" s="92"/>
      <c r="P105" s="92"/>
      <c r="Q105" s="92"/>
      <c r="R105" s="92"/>
      <c r="S105" s="92"/>
      <c r="T105" s="92"/>
      <c r="U105" s="92"/>
      <c r="V105" s="92"/>
      <c r="W105" s="92"/>
    </row>
    <row r="106">
      <c r="A106" s="131">
        <v>18.0</v>
      </c>
      <c r="B106" s="132">
        <v>2.0</v>
      </c>
      <c r="C106" s="135">
        <v>0.0</v>
      </c>
      <c r="D106" s="92"/>
      <c r="E106" s="92"/>
      <c r="F106" s="92"/>
      <c r="G106" s="92"/>
      <c r="H106" s="92"/>
      <c r="I106" s="92"/>
      <c r="J106" s="92"/>
      <c r="K106" s="92"/>
      <c r="L106" s="92"/>
      <c r="M106" s="92"/>
      <c r="N106" s="92"/>
      <c r="O106" s="92"/>
      <c r="P106" s="92"/>
      <c r="Q106" s="92"/>
      <c r="R106" s="92"/>
      <c r="S106" s="92"/>
      <c r="T106" s="92"/>
      <c r="U106" s="92"/>
      <c r="V106" s="92"/>
      <c r="W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row>
    <row r="108">
      <c r="A108" s="93" t="s">
        <v>213</v>
      </c>
      <c r="B108" s="128">
        <v>45078.0</v>
      </c>
      <c r="C108" s="128">
        <v>45139.0</v>
      </c>
      <c r="D108" s="92"/>
      <c r="E108" s="92"/>
      <c r="F108" s="92"/>
      <c r="G108" s="92"/>
      <c r="H108" s="92"/>
      <c r="I108" s="92"/>
      <c r="J108" s="92"/>
      <c r="K108" s="92"/>
      <c r="L108" s="92"/>
      <c r="M108" s="92"/>
      <c r="N108" s="92"/>
      <c r="O108" s="92"/>
      <c r="P108" s="92"/>
      <c r="Q108" s="92"/>
      <c r="R108" s="92"/>
      <c r="S108" s="92"/>
      <c r="T108" s="92"/>
      <c r="U108" s="92"/>
      <c r="V108" s="92"/>
      <c r="W108" s="92"/>
    </row>
    <row r="109">
      <c r="A109" s="105" t="s">
        <v>85</v>
      </c>
      <c r="B109" s="98">
        <v>26.0</v>
      </c>
      <c r="C109" s="98">
        <v>22.0</v>
      </c>
      <c r="D109" s="92"/>
      <c r="E109" s="92"/>
      <c r="F109" s="92"/>
      <c r="G109" s="92"/>
      <c r="H109" s="92"/>
      <c r="I109" s="92"/>
      <c r="J109" s="92"/>
      <c r="K109" s="92"/>
      <c r="L109" s="92"/>
      <c r="M109" s="92"/>
      <c r="N109" s="92"/>
      <c r="O109" s="92"/>
      <c r="P109" s="92"/>
      <c r="Q109" s="92"/>
      <c r="R109" s="92"/>
      <c r="S109" s="92"/>
      <c r="T109" s="92"/>
      <c r="U109" s="92"/>
      <c r="V109" s="92"/>
      <c r="W109" s="92"/>
    </row>
    <row r="110">
      <c r="A110" s="131" t="s">
        <v>89</v>
      </c>
      <c r="B110" s="136">
        <v>13.0</v>
      </c>
      <c r="C110" s="136">
        <v>16.0</v>
      </c>
      <c r="D110" s="92"/>
      <c r="E110" s="92"/>
      <c r="F110" s="92"/>
      <c r="G110" s="92"/>
      <c r="H110" s="92"/>
      <c r="I110" s="92"/>
      <c r="J110" s="92"/>
      <c r="K110" s="92"/>
      <c r="L110" s="92"/>
      <c r="M110" s="92"/>
      <c r="N110" s="92"/>
      <c r="O110" s="92"/>
      <c r="P110" s="92"/>
      <c r="Q110" s="92"/>
      <c r="R110" s="92"/>
      <c r="S110" s="92"/>
      <c r="T110" s="92"/>
      <c r="U110" s="92"/>
      <c r="V110" s="92"/>
      <c r="W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217</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137" t="s">
        <v>78</v>
      </c>
      <c r="H3" s="38"/>
      <c r="I3" s="39"/>
      <c r="J3" s="137" t="s">
        <v>79</v>
      </c>
      <c r="K3" s="38"/>
      <c r="L3" s="39"/>
      <c r="M3" s="137"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SUM(COUNTIF('Itemization 202506'!I31:I34,A5),COUNTIF('Itemization 202501'!I31:I34,A5),COUNTIF('Itemization 202408'!I31:I34,A5),COUNTIF('Itemization 202406'!I31:I34,A5),COUNTIF('Itemization 202401'!I31:I34,A5),COUNTIF('Itemization 202306'!I31:I34,A5),COUNTIF('Itemization 202308'!I31:I34,A5))</f>
        <v>27</v>
      </c>
      <c r="C5" s="49">
        <f>(B5/B8)</f>
        <v>0.9642857143</v>
      </c>
      <c r="D5" s="47" t="s">
        <v>83</v>
      </c>
      <c r="E5" s="48">
        <f>SUM(COUNTIF('Itemization 202506'!J31:J34,D5),COUNTIF('Itemization 202501'!J31:J34,D5),COUNTIF('Itemization 202408'!J31:J34,D5),COUNTIF('Itemization 202406'!J31:J34,D5),COUNTIF('Itemization 202401'!J31:J34,D5),COUNTIF('Itemization 202308'!J31:J34,D5),COUNTIF('Itemization 202306'!J31:J34,D5))</f>
        <v>23</v>
      </c>
      <c r="F5" s="49">
        <f>(E5/E10)</f>
        <v>0.8214285714</v>
      </c>
      <c r="G5" s="125">
        <v>11.01</v>
      </c>
      <c r="H5" s="54">
        <f>SUM(COUNTIF('Itemization 202506'!K31:K34,G5),COUNTIF('Itemization 202501'!K31:K34,G5),COUNTIF('Itemization 202408'!K31:K34,G5),COUNTIF('Itemization 202406'!K31:K34,G5),COUNTIF('Itemization 202401'!K31:K34,G5),COUNTIF('Itemization 202308'!K31:K34,G5),COUNTIF('Itemization 202306'!K31:K34,G5))</f>
        <v>0</v>
      </c>
      <c r="I5" s="55">
        <f>(H5/H16)</f>
        <v>0</v>
      </c>
      <c r="J5" s="53" t="s">
        <v>84</v>
      </c>
      <c r="K5" s="54">
        <f>SUM(COUNTIF('Itemization 202506'!L31:L34,J5),COUNTIF('Itemization 202501'!L31:L34,J5),COUNTIF('Itemization 202408'!L31:L34,J5),COUNTIF('Itemization 202406'!L31:L34,J5),COUNTIF('Itemization 202401'!L31:L34,J5),COUNTIF('Itemization 202308'!L31:L34,J5),COUNTIF('Itemization 202306'!L31:L34,J5))</f>
        <v>0</v>
      </c>
      <c r="L5" s="55">
        <f>(K5/K116)</f>
        <v>0</v>
      </c>
      <c r="M5" s="138">
        <v>1.0</v>
      </c>
      <c r="N5" s="139">
        <f>SUM(countif('Itemization 202506'!M31:M34,M5),countif('Itemization 202501'!M31:M34,M5),countif('Itemization 202408'!M31:M34,M5),countif('Itemization 202406'!M31:M34,M5),countif('Itemization 202401'!M31:M34,M5),countif('Itemization 202308'!M31:M34,M5),countif('Itemization 202306'!M31:M34,M5))</f>
        <v>0</v>
      </c>
      <c r="O5" s="140" t="str">
        <f>(N5/N23)</f>
        <v>#DIV/0!</v>
      </c>
      <c r="P5" s="47" t="s">
        <v>85</v>
      </c>
      <c r="Q5" s="48">
        <f>SUM(countif('Itemization 202506'!N31:N34,P5),countif('Itemization 202501'!N31:N34,P5),countif('Itemization 202408'!N31:N34,P5),countif('Itemization 202406'!N31:N34,P5),countif('Itemization 202401'!N31:N34,P5),countif('Itemization 202308'!N31:N34,P5),countif('Itemization 202306'!N31:N34,P5))</f>
        <v>20</v>
      </c>
      <c r="R5" s="59">
        <f>(Q5/Q7)</f>
        <v>1</v>
      </c>
    </row>
    <row r="6" ht="15.75" customHeight="1">
      <c r="A6" s="60" t="s">
        <v>86</v>
      </c>
      <c r="B6" s="61">
        <f>SUM(COUNTIF('Itemization 202506'!I31:I34,A6),COUNTIF('Itemization 202501'!I31:I34,A6),COUNTIF('Itemization 202408'!I31:I34,A6),COUNTIF('Itemization 202406'!I31:I34,A6),COUNTIF('Itemization 202401'!I31:I34,A6),COUNTIF('Itemization 202306'!I31:I34,A6),COUNTIF('Itemization 202308'!I31:I34,A6))</f>
        <v>1</v>
      </c>
      <c r="C6" s="62">
        <f>(B6/B8)</f>
        <v>0.03571428571</v>
      </c>
      <c r="D6" s="60" t="s">
        <v>87</v>
      </c>
      <c r="E6" s="61">
        <f>SUM(COUNTIF('Itemization 202506'!J31:J34,D6),COUNTIF('Itemization 202501'!J31:J34,D6),COUNTIF('Itemization 202408'!J31:J34,D6),COUNTIF('Itemization 202406'!J31:J34,D6),COUNTIF('Itemization 202401'!J31:J34,D6),COUNTIF('Itemization 202308'!J31:J34,D6),COUNTIF('Itemization 202306'!J31:J34,D6))</f>
        <v>4</v>
      </c>
      <c r="F6" s="62">
        <f>(E6/E10)</f>
        <v>0.1428571429</v>
      </c>
      <c r="G6" s="60">
        <v>11.02</v>
      </c>
      <c r="H6" s="61">
        <f>SUM(COUNTIF('Itemization 202506'!K31:K34,G6),COUNTIF('Itemization 202501'!K31:K34,G6),COUNTIF('Itemization 202408'!K31:K34,G6),COUNTIF('Itemization 202406'!K31:K34,G6),COUNTIF('Itemization 202401'!K31:K34,G6),COUNTIF('Itemization 202308'!K31:K34,G6),COUNTIF('Itemization 202306'!K31:K34,G6))</f>
        <v>5</v>
      </c>
      <c r="I6" s="62">
        <f>(H6/H16)</f>
        <v>0.1785714286</v>
      </c>
      <c r="J6" s="53" t="s">
        <v>88</v>
      </c>
      <c r="K6" s="54">
        <f>SUM(COUNTIF('Itemization 202506'!L31:L34,J6),COUNTIF('Itemization 202501'!L31:L34,J6),COUNTIF('Itemization 202408'!L31:L34,J6),COUNTIF('Itemization 202406'!L31:L34,J6),COUNTIF('Itemization 202401'!L31:L34,J6),COUNTIF('Itemization 202308'!L31:L34,J6),COUNTIF('Itemization 202306'!L31:L34,J6))</f>
        <v>0</v>
      </c>
      <c r="L6" s="55">
        <f>(K6/K116)</f>
        <v>0</v>
      </c>
      <c r="M6" s="138">
        <v>2.0</v>
      </c>
      <c r="N6" s="139">
        <f>SUM(countif('Itemization 202506'!M31:M34,M6),countif('Itemization 202501'!M31:M34,M6),countif('Itemization 202408'!M31:M34,M6),countif('Itemization 202406'!M31:M34,M6),countif('Itemization 202401'!M31:M34,M6),countif('Itemization 202308'!M31:M34,M6),countif('Itemization 202306'!M31:M34,M6))</f>
        <v>0</v>
      </c>
      <c r="O6" s="140" t="str">
        <f>(N6/N23)</f>
        <v>#DIV/0!</v>
      </c>
      <c r="P6" s="141" t="s">
        <v>89</v>
      </c>
      <c r="Q6" s="54">
        <f>SUM(countif('Itemization 202506'!N31:N34,P6),countif('Itemization 202501'!N31:N34,P6),countif('Itemization 202408'!N31:N34,P6),countif('Itemization 202406'!N31:N34,P6),countif('Itemization 202401'!N31:N34,P6),countif('Itemization 202308'!N31:N34,P6),countif('Itemization 202306'!N31:N34,P6))</f>
        <v>0</v>
      </c>
      <c r="R6" s="142">
        <f>(Q6/Q7)</f>
        <v>0</v>
      </c>
    </row>
    <row r="7" ht="15.75" customHeight="1">
      <c r="A7" s="141" t="s">
        <v>90</v>
      </c>
      <c r="B7" s="54">
        <f>SUM(COUNTIF('Itemization 202506'!I31:I34,A7),COUNTIF('Itemization 202501'!I31:I34,A7),COUNTIF('Itemization 202408'!I31:I34,A7),COUNTIF('Itemization 202406'!I31:I34,A7),COUNTIF('Itemization 202401'!I31:I34,A7),COUNTIF('Itemization 202306'!I31:I34,A7),COUNTIF('Itemization 202308'!I31:I34,A7))</f>
        <v>0</v>
      </c>
      <c r="C7" s="143">
        <f>(B7/B8)</f>
        <v>0</v>
      </c>
      <c r="D7" s="56" t="s">
        <v>91</v>
      </c>
      <c r="E7" s="57">
        <f>SUM(COUNTIF('Itemization 202506'!J31:J34,D7),COUNTIF('Itemization 202501'!J31:J34,D7),COUNTIF('Itemization 202408'!J31:J34,D7),COUNTIF('Itemization 202406'!J31:J34,D7),COUNTIF('Itemization 202401'!J31:J34,D7),COUNTIF('Itemization 202308'!J31:J34,D7),COUNTIF('Itemization 202306'!J31:J34,D7))</f>
        <v>1</v>
      </c>
      <c r="F7" s="58">
        <f>(E7/E10)</f>
        <v>0.03571428571</v>
      </c>
      <c r="G7" s="56">
        <v>11.03</v>
      </c>
      <c r="H7" s="57">
        <f>SUM(COUNTIF('Itemization 202506'!K31:K34,G7),COUNTIF('Itemization 202501'!K31:K34,G7),COUNTIF('Itemization 202408'!K31:K34,G7),COUNTIF('Itemization 202406'!K31:K34,G7),COUNTIF('Itemization 202401'!K31:K34,G7),COUNTIF('Itemization 202308'!K31:K34,G7),COUNTIF('Itemization 202306'!K31:K34,G7))</f>
        <v>3</v>
      </c>
      <c r="I7" s="58">
        <f>(H7/H16)</f>
        <v>0.1071428571</v>
      </c>
      <c r="J7" s="53" t="s">
        <v>92</v>
      </c>
      <c r="K7" s="54">
        <f>SUM(COUNTIF('Itemization 202506'!L31:L34,J7),COUNTIF('Itemization 202501'!L31:L34,J7),COUNTIF('Itemization 202408'!L31:L34,J7),COUNTIF('Itemization 202406'!L31:L34,J7),COUNTIF('Itemization 202401'!L31:L34,J7),COUNTIF('Itemization 202308'!L31:L34,J7),COUNTIF('Itemization 202306'!L31:L34,J7))</f>
        <v>0</v>
      </c>
      <c r="L7" s="55">
        <f>(K7/K116)</f>
        <v>0</v>
      </c>
      <c r="M7" s="138">
        <v>3.0</v>
      </c>
      <c r="N7" s="139">
        <f>SUM(countif('Itemization 202506'!M31:M34,M7),countif('Itemization 202501'!M31:M34,M7),countif('Itemization 202408'!M31:M34,M7),countif('Itemization 202406'!M31:M34,M7),countif('Itemization 202401'!M31:M34,M7),countif('Itemization 202308'!M31:M34,M7),countif('Itemization 202306'!M31:M34,M7))</f>
        <v>0</v>
      </c>
      <c r="O7" s="140" t="str">
        <f>(N7/N23)</f>
        <v>#DIV/0!</v>
      </c>
      <c r="P7" s="68" t="s">
        <v>93</v>
      </c>
      <c r="Q7" s="69">
        <f t="shared" ref="Q7:R7" si="1">SUM(Q5:Q6)</f>
        <v>20</v>
      </c>
      <c r="R7" s="70">
        <f t="shared" si="1"/>
        <v>1</v>
      </c>
    </row>
    <row r="8" ht="15.75" customHeight="1">
      <c r="A8" s="68" t="s">
        <v>93</v>
      </c>
      <c r="B8" s="69">
        <f t="shared" ref="B8:C8" si="2">SUM(B5:B7)</f>
        <v>28</v>
      </c>
      <c r="C8" s="71">
        <f t="shared" si="2"/>
        <v>1</v>
      </c>
      <c r="D8" s="125" t="s">
        <v>94</v>
      </c>
      <c r="E8" s="54">
        <f>SUM(COUNTIF('Itemization 202506'!J31:J34,D8),COUNTIF('Itemization 202501'!J31:J34,D8),COUNTIF('Itemization 202408'!J31:J34,D8),COUNTIF('Itemization 202406'!J31:J34,D8),COUNTIF('Itemization 202401'!J31:J34,D8),COUNTIF('Itemization 202308'!J31:J34,D8),COUNTIF('Itemization 202306'!J31:J34,D8))</f>
        <v>0</v>
      </c>
      <c r="F8" s="55">
        <f>(E8/E10)</f>
        <v>0</v>
      </c>
      <c r="G8" s="56">
        <v>11.04</v>
      </c>
      <c r="H8" s="57">
        <f>SUM(COUNTIF('Itemization 202506'!K31:K34,G8),COUNTIF('Itemization 202501'!K31:K34,G8),COUNTIF('Itemization 202408'!K31:K34,G8),COUNTIF('Itemization 202406'!K31:K34,G8),COUNTIF('Itemization 202401'!K31:K34,G8),COUNTIF('Itemization 202308'!K31:K34,G8),COUNTIF('Itemization 202306'!K31:K34,G8))</f>
        <v>3</v>
      </c>
      <c r="I8" s="58">
        <f>(H8/H16)</f>
        <v>0.1071428571</v>
      </c>
      <c r="J8" s="53" t="s">
        <v>95</v>
      </c>
      <c r="K8" s="54">
        <f>SUM(COUNTIF('Itemization 202506'!L31:L34,J8),COUNTIF('Itemization 202501'!L31:L34,J8),COUNTIF('Itemization 202408'!L31:L34,J8),COUNTIF('Itemization 202406'!L31:L34,J8),COUNTIF('Itemization 202401'!L31:L34,J8),COUNTIF('Itemization 202308'!L31:L34,J8),COUNTIF('Itemization 202306'!L31:L34,J8))</f>
        <v>0</v>
      </c>
      <c r="L8" s="55">
        <f>(K8/K116)</f>
        <v>0</v>
      </c>
      <c r="M8" s="138">
        <v>4.0</v>
      </c>
      <c r="N8" s="139">
        <f>SUM(countif('Itemization 202506'!M31:M34,M8),countif('Itemization 202501'!M31:M34,M8),countif('Itemization 202408'!M31:M34,M8),countif('Itemization 202406'!M31:M34,M8),countif('Itemization 202401'!M31:M34,M8),countif('Itemization 202308'!M31:M34,M8),countif('Itemization 202306'!M31:M34,M8))</f>
        <v>0</v>
      </c>
      <c r="O8" s="140" t="str">
        <f>(N8/N23)</f>
        <v>#DIV/0!</v>
      </c>
      <c r="P8" s="51"/>
      <c r="Q8" s="51"/>
      <c r="R8" s="72"/>
    </row>
    <row r="9" ht="15.75" customHeight="1">
      <c r="A9" s="73"/>
      <c r="B9" s="73"/>
      <c r="C9" s="74"/>
      <c r="D9" s="141" t="s">
        <v>96</v>
      </c>
      <c r="E9" s="54">
        <f>SUM(COUNTIF('Itemization 202506'!J31:J34,D9),COUNTIF('Itemization 202501'!J31:J34,D9),COUNTIF('Itemization 202408'!J31:J34,D9),COUNTIF('Itemization 202406'!J31:J34,D9),COUNTIF('Itemization 202401'!J31:J34,D9),COUNTIF('Itemization 202308'!J31:J34,D9),COUNTIF('Itemization 202306'!J31:J34,D9))</f>
        <v>0</v>
      </c>
      <c r="F9" s="143">
        <f>(E9/E10)</f>
        <v>0</v>
      </c>
      <c r="G9" s="60">
        <v>11.05</v>
      </c>
      <c r="H9" s="61">
        <f>SUM(COUNTIF('Itemization 202506'!K31:K34,G9),COUNTIF('Itemization 202501'!K31:K34,G9),COUNTIF('Itemization 202408'!K31:K34,G9),COUNTIF('Itemization 202406'!K31:K34,G9),COUNTIF('Itemization 202401'!K31:K34,G9),COUNTIF('Itemization 202308'!K31:K34,G9),COUNTIF('Itemization 202306'!K31:K34,G9))</f>
        <v>5</v>
      </c>
      <c r="I9" s="62">
        <f>(H9/H16)</f>
        <v>0.1785714286</v>
      </c>
      <c r="J9" s="53" t="s">
        <v>97</v>
      </c>
      <c r="K9" s="54">
        <f>SUM(COUNTIF('Itemization 202506'!L31:L34,J9),COUNTIF('Itemization 202501'!L31:L34,J9),COUNTIF('Itemization 202408'!L31:L34,J9),COUNTIF('Itemization 202406'!L31:L34,J9),COUNTIF('Itemization 202401'!L31:L34,J9),COUNTIF('Itemization 202308'!L31:L34,J9),COUNTIF('Itemization 202306'!L31:L34,J9))</f>
        <v>0</v>
      </c>
      <c r="L9" s="55">
        <f>(K9/K116)</f>
        <v>0</v>
      </c>
      <c r="M9" s="138">
        <v>5.0</v>
      </c>
      <c r="N9" s="139">
        <f>SUM(countif('Itemization 202506'!M31:M34,M9),countif('Itemization 202501'!M31:M34,M9),countif('Itemization 202408'!M31:M34,M9),countif('Itemization 202406'!M31:M34,M9),countif('Itemization 202401'!M31:M34,M9),countif('Itemization 202308'!M31:M34,M9),countif('Itemization 202306'!M31:M34,M9))</f>
        <v>0</v>
      </c>
      <c r="O9" s="140" t="str">
        <f>(N9/N23)</f>
        <v>#DIV/0!</v>
      </c>
      <c r="P9" s="51"/>
      <c r="Q9" s="51"/>
      <c r="R9" s="72"/>
    </row>
    <row r="10" ht="15.75" customHeight="1">
      <c r="A10" s="77"/>
      <c r="B10" s="51"/>
      <c r="C10" s="78"/>
      <c r="D10" s="68" t="s">
        <v>93</v>
      </c>
      <c r="E10" s="69">
        <f t="shared" ref="E10:F10" si="3">SUM(E5:E9)</f>
        <v>28</v>
      </c>
      <c r="F10" s="71">
        <f t="shared" si="3"/>
        <v>1</v>
      </c>
      <c r="G10" s="144">
        <v>11.06</v>
      </c>
      <c r="H10" s="114">
        <f>SUM(COUNTIF('Itemization 202506'!K31:K34,G10),COUNTIF('Itemization 202501'!K31:K34,G10),COUNTIF('Itemization 202408'!K31:K34,G10),COUNTIF('Itemization 202406'!K31:K34,G10),COUNTIF('Itemization 202401'!K31:K34,G10),COUNTIF('Itemization 202308'!K31:K34,G10),COUNTIF('Itemization 202306'!K31:K34,G10))</f>
        <v>2</v>
      </c>
      <c r="I10" s="145">
        <f>(H10/H16)</f>
        <v>0.07142857143</v>
      </c>
      <c r="J10" s="53" t="s">
        <v>98</v>
      </c>
      <c r="K10" s="54">
        <f>SUM(COUNTIF('Itemization 202506'!L31:L34,J10),COUNTIF('Itemization 202501'!L31:L34,J10),COUNTIF('Itemization 202408'!L31:L34,J10),COUNTIF('Itemization 202406'!L31:L34,J10),COUNTIF('Itemization 202401'!L31:L34,J10),COUNTIF('Itemization 202308'!L31:L34,J10),COUNTIF('Itemization 202306'!L31:L34,J10))</f>
        <v>0</v>
      </c>
      <c r="L10" s="55">
        <f>(K10/K116)</f>
        <v>0</v>
      </c>
      <c r="M10" s="138">
        <v>6.0</v>
      </c>
      <c r="N10" s="139">
        <f>SUM(countif('Itemization 202506'!M31:M34,M10),countif('Itemization 202501'!M31:M34,M10),countif('Itemization 202408'!M31:M34,M10),countif('Itemization 202406'!M31:M34,M10),countif('Itemization 202401'!M31:M34,M10),countif('Itemization 202308'!M31:M34,M10),countif('Itemization 202306'!M31:M34,M10))</f>
        <v>0</v>
      </c>
      <c r="O10" s="140" t="str">
        <f>(N10/N23)</f>
        <v>#DIV/0!</v>
      </c>
      <c r="P10" s="51"/>
      <c r="Q10" s="51"/>
      <c r="R10" s="72"/>
    </row>
    <row r="11" ht="15.75" customHeight="1">
      <c r="A11" s="77"/>
      <c r="B11" s="51"/>
      <c r="C11" s="78"/>
      <c r="D11" s="51"/>
      <c r="E11" s="51"/>
      <c r="F11" s="78"/>
      <c r="G11" s="144">
        <v>11.07</v>
      </c>
      <c r="H11" s="114">
        <f>SUM(COUNTIF('Itemization 202506'!K31:K34,G11),COUNTIF('Itemization 202501'!K31:K34,G11),COUNTIF('Itemization 202408'!K31:K34,G11),COUNTIF('Itemization 202406'!K31:K34,G11),COUNTIF('Itemization 202401'!K31:K34,G11),COUNTIF('Itemization 202308'!K31:K34,G11),COUNTIF('Itemization 202306'!K31:K34,G11))</f>
        <v>2</v>
      </c>
      <c r="I11" s="145">
        <f>(H11/H16)</f>
        <v>0.07142857143</v>
      </c>
      <c r="J11" s="53" t="s">
        <v>99</v>
      </c>
      <c r="K11" s="54">
        <f>SUM(COUNTIF('Itemization 202506'!L31:L34,J11),COUNTIF('Itemization 202501'!L31:L34,J11),COUNTIF('Itemization 202408'!L31:L34,J11),COUNTIF('Itemization 202406'!L31:L34,J11),COUNTIF('Itemization 202401'!L31:L34,J11),COUNTIF('Itemization 202308'!L31:L34,J11),COUNTIF('Itemization 202306'!L31:L34,J11))</f>
        <v>0</v>
      </c>
      <c r="L11" s="55">
        <f>(K11/K116)</f>
        <v>0</v>
      </c>
      <c r="M11" s="138">
        <v>7.0</v>
      </c>
      <c r="N11" s="139">
        <f>SUM(countif('Itemization 202506'!M31:M34,M11),countif('Itemization 202501'!M31:M34,M11),countif('Itemization 202408'!M31:M34,M11),countif('Itemization 202406'!M31:M34,M11),countif('Itemization 202401'!M31:M34,M11),countif('Itemization 202308'!M31:M34,M11),countif('Itemization 202306'!M31:M34,M11))</f>
        <v>0</v>
      </c>
      <c r="O11" s="140" t="str">
        <f>(N11/N23)</f>
        <v>#DIV/0!</v>
      </c>
      <c r="P11" s="51"/>
      <c r="Q11" s="51"/>
      <c r="R11" s="72"/>
    </row>
    <row r="12" ht="15.75" customHeight="1">
      <c r="A12" s="77"/>
      <c r="B12" s="51"/>
      <c r="C12" s="78"/>
      <c r="D12" s="51"/>
      <c r="E12" s="51"/>
      <c r="F12" s="78"/>
      <c r="G12" s="125">
        <v>11.08</v>
      </c>
      <c r="H12" s="54">
        <f>SUM(COUNTIF('Itemization 202506'!K31:K34,G12),COUNTIF('Itemization 202501'!K31:K34,G12),COUNTIF('Itemization 202408'!K31:K34,G12),COUNTIF('Itemization 202406'!K31:K34,G12),COUNTIF('Itemization 202401'!K31:K34,G12),COUNTIF('Itemization 202308'!K31:K34,G12),COUNTIF('Itemization 202306'!K31:K34,G12))</f>
        <v>0</v>
      </c>
      <c r="I12" s="55">
        <f>(H12/H16)</f>
        <v>0</v>
      </c>
      <c r="J12" s="87" t="s">
        <v>100</v>
      </c>
      <c r="K12" s="48">
        <f>SUM(COUNTIF('Itemization 202506'!L31:L34,J12),COUNTIF('Itemization 202501'!L31:L34,J12),COUNTIF('Itemization 202408'!L31:L34,J12),COUNTIF('Itemization 202406'!L31:L34,J12),COUNTIF('Itemization 202401'!L31:L34,J12),COUNTIF('Itemization 202308'!L31:L34,J12),COUNTIF('Itemization 202306'!L31:L34,J12))</f>
        <v>4</v>
      </c>
      <c r="L12" s="49">
        <f>(K12/K116)</f>
        <v>0.1481481481</v>
      </c>
      <c r="M12" s="138">
        <v>8.0</v>
      </c>
      <c r="N12" s="139">
        <f>SUM(countif('Itemization 202506'!M31:M34,M12),countif('Itemization 202501'!M31:M34,M12),countif('Itemization 202408'!M31:M34,M12),countif('Itemization 202406'!M31:M34,M12),countif('Itemization 202401'!M31:M34,M12),countif('Itemization 202308'!M31:M34,M12),countif('Itemization 202306'!M31:M34,M12))</f>
        <v>0</v>
      </c>
      <c r="O12" s="140" t="str">
        <f>(N12/N23)</f>
        <v>#DIV/0!</v>
      </c>
      <c r="P12" s="51"/>
      <c r="Q12" s="51"/>
      <c r="R12" s="72"/>
    </row>
    <row r="13" ht="15.75" customHeight="1">
      <c r="A13" s="77"/>
      <c r="B13" s="51"/>
      <c r="C13" s="78"/>
      <c r="D13" s="51"/>
      <c r="E13" s="51"/>
      <c r="F13" s="78"/>
      <c r="G13" s="60">
        <v>11.09</v>
      </c>
      <c r="H13" s="61">
        <f>SUM(COUNTIF('Itemization 202506'!K31:K34,G13),COUNTIF('Itemization 202501'!K31:K34,G13),COUNTIF('Itemization 202408'!K31:K34,G13),COUNTIF('Itemization 202406'!K31:K34,G13),COUNTIF('Itemization 202401'!K31:K34,G13),COUNTIF('Itemization 202308'!K31:K34,G13),COUNTIF('Itemization 202306'!K31:K34,G13))</f>
        <v>5</v>
      </c>
      <c r="I13" s="62">
        <f>(H13/H16)</f>
        <v>0.1785714286</v>
      </c>
      <c r="J13" s="53" t="s">
        <v>101</v>
      </c>
      <c r="K13" s="54">
        <f>SUM(COUNTIF('Itemization 202506'!L31:L34,J13),COUNTIF('Itemization 202501'!L31:L34,J13),COUNTIF('Itemization 202408'!L31:L34,J13),COUNTIF('Itemization 202406'!L31:L34,J13),COUNTIF('Itemization 202401'!L31:L34,J13),COUNTIF('Itemization 202308'!L31:L34,J13),COUNTIF('Itemization 202306'!L31:L34,J13))</f>
        <v>0</v>
      </c>
      <c r="L13" s="55">
        <f>(K13/K116)</f>
        <v>0</v>
      </c>
      <c r="M13" s="138">
        <v>9.0</v>
      </c>
      <c r="N13" s="139">
        <f>SUM(countif('Itemization 202506'!M31:M34,M13),countif('Itemization 202501'!M31:M34,M13),countif('Itemization 202408'!M31:M34,M13),countif('Itemization 202406'!M31:M34,M13),countif('Itemization 202401'!M31:M34,M13),countif('Itemization 202308'!M31:M34,M13),countif('Itemization 202306'!M31:M34,M13))</f>
        <v>0</v>
      </c>
      <c r="O13" s="140" t="str">
        <f>(N13/N23)</f>
        <v>#DIV/0!</v>
      </c>
      <c r="P13" s="51"/>
      <c r="Q13" s="51"/>
      <c r="R13" s="72"/>
    </row>
    <row r="14" ht="15.75" customHeight="1">
      <c r="A14" s="51"/>
      <c r="B14" s="51"/>
      <c r="C14" s="78"/>
      <c r="D14" s="51"/>
      <c r="E14" s="51"/>
      <c r="F14" s="78"/>
      <c r="G14" s="88" t="s">
        <v>102</v>
      </c>
      <c r="H14" s="57">
        <f>SUM(COUNTIF('Itemization 202506'!K31:K34,G14),COUNTIF('Itemization 202501'!K31:K34,G14),COUNTIF('Itemization 202408'!K31:K34,G14),COUNTIF('Itemization 202406'!K31:K34,G14),COUNTIF('Itemization 202401'!K31:K34,G14),COUNTIF('Itemization 202308'!K31:K34,G14),COUNTIF('Itemization 202306'!K31:K34,G14))</f>
        <v>3</v>
      </c>
      <c r="I14" s="58">
        <f>(H14/H16)</f>
        <v>0.1071428571</v>
      </c>
      <c r="J14" s="53" t="s">
        <v>103</v>
      </c>
      <c r="K14" s="54">
        <f>SUM(COUNTIF('Itemization 202506'!L31:L34,J14),COUNTIF('Itemization 202501'!L31:L34,J14),COUNTIF('Itemization 202408'!L31:L34,J14),COUNTIF('Itemization 202406'!L31:L34,J14),COUNTIF('Itemization 202401'!L31:L34,J14),COUNTIF('Itemization 202308'!L31:L34,J14),COUNTIF('Itemization 202306'!L31:L34,J14))</f>
        <v>0</v>
      </c>
      <c r="L14" s="55">
        <f>(K14/K116)</f>
        <v>0</v>
      </c>
      <c r="M14" s="138">
        <v>10.0</v>
      </c>
      <c r="N14" s="139">
        <f>SUM(countif('Itemization 202506'!M31:M34,M14),countif('Itemization 202501'!M31:M34,M14),countif('Itemization 202408'!M31:M34,M14),countif('Itemization 202406'!M31:M34,M14),countif('Itemization 202401'!M31:M34,M14),countif('Itemization 202308'!M31:M34,M14),countif('Itemization 202306'!M31:M34,M14))</f>
        <v>0</v>
      </c>
      <c r="O14" s="140" t="str">
        <f>(N14/N23)</f>
        <v>#DIV/0!</v>
      </c>
      <c r="P14" s="51"/>
      <c r="Q14" s="51"/>
      <c r="R14" s="72"/>
    </row>
    <row r="15" ht="15.75" customHeight="1">
      <c r="A15" s="73"/>
      <c r="B15" s="73"/>
      <c r="C15" s="74"/>
      <c r="D15" s="51"/>
      <c r="E15" s="51"/>
      <c r="F15" s="78"/>
      <c r="G15" s="90" t="s">
        <v>104</v>
      </c>
      <c r="H15" s="54">
        <f>SUM(COUNTIF('Itemization 202506'!K31:K34,G15),COUNTIF('Itemization 202501'!K31:K34,G15),COUNTIF('Itemization 202408'!K31:K34,G15),COUNTIF('Itemization 202406'!K31:K34,G15),COUNTIF('Itemization 202401'!K31:K34,G15),COUNTIF('Itemization 202308'!K31:K34,G15),COUNTIF('Itemization 202306'!K31:K34,G15))</f>
        <v>0</v>
      </c>
      <c r="I15" s="143">
        <f>(H15/H16)</f>
        <v>0</v>
      </c>
      <c r="J15" s="53" t="s">
        <v>105</v>
      </c>
      <c r="K15" s="54">
        <f>SUM(COUNTIF('Itemization 202506'!L31:L34,J15),COUNTIF('Itemization 202501'!L31:L34,J15),COUNTIF('Itemization 202408'!L31:L34,J15),COUNTIF('Itemization 202406'!L31:L34,J15),COUNTIF('Itemization 202401'!L31:L34,J15),COUNTIF('Itemization 202308'!L31:L34,J15),COUNTIF('Itemization 202306'!L31:L34,J15))</f>
        <v>0</v>
      </c>
      <c r="L15" s="55">
        <f>(K15/K116)</f>
        <v>0</v>
      </c>
      <c r="M15" s="138">
        <v>11.0</v>
      </c>
      <c r="N15" s="139">
        <f>SUM(countif('Itemization 202506'!M31:M34,M15),countif('Itemization 202501'!M31:M34,M15),countif('Itemization 202408'!M31:M34,M15),countif('Itemization 202406'!M31:M34,M15),countif('Itemization 202401'!M31:M34,M15),countif('Itemization 202308'!M31:M34,M15),countif('Itemization 202306'!M31:M34,M15))</f>
        <v>0</v>
      </c>
      <c r="O15" s="140" t="str">
        <f>(N15/N23)</f>
        <v>#DIV/0!</v>
      </c>
      <c r="P15" s="51"/>
      <c r="Q15" s="51"/>
      <c r="R15" s="72"/>
    </row>
    <row r="16" ht="15.75" customHeight="1">
      <c r="A16" s="51"/>
      <c r="B16" s="51"/>
      <c r="C16" s="78"/>
      <c r="D16" s="51"/>
      <c r="E16" s="51"/>
      <c r="F16" s="78"/>
      <c r="G16" s="68" t="s">
        <v>93</v>
      </c>
      <c r="H16" s="69">
        <f>SUM(H5:H15)</f>
        <v>28</v>
      </c>
      <c r="I16" s="71">
        <f>sum(I5:I15)</f>
        <v>1</v>
      </c>
      <c r="J16" s="53" t="s">
        <v>106</v>
      </c>
      <c r="K16" s="54">
        <f>SUM(COUNTIF('Itemization 202506'!L31:L34,J16),COUNTIF('Itemization 202501'!L31:L34,J16),COUNTIF('Itemization 202408'!L31:L34,J16),COUNTIF('Itemization 202406'!L31:L34,J16),COUNTIF('Itemization 202401'!L31:L34,J16),COUNTIF('Itemization 202308'!L31:L34,J16),COUNTIF('Itemization 202306'!L31:L34,J16))</f>
        <v>0</v>
      </c>
      <c r="L16" s="55">
        <f>(K16/K116)</f>
        <v>0</v>
      </c>
      <c r="M16" s="138">
        <v>12.0</v>
      </c>
      <c r="N16" s="139">
        <f>SUM(countif('Itemization 202506'!M31:M34,M16),countif('Itemization 202501'!M31:M34,M16),countif('Itemization 202408'!M31:M34,M16),countif('Itemization 202406'!M31:M34,M16),countif('Itemization 202401'!M31:M34,M16),countif('Itemization 202308'!M31:M34,M16),countif('Itemization 202306'!M31:M34,M16))</f>
        <v>0</v>
      </c>
      <c r="O16" s="140" t="str">
        <f>(N16/N23)</f>
        <v>#DIV/0!</v>
      </c>
      <c r="P16" s="51"/>
      <c r="Q16" s="51"/>
      <c r="R16" s="72"/>
    </row>
    <row r="17" ht="15.75" customHeight="1">
      <c r="A17" s="73"/>
      <c r="B17" s="73"/>
      <c r="C17" s="74"/>
      <c r="D17" s="51"/>
      <c r="E17" s="51"/>
      <c r="F17" s="78"/>
      <c r="G17" s="51"/>
      <c r="H17" s="51"/>
      <c r="I17" s="78"/>
      <c r="J17" s="53" t="s">
        <v>107</v>
      </c>
      <c r="K17" s="54">
        <f>SUM(COUNTIF('Itemization 202506'!L31:L34,J17),COUNTIF('Itemization 202501'!L31:L34,J17),COUNTIF('Itemization 202408'!L31:L34,J17),COUNTIF('Itemization 202406'!L31:L34,J17),COUNTIF('Itemization 202401'!L31:L34,J17),COUNTIF('Itemization 202308'!L31:L34,J17),COUNTIF('Itemization 202306'!L31:L34,J17))</f>
        <v>0</v>
      </c>
      <c r="L17" s="55">
        <f>(K17/K116)</f>
        <v>0</v>
      </c>
      <c r="M17" s="138">
        <v>13.0</v>
      </c>
      <c r="N17" s="139">
        <f>SUM(countif('Itemization 202506'!M31:M34,M17),countif('Itemization 202501'!M31:M34,M17),countif('Itemization 202408'!M31:M34,M17),countif('Itemization 202406'!M31:M34,M17),countif('Itemization 202401'!M31:M34,M17),countif('Itemization 202308'!M31:M34,M17),countif('Itemization 202306'!M31:M34,M17))</f>
        <v>0</v>
      </c>
      <c r="O17" s="140" t="str">
        <f>(N17/N23)</f>
        <v>#DIV/0!</v>
      </c>
      <c r="P17" s="51"/>
      <c r="Q17" s="51"/>
      <c r="R17" s="72"/>
    </row>
    <row r="18" ht="15.75" customHeight="1">
      <c r="A18" s="73"/>
      <c r="B18" s="73"/>
      <c r="C18" s="74"/>
      <c r="D18" s="51"/>
      <c r="E18" s="51"/>
      <c r="F18" s="78"/>
      <c r="G18" s="51"/>
      <c r="H18" s="51"/>
      <c r="I18" s="78"/>
      <c r="J18" s="53" t="s">
        <v>108</v>
      </c>
      <c r="K18" s="54">
        <f>SUM(COUNTIF('Itemization 202506'!L31:L34,J18),COUNTIF('Itemization 202501'!L31:L34,J18),COUNTIF('Itemization 202408'!L31:L34,J18),COUNTIF('Itemization 202406'!L31:L34,J18),COUNTIF('Itemization 202401'!L31:L34,J18),COUNTIF('Itemization 202308'!L31:L34,J18),COUNTIF('Itemization 202306'!L31:L34,J18))</f>
        <v>0</v>
      </c>
      <c r="L18" s="55">
        <f>(K18/K116)</f>
        <v>0</v>
      </c>
      <c r="M18" s="138">
        <v>14.0</v>
      </c>
      <c r="N18" s="139">
        <f>SUM(countif('Itemization 202506'!M31:M34,M18),countif('Itemization 202501'!M31:M34,M18),countif('Itemization 202408'!M31:M34,M18),countif('Itemization 202406'!M31:M34,M18),countif('Itemization 202401'!M31:M34,M18),countif('Itemization 202308'!M31:M34,M18),countif('Itemization 202306'!M31:M34,M18))</f>
        <v>0</v>
      </c>
      <c r="O18" s="140" t="str">
        <f>(N18/N23)</f>
        <v>#DIV/0!</v>
      </c>
      <c r="P18" s="51"/>
      <c r="Q18" s="51"/>
      <c r="R18" s="72"/>
    </row>
    <row r="19" ht="15.75" customHeight="1">
      <c r="A19" s="80" t="s">
        <v>109</v>
      </c>
      <c r="D19" s="51"/>
      <c r="E19" s="51"/>
      <c r="F19" s="78"/>
      <c r="G19" s="51"/>
      <c r="H19" s="51"/>
      <c r="I19" s="78"/>
      <c r="J19" s="53" t="s">
        <v>110</v>
      </c>
      <c r="K19" s="54">
        <f>SUM(COUNTIF('Itemization 202506'!L31:L34,J19),COUNTIF('Itemization 202501'!L31:L34,J19),COUNTIF('Itemization 202408'!L31:L34,J19),COUNTIF('Itemization 202406'!L31:L34,J19),COUNTIF('Itemization 202401'!L31:L34,J19),COUNTIF('Itemization 202308'!L31:L34,J19),COUNTIF('Itemization 202306'!L31:L34,J19))</f>
        <v>0</v>
      </c>
      <c r="L19" s="55">
        <f>(K19/K116)</f>
        <v>0</v>
      </c>
      <c r="M19" s="138">
        <v>15.0</v>
      </c>
      <c r="N19" s="139">
        <f>SUM(countif('Itemization 202506'!M31:M34,M19),countif('Itemization 202501'!M31:M34,M19),countif('Itemization 202408'!M31:M34,M19),countif('Itemization 202406'!M31:M34,M19),countif('Itemization 202401'!M31:M34,M19),countif('Itemization 202308'!M31:M34,M19),countif('Itemization 202306'!M31:M34,M19))</f>
        <v>0</v>
      </c>
      <c r="O19" s="140" t="str">
        <f>(N19/N23)</f>
        <v>#DIV/0!</v>
      </c>
      <c r="P19" s="51"/>
      <c r="Q19" s="51"/>
      <c r="R19" s="72"/>
    </row>
    <row r="20" ht="15.75" customHeight="1">
      <c r="A20" s="81" t="s">
        <v>111</v>
      </c>
      <c r="D20" s="51"/>
      <c r="E20" s="51"/>
      <c r="F20" s="78"/>
      <c r="G20" s="51"/>
      <c r="H20" s="51"/>
      <c r="I20" s="78"/>
      <c r="J20" s="146" t="s">
        <v>112</v>
      </c>
      <c r="K20" s="114">
        <f>SUM(COUNTIF('Itemization 202506'!L31:L34,J20),COUNTIF('Itemization 202501'!L31:L34,J20),COUNTIF('Itemization 202408'!L31:L34,J20),COUNTIF('Itemization 202406'!L31:L34,J20),COUNTIF('Itemization 202401'!L31:L34,J20),COUNTIF('Itemization 202308'!L31:L34,J20),COUNTIF('Itemization 202306'!L31:L34,J20))</f>
        <v>1</v>
      </c>
      <c r="L20" s="145">
        <f>(K20/K116)</f>
        <v>0.03703703704</v>
      </c>
      <c r="M20" s="138">
        <v>16.0</v>
      </c>
      <c r="N20" s="139">
        <f>SUM(countif('Itemization 202506'!M31:M34,M20),countif('Itemization 202501'!M31:M34,M20),countif('Itemization 202408'!M31:M34,M20),countif('Itemization 202406'!M31:M34,M20),countif('Itemization 202401'!M31:M34,M20),countif('Itemization 202308'!M31:M34,M20),countif('Itemization 202306'!M31:M34,M20))</f>
        <v>0</v>
      </c>
      <c r="O20" s="140" t="str">
        <f>(N20/N23)</f>
        <v>#DIV/0!</v>
      </c>
      <c r="P20" s="51"/>
      <c r="Q20" s="51"/>
      <c r="R20" s="72"/>
    </row>
    <row r="21" ht="15.75" customHeight="1">
      <c r="A21" s="82" t="s">
        <v>113</v>
      </c>
      <c r="D21" s="51"/>
      <c r="E21" s="51"/>
      <c r="F21" s="78"/>
      <c r="G21" s="51"/>
      <c r="H21" s="51"/>
      <c r="I21" s="78"/>
      <c r="J21" s="53" t="s">
        <v>114</v>
      </c>
      <c r="K21" s="54">
        <f>SUM(COUNTIF('Itemization 202506'!L31:L34,J21),COUNTIF('Itemization 202501'!L31:L34,J21),COUNTIF('Itemization 202408'!L31:L34,J21),COUNTIF('Itemization 202406'!L31:L34,J21),COUNTIF('Itemization 202401'!L31:L34,J21),COUNTIF('Itemization 202308'!L31:L34,J21),COUNTIF('Itemization 202306'!L31:L34,J21))</f>
        <v>0</v>
      </c>
      <c r="L21" s="55">
        <f>(K21/K116)</f>
        <v>0</v>
      </c>
      <c r="M21" s="138">
        <v>17.0</v>
      </c>
      <c r="N21" s="139">
        <f>SUM(countif('Itemization 202506'!M31:M34,M21),countif('Itemization 202501'!M31:M34,M21),countif('Itemization 202408'!M31:M34,M21),countif('Itemization 202406'!M31:M34,M21),countif('Itemization 202401'!M31:M34,M21),countif('Itemization 202308'!M31:M34,M21),countif('Itemization 202306'!M31:M34,M21))</f>
        <v>0</v>
      </c>
      <c r="O21" s="140" t="str">
        <f>(N21/N23)</f>
        <v>#DIV/0!</v>
      </c>
      <c r="P21" s="51"/>
      <c r="Q21" s="51"/>
      <c r="R21" s="72"/>
    </row>
    <row r="22" ht="15.75" customHeight="1">
      <c r="A22" s="83" t="s">
        <v>115</v>
      </c>
      <c r="D22" s="51"/>
      <c r="E22" s="51"/>
      <c r="F22" s="78"/>
      <c r="G22" s="51"/>
      <c r="H22" s="51"/>
      <c r="I22" s="78"/>
      <c r="J22" s="53" t="s">
        <v>116</v>
      </c>
      <c r="K22" s="54">
        <f>SUM(COUNTIF('Itemization 202506'!L31:L34,J22),COUNTIF('Itemization 202501'!L31:L34,J22),COUNTIF('Itemization 202408'!L31:L34,J22),COUNTIF('Itemization 202406'!L31:L34,J22),COUNTIF('Itemization 202401'!L31:L34,J22),COUNTIF('Itemization 202308'!L31:L34,J22),COUNTIF('Itemization 202306'!L31:L34,J22))</f>
        <v>0</v>
      </c>
      <c r="L22" s="55">
        <f>(K22/K116)</f>
        <v>0</v>
      </c>
      <c r="M22" s="147">
        <v>18.0</v>
      </c>
      <c r="N22" s="139">
        <f>SUM(countif('Itemization 202506'!M31:M34,M22),countif('Itemization 202501'!M31:M34,M22),countif('Itemization 202408'!M31:M34,M22),countif('Itemization 202406'!M31:M34,M22),countif('Itemization 202401'!M31:M34,M22),countif('Itemization 202308'!M31:M34,M22),countif('Itemization 202306'!M31:M34,M22))</f>
        <v>0</v>
      </c>
      <c r="O22" s="148" t="str">
        <f>(N22/N23)</f>
        <v>#DIV/0!</v>
      </c>
      <c r="P22" s="51"/>
      <c r="Q22" s="51"/>
      <c r="R22" s="72"/>
    </row>
    <row r="23" ht="15.75" customHeight="1">
      <c r="A23" s="113" t="s">
        <v>117</v>
      </c>
      <c r="D23" s="51"/>
      <c r="E23" s="51"/>
      <c r="F23" s="78"/>
      <c r="G23" s="51"/>
      <c r="H23" s="51"/>
      <c r="I23" s="78"/>
      <c r="J23" s="53" t="s">
        <v>118</v>
      </c>
      <c r="K23" s="54">
        <f>SUM(COUNTIF('Itemization 202506'!L31:L34,J23),COUNTIF('Itemization 202501'!L31:L34,J23),COUNTIF('Itemization 202408'!L31:L34,J23),COUNTIF('Itemization 202406'!L31:L34,J23),COUNTIF('Itemization 202401'!L31:L34,J23),COUNTIF('Itemization 202308'!L31:L34,J23),COUNTIF('Itemization 202306'!L31:L34,J23))</f>
        <v>0</v>
      </c>
      <c r="L23" s="55">
        <f>(K23/K116)</f>
        <v>0</v>
      </c>
      <c r="M23" s="68" t="s">
        <v>93</v>
      </c>
      <c r="N23" s="69">
        <f>SUM(N5:N22)</f>
        <v>0</v>
      </c>
      <c r="O23" s="71" t="str">
        <f>SUM(O4:O22)</f>
        <v>#DIV/0!</v>
      </c>
      <c r="P23" s="51"/>
      <c r="Q23" s="51"/>
      <c r="R23" s="72"/>
    </row>
    <row r="24" ht="15.75" customHeight="1">
      <c r="A24" s="86" t="s">
        <v>119</v>
      </c>
      <c r="D24" s="51"/>
      <c r="E24" s="51"/>
      <c r="F24" s="78"/>
      <c r="G24" s="51"/>
      <c r="H24" s="51"/>
      <c r="I24" s="78"/>
      <c r="J24" s="146" t="s">
        <v>120</v>
      </c>
      <c r="K24" s="114">
        <f>SUM(COUNTIF('Itemization 202506'!L31:L34,J24),COUNTIF('Itemization 202501'!L31:L34,J24),COUNTIF('Itemization 202408'!L31:L34,J24),COUNTIF('Itemization 202406'!L31:L34,J24),COUNTIF('Itemization 202401'!L31:L34,J24),COUNTIF('Itemization 202308'!L31:L34,J24),COUNTIF('Itemization 202306'!L31:L34,J24))</f>
        <v>1</v>
      </c>
      <c r="L24" s="145">
        <f>(K24/K116)</f>
        <v>0.03703703704</v>
      </c>
      <c r="M24" s="51"/>
      <c r="N24" s="51"/>
      <c r="O24" s="78"/>
      <c r="P24" s="51"/>
      <c r="Q24" s="51"/>
      <c r="R24" s="72"/>
    </row>
    <row r="25" ht="15.75" customHeight="1">
      <c r="A25" s="85"/>
      <c r="B25" s="85"/>
      <c r="C25" s="85"/>
      <c r="D25" s="51"/>
      <c r="E25" s="51"/>
      <c r="F25" s="78"/>
      <c r="G25" s="51"/>
      <c r="H25" s="51"/>
      <c r="I25" s="78"/>
      <c r="J25" s="53" t="s">
        <v>121</v>
      </c>
      <c r="K25" s="54">
        <f>SUM(COUNTIF('Itemization 202506'!L31:L34,J25),COUNTIF('Itemization 202501'!L31:L34,J25),COUNTIF('Itemization 202408'!L31:L34,J25),COUNTIF('Itemization 202406'!L31:L34,J25),COUNTIF('Itemization 202401'!L31:L34,J25),COUNTIF('Itemization 202308'!L31:L34,J25),COUNTIF('Itemization 202306'!L31:L34,J25))</f>
        <v>0</v>
      </c>
      <c r="L25" s="55">
        <f>(K25/K116)</f>
        <v>0</v>
      </c>
      <c r="M25" s="51"/>
      <c r="N25" s="51"/>
      <c r="O25" s="78"/>
      <c r="P25" s="51"/>
      <c r="Q25" s="51"/>
      <c r="R25" s="72"/>
    </row>
    <row r="26" ht="15.75" customHeight="1">
      <c r="A26" s="85"/>
      <c r="B26" s="85"/>
      <c r="C26" s="85"/>
      <c r="D26" s="51"/>
      <c r="E26" s="51"/>
      <c r="F26" s="78"/>
      <c r="G26" s="51"/>
      <c r="H26" s="51"/>
      <c r="I26" s="78"/>
      <c r="J26" s="53" t="s">
        <v>122</v>
      </c>
      <c r="K26" s="54">
        <f>SUM(COUNTIF('Itemization 202506'!L31:L34,J26),COUNTIF('Itemization 202501'!L31:L34,J26),COUNTIF('Itemization 202408'!L31:L34,J26),COUNTIF('Itemization 202406'!L31:L34,J26),COUNTIF('Itemization 202401'!L31:L34,J26),COUNTIF('Itemization 202308'!L31:L34,J26),COUNTIF('Itemization 202306'!L31:L34,J26))</f>
        <v>0</v>
      </c>
      <c r="L26" s="55">
        <f>(K26/K116)</f>
        <v>0</v>
      </c>
      <c r="M26" s="51"/>
      <c r="N26" s="51"/>
      <c r="O26" s="78"/>
      <c r="P26" s="51"/>
      <c r="Q26" s="51"/>
      <c r="R26" s="72"/>
    </row>
    <row r="27" ht="15.75" customHeight="1">
      <c r="A27" s="85"/>
      <c r="B27" s="85"/>
      <c r="C27" s="85"/>
      <c r="D27" s="51"/>
      <c r="E27" s="51"/>
      <c r="F27" s="78"/>
      <c r="G27" s="51"/>
      <c r="H27" s="51"/>
      <c r="I27" s="78"/>
      <c r="J27" s="53" t="s">
        <v>123</v>
      </c>
      <c r="K27" s="54">
        <f>SUM(COUNTIF('Itemization 202506'!L31:L34,J27),COUNTIF('Itemization 202501'!L31:L34,J27),COUNTIF('Itemization 202408'!L31:L34,J27),COUNTIF('Itemization 202406'!L31:L34,J27),COUNTIF('Itemization 202401'!L31:L34,J27),COUNTIF('Itemization 202308'!L31:L34,J27),COUNTIF('Itemization 202306'!L31:L34,J27))</f>
        <v>0</v>
      </c>
      <c r="L27" s="55">
        <f>(K27/K116)</f>
        <v>0</v>
      </c>
      <c r="M27" s="51"/>
      <c r="N27" s="51"/>
      <c r="O27" s="78"/>
      <c r="P27" s="51"/>
      <c r="Q27" s="51"/>
      <c r="R27" s="72"/>
    </row>
    <row r="28" ht="15.75" customHeight="1">
      <c r="A28" s="85"/>
      <c r="B28" s="85"/>
      <c r="C28" s="85"/>
      <c r="D28" s="51"/>
      <c r="E28" s="51"/>
      <c r="F28" s="78"/>
      <c r="G28" s="51"/>
      <c r="H28" s="51"/>
      <c r="I28" s="78"/>
      <c r="J28" s="53" t="s">
        <v>124</v>
      </c>
      <c r="K28" s="54">
        <f>SUM(COUNTIF('Itemization 202506'!L31:L34,J28),COUNTIF('Itemization 202501'!L31:L34,J28),COUNTIF('Itemization 202408'!L31:L34,J28),COUNTIF('Itemization 202406'!L31:L34,J28),COUNTIF('Itemization 202401'!L31:L34,J28),COUNTIF('Itemization 202308'!L31:L34,J28),COUNTIF('Itemization 202306'!L31:L34,J28))</f>
        <v>0</v>
      </c>
      <c r="L28" s="55">
        <f>(K28/K116)</f>
        <v>0</v>
      </c>
      <c r="M28" s="51"/>
      <c r="N28" s="51"/>
      <c r="O28" s="78"/>
      <c r="P28" s="51"/>
      <c r="Q28" s="51"/>
      <c r="R28" s="72"/>
    </row>
    <row r="29" ht="15.75" customHeight="1">
      <c r="A29" s="85"/>
      <c r="B29" s="85"/>
      <c r="C29" s="85"/>
      <c r="D29" s="51"/>
      <c r="E29" s="51"/>
      <c r="F29" s="78"/>
      <c r="G29" s="51"/>
      <c r="H29" s="51"/>
      <c r="I29" s="78"/>
      <c r="J29" s="53" t="s">
        <v>125</v>
      </c>
      <c r="K29" s="54">
        <f>SUM(COUNTIF('Itemization 202506'!L31:L34,J29),COUNTIF('Itemization 202501'!L31:L34,J29),COUNTIF('Itemization 202408'!L31:L34,J29),COUNTIF('Itemization 202406'!L31:L34,J29),COUNTIF('Itemization 202401'!L31:L34,J29),COUNTIF('Itemization 202308'!L31:L34,J29),COUNTIF('Itemization 202306'!L31:L34,J29))</f>
        <v>0</v>
      </c>
      <c r="L29" s="55">
        <f>(K29/K116)</f>
        <v>0</v>
      </c>
      <c r="M29" s="51"/>
      <c r="N29" s="51"/>
      <c r="O29" s="78"/>
      <c r="P29" s="51"/>
      <c r="Q29" s="51"/>
      <c r="R29" s="72"/>
    </row>
    <row r="30" ht="15.75" customHeight="1">
      <c r="A30" s="85"/>
      <c r="B30" s="85"/>
      <c r="C30" s="85"/>
      <c r="D30" s="51"/>
      <c r="E30" s="51"/>
      <c r="F30" s="78"/>
      <c r="G30" s="51"/>
      <c r="H30" s="51"/>
      <c r="I30" s="78"/>
      <c r="J30" s="146" t="s">
        <v>126</v>
      </c>
      <c r="K30" s="114">
        <f>SUM(COUNTIF('Itemization 202506'!L31:L34,J30),COUNTIF('Itemization 202501'!L31:L34,J30),COUNTIF('Itemization 202408'!L31:L34,J30),COUNTIF('Itemization 202406'!L31:L34,J30),COUNTIF('Itemization 202401'!L31:L34,J30),COUNTIF('Itemization 202308'!L31:L34,J30),COUNTIF('Itemization 202306'!L31:L34,J30))</f>
        <v>1</v>
      </c>
      <c r="L30" s="145">
        <f>(K30/K116)</f>
        <v>0.03703703704</v>
      </c>
      <c r="M30" s="51"/>
      <c r="N30" s="51"/>
      <c r="O30" s="78"/>
      <c r="P30" s="51"/>
      <c r="Q30" s="51"/>
      <c r="R30" s="72"/>
    </row>
    <row r="31" ht="15.75" customHeight="1">
      <c r="A31" s="85"/>
      <c r="B31" s="85"/>
      <c r="C31" s="85"/>
      <c r="D31" s="51"/>
      <c r="E31" s="51"/>
      <c r="F31" s="78"/>
      <c r="G31" s="51"/>
      <c r="H31" s="51"/>
      <c r="I31" s="78"/>
      <c r="J31" s="146" t="s">
        <v>127</v>
      </c>
      <c r="K31" s="114">
        <f>SUM(COUNTIF('Itemization 202506'!L31:L34,J31),COUNTIF('Itemization 202501'!L31:L34,J31),COUNTIF('Itemization 202408'!L31:L34,J31),COUNTIF('Itemization 202406'!L31:L34,J31),COUNTIF('Itemization 202401'!L31:L34,J31),COUNTIF('Itemization 202308'!L31:L34,J31),COUNTIF('Itemization 202306'!L31:L34,J31))</f>
        <v>1</v>
      </c>
      <c r="L31" s="145">
        <f>(K31/K116)</f>
        <v>0.03703703704</v>
      </c>
      <c r="M31" s="51"/>
      <c r="N31" s="51"/>
      <c r="O31" s="78"/>
      <c r="P31" s="51"/>
      <c r="Q31" s="51"/>
      <c r="R31" s="72"/>
    </row>
    <row r="32" ht="15.75" customHeight="1">
      <c r="A32" s="85"/>
      <c r="B32" s="85"/>
      <c r="C32" s="85"/>
      <c r="D32" s="51"/>
      <c r="E32" s="51"/>
      <c r="F32" s="78"/>
      <c r="G32" s="51"/>
      <c r="H32" s="51"/>
      <c r="I32" s="78"/>
      <c r="J32" s="53" t="s">
        <v>128</v>
      </c>
      <c r="K32" s="54">
        <f>SUM(COUNTIF('Itemization 202506'!L31:L34,J32),COUNTIF('Itemization 202501'!L31:L34,J32),COUNTIF('Itemization 202408'!L31:L34,J32),COUNTIF('Itemization 202406'!L31:L34,J32),COUNTIF('Itemization 202401'!L31:L34,J32),COUNTIF('Itemization 202308'!L31:L34,J32),COUNTIF('Itemization 202306'!L31:L34,J32))</f>
        <v>0</v>
      </c>
      <c r="L32" s="55">
        <f>(K32/K116)</f>
        <v>0</v>
      </c>
      <c r="M32" s="51"/>
      <c r="N32" s="51"/>
      <c r="O32" s="78"/>
      <c r="P32" s="51"/>
      <c r="Q32" s="51"/>
      <c r="R32" s="72"/>
    </row>
    <row r="33" ht="15.75" customHeight="1">
      <c r="A33" s="85"/>
      <c r="B33" s="85"/>
      <c r="C33" s="85"/>
      <c r="D33" s="51"/>
      <c r="E33" s="51"/>
      <c r="F33" s="78"/>
      <c r="G33" s="51"/>
      <c r="H33" s="51"/>
      <c r="I33" s="78"/>
      <c r="J33" s="53" t="s">
        <v>129</v>
      </c>
      <c r="K33" s="54">
        <f>SUM(COUNTIF('Itemization 202506'!L31:L34,J33),COUNTIF('Itemization 202501'!L31:L34,J33),COUNTIF('Itemization 202408'!L31:L34,J33),COUNTIF('Itemization 202406'!L31:L34,J33),COUNTIF('Itemization 202401'!L31:L34,J33),COUNTIF('Itemization 202308'!L31:L34,J33),COUNTIF('Itemization 202306'!L31:L34,J33))</f>
        <v>0</v>
      </c>
      <c r="L33" s="55">
        <f>(K33/K116)</f>
        <v>0</v>
      </c>
      <c r="M33" s="51"/>
      <c r="N33" s="51"/>
      <c r="O33" s="78"/>
      <c r="P33" s="51"/>
      <c r="Q33" s="51"/>
      <c r="R33" s="72"/>
    </row>
    <row r="34" ht="15.75" customHeight="1">
      <c r="A34" s="85"/>
      <c r="B34" s="85"/>
      <c r="C34" s="85"/>
      <c r="D34" s="51"/>
      <c r="E34" s="51"/>
      <c r="F34" s="78"/>
      <c r="G34" s="51"/>
      <c r="H34" s="51"/>
      <c r="I34" s="78"/>
      <c r="J34" s="146" t="s">
        <v>130</v>
      </c>
      <c r="K34" s="114">
        <f>SUM(COUNTIF('Itemization 202506'!L31:L34,J34),COUNTIF('Itemization 202501'!L31:L34,J34),COUNTIF('Itemization 202408'!L31:L34,J34),COUNTIF('Itemization 202406'!L31:L34,J34),COUNTIF('Itemization 202401'!L31:L34,J34),COUNTIF('Itemization 202308'!L31:L34,J34),COUNTIF('Itemization 202306'!L31:L34,J34))</f>
        <v>1</v>
      </c>
      <c r="L34" s="145">
        <f>(K34/K116)</f>
        <v>0.03703703704</v>
      </c>
      <c r="M34" s="51"/>
      <c r="N34" s="51"/>
      <c r="O34" s="78"/>
      <c r="P34" s="51"/>
      <c r="Q34" s="51"/>
      <c r="R34" s="72"/>
    </row>
    <row r="35" ht="15.75" customHeight="1">
      <c r="A35" s="85"/>
      <c r="B35" s="85"/>
      <c r="C35" s="85"/>
      <c r="D35" s="51"/>
      <c r="E35" s="51"/>
      <c r="F35" s="78"/>
      <c r="G35" s="51"/>
      <c r="H35" s="51"/>
      <c r="I35" s="78"/>
      <c r="J35" s="146" t="s">
        <v>131</v>
      </c>
      <c r="K35" s="114">
        <f>SUM(COUNTIF('Itemization 202506'!L31:L34,J35),COUNTIF('Itemization 202501'!L31:L34,J35),COUNTIF('Itemization 202408'!L31:L34,J35),COUNTIF('Itemization 202406'!L31:L34,J35),COUNTIF('Itemization 202401'!L31:L34,J35),COUNTIF('Itemization 202308'!L31:L34,J35),COUNTIF('Itemization 202306'!L31:L34,J35))</f>
        <v>1</v>
      </c>
      <c r="L35" s="145">
        <f>(K35/K116)</f>
        <v>0.03703703704</v>
      </c>
      <c r="M35" s="51"/>
      <c r="N35" s="51"/>
      <c r="O35" s="78"/>
      <c r="P35" s="51"/>
      <c r="Q35" s="51"/>
      <c r="R35" s="72"/>
    </row>
    <row r="36" ht="15.75" customHeight="1">
      <c r="A36" s="85"/>
      <c r="B36" s="85"/>
      <c r="C36" s="85"/>
      <c r="D36" s="51"/>
      <c r="E36" s="51"/>
      <c r="F36" s="78"/>
      <c r="G36" s="51"/>
      <c r="H36" s="51"/>
      <c r="I36" s="78"/>
      <c r="J36" s="53" t="s">
        <v>132</v>
      </c>
      <c r="K36" s="54">
        <f>SUM(COUNTIF('Itemization 202506'!L31:L34,J36),COUNTIF('Itemization 202501'!L31:L34,J36),COUNTIF('Itemization 202408'!L31:L34,J36),COUNTIF('Itemization 202406'!L31:L34,J36),COUNTIF('Itemization 202401'!L31:L34,J36),COUNTIF('Itemization 202308'!L31:L34,J36),COUNTIF('Itemization 202306'!L31:L34,J36))</f>
        <v>0</v>
      </c>
      <c r="L36" s="55">
        <f>(K36/K116)</f>
        <v>0</v>
      </c>
      <c r="M36" s="51"/>
      <c r="N36" s="51"/>
      <c r="O36" s="78"/>
      <c r="P36" s="51"/>
      <c r="Q36" s="51"/>
      <c r="R36" s="72"/>
    </row>
    <row r="37" ht="15.75" customHeight="1">
      <c r="A37" s="85"/>
      <c r="B37" s="85"/>
      <c r="C37" s="85"/>
      <c r="D37" s="51"/>
      <c r="E37" s="51"/>
      <c r="F37" s="78"/>
      <c r="G37" s="51"/>
      <c r="H37" s="51"/>
      <c r="I37" s="78"/>
      <c r="J37" s="53" t="s">
        <v>133</v>
      </c>
      <c r="K37" s="54">
        <f>SUM(COUNTIF('Itemization 202506'!L31:L34,J37),COUNTIF('Itemization 202501'!L31:L34,J37),COUNTIF('Itemization 202408'!L31:L34,J37),COUNTIF('Itemization 202406'!L31:L34,J37),COUNTIF('Itemization 202401'!L31:L34,J37),COUNTIF('Itemization 202308'!L31:L34,J37),COUNTIF('Itemization 202306'!L31:L34,J37))</f>
        <v>0</v>
      </c>
      <c r="L37" s="55">
        <f>(K37/K116)</f>
        <v>0</v>
      </c>
      <c r="M37" s="51"/>
      <c r="N37" s="51"/>
      <c r="O37" s="78"/>
      <c r="P37" s="51"/>
      <c r="Q37" s="51"/>
      <c r="R37" s="72"/>
    </row>
    <row r="38" ht="15.75" customHeight="1">
      <c r="A38" s="85"/>
      <c r="B38" s="85"/>
      <c r="C38" s="85"/>
      <c r="D38" s="51"/>
      <c r="E38" s="51"/>
      <c r="F38" s="78"/>
      <c r="G38" s="51"/>
      <c r="H38" s="51"/>
      <c r="I38" s="78"/>
      <c r="J38" s="146" t="s">
        <v>134</v>
      </c>
      <c r="K38" s="114">
        <f>SUM(COUNTIF('Itemization 202506'!L31:L34,J38),COUNTIF('Itemization 202501'!L31:L34,J38),COUNTIF('Itemization 202408'!L31:L34,J38),COUNTIF('Itemization 202406'!L31:L34,J38),COUNTIF('Itemization 202401'!L31:L34,J38),COUNTIF('Itemization 202308'!L31:L34,J38),COUNTIF('Itemization 202306'!L31:L34,J38))</f>
        <v>1</v>
      </c>
      <c r="L38" s="145">
        <f>(K38/K116)</f>
        <v>0.03703703704</v>
      </c>
      <c r="M38" s="51"/>
      <c r="N38" s="51"/>
      <c r="O38" s="78"/>
      <c r="P38" s="51"/>
      <c r="Q38" s="51"/>
      <c r="R38" s="72"/>
    </row>
    <row r="39" ht="15.75" customHeight="1">
      <c r="A39" s="85"/>
      <c r="B39" s="85"/>
      <c r="C39" s="85"/>
      <c r="D39" s="51"/>
      <c r="E39" s="51"/>
      <c r="F39" s="78"/>
      <c r="G39" s="51"/>
      <c r="H39" s="51"/>
      <c r="I39" s="78"/>
      <c r="J39" s="53" t="s">
        <v>135</v>
      </c>
      <c r="K39" s="54">
        <f>SUM(COUNTIF('Itemization 202506'!L31:L34,J39),COUNTIF('Itemization 202501'!L31:L34,J39),COUNTIF('Itemization 202408'!L31:L34,J39),COUNTIF('Itemization 202406'!L31:L34,J39),COUNTIF('Itemization 202401'!L31:L34,J39),COUNTIF('Itemization 202308'!L31:L34,J39),COUNTIF('Itemization 202306'!L31:L34,J39))</f>
        <v>0</v>
      </c>
      <c r="L39" s="55">
        <f>(K39/K116)</f>
        <v>0</v>
      </c>
      <c r="M39" s="51"/>
      <c r="N39" s="51"/>
      <c r="O39" s="78"/>
      <c r="P39" s="51"/>
      <c r="Q39" s="51"/>
      <c r="R39" s="72"/>
    </row>
    <row r="40" ht="15.75" customHeight="1">
      <c r="A40" s="85"/>
      <c r="B40" s="85"/>
      <c r="C40" s="85"/>
      <c r="D40" s="51"/>
      <c r="E40" s="51"/>
      <c r="F40" s="78"/>
      <c r="G40" s="51"/>
      <c r="H40" s="51"/>
      <c r="I40" s="78"/>
      <c r="J40" s="53" t="s">
        <v>136</v>
      </c>
      <c r="K40" s="54">
        <f>SUM(COUNTIF('Itemization 202506'!L31:L34,J40),COUNTIF('Itemization 202501'!L31:L34,J40),COUNTIF('Itemization 202408'!L31:L34,J40),COUNTIF('Itemization 202406'!L31:L34,J40),COUNTIF('Itemization 202401'!L31:L34,J40),COUNTIF('Itemization 202308'!L31:L34,J40),COUNTIF('Itemization 202306'!L31:L34,J40))</f>
        <v>0</v>
      </c>
      <c r="L40" s="55">
        <f>(K40/K116)</f>
        <v>0</v>
      </c>
      <c r="M40" s="51"/>
      <c r="N40" s="51"/>
      <c r="O40" s="78"/>
      <c r="P40" s="51"/>
      <c r="Q40" s="51"/>
      <c r="R40" s="72"/>
    </row>
    <row r="41" ht="15.75" customHeight="1">
      <c r="A41" s="85"/>
      <c r="B41" s="85"/>
      <c r="C41" s="85"/>
      <c r="D41" s="51"/>
      <c r="E41" s="51"/>
      <c r="F41" s="78"/>
      <c r="G41" s="51"/>
      <c r="H41" s="51"/>
      <c r="I41" s="78"/>
      <c r="J41" s="53" t="s">
        <v>137</v>
      </c>
      <c r="K41" s="54">
        <f>SUM(COUNTIF('Itemization 202506'!L31:L34,J41),COUNTIF('Itemization 202501'!L31:L34,J41),COUNTIF('Itemization 202408'!L31:L34,J41),COUNTIF('Itemization 202406'!L31:L34,J41),COUNTIF('Itemization 202401'!L31:L34,J41),COUNTIF('Itemization 202308'!L31:L34,J41),COUNTIF('Itemization 202306'!L31:L34,J41))</f>
        <v>0</v>
      </c>
      <c r="L41" s="55">
        <f>(K41/K116)</f>
        <v>0</v>
      </c>
      <c r="M41" s="51"/>
      <c r="N41" s="51"/>
      <c r="O41" s="78"/>
      <c r="P41" s="51"/>
      <c r="Q41" s="51"/>
      <c r="R41" s="72"/>
    </row>
    <row r="42" ht="15.75" customHeight="1">
      <c r="A42" s="85"/>
      <c r="B42" s="85"/>
      <c r="C42" s="85"/>
      <c r="D42" s="51"/>
      <c r="E42" s="51"/>
      <c r="F42" s="78"/>
      <c r="G42" s="51"/>
      <c r="H42" s="51"/>
      <c r="I42" s="78"/>
      <c r="J42" s="53" t="s">
        <v>138</v>
      </c>
      <c r="K42" s="54">
        <f>SUM(COUNTIF('Itemization 202506'!L31:L34,J42),COUNTIF('Itemization 202501'!L31:L34,J42),COUNTIF('Itemization 202408'!L31:L34,J42),COUNTIF('Itemization 202406'!L31:L34,J42),COUNTIF('Itemization 202401'!L31:L34,J42),COUNTIF('Itemization 202308'!L31:L34,J42),COUNTIF('Itemization 202306'!L31:L34,J42))</f>
        <v>0</v>
      </c>
      <c r="L42" s="55">
        <f>(K42/K116)</f>
        <v>0</v>
      </c>
      <c r="M42" s="51"/>
      <c r="N42" s="51"/>
      <c r="O42" s="78"/>
      <c r="P42" s="51"/>
      <c r="Q42" s="51"/>
      <c r="R42" s="72"/>
    </row>
    <row r="43" ht="15.75" customHeight="1">
      <c r="A43" s="85"/>
      <c r="B43" s="85"/>
      <c r="C43" s="85"/>
      <c r="D43" s="51"/>
      <c r="E43" s="51"/>
      <c r="F43" s="78"/>
      <c r="G43" s="51"/>
      <c r="H43" s="51"/>
      <c r="I43" s="78"/>
      <c r="J43" s="53" t="s">
        <v>139</v>
      </c>
      <c r="K43" s="54">
        <f>SUM(COUNTIF('Itemization 202506'!L31:L34,J43),COUNTIF('Itemization 202501'!L31:L34,J43),COUNTIF('Itemization 202408'!L31:L34,J43),COUNTIF('Itemization 202406'!L31:L34,J43),COUNTIF('Itemization 202401'!L31:L34,J43),COUNTIF('Itemization 202308'!L31:L34,J43),COUNTIF('Itemization 202306'!L31:L34,J43))</f>
        <v>0</v>
      </c>
      <c r="L43" s="55">
        <f>(K43/K116)</f>
        <v>0</v>
      </c>
      <c r="M43" s="51"/>
      <c r="N43" s="51"/>
      <c r="O43" s="78"/>
      <c r="P43" s="51"/>
      <c r="Q43" s="51"/>
      <c r="R43" s="72"/>
    </row>
    <row r="44" ht="15.75" customHeight="1">
      <c r="A44" s="85"/>
      <c r="B44" s="85"/>
      <c r="C44" s="85"/>
      <c r="D44" s="51"/>
      <c r="E44" s="51"/>
      <c r="F44" s="78"/>
      <c r="G44" s="51"/>
      <c r="H44" s="51"/>
      <c r="I44" s="78"/>
      <c r="J44" s="53" t="s">
        <v>140</v>
      </c>
      <c r="K44" s="54">
        <f>SUM(COUNTIF('Itemization 202506'!L31:L34,J44),COUNTIF('Itemization 202501'!L31:L34,J44),COUNTIF('Itemization 202408'!L31:L34,J44),COUNTIF('Itemization 202406'!L31:L34,J44),COUNTIF('Itemization 202401'!L31:L34,J44),COUNTIF('Itemization 202308'!L31:L34,J44),COUNTIF('Itemization 202306'!L31:L34,J44))</f>
        <v>0</v>
      </c>
      <c r="L44" s="55">
        <f>(K44/K116)</f>
        <v>0</v>
      </c>
      <c r="M44" s="51"/>
      <c r="N44" s="51"/>
      <c r="O44" s="78"/>
      <c r="P44" s="51"/>
      <c r="Q44" s="51"/>
      <c r="R44" s="72"/>
    </row>
    <row r="45" ht="15.75" customHeight="1">
      <c r="A45" s="85"/>
      <c r="B45" s="85"/>
      <c r="C45" s="85"/>
      <c r="D45" s="51"/>
      <c r="E45" s="51"/>
      <c r="F45" s="78"/>
      <c r="G45" s="51"/>
      <c r="H45" s="51"/>
      <c r="I45" s="78"/>
      <c r="J45" s="146" t="s">
        <v>141</v>
      </c>
      <c r="K45" s="114">
        <f>SUM(COUNTIF('Itemization 202506'!L31:L34,J45),COUNTIF('Itemization 202501'!L31:L34,J45),COUNTIF('Itemization 202408'!L31:L34,J45),COUNTIF('Itemization 202406'!L31:L34,J45),COUNTIF('Itemization 202401'!L31:L34,J45),COUNTIF('Itemization 202308'!L31:L34,J45),COUNTIF('Itemization 202306'!L31:L34,J45))</f>
        <v>1</v>
      </c>
      <c r="L45" s="145">
        <f>(K45/K116)</f>
        <v>0.03703703704</v>
      </c>
      <c r="M45" s="51"/>
      <c r="N45" s="51"/>
      <c r="O45" s="78"/>
      <c r="P45" s="51"/>
      <c r="Q45" s="51"/>
      <c r="R45" s="72"/>
    </row>
    <row r="46" ht="15.75" customHeight="1">
      <c r="A46" s="85"/>
      <c r="B46" s="85"/>
      <c r="C46" s="85"/>
      <c r="D46" s="51"/>
      <c r="E46" s="51"/>
      <c r="F46" s="78"/>
      <c r="G46" s="51"/>
      <c r="H46" s="51"/>
      <c r="I46" s="78"/>
      <c r="J46" s="53" t="s">
        <v>142</v>
      </c>
      <c r="K46" s="54">
        <f>SUM(COUNTIF('Itemization 202506'!L31:L34,J46),COUNTIF('Itemization 202501'!L31:L34,J46),COUNTIF('Itemization 202408'!L31:L34,J46),COUNTIF('Itemization 202406'!L31:L34,J46),COUNTIF('Itemization 202401'!L31:L34,J46),COUNTIF('Itemization 202308'!L31:L34,J46),COUNTIF('Itemization 202306'!L31:L34,J46))</f>
        <v>0</v>
      </c>
      <c r="L46" s="55">
        <f>(K46/K116)</f>
        <v>0</v>
      </c>
      <c r="M46" s="51"/>
      <c r="N46" s="51"/>
      <c r="O46" s="78"/>
      <c r="P46" s="51"/>
      <c r="Q46" s="51"/>
      <c r="R46" s="72"/>
    </row>
    <row r="47" ht="15.75" customHeight="1">
      <c r="A47" s="85"/>
      <c r="B47" s="85"/>
      <c r="C47" s="85"/>
      <c r="D47" s="51"/>
      <c r="E47" s="51"/>
      <c r="F47" s="78"/>
      <c r="G47" s="51"/>
      <c r="H47" s="51"/>
      <c r="I47" s="78"/>
      <c r="J47" s="53" t="s">
        <v>143</v>
      </c>
      <c r="K47" s="54">
        <f>SUM(COUNTIF('Itemization 202506'!L31:L34,J47),COUNTIF('Itemization 202501'!L31:L34,J47),COUNTIF('Itemization 202408'!L31:L34,J47),COUNTIF('Itemization 202406'!L31:L34,J47),COUNTIF('Itemization 202401'!L31:L34,J47),COUNTIF('Itemization 202308'!L31:L34,J47),COUNTIF('Itemization 202306'!L31:L34,J47))</f>
        <v>0</v>
      </c>
      <c r="L47" s="55">
        <f>(K47/K116)</f>
        <v>0</v>
      </c>
      <c r="M47" s="51"/>
      <c r="N47" s="51"/>
      <c r="O47" s="78"/>
      <c r="P47" s="51"/>
      <c r="Q47" s="51"/>
      <c r="R47" s="72"/>
    </row>
    <row r="48" ht="15.75" customHeight="1">
      <c r="A48" s="85"/>
      <c r="B48" s="85"/>
      <c r="C48" s="85"/>
      <c r="D48" s="51"/>
      <c r="E48" s="51"/>
      <c r="F48" s="78"/>
      <c r="G48" s="51"/>
      <c r="H48" s="51"/>
      <c r="I48" s="78"/>
      <c r="J48" s="53" t="s">
        <v>144</v>
      </c>
      <c r="K48" s="54">
        <f>SUM(COUNTIF('Itemization 202506'!L31:L34,J48),COUNTIF('Itemization 202501'!L31:L34,J48),COUNTIF('Itemization 202408'!L31:L34,J48),COUNTIF('Itemization 202406'!L31:L34,J48),COUNTIF('Itemization 202401'!L31:L34,J48),COUNTIF('Itemization 202308'!L31:L34,J48),COUNTIF('Itemization 202306'!L31:L34,J48))</f>
        <v>0</v>
      </c>
      <c r="L48" s="55">
        <f>(K48/K116)</f>
        <v>0</v>
      </c>
      <c r="M48" s="51"/>
      <c r="N48" s="51"/>
      <c r="O48" s="78"/>
      <c r="P48" s="51"/>
      <c r="Q48" s="51"/>
      <c r="R48" s="72"/>
    </row>
    <row r="49" ht="15.75" customHeight="1">
      <c r="A49" s="85"/>
      <c r="B49" s="85"/>
      <c r="C49" s="85"/>
      <c r="D49" s="51"/>
      <c r="E49" s="51"/>
      <c r="F49" s="78"/>
      <c r="G49" s="51"/>
      <c r="H49" s="51"/>
      <c r="I49" s="78"/>
      <c r="J49" s="53" t="s">
        <v>145</v>
      </c>
      <c r="K49" s="54">
        <f>SUM(COUNTIF('Itemization 202506'!L31:L34,J49),COUNTIF('Itemization 202501'!L31:L34,J49),COUNTIF('Itemization 202408'!L31:L34,J49),COUNTIF('Itemization 202406'!L31:L34,J49),COUNTIF('Itemization 202401'!L31:L34,J49),COUNTIF('Itemization 202308'!L31:L34,J49),COUNTIF('Itemization 202306'!L31:L34,J49))</f>
        <v>0</v>
      </c>
      <c r="L49" s="55">
        <f>(K49/K116)</f>
        <v>0</v>
      </c>
      <c r="M49" s="51"/>
      <c r="N49" s="51"/>
      <c r="O49" s="78"/>
      <c r="P49" s="51"/>
      <c r="Q49" s="51"/>
      <c r="R49" s="72"/>
    </row>
    <row r="50" ht="15.75" customHeight="1">
      <c r="A50" s="85"/>
      <c r="B50" s="85"/>
      <c r="C50" s="85"/>
      <c r="D50" s="51"/>
      <c r="E50" s="51"/>
      <c r="F50" s="78"/>
      <c r="G50" s="51"/>
      <c r="H50" s="51"/>
      <c r="I50" s="78"/>
      <c r="J50" s="53" t="s">
        <v>146</v>
      </c>
      <c r="K50" s="54">
        <f>SUM(COUNTIF('Itemization 202506'!L31:L34,J50),COUNTIF('Itemization 202501'!L31:L34,J50),COUNTIF('Itemization 202408'!L31:L34,J50),COUNTIF('Itemization 202406'!L31:L34,J50),COUNTIF('Itemization 202401'!L31:L34,J50),COUNTIF('Itemization 202308'!L31:L34,J50),COUNTIF('Itemization 202306'!L31:L34,J50))</f>
        <v>0</v>
      </c>
      <c r="L50" s="55">
        <f>(K50/K116)</f>
        <v>0</v>
      </c>
      <c r="M50" s="51"/>
      <c r="N50" s="51"/>
      <c r="O50" s="78"/>
      <c r="P50" s="51"/>
      <c r="Q50" s="51"/>
      <c r="R50" s="72"/>
    </row>
    <row r="51" ht="15.75" customHeight="1">
      <c r="A51" s="85"/>
      <c r="B51" s="85"/>
      <c r="C51" s="85"/>
      <c r="D51" s="51"/>
      <c r="E51" s="51"/>
      <c r="F51" s="78"/>
      <c r="G51" s="51"/>
      <c r="H51" s="51"/>
      <c r="I51" s="78"/>
      <c r="J51" s="53" t="s">
        <v>147</v>
      </c>
      <c r="K51" s="54">
        <f>SUM(COUNTIF('Itemization 202506'!L31:L34,J51),COUNTIF('Itemization 202501'!L31:L34,J51),COUNTIF('Itemization 202408'!L31:L34,J51),COUNTIF('Itemization 202406'!L31:L34,J51),COUNTIF('Itemization 202401'!L31:L34,J51),COUNTIF('Itemization 202308'!L31:L34,J51),COUNTIF('Itemization 202306'!L31:L34,J51))</f>
        <v>0</v>
      </c>
      <c r="L51" s="55">
        <f>(K51/K116)</f>
        <v>0</v>
      </c>
      <c r="M51" s="51"/>
      <c r="N51" s="51"/>
      <c r="O51" s="78"/>
      <c r="P51" s="51"/>
      <c r="Q51" s="51"/>
      <c r="R51" s="72"/>
    </row>
    <row r="52" ht="15.75" customHeight="1">
      <c r="A52" s="85"/>
      <c r="B52" s="85"/>
      <c r="C52" s="85"/>
      <c r="D52" s="51"/>
      <c r="E52" s="51"/>
      <c r="F52" s="78"/>
      <c r="G52" s="51"/>
      <c r="H52" s="51"/>
      <c r="I52" s="78"/>
      <c r="J52" s="89" t="s">
        <v>148</v>
      </c>
      <c r="K52" s="61">
        <f>SUM(COUNTIF('Itemization 202506'!L31:L34,J52),COUNTIF('Itemization 202501'!L31:L34,J52),COUNTIF('Itemization 202408'!L31:L34,J52),COUNTIF('Itemization 202406'!L31:L34,J52),COUNTIF('Itemization 202401'!L31:L34,J52),COUNTIF('Itemization 202308'!L31:L34,J52),COUNTIF('Itemization 202306'!L31:L34,J52))</f>
        <v>3</v>
      </c>
      <c r="L52" s="62">
        <f>(K52/K116)</f>
        <v>0.1111111111</v>
      </c>
      <c r="M52" s="51"/>
      <c r="N52" s="51"/>
      <c r="O52" s="78"/>
      <c r="P52" s="51"/>
      <c r="Q52" s="51"/>
      <c r="R52" s="72"/>
    </row>
    <row r="53" ht="15.75" customHeight="1">
      <c r="A53" s="85"/>
      <c r="B53" s="85"/>
      <c r="C53" s="85"/>
      <c r="D53" s="51"/>
      <c r="E53" s="51"/>
      <c r="F53" s="78"/>
      <c r="G53" s="51"/>
      <c r="H53" s="51"/>
      <c r="I53" s="78"/>
      <c r="J53" s="53" t="s">
        <v>149</v>
      </c>
      <c r="K53" s="54">
        <f>SUM(COUNTIF('Itemization 202506'!L31:L34,J53),COUNTIF('Itemization 202501'!L31:L34,J53),COUNTIF('Itemization 202408'!L31:L34,J53),COUNTIF('Itemization 202406'!L31:L34,J53),COUNTIF('Itemization 202401'!L31:L34,J53),COUNTIF('Itemization 202308'!L31:L34,J53),COUNTIF('Itemization 202306'!L31:L34,J53))</f>
        <v>0</v>
      </c>
      <c r="L53" s="55">
        <f>(K53/K116)</f>
        <v>0</v>
      </c>
      <c r="M53" s="51"/>
      <c r="N53" s="51"/>
      <c r="O53" s="78"/>
      <c r="P53" s="51"/>
      <c r="Q53" s="51"/>
      <c r="R53" s="72"/>
    </row>
    <row r="54" ht="15.75" customHeight="1">
      <c r="A54" s="85"/>
      <c r="B54" s="85"/>
      <c r="C54" s="85"/>
      <c r="D54" s="51"/>
      <c r="E54" s="51"/>
      <c r="F54" s="78"/>
      <c r="G54" s="51"/>
      <c r="H54" s="51"/>
      <c r="I54" s="78"/>
      <c r="J54" s="53" t="s">
        <v>150</v>
      </c>
      <c r="K54" s="54">
        <f>SUM(COUNTIF('Itemization 202506'!L31:L34,J54),COUNTIF('Itemization 202501'!L31:L34,J54),COUNTIF('Itemization 202408'!L31:L34,J54),COUNTIF('Itemization 202406'!L31:L34,J54),COUNTIF('Itemization 202401'!L31:L34,J54),COUNTIF('Itemization 202308'!L31:L34,J54),COUNTIF('Itemization 202306'!L31:L34,J54))</f>
        <v>0</v>
      </c>
      <c r="L54" s="55">
        <f>(K54/K116)</f>
        <v>0</v>
      </c>
      <c r="M54" s="51"/>
      <c r="N54" s="51"/>
      <c r="O54" s="78"/>
      <c r="P54" s="51"/>
      <c r="Q54" s="51"/>
      <c r="R54" s="72"/>
    </row>
    <row r="55" ht="15.75" customHeight="1">
      <c r="A55" s="85"/>
      <c r="B55" s="85"/>
      <c r="C55" s="85"/>
      <c r="D55" s="51"/>
      <c r="E55" s="51"/>
      <c r="F55" s="78"/>
      <c r="G55" s="51"/>
      <c r="H55" s="51"/>
      <c r="I55" s="78"/>
      <c r="J55" s="53" t="s">
        <v>151</v>
      </c>
      <c r="K55" s="54">
        <f>SUM(COUNTIF('Itemization 202506'!L31:L34,J55),COUNTIF('Itemization 202501'!L31:L34,J55),COUNTIF('Itemization 202408'!L31:L34,J55),COUNTIF('Itemization 202406'!L31:L34,J55),COUNTIF('Itemization 202401'!L31:L34,J55),COUNTIF('Itemization 202308'!L31:L34,J55),COUNTIF('Itemization 202306'!L31:L34,J55))</f>
        <v>0</v>
      </c>
      <c r="L55" s="55">
        <f>(K55/K116)</f>
        <v>0</v>
      </c>
      <c r="M55" s="51"/>
      <c r="N55" s="51"/>
      <c r="O55" s="78"/>
      <c r="P55" s="51"/>
      <c r="Q55" s="51"/>
      <c r="R55" s="72"/>
    </row>
    <row r="56" ht="15.75" customHeight="1">
      <c r="A56" s="85"/>
      <c r="B56" s="85"/>
      <c r="C56" s="85"/>
      <c r="D56" s="51"/>
      <c r="E56" s="51"/>
      <c r="F56" s="78"/>
      <c r="G56" s="51"/>
      <c r="H56" s="51"/>
      <c r="I56" s="78"/>
      <c r="J56" s="53" t="s">
        <v>152</v>
      </c>
      <c r="K56" s="54">
        <f>SUM(COUNTIF('Itemization 202506'!L31:L34,J56),COUNTIF('Itemization 202501'!L31:L34,J56),COUNTIF('Itemization 202408'!L31:L34,J56),COUNTIF('Itemization 202406'!L31:L34,J56),COUNTIF('Itemization 202401'!L31:L34,J56),COUNTIF('Itemization 202308'!L31:L34,J56),COUNTIF('Itemization 202306'!L31:L34,J56))</f>
        <v>0</v>
      </c>
      <c r="L56" s="55">
        <f>(K56/K116)</f>
        <v>0</v>
      </c>
      <c r="M56" s="51"/>
      <c r="N56" s="51"/>
      <c r="O56" s="78"/>
      <c r="P56" s="51"/>
      <c r="Q56" s="51"/>
      <c r="R56" s="72"/>
    </row>
    <row r="57" ht="15.75" customHeight="1">
      <c r="A57" s="85"/>
      <c r="B57" s="85"/>
      <c r="C57" s="85"/>
      <c r="D57" s="51"/>
      <c r="E57" s="51"/>
      <c r="F57" s="78"/>
      <c r="G57" s="51"/>
      <c r="H57" s="51"/>
      <c r="I57" s="78"/>
      <c r="J57" s="53" t="s">
        <v>153</v>
      </c>
      <c r="K57" s="54">
        <f>SUM(COUNTIF('Itemization 202506'!L31:L34,J57),COUNTIF('Itemization 202501'!L31:L34,J57),COUNTIF('Itemization 202408'!L31:L34,J57),COUNTIF('Itemization 202406'!L31:L34,J57),COUNTIF('Itemization 202401'!L31:L34,J57),COUNTIF('Itemization 202308'!L31:L34,J57),COUNTIF('Itemization 202306'!L31:L34,J57))</f>
        <v>0</v>
      </c>
      <c r="L57" s="55">
        <f>(K57/K116)</f>
        <v>0</v>
      </c>
      <c r="M57" s="51"/>
      <c r="N57" s="51"/>
      <c r="O57" s="78"/>
      <c r="P57" s="51"/>
      <c r="Q57" s="51"/>
      <c r="R57" s="72"/>
    </row>
    <row r="58" ht="15.75" customHeight="1">
      <c r="A58" s="85"/>
      <c r="B58" s="85"/>
      <c r="C58" s="85"/>
      <c r="D58" s="51"/>
      <c r="E58" s="51"/>
      <c r="F58" s="78"/>
      <c r="G58" s="51"/>
      <c r="H58" s="51"/>
      <c r="I58" s="78"/>
      <c r="J58" s="88" t="s">
        <v>154</v>
      </c>
      <c r="K58" s="57">
        <f>SUM(COUNTIF('Itemization 202506'!L31:L34,J58),COUNTIF('Itemization 202501'!L31:L34,J58),COUNTIF('Itemization 202408'!L31:L34,J58),COUNTIF('Itemization 202406'!L31:L34,J58),COUNTIF('Itemization 202401'!L31:L34,J58),COUNTIF('Itemization 202308'!L31:L34,J58),COUNTIF('Itemization 202306'!L31:L34,J58))</f>
        <v>2</v>
      </c>
      <c r="L58" s="58">
        <f>(K58/K116)</f>
        <v>0.07407407407</v>
      </c>
      <c r="M58" s="51"/>
      <c r="N58" s="51"/>
      <c r="O58" s="78"/>
      <c r="P58" s="51"/>
      <c r="Q58" s="51"/>
      <c r="R58" s="72"/>
    </row>
    <row r="59" ht="15.75" customHeight="1">
      <c r="A59" s="85"/>
      <c r="B59" s="85"/>
      <c r="C59" s="85"/>
      <c r="D59" s="51"/>
      <c r="E59" s="51"/>
      <c r="F59" s="78"/>
      <c r="G59" s="51"/>
      <c r="H59" s="51"/>
      <c r="I59" s="78"/>
      <c r="J59" s="53" t="s">
        <v>155</v>
      </c>
      <c r="K59" s="54">
        <f>SUM(COUNTIF('Itemization 202506'!L31:L34,J59),COUNTIF('Itemization 202501'!L31:L34,J59),COUNTIF('Itemization 202408'!L31:L34,J59),COUNTIF('Itemization 202406'!L31:L34,J59),COUNTIF('Itemization 202401'!L31:L34,J59),COUNTIF('Itemization 202308'!L31:L34,J59),COUNTIF('Itemization 202306'!L31:L34,J59))</f>
        <v>0</v>
      </c>
      <c r="L59" s="55">
        <f>(K59/K116)</f>
        <v>0</v>
      </c>
      <c r="M59" s="51"/>
      <c r="N59" s="51"/>
      <c r="O59" s="78"/>
      <c r="P59" s="51"/>
      <c r="Q59" s="51"/>
      <c r="R59" s="72"/>
    </row>
    <row r="60" ht="15.75" customHeight="1">
      <c r="A60" s="85"/>
      <c r="B60" s="85"/>
      <c r="C60" s="85"/>
      <c r="D60" s="51"/>
      <c r="E60" s="51"/>
      <c r="F60" s="78"/>
      <c r="G60" s="51"/>
      <c r="H60" s="51"/>
      <c r="I60" s="78"/>
      <c r="J60" s="53" t="s">
        <v>156</v>
      </c>
      <c r="K60" s="54">
        <f>SUM(COUNTIF('Itemization 202506'!L31:L34,J60),COUNTIF('Itemization 202501'!L31:L34,J60),COUNTIF('Itemization 202408'!L31:L34,J60),COUNTIF('Itemization 202406'!L31:L34,J60),COUNTIF('Itemization 202401'!L31:L34,J60),COUNTIF('Itemization 202308'!L31:L34,J60),COUNTIF('Itemization 202306'!L31:L34,J60))</f>
        <v>0</v>
      </c>
      <c r="L60" s="55">
        <f>(K60/K116)</f>
        <v>0</v>
      </c>
      <c r="M60" s="51"/>
      <c r="N60" s="51"/>
      <c r="O60" s="78"/>
      <c r="P60" s="51"/>
      <c r="Q60" s="51"/>
      <c r="R60" s="72"/>
    </row>
    <row r="61" ht="15.75" customHeight="1">
      <c r="A61" s="85"/>
      <c r="B61" s="85"/>
      <c r="C61" s="85"/>
      <c r="D61" s="51"/>
      <c r="E61" s="51"/>
      <c r="F61" s="78"/>
      <c r="G61" s="51"/>
      <c r="H61" s="51"/>
      <c r="I61" s="78"/>
      <c r="J61" s="53" t="s">
        <v>157</v>
      </c>
      <c r="K61" s="54">
        <f>SUM(COUNTIF('Itemization 202506'!L31:L34,J61),COUNTIF('Itemization 202501'!L31:L34,J61),COUNTIF('Itemization 202408'!L31:L34,J61),COUNTIF('Itemization 202406'!L31:L34,J61),COUNTIF('Itemization 202401'!L31:L34,J61),COUNTIF('Itemization 202308'!L31:L34,J61),COUNTIF('Itemization 202306'!L31:L34,J61))</f>
        <v>0</v>
      </c>
      <c r="L61" s="55">
        <f>(K61/K116)</f>
        <v>0</v>
      </c>
      <c r="M61" s="51"/>
      <c r="N61" s="51"/>
      <c r="O61" s="78"/>
      <c r="P61" s="51"/>
      <c r="Q61" s="51"/>
      <c r="R61" s="72"/>
    </row>
    <row r="62" ht="15.75" customHeight="1">
      <c r="A62" s="85"/>
      <c r="B62" s="85"/>
      <c r="C62" s="85"/>
      <c r="D62" s="51"/>
      <c r="E62" s="51"/>
      <c r="F62" s="78"/>
      <c r="G62" s="51"/>
      <c r="H62" s="51"/>
      <c r="I62" s="78"/>
      <c r="J62" s="53" t="s">
        <v>158</v>
      </c>
      <c r="K62" s="54">
        <f>SUM(COUNTIF('Itemization 202506'!L31:L34,J62),COUNTIF('Itemization 202501'!L31:L34,J62),COUNTIF('Itemization 202408'!L31:L34,J62),COUNTIF('Itemization 202406'!L31:L34,J62),COUNTIF('Itemization 202401'!L31:L34,J62),COUNTIF('Itemization 202308'!L31:L34,J62),COUNTIF('Itemization 202306'!L31:L34,J62))</f>
        <v>0</v>
      </c>
      <c r="L62" s="55">
        <f>(K62/K116)</f>
        <v>0</v>
      </c>
      <c r="M62" s="51"/>
      <c r="N62" s="51"/>
      <c r="O62" s="78"/>
      <c r="P62" s="51"/>
      <c r="Q62" s="51"/>
      <c r="R62" s="72"/>
    </row>
    <row r="63" ht="15.75" customHeight="1">
      <c r="A63" s="85"/>
      <c r="B63" s="85"/>
      <c r="C63" s="85"/>
      <c r="D63" s="51"/>
      <c r="E63" s="51"/>
      <c r="F63" s="78"/>
      <c r="G63" s="51"/>
      <c r="H63" s="51"/>
      <c r="I63" s="78"/>
      <c r="J63" s="53" t="s">
        <v>159</v>
      </c>
      <c r="K63" s="54">
        <f>SUM(COUNTIF('Itemization 202506'!L31:L34,J63),COUNTIF('Itemization 202501'!L31:L34,J63),COUNTIF('Itemization 202408'!L31:L34,J63),COUNTIF('Itemization 202406'!L31:L34,J63),COUNTIF('Itemization 202401'!L31:L34,J63),COUNTIF('Itemization 202308'!L31:L34,J63),COUNTIF('Itemization 202306'!L31:L34,J63))</f>
        <v>0</v>
      </c>
      <c r="L63" s="55">
        <f>(K63/K116)</f>
        <v>0</v>
      </c>
      <c r="M63" s="51"/>
      <c r="N63" s="51"/>
      <c r="O63" s="78"/>
      <c r="P63" s="51"/>
      <c r="Q63" s="51"/>
      <c r="R63" s="72"/>
    </row>
    <row r="64" ht="15.75" customHeight="1">
      <c r="A64" s="85"/>
      <c r="B64" s="85"/>
      <c r="C64" s="85"/>
      <c r="D64" s="51"/>
      <c r="E64" s="51"/>
      <c r="F64" s="78"/>
      <c r="G64" s="51"/>
      <c r="H64" s="51"/>
      <c r="I64" s="78"/>
      <c r="J64" s="53" t="s">
        <v>160</v>
      </c>
      <c r="K64" s="54">
        <f>SUM(COUNTIF('Itemization 202506'!L31:L34,J64),COUNTIF('Itemization 202501'!L31:L34,J64),COUNTIF('Itemization 202408'!L31:L34,J64),COUNTIF('Itemization 202406'!L31:L34,J64),COUNTIF('Itemization 202401'!L31:L34,J64),COUNTIF('Itemization 202308'!L31:L34,J64),COUNTIF('Itemization 202306'!L31:L34,J64))</f>
        <v>0</v>
      </c>
      <c r="L64" s="55">
        <f>(K64/K116)</f>
        <v>0</v>
      </c>
      <c r="M64" s="51"/>
      <c r="N64" s="51"/>
      <c r="O64" s="78"/>
      <c r="P64" s="51"/>
      <c r="Q64" s="51"/>
      <c r="R64" s="72"/>
    </row>
    <row r="65" ht="15.75" customHeight="1">
      <c r="A65" s="85"/>
      <c r="B65" s="85"/>
      <c r="C65" s="85"/>
      <c r="D65" s="51"/>
      <c r="E65" s="51"/>
      <c r="F65" s="78"/>
      <c r="G65" s="51"/>
      <c r="H65" s="51"/>
      <c r="I65" s="78"/>
      <c r="J65" s="53" t="s">
        <v>161</v>
      </c>
      <c r="K65" s="54">
        <f>SUM(COUNTIF('Itemization 202506'!L31:L34,J65),COUNTIF('Itemization 202501'!L31:L34,J65),COUNTIF('Itemization 202408'!L31:L34,J65),COUNTIF('Itemization 202406'!L31:L34,J65),COUNTIF('Itemization 202401'!L31:L34,J65),COUNTIF('Itemization 202308'!L31:L34,J65),COUNTIF('Itemization 202306'!L31:L34,J65))</f>
        <v>0</v>
      </c>
      <c r="L65" s="55">
        <f>(K65/K116)</f>
        <v>0</v>
      </c>
      <c r="M65" s="51"/>
      <c r="N65" s="51"/>
      <c r="O65" s="78"/>
      <c r="P65" s="51"/>
      <c r="Q65" s="51"/>
      <c r="R65" s="72"/>
    </row>
    <row r="66" ht="15.75" customHeight="1">
      <c r="A66" s="85"/>
      <c r="B66" s="85"/>
      <c r="C66" s="85"/>
      <c r="D66" s="51"/>
      <c r="E66" s="51"/>
      <c r="F66" s="78"/>
      <c r="G66" s="51"/>
      <c r="H66" s="51"/>
      <c r="I66" s="78"/>
      <c r="J66" s="53" t="s">
        <v>162</v>
      </c>
      <c r="K66" s="54">
        <f>SUM(COUNTIF('Itemization 202506'!L31:L34,J66),COUNTIF('Itemization 202501'!L31:L34,J66),COUNTIF('Itemization 202408'!L31:L34,J66),COUNTIF('Itemization 202406'!L31:L34,J66),COUNTIF('Itemization 202401'!L31:L34,J66),COUNTIF('Itemization 202308'!L31:L34,J66),COUNTIF('Itemization 202306'!L31:L34,J66))</f>
        <v>0</v>
      </c>
      <c r="L66" s="55">
        <f>(K66/K116)</f>
        <v>0</v>
      </c>
      <c r="M66" s="51"/>
      <c r="N66" s="51"/>
      <c r="O66" s="78"/>
      <c r="P66" s="51"/>
      <c r="Q66" s="51"/>
      <c r="R66" s="72"/>
    </row>
    <row r="67" ht="15.75" customHeight="1">
      <c r="A67" s="85"/>
      <c r="B67" s="85"/>
      <c r="C67" s="85"/>
      <c r="D67" s="51"/>
      <c r="E67" s="51"/>
      <c r="F67" s="78"/>
      <c r="G67" s="51"/>
      <c r="H67" s="51"/>
      <c r="I67" s="78"/>
      <c r="J67" s="53" t="s">
        <v>163</v>
      </c>
      <c r="K67" s="54">
        <f>SUM(COUNTIF('Itemization 202506'!L31:L34,J67),COUNTIF('Itemization 202501'!L31:L34,J67),COUNTIF('Itemization 202408'!L31:L34,J67),COUNTIF('Itemization 202406'!L31:L34,J67),COUNTIF('Itemization 202401'!L31:L34,J67),COUNTIF('Itemization 202308'!L31:L34,J67),COUNTIF('Itemization 202306'!L31:L34,J67))</f>
        <v>0</v>
      </c>
      <c r="L67" s="55">
        <f>(K67/K116)</f>
        <v>0</v>
      </c>
      <c r="M67" s="51"/>
      <c r="N67" s="51"/>
      <c r="O67" s="78"/>
      <c r="P67" s="51"/>
      <c r="Q67" s="51"/>
      <c r="R67" s="72"/>
    </row>
    <row r="68" ht="15.75" customHeight="1">
      <c r="A68" s="85"/>
      <c r="B68" s="85"/>
      <c r="C68" s="85"/>
      <c r="D68" s="51"/>
      <c r="E68" s="51"/>
      <c r="F68" s="78"/>
      <c r="G68" s="51"/>
      <c r="H68" s="51"/>
      <c r="I68" s="78"/>
      <c r="J68" s="53" t="s">
        <v>164</v>
      </c>
      <c r="K68" s="54">
        <f>SUM(COUNTIF('Itemization 202506'!L31:L34,J68),COUNTIF('Itemization 202501'!L31:L34,J68),COUNTIF('Itemization 202408'!L31:L34,J68),COUNTIF('Itemization 202406'!L31:L34,J68),COUNTIF('Itemization 202401'!L31:L34,J68),COUNTIF('Itemization 202308'!L31:L34,J68),COUNTIF('Itemization 202306'!L31:L34,J68))</f>
        <v>0</v>
      </c>
      <c r="L68" s="55">
        <f>(K68/K116)</f>
        <v>0</v>
      </c>
      <c r="M68" s="51"/>
      <c r="N68" s="51"/>
      <c r="O68" s="78"/>
      <c r="P68" s="51"/>
      <c r="Q68" s="51"/>
      <c r="R68" s="72"/>
    </row>
    <row r="69" ht="15.75" customHeight="1">
      <c r="A69" s="85"/>
      <c r="B69" s="85"/>
      <c r="C69" s="85"/>
      <c r="D69" s="51"/>
      <c r="E69" s="51"/>
      <c r="F69" s="78"/>
      <c r="G69" s="51"/>
      <c r="H69" s="51"/>
      <c r="I69" s="78"/>
      <c r="J69" s="53" t="s">
        <v>165</v>
      </c>
      <c r="K69" s="54">
        <f>SUM(COUNTIF('Itemization 202506'!L31:L34,J69),COUNTIF('Itemization 202501'!L31:L34,J69),COUNTIF('Itemization 202408'!L31:L34,J69),COUNTIF('Itemization 202406'!L31:L34,J69),COUNTIF('Itemization 202401'!L31:L34,J69),COUNTIF('Itemization 202308'!L31:L34,J69),COUNTIF('Itemization 202306'!L31:L34,J69))</f>
        <v>0</v>
      </c>
      <c r="L69" s="55">
        <f>(K69/K116)</f>
        <v>0</v>
      </c>
      <c r="M69" s="51"/>
      <c r="N69" s="51"/>
      <c r="O69" s="78"/>
      <c r="P69" s="51"/>
      <c r="Q69" s="51"/>
      <c r="R69" s="72"/>
    </row>
    <row r="70" ht="15.75" customHeight="1">
      <c r="A70" s="85"/>
      <c r="B70" s="85"/>
      <c r="C70" s="85"/>
      <c r="D70" s="51"/>
      <c r="E70" s="51"/>
      <c r="F70" s="78"/>
      <c r="G70" s="51"/>
      <c r="H70" s="51"/>
      <c r="I70" s="78"/>
      <c r="J70" s="53" t="s">
        <v>166</v>
      </c>
      <c r="K70" s="54">
        <f>SUM(COUNTIF('Itemization 202506'!L31:L34,J70),COUNTIF('Itemization 202501'!L31:L34,J70),COUNTIF('Itemization 202408'!L31:L34,J70),COUNTIF('Itemization 202406'!L31:L34,J70),COUNTIF('Itemization 202401'!L31:L34,J70),COUNTIF('Itemization 202308'!L31:L34,J70),COUNTIF('Itemization 202306'!L31:L34,J70))</f>
        <v>0</v>
      </c>
      <c r="L70" s="55">
        <f>(K70/K116)</f>
        <v>0</v>
      </c>
      <c r="M70" s="51"/>
      <c r="N70" s="51"/>
      <c r="O70" s="78"/>
      <c r="P70" s="51"/>
      <c r="Q70" s="51"/>
      <c r="R70" s="72"/>
    </row>
    <row r="71" ht="15.75" customHeight="1">
      <c r="A71" s="85"/>
      <c r="B71" s="85"/>
      <c r="C71" s="85"/>
      <c r="D71" s="51"/>
      <c r="E71" s="51"/>
      <c r="F71" s="78"/>
      <c r="G71" s="51"/>
      <c r="H71" s="51"/>
      <c r="I71" s="78"/>
      <c r="J71" s="53" t="s">
        <v>167</v>
      </c>
      <c r="K71" s="54">
        <f>SUM(COUNTIF('Itemization 202506'!L31:L34,J71),COUNTIF('Itemization 202501'!L31:L34,J71),COUNTIF('Itemization 202408'!L31:L34,J71),COUNTIF('Itemization 202406'!L31:L34,J71),COUNTIF('Itemization 202401'!L31:L34,J71),COUNTIF('Itemization 202308'!L31:L34,J71),COUNTIF('Itemization 202306'!L31:L34,J71))</f>
        <v>0</v>
      </c>
      <c r="L71" s="55">
        <f>(K71/K116)</f>
        <v>0</v>
      </c>
      <c r="M71" s="51"/>
      <c r="N71" s="51"/>
      <c r="O71" s="78"/>
      <c r="P71" s="51"/>
      <c r="Q71" s="51"/>
      <c r="R71" s="72"/>
    </row>
    <row r="72" ht="15.75" customHeight="1">
      <c r="A72" s="85"/>
      <c r="B72" s="85"/>
      <c r="C72" s="85"/>
      <c r="D72" s="51"/>
      <c r="E72" s="51"/>
      <c r="F72" s="78"/>
      <c r="G72" s="51"/>
      <c r="H72" s="51"/>
      <c r="I72" s="78"/>
      <c r="J72" s="53" t="s">
        <v>168</v>
      </c>
      <c r="K72" s="54">
        <f>SUM(COUNTIF('Itemization 202506'!L31:L34,J72),COUNTIF('Itemization 202501'!L31:L34,J72),COUNTIF('Itemization 202408'!L31:L34,J72),COUNTIF('Itemization 202406'!L31:L34,J72),COUNTIF('Itemization 202401'!L31:L34,J72),COUNTIF('Itemization 202308'!L31:L34,J72),COUNTIF('Itemization 202306'!L31:L34,J72))</f>
        <v>0</v>
      </c>
      <c r="L72" s="55">
        <f>(K72/K116)</f>
        <v>0</v>
      </c>
      <c r="M72" s="51"/>
      <c r="N72" s="51"/>
      <c r="O72" s="78"/>
      <c r="P72" s="51"/>
      <c r="Q72" s="51"/>
      <c r="R72" s="72"/>
    </row>
    <row r="73" ht="15.75" customHeight="1">
      <c r="A73" s="85"/>
      <c r="B73" s="85"/>
      <c r="C73" s="85"/>
      <c r="D73" s="51"/>
      <c r="E73" s="51"/>
      <c r="F73" s="78"/>
      <c r="G73" s="51"/>
      <c r="H73" s="51"/>
      <c r="I73" s="78"/>
      <c r="J73" s="88" t="s">
        <v>169</v>
      </c>
      <c r="K73" s="57">
        <f>SUM(COUNTIF('Itemization 202506'!L31:L34,J73),COUNTIF('Itemization 202501'!L31:L34,J73),COUNTIF('Itemization 202408'!L31:L34,J73),COUNTIF('Itemization 202406'!L31:L34,J73),COUNTIF('Itemization 202401'!L31:L34,J73),COUNTIF('Itemization 202308'!L31:L34,J73),COUNTIF('Itemization 202306'!L31:L34,J73))</f>
        <v>2</v>
      </c>
      <c r="L73" s="58">
        <f>(K73/K116)</f>
        <v>0.07407407407</v>
      </c>
      <c r="M73" s="51"/>
      <c r="N73" s="51"/>
      <c r="O73" s="78"/>
      <c r="P73" s="51"/>
      <c r="Q73" s="51"/>
      <c r="R73" s="72"/>
    </row>
    <row r="74" ht="15.75" customHeight="1">
      <c r="A74" s="85"/>
      <c r="B74" s="85"/>
      <c r="C74" s="85"/>
      <c r="D74" s="51"/>
      <c r="E74" s="51"/>
      <c r="F74" s="78"/>
      <c r="G74" s="51"/>
      <c r="H74" s="51"/>
      <c r="I74" s="78"/>
      <c r="J74" s="53" t="s">
        <v>170</v>
      </c>
      <c r="K74" s="54">
        <f>SUM(COUNTIF('Itemization 202506'!L31:L34,J74),COUNTIF('Itemization 202501'!L31:L34,J74),COUNTIF('Itemization 202408'!L31:L34,J74),COUNTIF('Itemization 202406'!L31:L34,J74),COUNTIF('Itemization 202401'!L31:L34,J74),COUNTIF('Itemization 202308'!L31:L34,J74),COUNTIF('Itemization 202306'!L31:L34,J74))</f>
        <v>0</v>
      </c>
      <c r="L74" s="55">
        <f>(K74/K116)</f>
        <v>0</v>
      </c>
      <c r="M74" s="51"/>
      <c r="N74" s="51"/>
      <c r="O74" s="78"/>
      <c r="P74" s="51"/>
      <c r="Q74" s="51"/>
      <c r="R74" s="72"/>
    </row>
    <row r="75" ht="15.75" customHeight="1">
      <c r="A75" s="85"/>
      <c r="B75" s="85"/>
      <c r="C75" s="85"/>
      <c r="D75" s="51"/>
      <c r="E75" s="51"/>
      <c r="F75" s="78"/>
      <c r="G75" s="51"/>
      <c r="H75" s="51"/>
      <c r="I75" s="78"/>
      <c r="J75" s="53" t="s">
        <v>171</v>
      </c>
      <c r="K75" s="54">
        <f>SUM(COUNTIF('Itemization 202506'!L31:L34,J75),COUNTIF('Itemization 202501'!L31:L34,J75),COUNTIF('Itemization 202408'!L31:L34,J75),COUNTIF('Itemization 202406'!L31:L34,J75),COUNTIF('Itemization 202401'!L31:L34,J75),COUNTIF('Itemization 202308'!L31:L34,J75),COUNTIF('Itemization 202306'!L31:L34,J75))</f>
        <v>0</v>
      </c>
      <c r="L75" s="55">
        <f>(K75/K116)</f>
        <v>0</v>
      </c>
      <c r="M75" s="51"/>
      <c r="N75" s="51"/>
      <c r="O75" s="78"/>
      <c r="P75" s="51"/>
      <c r="Q75" s="51"/>
      <c r="R75" s="72"/>
    </row>
    <row r="76" ht="15.75" customHeight="1">
      <c r="A76" s="85"/>
      <c r="B76" s="85"/>
      <c r="C76" s="85"/>
      <c r="D76" s="51"/>
      <c r="E76" s="51"/>
      <c r="F76" s="78"/>
      <c r="G76" s="51"/>
      <c r="H76" s="51"/>
      <c r="I76" s="78"/>
      <c r="J76" s="53" t="s">
        <v>172</v>
      </c>
      <c r="K76" s="54">
        <f>SUM(COUNTIF('Itemization 202506'!L31:L34,J76),COUNTIF('Itemization 202501'!L31:L34,J76),COUNTIF('Itemization 202408'!L31:L34,J76),COUNTIF('Itemization 202406'!L31:L34,J76),COUNTIF('Itemization 202401'!L31:L34,J76),COUNTIF('Itemization 202308'!L31:L34,J76),COUNTIF('Itemization 202306'!L31:L34,J76))</f>
        <v>0</v>
      </c>
      <c r="L76" s="55">
        <f>(K76/K116)</f>
        <v>0</v>
      </c>
      <c r="M76" s="51"/>
      <c r="N76" s="51"/>
      <c r="O76" s="78"/>
      <c r="P76" s="51"/>
      <c r="Q76" s="51"/>
      <c r="R76" s="72"/>
    </row>
    <row r="77" ht="15.75" customHeight="1">
      <c r="A77" s="85"/>
      <c r="B77" s="85"/>
      <c r="C77" s="85"/>
      <c r="D77" s="51"/>
      <c r="E77" s="51"/>
      <c r="F77" s="78"/>
      <c r="G77" s="51"/>
      <c r="H77" s="51"/>
      <c r="I77" s="78"/>
      <c r="J77" s="53" t="s">
        <v>173</v>
      </c>
      <c r="K77" s="54">
        <f>SUM(COUNTIF('Itemization 202506'!L31:L34,J77),COUNTIF('Itemization 202501'!L31:L34,J77),COUNTIF('Itemization 202408'!L31:L34,J77),COUNTIF('Itemization 202406'!L31:L34,J77),COUNTIF('Itemization 202401'!L31:L34,J77),COUNTIF('Itemization 202308'!L31:L34,J77),COUNTIF('Itemization 202306'!L31:L34,J77))</f>
        <v>0</v>
      </c>
      <c r="L77" s="55">
        <f>(K77/K116)</f>
        <v>0</v>
      </c>
      <c r="M77" s="51"/>
      <c r="N77" s="51"/>
      <c r="O77" s="78"/>
      <c r="P77" s="51"/>
      <c r="Q77" s="51"/>
      <c r="R77" s="72"/>
    </row>
    <row r="78" ht="15.75" customHeight="1">
      <c r="A78" s="85"/>
      <c r="B78" s="85"/>
      <c r="C78" s="85"/>
      <c r="D78" s="51"/>
      <c r="E78" s="51"/>
      <c r="F78" s="78"/>
      <c r="G78" s="51"/>
      <c r="H78" s="51"/>
      <c r="I78" s="78"/>
      <c r="J78" s="53" t="s">
        <v>174</v>
      </c>
      <c r="K78" s="54">
        <f>SUM(COUNTIF('Itemization 202506'!L31:L34,J78),COUNTIF('Itemization 202501'!L31:L34,J78),COUNTIF('Itemization 202408'!L31:L34,J78),COUNTIF('Itemization 202406'!L31:L34,J78),COUNTIF('Itemization 202401'!L31:L34,J78),COUNTIF('Itemization 202308'!L31:L34,J78),COUNTIF('Itemization 202306'!L31:L34,J78))</f>
        <v>0</v>
      </c>
      <c r="L78" s="55">
        <f>(K78/K116)</f>
        <v>0</v>
      </c>
      <c r="M78" s="51"/>
      <c r="N78" s="51"/>
      <c r="O78" s="78"/>
      <c r="P78" s="51"/>
      <c r="Q78" s="51"/>
      <c r="R78" s="72"/>
    </row>
    <row r="79" ht="15.75" customHeight="1">
      <c r="A79" s="85"/>
      <c r="B79" s="85"/>
      <c r="C79" s="85"/>
      <c r="D79" s="51"/>
      <c r="E79" s="51"/>
      <c r="F79" s="78"/>
      <c r="G79" s="51"/>
      <c r="H79" s="51"/>
      <c r="I79" s="78"/>
      <c r="J79" s="53" t="s">
        <v>175</v>
      </c>
      <c r="K79" s="54">
        <f>SUM(COUNTIF('Itemization 202506'!L31:L34,J79),COUNTIF('Itemization 202501'!L31:L34,J79),COUNTIF('Itemization 202408'!L31:L34,J79),COUNTIF('Itemization 202406'!L31:L34,J79),COUNTIF('Itemization 202401'!L31:L34,J79),COUNTIF('Itemization 202308'!L31:L34,J79),COUNTIF('Itemization 202306'!L31:L34,J79))</f>
        <v>0</v>
      </c>
      <c r="L79" s="55">
        <f>(K79/K116)</f>
        <v>0</v>
      </c>
      <c r="M79" s="51"/>
      <c r="N79" s="51"/>
      <c r="O79" s="78"/>
      <c r="P79" s="51"/>
      <c r="Q79" s="51"/>
      <c r="R79" s="72"/>
    </row>
    <row r="80" ht="15.75" customHeight="1">
      <c r="A80" s="85"/>
      <c r="B80" s="85"/>
      <c r="C80" s="85"/>
      <c r="D80" s="51"/>
      <c r="E80" s="51"/>
      <c r="F80" s="78"/>
      <c r="G80" s="51"/>
      <c r="H80" s="51"/>
      <c r="I80" s="78"/>
      <c r="J80" s="53" t="s">
        <v>176</v>
      </c>
      <c r="K80" s="54">
        <f>SUM(COUNTIF('Itemization 202506'!L31:L34,J80),COUNTIF('Itemization 202501'!L31:L34,J80),COUNTIF('Itemization 202408'!L31:L34,J80),COUNTIF('Itemization 202406'!L31:L34,J80),COUNTIF('Itemization 202401'!L31:L34,J80),COUNTIF('Itemization 202308'!L31:L34,J80),COUNTIF('Itemization 202306'!L31:L34,J80))</f>
        <v>0</v>
      </c>
      <c r="L80" s="55">
        <f>(K80/K116)</f>
        <v>0</v>
      </c>
      <c r="M80" s="51"/>
      <c r="N80" s="51"/>
      <c r="O80" s="78"/>
      <c r="P80" s="51"/>
      <c r="Q80" s="51"/>
      <c r="R80" s="72"/>
    </row>
    <row r="81" ht="15.75" customHeight="1">
      <c r="A81" s="85"/>
      <c r="B81" s="85"/>
      <c r="C81" s="85"/>
      <c r="D81" s="51"/>
      <c r="E81" s="51"/>
      <c r="F81" s="78"/>
      <c r="G81" s="51"/>
      <c r="H81" s="51"/>
      <c r="I81" s="78"/>
      <c r="J81" s="53" t="s">
        <v>177</v>
      </c>
      <c r="K81" s="54">
        <f>SUM(COUNTIF('Itemization 202506'!L31:L34,J81),COUNTIF('Itemization 202501'!L31:L34,J81),COUNTIF('Itemization 202408'!L31:L34,J81),COUNTIF('Itemization 202406'!L31:L34,J81),COUNTIF('Itemization 202401'!L31:L34,J81),COUNTIF('Itemization 202308'!L31:L34,J81),COUNTIF('Itemization 202306'!L31:L34,J81))</f>
        <v>0</v>
      </c>
      <c r="L81" s="55">
        <f>(K81/K116)</f>
        <v>0</v>
      </c>
      <c r="M81" s="51"/>
      <c r="N81" s="51"/>
      <c r="O81" s="78"/>
      <c r="P81" s="51"/>
      <c r="Q81" s="51"/>
      <c r="R81" s="72"/>
    </row>
    <row r="82" ht="15.75" customHeight="1">
      <c r="A82" s="85"/>
      <c r="B82" s="85"/>
      <c r="C82" s="85"/>
      <c r="D82" s="51"/>
      <c r="E82" s="51"/>
      <c r="F82" s="78"/>
      <c r="G82" s="51"/>
      <c r="H82" s="51"/>
      <c r="I82" s="78"/>
      <c r="J82" s="53" t="s">
        <v>178</v>
      </c>
      <c r="K82" s="54">
        <f>SUM(COUNTIF('Itemization 202506'!L31:L34,J82),COUNTIF('Itemization 202501'!L31:L34,J82),COUNTIF('Itemization 202408'!L31:L34,J82),COUNTIF('Itemization 202406'!L31:L34,J82),COUNTIF('Itemization 202401'!L31:L34,J82),COUNTIF('Itemization 202308'!L31:L34,J82),COUNTIF('Itemization 202306'!L31:L34,J82))</f>
        <v>0</v>
      </c>
      <c r="L82" s="55">
        <f>(K82/K116)</f>
        <v>0</v>
      </c>
      <c r="M82" s="51"/>
      <c r="N82" s="51"/>
      <c r="O82" s="78"/>
      <c r="P82" s="51"/>
      <c r="Q82" s="51"/>
      <c r="R82" s="72"/>
    </row>
    <row r="83" ht="15.75" customHeight="1">
      <c r="A83" s="85"/>
      <c r="B83" s="85"/>
      <c r="C83" s="85"/>
      <c r="D83" s="51"/>
      <c r="E83" s="51"/>
      <c r="F83" s="78"/>
      <c r="G83" s="51"/>
      <c r="H83" s="51"/>
      <c r="I83" s="78"/>
      <c r="J83" s="53" t="s">
        <v>179</v>
      </c>
      <c r="K83" s="54">
        <f>SUM(COUNTIF('Itemization 202506'!L31:L34,J83),COUNTIF('Itemization 202501'!L31:L34,J83),COUNTIF('Itemization 202408'!L31:L34,J83),COUNTIF('Itemization 202406'!L31:L34,J83),COUNTIF('Itemization 202401'!L31:L34,J83),COUNTIF('Itemization 202308'!L31:L34,J83),COUNTIF('Itemization 202306'!L31:L34,J83))</f>
        <v>0</v>
      </c>
      <c r="L83" s="55">
        <f>(K83/K116)</f>
        <v>0</v>
      </c>
      <c r="M83" s="51"/>
      <c r="N83" s="51"/>
      <c r="O83" s="78"/>
      <c r="P83" s="51"/>
      <c r="Q83" s="51"/>
      <c r="R83" s="72"/>
    </row>
    <row r="84" ht="15.75" customHeight="1">
      <c r="A84" s="85"/>
      <c r="B84" s="85"/>
      <c r="C84" s="85"/>
      <c r="D84" s="51"/>
      <c r="E84" s="51"/>
      <c r="F84" s="78"/>
      <c r="G84" s="51"/>
      <c r="H84" s="51"/>
      <c r="I84" s="78"/>
      <c r="J84" s="53" t="s">
        <v>180</v>
      </c>
      <c r="K84" s="54">
        <f>SUM(COUNTIF('Itemization 202506'!L31:L34,J84),COUNTIF('Itemization 202501'!L31:L34,J84),COUNTIF('Itemization 202408'!L31:L34,J84),COUNTIF('Itemization 202406'!L31:L34,J84),COUNTIF('Itemization 202401'!L31:L34,J84),COUNTIF('Itemization 202308'!L31:L34,J84),COUNTIF('Itemization 202306'!L31:L34,J84))</f>
        <v>0</v>
      </c>
      <c r="L84" s="55">
        <f>(K84/K116)</f>
        <v>0</v>
      </c>
      <c r="M84" s="51"/>
      <c r="N84" s="51"/>
      <c r="O84" s="78"/>
      <c r="P84" s="51"/>
      <c r="Q84" s="51"/>
      <c r="R84" s="72"/>
    </row>
    <row r="85" ht="15.75" customHeight="1">
      <c r="A85" s="85"/>
      <c r="B85" s="85"/>
      <c r="C85" s="85"/>
      <c r="D85" s="51"/>
      <c r="E85" s="51"/>
      <c r="F85" s="78"/>
      <c r="G85" s="51"/>
      <c r="H85" s="51"/>
      <c r="I85" s="78"/>
      <c r="J85" s="53" t="s">
        <v>181</v>
      </c>
      <c r="K85" s="54">
        <f>SUM(COUNTIF('Itemization 202506'!L31:L34,J85),COUNTIF('Itemization 202501'!L31:L34,J85),COUNTIF('Itemization 202408'!L31:L34,J85),COUNTIF('Itemization 202406'!L31:L34,J85),COUNTIF('Itemization 202401'!L31:L34,J85),COUNTIF('Itemization 202308'!L31:L34,J85),COUNTIF('Itemization 202306'!L31:L34,J85))</f>
        <v>0</v>
      </c>
      <c r="L85" s="55">
        <f>(K85/K116)</f>
        <v>0</v>
      </c>
      <c r="M85" s="51"/>
      <c r="N85" s="51"/>
      <c r="O85" s="78"/>
      <c r="P85" s="51"/>
      <c r="Q85" s="51"/>
      <c r="R85" s="72"/>
    </row>
    <row r="86" ht="15.75" customHeight="1">
      <c r="A86" s="85"/>
      <c r="B86" s="85"/>
      <c r="C86" s="85"/>
      <c r="D86" s="51"/>
      <c r="E86" s="51"/>
      <c r="F86" s="78"/>
      <c r="G86" s="51"/>
      <c r="H86" s="51"/>
      <c r="I86" s="78"/>
      <c r="J86" s="53" t="s">
        <v>182</v>
      </c>
      <c r="K86" s="54">
        <f>SUM(COUNTIF('Itemization 202506'!L31:L34,J86),COUNTIF('Itemization 202501'!L31:L34,J86),COUNTIF('Itemization 202408'!L31:L34,J86),COUNTIF('Itemization 202406'!L31:L34,J86),COUNTIF('Itemization 202401'!L31:L34,J86),COUNTIF('Itemization 202308'!L31:L34,J86),COUNTIF('Itemization 202306'!L31:L34,J86))</f>
        <v>0</v>
      </c>
      <c r="L86" s="55">
        <f>(K86/K116)</f>
        <v>0</v>
      </c>
      <c r="M86" s="51"/>
      <c r="N86" s="51"/>
      <c r="O86" s="78"/>
      <c r="P86" s="51"/>
      <c r="Q86" s="51"/>
      <c r="R86" s="72"/>
    </row>
    <row r="87" ht="15.75" customHeight="1">
      <c r="A87" s="85"/>
      <c r="B87" s="85"/>
      <c r="C87" s="85"/>
      <c r="D87" s="51"/>
      <c r="E87" s="51"/>
      <c r="F87" s="78"/>
      <c r="G87" s="51"/>
      <c r="H87" s="51"/>
      <c r="I87" s="78"/>
      <c r="J87" s="53" t="s">
        <v>183</v>
      </c>
      <c r="K87" s="54">
        <f>SUM(COUNTIF('Itemization 202506'!L31:L34,J87),COUNTIF('Itemization 202501'!L31:L34,J87),COUNTIF('Itemization 202408'!L31:L34,J87),COUNTIF('Itemization 202406'!L31:L34,J87),COUNTIF('Itemization 202401'!L31:L34,J87),COUNTIF('Itemization 202308'!L31:L34,J87),COUNTIF('Itemization 202306'!L31:L34,J87))</f>
        <v>0</v>
      </c>
      <c r="L87" s="55">
        <f>(K87/K116)</f>
        <v>0</v>
      </c>
      <c r="M87" s="51"/>
      <c r="N87" s="51"/>
      <c r="O87" s="78"/>
      <c r="P87" s="51"/>
      <c r="Q87" s="51"/>
      <c r="R87" s="72"/>
    </row>
    <row r="88" ht="15.75" customHeight="1">
      <c r="A88" s="85"/>
      <c r="B88" s="85"/>
      <c r="C88" s="85"/>
      <c r="D88" s="51"/>
      <c r="E88" s="51"/>
      <c r="F88" s="78"/>
      <c r="G88" s="51"/>
      <c r="H88" s="51"/>
      <c r="I88" s="78"/>
      <c r="J88" s="53" t="s">
        <v>184</v>
      </c>
      <c r="K88" s="54">
        <f>SUM(COUNTIF('Itemization 202506'!L31:L34,J88),COUNTIF('Itemization 202501'!L31:L34,J88),COUNTIF('Itemization 202408'!L31:L34,J88),COUNTIF('Itemization 202406'!L31:L34,J88),COUNTIF('Itemization 202401'!L31:L34,J88),COUNTIF('Itemization 202308'!L31:L34,J88),COUNTIF('Itemization 202306'!L31:L34,J88))</f>
        <v>0</v>
      </c>
      <c r="L88" s="55">
        <f>(K88/K116)</f>
        <v>0</v>
      </c>
      <c r="M88" s="51"/>
      <c r="N88" s="51"/>
      <c r="O88" s="78"/>
      <c r="P88" s="51"/>
      <c r="Q88" s="51"/>
      <c r="R88" s="72"/>
    </row>
    <row r="89" ht="15.75" customHeight="1">
      <c r="A89" s="85"/>
      <c r="B89" s="85"/>
      <c r="C89" s="85"/>
      <c r="D89" s="51"/>
      <c r="E89" s="51"/>
      <c r="F89" s="78"/>
      <c r="G89" s="51"/>
      <c r="H89" s="51"/>
      <c r="I89" s="78"/>
      <c r="J89" s="53" t="s">
        <v>185</v>
      </c>
      <c r="K89" s="54">
        <f>SUM(COUNTIF('Itemization 202506'!L31:L34,J89),COUNTIF('Itemization 202501'!L31:L34,J89),COUNTIF('Itemization 202408'!L31:L34,J89),COUNTIF('Itemization 202406'!L31:L34,J89),COUNTIF('Itemization 202401'!L31:L34,J89),COUNTIF('Itemization 202308'!L31:L34,J89),COUNTIF('Itemization 202306'!L31:L34,J89))</f>
        <v>0</v>
      </c>
      <c r="L89" s="55">
        <f>(K89/K116)</f>
        <v>0</v>
      </c>
      <c r="M89" s="51"/>
      <c r="N89" s="51"/>
      <c r="O89" s="78"/>
      <c r="P89" s="51"/>
      <c r="Q89" s="51"/>
      <c r="R89" s="72"/>
    </row>
    <row r="90" ht="15.75" customHeight="1">
      <c r="A90" s="85"/>
      <c r="B90" s="85"/>
      <c r="C90" s="85"/>
      <c r="D90" s="51"/>
      <c r="E90" s="51"/>
      <c r="F90" s="78"/>
      <c r="G90" s="51"/>
      <c r="H90" s="51"/>
      <c r="I90" s="78"/>
      <c r="J90" s="146" t="s">
        <v>186</v>
      </c>
      <c r="K90" s="114">
        <f>SUM(COUNTIF('Itemization 202506'!L31:L34,J90),COUNTIF('Itemization 202501'!L31:L34,J90),COUNTIF('Itemization 202408'!L31:L34,J90),COUNTIF('Itemization 202406'!L31:L34,J90),COUNTIF('Itemization 202401'!L31:L34,J90),COUNTIF('Itemization 202308'!L31:L34,J90),COUNTIF('Itemization 202306'!L31:L34,J90))</f>
        <v>1</v>
      </c>
      <c r="L90" s="145">
        <f>(K90/K116)</f>
        <v>0.03703703704</v>
      </c>
      <c r="M90" s="51"/>
      <c r="N90" s="51"/>
      <c r="O90" s="78"/>
      <c r="P90" s="51"/>
      <c r="Q90" s="51"/>
      <c r="R90" s="72"/>
    </row>
    <row r="91" ht="15.75" customHeight="1">
      <c r="A91" s="85"/>
      <c r="B91" s="85"/>
      <c r="C91" s="85"/>
      <c r="D91" s="51"/>
      <c r="E91" s="51"/>
      <c r="F91" s="78"/>
      <c r="G91" s="51"/>
      <c r="H91" s="51"/>
      <c r="I91" s="78"/>
      <c r="J91" s="53" t="s">
        <v>187</v>
      </c>
      <c r="K91" s="54">
        <f>SUM(COUNTIF('Itemization 202506'!L31:L34,J91),COUNTIF('Itemization 202501'!L31:L34,J91),COUNTIF('Itemization 202408'!L31:L34,J91),COUNTIF('Itemization 202406'!L31:L34,J91),COUNTIF('Itemization 202401'!L31:L34,J91),COUNTIF('Itemization 202308'!L31:L34,J91),COUNTIF('Itemization 202306'!L31:L34,J91))</f>
        <v>0</v>
      </c>
      <c r="L91" s="55">
        <f>(K91/K116)</f>
        <v>0</v>
      </c>
      <c r="M91" s="51"/>
      <c r="N91" s="51"/>
      <c r="O91" s="78"/>
      <c r="P91" s="51"/>
      <c r="Q91" s="51"/>
      <c r="R91" s="72"/>
    </row>
    <row r="92" ht="15.75" customHeight="1">
      <c r="A92" s="85"/>
      <c r="B92" s="85"/>
      <c r="C92" s="85"/>
      <c r="D92" s="51"/>
      <c r="E92" s="51"/>
      <c r="F92" s="78"/>
      <c r="G92" s="51"/>
      <c r="H92" s="51"/>
      <c r="I92" s="78"/>
      <c r="J92" s="88" t="s">
        <v>188</v>
      </c>
      <c r="K92" s="57">
        <f>SUM(COUNTIF('Itemization 202506'!L31:L34,J92),COUNTIF('Itemization 202501'!L31:L34,J92),COUNTIF('Itemization 202408'!L31:L34,J92),COUNTIF('Itemization 202406'!L31:L34,J92),COUNTIF('Itemization 202401'!L31:L34,J92),COUNTIF('Itemization 202308'!L31:L34,J92),COUNTIF('Itemization 202306'!L31:L34,J92))</f>
        <v>2</v>
      </c>
      <c r="L92" s="58">
        <f>(K92/K116)</f>
        <v>0.07407407407</v>
      </c>
      <c r="M92" s="51"/>
      <c r="N92" s="51"/>
      <c r="O92" s="78"/>
      <c r="P92" s="51"/>
      <c r="Q92" s="51"/>
      <c r="R92" s="72"/>
    </row>
    <row r="93" ht="15.75" customHeight="1">
      <c r="A93" s="85"/>
      <c r="B93" s="85"/>
      <c r="C93" s="85"/>
      <c r="D93" s="51"/>
      <c r="E93" s="51"/>
      <c r="F93" s="78"/>
      <c r="G93" s="51"/>
      <c r="H93" s="51"/>
      <c r="I93" s="78"/>
      <c r="J93" s="53" t="s">
        <v>189</v>
      </c>
      <c r="K93" s="54">
        <f>SUM(COUNTIF('Itemization 202506'!L31:L34,J93),COUNTIF('Itemization 202501'!L31:L34,J93),COUNTIF('Itemization 202408'!L31:L34,J93),COUNTIF('Itemization 202406'!L31:L34,J93),COUNTIF('Itemization 202401'!L31:L34,J93),COUNTIF('Itemization 202308'!L31:L34,J93),COUNTIF('Itemization 202306'!L31:L34,J93))</f>
        <v>0</v>
      </c>
      <c r="L93" s="55">
        <f>(K93/K116)</f>
        <v>0</v>
      </c>
      <c r="M93" s="51"/>
      <c r="N93" s="51"/>
      <c r="O93" s="78"/>
      <c r="P93" s="51"/>
      <c r="Q93" s="51"/>
      <c r="R93" s="72"/>
    </row>
    <row r="94" ht="15.75" customHeight="1">
      <c r="A94" s="85"/>
      <c r="B94" s="85"/>
      <c r="C94" s="85"/>
      <c r="D94" s="51"/>
      <c r="E94" s="51"/>
      <c r="F94" s="78"/>
      <c r="G94" s="51"/>
      <c r="H94" s="51"/>
      <c r="I94" s="78"/>
      <c r="J94" s="146" t="s">
        <v>190</v>
      </c>
      <c r="K94" s="114">
        <f>SUM(COUNTIF('Itemization 202506'!L31:L34,J94),COUNTIF('Itemization 202501'!L31:L34,J94),COUNTIF('Itemization 202408'!L31:L34,J94),COUNTIF('Itemization 202406'!L31:L34,J94),COUNTIF('Itemization 202401'!L31:L34,J94),COUNTIF('Itemization 202308'!L31:L34,J94),COUNTIF('Itemization 202306'!L31:L34,J94))</f>
        <v>1</v>
      </c>
      <c r="L94" s="145">
        <f>(K94/K116)</f>
        <v>0.03703703704</v>
      </c>
      <c r="M94" s="51"/>
      <c r="N94" s="51"/>
      <c r="O94" s="78"/>
      <c r="P94" s="51"/>
      <c r="Q94" s="51"/>
      <c r="R94" s="72"/>
    </row>
    <row r="95" ht="15.75" customHeight="1">
      <c r="A95" s="85"/>
      <c r="B95" s="85"/>
      <c r="C95" s="85"/>
      <c r="D95" s="51"/>
      <c r="E95" s="51"/>
      <c r="F95" s="78"/>
      <c r="G95" s="51"/>
      <c r="H95" s="51"/>
      <c r="I95" s="78"/>
      <c r="J95" s="53" t="s">
        <v>191</v>
      </c>
      <c r="K95" s="54">
        <f>SUM(COUNTIF('Itemization 202506'!L31:L34,J95),COUNTIF('Itemization 202501'!L31:L34,J95),COUNTIF('Itemization 202408'!L31:L34,J95),COUNTIF('Itemization 202406'!L31:L34,J95),COUNTIF('Itemization 202401'!L31:L34,J95),COUNTIF('Itemization 202308'!L31:L34,J95),COUNTIF('Itemization 202306'!L31:L34,J95))</f>
        <v>0</v>
      </c>
      <c r="L95" s="55">
        <f>(K95/K116)</f>
        <v>0</v>
      </c>
      <c r="M95" s="51"/>
      <c r="N95" s="51"/>
      <c r="O95" s="78"/>
      <c r="P95" s="51"/>
      <c r="Q95" s="51"/>
      <c r="R95" s="72"/>
    </row>
    <row r="96" ht="15.75" customHeight="1">
      <c r="A96" s="85"/>
      <c r="B96" s="85"/>
      <c r="C96" s="85"/>
      <c r="D96" s="51"/>
      <c r="E96" s="51"/>
      <c r="F96" s="78"/>
      <c r="G96" s="51"/>
      <c r="H96" s="51"/>
      <c r="I96" s="78"/>
      <c r="J96" s="146" t="s">
        <v>192</v>
      </c>
      <c r="K96" s="114">
        <f>SUM(COUNTIF('Itemization 202506'!L31:L34,J96),COUNTIF('Itemization 202501'!L31:L34,J96),COUNTIF('Itemization 202408'!L31:L34,J96),COUNTIF('Itemization 202406'!L31:L34,J96),COUNTIF('Itemization 202401'!L31:L34,J96),COUNTIF('Itemization 202308'!L31:L34,J96),COUNTIF('Itemization 202306'!L31:L34,J96))</f>
        <v>1</v>
      </c>
      <c r="L96" s="145">
        <f>(K96/K116)</f>
        <v>0.03703703704</v>
      </c>
      <c r="M96" s="51"/>
      <c r="N96" s="51"/>
      <c r="O96" s="78"/>
      <c r="P96" s="51"/>
      <c r="Q96" s="51"/>
      <c r="R96" s="72"/>
    </row>
    <row r="97" ht="15.75" customHeight="1">
      <c r="A97" s="85"/>
      <c r="B97" s="85"/>
      <c r="C97" s="85"/>
      <c r="D97" s="51"/>
      <c r="E97" s="51"/>
      <c r="F97" s="78"/>
      <c r="G97" s="51"/>
      <c r="H97" s="51"/>
      <c r="I97" s="78"/>
      <c r="J97" s="53" t="s">
        <v>193</v>
      </c>
      <c r="K97" s="54">
        <f>SUM(COUNTIF('Itemization 202506'!L31:L34,J97),COUNTIF('Itemization 202501'!L31:L34,J97),COUNTIF('Itemization 202408'!L31:L34,J97),COUNTIF('Itemization 202406'!L31:L34,J97),COUNTIF('Itemization 202401'!L31:L34,J97),COUNTIF('Itemization 202308'!L31:L34,J97),COUNTIF('Itemization 202306'!L31:L34,J97))</f>
        <v>0</v>
      </c>
      <c r="L97" s="55">
        <f>(K97/K116)</f>
        <v>0</v>
      </c>
      <c r="M97" s="51"/>
      <c r="N97" s="51"/>
      <c r="O97" s="78"/>
      <c r="P97" s="51"/>
      <c r="Q97" s="51"/>
      <c r="R97" s="72"/>
    </row>
    <row r="98" ht="15.75" customHeight="1">
      <c r="A98" s="85"/>
      <c r="B98" s="85"/>
      <c r="C98" s="85"/>
      <c r="D98" s="51"/>
      <c r="E98" s="51"/>
      <c r="F98" s="78"/>
      <c r="G98" s="51"/>
      <c r="H98" s="51"/>
      <c r="I98" s="78"/>
      <c r="J98" s="53" t="s">
        <v>194</v>
      </c>
      <c r="K98" s="54">
        <f>SUM(COUNTIF('Itemization 202506'!L31:L34,J98),COUNTIF('Itemization 202501'!L31:L34,J98),COUNTIF('Itemization 202408'!L31:L34,J98),COUNTIF('Itemization 202406'!L31:L34,J98),COUNTIF('Itemization 202401'!L31:L34,J98),COUNTIF('Itemization 202308'!L31:L34,J98),COUNTIF('Itemization 202306'!L31:L34,J98))</f>
        <v>0</v>
      </c>
      <c r="L98" s="55">
        <f>(K98/K116)</f>
        <v>0</v>
      </c>
      <c r="M98" s="51"/>
      <c r="N98" s="51"/>
      <c r="O98" s="78"/>
      <c r="P98" s="51"/>
      <c r="Q98" s="51"/>
      <c r="R98" s="72"/>
    </row>
    <row r="99" ht="15.75" customHeight="1">
      <c r="A99" s="85"/>
      <c r="B99" s="85"/>
      <c r="C99" s="85"/>
      <c r="D99" s="51"/>
      <c r="E99" s="51"/>
      <c r="F99" s="78"/>
      <c r="G99" s="51"/>
      <c r="H99" s="51"/>
      <c r="I99" s="78"/>
      <c r="J99" s="53" t="s">
        <v>195</v>
      </c>
      <c r="K99" s="54">
        <f>SUM(COUNTIF('Itemization 202506'!L31:L34,J99),COUNTIF('Itemization 202501'!L31:L34,J99),COUNTIF('Itemization 202408'!L31:L34,J99),COUNTIF('Itemization 202406'!L31:L34,J99),COUNTIF('Itemization 202401'!L31:L34,J99),COUNTIF('Itemization 202308'!L31:L34,J99),COUNTIF('Itemization 202306'!L31:L34,J99))</f>
        <v>0</v>
      </c>
      <c r="L99" s="55">
        <f>(K99/K116)</f>
        <v>0</v>
      </c>
      <c r="M99" s="51"/>
      <c r="N99" s="51"/>
      <c r="O99" s="78"/>
      <c r="P99" s="51"/>
      <c r="Q99" s="51"/>
      <c r="R99" s="72"/>
    </row>
    <row r="100" ht="15.75" customHeight="1">
      <c r="A100" s="85"/>
      <c r="B100" s="85"/>
      <c r="C100" s="85"/>
      <c r="D100" s="51"/>
      <c r="E100" s="51"/>
      <c r="F100" s="78"/>
      <c r="G100" s="51"/>
      <c r="H100" s="51"/>
      <c r="I100" s="78"/>
      <c r="J100" s="53" t="s">
        <v>196</v>
      </c>
      <c r="K100" s="54">
        <f>SUM(COUNTIF('Itemization 202506'!L31:L34,J100),COUNTIF('Itemization 202501'!L31:L34,J100),COUNTIF('Itemization 202408'!L31:L34,J100),COUNTIF('Itemization 202406'!L31:L34,J100),COUNTIF('Itemization 202401'!L31:L34,J100),COUNTIF('Itemization 202308'!L31:L34,J100),COUNTIF('Itemization 202306'!L31:L34,J100))</f>
        <v>0</v>
      </c>
      <c r="L100" s="55">
        <f>(K100/K116)</f>
        <v>0</v>
      </c>
      <c r="M100" s="51"/>
      <c r="N100" s="51"/>
      <c r="O100" s="78"/>
      <c r="P100" s="51"/>
      <c r="Q100" s="51"/>
      <c r="R100" s="72"/>
    </row>
    <row r="101" ht="15.75" customHeight="1">
      <c r="A101" s="85"/>
      <c r="B101" s="85"/>
      <c r="C101" s="85"/>
      <c r="D101" s="51"/>
      <c r="E101" s="51"/>
      <c r="F101" s="78"/>
      <c r="G101" s="51"/>
      <c r="H101" s="51"/>
      <c r="I101" s="78"/>
      <c r="J101" s="89" t="s">
        <v>197</v>
      </c>
      <c r="K101" s="61">
        <f>SUM(COUNTIF('Itemization 202506'!L31:L34,J101),COUNTIF('Itemization 202501'!L31:L34,J101),COUNTIF('Itemization 202408'!L31:L34,J101),COUNTIF('Itemization 202406'!L31:L34,J101),COUNTIF('Itemization 202401'!L31:L34,J101),COUNTIF('Itemization 202308'!L31:L34,J101),COUNTIF('Itemization 202306'!L31:L34,J101))</f>
        <v>3</v>
      </c>
      <c r="L101" s="62">
        <f>(K101/K116)</f>
        <v>0.1111111111</v>
      </c>
      <c r="M101" s="51"/>
      <c r="N101" s="51"/>
      <c r="O101" s="78"/>
      <c r="P101" s="51"/>
      <c r="Q101" s="51"/>
      <c r="R101" s="72"/>
    </row>
    <row r="102" ht="15.75" customHeight="1">
      <c r="A102" s="85"/>
      <c r="B102" s="85"/>
      <c r="C102" s="85"/>
      <c r="D102" s="51"/>
      <c r="E102" s="51"/>
      <c r="F102" s="78"/>
      <c r="G102" s="51"/>
      <c r="H102" s="51"/>
      <c r="I102" s="78"/>
      <c r="J102" s="53" t="s">
        <v>198</v>
      </c>
      <c r="K102" s="54">
        <f>SUM(COUNTIF('Itemization 202506'!L31:L34,J102),COUNTIF('Itemization 202501'!L31:L34,J102),COUNTIF('Itemization 202408'!L31:L34,J102),COUNTIF('Itemization 202406'!L31:L34,J102),COUNTIF('Itemization 202401'!L31:L34,J102),COUNTIF('Itemization 202308'!L31:L34,J102),COUNTIF('Itemization 202306'!L31:L34,J102))</f>
        <v>0</v>
      </c>
      <c r="L102" s="55">
        <f>(K102/K116)</f>
        <v>0</v>
      </c>
      <c r="M102" s="51"/>
      <c r="N102" s="51"/>
      <c r="O102" s="78"/>
      <c r="P102" s="51"/>
      <c r="Q102" s="51"/>
      <c r="R102" s="72"/>
    </row>
    <row r="103" ht="15.75" customHeight="1">
      <c r="A103" s="85"/>
      <c r="B103" s="85"/>
      <c r="C103" s="85"/>
      <c r="D103" s="51"/>
      <c r="E103" s="51"/>
      <c r="F103" s="78"/>
      <c r="G103" s="51"/>
      <c r="H103" s="51"/>
      <c r="I103" s="78"/>
      <c r="J103" s="53" t="s">
        <v>199</v>
      </c>
      <c r="K103" s="54">
        <f>SUM(COUNTIF('Itemization 202506'!L31:L34,J103),COUNTIF('Itemization 202501'!L31:L34,J103),COUNTIF('Itemization 202408'!L31:L34,J103),COUNTIF('Itemization 202406'!L31:L34,J103),COUNTIF('Itemization 202401'!L31:L34,J103),COUNTIF('Itemization 202308'!L31:L34,J103),COUNTIF('Itemization 202306'!L31:L34,J103))</f>
        <v>0</v>
      </c>
      <c r="L103" s="55">
        <f>(K103/K116)</f>
        <v>0</v>
      </c>
      <c r="M103" s="51"/>
      <c r="N103" s="51"/>
      <c r="O103" s="78"/>
      <c r="P103" s="51"/>
      <c r="Q103" s="51"/>
      <c r="R103" s="72"/>
    </row>
    <row r="104" ht="15.75" customHeight="1">
      <c r="A104" s="85"/>
      <c r="B104" s="85"/>
      <c r="C104" s="85"/>
      <c r="D104" s="51"/>
      <c r="E104" s="51"/>
      <c r="F104" s="78"/>
      <c r="G104" s="51"/>
      <c r="H104" s="51"/>
      <c r="I104" s="78"/>
      <c r="J104" s="53" t="s">
        <v>200</v>
      </c>
      <c r="K104" s="54">
        <f>SUM(COUNTIF('Itemization 202506'!L31:L34,J104),COUNTIF('Itemization 202501'!L31:L34,J104),COUNTIF('Itemization 202408'!L31:L34,J104),COUNTIF('Itemization 202406'!L31:L34,J104),COUNTIF('Itemization 202401'!L31:L34,J104),COUNTIF('Itemization 202308'!L31:L34,J104),COUNTIF('Itemization 202306'!L31:L34,J104))</f>
        <v>0</v>
      </c>
      <c r="L104" s="55">
        <f>(K104/K116)</f>
        <v>0</v>
      </c>
      <c r="M104" s="51"/>
      <c r="N104" s="51"/>
      <c r="O104" s="78"/>
      <c r="P104" s="51"/>
      <c r="Q104" s="51"/>
      <c r="R104" s="72"/>
    </row>
    <row r="105" ht="15.75" customHeight="1">
      <c r="A105" s="85"/>
      <c r="B105" s="85"/>
      <c r="C105" s="85"/>
      <c r="D105" s="51"/>
      <c r="E105" s="51"/>
      <c r="F105" s="78"/>
      <c r="G105" s="51"/>
      <c r="H105" s="51"/>
      <c r="I105" s="78"/>
      <c r="J105" s="53" t="s">
        <v>201</v>
      </c>
      <c r="K105" s="54">
        <f>SUM(COUNTIF('Itemization 202506'!L31:L34,J105),COUNTIF('Itemization 202501'!L31:L34,J105),COUNTIF('Itemization 202408'!L31:L34,J105),COUNTIF('Itemization 202406'!L31:L34,J105),COUNTIF('Itemization 202401'!L31:L34,J105),COUNTIF('Itemization 202308'!L31:L34,J105),COUNTIF('Itemization 202306'!L31:L34,J105))</f>
        <v>0</v>
      </c>
      <c r="L105" s="55">
        <f>(K105/K116)</f>
        <v>0</v>
      </c>
      <c r="M105" s="51"/>
      <c r="N105" s="51"/>
      <c r="O105" s="78"/>
      <c r="P105" s="51"/>
      <c r="Q105" s="51"/>
      <c r="R105" s="72"/>
    </row>
    <row r="106" ht="15.75" customHeight="1">
      <c r="A106" s="85"/>
      <c r="B106" s="85"/>
      <c r="C106" s="85"/>
      <c r="D106" s="51"/>
      <c r="E106" s="51"/>
      <c r="F106" s="78"/>
      <c r="G106" s="51"/>
      <c r="H106" s="51"/>
      <c r="I106" s="78"/>
      <c r="J106" s="53" t="s">
        <v>202</v>
      </c>
      <c r="K106" s="54">
        <f>SUM(COUNTIF('Itemization 202506'!L31:L34,J106),COUNTIF('Itemization 202501'!L31:L34,J106),COUNTIF('Itemization 202408'!L31:L34,J106),COUNTIF('Itemization 202406'!L31:L34,J106),COUNTIF('Itemization 202401'!L31:L34,J106),COUNTIF('Itemization 202308'!L31:L34,J106),COUNTIF('Itemization 202306'!L31:L34,J106))</f>
        <v>0</v>
      </c>
      <c r="L106" s="55">
        <f>(K106/K116)</f>
        <v>0</v>
      </c>
      <c r="M106" s="51"/>
      <c r="N106" s="51"/>
      <c r="O106" s="78"/>
      <c r="P106" s="51"/>
      <c r="Q106" s="51"/>
      <c r="R106" s="72"/>
    </row>
    <row r="107" ht="15.75" customHeight="1">
      <c r="A107" s="85"/>
      <c r="B107" s="85"/>
      <c r="C107" s="85"/>
      <c r="D107" s="51"/>
      <c r="E107" s="51"/>
      <c r="F107" s="78"/>
      <c r="G107" s="51"/>
      <c r="H107" s="51"/>
      <c r="I107" s="78"/>
      <c r="J107" s="53" t="s">
        <v>203</v>
      </c>
      <c r="K107" s="54">
        <f>SUM(COUNTIF('Itemization 202506'!L31:L34,J107),COUNTIF('Itemization 202501'!L31:L34,J107),COUNTIF('Itemization 202408'!L31:L34,J107),COUNTIF('Itemization 202406'!L31:L34,J107),COUNTIF('Itemization 202401'!L31:L34,J107),COUNTIF('Itemization 202308'!L31:L34,J107),COUNTIF('Itemization 202306'!L31:L34,J107))</f>
        <v>0</v>
      </c>
      <c r="L107" s="55">
        <f>(K107/K116)</f>
        <v>0</v>
      </c>
      <c r="M107" s="51"/>
      <c r="N107" s="51"/>
      <c r="O107" s="78"/>
      <c r="P107" s="51"/>
      <c r="Q107" s="51"/>
      <c r="R107" s="72"/>
    </row>
    <row r="108" ht="15.75" customHeight="1">
      <c r="A108" s="85"/>
      <c r="B108" s="85"/>
      <c r="C108" s="85"/>
      <c r="D108" s="51"/>
      <c r="E108" s="51"/>
      <c r="F108" s="78"/>
      <c r="G108" s="51"/>
      <c r="H108" s="51"/>
      <c r="I108" s="78"/>
      <c r="J108" s="53" t="s">
        <v>204</v>
      </c>
      <c r="K108" s="54">
        <f>SUM(COUNTIF('Itemization 202506'!L31:L34,J108),COUNTIF('Itemization 202501'!L31:L34,J108),COUNTIF('Itemization 202408'!L31:L34,J108),COUNTIF('Itemization 202406'!L31:L34,J108),COUNTIF('Itemization 202401'!L31:L34,J108),COUNTIF('Itemization 202308'!L31:L34,J108),COUNTIF('Itemization 202306'!L31:L34,J108))</f>
        <v>0</v>
      </c>
      <c r="L108" s="55">
        <f>(K108/K116)</f>
        <v>0</v>
      </c>
      <c r="M108" s="51"/>
      <c r="N108" s="51"/>
      <c r="O108" s="78"/>
      <c r="P108" s="51"/>
      <c r="Q108" s="51"/>
      <c r="R108" s="72"/>
    </row>
    <row r="109" ht="15.75" customHeight="1">
      <c r="A109" s="85"/>
      <c r="B109" s="85"/>
      <c r="C109" s="85"/>
      <c r="D109" s="51"/>
      <c r="E109" s="51"/>
      <c r="F109" s="78"/>
      <c r="G109" s="51"/>
      <c r="H109" s="51"/>
      <c r="I109" s="78"/>
      <c r="J109" s="53" t="s">
        <v>205</v>
      </c>
      <c r="K109" s="54">
        <f>SUM(COUNTIF('Itemization 202506'!L31:L34,J109),COUNTIF('Itemization 202501'!L31:L34,J109),COUNTIF('Itemization 202408'!L31:L34,J109),COUNTIF('Itemization 202406'!L31:L34,J109),COUNTIF('Itemization 202401'!L31:L34,J109),COUNTIF('Itemization 202308'!L31:L34,J109),COUNTIF('Itemization 202306'!L31:L34,J109))</f>
        <v>0</v>
      </c>
      <c r="L109" s="55">
        <f>(K109/K116)</f>
        <v>0</v>
      </c>
      <c r="M109" s="51"/>
      <c r="N109" s="51"/>
      <c r="O109" s="78"/>
      <c r="P109" s="51"/>
      <c r="Q109" s="51"/>
      <c r="R109" s="72"/>
    </row>
    <row r="110" ht="15.75" customHeight="1">
      <c r="A110" s="85"/>
      <c r="B110" s="85"/>
      <c r="C110" s="85"/>
      <c r="D110" s="51"/>
      <c r="E110" s="51"/>
      <c r="F110" s="78"/>
      <c r="G110" s="51"/>
      <c r="H110" s="51"/>
      <c r="I110" s="78"/>
      <c r="J110" s="53" t="s">
        <v>206</v>
      </c>
      <c r="K110" s="54">
        <f>SUM(COUNTIF('Itemization 202506'!L31:L34,J110),COUNTIF('Itemization 202501'!L31:L34,J110),COUNTIF('Itemization 202408'!L31:L34,J110),COUNTIF('Itemization 202406'!L31:L34,J110),COUNTIF('Itemization 202401'!L31:L34,J110),COUNTIF('Itemization 202308'!L31:L34,J110),COUNTIF('Itemization 202306'!L31:L34,J110))</f>
        <v>0</v>
      </c>
      <c r="L110" s="55">
        <f>(K110/K116)</f>
        <v>0</v>
      </c>
      <c r="M110" s="51"/>
      <c r="N110" s="51"/>
      <c r="O110" s="78"/>
      <c r="P110" s="51"/>
      <c r="Q110" s="51"/>
      <c r="R110" s="72"/>
    </row>
    <row r="111" ht="15.75" customHeight="1">
      <c r="A111" s="85"/>
      <c r="B111" s="85"/>
      <c r="C111" s="85"/>
      <c r="D111" s="51"/>
      <c r="E111" s="51"/>
      <c r="F111" s="78"/>
      <c r="G111" s="51"/>
      <c r="H111" s="51"/>
      <c r="I111" s="78"/>
      <c r="J111" s="53" t="s">
        <v>207</v>
      </c>
      <c r="K111" s="54">
        <f>SUM(COUNTIF('Itemization 202506'!L31:L34,J111),COUNTIF('Itemization 202501'!L31:L34,J111),COUNTIF('Itemization 202408'!L31:L34,J111),COUNTIF('Itemization 202406'!L31:L34,J111),COUNTIF('Itemization 202401'!L31:L34,J111),COUNTIF('Itemization 202308'!L31:L34,J111),COUNTIF('Itemization 202306'!L31:L34,J111))</f>
        <v>0</v>
      </c>
      <c r="L111" s="55">
        <f>(K111/K116)</f>
        <v>0</v>
      </c>
      <c r="M111" s="51"/>
      <c r="N111" s="51"/>
      <c r="O111" s="78"/>
      <c r="P111" s="51"/>
      <c r="Q111" s="51"/>
      <c r="R111" s="72"/>
    </row>
    <row r="112" ht="15.75" customHeight="1">
      <c r="A112" s="85"/>
      <c r="B112" s="85"/>
      <c r="C112" s="85"/>
      <c r="D112" s="51"/>
      <c r="E112" s="51"/>
      <c r="F112" s="78"/>
      <c r="G112" s="51"/>
      <c r="H112" s="51"/>
      <c r="I112" s="78"/>
      <c r="J112" s="53" t="s">
        <v>208</v>
      </c>
      <c r="K112" s="54">
        <f>SUM(COUNTIF('Itemization 202506'!L31:L34,J112),COUNTIF('Itemization 202501'!L31:L34,J112),COUNTIF('Itemization 202408'!L31:L34,J112),COUNTIF('Itemization 202406'!L31:L34,J112),COUNTIF('Itemization 202401'!L31:L34,J112),COUNTIF('Itemization 202308'!L31:L34,J112),COUNTIF('Itemization 202306'!L31:L34,J112))</f>
        <v>0</v>
      </c>
      <c r="L112" s="55">
        <f>(K112/K116)</f>
        <v>0</v>
      </c>
      <c r="M112" s="51"/>
      <c r="N112" s="51"/>
      <c r="O112" s="78"/>
      <c r="P112" s="51"/>
      <c r="Q112" s="51"/>
      <c r="R112" s="72"/>
    </row>
    <row r="113" ht="15.75" customHeight="1">
      <c r="A113" s="85"/>
      <c r="B113" s="85"/>
      <c r="C113" s="85"/>
      <c r="D113" s="51"/>
      <c r="E113" s="51"/>
      <c r="F113" s="78"/>
      <c r="G113" s="51"/>
      <c r="H113" s="51"/>
      <c r="I113" s="78"/>
      <c r="J113" s="53" t="s">
        <v>209</v>
      </c>
      <c r="K113" s="54">
        <f>SUM(COUNTIF('Itemization 202506'!L31:L34,J113),COUNTIF('Itemization 202501'!L31:L34,J113),COUNTIF('Itemization 202408'!L31:L34,J113),COUNTIF('Itemization 202406'!L31:L34,J113),COUNTIF('Itemization 202401'!L31:L34,J113),COUNTIF('Itemization 202308'!L31:L34,J113),COUNTIF('Itemization 202306'!L31:L34,J113))</f>
        <v>0</v>
      </c>
      <c r="L113" s="55">
        <f>(K113/K116)</f>
        <v>0</v>
      </c>
      <c r="M113" s="51"/>
      <c r="N113" s="51"/>
      <c r="O113" s="78"/>
      <c r="P113" s="51"/>
      <c r="Q113" s="51"/>
      <c r="R113" s="72"/>
    </row>
    <row r="114" ht="15.75" customHeight="1">
      <c r="A114" s="85"/>
      <c r="B114" s="85"/>
      <c r="C114" s="85"/>
      <c r="D114" s="51"/>
      <c r="E114" s="51"/>
      <c r="F114" s="78"/>
      <c r="G114" s="51"/>
      <c r="H114" s="51"/>
      <c r="I114" s="78"/>
      <c r="J114" s="53" t="s">
        <v>210</v>
      </c>
      <c r="K114" s="54">
        <f>SUM(COUNTIF('Itemization 202506'!L31:L34,J114),COUNTIF('Itemization 202501'!L31:L34,J114),COUNTIF('Itemization 202408'!L31:L34,J114),COUNTIF('Itemization 202406'!L31:L34,J114),COUNTIF('Itemization 202401'!L31:L34,J114),COUNTIF('Itemization 202308'!L31:L34,J114),COUNTIF('Itemization 202306'!L31:L34,J114))</f>
        <v>0</v>
      </c>
      <c r="L114" s="55">
        <f>(K114/K116)</f>
        <v>0</v>
      </c>
      <c r="M114" s="51"/>
      <c r="N114" s="51"/>
      <c r="O114" s="78"/>
      <c r="P114" s="51"/>
      <c r="Q114" s="51"/>
      <c r="R114" s="72"/>
    </row>
    <row r="115" ht="15.75" customHeight="1">
      <c r="A115" s="85"/>
      <c r="B115" s="85"/>
      <c r="C115" s="85"/>
      <c r="D115" s="51"/>
      <c r="E115" s="51"/>
      <c r="F115" s="78"/>
      <c r="G115" s="51"/>
      <c r="H115" s="51"/>
      <c r="I115" s="78"/>
      <c r="J115" s="90" t="s">
        <v>211</v>
      </c>
      <c r="K115" s="54">
        <f>SUM(COUNTIF('Itemization 202506'!L31:L34,J115),COUNTIF('Itemization 202501'!L31:L34,J115),COUNTIF('Itemization 202408'!L31:L34,J115),COUNTIF('Itemization 202406'!L31:L34,J115),COUNTIF('Itemization 202401'!L31:L34,J115),COUNTIF('Itemization 202308'!L31:L34,J115),COUNTIF('Itemization 202306'!L31:L34,J115))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27</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149" t="s">
        <v>218</v>
      </c>
      <c r="B1" s="32"/>
      <c r="C1" s="32"/>
      <c r="D1" s="32"/>
      <c r="E1" s="32"/>
      <c r="F1" s="32"/>
      <c r="G1" s="32"/>
      <c r="H1" s="32"/>
      <c r="I1" s="32"/>
      <c r="J1" s="32"/>
      <c r="K1" s="32"/>
      <c r="L1" s="32"/>
      <c r="M1" s="32"/>
      <c r="N1" s="32"/>
      <c r="O1" s="32"/>
      <c r="P1" s="32"/>
      <c r="Q1" s="32"/>
      <c r="R1" s="33"/>
    </row>
    <row r="2">
      <c r="A2" s="150" t="s">
        <v>76</v>
      </c>
      <c r="I2" s="35"/>
      <c r="J2" s="151" t="s">
        <v>0</v>
      </c>
    </row>
    <row r="3" ht="15.75" customHeight="1">
      <c r="A3" s="152" t="s">
        <v>64</v>
      </c>
      <c r="B3" s="38"/>
      <c r="C3" s="39"/>
      <c r="D3" s="152" t="s">
        <v>77</v>
      </c>
      <c r="E3" s="38"/>
      <c r="F3" s="39"/>
      <c r="G3" s="153" t="s">
        <v>78</v>
      </c>
      <c r="H3" s="38"/>
      <c r="I3" s="39"/>
      <c r="J3" s="153" t="s">
        <v>79</v>
      </c>
      <c r="K3" s="38"/>
      <c r="L3" s="39"/>
      <c r="M3" s="153" t="s">
        <v>71</v>
      </c>
      <c r="N3" s="38"/>
      <c r="O3" s="39"/>
      <c r="P3" s="152" t="s">
        <v>72</v>
      </c>
      <c r="Q3" s="38"/>
      <c r="R3" s="39"/>
    </row>
    <row r="4" ht="15.75" customHeight="1">
      <c r="A4" s="154"/>
      <c r="B4" s="155" t="s">
        <v>80</v>
      </c>
      <c r="C4" s="156" t="s">
        <v>81</v>
      </c>
      <c r="D4" s="154"/>
      <c r="E4" s="155" t="s">
        <v>80</v>
      </c>
      <c r="F4" s="156" t="s">
        <v>81</v>
      </c>
      <c r="G4" s="154"/>
      <c r="H4" s="155" t="s">
        <v>80</v>
      </c>
      <c r="I4" s="156" t="s">
        <v>81</v>
      </c>
      <c r="J4" s="157"/>
      <c r="K4" s="155" t="s">
        <v>80</v>
      </c>
      <c r="L4" s="155" t="s">
        <v>81</v>
      </c>
      <c r="M4" s="154"/>
      <c r="N4" s="158" t="s">
        <v>80</v>
      </c>
      <c r="O4" s="156" t="s">
        <v>81</v>
      </c>
      <c r="P4" s="154"/>
      <c r="Q4" s="155" t="s">
        <v>80</v>
      </c>
      <c r="R4" s="159" t="s">
        <v>81</v>
      </c>
    </row>
    <row r="5" ht="15.75" customHeight="1">
      <c r="A5" s="160" t="s">
        <v>82</v>
      </c>
      <c r="B5" s="161">
        <f>SUM(COUNTIF('Itemization 202506'!I35:I43,A5),COUNTIF('Itemization 202501'!I35:I43,A5),COUNTIF('Itemization 202408'!I35:I43,A5),COUNTIF('Itemization 202406'!I35:I43,A5),COUNTIF('Itemization 202401'!I35:I43,A5),COUNTIF('Itemization 202306'!I35:I43,A5),COUNTIF('Itemization 202308'!I35:I43,A5))</f>
        <v>19</v>
      </c>
      <c r="C5" s="162">
        <f>(B5/B8)</f>
        <v>0.4418604651</v>
      </c>
      <c r="D5" s="163" t="s">
        <v>83</v>
      </c>
      <c r="E5" s="164">
        <f>SUM(COUNTIF('Itemization 202506'!J35:J43,D5),COUNTIF('Itemization 202501'!J35:J43,D5),COUNTIF('Itemization 202408'!J35:J43,D5),COUNTIF('Itemization 202406'!J35:J43,D5),COUNTIF('Itemization 202401'!J35:J43,D5),COUNTIF('Itemization 202308'!J35:J43,D5),COUNTIF('Itemization 202306'!J35:J43,D5))</f>
        <v>31</v>
      </c>
      <c r="F5" s="165">
        <f>(E5/E10)</f>
        <v>0.7209302326</v>
      </c>
      <c r="G5" s="166">
        <v>11.01</v>
      </c>
      <c r="H5" s="167">
        <f>SUM(COUNTIF('Itemization 202506'!K:K,G5),COUNTIF('Itemization 202501'!K:K,G5),COUNTIF('Itemization 202408'!K:K,G5),COUNTIF('Itemization 202406'!K:K,G5),COUNTIF('Itemization 202401'!K:K,G5),COUNTIF('Itemization 202308'!K:K,G5),COUNTIF('Itemization 202306'!K:K,G5))</f>
        <v>11</v>
      </c>
      <c r="I5" s="168">
        <f>(H5/H16)</f>
        <v>0.04150943396</v>
      </c>
      <c r="J5" s="169" t="s">
        <v>84</v>
      </c>
      <c r="K5" s="170">
        <f>SUM(COUNTIF('Itemization 202506'!L35:L43,J5),COUNTIF('Itemization 202501'!L35:L43,J5),COUNTIF('Itemization 202408'!L35:L43,J5),COUNTIF('Itemization 202406'!L35:L43,J5),COUNTIF('Itemization 202401'!L35:L43,J5),COUNTIF('Itemization 202308'!L35:L43,J5),COUNTIF('Itemization 202306'!L35:L43,J5))</f>
        <v>0</v>
      </c>
      <c r="L5" s="171">
        <f>(K5/K116)</f>
        <v>0</v>
      </c>
      <c r="M5" s="172">
        <v>1.0</v>
      </c>
      <c r="N5" s="170">
        <f>SUM(countif('Itemization 202506'!M35:M43,M5),countif('Itemization 202501'!M35:M43,M5),countif('Itemization 202408'!M35:M43,M5),countif('Itemization 202406'!M35:M43,M5),countif('Itemization 202401'!M35:M43,M5),countif('Itemization 202308'!M35:M43,M5),countif('Itemization 202306'!M35:M43,M5))</f>
        <v>0</v>
      </c>
      <c r="O5" s="171">
        <f>(N5/N23)</f>
        <v>0</v>
      </c>
      <c r="P5" s="173" t="s">
        <v>85</v>
      </c>
      <c r="Q5" s="174">
        <f>SUM(countif('Itemization 202506'!N35:N43,P5),countif('Itemization 202501'!N35:N43,P5),countif('Itemization 202408'!N35:N43,P5),countif('Itemization 202406'!N35:N43,P5),countif('Itemization 202401'!N35:N43,P5),countif('Itemization 202308'!N35:N43,P5),countif('Itemization 202306'!N35:N43,P5))</f>
        <v>9</v>
      </c>
      <c r="R5" s="175">
        <f>(Q5/Q7)</f>
        <v>0.1914893617</v>
      </c>
    </row>
    <row r="6" ht="15.75" customHeight="1">
      <c r="A6" s="160" t="s">
        <v>86</v>
      </c>
      <c r="B6" s="161">
        <f>SUM(COUNTIF('Itemization 202506'!I35:I43,A6),COUNTIF('Itemization 202501'!I35:I43,A6),COUNTIF('Itemization 202408'!I35:I43,A6),COUNTIF('Itemization 202406'!I35:I43,A6),COUNTIF('Itemization 202401'!I35:I43,A6),COUNTIF('Itemization 202306'!I35:I43,A6),COUNTIF('Itemization 202308'!I35:I43,A6))</f>
        <v>19</v>
      </c>
      <c r="C6" s="162">
        <f>(B6/B8)</f>
        <v>0.4418604651</v>
      </c>
      <c r="D6" s="166" t="s">
        <v>87</v>
      </c>
      <c r="E6" s="167">
        <f>SUM(COUNTIF('Itemization 202506'!J35:J43,D6),COUNTIF('Itemization 202501'!J35:J43,D6),COUNTIF('Itemization 202408'!J35:J43,D6),COUNTIF('Itemization 202406'!J35:J43,D6),COUNTIF('Itemization 202401'!J35:J43,D6),COUNTIF('Itemization 202308'!J35:J43,D6),COUNTIF('Itemization 202306'!J35:J43,D6))</f>
        <v>1</v>
      </c>
      <c r="F6" s="168">
        <f>(E6/E10)</f>
        <v>0.02325581395</v>
      </c>
      <c r="G6" s="163">
        <v>11.02</v>
      </c>
      <c r="H6" s="164">
        <f>SUM(COUNTIF('Itemization 202506'!K:K,G6),COUNTIF('Itemization 202501'!K:K,G6),COUNTIF('Itemization 202408'!K:K,G6),COUNTIF('Itemization 202406'!K:K,G6),COUNTIF('Itemization 202401'!K:K,G6),COUNTIF('Itemization 202308'!K:K,G6),COUNTIF('Itemization 202306'!K:K,G6))</f>
        <v>38</v>
      </c>
      <c r="I6" s="165">
        <f>(H6/H16)</f>
        <v>0.1433962264</v>
      </c>
      <c r="J6" s="169" t="s">
        <v>88</v>
      </c>
      <c r="K6" s="170">
        <f>SUM(COUNTIF('Itemization 202506'!L35:L43,J6),COUNTIF('Itemization 202501'!L35:L43,J6),COUNTIF('Itemization 202408'!L35:L43,J6),COUNTIF('Itemization 202406'!L35:L43,J6),COUNTIF('Itemization 202401'!L35:L43,J6),COUNTIF('Itemization 202308'!L35:L43,J6),COUNTIF('Itemization 202306'!L35:L43,J6))</f>
        <v>0</v>
      </c>
      <c r="L6" s="171">
        <f>(K6/K116)</f>
        <v>0</v>
      </c>
      <c r="M6" s="166">
        <v>2.0</v>
      </c>
      <c r="N6" s="167">
        <f>SUM(countif('Itemization 202506'!M35:M43,M6),countif('Itemization 202501'!M35:M43,M6),countif('Itemization 202408'!M35:M43,M6),countif('Itemization 202406'!M35:M43,M6),countif('Itemization 202401'!M35:M43,M6),countif('Itemization 202308'!M35:M43,M6),countif('Itemization 202306'!M35:M43,M6))</f>
        <v>2</v>
      </c>
      <c r="O6" s="168">
        <f>(N6/N23)</f>
        <v>0.04761904762</v>
      </c>
      <c r="P6" s="176" t="s">
        <v>89</v>
      </c>
      <c r="Q6" s="164">
        <f>SUM(countif('Itemization 202506'!N35:N43,P6),countif('Itemization 202501'!N35:N43,P6),countif('Itemization 202408'!N35:N43,P6),countif('Itemization 202406'!N35:N43,P6),countif('Itemization 202401'!N35:N43,P6),countif('Itemization 202308'!N35:N43,P6),countif('Itemization 202306'!N35:N43,P6))</f>
        <v>38</v>
      </c>
      <c r="R6" s="177">
        <f>(Q6/Q7)</f>
        <v>0.8085106383</v>
      </c>
    </row>
    <row r="7" ht="15.75" customHeight="1">
      <c r="A7" s="178" t="s">
        <v>90</v>
      </c>
      <c r="B7" s="174">
        <f>SUM(COUNTIF('Itemization 202506'!I35:I43,A7),COUNTIF('Itemization 202501'!I35:I43,A7),COUNTIF('Itemization 202408'!I35:I43,A7),COUNTIF('Itemization 202406'!I35:I43,A7),COUNTIF('Itemization 202401'!I35:I43,A7),COUNTIF('Itemization 202306'!I35:I43,A7),COUNTIF('Itemization 202308'!I35:I43,A7))</f>
        <v>5</v>
      </c>
      <c r="C7" s="179">
        <f>(B7/B8)</f>
        <v>0.1162790698</v>
      </c>
      <c r="D7" s="166" t="s">
        <v>91</v>
      </c>
      <c r="E7" s="167">
        <f>SUM(COUNTIF('Itemization 202506'!J35:J43,D7),COUNTIF('Itemization 202501'!J35:J43,D7),COUNTIF('Itemization 202408'!J35:J43,D7),COUNTIF('Itemization 202406'!J35:J43,D7),COUNTIF('Itemization 202401'!J35:J43,D7),COUNTIF('Itemization 202308'!J35:J43,D7),COUNTIF('Itemization 202306'!J35:J43,D7))</f>
        <v>1</v>
      </c>
      <c r="F7" s="168">
        <f>(E7/E10)</f>
        <v>0.02325581395</v>
      </c>
      <c r="G7" s="173">
        <v>11.03</v>
      </c>
      <c r="H7" s="174">
        <f>SUM(COUNTIF('Itemization 202506'!K:K,G7),COUNTIF('Itemization 202501'!K:K,G7),COUNTIF('Itemization 202408'!K:K,G7),COUNTIF('Itemization 202406'!K:K,G7),COUNTIF('Itemization 202401'!K:K,G7),COUNTIF('Itemization 202308'!K:K,G7),COUNTIF('Itemization 202306'!K:K,G7))</f>
        <v>36</v>
      </c>
      <c r="I7" s="180">
        <f>(H7/H16)</f>
        <v>0.1358490566</v>
      </c>
      <c r="J7" s="169" t="s">
        <v>92</v>
      </c>
      <c r="K7" s="170">
        <f>SUM(COUNTIF('Itemization 202506'!L35:L43,J7),COUNTIF('Itemization 202501'!L35:L43,J7),COUNTIF('Itemization 202408'!L35:L43,J7),COUNTIF('Itemization 202406'!L35:L43,J7),COUNTIF('Itemization 202401'!L35:L43,J7),COUNTIF('Itemization 202308'!L35:L43,J7),COUNTIF('Itemization 202306'!L35:L43,J7))</f>
        <v>0</v>
      </c>
      <c r="L7" s="171">
        <f>(K7/K116)</f>
        <v>0</v>
      </c>
      <c r="M7" s="172">
        <v>3.0</v>
      </c>
      <c r="N7" s="170">
        <f>SUM(countif('Itemization 202506'!M35:M43,M7),countif('Itemization 202501'!M35:M43,M7),countif('Itemization 202408'!M35:M43,M7),countif('Itemization 202406'!M35:M43,M7),countif('Itemization 202401'!M35:M43,M7),countif('Itemization 202308'!M35:M43,M7),countif('Itemization 202306'!M35:M43,M7))</f>
        <v>0</v>
      </c>
      <c r="O7" s="171">
        <f>(N7/N23)</f>
        <v>0</v>
      </c>
      <c r="P7" s="181" t="s">
        <v>93</v>
      </c>
      <c r="Q7" s="182">
        <f t="shared" ref="Q7:R7" si="1">SUM(Q5:Q6)</f>
        <v>47</v>
      </c>
      <c r="R7" s="183">
        <f t="shared" si="1"/>
        <v>1</v>
      </c>
    </row>
    <row r="8" ht="15.75" customHeight="1">
      <c r="A8" s="181" t="s">
        <v>93</v>
      </c>
      <c r="B8" s="182">
        <f t="shared" ref="B8:C8" si="2">SUM(B5:B7)</f>
        <v>43</v>
      </c>
      <c r="C8" s="184">
        <f t="shared" si="2"/>
        <v>1</v>
      </c>
      <c r="D8" s="185" t="s">
        <v>94</v>
      </c>
      <c r="E8" s="186">
        <f>SUM(COUNTIF('Itemization 202506'!J35:J43,D8),COUNTIF('Itemization 202501'!J35:J43,D8),COUNTIF('Itemization 202408'!J35:J43,D8),COUNTIF('Itemization 202406'!J35:J43,D8),COUNTIF('Itemization 202401'!J35:J43,D8),COUNTIF('Itemization 202308'!J35:J43,D8),COUNTIF('Itemization 202306'!J35:J43,D8))</f>
        <v>2</v>
      </c>
      <c r="F8" s="187">
        <f>(E8/E10)</f>
        <v>0.04651162791</v>
      </c>
      <c r="G8" s="166">
        <v>11.04</v>
      </c>
      <c r="H8" s="167">
        <f>SUM(COUNTIF('Itemization 202506'!K:K,G8),COUNTIF('Itemization 202501'!K:K,G8),COUNTIF('Itemization 202408'!K:K,G8),COUNTIF('Itemization 202406'!K:K,G8),COUNTIF('Itemization 202401'!K:K,G8),COUNTIF('Itemization 202308'!K:K,G8),COUNTIF('Itemization 202306'!K:K,G8))</f>
        <v>18</v>
      </c>
      <c r="I8" s="168">
        <f>(H8/H16)</f>
        <v>0.0679245283</v>
      </c>
      <c r="J8" s="169" t="s">
        <v>95</v>
      </c>
      <c r="K8" s="170">
        <f>SUM(COUNTIF('Itemization 202506'!L35:L43,J8),COUNTIF('Itemization 202501'!L35:L43,J8),COUNTIF('Itemization 202408'!L35:L43,J8),COUNTIF('Itemization 202406'!L35:L43,J8),COUNTIF('Itemization 202401'!L35:L43,J8),COUNTIF('Itemization 202308'!L35:L43,J8),COUNTIF('Itemization 202306'!L35:L43,J8))</f>
        <v>0</v>
      </c>
      <c r="L8" s="171">
        <f>(K8/K116)</f>
        <v>0</v>
      </c>
      <c r="M8" s="166">
        <v>4.0</v>
      </c>
      <c r="N8" s="167">
        <f>SUM(countif('Itemization 202506'!M35:M43,M8),countif('Itemization 202501'!M35:M43,M8),countif('Itemization 202408'!M35:M43,M8),countif('Itemization 202406'!M35:M43,M8),countif('Itemization 202401'!M35:M43,M8),countif('Itemization 202308'!M35:M43,M8),countif('Itemization 202306'!M35:M43,M8))</f>
        <v>1</v>
      </c>
      <c r="O8" s="168">
        <f>(N8/N23)</f>
        <v>0.02380952381</v>
      </c>
      <c r="P8" s="188"/>
      <c r="Q8" s="188"/>
      <c r="R8" s="189"/>
    </row>
    <row r="9" ht="15.75" customHeight="1">
      <c r="A9" s="190"/>
      <c r="B9" s="190"/>
      <c r="C9" s="191"/>
      <c r="D9" s="178" t="s">
        <v>96</v>
      </c>
      <c r="E9" s="174">
        <f>SUM(COUNTIF('Itemization 202506'!J35:J43,D9),COUNTIF('Itemization 202501'!J35:J43,D9),COUNTIF('Itemization 202408'!J35:J43,D9),COUNTIF('Itemization 202406'!J35:J43,D9),COUNTIF('Itemization 202401'!J35:J43,D9),COUNTIF('Itemization 202308'!J35:J43,D9),COUNTIF('Itemization 202306'!J35:J43,D9))</f>
        <v>8</v>
      </c>
      <c r="F9" s="179">
        <f>(E9/E10)</f>
        <v>0.1860465116</v>
      </c>
      <c r="G9" s="166">
        <v>11.05</v>
      </c>
      <c r="H9" s="167">
        <f>SUM(COUNTIF('Itemization 202506'!K:K,G9),COUNTIF('Itemization 202501'!K:K,G9),COUNTIF('Itemization 202408'!K:K,G9),COUNTIF('Itemization 202406'!K:K,G9),COUNTIF('Itemization 202401'!K:K,G9),COUNTIF('Itemization 202308'!K:K,G9),COUNTIF('Itemization 202306'!K:K,G9))</f>
        <v>31</v>
      </c>
      <c r="I9" s="168">
        <f>(H9/H16)</f>
        <v>0.1169811321</v>
      </c>
      <c r="J9" s="169" t="s">
        <v>97</v>
      </c>
      <c r="K9" s="170">
        <f>SUM(COUNTIF('Itemization 202506'!L35:L43,J9),COUNTIF('Itemization 202501'!L35:L43,J9),COUNTIF('Itemization 202408'!L35:L43,J9),COUNTIF('Itemization 202406'!L35:L43,J9),COUNTIF('Itemization 202401'!L35:L43,J9),COUNTIF('Itemization 202308'!L35:L43,J9),COUNTIF('Itemization 202306'!L35:L43,J9))</f>
        <v>0</v>
      </c>
      <c r="L9" s="171">
        <f>(K9/K116)</f>
        <v>0</v>
      </c>
      <c r="M9" s="172">
        <v>5.0</v>
      </c>
      <c r="N9" s="170">
        <f>SUM(countif('Itemization 202506'!M35:M43,M9),countif('Itemization 202501'!M35:M43,M9),countif('Itemization 202408'!M35:M43,M9),countif('Itemization 202406'!M35:M43,M9),countif('Itemization 202401'!M35:M43,M9),countif('Itemization 202308'!M35:M43,M9),countif('Itemization 202306'!M35:M43,M9))</f>
        <v>0</v>
      </c>
      <c r="O9" s="171">
        <f>(N9/N23)</f>
        <v>0</v>
      </c>
      <c r="P9" s="188"/>
      <c r="Q9" s="188"/>
      <c r="R9" s="189"/>
    </row>
    <row r="10" ht="15.75" customHeight="1">
      <c r="A10" s="190"/>
      <c r="B10" s="188"/>
      <c r="C10" s="191"/>
      <c r="D10" s="181" t="s">
        <v>93</v>
      </c>
      <c r="E10" s="182">
        <f t="shared" ref="E10:F10" si="3">SUM(E5:E9)</f>
        <v>43</v>
      </c>
      <c r="F10" s="184">
        <f t="shared" si="3"/>
        <v>1</v>
      </c>
      <c r="G10" s="185">
        <v>11.06</v>
      </c>
      <c r="H10" s="186">
        <f>SUM(COUNTIF('Itemization 202506'!K:K,G10),COUNTIF('Itemization 202501'!K:K,G10),COUNTIF('Itemization 202408'!K:K,G10),COUNTIF('Itemization 202406'!K:K,G10),COUNTIF('Itemization 202401'!K:K,G10),COUNTIF('Itemization 202308'!K:K,G10),COUNTIF('Itemization 202306'!K:K,G10))</f>
        <v>34</v>
      </c>
      <c r="I10" s="187">
        <f>(H10/H16)</f>
        <v>0.1283018868</v>
      </c>
      <c r="J10" s="169" t="s">
        <v>98</v>
      </c>
      <c r="K10" s="170">
        <f>SUM(COUNTIF('Itemization 202506'!L35:L43,J10),COUNTIF('Itemization 202501'!L35:L43,J10),COUNTIF('Itemization 202408'!L35:L43,J10),COUNTIF('Itemization 202406'!L35:L43,J10),COUNTIF('Itemization 202401'!L35:L43,J10),COUNTIF('Itemization 202308'!L35:L43,J10),COUNTIF('Itemization 202306'!L35:L43,J10))</f>
        <v>0</v>
      </c>
      <c r="L10" s="171">
        <f>(K10/K116)</f>
        <v>0</v>
      </c>
      <c r="M10" s="172">
        <v>6.0</v>
      </c>
      <c r="N10" s="170">
        <f>SUM(countif('Itemization 202506'!M35:M43,M10),countif('Itemization 202501'!M35:M43,M10),countif('Itemization 202408'!M35:M43,M10),countif('Itemization 202406'!M35:M43,M10),countif('Itemization 202401'!M35:M43,M10),countif('Itemization 202308'!M35:M43,M10),countif('Itemization 202306'!M35:M43,M10))</f>
        <v>0</v>
      </c>
      <c r="O10" s="171">
        <f>(N10/N23)</f>
        <v>0</v>
      </c>
      <c r="P10" s="188"/>
      <c r="Q10" s="188"/>
      <c r="R10" s="189"/>
    </row>
    <row r="11" ht="15.75" customHeight="1">
      <c r="A11" s="190"/>
      <c r="B11" s="188"/>
      <c r="C11" s="191"/>
      <c r="D11" s="188"/>
      <c r="E11" s="188"/>
      <c r="F11" s="191"/>
      <c r="G11" s="166">
        <v>11.07</v>
      </c>
      <c r="H11" s="167">
        <f>SUM(COUNTIF('Itemization 202506'!K:K,G11),COUNTIF('Itemization 202501'!K:K,G11),COUNTIF('Itemization 202408'!K:K,G11),COUNTIF('Itemization 202406'!K:K,G11),COUNTIF('Itemization 202401'!K:K,G11),COUNTIF('Itemization 202308'!K:K,G11),COUNTIF('Itemization 202306'!K:K,G11))</f>
        <v>24</v>
      </c>
      <c r="I11" s="168">
        <f>(H11/H16)</f>
        <v>0.09056603774</v>
      </c>
      <c r="J11" s="169" t="s">
        <v>99</v>
      </c>
      <c r="K11" s="170">
        <f>SUM(COUNTIF('Itemization 202506'!L35:L43,J11),COUNTIF('Itemization 202501'!L35:L43,J11),COUNTIF('Itemization 202408'!L35:L43,J11),COUNTIF('Itemization 202406'!L35:L43,J11),COUNTIF('Itemization 202401'!L35:L43,J11),COUNTIF('Itemization 202308'!L35:L43,J11),COUNTIF('Itemization 202306'!L35:L43,J11))</f>
        <v>0</v>
      </c>
      <c r="L11" s="171">
        <f>(K11/K116)</f>
        <v>0</v>
      </c>
      <c r="M11" s="185">
        <v>7.0</v>
      </c>
      <c r="N11" s="186">
        <f>SUM(countif('Itemization 202506'!M35:M43,M11),countif('Itemization 202501'!M35:M43,M11),countif('Itemization 202408'!M35:M43,M11),countif('Itemization 202406'!M35:M43,M11),countif('Itemization 202401'!M35:M43,M11),countif('Itemization 202308'!M35:M43,M11),countif('Itemization 202306'!M35:M43,M11))</f>
        <v>4</v>
      </c>
      <c r="O11" s="187">
        <f>(N11/N23)</f>
        <v>0.09523809524</v>
      </c>
      <c r="P11" s="188"/>
      <c r="Q11" s="188"/>
      <c r="R11" s="189"/>
    </row>
    <row r="12" ht="15.75" customHeight="1">
      <c r="A12" s="190"/>
      <c r="B12" s="188"/>
      <c r="C12" s="191"/>
      <c r="D12" s="188"/>
      <c r="E12" s="188"/>
      <c r="F12" s="191"/>
      <c r="G12" s="166">
        <v>11.08</v>
      </c>
      <c r="H12" s="167">
        <f>SUM(COUNTIF('Itemization 202506'!K:K,G12),COUNTIF('Itemization 202501'!K:K,G12),COUNTIF('Itemization 202408'!K:K,G12),COUNTIF('Itemization 202406'!K:K,G12),COUNTIF('Itemization 202401'!K:K,G12),COUNTIF('Itemization 202308'!K:K,G12),COUNTIF('Itemization 202306'!K:K,G12))</f>
        <v>14</v>
      </c>
      <c r="I12" s="168">
        <f>(H12/H16)</f>
        <v>0.05283018868</v>
      </c>
      <c r="J12" s="169" t="s">
        <v>100</v>
      </c>
      <c r="K12" s="170">
        <f>SUM(COUNTIF('Itemization 202506'!L35:L43,J12),COUNTIF('Itemization 202501'!L35:L43,J12),COUNTIF('Itemization 202408'!L35:L43,J12),COUNTIF('Itemization 202406'!L35:L43,J12),COUNTIF('Itemization 202401'!L35:L43,J12),COUNTIF('Itemization 202308'!L35:L43,J12),COUNTIF('Itemization 202306'!L35:L43,J12))</f>
        <v>0</v>
      </c>
      <c r="L12" s="171">
        <f>(K12/K116)</f>
        <v>0</v>
      </c>
      <c r="M12" s="163">
        <v>8.0</v>
      </c>
      <c r="N12" s="164">
        <f>SUM(countif('Itemization 202506'!M35:M43,M12),countif('Itemization 202501'!M35:M43,M12),countif('Itemization 202408'!M35:M43,M12),countif('Itemization 202406'!M35:M43,M12),countif('Itemization 202401'!M35:M43,M12),countif('Itemization 202308'!M35:M43,M12),countif('Itemization 202306'!M35:M43,M12))</f>
        <v>13</v>
      </c>
      <c r="O12" s="165">
        <f>(N12/N23)</f>
        <v>0.3095238095</v>
      </c>
      <c r="P12" s="188"/>
      <c r="Q12" s="188"/>
      <c r="R12" s="189"/>
    </row>
    <row r="13" ht="15.75" customHeight="1">
      <c r="A13" s="190"/>
      <c r="B13" s="188"/>
      <c r="C13" s="191"/>
      <c r="D13" s="188"/>
      <c r="E13" s="188"/>
      <c r="F13" s="191"/>
      <c r="G13" s="166">
        <v>11.09</v>
      </c>
      <c r="H13" s="167">
        <f>SUM(COUNTIF('Itemization 202506'!K:K,G13),COUNTIF('Itemization 202501'!K:K,G13),COUNTIF('Itemization 202408'!K:K,G13),COUNTIF('Itemization 202406'!K:K,G13),COUNTIF('Itemization 202401'!K:K,G13),COUNTIF('Itemization 202308'!K:K,G13),COUNTIF('Itemization 202306'!K:K,G13))</f>
        <v>27</v>
      </c>
      <c r="I13" s="168">
        <f>(H13/H16)</f>
        <v>0.1018867925</v>
      </c>
      <c r="J13" s="169" t="s">
        <v>101</v>
      </c>
      <c r="K13" s="170">
        <f>SUM(COUNTIF('Itemization 202506'!L35:L43,J13),COUNTIF('Itemization 202501'!L35:L43,J13),COUNTIF('Itemization 202408'!L35:L43,J13),COUNTIF('Itemization 202406'!L35:L43,J13),COUNTIF('Itemization 202401'!L35:L43,J13),COUNTIF('Itemization 202308'!L35:L43,J13),COUNTIF('Itemization 202306'!L35:L43,J13))</f>
        <v>0</v>
      </c>
      <c r="L13" s="171">
        <f>(K13/K116)</f>
        <v>0</v>
      </c>
      <c r="M13" s="185">
        <v>9.0</v>
      </c>
      <c r="N13" s="186">
        <f>SUM(countif('Itemization 202506'!M35:M43,M13),countif('Itemization 202501'!M35:M43,M13),countif('Itemization 202408'!M35:M43,M13),countif('Itemization 202406'!M35:M43,M13),countif('Itemization 202401'!M35:M43,M13),countif('Itemization 202308'!M35:M43,M13),countif('Itemization 202306'!M35:M43,M13))</f>
        <v>4</v>
      </c>
      <c r="O13" s="187">
        <f>(N13/N23)</f>
        <v>0.09523809524</v>
      </c>
      <c r="P13" s="188"/>
      <c r="Q13" s="188"/>
      <c r="R13" s="189"/>
    </row>
    <row r="14" ht="15.75" customHeight="1">
      <c r="A14" s="188"/>
      <c r="B14" s="188"/>
      <c r="C14" s="191"/>
      <c r="D14" s="188"/>
      <c r="E14" s="188"/>
      <c r="F14" s="191"/>
      <c r="G14" s="192" t="s">
        <v>102</v>
      </c>
      <c r="H14" s="167">
        <f>SUM(COUNTIF('Itemization 202506'!K:K,G14),COUNTIF('Itemization 202501'!K:K,G14),COUNTIF('Itemization 202408'!K:K,G14),COUNTIF('Itemization 202406'!K:K,G14),COUNTIF('Itemization 202401'!K:K,G14),COUNTIF('Itemization 202308'!K:K,G14),COUNTIF('Itemization 202306'!K:K,G14))</f>
        <v>26</v>
      </c>
      <c r="I14" s="168">
        <f>(H14/H16)</f>
        <v>0.09811320755</v>
      </c>
      <c r="J14" s="169" t="s">
        <v>103</v>
      </c>
      <c r="K14" s="170">
        <f>SUM(COUNTIF('Itemization 202506'!L35:L43,J14),COUNTIF('Itemization 202501'!L35:L43,J14),COUNTIF('Itemization 202408'!L35:L43,J14),COUNTIF('Itemization 202406'!L35:L43,J14),COUNTIF('Itemization 202401'!L35:L43,J14),COUNTIF('Itemization 202308'!L35:L43,J14),COUNTIF('Itemization 202306'!L35:L43,J14))</f>
        <v>0</v>
      </c>
      <c r="L14" s="171">
        <f>(K14/K116)</f>
        <v>0</v>
      </c>
      <c r="M14" s="172">
        <v>10.0</v>
      </c>
      <c r="N14" s="170">
        <f>SUM(countif('Itemization 202506'!M35:M43,M14),countif('Itemization 202501'!M35:M43,M14),countif('Itemization 202408'!M35:M43,M14),countif('Itemization 202406'!M35:M43,M14),countif('Itemization 202401'!M35:M43,M14),countif('Itemization 202308'!M35:M43,M14),countif('Itemization 202306'!M35:M43,M14))</f>
        <v>0</v>
      </c>
      <c r="O14" s="171">
        <f>(N14/N23)</f>
        <v>0</v>
      </c>
      <c r="P14" s="188"/>
      <c r="Q14" s="188"/>
      <c r="R14" s="189"/>
    </row>
    <row r="15" ht="15.75" customHeight="1">
      <c r="A15" s="190"/>
      <c r="B15" s="190"/>
      <c r="C15" s="191"/>
      <c r="D15" s="188"/>
      <c r="E15" s="188"/>
      <c r="F15" s="191"/>
      <c r="G15" s="193" t="s">
        <v>104</v>
      </c>
      <c r="H15" s="167">
        <f>SUM(COUNTIF('Itemization 202506'!K:K,G15),COUNTIF('Itemization 202501'!K:K,G15),COUNTIF('Itemization 202408'!K:K,G15),COUNTIF('Itemization 202406'!K:K,G15),COUNTIF('Itemization 202401'!K:K,G15),COUNTIF('Itemization 202308'!K:K,G15),COUNTIF('Itemization 202306'!K:K,G15))</f>
        <v>6</v>
      </c>
      <c r="I15" s="194">
        <f>(H15/H16)</f>
        <v>0.02264150943</v>
      </c>
      <c r="J15" s="169" t="s">
        <v>105</v>
      </c>
      <c r="K15" s="170">
        <f>SUM(COUNTIF('Itemization 202506'!L35:L43,J15),COUNTIF('Itemization 202501'!L35:L43,J15),COUNTIF('Itemization 202408'!L35:L43,J15),COUNTIF('Itemization 202406'!L35:L43,J15),COUNTIF('Itemization 202401'!L35:L43,J15),COUNTIF('Itemization 202308'!L35:L43,J15),COUNTIF('Itemization 202306'!L35:L43,J15))</f>
        <v>0</v>
      </c>
      <c r="L15" s="171">
        <f>(K15/K116)</f>
        <v>0</v>
      </c>
      <c r="M15" s="172">
        <v>11.0</v>
      </c>
      <c r="N15" s="170">
        <f>SUM(countif('Itemization 202506'!M35:M43,M15),countif('Itemization 202501'!M35:M43,M15),countif('Itemization 202408'!M35:M43,M15),countif('Itemization 202406'!M35:M43,M15),countif('Itemization 202401'!M35:M43,M15),countif('Itemization 202308'!M35:M43,M15),countif('Itemization 202306'!M35:M43,M15))</f>
        <v>0</v>
      </c>
      <c r="O15" s="171">
        <f>(N15/N23)</f>
        <v>0</v>
      </c>
      <c r="P15" s="188"/>
      <c r="Q15" s="188"/>
      <c r="R15" s="189"/>
    </row>
    <row r="16" ht="15.75" customHeight="1">
      <c r="A16" s="188"/>
      <c r="B16" s="188"/>
      <c r="C16" s="191"/>
      <c r="D16" s="188"/>
      <c r="E16" s="188"/>
      <c r="F16" s="191"/>
      <c r="G16" s="181" t="s">
        <v>93</v>
      </c>
      <c r="H16" s="182">
        <f>SUM(H5:H15)</f>
        <v>265</v>
      </c>
      <c r="I16" s="184">
        <f>sum(I5:I15)</f>
        <v>1</v>
      </c>
      <c r="J16" s="169" t="s">
        <v>106</v>
      </c>
      <c r="K16" s="170">
        <f>SUM(COUNTIF('Itemization 202506'!L35:L43,J16),COUNTIF('Itemization 202501'!L35:L43,J16),COUNTIF('Itemization 202408'!L35:L43,J16),COUNTIF('Itemization 202406'!L35:L43,J16),COUNTIF('Itemization 202401'!L35:L43,J16),COUNTIF('Itemization 202308'!L35:L43,J16),COUNTIF('Itemization 202306'!L35:L43,J16))</f>
        <v>0</v>
      </c>
      <c r="L16" s="171">
        <f>(K16/K116)</f>
        <v>0</v>
      </c>
      <c r="M16" s="185">
        <v>12.0</v>
      </c>
      <c r="N16" s="186">
        <f>SUM(countif('Itemization 202506'!M35:M43,M16),countif('Itemization 202501'!M35:M43,M16),countif('Itemization 202408'!M35:M43,M16),countif('Itemization 202406'!M35:M43,M16),countif('Itemization 202401'!M35:M43,M16),countif('Itemization 202308'!M35:M43,M16),countif('Itemization 202306'!M35:M43,M16))</f>
        <v>4</v>
      </c>
      <c r="O16" s="187">
        <f>(N16/N23)</f>
        <v>0.09523809524</v>
      </c>
      <c r="P16" s="188"/>
      <c r="Q16" s="188"/>
      <c r="R16" s="189"/>
    </row>
    <row r="17" ht="15.75" customHeight="1">
      <c r="A17" s="190"/>
      <c r="B17" s="190"/>
      <c r="C17" s="191"/>
      <c r="D17" s="188"/>
      <c r="E17" s="188"/>
      <c r="F17" s="191"/>
      <c r="G17" s="188"/>
      <c r="H17" s="188"/>
      <c r="I17" s="191"/>
      <c r="J17" s="169" t="s">
        <v>107</v>
      </c>
      <c r="K17" s="170">
        <f>SUM(COUNTIF('Itemization 202506'!L35:L43,J17),COUNTIF('Itemization 202501'!L35:L43,J17),COUNTIF('Itemization 202408'!L35:L43,J17),COUNTIF('Itemization 202406'!L35:L43,J17),COUNTIF('Itemization 202401'!L35:L43,J17),COUNTIF('Itemization 202308'!L35:L43,J17),COUNTIF('Itemization 202306'!L35:L43,J17))</f>
        <v>0</v>
      </c>
      <c r="L17" s="171">
        <f>(K17/K116)</f>
        <v>0</v>
      </c>
      <c r="M17" s="172">
        <v>13.0</v>
      </c>
      <c r="N17" s="170">
        <f>SUM(countif('Itemization 202506'!M35:M43,M17),countif('Itemization 202501'!M35:M43,M17),countif('Itemization 202408'!M35:M43,M17),countif('Itemization 202406'!M35:M43,M17),countif('Itemization 202401'!M35:M43,M17),countif('Itemization 202308'!M35:M43,M17),countif('Itemization 202306'!M35:M43,M17))</f>
        <v>0</v>
      </c>
      <c r="O17" s="171">
        <f>(N17/N23)</f>
        <v>0</v>
      </c>
      <c r="P17" s="188"/>
      <c r="Q17" s="188"/>
      <c r="R17" s="189"/>
    </row>
    <row r="18" ht="15.75" customHeight="1">
      <c r="A18" s="190"/>
      <c r="B18" s="190"/>
      <c r="C18" s="191"/>
      <c r="D18" s="188"/>
      <c r="E18" s="188"/>
      <c r="F18" s="191"/>
      <c r="G18" s="188"/>
      <c r="H18" s="188"/>
      <c r="I18" s="191"/>
      <c r="J18" s="169" t="s">
        <v>108</v>
      </c>
      <c r="K18" s="170">
        <f>SUM(COUNTIF('Itemization 202506'!L35:L43,J18),COUNTIF('Itemization 202501'!L35:L43,J18),COUNTIF('Itemization 202408'!L35:L43,J18),COUNTIF('Itemization 202406'!L35:L43,J18),COUNTIF('Itemization 202401'!L35:L43,J18),COUNTIF('Itemization 202308'!L35:L43,J18),COUNTIF('Itemization 202306'!L35:L43,J18))</f>
        <v>0</v>
      </c>
      <c r="L18" s="171">
        <f>(K18/K116)</f>
        <v>0</v>
      </c>
      <c r="M18" s="166">
        <v>14.0</v>
      </c>
      <c r="N18" s="167">
        <f>SUM(countif('Itemization 202506'!M35:M43,M18),countif('Itemization 202501'!M35:M43,M18),countif('Itemization 202408'!M35:M43,M18),countif('Itemization 202406'!M35:M43,M18),countif('Itemization 202401'!M35:M43,M18),countif('Itemization 202308'!M35:M43,M18),countif('Itemization 202306'!M35:M43,M18))</f>
        <v>3</v>
      </c>
      <c r="O18" s="168">
        <f>(N18/N23)</f>
        <v>0.07142857143</v>
      </c>
      <c r="P18" s="188"/>
      <c r="Q18" s="188"/>
      <c r="R18" s="189"/>
    </row>
    <row r="19" ht="15.75" customHeight="1">
      <c r="A19" s="195" t="s">
        <v>109</v>
      </c>
      <c r="D19" s="188"/>
      <c r="E19" s="188"/>
      <c r="F19" s="191"/>
      <c r="G19" s="188"/>
      <c r="H19" s="188"/>
      <c r="I19" s="191"/>
      <c r="J19" s="169" t="s">
        <v>110</v>
      </c>
      <c r="K19" s="170">
        <f>SUM(COUNTIF('Itemization 202506'!L35:L43,J19),COUNTIF('Itemization 202501'!L35:L43,J19),COUNTIF('Itemization 202408'!L35:L43,J19),COUNTIF('Itemization 202406'!L35:L43,J19),COUNTIF('Itemization 202401'!L35:L43,J19),COUNTIF('Itemization 202308'!L35:L43,J19),COUNTIF('Itemization 202306'!L35:L43,J19))</f>
        <v>0</v>
      </c>
      <c r="L19" s="171">
        <f>(K19/K116)</f>
        <v>0</v>
      </c>
      <c r="M19" s="166">
        <v>15.0</v>
      </c>
      <c r="N19" s="167">
        <f>SUM(countif('Itemization 202506'!M35:M43,M19),countif('Itemization 202501'!M35:M43,M19),countif('Itemization 202408'!M35:M43,M19),countif('Itemization 202406'!M35:M43,M19),countif('Itemization 202401'!M35:M43,M19),countif('Itemization 202308'!M35:M43,M19),countif('Itemization 202306'!M35:M43,M19))</f>
        <v>1</v>
      </c>
      <c r="O19" s="168">
        <f>(N19/N23)</f>
        <v>0.02380952381</v>
      </c>
      <c r="P19" s="188"/>
      <c r="Q19" s="188"/>
      <c r="R19" s="189"/>
    </row>
    <row r="20" ht="15.75" customHeight="1">
      <c r="A20" s="196" t="s">
        <v>111</v>
      </c>
      <c r="D20" s="188"/>
      <c r="E20" s="188"/>
      <c r="F20" s="191"/>
      <c r="G20" s="188"/>
      <c r="H20" s="188"/>
      <c r="I20" s="191"/>
      <c r="J20" s="169" t="s">
        <v>112</v>
      </c>
      <c r="K20" s="170">
        <f>SUM(COUNTIF('Itemization 202506'!L35:L43,J20),COUNTIF('Itemization 202501'!L35:L43,J20),COUNTIF('Itemization 202408'!L35:L43,J20),COUNTIF('Itemization 202406'!L35:L43,J20),COUNTIF('Itemization 202401'!L35:L43,J20),COUNTIF('Itemization 202308'!L35:L43,J20),COUNTIF('Itemization 202306'!L35:L43,J20))</f>
        <v>0</v>
      </c>
      <c r="L20" s="171">
        <f>(K20/K116)</f>
        <v>0</v>
      </c>
      <c r="M20" s="166">
        <v>16.0</v>
      </c>
      <c r="N20" s="167">
        <f>SUM(countif('Itemization 202506'!M35:M43,M20),countif('Itemization 202501'!M35:M43,M20),countif('Itemization 202408'!M35:M43,M20),countif('Itemization 202406'!M35:M43,M20),countif('Itemization 202401'!M35:M43,M20),countif('Itemization 202308'!M35:M43,M20),countif('Itemization 202306'!M35:M43,M20))</f>
        <v>1</v>
      </c>
      <c r="O20" s="168">
        <f>(N20/N23)</f>
        <v>0.02380952381</v>
      </c>
      <c r="P20" s="188"/>
      <c r="Q20" s="188"/>
      <c r="R20" s="189"/>
    </row>
    <row r="21" ht="15.75" customHeight="1">
      <c r="A21" s="197" t="s">
        <v>113</v>
      </c>
      <c r="D21" s="188"/>
      <c r="E21" s="188"/>
      <c r="F21" s="191"/>
      <c r="G21" s="188"/>
      <c r="H21" s="188"/>
      <c r="I21" s="191"/>
      <c r="J21" s="169" t="s">
        <v>114</v>
      </c>
      <c r="K21" s="170">
        <f>SUM(COUNTIF('Itemization 202506'!L35:L43,J21),COUNTIF('Itemization 202501'!L35:L43,J21),COUNTIF('Itemization 202408'!L35:L43,J21),COUNTIF('Itemization 202406'!L35:L43,J21),COUNTIF('Itemization 202401'!L35:L43,J21),COUNTIF('Itemization 202308'!L35:L43,J21),COUNTIF('Itemization 202306'!L35:L43,J21))</f>
        <v>0</v>
      </c>
      <c r="L21" s="171">
        <f>(K21/K116)</f>
        <v>0</v>
      </c>
      <c r="M21" s="185">
        <v>17.0</v>
      </c>
      <c r="N21" s="186">
        <f>SUM(countif('Itemization 202506'!M35:M43,M21),countif('Itemization 202501'!M35:M43,M21),countif('Itemization 202408'!M35:M43,M21),countif('Itemization 202406'!M35:M43,M21),countif('Itemization 202401'!M35:M43,M21),countif('Itemization 202308'!M35:M43,M21),countif('Itemization 202306'!M35:M43,M21))</f>
        <v>4</v>
      </c>
      <c r="O21" s="187">
        <f>(N21/N23)</f>
        <v>0.09523809524</v>
      </c>
      <c r="P21" s="188"/>
      <c r="Q21" s="188"/>
      <c r="R21" s="189"/>
    </row>
    <row r="22" ht="15.75" customHeight="1">
      <c r="A22" s="198" t="s">
        <v>115</v>
      </c>
      <c r="D22" s="188"/>
      <c r="E22" s="188"/>
      <c r="F22" s="191"/>
      <c r="G22" s="188"/>
      <c r="H22" s="188"/>
      <c r="I22" s="191"/>
      <c r="J22" s="169" t="s">
        <v>116</v>
      </c>
      <c r="K22" s="170">
        <f>SUM(COUNTIF('Itemization 202506'!L35:L43,J22),COUNTIF('Itemization 202501'!L35:L43,J22),COUNTIF('Itemization 202408'!L35:L43,J22),COUNTIF('Itemization 202406'!L35:L43,J22),COUNTIF('Itemization 202401'!L35:L43,J22),COUNTIF('Itemization 202308'!L35:L43,J22),COUNTIF('Itemization 202306'!L35:L43,J22))</f>
        <v>0</v>
      </c>
      <c r="L22" s="171">
        <f>(K22/K116)</f>
        <v>0</v>
      </c>
      <c r="M22" s="199">
        <v>18.0</v>
      </c>
      <c r="N22" s="174">
        <f>SUM(countif('Itemization 202506'!M35:M43,M22),countif('Itemization 202501'!M35:M43,M22),countif('Itemization 202408'!M35:M43,M22),countif('Itemization 202406'!M35:M43,M22),countif('Itemization 202401'!M35:M43,M22),countif('Itemization 202308'!M35:M43,M22),countif('Itemization 202306'!M35:M43,M22))</f>
        <v>5</v>
      </c>
      <c r="O22" s="179">
        <f>(N22/N23)</f>
        <v>0.119047619</v>
      </c>
      <c r="P22" s="188"/>
      <c r="Q22" s="188"/>
      <c r="R22" s="189"/>
    </row>
    <row r="23" ht="15.75" customHeight="1">
      <c r="A23" s="200" t="s">
        <v>117</v>
      </c>
      <c r="D23" s="188"/>
      <c r="E23" s="188"/>
      <c r="F23" s="191"/>
      <c r="G23" s="188"/>
      <c r="H23" s="188"/>
      <c r="I23" s="191"/>
      <c r="J23" s="169" t="s">
        <v>118</v>
      </c>
      <c r="K23" s="170">
        <f>SUM(COUNTIF('Itemization 202506'!L35:L43,J23),COUNTIF('Itemization 202501'!L35:L43,J23),COUNTIF('Itemization 202408'!L35:L43,J23),COUNTIF('Itemization 202406'!L35:L43,J23),COUNTIF('Itemization 202401'!L35:L43,J23),COUNTIF('Itemization 202308'!L35:L43,J23),COUNTIF('Itemization 202306'!L35:L43,J23))</f>
        <v>0</v>
      </c>
      <c r="L23" s="171">
        <f>(K23/K116)</f>
        <v>0</v>
      </c>
      <c r="M23" s="181" t="s">
        <v>93</v>
      </c>
      <c r="N23" s="182">
        <f>SUM(N5:N22)</f>
        <v>42</v>
      </c>
      <c r="O23" s="184">
        <f>SUM(O4:O22)</f>
        <v>1</v>
      </c>
      <c r="P23" s="188"/>
      <c r="Q23" s="188"/>
      <c r="R23" s="189"/>
    </row>
    <row r="24" ht="15.75" customHeight="1">
      <c r="A24" s="201" t="s">
        <v>119</v>
      </c>
      <c r="D24" s="188"/>
      <c r="E24" s="188"/>
      <c r="F24" s="191"/>
      <c r="G24" s="188"/>
      <c r="H24" s="188"/>
      <c r="I24" s="191"/>
      <c r="J24" s="202" t="s">
        <v>120</v>
      </c>
      <c r="K24" s="164">
        <f>SUM(COUNTIF('Itemization 202506'!L35:L43,J24),COUNTIF('Itemization 202501'!L35:L43,J24),COUNTIF('Itemization 202408'!L35:L43,J24),COUNTIF('Itemization 202406'!L35:L43,J24),COUNTIF('Itemization 202401'!L35:L43,J24),COUNTIF('Itemization 202308'!L35:L43,J24),COUNTIF('Itemization 202306'!L35:L43,J24))</f>
        <v>6</v>
      </c>
      <c r="L24" s="165">
        <f>(K24/K116)</f>
        <v>0.1463414634</v>
      </c>
      <c r="M24" s="188"/>
      <c r="N24" s="188"/>
      <c r="O24" s="191"/>
      <c r="P24" s="188"/>
      <c r="Q24" s="188"/>
      <c r="R24" s="189"/>
    </row>
    <row r="25" ht="15.75" customHeight="1">
      <c r="A25" s="190"/>
      <c r="B25" s="190"/>
      <c r="C25" s="190"/>
      <c r="D25" s="188"/>
      <c r="E25" s="188"/>
      <c r="F25" s="191"/>
      <c r="G25" s="188"/>
      <c r="H25" s="188"/>
      <c r="I25" s="191"/>
      <c r="J25" s="169" t="s">
        <v>121</v>
      </c>
      <c r="K25" s="170">
        <f>SUM(COUNTIF('Itemization 202506'!L35:L43,J25),COUNTIF('Itemization 202501'!L35:L43,J25),COUNTIF('Itemization 202408'!L35:L43,J25),COUNTIF('Itemization 202406'!L35:L43,J25),COUNTIF('Itemization 202401'!L35:L43,J25),COUNTIF('Itemization 202308'!L35:L43,J25),COUNTIF('Itemization 202306'!L35:L43,J25))</f>
        <v>0</v>
      </c>
      <c r="L25" s="171">
        <f>(K25/K116)</f>
        <v>0</v>
      </c>
      <c r="M25" s="188"/>
      <c r="N25" s="188"/>
      <c r="O25" s="191"/>
      <c r="P25" s="188"/>
      <c r="Q25" s="188"/>
      <c r="R25" s="189"/>
    </row>
    <row r="26" ht="15.75" customHeight="1">
      <c r="A26" s="190"/>
      <c r="B26" s="190"/>
      <c r="C26" s="190"/>
      <c r="D26" s="188"/>
      <c r="E26" s="188"/>
      <c r="F26" s="191"/>
      <c r="G26" s="188"/>
      <c r="H26" s="188"/>
      <c r="I26" s="191"/>
      <c r="J26" s="169" t="s">
        <v>122</v>
      </c>
      <c r="K26" s="170">
        <f>SUM(COUNTIF('Itemization 202506'!L35:L43,J26),COUNTIF('Itemization 202501'!L35:L43,J26),COUNTIF('Itemization 202408'!L35:L43,J26),COUNTIF('Itemization 202406'!L35:L43,J26),COUNTIF('Itemization 202401'!L35:L43,J26),COUNTIF('Itemization 202308'!L35:L43,J26),COUNTIF('Itemization 202306'!L35:L43,J26))</f>
        <v>0</v>
      </c>
      <c r="L26" s="171">
        <f>(K26/K116)</f>
        <v>0</v>
      </c>
      <c r="M26" s="188"/>
      <c r="N26" s="188"/>
      <c r="O26" s="191"/>
      <c r="P26" s="188"/>
      <c r="Q26" s="188"/>
      <c r="R26" s="189"/>
    </row>
    <row r="27" ht="15.75" customHeight="1">
      <c r="A27" s="190"/>
      <c r="B27" s="190"/>
      <c r="C27" s="190"/>
      <c r="D27" s="188"/>
      <c r="E27" s="188"/>
      <c r="F27" s="191"/>
      <c r="G27" s="188"/>
      <c r="H27" s="188"/>
      <c r="I27" s="191"/>
      <c r="J27" s="169" t="s">
        <v>123</v>
      </c>
      <c r="K27" s="170">
        <f>SUM(COUNTIF('Itemization 202506'!L35:L43,J27),COUNTIF('Itemization 202501'!L35:L43,J27),COUNTIF('Itemization 202408'!L35:L43,J27),COUNTIF('Itemization 202406'!L35:L43,J27),COUNTIF('Itemization 202401'!L35:L43,J27),COUNTIF('Itemization 202308'!L35:L43,J27),COUNTIF('Itemization 202306'!L35:L43,J27))</f>
        <v>0</v>
      </c>
      <c r="L27" s="171">
        <f>(K27/K116)</f>
        <v>0</v>
      </c>
      <c r="M27" s="188"/>
      <c r="N27" s="188"/>
      <c r="O27" s="191"/>
      <c r="P27" s="188"/>
      <c r="Q27" s="188"/>
      <c r="R27" s="189"/>
    </row>
    <row r="28" ht="15.75" customHeight="1">
      <c r="A28" s="190"/>
      <c r="B28" s="190"/>
      <c r="C28" s="190"/>
      <c r="D28" s="188"/>
      <c r="E28" s="188"/>
      <c r="F28" s="191"/>
      <c r="G28" s="188"/>
      <c r="H28" s="188"/>
      <c r="I28" s="191"/>
      <c r="J28" s="169" t="s">
        <v>124</v>
      </c>
      <c r="K28" s="170">
        <f>SUM(COUNTIF('Itemization 202506'!L35:L43,J28),COUNTIF('Itemization 202501'!L35:L43,J28),COUNTIF('Itemization 202408'!L35:L43,J28),COUNTIF('Itemization 202406'!L35:L43,J28),COUNTIF('Itemization 202401'!L35:L43,J28),COUNTIF('Itemization 202308'!L35:L43,J28),COUNTIF('Itemization 202306'!L35:L43,J28))</f>
        <v>0</v>
      </c>
      <c r="L28" s="171">
        <f>(K28/K116)</f>
        <v>0</v>
      </c>
      <c r="M28" s="188"/>
      <c r="N28" s="188"/>
      <c r="O28" s="191"/>
      <c r="P28" s="188"/>
      <c r="Q28" s="188"/>
      <c r="R28" s="189"/>
    </row>
    <row r="29" ht="15.75" customHeight="1">
      <c r="A29" s="190"/>
      <c r="B29" s="190"/>
      <c r="C29" s="190"/>
      <c r="D29" s="188"/>
      <c r="E29" s="188"/>
      <c r="F29" s="191"/>
      <c r="G29" s="188"/>
      <c r="H29" s="188"/>
      <c r="I29" s="191"/>
      <c r="J29" s="192" t="s">
        <v>125</v>
      </c>
      <c r="K29" s="167">
        <f>SUM(COUNTIF('Itemization 202506'!L35:L43,J29),COUNTIF('Itemization 202501'!L35:L43,J29),COUNTIF('Itemization 202408'!L35:L43,J29),COUNTIF('Itemization 202406'!L35:L43,J29),COUNTIF('Itemization 202401'!L35:L43,J29),COUNTIF('Itemization 202308'!L35:L43,J29),COUNTIF('Itemization 202306'!L35:L43,J29))</f>
        <v>1</v>
      </c>
      <c r="L29" s="168">
        <f>(K29/K116)</f>
        <v>0.0243902439</v>
      </c>
      <c r="M29" s="188"/>
      <c r="N29" s="188"/>
      <c r="O29" s="191"/>
      <c r="P29" s="188"/>
      <c r="Q29" s="188"/>
      <c r="R29" s="189"/>
    </row>
    <row r="30" ht="15.75" customHeight="1">
      <c r="A30" s="190"/>
      <c r="B30" s="190"/>
      <c r="C30" s="190"/>
      <c r="D30" s="188"/>
      <c r="E30" s="188"/>
      <c r="F30" s="191"/>
      <c r="G30" s="188"/>
      <c r="H30" s="188"/>
      <c r="I30" s="191"/>
      <c r="J30" s="169" t="s">
        <v>126</v>
      </c>
      <c r="K30" s="170">
        <f>SUM(COUNTIF('Itemization 202506'!L35:L43,J30),COUNTIF('Itemization 202501'!L35:L43,J30),COUNTIF('Itemization 202408'!L35:L43,J30),COUNTIF('Itemization 202406'!L35:L43,J30),COUNTIF('Itemization 202401'!L35:L43,J30),COUNTIF('Itemization 202308'!L35:L43,J30),COUNTIF('Itemization 202306'!L35:L43,J30))</f>
        <v>0</v>
      </c>
      <c r="L30" s="171">
        <f>(K30/K116)</f>
        <v>0</v>
      </c>
      <c r="M30" s="188"/>
      <c r="N30" s="188"/>
      <c r="O30" s="191"/>
      <c r="P30" s="188"/>
      <c r="Q30" s="188"/>
      <c r="R30" s="189"/>
    </row>
    <row r="31" ht="15.75" customHeight="1">
      <c r="A31" s="190"/>
      <c r="B31" s="190"/>
      <c r="C31" s="190"/>
      <c r="D31" s="188"/>
      <c r="E31" s="188"/>
      <c r="F31" s="191"/>
      <c r="G31" s="188"/>
      <c r="H31" s="188"/>
      <c r="I31" s="191"/>
      <c r="J31" s="169" t="s">
        <v>127</v>
      </c>
      <c r="K31" s="170">
        <f>SUM(COUNTIF('Itemization 202506'!L35:L43,J31),COUNTIF('Itemization 202501'!L35:L43,J31),COUNTIF('Itemization 202408'!L35:L43,J31),COUNTIF('Itemization 202406'!L35:L43,J31),COUNTIF('Itemization 202401'!L35:L43,J31),COUNTIF('Itemization 202308'!L35:L43,J31),COUNTIF('Itemization 202306'!L35:L43,J31))</f>
        <v>0</v>
      </c>
      <c r="L31" s="171">
        <f>(K31/K116)</f>
        <v>0</v>
      </c>
      <c r="M31" s="188"/>
      <c r="N31" s="188"/>
      <c r="O31" s="191"/>
      <c r="P31" s="188"/>
      <c r="Q31" s="188"/>
      <c r="R31" s="189"/>
    </row>
    <row r="32" ht="15.75" customHeight="1">
      <c r="A32" s="190"/>
      <c r="B32" s="190"/>
      <c r="C32" s="190"/>
      <c r="D32" s="188"/>
      <c r="E32" s="188"/>
      <c r="F32" s="191"/>
      <c r="G32" s="188"/>
      <c r="H32" s="188"/>
      <c r="I32" s="191"/>
      <c r="J32" s="169" t="s">
        <v>128</v>
      </c>
      <c r="K32" s="170">
        <f>SUM(COUNTIF('Itemization 202506'!L35:L43,J32),COUNTIF('Itemization 202501'!L35:L43,J32),COUNTIF('Itemization 202408'!L35:L43,J32),COUNTIF('Itemization 202406'!L35:L43,J32),COUNTIF('Itemization 202401'!L35:L43,J32),COUNTIF('Itemization 202308'!L35:L43,J32),COUNTIF('Itemization 202306'!L35:L43,J32))</f>
        <v>0</v>
      </c>
      <c r="L32" s="171">
        <f>(K32/K116)</f>
        <v>0</v>
      </c>
      <c r="M32" s="188"/>
      <c r="N32" s="188"/>
      <c r="O32" s="191"/>
      <c r="P32" s="188"/>
      <c r="Q32" s="188"/>
      <c r="R32" s="189"/>
    </row>
    <row r="33" ht="15.75" customHeight="1">
      <c r="A33" s="190"/>
      <c r="B33" s="190"/>
      <c r="C33" s="190"/>
      <c r="D33" s="188"/>
      <c r="E33" s="188"/>
      <c r="F33" s="191"/>
      <c r="G33" s="188"/>
      <c r="H33" s="188"/>
      <c r="I33" s="191"/>
      <c r="J33" s="169" t="s">
        <v>129</v>
      </c>
      <c r="K33" s="170">
        <f>SUM(COUNTIF('Itemization 202506'!L35:L43,J33),COUNTIF('Itemization 202501'!L35:L43,J33),COUNTIF('Itemization 202408'!L35:L43,J33),COUNTIF('Itemization 202406'!L35:L43,J33),COUNTIF('Itemization 202401'!L35:L43,J33),COUNTIF('Itemization 202308'!L35:L43,J33),COUNTIF('Itemization 202306'!L35:L43,J33))</f>
        <v>0</v>
      </c>
      <c r="L33" s="171">
        <f>(K33/K116)</f>
        <v>0</v>
      </c>
      <c r="M33" s="188"/>
      <c r="N33" s="188"/>
      <c r="O33" s="191"/>
      <c r="P33" s="188"/>
      <c r="Q33" s="188"/>
      <c r="R33" s="189"/>
    </row>
    <row r="34" ht="15.75" customHeight="1">
      <c r="A34" s="190"/>
      <c r="B34" s="190"/>
      <c r="C34" s="190"/>
      <c r="D34" s="188"/>
      <c r="E34" s="188"/>
      <c r="F34" s="191"/>
      <c r="G34" s="188"/>
      <c r="H34" s="188"/>
      <c r="I34" s="191"/>
      <c r="J34" s="169" t="s">
        <v>130</v>
      </c>
      <c r="K34" s="170">
        <f>SUM(COUNTIF('Itemization 202506'!L35:L43,J34),COUNTIF('Itemization 202501'!L35:L43,J34),COUNTIF('Itemization 202408'!L35:L43,J34),COUNTIF('Itemization 202406'!L35:L43,J34),COUNTIF('Itemization 202401'!L35:L43,J34),COUNTIF('Itemization 202308'!L35:L43,J34),COUNTIF('Itemization 202306'!L35:L43,J34))</f>
        <v>0</v>
      </c>
      <c r="L34" s="171">
        <f>(K34/K116)</f>
        <v>0</v>
      </c>
      <c r="M34" s="188"/>
      <c r="N34" s="188"/>
      <c r="O34" s="191"/>
      <c r="P34" s="188"/>
      <c r="Q34" s="188"/>
      <c r="R34" s="189"/>
    </row>
    <row r="35" ht="15.75" customHeight="1">
      <c r="A35" s="190"/>
      <c r="B35" s="190"/>
      <c r="C35" s="190"/>
      <c r="D35" s="188"/>
      <c r="E35" s="188"/>
      <c r="F35" s="191"/>
      <c r="G35" s="188"/>
      <c r="H35" s="188"/>
      <c r="I35" s="191"/>
      <c r="J35" s="192" t="s">
        <v>131</v>
      </c>
      <c r="K35" s="167">
        <f>SUM(COUNTIF('Itemization 202506'!L35:L43,J35),COUNTIF('Itemization 202501'!L35:L43,J35),COUNTIF('Itemization 202408'!L35:L43,J35),COUNTIF('Itemization 202406'!L35:L43,J35),COUNTIF('Itemization 202401'!L35:L43,J35),COUNTIF('Itemization 202308'!L35:L43,J35),COUNTIF('Itemization 202306'!L35:L43,J35))</f>
        <v>2</v>
      </c>
      <c r="L35" s="168">
        <f>(K35/K116)</f>
        <v>0.0487804878</v>
      </c>
      <c r="M35" s="188"/>
      <c r="N35" s="188"/>
      <c r="O35" s="191"/>
      <c r="P35" s="188"/>
      <c r="Q35" s="188"/>
      <c r="R35" s="189"/>
    </row>
    <row r="36" ht="15.75" customHeight="1">
      <c r="A36" s="190"/>
      <c r="B36" s="190"/>
      <c r="C36" s="190"/>
      <c r="D36" s="188"/>
      <c r="E36" s="188"/>
      <c r="F36" s="191"/>
      <c r="G36" s="188"/>
      <c r="H36" s="188"/>
      <c r="I36" s="191"/>
      <c r="J36" s="169" t="s">
        <v>132</v>
      </c>
      <c r="K36" s="170">
        <f>SUM(COUNTIF('Itemization 202506'!L35:L43,J36),COUNTIF('Itemization 202501'!L35:L43,J36),COUNTIF('Itemization 202408'!L35:L43,J36),COUNTIF('Itemization 202406'!L35:L43,J36),COUNTIF('Itemization 202401'!L35:L43,J36),COUNTIF('Itemization 202308'!L35:L43,J36),COUNTIF('Itemization 202306'!L35:L43,J36))</f>
        <v>0</v>
      </c>
      <c r="L36" s="171">
        <f>(K36/K116)</f>
        <v>0</v>
      </c>
      <c r="M36" s="188"/>
      <c r="N36" s="188"/>
      <c r="O36" s="191"/>
      <c r="P36" s="188"/>
      <c r="Q36" s="188"/>
      <c r="R36" s="189"/>
    </row>
    <row r="37" ht="15.75" customHeight="1">
      <c r="A37" s="190"/>
      <c r="B37" s="190"/>
      <c r="C37" s="190"/>
      <c r="D37" s="188"/>
      <c r="E37" s="188"/>
      <c r="F37" s="191"/>
      <c r="G37" s="188"/>
      <c r="H37" s="188"/>
      <c r="I37" s="191"/>
      <c r="J37" s="169" t="s">
        <v>133</v>
      </c>
      <c r="K37" s="170">
        <f>SUM(COUNTIF('Itemization 202506'!L35:L43,J37),COUNTIF('Itemization 202501'!L35:L43,J37),COUNTIF('Itemization 202408'!L35:L43,J37),COUNTIF('Itemization 202406'!L35:L43,J37),COUNTIF('Itemization 202401'!L35:L43,J37),COUNTIF('Itemization 202308'!L35:L43,J37),COUNTIF('Itemization 202306'!L35:L43,J37))</f>
        <v>0</v>
      </c>
      <c r="L37" s="171">
        <f>(K37/K116)</f>
        <v>0</v>
      </c>
      <c r="M37" s="188"/>
      <c r="N37" s="188"/>
      <c r="O37" s="191"/>
      <c r="P37" s="188"/>
      <c r="Q37" s="188"/>
      <c r="R37" s="189"/>
    </row>
    <row r="38" ht="15.75" customHeight="1">
      <c r="A38" s="190"/>
      <c r="B38" s="190"/>
      <c r="C38" s="190"/>
      <c r="D38" s="188"/>
      <c r="E38" s="188"/>
      <c r="F38" s="191"/>
      <c r="G38" s="188"/>
      <c r="H38" s="188"/>
      <c r="I38" s="191"/>
      <c r="J38" s="192" t="s">
        <v>134</v>
      </c>
      <c r="K38" s="167">
        <f>SUM(COUNTIF('Itemization 202506'!L35:L43,J38),COUNTIF('Itemization 202501'!L35:L43,J38),COUNTIF('Itemization 202408'!L35:L43,J38),COUNTIF('Itemization 202406'!L35:L43,J38),COUNTIF('Itemization 202401'!L35:L43,J38),COUNTIF('Itemization 202308'!L35:L43,J38),COUNTIF('Itemization 202306'!L35:L43,J38))</f>
        <v>1</v>
      </c>
      <c r="L38" s="168">
        <f>(K38/K116)</f>
        <v>0.0243902439</v>
      </c>
      <c r="M38" s="188"/>
      <c r="N38" s="188"/>
      <c r="O38" s="191"/>
      <c r="P38" s="188"/>
      <c r="Q38" s="188"/>
      <c r="R38" s="189"/>
    </row>
    <row r="39" ht="15.75" customHeight="1">
      <c r="A39" s="190"/>
      <c r="B39" s="190"/>
      <c r="C39" s="190"/>
      <c r="D39" s="188"/>
      <c r="E39" s="188"/>
      <c r="F39" s="191"/>
      <c r="G39" s="188"/>
      <c r="H39" s="188"/>
      <c r="I39" s="191"/>
      <c r="J39" s="192" t="s">
        <v>135</v>
      </c>
      <c r="K39" s="167">
        <f>SUM(COUNTIF('Itemization 202506'!L35:L43,J39),COUNTIF('Itemization 202501'!L35:L43,J39),COUNTIF('Itemization 202408'!L35:L43,J39),COUNTIF('Itemization 202406'!L35:L43,J39),COUNTIF('Itemization 202401'!L35:L43,J39),COUNTIF('Itemization 202308'!L35:L43,J39),COUNTIF('Itemization 202306'!L35:L43,J39))</f>
        <v>1</v>
      </c>
      <c r="L39" s="168">
        <f>(K39/K116)</f>
        <v>0.0243902439</v>
      </c>
      <c r="M39" s="188"/>
      <c r="N39" s="188"/>
      <c r="O39" s="191"/>
      <c r="P39" s="188"/>
      <c r="Q39" s="188"/>
      <c r="R39" s="189"/>
    </row>
    <row r="40" ht="15.75" customHeight="1">
      <c r="A40" s="190"/>
      <c r="B40" s="190"/>
      <c r="C40" s="190"/>
      <c r="D40" s="188"/>
      <c r="E40" s="188"/>
      <c r="F40" s="191"/>
      <c r="G40" s="188"/>
      <c r="H40" s="188"/>
      <c r="I40" s="191"/>
      <c r="J40" s="192" t="s">
        <v>136</v>
      </c>
      <c r="K40" s="167">
        <f>SUM(COUNTIF('Itemization 202506'!L35:L43,J40),COUNTIF('Itemization 202501'!L35:L43,J40),COUNTIF('Itemization 202408'!L35:L43,J40),COUNTIF('Itemization 202406'!L35:L43,J40),COUNTIF('Itemization 202401'!L35:L43,J40),COUNTIF('Itemization 202308'!L35:L43,J40),COUNTIF('Itemization 202306'!L35:L43,J40))</f>
        <v>1</v>
      </c>
      <c r="L40" s="168">
        <f>(K40/K116)</f>
        <v>0.0243902439</v>
      </c>
      <c r="M40" s="188"/>
      <c r="N40" s="188"/>
      <c r="O40" s="191"/>
      <c r="P40" s="188"/>
      <c r="Q40" s="188"/>
      <c r="R40" s="189"/>
    </row>
    <row r="41" ht="15.75" customHeight="1">
      <c r="A41" s="190"/>
      <c r="B41" s="190"/>
      <c r="C41" s="190"/>
      <c r="D41" s="188"/>
      <c r="E41" s="188"/>
      <c r="F41" s="191"/>
      <c r="G41" s="188"/>
      <c r="H41" s="188"/>
      <c r="I41" s="191"/>
      <c r="J41" s="169" t="s">
        <v>137</v>
      </c>
      <c r="K41" s="170">
        <f>SUM(COUNTIF('Itemization 202506'!L35:L43,J41),COUNTIF('Itemization 202501'!L35:L43,J41),COUNTIF('Itemization 202408'!L35:L43,J41),COUNTIF('Itemization 202406'!L35:L43,J41),COUNTIF('Itemization 202401'!L35:L43,J41),COUNTIF('Itemization 202308'!L35:L43,J41),COUNTIF('Itemization 202306'!L35:L43,J41))</f>
        <v>0</v>
      </c>
      <c r="L41" s="171">
        <f>(K41/K116)</f>
        <v>0</v>
      </c>
      <c r="M41" s="188"/>
      <c r="N41" s="188"/>
      <c r="O41" s="191"/>
      <c r="P41" s="188"/>
      <c r="Q41" s="188"/>
      <c r="R41" s="189"/>
    </row>
    <row r="42" ht="15.75" customHeight="1">
      <c r="A42" s="190"/>
      <c r="B42" s="190"/>
      <c r="C42" s="190"/>
      <c r="D42" s="188"/>
      <c r="E42" s="188"/>
      <c r="F42" s="191"/>
      <c r="G42" s="188"/>
      <c r="H42" s="188"/>
      <c r="I42" s="191"/>
      <c r="J42" s="169" t="s">
        <v>138</v>
      </c>
      <c r="K42" s="170">
        <f>SUM(COUNTIF('Itemization 202506'!L35:L43,J42),COUNTIF('Itemization 202501'!L35:L43,J42),COUNTIF('Itemization 202408'!L35:L43,J42),COUNTIF('Itemization 202406'!L35:L43,J42),COUNTIF('Itemization 202401'!L35:L43,J42),COUNTIF('Itemization 202308'!L35:L43,J42),COUNTIF('Itemization 202306'!L35:L43,J42))</f>
        <v>0</v>
      </c>
      <c r="L42" s="171">
        <f>(K42/K116)</f>
        <v>0</v>
      </c>
      <c r="M42" s="188"/>
      <c r="N42" s="188"/>
      <c r="O42" s="191"/>
      <c r="P42" s="188"/>
      <c r="Q42" s="188"/>
      <c r="R42" s="189"/>
    </row>
    <row r="43" ht="15.75" customHeight="1">
      <c r="A43" s="190"/>
      <c r="B43" s="190"/>
      <c r="C43" s="190"/>
      <c r="D43" s="188"/>
      <c r="E43" s="188"/>
      <c r="F43" s="191"/>
      <c r="G43" s="188"/>
      <c r="H43" s="188"/>
      <c r="I43" s="191"/>
      <c r="J43" s="169" t="s">
        <v>139</v>
      </c>
      <c r="K43" s="170">
        <f>SUM(COUNTIF('Itemization 202506'!L35:L43,J43),COUNTIF('Itemization 202501'!L35:L43,J43),COUNTIF('Itemization 202408'!L35:L43,J43),COUNTIF('Itemization 202406'!L35:L43,J43),COUNTIF('Itemization 202401'!L35:L43,J43),COUNTIF('Itemization 202308'!L35:L43,J43),COUNTIF('Itemization 202306'!L35:L43,J43))</f>
        <v>0</v>
      </c>
      <c r="L43" s="171">
        <f>(K43/K116)</f>
        <v>0</v>
      </c>
      <c r="M43" s="188"/>
      <c r="N43" s="188"/>
      <c r="O43" s="191"/>
      <c r="P43" s="188"/>
      <c r="Q43" s="188"/>
      <c r="R43" s="189"/>
    </row>
    <row r="44" ht="15.75" customHeight="1">
      <c r="A44" s="190"/>
      <c r="B44" s="190"/>
      <c r="C44" s="190"/>
      <c r="D44" s="188"/>
      <c r="E44" s="188"/>
      <c r="F44" s="191"/>
      <c r="G44" s="188"/>
      <c r="H44" s="188"/>
      <c r="I44" s="191"/>
      <c r="J44" s="169" t="s">
        <v>140</v>
      </c>
      <c r="K44" s="170">
        <f>SUM(COUNTIF('Itemization 202506'!L35:L43,J44),COUNTIF('Itemization 202501'!L35:L43,J44),COUNTIF('Itemization 202408'!L35:L43,J44),COUNTIF('Itemization 202406'!L35:L43,J44),COUNTIF('Itemization 202401'!L35:L43,J44),COUNTIF('Itemization 202308'!L35:L43,J44),COUNTIF('Itemization 202306'!L35:L43,J44))</f>
        <v>0</v>
      </c>
      <c r="L44" s="171">
        <f>(K44/K116)</f>
        <v>0</v>
      </c>
      <c r="M44" s="188"/>
      <c r="N44" s="188"/>
      <c r="O44" s="191"/>
      <c r="P44" s="188"/>
      <c r="Q44" s="188"/>
      <c r="R44" s="189"/>
    </row>
    <row r="45" ht="15.75" customHeight="1">
      <c r="A45" s="190"/>
      <c r="B45" s="190"/>
      <c r="C45" s="190"/>
      <c r="D45" s="188"/>
      <c r="E45" s="188"/>
      <c r="F45" s="191"/>
      <c r="G45" s="188"/>
      <c r="H45" s="188"/>
      <c r="I45" s="191"/>
      <c r="J45" s="169" t="s">
        <v>141</v>
      </c>
      <c r="K45" s="170">
        <f>SUM(COUNTIF('Itemization 202506'!L35:L43,J45),COUNTIF('Itemization 202501'!L35:L43,J45),COUNTIF('Itemization 202408'!L35:L43,J45),COUNTIF('Itemization 202406'!L35:L43,J45),COUNTIF('Itemization 202401'!L35:L43,J45),COUNTIF('Itemization 202308'!L35:L43,J45),COUNTIF('Itemization 202306'!L35:L43,J45))</f>
        <v>0</v>
      </c>
      <c r="L45" s="171">
        <f>(K45/K116)</f>
        <v>0</v>
      </c>
      <c r="M45" s="188"/>
      <c r="N45" s="188"/>
      <c r="O45" s="191"/>
      <c r="P45" s="188"/>
      <c r="Q45" s="188"/>
      <c r="R45" s="189"/>
    </row>
    <row r="46" ht="15.75" customHeight="1">
      <c r="A46" s="190"/>
      <c r="B46" s="190"/>
      <c r="C46" s="190"/>
      <c r="D46" s="188"/>
      <c r="E46" s="188"/>
      <c r="F46" s="191"/>
      <c r="G46" s="188"/>
      <c r="H46" s="188"/>
      <c r="I46" s="191"/>
      <c r="J46" s="169" t="s">
        <v>142</v>
      </c>
      <c r="K46" s="170">
        <f>SUM(COUNTIF('Itemization 202506'!L35:L43,J46),COUNTIF('Itemization 202501'!L35:L43,J46),COUNTIF('Itemization 202408'!L35:L43,J46),COUNTIF('Itemization 202406'!L35:L43,J46),COUNTIF('Itemization 202401'!L35:L43,J46),COUNTIF('Itemization 202308'!L35:L43,J46),COUNTIF('Itemization 202306'!L35:L43,J46))</f>
        <v>0</v>
      </c>
      <c r="L46" s="171">
        <f>(K46/K116)</f>
        <v>0</v>
      </c>
      <c r="M46" s="188"/>
      <c r="N46" s="188"/>
      <c r="O46" s="191"/>
      <c r="P46" s="188"/>
      <c r="Q46" s="188"/>
      <c r="R46" s="189"/>
    </row>
    <row r="47" ht="15.75" customHeight="1">
      <c r="A47" s="190"/>
      <c r="B47" s="190"/>
      <c r="C47" s="190"/>
      <c r="D47" s="188"/>
      <c r="E47" s="188"/>
      <c r="F47" s="191"/>
      <c r="G47" s="188"/>
      <c r="H47" s="188"/>
      <c r="I47" s="191"/>
      <c r="J47" s="169" t="s">
        <v>143</v>
      </c>
      <c r="K47" s="170">
        <f>SUM(COUNTIF('Itemization 202506'!L35:L43,J47),COUNTIF('Itemization 202501'!L35:L43,J47),COUNTIF('Itemization 202408'!L35:L43,J47),COUNTIF('Itemization 202406'!L35:L43,J47),COUNTIF('Itemization 202401'!L35:L43,J47),COUNTIF('Itemization 202308'!L35:L43,J47),COUNTIF('Itemization 202306'!L35:L43,J47))</f>
        <v>0</v>
      </c>
      <c r="L47" s="171">
        <f>(K47/K116)</f>
        <v>0</v>
      </c>
      <c r="M47" s="188"/>
      <c r="N47" s="188"/>
      <c r="O47" s="191"/>
      <c r="P47" s="188"/>
      <c r="Q47" s="188"/>
      <c r="R47" s="189"/>
    </row>
    <row r="48" ht="15.75" customHeight="1">
      <c r="A48" s="190"/>
      <c r="B48" s="190"/>
      <c r="C48" s="190"/>
      <c r="D48" s="188"/>
      <c r="E48" s="188"/>
      <c r="F48" s="191"/>
      <c r="G48" s="188"/>
      <c r="H48" s="188"/>
      <c r="I48" s="191"/>
      <c r="J48" s="169" t="s">
        <v>144</v>
      </c>
      <c r="K48" s="170">
        <f>SUM(COUNTIF('Itemization 202506'!L35:L43,J48),COUNTIF('Itemization 202501'!L35:L43,J48),COUNTIF('Itemization 202408'!L35:L43,J48),COUNTIF('Itemization 202406'!L35:L43,J48),COUNTIF('Itemization 202401'!L35:L43,J48),COUNTIF('Itemization 202308'!L35:L43,J48),COUNTIF('Itemization 202306'!L35:L43,J48))</f>
        <v>0</v>
      </c>
      <c r="L48" s="171">
        <f>(K48/K116)</f>
        <v>0</v>
      </c>
      <c r="M48" s="188"/>
      <c r="N48" s="188"/>
      <c r="O48" s="191"/>
      <c r="P48" s="188"/>
      <c r="Q48" s="188"/>
      <c r="R48" s="189"/>
    </row>
    <row r="49" ht="15.75" customHeight="1">
      <c r="A49" s="190"/>
      <c r="B49" s="190"/>
      <c r="C49" s="190"/>
      <c r="D49" s="188"/>
      <c r="E49" s="188"/>
      <c r="F49" s="191"/>
      <c r="G49" s="188"/>
      <c r="H49" s="188"/>
      <c r="I49" s="191"/>
      <c r="J49" s="169" t="s">
        <v>145</v>
      </c>
      <c r="K49" s="170">
        <f>SUM(COUNTIF('Itemization 202506'!L35:L43,J49),COUNTIF('Itemization 202501'!L35:L43,J49),COUNTIF('Itemization 202408'!L35:L43,J49),COUNTIF('Itemization 202406'!L35:L43,J49),COUNTIF('Itemization 202401'!L35:L43,J49),COUNTIF('Itemization 202308'!L35:L43,J49),COUNTIF('Itemization 202306'!L35:L43,J49))</f>
        <v>0</v>
      </c>
      <c r="L49" s="171">
        <f>(K49/K116)</f>
        <v>0</v>
      </c>
      <c r="M49" s="188"/>
      <c r="N49" s="188"/>
      <c r="O49" s="191"/>
      <c r="P49" s="188"/>
      <c r="Q49" s="188"/>
      <c r="R49" s="189"/>
    </row>
    <row r="50" ht="15.75" customHeight="1">
      <c r="A50" s="190"/>
      <c r="B50" s="190"/>
      <c r="C50" s="190"/>
      <c r="D50" s="188"/>
      <c r="E50" s="188"/>
      <c r="F50" s="191"/>
      <c r="G50" s="188"/>
      <c r="H50" s="188"/>
      <c r="I50" s="191"/>
      <c r="J50" s="203" t="s">
        <v>146</v>
      </c>
      <c r="K50" s="174">
        <f>SUM(COUNTIF('Itemization 202506'!L35:L43,J50),COUNTIF('Itemization 202501'!L35:L43,J50),COUNTIF('Itemization 202408'!L35:L43,J50),COUNTIF('Itemization 202406'!L35:L43,J50),COUNTIF('Itemization 202401'!L35:L43,J50),COUNTIF('Itemization 202308'!L35:L43,J50),COUNTIF('Itemization 202306'!L35:L43,J50))</f>
        <v>4</v>
      </c>
      <c r="L50" s="180">
        <f>(K50/K116)</f>
        <v>0.09756097561</v>
      </c>
      <c r="M50" s="188"/>
      <c r="N50" s="188"/>
      <c r="O50" s="191"/>
      <c r="P50" s="188"/>
      <c r="Q50" s="188"/>
      <c r="R50" s="189"/>
    </row>
    <row r="51" ht="15.75" customHeight="1">
      <c r="A51" s="190"/>
      <c r="B51" s="190"/>
      <c r="C51" s="190"/>
      <c r="D51" s="188"/>
      <c r="E51" s="188"/>
      <c r="F51" s="191"/>
      <c r="G51" s="188"/>
      <c r="H51" s="188"/>
      <c r="I51" s="191"/>
      <c r="J51" s="169" t="s">
        <v>147</v>
      </c>
      <c r="K51" s="170">
        <f>SUM(COUNTIF('Itemization 202506'!L35:L43,J51),COUNTIF('Itemization 202501'!L35:L43,J51),COUNTIF('Itemization 202408'!L35:L43,J51),COUNTIF('Itemization 202406'!L35:L43,J51),COUNTIF('Itemization 202401'!L35:L43,J51),COUNTIF('Itemization 202308'!L35:L43,J51),COUNTIF('Itemization 202306'!L35:L43,J51))</f>
        <v>0</v>
      </c>
      <c r="L51" s="171">
        <f>(K51/K116)</f>
        <v>0</v>
      </c>
      <c r="M51" s="188"/>
      <c r="N51" s="188"/>
      <c r="O51" s="191"/>
      <c r="P51" s="188"/>
      <c r="Q51" s="188"/>
      <c r="R51" s="189"/>
    </row>
    <row r="52" ht="15.75" customHeight="1">
      <c r="A52" s="190"/>
      <c r="B52" s="190"/>
      <c r="C52" s="190"/>
      <c r="D52" s="188"/>
      <c r="E52" s="188"/>
      <c r="F52" s="191"/>
      <c r="G52" s="188"/>
      <c r="H52" s="188"/>
      <c r="I52" s="191"/>
      <c r="J52" s="169" t="s">
        <v>148</v>
      </c>
      <c r="K52" s="170">
        <f>SUM(COUNTIF('Itemization 202506'!L35:L43,J52),COUNTIF('Itemization 202501'!L35:L43,J52),COUNTIF('Itemization 202408'!L35:L43,J52),COUNTIF('Itemization 202406'!L35:L43,J52),COUNTIF('Itemization 202401'!L35:L43,J52),COUNTIF('Itemization 202308'!L35:L43,J52),COUNTIF('Itemization 202306'!L35:L43,J52))</f>
        <v>0</v>
      </c>
      <c r="L52" s="171">
        <f>(K52/K116)</f>
        <v>0</v>
      </c>
      <c r="M52" s="188"/>
      <c r="N52" s="188"/>
      <c r="O52" s="191"/>
      <c r="P52" s="188"/>
      <c r="Q52" s="188"/>
      <c r="R52" s="189"/>
    </row>
    <row r="53" ht="15.75" customHeight="1">
      <c r="A53" s="190"/>
      <c r="B53" s="190"/>
      <c r="C53" s="190"/>
      <c r="D53" s="188"/>
      <c r="E53" s="188"/>
      <c r="F53" s="191"/>
      <c r="G53" s="188"/>
      <c r="H53" s="188"/>
      <c r="I53" s="191"/>
      <c r="J53" s="169" t="s">
        <v>149</v>
      </c>
      <c r="K53" s="170">
        <f>SUM(COUNTIF('Itemization 202506'!L35:L43,J53),COUNTIF('Itemization 202501'!L35:L43,J53),COUNTIF('Itemization 202408'!L35:L43,J53),COUNTIF('Itemization 202406'!L35:L43,J53),COUNTIF('Itemization 202401'!L35:L43,J53),COUNTIF('Itemization 202308'!L35:L43,J53),COUNTIF('Itemization 202306'!L35:L43,J53))</f>
        <v>0</v>
      </c>
      <c r="L53" s="171">
        <f>(K53/K116)</f>
        <v>0</v>
      </c>
      <c r="M53" s="188"/>
      <c r="N53" s="188"/>
      <c r="O53" s="191"/>
      <c r="P53" s="188"/>
      <c r="Q53" s="188"/>
      <c r="R53" s="189"/>
    </row>
    <row r="54" ht="15.75" customHeight="1">
      <c r="A54" s="190"/>
      <c r="B54" s="190"/>
      <c r="C54" s="190"/>
      <c r="D54" s="188"/>
      <c r="E54" s="188"/>
      <c r="F54" s="191"/>
      <c r="G54" s="188"/>
      <c r="H54" s="188"/>
      <c r="I54" s="191"/>
      <c r="J54" s="169" t="s">
        <v>150</v>
      </c>
      <c r="K54" s="170">
        <f>SUM(COUNTIF('Itemization 202506'!L35:L43,J54),COUNTIF('Itemization 202501'!L35:L43,J54),COUNTIF('Itemization 202408'!L35:L43,J54),COUNTIF('Itemization 202406'!L35:L43,J54),COUNTIF('Itemization 202401'!L35:L43,J54),COUNTIF('Itemization 202308'!L35:L43,J54),COUNTIF('Itemization 202306'!L35:L43,J54))</f>
        <v>0</v>
      </c>
      <c r="L54" s="171">
        <f>(K54/K116)</f>
        <v>0</v>
      </c>
      <c r="M54" s="188"/>
      <c r="N54" s="188"/>
      <c r="O54" s="191"/>
      <c r="P54" s="188"/>
      <c r="Q54" s="188"/>
      <c r="R54" s="189"/>
    </row>
    <row r="55" ht="15.75" customHeight="1">
      <c r="A55" s="190"/>
      <c r="B55" s="190"/>
      <c r="C55" s="190"/>
      <c r="D55" s="188"/>
      <c r="E55" s="188"/>
      <c r="F55" s="191"/>
      <c r="G55" s="188"/>
      <c r="H55" s="188"/>
      <c r="I55" s="191"/>
      <c r="J55" s="169" t="s">
        <v>151</v>
      </c>
      <c r="K55" s="170">
        <f>SUM(COUNTIF('Itemization 202506'!L35:L43,J55),COUNTIF('Itemization 202501'!L35:L43,J55),COUNTIF('Itemization 202408'!L35:L43,J55),COUNTIF('Itemization 202406'!L35:L43,J55),COUNTIF('Itemization 202401'!L35:L43,J55),COUNTIF('Itemization 202308'!L35:L43,J55),COUNTIF('Itemization 202306'!L35:L43,J55))</f>
        <v>0</v>
      </c>
      <c r="L55" s="171">
        <f>(K55/K116)</f>
        <v>0</v>
      </c>
      <c r="M55" s="188"/>
      <c r="N55" s="188"/>
      <c r="O55" s="191"/>
      <c r="P55" s="188"/>
      <c r="Q55" s="188"/>
      <c r="R55" s="189"/>
    </row>
    <row r="56" ht="15.75" customHeight="1">
      <c r="A56" s="190"/>
      <c r="B56" s="190"/>
      <c r="C56" s="190"/>
      <c r="D56" s="188"/>
      <c r="E56" s="188"/>
      <c r="F56" s="191"/>
      <c r="G56" s="188"/>
      <c r="H56" s="188"/>
      <c r="I56" s="191"/>
      <c r="J56" s="169" t="s">
        <v>152</v>
      </c>
      <c r="K56" s="170">
        <f>SUM(COUNTIF('Itemization 202506'!L35:L43,J56),COUNTIF('Itemization 202501'!L35:L43,J56),COUNTIF('Itemization 202408'!L35:L43,J56),COUNTIF('Itemization 202406'!L35:L43,J56),COUNTIF('Itemization 202401'!L35:L43,J56),COUNTIF('Itemization 202308'!L35:L43,J56),COUNTIF('Itemization 202306'!L35:L43,J56))</f>
        <v>0</v>
      </c>
      <c r="L56" s="171">
        <f>(K56/K116)</f>
        <v>0</v>
      </c>
      <c r="M56" s="188"/>
      <c r="N56" s="188"/>
      <c r="O56" s="191"/>
      <c r="P56" s="188"/>
      <c r="Q56" s="188"/>
      <c r="R56" s="189"/>
    </row>
    <row r="57" ht="15.75" customHeight="1">
      <c r="A57" s="190"/>
      <c r="B57" s="190"/>
      <c r="C57" s="190"/>
      <c r="D57" s="188"/>
      <c r="E57" s="188"/>
      <c r="F57" s="191"/>
      <c r="G57" s="188"/>
      <c r="H57" s="188"/>
      <c r="I57" s="191"/>
      <c r="J57" s="169" t="s">
        <v>153</v>
      </c>
      <c r="K57" s="170">
        <f>SUM(COUNTIF('Itemization 202506'!L35:L43,J57),COUNTIF('Itemization 202501'!L35:L43,J57),COUNTIF('Itemization 202408'!L35:L43,J57),COUNTIF('Itemization 202406'!L35:L43,J57),COUNTIF('Itemization 202401'!L35:L43,J57),COUNTIF('Itemization 202308'!L35:L43,J57),COUNTIF('Itemization 202306'!L35:L43,J57))</f>
        <v>0</v>
      </c>
      <c r="L57" s="171">
        <f>(K57/K116)</f>
        <v>0</v>
      </c>
      <c r="M57" s="188"/>
      <c r="N57" s="188"/>
      <c r="O57" s="191"/>
      <c r="P57" s="188"/>
      <c r="Q57" s="188"/>
      <c r="R57" s="189"/>
    </row>
    <row r="58" ht="15.75" customHeight="1">
      <c r="A58" s="190"/>
      <c r="B58" s="190"/>
      <c r="C58" s="190"/>
      <c r="D58" s="188"/>
      <c r="E58" s="188"/>
      <c r="F58" s="191"/>
      <c r="G58" s="188"/>
      <c r="H58" s="188"/>
      <c r="I58" s="191"/>
      <c r="J58" s="192" t="s">
        <v>154</v>
      </c>
      <c r="K58" s="167">
        <f>SUM(COUNTIF('Itemization 202506'!L35:L43,J58),COUNTIF('Itemization 202501'!L35:L43,J58),COUNTIF('Itemization 202408'!L35:L43,J58),COUNTIF('Itemization 202406'!L35:L43,J58),COUNTIF('Itemization 202401'!L35:L43,J58),COUNTIF('Itemization 202308'!L35:L43,J58),COUNTIF('Itemization 202306'!L35:L43,J58))</f>
        <v>2</v>
      </c>
      <c r="L58" s="168">
        <f>(K58/K116)</f>
        <v>0.0487804878</v>
      </c>
      <c r="M58" s="188"/>
      <c r="N58" s="188"/>
      <c r="O58" s="191"/>
      <c r="P58" s="188"/>
      <c r="Q58" s="188"/>
      <c r="R58" s="189"/>
    </row>
    <row r="59" ht="15.75" customHeight="1">
      <c r="A59" s="190"/>
      <c r="B59" s="190"/>
      <c r="C59" s="190"/>
      <c r="D59" s="188"/>
      <c r="E59" s="188"/>
      <c r="F59" s="191"/>
      <c r="G59" s="188"/>
      <c r="H59" s="188"/>
      <c r="I59" s="191"/>
      <c r="J59" s="203" t="s">
        <v>155</v>
      </c>
      <c r="K59" s="174">
        <f>SUM(COUNTIF('Itemization 202506'!L35:L43,J59),COUNTIF('Itemization 202501'!L35:L43,J59),COUNTIF('Itemization 202408'!L35:L43,J59),COUNTIF('Itemization 202406'!L35:L43,J59),COUNTIF('Itemization 202401'!L35:L43,J59),COUNTIF('Itemization 202308'!L35:L43,J59),COUNTIF('Itemization 202306'!L35:L43,J59))</f>
        <v>4</v>
      </c>
      <c r="L59" s="180">
        <f>(K59/K116)</f>
        <v>0.09756097561</v>
      </c>
      <c r="M59" s="188"/>
      <c r="N59" s="188"/>
      <c r="O59" s="191"/>
      <c r="P59" s="188"/>
      <c r="Q59" s="188"/>
      <c r="R59" s="189"/>
    </row>
    <row r="60" ht="15.75" customHeight="1">
      <c r="A60" s="190"/>
      <c r="B60" s="190"/>
      <c r="C60" s="190"/>
      <c r="D60" s="188"/>
      <c r="E60" s="188"/>
      <c r="F60" s="191"/>
      <c r="G60" s="188"/>
      <c r="H60" s="188"/>
      <c r="I60" s="191"/>
      <c r="J60" s="169" t="s">
        <v>156</v>
      </c>
      <c r="K60" s="170">
        <f>SUM(COUNTIF('Itemization 202506'!L35:L43,J60),COUNTIF('Itemization 202501'!L35:L43,J60),COUNTIF('Itemization 202408'!L35:L43,J60),COUNTIF('Itemization 202406'!L35:L43,J60),COUNTIF('Itemization 202401'!L35:L43,J60),COUNTIF('Itemization 202308'!L35:L43,J60),COUNTIF('Itemization 202306'!L35:L43,J60))</f>
        <v>0</v>
      </c>
      <c r="L60" s="171">
        <f>(K60/K116)</f>
        <v>0</v>
      </c>
      <c r="M60" s="188"/>
      <c r="N60" s="188"/>
      <c r="O60" s="191"/>
      <c r="P60" s="188"/>
      <c r="Q60" s="188"/>
      <c r="R60" s="189"/>
    </row>
    <row r="61" ht="15.75" customHeight="1">
      <c r="A61" s="190"/>
      <c r="B61" s="190"/>
      <c r="C61" s="190"/>
      <c r="D61" s="188"/>
      <c r="E61" s="188"/>
      <c r="F61" s="191"/>
      <c r="G61" s="188"/>
      <c r="H61" s="188"/>
      <c r="I61" s="191"/>
      <c r="J61" s="169" t="s">
        <v>157</v>
      </c>
      <c r="K61" s="170">
        <f>SUM(COUNTIF('Itemization 202506'!L35:L43,J61),COUNTIF('Itemization 202501'!L35:L43,J61),COUNTIF('Itemization 202408'!L35:L43,J61),COUNTIF('Itemization 202406'!L35:L43,J61),COUNTIF('Itemization 202401'!L35:L43,J61),COUNTIF('Itemization 202308'!L35:L43,J61),COUNTIF('Itemization 202306'!L35:L43,J61))</f>
        <v>0</v>
      </c>
      <c r="L61" s="171">
        <f>(K61/K116)</f>
        <v>0</v>
      </c>
      <c r="M61" s="188"/>
      <c r="N61" s="188"/>
      <c r="O61" s="191"/>
      <c r="P61" s="188"/>
      <c r="Q61" s="188"/>
      <c r="R61" s="189"/>
    </row>
    <row r="62" ht="15.75" customHeight="1">
      <c r="A62" s="190"/>
      <c r="B62" s="190"/>
      <c r="C62" s="190"/>
      <c r="D62" s="188"/>
      <c r="E62" s="188"/>
      <c r="F62" s="191"/>
      <c r="G62" s="188"/>
      <c r="H62" s="188"/>
      <c r="I62" s="191"/>
      <c r="J62" s="192" t="s">
        <v>158</v>
      </c>
      <c r="K62" s="167">
        <f>SUM(COUNTIF('Itemization 202506'!L35:L43,J62),COUNTIF('Itemization 202501'!L35:L43,J62),COUNTIF('Itemization 202408'!L35:L43,J62),COUNTIF('Itemization 202406'!L35:L43,J62),COUNTIF('Itemization 202401'!L35:L43,J62),COUNTIF('Itemization 202308'!L35:L43,J62),COUNTIF('Itemization 202306'!L35:L43,J62))</f>
        <v>2</v>
      </c>
      <c r="L62" s="168">
        <f>(K62/K116)</f>
        <v>0.0487804878</v>
      </c>
      <c r="M62" s="188"/>
      <c r="N62" s="188"/>
      <c r="O62" s="191"/>
      <c r="P62" s="188"/>
      <c r="Q62" s="188"/>
      <c r="R62" s="189"/>
    </row>
    <row r="63" ht="15.75" customHeight="1">
      <c r="A63" s="190"/>
      <c r="B63" s="190"/>
      <c r="C63" s="190"/>
      <c r="D63" s="188"/>
      <c r="E63" s="188"/>
      <c r="F63" s="191"/>
      <c r="G63" s="188"/>
      <c r="H63" s="188"/>
      <c r="I63" s="191"/>
      <c r="J63" s="204" t="s">
        <v>159</v>
      </c>
      <c r="K63" s="186">
        <f>SUM(COUNTIF('Itemization 202506'!L35:L43,J63),COUNTIF('Itemization 202501'!L35:L43,J63),COUNTIF('Itemization 202408'!L35:L43,J63),COUNTIF('Itemization 202406'!L35:L43,J63),COUNTIF('Itemization 202401'!L35:L43,J63),COUNTIF('Itemization 202308'!L35:L43,J63),COUNTIF('Itemization 202306'!L35:L43,J63))</f>
        <v>3</v>
      </c>
      <c r="L63" s="187">
        <f>(K63/K116)</f>
        <v>0.07317073171</v>
      </c>
      <c r="M63" s="188"/>
      <c r="N63" s="188"/>
      <c r="O63" s="191"/>
      <c r="P63" s="188"/>
      <c r="Q63" s="188"/>
      <c r="R63" s="189"/>
    </row>
    <row r="64" ht="15.75" customHeight="1">
      <c r="A64" s="190"/>
      <c r="B64" s="190"/>
      <c r="C64" s="190"/>
      <c r="D64" s="188"/>
      <c r="E64" s="188"/>
      <c r="F64" s="191"/>
      <c r="G64" s="188"/>
      <c r="H64" s="188"/>
      <c r="I64" s="191"/>
      <c r="J64" s="169" t="s">
        <v>160</v>
      </c>
      <c r="K64" s="170">
        <f>SUM(COUNTIF('Itemization 202506'!L35:L43,J64),COUNTIF('Itemization 202501'!L35:L43,J64),COUNTIF('Itemization 202408'!L35:L43,J64),COUNTIF('Itemization 202406'!L35:L43,J64),COUNTIF('Itemization 202401'!L35:L43,J64),COUNTIF('Itemization 202308'!L35:L43,J64),COUNTIF('Itemization 202306'!L35:L43,J64))</f>
        <v>0</v>
      </c>
      <c r="L64" s="171">
        <f>(K64/K116)</f>
        <v>0</v>
      </c>
      <c r="M64" s="188"/>
      <c r="N64" s="188"/>
      <c r="O64" s="191"/>
      <c r="P64" s="188"/>
      <c r="Q64" s="188"/>
      <c r="R64" s="189"/>
    </row>
    <row r="65" ht="15.75" customHeight="1">
      <c r="A65" s="190"/>
      <c r="B65" s="190"/>
      <c r="C65" s="190"/>
      <c r="D65" s="188"/>
      <c r="E65" s="188"/>
      <c r="F65" s="191"/>
      <c r="G65" s="188"/>
      <c r="H65" s="188"/>
      <c r="I65" s="191"/>
      <c r="J65" s="169" t="s">
        <v>161</v>
      </c>
      <c r="K65" s="170">
        <f>SUM(COUNTIF('Itemization 202506'!L35:L43,J65),COUNTIF('Itemization 202501'!L35:L43,J65),COUNTIF('Itemization 202408'!L35:L43,J65),COUNTIF('Itemization 202406'!L35:L43,J65),COUNTIF('Itemization 202401'!L35:L43,J65),COUNTIF('Itemization 202308'!L35:L43,J65),COUNTIF('Itemization 202306'!L35:L43,J65))</f>
        <v>0</v>
      </c>
      <c r="L65" s="171">
        <f>(K65/K116)</f>
        <v>0</v>
      </c>
      <c r="M65" s="188"/>
      <c r="N65" s="188"/>
      <c r="O65" s="191"/>
      <c r="P65" s="188"/>
      <c r="Q65" s="188"/>
      <c r="R65" s="189"/>
    </row>
    <row r="66" ht="15.75" customHeight="1">
      <c r="A66" s="190"/>
      <c r="B66" s="190"/>
      <c r="C66" s="190"/>
      <c r="D66" s="188"/>
      <c r="E66" s="188"/>
      <c r="F66" s="191"/>
      <c r="G66" s="188"/>
      <c r="H66" s="188"/>
      <c r="I66" s="191"/>
      <c r="J66" s="169" t="s">
        <v>162</v>
      </c>
      <c r="K66" s="170">
        <f>SUM(COUNTIF('Itemization 202506'!L35:L43,J66),COUNTIF('Itemization 202501'!L35:L43,J66),COUNTIF('Itemization 202408'!L35:L43,J66),COUNTIF('Itemization 202406'!L35:L43,J66),COUNTIF('Itemization 202401'!L35:L43,J66),COUNTIF('Itemization 202308'!L35:L43,J66),COUNTIF('Itemization 202306'!L35:L43,J66))</f>
        <v>0</v>
      </c>
      <c r="L66" s="171">
        <f>(K66/K116)</f>
        <v>0</v>
      </c>
      <c r="M66" s="188"/>
      <c r="N66" s="188"/>
      <c r="O66" s="191"/>
      <c r="P66" s="188"/>
      <c r="Q66" s="188"/>
      <c r="R66" s="189"/>
    </row>
    <row r="67" ht="15.75" customHeight="1">
      <c r="A67" s="190"/>
      <c r="B67" s="190"/>
      <c r="C67" s="190"/>
      <c r="D67" s="188"/>
      <c r="E67" s="188"/>
      <c r="F67" s="191"/>
      <c r="G67" s="188"/>
      <c r="H67" s="188"/>
      <c r="I67" s="191"/>
      <c r="J67" s="169" t="s">
        <v>163</v>
      </c>
      <c r="K67" s="170">
        <f>SUM(COUNTIF('Itemization 202506'!L35:L43,J67),COUNTIF('Itemization 202501'!L35:L43,J67),COUNTIF('Itemization 202408'!L35:L43,J67),COUNTIF('Itemization 202406'!L35:L43,J67),COUNTIF('Itemization 202401'!L35:L43,J67),COUNTIF('Itemization 202308'!L35:L43,J67),COUNTIF('Itemization 202306'!L35:L43,J67))</f>
        <v>0</v>
      </c>
      <c r="L67" s="171">
        <f>(K67/K116)</f>
        <v>0</v>
      </c>
      <c r="M67" s="188"/>
      <c r="N67" s="188"/>
      <c r="O67" s="191"/>
      <c r="P67" s="188"/>
      <c r="Q67" s="188"/>
      <c r="R67" s="189"/>
    </row>
    <row r="68" ht="15.75" customHeight="1">
      <c r="A68" s="190"/>
      <c r="B68" s="190"/>
      <c r="C68" s="190"/>
      <c r="D68" s="188"/>
      <c r="E68" s="188"/>
      <c r="F68" s="191"/>
      <c r="G68" s="188"/>
      <c r="H68" s="188"/>
      <c r="I68" s="191"/>
      <c r="J68" s="169" t="s">
        <v>164</v>
      </c>
      <c r="K68" s="170">
        <f>SUM(COUNTIF('Itemization 202506'!L35:L43,J68),COUNTIF('Itemization 202501'!L35:L43,J68),COUNTIF('Itemization 202408'!L35:L43,J68),COUNTIF('Itemization 202406'!L35:L43,J68),COUNTIF('Itemization 202401'!L35:L43,J68),COUNTIF('Itemization 202308'!L35:L43,J68),COUNTIF('Itemization 202306'!L35:L43,J68))</f>
        <v>0</v>
      </c>
      <c r="L68" s="171">
        <f>(K68/K116)</f>
        <v>0</v>
      </c>
      <c r="M68" s="188"/>
      <c r="N68" s="188"/>
      <c r="O68" s="191"/>
      <c r="P68" s="188"/>
      <c r="Q68" s="188"/>
      <c r="R68" s="189"/>
    </row>
    <row r="69" ht="15.75" customHeight="1">
      <c r="A69" s="190"/>
      <c r="B69" s="190"/>
      <c r="C69" s="190"/>
      <c r="D69" s="188"/>
      <c r="E69" s="188"/>
      <c r="F69" s="191"/>
      <c r="G69" s="188"/>
      <c r="H69" s="188"/>
      <c r="I69" s="191"/>
      <c r="J69" s="169" t="s">
        <v>165</v>
      </c>
      <c r="K69" s="170">
        <f>SUM(COUNTIF('Itemization 202506'!L35:L43,J69),COUNTIF('Itemization 202501'!L35:L43,J69),COUNTIF('Itemization 202408'!L35:L43,J69),COUNTIF('Itemization 202406'!L35:L43,J69),COUNTIF('Itemization 202401'!L35:L43,J69),COUNTIF('Itemization 202308'!L35:L43,J69),COUNTIF('Itemization 202306'!L35:L43,J69))</f>
        <v>0</v>
      </c>
      <c r="L69" s="171">
        <f>(K69/K116)</f>
        <v>0</v>
      </c>
      <c r="M69" s="188"/>
      <c r="N69" s="188"/>
      <c r="O69" s="191"/>
      <c r="P69" s="188"/>
      <c r="Q69" s="188"/>
      <c r="R69" s="189"/>
    </row>
    <row r="70" ht="15.75" customHeight="1">
      <c r="A70" s="190"/>
      <c r="B70" s="190"/>
      <c r="C70" s="190"/>
      <c r="D70" s="188"/>
      <c r="E70" s="188"/>
      <c r="F70" s="191"/>
      <c r="G70" s="188"/>
      <c r="H70" s="188"/>
      <c r="I70" s="191"/>
      <c r="J70" s="169" t="s">
        <v>166</v>
      </c>
      <c r="K70" s="170">
        <f>SUM(COUNTIF('Itemization 202506'!L35:L43,J70),COUNTIF('Itemization 202501'!L35:L43,J70),COUNTIF('Itemization 202408'!L35:L43,J70),COUNTIF('Itemization 202406'!L35:L43,J70),COUNTIF('Itemization 202401'!L35:L43,J70),COUNTIF('Itemization 202308'!L35:L43,J70),COUNTIF('Itemization 202306'!L35:L43,J70))</f>
        <v>0</v>
      </c>
      <c r="L70" s="171">
        <f>(K70/K116)</f>
        <v>0</v>
      </c>
      <c r="M70" s="188"/>
      <c r="N70" s="188"/>
      <c r="O70" s="191"/>
      <c r="P70" s="188"/>
      <c r="Q70" s="188"/>
      <c r="R70" s="189"/>
    </row>
    <row r="71" ht="15.75" customHeight="1">
      <c r="A71" s="190"/>
      <c r="B71" s="190"/>
      <c r="C71" s="190"/>
      <c r="D71" s="188"/>
      <c r="E71" s="188"/>
      <c r="F71" s="191"/>
      <c r="G71" s="188"/>
      <c r="H71" s="188"/>
      <c r="I71" s="191"/>
      <c r="J71" s="169" t="s">
        <v>167</v>
      </c>
      <c r="K71" s="170">
        <f>SUM(COUNTIF('Itemization 202506'!L35:L43,J71),COUNTIF('Itemization 202501'!L35:L43,J71),COUNTIF('Itemization 202408'!L35:L43,J71),COUNTIF('Itemization 202406'!L35:L43,J71),COUNTIF('Itemization 202401'!L35:L43,J71),COUNTIF('Itemization 202308'!L35:L43,J71),COUNTIF('Itemization 202306'!L35:L43,J71))</f>
        <v>0</v>
      </c>
      <c r="L71" s="171">
        <f>(K71/K116)</f>
        <v>0</v>
      </c>
      <c r="M71" s="188"/>
      <c r="N71" s="188"/>
      <c r="O71" s="191"/>
      <c r="P71" s="188"/>
      <c r="Q71" s="188"/>
      <c r="R71" s="189"/>
    </row>
    <row r="72" ht="15.75" customHeight="1">
      <c r="A72" s="190"/>
      <c r="B72" s="190"/>
      <c r="C72" s="190"/>
      <c r="D72" s="188"/>
      <c r="E72" s="188"/>
      <c r="F72" s="191"/>
      <c r="G72" s="188"/>
      <c r="H72" s="188"/>
      <c r="I72" s="191"/>
      <c r="J72" s="169" t="s">
        <v>168</v>
      </c>
      <c r="K72" s="170">
        <f>SUM(COUNTIF('Itemization 202506'!L35:L43,J72),COUNTIF('Itemization 202501'!L35:L43,J72),COUNTIF('Itemization 202408'!L35:L43,J72),COUNTIF('Itemization 202406'!L35:L43,J72),COUNTIF('Itemization 202401'!L35:L43,J72),COUNTIF('Itemization 202308'!L35:L43,J72),COUNTIF('Itemization 202306'!L35:L43,J72))</f>
        <v>0</v>
      </c>
      <c r="L72" s="171">
        <f>(K72/K116)</f>
        <v>0</v>
      </c>
      <c r="M72" s="188"/>
      <c r="N72" s="188"/>
      <c r="O72" s="191"/>
      <c r="P72" s="188"/>
      <c r="Q72" s="188"/>
      <c r="R72" s="189"/>
    </row>
    <row r="73" ht="15.75" customHeight="1">
      <c r="A73" s="190"/>
      <c r="B73" s="190"/>
      <c r="C73" s="190"/>
      <c r="D73" s="188"/>
      <c r="E73" s="188"/>
      <c r="F73" s="191"/>
      <c r="G73" s="188"/>
      <c r="H73" s="188"/>
      <c r="I73" s="191"/>
      <c r="J73" s="169" t="s">
        <v>169</v>
      </c>
      <c r="K73" s="170">
        <f>SUM(COUNTIF('Itemization 202506'!L35:L43,J73),COUNTIF('Itemization 202501'!L35:L43,J73),COUNTIF('Itemization 202408'!L35:L43,J73),COUNTIF('Itemization 202406'!L35:L43,J73),COUNTIF('Itemization 202401'!L35:L43,J73),COUNTIF('Itemization 202308'!L35:L43,J73),COUNTIF('Itemization 202306'!L35:L43,J73))</f>
        <v>0</v>
      </c>
      <c r="L73" s="171">
        <f>(K73/K116)</f>
        <v>0</v>
      </c>
      <c r="M73" s="188"/>
      <c r="N73" s="188"/>
      <c r="O73" s="191"/>
      <c r="P73" s="188"/>
      <c r="Q73" s="188"/>
      <c r="R73" s="189"/>
    </row>
    <row r="74" ht="15.75" customHeight="1">
      <c r="A74" s="190"/>
      <c r="B74" s="190"/>
      <c r="C74" s="190"/>
      <c r="D74" s="188"/>
      <c r="E74" s="188"/>
      <c r="F74" s="191"/>
      <c r="G74" s="188"/>
      <c r="H74" s="188"/>
      <c r="I74" s="191"/>
      <c r="J74" s="169" t="s">
        <v>170</v>
      </c>
      <c r="K74" s="170">
        <f>SUM(COUNTIF('Itemization 202506'!L35:L43,J74),COUNTIF('Itemization 202501'!L35:L43,J74),COUNTIF('Itemization 202408'!L35:L43,J74),COUNTIF('Itemization 202406'!L35:L43,J74),COUNTIF('Itemization 202401'!L35:L43,J74),COUNTIF('Itemization 202308'!L35:L43,J74),COUNTIF('Itemization 202306'!L35:L43,J74))</f>
        <v>0</v>
      </c>
      <c r="L74" s="171">
        <f>(K74/K116)</f>
        <v>0</v>
      </c>
      <c r="M74" s="188"/>
      <c r="N74" s="188"/>
      <c r="O74" s="191"/>
      <c r="P74" s="188"/>
      <c r="Q74" s="188"/>
      <c r="R74" s="189"/>
    </row>
    <row r="75" ht="15.75" customHeight="1">
      <c r="A75" s="190"/>
      <c r="B75" s="190"/>
      <c r="C75" s="190"/>
      <c r="D75" s="188"/>
      <c r="E75" s="188"/>
      <c r="F75" s="191"/>
      <c r="G75" s="188"/>
      <c r="H75" s="188"/>
      <c r="I75" s="191"/>
      <c r="J75" s="169" t="s">
        <v>171</v>
      </c>
      <c r="K75" s="170">
        <f>SUM(COUNTIF('Itemization 202506'!L35:L43,J75),COUNTIF('Itemization 202501'!L35:L43,J75),COUNTIF('Itemization 202408'!L35:L43,J75),COUNTIF('Itemization 202406'!L35:L43,J75),COUNTIF('Itemization 202401'!L35:L43,J75),COUNTIF('Itemization 202308'!L35:L43,J75),COUNTIF('Itemization 202306'!L35:L43,J75))</f>
        <v>0</v>
      </c>
      <c r="L75" s="171">
        <f>(K75/K116)</f>
        <v>0</v>
      </c>
      <c r="M75" s="188"/>
      <c r="N75" s="188"/>
      <c r="O75" s="191"/>
      <c r="P75" s="188"/>
      <c r="Q75" s="188"/>
      <c r="R75" s="189"/>
    </row>
    <row r="76" ht="15.75" customHeight="1">
      <c r="A76" s="190"/>
      <c r="B76" s="190"/>
      <c r="C76" s="190"/>
      <c r="D76" s="188"/>
      <c r="E76" s="188"/>
      <c r="F76" s="191"/>
      <c r="G76" s="188"/>
      <c r="H76" s="188"/>
      <c r="I76" s="191"/>
      <c r="J76" s="169" t="s">
        <v>172</v>
      </c>
      <c r="K76" s="170">
        <f>SUM(COUNTIF('Itemization 202506'!L35:L43,J76),COUNTIF('Itemization 202501'!L35:L43,J76),COUNTIF('Itemization 202408'!L35:L43,J76),COUNTIF('Itemization 202406'!L35:L43,J76),COUNTIF('Itemization 202401'!L35:L43,J76),COUNTIF('Itemization 202308'!L35:L43,J76),COUNTIF('Itemization 202306'!L35:L43,J76))</f>
        <v>0</v>
      </c>
      <c r="L76" s="171">
        <f>(K76/K116)</f>
        <v>0</v>
      </c>
      <c r="M76" s="188"/>
      <c r="N76" s="188"/>
      <c r="O76" s="191"/>
      <c r="P76" s="188"/>
      <c r="Q76" s="188"/>
      <c r="R76" s="189"/>
    </row>
    <row r="77" ht="15.75" customHeight="1">
      <c r="A77" s="190"/>
      <c r="B77" s="190"/>
      <c r="C77" s="190"/>
      <c r="D77" s="188"/>
      <c r="E77" s="188"/>
      <c r="F77" s="191"/>
      <c r="G77" s="188"/>
      <c r="H77" s="188"/>
      <c r="I77" s="191"/>
      <c r="J77" s="169" t="s">
        <v>173</v>
      </c>
      <c r="K77" s="170">
        <f>SUM(COUNTIF('Itemization 202506'!L35:L43,J77),COUNTIF('Itemization 202501'!L35:L43,J77),COUNTIF('Itemization 202408'!L35:L43,J77),COUNTIF('Itemization 202406'!L35:L43,J77),COUNTIF('Itemization 202401'!L35:L43,J77),COUNTIF('Itemization 202308'!L35:L43,J77),COUNTIF('Itemization 202306'!L35:L43,J77))</f>
        <v>0</v>
      </c>
      <c r="L77" s="171">
        <f>(K77/K116)</f>
        <v>0</v>
      </c>
      <c r="M77" s="188"/>
      <c r="N77" s="188"/>
      <c r="O77" s="191"/>
      <c r="P77" s="188"/>
      <c r="Q77" s="188"/>
      <c r="R77" s="189"/>
    </row>
    <row r="78" ht="15.75" customHeight="1">
      <c r="A78" s="190"/>
      <c r="B78" s="190"/>
      <c r="C78" s="190"/>
      <c r="D78" s="188"/>
      <c r="E78" s="188"/>
      <c r="F78" s="191"/>
      <c r="G78" s="188"/>
      <c r="H78" s="188"/>
      <c r="I78" s="191"/>
      <c r="J78" s="192" t="s">
        <v>174</v>
      </c>
      <c r="K78" s="167">
        <f>SUM(COUNTIF('Itemization 202506'!L35:L43,J78),COUNTIF('Itemization 202501'!L35:L43,J78),COUNTIF('Itemization 202408'!L35:L43,J78),COUNTIF('Itemization 202406'!L35:L43,J78),COUNTIF('Itemization 202401'!L35:L43,J78),COUNTIF('Itemization 202308'!L35:L43,J78),COUNTIF('Itemization 202306'!L35:L43,J78))</f>
        <v>1</v>
      </c>
      <c r="L78" s="168">
        <f>(K78/K116)</f>
        <v>0.0243902439</v>
      </c>
      <c r="M78" s="188"/>
      <c r="N78" s="188"/>
      <c r="O78" s="191"/>
      <c r="P78" s="188"/>
      <c r="Q78" s="188"/>
      <c r="R78" s="189"/>
    </row>
    <row r="79" ht="15.75" customHeight="1">
      <c r="A79" s="190"/>
      <c r="B79" s="190"/>
      <c r="C79" s="190"/>
      <c r="D79" s="188"/>
      <c r="E79" s="188"/>
      <c r="F79" s="191"/>
      <c r="G79" s="188"/>
      <c r="H79" s="188"/>
      <c r="I79" s="191"/>
      <c r="J79" s="169" t="s">
        <v>175</v>
      </c>
      <c r="K79" s="170">
        <f>SUM(COUNTIF('Itemization 202506'!L35:L43,J79),COUNTIF('Itemization 202501'!L35:L43,J79),COUNTIF('Itemization 202408'!L35:L43,J79),COUNTIF('Itemization 202406'!L35:L43,J79),COUNTIF('Itemization 202401'!L35:L43,J79),COUNTIF('Itemization 202308'!L35:L43,J79),COUNTIF('Itemization 202306'!L35:L43,J79))</f>
        <v>0</v>
      </c>
      <c r="L79" s="171">
        <f>(K79/K116)</f>
        <v>0</v>
      </c>
      <c r="M79" s="188"/>
      <c r="N79" s="188"/>
      <c r="O79" s="191"/>
      <c r="P79" s="188"/>
      <c r="Q79" s="188"/>
      <c r="R79" s="189"/>
    </row>
    <row r="80" ht="15.75" customHeight="1">
      <c r="A80" s="190"/>
      <c r="B80" s="190"/>
      <c r="C80" s="190"/>
      <c r="D80" s="188"/>
      <c r="E80" s="188"/>
      <c r="F80" s="191"/>
      <c r="G80" s="188"/>
      <c r="H80" s="188"/>
      <c r="I80" s="191"/>
      <c r="J80" s="169" t="s">
        <v>176</v>
      </c>
      <c r="K80" s="170">
        <f>SUM(COUNTIF('Itemization 202506'!L35:L43,J80),COUNTIF('Itemization 202501'!L35:L43,J80),COUNTIF('Itemization 202408'!L35:L43,J80),COUNTIF('Itemization 202406'!L35:L43,J80),COUNTIF('Itemization 202401'!L35:L43,J80),COUNTIF('Itemization 202308'!L35:L43,J80),COUNTIF('Itemization 202306'!L35:L43,J80))</f>
        <v>0</v>
      </c>
      <c r="L80" s="171">
        <f>(K80/K116)</f>
        <v>0</v>
      </c>
      <c r="M80" s="188"/>
      <c r="N80" s="188"/>
      <c r="O80" s="191"/>
      <c r="P80" s="188"/>
      <c r="Q80" s="188"/>
      <c r="R80" s="189"/>
    </row>
    <row r="81" ht="15.75" customHeight="1">
      <c r="A81" s="190"/>
      <c r="B81" s="190"/>
      <c r="C81" s="190"/>
      <c r="D81" s="188"/>
      <c r="E81" s="188"/>
      <c r="F81" s="191"/>
      <c r="G81" s="188"/>
      <c r="H81" s="188"/>
      <c r="I81" s="191"/>
      <c r="J81" s="169" t="s">
        <v>177</v>
      </c>
      <c r="K81" s="170">
        <f>SUM(COUNTIF('Itemization 202506'!L35:L43,J81),COUNTIF('Itemization 202501'!L35:L43,J81),COUNTIF('Itemization 202408'!L35:L43,J81),COUNTIF('Itemization 202406'!L35:L43,J81),COUNTIF('Itemization 202401'!L35:L43,J81),COUNTIF('Itemization 202308'!L35:L43,J81),COUNTIF('Itemization 202306'!L35:L43,J81))</f>
        <v>0</v>
      </c>
      <c r="L81" s="171">
        <f>(K81/K116)</f>
        <v>0</v>
      </c>
      <c r="M81" s="188"/>
      <c r="N81" s="188"/>
      <c r="O81" s="191"/>
      <c r="P81" s="188"/>
      <c r="Q81" s="188"/>
      <c r="R81" s="189"/>
    </row>
    <row r="82" ht="15.75" customHeight="1">
      <c r="A82" s="190"/>
      <c r="B82" s="190"/>
      <c r="C82" s="190"/>
      <c r="D82" s="188"/>
      <c r="E82" s="188"/>
      <c r="F82" s="191"/>
      <c r="G82" s="188"/>
      <c r="H82" s="188"/>
      <c r="I82" s="191"/>
      <c r="J82" s="202" t="s">
        <v>178</v>
      </c>
      <c r="K82" s="164">
        <f>SUM(COUNTIF('Itemization 202506'!L35:L43,J82),COUNTIF('Itemization 202501'!L35:L43,J82),COUNTIF('Itemization 202408'!L35:L43,J82),COUNTIF('Itemization 202406'!L35:L43,J82),COUNTIF('Itemization 202401'!L35:L43,J82),COUNTIF('Itemization 202308'!L35:L43,J82),COUNTIF('Itemization 202306'!L35:L43,J82))</f>
        <v>6</v>
      </c>
      <c r="L82" s="165">
        <f>(K82/K116)</f>
        <v>0.1463414634</v>
      </c>
      <c r="M82" s="188"/>
      <c r="N82" s="188"/>
      <c r="O82" s="191"/>
      <c r="P82" s="188"/>
      <c r="Q82" s="188"/>
      <c r="R82" s="189"/>
    </row>
    <row r="83" ht="15.75" customHeight="1">
      <c r="A83" s="190"/>
      <c r="B83" s="190"/>
      <c r="C83" s="190"/>
      <c r="D83" s="188"/>
      <c r="E83" s="188"/>
      <c r="F83" s="191"/>
      <c r="G83" s="188"/>
      <c r="H83" s="188"/>
      <c r="I83" s="191"/>
      <c r="J83" s="169" t="s">
        <v>179</v>
      </c>
      <c r="K83" s="170">
        <f>SUM(COUNTIF('Itemization 202506'!L35:L43,J83),COUNTIF('Itemization 202501'!L35:L43,J83),COUNTIF('Itemization 202408'!L35:L43,J83),COUNTIF('Itemization 202406'!L35:L43,J83),COUNTIF('Itemization 202401'!L35:L43,J83),COUNTIF('Itemization 202308'!L35:L43,J83),COUNTIF('Itemization 202306'!L35:L43,J83))</f>
        <v>0</v>
      </c>
      <c r="L83" s="171">
        <f>(K83/K116)</f>
        <v>0</v>
      </c>
      <c r="M83" s="188"/>
      <c r="N83" s="188"/>
      <c r="O83" s="191"/>
      <c r="P83" s="188"/>
      <c r="Q83" s="188"/>
      <c r="R83" s="189"/>
    </row>
    <row r="84" ht="15.75" customHeight="1">
      <c r="A84" s="190"/>
      <c r="B84" s="190"/>
      <c r="C84" s="190"/>
      <c r="D84" s="188"/>
      <c r="E84" s="188"/>
      <c r="F84" s="191"/>
      <c r="G84" s="188"/>
      <c r="H84" s="188"/>
      <c r="I84" s="191"/>
      <c r="J84" s="169" t="s">
        <v>180</v>
      </c>
      <c r="K84" s="170">
        <f>SUM(COUNTIF('Itemization 202506'!L35:L43,J84),COUNTIF('Itemization 202501'!L35:L43,J84),COUNTIF('Itemization 202408'!L35:L43,J84),COUNTIF('Itemization 202406'!L35:L43,J84),COUNTIF('Itemization 202401'!L35:L43,J84),COUNTIF('Itemization 202308'!L35:L43,J84),COUNTIF('Itemization 202306'!L35:L43,J84))</f>
        <v>0</v>
      </c>
      <c r="L84" s="171">
        <f>(K84/K116)</f>
        <v>0</v>
      </c>
      <c r="M84" s="188"/>
      <c r="N84" s="188"/>
      <c r="O84" s="191"/>
      <c r="P84" s="188"/>
      <c r="Q84" s="188"/>
      <c r="R84" s="189"/>
    </row>
    <row r="85" ht="15.75" customHeight="1">
      <c r="A85" s="190"/>
      <c r="B85" s="190"/>
      <c r="C85" s="190"/>
      <c r="D85" s="188"/>
      <c r="E85" s="188"/>
      <c r="F85" s="191"/>
      <c r="G85" s="188"/>
      <c r="H85" s="188"/>
      <c r="I85" s="191"/>
      <c r="J85" s="169" t="s">
        <v>181</v>
      </c>
      <c r="K85" s="170">
        <f>SUM(COUNTIF('Itemization 202506'!L35:L43,J85),COUNTIF('Itemization 202501'!L35:L43,J85),COUNTIF('Itemization 202408'!L35:L43,J85),COUNTIF('Itemization 202406'!L35:L43,J85),COUNTIF('Itemization 202401'!L35:L43,J85),COUNTIF('Itemization 202308'!L35:L43,J85),COUNTIF('Itemization 202306'!L35:L43,J85))</f>
        <v>0</v>
      </c>
      <c r="L85" s="171">
        <f>(K85/K116)</f>
        <v>0</v>
      </c>
      <c r="M85" s="188"/>
      <c r="N85" s="188"/>
      <c r="O85" s="191"/>
      <c r="P85" s="188"/>
      <c r="Q85" s="188"/>
      <c r="R85" s="189"/>
    </row>
    <row r="86" ht="15.75" customHeight="1">
      <c r="A86" s="190"/>
      <c r="B86" s="190"/>
      <c r="C86" s="190"/>
      <c r="D86" s="188"/>
      <c r="E86" s="188"/>
      <c r="F86" s="191"/>
      <c r="G86" s="188"/>
      <c r="H86" s="188"/>
      <c r="I86" s="191"/>
      <c r="J86" s="169" t="s">
        <v>182</v>
      </c>
      <c r="K86" s="170">
        <f>SUM(COUNTIF('Itemization 202506'!L35:L43,J86),COUNTIF('Itemization 202501'!L35:L43,J86),COUNTIF('Itemization 202408'!L35:L43,J86),COUNTIF('Itemization 202406'!L35:L43,J86),COUNTIF('Itemization 202401'!L35:L43,J86),COUNTIF('Itemization 202308'!L35:L43,J86),COUNTIF('Itemization 202306'!L35:L43,J86))</f>
        <v>0</v>
      </c>
      <c r="L86" s="171">
        <f>(K86/K116)</f>
        <v>0</v>
      </c>
      <c r="M86" s="188"/>
      <c r="N86" s="188"/>
      <c r="O86" s="191"/>
      <c r="P86" s="188"/>
      <c r="Q86" s="188"/>
      <c r="R86" s="189"/>
    </row>
    <row r="87" ht="15.75" customHeight="1">
      <c r="A87" s="190"/>
      <c r="B87" s="190"/>
      <c r="C87" s="190"/>
      <c r="D87" s="188"/>
      <c r="E87" s="188"/>
      <c r="F87" s="191"/>
      <c r="G87" s="188"/>
      <c r="H87" s="188"/>
      <c r="I87" s="191"/>
      <c r="J87" s="169" t="s">
        <v>183</v>
      </c>
      <c r="K87" s="170">
        <f>SUM(COUNTIF('Itemization 202506'!L35:L43,J87),COUNTIF('Itemization 202501'!L35:L43,J87),COUNTIF('Itemization 202408'!L35:L43,J87),COUNTIF('Itemization 202406'!L35:L43,J87),COUNTIF('Itemization 202401'!L35:L43,J87),COUNTIF('Itemization 202308'!L35:L43,J87),COUNTIF('Itemization 202306'!L35:L43,J87))</f>
        <v>0</v>
      </c>
      <c r="L87" s="171">
        <f>(K87/K116)</f>
        <v>0</v>
      </c>
      <c r="M87" s="188"/>
      <c r="N87" s="188"/>
      <c r="O87" s="191"/>
      <c r="P87" s="188"/>
      <c r="Q87" s="188"/>
      <c r="R87" s="189"/>
    </row>
    <row r="88" ht="15.75" customHeight="1">
      <c r="A88" s="190"/>
      <c r="B88" s="190"/>
      <c r="C88" s="190"/>
      <c r="D88" s="188"/>
      <c r="E88" s="188"/>
      <c r="F88" s="191"/>
      <c r="G88" s="188"/>
      <c r="H88" s="188"/>
      <c r="I88" s="191"/>
      <c r="J88" s="169" t="s">
        <v>184</v>
      </c>
      <c r="K88" s="170">
        <f>SUM(COUNTIF('Itemization 202506'!L35:L43,J88),COUNTIF('Itemization 202501'!L35:L43,J88),COUNTIF('Itemization 202408'!L35:L43,J88),COUNTIF('Itemization 202406'!L35:L43,J88),COUNTIF('Itemization 202401'!L35:L43,J88),COUNTIF('Itemization 202308'!L35:L43,J88),COUNTIF('Itemization 202306'!L35:L43,J88))</f>
        <v>0</v>
      </c>
      <c r="L88" s="171">
        <f>(K88/K116)</f>
        <v>0</v>
      </c>
      <c r="M88" s="188"/>
      <c r="N88" s="188"/>
      <c r="O88" s="191"/>
      <c r="P88" s="188"/>
      <c r="Q88" s="188"/>
      <c r="R88" s="189"/>
    </row>
    <row r="89" ht="15.75" customHeight="1">
      <c r="A89" s="190"/>
      <c r="B89" s="190"/>
      <c r="C89" s="190"/>
      <c r="D89" s="188"/>
      <c r="E89" s="188"/>
      <c r="F89" s="191"/>
      <c r="G89" s="188"/>
      <c r="H89" s="188"/>
      <c r="I89" s="191"/>
      <c r="J89" s="169" t="s">
        <v>185</v>
      </c>
      <c r="K89" s="170">
        <f>SUM(COUNTIF('Itemization 202506'!L35:L43,J89),COUNTIF('Itemization 202501'!L35:L43,J89),COUNTIF('Itemization 202408'!L35:L43,J89),COUNTIF('Itemization 202406'!L35:L43,J89),COUNTIF('Itemization 202401'!L35:L43,J89),COUNTIF('Itemization 202308'!L35:L43,J89),COUNTIF('Itemization 202306'!L35:L43,J89))</f>
        <v>0</v>
      </c>
      <c r="L89" s="171">
        <f>(K89/K116)</f>
        <v>0</v>
      </c>
      <c r="M89" s="188"/>
      <c r="N89" s="188"/>
      <c r="O89" s="191"/>
      <c r="P89" s="188"/>
      <c r="Q89" s="188"/>
      <c r="R89" s="189"/>
    </row>
    <row r="90" ht="15.75" customHeight="1">
      <c r="A90" s="190"/>
      <c r="B90" s="190"/>
      <c r="C90" s="190"/>
      <c r="D90" s="188"/>
      <c r="E90" s="188"/>
      <c r="F90" s="191"/>
      <c r="G90" s="188"/>
      <c r="H90" s="188"/>
      <c r="I90" s="191"/>
      <c r="J90" s="169" t="s">
        <v>186</v>
      </c>
      <c r="K90" s="170">
        <f>SUM(COUNTIF('Itemization 202506'!L35:L43,J90),COUNTIF('Itemization 202501'!L35:L43,J90),COUNTIF('Itemization 202408'!L35:L43,J90),COUNTIF('Itemization 202406'!L35:L43,J90),COUNTIF('Itemization 202401'!L35:L43,J90),COUNTIF('Itemization 202308'!L35:L43,J90),COUNTIF('Itemization 202306'!L35:L43,J90))</f>
        <v>0</v>
      </c>
      <c r="L90" s="171">
        <f>(K90/K116)</f>
        <v>0</v>
      </c>
      <c r="M90" s="188"/>
      <c r="N90" s="188"/>
      <c r="O90" s="191"/>
      <c r="P90" s="188"/>
      <c r="Q90" s="188"/>
      <c r="R90" s="189"/>
    </row>
    <row r="91" ht="15.75" customHeight="1">
      <c r="A91" s="190"/>
      <c r="B91" s="190"/>
      <c r="C91" s="190"/>
      <c r="D91" s="188"/>
      <c r="E91" s="188"/>
      <c r="F91" s="191"/>
      <c r="G91" s="188"/>
      <c r="H91" s="188"/>
      <c r="I91" s="191"/>
      <c r="J91" s="169" t="s">
        <v>187</v>
      </c>
      <c r="K91" s="170">
        <f>SUM(COUNTIF('Itemization 202506'!L35:L43,J91),COUNTIF('Itemization 202501'!L35:L43,J91),COUNTIF('Itemization 202408'!L35:L43,J91),COUNTIF('Itemization 202406'!L35:L43,J91),COUNTIF('Itemization 202401'!L35:L43,J91),COUNTIF('Itemization 202308'!L35:L43,J91),COUNTIF('Itemization 202306'!L35:L43,J91))</f>
        <v>0</v>
      </c>
      <c r="L91" s="171">
        <f>(K91/K116)</f>
        <v>0</v>
      </c>
      <c r="M91" s="188"/>
      <c r="N91" s="188"/>
      <c r="O91" s="191"/>
      <c r="P91" s="188"/>
      <c r="Q91" s="188"/>
      <c r="R91" s="189"/>
    </row>
    <row r="92" ht="15.75" customHeight="1">
      <c r="A92" s="190"/>
      <c r="B92" s="190"/>
      <c r="C92" s="190"/>
      <c r="D92" s="188"/>
      <c r="E92" s="188"/>
      <c r="F92" s="191"/>
      <c r="G92" s="188"/>
      <c r="H92" s="188"/>
      <c r="I92" s="191"/>
      <c r="J92" s="169" t="s">
        <v>188</v>
      </c>
      <c r="K92" s="170">
        <f>SUM(COUNTIF('Itemization 202506'!L35:L43,J92),COUNTIF('Itemization 202501'!L35:L43,J92),COUNTIF('Itemization 202408'!L35:L43,J92),COUNTIF('Itemization 202406'!L35:L43,J92),COUNTIF('Itemization 202401'!L35:L43,J92),COUNTIF('Itemization 202308'!L35:L43,J92),COUNTIF('Itemization 202306'!L35:L43,J92))</f>
        <v>0</v>
      </c>
      <c r="L92" s="171">
        <f>(K92/K116)</f>
        <v>0</v>
      </c>
      <c r="M92" s="188"/>
      <c r="N92" s="188"/>
      <c r="O92" s="191"/>
      <c r="P92" s="188"/>
      <c r="Q92" s="188"/>
      <c r="R92" s="189"/>
    </row>
    <row r="93" ht="15.75" customHeight="1">
      <c r="A93" s="190"/>
      <c r="B93" s="190"/>
      <c r="C93" s="190"/>
      <c r="D93" s="188"/>
      <c r="E93" s="188"/>
      <c r="F93" s="191"/>
      <c r="G93" s="188"/>
      <c r="H93" s="188"/>
      <c r="I93" s="191"/>
      <c r="J93" s="169" t="s">
        <v>189</v>
      </c>
      <c r="K93" s="170">
        <f>SUM(COUNTIF('Itemization 202506'!L35:L43,J93),COUNTIF('Itemization 202501'!L35:L43,J93),COUNTIF('Itemization 202408'!L35:L43,J93),COUNTIF('Itemization 202406'!L35:L43,J93),COUNTIF('Itemization 202401'!L35:L43,J93),COUNTIF('Itemization 202308'!L35:L43,J93),COUNTIF('Itemization 202306'!L35:L43,J93))</f>
        <v>0</v>
      </c>
      <c r="L93" s="171">
        <f>(K93/K116)</f>
        <v>0</v>
      </c>
      <c r="M93" s="188"/>
      <c r="N93" s="188"/>
      <c r="O93" s="191"/>
      <c r="P93" s="188"/>
      <c r="Q93" s="188"/>
      <c r="R93" s="189"/>
    </row>
    <row r="94" ht="15.75" customHeight="1">
      <c r="A94" s="190"/>
      <c r="B94" s="190"/>
      <c r="C94" s="190"/>
      <c r="D94" s="188"/>
      <c r="E94" s="188"/>
      <c r="F94" s="191"/>
      <c r="G94" s="188"/>
      <c r="H94" s="188"/>
      <c r="I94" s="191"/>
      <c r="J94" s="169" t="s">
        <v>190</v>
      </c>
      <c r="K94" s="170">
        <f>SUM(COUNTIF('Itemization 202506'!L35:L43,J94),COUNTIF('Itemization 202501'!L35:L43,J94),COUNTIF('Itemization 202408'!L35:L43,J94),COUNTIF('Itemization 202406'!L35:L43,J94),COUNTIF('Itemization 202401'!L35:L43,J94),COUNTIF('Itemization 202308'!L35:L43,J94),COUNTIF('Itemization 202306'!L35:L43,J94))</f>
        <v>0</v>
      </c>
      <c r="L94" s="171">
        <f>(K94/K116)</f>
        <v>0</v>
      </c>
      <c r="M94" s="188"/>
      <c r="N94" s="188"/>
      <c r="O94" s="191"/>
      <c r="P94" s="188"/>
      <c r="Q94" s="188"/>
      <c r="R94" s="189"/>
    </row>
    <row r="95" ht="15.75" customHeight="1">
      <c r="A95" s="190"/>
      <c r="B95" s="190"/>
      <c r="C95" s="190"/>
      <c r="D95" s="188"/>
      <c r="E95" s="188"/>
      <c r="F95" s="191"/>
      <c r="G95" s="188"/>
      <c r="H95" s="188"/>
      <c r="I95" s="191"/>
      <c r="J95" s="169" t="s">
        <v>191</v>
      </c>
      <c r="K95" s="170">
        <f>SUM(COUNTIF('Itemization 202506'!L35:L43,J95),COUNTIF('Itemization 202501'!L35:L43,J95),COUNTIF('Itemization 202408'!L35:L43,J95),COUNTIF('Itemization 202406'!L35:L43,J95),COUNTIF('Itemization 202401'!L35:L43,J95),COUNTIF('Itemization 202308'!L35:L43,J95),COUNTIF('Itemization 202306'!L35:L43,J95))</f>
        <v>0</v>
      </c>
      <c r="L95" s="171">
        <f>(K95/K116)</f>
        <v>0</v>
      </c>
      <c r="M95" s="188"/>
      <c r="N95" s="188"/>
      <c r="O95" s="191"/>
      <c r="P95" s="188"/>
      <c r="Q95" s="188"/>
      <c r="R95" s="189"/>
    </row>
    <row r="96" ht="15.75" customHeight="1">
      <c r="A96" s="190"/>
      <c r="B96" s="190"/>
      <c r="C96" s="190"/>
      <c r="D96" s="188"/>
      <c r="E96" s="188"/>
      <c r="F96" s="191"/>
      <c r="G96" s="188"/>
      <c r="H96" s="188"/>
      <c r="I96" s="191"/>
      <c r="J96" s="169" t="s">
        <v>192</v>
      </c>
      <c r="K96" s="170">
        <f>SUM(COUNTIF('Itemization 202506'!L35:L43,J96),COUNTIF('Itemization 202501'!L35:L43,J96),COUNTIF('Itemization 202408'!L35:L43,J96),COUNTIF('Itemization 202406'!L35:L43,J96),COUNTIF('Itemization 202401'!L35:L43,J96),COUNTIF('Itemization 202308'!L35:L43,J96),COUNTIF('Itemization 202306'!L35:L43,J96))</f>
        <v>0</v>
      </c>
      <c r="L96" s="171">
        <f>(K96/K116)</f>
        <v>0</v>
      </c>
      <c r="M96" s="188"/>
      <c r="N96" s="188"/>
      <c r="O96" s="191"/>
      <c r="P96" s="188"/>
      <c r="Q96" s="188"/>
      <c r="R96" s="189"/>
    </row>
    <row r="97" ht="15.75" customHeight="1">
      <c r="A97" s="190"/>
      <c r="B97" s="190"/>
      <c r="C97" s="190"/>
      <c r="D97" s="188"/>
      <c r="E97" s="188"/>
      <c r="F97" s="191"/>
      <c r="G97" s="188"/>
      <c r="H97" s="188"/>
      <c r="I97" s="191"/>
      <c r="J97" s="169" t="s">
        <v>193</v>
      </c>
      <c r="K97" s="170">
        <f>SUM(COUNTIF('Itemization 202506'!L35:L43,J97),COUNTIF('Itemization 202501'!L35:L43,J97),COUNTIF('Itemization 202408'!L35:L43,J97),COUNTIF('Itemization 202406'!L35:L43,J97),COUNTIF('Itemization 202401'!L35:L43,J97),COUNTIF('Itemization 202308'!L35:L43,J97),COUNTIF('Itemization 202306'!L35:L43,J97))</f>
        <v>0</v>
      </c>
      <c r="L97" s="171">
        <f>(K97/K116)</f>
        <v>0</v>
      </c>
      <c r="M97" s="188"/>
      <c r="N97" s="188"/>
      <c r="O97" s="191"/>
      <c r="P97" s="188"/>
      <c r="Q97" s="188"/>
      <c r="R97" s="189"/>
    </row>
    <row r="98" ht="15.75" customHeight="1">
      <c r="A98" s="190"/>
      <c r="B98" s="190"/>
      <c r="C98" s="190"/>
      <c r="D98" s="188"/>
      <c r="E98" s="188"/>
      <c r="F98" s="191"/>
      <c r="G98" s="188"/>
      <c r="H98" s="188"/>
      <c r="I98" s="191"/>
      <c r="J98" s="169" t="s">
        <v>194</v>
      </c>
      <c r="K98" s="170">
        <f>SUM(COUNTIF('Itemization 202506'!L35:L43,J98),COUNTIF('Itemization 202501'!L35:L43,J98),COUNTIF('Itemization 202408'!L35:L43,J98),COUNTIF('Itemization 202406'!L35:L43,J98),COUNTIF('Itemization 202401'!L35:L43,J98),COUNTIF('Itemization 202308'!L35:L43,J98),COUNTIF('Itemization 202306'!L35:L43,J98))</f>
        <v>0</v>
      </c>
      <c r="L98" s="171">
        <f>(K98/K116)</f>
        <v>0</v>
      </c>
      <c r="M98" s="188"/>
      <c r="N98" s="188"/>
      <c r="O98" s="191"/>
      <c r="P98" s="188"/>
      <c r="Q98" s="188"/>
      <c r="R98" s="189"/>
    </row>
    <row r="99" ht="15.75" customHeight="1">
      <c r="A99" s="190"/>
      <c r="B99" s="190"/>
      <c r="C99" s="190"/>
      <c r="D99" s="188"/>
      <c r="E99" s="188"/>
      <c r="F99" s="191"/>
      <c r="G99" s="188"/>
      <c r="H99" s="188"/>
      <c r="I99" s="191"/>
      <c r="J99" s="169" t="s">
        <v>195</v>
      </c>
      <c r="K99" s="170">
        <f>SUM(COUNTIF('Itemization 202506'!L35:L43,J99),COUNTIF('Itemization 202501'!L35:L43,J99),COUNTIF('Itemization 202408'!L35:L43,J99),COUNTIF('Itemization 202406'!L35:L43,J99),COUNTIF('Itemization 202401'!L35:L43,J99),COUNTIF('Itemization 202308'!L35:L43,J99),COUNTIF('Itemization 202306'!L35:L43,J99))</f>
        <v>0</v>
      </c>
      <c r="L99" s="171">
        <f>(K99/K116)</f>
        <v>0</v>
      </c>
      <c r="M99" s="188"/>
      <c r="N99" s="188"/>
      <c r="O99" s="191"/>
      <c r="P99" s="188"/>
      <c r="Q99" s="188"/>
      <c r="R99" s="189"/>
    </row>
    <row r="100" ht="15.75" customHeight="1">
      <c r="A100" s="190"/>
      <c r="B100" s="190"/>
      <c r="C100" s="190"/>
      <c r="D100" s="188"/>
      <c r="E100" s="188"/>
      <c r="F100" s="191"/>
      <c r="G100" s="188"/>
      <c r="H100" s="188"/>
      <c r="I100" s="191"/>
      <c r="J100" s="192" t="s">
        <v>196</v>
      </c>
      <c r="K100" s="167">
        <f>SUM(COUNTIF('Itemization 202506'!L35:L43,J100),COUNTIF('Itemization 202501'!L35:L43,J100),COUNTIF('Itemization 202408'!L35:L43,J100),COUNTIF('Itemization 202406'!L35:L43,J100),COUNTIF('Itemization 202401'!L35:L43,J100),COUNTIF('Itemization 202308'!L35:L43,J100),COUNTIF('Itemization 202306'!L35:L43,J100))</f>
        <v>1</v>
      </c>
      <c r="L100" s="168">
        <f>(K100/K116)</f>
        <v>0.0243902439</v>
      </c>
      <c r="M100" s="188"/>
      <c r="N100" s="188"/>
      <c r="O100" s="191"/>
      <c r="P100" s="188"/>
      <c r="Q100" s="188"/>
      <c r="R100" s="189"/>
    </row>
    <row r="101" ht="15.75" customHeight="1">
      <c r="A101" s="190"/>
      <c r="B101" s="190"/>
      <c r="C101" s="190"/>
      <c r="D101" s="188"/>
      <c r="E101" s="188"/>
      <c r="F101" s="191"/>
      <c r="G101" s="188"/>
      <c r="H101" s="188"/>
      <c r="I101" s="191"/>
      <c r="J101" s="204" t="s">
        <v>197</v>
      </c>
      <c r="K101" s="186">
        <f>SUM(COUNTIF('Itemization 202506'!L35:L43,J101),COUNTIF('Itemization 202501'!L35:L43,J101),COUNTIF('Itemization 202408'!L35:L43,J101),COUNTIF('Itemization 202406'!L35:L43,J101),COUNTIF('Itemization 202401'!L35:L43,J101),COUNTIF('Itemization 202308'!L35:L43,J101),COUNTIF('Itemization 202306'!L35:L43,J101))</f>
        <v>3</v>
      </c>
      <c r="L101" s="187">
        <f>(K101/K116)</f>
        <v>0.07317073171</v>
      </c>
      <c r="M101" s="188"/>
      <c r="N101" s="188"/>
      <c r="O101" s="191"/>
      <c r="P101" s="188"/>
      <c r="Q101" s="188"/>
      <c r="R101" s="189"/>
    </row>
    <row r="102" ht="15.75" customHeight="1">
      <c r="A102" s="190"/>
      <c r="B102" s="190"/>
      <c r="C102" s="190"/>
      <c r="D102" s="188"/>
      <c r="E102" s="188"/>
      <c r="F102" s="191"/>
      <c r="G102" s="188"/>
      <c r="H102" s="188"/>
      <c r="I102" s="191"/>
      <c r="J102" s="169" t="s">
        <v>198</v>
      </c>
      <c r="K102" s="170">
        <f>SUM(COUNTIF('Itemization 202506'!L35:L43,J102),COUNTIF('Itemization 202501'!L35:L43,J102),COUNTIF('Itemization 202408'!L35:L43,J102),COUNTIF('Itemization 202406'!L35:L43,J102),COUNTIF('Itemization 202401'!L35:L43,J102),COUNTIF('Itemization 202308'!L35:L43,J102),COUNTIF('Itemization 202306'!L35:L43,J102))</f>
        <v>0</v>
      </c>
      <c r="L102" s="171">
        <f>(K102/K116)</f>
        <v>0</v>
      </c>
      <c r="M102" s="188"/>
      <c r="N102" s="188"/>
      <c r="O102" s="191"/>
      <c r="P102" s="188"/>
      <c r="Q102" s="188"/>
      <c r="R102" s="189"/>
    </row>
    <row r="103" ht="15.75" customHeight="1">
      <c r="A103" s="190"/>
      <c r="B103" s="190"/>
      <c r="C103" s="190"/>
      <c r="D103" s="188"/>
      <c r="E103" s="188"/>
      <c r="F103" s="191"/>
      <c r="G103" s="188"/>
      <c r="H103" s="188"/>
      <c r="I103" s="191"/>
      <c r="J103" s="204" t="s">
        <v>199</v>
      </c>
      <c r="K103" s="186">
        <f>SUM(COUNTIF('Itemization 202506'!L35:L43,J103),COUNTIF('Itemization 202501'!L35:L43,J103),COUNTIF('Itemization 202408'!L35:L43,J103),COUNTIF('Itemization 202406'!L35:L43,J103),COUNTIF('Itemization 202401'!L35:L43,J103),COUNTIF('Itemization 202308'!L35:L43,J103),COUNTIF('Itemization 202306'!L35:L43,J103))</f>
        <v>3</v>
      </c>
      <c r="L103" s="187">
        <f>(K103/K116)</f>
        <v>0.07317073171</v>
      </c>
      <c r="M103" s="188"/>
      <c r="N103" s="188"/>
      <c r="O103" s="191"/>
      <c r="P103" s="188"/>
      <c r="Q103" s="188"/>
      <c r="R103" s="189"/>
    </row>
    <row r="104" ht="15.75" customHeight="1">
      <c r="A104" s="190"/>
      <c r="B104" s="190"/>
      <c r="C104" s="190"/>
      <c r="D104" s="188"/>
      <c r="E104" s="188"/>
      <c r="F104" s="191"/>
      <c r="G104" s="188"/>
      <c r="H104" s="188"/>
      <c r="I104" s="191"/>
      <c r="J104" s="169" t="s">
        <v>200</v>
      </c>
      <c r="K104" s="170">
        <f>SUM(COUNTIF('Itemization 202506'!L35:L43,J104),COUNTIF('Itemization 202501'!L35:L43,J104),COUNTIF('Itemization 202408'!L35:L43,J104),COUNTIF('Itemization 202406'!L35:L43,J104),COUNTIF('Itemization 202401'!L35:L43,J104),COUNTIF('Itemization 202308'!L35:L43,J104),COUNTIF('Itemization 202306'!L35:L43,J104))</f>
        <v>0</v>
      </c>
      <c r="L104" s="171">
        <f>(K104/K116)</f>
        <v>0</v>
      </c>
      <c r="M104" s="188"/>
      <c r="N104" s="188"/>
      <c r="O104" s="191"/>
      <c r="P104" s="188"/>
      <c r="Q104" s="188"/>
      <c r="R104" s="189"/>
    </row>
    <row r="105" ht="15.75" customHeight="1">
      <c r="A105" s="190"/>
      <c r="B105" s="190"/>
      <c r="C105" s="190"/>
      <c r="D105" s="188"/>
      <c r="E105" s="188"/>
      <c r="F105" s="191"/>
      <c r="G105" s="188"/>
      <c r="H105" s="188"/>
      <c r="I105" s="191"/>
      <c r="J105" s="169" t="s">
        <v>201</v>
      </c>
      <c r="K105" s="170">
        <f>SUM(COUNTIF('Itemization 202506'!L35:L43,J105),COUNTIF('Itemization 202501'!L35:L43,J105),COUNTIF('Itemization 202408'!L35:L43,J105),COUNTIF('Itemization 202406'!L35:L43,J105),COUNTIF('Itemization 202401'!L35:L43,J105),COUNTIF('Itemization 202308'!L35:L43,J105),COUNTIF('Itemization 202306'!L35:L43,J105))</f>
        <v>0</v>
      </c>
      <c r="L105" s="171">
        <f>(K105/K116)</f>
        <v>0</v>
      </c>
      <c r="M105" s="188"/>
      <c r="N105" s="188"/>
      <c r="O105" s="191"/>
      <c r="P105" s="188"/>
      <c r="Q105" s="188"/>
      <c r="R105" s="189"/>
    </row>
    <row r="106" ht="15.75" customHeight="1">
      <c r="A106" s="190"/>
      <c r="B106" s="190"/>
      <c r="C106" s="190"/>
      <c r="D106" s="188"/>
      <c r="E106" s="188"/>
      <c r="F106" s="191"/>
      <c r="G106" s="188"/>
      <c r="H106" s="188"/>
      <c r="I106" s="191"/>
      <c r="J106" s="169" t="s">
        <v>202</v>
      </c>
      <c r="K106" s="170">
        <f>SUM(COUNTIF('Itemization 202506'!L35:L43,J106),COUNTIF('Itemization 202501'!L35:L43,J106),COUNTIF('Itemization 202408'!L35:L43,J106),COUNTIF('Itemization 202406'!L35:L43,J106),COUNTIF('Itemization 202401'!L35:L43,J106),COUNTIF('Itemization 202308'!L35:L43,J106),COUNTIF('Itemization 202306'!L35:L43,J106))</f>
        <v>0</v>
      </c>
      <c r="L106" s="171">
        <f>(K106/K116)</f>
        <v>0</v>
      </c>
      <c r="M106" s="188"/>
      <c r="N106" s="188"/>
      <c r="O106" s="191"/>
      <c r="P106" s="188"/>
      <c r="Q106" s="188"/>
      <c r="R106" s="189"/>
    </row>
    <row r="107" ht="15.75" customHeight="1">
      <c r="A107" s="190"/>
      <c r="B107" s="190"/>
      <c r="C107" s="190"/>
      <c r="D107" s="188"/>
      <c r="E107" s="188"/>
      <c r="F107" s="191"/>
      <c r="G107" s="188"/>
      <c r="H107" s="188"/>
      <c r="I107" s="191"/>
      <c r="J107" s="169" t="s">
        <v>203</v>
      </c>
      <c r="K107" s="170">
        <f>SUM(COUNTIF('Itemization 202506'!L35:L43,J107),COUNTIF('Itemization 202501'!L35:L43,J107),COUNTIF('Itemization 202408'!L35:L43,J107),COUNTIF('Itemization 202406'!L35:L43,J107),COUNTIF('Itemization 202401'!L35:L43,J107),COUNTIF('Itemization 202308'!L35:L43,J107),COUNTIF('Itemization 202306'!L35:L43,J107))</f>
        <v>0</v>
      </c>
      <c r="L107" s="171">
        <f>(K107/K116)</f>
        <v>0</v>
      </c>
      <c r="M107" s="188"/>
      <c r="N107" s="188"/>
      <c r="O107" s="191"/>
      <c r="P107" s="188"/>
      <c r="Q107" s="188"/>
      <c r="R107" s="189"/>
    </row>
    <row r="108" ht="15.75" customHeight="1">
      <c r="A108" s="190"/>
      <c r="B108" s="190"/>
      <c r="C108" s="190"/>
      <c r="D108" s="188"/>
      <c r="E108" s="188"/>
      <c r="F108" s="191"/>
      <c r="G108" s="188"/>
      <c r="H108" s="188"/>
      <c r="I108" s="191"/>
      <c r="J108" s="169" t="s">
        <v>204</v>
      </c>
      <c r="K108" s="170">
        <f>SUM(COUNTIF('Itemization 202506'!L35:L43,J108),COUNTIF('Itemization 202501'!L35:L43,J108),COUNTIF('Itemization 202408'!L35:L43,J108),COUNTIF('Itemization 202406'!L35:L43,J108),COUNTIF('Itemization 202401'!L35:L43,J108),COUNTIF('Itemization 202308'!L35:L43,J108),COUNTIF('Itemization 202306'!L35:L43,J108))</f>
        <v>0</v>
      </c>
      <c r="L108" s="171">
        <f>(K108/K116)</f>
        <v>0</v>
      </c>
      <c r="M108" s="188"/>
      <c r="N108" s="188"/>
      <c r="O108" s="191"/>
      <c r="P108" s="188"/>
      <c r="Q108" s="188"/>
      <c r="R108" s="189"/>
    </row>
    <row r="109" ht="15.75" customHeight="1">
      <c r="A109" s="190"/>
      <c r="B109" s="190"/>
      <c r="C109" s="190"/>
      <c r="D109" s="188"/>
      <c r="E109" s="188"/>
      <c r="F109" s="191"/>
      <c r="G109" s="188"/>
      <c r="H109" s="188"/>
      <c r="I109" s="191"/>
      <c r="J109" s="169" t="s">
        <v>205</v>
      </c>
      <c r="K109" s="170">
        <f>SUM(COUNTIF('Itemization 202506'!L35:L43,J109),COUNTIF('Itemization 202501'!L35:L43,J109),COUNTIF('Itemization 202408'!L35:L43,J109),COUNTIF('Itemization 202406'!L35:L43,J109),COUNTIF('Itemization 202401'!L35:L43,J109),COUNTIF('Itemization 202308'!L35:L43,J109),COUNTIF('Itemization 202306'!L35:L43,J109))</f>
        <v>0</v>
      </c>
      <c r="L109" s="171">
        <f>(K109/K116)</f>
        <v>0</v>
      </c>
      <c r="M109" s="188"/>
      <c r="N109" s="188"/>
      <c r="O109" s="191"/>
      <c r="P109" s="188"/>
      <c r="Q109" s="188"/>
      <c r="R109" s="189"/>
    </row>
    <row r="110" ht="15.75" customHeight="1">
      <c r="A110" s="190"/>
      <c r="B110" s="190"/>
      <c r="C110" s="190"/>
      <c r="D110" s="188"/>
      <c r="E110" s="188"/>
      <c r="F110" s="191"/>
      <c r="G110" s="188"/>
      <c r="H110" s="188"/>
      <c r="I110" s="191"/>
      <c r="J110" s="169" t="s">
        <v>206</v>
      </c>
      <c r="K110" s="170">
        <f>SUM(COUNTIF('Itemization 202506'!L35:L43,J110),COUNTIF('Itemization 202501'!L35:L43,J110),COUNTIF('Itemization 202408'!L35:L43,J110),COUNTIF('Itemization 202406'!L35:L43,J110),COUNTIF('Itemization 202401'!L35:L43,J110),COUNTIF('Itemization 202308'!L35:L43,J110),COUNTIF('Itemization 202306'!L35:L43,J110))</f>
        <v>0</v>
      </c>
      <c r="L110" s="171">
        <f>(K110/K116)</f>
        <v>0</v>
      </c>
      <c r="M110" s="188"/>
      <c r="N110" s="188"/>
      <c r="O110" s="191"/>
      <c r="P110" s="188"/>
      <c r="Q110" s="188"/>
      <c r="R110" s="189"/>
    </row>
    <row r="111" ht="15.75" customHeight="1">
      <c r="A111" s="190"/>
      <c r="B111" s="190"/>
      <c r="C111" s="190"/>
      <c r="D111" s="188"/>
      <c r="E111" s="188"/>
      <c r="F111" s="191"/>
      <c r="G111" s="188"/>
      <c r="H111" s="188"/>
      <c r="I111" s="191"/>
      <c r="J111" s="169" t="s">
        <v>207</v>
      </c>
      <c r="K111" s="170">
        <f>SUM(COUNTIF('Itemization 202506'!L35:L43,J111),COUNTIF('Itemization 202501'!L35:L43,J111),COUNTIF('Itemization 202408'!L35:L43,J111),COUNTIF('Itemization 202406'!L35:L43,J111),COUNTIF('Itemization 202401'!L35:L43,J111),COUNTIF('Itemization 202308'!L35:L43,J111),COUNTIF('Itemization 202306'!L35:L43,J111))</f>
        <v>0</v>
      </c>
      <c r="L111" s="171">
        <f>(K111/K116)</f>
        <v>0</v>
      </c>
      <c r="M111" s="188"/>
      <c r="N111" s="188"/>
      <c r="O111" s="191"/>
      <c r="P111" s="188"/>
      <c r="Q111" s="188"/>
      <c r="R111" s="189"/>
    </row>
    <row r="112" ht="15.75" customHeight="1">
      <c r="A112" s="190"/>
      <c r="B112" s="190"/>
      <c r="C112" s="190"/>
      <c r="D112" s="188"/>
      <c r="E112" s="188"/>
      <c r="F112" s="191"/>
      <c r="G112" s="188"/>
      <c r="H112" s="188"/>
      <c r="I112" s="191"/>
      <c r="J112" s="169" t="s">
        <v>208</v>
      </c>
      <c r="K112" s="170">
        <f>SUM(COUNTIF('Itemization 202506'!L35:L43,J112),COUNTIF('Itemization 202501'!L35:L43,J112),COUNTIF('Itemization 202408'!L35:L43,J112),COUNTIF('Itemization 202406'!L35:L43,J112),COUNTIF('Itemization 202401'!L35:L43,J112),COUNTIF('Itemization 202308'!L35:L43,J112),COUNTIF('Itemization 202306'!L35:L43,J112))</f>
        <v>0</v>
      </c>
      <c r="L112" s="171">
        <f>(K112/K116)</f>
        <v>0</v>
      </c>
      <c r="M112" s="188"/>
      <c r="N112" s="188"/>
      <c r="O112" s="191"/>
      <c r="P112" s="188"/>
      <c r="Q112" s="188"/>
      <c r="R112" s="189"/>
    </row>
    <row r="113" ht="15.75" customHeight="1">
      <c r="A113" s="190"/>
      <c r="B113" s="190"/>
      <c r="C113" s="190"/>
      <c r="D113" s="188"/>
      <c r="E113" s="188"/>
      <c r="F113" s="191"/>
      <c r="G113" s="188"/>
      <c r="H113" s="188"/>
      <c r="I113" s="191"/>
      <c r="J113" s="169" t="s">
        <v>209</v>
      </c>
      <c r="K113" s="170">
        <f>SUM(COUNTIF('Itemization 202506'!L35:L43,J113),COUNTIF('Itemization 202501'!L35:L43,J113),COUNTIF('Itemization 202408'!L35:L43,J113),COUNTIF('Itemization 202406'!L35:L43,J113),COUNTIF('Itemization 202401'!L35:L43,J113),COUNTIF('Itemization 202308'!L35:L43,J113),COUNTIF('Itemization 202306'!L35:L43,J113))</f>
        <v>0</v>
      </c>
      <c r="L113" s="171">
        <f>(K113/K116)</f>
        <v>0</v>
      </c>
      <c r="M113" s="188"/>
      <c r="N113" s="188"/>
      <c r="O113" s="191"/>
      <c r="P113" s="188"/>
      <c r="Q113" s="188"/>
      <c r="R113" s="189"/>
    </row>
    <row r="114" ht="15.75" customHeight="1">
      <c r="A114" s="190"/>
      <c r="B114" s="190"/>
      <c r="C114" s="190"/>
      <c r="D114" s="188"/>
      <c r="E114" s="188"/>
      <c r="F114" s="191"/>
      <c r="G114" s="188"/>
      <c r="H114" s="188"/>
      <c r="I114" s="191"/>
      <c r="J114" s="169" t="s">
        <v>210</v>
      </c>
      <c r="K114" s="170">
        <f>SUM(COUNTIF('Itemization 202506'!L35:L43,J114),COUNTIF('Itemization 202501'!L35:L43,J114),COUNTIF('Itemization 202408'!L35:L43,J114),COUNTIF('Itemization 202406'!L35:L43,J114),COUNTIF('Itemization 202401'!L35:L43,J114),COUNTIF('Itemization 202308'!L35:L43,J114),COUNTIF('Itemization 202306'!L35:L43,J114))</f>
        <v>0</v>
      </c>
      <c r="L114" s="171">
        <f>(K114/K116)</f>
        <v>0</v>
      </c>
      <c r="M114" s="188"/>
      <c r="N114" s="188"/>
      <c r="O114" s="191"/>
      <c r="P114" s="188"/>
      <c r="Q114" s="188"/>
      <c r="R114" s="189"/>
    </row>
    <row r="115" ht="15.75" customHeight="1">
      <c r="A115" s="190"/>
      <c r="B115" s="190"/>
      <c r="C115" s="190"/>
      <c r="D115" s="188"/>
      <c r="E115" s="188"/>
      <c r="F115" s="191"/>
      <c r="G115" s="188"/>
      <c r="H115" s="188"/>
      <c r="I115" s="191"/>
      <c r="J115" s="205" t="s">
        <v>211</v>
      </c>
      <c r="K115" s="170">
        <f>SUM(COUNTIF('Itemization 202506'!L35:L43,J115),COUNTIF('Itemization 202501'!L35:L43,J115),COUNTIF('Itemization 202408'!L35:L43,J115),COUNTIF('Itemization 202406'!L35:L43,J115),COUNTIF('Itemization 202401'!L35:L43,J115),COUNTIF('Itemization 202308'!L35:L43,J115),COUNTIF('Itemization 202306'!L35:L43,J115))</f>
        <v>0</v>
      </c>
      <c r="L115" s="171">
        <f>(K115/K116)</f>
        <v>0</v>
      </c>
      <c r="M115" s="188"/>
      <c r="N115" s="188"/>
      <c r="O115" s="191"/>
      <c r="P115" s="188"/>
      <c r="Q115" s="188"/>
      <c r="R115" s="189"/>
    </row>
    <row r="116" ht="15.75" customHeight="1">
      <c r="A116" s="190"/>
      <c r="B116" s="190"/>
      <c r="C116" s="190"/>
      <c r="D116" s="188"/>
      <c r="E116" s="188"/>
      <c r="F116" s="191"/>
      <c r="G116" s="188"/>
      <c r="H116" s="188"/>
      <c r="I116" s="191"/>
      <c r="J116" s="181" t="s">
        <v>93</v>
      </c>
      <c r="K116" s="182">
        <f t="shared" ref="K116:L116" si="4">SUM(K5:K115)</f>
        <v>41</v>
      </c>
      <c r="L116" s="184">
        <f t="shared" si="4"/>
        <v>1</v>
      </c>
      <c r="M116" s="188"/>
      <c r="N116" s="188"/>
      <c r="O116" s="191"/>
      <c r="P116" s="188"/>
      <c r="Q116" s="188"/>
      <c r="R116" s="189"/>
    </row>
    <row r="117" ht="15.75" customHeight="1">
      <c r="A117" s="190"/>
      <c r="B117" s="190"/>
      <c r="C117" s="190"/>
      <c r="D117" s="188"/>
      <c r="E117" s="188"/>
      <c r="F117" s="191"/>
      <c r="G117" s="188"/>
      <c r="H117" s="188"/>
      <c r="I117" s="191"/>
      <c r="J117" s="206"/>
      <c r="K117" s="188"/>
      <c r="L117" s="188"/>
      <c r="M117" s="188"/>
      <c r="N117" s="188"/>
      <c r="O117" s="191"/>
      <c r="P117" s="188"/>
      <c r="Q117" s="188"/>
      <c r="R117" s="189"/>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219</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COUNTIF('Itemization 202506'!I:I,A5)</f>
        <v>26</v>
      </c>
      <c r="C5" s="49">
        <f>(B5/B8)</f>
        <v>0.6842105263</v>
      </c>
      <c r="D5" s="47" t="s">
        <v>83</v>
      </c>
      <c r="E5" s="48">
        <f>COUNTIF('Itemization 202506'!J:J,D5)</f>
        <v>26</v>
      </c>
      <c r="F5" s="49">
        <f>(E5/E10)</f>
        <v>0.6842105263</v>
      </c>
      <c r="G5" s="144">
        <v>11.01</v>
      </c>
      <c r="H5" s="114">
        <f>COUNTIF('Itemization 202506'!K:K,G5)</f>
        <v>2</v>
      </c>
      <c r="I5" s="145">
        <f>(H5/H16)</f>
        <v>0.05263157895</v>
      </c>
      <c r="J5" s="121" t="s">
        <v>84</v>
      </c>
      <c r="K5" s="54">
        <f>COUNTIF('Itemization 202506'!L:L,J5)</f>
        <v>0</v>
      </c>
      <c r="L5" s="55">
        <f>(K5/K116)</f>
        <v>0</v>
      </c>
      <c r="M5" s="144">
        <v>1.0</v>
      </c>
      <c r="N5" s="114">
        <f>countif('Itemization 202506'!$M$3:$M$41,M5)</f>
        <v>2</v>
      </c>
      <c r="O5" s="145">
        <f>(N5/N23)</f>
        <v>0.05882352941</v>
      </c>
      <c r="P5" s="47" t="s">
        <v>85</v>
      </c>
      <c r="Q5" s="48">
        <f>countif('Itemization 202506'!N3:N41,P5)</f>
        <v>21</v>
      </c>
      <c r="R5" s="59">
        <f>(Q5/Q7)</f>
        <v>0.6</v>
      </c>
    </row>
    <row r="6" ht="15.75" customHeight="1">
      <c r="A6" s="60" t="s">
        <v>86</v>
      </c>
      <c r="B6" s="61">
        <f>COUNTIF('Itemization 202506'!I:I,A6)</f>
        <v>12</v>
      </c>
      <c r="C6" s="62">
        <f>(B6/B8)</f>
        <v>0.3157894737</v>
      </c>
      <c r="D6" s="60" t="s">
        <v>87</v>
      </c>
      <c r="E6" s="61">
        <f>COUNTIF('Itemization 202506'!J:J,D6)</f>
        <v>7</v>
      </c>
      <c r="F6" s="62">
        <f>(E6/E10)</f>
        <v>0.1842105263</v>
      </c>
      <c r="G6" s="60">
        <v>11.02</v>
      </c>
      <c r="H6" s="61">
        <f>COUNTIF('Itemization 202506'!K:K,G6)</f>
        <v>6</v>
      </c>
      <c r="I6" s="62">
        <f>(H6/H16)</f>
        <v>0.1578947368</v>
      </c>
      <c r="J6" s="122" t="s">
        <v>88</v>
      </c>
      <c r="K6" s="57">
        <f>COUNTIF('Itemization 202506'!L:L,J6)</f>
        <v>2</v>
      </c>
      <c r="L6" s="58">
        <f>(K6/K116)</f>
        <v>0.05405405405</v>
      </c>
      <c r="M6" s="60">
        <v>2.0</v>
      </c>
      <c r="N6" s="61">
        <f>countif('Itemization 202506'!$M$3:$M$41,M6)</f>
        <v>5</v>
      </c>
      <c r="O6" s="62">
        <f>(N6/N23)</f>
        <v>0.1470588235</v>
      </c>
      <c r="P6" s="64" t="s">
        <v>89</v>
      </c>
      <c r="Q6" s="61">
        <f>countif('Itemization 202506'!N3:N41,P6)</f>
        <v>14</v>
      </c>
      <c r="R6" s="65">
        <f>(Q6/Q7)</f>
        <v>0.4</v>
      </c>
    </row>
    <row r="7" ht="15.75" customHeight="1">
      <c r="A7" s="141" t="s">
        <v>90</v>
      </c>
      <c r="B7" s="54">
        <f>COUNTIF('Itemization 202506'!I:I,A7)</f>
        <v>0</v>
      </c>
      <c r="C7" s="143">
        <f>(B7/B8)</f>
        <v>0</v>
      </c>
      <c r="D7" s="125" t="s">
        <v>91</v>
      </c>
      <c r="E7" s="54">
        <f>COUNTIF('Itemization 202506'!J:J,D7)</f>
        <v>0</v>
      </c>
      <c r="F7" s="55">
        <f>(E7/E10)</f>
        <v>0</v>
      </c>
      <c r="G7" s="47">
        <v>11.03</v>
      </c>
      <c r="H7" s="48">
        <f>COUNTIF('Itemization 202506'!K:K,G7)</f>
        <v>8</v>
      </c>
      <c r="I7" s="49">
        <f>(H7/H16)</f>
        <v>0.2105263158</v>
      </c>
      <c r="J7" s="121" t="s">
        <v>92</v>
      </c>
      <c r="K7" s="54">
        <f>COUNTIF('Itemization 202506'!L:L,J7)</f>
        <v>0</v>
      </c>
      <c r="L7" s="55">
        <f>(K7/K116)</f>
        <v>0</v>
      </c>
      <c r="M7" s="125">
        <v>3.0</v>
      </c>
      <c r="N7" s="54">
        <f>countif('Itemization 202506'!$M$3:$M$41,M7)</f>
        <v>0</v>
      </c>
      <c r="O7" s="55">
        <f>(N7/N23)</f>
        <v>0</v>
      </c>
      <c r="P7" s="68" t="s">
        <v>93</v>
      </c>
      <c r="Q7" s="69">
        <f t="shared" ref="Q7:R7" si="1">SUM(Q5:Q6)</f>
        <v>35</v>
      </c>
      <c r="R7" s="70">
        <f t="shared" si="1"/>
        <v>1</v>
      </c>
    </row>
    <row r="8" ht="15.75" customHeight="1">
      <c r="A8" s="68" t="s">
        <v>93</v>
      </c>
      <c r="B8" s="69">
        <f t="shared" ref="B8:C8" si="2">SUM(B5:B7)</f>
        <v>38</v>
      </c>
      <c r="C8" s="71">
        <f t="shared" si="2"/>
        <v>1</v>
      </c>
      <c r="D8" s="56" t="s">
        <v>94</v>
      </c>
      <c r="E8" s="57">
        <f>COUNTIF('Itemization 202506'!J:J,D8)</f>
        <v>4</v>
      </c>
      <c r="F8" s="58">
        <f>(E8/E10)</f>
        <v>0.1052631579</v>
      </c>
      <c r="G8" s="144">
        <v>11.04</v>
      </c>
      <c r="H8" s="114">
        <f>COUNTIF('Itemization 202506'!K:K,G8)</f>
        <v>2</v>
      </c>
      <c r="I8" s="145">
        <f>(H8/H16)</f>
        <v>0.05263157895</v>
      </c>
      <c r="J8" s="121" t="s">
        <v>95</v>
      </c>
      <c r="K8" s="54">
        <f>COUNTIF('Itemization 202506'!L:L,J8)</f>
        <v>0</v>
      </c>
      <c r="L8" s="55">
        <f>(K8/K116)</f>
        <v>0</v>
      </c>
      <c r="M8" s="125">
        <v>4.0</v>
      </c>
      <c r="N8" s="54">
        <f>countif('Itemization 202506'!$M$3:$M$41,M8)</f>
        <v>0</v>
      </c>
      <c r="O8" s="55">
        <f>(N8/N23)</f>
        <v>0</v>
      </c>
      <c r="P8" s="51"/>
      <c r="Q8" s="51"/>
      <c r="R8" s="72"/>
    </row>
    <row r="9" ht="15.75" customHeight="1">
      <c r="A9" s="73"/>
      <c r="B9" s="73"/>
      <c r="C9" s="74"/>
      <c r="D9" s="207" t="s">
        <v>96</v>
      </c>
      <c r="E9" s="114">
        <f>COUNTIF('Itemization 202506'!J:J,D9)</f>
        <v>1</v>
      </c>
      <c r="F9" s="208">
        <f>(E9/E10)</f>
        <v>0.02631578947</v>
      </c>
      <c r="G9" s="56">
        <v>11.05</v>
      </c>
      <c r="H9" s="57">
        <f>COUNTIF('Itemization 202506'!K:K,G9)</f>
        <v>5</v>
      </c>
      <c r="I9" s="58">
        <f>(H9/H16)</f>
        <v>0.1315789474</v>
      </c>
      <c r="J9" s="121" t="s">
        <v>97</v>
      </c>
      <c r="K9" s="54">
        <f>COUNTIF('Itemization 202506'!L:L,J9)</f>
        <v>0</v>
      </c>
      <c r="L9" s="55">
        <f>(K9/K116)</f>
        <v>0</v>
      </c>
      <c r="M9" s="125">
        <v>5.0</v>
      </c>
      <c r="N9" s="54">
        <f>countif('Itemization 202506'!$M$3:$M$41,M9)</f>
        <v>0</v>
      </c>
      <c r="O9" s="55">
        <f>(N9/N23)</f>
        <v>0</v>
      </c>
      <c r="P9" s="51"/>
      <c r="Q9" s="51"/>
      <c r="R9" s="72"/>
    </row>
    <row r="10" ht="15.75" customHeight="1">
      <c r="A10" s="77"/>
      <c r="B10" s="51"/>
      <c r="C10" s="78"/>
      <c r="D10" s="68" t="s">
        <v>93</v>
      </c>
      <c r="E10" s="69">
        <f t="shared" ref="E10:F10" si="3">SUM(E5:E9)</f>
        <v>38</v>
      </c>
      <c r="F10" s="71">
        <f t="shared" si="3"/>
        <v>1</v>
      </c>
      <c r="G10" s="144">
        <v>11.06</v>
      </c>
      <c r="H10" s="114">
        <f>COUNTIF('Itemization 202506'!K:K,G10)</f>
        <v>4</v>
      </c>
      <c r="I10" s="145">
        <f>(H10/H16)</f>
        <v>0.1052631579</v>
      </c>
      <c r="J10" s="121" t="s">
        <v>98</v>
      </c>
      <c r="K10" s="54">
        <f>COUNTIF('Itemization 202506'!L:L,J10)</f>
        <v>0</v>
      </c>
      <c r="L10" s="55">
        <f>(K10/K116)</f>
        <v>0</v>
      </c>
      <c r="M10" s="144">
        <v>6.0</v>
      </c>
      <c r="N10" s="114">
        <f>countif('Itemization 202506'!$M$3:$M$41,M10)</f>
        <v>1</v>
      </c>
      <c r="O10" s="145">
        <f>(N10/N23)</f>
        <v>0.02941176471</v>
      </c>
      <c r="P10" s="51"/>
      <c r="Q10" s="51"/>
      <c r="R10" s="72"/>
    </row>
    <row r="11" ht="15.75" customHeight="1">
      <c r="A11" s="77"/>
      <c r="B11" s="51"/>
      <c r="C11" s="78"/>
      <c r="D11" s="51"/>
      <c r="E11" s="51"/>
      <c r="F11" s="78"/>
      <c r="G11" s="144">
        <v>11.07</v>
      </c>
      <c r="H11" s="114">
        <f>COUNTIF('Itemization 202506'!K:K,G11)</f>
        <v>2</v>
      </c>
      <c r="I11" s="145">
        <f>(H11/H16)</f>
        <v>0.05263157895</v>
      </c>
      <c r="J11" s="121" t="s">
        <v>99</v>
      </c>
      <c r="K11" s="54">
        <f>COUNTIF('Itemization 202506'!L:L,J11)</f>
        <v>0</v>
      </c>
      <c r="L11" s="55">
        <f>(K11/K116)</f>
        <v>0</v>
      </c>
      <c r="M11" s="56">
        <v>7.0</v>
      </c>
      <c r="N11" s="57">
        <f>countif('Itemization 202506'!$M$3:$M$41,M11)</f>
        <v>4</v>
      </c>
      <c r="O11" s="58">
        <f>(N11/N23)</f>
        <v>0.1176470588</v>
      </c>
      <c r="P11" s="51"/>
      <c r="Q11" s="51"/>
      <c r="R11" s="72"/>
    </row>
    <row r="12" ht="15.75" customHeight="1">
      <c r="A12" s="77"/>
      <c r="B12" s="51"/>
      <c r="C12" s="78"/>
      <c r="D12" s="51"/>
      <c r="E12" s="51"/>
      <c r="F12" s="78"/>
      <c r="G12" s="144">
        <v>11.08</v>
      </c>
      <c r="H12" s="114">
        <f>COUNTIF('Itemization 202506'!K:K,G12)</f>
        <v>1</v>
      </c>
      <c r="I12" s="145">
        <f>(H12/H16)</f>
        <v>0.02631578947</v>
      </c>
      <c r="J12" s="122" t="s">
        <v>100</v>
      </c>
      <c r="K12" s="57">
        <f>COUNTIF('Itemization 202506'!L:L,J12)</f>
        <v>2</v>
      </c>
      <c r="L12" s="58">
        <f>(K12/K116)</f>
        <v>0.05405405405</v>
      </c>
      <c r="M12" s="60">
        <v>8.0</v>
      </c>
      <c r="N12" s="61">
        <f>countif('Itemization 202506'!$M$3:$M$41,M12)</f>
        <v>5</v>
      </c>
      <c r="O12" s="62">
        <f>(N12/N23)</f>
        <v>0.1470588235</v>
      </c>
      <c r="P12" s="51"/>
      <c r="Q12" s="51"/>
      <c r="R12" s="72"/>
    </row>
    <row r="13" ht="15.75" customHeight="1">
      <c r="A13" s="77"/>
      <c r="B13" s="51"/>
      <c r="C13" s="78"/>
      <c r="D13" s="51"/>
      <c r="E13" s="51"/>
      <c r="F13" s="78"/>
      <c r="G13" s="60">
        <v>11.09</v>
      </c>
      <c r="H13" s="61">
        <f>COUNTIF('Itemization 202506'!K:K,G13)</f>
        <v>6</v>
      </c>
      <c r="I13" s="62">
        <f>(H13/H16)</f>
        <v>0.1578947368</v>
      </c>
      <c r="J13" s="121" t="s">
        <v>101</v>
      </c>
      <c r="K13" s="54">
        <f>COUNTIF('Itemization 202506'!L:L,J13)</f>
        <v>0</v>
      </c>
      <c r="L13" s="55">
        <f>(K13/K116)</f>
        <v>0</v>
      </c>
      <c r="M13" s="144">
        <v>9.0</v>
      </c>
      <c r="N13" s="114">
        <f>countif('Itemization 202506'!$M$3:$M$41,M13)</f>
        <v>1</v>
      </c>
      <c r="O13" s="145">
        <f>(N13/N23)</f>
        <v>0.02941176471</v>
      </c>
      <c r="P13" s="51"/>
      <c r="Q13" s="51"/>
      <c r="R13" s="72"/>
    </row>
    <row r="14" ht="15.75" customHeight="1">
      <c r="A14" s="51"/>
      <c r="B14" s="51"/>
      <c r="C14" s="78"/>
      <c r="D14" s="51"/>
      <c r="E14" s="51"/>
      <c r="F14" s="78"/>
      <c r="G14" s="146" t="s">
        <v>102</v>
      </c>
      <c r="H14" s="114">
        <f>COUNTIF('Itemization 202506'!K:K,G14)</f>
        <v>2</v>
      </c>
      <c r="I14" s="145">
        <f>(H14/H16)</f>
        <v>0.05263157895</v>
      </c>
      <c r="J14" s="121" t="s">
        <v>103</v>
      </c>
      <c r="K14" s="54">
        <f>COUNTIF('Itemization 202506'!L:L,J14)</f>
        <v>0</v>
      </c>
      <c r="L14" s="55">
        <f>(K14/K116)</f>
        <v>0</v>
      </c>
      <c r="M14" s="125">
        <v>10.0</v>
      </c>
      <c r="N14" s="54">
        <f>countif('Itemization 202506'!$M$3:$M$41,M14)</f>
        <v>0</v>
      </c>
      <c r="O14" s="55">
        <f>(N14/N23)</f>
        <v>0</v>
      </c>
      <c r="P14" s="51"/>
      <c r="Q14" s="51"/>
      <c r="R14" s="72"/>
    </row>
    <row r="15" ht="15.75" customHeight="1">
      <c r="A15" s="73"/>
      <c r="B15" s="73"/>
      <c r="C15" s="74"/>
      <c r="D15" s="51"/>
      <c r="E15" s="51"/>
      <c r="F15" s="78"/>
      <c r="G15" s="90" t="s">
        <v>104</v>
      </c>
      <c r="H15" s="54">
        <f>COUNTIF('Itemization 202506'!K:K,G15)</f>
        <v>0</v>
      </c>
      <c r="I15" s="143">
        <f>(H15/H16)</f>
        <v>0</v>
      </c>
      <c r="J15" s="121" t="s">
        <v>105</v>
      </c>
      <c r="K15" s="54">
        <f>COUNTIF('Itemization 202506'!L:L,J15)</f>
        <v>0</v>
      </c>
      <c r="L15" s="55">
        <f>(K15/K116)</f>
        <v>0</v>
      </c>
      <c r="M15" s="125">
        <v>11.0</v>
      </c>
      <c r="N15" s="54">
        <f>countif('Itemization 202506'!$M$3:$M$41,M15)</f>
        <v>0</v>
      </c>
      <c r="O15" s="55">
        <f>(N15/N23)</f>
        <v>0</v>
      </c>
      <c r="P15" s="51"/>
      <c r="Q15" s="51"/>
      <c r="R15" s="72"/>
    </row>
    <row r="16" ht="15.75" customHeight="1">
      <c r="A16" s="51"/>
      <c r="B16" s="51"/>
      <c r="C16" s="78"/>
      <c r="D16" s="51"/>
      <c r="E16" s="51"/>
      <c r="F16" s="78"/>
      <c r="G16" s="68" t="s">
        <v>93</v>
      </c>
      <c r="H16" s="69">
        <f>SUM(H5:H15)</f>
        <v>38</v>
      </c>
      <c r="I16" s="71">
        <f>sum(I5:I15)</f>
        <v>1</v>
      </c>
      <c r="J16" s="121" t="s">
        <v>106</v>
      </c>
      <c r="K16" s="54">
        <f>COUNTIF('Itemization 202506'!L:L,J16)</f>
        <v>0</v>
      </c>
      <c r="L16" s="55">
        <f>(K16/K116)</f>
        <v>0</v>
      </c>
      <c r="M16" s="144">
        <v>12.0</v>
      </c>
      <c r="N16" s="114">
        <f>countif('Itemization 202506'!$M$3:$M$41,M16)</f>
        <v>1</v>
      </c>
      <c r="O16" s="145">
        <f>(N16/N23)</f>
        <v>0.02941176471</v>
      </c>
      <c r="P16" s="51"/>
      <c r="Q16" s="51"/>
      <c r="R16" s="72"/>
    </row>
    <row r="17" ht="15.75" customHeight="1">
      <c r="A17" s="73"/>
      <c r="B17" s="73"/>
      <c r="C17" s="74"/>
      <c r="D17" s="51"/>
      <c r="E17" s="51"/>
      <c r="F17" s="78"/>
      <c r="G17" s="51"/>
      <c r="H17" s="51"/>
      <c r="I17" s="78"/>
      <c r="J17" s="121" t="s">
        <v>107</v>
      </c>
      <c r="K17" s="54">
        <f>COUNTIF('Itemization 202506'!L:L,J17)</f>
        <v>0</v>
      </c>
      <c r="L17" s="55">
        <f>(K17/K116)</f>
        <v>0</v>
      </c>
      <c r="M17" s="60">
        <v>13.0</v>
      </c>
      <c r="N17" s="61">
        <f>countif('Itemization 202506'!$M$3:$M$41,M17)</f>
        <v>5</v>
      </c>
      <c r="O17" s="62">
        <f>(N17/N23)</f>
        <v>0.1470588235</v>
      </c>
      <c r="P17" s="51"/>
      <c r="Q17" s="51"/>
      <c r="R17" s="72"/>
    </row>
    <row r="18" ht="15.75" customHeight="1">
      <c r="A18" s="73"/>
      <c r="B18" s="73"/>
      <c r="C18" s="74"/>
      <c r="D18" s="51"/>
      <c r="E18" s="51"/>
      <c r="F18" s="78"/>
      <c r="G18" s="51"/>
      <c r="H18" s="51"/>
      <c r="I18" s="78"/>
      <c r="J18" s="122" t="s">
        <v>108</v>
      </c>
      <c r="K18" s="57">
        <f>COUNTIF('Itemization 202506'!L:L,J18)</f>
        <v>2</v>
      </c>
      <c r="L18" s="58">
        <f>(K18/K116)</f>
        <v>0.05405405405</v>
      </c>
      <c r="M18" s="144">
        <v>14.0</v>
      </c>
      <c r="N18" s="114">
        <f>countif('Itemization 202506'!$M$3:$M$41,M18)</f>
        <v>3</v>
      </c>
      <c r="O18" s="145">
        <f>(N18/N23)</f>
        <v>0.08823529412</v>
      </c>
      <c r="P18" s="51"/>
      <c r="Q18" s="51"/>
      <c r="R18" s="72"/>
    </row>
    <row r="19" ht="15.75" customHeight="1">
      <c r="A19" s="80" t="s">
        <v>109</v>
      </c>
      <c r="D19" s="51"/>
      <c r="E19" s="51"/>
      <c r="F19" s="78"/>
      <c r="G19" s="51"/>
      <c r="H19" s="51"/>
      <c r="I19" s="78"/>
      <c r="J19" s="121" t="s">
        <v>110</v>
      </c>
      <c r="K19" s="54">
        <f>COUNTIF('Itemization 202506'!L:L,J19)</f>
        <v>0</v>
      </c>
      <c r="L19" s="55">
        <f>(K19/K116)</f>
        <v>0</v>
      </c>
      <c r="M19" s="144">
        <v>15.0</v>
      </c>
      <c r="N19" s="114">
        <f>countif('Itemization 202506'!$M$3:$M$41,M19)</f>
        <v>1</v>
      </c>
      <c r="O19" s="145">
        <f>(N19/N23)</f>
        <v>0.02941176471</v>
      </c>
      <c r="P19" s="51"/>
      <c r="Q19" s="51"/>
      <c r="R19" s="72"/>
    </row>
    <row r="20" ht="15.75" customHeight="1">
      <c r="A20" s="81" t="s">
        <v>111</v>
      </c>
      <c r="D20" s="51"/>
      <c r="E20" s="51"/>
      <c r="F20" s="78"/>
      <c r="G20" s="51"/>
      <c r="H20" s="51"/>
      <c r="I20" s="78"/>
      <c r="J20" s="121" t="s">
        <v>112</v>
      </c>
      <c r="K20" s="54">
        <f>COUNTIF('Itemization 202506'!L:L,J20)</f>
        <v>0</v>
      </c>
      <c r="L20" s="55">
        <f>(K20/K116)</f>
        <v>0</v>
      </c>
      <c r="M20" s="125">
        <v>16.0</v>
      </c>
      <c r="N20" s="54">
        <f>countif('Itemization 202506'!$M$3:$M$41,M20)</f>
        <v>0</v>
      </c>
      <c r="O20" s="55">
        <f>(N20/N23)</f>
        <v>0</v>
      </c>
      <c r="P20" s="51"/>
      <c r="Q20" s="51"/>
      <c r="R20" s="72"/>
    </row>
    <row r="21" ht="15.75" customHeight="1">
      <c r="A21" s="82" t="s">
        <v>113</v>
      </c>
      <c r="D21" s="51"/>
      <c r="E21" s="51"/>
      <c r="F21" s="78"/>
      <c r="G21" s="51"/>
      <c r="H21" s="51"/>
      <c r="I21" s="78"/>
      <c r="J21" s="121" t="s">
        <v>114</v>
      </c>
      <c r="K21" s="54">
        <f>COUNTIF('Itemization 202506'!L:L,J21)</f>
        <v>0</v>
      </c>
      <c r="L21" s="55">
        <f>(K21/K116)</f>
        <v>0</v>
      </c>
      <c r="M21" s="144">
        <v>17.0</v>
      </c>
      <c r="N21" s="114">
        <f>countif('Itemization 202506'!$M$3:$M$41,M21)</f>
        <v>2</v>
      </c>
      <c r="O21" s="145">
        <f>(N21/N23)</f>
        <v>0.05882352941</v>
      </c>
      <c r="P21" s="51"/>
      <c r="Q21" s="51"/>
      <c r="R21" s="72"/>
    </row>
    <row r="22" ht="15.75" customHeight="1">
      <c r="A22" s="83" t="s">
        <v>115</v>
      </c>
      <c r="D22" s="51"/>
      <c r="E22" s="51"/>
      <c r="F22" s="78"/>
      <c r="G22" s="51"/>
      <c r="H22" s="51"/>
      <c r="I22" s="78"/>
      <c r="J22" s="121" t="s">
        <v>116</v>
      </c>
      <c r="K22" s="54">
        <f>COUNTIF('Itemization 202506'!L:L,J22)</f>
        <v>0</v>
      </c>
      <c r="L22" s="55">
        <f>(K22/K116)</f>
        <v>0</v>
      </c>
      <c r="M22" s="209">
        <v>18.0</v>
      </c>
      <c r="N22" s="57">
        <f>countif('Itemization 202506'!$M$3:$M$41,M22)</f>
        <v>4</v>
      </c>
      <c r="O22" s="67">
        <f>(N22/N23)</f>
        <v>0.1176470588</v>
      </c>
      <c r="P22" s="51"/>
      <c r="Q22" s="51"/>
      <c r="R22" s="72"/>
    </row>
    <row r="23" ht="15.75" customHeight="1">
      <c r="A23" s="113" t="s">
        <v>220</v>
      </c>
      <c r="D23" s="51"/>
      <c r="E23" s="51"/>
      <c r="F23" s="78"/>
      <c r="G23" s="51"/>
      <c r="H23" s="51"/>
      <c r="I23" s="78"/>
      <c r="J23" s="122" t="s">
        <v>118</v>
      </c>
      <c r="K23" s="57">
        <f>COUNTIF('Itemization 202506'!L:L,J23)</f>
        <v>2</v>
      </c>
      <c r="L23" s="58">
        <f>(K23/K116)</f>
        <v>0.05405405405</v>
      </c>
      <c r="M23" s="68" t="s">
        <v>93</v>
      </c>
      <c r="N23" s="69">
        <f>SUM(N5:N22)</f>
        <v>34</v>
      </c>
      <c r="O23" s="71">
        <f>SUM(O4:O22)</f>
        <v>1</v>
      </c>
      <c r="P23" s="51"/>
      <c r="Q23" s="51"/>
      <c r="R23" s="72"/>
    </row>
    <row r="24" ht="15.75" customHeight="1">
      <c r="A24" s="86" t="s">
        <v>119</v>
      </c>
      <c r="D24" s="51"/>
      <c r="E24" s="51"/>
      <c r="F24" s="78"/>
      <c r="G24" s="51"/>
      <c r="H24" s="51"/>
      <c r="I24" s="78"/>
      <c r="J24" s="126" t="s">
        <v>120</v>
      </c>
      <c r="K24" s="48">
        <f>COUNTIF('Itemization 202506'!L:L,J24)</f>
        <v>6</v>
      </c>
      <c r="L24" s="49">
        <f>(K24/K116)</f>
        <v>0.1621621622</v>
      </c>
      <c r="M24" s="51"/>
      <c r="N24" s="51"/>
      <c r="O24" s="78"/>
      <c r="P24" s="51"/>
      <c r="Q24" s="51"/>
      <c r="R24" s="72"/>
    </row>
    <row r="25" ht="15.75" customHeight="1">
      <c r="A25" s="85"/>
      <c r="B25" s="85"/>
      <c r="C25" s="85"/>
      <c r="D25" s="51"/>
      <c r="E25" s="51"/>
      <c r="F25" s="78"/>
      <c r="G25" s="51"/>
      <c r="H25" s="51"/>
      <c r="I25" s="78"/>
      <c r="J25" s="121" t="s">
        <v>121</v>
      </c>
      <c r="K25" s="54">
        <f>COUNTIF('Itemization 202506'!L:L,J25)</f>
        <v>0</v>
      </c>
      <c r="L25" s="55">
        <f>(K25/K116)</f>
        <v>0</v>
      </c>
      <c r="M25" s="51"/>
      <c r="N25" s="51"/>
      <c r="O25" s="78"/>
      <c r="P25" s="51"/>
      <c r="Q25" s="51"/>
      <c r="R25" s="72"/>
    </row>
    <row r="26" ht="15.75" customHeight="1">
      <c r="A26" s="85"/>
      <c r="B26" s="85"/>
      <c r="C26" s="85"/>
      <c r="D26" s="51"/>
      <c r="E26" s="51"/>
      <c r="F26" s="78"/>
      <c r="G26" s="51"/>
      <c r="H26" s="51"/>
      <c r="I26" s="78"/>
      <c r="J26" s="122" t="s">
        <v>122</v>
      </c>
      <c r="K26" s="57">
        <f>COUNTIF('Itemization 202506'!L:L,J26)</f>
        <v>2</v>
      </c>
      <c r="L26" s="58">
        <f>(K26/K116)</f>
        <v>0.05405405405</v>
      </c>
      <c r="M26" s="51"/>
      <c r="N26" s="51"/>
      <c r="O26" s="78"/>
      <c r="P26" s="51"/>
      <c r="Q26" s="51"/>
      <c r="R26" s="72"/>
    </row>
    <row r="27" ht="15.75" customHeight="1">
      <c r="A27" s="85"/>
      <c r="B27" s="85"/>
      <c r="C27" s="85"/>
      <c r="D27" s="51"/>
      <c r="E27" s="51"/>
      <c r="F27" s="78"/>
      <c r="G27" s="51"/>
      <c r="H27" s="51"/>
      <c r="I27" s="78"/>
      <c r="J27" s="121" t="s">
        <v>123</v>
      </c>
      <c r="K27" s="54">
        <f>COUNTIF('Itemization 202506'!L:L,J27)</f>
        <v>0</v>
      </c>
      <c r="L27" s="55">
        <f>(K27/K116)</f>
        <v>0</v>
      </c>
      <c r="M27" s="51"/>
      <c r="N27" s="51"/>
      <c r="O27" s="78"/>
      <c r="P27" s="51"/>
      <c r="Q27" s="51"/>
      <c r="R27" s="72"/>
    </row>
    <row r="28" ht="15.75" customHeight="1">
      <c r="A28" s="85"/>
      <c r="B28" s="85"/>
      <c r="C28" s="85"/>
      <c r="D28" s="51"/>
      <c r="E28" s="51"/>
      <c r="F28" s="78"/>
      <c r="G28" s="51"/>
      <c r="H28" s="51"/>
      <c r="I28" s="78"/>
      <c r="J28" s="121" t="s">
        <v>124</v>
      </c>
      <c r="K28" s="54">
        <f>COUNTIF('Itemization 202506'!L:L,J28)</f>
        <v>0</v>
      </c>
      <c r="L28" s="55">
        <f>(K28/K116)</f>
        <v>0</v>
      </c>
      <c r="M28" s="51"/>
      <c r="N28" s="51"/>
      <c r="O28" s="78"/>
      <c r="P28" s="51"/>
      <c r="Q28" s="51"/>
      <c r="R28" s="72"/>
    </row>
    <row r="29" ht="15.75" customHeight="1">
      <c r="A29" s="85"/>
      <c r="B29" s="85"/>
      <c r="C29" s="85"/>
      <c r="D29" s="51"/>
      <c r="E29" s="51"/>
      <c r="F29" s="78"/>
      <c r="G29" s="51"/>
      <c r="H29" s="51"/>
      <c r="I29" s="78"/>
      <c r="J29" s="121" t="s">
        <v>125</v>
      </c>
      <c r="K29" s="54">
        <f>COUNTIF('Itemization 202506'!L:L,J29)</f>
        <v>0</v>
      </c>
      <c r="L29" s="55">
        <f>(K29/K116)</f>
        <v>0</v>
      </c>
      <c r="M29" s="51"/>
      <c r="N29" s="51"/>
      <c r="O29" s="78"/>
      <c r="P29" s="51"/>
      <c r="Q29" s="51"/>
      <c r="R29" s="72"/>
    </row>
    <row r="30" ht="15.75" customHeight="1">
      <c r="A30" s="85"/>
      <c r="B30" s="85"/>
      <c r="C30" s="85"/>
      <c r="D30" s="51"/>
      <c r="E30" s="51"/>
      <c r="F30" s="78"/>
      <c r="G30" s="51"/>
      <c r="H30" s="51"/>
      <c r="I30" s="78"/>
      <c r="J30" s="121" t="s">
        <v>126</v>
      </c>
      <c r="K30" s="54">
        <f>COUNTIF('Itemization 202506'!L:L,J30)</f>
        <v>0</v>
      </c>
      <c r="L30" s="55">
        <f>(K30/K116)</f>
        <v>0</v>
      </c>
      <c r="M30" s="51"/>
      <c r="N30" s="51"/>
      <c r="O30" s="78"/>
      <c r="P30" s="51"/>
      <c r="Q30" s="51"/>
      <c r="R30" s="72"/>
    </row>
    <row r="31" ht="15.75" customHeight="1">
      <c r="A31" s="85"/>
      <c r="B31" s="85"/>
      <c r="C31" s="85"/>
      <c r="D31" s="51"/>
      <c r="E31" s="51"/>
      <c r="F31" s="78"/>
      <c r="G31" s="51"/>
      <c r="H31" s="51"/>
      <c r="I31" s="78"/>
      <c r="J31" s="121" t="s">
        <v>127</v>
      </c>
      <c r="K31" s="54">
        <f>COUNTIF('Itemization 202506'!L:L,J31)</f>
        <v>0</v>
      </c>
      <c r="L31" s="55">
        <f>(K31/K116)</f>
        <v>0</v>
      </c>
      <c r="M31" s="51"/>
      <c r="N31" s="51"/>
      <c r="O31" s="78"/>
      <c r="P31" s="51"/>
      <c r="Q31" s="51"/>
      <c r="R31" s="72"/>
    </row>
    <row r="32" ht="15.75" customHeight="1">
      <c r="A32" s="85"/>
      <c r="B32" s="85"/>
      <c r="C32" s="85"/>
      <c r="D32" s="51"/>
      <c r="E32" s="51"/>
      <c r="F32" s="78"/>
      <c r="G32" s="51"/>
      <c r="H32" s="51"/>
      <c r="I32" s="78"/>
      <c r="J32" s="121" t="s">
        <v>128</v>
      </c>
      <c r="K32" s="54">
        <f>COUNTIF('Itemization 202506'!L:L,J32)</f>
        <v>0</v>
      </c>
      <c r="L32" s="55">
        <f>(K32/K116)</f>
        <v>0</v>
      </c>
      <c r="M32" s="51"/>
      <c r="N32" s="51"/>
      <c r="O32" s="78"/>
      <c r="P32" s="51"/>
      <c r="Q32" s="51"/>
      <c r="R32" s="72"/>
    </row>
    <row r="33" ht="15.75" customHeight="1">
      <c r="A33" s="85"/>
      <c r="B33" s="85"/>
      <c r="C33" s="85"/>
      <c r="D33" s="51"/>
      <c r="E33" s="51"/>
      <c r="F33" s="78"/>
      <c r="G33" s="51"/>
      <c r="H33" s="51"/>
      <c r="I33" s="78"/>
      <c r="J33" s="121" t="s">
        <v>129</v>
      </c>
      <c r="K33" s="54">
        <f>COUNTIF('Itemization 202506'!L:L,J33)</f>
        <v>0</v>
      </c>
      <c r="L33" s="55">
        <f>(K33/K116)</f>
        <v>0</v>
      </c>
      <c r="M33" s="51"/>
      <c r="N33" s="51"/>
      <c r="O33" s="78"/>
      <c r="P33" s="51"/>
      <c r="Q33" s="51"/>
      <c r="R33" s="72"/>
    </row>
    <row r="34" ht="15.75" customHeight="1">
      <c r="A34" s="85"/>
      <c r="B34" s="85"/>
      <c r="C34" s="85"/>
      <c r="D34" s="51"/>
      <c r="E34" s="51"/>
      <c r="F34" s="78"/>
      <c r="G34" s="51"/>
      <c r="H34" s="51"/>
      <c r="I34" s="78"/>
      <c r="J34" s="121" t="s">
        <v>130</v>
      </c>
      <c r="K34" s="54">
        <f>COUNTIF('Itemization 202506'!L:L,J34)</f>
        <v>0</v>
      </c>
      <c r="L34" s="55">
        <f>(K34/K116)</f>
        <v>0</v>
      </c>
      <c r="M34" s="51"/>
      <c r="N34" s="51"/>
      <c r="O34" s="78"/>
      <c r="P34" s="51"/>
      <c r="Q34" s="51"/>
      <c r="R34" s="72"/>
    </row>
    <row r="35" ht="15.75" customHeight="1">
      <c r="A35" s="85"/>
      <c r="B35" s="85"/>
      <c r="C35" s="85"/>
      <c r="D35" s="51"/>
      <c r="E35" s="51"/>
      <c r="F35" s="78"/>
      <c r="G35" s="51"/>
      <c r="H35" s="51"/>
      <c r="I35" s="78"/>
      <c r="J35" s="121" t="s">
        <v>131</v>
      </c>
      <c r="K35" s="54">
        <f>COUNTIF('Itemization 202506'!L:L,J35)</f>
        <v>0</v>
      </c>
      <c r="L35" s="55">
        <f>(K35/K116)</f>
        <v>0</v>
      </c>
      <c r="M35" s="51"/>
      <c r="N35" s="51"/>
      <c r="O35" s="78"/>
      <c r="P35" s="51"/>
      <c r="Q35" s="51"/>
      <c r="R35" s="72"/>
    </row>
    <row r="36" ht="15.75" customHeight="1">
      <c r="A36" s="85"/>
      <c r="B36" s="85"/>
      <c r="C36" s="85"/>
      <c r="D36" s="51"/>
      <c r="E36" s="51"/>
      <c r="F36" s="78"/>
      <c r="G36" s="51"/>
      <c r="H36" s="51"/>
      <c r="I36" s="78"/>
      <c r="J36" s="121" t="s">
        <v>132</v>
      </c>
      <c r="K36" s="54">
        <f>COUNTIF('Itemization 202506'!L:L,J36)</f>
        <v>0</v>
      </c>
      <c r="L36" s="55">
        <f>(K36/K116)</f>
        <v>0</v>
      </c>
      <c r="M36" s="51"/>
      <c r="N36" s="51"/>
      <c r="O36" s="78"/>
      <c r="P36" s="51"/>
      <c r="Q36" s="51"/>
      <c r="R36" s="72"/>
    </row>
    <row r="37" ht="15.75" customHeight="1">
      <c r="A37" s="85"/>
      <c r="B37" s="85"/>
      <c r="C37" s="85"/>
      <c r="D37" s="51"/>
      <c r="E37" s="51"/>
      <c r="F37" s="78"/>
      <c r="G37" s="51"/>
      <c r="H37" s="51"/>
      <c r="I37" s="78"/>
      <c r="J37" s="122" t="s">
        <v>133</v>
      </c>
      <c r="K37" s="57">
        <f>COUNTIF('Itemization 202506'!L:L,J37)</f>
        <v>2</v>
      </c>
      <c r="L37" s="58">
        <f>(K37/K116)</f>
        <v>0.05405405405</v>
      </c>
      <c r="M37" s="51"/>
      <c r="N37" s="51"/>
      <c r="O37" s="78"/>
      <c r="P37" s="51"/>
      <c r="Q37" s="51"/>
      <c r="R37" s="72"/>
    </row>
    <row r="38" ht="15.75" customHeight="1">
      <c r="A38" s="85"/>
      <c r="B38" s="85"/>
      <c r="C38" s="85"/>
      <c r="D38" s="51"/>
      <c r="E38" s="51"/>
      <c r="F38" s="78"/>
      <c r="G38" s="51"/>
      <c r="H38" s="51"/>
      <c r="I38" s="78"/>
      <c r="J38" s="121" t="s">
        <v>134</v>
      </c>
      <c r="K38" s="54">
        <f>COUNTIF('Itemization 202506'!L:L,J38)</f>
        <v>0</v>
      </c>
      <c r="L38" s="55">
        <f>(K38/K116)</f>
        <v>0</v>
      </c>
      <c r="M38" s="51"/>
      <c r="N38" s="51"/>
      <c r="O38" s="78"/>
      <c r="P38" s="51"/>
      <c r="Q38" s="51"/>
      <c r="R38" s="72"/>
    </row>
    <row r="39" ht="15.75" customHeight="1">
      <c r="A39" s="85"/>
      <c r="B39" s="85"/>
      <c r="C39" s="85"/>
      <c r="D39" s="51"/>
      <c r="E39" s="51"/>
      <c r="F39" s="78"/>
      <c r="G39" s="51"/>
      <c r="H39" s="51"/>
      <c r="I39" s="78"/>
      <c r="J39" s="121" t="s">
        <v>135</v>
      </c>
      <c r="K39" s="54">
        <f>COUNTIF('Itemization 202506'!L:L,J39)</f>
        <v>0</v>
      </c>
      <c r="L39" s="55">
        <f>(K39/K116)</f>
        <v>0</v>
      </c>
      <c r="M39" s="51"/>
      <c r="N39" s="51"/>
      <c r="O39" s="78"/>
      <c r="P39" s="51"/>
      <c r="Q39" s="51"/>
      <c r="R39" s="72"/>
    </row>
    <row r="40" ht="15.75" customHeight="1">
      <c r="A40" s="85"/>
      <c r="B40" s="85"/>
      <c r="C40" s="85"/>
      <c r="D40" s="51"/>
      <c r="E40" s="51"/>
      <c r="F40" s="78"/>
      <c r="G40" s="51"/>
      <c r="H40" s="51"/>
      <c r="I40" s="78"/>
      <c r="J40" s="121" t="s">
        <v>136</v>
      </c>
      <c r="K40" s="54">
        <f>COUNTIF('Itemization 202506'!L:L,J40)</f>
        <v>0</v>
      </c>
      <c r="L40" s="55">
        <f>(K40/K116)</f>
        <v>0</v>
      </c>
      <c r="M40" s="51"/>
      <c r="N40" s="51"/>
      <c r="O40" s="78"/>
      <c r="P40" s="51"/>
      <c r="Q40" s="51"/>
      <c r="R40" s="72"/>
    </row>
    <row r="41" ht="15.75" customHeight="1">
      <c r="A41" s="85"/>
      <c r="B41" s="85"/>
      <c r="C41" s="85"/>
      <c r="D41" s="51"/>
      <c r="E41" s="51"/>
      <c r="F41" s="78"/>
      <c r="G41" s="51"/>
      <c r="H41" s="51"/>
      <c r="I41" s="78"/>
      <c r="J41" s="121" t="s">
        <v>137</v>
      </c>
      <c r="K41" s="54">
        <f>COUNTIF('Itemization 202506'!L:L,J41)</f>
        <v>0</v>
      </c>
      <c r="L41" s="55">
        <f>(K41/K116)</f>
        <v>0</v>
      </c>
      <c r="M41" s="51"/>
      <c r="N41" s="51"/>
      <c r="O41" s="78"/>
      <c r="P41" s="51"/>
      <c r="Q41" s="51"/>
      <c r="R41" s="72"/>
    </row>
    <row r="42" ht="15.75" customHeight="1">
      <c r="A42" s="85"/>
      <c r="B42" s="85"/>
      <c r="C42" s="85"/>
      <c r="D42" s="51"/>
      <c r="E42" s="51"/>
      <c r="F42" s="78"/>
      <c r="G42" s="51"/>
      <c r="H42" s="51"/>
      <c r="I42" s="78"/>
      <c r="J42" s="121" t="s">
        <v>138</v>
      </c>
      <c r="K42" s="54">
        <f>COUNTIF('Itemization 202506'!L:L,J42)</f>
        <v>0</v>
      </c>
      <c r="L42" s="55">
        <f>(K42/K116)</f>
        <v>0</v>
      </c>
      <c r="M42" s="51"/>
      <c r="N42" s="51"/>
      <c r="O42" s="78"/>
      <c r="P42" s="51"/>
      <c r="Q42" s="51"/>
      <c r="R42" s="72"/>
    </row>
    <row r="43" ht="15.75" customHeight="1">
      <c r="A43" s="85"/>
      <c r="B43" s="85"/>
      <c r="C43" s="85"/>
      <c r="D43" s="51"/>
      <c r="E43" s="51"/>
      <c r="F43" s="78"/>
      <c r="G43" s="51"/>
      <c r="H43" s="51"/>
      <c r="I43" s="78"/>
      <c r="J43" s="121" t="s">
        <v>139</v>
      </c>
      <c r="K43" s="54">
        <f>COUNTIF('Itemization 202506'!L:L,J43)</f>
        <v>0</v>
      </c>
      <c r="L43" s="55">
        <f>(K43/K116)</f>
        <v>0</v>
      </c>
      <c r="M43" s="51"/>
      <c r="N43" s="51"/>
      <c r="O43" s="78"/>
      <c r="P43" s="51"/>
      <c r="Q43" s="51"/>
      <c r="R43" s="72"/>
    </row>
    <row r="44" ht="15.75" customHeight="1">
      <c r="A44" s="85"/>
      <c r="B44" s="85"/>
      <c r="C44" s="85"/>
      <c r="D44" s="51"/>
      <c r="E44" s="51"/>
      <c r="F44" s="78"/>
      <c r="G44" s="51"/>
      <c r="H44" s="51"/>
      <c r="I44" s="78"/>
      <c r="J44" s="122" t="s">
        <v>140</v>
      </c>
      <c r="K44" s="57">
        <f>COUNTIF('Itemization 202506'!L:L,J44)</f>
        <v>2</v>
      </c>
      <c r="L44" s="58">
        <f>(K44/K116)</f>
        <v>0.05405405405</v>
      </c>
      <c r="M44" s="51"/>
      <c r="N44" s="51"/>
      <c r="O44" s="78"/>
      <c r="P44" s="51"/>
      <c r="Q44" s="51"/>
      <c r="R44" s="72"/>
    </row>
    <row r="45" ht="15.75" customHeight="1">
      <c r="A45" s="85"/>
      <c r="B45" s="85"/>
      <c r="C45" s="85"/>
      <c r="D45" s="51"/>
      <c r="E45" s="51"/>
      <c r="F45" s="78"/>
      <c r="G45" s="51"/>
      <c r="H45" s="51"/>
      <c r="I45" s="78"/>
      <c r="J45" s="121" t="s">
        <v>141</v>
      </c>
      <c r="K45" s="54">
        <f>COUNTIF('Itemization 202506'!L:L,J45)</f>
        <v>0</v>
      </c>
      <c r="L45" s="55">
        <f>(K45/K116)</f>
        <v>0</v>
      </c>
      <c r="M45" s="51"/>
      <c r="N45" s="51"/>
      <c r="O45" s="78"/>
      <c r="P45" s="51"/>
      <c r="Q45" s="51"/>
      <c r="R45" s="72"/>
    </row>
    <row r="46" ht="15.75" customHeight="1">
      <c r="A46" s="85"/>
      <c r="B46" s="85"/>
      <c r="C46" s="85"/>
      <c r="D46" s="51"/>
      <c r="E46" s="51"/>
      <c r="F46" s="78"/>
      <c r="G46" s="51"/>
      <c r="H46" s="51"/>
      <c r="I46" s="78"/>
      <c r="J46" s="122" t="s">
        <v>142</v>
      </c>
      <c r="K46" s="57">
        <f>COUNTIF('Itemization 202506'!L:L,J46)</f>
        <v>2</v>
      </c>
      <c r="L46" s="58">
        <f>(K46/K116)</f>
        <v>0.05405405405</v>
      </c>
      <c r="M46" s="51"/>
      <c r="N46" s="51"/>
      <c r="O46" s="78"/>
      <c r="P46" s="51"/>
      <c r="Q46" s="51"/>
      <c r="R46" s="72"/>
    </row>
    <row r="47" ht="15.75" customHeight="1">
      <c r="A47" s="85"/>
      <c r="B47" s="85"/>
      <c r="C47" s="85"/>
      <c r="D47" s="51"/>
      <c r="E47" s="51"/>
      <c r="F47" s="78"/>
      <c r="G47" s="51"/>
      <c r="H47" s="51"/>
      <c r="I47" s="78"/>
      <c r="J47" s="121" t="s">
        <v>143</v>
      </c>
      <c r="K47" s="54">
        <f>COUNTIF('Itemization 202506'!L:L,J47)</f>
        <v>0</v>
      </c>
      <c r="L47" s="55">
        <f>(K47/K116)</f>
        <v>0</v>
      </c>
      <c r="M47" s="51"/>
      <c r="N47" s="51"/>
      <c r="O47" s="78"/>
      <c r="P47" s="51"/>
      <c r="Q47" s="51"/>
      <c r="R47" s="72"/>
    </row>
    <row r="48" ht="15.75" customHeight="1">
      <c r="A48" s="85"/>
      <c r="B48" s="85"/>
      <c r="C48" s="85"/>
      <c r="D48" s="51"/>
      <c r="E48" s="51"/>
      <c r="F48" s="78"/>
      <c r="G48" s="51"/>
      <c r="H48" s="51"/>
      <c r="I48" s="78"/>
      <c r="J48" s="121" t="s">
        <v>144</v>
      </c>
      <c r="K48" s="54">
        <f>COUNTIF('Itemization 202506'!L:L,J48)</f>
        <v>0</v>
      </c>
      <c r="L48" s="55">
        <f>(K48/K116)</f>
        <v>0</v>
      </c>
      <c r="M48" s="51"/>
      <c r="N48" s="51"/>
      <c r="O48" s="78"/>
      <c r="P48" s="51"/>
      <c r="Q48" s="51"/>
      <c r="R48" s="72"/>
    </row>
    <row r="49" ht="15.75" customHeight="1">
      <c r="A49" s="85"/>
      <c r="B49" s="85"/>
      <c r="C49" s="85"/>
      <c r="D49" s="51"/>
      <c r="E49" s="51"/>
      <c r="F49" s="78"/>
      <c r="G49" s="51"/>
      <c r="H49" s="51"/>
      <c r="I49" s="78"/>
      <c r="J49" s="121" t="s">
        <v>145</v>
      </c>
      <c r="K49" s="54">
        <f>COUNTIF('Itemization 202506'!L:L,J49)</f>
        <v>0</v>
      </c>
      <c r="L49" s="55">
        <f>(K49/K116)</f>
        <v>0</v>
      </c>
      <c r="M49" s="51"/>
      <c r="N49" s="51"/>
      <c r="O49" s="78"/>
      <c r="P49" s="51"/>
      <c r="Q49" s="51"/>
      <c r="R49" s="72"/>
    </row>
    <row r="50" ht="15.75" customHeight="1">
      <c r="A50" s="85"/>
      <c r="B50" s="85"/>
      <c r="C50" s="85"/>
      <c r="D50" s="51"/>
      <c r="E50" s="51"/>
      <c r="F50" s="78"/>
      <c r="G50" s="51"/>
      <c r="H50" s="51"/>
      <c r="I50" s="78"/>
      <c r="J50" s="121" t="s">
        <v>146</v>
      </c>
      <c r="K50" s="54">
        <f>COUNTIF('Itemization 202506'!L:L,J50)</f>
        <v>0</v>
      </c>
      <c r="L50" s="55">
        <f>(K50/K116)</f>
        <v>0</v>
      </c>
      <c r="M50" s="51"/>
      <c r="N50" s="51"/>
      <c r="O50" s="78"/>
      <c r="P50" s="51"/>
      <c r="Q50" s="51"/>
      <c r="R50" s="72"/>
    </row>
    <row r="51" ht="15.75" customHeight="1">
      <c r="A51" s="85"/>
      <c r="B51" s="85"/>
      <c r="C51" s="85"/>
      <c r="D51" s="51"/>
      <c r="E51" s="51"/>
      <c r="F51" s="78"/>
      <c r="G51" s="51"/>
      <c r="H51" s="51"/>
      <c r="I51" s="78"/>
      <c r="J51" s="121" t="s">
        <v>147</v>
      </c>
      <c r="K51" s="54">
        <f>COUNTIF('Itemization 202506'!L:L,J51)</f>
        <v>0</v>
      </c>
      <c r="L51" s="55">
        <f>(K51/K116)</f>
        <v>0</v>
      </c>
      <c r="M51" s="51"/>
      <c r="N51" s="51"/>
      <c r="O51" s="78"/>
      <c r="P51" s="51"/>
      <c r="Q51" s="51"/>
      <c r="R51" s="72"/>
    </row>
    <row r="52" ht="15.75" customHeight="1">
      <c r="A52" s="85"/>
      <c r="B52" s="85"/>
      <c r="C52" s="85"/>
      <c r="D52" s="51"/>
      <c r="E52" s="51"/>
      <c r="F52" s="78"/>
      <c r="G52" s="51"/>
      <c r="H52" s="51"/>
      <c r="I52" s="78"/>
      <c r="J52" s="121" t="s">
        <v>148</v>
      </c>
      <c r="K52" s="54">
        <f>COUNTIF('Itemization 202506'!L:L,J52)</f>
        <v>0</v>
      </c>
      <c r="L52" s="55">
        <f>(K52/K116)</f>
        <v>0</v>
      </c>
      <c r="M52" s="51"/>
      <c r="N52" s="51"/>
      <c r="O52" s="78"/>
      <c r="P52" s="51"/>
      <c r="Q52" s="51"/>
      <c r="R52" s="72"/>
    </row>
    <row r="53" ht="15.75" customHeight="1">
      <c r="A53" s="85"/>
      <c r="B53" s="85"/>
      <c r="C53" s="85"/>
      <c r="D53" s="51"/>
      <c r="E53" s="51"/>
      <c r="F53" s="78"/>
      <c r="G53" s="51"/>
      <c r="H53" s="51"/>
      <c r="I53" s="78"/>
      <c r="J53" s="121" t="s">
        <v>149</v>
      </c>
      <c r="K53" s="54">
        <f>COUNTIF('Itemization 202506'!L:L,J53)</f>
        <v>0</v>
      </c>
      <c r="L53" s="55">
        <f>(K53/K116)</f>
        <v>0</v>
      </c>
      <c r="M53" s="51"/>
      <c r="N53" s="51"/>
      <c r="O53" s="78"/>
      <c r="P53" s="51"/>
      <c r="Q53" s="51"/>
      <c r="R53" s="72"/>
    </row>
    <row r="54" ht="15.75" customHeight="1">
      <c r="A54" s="85"/>
      <c r="B54" s="85"/>
      <c r="C54" s="85"/>
      <c r="D54" s="51"/>
      <c r="E54" s="51"/>
      <c r="F54" s="78"/>
      <c r="G54" s="51"/>
      <c r="H54" s="51"/>
      <c r="I54" s="78"/>
      <c r="J54" s="121" t="s">
        <v>150</v>
      </c>
      <c r="K54" s="54">
        <f>COUNTIF('Itemization 202506'!L:L,J54)</f>
        <v>0</v>
      </c>
      <c r="L54" s="55">
        <f>(K54/K116)</f>
        <v>0</v>
      </c>
      <c r="M54" s="51"/>
      <c r="N54" s="51"/>
      <c r="O54" s="78"/>
      <c r="P54" s="51"/>
      <c r="Q54" s="51"/>
      <c r="R54" s="72"/>
    </row>
    <row r="55" ht="15.75" customHeight="1">
      <c r="A55" s="85"/>
      <c r="B55" s="85"/>
      <c r="C55" s="85"/>
      <c r="D55" s="51"/>
      <c r="E55" s="51"/>
      <c r="F55" s="78"/>
      <c r="G55" s="51"/>
      <c r="H55" s="51"/>
      <c r="I55" s="78"/>
      <c r="J55" s="122" t="s">
        <v>151</v>
      </c>
      <c r="K55" s="57">
        <f>COUNTIF('Itemization 202506'!L:L,J55)</f>
        <v>2</v>
      </c>
      <c r="L55" s="58">
        <f>(K55/K116)</f>
        <v>0.05405405405</v>
      </c>
      <c r="M55" s="51"/>
      <c r="N55" s="51"/>
      <c r="O55" s="78"/>
      <c r="P55" s="51"/>
      <c r="Q55" s="51"/>
      <c r="R55" s="72"/>
    </row>
    <row r="56" ht="15.75" customHeight="1">
      <c r="A56" s="85"/>
      <c r="B56" s="85"/>
      <c r="C56" s="85"/>
      <c r="D56" s="51"/>
      <c r="E56" s="51"/>
      <c r="F56" s="78"/>
      <c r="G56" s="51"/>
      <c r="H56" s="51"/>
      <c r="I56" s="78"/>
      <c r="J56" s="121" t="s">
        <v>152</v>
      </c>
      <c r="K56" s="54">
        <f>COUNTIF('Itemization 202506'!L:L,J56)</f>
        <v>0</v>
      </c>
      <c r="L56" s="55">
        <f>(K56/K116)</f>
        <v>0</v>
      </c>
      <c r="M56" s="51"/>
      <c r="N56" s="51"/>
      <c r="O56" s="78"/>
      <c r="P56" s="51"/>
      <c r="Q56" s="51"/>
      <c r="R56" s="72"/>
    </row>
    <row r="57" ht="15.75" customHeight="1">
      <c r="A57" s="85"/>
      <c r="B57" s="85"/>
      <c r="C57" s="85"/>
      <c r="D57" s="51"/>
      <c r="E57" s="51"/>
      <c r="F57" s="78"/>
      <c r="G57" s="51"/>
      <c r="H57" s="51"/>
      <c r="I57" s="78"/>
      <c r="J57" s="121" t="s">
        <v>153</v>
      </c>
      <c r="K57" s="54">
        <f>COUNTIF('Itemization 202506'!L:L,J57)</f>
        <v>0</v>
      </c>
      <c r="L57" s="55">
        <f>(K57/K116)</f>
        <v>0</v>
      </c>
      <c r="M57" s="51"/>
      <c r="N57" s="51"/>
      <c r="O57" s="78"/>
      <c r="P57" s="51"/>
      <c r="Q57" s="51"/>
      <c r="R57" s="72"/>
    </row>
    <row r="58" ht="15.75" customHeight="1">
      <c r="A58" s="85"/>
      <c r="B58" s="85"/>
      <c r="C58" s="85"/>
      <c r="D58" s="51"/>
      <c r="E58" s="51"/>
      <c r="F58" s="78"/>
      <c r="G58" s="51"/>
      <c r="H58" s="51"/>
      <c r="I58" s="78"/>
      <c r="J58" s="121" t="s">
        <v>154</v>
      </c>
      <c r="K58" s="54">
        <f>COUNTIF('Itemization 202506'!L:L,J58)</f>
        <v>0</v>
      </c>
      <c r="L58" s="55">
        <f>(K58/K116)</f>
        <v>0</v>
      </c>
      <c r="M58" s="51"/>
      <c r="N58" s="51"/>
      <c r="O58" s="78"/>
      <c r="P58" s="51"/>
      <c r="Q58" s="51"/>
      <c r="R58" s="72"/>
    </row>
    <row r="59" ht="15.75" customHeight="1">
      <c r="A59" s="85"/>
      <c r="B59" s="85"/>
      <c r="C59" s="85"/>
      <c r="D59" s="51"/>
      <c r="E59" s="51"/>
      <c r="F59" s="78"/>
      <c r="G59" s="51"/>
      <c r="H59" s="51"/>
      <c r="I59" s="78"/>
      <c r="J59" s="121" t="s">
        <v>155</v>
      </c>
      <c r="K59" s="54">
        <f>COUNTIF('Itemization 202506'!L:L,J59)</f>
        <v>0</v>
      </c>
      <c r="L59" s="55">
        <f>(K59/K116)</f>
        <v>0</v>
      </c>
      <c r="M59" s="51"/>
      <c r="N59" s="51"/>
      <c r="O59" s="78"/>
      <c r="P59" s="51"/>
      <c r="Q59" s="51"/>
      <c r="R59" s="72"/>
    </row>
    <row r="60" ht="15.75" customHeight="1">
      <c r="A60" s="85"/>
      <c r="B60" s="85"/>
      <c r="C60" s="85"/>
      <c r="D60" s="51"/>
      <c r="E60" s="51"/>
      <c r="F60" s="78"/>
      <c r="G60" s="51"/>
      <c r="H60" s="51"/>
      <c r="I60" s="78"/>
      <c r="J60" s="121" t="s">
        <v>156</v>
      </c>
      <c r="K60" s="54">
        <f>COUNTIF('Itemization 202506'!L:L,J60)</f>
        <v>0</v>
      </c>
      <c r="L60" s="55">
        <f>(K60/K116)</f>
        <v>0</v>
      </c>
      <c r="M60" s="51"/>
      <c r="N60" s="51"/>
      <c r="O60" s="78"/>
      <c r="P60" s="51"/>
      <c r="Q60" s="51"/>
      <c r="R60" s="72"/>
    </row>
    <row r="61" ht="15.75" customHeight="1">
      <c r="A61" s="85"/>
      <c r="B61" s="85"/>
      <c r="C61" s="85"/>
      <c r="D61" s="51"/>
      <c r="E61" s="51"/>
      <c r="F61" s="78"/>
      <c r="G61" s="51"/>
      <c r="H61" s="51"/>
      <c r="I61" s="78"/>
      <c r="J61" s="121" t="s">
        <v>157</v>
      </c>
      <c r="K61" s="54">
        <f>COUNTIF('Itemization 202506'!L:L,J61)</f>
        <v>0</v>
      </c>
      <c r="L61" s="55">
        <f>(K61/K116)</f>
        <v>0</v>
      </c>
      <c r="M61" s="51"/>
      <c r="N61" s="51"/>
      <c r="O61" s="78"/>
      <c r="P61" s="51"/>
      <c r="Q61" s="51"/>
      <c r="R61" s="72"/>
    </row>
    <row r="62" ht="15.75" customHeight="1">
      <c r="A62" s="85"/>
      <c r="B62" s="85"/>
      <c r="C62" s="85"/>
      <c r="D62" s="51"/>
      <c r="E62" s="51"/>
      <c r="F62" s="78"/>
      <c r="G62" s="51"/>
      <c r="H62" s="51"/>
      <c r="I62" s="78"/>
      <c r="J62" s="122" t="s">
        <v>158</v>
      </c>
      <c r="K62" s="57">
        <f>COUNTIF('Itemization 202506'!L:L,J62)</f>
        <v>2</v>
      </c>
      <c r="L62" s="58">
        <f>(K62/K116)</f>
        <v>0.05405405405</v>
      </c>
      <c r="M62" s="51"/>
      <c r="N62" s="51"/>
      <c r="O62" s="78"/>
      <c r="P62" s="51"/>
      <c r="Q62" s="51"/>
      <c r="R62" s="72"/>
    </row>
    <row r="63" ht="15.75" customHeight="1">
      <c r="A63" s="85"/>
      <c r="B63" s="85"/>
      <c r="C63" s="85"/>
      <c r="D63" s="51"/>
      <c r="E63" s="51"/>
      <c r="F63" s="78"/>
      <c r="G63" s="51"/>
      <c r="H63" s="51"/>
      <c r="I63" s="78"/>
      <c r="J63" s="121" t="s">
        <v>159</v>
      </c>
      <c r="K63" s="54">
        <f>COUNTIF('Itemization 202506'!L:L,J63)</f>
        <v>0</v>
      </c>
      <c r="L63" s="55">
        <f>(K63/K116)</f>
        <v>0</v>
      </c>
      <c r="M63" s="51"/>
      <c r="N63" s="51"/>
      <c r="O63" s="78"/>
      <c r="P63" s="51"/>
      <c r="Q63" s="51"/>
      <c r="R63" s="72"/>
    </row>
    <row r="64" ht="15.75" customHeight="1">
      <c r="A64" s="85"/>
      <c r="B64" s="85"/>
      <c r="C64" s="85"/>
      <c r="D64" s="51"/>
      <c r="E64" s="51"/>
      <c r="F64" s="78"/>
      <c r="G64" s="51"/>
      <c r="H64" s="51"/>
      <c r="I64" s="78"/>
      <c r="J64" s="121" t="s">
        <v>160</v>
      </c>
      <c r="K64" s="54">
        <f>COUNTIF('Itemization 202506'!L:L,J64)</f>
        <v>0</v>
      </c>
      <c r="L64" s="55">
        <f>(K64/K116)</f>
        <v>0</v>
      </c>
      <c r="M64" s="51"/>
      <c r="N64" s="51"/>
      <c r="O64" s="78"/>
      <c r="P64" s="51"/>
      <c r="Q64" s="51"/>
      <c r="R64" s="72"/>
    </row>
    <row r="65" ht="15.75" customHeight="1">
      <c r="A65" s="85"/>
      <c r="B65" s="85"/>
      <c r="C65" s="85"/>
      <c r="D65" s="51"/>
      <c r="E65" s="51"/>
      <c r="F65" s="78"/>
      <c r="G65" s="51"/>
      <c r="H65" s="51"/>
      <c r="I65" s="78"/>
      <c r="J65" s="121" t="s">
        <v>161</v>
      </c>
      <c r="K65" s="54">
        <f>COUNTIF('Itemization 202506'!L:L,J65)</f>
        <v>0</v>
      </c>
      <c r="L65" s="55">
        <f>(K65/K116)</f>
        <v>0</v>
      </c>
      <c r="M65" s="51"/>
      <c r="N65" s="51"/>
      <c r="O65" s="78"/>
      <c r="P65" s="51"/>
      <c r="Q65" s="51"/>
      <c r="R65" s="72"/>
    </row>
    <row r="66" ht="15.75" customHeight="1">
      <c r="A66" s="85"/>
      <c r="B66" s="85"/>
      <c r="C66" s="85"/>
      <c r="D66" s="51"/>
      <c r="E66" s="51"/>
      <c r="F66" s="78"/>
      <c r="G66" s="51"/>
      <c r="H66" s="51"/>
      <c r="I66" s="78"/>
      <c r="J66" s="121" t="s">
        <v>162</v>
      </c>
      <c r="K66" s="54">
        <f>COUNTIF('Itemization 202506'!L:L,J66)</f>
        <v>0</v>
      </c>
      <c r="L66" s="55">
        <f>(K66/K116)</f>
        <v>0</v>
      </c>
      <c r="M66" s="51"/>
      <c r="N66" s="51"/>
      <c r="O66" s="78"/>
      <c r="P66" s="51"/>
      <c r="Q66" s="51"/>
      <c r="R66" s="72"/>
    </row>
    <row r="67" ht="15.75" customHeight="1">
      <c r="A67" s="85"/>
      <c r="B67" s="85"/>
      <c r="C67" s="85"/>
      <c r="D67" s="51"/>
      <c r="E67" s="51"/>
      <c r="F67" s="78"/>
      <c r="G67" s="51"/>
      <c r="H67" s="51"/>
      <c r="I67" s="78"/>
      <c r="J67" s="121" t="s">
        <v>163</v>
      </c>
      <c r="K67" s="54">
        <f>COUNTIF('Itemization 202506'!L:L,J67)</f>
        <v>0</v>
      </c>
      <c r="L67" s="55">
        <f>(K67/K116)</f>
        <v>0</v>
      </c>
      <c r="M67" s="51"/>
      <c r="N67" s="51"/>
      <c r="O67" s="78"/>
      <c r="P67" s="51"/>
      <c r="Q67" s="51"/>
      <c r="R67" s="72"/>
    </row>
    <row r="68" ht="15.75" customHeight="1">
      <c r="A68" s="85"/>
      <c r="B68" s="85"/>
      <c r="C68" s="85"/>
      <c r="D68" s="51"/>
      <c r="E68" s="51"/>
      <c r="F68" s="78"/>
      <c r="G68" s="51"/>
      <c r="H68" s="51"/>
      <c r="I68" s="78"/>
      <c r="J68" s="121" t="s">
        <v>164</v>
      </c>
      <c r="K68" s="54">
        <f>COUNTIF('Itemization 202506'!L:L,J68)</f>
        <v>0</v>
      </c>
      <c r="L68" s="55">
        <f>(K68/K116)</f>
        <v>0</v>
      </c>
      <c r="M68" s="51"/>
      <c r="N68" s="51"/>
      <c r="O68" s="78"/>
      <c r="P68" s="51"/>
      <c r="Q68" s="51"/>
      <c r="R68" s="72"/>
    </row>
    <row r="69" ht="15.75" customHeight="1">
      <c r="A69" s="85"/>
      <c r="B69" s="85"/>
      <c r="C69" s="85"/>
      <c r="D69" s="51"/>
      <c r="E69" s="51"/>
      <c r="F69" s="78"/>
      <c r="G69" s="51"/>
      <c r="H69" s="51"/>
      <c r="I69" s="78"/>
      <c r="J69" s="121" t="s">
        <v>165</v>
      </c>
      <c r="K69" s="54">
        <f>COUNTIF('Itemization 202506'!L:L,J69)</f>
        <v>0</v>
      </c>
      <c r="L69" s="55">
        <f>(K69/K116)</f>
        <v>0</v>
      </c>
      <c r="M69" s="51"/>
      <c r="N69" s="51"/>
      <c r="O69" s="78"/>
      <c r="P69" s="51"/>
      <c r="Q69" s="51"/>
      <c r="R69" s="72"/>
    </row>
    <row r="70" ht="15.75" customHeight="1">
      <c r="A70" s="85"/>
      <c r="B70" s="85"/>
      <c r="C70" s="85"/>
      <c r="D70" s="51"/>
      <c r="E70" s="51"/>
      <c r="F70" s="78"/>
      <c r="G70" s="51"/>
      <c r="H70" s="51"/>
      <c r="I70" s="78"/>
      <c r="J70" s="121" t="s">
        <v>166</v>
      </c>
      <c r="K70" s="54">
        <f>COUNTIF('Itemization 202506'!L:L,J70)</f>
        <v>0</v>
      </c>
      <c r="L70" s="55">
        <f>(K70/K116)</f>
        <v>0</v>
      </c>
      <c r="M70" s="51"/>
      <c r="N70" s="51"/>
      <c r="O70" s="78"/>
      <c r="P70" s="51"/>
      <c r="Q70" s="51"/>
      <c r="R70" s="72"/>
    </row>
    <row r="71" ht="15.75" customHeight="1">
      <c r="A71" s="85"/>
      <c r="B71" s="85"/>
      <c r="C71" s="85"/>
      <c r="D71" s="51"/>
      <c r="E71" s="51"/>
      <c r="F71" s="78"/>
      <c r="G71" s="51"/>
      <c r="H71" s="51"/>
      <c r="I71" s="78"/>
      <c r="J71" s="121" t="s">
        <v>167</v>
      </c>
      <c r="K71" s="54">
        <f>COUNTIF('Itemization 202506'!L:L,J71)</f>
        <v>0</v>
      </c>
      <c r="L71" s="55">
        <f>(K71/K116)</f>
        <v>0</v>
      </c>
      <c r="M71" s="51"/>
      <c r="N71" s="51"/>
      <c r="O71" s="78"/>
      <c r="P71" s="51"/>
      <c r="Q71" s="51"/>
      <c r="R71" s="72"/>
    </row>
    <row r="72" ht="15.75" customHeight="1">
      <c r="A72" s="85"/>
      <c r="B72" s="85"/>
      <c r="C72" s="85"/>
      <c r="D72" s="51"/>
      <c r="E72" s="51"/>
      <c r="F72" s="78"/>
      <c r="G72" s="51"/>
      <c r="H72" s="51"/>
      <c r="I72" s="78"/>
      <c r="J72" s="121" t="s">
        <v>168</v>
      </c>
      <c r="K72" s="54">
        <f>COUNTIF('Itemization 202506'!L:L,J72)</f>
        <v>0</v>
      </c>
      <c r="L72" s="55">
        <f>(K72/K116)</f>
        <v>0</v>
      </c>
      <c r="M72" s="51"/>
      <c r="N72" s="51"/>
      <c r="O72" s="78"/>
      <c r="P72" s="51"/>
      <c r="Q72" s="51"/>
      <c r="R72" s="72"/>
    </row>
    <row r="73" ht="15.75" customHeight="1">
      <c r="A73" s="85"/>
      <c r="B73" s="85"/>
      <c r="C73" s="85"/>
      <c r="D73" s="51"/>
      <c r="E73" s="51"/>
      <c r="F73" s="78"/>
      <c r="G73" s="51"/>
      <c r="H73" s="51"/>
      <c r="I73" s="78"/>
      <c r="J73" s="121" t="s">
        <v>169</v>
      </c>
      <c r="K73" s="54">
        <f>COUNTIF('Itemization 202506'!L:L,J73)</f>
        <v>0</v>
      </c>
      <c r="L73" s="55">
        <f>(K73/K116)</f>
        <v>0</v>
      </c>
      <c r="M73" s="51"/>
      <c r="N73" s="51"/>
      <c r="O73" s="78"/>
      <c r="P73" s="51"/>
      <c r="Q73" s="51"/>
      <c r="R73" s="72"/>
    </row>
    <row r="74" ht="15.75" customHeight="1">
      <c r="A74" s="85"/>
      <c r="B74" s="85"/>
      <c r="C74" s="85"/>
      <c r="D74" s="51"/>
      <c r="E74" s="51"/>
      <c r="F74" s="78"/>
      <c r="G74" s="51"/>
      <c r="H74" s="51"/>
      <c r="I74" s="78"/>
      <c r="J74" s="121" t="s">
        <v>170</v>
      </c>
      <c r="K74" s="54">
        <f>COUNTIF('Itemization 202506'!L:L,J74)</f>
        <v>0</v>
      </c>
      <c r="L74" s="55">
        <f>(K74/K116)</f>
        <v>0</v>
      </c>
      <c r="M74" s="51"/>
      <c r="N74" s="51"/>
      <c r="O74" s="78"/>
      <c r="P74" s="51"/>
      <c r="Q74" s="51"/>
      <c r="R74" s="72"/>
    </row>
    <row r="75" ht="15.75" customHeight="1">
      <c r="A75" s="85"/>
      <c r="B75" s="85"/>
      <c r="C75" s="85"/>
      <c r="D75" s="51"/>
      <c r="E75" s="51"/>
      <c r="F75" s="78"/>
      <c r="G75" s="51"/>
      <c r="H75" s="51"/>
      <c r="I75" s="78"/>
      <c r="J75" s="122" t="s">
        <v>171</v>
      </c>
      <c r="K75" s="57">
        <f>COUNTIF('Itemization 202506'!L:L,J75)</f>
        <v>2</v>
      </c>
      <c r="L75" s="58">
        <f>(K75/K116)</f>
        <v>0.05405405405</v>
      </c>
      <c r="M75" s="51"/>
      <c r="N75" s="51"/>
      <c r="O75" s="78"/>
      <c r="P75" s="51"/>
      <c r="Q75" s="51"/>
      <c r="R75" s="72"/>
    </row>
    <row r="76" ht="15.75" customHeight="1">
      <c r="A76" s="85"/>
      <c r="B76" s="85"/>
      <c r="C76" s="85"/>
      <c r="D76" s="51"/>
      <c r="E76" s="51"/>
      <c r="F76" s="78"/>
      <c r="G76" s="51"/>
      <c r="H76" s="51"/>
      <c r="I76" s="78"/>
      <c r="J76" s="121" t="s">
        <v>172</v>
      </c>
      <c r="K76" s="54">
        <f>COUNTIF('Itemization 202506'!L:L,J76)</f>
        <v>0</v>
      </c>
      <c r="L76" s="55">
        <f>(K76/K116)</f>
        <v>0</v>
      </c>
      <c r="M76" s="51"/>
      <c r="N76" s="51"/>
      <c r="O76" s="78"/>
      <c r="P76" s="51"/>
      <c r="Q76" s="51"/>
      <c r="R76" s="72"/>
    </row>
    <row r="77" ht="15.75" customHeight="1">
      <c r="A77" s="85"/>
      <c r="B77" s="85"/>
      <c r="C77" s="85"/>
      <c r="D77" s="51"/>
      <c r="E77" s="51"/>
      <c r="F77" s="78"/>
      <c r="G77" s="51"/>
      <c r="H77" s="51"/>
      <c r="I77" s="78"/>
      <c r="J77" s="121" t="s">
        <v>173</v>
      </c>
      <c r="K77" s="54">
        <f>COUNTIF('Itemization 202506'!L:L,J77)</f>
        <v>0</v>
      </c>
      <c r="L77" s="55">
        <f>(K77/K116)</f>
        <v>0</v>
      </c>
      <c r="M77" s="51"/>
      <c r="N77" s="51"/>
      <c r="O77" s="78"/>
      <c r="P77" s="51"/>
      <c r="Q77" s="51"/>
      <c r="R77" s="72"/>
    </row>
    <row r="78" ht="15.75" customHeight="1">
      <c r="A78" s="85"/>
      <c r="B78" s="85"/>
      <c r="C78" s="85"/>
      <c r="D78" s="51"/>
      <c r="E78" s="51"/>
      <c r="F78" s="78"/>
      <c r="G78" s="51"/>
      <c r="H78" s="51"/>
      <c r="I78" s="78"/>
      <c r="J78" s="121" t="s">
        <v>174</v>
      </c>
      <c r="K78" s="54">
        <f>COUNTIF('Itemization 202506'!L:L,J78)</f>
        <v>0</v>
      </c>
      <c r="L78" s="55">
        <f>(K78/K116)</f>
        <v>0</v>
      </c>
      <c r="M78" s="51"/>
      <c r="N78" s="51"/>
      <c r="O78" s="78"/>
      <c r="P78" s="51"/>
      <c r="Q78" s="51"/>
      <c r="R78" s="72"/>
    </row>
    <row r="79" ht="15.75" customHeight="1">
      <c r="A79" s="85"/>
      <c r="B79" s="85"/>
      <c r="C79" s="85"/>
      <c r="D79" s="51"/>
      <c r="E79" s="51"/>
      <c r="F79" s="78"/>
      <c r="G79" s="51"/>
      <c r="H79" s="51"/>
      <c r="I79" s="78"/>
      <c r="J79" s="121" t="s">
        <v>175</v>
      </c>
      <c r="K79" s="54">
        <f>COUNTIF('Itemization 202506'!L:L,J79)</f>
        <v>0</v>
      </c>
      <c r="L79" s="55">
        <f>(K79/K116)</f>
        <v>0</v>
      </c>
      <c r="M79" s="51"/>
      <c r="N79" s="51"/>
      <c r="O79" s="78"/>
      <c r="P79" s="51"/>
      <c r="Q79" s="51"/>
      <c r="R79" s="72"/>
    </row>
    <row r="80" ht="15.75" customHeight="1">
      <c r="A80" s="85"/>
      <c r="B80" s="85"/>
      <c r="C80" s="85"/>
      <c r="D80" s="51"/>
      <c r="E80" s="51"/>
      <c r="F80" s="78"/>
      <c r="G80" s="51"/>
      <c r="H80" s="51"/>
      <c r="I80" s="78"/>
      <c r="J80" s="121" t="s">
        <v>176</v>
      </c>
      <c r="K80" s="54">
        <f>COUNTIF('Itemization 202506'!L:L,J80)</f>
        <v>0</v>
      </c>
      <c r="L80" s="55">
        <f>(K80/K116)</f>
        <v>0</v>
      </c>
      <c r="M80" s="51"/>
      <c r="N80" s="51"/>
      <c r="O80" s="78"/>
      <c r="P80" s="51"/>
      <c r="Q80" s="51"/>
      <c r="R80" s="72"/>
    </row>
    <row r="81" ht="15.75" customHeight="1">
      <c r="A81" s="85"/>
      <c r="B81" s="85"/>
      <c r="C81" s="85"/>
      <c r="D81" s="51"/>
      <c r="E81" s="51"/>
      <c r="F81" s="78"/>
      <c r="G81" s="51"/>
      <c r="H81" s="51"/>
      <c r="I81" s="78"/>
      <c r="J81" s="121" t="s">
        <v>177</v>
      </c>
      <c r="K81" s="54">
        <f>COUNTIF('Itemization 202506'!L:L,J81)</f>
        <v>0</v>
      </c>
      <c r="L81" s="55">
        <f>(K81/K116)</f>
        <v>0</v>
      </c>
      <c r="M81" s="51"/>
      <c r="N81" s="51"/>
      <c r="O81" s="78"/>
      <c r="P81" s="51"/>
      <c r="Q81" s="51"/>
      <c r="R81" s="72"/>
    </row>
    <row r="82" ht="15.75" customHeight="1">
      <c r="A82" s="85"/>
      <c r="B82" s="85"/>
      <c r="C82" s="85"/>
      <c r="D82" s="51"/>
      <c r="E82" s="51"/>
      <c r="F82" s="78"/>
      <c r="G82" s="51"/>
      <c r="H82" s="51"/>
      <c r="I82" s="78"/>
      <c r="J82" s="210" t="s">
        <v>178</v>
      </c>
      <c r="K82" s="114">
        <f>COUNTIF('Itemization 202506'!L:L,J82)</f>
        <v>1</v>
      </c>
      <c r="L82" s="145">
        <f>(K82/K116)</f>
        <v>0.02702702703</v>
      </c>
      <c r="M82" s="51"/>
      <c r="N82" s="51"/>
      <c r="O82" s="78"/>
      <c r="P82" s="51"/>
      <c r="Q82" s="51"/>
      <c r="R82" s="72"/>
    </row>
    <row r="83" ht="15.75" customHeight="1">
      <c r="A83" s="85"/>
      <c r="B83" s="85"/>
      <c r="C83" s="85"/>
      <c r="D83" s="51"/>
      <c r="E83" s="51"/>
      <c r="F83" s="78"/>
      <c r="G83" s="51"/>
      <c r="H83" s="51"/>
      <c r="I83" s="78"/>
      <c r="J83" s="121" t="s">
        <v>179</v>
      </c>
      <c r="K83" s="54">
        <f>COUNTIF('Itemization 202506'!L:L,J83)</f>
        <v>0</v>
      </c>
      <c r="L83" s="55">
        <f>(K83/K116)</f>
        <v>0</v>
      </c>
      <c r="M83" s="51"/>
      <c r="N83" s="51"/>
      <c r="O83" s="78"/>
      <c r="P83" s="51"/>
      <c r="Q83" s="51"/>
      <c r="R83" s="72"/>
    </row>
    <row r="84" ht="15.75" customHeight="1">
      <c r="A84" s="85"/>
      <c r="B84" s="85"/>
      <c r="C84" s="85"/>
      <c r="D84" s="51"/>
      <c r="E84" s="51"/>
      <c r="F84" s="78"/>
      <c r="G84" s="51"/>
      <c r="H84" s="51"/>
      <c r="I84" s="78"/>
      <c r="J84" s="121" t="s">
        <v>180</v>
      </c>
      <c r="K84" s="54">
        <f>COUNTIF('Itemization 202506'!L:L,J84)</f>
        <v>0</v>
      </c>
      <c r="L84" s="55">
        <f>(K84/K116)</f>
        <v>0</v>
      </c>
      <c r="M84" s="51"/>
      <c r="N84" s="51"/>
      <c r="O84" s="78"/>
      <c r="P84" s="51"/>
      <c r="Q84" s="51"/>
      <c r="R84" s="72"/>
    </row>
    <row r="85" ht="15.75" customHeight="1">
      <c r="A85" s="85"/>
      <c r="B85" s="85"/>
      <c r="C85" s="85"/>
      <c r="D85" s="51"/>
      <c r="E85" s="51"/>
      <c r="F85" s="78"/>
      <c r="G85" s="51"/>
      <c r="H85" s="51"/>
      <c r="I85" s="78"/>
      <c r="J85" s="121" t="s">
        <v>181</v>
      </c>
      <c r="K85" s="54">
        <f>COUNTIF('Itemization 202506'!L:L,J85)</f>
        <v>0</v>
      </c>
      <c r="L85" s="55">
        <f>(K85/K116)</f>
        <v>0</v>
      </c>
      <c r="M85" s="51"/>
      <c r="N85" s="51"/>
      <c r="O85" s="78"/>
      <c r="P85" s="51"/>
      <c r="Q85" s="51"/>
      <c r="R85" s="72"/>
    </row>
    <row r="86" ht="15.75" customHeight="1">
      <c r="A86" s="85"/>
      <c r="B86" s="85"/>
      <c r="C86" s="85"/>
      <c r="D86" s="51"/>
      <c r="E86" s="51"/>
      <c r="F86" s="78"/>
      <c r="G86" s="51"/>
      <c r="H86" s="51"/>
      <c r="I86" s="78"/>
      <c r="J86" s="121" t="s">
        <v>182</v>
      </c>
      <c r="K86" s="54">
        <f>COUNTIF('Itemization 202506'!L:L,J86)</f>
        <v>0</v>
      </c>
      <c r="L86" s="55">
        <f>(K86/K116)</f>
        <v>0</v>
      </c>
      <c r="M86" s="51"/>
      <c r="N86" s="51"/>
      <c r="O86" s="78"/>
      <c r="P86" s="51"/>
      <c r="Q86" s="51"/>
      <c r="R86" s="72"/>
    </row>
    <row r="87" ht="15.75" customHeight="1">
      <c r="A87" s="85"/>
      <c r="B87" s="85"/>
      <c r="C87" s="85"/>
      <c r="D87" s="51"/>
      <c r="E87" s="51"/>
      <c r="F87" s="78"/>
      <c r="G87" s="51"/>
      <c r="H87" s="51"/>
      <c r="I87" s="78"/>
      <c r="J87" s="121" t="s">
        <v>183</v>
      </c>
      <c r="K87" s="54">
        <f>COUNTIF('Itemization 202506'!L:L,J87)</f>
        <v>0</v>
      </c>
      <c r="L87" s="55">
        <f>(K87/K116)</f>
        <v>0</v>
      </c>
      <c r="M87" s="51"/>
      <c r="N87" s="51"/>
      <c r="O87" s="78"/>
      <c r="P87" s="51"/>
      <c r="Q87" s="51"/>
      <c r="R87" s="72"/>
    </row>
    <row r="88" ht="15.75" customHeight="1">
      <c r="A88" s="85"/>
      <c r="B88" s="85"/>
      <c r="C88" s="85"/>
      <c r="D88" s="51"/>
      <c r="E88" s="51"/>
      <c r="F88" s="78"/>
      <c r="G88" s="51"/>
      <c r="H88" s="51"/>
      <c r="I88" s="78"/>
      <c r="J88" s="122" t="s">
        <v>184</v>
      </c>
      <c r="K88" s="57">
        <f>COUNTIF('Itemization 202506'!L:L,J88)</f>
        <v>2</v>
      </c>
      <c r="L88" s="58">
        <f>(K88/K116)</f>
        <v>0.05405405405</v>
      </c>
      <c r="M88" s="51"/>
      <c r="N88" s="51"/>
      <c r="O88" s="78"/>
      <c r="P88" s="51"/>
      <c r="Q88" s="51"/>
      <c r="R88" s="72"/>
    </row>
    <row r="89" ht="15.75" customHeight="1">
      <c r="A89" s="85"/>
      <c r="B89" s="85"/>
      <c r="C89" s="85"/>
      <c r="D89" s="51"/>
      <c r="E89" s="51"/>
      <c r="F89" s="78"/>
      <c r="G89" s="51"/>
      <c r="H89" s="51"/>
      <c r="I89" s="78"/>
      <c r="J89" s="121" t="s">
        <v>185</v>
      </c>
      <c r="K89" s="54">
        <f>COUNTIF('Itemization 202506'!L:L,J89)</f>
        <v>0</v>
      </c>
      <c r="L89" s="55">
        <f>(K89/K116)</f>
        <v>0</v>
      </c>
      <c r="M89" s="51"/>
      <c r="N89" s="51"/>
      <c r="O89" s="78"/>
      <c r="P89" s="51"/>
      <c r="Q89" s="51"/>
      <c r="R89" s="72"/>
    </row>
    <row r="90" ht="15.75" customHeight="1">
      <c r="A90" s="85"/>
      <c r="B90" s="85"/>
      <c r="C90" s="85"/>
      <c r="D90" s="51"/>
      <c r="E90" s="51"/>
      <c r="F90" s="78"/>
      <c r="G90" s="51"/>
      <c r="H90" s="51"/>
      <c r="I90" s="78"/>
      <c r="J90" s="121" t="s">
        <v>186</v>
      </c>
      <c r="K90" s="54">
        <f>COUNTIF('Itemization 202506'!L:L,J90)</f>
        <v>0</v>
      </c>
      <c r="L90" s="55">
        <f>(K90/K116)</f>
        <v>0</v>
      </c>
      <c r="M90" s="51"/>
      <c r="N90" s="51"/>
      <c r="O90" s="78"/>
      <c r="P90" s="51"/>
      <c r="Q90" s="51"/>
      <c r="R90" s="72"/>
    </row>
    <row r="91" ht="15.75" customHeight="1">
      <c r="A91" s="85"/>
      <c r="B91" s="85"/>
      <c r="C91" s="85"/>
      <c r="D91" s="51"/>
      <c r="E91" s="51"/>
      <c r="F91" s="78"/>
      <c r="G91" s="51"/>
      <c r="H91" s="51"/>
      <c r="I91" s="78"/>
      <c r="J91" s="121" t="s">
        <v>187</v>
      </c>
      <c r="K91" s="54">
        <f>COUNTIF('Itemization 202506'!L:L,J91)</f>
        <v>0</v>
      </c>
      <c r="L91" s="55">
        <f>(K91/K116)</f>
        <v>0</v>
      </c>
      <c r="M91" s="51"/>
      <c r="N91" s="51"/>
      <c r="O91" s="78"/>
      <c r="P91" s="51"/>
      <c r="Q91" s="51"/>
      <c r="R91" s="72"/>
    </row>
    <row r="92" ht="15.75" customHeight="1">
      <c r="A92" s="85"/>
      <c r="B92" s="85"/>
      <c r="C92" s="85"/>
      <c r="D92" s="51"/>
      <c r="E92" s="51"/>
      <c r="F92" s="78"/>
      <c r="G92" s="51"/>
      <c r="H92" s="51"/>
      <c r="I92" s="78"/>
      <c r="J92" s="122" t="s">
        <v>188</v>
      </c>
      <c r="K92" s="57">
        <f>COUNTIF('Itemization 202506'!L:L,J92)</f>
        <v>2</v>
      </c>
      <c r="L92" s="58">
        <f>(K92/K116)</f>
        <v>0.05405405405</v>
      </c>
      <c r="M92" s="51"/>
      <c r="N92" s="51"/>
      <c r="O92" s="78"/>
      <c r="P92" s="51"/>
      <c r="Q92" s="51"/>
      <c r="R92" s="72"/>
    </row>
    <row r="93" ht="15.75" customHeight="1">
      <c r="A93" s="85"/>
      <c r="B93" s="85"/>
      <c r="C93" s="85"/>
      <c r="D93" s="51"/>
      <c r="E93" s="51"/>
      <c r="F93" s="78"/>
      <c r="G93" s="51"/>
      <c r="H93" s="51"/>
      <c r="I93" s="78"/>
      <c r="J93" s="121" t="s">
        <v>189</v>
      </c>
      <c r="K93" s="54">
        <f>COUNTIF('Itemization 202506'!L:L,J93)</f>
        <v>0</v>
      </c>
      <c r="L93" s="55">
        <f>(K93/K116)</f>
        <v>0</v>
      </c>
      <c r="M93" s="51"/>
      <c r="N93" s="51"/>
      <c r="O93" s="78"/>
      <c r="P93" s="51"/>
      <c r="Q93" s="51"/>
      <c r="R93" s="72"/>
    </row>
    <row r="94" ht="15.75" customHeight="1">
      <c r="A94" s="85"/>
      <c r="B94" s="85"/>
      <c r="C94" s="85"/>
      <c r="D94" s="51"/>
      <c r="E94" s="51"/>
      <c r="F94" s="78"/>
      <c r="G94" s="51"/>
      <c r="H94" s="51"/>
      <c r="I94" s="78"/>
      <c r="J94" s="210" t="s">
        <v>190</v>
      </c>
      <c r="K94" s="114">
        <f>COUNTIF('Itemization 202506'!L:L,J94)</f>
        <v>1</v>
      </c>
      <c r="L94" s="145">
        <f>(K94/K116)</f>
        <v>0.02702702703</v>
      </c>
      <c r="M94" s="51"/>
      <c r="N94" s="51"/>
      <c r="O94" s="78"/>
      <c r="P94" s="51"/>
      <c r="Q94" s="51"/>
      <c r="R94" s="72"/>
    </row>
    <row r="95" ht="15.75" customHeight="1">
      <c r="A95" s="85"/>
      <c r="B95" s="85"/>
      <c r="C95" s="85"/>
      <c r="D95" s="51"/>
      <c r="E95" s="51"/>
      <c r="F95" s="78"/>
      <c r="G95" s="51"/>
      <c r="H95" s="51"/>
      <c r="I95" s="78"/>
      <c r="J95" s="121" t="s">
        <v>191</v>
      </c>
      <c r="K95" s="54">
        <f>COUNTIF('Itemization 202506'!L:L,J95)</f>
        <v>0</v>
      </c>
      <c r="L95" s="55">
        <f>(K95/K116)</f>
        <v>0</v>
      </c>
      <c r="M95" s="51"/>
      <c r="N95" s="51"/>
      <c r="O95" s="78"/>
      <c r="P95" s="51"/>
      <c r="Q95" s="51"/>
      <c r="R95" s="72"/>
    </row>
    <row r="96" ht="15.75" customHeight="1">
      <c r="A96" s="85"/>
      <c r="B96" s="85"/>
      <c r="C96" s="85"/>
      <c r="D96" s="51"/>
      <c r="E96" s="51"/>
      <c r="F96" s="78"/>
      <c r="G96" s="51"/>
      <c r="H96" s="51"/>
      <c r="I96" s="78"/>
      <c r="J96" s="121" t="s">
        <v>192</v>
      </c>
      <c r="K96" s="54">
        <f>COUNTIF('Itemization 202506'!L:L,J96)</f>
        <v>0</v>
      </c>
      <c r="L96" s="55">
        <f>(K96/K116)</f>
        <v>0</v>
      </c>
      <c r="M96" s="51"/>
      <c r="N96" s="51"/>
      <c r="O96" s="78"/>
      <c r="P96" s="51"/>
      <c r="Q96" s="51"/>
      <c r="R96" s="72"/>
    </row>
    <row r="97" ht="15.75" customHeight="1">
      <c r="A97" s="85"/>
      <c r="B97" s="85"/>
      <c r="C97" s="85"/>
      <c r="D97" s="51"/>
      <c r="E97" s="51"/>
      <c r="F97" s="78"/>
      <c r="G97" s="51"/>
      <c r="H97" s="51"/>
      <c r="I97" s="78"/>
      <c r="J97" s="121" t="s">
        <v>193</v>
      </c>
      <c r="K97" s="54">
        <f>COUNTIF('Itemization 202506'!L:L,J97)</f>
        <v>0</v>
      </c>
      <c r="L97" s="55">
        <f>(K97/K116)</f>
        <v>0</v>
      </c>
      <c r="M97" s="51"/>
      <c r="N97" s="51"/>
      <c r="O97" s="78"/>
      <c r="P97" s="51"/>
      <c r="Q97" s="51"/>
      <c r="R97" s="72"/>
    </row>
    <row r="98" ht="15.75" customHeight="1">
      <c r="A98" s="85"/>
      <c r="B98" s="85"/>
      <c r="C98" s="85"/>
      <c r="D98" s="51"/>
      <c r="E98" s="51"/>
      <c r="F98" s="78"/>
      <c r="G98" s="51"/>
      <c r="H98" s="51"/>
      <c r="I98" s="78"/>
      <c r="J98" s="210" t="s">
        <v>194</v>
      </c>
      <c r="K98" s="114">
        <f>COUNTIF('Itemization 202506'!L:L,J98)</f>
        <v>1</v>
      </c>
      <c r="L98" s="145">
        <f>(K98/K116)</f>
        <v>0.02702702703</v>
      </c>
      <c r="M98" s="51"/>
      <c r="N98" s="51"/>
      <c r="O98" s="78"/>
      <c r="P98" s="51"/>
      <c r="Q98" s="51"/>
      <c r="R98" s="72"/>
    </row>
    <row r="99" ht="15.75" customHeight="1">
      <c r="A99" s="85"/>
      <c r="B99" s="85"/>
      <c r="C99" s="85"/>
      <c r="D99" s="51"/>
      <c r="E99" s="51"/>
      <c r="F99" s="78"/>
      <c r="G99" s="51"/>
      <c r="H99" s="51"/>
      <c r="I99" s="78"/>
      <c r="J99" s="121" t="s">
        <v>195</v>
      </c>
      <c r="K99" s="54">
        <f>COUNTIF('Itemization 202506'!L:L,J99)</f>
        <v>0</v>
      </c>
      <c r="L99" s="55">
        <f>(K99/K116)</f>
        <v>0</v>
      </c>
      <c r="M99" s="51"/>
      <c r="N99" s="51"/>
      <c r="O99" s="78"/>
      <c r="P99" s="51"/>
      <c r="Q99" s="51"/>
      <c r="R99" s="72"/>
    </row>
    <row r="100" ht="15.75" customHeight="1">
      <c r="A100" s="85"/>
      <c r="B100" s="85"/>
      <c r="C100" s="85"/>
      <c r="D100" s="51"/>
      <c r="E100" s="51"/>
      <c r="F100" s="78"/>
      <c r="G100" s="51"/>
      <c r="H100" s="51"/>
      <c r="I100" s="78"/>
      <c r="J100" s="121" t="s">
        <v>196</v>
      </c>
      <c r="K100" s="54">
        <f>COUNTIF('Itemization 202506'!L:L,J100)</f>
        <v>0</v>
      </c>
      <c r="L100" s="55">
        <f>(K100/K116)</f>
        <v>0</v>
      </c>
      <c r="M100" s="51"/>
      <c r="N100" s="51"/>
      <c r="O100" s="78"/>
      <c r="P100" s="51"/>
      <c r="Q100" s="51"/>
      <c r="R100" s="72"/>
    </row>
    <row r="101" ht="15.75" customHeight="1">
      <c r="A101" s="85"/>
      <c r="B101" s="85"/>
      <c r="C101" s="85"/>
      <c r="D101" s="51"/>
      <c r="E101" s="51"/>
      <c r="F101" s="78"/>
      <c r="G101" s="51"/>
      <c r="H101" s="51"/>
      <c r="I101" s="78"/>
      <c r="J101" s="121" t="s">
        <v>197</v>
      </c>
      <c r="K101" s="54">
        <f>COUNTIF('Itemization 202506'!L:L,J101)</f>
        <v>0</v>
      </c>
      <c r="L101" s="55">
        <f>(K101/K116)</f>
        <v>0</v>
      </c>
      <c r="M101" s="51"/>
      <c r="N101" s="51"/>
      <c r="O101" s="78"/>
      <c r="P101" s="51"/>
      <c r="Q101" s="51"/>
      <c r="R101" s="72"/>
    </row>
    <row r="102" ht="15.75" customHeight="1">
      <c r="A102" s="85"/>
      <c r="B102" s="85"/>
      <c r="C102" s="85"/>
      <c r="D102" s="51"/>
      <c r="E102" s="51"/>
      <c r="F102" s="78"/>
      <c r="G102" s="51"/>
      <c r="H102" s="51"/>
      <c r="I102" s="78"/>
      <c r="J102" s="121" t="s">
        <v>198</v>
      </c>
      <c r="K102" s="54">
        <f>COUNTIF('Itemization 202506'!L:L,J102)</f>
        <v>0</v>
      </c>
      <c r="L102" s="55">
        <f>(K102/K116)</f>
        <v>0</v>
      </c>
      <c r="M102" s="51"/>
      <c r="N102" s="51"/>
      <c r="O102" s="78"/>
      <c r="P102" s="51"/>
      <c r="Q102" s="51"/>
      <c r="R102" s="72"/>
    </row>
    <row r="103" ht="15.75" customHeight="1">
      <c r="A103" s="85"/>
      <c r="B103" s="85"/>
      <c r="C103" s="85"/>
      <c r="D103" s="51"/>
      <c r="E103" s="51"/>
      <c r="F103" s="78"/>
      <c r="G103" s="51"/>
      <c r="H103" s="51"/>
      <c r="I103" s="78"/>
      <c r="J103" s="122" t="s">
        <v>199</v>
      </c>
      <c r="K103" s="57">
        <f>COUNTIF('Itemization 202506'!L:L,J103)</f>
        <v>2</v>
      </c>
      <c r="L103" s="58">
        <f>(K103/K116)</f>
        <v>0.05405405405</v>
      </c>
      <c r="M103" s="51"/>
      <c r="N103" s="51"/>
      <c r="O103" s="78"/>
      <c r="P103" s="51"/>
      <c r="Q103" s="51"/>
      <c r="R103" s="72"/>
    </row>
    <row r="104" ht="15.75" customHeight="1">
      <c r="A104" s="85"/>
      <c r="B104" s="85"/>
      <c r="C104" s="85"/>
      <c r="D104" s="51"/>
      <c r="E104" s="51"/>
      <c r="F104" s="78"/>
      <c r="G104" s="51"/>
      <c r="H104" s="51"/>
      <c r="I104" s="78"/>
      <c r="J104" s="121" t="s">
        <v>200</v>
      </c>
      <c r="K104" s="54">
        <f>COUNTIF('Itemization 202506'!L:L,J104)</f>
        <v>0</v>
      </c>
      <c r="L104" s="55">
        <f>(K104/K116)</f>
        <v>0</v>
      </c>
      <c r="M104" s="51"/>
      <c r="N104" s="51"/>
      <c r="O104" s="78"/>
      <c r="P104" s="51"/>
      <c r="Q104" s="51"/>
      <c r="R104" s="72"/>
    </row>
    <row r="105" ht="15.75" customHeight="1">
      <c r="A105" s="85"/>
      <c r="B105" s="85"/>
      <c r="C105" s="85"/>
      <c r="D105" s="51"/>
      <c r="E105" s="51"/>
      <c r="F105" s="78"/>
      <c r="G105" s="51"/>
      <c r="H105" s="51"/>
      <c r="I105" s="78"/>
      <c r="J105" s="121" t="s">
        <v>201</v>
      </c>
      <c r="K105" s="54">
        <f>COUNTIF('Itemization 202506'!L:L,J105)</f>
        <v>0</v>
      </c>
      <c r="L105" s="55">
        <f>(K105/K116)</f>
        <v>0</v>
      </c>
      <c r="M105" s="51"/>
      <c r="N105" s="51"/>
      <c r="O105" s="78"/>
      <c r="P105" s="51"/>
      <c r="Q105" s="51"/>
      <c r="R105" s="72"/>
    </row>
    <row r="106" ht="15.75" customHeight="1">
      <c r="A106" s="85"/>
      <c r="B106" s="85"/>
      <c r="C106" s="85"/>
      <c r="D106" s="51"/>
      <c r="E106" s="51"/>
      <c r="F106" s="78"/>
      <c r="G106" s="51"/>
      <c r="H106" s="51"/>
      <c r="I106" s="78"/>
      <c r="J106" s="121" t="s">
        <v>202</v>
      </c>
      <c r="K106" s="54">
        <f>COUNTIF('Itemization 202506'!L:L,J106)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COUNTIF('Itemization 202506'!L:L,J107)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COUNTIF('Itemization 202506'!L:L,J108)</f>
        <v>0</v>
      </c>
      <c r="L108" s="55">
        <f>(K108/K116)</f>
        <v>0</v>
      </c>
      <c r="M108" s="51"/>
      <c r="N108" s="51"/>
      <c r="O108" s="78"/>
      <c r="P108" s="51"/>
      <c r="Q108" s="51"/>
      <c r="R108" s="72"/>
    </row>
    <row r="109" ht="15.75" customHeight="1">
      <c r="A109" s="85"/>
      <c r="B109" s="85"/>
      <c r="C109" s="85"/>
      <c r="D109" s="51"/>
      <c r="E109" s="51"/>
      <c r="F109" s="78"/>
      <c r="G109" s="51"/>
      <c r="H109" s="51"/>
      <c r="I109" s="78"/>
      <c r="J109" s="121" t="s">
        <v>205</v>
      </c>
      <c r="K109" s="54">
        <f>COUNTIF('Itemization 202506'!L:L,J109)</f>
        <v>0</v>
      </c>
      <c r="L109" s="55">
        <f>(K109/K116)</f>
        <v>0</v>
      </c>
      <c r="M109" s="51"/>
      <c r="N109" s="51"/>
      <c r="O109" s="78"/>
      <c r="P109" s="51"/>
      <c r="Q109" s="51"/>
      <c r="R109" s="72"/>
    </row>
    <row r="110" ht="15.75" customHeight="1">
      <c r="A110" s="85"/>
      <c r="B110" s="85"/>
      <c r="C110" s="85"/>
      <c r="D110" s="51"/>
      <c r="E110" s="51"/>
      <c r="F110" s="78"/>
      <c r="G110" s="51"/>
      <c r="H110" s="51"/>
      <c r="I110" s="78"/>
      <c r="J110" s="121" t="s">
        <v>206</v>
      </c>
      <c r="K110" s="54">
        <f>COUNTIF('Itemization 202506'!L:L,J110)</f>
        <v>0</v>
      </c>
      <c r="L110" s="55">
        <f>(K110/K116)</f>
        <v>0</v>
      </c>
      <c r="M110" s="51"/>
      <c r="N110" s="51"/>
      <c r="O110" s="78"/>
      <c r="P110" s="51"/>
      <c r="Q110" s="51"/>
      <c r="R110" s="72"/>
    </row>
    <row r="111" ht="15.75" customHeight="1">
      <c r="A111" s="85"/>
      <c r="B111" s="85"/>
      <c r="C111" s="85"/>
      <c r="D111" s="51"/>
      <c r="E111" s="51"/>
      <c r="F111" s="78"/>
      <c r="G111" s="51"/>
      <c r="H111" s="51"/>
      <c r="I111" s="78"/>
      <c r="J111" s="121" t="s">
        <v>207</v>
      </c>
      <c r="K111" s="54">
        <f>COUNTIF('Itemization 202506'!L:L,J111)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COUNTIF('Itemization 202506'!L:L,J112)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COUNTIF('Itemization 202506'!L:L,J113)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COUNTIF('Itemization 202506'!L:L,J114)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COUNTIF('Itemization 202506'!L:L,J115)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37</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37.63"/>
    <col hidden="1" min="21" max="27" width="12.63"/>
    <col customWidth="1" hidden="1" min="28" max="28" width="25.88"/>
  </cols>
  <sheetData>
    <row r="1">
      <c r="A1" s="211"/>
      <c r="B1" s="211"/>
      <c r="C1" s="211"/>
      <c r="D1" s="212"/>
      <c r="E1" s="212"/>
      <c r="F1" s="212"/>
      <c r="G1" s="212"/>
      <c r="H1" s="213" t="s">
        <v>76</v>
      </c>
      <c r="L1" s="213" t="s">
        <v>0</v>
      </c>
      <c r="O1" s="213" t="s">
        <v>221</v>
      </c>
      <c r="U1" s="212"/>
      <c r="V1" s="212"/>
      <c r="W1" s="212"/>
      <c r="X1" s="212"/>
      <c r="Y1" s="212"/>
      <c r="Z1" s="212"/>
      <c r="AA1" s="212"/>
      <c r="AB1" s="212"/>
    </row>
    <row r="2">
      <c r="A2" s="214" t="s">
        <v>222</v>
      </c>
      <c r="B2" s="214" t="s">
        <v>223</v>
      </c>
      <c r="C2" s="214" t="s">
        <v>224</v>
      </c>
      <c r="D2" s="214" t="s">
        <v>225</v>
      </c>
      <c r="E2" s="214" t="s">
        <v>226</v>
      </c>
      <c r="F2" s="214" t="s">
        <v>227</v>
      </c>
      <c r="G2" s="214" t="s">
        <v>228</v>
      </c>
      <c r="H2" s="214" t="s">
        <v>63</v>
      </c>
      <c r="I2" s="214" t="s">
        <v>229</v>
      </c>
      <c r="J2" s="214" t="s">
        <v>77</v>
      </c>
      <c r="K2" s="215" t="s">
        <v>78</v>
      </c>
      <c r="L2" s="215" t="s">
        <v>79</v>
      </c>
      <c r="M2" s="216" t="s">
        <v>71</v>
      </c>
      <c r="N2" s="214" t="s">
        <v>72</v>
      </c>
      <c r="O2" s="216" t="s">
        <v>2</v>
      </c>
      <c r="P2" s="214" t="s">
        <v>230</v>
      </c>
      <c r="Q2" s="214" t="s">
        <v>231</v>
      </c>
      <c r="R2" s="214" t="s">
        <v>232</v>
      </c>
      <c r="S2" s="214" t="s">
        <v>233</v>
      </c>
      <c r="T2" s="216" t="s">
        <v>234</v>
      </c>
      <c r="U2" s="214" t="s">
        <v>235</v>
      </c>
      <c r="V2" s="214" t="s">
        <v>236</v>
      </c>
      <c r="W2" s="214" t="s">
        <v>237</v>
      </c>
      <c r="X2" s="214" t="s">
        <v>238</v>
      </c>
      <c r="Y2" s="214" t="s">
        <v>239</v>
      </c>
      <c r="Z2" s="214" t="s">
        <v>240</v>
      </c>
      <c r="AA2" s="214" t="s">
        <v>241</v>
      </c>
      <c r="AB2" s="217" t="s">
        <v>242</v>
      </c>
    </row>
    <row r="3" ht="15.75" customHeight="1">
      <c r="A3" s="218" t="s">
        <v>243</v>
      </c>
      <c r="B3" s="218" t="s">
        <v>244</v>
      </c>
      <c r="C3" s="218">
        <v>1.0</v>
      </c>
      <c r="D3" s="219">
        <v>4.0</v>
      </c>
      <c r="E3" s="218"/>
      <c r="F3" s="220"/>
      <c r="G3" s="218"/>
      <c r="H3" s="221" t="s">
        <v>245</v>
      </c>
      <c r="I3" s="218" t="s">
        <v>82</v>
      </c>
      <c r="J3" s="218" t="s">
        <v>87</v>
      </c>
      <c r="K3" s="222" t="s">
        <v>246</v>
      </c>
      <c r="L3" s="222" t="s">
        <v>88</v>
      </c>
      <c r="M3" s="218">
        <v>13.0</v>
      </c>
      <c r="N3" s="218" t="s">
        <v>89</v>
      </c>
      <c r="O3" s="223" t="str">
        <f>IFERROR(VLOOKUP(K3,'US History Framework Standards'!$A:$E,2,false),"")</f>
        <v>Colonial Foundations (1607-1763)</v>
      </c>
      <c r="P3" s="223" t="str">
        <f>IFERROR(__xludf.DUMMYFUNCTION("IFERROR(Index(SPLIT(#REF!,"".""),1,1))"),"")</f>
        <v/>
      </c>
      <c r="Q3" s="223" t="str">
        <f>IFERROR(__xludf.DUMMYFUNCTION("IFERROR(Index(SPLIT(#REF!,"".""),1,2))"),"")</f>
        <v/>
      </c>
      <c r="R3" s="223" t="str">
        <f>IFERROR(VLOOKUP(#REF!,'US History Framework Standards'!$A:$E,3,false),"")</f>
        <v/>
      </c>
      <c r="S3" s="223" t="str">
        <f>IFERROR(__xludf.DUMMYFUNCTION("IFERROR(Index(SPLIT(#REF!,"".""),1,3)&amp;Index(SPLIT(#REF!,"".""),1,4))"),"")</f>
        <v/>
      </c>
      <c r="T3" s="223" t="str">
        <f>iferror(VLOOKUP(L3,'US History Framework Standards'!$A:$E,2,false),"")</f>
        <v>Colonization Impact on Native Americans</v>
      </c>
      <c r="U3" s="218">
        <v>1.0</v>
      </c>
      <c r="V3" s="218" t="s">
        <v>247</v>
      </c>
      <c r="W3" s="218">
        <v>1201718.0</v>
      </c>
      <c r="X3" s="220"/>
      <c r="Y3" s="220"/>
      <c r="Z3" s="218" t="s">
        <v>248</v>
      </c>
      <c r="AA3" s="220"/>
      <c r="AB3" s="220" t="str">
        <f t="shared" ref="AB3:AB30" si="1">V3&amp;"_"&amp;W3&amp;"_"&amp;A3&amp;".jpg"</f>
        <v>HXRG_1201718_Multiple Choice.jpg</v>
      </c>
    </row>
    <row r="4" ht="15.75" customHeight="1">
      <c r="A4" s="218" t="s">
        <v>243</v>
      </c>
      <c r="B4" s="218" t="s">
        <v>244</v>
      </c>
      <c r="C4" s="218">
        <v>2.0</v>
      </c>
      <c r="D4" s="219">
        <v>1.0</v>
      </c>
      <c r="E4" s="218"/>
      <c r="F4" s="220"/>
      <c r="G4" s="218"/>
      <c r="H4" s="221" t="s">
        <v>245</v>
      </c>
      <c r="I4" s="218" t="s">
        <v>82</v>
      </c>
      <c r="J4" s="218" t="s">
        <v>87</v>
      </c>
      <c r="K4" s="222" t="s">
        <v>246</v>
      </c>
      <c r="L4" s="222" t="s">
        <v>88</v>
      </c>
      <c r="M4" s="218">
        <v>1.0</v>
      </c>
      <c r="N4" s="218" t="s">
        <v>85</v>
      </c>
      <c r="O4" s="223" t="str">
        <f>IFERROR(VLOOKUP(K4,'US History Framework Standards'!$A:$E,2,false),"")</f>
        <v>Colonial Foundations (1607-1763)</v>
      </c>
      <c r="P4" s="223" t="str">
        <f>IFERROR(__xludf.DUMMYFUNCTION("IFERROR(Index(SPLIT(#REF!,"".""),1,1))"),"")</f>
        <v/>
      </c>
      <c r="Q4" s="223" t="str">
        <f>IFERROR(__xludf.DUMMYFUNCTION("IFERROR(Index(SPLIT(#REF!,"".""),1,2))"),"")</f>
        <v/>
      </c>
      <c r="R4" s="223" t="str">
        <f>IFERROR(VLOOKUP(#REF!,'US History Framework Standards'!$A:$E,3,false),"")</f>
        <v/>
      </c>
      <c r="S4" s="223" t="str">
        <f>IFERROR(__xludf.DUMMYFUNCTION("IFERROR(Index(SPLIT(#REF!,"".""),1,3)&amp;Index(SPLIT(#REF!,"".""),1,4))"),"")</f>
        <v/>
      </c>
      <c r="T4" s="223" t="str">
        <f>iferror(VLOOKUP(L4,'US History Framework Standards'!$A:$E,2,false),"")</f>
        <v>Colonization Impact on Native Americans</v>
      </c>
      <c r="U4" s="220">
        <v>2.0</v>
      </c>
      <c r="V4" s="218" t="s">
        <v>247</v>
      </c>
      <c r="W4" s="218">
        <v>1201718.0</v>
      </c>
      <c r="X4" s="220"/>
      <c r="Y4" s="220"/>
      <c r="Z4" s="218" t="s">
        <v>248</v>
      </c>
      <c r="AA4" s="220"/>
      <c r="AB4" s="220" t="str">
        <f t="shared" si="1"/>
        <v>HXRG_1201718_Multiple Choice.jpg</v>
      </c>
    </row>
    <row r="5" ht="15.75" customHeight="1">
      <c r="A5" s="224" t="s">
        <v>243</v>
      </c>
      <c r="B5" s="224" t="s">
        <v>244</v>
      </c>
      <c r="C5" s="224">
        <v>3.0</v>
      </c>
      <c r="D5" s="225">
        <v>2.0</v>
      </c>
      <c r="E5" s="224"/>
      <c r="F5" s="226"/>
      <c r="G5" s="224"/>
      <c r="H5" s="227" t="s">
        <v>249</v>
      </c>
      <c r="I5" s="224" t="s">
        <v>86</v>
      </c>
      <c r="J5" s="224" t="s">
        <v>94</v>
      </c>
      <c r="K5" s="228" t="s">
        <v>250</v>
      </c>
      <c r="L5" s="228" t="s">
        <v>100</v>
      </c>
      <c r="M5" s="224">
        <v>13.0</v>
      </c>
      <c r="N5" s="224" t="s">
        <v>85</v>
      </c>
      <c r="O5" s="229" t="str">
        <f>IFERROR(VLOOKUP(K5,'US History Framework Standards'!$A:$E,2,false),"")</f>
        <v>Constitutional Foundations (1763–1824)</v>
      </c>
      <c r="P5" s="229" t="str">
        <f>IFERROR(__xludf.DUMMYFUNCTION("IFERROR(Index(SPLIT(#REF!,"".""),1,1))"),"")</f>
        <v/>
      </c>
      <c r="Q5" s="229" t="str">
        <f>IFERROR(__xludf.DUMMYFUNCTION("IFERROR(Index(SPLIT(#REF!,"".""),1,2))"),"")</f>
        <v/>
      </c>
      <c r="R5" s="229" t="str">
        <f>IFERROR(VLOOKUP(#REF!,'US History Framework Standards'!$A:$E,3,false),"")</f>
        <v/>
      </c>
      <c r="S5" s="229" t="str">
        <f>IFERROR(__xludf.DUMMYFUNCTION("IFERROR(Index(SPLIT(#REF!,"".""),1,3)&amp;Index(SPLIT(#REF!,"".""),1,4))"),"")</f>
        <v/>
      </c>
      <c r="T5" s="229" t="str">
        <f>iferror(VLOOKUP(L5,'US History Framework Standards'!$A:$E,2,false),"")</f>
        <v>British Control &amp; Colonial Resistance</v>
      </c>
      <c r="U5" s="226">
        <v>3.0</v>
      </c>
      <c r="V5" s="224" t="s">
        <v>247</v>
      </c>
      <c r="W5" s="224">
        <v>1201718.0</v>
      </c>
      <c r="X5" s="226"/>
      <c r="Y5" s="226"/>
      <c r="Z5" s="224" t="s">
        <v>248</v>
      </c>
      <c r="AA5" s="226"/>
      <c r="AB5" s="226" t="str">
        <f t="shared" si="1"/>
        <v>HXRG_1201718_Multiple Choice.jpg</v>
      </c>
    </row>
    <row r="6" ht="15.75" customHeight="1">
      <c r="A6" s="224" t="s">
        <v>243</v>
      </c>
      <c r="B6" s="224" t="s">
        <v>244</v>
      </c>
      <c r="C6" s="224">
        <v>4.0</v>
      </c>
      <c r="D6" s="225">
        <v>1.0</v>
      </c>
      <c r="E6" s="224"/>
      <c r="F6" s="226"/>
      <c r="G6" s="224"/>
      <c r="H6" s="230" t="s">
        <v>249</v>
      </c>
      <c r="I6" s="224" t="s">
        <v>86</v>
      </c>
      <c r="J6" s="224" t="s">
        <v>94</v>
      </c>
      <c r="K6" s="228" t="s">
        <v>250</v>
      </c>
      <c r="L6" s="228" t="s">
        <v>100</v>
      </c>
      <c r="M6" s="224">
        <v>14.0</v>
      </c>
      <c r="N6" s="224" t="s">
        <v>85</v>
      </c>
      <c r="O6" s="229" t="str">
        <f>IFERROR(VLOOKUP(K6,'US History Framework Standards'!$A:$E,2,false),"")</f>
        <v>Constitutional Foundations (1763–1824)</v>
      </c>
      <c r="P6" s="229" t="str">
        <f>IFERROR(__xludf.DUMMYFUNCTION("IFERROR(Index(SPLIT(#REF!,"".""),1,1))"),"")</f>
        <v/>
      </c>
      <c r="Q6" s="229" t="str">
        <f>IFERROR(__xludf.DUMMYFUNCTION("IFERROR(Index(SPLIT(#REF!,"".""),1,2))"),"")</f>
        <v/>
      </c>
      <c r="R6" s="229" t="str">
        <f>IFERROR(VLOOKUP(#REF!,'US History Framework Standards'!$A:$E,3,false),"")</f>
        <v/>
      </c>
      <c r="S6" s="229" t="str">
        <f>IFERROR(__xludf.DUMMYFUNCTION("IFERROR(Index(SPLIT(#REF!,"".""),1,3)&amp;Index(SPLIT(#REF!,"".""),1,4))"),"")</f>
        <v/>
      </c>
      <c r="T6" s="229" t="str">
        <f>iferror(VLOOKUP(L6,'US History Framework Standards'!$A:$E,2,false),"")</f>
        <v>British Control &amp; Colonial Resistance</v>
      </c>
      <c r="U6" s="226">
        <v>4.0</v>
      </c>
      <c r="V6" s="224" t="s">
        <v>247</v>
      </c>
      <c r="W6" s="224">
        <v>1201718.0</v>
      </c>
      <c r="X6" s="226"/>
      <c r="Y6" s="226"/>
      <c r="Z6" s="224" t="s">
        <v>248</v>
      </c>
      <c r="AA6" s="226"/>
      <c r="AB6" s="226" t="str">
        <f t="shared" si="1"/>
        <v>HXRG_1201718_Multiple Choice.jpg</v>
      </c>
    </row>
    <row r="7" ht="15.75" customHeight="1">
      <c r="A7" s="218" t="s">
        <v>243</v>
      </c>
      <c r="B7" s="218" t="s">
        <v>244</v>
      </c>
      <c r="C7" s="218">
        <v>5.0</v>
      </c>
      <c r="D7" s="219">
        <v>1.0</v>
      </c>
      <c r="E7" s="218"/>
      <c r="F7" s="220"/>
      <c r="G7" s="218"/>
      <c r="H7" s="231" t="s">
        <v>251</v>
      </c>
      <c r="I7" s="218" t="s">
        <v>82</v>
      </c>
      <c r="J7" s="218" t="s">
        <v>83</v>
      </c>
      <c r="K7" s="222" t="s">
        <v>250</v>
      </c>
      <c r="L7" s="222" t="s">
        <v>108</v>
      </c>
      <c r="M7" s="218">
        <v>15.0</v>
      </c>
      <c r="N7" s="218" t="s">
        <v>89</v>
      </c>
      <c r="O7" s="223" t="str">
        <f>IFERROR(VLOOKUP(K7,'US History Framework Standards'!$A:$E,2,false),"")</f>
        <v>Constitutional Foundations (1763–1824)</v>
      </c>
      <c r="P7" s="223" t="str">
        <f>IFERROR(__xludf.DUMMYFUNCTION("IFERROR(Index(SPLIT(#REF!,"".""),1,1))"),"")</f>
        <v/>
      </c>
      <c r="Q7" s="223" t="str">
        <f>IFERROR(__xludf.DUMMYFUNCTION("IFERROR(Index(SPLIT(#REF!,"".""),1,2))"),"")</f>
        <v/>
      </c>
      <c r="R7" s="223" t="str">
        <f>IFERROR(VLOOKUP(#REF!,'US History Framework Standards'!$A:$E,3,false),"")</f>
        <v/>
      </c>
      <c r="S7" s="223" t="str">
        <f>IFERROR(__xludf.DUMMYFUNCTION("IFERROR(Index(SPLIT(#REF!,"".""),1,3)&amp;Index(SPLIT(#REF!,"".""),1,4))"),"")</f>
        <v/>
      </c>
      <c r="T7" s="223" t="str">
        <f>iferror(VLOOKUP(L7,'US History Framework Standards'!$A:$E,2,false),"")</f>
        <v>Federalist vs. Antifederalist</v>
      </c>
      <c r="U7" s="220">
        <v>5.0</v>
      </c>
      <c r="V7" s="218" t="s">
        <v>247</v>
      </c>
      <c r="W7" s="218">
        <v>1201718.0</v>
      </c>
      <c r="X7" s="220"/>
      <c r="Y7" s="220"/>
      <c r="Z7" s="218" t="s">
        <v>248</v>
      </c>
      <c r="AA7" s="220"/>
      <c r="AB7" s="220" t="str">
        <f t="shared" si="1"/>
        <v>HXRG_1201718_Multiple Choice.jpg</v>
      </c>
    </row>
    <row r="8" ht="15.75" customHeight="1">
      <c r="A8" s="218" t="s">
        <v>243</v>
      </c>
      <c r="B8" s="218" t="s">
        <v>244</v>
      </c>
      <c r="C8" s="218">
        <v>6.0</v>
      </c>
      <c r="D8" s="219">
        <v>3.0</v>
      </c>
      <c r="E8" s="218"/>
      <c r="F8" s="220"/>
      <c r="G8" s="218"/>
      <c r="H8" s="231" t="s">
        <v>251</v>
      </c>
      <c r="I8" s="218" t="s">
        <v>82</v>
      </c>
      <c r="J8" s="218" t="s">
        <v>83</v>
      </c>
      <c r="K8" s="222" t="s">
        <v>250</v>
      </c>
      <c r="L8" s="222" t="s">
        <v>108</v>
      </c>
      <c r="M8" s="218">
        <v>2.0</v>
      </c>
      <c r="N8" s="218" t="s">
        <v>89</v>
      </c>
      <c r="O8" s="223" t="str">
        <f>IFERROR(VLOOKUP(K8,'US History Framework Standards'!$A:$E,2,false),"")</f>
        <v>Constitutional Foundations (1763–1824)</v>
      </c>
      <c r="P8" s="223" t="str">
        <f>IFERROR(__xludf.DUMMYFUNCTION("IFERROR(Index(SPLIT(#REF!,"".""),1,1))"),"")</f>
        <v/>
      </c>
      <c r="Q8" s="223" t="str">
        <f>IFERROR(__xludf.DUMMYFUNCTION("IFERROR(Index(SPLIT(#REF!,"".""),1,2))"),"")</f>
        <v/>
      </c>
      <c r="R8" s="223" t="str">
        <f>IFERROR(VLOOKUP(#REF!,'US History Framework Standards'!$A:$E,3,false),"")</f>
        <v/>
      </c>
      <c r="S8" s="223" t="str">
        <f>IFERROR(__xludf.DUMMYFUNCTION("IFERROR(Index(SPLIT(#REF!,"".""),1,3)&amp;Index(SPLIT(#REF!,"".""),1,4))"),"")</f>
        <v/>
      </c>
      <c r="T8" s="223" t="str">
        <f>iferror(VLOOKUP(L8,'US History Framework Standards'!$A:$E,2,false),"")</f>
        <v>Federalist vs. Antifederalist</v>
      </c>
      <c r="U8" s="220">
        <v>6.0</v>
      </c>
      <c r="V8" s="218" t="s">
        <v>247</v>
      </c>
      <c r="W8" s="218">
        <v>1201718.0</v>
      </c>
      <c r="X8" s="220"/>
      <c r="Y8" s="220"/>
      <c r="Z8" s="218" t="s">
        <v>248</v>
      </c>
      <c r="AA8" s="220"/>
      <c r="AB8" s="220" t="str">
        <f t="shared" si="1"/>
        <v>HXRG_1201718_Multiple Choice.jpg</v>
      </c>
    </row>
    <row r="9" ht="15.75" customHeight="1">
      <c r="A9" s="224" t="s">
        <v>243</v>
      </c>
      <c r="B9" s="224" t="s">
        <v>244</v>
      </c>
      <c r="C9" s="224">
        <v>7.0</v>
      </c>
      <c r="D9" s="225">
        <v>3.0</v>
      </c>
      <c r="E9" s="224"/>
      <c r="F9" s="226"/>
      <c r="G9" s="224"/>
      <c r="H9" s="227" t="s">
        <v>252</v>
      </c>
      <c r="I9" s="224" t="s">
        <v>82</v>
      </c>
      <c r="J9" s="224" t="s">
        <v>83</v>
      </c>
      <c r="K9" s="228" t="s">
        <v>250</v>
      </c>
      <c r="L9" s="228" t="s">
        <v>118</v>
      </c>
      <c r="M9" s="224">
        <v>6.0</v>
      </c>
      <c r="N9" s="224" t="s">
        <v>85</v>
      </c>
      <c r="O9" s="229" t="str">
        <f>IFERROR(VLOOKUP(K9,'US History Framework Standards'!$A:$E,2,false),"")</f>
        <v>Constitutional Foundations (1763–1824)</v>
      </c>
      <c r="P9" s="229" t="str">
        <f>IFERROR(__xludf.DUMMYFUNCTION("IFERROR(Index(SPLIT(#REF!,"".""),1,1))"),"")</f>
        <v/>
      </c>
      <c r="Q9" s="229" t="str">
        <f>IFERROR(__xludf.DUMMYFUNCTION("IFERROR(Index(SPLIT(#REF!,"".""),1,2))"),"")</f>
        <v/>
      </c>
      <c r="R9" s="229" t="str">
        <f>IFERROR(VLOOKUP(#REF!,'US History Framework Standards'!$A:$E,3,false),"")</f>
        <v/>
      </c>
      <c r="S9" s="229" t="str">
        <f>IFERROR(__xludf.DUMMYFUNCTION("IFERROR(Index(SPLIT(#REF!,"".""),1,3)&amp;Index(SPLIT(#REF!,"".""),1,4))"),"")</f>
        <v/>
      </c>
      <c r="T9" s="229" t="str">
        <f>iferror(VLOOKUP(L9,'US History Framework Standards'!$A:$E,2,false),"")</f>
        <v>Early Supreme Court Cases</v>
      </c>
      <c r="U9" s="226">
        <v>7.0</v>
      </c>
      <c r="V9" s="224" t="s">
        <v>247</v>
      </c>
      <c r="W9" s="224">
        <v>1201718.0</v>
      </c>
      <c r="X9" s="226"/>
      <c r="Y9" s="226"/>
      <c r="Z9" s="224" t="s">
        <v>248</v>
      </c>
      <c r="AA9" s="226"/>
      <c r="AB9" s="226" t="str">
        <f t="shared" si="1"/>
        <v>HXRG_1201718_Multiple Choice.jpg</v>
      </c>
    </row>
    <row r="10" ht="15.75" customHeight="1">
      <c r="A10" s="224" t="s">
        <v>243</v>
      </c>
      <c r="B10" s="224" t="s">
        <v>244</v>
      </c>
      <c r="C10" s="224">
        <v>8.0</v>
      </c>
      <c r="D10" s="225">
        <v>1.0</v>
      </c>
      <c r="E10" s="224"/>
      <c r="F10" s="226"/>
      <c r="G10" s="224"/>
      <c r="H10" s="227" t="s">
        <v>252</v>
      </c>
      <c r="I10" s="224" t="s">
        <v>82</v>
      </c>
      <c r="J10" s="224" t="s">
        <v>83</v>
      </c>
      <c r="K10" s="228" t="s">
        <v>250</v>
      </c>
      <c r="L10" s="228" t="s">
        <v>118</v>
      </c>
      <c r="M10" s="224">
        <v>8.0</v>
      </c>
      <c r="N10" s="224" t="s">
        <v>85</v>
      </c>
      <c r="O10" s="229" t="str">
        <f>IFERROR(VLOOKUP(K10,'US History Framework Standards'!$A:$E,2,false),"")</f>
        <v>Constitutional Foundations (1763–1824)</v>
      </c>
      <c r="P10" s="229" t="str">
        <f>IFERROR(__xludf.DUMMYFUNCTION("IFERROR(Index(SPLIT(#REF!,"".""),1,1))"),"")</f>
        <v/>
      </c>
      <c r="Q10" s="229" t="str">
        <f>IFERROR(__xludf.DUMMYFUNCTION("IFERROR(Index(SPLIT(#REF!,"".""),1,2))"),"")</f>
        <v/>
      </c>
      <c r="R10" s="229" t="str">
        <f>IFERROR(VLOOKUP(#REF!,'US History Framework Standards'!$A:$E,3,false),"")</f>
        <v/>
      </c>
      <c r="S10" s="229" t="str">
        <f>IFERROR(__xludf.DUMMYFUNCTION("IFERROR(Index(SPLIT(#REF!,"".""),1,3)&amp;Index(SPLIT(#REF!,"".""),1,4))"),"")</f>
        <v/>
      </c>
      <c r="T10" s="229" t="str">
        <f>iferror(VLOOKUP(L10,'US History Framework Standards'!$A:$E,2,false),"")</f>
        <v>Early Supreme Court Cases</v>
      </c>
      <c r="U10" s="226">
        <v>8.0</v>
      </c>
      <c r="V10" s="224" t="s">
        <v>247</v>
      </c>
      <c r="W10" s="224">
        <v>1201718.0</v>
      </c>
      <c r="X10" s="226"/>
      <c r="Y10" s="226"/>
      <c r="Z10" s="224" t="s">
        <v>248</v>
      </c>
      <c r="AA10" s="226"/>
      <c r="AB10" s="226" t="str">
        <f t="shared" si="1"/>
        <v>HXRG_1201718_Multiple Choice.jpg</v>
      </c>
    </row>
    <row r="11" ht="15.75" customHeight="1">
      <c r="A11" s="218" t="s">
        <v>243</v>
      </c>
      <c r="B11" s="218" t="s">
        <v>244</v>
      </c>
      <c r="C11" s="218">
        <v>9.0</v>
      </c>
      <c r="D11" s="219">
        <v>3.0</v>
      </c>
      <c r="E11" s="218"/>
      <c r="F11" s="220"/>
      <c r="G11" s="218"/>
      <c r="H11" s="221" t="s">
        <v>253</v>
      </c>
      <c r="I11" s="218" t="s">
        <v>82</v>
      </c>
      <c r="J11" s="218" t="s">
        <v>83</v>
      </c>
      <c r="K11" s="222" t="s">
        <v>254</v>
      </c>
      <c r="L11" s="222" t="s">
        <v>122</v>
      </c>
      <c r="M11" s="218">
        <v>2.0</v>
      </c>
      <c r="N11" s="218" t="s">
        <v>89</v>
      </c>
      <c r="O11" s="223" t="str">
        <f>IFERROR(VLOOKUP(K11,'US History Framework Standards'!$A:$E,2,false),"")</f>
        <v>Expansion, Nationalism, and Sectionalism (1800-1865)</v>
      </c>
      <c r="P11" s="223" t="str">
        <f>IFERROR(__xludf.DUMMYFUNCTION("IFERROR(Index(SPLIT(#REF!,"".""),1,1))"),"")</f>
        <v/>
      </c>
      <c r="Q11" s="223" t="str">
        <f>IFERROR(__xludf.DUMMYFUNCTION("IFERROR(Index(SPLIT(#REF!,"".""),1,2))"),"")</f>
        <v/>
      </c>
      <c r="R11" s="223" t="str">
        <f>IFERROR(VLOOKUP(#REF!,'US History Framework Standards'!$A:$E,3,false),"")</f>
        <v/>
      </c>
      <c r="S11" s="223" t="str">
        <f>IFERROR(__xludf.DUMMYFUNCTION("IFERROR(Index(SPLIT(#REF!,"".""),1,3)&amp;Index(SPLIT(#REF!,"".""),1,4))"),"")</f>
        <v/>
      </c>
      <c r="T11" s="223" t="str">
        <f>iferror(VLOOKUP(L11,'US History Framework Standards'!$A:$E,2,false),"")</f>
        <v>President Jackson</v>
      </c>
      <c r="U11" s="220">
        <v>9.0</v>
      </c>
      <c r="V11" s="218" t="s">
        <v>247</v>
      </c>
      <c r="W11" s="218">
        <v>1201718.0</v>
      </c>
      <c r="X11" s="220"/>
      <c r="Y11" s="220"/>
      <c r="Z11" s="218" t="s">
        <v>248</v>
      </c>
      <c r="AA11" s="220"/>
      <c r="AB11" s="220" t="str">
        <f t="shared" si="1"/>
        <v>HXRG_1201718_Multiple Choice.jpg</v>
      </c>
    </row>
    <row r="12" ht="15.75" customHeight="1">
      <c r="A12" s="218" t="s">
        <v>243</v>
      </c>
      <c r="B12" s="218" t="s">
        <v>244</v>
      </c>
      <c r="C12" s="218">
        <v>10.0</v>
      </c>
      <c r="D12" s="219">
        <v>2.0</v>
      </c>
      <c r="E12" s="218"/>
      <c r="F12" s="220"/>
      <c r="G12" s="218"/>
      <c r="H12" s="231" t="s">
        <v>253</v>
      </c>
      <c r="I12" s="218" t="s">
        <v>82</v>
      </c>
      <c r="J12" s="218" t="s">
        <v>83</v>
      </c>
      <c r="K12" s="222" t="s">
        <v>254</v>
      </c>
      <c r="L12" s="222" t="s">
        <v>122</v>
      </c>
      <c r="M12" s="218">
        <v>18.0</v>
      </c>
      <c r="N12" s="218" t="s">
        <v>85</v>
      </c>
      <c r="O12" s="223" t="str">
        <f>IFERROR(VLOOKUP(K12,'US History Framework Standards'!$A:$E,2,false),"")</f>
        <v>Expansion, Nationalism, and Sectionalism (1800-1865)</v>
      </c>
      <c r="P12" s="223" t="str">
        <f>IFERROR(__xludf.DUMMYFUNCTION("IFERROR(Index(SPLIT(#REF!,"".""),1,1))"),"")</f>
        <v/>
      </c>
      <c r="Q12" s="223" t="str">
        <f>IFERROR(__xludf.DUMMYFUNCTION("IFERROR(Index(SPLIT(#REF!,"".""),1,2))"),"")</f>
        <v/>
      </c>
      <c r="R12" s="223" t="str">
        <f>IFERROR(VLOOKUP(#REF!,'US History Framework Standards'!$A:$E,3,false),"")</f>
        <v/>
      </c>
      <c r="S12" s="223" t="str">
        <f>IFERROR(__xludf.DUMMYFUNCTION("IFERROR(Index(SPLIT(#REF!,"".""),1,3)&amp;Index(SPLIT(#REF!,"".""),1,4))"),"")</f>
        <v/>
      </c>
      <c r="T12" s="223" t="str">
        <f>iferror(VLOOKUP(L12,'US History Framework Standards'!$A:$E,2,false),"")</f>
        <v>President Jackson</v>
      </c>
      <c r="U12" s="220">
        <v>10.0</v>
      </c>
      <c r="V12" s="218" t="s">
        <v>247</v>
      </c>
      <c r="W12" s="218">
        <v>1201718.0</v>
      </c>
      <c r="X12" s="220"/>
      <c r="Y12" s="220"/>
      <c r="Z12" s="218" t="s">
        <v>248</v>
      </c>
      <c r="AA12" s="220"/>
      <c r="AB12" s="220" t="str">
        <f t="shared" si="1"/>
        <v>HXRG_1201718_Multiple Choice.jpg</v>
      </c>
    </row>
    <row r="13" ht="15.75" customHeight="1">
      <c r="A13" s="224" t="s">
        <v>243</v>
      </c>
      <c r="B13" s="224" t="s">
        <v>244</v>
      </c>
      <c r="C13" s="224">
        <v>11.0</v>
      </c>
      <c r="D13" s="225">
        <v>4.0</v>
      </c>
      <c r="E13" s="224"/>
      <c r="F13" s="226"/>
      <c r="G13" s="224"/>
      <c r="H13" s="230" t="s">
        <v>255</v>
      </c>
      <c r="I13" s="224" t="s">
        <v>86</v>
      </c>
      <c r="J13" s="224" t="s">
        <v>94</v>
      </c>
      <c r="K13" s="228" t="s">
        <v>256</v>
      </c>
      <c r="L13" s="228" t="s">
        <v>133</v>
      </c>
      <c r="M13" s="224">
        <v>13.0</v>
      </c>
      <c r="N13" s="224" t="s">
        <v>89</v>
      </c>
      <c r="O13" s="229" t="str">
        <f>IFERROR(VLOOKUP(K13,'US History Framework Standards'!$A:$E,2,false),"")</f>
        <v>Post-Civil War Era (1865-1900)</v>
      </c>
      <c r="P13" s="229" t="str">
        <f>IFERROR(__xludf.DUMMYFUNCTION("IFERROR(Index(SPLIT(#REF!,"".""),1,1))"),"")</f>
        <v/>
      </c>
      <c r="Q13" s="229" t="str">
        <f>IFERROR(__xludf.DUMMYFUNCTION("IFERROR(Index(SPLIT(#REF!,"".""),1,2))"),"")</f>
        <v/>
      </c>
      <c r="R13" s="229" t="str">
        <f>IFERROR(VLOOKUP(#REF!,'US History Framework Standards'!$A:$E,3,false),"")</f>
        <v/>
      </c>
      <c r="S13" s="229" t="str">
        <f>IFERROR(__xludf.DUMMYFUNCTION("IFERROR(Index(SPLIT(#REF!,"".""),1,3)&amp;Index(SPLIT(#REF!,"".""),1,4))"),"")</f>
        <v/>
      </c>
      <c r="T13" s="229" t="str">
        <f>iferror(VLOOKUP(L13,'US History Framework Standards'!$A:$E,2,false),"")</f>
        <v>End of Reconstruction</v>
      </c>
      <c r="U13" s="226">
        <v>11.0</v>
      </c>
      <c r="V13" s="224" t="s">
        <v>247</v>
      </c>
      <c r="W13" s="224">
        <v>1201718.0</v>
      </c>
      <c r="X13" s="226"/>
      <c r="Y13" s="226"/>
      <c r="Z13" s="224" t="s">
        <v>248</v>
      </c>
      <c r="AA13" s="226"/>
      <c r="AB13" s="226" t="str">
        <f t="shared" si="1"/>
        <v>HXRG_1201718_Multiple Choice.jpg</v>
      </c>
    </row>
    <row r="14" ht="15.75" customHeight="1">
      <c r="A14" s="224" t="s">
        <v>243</v>
      </c>
      <c r="B14" s="224" t="s">
        <v>244</v>
      </c>
      <c r="C14" s="224">
        <v>12.0</v>
      </c>
      <c r="D14" s="225">
        <v>4.0</v>
      </c>
      <c r="E14" s="224"/>
      <c r="F14" s="226"/>
      <c r="G14" s="224"/>
      <c r="H14" s="230" t="s">
        <v>255</v>
      </c>
      <c r="I14" s="224" t="s">
        <v>86</v>
      </c>
      <c r="J14" s="224" t="s">
        <v>94</v>
      </c>
      <c r="K14" s="228" t="s">
        <v>256</v>
      </c>
      <c r="L14" s="228" t="s">
        <v>133</v>
      </c>
      <c r="M14" s="224">
        <v>8.0</v>
      </c>
      <c r="N14" s="224" t="s">
        <v>85</v>
      </c>
      <c r="O14" s="229" t="str">
        <f>IFERROR(VLOOKUP(K14,'US History Framework Standards'!$A:$E,2,false),"")</f>
        <v>Post-Civil War Era (1865-1900)</v>
      </c>
      <c r="P14" s="229" t="str">
        <f>IFERROR(__xludf.DUMMYFUNCTION("IFERROR(Index(SPLIT(#REF!,"".""),1,1))"),"")</f>
        <v/>
      </c>
      <c r="Q14" s="229" t="str">
        <f>IFERROR(__xludf.DUMMYFUNCTION("IFERROR(Index(SPLIT(#REF!,"".""),1,2))"),"")</f>
        <v/>
      </c>
      <c r="R14" s="229" t="str">
        <f>IFERROR(VLOOKUP(#REF!,'US History Framework Standards'!$A:$E,3,false),"")</f>
        <v/>
      </c>
      <c r="S14" s="229" t="str">
        <f>IFERROR(__xludf.DUMMYFUNCTION("IFERROR(Index(SPLIT(#REF!,"".""),1,3)&amp;Index(SPLIT(#REF!,"".""),1,4))"),"")</f>
        <v/>
      </c>
      <c r="T14" s="229" t="str">
        <f>iferror(VLOOKUP(L14,'US History Framework Standards'!$A:$E,2,false),"")</f>
        <v>End of Reconstruction</v>
      </c>
      <c r="U14" s="226">
        <v>12.0</v>
      </c>
      <c r="V14" s="224" t="s">
        <v>247</v>
      </c>
      <c r="W14" s="224">
        <v>1201718.0</v>
      </c>
      <c r="X14" s="226"/>
      <c r="Y14" s="226"/>
      <c r="Z14" s="224" t="s">
        <v>248</v>
      </c>
      <c r="AA14" s="226"/>
      <c r="AB14" s="226" t="str">
        <f t="shared" si="1"/>
        <v>HXRG_1201718_Multiple Choice.jpg</v>
      </c>
    </row>
    <row r="15" ht="15.75" customHeight="1">
      <c r="A15" s="218" t="s">
        <v>243</v>
      </c>
      <c r="B15" s="218" t="s">
        <v>244</v>
      </c>
      <c r="C15" s="218">
        <v>13.0</v>
      </c>
      <c r="D15" s="219">
        <v>1.0</v>
      </c>
      <c r="E15" s="218"/>
      <c r="F15" s="220"/>
      <c r="G15" s="218"/>
      <c r="H15" s="221" t="s">
        <v>257</v>
      </c>
      <c r="I15" s="218" t="s">
        <v>82</v>
      </c>
      <c r="J15" s="218" t="s">
        <v>83</v>
      </c>
      <c r="K15" s="222" t="s">
        <v>258</v>
      </c>
      <c r="L15" s="222" t="s">
        <v>142</v>
      </c>
      <c r="M15" s="218">
        <v>14.0</v>
      </c>
      <c r="N15" s="218" t="s">
        <v>85</v>
      </c>
      <c r="O15" s="223" t="str">
        <f>IFERROR(VLOOKUP(K15,'US History Framework Standards'!$A:$E,2,false),"")</f>
        <v>Industrialization and Urbanization (1870-1920)</v>
      </c>
      <c r="P15" s="223" t="str">
        <f>IFERROR(__xludf.DUMMYFUNCTION("IFERROR(Index(SPLIT(#REF!,"".""),1,1))"),"")</f>
        <v/>
      </c>
      <c r="Q15" s="223" t="str">
        <f>IFERROR(__xludf.DUMMYFUNCTION("IFERROR(Index(SPLIT(#REF!,"".""),1,2))"),"")</f>
        <v/>
      </c>
      <c r="R15" s="223" t="str">
        <f>IFERROR(VLOOKUP(#REF!,'US History Framework Standards'!$A:$E,3,false),"")</f>
        <v/>
      </c>
      <c r="S15" s="223" t="str">
        <f>IFERROR(__xludf.DUMMYFUNCTION("IFERROR(Index(SPLIT(#REF!,"".""),1,3)&amp;Index(SPLIT(#REF!,"".""),1,4))"),"")</f>
        <v/>
      </c>
      <c r="T15" s="223" t="str">
        <f>iferror(VLOOKUP(L15,'US History Framework Standards'!$A:$E,2,false),"")</f>
        <v>Urbanization &amp; Immigration</v>
      </c>
      <c r="U15" s="220">
        <v>13.0</v>
      </c>
      <c r="V15" s="218" t="s">
        <v>247</v>
      </c>
      <c r="W15" s="218">
        <v>1201718.0</v>
      </c>
      <c r="X15" s="220"/>
      <c r="Y15" s="220"/>
      <c r="Z15" s="218" t="s">
        <v>248</v>
      </c>
      <c r="AA15" s="220"/>
      <c r="AB15" s="220" t="str">
        <f t="shared" si="1"/>
        <v>HXRG_1201718_Multiple Choice.jpg</v>
      </c>
    </row>
    <row r="16" ht="15.75" customHeight="1">
      <c r="A16" s="218" t="s">
        <v>243</v>
      </c>
      <c r="B16" s="218" t="s">
        <v>244</v>
      </c>
      <c r="C16" s="218">
        <v>14.0</v>
      </c>
      <c r="D16" s="219">
        <v>3.0</v>
      </c>
      <c r="E16" s="218"/>
      <c r="F16" s="220"/>
      <c r="G16" s="218"/>
      <c r="H16" s="221" t="s">
        <v>257</v>
      </c>
      <c r="I16" s="218" t="s">
        <v>82</v>
      </c>
      <c r="J16" s="218" t="s">
        <v>83</v>
      </c>
      <c r="K16" s="222" t="s">
        <v>258</v>
      </c>
      <c r="L16" s="222" t="s">
        <v>142</v>
      </c>
      <c r="M16" s="218">
        <v>18.0</v>
      </c>
      <c r="N16" s="218" t="s">
        <v>89</v>
      </c>
      <c r="O16" s="223" t="str">
        <f>IFERROR(VLOOKUP(K16,'US History Framework Standards'!$A:$E,2,false),"")</f>
        <v>Industrialization and Urbanization (1870-1920)</v>
      </c>
      <c r="P16" s="223" t="str">
        <f>IFERROR(__xludf.DUMMYFUNCTION("IFERROR(Index(SPLIT(#REF!,"".""),1,1))"),"")</f>
        <v/>
      </c>
      <c r="Q16" s="223" t="str">
        <f>IFERROR(__xludf.DUMMYFUNCTION("IFERROR(Index(SPLIT(#REF!,"".""),1,2))"),"")</f>
        <v/>
      </c>
      <c r="R16" s="223" t="str">
        <f>IFERROR(VLOOKUP(#REF!,'US History Framework Standards'!$A:$E,3,false),"")</f>
        <v/>
      </c>
      <c r="S16" s="223" t="str">
        <f>IFERROR(__xludf.DUMMYFUNCTION("IFERROR(Index(SPLIT(#REF!,"".""),1,3)&amp;Index(SPLIT(#REF!,"".""),1,4))"),"")</f>
        <v/>
      </c>
      <c r="T16" s="223" t="str">
        <f>iferror(VLOOKUP(L16,'US History Framework Standards'!$A:$E,2,false),"")</f>
        <v>Urbanization &amp; Immigration</v>
      </c>
      <c r="U16" s="220">
        <v>14.0</v>
      </c>
      <c r="V16" s="218" t="s">
        <v>247</v>
      </c>
      <c r="W16" s="218">
        <v>1201718.0</v>
      </c>
      <c r="X16" s="220"/>
      <c r="Y16" s="220"/>
      <c r="Z16" s="218" t="s">
        <v>248</v>
      </c>
      <c r="AA16" s="220"/>
      <c r="AB16" s="220" t="str">
        <f t="shared" si="1"/>
        <v>HXRG_1201718_Multiple Choice.jpg</v>
      </c>
    </row>
    <row r="17" ht="15.75" customHeight="1">
      <c r="A17" s="224" t="s">
        <v>243</v>
      </c>
      <c r="B17" s="224" t="s">
        <v>244</v>
      </c>
      <c r="C17" s="224">
        <v>15.0</v>
      </c>
      <c r="D17" s="225">
        <v>2.0</v>
      </c>
      <c r="E17" s="224"/>
      <c r="F17" s="226"/>
      <c r="G17" s="224"/>
      <c r="H17" s="232" t="s">
        <v>259</v>
      </c>
      <c r="I17" s="224" t="s">
        <v>86</v>
      </c>
      <c r="J17" s="224" t="s">
        <v>83</v>
      </c>
      <c r="K17" s="228" t="s">
        <v>258</v>
      </c>
      <c r="L17" s="228" t="s">
        <v>140</v>
      </c>
      <c r="M17" s="224">
        <v>1.0</v>
      </c>
      <c r="N17" s="224" t="s">
        <v>89</v>
      </c>
      <c r="O17" s="229" t="str">
        <f>IFERROR(VLOOKUP(K17,'US History Framework Standards'!$A:$E,2,false),"")</f>
        <v>Industrialization and Urbanization (1870-1920)</v>
      </c>
      <c r="P17" s="229" t="str">
        <f>IFERROR(__xludf.DUMMYFUNCTION("IFERROR(Index(SPLIT(#REF!,"".""),1,1))"),"")</f>
        <v/>
      </c>
      <c r="Q17" s="229" t="str">
        <f>IFERROR(__xludf.DUMMYFUNCTION("IFERROR(Index(SPLIT(#REF!,"".""),1,2))"),"")</f>
        <v/>
      </c>
      <c r="R17" s="229" t="str">
        <f>IFERROR(VLOOKUP(#REF!,'US History Framework Standards'!$A:$E,3,false),"")</f>
        <v/>
      </c>
      <c r="S17" s="229" t="str">
        <f>IFERROR(__xludf.DUMMYFUNCTION("IFERROR(Index(SPLIT(#REF!,"".""),1,3)&amp;Index(SPLIT(#REF!,"".""),1,4))"),"")</f>
        <v/>
      </c>
      <c r="T17" s="229" t="str">
        <f>iferror(VLOOKUP(L17,'US History Framework Standards'!$A:$E,2,false),"")</f>
        <v>Growth of Industrial Businesses</v>
      </c>
      <c r="U17" s="226">
        <v>15.0</v>
      </c>
      <c r="V17" s="224" t="s">
        <v>247</v>
      </c>
      <c r="W17" s="224">
        <v>1201718.0</v>
      </c>
      <c r="X17" s="226"/>
      <c r="Y17" s="226"/>
      <c r="Z17" s="224" t="s">
        <v>248</v>
      </c>
      <c r="AA17" s="226"/>
      <c r="AB17" s="226" t="str">
        <f t="shared" si="1"/>
        <v>HXRG_1201718_Multiple Choice.jpg</v>
      </c>
    </row>
    <row r="18" ht="15.75" customHeight="1">
      <c r="A18" s="224" t="s">
        <v>243</v>
      </c>
      <c r="B18" s="224" t="s">
        <v>244</v>
      </c>
      <c r="C18" s="224">
        <v>16.0</v>
      </c>
      <c r="D18" s="225">
        <v>3.0</v>
      </c>
      <c r="E18" s="224"/>
      <c r="F18" s="226"/>
      <c r="G18" s="224"/>
      <c r="H18" s="232" t="s">
        <v>259</v>
      </c>
      <c r="I18" s="224" t="s">
        <v>86</v>
      </c>
      <c r="J18" s="224" t="s">
        <v>83</v>
      </c>
      <c r="K18" s="228" t="s">
        <v>258</v>
      </c>
      <c r="L18" s="228" t="s">
        <v>140</v>
      </c>
      <c r="M18" s="224">
        <v>14.0</v>
      </c>
      <c r="N18" s="224" t="s">
        <v>85</v>
      </c>
      <c r="O18" s="229" t="str">
        <f>IFERROR(VLOOKUP(K18,'US History Framework Standards'!$A:$E,2,false),"")</f>
        <v>Industrialization and Urbanization (1870-1920)</v>
      </c>
      <c r="P18" s="229" t="str">
        <f>IFERROR(__xludf.DUMMYFUNCTION("IFERROR(Index(SPLIT(#REF!,"".""),1,1))"),"")</f>
        <v/>
      </c>
      <c r="Q18" s="229" t="str">
        <f>IFERROR(__xludf.DUMMYFUNCTION("IFERROR(Index(SPLIT(#REF!,"".""),1,2))"),"")</f>
        <v/>
      </c>
      <c r="R18" s="229" t="str">
        <f>IFERROR(VLOOKUP(#REF!,'US History Framework Standards'!$A:$E,3,false),"")</f>
        <v/>
      </c>
      <c r="S18" s="229" t="str">
        <f>IFERROR(__xludf.DUMMYFUNCTION("IFERROR(Index(SPLIT(#REF!,"".""),1,3)&amp;Index(SPLIT(#REF!,"".""),1,4))"),"")</f>
        <v/>
      </c>
      <c r="T18" s="229" t="str">
        <f>iferror(VLOOKUP(L18,'US History Framework Standards'!$A:$E,2,false),"")</f>
        <v>Growth of Industrial Businesses</v>
      </c>
      <c r="U18" s="226">
        <v>16.0</v>
      </c>
      <c r="V18" s="224" t="s">
        <v>247</v>
      </c>
      <c r="W18" s="224">
        <v>1201718.0</v>
      </c>
      <c r="X18" s="226"/>
      <c r="Y18" s="226"/>
      <c r="Z18" s="224" t="s">
        <v>248</v>
      </c>
      <c r="AA18" s="226"/>
      <c r="AB18" s="226" t="str">
        <f t="shared" si="1"/>
        <v>HXRG_1201718_Multiple Choice.jpg</v>
      </c>
    </row>
    <row r="19" ht="15.75" customHeight="1">
      <c r="A19" s="218" t="s">
        <v>243</v>
      </c>
      <c r="B19" s="218" t="s">
        <v>244</v>
      </c>
      <c r="C19" s="218">
        <v>17.0</v>
      </c>
      <c r="D19" s="219">
        <v>3.0</v>
      </c>
      <c r="E19" s="218"/>
      <c r="F19" s="220"/>
      <c r="G19" s="218"/>
      <c r="H19" s="231" t="s">
        <v>260</v>
      </c>
      <c r="I19" s="218" t="s">
        <v>82</v>
      </c>
      <c r="J19" s="218" t="s">
        <v>83</v>
      </c>
      <c r="K19" s="222" t="s">
        <v>261</v>
      </c>
      <c r="L19" s="222" t="s">
        <v>151</v>
      </c>
      <c r="M19" s="218">
        <v>7.0</v>
      </c>
      <c r="N19" s="218" t="s">
        <v>85</v>
      </c>
      <c r="O19" s="223" t="str">
        <f>IFERROR(VLOOKUP(K19,'US History Framework Standards'!$A:$E,2,false),"")</f>
        <v>Rise of American Power (1890-1920)</v>
      </c>
      <c r="P19" s="223" t="str">
        <f>IFERROR(__xludf.DUMMYFUNCTION("IFERROR(Index(SPLIT(#REF!,"".""),1,1))"),"")</f>
        <v/>
      </c>
      <c r="Q19" s="223" t="str">
        <f>IFERROR(__xludf.DUMMYFUNCTION("IFERROR(Index(SPLIT(#REF!,"".""),1,2))"),"")</f>
        <v/>
      </c>
      <c r="R19" s="223" t="str">
        <f>IFERROR(VLOOKUP(#REF!,'US History Framework Standards'!$A:$E,3,false),"")</f>
        <v/>
      </c>
      <c r="S19" s="223" t="str">
        <f>IFERROR(__xludf.DUMMYFUNCTION("IFERROR(Index(SPLIT(#REF!,"".""),1,3)&amp;Index(SPLIT(#REF!,"".""),1,4))"),"")</f>
        <v/>
      </c>
      <c r="T19" s="223" t="str">
        <f>iferror(VLOOKUP(L19,'US History Framework Standards'!$A:$E,2,false),"")</f>
        <v>Imperialism &amp; the Philippines</v>
      </c>
      <c r="U19" s="220">
        <v>17.0</v>
      </c>
      <c r="V19" s="218" t="s">
        <v>247</v>
      </c>
      <c r="W19" s="218">
        <v>1201718.0</v>
      </c>
      <c r="X19" s="220"/>
      <c r="Y19" s="220"/>
      <c r="Z19" s="218" t="s">
        <v>248</v>
      </c>
      <c r="AA19" s="220"/>
      <c r="AB19" s="220" t="str">
        <f t="shared" si="1"/>
        <v>HXRG_1201718_Multiple Choice.jpg</v>
      </c>
    </row>
    <row r="20" ht="15.75" customHeight="1">
      <c r="A20" s="218" t="s">
        <v>243</v>
      </c>
      <c r="B20" s="218" t="s">
        <v>244</v>
      </c>
      <c r="C20" s="218">
        <v>18.0</v>
      </c>
      <c r="D20" s="219">
        <v>4.0</v>
      </c>
      <c r="E20" s="218"/>
      <c r="F20" s="220"/>
      <c r="G20" s="218"/>
      <c r="H20" s="231" t="s">
        <v>260</v>
      </c>
      <c r="I20" s="218" t="s">
        <v>82</v>
      </c>
      <c r="J20" s="218" t="s">
        <v>83</v>
      </c>
      <c r="K20" s="222" t="s">
        <v>261</v>
      </c>
      <c r="L20" s="222" t="s">
        <v>151</v>
      </c>
      <c r="M20" s="218">
        <v>2.0</v>
      </c>
      <c r="N20" s="218" t="s">
        <v>85</v>
      </c>
      <c r="O20" s="223" t="str">
        <f>IFERROR(VLOOKUP(K20,'US History Framework Standards'!$A:$E,2,false),"")</f>
        <v>Rise of American Power (1890-1920)</v>
      </c>
      <c r="P20" s="223" t="str">
        <f>IFERROR(__xludf.DUMMYFUNCTION("IFERROR(Index(SPLIT(#REF!,"".""),1,1))"),"")</f>
        <v/>
      </c>
      <c r="Q20" s="223" t="str">
        <f>IFERROR(__xludf.DUMMYFUNCTION("IFERROR(Index(SPLIT(#REF!,"".""),1,2))"),"")</f>
        <v/>
      </c>
      <c r="R20" s="223" t="str">
        <f>IFERROR(VLOOKUP(#REF!,'US History Framework Standards'!$A:$E,3,false),"")</f>
        <v/>
      </c>
      <c r="S20" s="223" t="str">
        <f>IFERROR(__xludf.DUMMYFUNCTION("IFERROR(Index(SPLIT(#REF!,"".""),1,3)&amp;Index(SPLIT(#REF!,"".""),1,4))"),"")</f>
        <v/>
      </c>
      <c r="T20" s="223" t="str">
        <f>iferror(VLOOKUP(L20,'US History Framework Standards'!$A:$E,2,false),"")</f>
        <v>Imperialism &amp; the Philippines</v>
      </c>
      <c r="U20" s="220">
        <v>18.0</v>
      </c>
      <c r="V20" s="218" t="s">
        <v>247</v>
      </c>
      <c r="W20" s="218">
        <v>1201718.0</v>
      </c>
      <c r="X20" s="220"/>
      <c r="Y20" s="220"/>
      <c r="Z20" s="218" t="s">
        <v>248</v>
      </c>
      <c r="AA20" s="220"/>
      <c r="AB20" s="220" t="str">
        <f t="shared" si="1"/>
        <v>HXRG_1201718_Multiple Choice.jpg</v>
      </c>
    </row>
    <row r="21" ht="15.75" customHeight="1">
      <c r="A21" s="224" t="s">
        <v>243</v>
      </c>
      <c r="B21" s="224" t="s">
        <v>244</v>
      </c>
      <c r="C21" s="224">
        <v>19.0</v>
      </c>
      <c r="D21" s="225">
        <v>3.0</v>
      </c>
      <c r="E21" s="224"/>
      <c r="F21" s="226"/>
      <c r="G21" s="224"/>
      <c r="H21" s="232" t="s">
        <v>262</v>
      </c>
      <c r="I21" s="224" t="s">
        <v>82</v>
      </c>
      <c r="J21" s="224" t="s">
        <v>83</v>
      </c>
      <c r="K21" s="228" t="s">
        <v>261</v>
      </c>
      <c r="L21" s="228" t="s">
        <v>158</v>
      </c>
      <c r="M21" s="224">
        <v>9.0</v>
      </c>
      <c r="N21" s="224" t="s">
        <v>85</v>
      </c>
      <c r="O21" s="229" t="str">
        <f>IFERROR(VLOOKUP(K21,'US History Framework Standards'!$A:$E,2,false),"")</f>
        <v>Rise of American Power (1890-1920)</v>
      </c>
      <c r="P21" s="229" t="str">
        <f>IFERROR(__xludf.DUMMYFUNCTION("IFERROR(Index(SPLIT(#REF!,"".""),1,1))"),"")</f>
        <v/>
      </c>
      <c r="Q21" s="229" t="str">
        <f>IFERROR(__xludf.DUMMYFUNCTION("IFERROR(Index(SPLIT(#REF!,"".""),1,2))"),"")</f>
        <v/>
      </c>
      <c r="R21" s="229" t="str">
        <f>IFERROR(VLOOKUP(#REF!,'US History Framework Standards'!$A:$E,3,false),"")</f>
        <v/>
      </c>
      <c r="S21" s="229" t="str">
        <f>IFERROR(__xludf.DUMMYFUNCTION("IFERROR(Index(SPLIT(#REF!,"".""),1,3)&amp;Index(SPLIT(#REF!,"".""),1,4))"),"")</f>
        <v/>
      </c>
      <c r="T21" s="229" t="str">
        <f>iferror(VLOOKUP(L21,'US History Framework Standards'!$A:$E,2,false),"")</f>
        <v>Schenck v. US (1919)</v>
      </c>
      <c r="U21" s="226">
        <v>19.0</v>
      </c>
      <c r="V21" s="224" t="s">
        <v>247</v>
      </c>
      <c r="W21" s="224">
        <v>1201718.0</v>
      </c>
      <c r="X21" s="226"/>
      <c r="Y21" s="226"/>
      <c r="Z21" s="224" t="s">
        <v>248</v>
      </c>
      <c r="AA21" s="226"/>
      <c r="AB21" s="226" t="str">
        <f t="shared" si="1"/>
        <v>HXRG_1201718_Multiple Choice.jpg</v>
      </c>
    </row>
    <row r="22" ht="15.75" customHeight="1">
      <c r="A22" s="224" t="s">
        <v>243</v>
      </c>
      <c r="B22" s="224" t="s">
        <v>244</v>
      </c>
      <c r="C22" s="224">
        <v>20.0</v>
      </c>
      <c r="D22" s="225">
        <v>1.0</v>
      </c>
      <c r="E22" s="224"/>
      <c r="F22" s="226"/>
      <c r="G22" s="224"/>
      <c r="H22" s="232" t="s">
        <v>262</v>
      </c>
      <c r="I22" s="224" t="s">
        <v>82</v>
      </c>
      <c r="J22" s="224" t="s">
        <v>83</v>
      </c>
      <c r="K22" s="228" t="s">
        <v>261</v>
      </c>
      <c r="L22" s="228" t="s">
        <v>158</v>
      </c>
      <c r="M22" s="224">
        <v>8.0</v>
      </c>
      <c r="N22" s="224" t="s">
        <v>85</v>
      </c>
      <c r="O22" s="229" t="str">
        <f>IFERROR(VLOOKUP(K22,'US History Framework Standards'!$A:$E,2,false),"")</f>
        <v>Rise of American Power (1890-1920)</v>
      </c>
      <c r="P22" s="229" t="str">
        <f>IFERROR(__xludf.DUMMYFUNCTION("IFERROR(Index(SPLIT(#REF!,"".""),1,1))"),"")</f>
        <v/>
      </c>
      <c r="Q22" s="229" t="str">
        <f>IFERROR(__xludf.DUMMYFUNCTION("IFERROR(Index(SPLIT(#REF!,"".""),1,2))"),"")</f>
        <v/>
      </c>
      <c r="R22" s="229" t="str">
        <f>IFERROR(VLOOKUP(#REF!,'US History Framework Standards'!$A:$E,3,false),"")</f>
        <v/>
      </c>
      <c r="S22" s="229" t="str">
        <f>IFERROR(__xludf.DUMMYFUNCTION("IFERROR(Index(SPLIT(#REF!,"".""),1,3)&amp;Index(SPLIT(#REF!,"".""),1,4))"),"")</f>
        <v/>
      </c>
      <c r="T22" s="229" t="str">
        <f>iferror(VLOOKUP(L22,'US History Framework Standards'!$A:$E,2,false),"")</f>
        <v>Schenck v. US (1919)</v>
      </c>
      <c r="U22" s="226">
        <v>20.0</v>
      </c>
      <c r="V22" s="224" t="s">
        <v>247</v>
      </c>
      <c r="W22" s="224">
        <v>1201718.0</v>
      </c>
      <c r="X22" s="226"/>
      <c r="Y22" s="226"/>
      <c r="Z22" s="224" t="s">
        <v>248</v>
      </c>
      <c r="AA22" s="226"/>
      <c r="AB22" s="226" t="str">
        <f t="shared" si="1"/>
        <v>HXRG_1201718_Multiple Choice.jpg</v>
      </c>
    </row>
    <row r="23" ht="15.75" customHeight="1">
      <c r="A23" s="218" t="s">
        <v>243</v>
      </c>
      <c r="B23" s="218" t="s">
        <v>244</v>
      </c>
      <c r="C23" s="218">
        <v>21.0</v>
      </c>
      <c r="D23" s="219">
        <v>2.0</v>
      </c>
      <c r="E23" s="218"/>
      <c r="F23" s="220"/>
      <c r="G23" s="218"/>
      <c r="H23" s="233" t="s">
        <v>263</v>
      </c>
      <c r="I23" s="218" t="s">
        <v>82</v>
      </c>
      <c r="J23" s="218" t="s">
        <v>83</v>
      </c>
      <c r="K23" s="222" t="s">
        <v>264</v>
      </c>
      <c r="L23" s="222" t="s">
        <v>171</v>
      </c>
      <c r="M23" s="218">
        <v>17.0</v>
      </c>
      <c r="N23" s="218" t="s">
        <v>85</v>
      </c>
      <c r="O23" s="223" t="str">
        <f>IFERROR(VLOOKUP(K23,'US History Framework Standards'!$A:$E,2,false),"")</f>
        <v>Prosperity and Depression (1920-1939)</v>
      </c>
      <c r="P23" s="223" t="str">
        <f>IFERROR(__xludf.DUMMYFUNCTION("IFERROR(Index(SPLIT(#REF!,"".""),1,1))"),"")</f>
        <v/>
      </c>
      <c r="Q23" s="223" t="str">
        <f>IFERROR(__xludf.DUMMYFUNCTION("IFERROR(Index(SPLIT(#REF!,"".""),1,2))"),"")</f>
        <v/>
      </c>
      <c r="R23" s="223" t="str">
        <f>IFERROR(VLOOKUP(#REF!,'US History Framework Standards'!$A:$E,3,false),"")</f>
        <v/>
      </c>
      <c r="S23" s="223" t="str">
        <f>IFERROR(__xludf.DUMMYFUNCTION("IFERROR(Index(SPLIT(#REF!,"".""),1,3)&amp;Index(SPLIT(#REF!,"".""),1,4))"),"")</f>
        <v/>
      </c>
      <c r="T23" s="223" t="str">
        <f>iferror(VLOOKUP(L23,'US History Framework Standards'!$A:$E,2,false),"")</f>
        <v>New Deal</v>
      </c>
      <c r="U23" s="220">
        <v>21.0</v>
      </c>
      <c r="V23" s="218" t="s">
        <v>247</v>
      </c>
      <c r="W23" s="218">
        <v>1201718.0</v>
      </c>
      <c r="X23" s="220"/>
      <c r="Y23" s="220"/>
      <c r="Z23" s="218" t="s">
        <v>248</v>
      </c>
      <c r="AA23" s="220"/>
      <c r="AB23" s="220" t="str">
        <f t="shared" si="1"/>
        <v>HXRG_1201718_Multiple Choice.jpg</v>
      </c>
    </row>
    <row r="24" ht="15.75" customHeight="1">
      <c r="A24" s="218" t="s">
        <v>243</v>
      </c>
      <c r="B24" s="218" t="s">
        <v>244</v>
      </c>
      <c r="C24" s="218">
        <v>22.0</v>
      </c>
      <c r="D24" s="219">
        <v>2.0</v>
      </c>
      <c r="E24" s="218"/>
      <c r="F24" s="220"/>
      <c r="G24" s="218"/>
      <c r="H24" s="233" t="s">
        <v>263</v>
      </c>
      <c r="I24" s="218" t="s">
        <v>82</v>
      </c>
      <c r="J24" s="218" t="s">
        <v>83</v>
      </c>
      <c r="K24" s="222" t="s">
        <v>264</v>
      </c>
      <c r="L24" s="222" t="s">
        <v>171</v>
      </c>
      <c r="M24" s="218">
        <v>18.0</v>
      </c>
      <c r="N24" s="218" t="s">
        <v>85</v>
      </c>
      <c r="O24" s="223" t="str">
        <f>IFERROR(VLOOKUP(K24,'US History Framework Standards'!$A:$E,2,false),"")</f>
        <v>Prosperity and Depression (1920-1939)</v>
      </c>
      <c r="P24" s="223" t="str">
        <f>IFERROR(__xludf.DUMMYFUNCTION("IFERROR(Index(SPLIT(#REF!,"".""),1,1))"),"")</f>
        <v/>
      </c>
      <c r="Q24" s="223" t="str">
        <f>IFERROR(__xludf.DUMMYFUNCTION("IFERROR(Index(SPLIT(#REF!,"".""),1,2))"),"")</f>
        <v/>
      </c>
      <c r="R24" s="223" t="str">
        <f>IFERROR(VLOOKUP(#REF!,'US History Framework Standards'!$A:$E,3,false),"")</f>
        <v/>
      </c>
      <c r="S24" s="223" t="str">
        <f>IFERROR(__xludf.DUMMYFUNCTION("IFERROR(Index(SPLIT(#REF!,"".""),1,3)&amp;Index(SPLIT(#REF!,"".""),1,4))"),"")</f>
        <v/>
      </c>
      <c r="T24" s="223" t="str">
        <f>iferror(VLOOKUP(L24,'US History Framework Standards'!$A:$E,2,false),"")</f>
        <v>New Deal</v>
      </c>
      <c r="U24" s="220">
        <v>22.0</v>
      </c>
      <c r="V24" s="218" t="s">
        <v>247</v>
      </c>
      <c r="W24" s="218">
        <v>1201718.0</v>
      </c>
      <c r="X24" s="220"/>
      <c r="Y24" s="220"/>
      <c r="Z24" s="218" t="s">
        <v>248</v>
      </c>
      <c r="AA24" s="220"/>
      <c r="AB24" s="220" t="str">
        <f t="shared" si="1"/>
        <v>HXRG_1201718_Multiple Choice.jpg</v>
      </c>
    </row>
    <row r="25" ht="15.75" customHeight="1">
      <c r="A25" s="224" t="s">
        <v>243</v>
      </c>
      <c r="B25" s="224" t="s">
        <v>244</v>
      </c>
      <c r="C25" s="224">
        <v>23.0</v>
      </c>
      <c r="D25" s="225">
        <v>3.0</v>
      </c>
      <c r="E25" s="224"/>
      <c r="F25" s="226"/>
      <c r="G25" s="224"/>
      <c r="H25" s="230" t="s">
        <v>265</v>
      </c>
      <c r="I25" s="224" t="s">
        <v>82</v>
      </c>
      <c r="J25" s="224" t="s">
        <v>83</v>
      </c>
      <c r="K25" s="228" t="s">
        <v>266</v>
      </c>
      <c r="L25" s="228" t="s">
        <v>178</v>
      </c>
      <c r="M25" s="224">
        <v>2.0</v>
      </c>
      <c r="N25" s="224" t="s">
        <v>89</v>
      </c>
      <c r="O25" s="229" t="str">
        <f>IFERROR(VLOOKUP(K25,'US History Framework Standards'!$A:$E,2,false),"")</f>
        <v>World War II (1935-1945)</v>
      </c>
      <c r="P25" s="229" t="str">
        <f>IFERROR(__xludf.DUMMYFUNCTION("IFERROR(Index(SPLIT(#REF!,"".""),1,1))"),"")</f>
        <v/>
      </c>
      <c r="Q25" s="229" t="str">
        <f>IFERROR(__xludf.DUMMYFUNCTION("IFERROR(Index(SPLIT(#REF!,"".""),1,2))"),"")</f>
        <v/>
      </c>
      <c r="R25" s="229" t="str">
        <f>IFERROR(VLOOKUP(#REF!,'US History Framework Standards'!$A:$E,3,false),"")</f>
        <v/>
      </c>
      <c r="S25" s="229" t="str">
        <f>IFERROR(__xludf.DUMMYFUNCTION("IFERROR(Index(SPLIT(#REF!,"".""),1,3)&amp;Index(SPLIT(#REF!,"".""),1,4))"),"")</f>
        <v/>
      </c>
      <c r="T25" s="229" t="str">
        <f>iferror(VLOOKUP(L25,'US History Framework Standards'!$A:$E,2,false),"")</f>
        <v>Japanese Internment</v>
      </c>
      <c r="U25" s="226">
        <v>23.0</v>
      </c>
      <c r="V25" s="224" t="s">
        <v>247</v>
      </c>
      <c r="W25" s="224">
        <v>1201718.0</v>
      </c>
      <c r="X25" s="226"/>
      <c r="Y25" s="226"/>
      <c r="Z25" s="224" t="s">
        <v>248</v>
      </c>
      <c r="AA25" s="226"/>
      <c r="AB25" s="226" t="str">
        <f t="shared" si="1"/>
        <v>HXRG_1201718_Multiple Choice.jpg</v>
      </c>
    </row>
    <row r="26" ht="15.75" customHeight="1">
      <c r="A26" s="218" t="s">
        <v>243</v>
      </c>
      <c r="B26" s="218" t="s">
        <v>244</v>
      </c>
      <c r="C26" s="218">
        <v>24.0</v>
      </c>
      <c r="D26" s="219">
        <v>1.0</v>
      </c>
      <c r="E26" s="218"/>
      <c r="F26" s="220"/>
      <c r="G26" s="218"/>
      <c r="H26" s="231" t="s">
        <v>267</v>
      </c>
      <c r="I26" s="218" t="s">
        <v>82</v>
      </c>
      <c r="J26" s="218" t="s">
        <v>87</v>
      </c>
      <c r="K26" s="222" t="s">
        <v>268</v>
      </c>
      <c r="L26" s="222" t="s">
        <v>184</v>
      </c>
      <c r="M26" s="218">
        <v>13.0</v>
      </c>
      <c r="N26" s="218" t="s">
        <v>85</v>
      </c>
      <c r="O26" s="223" t="str">
        <f>IFERROR(VLOOKUP(K26,'US History Framework Standards'!$A:$E,2,false),"")</f>
        <v>Cold War (1945-1990)</v>
      </c>
      <c r="P26" s="223" t="str">
        <f>IFERROR(__xludf.DUMMYFUNCTION("IFERROR(Index(SPLIT(#REF!,"".""),1,1))"),"")</f>
        <v/>
      </c>
      <c r="Q26" s="223" t="str">
        <f>IFERROR(__xludf.DUMMYFUNCTION("IFERROR(Index(SPLIT(#REF!,"".""),1,2))"),"")</f>
        <v/>
      </c>
      <c r="R26" s="223" t="str">
        <f>IFERROR(VLOOKUP(#REF!,'US History Framework Standards'!$A:$E,3,false),"")</f>
        <v/>
      </c>
      <c r="S26" s="223" t="str">
        <f>IFERROR(__xludf.DUMMYFUNCTION("IFERROR(Index(SPLIT(#REF!,"".""),1,3)&amp;Index(SPLIT(#REF!,"".""),1,4))"),"")</f>
        <v/>
      </c>
      <c r="T26" s="223" t="str">
        <f>iferror(VLOOKUP(L26,'US History Framework Standards'!$A:$E,2,false),"")</f>
        <v>Containment Policies</v>
      </c>
      <c r="U26" s="220">
        <v>24.0</v>
      </c>
      <c r="V26" s="218" t="s">
        <v>247</v>
      </c>
      <c r="W26" s="218">
        <v>1201718.0</v>
      </c>
      <c r="X26" s="220"/>
      <c r="Y26" s="220"/>
      <c r="Z26" s="218" t="s">
        <v>248</v>
      </c>
      <c r="AA26" s="220"/>
      <c r="AB26" s="220" t="str">
        <f t="shared" si="1"/>
        <v>HXRG_1201718_Multiple Choice.jpg</v>
      </c>
    </row>
    <row r="27" ht="15.75" customHeight="1">
      <c r="A27" s="218" t="s">
        <v>243</v>
      </c>
      <c r="B27" s="218" t="s">
        <v>244</v>
      </c>
      <c r="C27" s="218">
        <v>25.0</v>
      </c>
      <c r="D27" s="219">
        <v>4.0</v>
      </c>
      <c r="E27" s="218"/>
      <c r="F27" s="220"/>
      <c r="G27" s="218"/>
      <c r="H27" s="231" t="s">
        <v>267</v>
      </c>
      <c r="I27" s="218" t="s">
        <v>82</v>
      </c>
      <c r="J27" s="218" t="s">
        <v>87</v>
      </c>
      <c r="K27" s="222" t="s">
        <v>268</v>
      </c>
      <c r="L27" s="222" t="s">
        <v>184</v>
      </c>
      <c r="M27" s="218">
        <v>7.0</v>
      </c>
      <c r="N27" s="218" t="s">
        <v>85</v>
      </c>
      <c r="O27" s="223" t="str">
        <f>IFERROR(VLOOKUP(K27,'US History Framework Standards'!$A:$E,2,false),"")</f>
        <v>Cold War (1945-1990)</v>
      </c>
      <c r="P27" s="223" t="str">
        <f>IFERROR(__xludf.DUMMYFUNCTION("IFERROR(Index(SPLIT(#REF!,"".""),1,1))"),"")</f>
        <v/>
      </c>
      <c r="Q27" s="223" t="str">
        <f>IFERROR(__xludf.DUMMYFUNCTION("IFERROR(Index(SPLIT(#REF!,"".""),1,2))"),"")</f>
        <v/>
      </c>
      <c r="R27" s="223" t="str">
        <f>IFERROR(VLOOKUP(#REF!,'US History Framework Standards'!$A:$E,3,false),"")</f>
        <v/>
      </c>
      <c r="S27" s="223" t="str">
        <f>IFERROR(__xludf.DUMMYFUNCTION("IFERROR(Index(SPLIT(#REF!,"".""),1,3)&amp;Index(SPLIT(#REF!,"".""),1,4))"),"")</f>
        <v/>
      </c>
      <c r="T27" s="223" t="str">
        <f>iferror(VLOOKUP(L27,'US History Framework Standards'!$A:$E,2,false),"")</f>
        <v>Containment Policies</v>
      </c>
      <c r="U27" s="220">
        <v>25.0</v>
      </c>
      <c r="V27" s="218" t="s">
        <v>247</v>
      </c>
      <c r="W27" s="218">
        <v>1201718.0</v>
      </c>
      <c r="X27" s="220"/>
      <c r="Y27" s="220"/>
      <c r="Z27" s="218" t="s">
        <v>248</v>
      </c>
      <c r="AA27" s="220"/>
      <c r="AB27" s="220" t="str">
        <f t="shared" si="1"/>
        <v>HXRG_1201718_Multiple Choice.jpg</v>
      </c>
    </row>
    <row r="28" ht="15.75" customHeight="1">
      <c r="A28" s="224" t="s">
        <v>243</v>
      </c>
      <c r="B28" s="224" t="s">
        <v>244</v>
      </c>
      <c r="C28" s="224">
        <v>26.0</v>
      </c>
      <c r="D28" s="225">
        <v>4.0</v>
      </c>
      <c r="E28" s="224"/>
      <c r="F28" s="226"/>
      <c r="G28" s="224"/>
      <c r="H28" s="230" t="s">
        <v>269</v>
      </c>
      <c r="I28" s="224" t="s">
        <v>82</v>
      </c>
      <c r="J28" s="224" t="s">
        <v>83</v>
      </c>
      <c r="K28" s="228" t="s">
        <v>268</v>
      </c>
      <c r="L28" s="228" t="s">
        <v>194</v>
      </c>
      <c r="M28" s="224">
        <v>2.0</v>
      </c>
      <c r="N28" s="224" t="s">
        <v>85</v>
      </c>
      <c r="O28" s="229" t="str">
        <f>IFERROR(VLOOKUP(K28,'US History Framework Standards'!$A:$E,2,false),"")</f>
        <v>Cold War (1945-1990)</v>
      </c>
      <c r="P28" s="229" t="str">
        <f>IFERROR(__xludf.DUMMYFUNCTION("IFERROR(Index(SPLIT(#REF!,"".""),1,1))"),"")</f>
        <v/>
      </c>
      <c r="Q28" s="229" t="str">
        <f>IFERROR(__xludf.DUMMYFUNCTION("IFERROR(Index(SPLIT(#REF!,"".""),1,2))"),"")</f>
        <v/>
      </c>
      <c r="R28" s="229" t="str">
        <f>IFERROR(VLOOKUP(#REF!,'US History Framework Standards'!$A:$E,3,false),"")</f>
        <v/>
      </c>
      <c r="S28" s="229" t="str">
        <f>IFERROR(__xludf.DUMMYFUNCTION("IFERROR(Index(SPLIT(#REF!,"".""),1,3)&amp;Index(SPLIT(#REF!,"".""),1,4))"),"")</f>
        <v/>
      </c>
      <c r="T28" s="229" t="str">
        <f>iferror(VLOOKUP(L28,'US History Framework Standards'!$A:$E,2,false),"")</f>
        <v>Berlin Wall &amp; the Soviet Loss of Control</v>
      </c>
      <c r="U28" s="226">
        <v>26.0</v>
      </c>
      <c r="V28" s="224" t="s">
        <v>247</v>
      </c>
      <c r="W28" s="224">
        <v>1201718.0</v>
      </c>
      <c r="X28" s="226"/>
      <c r="Y28" s="226"/>
      <c r="Z28" s="224" t="s">
        <v>248</v>
      </c>
      <c r="AA28" s="226"/>
      <c r="AB28" s="226" t="str">
        <f t="shared" si="1"/>
        <v>HXRG_1201718_Multiple Choice.jpg</v>
      </c>
    </row>
    <row r="29" ht="15.75" customHeight="1">
      <c r="A29" s="218" t="s">
        <v>243</v>
      </c>
      <c r="B29" s="218" t="s">
        <v>244</v>
      </c>
      <c r="C29" s="218">
        <v>27.0</v>
      </c>
      <c r="D29" s="219">
        <v>2.0</v>
      </c>
      <c r="E29" s="218"/>
      <c r="F29" s="220"/>
      <c r="G29" s="218"/>
      <c r="H29" s="231" t="s">
        <v>270</v>
      </c>
      <c r="I29" s="218" t="s">
        <v>82</v>
      </c>
      <c r="J29" s="218" t="s">
        <v>87</v>
      </c>
      <c r="K29" s="222" t="s">
        <v>102</v>
      </c>
      <c r="L29" s="222" t="s">
        <v>199</v>
      </c>
      <c r="M29" s="218">
        <v>13.0</v>
      </c>
      <c r="N29" s="218" t="s">
        <v>85</v>
      </c>
      <c r="O29" s="223" t="str">
        <f>IFERROR(VLOOKUP(K29,'US History Framework Standards'!$A:$E,2,false),"")</f>
        <v>Social and Economic Change/ Domestic Issues (1945-present)</v>
      </c>
      <c r="P29" s="223" t="str">
        <f>IFERROR(__xludf.DUMMYFUNCTION("IFERROR(Index(SPLIT(#REF!,"".""),1,1))"),"")</f>
        <v/>
      </c>
      <c r="Q29" s="223" t="str">
        <f>IFERROR(__xludf.DUMMYFUNCTION("IFERROR(Index(SPLIT(#REF!,"".""),1,2))"),"")</f>
        <v/>
      </c>
      <c r="R29" s="223" t="str">
        <f>IFERROR(VLOOKUP(#REF!,'US History Framework Standards'!$A:$E,3,false),"")</f>
        <v/>
      </c>
      <c r="S29" s="223" t="str">
        <f>IFERROR(__xludf.DUMMYFUNCTION("IFERROR(Index(SPLIT(#REF!,"".""),1,3)&amp;Index(SPLIT(#REF!,"".""),1,4))"),"")</f>
        <v/>
      </c>
      <c r="T29" s="223" t="str">
        <f>iferror(VLOOKUP(L29,'US History Framework Standards'!$A:$E,2,false),"")</f>
        <v>Individuals &amp; Groups Fight for Equality</v>
      </c>
      <c r="U29" s="220">
        <v>27.0</v>
      </c>
      <c r="V29" s="218" t="s">
        <v>247</v>
      </c>
      <c r="W29" s="218">
        <v>1201718.0</v>
      </c>
      <c r="X29" s="220"/>
      <c r="Y29" s="220"/>
      <c r="Z29" s="218" t="s">
        <v>248</v>
      </c>
      <c r="AA29" s="220"/>
      <c r="AB29" s="220" t="str">
        <f t="shared" si="1"/>
        <v>HXRG_1201718_Multiple Choice.jpg</v>
      </c>
    </row>
    <row r="30" ht="15.75" customHeight="1">
      <c r="A30" s="234" t="s">
        <v>243</v>
      </c>
      <c r="B30" s="234" t="s">
        <v>244</v>
      </c>
      <c r="C30" s="234">
        <v>28.0</v>
      </c>
      <c r="D30" s="235">
        <v>1.0</v>
      </c>
      <c r="E30" s="234"/>
      <c r="F30" s="236"/>
      <c r="G30" s="234"/>
      <c r="H30" s="231" t="s">
        <v>270</v>
      </c>
      <c r="I30" s="234" t="s">
        <v>82</v>
      </c>
      <c r="J30" s="234" t="s">
        <v>87</v>
      </c>
      <c r="K30" s="237" t="s">
        <v>102</v>
      </c>
      <c r="L30" s="237" t="s">
        <v>199</v>
      </c>
      <c r="M30" s="234">
        <v>12.0</v>
      </c>
      <c r="N30" s="234" t="s">
        <v>85</v>
      </c>
      <c r="O30" s="238" t="str">
        <f>IFERROR(VLOOKUP(K30,'US History Framework Standards'!$A:$E,2,false),"")</f>
        <v>Social and Economic Change/ Domestic Issues (1945-present)</v>
      </c>
      <c r="P30" s="238" t="str">
        <f>IFERROR(__xludf.DUMMYFUNCTION("IFERROR(Index(SPLIT(#REF!,"".""),1,1))"),"")</f>
        <v/>
      </c>
      <c r="Q30" s="238" t="str">
        <f>IFERROR(__xludf.DUMMYFUNCTION("IFERROR(Index(SPLIT(#REF!,"".""),1,2))"),"")</f>
        <v/>
      </c>
      <c r="R30" s="238" t="str">
        <f>IFERROR(VLOOKUP(#REF!,'US History Framework Standards'!$A:$E,3,false),"")</f>
        <v/>
      </c>
      <c r="S30" s="238" t="str">
        <f>IFERROR(__xludf.DUMMYFUNCTION("IFERROR(Index(SPLIT(#REF!,"".""),1,3)&amp;Index(SPLIT(#REF!,"".""),1,4))"),"")</f>
        <v/>
      </c>
      <c r="T30" s="223" t="str">
        <f>iferror(VLOOKUP(L30,'US History Framework Standards'!$A:$E,2,false),"")</f>
        <v>Individuals &amp; Groups Fight for Equality</v>
      </c>
      <c r="U30" s="236">
        <v>28.0</v>
      </c>
      <c r="V30" s="234" t="s">
        <v>247</v>
      </c>
      <c r="W30" s="234">
        <v>1201718.0</v>
      </c>
      <c r="X30" s="236"/>
      <c r="Y30" s="236"/>
      <c r="Z30" s="234" t="s">
        <v>248</v>
      </c>
      <c r="AA30" s="236"/>
      <c r="AB30" s="236" t="str">
        <f t="shared" si="1"/>
        <v>HXRG_1201718_Multiple Choice.jpg</v>
      </c>
    </row>
    <row r="31" ht="15.75" customHeight="1">
      <c r="A31" s="239" t="s">
        <v>271</v>
      </c>
      <c r="B31" s="239" t="s">
        <v>272</v>
      </c>
      <c r="C31" s="239" t="s">
        <v>273</v>
      </c>
      <c r="D31" s="240"/>
      <c r="E31" s="239"/>
      <c r="F31" s="241"/>
      <c r="G31" s="239"/>
      <c r="H31" s="242" t="s">
        <v>274</v>
      </c>
      <c r="I31" s="239" t="s">
        <v>82</v>
      </c>
      <c r="J31" s="239" t="s">
        <v>87</v>
      </c>
      <c r="K31" s="222" t="s">
        <v>268</v>
      </c>
      <c r="L31" s="222" t="s">
        <v>188</v>
      </c>
      <c r="M31" s="239"/>
      <c r="N31" s="239"/>
      <c r="O31" s="223" t="str">
        <f>IFERROR(VLOOKUP(K31,'US History Framework Standards'!$A:$E,2,false),"")</f>
        <v>Cold War (1945-1990)</v>
      </c>
      <c r="P31" s="243"/>
      <c r="Q31" s="243"/>
      <c r="R31" s="243"/>
      <c r="S31" s="243"/>
      <c r="T31" s="223" t="str">
        <f>iferror(VLOOKUP(L31,'US History Framework Standards'!$A:$E,2,false),"")</f>
        <v>Antiwar Movement &amp; Watergate</v>
      </c>
      <c r="U31" s="241"/>
      <c r="V31" s="239"/>
      <c r="W31" s="239"/>
      <c r="X31" s="241"/>
      <c r="Y31" s="241"/>
      <c r="Z31" s="239"/>
      <c r="AA31" s="241"/>
      <c r="AB31" s="241"/>
    </row>
    <row r="32" ht="15.75" customHeight="1">
      <c r="A32" s="218" t="s">
        <v>275</v>
      </c>
      <c r="B32" s="218" t="s">
        <v>272</v>
      </c>
      <c r="C32" s="218" t="s">
        <v>276</v>
      </c>
      <c r="D32" s="219"/>
      <c r="E32" s="218"/>
      <c r="F32" s="220"/>
      <c r="G32" s="218"/>
      <c r="H32" s="231" t="s">
        <v>277</v>
      </c>
      <c r="I32" s="218" t="s">
        <v>82</v>
      </c>
      <c r="J32" s="218" t="s">
        <v>83</v>
      </c>
      <c r="K32" s="222" t="s">
        <v>268</v>
      </c>
      <c r="L32" s="222" t="s">
        <v>188</v>
      </c>
      <c r="M32" s="218"/>
      <c r="N32" s="218"/>
      <c r="O32" s="223" t="str">
        <f>IFERROR(VLOOKUP(K32,'US History Framework Standards'!$A:$E,2,false),"")</f>
        <v>Cold War (1945-1990)</v>
      </c>
      <c r="P32" s="223" t="str">
        <f>IFERROR(__xludf.DUMMYFUNCTION("IFERROR(Index(SPLIT(#REF!,"".""),1,1))"),"")</f>
        <v/>
      </c>
      <c r="Q32" s="223" t="str">
        <f>IFERROR(__xludf.DUMMYFUNCTION("IFERROR(Index(SPLIT(#REF!,"".""),1,2))"),"")</f>
        <v/>
      </c>
      <c r="R32" s="223" t="str">
        <f>IFERROR(VLOOKUP(#REF!,'US History Framework Standards'!$A:$E,3,false),"")</f>
        <v/>
      </c>
      <c r="S32" s="223" t="str">
        <f>IFERROR(__xludf.DUMMYFUNCTION("IFERROR(Index(SPLIT(#REF!,"".""),1,3)&amp;Index(SPLIT(#REF!,"".""),1,4))"),"")</f>
        <v/>
      </c>
      <c r="T32" s="223" t="str">
        <f>iferror(VLOOKUP(L32,'US History Framework Standards'!$A:$E,2,false),"")</f>
        <v>Antiwar Movement &amp; Watergate</v>
      </c>
      <c r="U32" s="220">
        <v>29.0</v>
      </c>
      <c r="V32" s="218" t="s">
        <v>247</v>
      </c>
      <c r="W32" s="218">
        <v>1201718.0</v>
      </c>
      <c r="X32" s="220"/>
      <c r="Y32" s="220"/>
      <c r="Z32" s="218" t="s">
        <v>248</v>
      </c>
      <c r="AA32" s="220"/>
      <c r="AB32" s="220" t="str">
        <f t="shared" ref="AB32:AB33" si="2">V32&amp;"_"&amp;W32&amp;"_"&amp;A32&amp;".jpg"</f>
        <v>HXRG_1201718_Doc.jpg</v>
      </c>
    </row>
    <row r="33" ht="15.75" customHeight="1">
      <c r="A33" s="224" t="s">
        <v>275</v>
      </c>
      <c r="B33" s="224" t="s">
        <v>272</v>
      </c>
      <c r="C33" s="224" t="s">
        <v>278</v>
      </c>
      <c r="D33" s="225"/>
      <c r="E33" s="224"/>
      <c r="F33" s="226"/>
      <c r="G33" s="224"/>
      <c r="H33" s="232" t="s">
        <v>279</v>
      </c>
      <c r="I33" s="224" t="s">
        <v>82</v>
      </c>
      <c r="J33" s="224" t="s">
        <v>83</v>
      </c>
      <c r="K33" s="228" t="s">
        <v>268</v>
      </c>
      <c r="L33" s="228" t="s">
        <v>190</v>
      </c>
      <c r="M33" s="224"/>
      <c r="N33" s="224"/>
      <c r="O33" s="229" t="str">
        <f>IFERROR(VLOOKUP(K33,'US History Framework Standards'!$A:$E,2,false),"")</f>
        <v>Cold War (1945-1990)</v>
      </c>
      <c r="P33" s="229" t="str">
        <f>IFERROR(__xludf.DUMMYFUNCTION("IFERROR(Index(SPLIT(#REF!,"".""),1,1))"),"")</f>
        <v/>
      </c>
      <c r="Q33" s="229" t="str">
        <f>IFERROR(__xludf.DUMMYFUNCTION("IFERROR(Index(SPLIT(#REF!,"".""),1,2))"),"")</f>
        <v/>
      </c>
      <c r="R33" s="229" t="str">
        <f>IFERROR(VLOOKUP(#REF!,'US History Framework Standards'!$A:$E,3,false),"")</f>
        <v/>
      </c>
      <c r="S33" s="229" t="str">
        <f>IFERROR(__xludf.DUMMYFUNCTION("IFERROR(Index(SPLIT(#REF!,"".""),1,3)&amp;Index(SPLIT(#REF!,"".""),1,4))"),"")</f>
        <v/>
      </c>
      <c r="T33" s="229" t="str">
        <f>iferror(VLOOKUP(L33,'US History Framework Standards'!$A:$E,2,false),"")</f>
        <v>Nuclear Arms Race</v>
      </c>
      <c r="U33" s="226">
        <v>30.0</v>
      </c>
      <c r="V33" s="224" t="s">
        <v>247</v>
      </c>
      <c r="W33" s="224">
        <v>1201718.0</v>
      </c>
      <c r="X33" s="226"/>
      <c r="Y33" s="226"/>
      <c r="Z33" s="224" t="s">
        <v>248</v>
      </c>
      <c r="AA33" s="226"/>
      <c r="AB33" s="226" t="str">
        <f t="shared" si="2"/>
        <v>HXRG_1201718_Doc.jpg</v>
      </c>
    </row>
    <row r="34" ht="15.75" customHeight="1">
      <c r="A34" s="244" t="s">
        <v>271</v>
      </c>
      <c r="B34" s="244" t="s">
        <v>272</v>
      </c>
      <c r="C34" s="244" t="s">
        <v>280</v>
      </c>
      <c r="D34" s="245"/>
      <c r="E34" s="244"/>
      <c r="F34" s="245"/>
      <c r="G34" s="244"/>
      <c r="H34" s="246" t="s">
        <v>281</v>
      </c>
      <c r="I34" s="244" t="s">
        <v>82</v>
      </c>
      <c r="J34" s="244" t="s">
        <v>83</v>
      </c>
      <c r="K34" s="247" t="s">
        <v>258</v>
      </c>
      <c r="L34" s="228"/>
      <c r="M34" s="244"/>
      <c r="N34" s="244"/>
      <c r="O34" s="248" t="str">
        <f>IFERROR(VLOOKUP(K34,'US History Framework Standards'!$A:$E,2,false),"")</f>
        <v>Industrialization and Urbanization (1870-1920)</v>
      </c>
      <c r="P34" s="248"/>
      <c r="Q34" s="248"/>
      <c r="R34" s="248"/>
      <c r="S34" s="248"/>
      <c r="T34" s="229" t="str">
        <f>iferror(VLOOKUP(L34,'US History Framework Standards'!$A:$E,2,false),"")</f>
        <v/>
      </c>
      <c r="U34" s="245"/>
      <c r="V34" s="244"/>
      <c r="W34" s="244"/>
      <c r="X34" s="245"/>
      <c r="Y34" s="245"/>
      <c r="Z34" s="244"/>
      <c r="AA34" s="245"/>
      <c r="AB34" s="245"/>
    </row>
    <row r="35">
      <c r="A35" s="239" t="s">
        <v>275</v>
      </c>
      <c r="B35" s="239" t="s">
        <v>282</v>
      </c>
      <c r="C35" s="239">
        <v>31.0</v>
      </c>
      <c r="D35" s="241"/>
      <c r="E35" s="239"/>
      <c r="F35" s="241"/>
      <c r="G35" s="239"/>
      <c r="H35" s="242" t="s">
        <v>283</v>
      </c>
      <c r="I35" s="239" t="s">
        <v>86</v>
      </c>
      <c r="J35" s="239" t="s">
        <v>83</v>
      </c>
      <c r="K35" s="249" t="s">
        <v>254</v>
      </c>
      <c r="L35" s="249" t="s">
        <v>120</v>
      </c>
      <c r="M35" s="239">
        <v>7.0</v>
      </c>
      <c r="N35" s="239" t="s">
        <v>89</v>
      </c>
      <c r="O35" s="243" t="str">
        <f>IFERROR(VLOOKUP(K35,'US History Framework Standards'!$A:$E,2,false),"")</f>
        <v>Expansion, Nationalism, and Sectionalism (1800-1865)</v>
      </c>
      <c r="P35" s="243" t="str">
        <f>IFERROR(__xludf.DUMMYFUNCTION("IFERROR(Index(SPLIT(#REF!,"".""),1,1))"),"")</f>
        <v/>
      </c>
      <c r="Q35" s="243" t="str">
        <f>IFERROR(__xludf.DUMMYFUNCTION("IFERROR(Index(SPLIT(#REF!,"".""),1,2))"),"")</f>
        <v/>
      </c>
      <c r="R35" s="243" t="str">
        <f>IFERROR(VLOOKUP(#REF!,'US History Framework Standards'!$A:$E,3,false),"")</f>
        <v/>
      </c>
      <c r="S35" s="243" t="str">
        <f>IFERROR(__xludf.DUMMYFUNCTION("IFERROR(Index(SPLIT(#REF!,"".""),1,3)&amp;Index(SPLIT(#REF!,"".""),1,4))"),"")</f>
        <v/>
      </c>
      <c r="T35" s="223" t="str">
        <f>iferror(VLOOKUP(L35,'US History Framework Standards'!$A:$E,2,false),"")</f>
        <v>American Nationalism</v>
      </c>
      <c r="U35" s="241">
        <v>31.0</v>
      </c>
      <c r="V35" s="239" t="s">
        <v>247</v>
      </c>
      <c r="W35" s="239">
        <v>1201718.0</v>
      </c>
      <c r="X35" s="241"/>
      <c r="Y35" s="241"/>
      <c r="Z35" s="239" t="s">
        <v>248</v>
      </c>
      <c r="AA35" s="241"/>
      <c r="AB35" s="241" t="str">
        <f t="shared" ref="AB35:AB39" si="3">V35&amp;"_"&amp;W35&amp;"_"&amp;A35&amp;".jpg"</f>
        <v>HXRG_1201718_Doc.jpg</v>
      </c>
    </row>
    <row r="36" ht="16.5" customHeight="1">
      <c r="A36" s="244" t="s">
        <v>275</v>
      </c>
      <c r="B36" s="224" t="s">
        <v>282</v>
      </c>
      <c r="C36" s="224">
        <v>32.0</v>
      </c>
      <c r="D36" s="226"/>
      <c r="E36" s="224"/>
      <c r="F36" s="226"/>
      <c r="G36" s="224"/>
      <c r="H36" s="230" t="s">
        <v>284</v>
      </c>
      <c r="I36" s="224" t="s">
        <v>86</v>
      </c>
      <c r="J36" s="224" t="s">
        <v>83</v>
      </c>
      <c r="K36" s="228" t="s">
        <v>254</v>
      </c>
      <c r="L36" s="228" t="s">
        <v>120</v>
      </c>
      <c r="M36" s="224">
        <v>7.0</v>
      </c>
      <c r="N36" s="224" t="s">
        <v>89</v>
      </c>
      <c r="O36" s="229" t="str">
        <f>IFERROR(VLOOKUP(K36,'US History Framework Standards'!$A:$E,2,false),"")</f>
        <v>Expansion, Nationalism, and Sectionalism (1800-1865)</v>
      </c>
      <c r="P36" s="229" t="str">
        <f>IFERROR(__xludf.DUMMYFUNCTION("IFERROR(Index(SPLIT(#REF!,"".""),1,1))"),"")</f>
        <v/>
      </c>
      <c r="Q36" s="229" t="str">
        <f>IFERROR(__xludf.DUMMYFUNCTION("IFERROR(Index(SPLIT(#REF!,"".""),1,2))"),"")</f>
        <v/>
      </c>
      <c r="R36" s="229" t="str">
        <f>IFERROR(VLOOKUP(#REF!,'US History Framework Standards'!$A:$E,3,false),"")</f>
        <v/>
      </c>
      <c r="S36" s="229" t="str">
        <f>IFERROR(__xludf.DUMMYFUNCTION("IFERROR(Index(SPLIT(#REF!,"".""),1,3)&amp;Index(SPLIT(#REF!,"".""),1,4))"),"")</f>
        <v/>
      </c>
      <c r="T36" s="229" t="str">
        <f>iferror(VLOOKUP(L36,'US History Framework Standards'!$A:$E,2,false),"")</f>
        <v>American Nationalism</v>
      </c>
      <c r="U36" s="245">
        <v>32.0</v>
      </c>
      <c r="V36" s="244" t="s">
        <v>247</v>
      </c>
      <c r="W36" s="244">
        <v>1201718.0</v>
      </c>
      <c r="X36" s="245"/>
      <c r="Y36" s="245"/>
      <c r="Z36" s="244" t="s">
        <v>248</v>
      </c>
      <c r="AA36" s="245"/>
      <c r="AB36" s="245" t="str">
        <f t="shared" si="3"/>
        <v>HXRG_1201718_Doc.jpg</v>
      </c>
    </row>
    <row r="37" ht="15.75" customHeight="1">
      <c r="A37" s="239" t="s">
        <v>285</v>
      </c>
      <c r="B37" s="218" t="s">
        <v>282</v>
      </c>
      <c r="C37" s="218">
        <v>33.0</v>
      </c>
      <c r="D37" s="220"/>
      <c r="E37" s="218"/>
      <c r="F37" s="220"/>
      <c r="G37" s="218"/>
      <c r="H37" s="231" t="s">
        <v>286</v>
      </c>
      <c r="I37" s="218" t="s">
        <v>86</v>
      </c>
      <c r="J37" s="218" t="s">
        <v>83</v>
      </c>
      <c r="K37" s="222" t="s">
        <v>254</v>
      </c>
      <c r="L37" s="222" t="s">
        <v>120</v>
      </c>
      <c r="M37" s="218">
        <v>17.0</v>
      </c>
      <c r="N37" s="218" t="s">
        <v>89</v>
      </c>
      <c r="O37" s="223" t="str">
        <f>IFERROR(VLOOKUP(K37,'US History Framework Standards'!$A:$E,2,false),"")</f>
        <v>Expansion, Nationalism, and Sectionalism (1800-1865)</v>
      </c>
      <c r="P37" s="223" t="str">
        <f>IFERROR(__xludf.DUMMYFUNCTION("IFERROR(Index(SPLIT(#REF!,"".""),1,1))"),"")</f>
        <v/>
      </c>
      <c r="Q37" s="223" t="str">
        <f>IFERROR(__xludf.DUMMYFUNCTION("IFERROR(Index(SPLIT(#REF!,"".""),1,2))"),"")</f>
        <v/>
      </c>
      <c r="R37" s="223" t="str">
        <f>IFERROR(VLOOKUP(#REF!,'US History Framework Standards'!$A:$E,3,false),"")</f>
        <v/>
      </c>
      <c r="S37" s="223" t="str">
        <f>IFERROR(__xludf.DUMMYFUNCTION("IFERROR(Index(SPLIT(#REF!,"".""),1,3)&amp;Index(SPLIT(#REF!,"".""),1,4))"),"")</f>
        <v/>
      </c>
      <c r="T37" s="223" t="str">
        <f>iferror(VLOOKUP(L37,'US History Framework Standards'!$A:$E,2,false),"")</f>
        <v>American Nationalism</v>
      </c>
      <c r="U37" s="241">
        <v>33.0</v>
      </c>
      <c r="V37" s="239" t="s">
        <v>247</v>
      </c>
      <c r="W37" s="239">
        <v>1201718.0</v>
      </c>
      <c r="X37" s="241"/>
      <c r="Y37" s="241"/>
      <c r="Z37" s="239" t="s">
        <v>248</v>
      </c>
      <c r="AA37" s="241"/>
      <c r="AB37" s="241" t="str">
        <f t="shared" si="3"/>
        <v>HXRG_1201718_DBQ.jpg</v>
      </c>
    </row>
    <row r="38" ht="15.75" customHeight="1">
      <c r="A38" s="224" t="s">
        <v>285</v>
      </c>
      <c r="B38" s="224" t="s">
        <v>282</v>
      </c>
      <c r="C38" s="224">
        <v>34.0</v>
      </c>
      <c r="D38" s="226"/>
      <c r="E38" s="224"/>
      <c r="F38" s="226"/>
      <c r="G38" s="224"/>
      <c r="H38" s="250" t="s">
        <v>287</v>
      </c>
      <c r="I38" s="224" t="s">
        <v>86</v>
      </c>
      <c r="J38" s="224" t="s">
        <v>83</v>
      </c>
      <c r="K38" s="228" t="s">
        <v>254</v>
      </c>
      <c r="L38" s="228" t="s">
        <v>120</v>
      </c>
      <c r="M38" s="224">
        <v>18.0</v>
      </c>
      <c r="N38" s="224" t="s">
        <v>89</v>
      </c>
      <c r="O38" s="229" t="str">
        <f>IFERROR(VLOOKUP(K38,'US History Framework Standards'!$A:$E,2,false),"")</f>
        <v>Expansion, Nationalism, and Sectionalism (1800-1865)</v>
      </c>
      <c r="P38" s="229" t="str">
        <f>IFERROR(__xludf.DUMMYFUNCTION("IFERROR(Index(SPLIT(#REF!,"".""),1,1))"),"")</f>
        <v/>
      </c>
      <c r="Q38" s="229" t="str">
        <f>IFERROR(__xludf.DUMMYFUNCTION("IFERROR(Index(SPLIT(#REF!,"".""),1,2))"),"")</f>
        <v/>
      </c>
      <c r="R38" s="229" t="str">
        <f>IFERROR(VLOOKUP(#REF!,'US History Framework Standards'!$A:$E,3,false),"")</f>
        <v/>
      </c>
      <c r="S38" s="229" t="str">
        <f>IFERROR(__xludf.DUMMYFUNCTION("IFERROR(Index(SPLIT(#REF!,"".""),1,3)&amp;Index(SPLIT(#REF!,"".""),1,4))"),"")</f>
        <v/>
      </c>
      <c r="T38" s="229" t="str">
        <f>iferror(VLOOKUP(L38,'US History Framework Standards'!$A:$E,2,false),"")</f>
        <v>American Nationalism</v>
      </c>
      <c r="U38" s="226">
        <v>34.0</v>
      </c>
      <c r="V38" s="224" t="s">
        <v>247</v>
      </c>
      <c r="W38" s="224">
        <v>1201718.0</v>
      </c>
      <c r="X38" s="226"/>
      <c r="Y38" s="226"/>
      <c r="Z38" s="224" t="s">
        <v>248</v>
      </c>
      <c r="AA38" s="226"/>
      <c r="AB38" s="226" t="str">
        <f t="shared" si="3"/>
        <v>HXRG_1201718_DBQ.jpg</v>
      </c>
    </row>
    <row r="39" ht="15.75" customHeight="1">
      <c r="A39" s="218" t="s">
        <v>285</v>
      </c>
      <c r="B39" s="218" t="s">
        <v>282</v>
      </c>
      <c r="C39" s="218">
        <v>35.0</v>
      </c>
      <c r="D39" s="220"/>
      <c r="E39" s="218"/>
      <c r="F39" s="220"/>
      <c r="G39" s="218"/>
      <c r="H39" s="221" t="s">
        <v>288</v>
      </c>
      <c r="I39" s="218" t="s">
        <v>86</v>
      </c>
      <c r="J39" s="218" t="s">
        <v>96</v>
      </c>
      <c r="K39" s="222" t="s">
        <v>254</v>
      </c>
      <c r="L39" s="222" t="s">
        <v>120</v>
      </c>
      <c r="M39" s="218">
        <v>8.0</v>
      </c>
      <c r="N39" s="218" t="s">
        <v>89</v>
      </c>
      <c r="O39" s="223" t="str">
        <f>IFERROR(VLOOKUP(K39,'US History Framework Standards'!$A:$E,2,false),"")</f>
        <v>Expansion, Nationalism, and Sectionalism (1800-1865)</v>
      </c>
      <c r="P39" s="223" t="str">
        <f>IFERROR(__xludf.DUMMYFUNCTION("IFERROR(Index(SPLIT(#REF!,"".""),1,1))"),"")</f>
        <v/>
      </c>
      <c r="Q39" s="223" t="str">
        <f>IFERROR(__xludf.DUMMYFUNCTION("IFERROR(Index(SPLIT(#REF!,"".""),1,2))"),"")</f>
        <v/>
      </c>
      <c r="R39" s="223" t="str">
        <f>IFERROR(VLOOKUP(#REF!,'US History Framework Standards'!$A:$E,3,false),"")</f>
        <v/>
      </c>
      <c r="S39" s="223" t="str">
        <f>IFERROR(__xludf.DUMMYFUNCTION("IFERROR(Index(SPLIT(#REF!,"".""),1,3)&amp;Index(SPLIT(#REF!,"".""),1,4))"),"")</f>
        <v/>
      </c>
      <c r="T39" s="223" t="str">
        <f>iferror(VLOOKUP(L39,'US History Framework Standards'!$A:$E,2,false),"")</f>
        <v>American Nationalism</v>
      </c>
      <c r="U39" s="220">
        <v>51.0</v>
      </c>
      <c r="V39" s="218" t="s">
        <v>247</v>
      </c>
      <c r="W39" s="218">
        <v>1201718.0</v>
      </c>
      <c r="X39" s="220"/>
      <c r="Y39" s="220"/>
      <c r="Z39" s="218" t="s">
        <v>248</v>
      </c>
      <c r="AA39" s="220"/>
      <c r="AB39" s="220" t="str">
        <f t="shared" si="3"/>
        <v>HXRG_1201718_DBQ.jpg</v>
      </c>
    </row>
    <row r="40" ht="15.75" customHeight="1">
      <c r="A40" s="224" t="s">
        <v>285</v>
      </c>
      <c r="B40" s="224" t="s">
        <v>282</v>
      </c>
      <c r="C40" s="224">
        <v>36.0</v>
      </c>
      <c r="D40" s="226"/>
      <c r="E40" s="224"/>
      <c r="F40" s="226"/>
      <c r="G40" s="224"/>
      <c r="H40" s="230" t="s">
        <v>289</v>
      </c>
      <c r="I40" s="224" t="s">
        <v>86</v>
      </c>
      <c r="J40" s="224" t="s">
        <v>83</v>
      </c>
      <c r="K40" s="228" t="s">
        <v>254</v>
      </c>
      <c r="L40" s="228" t="s">
        <v>120</v>
      </c>
      <c r="M40" s="224">
        <v>8.0</v>
      </c>
      <c r="N40" s="224" t="s">
        <v>89</v>
      </c>
      <c r="O40" s="229" t="str">
        <f>IFERROR(VLOOKUP(K40,'US History Framework Standards'!$A:$E,2,false),"")</f>
        <v>Expansion, Nationalism, and Sectionalism (1800-1865)</v>
      </c>
      <c r="P40" s="229" t="str">
        <f>IFERROR(__xludf.DUMMYFUNCTION("IFERROR(Index(SPLIT(#REF!,"".""),1,1))"),"")</f>
        <v/>
      </c>
      <c r="Q40" s="229" t="str">
        <f>IFERROR(__xludf.DUMMYFUNCTION("IFERROR(Index(SPLIT(#REF!,"".""),1,2))"),"")</f>
        <v/>
      </c>
      <c r="R40" s="229" t="str">
        <f>IFERROR(VLOOKUP(#REF!,'US History Framework Standards'!$A:$E,3,false),"")</f>
        <v/>
      </c>
      <c r="S40" s="229" t="str">
        <f>IFERROR(__xludf.DUMMYFUNCTION("IFERROR(Index(SPLIT(#REF!,"".""),1,3)&amp;Index(SPLIT(#REF!,"".""),1,4))"),"")</f>
        <v/>
      </c>
      <c r="T40" s="229" t="str">
        <f>iferror(VLOOKUP(L40,'US History Framework Standards'!$A:$E,2,false),"")</f>
        <v>American Nationalism</v>
      </c>
      <c r="U40" s="226"/>
      <c r="V40" s="224"/>
      <c r="W40" s="224"/>
      <c r="X40" s="226"/>
      <c r="Y40" s="226"/>
      <c r="Z40" s="224"/>
      <c r="AA40" s="226"/>
      <c r="AB40" s="226"/>
    </row>
    <row r="41" ht="15.75" customHeight="1">
      <c r="A41" s="218" t="s">
        <v>285</v>
      </c>
      <c r="B41" s="218" t="s">
        <v>282</v>
      </c>
      <c r="C41" s="218">
        <v>37.0</v>
      </c>
      <c r="D41" s="220"/>
      <c r="E41" s="218"/>
      <c r="F41" s="220"/>
      <c r="G41" s="218"/>
      <c r="H41" s="233"/>
      <c r="I41" s="218"/>
      <c r="J41" s="218"/>
      <c r="K41" s="222"/>
      <c r="L41" s="222"/>
      <c r="M41" s="218"/>
      <c r="N41" s="218" t="s">
        <v>85</v>
      </c>
      <c r="O41" s="223" t="str">
        <f>IFERROR(VLOOKUP(K41,'US History Framework Standards'!$A:$E,2,false),"")</f>
        <v/>
      </c>
      <c r="P41" s="223" t="str">
        <f>IFERROR(__xludf.DUMMYFUNCTION("IFERROR(Index(SPLIT(#REF!,"".""),1,1))"),"")</f>
        <v/>
      </c>
      <c r="Q41" s="223" t="str">
        <f>IFERROR(__xludf.DUMMYFUNCTION("IFERROR(Index(SPLIT(#REF!,"".""),1,2))"),"")</f>
        <v/>
      </c>
      <c r="R41" s="223" t="str">
        <f>IFERROR(VLOOKUP(#REF!,'US History Framework Standards'!$A:$E,3,false),"")</f>
        <v/>
      </c>
      <c r="S41" s="223" t="str">
        <f>IFERROR(__xludf.DUMMYFUNCTION("IFERROR(Index(SPLIT(#REF!,"".""),1,3)&amp;Index(SPLIT(#REF!,"".""),1,4))"),"")</f>
        <v/>
      </c>
      <c r="T41" s="223" t="str">
        <f>iferror(VLOOKUP(L41,'US History Framework Standards'!$A:$E,5,false),"")</f>
        <v/>
      </c>
      <c r="U41" s="220"/>
      <c r="V41" s="218"/>
      <c r="W41" s="218"/>
      <c r="X41" s="220"/>
      <c r="Y41" s="220"/>
      <c r="Z41" s="218"/>
      <c r="AA41" s="220"/>
      <c r="AB41" s="220"/>
    </row>
  </sheetData>
  <mergeCells count="3">
    <mergeCell ref="H1:K1"/>
    <mergeCell ref="L1:N1"/>
    <mergeCell ref="O1:T1"/>
  </mergeCells>
  <dataValidations>
    <dataValidation type="list" allowBlank="1" showErrorMessage="1" sqref="K3:K41">
      <formula1>"11.01,11.02,11.03,11.04,11.05,11.06,11.07,11.08,11.09,11.10,11.11"</formula1>
    </dataValidation>
    <dataValidation type="list" allowBlank="1" sqref="M3:M41">
      <formula1>'Analysis All Exams'!$M$5:$M$22</formula1>
    </dataValidation>
    <dataValidation type="list" allowBlank="1" sqref="G3:G41">
      <formula1>"Stimulus-Based Multiple Choice,Constructed Response Questions,Enduring Issues Essay"</formula1>
    </dataValidation>
    <dataValidation type="list" allowBlank="1" sqref="I3:I41">
      <formula1>'Analysis All Exams'!$A$5:$A$7</formula1>
    </dataValidation>
    <dataValidation type="list" allowBlank="1" sqref="B3:B41">
      <formula1>"Part I,Part II,Part III"</formula1>
    </dataValidation>
    <dataValidation type="list" allowBlank="1" sqref="J3:J41">
      <formula1>'Analysis All Exams'!$D$5:$D$9</formula1>
    </dataValidation>
    <dataValidation type="list" allowBlank="1" sqref="N3:N41">
      <formula1>"Yes,No"</formula1>
    </dataValidation>
    <dataValidation type="list" allowBlank="1" showErrorMessage="1" sqref="L3:L41">
      <formula1>"11.01a.1,11.01a.2,11.01b.1,11.01b.2,11.01b.3,11.01c.1,11.01c.2,11.02a.1,11.02b.1,11.02b.2,11.02c.1,11.02c.2,11.02c.3,11.02c.4,11.02c.5,11.02d.1,11.02d.2,11.02d.3,11.02d.4,11.03a.1,11.03a.2,11.03a.3,11.03b.1,11.03b.2,11.03b.3,11.03b.4,11.03c.1,11.03c.2,11."&amp;"03c.3,11.04a.1,11.04a.2,11.04a.3,11.04a.4,11.04b.1,11.04c.1,11.04c.2,11.04d.1,11.04d.2,11.05a.1,11.05a.2,11.05a.3,11.05b.1,11.05b.2,11.05b.3,11.05b.4,11.05b.5,11.05b.6,11.05b.7,11.06a.1,11.06a.2,11.06a.3,11.06a.4,11.06b.1,11.06b.2,11.06b.3,11.06c.1,11.06c"&amp;".2,11.06c.3,11.06c.4,11.07a.1,11.07a.2,11.07a.3,11.07a.4,11.07a.5,11.07b.1,11.07b.2,11.07c.1,11.07c.2,11.07c.3,11.07c.4,11.07c.5,11.08a.1,11.08a.2,11.08a.3,11.08a.4,11.08a.5,11.08b.1,11.08b.2,11.08b.3,11.08c.1,11.08c.2,11.08c.3,11.09a.1,11.09a.2,11.09a.3,"&amp;"11.09a.4,11.09a.5,11.09a.6,11.09a.7,11.09b.1,11.09b.2,11.09b.3,11.09c.1,11.09d.1,11.10a.1,11.10a.2,11.10a.3,11.10a.4,11.10b.1,11.10b.2,11.10c.1,11.10c.2,11.10c.3,11.11a.1,11.11a.2,11.11b.1,11.11b.2,11.11b.3,11.11c.1,11.11c.2,11.11c.3"</formula1>
    </dataValidation>
  </dataValidations>
  <hyperlinks>
    <hyperlink r:id="rId1" ref="M2"/>
    <hyperlink r:id="rId2" ref="O2"/>
    <hyperlink r:id="rId3" ref="T2"/>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219</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COUNTIF('Itemization 202501'!I:I,A5)</f>
        <v>36</v>
      </c>
      <c r="C5" s="49">
        <f>(B5/B8)</f>
        <v>0.9473684211</v>
      </c>
      <c r="D5" s="47" t="s">
        <v>83</v>
      </c>
      <c r="E5" s="48">
        <f>COUNTIF('Itemization 202501'!J:J,D5)</f>
        <v>33</v>
      </c>
      <c r="F5" s="49">
        <f>(E5/E10)</f>
        <v>0.8684210526</v>
      </c>
      <c r="G5" s="144">
        <v>11.01</v>
      </c>
      <c r="H5" s="114">
        <f>COUNTIF('Itemization 202501'!K:K,G5)</f>
        <v>2</v>
      </c>
      <c r="I5" s="145">
        <f>(H5/H16)</f>
        <v>0.05263157895</v>
      </c>
      <c r="J5" s="121" t="s">
        <v>84</v>
      </c>
      <c r="K5" s="54">
        <f>COUNTIF('Itemization 202501'!L:L,J5)</f>
        <v>0</v>
      </c>
      <c r="L5" s="55">
        <f>(K5/K116)</f>
        <v>0</v>
      </c>
      <c r="M5" s="56">
        <v>1.0</v>
      </c>
      <c r="N5" s="57">
        <f>countif('Itemization 202501'!$M$3:$M$41,M5)</f>
        <v>3</v>
      </c>
      <c r="O5" s="58">
        <f>(N5/N23)</f>
        <v>0.08823529412</v>
      </c>
      <c r="P5" s="47" t="s">
        <v>85</v>
      </c>
      <c r="Q5" s="48">
        <f>countif('Itemization 202501'!N3:N41,P5)</f>
        <v>27</v>
      </c>
      <c r="R5" s="59">
        <f>(Q5/Q7)</f>
        <v>0.7714285714</v>
      </c>
    </row>
    <row r="6" ht="15.75" customHeight="1">
      <c r="A6" s="125" t="s">
        <v>86</v>
      </c>
      <c r="B6" s="54">
        <f>COUNTIF('Itemization 202501'!I:I,A6)</f>
        <v>0</v>
      </c>
      <c r="C6" s="55">
        <f>(B6/B8)</f>
        <v>0</v>
      </c>
      <c r="D6" s="60" t="s">
        <v>87</v>
      </c>
      <c r="E6" s="61">
        <f>COUNTIF('Itemization 202501'!J:J,D6)</f>
        <v>3</v>
      </c>
      <c r="F6" s="62">
        <f>(E6/E10)</f>
        <v>0.07894736842</v>
      </c>
      <c r="G6" s="60">
        <v>11.02</v>
      </c>
      <c r="H6" s="61">
        <f>COUNTIF('Itemization 202501'!K:K,G6)</f>
        <v>6</v>
      </c>
      <c r="I6" s="62">
        <f>(H6/H16)</f>
        <v>0.1578947368</v>
      </c>
      <c r="J6" s="121" t="s">
        <v>88</v>
      </c>
      <c r="K6" s="54">
        <f>COUNTIF('Itemization 202501'!L:L,J6)</f>
        <v>0</v>
      </c>
      <c r="L6" s="55">
        <f>(K6/K116)</f>
        <v>0</v>
      </c>
      <c r="M6" s="60">
        <v>2.0</v>
      </c>
      <c r="N6" s="61">
        <f>countif('Itemization 202501'!$M$3:$M$41,M6)</f>
        <v>4</v>
      </c>
      <c r="O6" s="62">
        <f>(N6/N23)</f>
        <v>0.1176470588</v>
      </c>
      <c r="P6" s="64" t="s">
        <v>89</v>
      </c>
      <c r="Q6" s="61">
        <f>countif('Itemization 202501'!N3:N41,P6)</f>
        <v>8</v>
      </c>
      <c r="R6" s="65">
        <f>(Q6/Q7)</f>
        <v>0.2285714286</v>
      </c>
    </row>
    <row r="7" ht="15.75" customHeight="1">
      <c r="A7" s="64" t="s">
        <v>90</v>
      </c>
      <c r="B7" s="61">
        <f>COUNTIF('Itemization 202501'!I:I,A7)</f>
        <v>2</v>
      </c>
      <c r="C7" s="251">
        <f>(B7/B8)</f>
        <v>0.05263157895</v>
      </c>
      <c r="D7" s="125" t="s">
        <v>91</v>
      </c>
      <c r="E7" s="54">
        <f>COUNTIF('Itemization 202501'!J:J,D7)</f>
        <v>0</v>
      </c>
      <c r="F7" s="55">
        <f>(E7/E10)</f>
        <v>0</v>
      </c>
      <c r="G7" s="56">
        <v>11.03</v>
      </c>
      <c r="H7" s="57">
        <f>COUNTIF('Itemization 202501'!K:K,G7)</f>
        <v>4</v>
      </c>
      <c r="I7" s="58">
        <f>(H7/H16)</f>
        <v>0.1052631579</v>
      </c>
      <c r="J7" s="121" t="s">
        <v>92</v>
      </c>
      <c r="K7" s="54">
        <f>COUNTIF('Itemization 202501'!L:L,J7)</f>
        <v>0</v>
      </c>
      <c r="L7" s="55">
        <f>(K7/K116)</f>
        <v>0</v>
      </c>
      <c r="M7" s="144">
        <v>3.0</v>
      </c>
      <c r="N7" s="114">
        <f>countif('Itemization 202501'!$M$3:$M$41,M7)</f>
        <v>1</v>
      </c>
      <c r="O7" s="145">
        <f>(N7/N23)</f>
        <v>0.02941176471</v>
      </c>
      <c r="P7" s="68" t="s">
        <v>93</v>
      </c>
      <c r="Q7" s="69">
        <f t="shared" ref="Q7:R7" si="1">SUM(Q5:Q6)</f>
        <v>35</v>
      </c>
      <c r="R7" s="70">
        <f t="shared" si="1"/>
        <v>1</v>
      </c>
    </row>
    <row r="8" ht="15.75" customHeight="1">
      <c r="A8" s="68" t="s">
        <v>93</v>
      </c>
      <c r="B8" s="69">
        <f t="shared" ref="B8:C8" si="2">SUM(B5:B7)</f>
        <v>38</v>
      </c>
      <c r="C8" s="71">
        <f t="shared" si="2"/>
        <v>1</v>
      </c>
      <c r="D8" s="125" t="s">
        <v>94</v>
      </c>
      <c r="E8" s="54">
        <f>COUNTIF('Itemization 202501'!J:J,D8)</f>
        <v>0</v>
      </c>
      <c r="F8" s="55">
        <f>(E8/E10)</f>
        <v>0</v>
      </c>
      <c r="G8" s="144">
        <v>11.04</v>
      </c>
      <c r="H8" s="114">
        <f>COUNTIF('Itemization 202501'!K:K,G8)</f>
        <v>2</v>
      </c>
      <c r="I8" s="145">
        <f>(H8/H16)</f>
        <v>0.05263157895</v>
      </c>
      <c r="J8" s="121" t="s">
        <v>95</v>
      </c>
      <c r="K8" s="54">
        <f>COUNTIF('Itemization 202501'!L:L,J8)</f>
        <v>0</v>
      </c>
      <c r="L8" s="55">
        <f>(K8/K116)</f>
        <v>0</v>
      </c>
      <c r="M8" s="144">
        <v>4.0</v>
      </c>
      <c r="N8" s="114">
        <f>countif('Itemization 202501'!$M$3:$M$41,M8)</f>
        <v>1</v>
      </c>
      <c r="O8" s="145">
        <f>(N8/N23)</f>
        <v>0.02941176471</v>
      </c>
      <c r="P8" s="51"/>
      <c r="Q8" s="51"/>
      <c r="R8" s="72"/>
    </row>
    <row r="9" ht="15.75" customHeight="1">
      <c r="A9" s="73"/>
      <c r="B9" s="73"/>
      <c r="C9" s="74"/>
      <c r="D9" s="207" t="s">
        <v>96</v>
      </c>
      <c r="E9" s="114">
        <f>COUNTIF('Itemization 202501'!J:J,D9)</f>
        <v>2</v>
      </c>
      <c r="F9" s="208">
        <f>(E9/E10)</f>
        <v>0.05263157895</v>
      </c>
      <c r="G9" s="56">
        <v>11.05</v>
      </c>
      <c r="H9" s="57">
        <f>COUNTIF('Itemization 202501'!K:K,G9)</f>
        <v>4</v>
      </c>
      <c r="I9" s="58">
        <f>(H9/H16)</f>
        <v>0.1052631579</v>
      </c>
      <c r="J9" s="121" t="s">
        <v>97</v>
      </c>
      <c r="K9" s="54">
        <f>COUNTIF('Itemization 202501'!L:L,J9)</f>
        <v>0</v>
      </c>
      <c r="L9" s="55">
        <f>(K9/K116)</f>
        <v>0</v>
      </c>
      <c r="M9" s="125">
        <v>5.0</v>
      </c>
      <c r="N9" s="54">
        <f>countif('Itemization 202501'!$M$3:$M$41,M9)</f>
        <v>0</v>
      </c>
      <c r="O9" s="55">
        <f>(N9/N23)</f>
        <v>0</v>
      </c>
      <c r="P9" s="51"/>
      <c r="Q9" s="51"/>
      <c r="R9" s="72"/>
    </row>
    <row r="10" ht="15.75" customHeight="1">
      <c r="A10" s="77"/>
      <c r="B10" s="51"/>
      <c r="C10" s="78"/>
      <c r="D10" s="68" t="s">
        <v>93</v>
      </c>
      <c r="E10" s="69">
        <f t="shared" ref="E10:F10" si="3">SUM(E5:E9)</f>
        <v>38</v>
      </c>
      <c r="F10" s="71">
        <f t="shared" si="3"/>
        <v>1</v>
      </c>
      <c r="G10" s="47">
        <v>11.06</v>
      </c>
      <c r="H10" s="48">
        <f>COUNTIF('Itemization 202501'!K:K,G10)</f>
        <v>8</v>
      </c>
      <c r="I10" s="49">
        <f>(H10/H16)</f>
        <v>0.2105263158</v>
      </c>
      <c r="J10" s="121" t="s">
        <v>98</v>
      </c>
      <c r="K10" s="54">
        <f>COUNTIF('Itemization 202501'!L:L,J10)</f>
        <v>0</v>
      </c>
      <c r="L10" s="55">
        <f>(K10/K116)</f>
        <v>0</v>
      </c>
      <c r="M10" s="144">
        <v>6.0</v>
      </c>
      <c r="N10" s="114">
        <f>countif('Itemization 202501'!$M$3:$M$41,M10)</f>
        <v>1</v>
      </c>
      <c r="O10" s="145">
        <f>(N10/N23)</f>
        <v>0.02941176471</v>
      </c>
      <c r="P10" s="51"/>
      <c r="Q10" s="51"/>
      <c r="R10" s="72"/>
    </row>
    <row r="11" ht="15.75" customHeight="1">
      <c r="A11" s="77"/>
      <c r="B11" s="51"/>
      <c r="C11" s="78"/>
      <c r="D11" s="51"/>
      <c r="E11" s="51"/>
      <c r="F11" s="78"/>
      <c r="G11" s="144">
        <v>11.07</v>
      </c>
      <c r="H11" s="114">
        <f>COUNTIF('Itemization 202501'!K:K,G11)</f>
        <v>2</v>
      </c>
      <c r="I11" s="145">
        <f>(H11/H16)</f>
        <v>0.05263157895</v>
      </c>
      <c r="J11" s="122" t="s">
        <v>99</v>
      </c>
      <c r="K11" s="57">
        <f>COUNTIF('Itemization 202501'!L:L,J11)</f>
        <v>2</v>
      </c>
      <c r="L11" s="58">
        <f>(K11/K116)</f>
        <v>0.05263157895</v>
      </c>
      <c r="M11" s="144">
        <v>7.0</v>
      </c>
      <c r="N11" s="114">
        <f>countif('Itemization 202501'!$M$3:$M$41,M11)</f>
        <v>1</v>
      </c>
      <c r="O11" s="145">
        <f>(N11/N23)</f>
        <v>0.02941176471</v>
      </c>
      <c r="P11" s="51"/>
      <c r="Q11" s="51"/>
      <c r="R11" s="72"/>
    </row>
    <row r="12" ht="15.75" customHeight="1">
      <c r="A12" s="77"/>
      <c r="B12" s="51"/>
      <c r="C12" s="78"/>
      <c r="D12" s="51"/>
      <c r="E12" s="51"/>
      <c r="F12" s="78"/>
      <c r="G12" s="144">
        <v>11.08</v>
      </c>
      <c r="H12" s="114">
        <f>COUNTIF('Itemization 202501'!K:K,G12)</f>
        <v>2</v>
      </c>
      <c r="I12" s="145">
        <f>(H12/H16)</f>
        <v>0.05263157895</v>
      </c>
      <c r="J12" s="122" t="s">
        <v>100</v>
      </c>
      <c r="K12" s="57">
        <f>COUNTIF('Itemization 202501'!L:L,J12)</f>
        <v>2</v>
      </c>
      <c r="L12" s="58">
        <f>(K12/K116)</f>
        <v>0.05263157895</v>
      </c>
      <c r="M12" s="60">
        <v>8.0</v>
      </c>
      <c r="N12" s="61">
        <f>countif('Itemization 202501'!$M$3:$M$41,M12)</f>
        <v>4</v>
      </c>
      <c r="O12" s="62">
        <f>(N12/N23)</f>
        <v>0.1176470588</v>
      </c>
      <c r="P12" s="51"/>
      <c r="Q12" s="51"/>
      <c r="R12" s="72"/>
    </row>
    <row r="13" ht="15.75" customHeight="1">
      <c r="A13" s="77"/>
      <c r="B13" s="51"/>
      <c r="C13" s="78"/>
      <c r="D13" s="51"/>
      <c r="E13" s="51"/>
      <c r="F13" s="78"/>
      <c r="G13" s="56">
        <v>11.09</v>
      </c>
      <c r="H13" s="57">
        <f>COUNTIF('Itemization 202501'!K:K,G13)</f>
        <v>4</v>
      </c>
      <c r="I13" s="58">
        <f>(H13/H16)</f>
        <v>0.1052631579</v>
      </c>
      <c r="J13" s="121" t="s">
        <v>101</v>
      </c>
      <c r="K13" s="54">
        <f>COUNTIF('Itemization 202501'!L:L,J13)</f>
        <v>0</v>
      </c>
      <c r="L13" s="55">
        <f>(K13/K116)</f>
        <v>0</v>
      </c>
      <c r="M13" s="144">
        <v>9.0</v>
      </c>
      <c r="N13" s="114">
        <f>countif('Itemization 202501'!$M$3:$M$41,M13)</f>
        <v>2</v>
      </c>
      <c r="O13" s="145">
        <f>(N13/N23)</f>
        <v>0.05882352941</v>
      </c>
      <c r="P13" s="51"/>
      <c r="Q13" s="51"/>
      <c r="R13" s="72"/>
    </row>
    <row r="14" ht="15.75" customHeight="1">
      <c r="A14" s="51"/>
      <c r="B14" s="51"/>
      <c r="C14" s="78"/>
      <c r="D14" s="51"/>
      <c r="E14" s="51"/>
      <c r="F14" s="78"/>
      <c r="G14" s="146" t="s">
        <v>102</v>
      </c>
      <c r="H14" s="114">
        <f>COUNTIF('Itemization 202501'!K:K,G14)</f>
        <v>2</v>
      </c>
      <c r="I14" s="145">
        <f>(H14/H16)</f>
        <v>0.05263157895</v>
      </c>
      <c r="J14" s="121" t="s">
        <v>103</v>
      </c>
      <c r="K14" s="54">
        <f>COUNTIF('Itemization 202501'!L:L,J14)</f>
        <v>0</v>
      </c>
      <c r="L14" s="55">
        <f>(K14/K116)</f>
        <v>0</v>
      </c>
      <c r="M14" s="60">
        <v>10.0</v>
      </c>
      <c r="N14" s="61">
        <f>countif('Itemization 202501'!$M$3:$M$41,M14)</f>
        <v>4</v>
      </c>
      <c r="O14" s="62">
        <f>(N14/N23)</f>
        <v>0.1176470588</v>
      </c>
      <c r="P14" s="51"/>
      <c r="Q14" s="51"/>
      <c r="R14" s="72"/>
    </row>
    <row r="15" ht="15.75" customHeight="1">
      <c r="A15" s="73"/>
      <c r="B15" s="73"/>
      <c r="C15" s="74"/>
      <c r="D15" s="51"/>
      <c r="E15" s="51"/>
      <c r="F15" s="78"/>
      <c r="G15" s="252" t="s">
        <v>104</v>
      </c>
      <c r="H15" s="114">
        <f>COUNTIF('Itemization 202501'!K:K,G15)</f>
        <v>2</v>
      </c>
      <c r="I15" s="208">
        <f>(H15/H16)</f>
        <v>0.05263157895</v>
      </c>
      <c r="J15" s="121" t="s">
        <v>105</v>
      </c>
      <c r="K15" s="54">
        <f>COUNTIF('Itemization 202501'!L:L,J15)</f>
        <v>0</v>
      </c>
      <c r="L15" s="55">
        <f>(K15/K116)</f>
        <v>0</v>
      </c>
      <c r="M15" s="144">
        <v>11.0</v>
      </c>
      <c r="N15" s="114">
        <f>countif('Itemization 202501'!$M$3:$M$41,M15)</f>
        <v>1</v>
      </c>
      <c r="O15" s="145">
        <f>(N15/N23)</f>
        <v>0.02941176471</v>
      </c>
      <c r="P15" s="51"/>
      <c r="Q15" s="51"/>
      <c r="R15" s="72"/>
    </row>
    <row r="16" ht="15.75" customHeight="1">
      <c r="A16" s="51"/>
      <c r="B16" s="51"/>
      <c r="C16" s="78"/>
      <c r="D16" s="51"/>
      <c r="E16" s="51"/>
      <c r="F16" s="78"/>
      <c r="G16" s="68" t="s">
        <v>93</v>
      </c>
      <c r="H16" s="69">
        <f>SUM(H5:H15)</f>
        <v>38</v>
      </c>
      <c r="I16" s="71">
        <f>sum(I5:I15)</f>
        <v>1</v>
      </c>
      <c r="J16" s="121" t="s">
        <v>106</v>
      </c>
      <c r="K16" s="54">
        <f>COUNTIF('Itemization 202501'!L:L,J16)</f>
        <v>0</v>
      </c>
      <c r="L16" s="55">
        <f>(K16/K116)</f>
        <v>0</v>
      </c>
      <c r="M16" s="125">
        <v>12.0</v>
      </c>
      <c r="N16" s="54">
        <f>countif('Itemization 202501'!$M$3:$M$41,M16)</f>
        <v>0</v>
      </c>
      <c r="O16" s="55">
        <f>(N16/N23)</f>
        <v>0</v>
      </c>
      <c r="P16" s="51"/>
      <c r="Q16" s="51"/>
      <c r="R16" s="72"/>
    </row>
    <row r="17" ht="15.75" customHeight="1">
      <c r="A17" s="73"/>
      <c r="B17" s="73"/>
      <c r="C17" s="74"/>
      <c r="D17" s="51"/>
      <c r="E17" s="51"/>
      <c r="F17" s="78"/>
      <c r="G17" s="51"/>
      <c r="H17" s="51"/>
      <c r="I17" s="78"/>
      <c r="J17" s="210" t="s">
        <v>107</v>
      </c>
      <c r="K17" s="114">
        <f>COUNTIF('Itemization 202501'!L:L,J17)</f>
        <v>1</v>
      </c>
      <c r="L17" s="145">
        <f>(K17/K116)</f>
        <v>0.02631578947</v>
      </c>
      <c r="M17" s="125">
        <v>13.0</v>
      </c>
      <c r="N17" s="54">
        <f>countif('Itemization 202501'!$M$3:$M$41,M17)</f>
        <v>0</v>
      </c>
      <c r="O17" s="55">
        <f>(N17/N23)</f>
        <v>0</v>
      </c>
      <c r="P17" s="51"/>
      <c r="Q17" s="51"/>
      <c r="R17" s="72"/>
    </row>
    <row r="18" ht="15.75" customHeight="1">
      <c r="A18" s="73"/>
      <c r="B18" s="73"/>
      <c r="C18" s="74"/>
      <c r="D18" s="51"/>
      <c r="E18" s="51"/>
      <c r="F18" s="78"/>
      <c r="G18" s="51"/>
      <c r="H18" s="51"/>
      <c r="I18" s="78"/>
      <c r="J18" s="121" t="s">
        <v>108</v>
      </c>
      <c r="K18" s="54">
        <f>COUNTIF('Itemization 202501'!L:L,J18)</f>
        <v>0</v>
      </c>
      <c r="L18" s="55">
        <f>(K18/K116)</f>
        <v>0</v>
      </c>
      <c r="M18" s="144">
        <v>14.0</v>
      </c>
      <c r="N18" s="114">
        <f>countif('Itemization 202501'!$M$3:$M$41,M18)</f>
        <v>1</v>
      </c>
      <c r="O18" s="145">
        <f>(N18/N23)</f>
        <v>0.02941176471</v>
      </c>
      <c r="P18" s="51"/>
      <c r="Q18" s="51"/>
      <c r="R18" s="72"/>
    </row>
    <row r="19" ht="15.75" customHeight="1">
      <c r="A19" s="80" t="s">
        <v>109</v>
      </c>
      <c r="D19" s="51"/>
      <c r="E19" s="51"/>
      <c r="F19" s="78"/>
      <c r="G19" s="51"/>
      <c r="H19" s="51"/>
      <c r="I19" s="78"/>
      <c r="J19" s="121" t="s">
        <v>110</v>
      </c>
      <c r="K19" s="54">
        <f>COUNTIF('Itemization 202501'!L:L,J19)</f>
        <v>0</v>
      </c>
      <c r="L19" s="55">
        <f>(K19/K116)</f>
        <v>0</v>
      </c>
      <c r="M19" s="144">
        <v>15.0</v>
      </c>
      <c r="N19" s="114">
        <f>countif('Itemization 202501'!$M$3:$M$41,M19)</f>
        <v>2</v>
      </c>
      <c r="O19" s="145">
        <f>(N19/N23)</f>
        <v>0.05882352941</v>
      </c>
      <c r="P19" s="51"/>
      <c r="Q19" s="51"/>
      <c r="R19" s="72"/>
    </row>
    <row r="20" ht="15.75" customHeight="1">
      <c r="A20" s="81" t="s">
        <v>111</v>
      </c>
      <c r="D20" s="51"/>
      <c r="E20" s="51"/>
      <c r="F20" s="78"/>
      <c r="G20" s="51"/>
      <c r="H20" s="51"/>
      <c r="I20" s="78"/>
      <c r="J20" s="122" t="s">
        <v>112</v>
      </c>
      <c r="K20" s="57">
        <f>COUNTIF('Itemization 202501'!L:L,J20)</f>
        <v>2</v>
      </c>
      <c r="L20" s="58">
        <f>(K20/K116)</f>
        <v>0.05263157895</v>
      </c>
      <c r="M20" s="125">
        <v>16.0</v>
      </c>
      <c r="N20" s="54">
        <f>countif('Itemization 202501'!$M$3:$M$41,M20)</f>
        <v>0</v>
      </c>
      <c r="O20" s="55">
        <f>(N20/N23)</f>
        <v>0</v>
      </c>
      <c r="P20" s="51"/>
      <c r="Q20" s="51"/>
      <c r="R20" s="72"/>
    </row>
    <row r="21" ht="15.75" customHeight="1">
      <c r="A21" s="82" t="s">
        <v>113</v>
      </c>
      <c r="D21" s="51"/>
      <c r="E21" s="51"/>
      <c r="F21" s="78"/>
      <c r="G21" s="51"/>
      <c r="H21" s="51"/>
      <c r="I21" s="78"/>
      <c r="J21" s="121" t="s">
        <v>114</v>
      </c>
      <c r="K21" s="54">
        <f>COUNTIF('Itemization 202501'!L:L,J21)</f>
        <v>0</v>
      </c>
      <c r="L21" s="55">
        <f>(K21/K116)</f>
        <v>0</v>
      </c>
      <c r="M21" s="144">
        <v>17.0</v>
      </c>
      <c r="N21" s="114">
        <f>countif('Itemization 202501'!$M$3:$M$41,M21)</f>
        <v>3</v>
      </c>
      <c r="O21" s="145">
        <f>(N21/N23)</f>
        <v>0.08823529412</v>
      </c>
      <c r="P21" s="51"/>
      <c r="Q21" s="51"/>
      <c r="R21" s="72"/>
    </row>
    <row r="22" ht="15.75" customHeight="1">
      <c r="A22" s="83" t="s">
        <v>115</v>
      </c>
      <c r="D22" s="51"/>
      <c r="E22" s="51"/>
      <c r="F22" s="78"/>
      <c r="G22" s="51"/>
      <c r="H22" s="51"/>
      <c r="I22" s="78"/>
      <c r="J22" s="121" t="s">
        <v>116</v>
      </c>
      <c r="K22" s="54">
        <f>COUNTIF('Itemization 202501'!L:L,J22)</f>
        <v>0</v>
      </c>
      <c r="L22" s="55">
        <f>(K22/K116)</f>
        <v>0</v>
      </c>
      <c r="M22" s="253">
        <v>18.0</v>
      </c>
      <c r="N22" s="48">
        <f>countif('Itemization 202501'!$M$3:$M$41,M22)</f>
        <v>6</v>
      </c>
      <c r="O22" s="254">
        <f>(N22/N23)</f>
        <v>0.1764705882</v>
      </c>
      <c r="P22" s="51"/>
      <c r="Q22" s="51"/>
      <c r="R22" s="72"/>
    </row>
    <row r="23" ht="15.75" customHeight="1">
      <c r="A23" s="113" t="s">
        <v>220</v>
      </c>
      <c r="D23" s="51"/>
      <c r="E23" s="51"/>
      <c r="F23" s="78"/>
      <c r="G23" s="51"/>
      <c r="H23" s="51"/>
      <c r="I23" s="78"/>
      <c r="J23" s="122" t="s">
        <v>118</v>
      </c>
      <c r="K23" s="57">
        <f>COUNTIF('Itemization 202501'!L:L,J23)</f>
        <v>2</v>
      </c>
      <c r="L23" s="58">
        <f>(K23/K116)</f>
        <v>0.05263157895</v>
      </c>
      <c r="M23" s="68" t="s">
        <v>93</v>
      </c>
      <c r="N23" s="69">
        <f>SUM(N5:N22)</f>
        <v>34</v>
      </c>
      <c r="O23" s="71">
        <f>SUM(O4:O22)</f>
        <v>1</v>
      </c>
      <c r="P23" s="51"/>
      <c r="Q23" s="51"/>
      <c r="R23" s="72"/>
    </row>
    <row r="24" ht="15.75" customHeight="1">
      <c r="A24" s="86" t="s">
        <v>119</v>
      </c>
      <c r="D24" s="51"/>
      <c r="E24" s="51"/>
      <c r="F24" s="78"/>
      <c r="G24" s="51"/>
      <c r="H24" s="51"/>
      <c r="I24" s="78"/>
      <c r="J24" s="122" t="s">
        <v>120</v>
      </c>
      <c r="K24" s="57">
        <f>COUNTIF('Itemization 202501'!L:L,J24)</f>
        <v>2</v>
      </c>
      <c r="L24" s="58">
        <f>(K24/K116)</f>
        <v>0.05263157895</v>
      </c>
      <c r="M24" s="51"/>
      <c r="N24" s="51"/>
      <c r="O24" s="78"/>
      <c r="P24" s="51"/>
      <c r="Q24" s="51"/>
      <c r="R24" s="72"/>
    </row>
    <row r="25" ht="15.75" customHeight="1">
      <c r="A25" s="85"/>
      <c r="B25" s="85"/>
      <c r="C25" s="85"/>
      <c r="D25" s="51"/>
      <c r="E25" s="51"/>
      <c r="F25" s="78"/>
      <c r="G25" s="51"/>
      <c r="H25" s="51"/>
      <c r="I25" s="78"/>
      <c r="J25" s="121" t="s">
        <v>121</v>
      </c>
      <c r="K25" s="54">
        <f>COUNTIF('Itemization 202501'!L:L,J25)</f>
        <v>0</v>
      </c>
      <c r="L25" s="55">
        <f>(K25/K116)</f>
        <v>0</v>
      </c>
      <c r="M25" s="51"/>
      <c r="N25" s="51"/>
      <c r="O25" s="78"/>
      <c r="P25" s="51"/>
      <c r="Q25" s="51"/>
      <c r="R25" s="72"/>
    </row>
    <row r="26" ht="15.75" customHeight="1">
      <c r="A26" s="85"/>
      <c r="B26" s="85"/>
      <c r="C26" s="85"/>
      <c r="D26" s="51"/>
      <c r="E26" s="51"/>
      <c r="F26" s="78"/>
      <c r="G26" s="51"/>
      <c r="H26" s="51"/>
      <c r="I26" s="78"/>
      <c r="J26" s="121" t="s">
        <v>122</v>
      </c>
      <c r="K26" s="54">
        <f>COUNTIF('Itemization 202501'!L:L,J26)</f>
        <v>0</v>
      </c>
      <c r="L26" s="55">
        <f>(K26/K116)</f>
        <v>0</v>
      </c>
      <c r="M26" s="51"/>
      <c r="N26" s="51"/>
      <c r="O26" s="78"/>
      <c r="P26" s="51"/>
      <c r="Q26" s="51"/>
      <c r="R26" s="72"/>
    </row>
    <row r="27" ht="15.75" customHeight="1">
      <c r="A27" s="85"/>
      <c r="B27" s="85"/>
      <c r="C27" s="85"/>
      <c r="D27" s="51"/>
      <c r="E27" s="51"/>
      <c r="F27" s="78"/>
      <c r="G27" s="51"/>
      <c r="H27" s="51"/>
      <c r="I27" s="78"/>
      <c r="J27" s="121" t="s">
        <v>123</v>
      </c>
      <c r="K27" s="54">
        <f>COUNTIF('Itemization 202501'!L:L,J27)</f>
        <v>0</v>
      </c>
      <c r="L27" s="55">
        <f>(K27/K116)</f>
        <v>0</v>
      </c>
      <c r="M27" s="51"/>
      <c r="N27" s="51"/>
      <c r="O27" s="78"/>
      <c r="P27" s="51"/>
      <c r="Q27" s="51"/>
      <c r="R27" s="72"/>
    </row>
    <row r="28" ht="15.75" customHeight="1">
      <c r="A28" s="85"/>
      <c r="B28" s="85"/>
      <c r="C28" s="85"/>
      <c r="D28" s="51"/>
      <c r="E28" s="51"/>
      <c r="F28" s="78"/>
      <c r="G28" s="51"/>
      <c r="H28" s="51"/>
      <c r="I28" s="78"/>
      <c r="J28" s="122" t="s">
        <v>124</v>
      </c>
      <c r="K28" s="57">
        <f>COUNTIF('Itemization 202501'!L:L,J28)</f>
        <v>0</v>
      </c>
      <c r="L28" s="58">
        <f>(K28/K116)</f>
        <v>0</v>
      </c>
      <c r="M28" s="51"/>
      <c r="N28" s="51"/>
      <c r="O28" s="78"/>
      <c r="P28" s="51"/>
      <c r="Q28" s="51"/>
      <c r="R28" s="72"/>
    </row>
    <row r="29" ht="15.75" customHeight="1">
      <c r="A29" s="85"/>
      <c r="B29" s="85"/>
      <c r="C29" s="85"/>
      <c r="D29" s="51"/>
      <c r="E29" s="51"/>
      <c r="F29" s="78"/>
      <c r="G29" s="51"/>
      <c r="H29" s="51"/>
      <c r="I29" s="78"/>
      <c r="J29" s="121" t="s">
        <v>125</v>
      </c>
      <c r="K29" s="54">
        <f>COUNTIF('Itemization 202501'!L:L,J29)</f>
        <v>0</v>
      </c>
      <c r="L29" s="55">
        <f>(K29/K116)</f>
        <v>0</v>
      </c>
      <c r="M29" s="51"/>
      <c r="N29" s="51"/>
      <c r="O29" s="78"/>
      <c r="P29" s="51"/>
      <c r="Q29" s="51"/>
      <c r="R29" s="72"/>
    </row>
    <row r="30" ht="15.75" customHeight="1">
      <c r="A30" s="85"/>
      <c r="B30" s="85"/>
      <c r="C30" s="85"/>
      <c r="D30" s="51"/>
      <c r="E30" s="51"/>
      <c r="F30" s="78"/>
      <c r="G30" s="51"/>
      <c r="H30" s="51"/>
      <c r="I30" s="78"/>
      <c r="J30" s="210" t="s">
        <v>126</v>
      </c>
      <c r="K30" s="114">
        <f>COUNTIF('Itemization 202501'!L:L,J30)</f>
        <v>0</v>
      </c>
      <c r="L30" s="145">
        <f>(K30/K116)</f>
        <v>0</v>
      </c>
      <c r="M30" s="51"/>
      <c r="N30" s="51"/>
      <c r="O30" s="78"/>
      <c r="P30" s="51"/>
      <c r="Q30" s="51"/>
      <c r="R30" s="72"/>
    </row>
    <row r="31" ht="15.75" customHeight="1">
      <c r="A31" s="85"/>
      <c r="B31" s="85"/>
      <c r="C31" s="85"/>
      <c r="D31" s="51"/>
      <c r="E31" s="51"/>
      <c r="F31" s="78"/>
      <c r="G31" s="51"/>
      <c r="H31" s="51"/>
      <c r="I31" s="78"/>
      <c r="J31" s="210" t="s">
        <v>127</v>
      </c>
      <c r="K31" s="114">
        <f>COUNTIF('Itemization 202501'!L:L,J31)</f>
        <v>0</v>
      </c>
      <c r="L31" s="145">
        <f>(K31/K116)</f>
        <v>0</v>
      </c>
      <c r="M31" s="51"/>
      <c r="N31" s="51"/>
      <c r="O31" s="78"/>
      <c r="P31" s="51"/>
      <c r="Q31" s="51"/>
      <c r="R31" s="72"/>
    </row>
    <row r="32" ht="15.75" customHeight="1">
      <c r="A32" s="85"/>
      <c r="B32" s="85"/>
      <c r="C32" s="85"/>
      <c r="D32" s="51"/>
      <c r="E32" s="51"/>
      <c r="F32" s="78"/>
      <c r="G32" s="51"/>
      <c r="H32" s="51"/>
      <c r="I32" s="78"/>
      <c r="J32" s="121" t="s">
        <v>128</v>
      </c>
      <c r="K32" s="54">
        <f>COUNTIF('Itemization 202501'!L:L,J32)</f>
        <v>2</v>
      </c>
      <c r="L32" s="55">
        <f>(K32/K116)</f>
        <v>0.05263157895</v>
      </c>
      <c r="M32" s="51"/>
      <c r="N32" s="51"/>
      <c r="O32" s="78"/>
      <c r="P32" s="51"/>
      <c r="Q32" s="51"/>
      <c r="R32" s="72"/>
    </row>
    <row r="33" ht="15.75" customHeight="1">
      <c r="A33" s="85"/>
      <c r="B33" s="85"/>
      <c r="C33" s="85"/>
      <c r="D33" s="51"/>
      <c r="E33" s="51"/>
      <c r="F33" s="78"/>
      <c r="G33" s="51"/>
      <c r="H33" s="51"/>
      <c r="I33" s="78"/>
      <c r="J33" s="121" t="s">
        <v>129</v>
      </c>
      <c r="K33" s="54">
        <f>COUNTIF('Itemization 202501'!L:L,J33)</f>
        <v>0</v>
      </c>
      <c r="L33" s="55">
        <f>(K33/K116)</f>
        <v>0</v>
      </c>
      <c r="M33" s="51"/>
      <c r="N33" s="51"/>
      <c r="O33" s="78"/>
      <c r="P33" s="51"/>
      <c r="Q33" s="51"/>
      <c r="R33" s="72"/>
    </row>
    <row r="34" ht="15.75" customHeight="1">
      <c r="A34" s="85"/>
      <c r="B34" s="85"/>
      <c r="C34" s="85"/>
      <c r="D34" s="51"/>
      <c r="E34" s="51"/>
      <c r="F34" s="78"/>
      <c r="G34" s="51"/>
      <c r="H34" s="51"/>
      <c r="I34" s="78"/>
      <c r="J34" s="122" t="s">
        <v>130</v>
      </c>
      <c r="K34" s="57">
        <f>COUNTIF('Itemization 202501'!L:L,J34)</f>
        <v>2</v>
      </c>
      <c r="L34" s="58">
        <f>(K34/K116)</f>
        <v>0.05263157895</v>
      </c>
      <c r="M34" s="51"/>
      <c r="N34" s="51"/>
      <c r="O34" s="78"/>
      <c r="P34" s="51"/>
      <c r="Q34" s="51"/>
      <c r="R34" s="72"/>
    </row>
    <row r="35" ht="15.75" customHeight="1">
      <c r="A35" s="85"/>
      <c r="B35" s="85"/>
      <c r="C35" s="85"/>
      <c r="D35" s="51"/>
      <c r="E35" s="51"/>
      <c r="F35" s="78"/>
      <c r="G35" s="51"/>
      <c r="H35" s="51"/>
      <c r="I35" s="78"/>
      <c r="J35" s="121" t="s">
        <v>131</v>
      </c>
      <c r="K35" s="54">
        <f>COUNTIF('Itemization 202501'!L:L,J35)</f>
        <v>0</v>
      </c>
      <c r="L35" s="55">
        <f>(K35/K116)</f>
        <v>0</v>
      </c>
      <c r="M35" s="51"/>
      <c r="N35" s="51"/>
      <c r="O35" s="78"/>
      <c r="P35" s="51"/>
      <c r="Q35" s="51"/>
      <c r="R35" s="72"/>
    </row>
    <row r="36" ht="15.75" customHeight="1">
      <c r="A36" s="85"/>
      <c r="B36" s="85"/>
      <c r="C36" s="85"/>
      <c r="D36" s="51"/>
      <c r="E36" s="51"/>
      <c r="F36" s="78"/>
      <c r="G36" s="51"/>
      <c r="H36" s="51"/>
      <c r="I36" s="78"/>
      <c r="J36" s="121" t="s">
        <v>132</v>
      </c>
      <c r="K36" s="54">
        <f>COUNTIF('Itemization 202501'!L:L,J36)</f>
        <v>0</v>
      </c>
      <c r="L36" s="55">
        <f>(K36/K116)</f>
        <v>0</v>
      </c>
      <c r="M36" s="51"/>
      <c r="N36" s="51"/>
      <c r="O36" s="78"/>
      <c r="P36" s="51"/>
      <c r="Q36" s="51"/>
      <c r="R36" s="72"/>
    </row>
    <row r="37" ht="15.75" customHeight="1">
      <c r="A37" s="85"/>
      <c r="B37" s="85"/>
      <c r="C37" s="85"/>
      <c r="D37" s="51"/>
      <c r="E37" s="51"/>
      <c r="F37" s="78"/>
      <c r="G37" s="51"/>
      <c r="H37" s="51"/>
      <c r="I37" s="78"/>
      <c r="J37" s="121" t="s">
        <v>133</v>
      </c>
      <c r="K37" s="54">
        <f>COUNTIF('Itemization 202501'!L:L,J37)</f>
        <v>0</v>
      </c>
      <c r="L37" s="55">
        <f>(K37/K116)</f>
        <v>0</v>
      </c>
      <c r="M37" s="51"/>
      <c r="N37" s="51"/>
      <c r="O37" s="78"/>
      <c r="P37" s="51"/>
      <c r="Q37" s="51"/>
      <c r="R37" s="72"/>
    </row>
    <row r="38" ht="15.75" customHeight="1">
      <c r="A38" s="85"/>
      <c r="B38" s="85"/>
      <c r="C38" s="85"/>
      <c r="D38" s="51"/>
      <c r="E38" s="51"/>
      <c r="F38" s="78"/>
      <c r="G38" s="51"/>
      <c r="H38" s="51"/>
      <c r="I38" s="78"/>
      <c r="J38" s="210" t="s">
        <v>134</v>
      </c>
      <c r="K38" s="114">
        <f>COUNTIF('Itemization 202501'!L:L,J38)</f>
        <v>1</v>
      </c>
      <c r="L38" s="145">
        <f>(K38/K116)</f>
        <v>0.02631578947</v>
      </c>
      <c r="M38" s="51"/>
      <c r="N38" s="51"/>
      <c r="O38" s="78"/>
      <c r="P38" s="51"/>
      <c r="Q38" s="51"/>
      <c r="R38" s="72"/>
    </row>
    <row r="39" ht="15.75" customHeight="1">
      <c r="A39" s="85"/>
      <c r="B39" s="85"/>
      <c r="C39" s="85"/>
      <c r="D39" s="51"/>
      <c r="E39" s="51"/>
      <c r="F39" s="78"/>
      <c r="G39" s="51"/>
      <c r="H39" s="51"/>
      <c r="I39" s="78"/>
      <c r="J39" s="121" t="s">
        <v>135</v>
      </c>
      <c r="K39" s="54">
        <f>COUNTIF('Itemization 202501'!L:L,J39)</f>
        <v>0</v>
      </c>
      <c r="L39" s="55">
        <f>(K39/K116)</f>
        <v>0</v>
      </c>
      <c r="M39" s="51"/>
      <c r="N39" s="51"/>
      <c r="O39" s="78"/>
      <c r="P39" s="51"/>
      <c r="Q39" s="51"/>
      <c r="R39" s="72"/>
    </row>
    <row r="40" ht="15.75" customHeight="1">
      <c r="A40" s="85"/>
      <c r="B40" s="85"/>
      <c r="C40" s="85"/>
      <c r="D40" s="51"/>
      <c r="E40" s="51"/>
      <c r="F40" s="78"/>
      <c r="G40" s="51"/>
      <c r="H40" s="51"/>
      <c r="I40" s="78"/>
      <c r="J40" s="121" t="s">
        <v>136</v>
      </c>
      <c r="K40" s="54">
        <f>COUNTIF('Itemization 202501'!L:L,J40)</f>
        <v>0</v>
      </c>
      <c r="L40" s="55">
        <f>(K40/K116)</f>
        <v>0</v>
      </c>
      <c r="M40" s="51"/>
      <c r="N40" s="51"/>
      <c r="O40" s="78"/>
      <c r="P40" s="51"/>
      <c r="Q40" s="51"/>
      <c r="R40" s="72"/>
    </row>
    <row r="41" ht="15.75" customHeight="1">
      <c r="A41" s="85"/>
      <c r="B41" s="85"/>
      <c r="C41" s="85"/>
      <c r="D41" s="51"/>
      <c r="E41" s="51"/>
      <c r="F41" s="78"/>
      <c r="G41" s="51"/>
      <c r="H41" s="51"/>
      <c r="I41" s="78"/>
      <c r="J41" s="121" t="s">
        <v>137</v>
      </c>
      <c r="K41" s="54">
        <f>COUNTIF('Itemization 202501'!L:L,J41)</f>
        <v>0</v>
      </c>
      <c r="L41" s="55">
        <f>(K41/K116)</f>
        <v>0</v>
      </c>
      <c r="M41" s="51"/>
      <c r="N41" s="51"/>
      <c r="O41" s="78"/>
      <c r="P41" s="51"/>
      <c r="Q41" s="51"/>
      <c r="R41" s="72"/>
    </row>
    <row r="42" ht="15.75" customHeight="1">
      <c r="A42" s="85"/>
      <c r="B42" s="85"/>
      <c r="C42" s="85"/>
      <c r="D42" s="51"/>
      <c r="E42" s="51"/>
      <c r="F42" s="78"/>
      <c r="G42" s="51"/>
      <c r="H42" s="51"/>
      <c r="I42" s="78"/>
      <c r="J42" s="121" t="s">
        <v>138</v>
      </c>
      <c r="K42" s="54">
        <f>COUNTIF('Itemization 202501'!L:L,J42)</f>
        <v>0</v>
      </c>
      <c r="L42" s="55">
        <f>(K42/K116)</f>
        <v>0</v>
      </c>
      <c r="M42" s="51"/>
      <c r="N42" s="51"/>
      <c r="O42" s="78"/>
      <c r="P42" s="51"/>
      <c r="Q42" s="51"/>
      <c r="R42" s="72"/>
    </row>
    <row r="43" ht="15.75" customHeight="1">
      <c r="A43" s="85"/>
      <c r="B43" s="85"/>
      <c r="C43" s="85"/>
      <c r="D43" s="51"/>
      <c r="E43" s="51"/>
      <c r="F43" s="78"/>
      <c r="G43" s="51"/>
      <c r="H43" s="51"/>
      <c r="I43" s="78"/>
      <c r="J43" s="121" t="s">
        <v>139</v>
      </c>
      <c r="K43" s="54">
        <f>COUNTIF('Itemization 202501'!L:L,J43)</f>
        <v>0</v>
      </c>
      <c r="L43" s="55">
        <f>(K43/K116)</f>
        <v>0</v>
      </c>
      <c r="M43" s="51"/>
      <c r="N43" s="51"/>
      <c r="O43" s="78"/>
      <c r="P43" s="51"/>
      <c r="Q43" s="51"/>
      <c r="R43" s="72"/>
    </row>
    <row r="44" ht="15.75" customHeight="1">
      <c r="A44" s="85"/>
      <c r="B44" s="85"/>
      <c r="C44" s="85"/>
      <c r="D44" s="51"/>
      <c r="E44" s="51"/>
      <c r="F44" s="78"/>
      <c r="G44" s="51"/>
      <c r="H44" s="51"/>
      <c r="I44" s="78"/>
      <c r="J44" s="121" t="s">
        <v>140</v>
      </c>
      <c r="K44" s="54">
        <f>COUNTIF('Itemization 202501'!L:L,J44)</f>
        <v>0</v>
      </c>
      <c r="L44" s="55">
        <f>(K44/K116)</f>
        <v>0</v>
      </c>
      <c r="M44" s="51"/>
      <c r="N44" s="51"/>
      <c r="O44" s="78"/>
      <c r="P44" s="51"/>
      <c r="Q44" s="51"/>
      <c r="R44" s="72"/>
    </row>
    <row r="45" ht="15.75" customHeight="1">
      <c r="A45" s="85"/>
      <c r="B45" s="85"/>
      <c r="C45" s="85"/>
      <c r="D45" s="51"/>
      <c r="E45" s="51"/>
      <c r="F45" s="78"/>
      <c r="G45" s="51"/>
      <c r="H45" s="51"/>
      <c r="I45" s="78"/>
      <c r="J45" s="122" t="s">
        <v>141</v>
      </c>
      <c r="K45" s="57">
        <f>COUNTIF('Itemization 202501'!L:L,J45)</f>
        <v>2</v>
      </c>
      <c r="L45" s="58">
        <f>(K45/K116)</f>
        <v>0.05263157895</v>
      </c>
      <c r="M45" s="51"/>
      <c r="N45" s="51"/>
      <c r="O45" s="78"/>
      <c r="P45" s="51"/>
      <c r="Q45" s="51"/>
      <c r="R45" s="72"/>
    </row>
    <row r="46" ht="15.75" customHeight="1">
      <c r="A46" s="85"/>
      <c r="B46" s="85"/>
      <c r="C46" s="85"/>
      <c r="D46" s="51"/>
      <c r="E46" s="51"/>
      <c r="F46" s="78"/>
      <c r="G46" s="51"/>
      <c r="H46" s="51"/>
      <c r="I46" s="78"/>
      <c r="J46" s="122" t="s">
        <v>142</v>
      </c>
      <c r="K46" s="57">
        <f>COUNTIF('Itemization 202501'!L:L,J46)</f>
        <v>2</v>
      </c>
      <c r="L46" s="58">
        <f>(K46/K116)</f>
        <v>0.05263157895</v>
      </c>
      <c r="M46" s="51"/>
      <c r="N46" s="51"/>
      <c r="O46" s="78"/>
      <c r="P46" s="51"/>
      <c r="Q46" s="51"/>
      <c r="R46" s="72"/>
    </row>
    <row r="47" ht="15.75" customHeight="1">
      <c r="A47" s="85"/>
      <c r="B47" s="85"/>
      <c r="C47" s="85"/>
      <c r="D47" s="51"/>
      <c r="E47" s="51"/>
      <c r="F47" s="78"/>
      <c r="G47" s="51"/>
      <c r="H47" s="51"/>
      <c r="I47" s="78"/>
      <c r="J47" s="121" t="s">
        <v>143</v>
      </c>
      <c r="K47" s="54">
        <f>COUNTIF('Itemization 202501'!L:L,J47)</f>
        <v>0</v>
      </c>
      <c r="L47" s="55">
        <f>(K47/K116)</f>
        <v>0</v>
      </c>
      <c r="M47" s="51"/>
      <c r="N47" s="51"/>
      <c r="O47" s="78"/>
      <c r="P47" s="51"/>
      <c r="Q47" s="51"/>
      <c r="R47" s="72"/>
    </row>
    <row r="48" ht="15.75" customHeight="1">
      <c r="A48" s="85"/>
      <c r="B48" s="85"/>
      <c r="C48" s="85"/>
      <c r="D48" s="51"/>
      <c r="E48" s="51"/>
      <c r="F48" s="78"/>
      <c r="G48" s="51"/>
      <c r="H48" s="51"/>
      <c r="I48" s="78"/>
      <c r="J48" s="121" t="s">
        <v>144</v>
      </c>
      <c r="K48" s="54">
        <f>COUNTIF('Itemization 202501'!L:L,J48)</f>
        <v>0</v>
      </c>
      <c r="L48" s="55">
        <f>(K48/K116)</f>
        <v>0</v>
      </c>
      <c r="M48" s="51"/>
      <c r="N48" s="51"/>
      <c r="O48" s="78"/>
      <c r="P48" s="51"/>
      <c r="Q48" s="51"/>
      <c r="R48" s="72"/>
    </row>
    <row r="49" ht="15.75" customHeight="1">
      <c r="A49" s="85"/>
      <c r="B49" s="85"/>
      <c r="C49" s="85"/>
      <c r="D49" s="51"/>
      <c r="E49" s="51"/>
      <c r="F49" s="78"/>
      <c r="G49" s="51"/>
      <c r="H49" s="51"/>
      <c r="I49" s="78"/>
      <c r="J49" s="121" t="s">
        <v>145</v>
      </c>
      <c r="K49" s="54">
        <f>COUNTIF('Itemization 202501'!L:L,J49)</f>
        <v>0</v>
      </c>
      <c r="L49" s="55">
        <f>(K49/K116)</f>
        <v>0</v>
      </c>
      <c r="M49" s="51"/>
      <c r="N49" s="51"/>
      <c r="O49" s="78"/>
      <c r="P49" s="51"/>
      <c r="Q49" s="51"/>
      <c r="R49" s="72"/>
    </row>
    <row r="50" ht="15.75" customHeight="1">
      <c r="A50" s="85"/>
      <c r="B50" s="85"/>
      <c r="C50" s="85"/>
      <c r="D50" s="51"/>
      <c r="E50" s="51"/>
      <c r="F50" s="78"/>
      <c r="G50" s="51"/>
      <c r="H50" s="51"/>
      <c r="I50" s="78"/>
      <c r="J50" s="121" t="s">
        <v>146</v>
      </c>
      <c r="K50" s="54">
        <f>COUNTIF('Itemization 202501'!L:L,J50)</f>
        <v>0</v>
      </c>
      <c r="L50" s="55">
        <f>(K50/K116)</f>
        <v>0</v>
      </c>
      <c r="M50" s="51"/>
      <c r="N50" s="51"/>
      <c r="O50" s="78"/>
      <c r="P50" s="51"/>
      <c r="Q50" s="51"/>
      <c r="R50" s="72"/>
    </row>
    <row r="51" ht="15.75" customHeight="1">
      <c r="A51" s="85"/>
      <c r="B51" s="85"/>
      <c r="C51" s="85"/>
      <c r="D51" s="51"/>
      <c r="E51" s="51"/>
      <c r="F51" s="78"/>
      <c r="G51" s="51"/>
      <c r="H51" s="51"/>
      <c r="I51" s="78"/>
      <c r="J51" s="121" t="s">
        <v>147</v>
      </c>
      <c r="K51" s="54">
        <f>COUNTIF('Itemization 202501'!L:L,J51)</f>
        <v>0</v>
      </c>
      <c r="L51" s="55">
        <f>(K51/K116)</f>
        <v>0</v>
      </c>
      <c r="M51" s="51"/>
      <c r="N51" s="51"/>
      <c r="O51" s="78"/>
      <c r="P51" s="51"/>
      <c r="Q51" s="51"/>
      <c r="R51" s="72"/>
    </row>
    <row r="52" ht="15.75" customHeight="1">
      <c r="A52" s="85"/>
      <c r="B52" s="85"/>
      <c r="C52" s="85"/>
      <c r="D52" s="51"/>
      <c r="E52" s="51"/>
      <c r="F52" s="78"/>
      <c r="G52" s="51"/>
      <c r="H52" s="51"/>
      <c r="I52" s="78"/>
      <c r="J52" s="121" t="s">
        <v>148</v>
      </c>
      <c r="K52" s="54">
        <f>COUNTIF('Itemization 202501'!L:L,J52)</f>
        <v>0</v>
      </c>
      <c r="L52" s="55">
        <f>(K52/K116)</f>
        <v>0</v>
      </c>
      <c r="M52" s="51"/>
      <c r="N52" s="51"/>
      <c r="O52" s="78"/>
      <c r="P52" s="51"/>
      <c r="Q52" s="51"/>
      <c r="R52" s="72"/>
    </row>
    <row r="53" ht="15.75" customHeight="1">
      <c r="A53" s="85"/>
      <c r="B53" s="85"/>
      <c r="C53" s="85"/>
      <c r="D53" s="51"/>
      <c r="E53" s="51"/>
      <c r="F53" s="78"/>
      <c r="G53" s="51"/>
      <c r="H53" s="51"/>
      <c r="I53" s="78"/>
      <c r="J53" s="121" t="s">
        <v>149</v>
      </c>
      <c r="K53" s="54">
        <f>COUNTIF('Itemization 202501'!L:L,J53)</f>
        <v>0</v>
      </c>
      <c r="L53" s="55">
        <f>(K53/K116)</f>
        <v>0</v>
      </c>
      <c r="M53" s="51"/>
      <c r="N53" s="51"/>
      <c r="O53" s="78"/>
      <c r="P53" s="51"/>
      <c r="Q53" s="51"/>
      <c r="R53" s="72"/>
    </row>
    <row r="54" ht="15.75" customHeight="1">
      <c r="A54" s="85"/>
      <c r="B54" s="85"/>
      <c r="C54" s="85"/>
      <c r="D54" s="51"/>
      <c r="E54" s="51"/>
      <c r="F54" s="78"/>
      <c r="G54" s="51"/>
      <c r="H54" s="51"/>
      <c r="I54" s="78"/>
      <c r="J54" s="121" t="s">
        <v>150</v>
      </c>
      <c r="K54" s="54">
        <f>COUNTIF('Itemization 202501'!L:L,J54)</f>
        <v>0</v>
      </c>
      <c r="L54" s="55">
        <f>(K54/K116)</f>
        <v>0</v>
      </c>
      <c r="M54" s="51"/>
      <c r="N54" s="51"/>
      <c r="O54" s="78"/>
      <c r="P54" s="51"/>
      <c r="Q54" s="51"/>
      <c r="R54" s="72"/>
    </row>
    <row r="55" ht="15.75" customHeight="1">
      <c r="A55" s="85"/>
      <c r="B55" s="85"/>
      <c r="C55" s="85"/>
      <c r="D55" s="51"/>
      <c r="E55" s="51"/>
      <c r="F55" s="78"/>
      <c r="G55" s="51"/>
      <c r="H55" s="51"/>
      <c r="I55" s="78"/>
      <c r="J55" s="121" t="s">
        <v>151</v>
      </c>
      <c r="K55" s="54">
        <f>COUNTIF('Itemization 202501'!L:L,J55)</f>
        <v>0</v>
      </c>
      <c r="L55" s="55">
        <f>(K55/K116)</f>
        <v>0</v>
      </c>
      <c r="M55" s="51"/>
      <c r="N55" s="51"/>
      <c r="O55" s="78"/>
      <c r="P55" s="51"/>
      <c r="Q55" s="51"/>
      <c r="R55" s="72"/>
    </row>
    <row r="56" ht="15.75" customHeight="1">
      <c r="A56" s="85"/>
      <c r="B56" s="85"/>
      <c r="C56" s="85"/>
      <c r="D56" s="51"/>
      <c r="E56" s="51"/>
      <c r="F56" s="78"/>
      <c r="G56" s="51"/>
      <c r="H56" s="51"/>
      <c r="I56" s="78"/>
      <c r="J56" s="122" t="s">
        <v>152</v>
      </c>
      <c r="K56" s="57">
        <f>COUNTIF('Itemization 202501'!L:L,J56)</f>
        <v>2</v>
      </c>
      <c r="L56" s="58">
        <f>(K56/K116)</f>
        <v>0.05263157895</v>
      </c>
      <c r="M56" s="51"/>
      <c r="N56" s="51"/>
      <c r="O56" s="78"/>
      <c r="P56" s="51"/>
      <c r="Q56" s="51"/>
      <c r="R56" s="72"/>
    </row>
    <row r="57" ht="15.75" customHeight="1">
      <c r="A57" s="85"/>
      <c r="B57" s="85"/>
      <c r="C57" s="85"/>
      <c r="D57" s="51"/>
      <c r="E57" s="51"/>
      <c r="F57" s="78"/>
      <c r="G57" s="51"/>
      <c r="H57" s="51"/>
      <c r="I57" s="78"/>
      <c r="J57" s="121" t="s">
        <v>153</v>
      </c>
      <c r="K57" s="54">
        <f>COUNTIF('Itemization 202501'!L:L,J57)</f>
        <v>0</v>
      </c>
      <c r="L57" s="55">
        <f>(K57/K116)</f>
        <v>0</v>
      </c>
      <c r="M57" s="51"/>
      <c r="N57" s="51"/>
      <c r="O57" s="78"/>
      <c r="P57" s="51"/>
      <c r="Q57" s="51"/>
      <c r="R57" s="72"/>
    </row>
    <row r="58" ht="15.75" customHeight="1">
      <c r="A58" s="85"/>
      <c r="B58" s="85"/>
      <c r="C58" s="85"/>
      <c r="D58" s="51"/>
      <c r="E58" s="51"/>
      <c r="F58" s="78"/>
      <c r="G58" s="51"/>
      <c r="H58" s="51"/>
      <c r="I58" s="78"/>
      <c r="J58" s="122" t="s">
        <v>154</v>
      </c>
      <c r="K58" s="57">
        <f>COUNTIF('Itemization 202501'!L:L,J58)</f>
        <v>2</v>
      </c>
      <c r="L58" s="58">
        <f>(K58/K116)</f>
        <v>0.05263157895</v>
      </c>
      <c r="M58" s="51"/>
      <c r="N58" s="51"/>
      <c r="O58" s="78"/>
      <c r="P58" s="51"/>
      <c r="Q58" s="51"/>
      <c r="R58" s="72"/>
    </row>
    <row r="59" ht="15.75" customHeight="1">
      <c r="A59" s="85"/>
      <c r="B59" s="85"/>
      <c r="C59" s="85"/>
      <c r="D59" s="51"/>
      <c r="E59" s="51"/>
      <c r="F59" s="78"/>
      <c r="G59" s="51"/>
      <c r="H59" s="51"/>
      <c r="I59" s="78"/>
      <c r="J59" s="126" t="s">
        <v>155</v>
      </c>
      <c r="K59" s="48">
        <f>COUNTIF('Itemization 202501'!L:L,J59)</f>
        <v>4</v>
      </c>
      <c r="L59" s="49">
        <f>(K59/K116)</f>
        <v>0.1052631579</v>
      </c>
      <c r="M59" s="51"/>
      <c r="N59" s="51"/>
      <c r="O59" s="78"/>
      <c r="P59" s="51"/>
      <c r="Q59" s="51"/>
      <c r="R59" s="72"/>
    </row>
    <row r="60" ht="15.75" customHeight="1">
      <c r="A60" s="85"/>
      <c r="B60" s="85"/>
      <c r="C60" s="85"/>
      <c r="D60" s="51"/>
      <c r="E60" s="51"/>
      <c r="F60" s="78"/>
      <c r="G60" s="51"/>
      <c r="H60" s="51"/>
      <c r="I60" s="78"/>
      <c r="J60" s="121" t="s">
        <v>156</v>
      </c>
      <c r="K60" s="54">
        <f>COUNTIF('Itemization 202501'!L:L,J60)</f>
        <v>0</v>
      </c>
      <c r="L60" s="55">
        <f>(K60/K116)</f>
        <v>0</v>
      </c>
      <c r="M60" s="51"/>
      <c r="N60" s="51"/>
      <c r="O60" s="78"/>
      <c r="P60" s="51"/>
      <c r="Q60" s="51"/>
      <c r="R60" s="72"/>
    </row>
    <row r="61" ht="15.75" customHeight="1">
      <c r="A61" s="85"/>
      <c r="B61" s="85"/>
      <c r="C61" s="85"/>
      <c r="D61" s="51"/>
      <c r="E61" s="51"/>
      <c r="F61" s="78"/>
      <c r="G61" s="51"/>
      <c r="H61" s="51"/>
      <c r="I61" s="78"/>
      <c r="J61" s="121" t="s">
        <v>157</v>
      </c>
      <c r="K61" s="54">
        <f>COUNTIF('Itemization 202501'!L:L,J61)</f>
        <v>0</v>
      </c>
      <c r="L61" s="55">
        <f>(K61/K116)</f>
        <v>0</v>
      </c>
      <c r="M61" s="51"/>
      <c r="N61" s="51"/>
      <c r="O61" s="78"/>
      <c r="P61" s="51"/>
      <c r="Q61" s="51"/>
      <c r="R61" s="72"/>
    </row>
    <row r="62" ht="15.75" customHeight="1">
      <c r="A62" s="85"/>
      <c r="B62" s="85"/>
      <c r="C62" s="85"/>
      <c r="D62" s="51"/>
      <c r="E62" s="51"/>
      <c r="F62" s="78"/>
      <c r="G62" s="51"/>
      <c r="H62" s="51"/>
      <c r="I62" s="78"/>
      <c r="J62" s="121" t="s">
        <v>158</v>
      </c>
      <c r="K62" s="54">
        <f>COUNTIF('Itemization 202501'!L:L,J62)</f>
        <v>0</v>
      </c>
      <c r="L62" s="55">
        <f>(K62/K116)</f>
        <v>0</v>
      </c>
      <c r="M62" s="51"/>
      <c r="N62" s="51"/>
      <c r="O62" s="78"/>
      <c r="P62" s="51"/>
      <c r="Q62" s="51"/>
      <c r="R62" s="72"/>
    </row>
    <row r="63" ht="15.75" customHeight="1">
      <c r="A63" s="85"/>
      <c r="B63" s="85"/>
      <c r="C63" s="85"/>
      <c r="D63" s="51"/>
      <c r="E63" s="51"/>
      <c r="F63" s="78"/>
      <c r="G63" s="51"/>
      <c r="H63" s="51"/>
      <c r="I63" s="78"/>
      <c r="J63" s="121" t="s">
        <v>159</v>
      </c>
      <c r="K63" s="54">
        <f>COUNTIF('Itemization 202501'!L:L,J63)</f>
        <v>0</v>
      </c>
      <c r="L63" s="55">
        <f>(K63/K116)</f>
        <v>0</v>
      </c>
      <c r="M63" s="51"/>
      <c r="N63" s="51"/>
      <c r="O63" s="78"/>
      <c r="P63" s="51"/>
      <c r="Q63" s="51"/>
      <c r="R63" s="72"/>
    </row>
    <row r="64" ht="15.75" customHeight="1">
      <c r="A64" s="85"/>
      <c r="B64" s="85"/>
      <c r="C64" s="85"/>
      <c r="D64" s="51"/>
      <c r="E64" s="51"/>
      <c r="F64" s="78"/>
      <c r="G64" s="51"/>
      <c r="H64" s="51"/>
      <c r="I64" s="78"/>
      <c r="J64" s="121" t="s">
        <v>160</v>
      </c>
      <c r="K64" s="54">
        <f>COUNTIF('Itemization 202501'!L:L,J64)</f>
        <v>0</v>
      </c>
      <c r="L64" s="55">
        <f>(K64/K116)</f>
        <v>0</v>
      </c>
      <c r="M64" s="51"/>
      <c r="N64" s="51"/>
      <c r="O64" s="78"/>
      <c r="P64" s="51"/>
      <c r="Q64" s="51"/>
      <c r="R64" s="72"/>
    </row>
    <row r="65" ht="15.75" customHeight="1">
      <c r="A65" s="85"/>
      <c r="B65" s="85"/>
      <c r="C65" s="85"/>
      <c r="D65" s="51"/>
      <c r="E65" s="51"/>
      <c r="F65" s="78"/>
      <c r="G65" s="51"/>
      <c r="H65" s="51"/>
      <c r="I65" s="78"/>
      <c r="J65" s="121" t="s">
        <v>161</v>
      </c>
      <c r="K65" s="54">
        <f>COUNTIF('Itemization 202501'!L:L,J65)</f>
        <v>0</v>
      </c>
      <c r="L65" s="55">
        <f>(K65/K116)</f>
        <v>0</v>
      </c>
      <c r="M65" s="51"/>
      <c r="N65" s="51"/>
      <c r="O65" s="78"/>
      <c r="P65" s="51"/>
      <c r="Q65" s="51"/>
      <c r="R65" s="72"/>
    </row>
    <row r="66" ht="15.75" customHeight="1">
      <c r="A66" s="85"/>
      <c r="B66" s="85"/>
      <c r="C66" s="85"/>
      <c r="D66" s="51"/>
      <c r="E66" s="51"/>
      <c r="F66" s="78"/>
      <c r="G66" s="51"/>
      <c r="H66" s="51"/>
      <c r="I66" s="78"/>
      <c r="J66" s="121" t="s">
        <v>162</v>
      </c>
      <c r="K66" s="54">
        <f>COUNTIF('Itemization 202501'!L:L,J66)</f>
        <v>0</v>
      </c>
      <c r="L66" s="55">
        <f>(K66/K116)</f>
        <v>0</v>
      </c>
      <c r="M66" s="51"/>
      <c r="N66" s="51"/>
      <c r="O66" s="78"/>
      <c r="P66" s="51"/>
      <c r="Q66" s="51"/>
      <c r="R66" s="72"/>
    </row>
    <row r="67" ht="15.75" customHeight="1">
      <c r="A67" s="85"/>
      <c r="B67" s="85"/>
      <c r="C67" s="85"/>
      <c r="D67" s="51"/>
      <c r="E67" s="51"/>
      <c r="F67" s="78"/>
      <c r="G67" s="51"/>
      <c r="H67" s="51"/>
      <c r="I67" s="78"/>
      <c r="J67" s="121" t="s">
        <v>163</v>
      </c>
      <c r="K67" s="54">
        <f>COUNTIF('Itemization 202501'!L:L,J67)</f>
        <v>0</v>
      </c>
      <c r="L67" s="55">
        <f>(K67/K116)</f>
        <v>0</v>
      </c>
      <c r="M67" s="51"/>
      <c r="N67" s="51"/>
      <c r="O67" s="78"/>
      <c r="P67" s="51"/>
      <c r="Q67" s="51"/>
      <c r="R67" s="72"/>
    </row>
    <row r="68" ht="15.75" customHeight="1">
      <c r="A68" s="85"/>
      <c r="B68" s="85"/>
      <c r="C68" s="85"/>
      <c r="D68" s="51"/>
      <c r="E68" s="51"/>
      <c r="F68" s="78"/>
      <c r="G68" s="51"/>
      <c r="H68" s="51"/>
      <c r="I68" s="78"/>
      <c r="J68" s="121" t="s">
        <v>164</v>
      </c>
      <c r="K68" s="54">
        <f>COUNTIF('Itemization 202501'!L:L,J68)</f>
        <v>0</v>
      </c>
      <c r="L68" s="55">
        <f>(K68/K116)</f>
        <v>0</v>
      </c>
      <c r="M68" s="51"/>
      <c r="N68" s="51"/>
      <c r="O68" s="78"/>
      <c r="P68" s="51"/>
      <c r="Q68" s="51"/>
      <c r="R68" s="72"/>
    </row>
    <row r="69" ht="15.75" customHeight="1">
      <c r="A69" s="85"/>
      <c r="B69" s="85"/>
      <c r="C69" s="85"/>
      <c r="D69" s="51"/>
      <c r="E69" s="51"/>
      <c r="F69" s="78"/>
      <c r="G69" s="51"/>
      <c r="H69" s="51"/>
      <c r="I69" s="78"/>
      <c r="J69" s="121" t="s">
        <v>165</v>
      </c>
      <c r="K69" s="54">
        <f>COUNTIF('Itemization 202501'!L:L,J69)</f>
        <v>0</v>
      </c>
      <c r="L69" s="55">
        <f>(K69/K116)</f>
        <v>0</v>
      </c>
      <c r="M69" s="51"/>
      <c r="N69" s="51"/>
      <c r="O69" s="78"/>
      <c r="P69" s="51"/>
      <c r="Q69" s="51"/>
      <c r="R69" s="72"/>
    </row>
    <row r="70" ht="15.75" customHeight="1">
      <c r="A70" s="85"/>
      <c r="B70" s="85"/>
      <c r="C70" s="85"/>
      <c r="D70" s="51"/>
      <c r="E70" s="51"/>
      <c r="F70" s="78"/>
      <c r="G70" s="51"/>
      <c r="H70" s="51"/>
      <c r="I70" s="78"/>
      <c r="J70" s="121" t="s">
        <v>166</v>
      </c>
      <c r="K70" s="54">
        <f>COUNTIF('Itemization 202501'!L:L,J70)</f>
        <v>0</v>
      </c>
      <c r="L70" s="55">
        <f>(K70/K116)</f>
        <v>0</v>
      </c>
      <c r="M70" s="51"/>
      <c r="N70" s="51"/>
      <c r="O70" s="78"/>
      <c r="P70" s="51"/>
      <c r="Q70" s="51"/>
      <c r="R70" s="72"/>
    </row>
    <row r="71" ht="15.75" customHeight="1">
      <c r="A71" s="85"/>
      <c r="B71" s="85"/>
      <c r="C71" s="85"/>
      <c r="D71" s="51"/>
      <c r="E71" s="51"/>
      <c r="F71" s="78"/>
      <c r="G71" s="51"/>
      <c r="H71" s="51"/>
      <c r="I71" s="78"/>
      <c r="J71" s="121" t="s">
        <v>167</v>
      </c>
      <c r="K71" s="54">
        <f>COUNTIF('Itemization 202501'!L:L,J71)</f>
        <v>0</v>
      </c>
      <c r="L71" s="55">
        <f>(K71/K116)</f>
        <v>0</v>
      </c>
      <c r="M71" s="51"/>
      <c r="N71" s="51"/>
      <c r="O71" s="78"/>
      <c r="P71" s="51"/>
      <c r="Q71" s="51"/>
      <c r="R71" s="72"/>
    </row>
    <row r="72" ht="15.75" customHeight="1">
      <c r="A72" s="85"/>
      <c r="B72" s="85"/>
      <c r="C72" s="85"/>
      <c r="D72" s="51"/>
      <c r="E72" s="51"/>
      <c r="F72" s="78"/>
      <c r="G72" s="51"/>
      <c r="H72" s="51"/>
      <c r="I72" s="78"/>
      <c r="J72" s="121" t="s">
        <v>168</v>
      </c>
      <c r="K72" s="54">
        <f>COUNTIF('Itemization 202501'!L:L,J72)</f>
        <v>0</v>
      </c>
      <c r="L72" s="55">
        <f>(K72/K116)</f>
        <v>0</v>
      </c>
      <c r="M72" s="51"/>
      <c r="N72" s="51"/>
      <c r="O72" s="78"/>
      <c r="P72" s="51"/>
      <c r="Q72" s="51"/>
      <c r="R72" s="72"/>
    </row>
    <row r="73" ht="15.75" customHeight="1">
      <c r="A73" s="85"/>
      <c r="B73" s="85"/>
      <c r="C73" s="85"/>
      <c r="D73" s="51"/>
      <c r="E73" s="51"/>
      <c r="F73" s="78"/>
      <c r="G73" s="51"/>
      <c r="H73" s="51"/>
      <c r="I73" s="78"/>
      <c r="J73" s="121" t="s">
        <v>169</v>
      </c>
      <c r="K73" s="54">
        <f>COUNTIF('Itemization 202501'!L:L,J73)</f>
        <v>0</v>
      </c>
      <c r="L73" s="55">
        <f>(K73/K116)</f>
        <v>0</v>
      </c>
      <c r="M73" s="51"/>
      <c r="N73" s="51"/>
      <c r="O73" s="78"/>
      <c r="P73" s="51"/>
      <c r="Q73" s="51"/>
      <c r="R73" s="72"/>
    </row>
    <row r="74" ht="15.75" customHeight="1">
      <c r="A74" s="85"/>
      <c r="B74" s="85"/>
      <c r="C74" s="85"/>
      <c r="D74" s="51"/>
      <c r="E74" s="51"/>
      <c r="F74" s="78"/>
      <c r="G74" s="51"/>
      <c r="H74" s="51"/>
      <c r="I74" s="78"/>
      <c r="J74" s="121" t="s">
        <v>170</v>
      </c>
      <c r="K74" s="54">
        <f>COUNTIF('Itemization 202501'!L:L,J74)</f>
        <v>0</v>
      </c>
      <c r="L74" s="55">
        <f>(K74/K116)</f>
        <v>0</v>
      </c>
      <c r="M74" s="51"/>
      <c r="N74" s="51"/>
      <c r="O74" s="78"/>
      <c r="P74" s="51"/>
      <c r="Q74" s="51"/>
      <c r="R74" s="72"/>
    </row>
    <row r="75" ht="15.75" customHeight="1">
      <c r="A75" s="85"/>
      <c r="B75" s="85"/>
      <c r="C75" s="85"/>
      <c r="D75" s="51"/>
      <c r="E75" s="51"/>
      <c r="F75" s="78"/>
      <c r="G75" s="51"/>
      <c r="H75" s="51"/>
      <c r="I75" s="78"/>
      <c r="J75" s="122" t="s">
        <v>171</v>
      </c>
      <c r="K75" s="57">
        <f>COUNTIF('Itemization 202501'!L:L,J75)</f>
        <v>2</v>
      </c>
      <c r="L75" s="58">
        <f>(K75/K116)</f>
        <v>0.05263157895</v>
      </c>
      <c r="M75" s="51"/>
      <c r="N75" s="51"/>
      <c r="O75" s="78"/>
      <c r="P75" s="51"/>
      <c r="Q75" s="51"/>
      <c r="R75" s="72"/>
    </row>
    <row r="76" ht="15.75" customHeight="1">
      <c r="A76" s="85"/>
      <c r="B76" s="85"/>
      <c r="C76" s="85"/>
      <c r="D76" s="51"/>
      <c r="E76" s="51"/>
      <c r="F76" s="78"/>
      <c r="G76" s="51"/>
      <c r="H76" s="51"/>
      <c r="I76" s="78"/>
      <c r="J76" s="121" t="s">
        <v>172</v>
      </c>
      <c r="K76" s="54">
        <f>COUNTIF('Itemization 202501'!L:L,J76)</f>
        <v>0</v>
      </c>
      <c r="L76" s="55">
        <f>(K76/K116)</f>
        <v>0</v>
      </c>
      <c r="M76" s="51"/>
      <c r="N76" s="51"/>
      <c r="O76" s="78"/>
      <c r="P76" s="51"/>
      <c r="Q76" s="51"/>
      <c r="R76" s="72"/>
    </row>
    <row r="77" ht="15.75" customHeight="1">
      <c r="A77" s="85"/>
      <c r="B77" s="85"/>
      <c r="C77" s="85"/>
      <c r="D77" s="51"/>
      <c r="E77" s="51"/>
      <c r="F77" s="78"/>
      <c r="G77" s="51"/>
      <c r="H77" s="51"/>
      <c r="I77" s="78"/>
      <c r="J77" s="121" t="s">
        <v>173</v>
      </c>
      <c r="K77" s="54">
        <f>COUNTIF('Itemization 202501'!L:L,J77)</f>
        <v>0</v>
      </c>
      <c r="L77" s="55">
        <f>(K77/K116)</f>
        <v>0</v>
      </c>
      <c r="M77" s="51"/>
      <c r="N77" s="51"/>
      <c r="O77" s="78"/>
      <c r="P77" s="51"/>
      <c r="Q77" s="51"/>
      <c r="R77" s="72"/>
    </row>
    <row r="78" ht="15.75" customHeight="1">
      <c r="A78" s="85"/>
      <c r="B78" s="85"/>
      <c r="C78" s="85"/>
      <c r="D78" s="51"/>
      <c r="E78" s="51"/>
      <c r="F78" s="78"/>
      <c r="G78" s="51"/>
      <c r="H78" s="51"/>
      <c r="I78" s="78"/>
      <c r="J78" s="121" t="s">
        <v>174</v>
      </c>
      <c r="K78" s="54">
        <f>COUNTIF('Itemization 202501'!L:L,J78)</f>
        <v>0</v>
      </c>
      <c r="L78" s="55">
        <f>(K78/K116)</f>
        <v>0</v>
      </c>
      <c r="M78" s="51"/>
      <c r="N78" s="51"/>
      <c r="O78" s="78"/>
      <c r="P78" s="51"/>
      <c r="Q78" s="51"/>
      <c r="R78" s="72"/>
    </row>
    <row r="79" ht="15.75" customHeight="1">
      <c r="A79" s="85"/>
      <c r="B79" s="85"/>
      <c r="C79" s="85"/>
      <c r="D79" s="51"/>
      <c r="E79" s="51"/>
      <c r="F79" s="78"/>
      <c r="G79" s="51"/>
      <c r="H79" s="51"/>
      <c r="I79" s="78"/>
      <c r="J79" s="121" t="s">
        <v>175</v>
      </c>
      <c r="K79" s="54">
        <f>COUNTIF('Itemization 202501'!L:L,J79)</f>
        <v>0</v>
      </c>
      <c r="L79" s="55">
        <f>(K79/K116)</f>
        <v>0</v>
      </c>
      <c r="M79" s="51"/>
      <c r="N79" s="51"/>
      <c r="O79" s="78"/>
      <c r="P79" s="51"/>
      <c r="Q79" s="51"/>
      <c r="R79" s="72"/>
    </row>
    <row r="80" ht="15.75" customHeight="1">
      <c r="A80" s="85"/>
      <c r="B80" s="85"/>
      <c r="C80" s="85"/>
      <c r="D80" s="51"/>
      <c r="E80" s="51"/>
      <c r="F80" s="78"/>
      <c r="G80" s="51"/>
      <c r="H80" s="51"/>
      <c r="I80" s="78"/>
      <c r="J80" s="121" t="s">
        <v>176</v>
      </c>
      <c r="K80" s="54">
        <f>COUNTIF('Itemization 202501'!L:L,J80)</f>
        <v>0</v>
      </c>
      <c r="L80" s="55">
        <f>(K80/K116)</f>
        <v>0</v>
      </c>
      <c r="M80" s="51"/>
      <c r="N80" s="51"/>
      <c r="O80" s="78"/>
      <c r="P80" s="51"/>
      <c r="Q80" s="51"/>
      <c r="R80" s="72"/>
    </row>
    <row r="81" ht="15.75" customHeight="1">
      <c r="A81" s="85"/>
      <c r="B81" s="85"/>
      <c r="C81" s="85"/>
      <c r="D81" s="51"/>
      <c r="E81" s="51"/>
      <c r="F81" s="78"/>
      <c r="G81" s="51"/>
      <c r="H81" s="51"/>
      <c r="I81" s="78"/>
      <c r="J81" s="122" t="s">
        <v>177</v>
      </c>
      <c r="K81" s="57">
        <f>COUNTIF('Itemization 202501'!L:L,J81)</f>
        <v>2</v>
      </c>
      <c r="L81" s="58">
        <f>(K81/K116)</f>
        <v>0.05263157895</v>
      </c>
      <c r="M81" s="51"/>
      <c r="N81" s="51"/>
      <c r="O81" s="78"/>
      <c r="P81" s="51"/>
      <c r="Q81" s="51"/>
      <c r="R81" s="72"/>
    </row>
    <row r="82" ht="15.75" customHeight="1">
      <c r="A82" s="85"/>
      <c r="B82" s="85"/>
      <c r="C82" s="85"/>
      <c r="D82" s="51"/>
      <c r="E82" s="51"/>
      <c r="F82" s="78"/>
      <c r="G82" s="51"/>
      <c r="H82" s="51"/>
      <c r="I82" s="78"/>
      <c r="J82" s="121" t="s">
        <v>178</v>
      </c>
      <c r="K82" s="54">
        <f>COUNTIF('Itemization 202501'!L:L,J82)</f>
        <v>0</v>
      </c>
      <c r="L82" s="55">
        <f>(K82/K116)</f>
        <v>0</v>
      </c>
      <c r="M82" s="51"/>
      <c r="N82" s="51"/>
      <c r="O82" s="78"/>
      <c r="P82" s="51"/>
      <c r="Q82" s="51"/>
      <c r="R82" s="72"/>
    </row>
    <row r="83" ht="15.75" customHeight="1">
      <c r="A83" s="85"/>
      <c r="B83" s="85"/>
      <c r="C83" s="85"/>
      <c r="D83" s="51"/>
      <c r="E83" s="51"/>
      <c r="F83" s="78"/>
      <c r="G83" s="51"/>
      <c r="H83" s="51"/>
      <c r="I83" s="78"/>
      <c r="J83" s="121" t="s">
        <v>179</v>
      </c>
      <c r="K83" s="54">
        <f>COUNTIF('Itemization 202501'!L:L,J83)</f>
        <v>0</v>
      </c>
      <c r="L83" s="55">
        <f>(K83/K116)</f>
        <v>0</v>
      </c>
      <c r="M83" s="51"/>
      <c r="N83" s="51"/>
      <c r="O83" s="78"/>
      <c r="P83" s="51"/>
      <c r="Q83" s="51"/>
      <c r="R83" s="72"/>
    </row>
    <row r="84" ht="15.75" customHeight="1">
      <c r="A84" s="85"/>
      <c r="B84" s="85"/>
      <c r="C84" s="85"/>
      <c r="D84" s="51"/>
      <c r="E84" s="51"/>
      <c r="F84" s="78"/>
      <c r="G84" s="51"/>
      <c r="H84" s="51"/>
      <c r="I84" s="78"/>
      <c r="J84" s="121" t="s">
        <v>180</v>
      </c>
      <c r="K84" s="54">
        <f>COUNTIF('Itemization 202501'!L:L,J84)</f>
        <v>0</v>
      </c>
      <c r="L84" s="55">
        <f>(K84/K116)</f>
        <v>0</v>
      </c>
      <c r="M84" s="51"/>
      <c r="N84" s="51"/>
      <c r="O84" s="78"/>
      <c r="P84" s="51"/>
      <c r="Q84" s="51"/>
      <c r="R84" s="72"/>
    </row>
    <row r="85" ht="15.75" customHeight="1">
      <c r="A85" s="85"/>
      <c r="B85" s="85"/>
      <c r="C85" s="85"/>
      <c r="D85" s="51"/>
      <c r="E85" s="51"/>
      <c r="F85" s="78"/>
      <c r="G85" s="51"/>
      <c r="H85" s="51"/>
      <c r="I85" s="78"/>
      <c r="J85" s="121" t="s">
        <v>181</v>
      </c>
      <c r="K85" s="54">
        <f>COUNTIF('Itemization 202501'!L:L,J85)</f>
        <v>0</v>
      </c>
      <c r="L85" s="55">
        <f>(K85/K116)</f>
        <v>0</v>
      </c>
      <c r="M85" s="51"/>
      <c r="N85" s="51"/>
      <c r="O85" s="78"/>
      <c r="P85" s="51"/>
      <c r="Q85" s="51"/>
      <c r="R85" s="72"/>
    </row>
    <row r="86" ht="15.75" customHeight="1">
      <c r="A86" s="85"/>
      <c r="B86" s="85"/>
      <c r="C86" s="85"/>
      <c r="D86" s="51"/>
      <c r="E86" s="51"/>
      <c r="F86" s="78"/>
      <c r="G86" s="51"/>
      <c r="H86" s="51"/>
      <c r="I86" s="78"/>
      <c r="J86" s="121" t="s">
        <v>182</v>
      </c>
      <c r="K86" s="54">
        <f>COUNTIF('Itemization 202501'!L:L,J86)</f>
        <v>0</v>
      </c>
      <c r="L86" s="55">
        <f>(K86/K116)</f>
        <v>0</v>
      </c>
      <c r="M86" s="51"/>
      <c r="N86" s="51"/>
      <c r="O86" s="78"/>
      <c r="P86" s="51"/>
      <c r="Q86" s="51"/>
      <c r="R86" s="72"/>
    </row>
    <row r="87" ht="15.75" customHeight="1">
      <c r="A87" s="85"/>
      <c r="B87" s="85"/>
      <c r="C87" s="85"/>
      <c r="D87" s="51"/>
      <c r="E87" s="51"/>
      <c r="F87" s="78"/>
      <c r="G87" s="51"/>
      <c r="H87" s="51"/>
      <c r="I87" s="78"/>
      <c r="J87" s="121" t="s">
        <v>183</v>
      </c>
      <c r="K87" s="54">
        <f>COUNTIF('Itemization 202501'!L:L,J87)</f>
        <v>0</v>
      </c>
      <c r="L87" s="55">
        <f>(K87/K116)</f>
        <v>0</v>
      </c>
      <c r="M87" s="51"/>
      <c r="N87" s="51"/>
      <c r="O87" s="78"/>
      <c r="P87" s="51"/>
      <c r="Q87" s="51"/>
      <c r="R87" s="72"/>
    </row>
    <row r="88" ht="15.75" customHeight="1">
      <c r="A88" s="85"/>
      <c r="B88" s="85"/>
      <c r="C88" s="85"/>
      <c r="D88" s="51"/>
      <c r="E88" s="51"/>
      <c r="F88" s="78"/>
      <c r="G88" s="51"/>
      <c r="H88" s="51"/>
      <c r="I88" s="78"/>
      <c r="J88" s="121" t="s">
        <v>184</v>
      </c>
      <c r="K88" s="54">
        <f>COUNTIF('Itemization 202501'!L:L,J88)</f>
        <v>0</v>
      </c>
      <c r="L88" s="55">
        <f>(K88/K116)</f>
        <v>0</v>
      </c>
      <c r="M88" s="51"/>
      <c r="N88" s="51"/>
      <c r="O88" s="78"/>
      <c r="P88" s="51"/>
      <c r="Q88" s="51"/>
      <c r="R88" s="72"/>
    </row>
    <row r="89" ht="15.75" customHeight="1">
      <c r="A89" s="85"/>
      <c r="B89" s="85"/>
      <c r="C89" s="85"/>
      <c r="D89" s="51"/>
      <c r="E89" s="51"/>
      <c r="F89" s="78"/>
      <c r="G89" s="51"/>
      <c r="H89" s="51"/>
      <c r="I89" s="78"/>
      <c r="J89" s="121" t="s">
        <v>185</v>
      </c>
      <c r="K89" s="54">
        <f>COUNTIF('Itemization 202501'!L:L,J89)</f>
        <v>0</v>
      </c>
      <c r="L89" s="55">
        <f>(K89/K116)</f>
        <v>0</v>
      </c>
      <c r="M89" s="51"/>
      <c r="N89" s="51"/>
      <c r="O89" s="78"/>
      <c r="P89" s="51"/>
      <c r="Q89" s="51"/>
      <c r="R89" s="72"/>
    </row>
    <row r="90" ht="15.75" customHeight="1">
      <c r="A90" s="85"/>
      <c r="B90" s="85"/>
      <c r="C90" s="85"/>
      <c r="D90" s="51"/>
      <c r="E90" s="51"/>
      <c r="F90" s="78"/>
      <c r="G90" s="51"/>
      <c r="H90" s="51"/>
      <c r="I90" s="78"/>
      <c r="J90" s="122" t="s">
        <v>186</v>
      </c>
      <c r="K90" s="57">
        <f>COUNTIF('Itemization 202501'!L:L,J90)</f>
        <v>2</v>
      </c>
      <c r="L90" s="58">
        <f>(K90/K116)</f>
        <v>0.05263157895</v>
      </c>
      <c r="M90" s="51"/>
      <c r="N90" s="51"/>
      <c r="O90" s="78"/>
      <c r="P90" s="51"/>
      <c r="Q90" s="51"/>
      <c r="R90" s="72"/>
    </row>
    <row r="91" ht="15.75" customHeight="1">
      <c r="A91" s="85"/>
      <c r="B91" s="85"/>
      <c r="C91" s="85"/>
      <c r="D91" s="51"/>
      <c r="E91" s="51"/>
      <c r="F91" s="78"/>
      <c r="G91" s="51"/>
      <c r="H91" s="51"/>
      <c r="I91" s="78"/>
      <c r="J91" s="121" t="s">
        <v>187</v>
      </c>
      <c r="K91" s="54">
        <f>COUNTIF('Itemization 202501'!L:L,J91)</f>
        <v>0</v>
      </c>
      <c r="L91" s="55">
        <f>(K91/K116)</f>
        <v>0</v>
      </c>
      <c r="M91" s="51"/>
      <c r="N91" s="51"/>
      <c r="O91" s="78"/>
      <c r="P91" s="51"/>
      <c r="Q91" s="51"/>
      <c r="R91" s="72"/>
    </row>
    <row r="92" ht="15.75" customHeight="1">
      <c r="A92" s="85"/>
      <c r="B92" s="85"/>
      <c r="C92" s="85"/>
      <c r="D92" s="51"/>
      <c r="E92" s="51"/>
      <c r="F92" s="78"/>
      <c r="G92" s="51"/>
      <c r="H92" s="51"/>
      <c r="I92" s="78"/>
      <c r="J92" s="121" t="s">
        <v>188</v>
      </c>
      <c r="K92" s="54">
        <f>COUNTIF('Itemization 202501'!L:L,J92)</f>
        <v>0</v>
      </c>
      <c r="L92" s="55">
        <f>(K92/K116)</f>
        <v>0</v>
      </c>
      <c r="M92" s="51"/>
      <c r="N92" s="51"/>
      <c r="O92" s="78"/>
      <c r="P92" s="51"/>
      <c r="Q92" s="51"/>
      <c r="R92" s="72"/>
    </row>
    <row r="93" ht="15.75" customHeight="1">
      <c r="A93" s="85"/>
      <c r="B93" s="85"/>
      <c r="C93" s="85"/>
      <c r="D93" s="51"/>
      <c r="E93" s="51"/>
      <c r="F93" s="78"/>
      <c r="G93" s="51"/>
      <c r="H93" s="51"/>
      <c r="I93" s="78"/>
      <c r="J93" s="121" t="s">
        <v>189</v>
      </c>
      <c r="K93" s="54">
        <f>COUNTIF('Itemization 202501'!L:L,J93)</f>
        <v>0</v>
      </c>
      <c r="L93" s="55">
        <f>(K93/K116)</f>
        <v>0</v>
      </c>
      <c r="M93" s="51"/>
      <c r="N93" s="51"/>
      <c r="O93" s="78"/>
      <c r="P93" s="51"/>
      <c r="Q93" s="51"/>
      <c r="R93" s="72"/>
    </row>
    <row r="94" ht="15.75" customHeight="1">
      <c r="A94" s="85"/>
      <c r="B94" s="85"/>
      <c r="C94" s="85"/>
      <c r="D94" s="51"/>
      <c r="E94" s="51"/>
      <c r="F94" s="78"/>
      <c r="G94" s="51"/>
      <c r="H94" s="51"/>
      <c r="I94" s="78"/>
      <c r="J94" s="122" t="s">
        <v>190</v>
      </c>
      <c r="K94" s="57">
        <f>COUNTIF('Itemization 202501'!L:L,J94)</f>
        <v>2</v>
      </c>
      <c r="L94" s="58">
        <f>(K94/K116)</f>
        <v>0.05263157895</v>
      </c>
      <c r="M94" s="51"/>
      <c r="N94" s="51"/>
      <c r="O94" s="78"/>
      <c r="P94" s="51"/>
      <c r="Q94" s="51"/>
      <c r="R94" s="72"/>
    </row>
    <row r="95" ht="15.75" customHeight="1">
      <c r="A95" s="85"/>
      <c r="B95" s="85"/>
      <c r="C95" s="85"/>
      <c r="D95" s="51"/>
      <c r="E95" s="51"/>
      <c r="F95" s="78"/>
      <c r="G95" s="51"/>
      <c r="H95" s="51"/>
      <c r="I95" s="78"/>
      <c r="J95" s="121" t="s">
        <v>191</v>
      </c>
      <c r="K95" s="54">
        <f>COUNTIF('Itemization 202501'!L:L,J95)</f>
        <v>0</v>
      </c>
      <c r="L95" s="55">
        <f>(K95/K116)</f>
        <v>0</v>
      </c>
      <c r="M95" s="51"/>
      <c r="N95" s="51"/>
      <c r="O95" s="78"/>
      <c r="P95" s="51"/>
      <c r="Q95" s="51"/>
      <c r="R95" s="72"/>
    </row>
    <row r="96" ht="15.75" customHeight="1">
      <c r="A96" s="85"/>
      <c r="B96" s="85"/>
      <c r="C96" s="85"/>
      <c r="D96" s="51"/>
      <c r="E96" s="51"/>
      <c r="F96" s="78"/>
      <c r="G96" s="51"/>
      <c r="H96" s="51"/>
      <c r="I96" s="78"/>
      <c r="J96" s="121" t="s">
        <v>192</v>
      </c>
      <c r="K96" s="54">
        <f>COUNTIF('Itemization 202501'!L:L,J96)</f>
        <v>0</v>
      </c>
      <c r="L96" s="55">
        <f>(K96/K116)</f>
        <v>0</v>
      </c>
      <c r="M96" s="51"/>
      <c r="N96" s="51"/>
      <c r="O96" s="78"/>
      <c r="P96" s="51"/>
      <c r="Q96" s="51"/>
      <c r="R96" s="72"/>
    </row>
    <row r="97" ht="15.75" customHeight="1">
      <c r="A97" s="85"/>
      <c r="B97" s="85"/>
      <c r="C97" s="85"/>
      <c r="D97" s="51"/>
      <c r="E97" s="51"/>
      <c r="F97" s="78"/>
      <c r="G97" s="51"/>
      <c r="H97" s="51"/>
      <c r="I97" s="78"/>
      <c r="J97" s="121" t="s">
        <v>193</v>
      </c>
      <c r="K97" s="54">
        <f>COUNTIF('Itemization 202501'!L:L,J97)</f>
        <v>0</v>
      </c>
      <c r="L97" s="55">
        <f>(K97/K116)</f>
        <v>0</v>
      </c>
      <c r="M97" s="51"/>
      <c r="N97" s="51"/>
      <c r="O97" s="78"/>
      <c r="P97" s="51"/>
      <c r="Q97" s="51"/>
      <c r="R97" s="72"/>
    </row>
    <row r="98" ht="15.75" customHeight="1">
      <c r="A98" s="85"/>
      <c r="B98" s="85"/>
      <c r="C98" s="85"/>
      <c r="D98" s="51"/>
      <c r="E98" s="51"/>
      <c r="F98" s="78"/>
      <c r="G98" s="51"/>
      <c r="H98" s="51"/>
      <c r="I98" s="78"/>
      <c r="J98" s="121" t="s">
        <v>194</v>
      </c>
      <c r="K98" s="54">
        <f>COUNTIF('Itemization 202501'!L:L,J98)</f>
        <v>0</v>
      </c>
      <c r="L98" s="55">
        <f>(K98/K116)</f>
        <v>0</v>
      </c>
      <c r="M98" s="51"/>
      <c r="N98" s="51"/>
      <c r="O98" s="78"/>
      <c r="P98" s="51"/>
      <c r="Q98" s="51"/>
      <c r="R98" s="72"/>
    </row>
    <row r="99" ht="15.75" customHeight="1">
      <c r="A99" s="85"/>
      <c r="B99" s="85"/>
      <c r="C99" s="85"/>
      <c r="D99" s="51"/>
      <c r="E99" s="51"/>
      <c r="F99" s="78"/>
      <c r="G99" s="51"/>
      <c r="H99" s="51"/>
      <c r="I99" s="78"/>
      <c r="J99" s="210" t="s">
        <v>195</v>
      </c>
      <c r="K99" s="114">
        <f>COUNTIF('Itemization 202501'!L:L,J99)</f>
        <v>1</v>
      </c>
      <c r="L99" s="145">
        <f>(K99/K116)</f>
        <v>0.02631578947</v>
      </c>
      <c r="M99" s="51"/>
      <c r="N99" s="51"/>
      <c r="O99" s="78"/>
      <c r="P99" s="51"/>
      <c r="Q99" s="51"/>
      <c r="R99" s="72"/>
    </row>
    <row r="100" ht="15.75" customHeight="1">
      <c r="A100" s="85"/>
      <c r="B100" s="85"/>
      <c r="C100" s="85"/>
      <c r="D100" s="51"/>
      <c r="E100" s="51"/>
      <c r="F100" s="78"/>
      <c r="G100" s="51"/>
      <c r="H100" s="51"/>
      <c r="I100" s="78"/>
      <c r="J100" s="121" t="s">
        <v>196</v>
      </c>
      <c r="K100" s="54">
        <f>COUNTIF('Itemization 202501'!L:L,J100)</f>
        <v>0</v>
      </c>
      <c r="L100" s="55">
        <f>(K100/K116)</f>
        <v>0</v>
      </c>
      <c r="M100" s="51"/>
      <c r="N100" s="51"/>
      <c r="O100" s="78"/>
      <c r="P100" s="51"/>
      <c r="Q100" s="51"/>
      <c r="R100" s="72"/>
    </row>
    <row r="101" ht="15.75" customHeight="1">
      <c r="A101" s="85"/>
      <c r="B101" s="85"/>
      <c r="C101" s="85"/>
      <c r="D101" s="51"/>
      <c r="E101" s="51"/>
      <c r="F101" s="78"/>
      <c r="G101" s="51"/>
      <c r="H101" s="51"/>
      <c r="I101" s="78"/>
      <c r="J101" s="210" t="s">
        <v>197</v>
      </c>
      <c r="K101" s="114">
        <f>COUNTIF('Itemization 202501'!L:L,J101)</f>
        <v>1</v>
      </c>
      <c r="L101" s="145">
        <f>(K101/K116)</f>
        <v>0.02631578947</v>
      </c>
      <c r="M101" s="51"/>
      <c r="N101" s="51"/>
      <c r="O101" s="78"/>
      <c r="P101" s="51"/>
      <c r="Q101" s="51"/>
      <c r="R101" s="72"/>
    </row>
    <row r="102" ht="15.75" customHeight="1">
      <c r="A102" s="85"/>
      <c r="B102" s="85"/>
      <c r="C102" s="85"/>
      <c r="D102" s="51"/>
      <c r="E102" s="51"/>
      <c r="F102" s="78"/>
      <c r="G102" s="51"/>
      <c r="H102" s="51"/>
      <c r="I102" s="78"/>
      <c r="J102" s="121" t="s">
        <v>198</v>
      </c>
      <c r="K102" s="54">
        <f>COUNTIF('Itemization 202501'!L:L,J102)</f>
        <v>0</v>
      </c>
      <c r="L102" s="55">
        <f>(K102/K116)</f>
        <v>0</v>
      </c>
      <c r="M102" s="51"/>
      <c r="N102" s="51"/>
      <c r="O102" s="78"/>
      <c r="P102" s="51"/>
      <c r="Q102" s="51"/>
      <c r="R102" s="72"/>
    </row>
    <row r="103" ht="15.75" customHeight="1">
      <c r="A103" s="85"/>
      <c r="B103" s="85"/>
      <c r="C103" s="85"/>
      <c r="D103" s="51"/>
      <c r="E103" s="51"/>
      <c r="F103" s="78"/>
      <c r="G103" s="51"/>
      <c r="H103" s="51"/>
      <c r="I103" s="78"/>
      <c r="J103" s="121" t="s">
        <v>199</v>
      </c>
      <c r="K103" s="54">
        <f>COUNTIF('Itemization 202501'!L:L,J103)</f>
        <v>0</v>
      </c>
      <c r="L103" s="55">
        <f>(K103/K116)</f>
        <v>0</v>
      </c>
      <c r="M103" s="51"/>
      <c r="N103" s="51"/>
      <c r="O103" s="78"/>
      <c r="P103" s="51"/>
      <c r="Q103" s="51"/>
      <c r="R103" s="72"/>
    </row>
    <row r="104" ht="15.75" customHeight="1">
      <c r="A104" s="85"/>
      <c r="B104" s="85"/>
      <c r="C104" s="85"/>
      <c r="D104" s="51"/>
      <c r="E104" s="51"/>
      <c r="F104" s="78"/>
      <c r="G104" s="51"/>
      <c r="H104" s="51"/>
      <c r="I104" s="78"/>
      <c r="J104" s="121" t="s">
        <v>200</v>
      </c>
      <c r="K104" s="54">
        <f>COUNTIF('Itemization 202501'!L:L,J104)</f>
        <v>0</v>
      </c>
      <c r="L104" s="55">
        <f>(K104/K116)</f>
        <v>0</v>
      </c>
      <c r="M104" s="51"/>
      <c r="N104" s="51"/>
      <c r="O104" s="78"/>
      <c r="P104" s="51"/>
      <c r="Q104" s="51"/>
      <c r="R104" s="72"/>
    </row>
    <row r="105" ht="15.75" customHeight="1">
      <c r="A105" s="85"/>
      <c r="B105" s="85"/>
      <c r="C105" s="85"/>
      <c r="D105" s="51"/>
      <c r="E105" s="51"/>
      <c r="F105" s="78"/>
      <c r="G105" s="51"/>
      <c r="H105" s="51"/>
      <c r="I105" s="78"/>
      <c r="J105" s="121" t="s">
        <v>201</v>
      </c>
      <c r="K105" s="54">
        <f>COUNTIF('Itemization 202501'!L:L,J105)</f>
        <v>0</v>
      </c>
      <c r="L105" s="55">
        <f>(K105/K116)</f>
        <v>0</v>
      </c>
      <c r="M105" s="51"/>
      <c r="N105" s="51"/>
      <c r="O105" s="78"/>
      <c r="P105" s="51"/>
      <c r="Q105" s="51"/>
      <c r="R105" s="72"/>
    </row>
    <row r="106" ht="15.75" customHeight="1">
      <c r="A106" s="85"/>
      <c r="B106" s="85"/>
      <c r="C106" s="85"/>
      <c r="D106" s="51"/>
      <c r="E106" s="51"/>
      <c r="F106" s="78"/>
      <c r="G106" s="51"/>
      <c r="H106" s="51"/>
      <c r="I106" s="78"/>
      <c r="J106" s="121" t="s">
        <v>202</v>
      </c>
      <c r="K106" s="54">
        <f>COUNTIF('Itemization 202501'!L:L,J106)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COUNTIF('Itemization 202501'!L:L,J107)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COUNTIF('Itemization 202501'!L:L,J108)</f>
        <v>0</v>
      </c>
      <c r="L108" s="55">
        <f>(K108/K116)</f>
        <v>0</v>
      </c>
      <c r="M108" s="51"/>
      <c r="N108" s="51"/>
      <c r="O108" s="78"/>
      <c r="P108" s="51"/>
      <c r="Q108" s="51"/>
      <c r="R108" s="72"/>
    </row>
    <row r="109" ht="15.75" customHeight="1">
      <c r="A109" s="85"/>
      <c r="B109" s="85"/>
      <c r="C109" s="85"/>
      <c r="D109" s="51"/>
      <c r="E109" s="51"/>
      <c r="F109" s="78"/>
      <c r="G109" s="51"/>
      <c r="H109" s="51"/>
      <c r="I109" s="78"/>
      <c r="J109" s="121" t="s">
        <v>205</v>
      </c>
      <c r="K109" s="54">
        <f>COUNTIF('Itemization 202501'!L:L,J109)</f>
        <v>0</v>
      </c>
      <c r="L109" s="55">
        <f>(K109/K116)</f>
        <v>0</v>
      </c>
      <c r="M109" s="51"/>
      <c r="N109" s="51"/>
      <c r="O109" s="78"/>
      <c r="P109" s="51"/>
      <c r="Q109" s="51"/>
      <c r="R109" s="72"/>
    </row>
    <row r="110" ht="15.75" customHeight="1">
      <c r="A110" s="85"/>
      <c r="B110" s="85"/>
      <c r="C110" s="85"/>
      <c r="D110" s="51"/>
      <c r="E110" s="51"/>
      <c r="F110" s="78"/>
      <c r="G110" s="51"/>
      <c r="H110" s="51"/>
      <c r="I110" s="78"/>
      <c r="J110" s="121" t="s">
        <v>206</v>
      </c>
      <c r="K110" s="54">
        <f>COUNTIF('Itemization 202501'!L:L,J110)</f>
        <v>0</v>
      </c>
      <c r="L110" s="55">
        <f>(K110/K116)</f>
        <v>0</v>
      </c>
      <c r="M110" s="51"/>
      <c r="N110" s="51"/>
      <c r="O110" s="78"/>
      <c r="P110" s="51"/>
      <c r="Q110" s="51"/>
      <c r="R110" s="72"/>
    </row>
    <row r="111" ht="15.75" customHeight="1">
      <c r="A111" s="85"/>
      <c r="B111" s="85"/>
      <c r="C111" s="85"/>
      <c r="D111" s="51"/>
      <c r="E111" s="51"/>
      <c r="F111" s="78"/>
      <c r="G111" s="51"/>
      <c r="H111" s="51"/>
      <c r="I111" s="78"/>
      <c r="J111" s="121" t="s">
        <v>207</v>
      </c>
      <c r="K111" s="54">
        <f>COUNTIF('Itemization 202501'!L:L,J111)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COUNTIF('Itemization 202501'!L:L,J112)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COUNTIF('Itemization 202501'!L:L,J113)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COUNTIF('Itemization 202501'!L:L,J114)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COUNTIF('Itemization 202501'!L:L,J115)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38</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37.63"/>
    <col hidden="1" min="21" max="27" width="12.63"/>
    <col customWidth="1" hidden="1" min="28" max="28" width="25.88"/>
  </cols>
  <sheetData>
    <row r="1">
      <c r="A1" s="255"/>
      <c r="B1" s="255"/>
      <c r="C1" s="255"/>
      <c r="D1" s="256"/>
      <c r="E1" s="256"/>
      <c r="F1" s="256"/>
      <c r="G1" s="256"/>
      <c r="H1" s="257" t="s">
        <v>76</v>
      </c>
      <c r="L1" s="257" t="s">
        <v>0</v>
      </c>
      <c r="O1" s="257" t="s">
        <v>221</v>
      </c>
      <c r="U1" s="256"/>
      <c r="V1" s="256"/>
      <c r="W1" s="256"/>
      <c r="X1" s="256"/>
      <c r="Y1" s="256"/>
      <c r="Z1" s="256"/>
      <c r="AA1" s="256"/>
      <c r="AB1" s="256"/>
    </row>
    <row r="2">
      <c r="A2" s="258" t="s">
        <v>222</v>
      </c>
      <c r="B2" s="259" t="s">
        <v>223</v>
      </c>
      <c r="C2" s="259" t="s">
        <v>224</v>
      </c>
      <c r="D2" s="259" t="s">
        <v>225</v>
      </c>
      <c r="E2" s="259" t="s">
        <v>226</v>
      </c>
      <c r="F2" s="259" t="s">
        <v>227</v>
      </c>
      <c r="G2" s="259" t="s">
        <v>228</v>
      </c>
      <c r="H2" s="258" t="s">
        <v>63</v>
      </c>
      <c r="I2" s="259" t="s">
        <v>229</v>
      </c>
      <c r="J2" s="259" t="s">
        <v>77</v>
      </c>
      <c r="K2" s="260" t="s">
        <v>78</v>
      </c>
      <c r="L2" s="260" t="s">
        <v>79</v>
      </c>
      <c r="M2" s="261" t="s">
        <v>71</v>
      </c>
      <c r="N2" s="262" t="s">
        <v>72</v>
      </c>
      <c r="O2" s="261" t="s">
        <v>2</v>
      </c>
      <c r="P2" s="259" t="s">
        <v>230</v>
      </c>
      <c r="Q2" s="262" t="s">
        <v>231</v>
      </c>
      <c r="R2" s="262" t="s">
        <v>232</v>
      </c>
      <c r="S2" s="262" t="s">
        <v>233</v>
      </c>
      <c r="T2" s="261" t="s">
        <v>234</v>
      </c>
      <c r="U2" s="259" t="s">
        <v>235</v>
      </c>
      <c r="V2" s="259" t="s">
        <v>236</v>
      </c>
      <c r="W2" s="259" t="s">
        <v>237</v>
      </c>
      <c r="X2" s="259" t="s">
        <v>238</v>
      </c>
      <c r="Y2" s="259" t="s">
        <v>239</v>
      </c>
      <c r="Z2" s="259" t="s">
        <v>240</v>
      </c>
      <c r="AA2" s="258" t="s">
        <v>241</v>
      </c>
      <c r="AB2" s="263" t="s">
        <v>242</v>
      </c>
    </row>
    <row r="3" ht="15.75" customHeight="1">
      <c r="A3" s="264" t="s">
        <v>243</v>
      </c>
      <c r="B3" s="265" t="s">
        <v>244</v>
      </c>
      <c r="C3" s="265">
        <v>1.0</v>
      </c>
      <c r="D3" s="266">
        <v>1.0</v>
      </c>
      <c r="E3" s="265"/>
      <c r="F3" s="267"/>
      <c r="G3" s="265"/>
      <c r="H3" s="268" t="s">
        <v>290</v>
      </c>
      <c r="I3" s="269" t="s">
        <v>82</v>
      </c>
      <c r="J3" s="269" t="s">
        <v>83</v>
      </c>
      <c r="K3" s="270" t="s">
        <v>246</v>
      </c>
      <c r="L3" s="270" t="s">
        <v>99</v>
      </c>
      <c r="M3" s="264">
        <v>6.0</v>
      </c>
      <c r="N3" s="264" t="s">
        <v>85</v>
      </c>
      <c r="O3" s="271" t="str">
        <f>IFERROR(VLOOKUP(K3,'US History Framework Standards'!$A:$E,2,false),"")</f>
        <v>Colonial Foundations (1607-1763)</v>
      </c>
      <c r="P3" s="271" t="str">
        <f>IFERROR(__xludf.DUMMYFUNCTION("IFERROR(Index(SPLIT(#REF!,"".""),1,1))"),"")</f>
        <v/>
      </c>
      <c r="Q3" s="271" t="str">
        <f>IFERROR(__xludf.DUMMYFUNCTION("IFERROR(Index(SPLIT(#REF!,"".""),1,2))"),"")</f>
        <v/>
      </c>
      <c r="R3" s="271" t="str">
        <f>IFERROR(VLOOKUP(#REF!,'US History Framework Standards'!$A:$E,3,false),"")</f>
        <v/>
      </c>
      <c r="S3" s="271" t="str">
        <f>IFERROR(__xludf.DUMMYFUNCTION("IFERROR(Index(SPLIT(#REF!,"".""),1,3)&amp;Index(SPLIT(#REF!,"".""),1,4))"),"")</f>
        <v/>
      </c>
      <c r="T3" s="271" t="str">
        <f>iferror(VLOOKUP(L3,'US History Framework Standards'!$A:$E,2,false),"")</f>
        <v>Colonial Democracy &amp; Key Documents</v>
      </c>
      <c r="U3" s="265">
        <v>1.0</v>
      </c>
      <c r="V3" s="265" t="s">
        <v>247</v>
      </c>
      <c r="W3" s="265">
        <v>1201718.0</v>
      </c>
      <c r="X3" s="267"/>
      <c r="Y3" s="267"/>
      <c r="Z3" s="264" t="s">
        <v>248</v>
      </c>
      <c r="AA3" s="272"/>
      <c r="AB3" s="272" t="str">
        <f t="shared" ref="AB3:AB30" si="1">V3&amp;"_"&amp;W3&amp;"_"&amp;A3&amp;".jpg"</f>
        <v>HXRG_1201718_Multiple Choice.jpg</v>
      </c>
    </row>
    <row r="4" ht="15.75" customHeight="1">
      <c r="A4" s="264" t="s">
        <v>243</v>
      </c>
      <c r="B4" s="265" t="s">
        <v>244</v>
      </c>
      <c r="C4" s="265">
        <v>2.0</v>
      </c>
      <c r="D4" s="266">
        <v>2.0</v>
      </c>
      <c r="E4" s="265"/>
      <c r="F4" s="267"/>
      <c r="G4" s="265"/>
      <c r="H4" s="268" t="s">
        <v>290</v>
      </c>
      <c r="I4" s="269" t="s">
        <v>82</v>
      </c>
      <c r="J4" s="269" t="s">
        <v>83</v>
      </c>
      <c r="K4" s="270" t="s">
        <v>246</v>
      </c>
      <c r="L4" s="270" t="s">
        <v>99</v>
      </c>
      <c r="M4" s="264">
        <v>10.0</v>
      </c>
      <c r="N4" s="264" t="s">
        <v>85</v>
      </c>
      <c r="O4" s="271" t="str">
        <f>IFERROR(VLOOKUP(K4,'US History Framework Standards'!$A:$E,2,false),"")</f>
        <v>Colonial Foundations (1607-1763)</v>
      </c>
      <c r="P4" s="271" t="str">
        <f>IFERROR(__xludf.DUMMYFUNCTION("IFERROR(Index(SPLIT(#REF!,"".""),1,1))"),"")</f>
        <v/>
      </c>
      <c r="Q4" s="271" t="str">
        <f>IFERROR(__xludf.DUMMYFUNCTION("IFERROR(Index(SPLIT(#REF!,"".""),1,2))"),"")</f>
        <v/>
      </c>
      <c r="R4" s="271" t="str">
        <f>IFERROR(VLOOKUP(#REF!,'US History Framework Standards'!$A:$E,3,false),"")</f>
        <v/>
      </c>
      <c r="S4" s="271" t="str">
        <f>IFERROR(__xludf.DUMMYFUNCTION("IFERROR(Index(SPLIT(#REF!,"".""),1,3)&amp;Index(SPLIT(#REF!,"".""),1,4))"),"")</f>
        <v/>
      </c>
      <c r="T4" s="271" t="str">
        <f>iferror(VLOOKUP(L4,'US History Framework Standards'!$A:$E,2,false),"")</f>
        <v>Colonial Democracy &amp; Key Documents</v>
      </c>
      <c r="U4" s="267">
        <v>2.0</v>
      </c>
      <c r="V4" s="265" t="s">
        <v>247</v>
      </c>
      <c r="W4" s="265">
        <v>1201718.0</v>
      </c>
      <c r="X4" s="267"/>
      <c r="Y4" s="267"/>
      <c r="Z4" s="264" t="s">
        <v>248</v>
      </c>
      <c r="AA4" s="272"/>
      <c r="AB4" s="272" t="str">
        <f t="shared" si="1"/>
        <v>HXRG_1201718_Multiple Choice.jpg</v>
      </c>
    </row>
    <row r="5" ht="15.75" customHeight="1">
      <c r="A5" s="273" t="s">
        <v>243</v>
      </c>
      <c r="B5" s="274" t="s">
        <v>244</v>
      </c>
      <c r="C5" s="274">
        <v>3.0</v>
      </c>
      <c r="D5" s="275">
        <v>3.0</v>
      </c>
      <c r="E5" s="274"/>
      <c r="F5" s="276"/>
      <c r="G5" s="274"/>
      <c r="H5" s="277" t="s">
        <v>291</v>
      </c>
      <c r="I5" s="278" t="s">
        <v>82</v>
      </c>
      <c r="J5" s="278" t="s">
        <v>83</v>
      </c>
      <c r="K5" s="279" t="s">
        <v>250</v>
      </c>
      <c r="L5" s="279" t="s">
        <v>112</v>
      </c>
      <c r="M5" s="273">
        <v>2.0</v>
      </c>
      <c r="N5" s="273" t="s">
        <v>89</v>
      </c>
      <c r="O5" s="280" t="str">
        <f>IFERROR(VLOOKUP(K5,'US History Framework Standards'!$A:$E,2,false),"")</f>
        <v>Constitutional Foundations (1763–1824)</v>
      </c>
      <c r="P5" s="280" t="str">
        <f>IFERROR(__xludf.DUMMYFUNCTION("IFERROR(Index(SPLIT(#REF!,"".""),1,1))"),"")</f>
        <v/>
      </c>
      <c r="Q5" s="280" t="str">
        <f>IFERROR(__xludf.DUMMYFUNCTION("IFERROR(Index(SPLIT(#REF!,"".""),1,2))"),"")</f>
        <v/>
      </c>
      <c r="R5" s="280" t="str">
        <f>IFERROR(VLOOKUP(#REF!,'US History Framework Standards'!$A:$E,3,false),"")</f>
        <v/>
      </c>
      <c r="S5" s="280" t="str">
        <f>IFERROR(__xludf.DUMMYFUNCTION("IFERROR(Index(SPLIT(#REF!,"".""),1,3)&amp;Index(SPLIT(#REF!,"".""),1,4))"),"")</f>
        <v/>
      </c>
      <c r="T5" s="280" t="str">
        <f>iferror(VLOOKUP(L5,'US History Framework Standards'!$A:$E,2,false),"")</f>
        <v>President George Washington</v>
      </c>
      <c r="U5" s="276">
        <v>3.0</v>
      </c>
      <c r="V5" s="274" t="s">
        <v>247</v>
      </c>
      <c r="W5" s="274">
        <v>1201718.0</v>
      </c>
      <c r="X5" s="276"/>
      <c r="Y5" s="276"/>
      <c r="Z5" s="273" t="s">
        <v>248</v>
      </c>
      <c r="AA5" s="281"/>
      <c r="AB5" s="281" t="str">
        <f t="shared" si="1"/>
        <v>HXRG_1201718_Multiple Choice.jpg</v>
      </c>
    </row>
    <row r="6" ht="15.75" customHeight="1">
      <c r="A6" s="273" t="s">
        <v>243</v>
      </c>
      <c r="B6" s="274" t="s">
        <v>244</v>
      </c>
      <c r="C6" s="274">
        <v>4.0</v>
      </c>
      <c r="D6" s="275">
        <v>1.0</v>
      </c>
      <c r="E6" s="274"/>
      <c r="F6" s="276"/>
      <c r="G6" s="274"/>
      <c r="H6" s="282" t="s">
        <v>291</v>
      </c>
      <c r="I6" s="278" t="s">
        <v>82</v>
      </c>
      <c r="J6" s="278" t="s">
        <v>83</v>
      </c>
      <c r="K6" s="279" t="s">
        <v>250</v>
      </c>
      <c r="L6" s="279" t="s">
        <v>112</v>
      </c>
      <c r="M6" s="273">
        <v>10.0</v>
      </c>
      <c r="N6" s="273" t="s">
        <v>85</v>
      </c>
      <c r="O6" s="280" t="str">
        <f>IFERROR(VLOOKUP(K6,'US History Framework Standards'!$A:$E,2,false),"")</f>
        <v>Constitutional Foundations (1763–1824)</v>
      </c>
      <c r="P6" s="280" t="str">
        <f>IFERROR(__xludf.DUMMYFUNCTION("IFERROR(Index(SPLIT(#REF!,"".""),1,1))"),"")</f>
        <v/>
      </c>
      <c r="Q6" s="280" t="str">
        <f>IFERROR(__xludf.DUMMYFUNCTION("IFERROR(Index(SPLIT(#REF!,"".""),1,2))"),"")</f>
        <v/>
      </c>
      <c r="R6" s="280" t="str">
        <f>IFERROR(VLOOKUP(#REF!,'US History Framework Standards'!$A:$E,3,false),"")</f>
        <v/>
      </c>
      <c r="S6" s="280" t="str">
        <f>IFERROR(__xludf.DUMMYFUNCTION("IFERROR(Index(SPLIT(#REF!,"".""),1,3)&amp;Index(SPLIT(#REF!,"".""),1,4))"),"")</f>
        <v/>
      </c>
      <c r="T6" s="280" t="str">
        <f>iferror(VLOOKUP(L6,'US History Framework Standards'!$A:$E,2,false),"")</f>
        <v>President George Washington</v>
      </c>
      <c r="U6" s="276">
        <v>4.0</v>
      </c>
      <c r="V6" s="274" t="s">
        <v>247</v>
      </c>
      <c r="W6" s="274">
        <v>1201718.0</v>
      </c>
      <c r="X6" s="276"/>
      <c r="Y6" s="276"/>
      <c r="Z6" s="273" t="s">
        <v>248</v>
      </c>
      <c r="AA6" s="281"/>
      <c r="AB6" s="281" t="str">
        <f t="shared" si="1"/>
        <v>HXRG_1201718_Multiple Choice.jpg</v>
      </c>
    </row>
    <row r="7" ht="15.75" customHeight="1">
      <c r="A7" s="264" t="s">
        <v>243</v>
      </c>
      <c r="B7" s="265" t="s">
        <v>244</v>
      </c>
      <c r="C7" s="265">
        <v>5.0</v>
      </c>
      <c r="D7" s="266">
        <v>2.0</v>
      </c>
      <c r="E7" s="265"/>
      <c r="F7" s="267"/>
      <c r="G7" s="265"/>
      <c r="H7" s="283" t="s">
        <v>292</v>
      </c>
      <c r="I7" s="269" t="s">
        <v>82</v>
      </c>
      <c r="J7" s="269" t="s">
        <v>83</v>
      </c>
      <c r="K7" s="284" t="s">
        <v>250</v>
      </c>
      <c r="L7" s="284" t="s">
        <v>118</v>
      </c>
      <c r="M7" s="264">
        <v>8.0</v>
      </c>
      <c r="N7" s="264" t="s">
        <v>85</v>
      </c>
      <c r="O7" s="271" t="str">
        <f>IFERROR(VLOOKUP(K7,'US History Framework Standards'!$A:$E,2,false),"")</f>
        <v>Constitutional Foundations (1763–1824)</v>
      </c>
      <c r="P7" s="271" t="str">
        <f>IFERROR(__xludf.DUMMYFUNCTION("IFERROR(Index(SPLIT(#REF!,"".""),1,1))"),"")</f>
        <v/>
      </c>
      <c r="Q7" s="271" t="str">
        <f>IFERROR(__xludf.DUMMYFUNCTION("IFERROR(Index(SPLIT(#REF!,"".""),1,2))"),"")</f>
        <v/>
      </c>
      <c r="R7" s="271" t="str">
        <f>IFERROR(VLOOKUP(#REF!,'US History Framework Standards'!$A:$E,3,false),"")</f>
        <v/>
      </c>
      <c r="S7" s="271" t="str">
        <f>IFERROR(__xludf.DUMMYFUNCTION("IFERROR(Index(SPLIT(#REF!,"".""),1,3)&amp;Index(SPLIT(#REF!,"".""),1,4))"),"")</f>
        <v/>
      </c>
      <c r="T7" s="271" t="str">
        <f>iferror(VLOOKUP(L7,'US History Framework Standards'!$A:$E,2,false),"")</f>
        <v>Early Supreme Court Cases</v>
      </c>
      <c r="U7" s="267">
        <v>5.0</v>
      </c>
      <c r="V7" s="265" t="s">
        <v>247</v>
      </c>
      <c r="W7" s="265">
        <v>1201718.0</v>
      </c>
      <c r="X7" s="267"/>
      <c r="Y7" s="267"/>
      <c r="Z7" s="264" t="s">
        <v>248</v>
      </c>
      <c r="AA7" s="272"/>
      <c r="AB7" s="272" t="str">
        <f t="shared" si="1"/>
        <v>HXRG_1201718_Multiple Choice.jpg</v>
      </c>
    </row>
    <row r="8" ht="15.75" customHeight="1">
      <c r="A8" s="264" t="s">
        <v>243</v>
      </c>
      <c r="B8" s="265" t="s">
        <v>244</v>
      </c>
      <c r="C8" s="265">
        <v>6.0</v>
      </c>
      <c r="D8" s="266">
        <v>4.0</v>
      </c>
      <c r="E8" s="265"/>
      <c r="F8" s="267"/>
      <c r="G8" s="265"/>
      <c r="H8" s="283" t="s">
        <v>292</v>
      </c>
      <c r="I8" s="269" t="s">
        <v>82</v>
      </c>
      <c r="J8" s="269" t="s">
        <v>83</v>
      </c>
      <c r="K8" s="284" t="s">
        <v>250</v>
      </c>
      <c r="L8" s="284" t="s">
        <v>118</v>
      </c>
      <c r="M8" s="264">
        <v>1.0</v>
      </c>
      <c r="N8" s="264" t="s">
        <v>85</v>
      </c>
      <c r="O8" s="271" t="str">
        <f>IFERROR(VLOOKUP(K8,'US History Framework Standards'!$A:$E,2,false),"")</f>
        <v>Constitutional Foundations (1763–1824)</v>
      </c>
      <c r="P8" s="271" t="str">
        <f>IFERROR(__xludf.DUMMYFUNCTION("IFERROR(Index(SPLIT(#REF!,"".""),1,1))"),"")</f>
        <v/>
      </c>
      <c r="Q8" s="271" t="str">
        <f>IFERROR(__xludf.DUMMYFUNCTION("IFERROR(Index(SPLIT(#REF!,"".""),1,2))"),"")</f>
        <v/>
      </c>
      <c r="R8" s="271" t="str">
        <f>IFERROR(VLOOKUP(#REF!,'US History Framework Standards'!$A:$E,3,false),"")</f>
        <v/>
      </c>
      <c r="S8" s="271" t="str">
        <f>IFERROR(__xludf.DUMMYFUNCTION("IFERROR(Index(SPLIT(#REF!,"".""),1,3)&amp;Index(SPLIT(#REF!,"".""),1,4))"),"")</f>
        <v/>
      </c>
      <c r="T8" s="271" t="str">
        <f>iferror(VLOOKUP(L8,'US History Framework Standards'!$A:$E,2,false),"")</f>
        <v>Early Supreme Court Cases</v>
      </c>
      <c r="U8" s="267">
        <v>6.0</v>
      </c>
      <c r="V8" s="265" t="s">
        <v>247</v>
      </c>
      <c r="W8" s="265">
        <v>1201718.0</v>
      </c>
      <c r="X8" s="267"/>
      <c r="Y8" s="267"/>
      <c r="Z8" s="264" t="s">
        <v>248</v>
      </c>
      <c r="AA8" s="272"/>
      <c r="AB8" s="272" t="str">
        <f t="shared" si="1"/>
        <v>HXRG_1201718_Multiple Choice.jpg</v>
      </c>
    </row>
    <row r="9" ht="15.75" customHeight="1">
      <c r="A9" s="273" t="s">
        <v>243</v>
      </c>
      <c r="B9" s="274" t="s">
        <v>244</v>
      </c>
      <c r="C9" s="274">
        <v>7.0</v>
      </c>
      <c r="D9" s="275">
        <v>1.0</v>
      </c>
      <c r="E9" s="274"/>
      <c r="F9" s="276"/>
      <c r="G9" s="274"/>
      <c r="H9" s="277" t="s">
        <v>293</v>
      </c>
      <c r="I9" s="278" t="s">
        <v>82</v>
      </c>
      <c r="J9" s="278" t="s">
        <v>83</v>
      </c>
      <c r="K9" s="279" t="s">
        <v>254</v>
      </c>
      <c r="L9" s="279" t="s">
        <v>120</v>
      </c>
      <c r="M9" s="273">
        <v>3.0</v>
      </c>
      <c r="N9" s="273" t="s">
        <v>85</v>
      </c>
      <c r="O9" s="280" t="str">
        <f>IFERROR(VLOOKUP(K9,'US History Framework Standards'!$A:$E,2,false),"")</f>
        <v>Expansion, Nationalism, and Sectionalism (1800-1865)</v>
      </c>
      <c r="P9" s="280" t="str">
        <f>IFERROR(__xludf.DUMMYFUNCTION("IFERROR(Index(SPLIT(#REF!,"".""),1,1))"),"")</f>
        <v/>
      </c>
      <c r="Q9" s="280" t="str">
        <f>IFERROR(__xludf.DUMMYFUNCTION("IFERROR(Index(SPLIT(#REF!,"".""),1,2))"),"")</f>
        <v/>
      </c>
      <c r="R9" s="280" t="str">
        <f>IFERROR(VLOOKUP(#REF!,'US History Framework Standards'!$A:$E,3,false),"")</f>
        <v/>
      </c>
      <c r="S9" s="280" t="str">
        <f>IFERROR(__xludf.DUMMYFUNCTION("IFERROR(Index(SPLIT(#REF!,"".""),1,3)&amp;Index(SPLIT(#REF!,"".""),1,4))"),"")</f>
        <v/>
      </c>
      <c r="T9" s="280" t="str">
        <f>iferror(VLOOKUP(L9,'US History Framework Standards'!$A:$E,2,false),"")</f>
        <v>American Nationalism</v>
      </c>
      <c r="U9" s="276">
        <v>7.0</v>
      </c>
      <c r="V9" s="274" t="s">
        <v>247</v>
      </c>
      <c r="W9" s="274">
        <v>1201718.0</v>
      </c>
      <c r="X9" s="276"/>
      <c r="Y9" s="276"/>
      <c r="Z9" s="273" t="s">
        <v>248</v>
      </c>
      <c r="AA9" s="281"/>
      <c r="AB9" s="281" t="str">
        <f t="shared" si="1"/>
        <v>HXRG_1201718_Multiple Choice.jpg</v>
      </c>
    </row>
    <row r="10" ht="15.75" customHeight="1">
      <c r="A10" s="273" t="s">
        <v>243</v>
      </c>
      <c r="B10" s="274" t="s">
        <v>244</v>
      </c>
      <c r="C10" s="274">
        <v>8.0</v>
      </c>
      <c r="D10" s="275">
        <v>4.0</v>
      </c>
      <c r="E10" s="274"/>
      <c r="F10" s="276"/>
      <c r="G10" s="274"/>
      <c r="H10" s="277" t="s">
        <v>293</v>
      </c>
      <c r="I10" s="278" t="s">
        <v>82</v>
      </c>
      <c r="J10" s="278" t="s">
        <v>83</v>
      </c>
      <c r="K10" s="279" t="s">
        <v>254</v>
      </c>
      <c r="L10" s="279" t="s">
        <v>120</v>
      </c>
      <c r="M10" s="273">
        <v>18.0</v>
      </c>
      <c r="N10" s="273" t="s">
        <v>85</v>
      </c>
      <c r="O10" s="280" t="str">
        <f>IFERROR(VLOOKUP(K10,'US History Framework Standards'!$A:$E,2,false),"")</f>
        <v>Expansion, Nationalism, and Sectionalism (1800-1865)</v>
      </c>
      <c r="P10" s="280" t="str">
        <f>IFERROR(__xludf.DUMMYFUNCTION("IFERROR(Index(SPLIT(#REF!,"".""),1,1))"),"")</f>
        <v/>
      </c>
      <c r="Q10" s="280" t="str">
        <f>IFERROR(__xludf.DUMMYFUNCTION("IFERROR(Index(SPLIT(#REF!,"".""),1,2))"),"")</f>
        <v/>
      </c>
      <c r="R10" s="280" t="str">
        <f>IFERROR(VLOOKUP(#REF!,'US History Framework Standards'!$A:$E,3,false),"")</f>
        <v/>
      </c>
      <c r="S10" s="280" t="str">
        <f>IFERROR(__xludf.DUMMYFUNCTION("IFERROR(Index(SPLIT(#REF!,"".""),1,3)&amp;Index(SPLIT(#REF!,"".""),1,4))"),"")</f>
        <v/>
      </c>
      <c r="T10" s="280" t="str">
        <f>iferror(VLOOKUP(L10,'US History Framework Standards'!$A:$E,2,false),"")</f>
        <v>American Nationalism</v>
      </c>
      <c r="U10" s="276">
        <v>8.0</v>
      </c>
      <c r="V10" s="274" t="s">
        <v>247</v>
      </c>
      <c r="W10" s="274">
        <v>1201718.0</v>
      </c>
      <c r="X10" s="276"/>
      <c r="Y10" s="276"/>
      <c r="Z10" s="273" t="s">
        <v>248</v>
      </c>
      <c r="AA10" s="281"/>
      <c r="AB10" s="281" t="str">
        <f t="shared" si="1"/>
        <v>HXRG_1201718_Multiple Choice.jpg</v>
      </c>
    </row>
    <row r="11" ht="15.75" customHeight="1">
      <c r="A11" s="264" t="s">
        <v>243</v>
      </c>
      <c r="B11" s="265" t="s">
        <v>244</v>
      </c>
      <c r="C11" s="265">
        <v>9.0</v>
      </c>
      <c r="D11" s="266">
        <v>2.0</v>
      </c>
      <c r="E11" s="265"/>
      <c r="F11" s="267"/>
      <c r="G11" s="265"/>
      <c r="H11" s="268" t="s">
        <v>294</v>
      </c>
      <c r="I11" s="269" t="s">
        <v>82</v>
      </c>
      <c r="J11" s="269" t="s">
        <v>83</v>
      </c>
      <c r="K11" s="284" t="s">
        <v>254</v>
      </c>
      <c r="L11" s="284" t="s">
        <v>128</v>
      </c>
      <c r="M11" s="264">
        <v>2.0</v>
      </c>
      <c r="N11" s="264" t="s">
        <v>85</v>
      </c>
      <c r="O11" s="271" t="str">
        <f>IFERROR(VLOOKUP(K11,'US History Framework Standards'!$A:$E,2,false),"")</f>
        <v>Expansion, Nationalism, and Sectionalism (1800-1865)</v>
      </c>
      <c r="P11" s="271" t="str">
        <f>IFERROR(__xludf.DUMMYFUNCTION("IFERROR(Index(SPLIT(#REF!,"".""),1,1))"),"")</f>
        <v/>
      </c>
      <c r="Q11" s="271" t="str">
        <f>IFERROR(__xludf.DUMMYFUNCTION("IFERROR(Index(SPLIT(#REF!,"".""),1,2))"),"")</f>
        <v/>
      </c>
      <c r="R11" s="271" t="str">
        <f>IFERROR(VLOOKUP(#REF!,'US History Framework Standards'!$A:$E,3,false),"")</f>
        <v/>
      </c>
      <c r="S11" s="271" t="str">
        <f>IFERROR(__xludf.DUMMYFUNCTION("IFERROR(Index(SPLIT(#REF!,"".""),1,3)&amp;Index(SPLIT(#REF!,"".""),1,4))"),"")</f>
        <v/>
      </c>
      <c r="T11" s="271" t="str">
        <f>iferror(VLOOKUP(L11,'US History Framework Standards'!$A:$E,2,false),"")</f>
        <v>Federal Power: Habeas Corpus &amp; Emancipation</v>
      </c>
      <c r="U11" s="267">
        <v>9.0</v>
      </c>
      <c r="V11" s="265" t="s">
        <v>247</v>
      </c>
      <c r="W11" s="265">
        <v>1201718.0</v>
      </c>
      <c r="X11" s="267"/>
      <c r="Y11" s="267"/>
      <c r="Z11" s="264" t="s">
        <v>248</v>
      </c>
      <c r="AA11" s="272"/>
      <c r="AB11" s="272" t="str">
        <f t="shared" si="1"/>
        <v>HXRG_1201718_Multiple Choice.jpg</v>
      </c>
    </row>
    <row r="12" ht="15.75" customHeight="1">
      <c r="A12" s="264" t="s">
        <v>243</v>
      </c>
      <c r="B12" s="265" t="s">
        <v>244</v>
      </c>
      <c r="C12" s="265">
        <v>10.0</v>
      </c>
      <c r="D12" s="266">
        <v>3.0</v>
      </c>
      <c r="E12" s="265"/>
      <c r="F12" s="267"/>
      <c r="G12" s="265"/>
      <c r="H12" s="283" t="s">
        <v>294</v>
      </c>
      <c r="I12" s="269" t="s">
        <v>82</v>
      </c>
      <c r="J12" s="269" t="s">
        <v>83</v>
      </c>
      <c r="K12" s="284" t="s">
        <v>254</v>
      </c>
      <c r="L12" s="284" t="s">
        <v>128</v>
      </c>
      <c r="M12" s="264">
        <v>18.0</v>
      </c>
      <c r="N12" s="264" t="s">
        <v>85</v>
      </c>
      <c r="O12" s="271" t="str">
        <f>IFERROR(VLOOKUP(K12,'US History Framework Standards'!$A:$E,2,false),"")</f>
        <v>Expansion, Nationalism, and Sectionalism (1800-1865)</v>
      </c>
      <c r="P12" s="271" t="str">
        <f>IFERROR(__xludf.DUMMYFUNCTION("IFERROR(Index(SPLIT(#REF!,"".""),1,1))"),"")</f>
        <v/>
      </c>
      <c r="Q12" s="271" t="str">
        <f>IFERROR(__xludf.DUMMYFUNCTION("IFERROR(Index(SPLIT(#REF!,"".""),1,2))"),"")</f>
        <v/>
      </c>
      <c r="R12" s="271" t="str">
        <f>IFERROR(VLOOKUP(#REF!,'US History Framework Standards'!$A:$E,3,false),"")</f>
        <v/>
      </c>
      <c r="S12" s="271" t="str">
        <f>IFERROR(__xludf.DUMMYFUNCTION("IFERROR(Index(SPLIT(#REF!,"".""),1,3)&amp;Index(SPLIT(#REF!,"".""),1,4))"),"")</f>
        <v/>
      </c>
      <c r="T12" s="271" t="str">
        <f>iferror(VLOOKUP(L12,'US History Framework Standards'!$A:$E,2,false),"")</f>
        <v>Federal Power: Habeas Corpus &amp; Emancipation</v>
      </c>
      <c r="U12" s="267">
        <v>10.0</v>
      </c>
      <c r="V12" s="265" t="s">
        <v>247</v>
      </c>
      <c r="W12" s="265">
        <v>1201718.0</v>
      </c>
      <c r="X12" s="267"/>
      <c r="Y12" s="267"/>
      <c r="Z12" s="264" t="s">
        <v>248</v>
      </c>
      <c r="AA12" s="272"/>
      <c r="AB12" s="272" t="str">
        <f t="shared" si="1"/>
        <v>HXRG_1201718_Multiple Choice.jpg</v>
      </c>
    </row>
    <row r="13" ht="15.75" customHeight="1">
      <c r="A13" s="273" t="s">
        <v>243</v>
      </c>
      <c r="B13" s="274" t="s">
        <v>244</v>
      </c>
      <c r="C13" s="274">
        <v>11.0</v>
      </c>
      <c r="D13" s="275">
        <v>4.0</v>
      </c>
      <c r="E13" s="274"/>
      <c r="F13" s="276"/>
      <c r="G13" s="274"/>
      <c r="H13" s="282" t="s">
        <v>295</v>
      </c>
      <c r="I13" s="278" t="s">
        <v>82</v>
      </c>
      <c r="J13" s="274" t="s">
        <v>87</v>
      </c>
      <c r="K13" s="279" t="s">
        <v>258</v>
      </c>
      <c r="L13" s="279" t="s">
        <v>141</v>
      </c>
      <c r="M13" s="273">
        <v>2.0</v>
      </c>
      <c r="N13" s="273" t="s">
        <v>85</v>
      </c>
      <c r="O13" s="280" t="str">
        <f>IFERROR(VLOOKUP(K13,'US History Framework Standards'!$A:$E,2,false),"")</f>
        <v>Industrialization and Urbanization (1870-1920)</v>
      </c>
      <c r="P13" s="280" t="str">
        <f>IFERROR(__xludf.DUMMYFUNCTION("IFERROR(Index(SPLIT(#REF!,"".""),1,1))"),"")</f>
        <v/>
      </c>
      <c r="Q13" s="280" t="str">
        <f>IFERROR(__xludf.DUMMYFUNCTION("IFERROR(Index(SPLIT(#REF!,"".""),1,2))"),"")</f>
        <v/>
      </c>
      <c r="R13" s="280" t="str">
        <f>IFERROR(VLOOKUP(#REF!,'US History Framework Standards'!$A:$E,3,false),"")</f>
        <v/>
      </c>
      <c r="S13" s="280" t="str">
        <f>IFERROR(__xludf.DUMMYFUNCTION("IFERROR(Index(SPLIT(#REF!,"".""),1,3)&amp;Index(SPLIT(#REF!,"".""),1,4))"),"")</f>
        <v/>
      </c>
      <c r="T13" s="280" t="str">
        <f>iferror(VLOOKUP(L13,'US History Framework Standards'!$A:$E,2,false),"")</f>
        <v>Regulation vs Monopolies</v>
      </c>
      <c r="U13" s="276">
        <v>11.0</v>
      </c>
      <c r="V13" s="274" t="s">
        <v>247</v>
      </c>
      <c r="W13" s="274">
        <v>1201718.0</v>
      </c>
      <c r="X13" s="276"/>
      <c r="Y13" s="276"/>
      <c r="Z13" s="273" t="s">
        <v>248</v>
      </c>
      <c r="AA13" s="281"/>
      <c r="AB13" s="281" t="str">
        <f t="shared" si="1"/>
        <v>HXRG_1201718_Multiple Choice.jpg</v>
      </c>
    </row>
    <row r="14" ht="15.75" customHeight="1">
      <c r="A14" s="273" t="s">
        <v>243</v>
      </c>
      <c r="B14" s="274" t="s">
        <v>244</v>
      </c>
      <c r="C14" s="274">
        <v>12.0</v>
      </c>
      <c r="D14" s="275">
        <v>3.0</v>
      </c>
      <c r="E14" s="274"/>
      <c r="F14" s="276"/>
      <c r="G14" s="274"/>
      <c r="H14" s="282" t="s">
        <v>295</v>
      </c>
      <c r="I14" s="278" t="s">
        <v>82</v>
      </c>
      <c r="J14" s="274" t="s">
        <v>87</v>
      </c>
      <c r="K14" s="279" t="s">
        <v>258</v>
      </c>
      <c r="L14" s="279" t="s">
        <v>141</v>
      </c>
      <c r="M14" s="273">
        <v>1.0</v>
      </c>
      <c r="N14" s="273" t="s">
        <v>85</v>
      </c>
      <c r="O14" s="280" t="str">
        <f>IFERROR(VLOOKUP(K14,'US History Framework Standards'!$A:$E,2,false),"")</f>
        <v>Industrialization and Urbanization (1870-1920)</v>
      </c>
      <c r="P14" s="280" t="str">
        <f>IFERROR(__xludf.DUMMYFUNCTION("IFERROR(Index(SPLIT(#REF!,"".""),1,1))"),"")</f>
        <v/>
      </c>
      <c r="Q14" s="280" t="str">
        <f>IFERROR(__xludf.DUMMYFUNCTION("IFERROR(Index(SPLIT(#REF!,"".""),1,2))"),"")</f>
        <v/>
      </c>
      <c r="R14" s="280" t="str">
        <f>IFERROR(VLOOKUP(#REF!,'US History Framework Standards'!$A:$E,3,false),"")</f>
        <v/>
      </c>
      <c r="S14" s="280" t="str">
        <f>IFERROR(__xludf.DUMMYFUNCTION("IFERROR(Index(SPLIT(#REF!,"".""),1,3)&amp;Index(SPLIT(#REF!,"".""),1,4))"),"")</f>
        <v/>
      </c>
      <c r="T14" s="280" t="str">
        <f>iferror(VLOOKUP(L14,'US History Framework Standards'!$A:$E,2,false),"")</f>
        <v>Regulation vs Monopolies</v>
      </c>
      <c r="U14" s="276">
        <v>12.0</v>
      </c>
      <c r="V14" s="274" t="s">
        <v>247</v>
      </c>
      <c r="W14" s="274">
        <v>1201718.0</v>
      </c>
      <c r="X14" s="276"/>
      <c r="Y14" s="276"/>
      <c r="Z14" s="273" t="s">
        <v>248</v>
      </c>
      <c r="AA14" s="281"/>
      <c r="AB14" s="281" t="str">
        <f t="shared" si="1"/>
        <v>HXRG_1201718_Multiple Choice.jpg</v>
      </c>
    </row>
    <row r="15" ht="15.75" customHeight="1">
      <c r="A15" s="264" t="s">
        <v>243</v>
      </c>
      <c r="B15" s="265" t="s">
        <v>244</v>
      </c>
      <c r="C15" s="265">
        <v>13.0</v>
      </c>
      <c r="D15" s="266">
        <v>2.0</v>
      </c>
      <c r="E15" s="265"/>
      <c r="F15" s="267"/>
      <c r="G15" s="265"/>
      <c r="H15" s="268" t="s">
        <v>296</v>
      </c>
      <c r="I15" s="265" t="s">
        <v>90</v>
      </c>
      <c r="J15" s="265" t="s">
        <v>96</v>
      </c>
      <c r="K15" s="284" t="s">
        <v>258</v>
      </c>
      <c r="L15" s="284" t="s">
        <v>142</v>
      </c>
      <c r="M15" s="264">
        <v>4.0</v>
      </c>
      <c r="N15" s="264" t="s">
        <v>89</v>
      </c>
      <c r="O15" s="271" t="str">
        <f>IFERROR(VLOOKUP(K15,'US History Framework Standards'!$A:$E,2,false),"")</f>
        <v>Industrialization and Urbanization (1870-1920)</v>
      </c>
      <c r="P15" s="271" t="str">
        <f>IFERROR(__xludf.DUMMYFUNCTION("IFERROR(Index(SPLIT(#REF!,"".""),1,1))"),"")</f>
        <v/>
      </c>
      <c r="Q15" s="271" t="str">
        <f>IFERROR(__xludf.DUMMYFUNCTION("IFERROR(Index(SPLIT(#REF!,"".""),1,2))"),"")</f>
        <v/>
      </c>
      <c r="R15" s="271" t="str">
        <f>IFERROR(VLOOKUP(#REF!,'US History Framework Standards'!$A:$E,3,false),"")</f>
        <v/>
      </c>
      <c r="S15" s="271" t="str">
        <f>IFERROR(__xludf.DUMMYFUNCTION("IFERROR(Index(SPLIT(#REF!,"".""),1,3)&amp;Index(SPLIT(#REF!,"".""),1,4))"),"")</f>
        <v/>
      </c>
      <c r="T15" s="271" t="str">
        <f>iferror(VLOOKUP(L15,'US History Framework Standards'!$A:$E,2,false),"")</f>
        <v>Urbanization &amp; Immigration</v>
      </c>
      <c r="U15" s="267">
        <v>13.0</v>
      </c>
      <c r="V15" s="265" t="s">
        <v>247</v>
      </c>
      <c r="W15" s="265">
        <v>1201718.0</v>
      </c>
      <c r="X15" s="267"/>
      <c r="Y15" s="267"/>
      <c r="Z15" s="264" t="s">
        <v>248</v>
      </c>
      <c r="AA15" s="272"/>
      <c r="AB15" s="272" t="str">
        <f t="shared" si="1"/>
        <v>HXRG_1201718_Multiple Choice.jpg</v>
      </c>
    </row>
    <row r="16" ht="15.75" customHeight="1">
      <c r="A16" s="264" t="s">
        <v>243</v>
      </c>
      <c r="B16" s="265" t="s">
        <v>244</v>
      </c>
      <c r="C16" s="265">
        <v>14.0</v>
      </c>
      <c r="D16" s="266">
        <v>1.0</v>
      </c>
      <c r="E16" s="265"/>
      <c r="F16" s="267"/>
      <c r="G16" s="265"/>
      <c r="H16" s="268" t="s">
        <v>296</v>
      </c>
      <c r="I16" s="265" t="s">
        <v>90</v>
      </c>
      <c r="J16" s="265" t="s">
        <v>96</v>
      </c>
      <c r="K16" s="284" t="s">
        <v>258</v>
      </c>
      <c r="L16" s="284" t="s">
        <v>142</v>
      </c>
      <c r="M16" s="264">
        <v>18.0</v>
      </c>
      <c r="N16" s="264" t="s">
        <v>85</v>
      </c>
      <c r="O16" s="271" t="str">
        <f>IFERROR(VLOOKUP(K16,'US History Framework Standards'!$A:$E,2,false),"")</f>
        <v>Industrialization and Urbanization (1870-1920)</v>
      </c>
      <c r="P16" s="271" t="str">
        <f>IFERROR(__xludf.DUMMYFUNCTION("IFERROR(Index(SPLIT(#REF!,"".""),1,1))"),"")</f>
        <v/>
      </c>
      <c r="Q16" s="271" t="str">
        <f>IFERROR(__xludf.DUMMYFUNCTION("IFERROR(Index(SPLIT(#REF!,"".""),1,2))"),"")</f>
        <v/>
      </c>
      <c r="R16" s="271" t="str">
        <f>IFERROR(VLOOKUP(#REF!,'US History Framework Standards'!$A:$E,3,false),"")</f>
        <v/>
      </c>
      <c r="S16" s="271" t="str">
        <f>IFERROR(__xludf.DUMMYFUNCTION("IFERROR(Index(SPLIT(#REF!,"".""),1,3)&amp;Index(SPLIT(#REF!,"".""),1,4))"),"")</f>
        <v/>
      </c>
      <c r="T16" s="271" t="str">
        <f>iferror(VLOOKUP(L16,'US History Framework Standards'!$A:$E,2,false),"")</f>
        <v>Urbanization &amp; Immigration</v>
      </c>
      <c r="U16" s="267">
        <v>14.0</v>
      </c>
      <c r="V16" s="265" t="s">
        <v>247</v>
      </c>
      <c r="W16" s="265">
        <v>1201718.0</v>
      </c>
      <c r="X16" s="267"/>
      <c r="Y16" s="267"/>
      <c r="Z16" s="264" t="s">
        <v>248</v>
      </c>
      <c r="AA16" s="272"/>
      <c r="AB16" s="272" t="str">
        <f t="shared" si="1"/>
        <v>HXRG_1201718_Multiple Choice.jpg</v>
      </c>
    </row>
    <row r="17" ht="15.75" customHeight="1">
      <c r="A17" s="273" t="s">
        <v>243</v>
      </c>
      <c r="B17" s="274" t="s">
        <v>244</v>
      </c>
      <c r="C17" s="274">
        <v>15.0</v>
      </c>
      <c r="D17" s="275">
        <v>4.0</v>
      </c>
      <c r="E17" s="274"/>
      <c r="F17" s="276"/>
      <c r="G17" s="274"/>
      <c r="H17" s="285" t="s">
        <v>297</v>
      </c>
      <c r="I17" s="278" t="s">
        <v>82</v>
      </c>
      <c r="J17" s="278" t="s">
        <v>83</v>
      </c>
      <c r="K17" s="279" t="s">
        <v>261</v>
      </c>
      <c r="L17" s="279" t="s">
        <v>152</v>
      </c>
      <c r="M17" s="273">
        <v>15.0</v>
      </c>
      <c r="N17" s="273" t="s">
        <v>89</v>
      </c>
      <c r="O17" s="280" t="str">
        <f>IFERROR(VLOOKUP(K17,'US History Framework Standards'!$A:$E,2,false),"")</f>
        <v>Rise of American Power (1890-1920)</v>
      </c>
      <c r="P17" s="280" t="str">
        <f>IFERROR(__xludf.DUMMYFUNCTION("IFERROR(Index(SPLIT(#REF!,"".""),1,1))"),"")</f>
        <v/>
      </c>
      <c r="Q17" s="280" t="str">
        <f>IFERROR(__xludf.DUMMYFUNCTION("IFERROR(Index(SPLIT(#REF!,"".""),1,2))"),"")</f>
        <v/>
      </c>
      <c r="R17" s="280" t="str">
        <f>IFERROR(VLOOKUP(#REF!,'US History Framework Standards'!$A:$E,3,false),"")</f>
        <v/>
      </c>
      <c r="S17" s="280" t="str">
        <f>IFERROR(__xludf.DUMMYFUNCTION("IFERROR(Index(SPLIT(#REF!,"".""),1,3)&amp;Index(SPLIT(#REF!,"".""),1,4))"),"")</f>
        <v/>
      </c>
      <c r="T17" s="280" t="str">
        <f>iferror(VLOOKUP(L17,'US History Framework Standards'!$A:$E,2,false),"")</f>
        <v>Imperialism in the Caribbean &amp; Latin America</v>
      </c>
      <c r="U17" s="276">
        <v>15.0</v>
      </c>
      <c r="V17" s="274" t="s">
        <v>247</v>
      </c>
      <c r="W17" s="274">
        <v>1201718.0</v>
      </c>
      <c r="X17" s="276"/>
      <c r="Y17" s="276"/>
      <c r="Z17" s="273" t="s">
        <v>248</v>
      </c>
      <c r="AA17" s="281"/>
      <c r="AB17" s="281" t="str">
        <f t="shared" si="1"/>
        <v>HXRG_1201718_Multiple Choice.jpg</v>
      </c>
    </row>
    <row r="18" ht="15.75" customHeight="1">
      <c r="A18" s="273" t="s">
        <v>243</v>
      </c>
      <c r="B18" s="274" t="s">
        <v>244</v>
      </c>
      <c r="C18" s="274">
        <v>16.0</v>
      </c>
      <c r="D18" s="275">
        <v>1.0</v>
      </c>
      <c r="E18" s="274"/>
      <c r="F18" s="276"/>
      <c r="G18" s="274"/>
      <c r="H18" s="285" t="s">
        <v>297</v>
      </c>
      <c r="I18" s="278" t="s">
        <v>82</v>
      </c>
      <c r="J18" s="278" t="s">
        <v>83</v>
      </c>
      <c r="K18" s="279" t="s">
        <v>261</v>
      </c>
      <c r="L18" s="279" t="s">
        <v>152</v>
      </c>
      <c r="M18" s="273">
        <v>10.0</v>
      </c>
      <c r="N18" s="273" t="s">
        <v>85</v>
      </c>
      <c r="O18" s="280" t="str">
        <f>IFERROR(VLOOKUP(K18,'US History Framework Standards'!$A:$E,2,false),"")</f>
        <v>Rise of American Power (1890-1920)</v>
      </c>
      <c r="P18" s="280" t="str">
        <f>IFERROR(__xludf.DUMMYFUNCTION("IFERROR(Index(SPLIT(#REF!,"".""),1,1))"),"")</f>
        <v/>
      </c>
      <c r="Q18" s="280" t="str">
        <f>IFERROR(__xludf.DUMMYFUNCTION("IFERROR(Index(SPLIT(#REF!,"".""),1,2))"),"")</f>
        <v/>
      </c>
      <c r="R18" s="280" t="str">
        <f>IFERROR(VLOOKUP(#REF!,'US History Framework Standards'!$A:$E,3,false),"")</f>
        <v/>
      </c>
      <c r="S18" s="280" t="str">
        <f>IFERROR(__xludf.DUMMYFUNCTION("IFERROR(Index(SPLIT(#REF!,"".""),1,3)&amp;Index(SPLIT(#REF!,"".""),1,4))"),"")</f>
        <v/>
      </c>
      <c r="T18" s="280" t="str">
        <f>iferror(VLOOKUP(L18,'US History Framework Standards'!$A:$E,2,false),"")</f>
        <v>Imperialism in the Caribbean &amp; Latin America</v>
      </c>
      <c r="U18" s="276">
        <v>16.0</v>
      </c>
      <c r="V18" s="274" t="s">
        <v>247</v>
      </c>
      <c r="W18" s="274">
        <v>1201718.0</v>
      </c>
      <c r="X18" s="276"/>
      <c r="Y18" s="276"/>
      <c r="Z18" s="273" t="s">
        <v>248</v>
      </c>
      <c r="AA18" s="281"/>
      <c r="AB18" s="281" t="str">
        <f t="shared" si="1"/>
        <v>HXRG_1201718_Multiple Choice.jpg</v>
      </c>
    </row>
    <row r="19" ht="15.75" customHeight="1">
      <c r="A19" s="264" t="s">
        <v>243</v>
      </c>
      <c r="B19" s="265" t="s">
        <v>244</v>
      </c>
      <c r="C19" s="265">
        <v>17.0</v>
      </c>
      <c r="D19" s="266">
        <v>4.0</v>
      </c>
      <c r="E19" s="265"/>
      <c r="F19" s="267"/>
      <c r="G19" s="265"/>
      <c r="H19" s="283" t="s">
        <v>298</v>
      </c>
      <c r="I19" s="269" t="s">
        <v>82</v>
      </c>
      <c r="J19" s="269" t="s">
        <v>83</v>
      </c>
      <c r="K19" s="284" t="s">
        <v>264</v>
      </c>
      <c r="L19" s="284" t="s">
        <v>171</v>
      </c>
      <c r="M19" s="264">
        <v>8.0</v>
      </c>
      <c r="N19" s="264" t="s">
        <v>85</v>
      </c>
      <c r="O19" s="271" t="str">
        <f>IFERROR(VLOOKUP(K19,'US History Framework Standards'!$A:$E,2,false),"")</f>
        <v>Prosperity and Depression (1920-1939)</v>
      </c>
      <c r="P19" s="271" t="str">
        <f>IFERROR(__xludf.DUMMYFUNCTION("IFERROR(Index(SPLIT(#REF!,"".""),1,1))"),"")</f>
        <v/>
      </c>
      <c r="Q19" s="271" t="str">
        <f>IFERROR(__xludf.DUMMYFUNCTION("IFERROR(Index(SPLIT(#REF!,"".""),1,2))"),"")</f>
        <v/>
      </c>
      <c r="R19" s="271" t="str">
        <f>IFERROR(VLOOKUP(#REF!,'US History Framework Standards'!$A:$E,3,false),"")</f>
        <v/>
      </c>
      <c r="S19" s="271" t="str">
        <f>IFERROR(__xludf.DUMMYFUNCTION("IFERROR(Index(SPLIT(#REF!,"".""),1,3)&amp;Index(SPLIT(#REF!,"".""),1,4))"),"")</f>
        <v/>
      </c>
      <c r="T19" s="271" t="str">
        <f>iferror(VLOOKUP(L19,'US History Framework Standards'!$A:$E,2,false),"")</f>
        <v>New Deal</v>
      </c>
      <c r="U19" s="267">
        <v>17.0</v>
      </c>
      <c r="V19" s="265" t="s">
        <v>247</v>
      </c>
      <c r="W19" s="265">
        <v>1201718.0</v>
      </c>
      <c r="X19" s="267"/>
      <c r="Y19" s="267"/>
      <c r="Z19" s="264" t="s">
        <v>248</v>
      </c>
      <c r="AA19" s="272"/>
      <c r="AB19" s="272" t="str">
        <f t="shared" si="1"/>
        <v>HXRG_1201718_Multiple Choice.jpg</v>
      </c>
    </row>
    <row r="20" ht="15.75" customHeight="1">
      <c r="A20" s="264" t="s">
        <v>243</v>
      </c>
      <c r="B20" s="265" t="s">
        <v>244</v>
      </c>
      <c r="C20" s="265">
        <v>18.0</v>
      </c>
      <c r="D20" s="266">
        <v>1.0</v>
      </c>
      <c r="E20" s="265"/>
      <c r="F20" s="267"/>
      <c r="G20" s="265"/>
      <c r="H20" s="283" t="s">
        <v>298</v>
      </c>
      <c r="I20" s="269" t="s">
        <v>82</v>
      </c>
      <c r="J20" s="269" t="s">
        <v>83</v>
      </c>
      <c r="K20" s="284" t="s">
        <v>264</v>
      </c>
      <c r="L20" s="284" t="s">
        <v>171</v>
      </c>
      <c r="M20" s="264">
        <v>18.0</v>
      </c>
      <c r="N20" s="264" t="s">
        <v>85</v>
      </c>
      <c r="O20" s="271" t="str">
        <f>IFERROR(VLOOKUP(K20,'US History Framework Standards'!$A:$E,2,false),"")</f>
        <v>Prosperity and Depression (1920-1939)</v>
      </c>
      <c r="P20" s="271" t="str">
        <f>IFERROR(__xludf.DUMMYFUNCTION("IFERROR(Index(SPLIT(#REF!,"".""),1,1))"),"")</f>
        <v/>
      </c>
      <c r="Q20" s="271" t="str">
        <f>IFERROR(__xludf.DUMMYFUNCTION("IFERROR(Index(SPLIT(#REF!,"".""),1,2))"),"")</f>
        <v/>
      </c>
      <c r="R20" s="271" t="str">
        <f>IFERROR(VLOOKUP(#REF!,'US History Framework Standards'!$A:$E,3,false),"")</f>
        <v/>
      </c>
      <c r="S20" s="271" t="str">
        <f>IFERROR(__xludf.DUMMYFUNCTION("IFERROR(Index(SPLIT(#REF!,"".""),1,3)&amp;Index(SPLIT(#REF!,"".""),1,4))"),"")</f>
        <v/>
      </c>
      <c r="T20" s="271" t="str">
        <f>iferror(VLOOKUP(L20,'US History Framework Standards'!$A:$E,2,false),"")</f>
        <v>New Deal</v>
      </c>
      <c r="U20" s="267">
        <v>18.0</v>
      </c>
      <c r="V20" s="265" t="s">
        <v>247</v>
      </c>
      <c r="W20" s="265">
        <v>1201718.0</v>
      </c>
      <c r="X20" s="267"/>
      <c r="Y20" s="267"/>
      <c r="Z20" s="264" t="s">
        <v>248</v>
      </c>
      <c r="AA20" s="272"/>
      <c r="AB20" s="272" t="str">
        <f t="shared" si="1"/>
        <v>HXRG_1201718_Multiple Choice.jpg</v>
      </c>
    </row>
    <row r="21" ht="15.75" customHeight="1">
      <c r="A21" s="273" t="s">
        <v>243</v>
      </c>
      <c r="B21" s="274" t="s">
        <v>244</v>
      </c>
      <c r="C21" s="274">
        <v>19.0</v>
      </c>
      <c r="D21" s="275">
        <v>1.0</v>
      </c>
      <c r="E21" s="274"/>
      <c r="F21" s="276"/>
      <c r="G21" s="274"/>
      <c r="H21" s="285" t="s">
        <v>299</v>
      </c>
      <c r="I21" s="278" t="s">
        <v>82</v>
      </c>
      <c r="J21" s="278" t="s">
        <v>83</v>
      </c>
      <c r="K21" s="279" t="s">
        <v>266</v>
      </c>
      <c r="L21" s="279" t="s">
        <v>177</v>
      </c>
      <c r="M21" s="273">
        <v>7.0</v>
      </c>
      <c r="N21" s="273" t="s">
        <v>85</v>
      </c>
      <c r="O21" s="280" t="str">
        <f>IFERROR(VLOOKUP(K21,'US History Framework Standards'!$A:$E,2,false),"")</f>
        <v>World War II (1935-1945)</v>
      </c>
      <c r="P21" s="280" t="str">
        <f>IFERROR(__xludf.DUMMYFUNCTION("IFERROR(Index(SPLIT(#REF!,"".""),1,1))"),"")</f>
        <v/>
      </c>
      <c r="Q21" s="280" t="str">
        <f>IFERROR(__xludf.DUMMYFUNCTION("IFERROR(Index(SPLIT(#REF!,"".""),1,2))"),"")</f>
        <v/>
      </c>
      <c r="R21" s="280" t="str">
        <f>IFERROR(VLOOKUP(#REF!,'US History Framework Standards'!$A:$E,3,false),"")</f>
        <v/>
      </c>
      <c r="S21" s="280" t="str">
        <f>IFERROR(__xludf.DUMMYFUNCTION("IFERROR(Index(SPLIT(#REF!,"".""),1,3)&amp;Index(SPLIT(#REF!,"".""),1,4))"),"")</f>
        <v/>
      </c>
      <c r="T21" s="280" t="str">
        <f>iferror(VLOOKUP(L21,'US History Framework Standards'!$A:$E,2,false),"")</f>
        <v>Mobilizations</v>
      </c>
      <c r="U21" s="276">
        <v>19.0</v>
      </c>
      <c r="V21" s="274" t="s">
        <v>247</v>
      </c>
      <c r="W21" s="274">
        <v>1201718.0</v>
      </c>
      <c r="X21" s="276"/>
      <c r="Y21" s="276"/>
      <c r="Z21" s="273" t="s">
        <v>248</v>
      </c>
      <c r="AA21" s="281"/>
      <c r="AB21" s="281" t="str">
        <f t="shared" si="1"/>
        <v>HXRG_1201718_Multiple Choice.jpg</v>
      </c>
    </row>
    <row r="22" ht="15.75" customHeight="1">
      <c r="A22" s="273" t="s">
        <v>243</v>
      </c>
      <c r="B22" s="274" t="s">
        <v>244</v>
      </c>
      <c r="C22" s="274">
        <v>20.0</v>
      </c>
      <c r="D22" s="275">
        <v>3.0</v>
      </c>
      <c r="E22" s="274"/>
      <c r="F22" s="276"/>
      <c r="G22" s="274"/>
      <c r="H22" s="285" t="s">
        <v>299</v>
      </c>
      <c r="I22" s="278" t="s">
        <v>82</v>
      </c>
      <c r="J22" s="278" t="s">
        <v>83</v>
      </c>
      <c r="K22" s="279" t="s">
        <v>266</v>
      </c>
      <c r="L22" s="279" t="s">
        <v>177</v>
      </c>
      <c r="M22" s="273">
        <v>2.0</v>
      </c>
      <c r="N22" s="273" t="s">
        <v>85</v>
      </c>
      <c r="O22" s="280" t="str">
        <f>IFERROR(VLOOKUP(K22,'US History Framework Standards'!$A:$E,2,false),"")</f>
        <v>World War II (1935-1945)</v>
      </c>
      <c r="P22" s="280" t="str">
        <f>IFERROR(__xludf.DUMMYFUNCTION("IFERROR(Index(SPLIT(#REF!,"".""),1,1))"),"")</f>
        <v/>
      </c>
      <c r="Q22" s="280" t="str">
        <f>IFERROR(__xludf.DUMMYFUNCTION("IFERROR(Index(SPLIT(#REF!,"".""),1,2))"),"")</f>
        <v/>
      </c>
      <c r="R22" s="280" t="str">
        <f>IFERROR(VLOOKUP(#REF!,'US History Framework Standards'!$A:$E,3,false),"")</f>
        <v/>
      </c>
      <c r="S22" s="280" t="str">
        <f>IFERROR(__xludf.DUMMYFUNCTION("IFERROR(Index(SPLIT(#REF!,"".""),1,3)&amp;Index(SPLIT(#REF!,"".""),1,4))"),"")</f>
        <v/>
      </c>
      <c r="T22" s="280" t="str">
        <f>iferror(VLOOKUP(L22,'US History Framework Standards'!$A:$E,2,false),"")</f>
        <v>Mobilizations</v>
      </c>
      <c r="U22" s="276">
        <v>20.0</v>
      </c>
      <c r="V22" s="274" t="s">
        <v>247</v>
      </c>
      <c r="W22" s="274">
        <v>1201718.0</v>
      </c>
      <c r="X22" s="276"/>
      <c r="Y22" s="276"/>
      <c r="Z22" s="273" t="s">
        <v>248</v>
      </c>
      <c r="AA22" s="281"/>
      <c r="AB22" s="281" t="str">
        <f t="shared" si="1"/>
        <v>HXRG_1201718_Multiple Choice.jpg</v>
      </c>
    </row>
    <row r="23" ht="15.75" customHeight="1">
      <c r="A23" s="264" t="s">
        <v>243</v>
      </c>
      <c r="B23" s="265" t="s">
        <v>244</v>
      </c>
      <c r="C23" s="265">
        <v>21.0</v>
      </c>
      <c r="D23" s="266">
        <v>1.0</v>
      </c>
      <c r="E23" s="265"/>
      <c r="F23" s="267"/>
      <c r="G23" s="265"/>
      <c r="H23" s="286" t="s">
        <v>300</v>
      </c>
      <c r="I23" s="269" t="s">
        <v>82</v>
      </c>
      <c r="J23" s="269" t="s">
        <v>83</v>
      </c>
      <c r="K23" s="284" t="s">
        <v>268</v>
      </c>
      <c r="L23" s="284" t="s">
        <v>186</v>
      </c>
      <c r="M23" s="264">
        <v>18.0</v>
      </c>
      <c r="N23" s="264" t="s">
        <v>85</v>
      </c>
      <c r="O23" s="271" t="str">
        <f>IFERROR(VLOOKUP(K23,'US History Framework Standards'!$A:$E,2,false),"")</f>
        <v>Cold War (1945-1990)</v>
      </c>
      <c r="P23" s="271" t="str">
        <f>IFERROR(__xludf.DUMMYFUNCTION("IFERROR(Index(SPLIT(#REF!,"".""),1,1))"),"")</f>
        <v/>
      </c>
      <c r="Q23" s="271" t="str">
        <f>IFERROR(__xludf.DUMMYFUNCTION("IFERROR(Index(SPLIT(#REF!,"".""),1,2))"),"")</f>
        <v/>
      </c>
      <c r="R23" s="271" t="str">
        <f>IFERROR(VLOOKUP(#REF!,'US History Framework Standards'!$A:$E,3,false),"")</f>
        <v/>
      </c>
      <c r="S23" s="271" t="str">
        <f>IFERROR(__xludf.DUMMYFUNCTION("IFERROR(Index(SPLIT(#REF!,"".""),1,3)&amp;Index(SPLIT(#REF!,"".""),1,4))"),"")</f>
        <v/>
      </c>
      <c r="T23" s="271" t="str">
        <f>iferror(VLOOKUP(L23,'US History Framework Standards'!$A:$E,2,false),"")</f>
        <v>Korean War</v>
      </c>
      <c r="U23" s="267">
        <v>21.0</v>
      </c>
      <c r="V23" s="265" t="s">
        <v>247</v>
      </c>
      <c r="W23" s="265">
        <v>1201718.0</v>
      </c>
      <c r="X23" s="267"/>
      <c r="Y23" s="267"/>
      <c r="Z23" s="264" t="s">
        <v>248</v>
      </c>
      <c r="AA23" s="272"/>
      <c r="AB23" s="272" t="str">
        <f t="shared" si="1"/>
        <v>HXRG_1201718_Multiple Choice.jpg</v>
      </c>
    </row>
    <row r="24" ht="15.75" customHeight="1">
      <c r="A24" s="264" t="s">
        <v>243</v>
      </c>
      <c r="B24" s="265" t="s">
        <v>244</v>
      </c>
      <c r="C24" s="265">
        <v>22.0</v>
      </c>
      <c r="D24" s="266">
        <v>3.0</v>
      </c>
      <c r="E24" s="265"/>
      <c r="F24" s="267"/>
      <c r="G24" s="265"/>
      <c r="H24" s="286" t="s">
        <v>300</v>
      </c>
      <c r="I24" s="269" t="s">
        <v>82</v>
      </c>
      <c r="J24" s="269" t="s">
        <v>83</v>
      </c>
      <c r="K24" s="284" t="s">
        <v>268</v>
      </c>
      <c r="L24" s="284" t="s">
        <v>186</v>
      </c>
      <c r="M24" s="264">
        <v>11.0</v>
      </c>
      <c r="N24" s="264" t="s">
        <v>85</v>
      </c>
      <c r="O24" s="271" t="str">
        <f>IFERROR(VLOOKUP(K24,'US History Framework Standards'!$A:$E,2,false),"")</f>
        <v>Cold War (1945-1990)</v>
      </c>
      <c r="P24" s="271" t="str">
        <f>IFERROR(__xludf.DUMMYFUNCTION("IFERROR(Index(SPLIT(#REF!,"".""),1,1))"),"")</f>
        <v/>
      </c>
      <c r="Q24" s="271" t="str">
        <f>IFERROR(__xludf.DUMMYFUNCTION("IFERROR(Index(SPLIT(#REF!,"".""),1,2))"),"")</f>
        <v/>
      </c>
      <c r="R24" s="271" t="str">
        <f>IFERROR(VLOOKUP(#REF!,'US History Framework Standards'!$A:$E,3,false),"")</f>
        <v/>
      </c>
      <c r="S24" s="271" t="str">
        <f>IFERROR(__xludf.DUMMYFUNCTION("IFERROR(Index(SPLIT(#REF!,"".""),1,3)&amp;Index(SPLIT(#REF!,"".""),1,4))"),"")</f>
        <v/>
      </c>
      <c r="T24" s="271" t="str">
        <f>iferror(VLOOKUP(L24,'US History Framework Standards'!$A:$E,2,false),"")</f>
        <v>Korean War</v>
      </c>
      <c r="U24" s="267">
        <v>22.0</v>
      </c>
      <c r="V24" s="265" t="s">
        <v>247</v>
      </c>
      <c r="W24" s="265">
        <v>1201718.0</v>
      </c>
      <c r="X24" s="267"/>
      <c r="Y24" s="267"/>
      <c r="Z24" s="264" t="s">
        <v>248</v>
      </c>
      <c r="AA24" s="272"/>
      <c r="AB24" s="272" t="str">
        <f t="shared" si="1"/>
        <v>HXRG_1201718_Multiple Choice.jpg</v>
      </c>
    </row>
    <row r="25" ht="15.75" customHeight="1">
      <c r="A25" s="273" t="s">
        <v>243</v>
      </c>
      <c r="B25" s="274" t="s">
        <v>244</v>
      </c>
      <c r="C25" s="274">
        <v>23.0</v>
      </c>
      <c r="D25" s="275">
        <v>1.0</v>
      </c>
      <c r="E25" s="274"/>
      <c r="F25" s="276"/>
      <c r="G25" s="274"/>
      <c r="H25" s="282" t="s">
        <v>301</v>
      </c>
      <c r="I25" s="278" t="s">
        <v>82</v>
      </c>
      <c r="J25" s="278" t="s">
        <v>83</v>
      </c>
      <c r="K25" s="279" t="s">
        <v>102</v>
      </c>
      <c r="L25" s="279" t="s">
        <v>195</v>
      </c>
      <c r="M25" s="273">
        <v>17.0</v>
      </c>
      <c r="N25" s="273" t="s">
        <v>85</v>
      </c>
      <c r="O25" s="280" t="str">
        <f>IFERROR(VLOOKUP(K25,'US History Framework Standards'!$A:$E,2,false),"")</f>
        <v>Social and Economic Change/ Domestic Issues (1945-present)</v>
      </c>
      <c r="P25" s="280" t="str">
        <f>IFERROR(__xludf.DUMMYFUNCTION("IFERROR(Index(SPLIT(#REF!,"".""),1,1))"),"")</f>
        <v/>
      </c>
      <c r="Q25" s="280" t="str">
        <f>IFERROR(__xludf.DUMMYFUNCTION("IFERROR(Index(SPLIT(#REF!,"".""),1,2))"),"")</f>
        <v/>
      </c>
      <c r="R25" s="280" t="str">
        <f>IFERROR(VLOOKUP(#REF!,'US History Framework Standards'!$A:$E,3,false),"")</f>
        <v/>
      </c>
      <c r="S25" s="280" t="str">
        <f>IFERROR(__xludf.DUMMYFUNCTION("IFERROR(Index(SPLIT(#REF!,"".""),1,3)&amp;Index(SPLIT(#REF!,"".""),1,4))"),"")</f>
        <v/>
      </c>
      <c r="T25" s="280" t="str">
        <f>iferror(VLOOKUP(L25,'US History Framework Standards'!$A:$E,2,false),"")</f>
        <v>Important Civil Rights Individuals</v>
      </c>
      <c r="U25" s="276">
        <v>23.0</v>
      </c>
      <c r="V25" s="274" t="s">
        <v>247</v>
      </c>
      <c r="W25" s="274">
        <v>1201718.0</v>
      </c>
      <c r="X25" s="276"/>
      <c r="Y25" s="276"/>
      <c r="Z25" s="273" t="s">
        <v>248</v>
      </c>
      <c r="AA25" s="281"/>
      <c r="AB25" s="281" t="str">
        <f t="shared" si="1"/>
        <v>HXRG_1201718_Multiple Choice.jpg</v>
      </c>
    </row>
    <row r="26" ht="15.75" customHeight="1">
      <c r="A26" s="264" t="s">
        <v>243</v>
      </c>
      <c r="B26" s="265" t="s">
        <v>244</v>
      </c>
      <c r="C26" s="265">
        <v>24.0</v>
      </c>
      <c r="D26" s="266">
        <v>1.0</v>
      </c>
      <c r="E26" s="265"/>
      <c r="F26" s="267"/>
      <c r="G26" s="265"/>
      <c r="H26" s="283" t="s">
        <v>302</v>
      </c>
      <c r="I26" s="269" t="s">
        <v>82</v>
      </c>
      <c r="J26" s="269" t="s">
        <v>83</v>
      </c>
      <c r="K26" s="284" t="s">
        <v>268</v>
      </c>
      <c r="L26" s="284" t="s">
        <v>190</v>
      </c>
      <c r="M26" s="264">
        <v>17.0</v>
      </c>
      <c r="N26" s="264" t="s">
        <v>85</v>
      </c>
      <c r="O26" s="271" t="str">
        <f>IFERROR(VLOOKUP(K26,'US History Framework Standards'!$A:$E,2,false),"")</f>
        <v>Cold War (1945-1990)</v>
      </c>
      <c r="P26" s="271" t="str">
        <f>IFERROR(__xludf.DUMMYFUNCTION("IFERROR(Index(SPLIT(#REF!,"".""),1,1))"),"")</f>
        <v/>
      </c>
      <c r="Q26" s="271" t="str">
        <f>IFERROR(__xludf.DUMMYFUNCTION("IFERROR(Index(SPLIT(#REF!,"".""),1,2))"),"")</f>
        <v/>
      </c>
      <c r="R26" s="271" t="str">
        <f>IFERROR(VLOOKUP(#REF!,'US History Framework Standards'!$A:$E,3,false),"")</f>
        <v/>
      </c>
      <c r="S26" s="271" t="str">
        <f>IFERROR(__xludf.DUMMYFUNCTION("IFERROR(Index(SPLIT(#REF!,"".""),1,3)&amp;Index(SPLIT(#REF!,"".""),1,4))"),"")</f>
        <v/>
      </c>
      <c r="T26" s="271" t="str">
        <f>iferror(VLOOKUP(L26,'US History Framework Standards'!$A:$E,2,false),"")</f>
        <v>Nuclear Arms Race</v>
      </c>
      <c r="U26" s="267">
        <v>24.0</v>
      </c>
      <c r="V26" s="265" t="s">
        <v>247</v>
      </c>
      <c r="W26" s="265">
        <v>1201718.0</v>
      </c>
      <c r="X26" s="267"/>
      <c r="Y26" s="267"/>
      <c r="Z26" s="264" t="s">
        <v>248</v>
      </c>
      <c r="AA26" s="272"/>
      <c r="AB26" s="272" t="str">
        <f t="shared" si="1"/>
        <v>HXRG_1201718_Multiple Choice.jpg</v>
      </c>
    </row>
    <row r="27" ht="15.75" customHeight="1">
      <c r="A27" s="264" t="s">
        <v>243</v>
      </c>
      <c r="B27" s="265" t="s">
        <v>244</v>
      </c>
      <c r="C27" s="265">
        <v>25.0</v>
      </c>
      <c r="D27" s="266">
        <v>4.0</v>
      </c>
      <c r="E27" s="265"/>
      <c r="F27" s="267"/>
      <c r="G27" s="265"/>
      <c r="H27" s="283" t="s">
        <v>302</v>
      </c>
      <c r="I27" s="269" t="s">
        <v>82</v>
      </c>
      <c r="J27" s="269" t="s">
        <v>83</v>
      </c>
      <c r="K27" s="284" t="s">
        <v>268</v>
      </c>
      <c r="L27" s="284" t="s">
        <v>190</v>
      </c>
      <c r="M27" s="264">
        <v>8.0</v>
      </c>
      <c r="N27" s="264" t="s">
        <v>85</v>
      </c>
      <c r="O27" s="271" t="str">
        <f>IFERROR(VLOOKUP(K27,'US History Framework Standards'!$A:$E,2,false),"")</f>
        <v>Cold War (1945-1990)</v>
      </c>
      <c r="P27" s="271" t="str">
        <f>IFERROR(__xludf.DUMMYFUNCTION("IFERROR(Index(SPLIT(#REF!,"".""),1,1))"),"")</f>
        <v/>
      </c>
      <c r="Q27" s="271" t="str">
        <f>IFERROR(__xludf.DUMMYFUNCTION("IFERROR(Index(SPLIT(#REF!,"".""),1,2))"),"")</f>
        <v/>
      </c>
      <c r="R27" s="271" t="str">
        <f>IFERROR(VLOOKUP(#REF!,'US History Framework Standards'!$A:$E,3,false),"")</f>
        <v/>
      </c>
      <c r="S27" s="271" t="str">
        <f>IFERROR(__xludf.DUMMYFUNCTION("IFERROR(Index(SPLIT(#REF!,"".""),1,3)&amp;Index(SPLIT(#REF!,"".""),1,4))"),"")</f>
        <v/>
      </c>
      <c r="T27" s="271" t="str">
        <f>iferror(VLOOKUP(L27,'US History Framework Standards'!$A:$E,2,false),"")</f>
        <v>Nuclear Arms Race</v>
      </c>
      <c r="U27" s="267">
        <v>25.0</v>
      </c>
      <c r="V27" s="265" t="s">
        <v>247</v>
      </c>
      <c r="W27" s="265">
        <v>1201718.0</v>
      </c>
      <c r="X27" s="267"/>
      <c r="Y27" s="267"/>
      <c r="Z27" s="264" t="s">
        <v>248</v>
      </c>
      <c r="AA27" s="272"/>
      <c r="AB27" s="272" t="str">
        <f t="shared" si="1"/>
        <v>HXRG_1201718_Multiple Choice.jpg</v>
      </c>
    </row>
    <row r="28" ht="15.75" customHeight="1">
      <c r="A28" s="273" t="s">
        <v>243</v>
      </c>
      <c r="B28" s="274" t="s">
        <v>244</v>
      </c>
      <c r="C28" s="274">
        <v>26.0</v>
      </c>
      <c r="D28" s="275">
        <v>2.0</v>
      </c>
      <c r="E28" s="274"/>
      <c r="F28" s="276"/>
      <c r="G28" s="274"/>
      <c r="H28" s="282" t="s">
        <v>303</v>
      </c>
      <c r="I28" s="278" t="s">
        <v>82</v>
      </c>
      <c r="J28" s="278" t="s">
        <v>83</v>
      </c>
      <c r="K28" s="279" t="s">
        <v>102</v>
      </c>
      <c r="L28" s="279" t="s">
        <v>197</v>
      </c>
      <c r="M28" s="273">
        <v>18.0</v>
      </c>
      <c r="N28" s="273" t="s">
        <v>85</v>
      </c>
      <c r="O28" s="280" t="str">
        <f>IFERROR(VLOOKUP(K28,'US History Framework Standards'!$A:$E,2,false),"")</f>
        <v>Social and Economic Change/ Domestic Issues (1945-present)</v>
      </c>
      <c r="P28" s="280" t="str">
        <f>IFERROR(__xludf.DUMMYFUNCTION("IFERROR(Index(SPLIT(#REF!,"".""),1,1))"),"")</f>
        <v/>
      </c>
      <c r="Q28" s="280" t="str">
        <f>IFERROR(__xludf.DUMMYFUNCTION("IFERROR(Index(SPLIT(#REF!,"".""),1,2))"),"")</f>
        <v/>
      </c>
      <c r="R28" s="280" t="str">
        <f>IFERROR(VLOOKUP(#REF!,'US History Framework Standards'!$A:$E,3,false),"")</f>
        <v/>
      </c>
      <c r="S28" s="280" t="str">
        <f>IFERROR(__xludf.DUMMYFUNCTION("IFERROR(Index(SPLIT(#REF!,"".""),1,3)&amp;Index(SPLIT(#REF!,"".""),1,4))"),"")</f>
        <v/>
      </c>
      <c r="T28" s="280" t="str">
        <f>iferror(VLOOKUP(L28,'US History Framework Standards'!$A:$E,2,false),"")</f>
        <v>Civil Rights Judicial &amp; Legislative Achievements</v>
      </c>
      <c r="U28" s="276">
        <v>26.0</v>
      </c>
      <c r="V28" s="274" t="s">
        <v>247</v>
      </c>
      <c r="W28" s="274">
        <v>1201718.0</v>
      </c>
      <c r="X28" s="276"/>
      <c r="Y28" s="276"/>
      <c r="Z28" s="273" t="s">
        <v>248</v>
      </c>
      <c r="AA28" s="281"/>
      <c r="AB28" s="281" t="str">
        <f t="shared" si="1"/>
        <v>HXRG_1201718_Multiple Choice.jpg</v>
      </c>
    </row>
    <row r="29" ht="15.75" customHeight="1">
      <c r="A29" s="264" t="s">
        <v>243</v>
      </c>
      <c r="B29" s="265" t="s">
        <v>244</v>
      </c>
      <c r="C29" s="265">
        <v>27.0</v>
      </c>
      <c r="D29" s="266">
        <v>2.0</v>
      </c>
      <c r="E29" s="265"/>
      <c r="F29" s="267"/>
      <c r="G29" s="265"/>
      <c r="H29" s="283" t="s">
        <v>304</v>
      </c>
      <c r="I29" s="269" t="s">
        <v>82</v>
      </c>
      <c r="J29" s="269" t="s">
        <v>83</v>
      </c>
      <c r="K29" s="284" t="s">
        <v>104</v>
      </c>
      <c r="L29" s="284" t="s">
        <v>107</v>
      </c>
      <c r="M29" s="264">
        <v>1.0</v>
      </c>
      <c r="N29" s="264" t="s">
        <v>85</v>
      </c>
      <c r="O29" s="271" t="str">
        <f>IFERROR(VLOOKUP(K29,'US History Framework Standards'!$A:$E,2,false),"")</f>
        <v>United States in a Changing World (1990-present)</v>
      </c>
      <c r="P29" s="271" t="str">
        <f>IFERROR(__xludf.DUMMYFUNCTION("IFERROR(Index(SPLIT(#REF!,"".""),1,1))"),"")</f>
        <v/>
      </c>
      <c r="Q29" s="271" t="str">
        <f>IFERROR(__xludf.DUMMYFUNCTION("IFERROR(Index(SPLIT(#REF!,"".""),1,2))"),"")</f>
        <v/>
      </c>
      <c r="R29" s="271" t="str">
        <f>IFERROR(VLOOKUP(#REF!,'US History Framework Standards'!$A:$E,3,false),"")</f>
        <v/>
      </c>
      <c r="S29" s="271" t="str">
        <f>IFERROR(__xludf.DUMMYFUNCTION("IFERROR(Index(SPLIT(#REF!,"".""),1,3)&amp;Index(SPLIT(#REF!,"".""),1,4))"),"")</f>
        <v/>
      </c>
      <c r="T29" s="271" t="str">
        <f>iferror(VLOOKUP(L29,'US History Framework Standards'!$A:$E,2,false),"")</f>
        <v>Federal Government Structure &amp; Principles</v>
      </c>
      <c r="U29" s="267">
        <v>27.0</v>
      </c>
      <c r="V29" s="265" t="s">
        <v>247</v>
      </c>
      <c r="W29" s="265">
        <v>1201718.0</v>
      </c>
      <c r="X29" s="267"/>
      <c r="Y29" s="267"/>
      <c r="Z29" s="264" t="s">
        <v>248</v>
      </c>
      <c r="AA29" s="272"/>
      <c r="AB29" s="272" t="str">
        <f t="shared" si="1"/>
        <v>HXRG_1201718_Multiple Choice.jpg</v>
      </c>
    </row>
    <row r="30" ht="15.75" customHeight="1">
      <c r="A30" s="287" t="s">
        <v>243</v>
      </c>
      <c r="B30" s="288" t="s">
        <v>244</v>
      </c>
      <c r="C30" s="288">
        <v>28.0</v>
      </c>
      <c r="D30" s="289">
        <v>3.0</v>
      </c>
      <c r="E30" s="288"/>
      <c r="F30" s="290"/>
      <c r="G30" s="288"/>
      <c r="H30" s="283" t="s">
        <v>304</v>
      </c>
      <c r="I30" s="291" t="s">
        <v>82</v>
      </c>
      <c r="J30" s="291" t="s">
        <v>83</v>
      </c>
      <c r="K30" s="292" t="s">
        <v>104</v>
      </c>
      <c r="L30" s="292" t="s">
        <v>130</v>
      </c>
      <c r="M30" s="287">
        <v>10.0</v>
      </c>
      <c r="N30" s="287" t="s">
        <v>85</v>
      </c>
      <c r="O30" s="293" t="str">
        <f>IFERROR(VLOOKUP(K30,'US History Framework Standards'!$A:$E,2,false),"")</f>
        <v>United States in a Changing World (1990-present)</v>
      </c>
      <c r="P30" s="293" t="str">
        <f>IFERROR(__xludf.DUMMYFUNCTION("IFERROR(Index(SPLIT(#REF!,"".""),1,1))"),"")</f>
        <v/>
      </c>
      <c r="Q30" s="293" t="str">
        <f>IFERROR(__xludf.DUMMYFUNCTION("IFERROR(Index(SPLIT(#REF!,"".""),1,2))"),"")</f>
        <v/>
      </c>
      <c r="R30" s="293" t="str">
        <f>IFERROR(VLOOKUP(#REF!,'US History Framework Standards'!$A:$E,3,false),"")</f>
        <v/>
      </c>
      <c r="S30" s="293" t="str">
        <f>IFERROR(__xludf.DUMMYFUNCTION("IFERROR(Index(SPLIT(#REF!,"".""),1,3)&amp;Index(SPLIT(#REF!,"".""),1,4))"),"")</f>
        <v/>
      </c>
      <c r="T30" s="271" t="str">
        <f>iferror(VLOOKUP(L30,'US History Framework Standards'!$A:$E,2,false),"")</f>
        <v>Amendments &amp; Reconstruction</v>
      </c>
      <c r="U30" s="290">
        <v>28.0</v>
      </c>
      <c r="V30" s="288" t="s">
        <v>247</v>
      </c>
      <c r="W30" s="288">
        <v>1201718.0</v>
      </c>
      <c r="X30" s="290"/>
      <c r="Y30" s="290"/>
      <c r="Z30" s="287" t="s">
        <v>248</v>
      </c>
      <c r="AA30" s="294"/>
      <c r="AB30" s="294" t="str">
        <f t="shared" si="1"/>
        <v>HXRG_1201718_Multiple Choice.jpg</v>
      </c>
    </row>
    <row r="31" ht="15.75" customHeight="1">
      <c r="A31" s="295" t="s">
        <v>271</v>
      </c>
      <c r="B31" s="296" t="s">
        <v>272</v>
      </c>
      <c r="C31" s="296" t="s">
        <v>273</v>
      </c>
      <c r="D31" s="297"/>
      <c r="E31" s="296"/>
      <c r="F31" s="298"/>
      <c r="G31" s="296"/>
      <c r="H31" s="299" t="s">
        <v>305</v>
      </c>
      <c r="I31" s="300" t="s">
        <v>82</v>
      </c>
      <c r="J31" s="300" t="s">
        <v>83</v>
      </c>
      <c r="K31" s="284" t="s">
        <v>256</v>
      </c>
      <c r="L31" s="284" t="s">
        <v>130</v>
      </c>
      <c r="M31" s="295"/>
      <c r="N31" s="295"/>
      <c r="O31" s="271" t="str">
        <f>IFERROR(VLOOKUP(K31,'US History Framework Standards'!$A:$E,2,false),"")</f>
        <v>Post-Civil War Era (1865-1900)</v>
      </c>
      <c r="P31" s="301"/>
      <c r="Q31" s="301"/>
      <c r="R31" s="301"/>
      <c r="S31" s="301"/>
      <c r="T31" s="271" t="str">
        <f>iferror(VLOOKUP(L31,'US History Framework Standards'!$A:$E,2,false),"")</f>
        <v>Amendments &amp; Reconstruction</v>
      </c>
      <c r="U31" s="298"/>
      <c r="V31" s="296"/>
      <c r="W31" s="296"/>
      <c r="X31" s="298"/>
      <c r="Y31" s="298"/>
      <c r="Z31" s="295"/>
      <c r="AA31" s="302"/>
      <c r="AB31" s="302"/>
    </row>
    <row r="32" ht="15.75" customHeight="1">
      <c r="A32" s="264" t="s">
        <v>275</v>
      </c>
      <c r="B32" s="265" t="s">
        <v>272</v>
      </c>
      <c r="C32" s="265" t="s">
        <v>276</v>
      </c>
      <c r="D32" s="266"/>
      <c r="E32" s="265"/>
      <c r="F32" s="267"/>
      <c r="G32" s="265"/>
      <c r="H32" s="283" t="s">
        <v>306</v>
      </c>
      <c r="I32" s="269" t="s">
        <v>82</v>
      </c>
      <c r="J32" s="269" t="s">
        <v>83</v>
      </c>
      <c r="K32" s="284" t="s">
        <v>256</v>
      </c>
      <c r="L32" s="284" t="s">
        <v>134</v>
      </c>
      <c r="M32" s="264"/>
      <c r="N32" s="264"/>
      <c r="O32" s="271" t="str">
        <f>IFERROR(VLOOKUP(K32,'US History Framework Standards'!$A:$E,2,false),"")</f>
        <v>Post-Civil War Era (1865-1900)</v>
      </c>
      <c r="P32" s="271" t="str">
        <f>IFERROR(__xludf.DUMMYFUNCTION("IFERROR(Index(SPLIT(#REF!,"".""),1,1))"),"")</f>
        <v/>
      </c>
      <c r="Q32" s="271" t="str">
        <f>IFERROR(__xludf.DUMMYFUNCTION("IFERROR(Index(SPLIT(#REF!,"".""),1,2))"),"")</f>
        <v/>
      </c>
      <c r="R32" s="271" t="str">
        <f>IFERROR(VLOOKUP(#REF!,'US History Framework Standards'!$A:$E,3,false),"")</f>
        <v/>
      </c>
      <c r="S32" s="271" t="str">
        <f>IFERROR(__xludf.DUMMYFUNCTION("IFERROR(Index(SPLIT(#REF!,"".""),1,3)&amp;Index(SPLIT(#REF!,"".""),1,4))"),"")</f>
        <v/>
      </c>
      <c r="T32" s="271" t="str">
        <f>iferror(VLOOKUP(L32,'US History Framework Standards'!$A:$E,2,false),"")</f>
        <v>Exclusion of Women &amp; Struggle for Rights</v>
      </c>
      <c r="U32" s="267">
        <v>29.0</v>
      </c>
      <c r="V32" s="265" t="s">
        <v>247</v>
      </c>
      <c r="W32" s="265">
        <v>1201718.0</v>
      </c>
      <c r="X32" s="267"/>
      <c r="Y32" s="267"/>
      <c r="Z32" s="264" t="s">
        <v>248</v>
      </c>
      <c r="AA32" s="272"/>
      <c r="AB32" s="272" t="str">
        <f t="shared" ref="AB32:AB33" si="2">V32&amp;"_"&amp;W32&amp;"_"&amp;A32&amp;".jpg"</f>
        <v>HXRG_1201718_Doc.jpg</v>
      </c>
    </row>
    <row r="33" ht="15.75" customHeight="1">
      <c r="A33" s="273" t="s">
        <v>275</v>
      </c>
      <c r="B33" s="274" t="s">
        <v>272</v>
      </c>
      <c r="C33" s="274" t="s">
        <v>278</v>
      </c>
      <c r="D33" s="275"/>
      <c r="E33" s="274"/>
      <c r="F33" s="276"/>
      <c r="G33" s="274"/>
      <c r="H33" s="285" t="s">
        <v>307</v>
      </c>
      <c r="I33" s="278" t="s">
        <v>82</v>
      </c>
      <c r="J33" s="278" t="s">
        <v>83</v>
      </c>
      <c r="K33" s="279" t="s">
        <v>250</v>
      </c>
      <c r="L33" s="279" t="s">
        <v>100</v>
      </c>
      <c r="M33" s="273"/>
      <c r="N33" s="273"/>
      <c r="O33" s="280" t="str">
        <f>IFERROR(VLOOKUP(K33,'US History Framework Standards'!$A:$E,2,false),"")</f>
        <v>Constitutional Foundations (1763–1824)</v>
      </c>
      <c r="P33" s="280" t="str">
        <f>IFERROR(__xludf.DUMMYFUNCTION("IFERROR(Index(SPLIT(#REF!,"".""),1,1))"),"")</f>
        <v/>
      </c>
      <c r="Q33" s="280" t="str">
        <f>IFERROR(__xludf.DUMMYFUNCTION("IFERROR(Index(SPLIT(#REF!,"".""),1,2))"),"")</f>
        <v/>
      </c>
      <c r="R33" s="280" t="str">
        <f>IFERROR(VLOOKUP(#REF!,'US History Framework Standards'!$A:$E,3,false),"")</f>
        <v/>
      </c>
      <c r="S33" s="280" t="str">
        <f>IFERROR(__xludf.DUMMYFUNCTION("IFERROR(Index(SPLIT(#REF!,"".""),1,3)&amp;Index(SPLIT(#REF!,"".""),1,4))"),"")</f>
        <v/>
      </c>
      <c r="T33" s="280" t="str">
        <f>iferror(VLOOKUP(L33,'US History Framework Standards'!$A:$E,2,false),"")</f>
        <v>British Control &amp; Colonial Resistance</v>
      </c>
      <c r="U33" s="276">
        <v>30.0</v>
      </c>
      <c r="V33" s="274" t="s">
        <v>247</v>
      </c>
      <c r="W33" s="274">
        <v>1201718.0</v>
      </c>
      <c r="X33" s="276"/>
      <c r="Y33" s="276"/>
      <c r="Z33" s="273" t="s">
        <v>248</v>
      </c>
      <c r="AA33" s="281"/>
      <c r="AB33" s="281" t="str">
        <f t="shared" si="2"/>
        <v>HXRG_1201718_Doc.jpg</v>
      </c>
    </row>
    <row r="34" ht="15.75" customHeight="1">
      <c r="A34" s="303" t="s">
        <v>271</v>
      </c>
      <c r="B34" s="304" t="s">
        <v>272</v>
      </c>
      <c r="C34" s="304" t="s">
        <v>280</v>
      </c>
      <c r="D34" s="305"/>
      <c r="E34" s="304"/>
      <c r="F34" s="305"/>
      <c r="G34" s="304"/>
      <c r="H34" s="306" t="s">
        <v>308</v>
      </c>
      <c r="I34" s="307" t="s">
        <v>82</v>
      </c>
      <c r="J34" s="307" t="s">
        <v>83</v>
      </c>
      <c r="K34" s="308" t="s">
        <v>250</v>
      </c>
      <c r="L34" s="279" t="s">
        <v>100</v>
      </c>
      <c r="M34" s="303"/>
      <c r="N34" s="303"/>
      <c r="O34" s="309" t="str">
        <f>IFERROR(VLOOKUP(K34,'US History Framework Standards'!$A:$E,2,false),"")</f>
        <v>Constitutional Foundations (1763–1824)</v>
      </c>
      <c r="P34" s="309"/>
      <c r="Q34" s="309"/>
      <c r="R34" s="309"/>
      <c r="S34" s="309"/>
      <c r="T34" s="280" t="str">
        <f>iferror(VLOOKUP(L34,'US History Framework Standards'!$A:$E,2,false),"")</f>
        <v>British Control &amp; Colonial Resistance</v>
      </c>
      <c r="U34" s="305"/>
      <c r="V34" s="304"/>
      <c r="W34" s="304"/>
      <c r="X34" s="305"/>
      <c r="Y34" s="305"/>
      <c r="Z34" s="303"/>
      <c r="AA34" s="310"/>
      <c r="AB34" s="310"/>
    </row>
    <row r="35">
      <c r="A35" s="295" t="s">
        <v>275</v>
      </c>
      <c r="B35" s="296" t="s">
        <v>282</v>
      </c>
      <c r="C35" s="296">
        <v>31.0</v>
      </c>
      <c r="D35" s="298"/>
      <c r="E35" s="296"/>
      <c r="F35" s="298"/>
      <c r="G35" s="296"/>
      <c r="H35" s="299" t="s">
        <v>309</v>
      </c>
      <c r="I35" s="300" t="s">
        <v>82</v>
      </c>
      <c r="J35" s="300" t="s">
        <v>83</v>
      </c>
      <c r="K35" s="311" t="s">
        <v>261</v>
      </c>
      <c r="L35" s="311" t="s">
        <v>154</v>
      </c>
      <c r="M35" s="312">
        <v>9.0</v>
      </c>
      <c r="N35" s="313" t="s">
        <v>89</v>
      </c>
      <c r="O35" s="301" t="str">
        <f>IFERROR(VLOOKUP(K35,'US History Framework Standards'!$A:$E,2,false),"")</f>
        <v>Rise of American Power (1890-1920)</v>
      </c>
      <c r="P35" s="301" t="str">
        <f>IFERROR(__xludf.DUMMYFUNCTION("IFERROR(Index(SPLIT(#REF!,"".""),1,1))"),"")</f>
        <v/>
      </c>
      <c r="Q35" s="301" t="str">
        <f>IFERROR(__xludf.DUMMYFUNCTION("IFERROR(Index(SPLIT(#REF!,"".""),1,2))"),"")</f>
        <v/>
      </c>
      <c r="R35" s="301" t="str">
        <f>IFERROR(VLOOKUP(#REF!,'US History Framework Standards'!$A:$E,3,false),"")</f>
        <v/>
      </c>
      <c r="S35" s="301" t="str">
        <f>IFERROR(__xludf.DUMMYFUNCTION("IFERROR(Index(SPLIT(#REF!,"".""),1,3)&amp;Index(SPLIT(#REF!,"".""),1,4))"),"")</f>
        <v/>
      </c>
      <c r="T35" s="271" t="str">
        <f>iferror(VLOOKUP(L35,'US History Framework Standards'!$A:$E,2,false),"")</f>
        <v>Attempts at Peace after WWI</v>
      </c>
      <c r="U35" s="298">
        <v>31.0</v>
      </c>
      <c r="V35" s="296" t="s">
        <v>247</v>
      </c>
      <c r="W35" s="296">
        <v>1201718.0</v>
      </c>
      <c r="X35" s="298"/>
      <c r="Y35" s="298"/>
      <c r="Z35" s="295" t="s">
        <v>248</v>
      </c>
      <c r="AA35" s="302"/>
      <c r="AB35" s="302" t="str">
        <f t="shared" ref="AB35:AB39" si="3">V35&amp;"_"&amp;W35&amp;"_"&amp;A35&amp;".jpg"</f>
        <v>HXRG_1201718_Doc.jpg</v>
      </c>
    </row>
    <row r="36" ht="16.5" customHeight="1">
      <c r="A36" s="303" t="s">
        <v>275</v>
      </c>
      <c r="B36" s="274" t="s">
        <v>282</v>
      </c>
      <c r="C36" s="274">
        <v>32.0</v>
      </c>
      <c r="D36" s="276"/>
      <c r="E36" s="274"/>
      <c r="F36" s="276"/>
      <c r="G36" s="274"/>
      <c r="H36" s="282" t="s">
        <v>310</v>
      </c>
      <c r="I36" s="278" t="s">
        <v>82</v>
      </c>
      <c r="J36" s="278" t="s">
        <v>83</v>
      </c>
      <c r="K36" s="279" t="s">
        <v>261</v>
      </c>
      <c r="L36" s="279" t="s">
        <v>155</v>
      </c>
      <c r="M36" s="273">
        <v>9.0</v>
      </c>
      <c r="N36" s="273" t="s">
        <v>89</v>
      </c>
      <c r="O36" s="280" t="str">
        <f>IFERROR(VLOOKUP(K36,'US History Framework Standards'!$A:$E,2,false),"")</f>
        <v>Rise of American Power (1890-1920)</v>
      </c>
      <c r="P36" s="280" t="str">
        <f>IFERROR(__xludf.DUMMYFUNCTION("IFERROR(Index(SPLIT(#REF!,"".""),1,1))"),"")</f>
        <v/>
      </c>
      <c r="Q36" s="280" t="str">
        <f>IFERROR(__xludf.DUMMYFUNCTION("IFERROR(Index(SPLIT(#REF!,"".""),1,2))"),"")</f>
        <v/>
      </c>
      <c r="R36" s="280" t="str">
        <f>IFERROR(VLOOKUP(#REF!,'US History Framework Standards'!$A:$E,3,false),"")</f>
        <v/>
      </c>
      <c r="S36" s="280" t="str">
        <f>IFERROR(__xludf.DUMMYFUNCTION("IFERROR(Index(SPLIT(#REF!,"".""),1,3)&amp;Index(SPLIT(#REF!,"".""),1,4))"),"")</f>
        <v/>
      </c>
      <c r="T36" s="280" t="str">
        <f>iferror(VLOOKUP(L36,'US History Framework Standards'!$A:$E,2,false),"")</f>
        <v>Unsuccessful Ratification of the Treaty of Versailles</v>
      </c>
      <c r="U36" s="305">
        <v>32.0</v>
      </c>
      <c r="V36" s="304" t="s">
        <v>247</v>
      </c>
      <c r="W36" s="304">
        <v>1201718.0</v>
      </c>
      <c r="X36" s="305"/>
      <c r="Y36" s="305"/>
      <c r="Z36" s="303" t="s">
        <v>248</v>
      </c>
      <c r="AA36" s="310"/>
      <c r="AB36" s="310" t="str">
        <f t="shared" si="3"/>
        <v>HXRG_1201718_Doc.jpg</v>
      </c>
    </row>
    <row r="37" ht="15.75" customHeight="1">
      <c r="A37" s="295" t="s">
        <v>285</v>
      </c>
      <c r="B37" s="265" t="s">
        <v>282</v>
      </c>
      <c r="C37" s="265">
        <v>33.0</v>
      </c>
      <c r="D37" s="267"/>
      <c r="E37" s="265"/>
      <c r="F37" s="267"/>
      <c r="G37" s="265"/>
      <c r="H37" s="283" t="s">
        <v>311</v>
      </c>
      <c r="I37" s="269" t="s">
        <v>82</v>
      </c>
      <c r="J37" s="269" t="s">
        <v>83</v>
      </c>
      <c r="K37" s="284" t="s">
        <v>261</v>
      </c>
      <c r="L37" s="284" t="s">
        <v>154</v>
      </c>
      <c r="M37" s="264">
        <v>15.0</v>
      </c>
      <c r="N37" s="264" t="s">
        <v>89</v>
      </c>
      <c r="O37" s="271" t="str">
        <f>IFERROR(VLOOKUP(K37,'US History Framework Standards'!$A:$E,2,false),"")</f>
        <v>Rise of American Power (1890-1920)</v>
      </c>
      <c r="P37" s="271" t="str">
        <f>IFERROR(__xludf.DUMMYFUNCTION("IFERROR(Index(SPLIT(#REF!,"".""),1,1))"),"")</f>
        <v/>
      </c>
      <c r="Q37" s="271" t="str">
        <f>IFERROR(__xludf.DUMMYFUNCTION("IFERROR(Index(SPLIT(#REF!,"".""),1,2))"),"")</f>
        <v/>
      </c>
      <c r="R37" s="271" t="str">
        <f>IFERROR(VLOOKUP(#REF!,'US History Framework Standards'!$A:$E,3,false),"")</f>
        <v/>
      </c>
      <c r="S37" s="271" t="str">
        <f>IFERROR(__xludf.DUMMYFUNCTION("IFERROR(Index(SPLIT(#REF!,"".""),1,3)&amp;Index(SPLIT(#REF!,"".""),1,4))"),"")</f>
        <v/>
      </c>
      <c r="T37" s="271" t="str">
        <f>iferror(VLOOKUP(L37,'US History Framework Standards'!$A:$E,2,false),"")</f>
        <v>Attempts at Peace after WWI</v>
      </c>
      <c r="U37" s="298">
        <v>33.0</v>
      </c>
      <c r="V37" s="296" t="s">
        <v>247</v>
      </c>
      <c r="W37" s="296">
        <v>1201718.0</v>
      </c>
      <c r="X37" s="298"/>
      <c r="Y37" s="298"/>
      <c r="Z37" s="295" t="s">
        <v>248</v>
      </c>
      <c r="AA37" s="302"/>
      <c r="AB37" s="302" t="str">
        <f t="shared" si="3"/>
        <v>HXRG_1201718_DBQ.jpg</v>
      </c>
    </row>
    <row r="38" ht="15.75" customHeight="1">
      <c r="A38" s="273" t="s">
        <v>285</v>
      </c>
      <c r="B38" s="274" t="s">
        <v>282</v>
      </c>
      <c r="C38" s="274">
        <v>34.0</v>
      </c>
      <c r="D38" s="276"/>
      <c r="E38" s="274"/>
      <c r="F38" s="276"/>
      <c r="G38" s="274"/>
      <c r="H38" s="314" t="s">
        <v>312</v>
      </c>
      <c r="I38" s="278" t="s">
        <v>82</v>
      </c>
      <c r="J38" s="278" t="s">
        <v>83</v>
      </c>
      <c r="K38" s="279" t="s">
        <v>261</v>
      </c>
      <c r="L38" s="279" t="s">
        <v>155</v>
      </c>
      <c r="M38" s="273">
        <v>14.0</v>
      </c>
      <c r="N38" s="273" t="s">
        <v>89</v>
      </c>
      <c r="O38" s="280" t="str">
        <f>IFERROR(VLOOKUP(K38,'US History Framework Standards'!$A:$E,2,false),"")</f>
        <v>Rise of American Power (1890-1920)</v>
      </c>
      <c r="P38" s="280" t="str">
        <f>IFERROR(__xludf.DUMMYFUNCTION("IFERROR(Index(SPLIT(#REF!,"".""),1,1))"),"")</f>
        <v/>
      </c>
      <c r="Q38" s="280" t="str">
        <f>IFERROR(__xludf.DUMMYFUNCTION("IFERROR(Index(SPLIT(#REF!,"".""),1,2))"),"")</f>
        <v/>
      </c>
      <c r="R38" s="280" t="str">
        <f>IFERROR(VLOOKUP(#REF!,'US History Framework Standards'!$A:$E,3,false),"")</f>
        <v/>
      </c>
      <c r="S38" s="280" t="str">
        <f>IFERROR(__xludf.DUMMYFUNCTION("IFERROR(Index(SPLIT(#REF!,"".""),1,3)&amp;Index(SPLIT(#REF!,"".""),1,4))"),"")</f>
        <v/>
      </c>
      <c r="T38" s="280" t="str">
        <f>iferror(VLOOKUP(L38,'US History Framework Standards'!$A:$E,2,false),"")</f>
        <v>Unsuccessful Ratification of the Treaty of Versailles</v>
      </c>
      <c r="U38" s="276">
        <v>34.0</v>
      </c>
      <c r="V38" s="274" t="s">
        <v>247</v>
      </c>
      <c r="W38" s="274">
        <v>1201718.0</v>
      </c>
      <c r="X38" s="276"/>
      <c r="Y38" s="276"/>
      <c r="Z38" s="273" t="s">
        <v>248</v>
      </c>
      <c r="AA38" s="281"/>
      <c r="AB38" s="281" t="str">
        <f t="shared" si="3"/>
        <v>HXRG_1201718_DBQ.jpg</v>
      </c>
    </row>
    <row r="39" ht="15.75" customHeight="1">
      <c r="A39" s="264" t="s">
        <v>285</v>
      </c>
      <c r="B39" s="265" t="s">
        <v>282</v>
      </c>
      <c r="C39" s="265">
        <v>35.0</v>
      </c>
      <c r="D39" s="267"/>
      <c r="E39" s="265"/>
      <c r="F39" s="267"/>
      <c r="G39" s="265"/>
      <c r="H39" s="268" t="s">
        <v>313</v>
      </c>
      <c r="I39" s="269" t="s">
        <v>82</v>
      </c>
      <c r="J39" s="265" t="s">
        <v>87</v>
      </c>
      <c r="K39" s="284" t="s">
        <v>261</v>
      </c>
      <c r="L39" s="284" t="s">
        <v>155</v>
      </c>
      <c r="M39" s="264">
        <v>8.0</v>
      </c>
      <c r="N39" s="264" t="s">
        <v>85</v>
      </c>
      <c r="O39" s="271" t="str">
        <f>IFERROR(VLOOKUP(K39,'US History Framework Standards'!$A:$E,2,false),"")</f>
        <v>Rise of American Power (1890-1920)</v>
      </c>
      <c r="P39" s="271" t="str">
        <f>IFERROR(__xludf.DUMMYFUNCTION("IFERROR(Index(SPLIT(#REF!,"".""),1,1))"),"")</f>
        <v/>
      </c>
      <c r="Q39" s="271" t="str">
        <f>IFERROR(__xludf.DUMMYFUNCTION("IFERROR(Index(SPLIT(#REF!,"".""),1,2))"),"")</f>
        <v/>
      </c>
      <c r="R39" s="271" t="str">
        <f>IFERROR(VLOOKUP(#REF!,'US History Framework Standards'!$A:$E,3,false),"")</f>
        <v/>
      </c>
      <c r="S39" s="271" t="str">
        <f>IFERROR(__xludf.DUMMYFUNCTION("IFERROR(Index(SPLIT(#REF!,"".""),1,3)&amp;Index(SPLIT(#REF!,"".""),1,4))"),"")</f>
        <v/>
      </c>
      <c r="T39" s="271" t="str">
        <f>iferror(VLOOKUP(L39,'US History Framework Standards'!$A:$E,2,false),"")</f>
        <v>Unsuccessful Ratification of the Treaty of Versailles</v>
      </c>
      <c r="U39" s="267">
        <v>51.0</v>
      </c>
      <c r="V39" s="265" t="s">
        <v>247</v>
      </c>
      <c r="W39" s="265">
        <v>1201718.0</v>
      </c>
      <c r="X39" s="267"/>
      <c r="Y39" s="267"/>
      <c r="Z39" s="264" t="s">
        <v>248</v>
      </c>
      <c r="AA39" s="272"/>
      <c r="AB39" s="272" t="str">
        <f t="shared" si="3"/>
        <v>HXRG_1201718_DBQ.jpg</v>
      </c>
    </row>
    <row r="40" ht="15.75" customHeight="1">
      <c r="A40" s="273" t="s">
        <v>285</v>
      </c>
      <c r="B40" s="274" t="s">
        <v>282</v>
      </c>
      <c r="C40" s="274">
        <v>36.0</v>
      </c>
      <c r="D40" s="276"/>
      <c r="E40" s="274"/>
      <c r="F40" s="276"/>
      <c r="G40" s="274"/>
      <c r="H40" s="282" t="s">
        <v>314</v>
      </c>
      <c r="I40" s="278" t="s">
        <v>82</v>
      </c>
      <c r="J40" s="278" t="s">
        <v>83</v>
      </c>
      <c r="K40" s="279" t="s">
        <v>261</v>
      </c>
      <c r="L40" s="279" t="s">
        <v>155</v>
      </c>
      <c r="M40" s="273">
        <v>17.0</v>
      </c>
      <c r="N40" s="273" t="s">
        <v>89</v>
      </c>
      <c r="O40" s="280" t="str">
        <f>IFERROR(VLOOKUP(K40,'US History Framework Standards'!$A:$E,2,false),"")</f>
        <v>Rise of American Power (1890-1920)</v>
      </c>
      <c r="P40" s="280" t="str">
        <f>IFERROR(__xludf.DUMMYFUNCTION("IFERROR(Index(SPLIT(#REF!,"".""),1,1))"),"")</f>
        <v/>
      </c>
      <c r="Q40" s="280" t="str">
        <f>IFERROR(__xludf.DUMMYFUNCTION("IFERROR(Index(SPLIT(#REF!,"".""),1,2))"),"")</f>
        <v/>
      </c>
      <c r="R40" s="280" t="str">
        <f>IFERROR(VLOOKUP(#REF!,'US History Framework Standards'!$A:$E,3,false),"")</f>
        <v/>
      </c>
      <c r="S40" s="280" t="str">
        <f>IFERROR(__xludf.DUMMYFUNCTION("IFERROR(Index(SPLIT(#REF!,"".""),1,3)&amp;Index(SPLIT(#REF!,"".""),1,4))"),"")</f>
        <v/>
      </c>
      <c r="T40" s="280" t="str">
        <f>iferror(VLOOKUP(L40,'US History Framework Standards'!$A:$E,2,false),"")</f>
        <v>Unsuccessful Ratification of the Treaty of Versailles</v>
      </c>
      <c r="U40" s="276"/>
      <c r="V40" s="274"/>
      <c r="W40" s="274"/>
      <c r="X40" s="276"/>
      <c r="Y40" s="276"/>
      <c r="Z40" s="273"/>
      <c r="AA40" s="281"/>
      <c r="AB40" s="281"/>
    </row>
    <row r="41" ht="15.75" customHeight="1">
      <c r="A41" s="264" t="s">
        <v>285</v>
      </c>
      <c r="B41" s="265" t="s">
        <v>282</v>
      </c>
      <c r="C41" s="265">
        <v>37.0</v>
      </c>
      <c r="D41" s="267"/>
      <c r="E41" s="265"/>
      <c r="F41" s="267"/>
      <c r="G41" s="265"/>
      <c r="H41" s="286"/>
      <c r="I41" s="265"/>
      <c r="J41" s="265"/>
      <c r="K41" s="284"/>
      <c r="L41" s="284"/>
      <c r="M41" s="264"/>
      <c r="N41" s="264" t="s">
        <v>85</v>
      </c>
      <c r="O41" s="271" t="str">
        <f>IFERROR(VLOOKUP(K41,'US History Framework Standards'!$A:$E,2,false),"")</f>
        <v/>
      </c>
      <c r="P41" s="271" t="str">
        <f>IFERROR(__xludf.DUMMYFUNCTION("IFERROR(Index(SPLIT(#REF!,"".""),1,1))"),"")</f>
        <v/>
      </c>
      <c r="Q41" s="271" t="str">
        <f>IFERROR(__xludf.DUMMYFUNCTION("IFERROR(Index(SPLIT(#REF!,"".""),1,2))"),"")</f>
        <v/>
      </c>
      <c r="R41" s="271" t="str">
        <f>IFERROR(VLOOKUP(#REF!,'US History Framework Standards'!$A:$E,3,false),"")</f>
        <v/>
      </c>
      <c r="S41" s="271" t="str">
        <f>IFERROR(__xludf.DUMMYFUNCTION("IFERROR(Index(SPLIT(#REF!,"".""),1,3)&amp;Index(SPLIT(#REF!,"".""),1,4))"),"")</f>
        <v/>
      </c>
      <c r="T41" s="271" t="str">
        <f>iferror(VLOOKUP(L41,'US History Framework Standards'!$A:$E,5,false),"")</f>
        <v/>
      </c>
      <c r="U41" s="267"/>
      <c r="V41" s="265"/>
      <c r="W41" s="265"/>
      <c r="X41" s="267"/>
      <c r="Y41" s="267"/>
      <c r="Z41" s="264"/>
      <c r="AA41" s="272"/>
      <c r="AB41" s="272"/>
    </row>
  </sheetData>
  <mergeCells count="3">
    <mergeCell ref="H1:K1"/>
    <mergeCell ref="L1:N1"/>
    <mergeCell ref="O1:T1"/>
  </mergeCells>
  <dataValidations>
    <dataValidation type="list" allowBlank="1" showErrorMessage="1" sqref="K3:K41">
      <formula1>"11.01,11.02,11.03,11.04,11.05,11.06,11.07,11.08,11.09,11.10,11.11"</formula1>
    </dataValidation>
    <dataValidation type="list" allowBlank="1" sqref="M3:M41">
      <formula1>'Analysis All Exams'!$M$5:$M$22</formula1>
    </dataValidation>
    <dataValidation type="list" allowBlank="1" sqref="G3:G41">
      <formula1>"Stimulus-Based Multiple Choice,Constructed Response Questions,Enduring Issues Essay"</formula1>
    </dataValidation>
    <dataValidation type="list" allowBlank="1" sqref="I3:I41">
      <formula1>'Analysis All Exams'!$A$5:$A$7</formula1>
    </dataValidation>
    <dataValidation type="list" allowBlank="1" sqref="B3:B41">
      <formula1>"Part I,Part II,Part III"</formula1>
    </dataValidation>
    <dataValidation type="list" allowBlank="1" sqref="J3:J41">
      <formula1>'Analysis All Exams'!$D$5:$D$9</formula1>
    </dataValidation>
    <dataValidation type="list" allowBlank="1" sqref="N3:N41">
      <formula1>"Yes,No"</formula1>
    </dataValidation>
    <dataValidation type="list" allowBlank="1" showErrorMessage="1" sqref="L3:L41">
      <formula1>"11.01a.1,11.01a.2,11.01b.1,11.01b.2,11.01b.3,11.01c.1,11.01c.2,11.02a.1,11.02b.1,11.02b.2,11.02c.1,11.02c.2,11.02c.3,11.02c.4,11.02c.5,11.02d.1,11.02d.2,11.02d.3,11.02d.4,11.03a.1,11.03a.2,11.03a.3,11.03b.1,11.03b.2,11.03b.3,11.03b.4,11.03c.1,11.03c.2,11."&amp;"03c.3,11.04a.1,11.04a.2,11.04a.3,11.04a.4,11.04b.1,11.04c.1,11.04c.2,11.04d.1,11.04d.2,11.05a.1,11.05a.2,11.05a.3,11.05b.1,11.05b.2,11.05b.3,11.05b.4,11.05b.5,11.05b.6,11.05b.7,11.06a.1,11.06a.2,11.06a.3,11.06a.4,11.06b.1,11.06b.2,11.06b.3,11.06c.1,11.06c"&amp;".2,11.06c.3,11.06c.4,11.07a.1,11.07a.2,11.07a.3,11.07a.4,11.07a.5,11.07b.1,11.07b.2,11.07c.1,11.07c.2,11.07c.3,11.07c.4,11.07c.5,11.08a.1,11.08a.2,11.08a.3,11.08a.4,11.08a.5,11.08b.1,11.08b.2,11.08b.3,11.08c.1,11.08c.2,11.08c.3,11.09a.1,11.09a.2,11.09a.3,"&amp;"11.09a.4,11.09a.5,11.09a.6,11.09a.7,11.09b.1,11.09b.2,11.09b.3,11.09c.1,11.09d.1,11.10a.1,11.10a.2,11.10a.3,11.10a.4,11.10b.1,11.10b.2,11.10c.1,11.10c.2,11.10c.3,11.11a.1,11.11a.2,11.11b.1,11.11b.2,11.11b.3,11.11c.1,11.11c.2,11.11c.3"</formula1>
    </dataValidation>
  </dataValidations>
  <hyperlinks>
    <hyperlink r:id="rId1" ref="M2"/>
    <hyperlink r:id="rId2" ref="O2"/>
    <hyperlink r:id="rId3" ref="T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315</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COUNTIF('Itemization 202408'!I:I,A5)</f>
        <v>26</v>
      </c>
      <c r="C5" s="49">
        <f>(B5/B8)</f>
        <v>0.6842105263</v>
      </c>
      <c r="D5" s="47" t="s">
        <v>83</v>
      </c>
      <c r="E5" s="48">
        <f>COUNTIF('Itemization 202408'!J:J,D5)</f>
        <v>28</v>
      </c>
      <c r="F5" s="49">
        <f>(E5/E10)</f>
        <v>0.7368421053</v>
      </c>
      <c r="G5" s="56">
        <v>11.01</v>
      </c>
      <c r="H5" s="57">
        <f>COUNTIF('Itemization 202408'!K:K,G5)</f>
        <v>4</v>
      </c>
      <c r="I5" s="58">
        <f>(H5/H16)</f>
        <v>0.1052631579</v>
      </c>
      <c r="J5" s="121" t="s">
        <v>84</v>
      </c>
      <c r="K5" s="54">
        <f>COUNTIF('Itemization 202408'!L:L,J5)</f>
        <v>0</v>
      </c>
      <c r="L5" s="55">
        <f>(K5/K116)</f>
        <v>0</v>
      </c>
      <c r="M5" s="56">
        <v>1.0</v>
      </c>
      <c r="N5" s="57">
        <f>countif('Itemization 202408'!$M$3:$M$41,M5)</f>
        <v>4</v>
      </c>
      <c r="O5" s="58">
        <f>(N5/N23)</f>
        <v>0.1176470588</v>
      </c>
      <c r="P5" s="47" t="s">
        <v>85</v>
      </c>
      <c r="Q5" s="48">
        <f>countif('Itemization 202408'!N3:N41,P5)</f>
        <v>29</v>
      </c>
      <c r="R5" s="59">
        <f>(Q5/Q7)</f>
        <v>0.7435897436</v>
      </c>
    </row>
    <row r="6" ht="15.75" customHeight="1">
      <c r="A6" s="60" t="s">
        <v>86</v>
      </c>
      <c r="B6" s="61">
        <f>COUNTIF('Itemization 202408'!I:I,A6)</f>
        <v>11</v>
      </c>
      <c r="C6" s="62">
        <f>(B6/B8)</f>
        <v>0.2894736842</v>
      </c>
      <c r="D6" s="56" t="s">
        <v>87</v>
      </c>
      <c r="E6" s="57">
        <f>COUNTIF('Itemization 202408'!J:J,D6)</f>
        <v>4</v>
      </c>
      <c r="F6" s="58">
        <f>(E6/E10)</f>
        <v>0.1052631579</v>
      </c>
      <c r="G6" s="60">
        <v>11.02</v>
      </c>
      <c r="H6" s="61">
        <f>COUNTIF('Itemization 202408'!K:K,G6)</f>
        <v>6</v>
      </c>
      <c r="I6" s="62">
        <f>(H6/H16)</f>
        <v>0.1578947368</v>
      </c>
      <c r="J6" s="122" t="s">
        <v>88</v>
      </c>
      <c r="K6" s="57">
        <f>COUNTIF('Itemization 202408'!L:L,J6)</f>
        <v>2</v>
      </c>
      <c r="L6" s="58">
        <f>(K6/K116)</f>
        <v>0.05263157895</v>
      </c>
      <c r="M6" s="125">
        <v>2.0</v>
      </c>
      <c r="N6" s="54">
        <f>countif('Itemization 202408'!$M$3:$M$41,M6)</f>
        <v>0</v>
      </c>
      <c r="O6" s="55">
        <f>(N6/N23)</f>
        <v>0</v>
      </c>
      <c r="P6" s="64" t="s">
        <v>89</v>
      </c>
      <c r="Q6" s="61">
        <f>countif('Itemization 202408'!N3:N41,P6)</f>
        <v>10</v>
      </c>
      <c r="R6" s="65">
        <f>(Q6/Q7)</f>
        <v>0.2564102564</v>
      </c>
    </row>
    <row r="7" ht="15.75" customHeight="1">
      <c r="A7" s="66" t="s">
        <v>90</v>
      </c>
      <c r="B7" s="57">
        <f>COUNTIF('Itemization 202408'!I:I,A7)</f>
        <v>1</v>
      </c>
      <c r="C7" s="67">
        <f>(B7/B8)</f>
        <v>0.02631578947</v>
      </c>
      <c r="D7" s="60" t="s">
        <v>91</v>
      </c>
      <c r="E7" s="61">
        <f>COUNTIF('Itemization 202408'!J:J,D7)</f>
        <v>5</v>
      </c>
      <c r="F7" s="62">
        <f>(E7/E10)</f>
        <v>0.1315789474</v>
      </c>
      <c r="G7" s="56">
        <v>11.03</v>
      </c>
      <c r="H7" s="57">
        <f>COUNTIF('Itemization 202408'!K:K,G7)</f>
        <v>4</v>
      </c>
      <c r="I7" s="58">
        <f>(H7/H16)</f>
        <v>0.1052631579</v>
      </c>
      <c r="J7" s="121" t="s">
        <v>92</v>
      </c>
      <c r="K7" s="54">
        <f>COUNTIF('Itemization 202408'!L:L,J7)</f>
        <v>0</v>
      </c>
      <c r="L7" s="55">
        <f>(K7/K116)</f>
        <v>0</v>
      </c>
      <c r="M7" s="144">
        <v>3.0</v>
      </c>
      <c r="N7" s="114">
        <f>countif('Itemization 202408'!$M$3:$M$41,M7)</f>
        <v>2</v>
      </c>
      <c r="O7" s="145">
        <f>(N7/N23)</f>
        <v>0.05882352941</v>
      </c>
      <c r="P7" s="68" t="s">
        <v>93</v>
      </c>
      <c r="Q7" s="69">
        <f t="shared" ref="Q7:R7" si="1">SUM(Q5:Q6)</f>
        <v>39</v>
      </c>
      <c r="R7" s="70">
        <f t="shared" si="1"/>
        <v>1</v>
      </c>
    </row>
    <row r="8" ht="15.75" customHeight="1">
      <c r="A8" s="68" t="s">
        <v>93</v>
      </c>
      <c r="B8" s="69">
        <f t="shared" ref="B8:C8" si="2">SUM(B5:B7)</f>
        <v>38</v>
      </c>
      <c r="C8" s="71">
        <f t="shared" si="2"/>
        <v>1</v>
      </c>
      <c r="D8" s="125" t="s">
        <v>94</v>
      </c>
      <c r="E8" s="54">
        <f>COUNTIF('Itemization 202408'!J:J,D8)</f>
        <v>0</v>
      </c>
      <c r="F8" s="55">
        <f>(E8/E10)</f>
        <v>0</v>
      </c>
      <c r="G8" s="125">
        <v>11.04</v>
      </c>
      <c r="H8" s="54">
        <f>COUNTIF('Itemization 202408'!K:K,G8)</f>
        <v>0</v>
      </c>
      <c r="I8" s="55">
        <f>(H8/H16)</f>
        <v>0</v>
      </c>
      <c r="J8" s="122" t="s">
        <v>95</v>
      </c>
      <c r="K8" s="57">
        <f>COUNTIF('Itemization 202408'!L:L,J8)</f>
        <v>2</v>
      </c>
      <c r="L8" s="58">
        <f>(K8/K116)</f>
        <v>0.05263157895</v>
      </c>
      <c r="M8" s="144">
        <v>4.0</v>
      </c>
      <c r="N8" s="114">
        <f>countif('Itemization 202408'!$M$3:$M$41,M8)</f>
        <v>2</v>
      </c>
      <c r="O8" s="145">
        <f>(N8/N23)</f>
        <v>0.05882352941</v>
      </c>
      <c r="P8" s="51"/>
      <c r="Q8" s="51"/>
      <c r="R8" s="72"/>
    </row>
    <row r="9" ht="15.75" customHeight="1">
      <c r="A9" s="73"/>
      <c r="B9" s="73"/>
      <c r="C9" s="74"/>
      <c r="D9" s="207" t="s">
        <v>96</v>
      </c>
      <c r="E9" s="114">
        <f>COUNTIF('Itemization 202408'!J:J,D9)</f>
        <v>1</v>
      </c>
      <c r="F9" s="208">
        <f>(E9/E10)</f>
        <v>0.02631578947</v>
      </c>
      <c r="G9" s="56">
        <v>11.05</v>
      </c>
      <c r="H9" s="57">
        <f>COUNTIF('Itemization 202408'!K:K,G9)</f>
        <v>4</v>
      </c>
      <c r="I9" s="58">
        <f>(H9/H16)</f>
        <v>0.1052631579</v>
      </c>
      <c r="J9" s="121" t="s">
        <v>97</v>
      </c>
      <c r="K9" s="54">
        <f>COUNTIF('Itemization 202408'!L:L,J9)</f>
        <v>0</v>
      </c>
      <c r="L9" s="55">
        <f>(K9/K116)</f>
        <v>0</v>
      </c>
      <c r="M9" s="144">
        <v>5.0</v>
      </c>
      <c r="N9" s="114">
        <f>countif('Itemization 202408'!$M$3:$M$41,M9)</f>
        <v>1</v>
      </c>
      <c r="O9" s="145">
        <f>(N9/N23)</f>
        <v>0.02941176471</v>
      </c>
      <c r="P9" s="51"/>
      <c r="Q9" s="51"/>
      <c r="R9" s="72"/>
    </row>
    <row r="10" ht="15.75" customHeight="1">
      <c r="A10" s="77"/>
      <c r="B10" s="51"/>
      <c r="C10" s="78"/>
      <c r="D10" s="68" t="s">
        <v>93</v>
      </c>
      <c r="E10" s="69">
        <f t="shared" ref="E10:F10" si="3">SUM(E5:E9)</f>
        <v>38</v>
      </c>
      <c r="F10" s="71">
        <f t="shared" si="3"/>
        <v>1</v>
      </c>
      <c r="G10" s="315">
        <v>11.06</v>
      </c>
      <c r="H10" s="316">
        <f>COUNTIF('Itemization 202408'!K:K,G10)</f>
        <v>7</v>
      </c>
      <c r="I10" s="317">
        <f>(H10/H16)</f>
        <v>0.1842105263</v>
      </c>
      <c r="J10" s="121" t="s">
        <v>98</v>
      </c>
      <c r="K10" s="54">
        <f>COUNTIF('Itemization 202408'!L:L,J10)</f>
        <v>0</v>
      </c>
      <c r="L10" s="55">
        <f>(K10/K116)</f>
        <v>0</v>
      </c>
      <c r="M10" s="144">
        <v>6.0</v>
      </c>
      <c r="N10" s="114">
        <f>countif('Itemization 202408'!$M$3:$M$41,M10)</f>
        <v>1</v>
      </c>
      <c r="O10" s="145">
        <f>(N10/N23)</f>
        <v>0.02941176471</v>
      </c>
      <c r="P10" s="51"/>
      <c r="Q10" s="51"/>
      <c r="R10" s="72"/>
    </row>
    <row r="11" ht="15.75" customHeight="1">
      <c r="A11" s="77"/>
      <c r="B11" s="51"/>
      <c r="C11" s="78"/>
      <c r="D11" s="51"/>
      <c r="E11" s="51"/>
      <c r="F11" s="78"/>
      <c r="G11" s="144">
        <v>11.07</v>
      </c>
      <c r="H11" s="114">
        <f>COUNTIF('Itemization 202408'!K:K,G11)</f>
        <v>2</v>
      </c>
      <c r="I11" s="145">
        <f>(H11/H16)</f>
        <v>0.05263157895</v>
      </c>
      <c r="J11" s="121" t="s">
        <v>99</v>
      </c>
      <c r="K11" s="54">
        <f>COUNTIF('Itemization 202408'!L:L,J11)</f>
        <v>0</v>
      </c>
      <c r="L11" s="55">
        <f>(K11/K116)</f>
        <v>0</v>
      </c>
      <c r="M11" s="47">
        <v>7.0</v>
      </c>
      <c r="N11" s="48">
        <f>countif('Itemization 202408'!$M$3:$M$41,M11)</f>
        <v>8</v>
      </c>
      <c r="O11" s="49">
        <f>(N11/N23)</f>
        <v>0.2352941176</v>
      </c>
      <c r="P11" s="51"/>
      <c r="Q11" s="51"/>
      <c r="R11" s="72"/>
    </row>
    <row r="12" ht="15.75" customHeight="1">
      <c r="A12" s="77"/>
      <c r="B12" s="51"/>
      <c r="C12" s="78"/>
      <c r="D12" s="51"/>
      <c r="E12" s="51"/>
      <c r="F12" s="78"/>
      <c r="G12" s="60">
        <v>11.08</v>
      </c>
      <c r="H12" s="61">
        <f>COUNTIF('Itemization 202408'!K:K,G12)</f>
        <v>1</v>
      </c>
      <c r="I12" s="62">
        <f>(H12/H16)</f>
        <v>0.02631578947</v>
      </c>
      <c r="J12" s="122" t="s">
        <v>100</v>
      </c>
      <c r="K12" s="57">
        <f>COUNTIF('Itemization 202408'!L:L,J12)</f>
        <v>2</v>
      </c>
      <c r="L12" s="58">
        <f>(K12/K116)</f>
        <v>0.05263157895</v>
      </c>
      <c r="M12" s="60">
        <v>8.0</v>
      </c>
      <c r="N12" s="61">
        <f>countif('Itemization 202408'!$M$3:$M$41,M12)</f>
        <v>7</v>
      </c>
      <c r="O12" s="62">
        <f>(N12/N23)</f>
        <v>0.2058823529</v>
      </c>
      <c r="P12" s="51"/>
      <c r="Q12" s="51"/>
      <c r="R12" s="72"/>
    </row>
    <row r="13" ht="15.75" customHeight="1">
      <c r="A13" s="77"/>
      <c r="B13" s="51"/>
      <c r="C13" s="78"/>
      <c r="D13" s="51"/>
      <c r="E13" s="51"/>
      <c r="F13" s="78"/>
      <c r="G13" s="56">
        <v>11.09</v>
      </c>
      <c r="H13" s="57">
        <f>COUNTIF('Itemization 202408'!K:K,G13)</f>
        <v>4</v>
      </c>
      <c r="I13" s="58">
        <f>(H13/H16)</f>
        <v>0.1052631579</v>
      </c>
      <c r="J13" s="121" t="s">
        <v>101</v>
      </c>
      <c r="K13" s="54">
        <f>COUNTIF('Itemization 202408'!L:L,J13)</f>
        <v>0</v>
      </c>
      <c r="L13" s="55">
        <f>(K13/K116)</f>
        <v>0</v>
      </c>
      <c r="M13" s="144">
        <v>9.0</v>
      </c>
      <c r="N13" s="114">
        <f>countif('Itemization 202408'!$M$3:$M$41,M13)</f>
        <v>1</v>
      </c>
      <c r="O13" s="145">
        <f>(N13/N23)</f>
        <v>0.02941176471</v>
      </c>
      <c r="P13" s="51"/>
      <c r="Q13" s="51"/>
      <c r="R13" s="72"/>
    </row>
    <row r="14" ht="15.75" customHeight="1">
      <c r="A14" s="51"/>
      <c r="B14" s="51"/>
      <c r="C14" s="78"/>
      <c r="D14" s="51"/>
      <c r="E14" s="51"/>
      <c r="F14" s="78"/>
      <c r="G14" s="88" t="s">
        <v>102</v>
      </c>
      <c r="H14" s="57">
        <f>COUNTIF('Itemization 202408'!K:K,G14)</f>
        <v>4</v>
      </c>
      <c r="I14" s="58">
        <f>(H14/H16)</f>
        <v>0.1052631579</v>
      </c>
      <c r="J14" s="121" t="s">
        <v>103</v>
      </c>
      <c r="K14" s="54">
        <f>COUNTIF('Itemization 202408'!L:L,J14)</f>
        <v>0</v>
      </c>
      <c r="L14" s="55">
        <f>(K14/K116)</f>
        <v>0</v>
      </c>
      <c r="M14" s="125">
        <v>10.0</v>
      </c>
      <c r="N14" s="54">
        <f>countif('Itemization 202408'!$M$3:$M$41,M14)</f>
        <v>0</v>
      </c>
      <c r="O14" s="55">
        <f>(N14/N23)</f>
        <v>0</v>
      </c>
      <c r="P14" s="51"/>
      <c r="Q14" s="51"/>
      <c r="R14" s="72"/>
    </row>
    <row r="15" ht="15.75" customHeight="1">
      <c r="A15" s="73"/>
      <c r="B15" s="73"/>
      <c r="C15" s="74"/>
      <c r="D15" s="51"/>
      <c r="E15" s="51"/>
      <c r="F15" s="78"/>
      <c r="G15" s="252" t="s">
        <v>104</v>
      </c>
      <c r="H15" s="114">
        <f>COUNTIF('Itemization 202408'!K:K,G15)</f>
        <v>2</v>
      </c>
      <c r="I15" s="208">
        <f>(H15/H16)</f>
        <v>0.05263157895</v>
      </c>
      <c r="J15" s="121" t="s">
        <v>105</v>
      </c>
      <c r="K15" s="54">
        <f>COUNTIF('Itemization 202408'!L:L,J15)</f>
        <v>0</v>
      </c>
      <c r="L15" s="55">
        <f>(K15/K116)</f>
        <v>0</v>
      </c>
      <c r="M15" s="125">
        <v>11.0</v>
      </c>
      <c r="N15" s="54">
        <f>countif('Itemization 202408'!$M$3:$M$41,M15)</f>
        <v>0</v>
      </c>
      <c r="O15" s="55">
        <f>(N15/N23)</f>
        <v>0</v>
      </c>
      <c r="P15" s="51"/>
      <c r="Q15" s="51"/>
      <c r="R15" s="72"/>
    </row>
    <row r="16" ht="15.75" customHeight="1">
      <c r="A16" s="51"/>
      <c r="B16" s="51"/>
      <c r="C16" s="78"/>
      <c r="D16" s="51"/>
      <c r="E16" s="51"/>
      <c r="F16" s="78"/>
      <c r="G16" s="68" t="s">
        <v>93</v>
      </c>
      <c r="H16" s="69">
        <f>SUM(H5:H15)</f>
        <v>38</v>
      </c>
      <c r="I16" s="71">
        <f>sum(I5:I15)</f>
        <v>1</v>
      </c>
      <c r="J16" s="121" t="s">
        <v>106</v>
      </c>
      <c r="K16" s="54">
        <f>COUNTIF('Itemization 202408'!L:L,J16)</f>
        <v>0</v>
      </c>
      <c r="L16" s="55">
        <f>(K16/K116)</f>
        <v>0</v>
      </c>
      <c r="M16" s="144">
        <v>12.0</v>
      </c>
      <c r="N16" s="114">
        <f>countif('Itemization 202408'!$M$3:$M$41,M16)</f>
        <v>1</v>
      </c>
      <c r="O16" s="145">
        <f>(N16/N23)</f>
        <v>0.02941176471</v>
      </c>
      <c r="P16" s="51"/>
      <c r="Q16" s="51"/>
      <c r="R16" s="72"/>
    </row>
    <row r="17" ht="15.75" customHeight="1">
      <c r="A17" s="73"/>
      <c r="B17" s="73"/>
      <c r="C17" s="74"/>
      <c r="D17" s="51"/>
      <c r="E17" s="51"/>
      <c r="F17" s="78"/>
      <c r="G17" s="51"/>
      <c r="H17" s="51"/>
      <c r="I17" s="78"/>
      <c r="J17" s="121" t="s">
        <v>107</v>
      </c>
      <c r="K17" s="54">
        <f>COUNTIF('Itemization 202408'!L:L,J17)</f>
        <v>0</v>
      </c>
      <c r="L17" s="55">
        <f>(K17/K116)</f>
        <v>0</v>
      </c>
      <c r="M17" s="144">
        <v>13.0</v>
      </c>
      <c r="N17" s="114">
        <f>countif('Itemization 202408'!$M$3:$M$41,M17)</f>
        <v>1</v>
      </c>
      <c r="O17" s="145">
        <f>(N17/N23)</f>
        <v>0.02941176471</v>
      </c>
      <c r="P17" s="51"/>
      <c r="Q17" s="51"/>
      <c r="R17" s="72"/>
    </row>
    <row r="18" ht="15.75" customHeight="1">
      <c r="A18" s="73"/>
      <c r="B18" s="73"/>
      <c r="C18" s="74"/>
      <c r="D18" s="51"/>
      <c r="E18" s="51"/>
      <c r="F18" s="78"/>
      <c r="G18" s="51"/>
      <c r="H18" s="51"/>
      <c r="I18" s="78"/>
      <c r="J18" s="122" t="s">
        <v>108</v>
      </c>
      <c r="K18" s="57">
        <f>COUNTIF('Itemization 202408'!L:L,J18)</f>
        <v>2</v>
      </c>
      <c r="L18" s="58">
        <f>(K18/K116)</f>
        <v>0.05263157895</v>
      </c>
      <c r="M18" s="144">
        <v>14.0</v>
      </c>
      <c r="N18" s="114">
        <f>countif('Itemization 202408'!$M$3:$M$41,M18)</f>
        <v>2</v>
      </c>
      <c r="O18" s="145">
        <f>(N18/N23)</f>
        <v>0.05882352941</v>
      </c>
      <c r="P18" s="51"/>
      <c r="Q18" s="51"/>
      <c r="R18" s="72"/>
    </row>
    <row r="19" ht="15.75" customHeight="1">
      <c r="A19" s="80" t="s">
        <v>109</v>
      </c>
      <c r="D19" s="51"/>
      <c r="E19" s="51"/>
      <c r="F19" s="78"/>
      <c r="G19" s="51"/>
      <c r="H19" s="51"/>
      <c r="I19" s="78"/>
      <c r="J19" s="121" t="s">
        <v>110</v>
      </c>
      <c r="K19" s="54">
        <f>COUNTIF('Itemization 202408'!L:L,J19)</f>
        <v>0</v>
      </c>
      <c r="L19" s="55">
        <f>(K19/K116)</f>
        <v>0</v>
      </c>
      <c r="M19" s="125">
        <v>15.0</v>
      </c>
      <c r="N19" s="54">
        <f>countif('Itemization 202408'!$M$3:$M$41,M19)</f>
        <v>0</v>
      </c>
      <c r="O19" s="55">
        <f>(N19/N23)</f>
        <v>0</v>
      </c>
      <c r="P19" s="51"/>
      <c r="Q19" s="51"/>
      <c r="R19" s="72"/>
    </row>
    <row r="20" ht="15.75" customHeight="1">
      <c r="A20" s="81" t="s">
        <v>111</v>
      </c>
      <c r="D20" s="51"/>
      <c r="E20" s="51"/>
      <c r="F20" s="78"/>
      <c r="G20" s="51"/>
      <c r="H20" s="51"/>
      <c r="I20" s="78"/>
      <c r="J20" s="121" t="s">
        <v>112</v>
      </c>
      <c r="K20" s="54">
        <f>COUNTIF('Itemization 202408'!L:L,J20)</f>
        <v>0</v>
      </c>
      <c r="L20" s="55">
        <f>(K20/K116)</f>
        <v>0</v>
      </c>
      <c r="M20" s="144">
        <v>16.0</v>
      </c>
      <c r="N20" s="114">
        <f>countif('Itemization 202408'!$M$3:$M$41,M20)</f>
        <v>1</v>
      </c>
      <c r="O20" s="145">
        <f>(N20/N23)</f>
        <v>0.02941176471</v>
      </c>
      <c r="P20" s="51"/>
      <c r="Q20" s="51"/>
      <c r="R20" s="72"/>
    </row>
    <row r="21" ht="15.75" customHeight="1">
      <c r="A21" s="82" t="s">
        <v>113</v>
      </c>
      <c r="D21" s="51"/>
      <c r="E21" s="51"/>
      <c r="F21" s="78"/>
      <c r="G21" s="51"/>
      <c r="H21" s="51"/>
      <c r="I21" s="78"/>
      <c r="J21" s="121" t="s">
        <v>114</v>
      </c>
      <c r="K21" s="54">
        <f>COUNTIF('Itemization 202408'!L:L,J21)</f>
        <v>0</v>
      </c>
      <c r="L21" s="55">
        <f>(K21/K116)</f>
        <v>0</v>
      </c>
      <c r="M21" s="144">
        <v>17.0</v>
      </c>
      <c r="N21" s="114">
        <f>countif('Itemization 202408'!$M$3:$M$41,M21)</f>
        <v>1</v>
      </c>
      <c r="O21" s="145">
        <f>(N21/N23)</f>
        <v>0.02941176471</v>
      </c>
      <c r="P21" s="51"/>
      <c r="Q21" s="51"/>
      <c r="R21" s="72"/>
    </row>
    <row r="22" ht="15.75" customHeight="1">
      <c r="A22" s="83" t="s">
        <v>115</v>
      </c>
      <c r="D22" s="51"/>
      <c r="E22" s="51"/>
      <c r="F22" s="78"/>
      <c r="G22" s="51"/>
      <c r="H22" s="51"/>
      <c r="I22" s="78"/>
      <c r="J22" s="121" t="s">
        <v>116</v>
      </c>
      <c r="K22" s="54">
        <f>COUNTIF('Itemization 202408'!L:L,J22)</f>
        <v>0</v>
      </c>
      <c r="L22" s="55">
        <f>(K22/K116)</f>
        <v>0</v>
      </c>
      <c r="M22" s="207">
        <v>18.0</v>
      </c>
      <c r="N22" s="114">
        <f>countif('Itemization 202408'!$M$3:$M$41,M22)</f>
        <v>2</v>
      </c>
      <c r="O22" s="208">
        <f>(N22/N23)</f>
        <v>0.05882352941</v>
      </c>
      <c r="P22" s="51"/>
      <c r="Q22" s="51"/>
      <c r="R22" s="72"/>
    </row>
    <row r="23" ht="15.75" customHeight="1">
      <c r="A23" s="113" t="s">
        <v>220</v>
      </c>
      <c r="D23" s="51"/>
      <c r="E23" s="51"/>
      <c r="F23" s="78"/>
      <c r="G23" s="51"/>
      <c r="H23" s="51"/>
      <c r="I23" s="78"/>
      <c r="J23" s="122" t="s">
        <v>118</v>
      </c>
      <c r="K23" s="57">
        <f>COUNTIF('Itemization 202408'!L:L,J23)</f>
        <v>2</v>
      </c>
      <c r="L23" s="58">
        <f>(K23/K116)</f>
        <v>0.05263157895</v>
      </c>
      <c r="M23" s="68" t="s">
        <v>93</v>
      </c>
      <c r="N23" s="69">
        <f>SUM(N5:N22)</f>
        <v>34</v>
      </c>
      <c r="O23" s="71">
        <f>SUM(O4:O22)</f>
        <v>1</v>
      </c>
      <c r="P23" s="51"/>
      <c r="Q23" s="51"/>
      <c r="R23" s="72"/>
    </row>
    <row r="24" ht="15.75" customHeight="1">
      <c r="A24" s="86" t="s">
        <v>119</v>
      </c>
      <c r="D24" s="51"/>
      <c r="E24" s="51"/>
      <c r="F24" s="78"/>
      <c r="G24" s="51"/>
      <c r="H24" s="51"/>
      <c r="I24" s="78"/>
      <c r="J24" s="121" t="s">
        <v>120</v>
      </c>
      <c r="K24" s="54">
        <f>COUNTIF('Itemization 202408'!L:L,J24)</f>
        <v>0</v>
      </c>
      <c r="L24" s="55">
        <f>(K24/K116)</f>
        <v>0</v>
      </c>
      <c r="M24" s="51"/>
      <c r="N24" s="51"/>
      <c r="O24" s="78"/>
      <c r="P24" s="51"/>
      <c r="Q24" s="51"/>
      <c r="R24" s="72"/>
    </row>
    <row r="25" ht="15.75" customHeight="1">
      <c r="A25" s="85"/>
      <c r="B25" s="85"/>
      <c r="C25" s="85"/>
      <c r="D25" s="51"/>
      <c r="E25" s="51"/>
      <c r="F25" s="78"/>
      <c r="G25" s="51"/>
      <c r="H25" s="51"/>
      <c r="I25" s="78"/>
      <c r="J25" s="121" t="s">
        <v>121</v>
      </c>
      <c r="K25" s="54">
        <f>COUNTIF('Itemization 202408'!L:L,J25)</f>
        <v>0</v>
      </c>
      <c r="L25" s="55">
        <f>(K25/K116)</f>
        <v>0</v>
      </c>
      <c r="M25" s="51"/>
      <c r="N25" s="51"/>
      <c r="O25" s="78"/>
      <c r="P25" s="51"/>
      <c r="Q25" s="51"/>
      <c r="R25" s="72"/>
    </row>
    <row r="26" ht="15.75" customHeight="1">
      <c r="A26" s="85"/>
      <c r="B26" s="85"/>
      <c r="C26" s="85"/>
      <c r="D26" s="51"/>
      <c r="E26" s="51"/>
      <c r="F26" s="78"/>
      <c r="G26" s="51"/>
      <c r="H26" s="51"/>
      <c r="I26" s="78"/>
      <c r="J26" s="121" t="s">
        <v>122</v>
      </c>
      <c r="K26" s="54">
        <f>COUNTIF('Itemization 202408'!L:L,J26)</f>
        <v>0</v>
      </c>
      <c r="L26" s="55">
        <f>(K26/K116)</f>
        <v>0</v>
      </c>
      <c r="M26" s="51"/>
      <c r="N26" s="51"/>
      <c r="O26" s="78"/>
      <c r="P26" s="51"/>
      <c r="Q26" s="51"/>
      <c r="R26" s="72"/>
    </row>
    <row r="27" ht="15.75" customHeight="1">
      <c r="A27" s="85"/>
      <c r="B27" s="85"/>
      <c r="C27" s="85"/>
      <c r="D27" s="51"/>
      <c r="E27" s="51"/>
      <c r="F27" s="78"/>
      <c r="G27" s="51"/>
      <c r="H27" s="51"/>
      <c r="I27" s="78"/>
      <c r="J27" s="121" t="s">
        <v>123</v>
      </c>
      <c r="K27" s="54">
        <f>COUNTIF('Itemization 202408'!L:L,J27)</f>
        <v>0</v>
      </c>
      <c r="L27" s="55">
        <f>(K27/K116)</f>
        <v>0</v>
      </c>
      <c r="M27" s="51"/>
      <c r="N27" s="51"/>
      <c r="O27" s="78"/>
      <c r="P27" s="51"/>
      <c r="Q27" s="51"/>
      <c r="R27" s="72"/>
    </row>
    <row r="28" ht="15.75" customHeight="1">
      <c r="A28" s="85"/>
      <c r="B28" s="85"/>
      <c r="C28" s="85"/>
      <c r="D28" s="51"/>
      <c r="E28" s="51"/>
      <c r="F28" s="78"/>
      <c r="G28" s="51"/>
      <c r="H28" s="51"/>
      <c r="I28" s="78"/>
      <c r="J28" s="122" t="s">
        <v>124</v>
      </c>
      <c r="K28" s="57">
        <f>COUNTIF('Itemization 202408'!L:L,J28)</f>
        <v>2</v>
      </c>
      <c r="L28" s="58">
        <f>(K28/K116)</f>
        <v>0.05263157895</v>
      </c>
      <c r="M28" s="51"/>
      <c r="N28" s="51"/>
      <c r="O28" s="78"/>
      <c r="P28" s="51"/>
      <c r="Q28" s="51"/>
      <c r="R28" s="72"/>
    </row>
    <row r="29" ht="15.75" customHeight="1">
      <c r="A29" s="85"/>
      <c r="B29" s="85"/>
      <c r="C29" s="85"/>
      <c r="D29" s="51"/>
      <c r="E29" s="51"/>
      <c r="F29" s="78"/>
      <c r="G29" s="51"/>
      <c r="H29" s="51"/>
      <c r="I29" s="78"/>
      <c r="J29" s="121" t="s">
        <v>125</v>
      </c>
      <c r="K29" s="54">
        <f>COUNTIF('Itemization 202408'!L:L,J29)</f>
        <v>0</v>
      </c>
      <c r="L29" s="55">
        <f>(K29/K116)</f>
        <v>0</v>
      </c>
      <c r="M29" s="51"/>
      <c r="N29" s="51"/>
      <c r="O29" s="78"/>
      <c r="P29" s="51"/>
      <c r="Q29" s="51"/>
      <c r="R29" s="72"/>
    </row>
    <row r="30" ht="15.75" customHeight="1">
      <c r="A30" s="85"/>
      <c r="B30" s="85"/>
      <c r="C30" s="85"/>
      <c r="D30" s="51"/>
      <c r="E30" s="51"/>
      <c r="F30" s="78"/>
      <c r="G30" s="51"/>
      <c r="H30" s="51"/>
      <c r="I30" s="78"/>
      <c r="J30" s="210" t="s">
        <v>126</v>
      </c>
      <c r="K30" s="114">
        <f>COUNTIF('Itemization 202408'!L:L,J30)</f>
        <v>1</v>
      </c>
      <c r="L30" s="145">
        <f>(K30/K116)</f>
        <v>0.02631578947</v>
      </c>
      <c r="M30" s="51"/>
      <c r="N30" s="51"/>
      <c r="O30" s="78"/>
      <c r="P30" s="51"/>
      <c r="Q30" s="51"/>
      <c r="R30" s="72"/>
    </row>
    <row r="31" ht="15.75" customHeight="1">
      <c r="A31" s="85"/>
      <c r="B31" s="85"/>
      <c r="C31" s="85"/>
      <c r="D31" s="51"/>
      <c r="E31" s="51"/>
      <c r="F31" s="78"/>
      <c r="G31" s="51"/>
      <c r="H31" s="51"/>
      <c r="I31" s="78"/>
      <c r="J31" s="210" t="s">
        <v>127</v>
      </c>
      <c r="K31" s="114">
        <f>COUNTIF('Itemization 202408'!L:L,J31)</f>
        <v>1</v>
      </c>
      <c r="L31" s="145">
        <f>(K31/K116)</f>
        <v>0.02631578947</v>
      </c>
      <c r="M31" s="51"/>
      <c r="N31" s="51"/>
      <c r="O31" s="78"/>
      <c r="P31" s="51"/>
      <c r="Q31" s="51"/>
      <c r="R31" s="72"/>
    </row>
    <row r="32" ht="15.75" customHeight="1">
      <c r="A32" s="85"/>
      <c r="B32" s="85"/>
      <c r="C32" s="85"/>
      <c r="D32" s="51"/>
      <c r="E32" s="51"/>
      <c r="F32" s="78"/>
      <c r="G32" s="51"/>
      <c r="H32" s="51"/>
      <c r="I32" s="78"/>
      <c r="J32" s="121" t="s">
        <v>128</v>
      </c>
      <c r="K32" s="54">
        <f>COUNTIF('Itemization 202408'!L:L,J32)</f>
        <v>0</v>
      </c>
      <c r="L32" s="55">
        <f>(K32/K116)</f>
        <v>0</v>
      </c>
      <c r="M32" s="51"/>
      <c r="N32" s="51"/>
      <c r="O32" s="78"/>
      <c r="P32" s="51"/>
      <c r="Q32" s="51"/>
      <c r="R32" s="72"/>
    </row>
    <row r="33" ht="15.75" customHeight="1">
      <c r="A33" s="85"/>
      <c r="B33" s="85"/>
      <c r="C33" s="85"/>
      <c r="D33" s="51"/>
      <c r="E33" s="51"/>
      <c r="F33" s="78"/>
      <c r="G33" s="51"/>
      <c r="H33" s="51"/>
      <c r="I33" s="78"/>
      <c r="J33" s="121" t="s">
        <v>129</v>
      </c>
      <c r="K33" s="54">
        <f>COUNTIF('Itemization 202408'!L:L,J33)</f>
        <v>0</v>
      </c>
      <c r="L33" s="55">
        <f>(K33/K116)</f>
        <v>0</v>
      </c>
      <c r="M33" s="51"/>
      <c r="N33" s="51"/>
      <c r="O33" s="78"/>
      <c r="P33" s="51"/>
      <c r="Q33" s="51"/>
      <c r="R33" s="72"/>
    </row>
    <row r="34" ht="15.75" customHeight="1">
      <c r="A34" s="85"/>
      <c r="B34" s="85"/>
      <c r="C34" s="85"/>
      <c r="D34" s="51"/>
      <c r="E34" s="51"/>
      <c r="F34" s="78"/>
      <c r="G34" s="51"/>
      <c r="H34" s="51"/>
      <c r="I34" s="78"/>
      <c r="J34" s="121" t="s">
        <v>130</v>
      </c>
      <c r="K34" s="54">
        <f>COUNTIF('Itemization 202408'!L:L,J34)</f>
        <v>0</v>
      </c>
      <c r="L34" s="55">
        <f>(K34/K116)</f>
        <v>0</v>
      </c>
      <c r="M34" s="51"/>
      <c r="N34" s="51"/>
      <c r="O34" s="78"/>
      <c r="P34" s="51"/>
      <c r="Q34" s="51"/>
      <c r="R34" s="72"/>
    </row>
    <row r="35" ht="15.75" customHeight="1">
      <c r="A35" s="85"/>
      <c r="B35" s="85"/>
      <c r="C35" s="85"/>
      <c r="D35" s="51"/>
      <c r="E35" s="51"/>
      <c r="F35" s="78"/>
      <c r="G35" s="51"/>
      <c r="H35" s="51"/>
      <c r="I35" s="78"/>
      <c r="J35" s="121" t="s">
        <v>131</v>
      </c>
      <c r="K35" s="54">
        <f>COUNTIF('Itemization 202408'!L:L,J35)</f>
        <v>0</v>
      </c>
      <c r="L35" s="55">
        <f>(K35/K116)</f>
        <v>0</v>
      </c>
      <c r="M35" s="51"/>
      <c r="N35" s="51"/>
      <c r="O35" s="78"/>
      <c r="P35" s="51"/>
      <c r="Q35" s="51"/>
      <c r="R35" s="72"/>
    </row>
    <row r="36" ht="15.75" customHeight="1">
      <c r="A36" s="85"/>
      <c r="B36" s="85"/>
      <c r="C36" s="85"/>
      <c r="D36" s="51"/>
      <c r="E36" s="51"/>
      <c r="F36" s="78"/>
      <c r="G36" s="51"/>
      <c r="H36" s="51"/>
      <c r="I36" s="78"/>
      <c r="J36" s="121" t="s">
        <v>132</v>
      </c>
      <c r="K36" s="54">
        <f>COUNTIF('Itemization 202408'!L:L,J36)</f>
        <v>0</v>
      </c>
      <c r="L36" s="55">
        <f>(K36/K116)</f>
        <v>0</v>
      </c>
      <c r="M36" s="51"/>
      <c r="N36" s="51"/>
      <c r="O36" s="78"/>
      <c r="P36" s="51"/>
      <c r="Q36" s="51"/>
      <c r="R36" s="72"/>
    </row>
    <row r="37" ht="15.75" customHeight="1">
      <c r="A37" s="85"/>
      <c r="B37" s="85"/>
      <c r="C37" s="85"/>
      <c r="D37" s="51"/>
      <c r="E37" s="51"/>
      <c r="F37" s="78"/>
      <c r="G37" s="51"/>
      <c r="H37" s="51"/>
      <c r="I37" s="78"/>
      <c r="J37" s="121" t="s">
        <v>133</v>
      </c>
      <c r="K37" s="54">
        <f>COUNTIF('Itemization 202408'!L:L,J37)</f>
        <v>0</v>
      </c>
      <c r="L37" s="55">
        <f>(K37/K116)</f>
        <v>0</v>
      </c>
      <c r="M37" s="51"/>
      <c r="N37" s="51"/>
      <c r="O37" s="78"/>
      <c r="P37" s="51"/>
      <c r="Q37" s="51"/>
      <c r="R37" s="72"/>
    </row>
    <row r="38" ht="15.75" customHeight="1">
      <c r="A38" s="85"/>
      <c r="B38" s="85"/>
      <c r="C38" s="85"/>
      <c r="D38" s="51"/>
      <c r="E38" s="51"/>
      <c r="F38" s="78"/>
      <c r="G38" s="51"/>
      <c r="H38" s="51"/>
      <c r="I38" s="78"/>
      <c r="J38" s="121" t="s">
        <v>134</v>
      </c>
      <c r="K38" s="54">
        <f>COUNTIF('Itemization 202408'!L:L,J38)</f>
        <v>0</v>
      </c>
      <c r="L38" s="55">
        <f>(K38/K116)</f>
        <v>0</v>
      </c>
      <c r="M38" s="51"/>
      <c r="N38" s="51"/>
      <c r="O38" s="78"/>
      <c r="P38" s="51"/>
      <c r="Q38" s="51"/>
      <c r="R38" s="72"/>
    </row>
    <row r="39" ht="15.75" customHeight="1">
      <c r="A39" s="85"/>
      <c r="B39" s="85"/>
      <c r="C39" s="85"/>
      <c r="D39" s="51"/>
      <c r="E39" s="51"/>
      <c r="F39" s="78"/>
      <c r="G39" s="51"/>
      <c r="H39" s="51"/>
      <c r="I39" s="78"/>
      <c r="J39" s="121" t="s">
        <v>135</v>
      </c>
      <c r="K39" s="54">
        <f>COUNTIF('Itemization 202408'!L:L,J39)</f>
        <v>0</v>
      </c>
      <c r="L39" s="55">
        <f>(K39/K116)</f>
        <v>0</v>
      </c>
      <c r="M39" s="51"/>
      <c r="N39" s="51"/>
      <c r="O39" s="78"/>
      <c r="P39" s="51"/>
      <c r="Q39" s="51"/>
      <c r="R39" s="72"/>
    </row>
    <row r="40" ht="15.75" customHeight="1">
      <c r="A40" s="85"/>
      <c r="B40" s="85"/>
      <c r="C40" s="85"/>
      <c r="D40" s="51"/>
      <c r="E40" s="51"/>
      <c r="F40" s="78"/>
      <c r="G40" s="51"/>
      <c r="H40" s="51"/>
      <c r="I40" s="78"/>
      <c r="J40" s="121" t="s">
        <v>136</v>
      </c>
      <c r="K40" s="54">
        <f>COUNTIF('Itemization 202408'!L:L,J40)</f>
        <v>0</v>
      </c>
      <c r="L40" s="55">
        <f>(K40/K116)</f>
        <v>0</v>
      </c>
      <c r="M40" s="51"/>
      <c r="N40" s="51"/>
      <c r="O40" s="78"/>
      <c r="P40" s="51"/>
      <c r="Q40" s="51"/>
      <c r="R40" s="72"/>
    </row>
    <row r="41" ht="15.75" customHeight="1">
      <c r="A41" s="85"/>
      <c r="B41" s="85"/>
      <c r="C41" s="85"/>
      <c r="D41" s="51"/>
      <c r="E41" s="51"/>
      <c r="F41" s="78"/>
      <c r="G41" s="51"/>
      <c r="H41" s="51"/>
      <c r="I41" s="78"/>
      <c r="J41" s="121" t="s">
        <v>137</v>
      </c>
      <c r="K41" s="54">
        <f>COUNTIF('Itemization 202408'!L:L,J41)</f>
        <v>0</v>
      </c>
      <c r="L41" s="55">
        <f>(K41/K116)</f>
        <v>0</v>
      </c>
      <c r="M41" s="51"/>
      <c r="N41" s="51"/>
      <c r="O41" s="78"/>
      <c r="P41" s="51"/>
      <c r="Q41" s="51"/>
      <c r="R41" s="72"/>
    </row>
    <row r="42" ht="15.75" customHeight="1">
      <c r="A42" s="85"/>
      <c r="B42" s="85"/>
      <c r="C42" s="85"/>
      <c r="D42" s="51"/>
      <c r="E42" s="51"/>
      <c r="F42" s="78"/>
      <c r="G42" s="51"/>
      <c r="H42" s="51"/>
      <c r="I42" s="78"/>
      <c r="J42" s="121" t="s">
        <v>138</v>
      </c>
      <c r="K42" s="54">
        <f>COUNTIF('Itemization 202408'!L:L,J42)</f>
        <v>0</v>
      </c>
      <c r="L42" s="55">
        <f>(K42/K116)</f>
        <v>0</v>
      </c>
      <c r="M42" s="51"/>
      <c r="N42" s="51"/>
      <c r="O42" s="78"/>
      <c r="P42" s="51"/>
      <c r="Q42" s="51"/>
      <c r="R42" s="72"/>
    </row>
    <row r="43" ht="15.75" customHeight="1">
      <c r="A43" s="85"/>
      <c r="B43" s="85"/>
      <c r="C43" s="85"/>
      <c r="D43" s="51"/>
      <c r="E43" s="51"/>
      <c r="F43" s="78"/>
      <c r="G43" s="51"/>
      <c r="H43" s="51"/>
      <c r="I43" s="78"/>
      <c r="J43" s="121" t="s">
        <v>139</v>
      </c>
      <c r="K43" s="54">
        <f>COUNTIF('Itemization 202408'!L:L,J43)</f>
        <v>0</v>
      </c>
      <c r="L43" s="55">
        <f>(K43/K116)</f>
        <v>0</v>
      </c>
      <c r="M43" s="51"/>
      <c r="N43" s="51"/>
      <c r="O43" s="78"/>
      <c r="P43" s="51"/>
      <c r="Q43" s="51"/>
      <c r="R43" s="72"/>
    </row>
    <row r="44" ht="15.75" customHeight="1">
      <c r="A44" s="85"/>
      <c r="B44" s="85"/>
      <c r="C44" s="85"/>
      <c r="D44" s="51"/>
      <c r="E44" s="51"/>
      <c r="F44" s="78"/>
      <c r="G44" s="51"/>
      <c r="H44" s="51"/>
      <c r="I44" s="78"/>
      <c r="J44" s="121" t="s">
        <v>140</v>
      </c>
      <c r="K44" s="54">
        <f>COUNTIF('Itemization 202408'!L:L,J44)</f>
        <v>0</v>
      </c>
      <c r="L44" s="55">
        <f>(K44/K116)</f>
        <v>0</v>
      </c>
      <c r="M44" s="51"/>
      <c r="N44" s="51"/>
      <c r="O44" s="78"/>
      <c r="P44" s="51"/>
      <c r="Q44" s="51"/>
      <c r="R44" s="72"/>
    </row>
    <row r="45" ht="15.75" customHeight="1">
      <c r="A45" s="85"/>
      <c r="B45" s="85"/>
      <c r="C45" s="85"/>
      <c r="D45" s="51"/>
      <c r="E45" s="51"/>
      <c r="F45" s="78"/>
      <c r="G45" s="51"/>
      <c r="H45" s="51"/>
      <c r="I45" s="78"/>
      <c r="J45" s="122" t="s">
        <v>141</v>
      </c>
      <c r="K45" s="57">
        <f>COUNTIF('Itemization 202408'!L:L,J45)</f>
        <v>2</v>
      </c>
      <c r="L45" s="58">
        <f>(K45/K116)</f>
        <v>0.05263157895</v>
      </c>
      <c r="M45" s="51"/>
      <c r="N45" s="51"/>
      <c r="O45" s="78"/>
      <c r="P45" s="51"/>
      <c r="Q45" s="51"/>
      <c r="R45" s="72"/>
    </row>
    <row r="46" ht="15.75" customHeight="1">
      <c r="A46" s="85"/>
      <c r="B46" s="85"/>
      <c r="C46" s="85"/>
      <c r="D46" s="51"/>
      <c r="E46" s="51"/>
      <c r="F46" s="78"/>
      <c r="G46" s="51"/>
      <c r="H46" s="51"/>
      <c r="I46" s="78"/>
      <c r="J46" s="122" t="s">
        <v>142</v>
      </c>
      <c r="K46" s="57">
        <f>COUNTIF('Itemization 202408'!L:L,J46)</f>
        <v>2</v>
      </c>
      <c r="L46" s="58">
        <f>(K46/K116)</f>
        <v>0.05263157895</v>
      </c>
      <c r="M46" s="51"/>
      <c r="N46" s="51"/>
      <c r="O46" s="78"/>
      <c r="P46" s="51"/>
      <c r="Q46" s="51"/>
      <c r="R46" s="72"/>
    </row>
    <row r="47" ht="15.75" customHeight="1">
      <c r="A47" s="85"/>
      <c r="B47" s="85"/>
      <c r="C47" s="85"/>
      <c r="D47" s="51"/>
      <c r="E47" s="51"/>
      <c r="F47" s="78"/>
      <c r="G47" s="51"/>
      <c r="H47" s="51"/>
      <c r="I47" s="78"/>
      <c r="J47" s="121" t="s">
        <v>143</v>
      </c>
      <c r="K47" s="54">
        <f>COUNTIF('Itemization 202408'!L:L,J47)</f>
        <v>0</v>
      </c>
      <c r="L47" s="55">
        <f>(K47/K116)</f>
        <v>0</v>
      </c>
      <c r="M47" s="51"/>
      <c r="N47" s="51"/>
      <c r="O47" s="78"/>
      <c r="P47" s="51"/>
      <c r="Q47" s="51"/>
      <c r="R47" s="72"/>
    </row>
    <row r="48" ht="15.75" customHeight="1">
      <c r="A48" s="85"/>
      <c r="B48" s="85"/>
      <c r="C48" s="85"/>
      <c r="D48" s="51"/>
      <c r="E48" s="51"/>
      <c r="F48" s="78"/>
      <c r="G48" s="51"/>
      <c r="H48" s="51"/>
      <c r="I48" s="78"/>
      <c r="J48" s="121" t="s">
        <v>144</v>
      </c>
      <c r="K48" s="54">
        <f>COUNTIF('Itemization 202408'!L:L,J48)</f>
        <v>0</v>
      </c>
      <c r="L48" s="55">
        <f>(K48/K116)</f>
        <v>0</v>
      </c>
      <c r="M48" s="51"/>
      <c r="N48" s="51"/>
      <c r="O48" s="78"/>
      <c r="P48" s="51"/>
      <c r="Q48" s="51"/>
      <c r="R48" s="72"/>
    </row>
    <row r="49" ht="15.75" customHeight="1">
      <c r="A49" s="85"/>
      <c r="B49" s="85"/>
      <c r="C49" s="85"/>
      <c r="D49" s="51"/>
      <c r="E49" s="51"/>
      <c r="F49" s="78"/>
      <c r="G49" s="51"/>
      <c r="H49" s="51"/>
      <c r="I49" s="78"/>
      <c r="J49" s="121" t="s">
        <v>145</v>
      </c>
      <c r="K49" s="54">
        <f>COUNTIF('Itemization 202408'!L:L,J49)</f>
        <v>0</v>
      </c>
      <c r="L49" s="55">
        <f>(K49/K116)</f>
        <v>0</v>
      </c>
      <c r="M49" s="51"/>
      <c r="N49" s="51"/>
      <c r="O49" s="78"/>
      <c r="P49" s="51"/>
      <c r="Q49" s="51"/>
      <c r="R49" s="72"/>
    </row>
    <row r="50" ht="15.75" customHeight="1">
      <c r="A50" s="85"/>
      <c r="B50" s="85"/>
      <c r="C50" s="85"/>
      <c r="D50" s="51"/>
      <c r="E50" s="51"/>
      <c r="F50" s="78"/>
      <c r="G50" s="51"/>
      <c r="H50" s="51"/>
      <c r="I50" s="78"/>
      <c r="J50" s="121" t="s">
        <v>146</v>
      </c>
      <c r="K50" s="54">
        <f>COUNTIF('Itemization 202408'!L:L,J50)</f>
        <v>0</v>
      </c>
      <c r="L50" s="55">
        <f>(K50/K116)</f>
        <v>0</v>
      </c>
      <c r="M50" s="51"/>
      <c r="N50" s="51"/>
      <c r="O50" s="78"/>
      <c r="P50" s="51"/>
      <c r="Q50" s="51"/>
      <c r="R50" s="72"/>
    </row>
    <row r="51" ht="15.75" customHeight="1">
      <c r="A51" s="85"/>
      <c r="B51" s="85"/>
      <c r="C51" s="85"/>
      <c r="D51" s="51"/>
      <c r="E51" s="51"/>
      <c r="F51" s="78"/>
      <c r="G51" s="51"/>
      <c r="H51" s="51"/>
      <c r="I51" s="78"/>
      <c r="J51" s="121" t="s">
        <v>147</v>
      </c>
      <c r="K51" s="54">
        <f>COUNTIF('Itemization 202408'!L:L,J51)</f>
        <v>0</v>
      </c>
      <c r="L51" s="55">
        <f>(K51/K116)</f>
        <v>0</v>
      </c>
      <c r="M51" s="51"/>
      <c r="N51" s="51"/>
      <c r="O51" s="78"/>
      <c r="P51" s="51"/>
      <c r="Q51" s="51"/>
      <c r="R51" s="72"/>
    </row>
    <row r="52" ht="15.75" customHeight="1">
      <c r="A52" s="85"/>
      <c r="B52" s="85"/>
      <c r="C52" s="85"/>
      <c r="D52" s="51"/>
      <c r="E52" s="51"/>
      <c r="F52" s="78"/>
      <c r="G52" s="51"/>
      <c r="H52" s="51"/>
      <c r="I52" s="78"/>
      <c r="J52" s="121" t="s">
        <v>148</v>
      </c>
      <c r="K52" s="54">
        <f>COUNTIF('Itemization 202408'!L:L,J52)</f>
        <v>0</v>
      </c>
      <c r="L52" s="55">
        <f>(K52/K116)</f>
        <v>0</v>
      </c>
      <c r="M52" s="51"/>
      <c r="N52" s="51"/>
      <c r="O52" s="78"/>
      <c r="P52" s="51"/>
      <c r="Q52" s="51"/>
      <c r="R52" s="72"/>
    </row>
    <row r="53" ht="15.75" customHeight="1">
      <c r="A53" s="85"/>
      <c r="B53" s="85"/>
      <c r="C53" s="85"/>
      <c r="D53" s="51"/>
      <c r="E53" s="51"/>
      <c r="F53" s="78"/>
      <c r="G53" s="51"/>
      <c r="H53" s="51"/>
      <c r="I53" s="78"/>
      <c r="J53" s="121" t="s">
        <v>149</v>
      </c>
      <c r="K53" s="54">
        <f>COUNTIF('Itemization 202408'!L:L,J53)</f>
        <v>0</v>
      </c>
      <c r="L53" s="55">
        <f>(K53/K116)</f>
        <v>0</v>
      </c>
      <c r="M53" s="51"/>
      <c r="N53" s="51"/>
      <c r="O53" s="78"/>
      <c r="P53" s="51"/>
      <c r="Q53" s="51"/>
      <c r="R53" s="72"/>
    </row>
    <row r="54" ht="15.75" customHeight="1">
      <c r="A54" s="85"/>
      <c r="B54" s="85"/>
      <c r="C54" s="85"/>
      <c r="D54" s="51"/>
      <c r="E54" s="51"/>
      <c r="F54" s="78"/>
      <c r="G54" s="51"/>
      <c r="H54" s="51"/>
      <c r="I54" s="78"/>
      <c r="J54" s="121" t="s">
        <v>150</v>
      </c>
      <c r="K54" s="54">
        <f>COUNTIF('Itemization 202408'!L:L,J54)</f>
        <v>0</v>
      </c>
      <c r="L54" s="55">
        <f>(K54/K116)</f>
        <v>0</v>
      </c>
      <c r="M54" s="51"/>
      <c r="N54" s="51"/>
      <c r="O54" s="78"/>
      <c r="P54" s="51"/>
      <c r="Q54" s="51"/>
      <c r="R54" s="72"/>
    </row>
    <row r="55" ht="15.75" customHeight="1">
      <c r="A55" s="85"/>
      <c r="B55" s="85"/>
      <c r="C55" s="85"/>
      <c r="D55" s="51"/>
      <c r="E55" s="51"/>
      <c r="F55" s="78"/>
      <c r="G55" s="51"/>
      <c r="H55" s="51"/>
      <c r="I55" s="78"/>
      <c r="J55" s="121" t="s">
        <v>151</v>
      </c>
      <c r="K55" s="54">
        <f>COUNTIF('Itemization 202408'!L:L,J55)</f>
        <v>0</v>
      </c>
      <c r="L55" s="55">
        <f>(K55/K116)</f>
        <v>0</v>
      </c>
      <c r="M55" s="51"/>
      <c r="N55" s="51"/>
      <c r="O55" s="78"/>
      <c r="P55" s="51"/>
      <c r="Q55" s="51"/>
      <c r="R55" s="72"/>
    </row>
    <row r="56" ht="15.75" customHeight="1">
      <c r="A56" s="85"/>
      <c r="B56" s="85"/>
      <c r="C56" s="85"/>
      <c r="D56" s="51"/>
      <c r="E56" s="51"/>
      <c r="F56" s="78"/>
      <c r="G56" s="51"/>
      <c r="H56" s="51"/>
      <c r="I56" s="78"/>
      <c r="J56" s="121" t="s">
        <v>152</v>
      </c>
      <c r="K56" s="54">
        <f>COUNTIF('Itemization 202408'!L:L,J56)</f>
        <v>0</v>
      </c>
      <c r="L56" s="55">
        <f>(K56/K116)</f>
        <v>0</v>
      </c>
      <c r="M56" s="51"/>
      <c r="N56" s="51"/>
      <c r="O56" s="78"/>
      <c r="P56" s="51"/>
      <c r="Q56" s="51"/>
      <c r="R56" s="72"/>
    </row>
    <row r="57" ht="15.75" customHeight="1">
      <c r="A57" s="85"/>
      <c r="B57" s="85"/>
      <c r="C57" s="85"/>
      <c r="D57" s="51"/>
      <c r="E57" s="51"/>
      <c r="F57" s="78"/>
      <c r="G57" s="51"/>
      <c r="H57" s="51"/>
      <c r="I57" s="78"/>
      <c r="J57" s="121" t="s">
        <v>153</v>
      </c>
      <c r="K57" s="54">
        <f>COUNTIF('Itemization 202408'!L:L,J57)</f>
        <v>0</v>
      </c>
      <c r="L57" s="55">
        <f>(K57/K116)</f>
        <v>0</v>
      </c>
      <c r="M57" s="51"/>
      <c r="N57" s="51"/>
      <c r="O57" s="78"/>
      <c r="P57" s="51"/>
      <c r="Q57" s="51"/>
      <c r="R57" s="72"/>
    </row>
    <row r="58" ht="15.75" customHeight="1">
      <c r="A58" s="85"/>
      <c r="B58" s="85"/>
      <c r="C58" s="85"/>
      <c r="D58" s="51"/>
      <c r="E58" s="51"/>
      <c r="F58" s="78"/>
      <c r="G58" s="51"/>
      <c r="H58" s="51"/>
      <c r="I58" s="78"/>
      <c r="J58" s="122" t="s">
        <v>154</v>
      </c>
      <c r="K58" s="57">
        <f>COUNTIF('Itemization 202408'!L:L,J58)</f>
        <v>2</v>
      </c>
      <c r="L58" s="58">
        <f>(K58/K116)</f>
        <v>0.05263157895</v>
      </c>
      <c r="M58" s="51"/>
      <c r="N58" s="51"/>
      <c r="O58" s="78"/>
      <c r="P58" s="51"/>
      <c r="Q58" s="51"/>
      <c r="R58" s="72"/>
    </row>
    <row r="59" ht="15.75" customHeight="1">
      <c r="A59" s="85"/>
      <c r="B59" s="85"/>
      <c r="C59" s="85"/>
      <c r="D59" s="51"/>
      <c r="E59" s="51"/>
      <c r="F59" s="78"/>
      <c r="G59" s="51"/>
      <c r="H59" s="51"/>
      <c r="I59" s="78"/>
      <c r="J59" s="121" t="s">
        <v>155</v>
      </c>
      <c r="K59" s="54">
        <f>COUNTIF('Itemization 202408'!L:L,J59)</f>
        <v>0</v>
      </c>
      <c r="L59" s="55">
        <f>(K59/K116)</f>
        <v>0</v>
      </c>
      <c r="M59" s="51"/>
      <c r="N59" s="51"/>
      <c r="O59" s="78"/>
      <c r="P59" s="51"/>
      <c r="Q59" s="51"/>
      <c r="R59" s="72"/>
    </row>
    <row r="60" ht="15.75" customHeight="1">
      <c r="A60" s="85"/>
      <c r="B60" s="85"/>
      <c r="C60" s="85"/>
      <c r="D60" s="51"/>
      <c r="E60" s="51"/>
      <c r="F60" s="78"/>
      <c r="G60" s="51"/>
      <c r="H60" s="51"/>
      <c r="I60" s="78"/>
      <c r="J60" s="121" t="s">
        <v>156</v>
      </c>
      <c r="K60" s="54">
        <f>COUNTIF('Itemization 202408'!L:L,J60)</f>
        <v>0</v>
      </c>
      <c r="L60" s="55">
        <f>(K60/K116)</f>
        <v>0</v>
      </c>
      <c r="M60" s="51"/>
      <c r="N60" s="51"/>
      <c r="O60" s="78"/>
      <c r="P60" s="51"/>
      <c r="Q60" s="51"/>
      <c r="R60" s="72"/>
    </row>
    <row r="61" ht="15.75" customHeight="1">
      <c r="A61" s="85"/>
      <c r="B61" s="85"/>
      <c r="C61" s="85"/>
      <c r="D61" s="51"/>
      <c r="E61" s="51"/>
      <c r="F61" s="78"/>
      <c r="G61" s="51"/>
      <c r="H61" s="51"/>
      <c r="I61" s="78"/>
      <c r="J61" s="121" t="s">
        <v>157</v>
      </c>
      <c r="K61" s="54">
        <f>COUNTIF('Itemization 202408'!L:L,J61)</f>
        <v>0</v>
      </c>
      <c r="L61" s="55">
        <f>(K61/K116)</f>
        <v>0</v>
      </c>
      <c r="M61" s="51"/>
      <c r="N61" s="51"/>
      <c r="O61" s="78"/>
      <c r="P61" s="51"/>
      <c r="Q61" s="51"/>
      <c r="R61" s="72"/>
    </row>
    <row r="62" ht="15.75" customHeight="1">
      <c r="A62" s="85"/>
      <c r="B62" s="85"/>
      <c r="C62" s="85"/>
      <c r="D62" s="51"/>
      <c r="E62" s="51"/>
      <c r="F62" s="78"/>
      <c r="G62" s="51"/>
      <c r="H62" s="51"/>
      <c r="I62" s="78"/>
      <c r="J62" s="122" t="s">
        <v>158</v>
      </c>
      <c r="K62" s="57">
        <f>COUNTIF('Itemization 202408'!L:L,J62)</f>
        <v>2</v>
      </c>
      <c r="L62" s="58">
        <f>(K62/K116)</f>
        <v>0.05263157895</v>
      </c>
      <c r="M62" s="51"/>
      <c r="N62" s="51"/>
      <c r="O62" s="78"/>
      <c r="P62" s="51"/>
      <c r="Q62" s="51"/>
      <c r="R62" s="72"/>
    </row>
    <row r="63" ht="15.75" customHeight="1">
      <c r="A63" s="85"/>
      <c r="B63" s="85"/>
      <c r="C63" s="85"/>
      <c r="D63" s="51"/>
      <c r="E63" s="51"/>
      <c r="F63" s="78"/>
      <c r="G63" s="51"/>
      <c r="H63" s="51"/>
      <c r="I63" s="78"/>
      <c r="J63" s="124" t="s">
        <v>159</v>
      </c>
      <c r="K63" s="61">
        <f>COUNTIF('Itemization 202408'!L:L,J63)</f>
        <v>3</v>
      </c>
      <c r="L63" s="62">
        <f>(K63/K116)</f>
        <v>0.07894736842</v>
      </c>
      <c r="M63" s="51"/>
      <c r="N63" s="51"/>
      <c r="O63" s="78"/>
      <c r="P63" s="51"/>
      <c r="Q63" s="51"/>
      <c r="R63" s="72"/>
    </row>
    <row r="64" ht="15.75" customHeight="1">
      <c r="A64" s="85"/>
      <c r="B64" s="85"/>
      <c r="C64" s="85"/>
      <c r="D64" s="51"/>
      <c r="E64" s="51"/>
      <c r="F64" s="78"/>
      <c r="G64" s="51"/>
      <c r="H64" s="51"/>
      <c r="I64" s="78"/>
      <c r="J64" s="121" t="s">
        <v>160</v>
      </c>
      <c r="K64" s="54">
        <f>COUNTIF('Itemization 202408'!L:L,J64)</f>
        <v>0</v>
      </c>
      <c r="L64" s="55">
        <f>(K64/K116)</f>
        <v>0</v>
      </c>
      <c r="M64" s="51"/>
      <c r="N64" s="51"/>
      <c r="O64" s="78"/>
      <c r="P64" s="51"/>
      <c r="Q64" s="51"/>
      <c r="R64" s="72"/>
    </row>
    <row r="65" ht="15.75" customHeight="1">
      <c r="A65" s="85"/>
      <c r="B65" s="85"/>
      <c r="C65" s="85"/>
      <c r="D65" s="51"/>
      <c r="E65" s="51"/>
      <c r="F65" s="78"/>
      <c r="G65" s="51"/>
      <c r="H65" s="51"/>
      <c r="I65" s="78"/>
      <c r="J65" s="121" t="s">
        <v>161</v>
      </c>
      <c r="K65" s="54">
        <f>COUNTIF('Itemization 202408'!L:L,J65)</f>
        <v>0</v>
      </c>
      <c r="L65" s="55">
        <f>(K65/K116)</f>
        <v>0</v>
      </c>
      <c r="M65" s="51"/>
      <c r="N65" s="51"/>
      <c r="O65" s="78"/>
      <c r="P65" s="51"/>
      <c r="Q65" s="51"/>
      <c r="R65" s="72"/>
    </row>
    <row r="66" ht="15.75" customHeight="1">
      <c r="A66" s="85"/>
      <c r="B66" s="85"/>
      <c r="C66" s="85"/>
      <c r="D66" s="51"/>
      <c r="E66" s="51"/>
      <c r="F66" s="78"/>
      <c r="G66" s="51"/>
      <c r="H66" s="51"/>
      <c r="I66" s="78"/>
      <c r="J66" s="121" t="s">
        <v>162</v>
      </c>
      <c r="K66" s="54">
        <f>COUNTIF('Itemization 202408'!L:L,J66)</f>
        <v>0</v>
      </c>
      <c r="L66" s="55">
        <f>(K66/K116)</f>
        <v>0</v>
      </c>
      <c r="M66" s="51"/>
      <c r="N66" s="51"/>
      <c r="O66" s="78"/>
      <c r="P66" s="51"/>
      <c r="Q66" s="51"/>
      <c r="R66" s="72"/>
    </row>
    <row r="67" ht="15.75" customHeight="1">
      <c r="A67" s="85"/>
      <c r="B67" s="85"/>
      <c r="C67" s="85"/>
      <c r="D67" s="51"/>
      <c r="E67" s="51"/>
      <c r="F67" s="78"/>
      <c r="G67" s="51"/>
      <c r="H67" s="51"/>
      <c r="I67" s="78"/>
      <c r="J67" s="121" t="s">
        <v>163</v>
      </c>
      <c r="K67" s="54">
        <f>COUNTIF('Itemization 202408'!L:L,J67)</f>
        <v>0</v>
      </c>
      <c r="L67" s="55">
        <f>(K67/K116)</f>
        <v>0</v>
      </c>
      <c r="M67" s="51"/>
      <c r="N67" s="51"/>
      <c r="O67" s="78"/>
      <c r="P67" s="51"/>
      <c r="Q67" s="51"/>
      <c r="R67" s="72"/>
    </row>
    <row r="68" ht="15.75" customHeight="1">
      <c r="A68" s="85"/>
      <c r="B68" s="85"/>
      <c r="C68" s="85"/>
      <c r="D68" s="51"/>
      <c r="E68" s="51"/>
      <c r="F68" s="78"/>
      <c r="G68" s="51"/>
      <c r="H68" s="51"/>
      <c r="I68" s="78"/>
      <c r="J68" s="121" t="s">
        <v>164</v>
      </c>
      <c r="K68" s="54">
        <f>COUNTIF('Itemization 202408'!L:L,J68)</f>
        <v>0</v>
      </c>
      <c r="L68" s="55">
        <f>(K68/K116)</f>
        <v>0</v>
      </c>
      <c r="M68" s="51"/>
      <c r="N68" s="51"/>
      <c r="O68" s="78"/>
      <c r="P68" s="51"/>
      <c r="Q68" s="51"/>
      <c r="R68" s="72"/>
    </row>
    <row r="69" ht="15.75" customHeight="1">
      <c r="A69" s="85"/>
      <c r="B69" s="85"/>
      <c r="C69" s="85"/>
      <c r="D69" s="51"/>
      <c r="E69" s="51"/>
      <c r="F69" s="78"/>
      <c r="G69" s="51"/>
      <c r="H69" s="51"/>
      <c r="I69" s="78"/>
      <c r="J69" s="121" t="s">
        <v>165</v>
      </c>
      <c r="K69" s="54">
        <f>COUNTIF('Itemization 202408'!L:L,J69)</f>
        <v>0</v>
      </c>
      <c r="L69" s="55">
        <f>(K69/K116)</f>
        <v>0</v>
      </c>
      <c r="M69" s="51"/>
      <c r="N69" s="51"/>
      <c r="O69" s="78"/>
      <c r="P69" s="51"/>
      <c r="Q69" s="51"/>
      <c r="R69" s="72"/>
    </row>
    <row r="70" ht="15.75" customHeight="1">
      <c r="A70" s="85"/>
      <c r="B70" s="85"/>
      <c r="C70" s="85"/>
      <c r="D70" s="51"/>
      <c r="E70" s="51"/>
      <c r="F70" s="78"/>
      <c r="G70" s="51"/>
      <c r="H70" s="51"/>
      <c r="I70" s="78"/>
      <c r="J70" s="121" t="s">
        <v>166</v>
      </c>
      <c r="K70" s="54">
        <f>COUNTIF('Itemization 202408'!L:L,J70)</f>
        <v>0</v>
      </c>
      <c r="L70" s="55">
        <f>(K70/K116)</f>
        <v>0</v>
      </c>
      <c r="M70" s="51"/>
      <c r="N70" s="51"/>
      <c r="O70" s="78"/>
      <c r="P70" s="51"/>
      <c r="Q70" s="51"/>
      <c r="R70" s="72"/>
    </row>
    <row r="71" ht="15.75" customHeight="1">
      <c r="A71" s="85"/>
      <c r="B71" s="85"/>
      <c r="C71" s="85"/>
      <c r="D71" s="51"/>
      <c r="E71" s="51"/>
      <c r="F71" s="78"/>
      <c r="G71" s="51"/>
      <c r="H71" s="51"/>
      <c r="I71" s="78"/>
      <c r="J71" s="121" t="s">
        <v>167</v>
      </c>
      <c r="K71" s="54">
        <f>COUNTIF('Itemization 202408'!L:L,J71)</f>
        <v>0</v>
      </c>
      <c r="L71" s="55">
        <f>(K71/K116)</f>
        <v>0</v>
      </c>
      <c r="M71" s="51"/>
      <c r="N71" s="51"/>
      <c r="O71" s="78"/>
      <c r="P71" s="51"/>
      <c r="Q71" s="51"/>
      <c r="R71" s="72"/>
    </row>
    <row r="72" ht="15.75" customHeight="1">
      <c r="A72" s="85"/>
      <c r="B72" s="85"/>
      <c r="C72" s="85"/>
      <c r="D72" s="51"/>
      <c r="E72" s="51"/>
      <c r="F72" s="78"/>
      <c r="G72" s="51"/>
      <c r="H72" s="51"/>
      <c r="I72" s="78"/>
      <c r="J72" s="121" t="s">
        <v>168</v>
      </c>
      <c r="K72" s="54">
        <f>COUNTIF('Itemization 202408'!L:L,J72)</f>
        <v>0</v>
      </c>
      <c r="L72" s="55">
        <f>(K72/K116)</f>
        <v>0</v>
      </c>
      <c r="M72" s="51"/>
      <c r="N72" s="51"/>
      <c r="O72" s="78"/>
      <c r="P72" s="51"/>
      <c r="Q72" s="51"/>
      <c r="R72" s="72"/>
    </row>
    <row r="73" ht="15.75" customHeight="1">
      <c r="A73" s="85"/>
      <c r="B73" s="85"/>
      <c r="C73" s="85"/>
      <c r="D73" s="51"/>
      <c r="E73" s="51"/>
      <c r="F73" s="78"/>
      <c r="G73" s="51"/>
      <c r="H73" s="51"/>
      <c r="I73" s="78"/>
      <c r="J73" s="121" t="s">
        <v>169</v>
      </c>
      <c r="K73" s="54">
        <f>COUNTIF('Itemization 202408'!L:L,J73)</f>
        <v>0</v>
      </c>
      <c r="L73" s="55">
        <f>(K73/K116)</f>
        <v>0</v>
      </c>
      <c r="M73" s="51"/>
      <c r="N73" s="51"/>
      <c r="O73" s="78"/>
      <c r="P73" s="51"/>
      <c r="Q73" s="51"/>
      <c r="R73" s="72"/>
    </row>
    <row r="74" ht="15.75" customHeight="1">
      <c r="A74" s="85"/>
      <c r="B74" s="85"/>
      <c r="C74" s="85"/>
      <c r="D74" s="51"/>
      <c r="E74" s="51"/>
      <c r="F74" s="78"/>
      <c r="G74" s="51"/>
      <c r="H74" s="51"/>
      <c r="I74" s="78"/>
      <c r="J74" s="121" t="s">
        <v>170</v>
      </c>
      <c r="K74" s="54">
        <f>COUNTIF('Itemization 202408'!L:L,J74)</f>
        <v>0</v>
      </c>
      <c r="L74" s="55">
        <f>(K74/K116)</f>
        <v>0</v>
      </c>
      <c r="M74" s="51"/>
      <c r="N74" s="51"/>
      <c r="O74" s="78"/>
      <c r="P74" s="51"/>
      <c r="Q74" s="51"/>
      <c r="R74" s="72"/>
    </row>
    <row r="75" ht="15.75" customHeight="1">
      <c r="A75" s="85"/>
      <c r="B75" s="85"/>
      <c r="C75" s="85"/>
      <c r="D75" s="51"/>
      <c r="E75" s="51"/>
      <c r="F75" s="78"/>
      <c r="G75" s="51"/>
      <c r="H75" s="51"/>
      <c r="I75" s="78"/>
      <c r="J75" s="122" t="s">
        <v>171</v>
      </c>
      <c r="K75" s="57">
        <f>COUNTIF('Itemization 202408'!L:L,J75)</f>
        <v>2</v>
      </c>
      <c r="L75" s="58">
        <f>(K75/K116)</f>
        <v>0.05263157895</v>
      </c>
      <c r="M75" s="51"/>
      <c r="N75" s="51"/>
      <c r="O75" s="78"/>
      <c r="P75" s="51"/>
      <c r="Q75" s="51"/>
      <c r="R75" s="72"/>
    </row>
    <row r="76" ht="15.75" customHeight="1">
      <c r="A76" s="85"/>
      <c r="B76" s="85"/>
      <c r="C76" s="85"/>
      <c r="D76" s="51"/>
      <c r="E76" s="51"/>
      <c r="F76" s="78"/>
      <c r="G76" s="51"/>
      <c r="H76" s="51"/>
      <c r="I76" s="78"/>
      <c r="J76" s="121" t="s">
        <v>172</v>
      </c>
      <c r="K76" s="54">
        <f>COUNTIF('Itemization 202408'!L:L,J76)</f>
        <v>0</v>
      </c>
      <c r="L76" s="55">
        <f>(K76/K116)</f>
        <v>0</v>
      </c>
      <c r="M76" s="51"/>
      <c r="N76" s="51"/>
      <c r="O76" s="78"/>
      <c r="P76" s="51"/>
      <c r="Q76" s="51"/>
      <c r="R76" s="72"/>
    </row>
    <row r="77" ht="15.75" customHeight="1">
      <c r="A77" s="85"/>
      <c r="B77" s="85"/>
      <c r="C77" s="85"/>
      <c r="D77" s="51"/>
      <c r="E77" s="51"/>
      <c r="F77" s="78"/>
      <c r="G77" s="51"/>
      <c r="H77" s="51"/>
      <c r="I77" s="78"/>
      <c r="J77" s="121" t="s">
        <v>173</v>
      </c>
      <c r="K77" s="54">
        <f>COUNTIF('Itemization 202408'!L:L,J77)</f>
        <v>0</v>
      </c>
      <c r="L77" s="55">
        <f>(K77/K116)</f>
        <v>0</v>
      </c>
      <c r="M77" s="51"/>
      <c r="N77" s="51"/>
      <c r="O77" s="78"/>
      <c r="P77" s="51"/>
      <c r="Q77" s="51"/>
      <c r="R77" s="72"/>
    </row>
    <row r="78" ht="15.75" customHeight="1">
      <c r="A78" s="85"/>
      <c r="B78" s="85"/>
      <c r="C78" s="85"/>
      <c r="D78" s="51"/>
      <c r="E78" s="51"/>
      <c r="F78" s="78"/>
      <c r="G78" s="51"/>
      <c r="H78" s="51"/>
      <c r="I78" s="78"/>
      <c r="J78" s="121" t="s">
        <v>174</v>
      </c>
      <c r="K78" s="54">
        <f>COUNTIF('Itemization 202408'!L:L,J78)</f>
        <v>0</v>
      </c>
      <c r="L78" s="55">
        <f>(K78/K116)</f>
        <v>0</v>
      </c>
      <c r="M78" s="51"/>
      <c r="N78" s="51"/>
      <c r="O78" s="78"/>
      <c r="P78" s="51"/>
      <c r="Q78" s="51"/>
      <c r="R78" s="72"/>
    </row>
    <row r="79" ht="15.75" customHeight="1">
      <c r="A79" s="85"/>
      <c r="B79" s="85"/>
      <c r="C79" s="85"/>
      <c r="D79" s="51"/>
      <c r="E79" s="51"/>
      <c r="F79" s="78"/>
      <c r="G79" s="51"/>
      <c r="H79" s="51"/>
      <c r="I79" s="78"/>
      <c r="J79" s="121" t="s">
        <v>175</v>
      </c>
      <c r="K79" s="54">
        <f>COUNTIF('Itemization 202408'!L:L,J79)</f>
        <v>0</v>
      </c>
      <c r="L79" s="55">
        <f>(K79/K116)</f>
        <v>0</v>
      </c>
      <c r="M79" s="51"/>
      <c r="N79" s="51"/>
      <c r="O79" s="78"/>
      <c r="P79" s="51"/>
      <c r="Q79" s="51"/>
      <c r="R79" s="72"/>
    </row>
    <row r="80" ht="15.75" customHeight="1">
      <c r="A80" s="85"/>
      <c r="B80" s="85"/>
      <c r="C80" s="85"/>
      <c r="D80" s="51"/>
      <c r="E80" s="51"/>
      <c r="F80" s="78"/>
      <c r="G80" s="51"/>
      <c r="H80" s="51"/>
      <c r="I80" s="78"/>
      <c r="J80" s="121" t="s">
        <v>176</v>
      </c>
      <c r="K80" s="54">
        <f>COUNTIF('Itemization 202408'!L:L,J80)</f>
        <v>0</v>
      </c>
      <c r="L80" s="55">
        <f>(K80/K116)</f>
        <v>0</v>
      </c>
      <c r="M80" s="51"/>
      <c r="N80" s="51"/>
      <c r="O80" s="78"/>
      <c r="P80" s="51"/>
      <c r="Q80" s="51"/>
      <c r="R80" s="72"/>
    </row>
    <row r="81" ht="15.75" customHeight="1">
      <c r="A81" s="85"/>
      <c r="B81" s="85"/>
      <c r="C81" s="85"/>
      <c r="D81" s="51"/>
      <c r="E81" s="51"/>
      <c r="F81" s="78"/>
      <c r="G81" s="51"/>
      <c r="H81" s="51"/>
      <c r="I81" s="78"/>
      <c r="J81" s="121" t="s">
        <v>177</v>
      </c>
      <c r="K81" s="54">
        <f>COUNTIF('Itemization 202408'!L:L,J81)</f>
        <v>0</v>
      </c>
      <c r="L81" s="55">
        <f>(K81/K116)</f>
        <v>0</v>
      </c>
      <c r="M81" s="51"/>
      <c r="N81" s="51"/>
      <c r="O81" s="78"/>
      <c r="P81" s="51"/>
      <c r="Q81" s="51"/>
      <c r="R81" s="72"/>
    </row>
    <row r="82" ht="15.75" customHeight="1">
      <c r="A82" s="85"/>
      <c r="B82" s="85"/>
      <c r="C82" s="85"/>
      <c r="D82" s="51"/>
      <c r="E82" s="51"/>
      <c r="F82" s="78"/>
      <c r="G82" s="51"/>
      <c r="H82" s="51"/>
      <c r="I82" s="78"/>
      <c r="J82" s="210" t="s">
        <v>178</v>
      </c>
      <c r="K82" s="114">
        <f>COUNTIF('Itemization 202408'!L:L,J82)</f>
        <v>1</v>
      </c>
      <c r="L82" s="145">
        <f>(K82/K116)</f>
        <v>0.02631578947</v>
      </c>
      <c r="M82" s="51"/>
      <c r="N82" s="51"/>
      <c r="O82" s="78"/>
      <c r="P82" s="51"/>
      <c r="Q82" s="51"/>
      <c r="R82" s="72"/>
    </row>
    <row r="83" ht="15.75" customHeight="1">
      <c r="A83" s="85"/>
      <c r="B83" s="85"/>
      <c r="C83" s="85"/>
      <c r="D83" s="51"/>
      <c r="E83" s="51"/>
      <c r="F83" s="78"/>
      <c r="G83" s="51"/>
      <c r="H83" s="51"/>
      <c r="I83" s="78"/>
      <c r="J83" s="121" t="s">
        <v>179</v>
      </c>
      <c r="K83" s="54">
        <f>COUNTIF('Itemization 202408'!L:L,J83)</f>
        <v>0</v>
      </c>
      <c r="L83" s="55">
        <f>(K83/K116)</f>
        <v>0</v>
      </c>
      <c r="M83" s="51"/>
      <c r="N83" s="51"/>
      <c r="O83" s="78"/>
      <c r="P83" s="51"/>
      <c r="Q83" s="51"/>
      <c r="R83" s="72"/>
    </row>
    <row r="84" ht="15.75" customHeight="1">
      <c r="A84" s="85"/>
      <c r="B84" s="85"/>
      <c r="C84" s="85"/>
      <c r="D84" s="51"/>
      <c r="E84" s="51"/>
      <c r="F84" s="78"/>
      <c r="G84" s="51"/>
      <c r="H84" s="51"/>
      <c r="I84" s="78"/>
      <c r="J84" s="121" t="s">
        <v>180</v>
      </c>
      <c r="K84" s="54">
        <f>COUNTIF('Itemization 202408'!L:L,J84)</f>
        <v>0</v>
      </c>
      <c r="L84" s="55">
        <f>(K84/K116)</f>
        <v>0</v>
      </c>
      <c r="M84" s="51"/>
      <c r="N84" s="51"/>
      <c r="O84" s="78"/>
      <c r="P84" s="51"/>
      <c r="Q84" s="51"/>
      <c r="R84" s="72"/>
    </row>
    <row r="85" ht="15.75" customHeight="1">
      <c r="A85" s="85"/>
      <c r="B85" s="85"/>
      <c r="C85" s="85"/>
      <c r="D85" s="51"/>
      <c r="E85" s="51"/>
      <c r="F85" s="78"/>
      <c r="G85" s="51"/>
      <c r="H85" s="51"/>
      <c r="I85" s="78"/>
      <c r="J85" s="121" t="s">
        <v>181</v>
      </c>
      <c r="K85" s="54">
        <f>COUNTIF('Itemization 202408'!L:L,J85)</f>
        <v>0</v>
      </c>
      <c r="L85" s="55">
        <f>(K85/K116)</f>
        <v>0</v>
      </c>
      <c r="M85" s="51"/>
      <c r="N85" s="51"/>
      <c r="O85" s="78"/>
      <c r="P85" s="51"/>
      <c r="Q85" s="51"/>
      <c r="R85" s="72"/>
    </row>
    <row r="86" ht="15.75" customHeight="1">
      <c r="A86" s="85"/>
      <c r="B86" s="85"/>
      <c r="C86" s="85"/>
      <c r="D86" s="51"/>
      <c r="E86" s="51"/>
      <c r="F86" s="78"/>
      <c r="G86" s="51"/>
      <c r="H86" s="51"/>
      <c r="I86" s="78"/>
      <c r="J86" s="121" t="s">
        <v>182</v>
      </c>
      <c r="K86" s="54">
        <f>COUNTIF('Itemization 202408'!L:L,J86)</f>
        <v>0</v>
      </c>
      <c r="L86" s="55">
        <f>(K86/K116)</f>
        <v>0</v>
      </c>
      <c r="M86" s="51"/>
      <c r="N86" s="51"/>
      <c r="O86" s="78"/>
      <c r="P86" s="51"/>
      <c r="Q86" s="51"/>
      <c r="R86" s="72"/>
    </row>
    <row r="87" ht="15.75" customHeight="1">
      <c r="A87" s="85"/>
      <c r="B87" s="85"/>
      <c r="C87" s="85"/>
      <c r="D87" s="51"/>
      <c r="E87" s="51"/>
      <c r="F87" s="78"/>
      <c r="G87" s="51"/>
      <c r="H87" s="51"/>
      <c r="I87" s="78"/>
      <c r="J87" s="121" t="s">
        <v>183</v>
      </c>
      <c r="K87" s="54">
        <f>COUNTIF('Itemization 202408'!L:L,J87)</f>
        <v>0</v>
      </c>
      <c r="L87" s="55">
        <f>(K87/K116)</f>
        <v>0</v>
      </c>
      <c r="M87" s="51"/>
      <c r="N87" s="51"/>
      <c r="O87" s="78"/>
      <c r="P87" s="51"/>
      <c r="Q87" s="51"/>
      <c r="R87" s="72"/>
    </row>
    <row r="88" ht="15.75" customHeight="1">
      <c r="A88" s="85"/>
      <c r="B88" s="85"/>
      <c r="C88" s="85"/>
      <c r="D88" s="51"/>
      <c r="E88" s="51"/>
      <c r="F88" s="78"/>
      <c r="G88" s="51"/>
      <c r="H88" s="51"/>
      <c r="I88" s="78"/>
      <c r="J88" s="122" t="s">
        <v>184</v>
      </c>
      <c r="K88" s="57">
        <f>COUNTIF('Itemization 202408'!L:L,J88)</f>
        <v>2</v>
      </c>
      <c r="L88" s="58">
        <f>(K88/K116)</f>
        <v>0.05263157895</v>
      </c>
      <c r="M88" s="51"/>
      <c r="N88" s="51"/>
      <c r="O88" s="78"/>
      <c r="P88" s="51"/>
      <c r="Q88" s="51"/>
      <c r="R88" s="72"/>
    </row>
    <row r="89" ht="15.75" customHeight="1">
      <c r="A89" s="85"/>
      <c r="B89" s="85"/>
      <c r="C89" s="85"/>
      <c r="D89" s="51"/>
      <c r="E89" s="51"/>
      <c r="F89" s="78"/>
      <c r="G89" s="51"/>
      <c r="H89" s="51"/>
      <c r="I89" s="78"/>
      <c r="J89" s="122" t="s">
        <v>185</v>
      </c>
      <c r="K89" s="57">
        <f>COUNTIF('Itemization 202408'!L:L,J89)</f>
        <v>2</v>
      </c>
      <c r="L89" s="58">
        <f>(K89/K116)</f>
        <v>0.05263157895</v>
      </c>
      <c r="M89" s="51"/>
      <c r="N89" s="51"/>
      <c r="O89" s="78"/>
      <c r="P89" s="51"/>
      <c r="Q89" s="51"/>
      <c r="R89" s="72"/>
    </row>
    <row r="90" ht="15.75" customHeight="1">
      <c r="A90" s="85"/>
      <c r="B90" s="85"/>
      <c r="C90" s="85"/>
      <c r="D90" s="51"/>
      <c r="E90" s="51"/>
      <c r="F90" s="78"/>
      <c r="G90" s="51"/>
      <c r="H90" s="51"/>
      <c r="I90" s="78"/>
      <c r="J90" s="121" t="s">
        <v>186</v>
      </c>
      <c r="K90" s="54">
        <f>COUNTIF('Itemization 202408'!L:L,J90)</f>
        <v>0</v>
      </c>
      <c r="L90" s="55">
        <f>(K90/K116)</f>
        <v>0</v>
      </c>
      <c r="M90" s="51"/>
      <c r="N90" s="51"/>
      <c r="O90" s="78"/>
      <c r="P90" s="51"/>
      <c r="Q90" s="51"/>
      <c r="R90" s="72"/>
    </row>
    <row r="91" ht="15.75" customHeight="1">
      <c r="A91" s="85"/>
      <c r="B91" s="85"/>
      <c r="C91" s="85"/>
      <c r="D91" s="51"/>
      <c r="E91" s="51"/>
      <c r="F91" s="78"/>
      <c r="G91" s="51"/>
      <c r="H91" s="51"/>
      <c r="I91" s="78"/>
      <c r="J91" s="121" t="s">
        <v>187</v>
      </c>
      <c r="K91" s="54">
        <f>COUNTIF('Itemization 202408'!L:L,J91)</f>
        <v>0</v>
      </c>
      <c r="L91" s="55">
        <f>(K91/K116)</f>
        <v>0</v>
      </c>
      <c r="M91" s="51"/>
      <c r="N91" s="51"/>
      <c r="O91" s="78"/>
      <c r="P91" s="51"/>
      <c r="Q91" s="51"/>
      <c r="R91" s="72"/>
    </row>
    <row r="92" ht="15.75" customHeight="1">
      <c r="A92" s="85"/>
      <c r="B92" s="85"/>
      <c r="C92" s="85"/>
      <c r="D92" s="51"/>
      <c r="E92" s="51"/>
      <c r="F92" s="78"/>
      <c r="G92" s="51"/>
      <c r="H92" s="51"/>
      <c r="I92" s="78"/>
      <c r="J92" s="121" t="s">
        <v>188</v>
      </c>
      <c r="K92" s="54">
        <f>COUNTIF('Itemization 202408'!L:L,J92)</f>
        <v>0</v>
      </c>
      <c r="L92" s="55">
        <f>(K92/K116)</f>
        <v>0</v>
      </c>
      <c r="M92" s="51"/>
      <c r="N92" s="51"/>
      <c r="O92" s="78"/>
      <c r="P92" s="51"/>
      <c r="Q92" s="51"/>
      <c r="R92" s="72"/>
    </row>
    <row r="93" ht="15.75" customHeight="1">
      <c r="A93" s="85"/>
      <c r="B93" s="85"/>
      <c r="C93" s="85"/>
      <c r="D93" s="51"/>
      <c r="E93" s="51"/>
      <c r="F93" s="78"/>
      <c r="G93" s="51"/>
      <c r="H93" s="51"/>
      <c r="I93" s="78"/>
      <c r="J93" s="121" t="s">
        <v>189</v>
      </c>
      <c r="K93" s="54">
        <f>COUNTIF('Itemization 202408'!L:L,J93)</f>
        <v>0</v>
      </c>
      <c r="L93" s="55">
        <f>(K93/K116)</f>
        <v>0</v>
      </c>
      <c r="M93" s="51"/>
      <c r="N93" s="51"/>
      <c r="O93" s="78"/>
      <c r="P93" s="51"/>
      <c r="Q93" s="51"/>
      <c r="R93" s="72"/>
    </row>
    <row r="94" ht="15.75" customHeight="1">
      <c r="A94" s="85"/>
      <c r="B94" s="85"/>
      <c r="C94" s="85"/>
      <c r="D94" s="51"/>
      <c r="E94" s="51"/>
      <c r="F94" s="78"/>
      <c r="G94" s="51"/>
      <c r="H94" s="51"/>
      <c r="I94" s="78"/>
      <c r="J94" s="121" t="s">
        <v>190</v>
      </c>
      <c r="K94" s="54">
        <f>COUNTIF('Itemization 202408'!L:L,J94)</f>
        <v>0</v>
      </c>
      <c r="L94" s="55">
        <f>(K94/K116)</f>
        <v>0</v>
      </c>
      <c r="M94" s="51"/>
      <c r="N94" s="51"/>
      <c r="O94" s="78"/>
      <c r="P94" s="51"/>
      <c r="Q94" s="51"/>
      <c r="R94" s="72"/>
    </row>
    <row r="95" ht="15.75" customHeight="1">
      <c r="A95" s="85"/>
      <c r="B95" s="85"/>
      <c r="C95" s="85"/>
      <c r="D95" s="51"/>
      <c r="E95" s="51"/>
      <c r="F95" s="78"/>
      <c r="G95" s="51"/>
      <c r="H95" s="51"/>
      <c r="I95" s="78"/>
      <c r="J95" s="121" t="s">
        <v>191</v>
      </c>
      <c r="K95" s="54">
        <f>COUNTIF('Itemization 202408'!L:L,J95)</f>
        <v>0</v>
      </c>
      <c r="L95" s="55">
        <f>(K95/K116)</f>
        <v>0</v>
      </c>
      <c r="M95" s="51"/>
      <c r="N95" s="51"/>
      <c r="O95" s="78"/>
      <c r="P95" s="51"/>
      <c r="Q95" s="51"/>
      <c r="R95" s="72"/>
    </row>
    <row r="96" ht="15.75" customHeight="1">
      <c r="A96" s="85"/>
      <c r="B96" s="85"/>
      <c r="C96" s="85"/>
      <c r="D96" s="51"/>
      <c r="E96" s="51"/>
      <c r="F96" s="78"/>
      <c r="G96" s="51"/>
      <c r="H96" s="51"/>
      <c r="I96" s="78"/>
      <c r="J96" s="121" t="s">
        <v>192</v>
      </c>
      <c r="K96" s="54">
        <f>COUNTIF('Itemization 202408'!L:L,J96)</f>
        <v>0</v>
      </c>
      <c r="L96" s="55">
        <f>(K96/K116)</f>
        <v>0</v>
      </c>
      <c r="M96" s="51"/>
      <c r="N96" s="51"/>
      <c r="O96" s="78"/>
      <c r="P96" s="51"/>
      <c r="Q96" s="51"/>
      <c r="R96" s="72"/>
    </row>
    <row r="97" ht="15.75" customHeight="1">
      <c r="A97" s="85"/>
      <c r="B97" s="85"/>
      <c r="C97" s="85"/>
      <c r="D97" s="51"/>
      <c r="E97" s="51"/>
      <c r="F97" s="78"/>
      <c r="G97" s="51"/>
      <c r="H97" s="51"/>
      <c r="I97" s="78"/>
      <c r="J97" s="121" t="s">
        <v>193</v>
      </c>
      <c r="K97" s="54">
        <f>COUNTIF('Itemization 202408'!L:L,J97)</f>
        <v>0</v>
      </c>
      <c r="L97" s="55">
        <f>(K97/K116)</f>
        <v>0</v>
      </c>
      <c r="M97" s="51"/>
      <c r="N97" s="51"/>
      <c r="O97" s="78"/>
      <c r="P97" s="51"/>
      <c r="Q97" s="51"/>
      <c r="R97" s="72"/>
    </row>
    <row r="98" ht="15.75" customHeight="1">
      <c r="A98" s="85"/>
      <c r="B98" s="85"/>
      <c r="C98" s="85"/>
      <c r="D98" s="51"/>
      <c r="E98" s="51"/>
      <c r="F98" s="78"/>
      <c r="G98" s="51"/>
      <c r="H98" s="51"/>
      <c r="I98" s="78"/>
      <c r="J98" s="121" t="s">
        <v>194</v>
      </c>
      <c r="K98" s="54">
        <f>COUNTIF('Itemization 202408'!L:L,J98)</f>
        <v>0</v>
      </c>
      <c r="L98" s="55">
        <f>(K98/K116)</f>
        <v>0</v>
      </c>
      <c r="M98" s="51"/>
      <c r="N98" s="51"/>
      <c r="O98" s="78"/>
      <c r="P98" s="51"/>
      <c r="Q98" s="51"/>
      <c r="R98" s="72"/>
    </row>
    <row r="99" ht="15.75" customHeight="1">
      <c r="A99" s="85"/>
      <c r="B99" s="85"/>
      <c r="C99" s="85"/>
      <c r="D99" s="51"/>
      <c r="E99" s="51"/>
      <c r="F99" s="78"/>
      <c r="G99" s="51"/>
      <c r="H99" s="51"/>
      <c r="I99" s="78"/>
      <c r="J99" s="121" t="s">
        <v>195</v>
      </c>
      <c r="K99" s="54">
        <f>COUNTIF('Itemization 202408'!L:L,J99)</f>
        <v>0</v>
      </c>
      <c r="L99" s="55">
        <f>(K99/K116)</f>
        <v>0</v>
      </c>
      <c r="M99" s="51"/>
      <c r="N99" s="51"/>
      <c r="O99" s="78"/>
      <c r="P99" s="51"/>
      <c r="Q99" s="51"/>
      <c r="R99" s="72"/>
    </row>
    <row r="100" ht="15.75" customHeight="1">
      <c r="A100" s="85"/>
      <c r="B100" s="85"/>
      <c r="C100" s="85"/>
      <c r="D100" s="51"/>
      <c r="E100" s="51"/>
      <c r="F100" s="78"/>
      <c r="G100" s="51"/>
      <c r="H100" s="51"/>
      <c r="I100" s="78"/>
      <c r="J100" s="121" t="s">
        <v>196</v>
      </c>
      <c r="K100" s="54">
        <f>COUNTIF('Itemization 202408'!L:L,J100)</f>
        <v>0</v>
      </c>
      <c r="L100" s="55">
        <f>(K100/K116)</f>
        <v>0</v>
      </c>
      <c r="M100" s="51"/>
      <c r="N100" s="51"/>
      <c r="O100" s="78"/>
      <c r="P100" s="51"/>
      <c r="Q100" s="51"/>
      <c r="R100" s="72"/>
    </row>
    <row r="101" ht="15.75" customHeight="1">
      <c r="A101" s="85"/>
      <c r="B101" s="85"/>
      <c r="C101" s="85"/>
      <c r="D101" s="51"/>
      <c r="E101" s="51"/>
      <c r="F101" s="78"/>
      <c r="G101" s="51"/>
      <c r="H101" s="51"/>
      <c r="I101" s="78"/>
      <c r="J101" s="318" t="s">
        <v>197</v>
      </c>
      <c r="K101" s="316">
        <f>COUNTIF('Itemization 202408'!L:L,J101)</f>
        <v>4</v>
      </c>
      <c r="L101" s="317">
        <f>(K101/K116)</f>
        <v>0.1052631579</v>
      </c>
      <c r="M101" s="51"/>
      <c r="N101" s="51"/>
      <c r="O101" s="78"/>
      <c r="P101" s="51"/>
      <c r="Q101" s="51"/>
      <c r="R101" s="72"/>
    </row>
    <row r="102" ht="15.75" customHeight="1">
      <c r="A102" s="85"/>
      <c r="B102" s="85"/>
      <c r="C102" s="85"/>
      <c r="D102" s="51"/>
      <c r="E102" s="51"/>
      <c r="F102" s="78"/>
      <c r="G102" s="51"/>
      <c r="H102" s="51"/>
      <c r="I102" s="78"/>
      <c r="J102" s="121" t="s">
        <v>198</v>
      </c>
      <c r="K102" s="54">
        <f>COUNTIF('Itemization 202408'!L:L,J102)</f>
        <v>0</v>
      </c>
      <c r="L102" s="55">
        <f>(K102/K116)</f>
        <v>0</v>
      </c>
      <c r="M102" s="51"/>
      <c r="N102" s="51"/>
      <c r="O102" s="78"/>
      <c r="P102" s="51"/>
      <c r="Q102" s="51"/>
      <c r="R102" s="72"/>
    </row>
    <row r="103" ht="15.75" customHeight="1">
      <c r="A103" s="85"/>
      <c r="B103" s="85"/>
      <c r="C103" s="85"/>
      <c r="D103" s="51"/>
      <c r="E103" s="51"/>
      <c r="F103" s="78"/>
      <c r="G103" s="51"/>
      <c r="H103" s="51"/>
      <c r="I103" s="78"/>
      <c r="J103" s="121" t="s">
        <v>199</v>
      </c>
      <c r="K103" s="54">
        <f>COUNTIF('Itemization 202408'!L:L,J103)</f>
        <v>0</v>
      </c>
      <c r="L103" s="55">
        <f>(K103/K116)</f>
        <v>0</v>
      </c>
      <c r="M103" s="51"/>
      <c r="N103" s="51"/>
      <c r="O103" s="78"/>
      <c r="P103" s="51"/>
      <c r="Q103" s="51"/>
      <c r="R103" s="72"/>
    </row>
    <row r="104" ht="15.75" customHeight="1">
      <c r="A104" s="85"/>
      <c r="B104" s="85"/>
      <c r="C104" s="85"/>
      <c r="D104" s="51"/>
      <c r="E104" s="51"/>
      <c r="F104" s="78"/>
      <c r="G104" s="51"/>
      <c r="H104" s="51"/>
      <c r="I104" s="78"/>
      <c r="J104" s="121" t="s">
        <v>200</v>
      </c>
      <c r="K104" s="54">
        <f>COUNTIF('Itemization 202408'!L:L,J104)</f>
        <v>0</v>
      </c>
      <c r="L104" s="55">
        <f>(K104/K116)</f>
        <v>0</v>
      </c>
      <c r="M104" s="51"/>
      <c r="N104" s="51"/>
      <c r="O104" s="78"/>
      <c r="P104" s="51"/>
      <c r="Q104" s="51"/>
      <c r="R104" s="72"/>
    </row>
    <row r="105" ht="15.75" customHeight="1">
      <c r="A105" s="85"/>
      <c r="B105" s="85"/>
      <c r="C105" s="85"/>
      <c r="D105" s="51"/>
      <c r="E105" s="51"/>
      <c r="F105" s="78"/>
      <c r="G105" s="51"/>
      <c r="H105" s="51"/>
      <c r="I105" s="78"/>
      <c r="J105" s="121" t="s">
        <v>201</v>
      </c>
      <c r="K105" s="54">
        <f>COUNTIF('Itemization 202408'!L:L,J105)</f>
        <v>0</v>
      </c>
      <c r="L105" s="55">
        <f>(K105/K116)</f>
        <v>0</v>
      </c>
      <c r="M105" s="51"/>
      <c r="N105" s="51"/>
      <c r="O105" s="78"/>
      <c r="P105" s="51"/>
      <c r="Q105" s="51"/>
      <c r="R105" s="72"/>
    </row>
    <row r="106" ht="15.75" customHeight="1">
      <c r="A106" s="85"/>
      <c r="B106" s="85"/>
      <c r="C106" s="85"/>
      <c r="D106" s="51"/>
      <c r="E106" s="51"/>
      <c r="F106" s="78"/>
      <c r="G106" s="51"/>
      <c r="H106" s="51"/>
      <c r="I106" s="78"/>
      <c r="J106" s="121" t="s">
        <v>202</v>
      </c>
      <c r="K106" s="54">
        <f>COUNTIF('Itemization 202408'!L:L,J106)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COUNTIF('Itemization 202408'!L:L,J107)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COUNTIF('Itemization 202408'!L:L,J108)</f>
        <v>0</v>
      </c>
      <c r="L108" s="55">
        <f>(K108/K116)</f>
        <v>0</v>
      </c>
      <c r="M108" s="51"/>
      <c r="N108" s="51"/>
      <c r="O108" s="78"/>
      <c r="P108" s="51"/>
      <c r="Q108" s="51"/>
      <c r="R108" s="72"/>
    </row>
    <row r="109" ht="15.75" customHeight="1">
      <c r="A109" s="85"/>
      <c r="B109" s="85"/>
      <c r="C109" s="85"/>
      <c r="D109" s="51"/>
      <c r="E109" s="51"/>
      <c r="F109" s="78"/>
      <c r="G109" s="51"/>
      <c r="H109" s="51"/>
      <c r="I109" s="78"/>
      <c r="J109" s="121" t="s">
        <v>205</v>
      </c>
      <c r="K109" s="54">
        <f>COUNTIF('Itemization 202408'!L:L,J109)</f>
        <v>0</v>
      </c>
      <c r="L109" s="55">
        <f>(K109/K116)</f>
        <v>0</v>
      </c>
      <c r="M109" s="51"/>
      <c r="N109" s="51"/>
      <c r="O109" s="78"/>
      <c r="P109" s="51"/>
      <c r="Q109" s="51"/>
      <c r="R109" s="72"/>
    </row>
    <row r="110" ht="15.75" customHeight="1">
      <c r="A110" s="85"/>
      <c r="B110" s="85"/>
      <c r="C110" s="85"/>
      <c r="D110" s="51"/>
      <c r="E110" s="51"/>
      <c r="F110" s="78"/>
      <c r="G110" s="51"/>
      <c r="H110" s="51"/>
      <c r="I110" s="78"/>
      <c r="J110" s="122" t="s">
        <v>206</v>
      </c>
      <c r="K110" s="57">
        <f>COUNTIF('Itemization 202408'!L:L,J110)</f>
        <v>2</v>
      </c>
      <c r="L110" s="58">
        <f>(K110/K116)</f>
        <v>0.05263157895</v>
      </c>
      <c r="M110" s="51"/>
      <c r="N110" s="51"/>
      <c r="O110" s="78"/>
      <c r="P110" s="51"/>
      <c r="Q110" s="51"/>
      <c r="R110" s="72"/>
    </row>
    <row r="111" ht="15.75" customHeight="1">
      <c r="A111" s="85"/>
      <c r="B111" s="85"/>
      <c r="C111" s="85"/>
      <c r="D111" s="51"/>
      <c r="E111" s="51"/>
      <c r="F111" s="78"/>
      <c r="G111" s="51"/>
      <c r="H111" s="51"/>
      <c r="I111" s="78"/>
      <c r="J111" s="121" t="s">
        <v>207</v>
      </c>
      <c r="K111" s="54">
        <f>COUNTIF('Itemization 202408'!L:L,J111)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COUNTIF('Itemization 202408'!L:L,J112)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COUNTIF('Itemization 202408'!L:L,J113)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COUNTIF('Itemization 202408'!L:L,J114)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COUNTIF('Itemization 202408'!L:L,J115)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38</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37.63"/>
    <col hidden="1" min="21" max="27" width="12.63"/>
    <col customWidth="1" hidden="1" min="28" max="28" width="25.88"/>
  </cols>
  <sheetData>
    <row r="1">
      <c r="A1" s="255"/>
      <c r="B1" s="255"/>
      <c r="C1" s="255"/>
      <c r="D1" s="256"/>
      <c r="E1" s="256"/>
      <c r="F1" s="256"/>
      <c r="G1" s="256"/>
      <c r="H1" s="257" t="s">
        <v>76</v>
      </c>
      <c r="L1" s="257" t="s">
        <v>0</v>
      </c>
      <c r="O1" s="257" t="s">
        <v>221</v>
      </c>
      <c r="U1" s="256"/>
      <c r="V1" s="256"/>
      <c r="W1" s="256"/>
      <c r="X1" s="256"/>
      <c r="Y1" s="256"/>
      <c r="Z1" s="256"/>
      <c r="AA1" s="256"/>
      <c r="AB1" s="256"/>
    </row>
    <row r="2">
      <c r="A2" s="258" t="s">
        <v>222</v>
      </c>
      <c r="B2" s="259" t="s">
        <v>223</v>
      </c>
      <c r="C2" s="259" t="s">
        <v>224</v>
      </c>
      <c r="D2" s="259" t="s">
        <v>225</v>
      </c>
      <c r="E2" s="259" t="s">
        <v>226</v>
      </c>
      <c r="F2" s="259" t="s">
        <v>227</v>
      </c>
      <c r="G2" s="259" t="s">
        <v>228</v>
      </c>
      <c r="H2" s="258" t="s">
        <v>63</v>
      </c>
      <c r="I2" s="259" t="s">
        <v>229</v>
      </c>
      <c r="J2" s="259" t="s">
        <v>77</v>
      </c>
      <c r="K2" s="260" t="s">
        <v>78</v>
      </c>
      <c r="L2" s="260" t="s">
        <v>79</v>
      </c>
      <c r="M2" s="261" t="s">
        <v>71</v>
      </c>
      <c r="N2" s="262" t="s">
        <v>72</v>
      </c>
      <c r="O2" s="261" t="s">
        <v>2</v>
      </c>
      <c r="P2" s="259" t="s">
        <v>230</v>
      </c>
      <c r="Q2" s="262" t="s">
        <v>231</v>
      </c>
      <c r="R2" s="262" t="s">
        <v>232</v>
      </c>
      <c r="S2" s="262" t="s">
        <v>233</v>
      </c>
      <c r="T2" s="261" t="s">
        <v>234</v>
      </c>
      <c r="U2" s="259" t="s">
        <v>235</v>
      </c>
      <c r="V2" s="259" t="s">
        <v>236</v>
      </c>
      <c r="W2" s="259" t="s">
        <v>237</v>
      </c>
      <c r="X2" s="259" t="s">
        <v>238</v>
      </c>
      <c r="Y2" s="259" t="s">
        <v>239</v>
      </c>
      <c r="Z2" s="259" t="s">
        <v>240</v>
      </c>
      <c r="AA2" s="258" t="s">
        <v>241</v>
      </c>
      <c r="AB2" s="263" t="s">
        <v>242</v>
      </c>
    </row>
    <row r="3" ht="15.75" customHeight="1">
      <c r="A3" s="264" t="s">
        <v>243</v>
      </c>
      <c r="B3" s="265" t="s">
        <v>244</v>
      </c>
      <c r="C3" s="265">
        <v>1.0</v>
      </c>
      <c r="D3" s="266">
        <v>3.0</v>
      </c>
      <c r="E3" s="265"/>
      <c r="F3" s="267"/>
      <c r="G3" s="265"/>
      <c r="H3" s="268" t="s">
        <v>316</v>
      </c>
      <c r="I3" s="265" t="s">
        <v>86</v>
      </c>
      <c r="J3" s="265" t="s">
        <v>91</v>
      </c>
      <c r="K3" s="284" t="s">
        <v>246</v>
      </c>
      <c r="L3" s="284" t="s">
        <v>88</v>
      </c>
      <c r="M3" s="264">
        <v>4.0</v>
      </c>
      <c r="N3" s="264" t="s">
        <v>89</v>
      </c>
      <c r="O3" s="271" t="str">
        <f>IFERROR(VLOOKUP(K3,'US History Framework Standards'!$A:$E,2,false),"")</f>
        <v>Colonial Foundations (1607-1763)</v>
      </c>
      <c r="P3" s="271" t="str">
        <f>IFERROR(__xludf.DUMMYFUNCTION("IFERROR(Index(SPLIT(#REF!,"".""),1,1))"),"")</f>
        <v/>
      </c>
      <c r="Q3" s="271" t="str">
        <f>IFERROR(__xludf.DUMMYFUNCTION("IFERROR(Index(SPLIT(#REF!,"".""),1,2))"),"")</f>
        <v/>
      </c>
      <c r="R3" s="271" t="str">
        <f>IFERROR(VLOOKUP(#REF!,'US History Framework Standards'!$A:$E,3,false),"")</f>
        <v/>
      </c>
      <c r="S3" s="271" t="str">
        <f>IFERROR(__xludf.DUMMYFUNCTION("IFERROR(Index(SPLIT(#REF!,"".""),1,3)&amp;Index(SPLIT(#REF!,"".""),1,4))"),"")</f>
        <v/>
      </c>
      <c r="T3" s="271" t="str">
        <f>iferror(VLOOKUP(L3,'US History Framework Standards'!$A:$E,2,false),"")</f>
        <v>Colonization Impact on Native Americans</v>
      </c>
      <c r="U3" s="265">
        <v>1.0</v>
      </c>
      <c r="V3" s="265" t="s">
        <v>247</v>
      </c>
      <c r="W3" s="265">
        <v>1201718.0</v>
      </c>
      <c r="X3" s="267"/>
      <c r="Y3" s="267"/>
      <c r="Z3" s="264" t="s">
        <v>248</v>
      </c>
      <c r="AA3" s="272"/>
      <c r="AB3" s="272" t="str">
        <f t="shared" ref="AB3:AB30" si="1">V3&amp;"_"&amp;W3&amp;"_"&amp;A3&amp;".jpg"</f>
        <v>HXRG_1201718_Multiple Choice.jpg</v>
      </c>
    </row>
    <row r="4" ht="15.75" customHeight="1">
      <c r="A4" s="264" t="s">
        <v>243</v>
      </c>
      <c r="B4" s="265" t="s">
        <v>244</v>
      </c>
      <c r="C4" s="265">
        <v>2.0</v>
      </c>
      <c r="D4" s="266">
        <v>4.0</v>
      </c>
      <c r="E4" s="265"/>
      <c r="F4" s="267"/>
      <c r="G4" s="265"/>
      <c r="H4" s="268" t="s">
        <v>316</v>
      </c>
      <c r="I4" s="265" t="s">
        <v>86</v>
      </c>
      <c r="J4" s="265" t="s">
        <v>91</v>
      </c>
      <c r="K4" s="284" t="s">
        <v>246</v>
      </c>
      <c r="L4" s="284" t="s">
        <v>88</v>
      </c>
      <c r="M4" s="264">
        <v>7.0</v>
      </c>
      <c r="N4" s="264" t="s">
        <v>85</v>
      </c>
      <c r="O4" s="271" t="str">
        <f>IFERROR(VLOOKUP(K4,'US History Framework Standards'!$A:$E,2,false),"")</f>
        <v>Colonial Foundations (1607-1763)</v>
      </c>
      <c r="P4" s="271" t="str">
        <f>IFERROR(__xludf.DUMMYFUNCTION("IFERROR(Index(SPLIT(#REF!,"".""),1,1))"),"")</f>
        <v/>
      </c>
      <c r="Q4" s="271" t="str">
        <f>IFERROR(__xludf.DUMMYFUNCTION("IFERROR(Index(SPLIT(#REF!,"".""),1,2))"),"")</f>
        <v/>
      </c>
      <c r="R4" s="271" t="str">
        <f>IFERROR(VLOOKUP(#REF!,'US History Framework Standards'!$A:$E,3,false),"")</f>
        <v/>
      </c>
      <c r="S4" s="271" t="str">
        <f>IFERROR(__xludf.DUMMYFUNCTION("IFERROR(Index(SPLIT(#REF!,"".""),1,3)&amp;Index(SPLIT(#REF!,"".""),1,4))"),"")</f>
        <v/>
      </c>
      <c r="T4" s="271" t="str">
        <f>iferror(VLOOKUP(L4,'US History Framework Standards'!$A:$E,2,false),"")</f>
        <v>Colonization Impact on Native Americans</v>
      </c>
      <c r="U4" s="267">
        <v>2.0</v>
      </c>
      <c r="V4" s="265" t="s">
        <v>247</v>
      </c>
      <c r="W4" s="265">
        <v>1201718.0</v>
      </c>
      <c r="X4" s="267"/>
      <c r="Y4" s="267"/>
      <c r="Z4" s="264" t="s">
        <v>248</v>
      </c>
      <c r="AA4" s="272"/>
      <c r="AB4" s="272" t="str">
        <f t="shared" si="1"/>
        <v>HXRG_1201718_Multiple Choice.jpg</v>
      </c>
    </row>
    <row r="5" ht="15.75" customHeight="1">
      <c r="A5" s="273" t="s">
        <v>243</v>
      </c>
      <c r="B5" s="274" t="s">
        <v>244</v>
      </c>
      <c r="C5" s="274">
        <v>3.0</v>
      </c>
      <c r="D5" s="275">
        <v>1.0</v>
      </c>
      <c r="E5" s="274"/>
      <c r="F5" s="276"/>
      <c r="G5" s="274"/>
      <c r="H5" s="277" t="s">
        <v>317</v>
      </c>
      <c r="I5" s="274" t="s">
        <v>82</v>
      </c>
      <c r="J5" s="274" t="s">
        <v>83</v>
      </c>
      <c r="K5" s="279" t="s">
        <v>246</v>
      </c>
      <c r="L5" s="279" t="s">
        <v>95</v>
      </c>
      <c r="M5" s="273">
        <v>1.0</v>
      </c>
      <c r="N5" s="273" t="s">
        <v>85</v>
      </c>
      <c r="O5" s="280" t="str">
        <f>IFERROR(VLOOKUP(K5,'US History Framework Standards'!$A:$E,2,false),"")</f>
        <v>Colonial Foundations (1607-1763)</v>
      </c>
      <c r="P5" s="280" t="str">
        <f>IFERROR(__xludf.DUMMYFUNCTION("IFERROR(Index(SPLIT(#REF!,"".""),1,1))"),"")</f>
        <v/>
      </c>
      <c r="Q5" s="280" t="str">
        <f>IFERROR(__xludf.DUMMYFUNCTION("IFERROR(Index(SPLIT(#REF!,"".""),1,2))"),"")</f>
        <v/>
      </c>
      <c r="R5" s="280" t="str">
        <f>IFERROR(VLOOKUP(#REF!,'US History Framework Standards'!$A:$E,3,false),"")</f>
        <v/>
      </c>
      <c r="S5" s="280" t="str">
        <f>IFERROR(__xludf.DUMMYFUNCTION("IFERROR(Index(SPLIT(#REF!,"".""),1,3)&amp;Index(SPLIT(#REF!,"".""),1,4))"),"")</f>
        <v/>
      </c>
      <c r="T5" s="280" t="str">
        <f>iferror(VLOOKUP(L5,'US History Framework Standards'!$A:$E,2,false),"")</f>
        <v>Social Structures &amp; Labor</v>
      </c>
      <c r="U5" s="276">
        <v>3.0</v>
      </c>
      <c r="V5" s="274" t="s">
        <v>247</v>
      </c>
      <c r="W5" s="274">
        <v>1201718.0</v>
      </c>
      <c r="X5" s="276"/>
      <c r="Y5" s="276"/>
      <c r="Z5" s="273" t="s">
        <v>248</v>
      </c>
      <c r="AA5" s="281"/>
      <c r="AB5" s="281" t="str">
        <f t="shared" si="1"/>
        <v>HXRG_1201718_Multiple Choice.jpg</v>
      </c>
    </row>
    <row r="6" ht="15.75" customHeight="1">
      <c r="A6" s="273" t="s">
        <v>243</v>
      </c>
      <c r="B6" s="274" t="s">
        <v>244</v>
      </c>
      <c r="C6" s="274">
        <v>4.0</v>
      </c>
      <c r="D6" s="275">
        <v>2.0</v>
      </c>
      <c r="E6" s="274"/>
      <c r="F6" s="276"/>
      <c r="G6" s="274"/>
      <c r="H6" s="282" t="s">
        <v>317</v>
      </c>
      <c r="I6" s="274" t="s">
        <v>82</v>
      </c>
      <c r="J6" s="274" t="s">
        <v>83</v>
      </c>
      <c r="K6" s="279" t="s">
        <v>246</v>
      </c>
      <c r="L6" s="279" t="s">
        <v>95</v>
      </c>
      <c r="M6" s="273">
        <v>14.0</v>
      </c>
      <c r="N6" s="273" t="s">
        <v>85</v>
      </c>
      <c r="O6" s="280" t="str">
        <f>IFERROR(VLOOKUP(K6,'US History Framework Standards'!$A:$E,2,false),"")</f>
        <v>Colonial Foundations (1607-1763)</v>
      </c>
      <c r="P6" s="280" t="str">
        <f>IFERROR(__xludf.DUMMYFUNCTION("IFERROR(Index(SPLIT(#REF!,"".""),1,1))"),"")</f>
        <v/>
      </c>
      <c r="Q6" s="280" t="str">
        <f>IFERROR(__xludf.DUMMYFUNCTION("IFERROR(Index(SPLIT(#REF!,"".""),1,2))"),"")</f>
        <v/>
      </c>
      <c r="R6" s="280" t="str">
        <f>IFERROR(VLOOKUP(#REF!,'US History Framework Standards'!$A:$E,3,false),"")</f>
        <v/>
      </c>
      <c r="S6" s="280" t="str">
        <f>IFERROR(__xludf.DUMMYFUNCTION("IFERROR(Index(SPLIT(#REF!,"".""),1,3)&amp;Index(SPLIT(#REF!,"".""),1,4))"),"")</f>
        <v/>
      </c>
      <c r="T6" s="280" t="str">
        <f>iferror(VLOOKUP(L6,'US History Framework Standards'!$A:$E,2,false),"")</f>
        <v>Social Structures &amp; Labor</v>
      </c>
      <c r="U6" s="276">
        <v>4.0</v>
      </c>
      <c r="V6" s="274" t="s">
        <v>247</v>
      </c>
      <c r="W6" s="274">
        <v>1201718.0</v>
      </c>
      <c r="X6" s="276"/>
      <c r="Y6" s="276"/>
      <c r="Z6" s="273" t="s">
        <v>248</v>
      </c>
      <c r="AA6" s="281"/>
      <c r="AB6" s="281" t="str">
        <f t="shared" si="1"/>
        <v>HXRG_1201718_Multiple Choice.jpg</v>
      </c>
    </row>
    <row r="7" ht="15.75" customHeight="1">
      <c r="A7" s="264" t="s">
        <v>243</v>
      </c>
      <c r="B7" s="265" t="s">
        <v>244</v>
      </c>
      <c r="C7" s="265">
        <v>5.0</v>
      </c>
      <c r="D7" s="266">
        <v>1.0</v>
      </c>
      <c r="E7" s="265"/>
      <c r="F7" s="267"/>
      <c r="G7" s="265"/>
      <c r="H7" s="283" t="s">
        <v>318</v>
      </c>
      <c r="I7" s="265" t="s">
        <v>82</v>
      </c>
      <c r="J7" s="265" t="s">
        <v>83</v>
      </c>
      <c r="K7" s="284" t="s">
        <v>250</v>
      </c>
      <c r="L7" s="284" t="s">
        <v>100</v>
      </c>
      <c r="M7" s="264">
        <v>7.0</v>
      </c>
      <c r="N7" s="264" t="s">
        <v>85</v>
      </c>
      <c r="O7" s="271" t="str">
        <f>IFERROR(VLOOKUP(K7,'US History Framework Standards'!$A:$E,2,false),"")</f>
        <v>Constitutional Foundations (1763–1824)</v>
      </c>
      <c r="P7" s="271" t="str">
        <f>IFERROR(__xludf.DUMMYFUNCTION("IFERROR(Index(SPLIT(#REF!,"".""),1,1))"),"")</f>
        <v/>
      </c>
      <c r="Q7" s="271" t="str">
        <f>IFERROR(__xludf.DUMMYFUNCTION("IFERROR(Index(SPLIT(#REF!,"".""),1,2))"),"")</f>
        <v/>
      </c>
      <c r="R7" s="271" t="str">
        <f>IFERROR(VLOOKUP(#REF!,'US History Framework Standards'!$A:$E,3,false),"")</f>
        <v/>
      </c>
      <c r="S7" s="271" t="str">
        <f>IFERROR(__xludf.DUMMYFUNCTION("IFERROR(Index(SPLIT(#REF!,"".""),1,3)&amp;Index(SPLIT(#REF!,"".""),1,4))"),"")</f>
        <v/>
      </c>
      <c r="T7" s="271" t="str">
        <f>iferror(VLOOKUP(L7,'US History Framework Standards'!$A:$E,2,false),"")</f>
        <v>British Control &amp; Colonial Resistance</v>
      </c>
      <c r="U7" s="267">
        <v>5.0</v>
      </c>
      <c r="V7" s="265" t="s">
        <v>247</v>
      </c>
      <c r="W7" s="265">
        <v>1201718.0</v>
      </c>
      <c r="X7" s="267"/>
      <c r="Y7" s="267"/>
      <c r="Z7" s="264" t="s">
        <v>248</v>
      </c>
      <c r="AA7" s="272"/>
      <c r="AB7" s="272" t="str">
        <f t="shared" si="1"/>
        <v>HXRG_1201718_Multiple Choice.jpg</v>
      </c>
    </row>
    <row r="8" ht="15.75" customHeight="1">
      <c r="A8" s="264" t="s">
        <v>243</v>
      </c>
      <c r="B8" s="265" t="s">
        <v>244</v>
      </c>
      <c r="C8" s="265">
        <v>6.0</v>
      </c>
      <c r="D8" s="266">
        <v>4.0</v>
      </c>
      <c r="E8" s="265"/>
      <c r="F8" s="267"/>
      <c r="G8" s="265"/>
      <c r="H8" s="283" t="s">
        <v>318</v>
      </c>
      <c r="I8" s="265" t="s">
        <v>82</v>
      </c>
      <c r="J8" s="265" t="s">
        <v>83</v>
      </c>
      <c r="K8" s="284" t="s">
        <v>250</v>
      </c>
      <c r="L8" s="284" t="s">
        <v>100</v>
      </c>
      <c r="M8" s="264">
        <v>8.0</v>
      </c>
      <c r="N8" s="264" t="s">
        <v>85</v>
      </c>
      <c r="O8" s="271" t="str">
        <f>IFERROR(VLOOKUP(K8,'US History Framework Standards'!$A:$E,2,false),"")</f>
        <v>Constitutional Foundations (1763–1824)</v>
      </c>
      <c r="P8" s="271" t="str">
        <f>IFERROR(__xludf.DUMMYFUNCTION("IFERROR(Index(SPLIT(#REF!,"".""),1,1))"),"")</f>
        <v/>
      </c>
      <c r="Q8" s="271" t="str">
        <f>IFERROR(__xludf.DUMMYFUNCTION("IFERROR(Index(SPLIT(#REF!,"".""),1,2))"),"")</f>
        <v/>
      </c>
      <c r="R8" s="271" t="str">
        <f>IFERROR(VLOOKUP(#REF!,'US History Framework Standards'!$A:$E,3,false),"")</f>
        <v/>
      </c>
      <c r="S8" s="271" t="str">
        <f>IFERROR(__xludf.DUMMYFUNCTION("IFERROR(Index(SPLIT(#REF!,"".""),1,3)&amp;Index(SPLIT(#REF!,"".""),1,4))"),"")</f>
        <v/>
      </c>
      <c r="T8" s="271" t="str">
        <f>iferror(VLOOKUP(L8,'US History Framework Standards'!$A:$E,2,false),"")</f>
        <v>British Control &amp; Colonial Resistance</v>
      </c>
      <c r="U8" s="267">
        <v>6.0</v>
      </c>
      <c r="V8" s="265" t="s">
        <v>247</v>
      </c>
      <c r="W8" s="265">
        <v>1201718.0</v>
      </c>
      <c r="X8" s="267"/>
      <c r="Y8" s="267"/>
      <c r="Z8" s="264" t="s">
        <v>248</v>
      </c>
      <c r="AA8" s="272"/>
      <c r="AB8" s="272" t="str">
        <f t="shared" si="1"/>
        <v>HXRG_1201718_Multiple Choice.jpg</v>
      </c>
    </row>
    <row r="9" ht="15.75" customHeight="1">
      <c r="A9" s="273" t="s">
        <v>243</v>
      </c>
      <c r="B9" s="274" t="s">
        <v>244</v>
      </c>
      <c r="C9" s="274">
        <v>7.0</v>
      </c>
      <c r="D9" s="275">
        <v>1.0</v>
      </c>
      <c r="E9" s="274"/>
      <c r="F9" s="276"/>
      <c r="G9" s="274"/>
      <c r="H9" s="277" t="s">
        <v>319</v>
      </c>
      <c r="I9" s="274" t="s">
        <v>82</v>
      </c>
      <c r="J9" s="274" t="s">
        <v>83</v>
      </c>
      <c r="K9" s="279" t="s">
        <v>250</v>
      </c>
      <c r="L9" s="279" t="s">
        <v>108</v>
      </c>
      <c r="M9" s="273">
        <v>14.0</v>
      </c>
      <c r="N9" s="273" t="s">
        <v>89</v>
      </c>
      <c r="O9" s="280" t="str">
        <f>IFERROR(VLOOKUP(K9,'US History Framework Standards'!$A:$E,2,false),"")</f>
        <v>Constitutional Foundations (1763–1824)</v>
      </c>
      <c r="P9" s="280" t="str">
        <f>IFERROR(__xludf.DUMMYFUNCTION("IFERROR(Index(SPLIT(#REF!,"".""),1,1))"),"")</f>
        <v/>
      </c>
      <c r="Q9" s="280" t="str">
        <f>IFERROR(__xludf.DUMMYFUNCTION("IFERROR(Index(SPLIT(#REF!,"".""),1,2))"),"")</f>
        <v/>
      </c>
      <c r="R9" s="280" t="str">
        <f>IFERROR(VLOOKUP(#REF!,'US History Framework Standards'!$A:$E,3,false),"")</f>
        <v/>
      </c>
      <c r="S9" s="280" t="str">
        <f>IFERROR(__xludf.DUMMYFUNCTION("IFERROR(Index(SPLIT(#REF!,"".""),1,3)&amp;Index(SPLIT(#REF!,"".""),1,4))"),"")</f>
        <v/>
      </c>
      <c r="T9" s="280" t="str">
        <f>iferror(VLOOKUP(L9,'US History Framework Standards'!$A:$E,2,false),"")</f>
        <v>Federalist vs. Antifederalist</v>
      </c>
      <c r="U9" s="276">
        <v>7.0</v>
      </c>
      <c r="V9" s="274" t="s">
        <v>247</v>
      </c>
      <c r="W9" s="274">
        <v>1201718.0</v>
      </c>
      <c r="X9" s="276"/>
      <c r="Y9" s="276"/>
      <c r="Z9" s="273" t="s">
        <v>248</v>
      </c>
      <c r="AA9" s="281"/>
      <c r="AB9" s="281" t="str">
        <f t="shared" si="1"/>
        <v>HXRG_1201718_Multiple Choice.jpg</v>
      </c>
    </row>
    <row r="10" ht="15.75" customHeight="1">
      <c r="A10" s="273" t="s">
        <v>243</v>
      </c>
      <c r="B10" s="274" t="s">
        <v>244</v>
      </c>
      <c r="C10" s="274">
        <v>8.0</v>
      </c>
      <c r="D10" s="275">
        <v>4.0</v>
      </c>
      <c r="E10" s="274"/>
      <c r="F10" s="276"/>
      <c r="G10" s="274"/>
      <c r="H10" s="277" t="s">
        <v>319</v>
      </c>
      <c r="I10" s="274" t="s">
        <v>82</v>
      </c>
      <c r="J10" s="274" t="s">
        <v>83</v>
      </c>
      <c r="K10" s="279" t="s">
        <v>250</v>
      </c>
      <c r="L10" s="279" t="s">
        <v>108</v>
      </c>
      <c r="M10" s="273">
        <v>18.0</v>
      </c>
      <c r="N10" s="273" t="s">
        <v>85</v>
      </c>
      <c r="O10" s="280" t="str">
        <f>IFERROR(VLOOKUP(K10,'US History Framework Standards'!$A:$E,2,false),"")</f>
        <v>Constitutional Foundations (1763–1824)</v>
      </c>
      <c r="P10" s="280" t="str">
        <f>IFERROR(__xludf.DUMMYFUNCTION("IFERROR(Index(SPLIT(#REF!,"".""),1,1))"),"")</f>
        <v/>
      </c>
      <c r="Q10" s="280" t="str">
        <f>IFERROR(__xludf.DUMMYFUNCTION("IFERROR(Index(SPLIT(#REF!,"".""),1,2))"),"")</f>
        <v/>
      </c>
      <c r="R10" s="280" t="str">
        <f>IFERROR(VLOOKUP(#REF!,'US History Framework Standards'!$A:$E,3,false),"")</f>
        <v/>
      </c>
      <c r="S10" s="280" t="str">
        <f>IFERROR(__xludf.DUMMYFUNCTION("IFERROR(Index(SPLIT(#REF!,"".""),1,3)&amp;Index(SPLIT(#REF!,"".""),1,4))"),"")</f>
        <v/>
      </c>
      <c r="T10" s="280" t="str">
        <f>iferror(VLOOKUP(L10,'US History Framework Standards'!$A:$E,2,false),"")</f>
        <v>Federalist vs. Antifederalist</v>
      </c>
      <c r="U10" s="276">
        <v>8.0</v>
      </c>
      <c r="V10" s="274" t="s">
        <v>247</v>
      </c>
      <c r="W10" s="274">
        <v>1201718.0</v>
      </c>
      <c r="X10" s="276"/>
      <c r="Y10" s="276"/>
      <c r="Z10" s="273" t="s">
        <v>248</v>
      </c>
      <c r="AA10" s="281"/>
      <c r="AB10" s="281" t="str">
        <f t="shared" si="1"/>
        <v>HXRG_1201718_Multiple Choice.jpg</v>
      </c>
    </row>
    <row r="11" ht="15.75" customHeight="1">
      <c r="A11" s="264" t="s">
        <v>243</v>
      </c>
      <c r="B11" s="265" t="s">
        <v>244</v>
      </c>
      <c r="C11" s="265">
        <v>9.0</v>
      </c>
      <c r="D11" s="266">
        <v>1.0</v>
      </c>
      <c r="E11" s="265"/>
      <c r="F11" s="267"/>
      <c r="G11" s="265"/>
      <c r="H11" s="268" t="s">
        <v>320</v>
      </c>
      <c r="I11" s="265" t="s">
        <v>82</v>
      </c>
      <c r="J11" s="265" t="s">
        <v>83</v>
      </c>
      <c r="K11" s="284" t="s">
        <v>250</v>
      </c>
      <c r="L11" s="284" t="s">
        <v>118</v>
      </c>
      <c r="M11" s="264">
        <v>6.0</v>
      </c>
      <c r="N11" s="264" t="s">
        <v>89</v>
      </c>
      <c r="O11" s="271" t="str">
        <f>IFERROR(VLOOKUP(K11,'US History Framework Standards'!$A:$E,2,false),"")</f>
        <v>Constitutional Foundations (1763–1824)</v>
      </c>
      <c r="P11" s="271" t="str">
        <f>IFERROR(__xludf.DUMMYFUNCTION("IFERROR(Index(SPLIT(#REF!,"".""),1,1))"),"")</f>
        <v/>
      </c>
      <c r="Q11" s="271" t="str">
        <f>IFERROR(__xludf.DUMMYFUNCTION("IFERROR(Index(SPLIT(#REF!,"".""),1,2))"),"")</f>
        <v/>
      </c>
      <c r="R11" s="271" t="str">
        <f>IFERROR(VLOOKUP(#REF!,'US History Framework Standards'!$A:$E,3,false),"")</f>
        <v/>
      </c>
      <c r="S11" s="271" t="str">
        <f>IFERROR(__xludf.DUMMYFUNCTION("IFERROR(Index(SPLIT(#REF!,"".""),1,3)&amp;Index(SPLIT(#REF!,"".""),1,4))"),"")</f>
        <v/>
      </c>
      <c r="T11" s="271" t="str">
        <f>iferror(VLOOKUP(L11,'US History Framework Standards'!$A:$E,2,false),"")</f>
        <v>Early Supreme Court Cases</v>
      </c>
      <c r="U11" s="267">
        <v>9.0</v>
      </c>
      <c r="V11" s="265" t="s">
        <v>247</v>
      </c>
      <c r="W11" s="265">
        <v>1201718.0</v>
      </c>
      <c r="X11" s="267"/>
      <c r="Y11" s="267"/>
      <c r="Z11" s="264" t="s">
        <v>248</v>
      </c>
      <c r="AA11" s="272"/>
      <c r="AB11" s="272" t="str">
        <f t="shared" si="1"/>
        <v>HXRG_1201718_Multiple Choice.jpg</v>
      </c>
    </row>
    <row r="12" ht="15.75" customHeight="1">
      <c r="A12" s="264" t="s">
        <v>243</v>
      </c>
      <c r="B12" s="265" t="s">
        <v>244</v>
      </c>
      <c r="C12" s="265">
        <v>10.0</v>
      </c>
      <c r="D12" s="266">
        <v>3.0</v>
      </c>
      <c r="E12" s="265"/>
      <c r="F12" s="267"/>
      <c r="G12" s="265"/>
      <c r="H12" s="283" t="s">
        <v>320</v>
      </c>
      <c r="I12" s="265" t="s">
        <v>82</v>
      </c>
      <c r="J12" s="265" t="s">
        <v>83</v>
      </c>
      <c r="K12" s="284" t="s">
        <v>250</v>
      </c>
      <c r="L12" s="284" t="s">
        <v>118</v>
      </c>
      <c r="M12" s="264">
        <v>8.0</v>
      </c>
      <c r="N12" s="264" t="s">
        <v>85</v>
      </c>
      <c r="O12" s="271" t="str">
        <f>IFERROR(VLOOKUP(K12,'US History Framework Standards'!$A:$E,2,false),"")</f>
        <v>Constitutional Foundations (1763–1824)</v>
      </c>
      <c r="P12" s="271" t="str">
        <f>IFERROR(__xludf.DUMMYFUNCTION("IFERROR(Index(SPLIT(#REF!,"".""),1,1))"),"")</f>
        <v/>
      </c>
      <c r="Q12" s="271" t="str">
        <f>IFERROR(__xludf.DUMMYFUNCTION("IFERROR(Index(SPLIT(#REF!,"".""),1,2))"),"")</f>
        <v/>
      </c>
      <c r="R12" s="271" t="str">
        <f>IFERROR(VLOOKUP(#REF!,'US History Framework Standards'!$A:$E,3,false),"")</f>
        <v/>
      </c>
      <c r="S12" s="271" t="str">
        <f>IFERROR(__xludf.DUMMYFUNCTION("IFERROR(Index(SPLIT(#REF!,"".""),1,3)&amp;Index(SPLIT(#REF!,"".""),1,4))"),"")</f>
        <v/>
      </c>
      <c r="T12" s="271" t="str">
        <f>iferror(VLOOKUP(L12,'US History Framework Standards'!$A:$E,2,false),"")</f>
        <v>Early Supreme Court Cases</v>
      </c>
      <c r="U12" s="267">
        <v>10.0</v>
      </c>
      <c r="V12" s="265" t="s">
        <v>247</v>
      </c>
      <c r="W12" s="265">
        <v>1201718.0</v>
      </c>
      <c r="X12" s="267"/>
      <c r="Y12" s="267"/>
      <c r="Z12" s="264" t="s">
        <v>248</v>
      </c>
      <c r="AA12" s="272"/>
      <c r="AB12" s="272" t="str">
        <f t="shared" si="1"/>
        <v>HXRG_1201718_Multiple Choice.jpg</v>
      </c>
    </row>
    <row r="13" ht="15.75" customHeight="1">
      <c r="A13" s="273" t="s">
        <v>243</v>
      </c>
      <c r="B13" s="274" t="s">
        <v>244</v>
      </c>
      <c r="C13" s="274">
        <v>11.0</v>
      </c>
      <c r="D13" s="275">
        <v>3.0</v>
      </c>
      <c r="E13" s="274"/>
      <c r="F13" s="276"/>
      <c r="G13" s="274"/>
      <c r="H13" s="282" t="s">
        <v>321</v>
      </c>
      <c r="I13" s="274" t="s">
        <v>82</v>
      </c>
      <c r="J13" s="274" t="s">
        <v>83</v>
      </c>
      <c r="K13" s="279" t="s">
        <v>254</v>
      </c>
      <c r="L13" s="279" t="s">
        <v>124</v>
      </c>
      <c r="M13" s="273">
        <v>3.0</v>
      </c>
      <c r="N13" s="273" t="s">
        <v>85</v>
      </c>
      <c r="O13" s="280" t="str">
        <f>IFERROR(VLOOKUP(K13,'US History Framework Standards'!$A:$E,2,false),"")</f>
        <v>Expansion, Nationalism, and Sectionalism (1800-1865)</v>
      </c>
      <c r="P13" s="280" t="str">
        <f>IFERROR(__xludf.DUMMYFUNCTION("IFERROR(Index(SPLIT(#REF!,"".""),1,1))"),"")</f>
        <v/>
      </c>
      <c r="Q13" s="280" t="str">
        <f>IFERROR(__xludf.DUMMYFUNCTION("IFERROR(Index(SPLIT(#REF!,"".""),1,2))"),"")</f>
        <v/>
      </c>
      <c r="R13" s="280" t="str">
        <f>IFERROR(VLOOKUP(#REF!,'US History Framework Standards'!$A:$E,3,false),"")</f>
        <v/>
      </c>
      <c r="S13" s="280" t="str">
        <f>IFERROR(__xludf.DUMMYFUNCTION("IFERROR(Index(SPLIT(#REF!,"".""),1,3)&amp;Index(SPLIT(#REF!,"".""),1,4))"),"")</f>
        <v/>
      </c>
      <c r="T13" s="280" t="str">
        <f>iferror(VLOOKUP(L13,'US History Framework Standards'!$A:$E,2,false),"")</f>
        <v>Resistance &amp; Abolitionism</v>
      </c>
      <c r="U13" s="276">
        <v>11.0</v>
      </c>
      <c r="V13" s="274" t="s">
        <v>247</v>
      </c>
      <c r="W13" s="274">
        <v>1201718.0</v>
      </c>
      <c r="X13" s="276"/>
      <c r="Y13" s="276"/>
      <c r="Z13" s="273" t="s">
        <v>248</v>
      </c>
      <c r="AA13" s="281"/>
      <c r="AB13" s="281" t="str">
        <f t="shared" si="1"/>
        <v>HXRG_1201718_Multiple Choice.jpg</v>
      </c>
    </row>
    <row r="14" ht="15.75" customHeight="1">
      <c r="A14" s="273" t="s">
        <v>243</v>
      </c>
      <c r="B14" s="274" t="s">
        <v>244</v>
      </c>
      <c r="C14" s="274">
        <v>12.0</v>
      </c>
      <c r="D14" s="275">
        <v>2.0</v>
      </c>
      <c r="E14" s="274"/>
      <c r="F14" s="276"/>
      <c r="G14" s="274"/>
      <c r="H14" s="282" t="s">
        <v>321</v>
      </c>
      <c r="I14" s="274" t="s">
        <v>82</v>
      </c>
      <c r="J14" s="274" t="s">
        <v>83</v>
      </c>
      <c r="K14" s="279" t="s">
        <v>254</v>
      </c>
      <c r="L14" s="279" t="s">
        <v>124</v>
      </c>
      <c r="M14" s="273">
        <v>1.0</v>
      </c>
      <c r="N14" s="273" t="s">
        <v>85</v>
      </c>
      <c r="O14" s="280" t="str">
        <f>IFERROR(VLOOKUP(K14,'US History Framework Standards'!$A:$E,2,false),"")</f>
        <v>Expansion, Nationalism, and Sectionalism (1800-1865)</v>
      </c>
      <c r="P14" s="280" t="str">
        <f>IFERROR(__xludf.DUMMYFUNCTION("IFERROR(Index(SPLIT(#REF!,"".""),1,1))"),"")</f>
        <v/>
      </c>
      <c r="Q14" s="280" t="str">
        <f>IFERROR(__xludf.DUMMYFUNCTION("IFERROR(Index(SPLIT(#REF!,"".""),1,2))"),"")</f>
        <v/>
      </c>
      <c r="R14" s="280" t="str">
        <f>IFERROR(VLOOKUP(#REF!,'US History Framework Standards'!$A:$E,3,false),"")</f>
        <v/>
      </c>
      <c r="S14" s="280" t="str">
        <f>IFERROR(__xludf.DUMMYFUNCTION("IFERROR(Index(SPLIT(#REF!,"".""),1,3)&amp;Index(SPLIT(#REF!,"".""),1,4))"),"")</f>
        <v/>
      </c>
      <c r="T14" s="280" t="str">
        <f>iferror(VLOOKUP(L14,'US History Framework Standards'!$A:$E,2,false),"")</f>
        <v>Resistance &amp; Abolitionism</v>
      </c>
      <c r="U14" s="276">
        <v>12.0</v>
      </c>
      <c r="V14" s="274" t="s">
        <v>247</v>
      </c>
      <c r="W14" s="274">
        <v>1201718.0</v>
      </c>
      <c r="X14" s="276"/>
      <c r="Y14" s="276"/>
      <c r="Z14" s="273" t="s">
        <v>248</v>
      </c>
      <c r="AA14" s="281"/>
      <c r="AB14" s="281" t="str">
        <f t="shared" si="1"/>
        <v>HXRG_1201718_Multiple Choice.jpg</v>
      </c>
    </row>
    <row r="15" ht="15.75" customHeight="1">
      <c r="A15" s="264" t="s">
        <v>243</v>
      </c>
      <c r="B15" s="265" t="s">
        <v>244</v>
      </c>
      <c r="C15" s="265">
        <v>13.0</v>
      </c>
      <c r="D15" s="266">
        <v>3.0</v>
      </c>
      <c r="E15" s="265"/>
      <c r="F15" s="267"/>
      <c r="G15" s="265"/>
      <c r="H15" s="268" t="s">
        <v>322</v>
      </c>
      <c r="I15" s="265" t="s">
        <v>82</v>
      </c>
      <c r="J15" s="265" t="s">
        <v>83</v>
      </c>
      <c r="K15" s="284" t="s">
        <v>258</v>
      </c>
      <c r="L15" s="284" t="s">
        <v>141</v>
      </c>
      <c r="M15" s="264">
        <v>12.0</v>
      </c>
      <c r="N15" s="264" t="s">
        <v>85</v>
      </c>
      <c r="O15" s="271" t="str">
        <f>IFERROR(VLOOKUP(K15,'US History Framework Standards'!$A:$E,2,false),"")</f>
        <v>Industrialization and Urbanization (1870-1920)</v>
      </c>
      <c r="P15" s="271" t="str">
        <f>IFERROR(__xludf.DUMMYFUNCTION("IFERROR(Index(SPLIT(#REF!,"".""),1,1))"),"")</f>
        <v/>
      </c>
      <c r="Q15" s="271" t="str">
        <f>IFERROR(__xludf.DUMMYFUNCTION("IFERROR(Index(SPLIT(#REF!,"".""),1,2))"),"")</f>
        <v/>
      </c>
      <c r="R15" s="271" t="str">
        <f>IFERROR(VLOOKUP(#REF!,'US History Framework Standards'!$A:$E,3,false),"")</f>
        <v/>
      </c>
      <c r="S15" s="271" t="str">
        <f>IFERROR(__xludf.DUMMYFUNCTION("IFERROR(Index(SPLIT(#REF!,"".""),1,3)&amp;Index(SPLIT(#REF!,"".""),1,4))"),"")</f>
        <v/>
      </c>
      <c r="T15" s="271" t="str">
        <f>iferror(VLOOKUP(L15,'US History Framework Standards'!$A:$E,2,false),"")</f>
        <v>Regulation vs Monopolies</v>
      </c>
      <c r="U15" s="267">
        <v>13.0</v>
      </c>
      <c r="V15" s="265" t="s">
        <v>247</v>
      </c>
      <c r="W15" s="265">
        <v>1201718.0</v>
      </c>
      <c r="X15" s="267"/>
      <c r="Y15" s="267"/>
      <c r="Z15" s="264" t="s">
        <v>248</v>
      </c>
      <c r="AA15" s="272"/>
      <c r="AB15" s="272" t="str">
        <f t="shared" si="1"/>
        <v>HXRG_1201718_Multiple Choice.jpg</v>
      </c>
    </row>
    <row r="16" ht="15.75" customHeight="1">
      <c r="A16" s="264" t="s">
        <v>243</v>
      </c>
      <c r="B16" s="265" t="s">
        <v>244</v>
      </c>
      <c r="C16" s="265">
        <v>14.0</v>
      </c>
      <c r="D16" s="266">
        <v>1.0</v>
      </c>
      <c r="E16" s="265"/>
      <c r="F16" s="267"/>
      <c r="G16" s="265"/>
      <c r="H16" s="268" t="s">
        <v>322</v>
      </c>
      <c r="I16" s="265" t="s">
        <v>82</v>
      </c>
      <c r="J16" s="265" t="s">
        <v>83</v>
      </c>
      <c r="K16" s="284" t="s">
        <v>258</v>
      </c>
      <c r="L16" s="284" t="s">
        <v>141</v>
      </c>
      <c r="M16" s="264">
        <v>17.0</v>
      </c>
      <c r="N16" s="264" t="s">
        <v>85</v>
      </c>
      <c r="O16" s="271" t="str">
        <f>IFERROR(VLOOKUP(K16,'US History Framework Standards'!$A:$E,2,false),"")</f>
        <v>Industrialization and Urbanization (1870-1920)</v>
      </c>
      <c r="P16" s="271" t="str">
        <f>IFERROR(__xludf.DUMMYFUNCTION("IFERROR(Index(SPLIT(#REF!,"".""),1,1))"),"")</f>
        <v/>
      </c>
      <c r="Q16" s="271" t="str">
        <f>IFERROR(__xludf.DUMMYFUNCTION("IFERROR(Index(SPLIT(#REF!,"".""),1,2))"),"")</f>
        <v/>
      </c>
      <c r="R16" s="271" t="str">
        <f>IFERROR(VLOOKUP(#REF!,'US History Framework Standards'!$A:$E,3,false),"")</f>
        <v/>
      </c>
      <c r="S16" s="271" t="str">
        <f>IFERROR(__xludf.DUMMYFUNCTION("IFERROR(Index(SPLIT(#REF!,"".""),1,3)&amp;Index(SPLIT(#REF!,"".""),1,4))"),"")</f>
        <v/>
      </c>
      <c r="T16" s="271" t="str">
        <f>iferror(VLOOKUP(L16,'US History Framework Standards'!$A:$E,2,false),"")</f>
        <v>Regulation vs Monopolies</v>
      </c>
      <c r="U16" s="267">
        <v>14.0</v>
      </c>
      <c r="V16" s="265" t="s">
        <v>247</v>
      </c>
      <c r="W16" s="265">
        <v>1201718.0</v>
      </c>
      <c r="X16" s="267"/>
      <c r="Y16" s="267"/>
      <c r="Z16" s="264" t="s">
        <v>248</v>
      </c>
      <c r="AA16" s="272"/>
      <c r="AB16" s="272" t="str">
        <f t="shared" si="1"/>
        <v>HXRG_1201718_Multiple Choice.jpg</v>
      </c>
    </row>
    <row r="17" ht="15.75" customHeight="1">
      <c r="A17" s="273" t="s">
        <v>243</v>
      </c>
      <c r="B17" s="274" t="s">
        <v>244</v>
      </c>
      <c r="C17" s="274">
        <v>15.0</v>
      </c>
      <c r="D17" s="275">
        <v>2.0</v>
      </c>
      <c r="E17" s="274"/>
      <c r="F17" s="276"/>
      <c r="G17" s="274"/>
      <c r="H17" s="285" t="s">
        <v>323</v>
      </c>
      <c r="I17" s="274" t="s">
        <v>86</v>
      </c>
      <c r="J17" s="274" t="s">
        <v>91</v>
      </c>
      <c r="K17" s="279" t="s">
        <v>258</v>
      </c>
      <c r="L17" s="279" t="s">
        <v>142</v>
      </c>
      <c r="M17" s="273">
        <v>13.0</v>
      </c>
      <c r="N17" s="273" t="s">
        <v>89</v>
      </c>
      <c r="O17" s="280" t="str">
        <f>IFERROR(VLOOKUP(K17,'US History Framework Standards'!$A:$E,2,false),"")</f>
        <v>Industrialization and Urbanization (1870-1920)</v>
      </c>
      <c r="P17" s="280" t="str">
        <f>IFERROR(__xludf.DUMMYFUNCTION("IFERROR(Index(SPLIT(#REF!,"".""),1,1))"),"")</f>
        <v/>
      </c>
      <c r="Q17" s="280" t="str">
        <f>IFERROR(__xludf.DUMMYFUNCTION("IFERROR(Index(SPLIT(#REF!,"".""),1,2))"),"")</f>
        <v/>
      </c>
      <c r="R17" s="280" t="str">
        <f>IFERROR(VLOOKUP(#REF!,'US History Framework Standards'!$A:$E,3,false),"")</f>
        <v/>
      </c>
      <c r="S17" s="280" t="str">
        <f>IFERROR(__xludf.DUMMYFUNCTION("IFERROR(Index(SPLIT(#REF!,"".""),1,3)&amp;Index(SPLIT(#REF!,"".""),1,4))"),"")</f>
        <v/>
      </c>
      <c r="T17" s="280" t="str">
        <f>iferror(VLOOKUP(L17,'US History Framework Standards'!$A:$E,2,false),"")</f>
        <v>Urbanization &amp; Immigration</v>
      </c>
      <c r="U17" s="276">
        <v>15.0</v>
      </c>
      <c r="V17" s="274" t="s">
        <v>247</v>
      </c>
      <c r="W17" s="274">
        <v>1201718.0</v>
      </c>
      <c r="X17" s="276"/>
      <c r="Y17" s="276"/>
      <c r="Z17" s="273" t="s">
        <v>248</v>
      </c>
      <c r="AA17" s="281"/>
      <c r="AB17" s="281" t="str">
        <f t="shared" si="1"/>
        <v>HXRG_1201718_Multiple Choice.jpg</v>
      </c>
    </row>
    <row r="18" ht="15.75" customHeight="1">
      <c r="A18" s="273" t="s">
        <v>243</v>
      </c>
      <c r="B18" s="274" t="s">
        <v>244</v>
      </c>
      <c r="C18" s="274">
        <v>16.0</v>
      </c>
      <c r="D18" s="275">
        <v>1.0</v>
      </c>
      <c r="E18" s="274"/>
      <c r="F18" s="276"/>
      <c r="G18" s="274"/>
      <c r="H18" s="285" t="s">
        <v>323</v>
      </c>
      <c r="I18" s="274" t="s">
        <v>86</v>
      </c>
      <c r="J18" s="274" t="s">
        <v>91</v>
      </c>
      <c r="K18" s="279" t="s">
        <v>258</v>
      </c>
      <c r="L18" s="279" t="s">
        <v>142</v>
      </c>
      <c r="M18" s="273">
        <v>7.0</v>
      </c>
      <c r="N18" s="273" t="s">
        <v>85</v>
      </c>
      <c r="O18" s="280" t="str">
        <f>IFERROR(VLOOKUP(K18,'US History Framework Standards'!$A:$E,2,false),"")</f>
        <v>Industrialization and Urbanization (1870-1920)</v>
      </c>
      <c r="P18" s="280" t="str">
        <f>IFERROR(__xludf.DUMMYFUNCTION("IFERROR(Index(SPLIT(#REF!,"".""),1,1))"),"")</f>
        <v/>
      </c>
      <c r="Q18" s="280" t="str">
        <f>IFERROR(__xludf.DUMMYFUNCTION("IFERROR(Index(SPLIT(#REF!,"".""),1,2))"),"")</f>
        <v/>
      </c>
      <c r="R18" s="280" t="str">
        <f>IFERROR(VLOOKUP(#REF!,'US History Framework Standards'!$A:$E,3,false),"")</f>
        <v/>
      </c>
      <c r="S18" s="280" t="str">
        <f>IFERROR(__xludf.DUMMYFUNCTION("IFERROR(Index(SPLIT(#REF!,"".""),1,3)&amp;Index(SPLIT(#REF!,"".""),1,4))"),"")</f>
        <v/>
      </c>
      <c r="T18" s="280" t="str">
        <f>iferror(VLOOKUP(L18,'US History Framework Standards'!$A:$E,2,false),"")</f>
        <v>Urbanization &amp; Immigration</v>
      </c>
      <c r="U18" s="276">
        <v>16.0</v>
      </c>
      <c r="V18" s="274" t="s">
        <v>247</v>
      </c>
      <c r="W18" s="274">
        <v>1201718.0</v>
      </c>
      <c r="X18" s="276"/>
      <c r="Y18" s="276"/>
      <c r="Z18" s="273" t="s">
        <v>248</v>
      </c>
      <c r="AA18" s="281"/>
      <c r="AB18" s="281" t="str">
        <f t="shared" si="1"/>
        <v>HXRG_1201718_Multiple Choice.jpg</v>
      </c>
    </row>
    <row r="19" ht="15.75" customHeight="1">
      <c r="A19" s="264" t="s">
        <v>243</v>
      </c>
      <c r="B19" s="265" t="s">
        <v>244</v>
      </c>
      <c r="C19" s="265">
        <v>17.0</v>
      </c>
      <c r="D19" s="266">
        <v>4.0</v>
      </c>
      <c r="E19" s="265"/>
      <c r="F19" s="267"/>
      <c r="G19" s="265"/>
      <c r="H19" s="283" t="s">
        <v>324</v>
      </c>
      <c r="I19" s="265" t="s">
        <v>82</v>
      </c>
      <c r="J19" s="265" t="s">
        <v>87</v>
      </c>
      <c r="K19" s="284" t="s">
        <v>261</v>
      </c>
      <c r="L19" s="284" t="s">
        <v>154</v>
      </c>
      <c r="M19" s="264">
        <v>1.0</v>
      </c>
      <c r="N19" s="264" t="s">
        <v>85</v>
      </c>
      <c r="O19" s="271" t="str">
        <f>IFERROR(VLOOKUP(K19,'US History Framework Standards'!$A:$E,2,false),"")</f>
        <v>Rise of American Power (1890-1920)</v>
      </c>
      <c r="P19" s="271" t="str">
        <f>IFERROR(__xludf.DUMMYFUNCTION("IFERROR(Index(SPLIT(#REF!,"".""),1,1))"),"")</f>
        <v/>
      </c>
      <c r="Q19" s="271" t="str">
        <f>IFERROR(__xludf.DUMMYFUNCTION("IFERROR(Index(SPLIT(#REF!,"".""),1,2))"),"")</f>
        <v/>
      </c>
      <c r="R19" s="271" t="str">
        <f>IFERROR(VLOOKUP(#REF!,'US History Framework Standards'!$A:$E,3,false),"")</f>
        <v/>
      </c>
      <c r="S19" s="271" t="str">
        <f>IFERROR(__xludf.DUMMYFUNCTION("IFERROR(Index(SPLIT(#REF!,"".""),1,3)&amp;Index(SPLIT(#REF!,"".""),1,4))"),"")</f>
        <v/>
      </c>
      <c r="T19" s="271" t="str">
        <f>iferror(VLOOKUP(L19,'US History Framework Standards'!$A:$E,2,false),"")</f>
        <v>Attempts at Peace after WWI</v>
      </c>
      <c r="U19" s="267">
        <v>17.0</v>
      </c>
      <c r="V19" s="265" t="s">
        <v>247</v>
      </c>
      <c r="W19" s="265">
        <v>1201718.0</v>
      </c>
      <c r="X19" s="267"/>
      <c r="Y19" s="267"/>
      <c r="Z19" s="264" t="s">
        <v>248</v>
      </c>
      <c r="AA19" s="272"/>
      <c r="AB19" s="272" t="str">
        <f t="shared" si="1"/>
        <v>HXRG_1201718_Multiple Choice.jpg</v>
      </c>
    </row>
    <row r="20" ht="15.75" customHeight="1">
      <c r="A20" s="264" t="s">
        <v>243</v>
      </c>
      <c r="B20" s="265" t="s">
        <v>244</v>
      </c>
      <c r="C20" s="265">
        <v>18.0</v>
      </c>
      <c r="D20" s="266">
        <v>2.0</v>
      </c>
      <c r="E20" s="265"/>
      <c r="F20" s="267"/>
      <c r="G20" s="265"/>
      <c r="H20" s="283" t="s">
        <v>324</v>
      </c>
      <c r="I20" s="265" t="s">
        <v>82</v>
      </c>
      <c r="J20" s="265" t="s">
        <v>87</v>
      </c>
      <c r="K20" s="284" t="s">
        <v>261</v>
      </c>
      <c r="L20" s="284" t="s">
        <v>154</v>
      </c>
      <c r="M20" s="264">
        <v>7.0</v>
      </c>
      <c r="N20" s="264" t="s">
        <v>85</v>
      </c>
      <c r="O20" s="271" t="str">
        <f>IFERROR(VLOOKUP(K20,'US History Framework Standards'!$A:$E,2,false),"")</f>
        <v>Rise of American Power (1890-1920)</v>
      </c>
      <c r="P20" s="271" t="str">
        <f>IFERROR(__xludf.DUMMYFUNCTION("IFERROR(Index(SPLIT(#REF!,"".""),1,1))"),"")</f>
        <v/>
      </c>
      <c r="Q20" s="271" t="str">
        <f>IFERROR(__xludf.DUMMYFUNCTION("IFERROR(Index(SPLIT(#REF!,"".""),1,2))"),"")</f>
        <v/>
      </c>
      <c r="R20" s="271" t="str">
        <f>IFERROR(VLOOKUP(#REF!,'US History Framework Standards'!$A:$E,3,false),"")</f>
        <v/>
      </c>
      <c r="S20" s="271" t="str">
        <f>IFERROR(__xludf.DUMMYFUNCTION("IFERROR(Index(SPLIT(#REF!,"".""),1,3)&amp;Index(SPLIT(#REF!,"".""),1,4))"),"")</f>
        <v/>
      </c>
      <c r="T20" s="271" t="str">
        <f>iferror(VLOOKUP(L20,'US History Framework Standards'!$A:$E,2,false),"")</f>
        <v>Attempts at Peace after WWI</v>
      </c>
      <c r="U20" s="267">
        <v>18.0</v>
      </c>
      <c r="V20" s="265" t="s">
        <v>247</v>
      </c>
      <c r="W20" s="265">
        <v>1201718.0</v>
      </c>
      <c r="X20" s="267"/>
      <c r="Y20" s="267"/>
      <c r="Z20" s="264" t="s">
        <v>248</v>
      </c>
      <c r="AA20" s="272"/>
      <c r="AB20" s="272" t="str">
        <f t="shared" si="1"/>
        <v>HXRG_1201718_Multiple Choice.jpg</v>
      </c>
    </row>
    <row r="21" ht="15.75" customHeight="1">
      <c r="A21" s="273" t="s">
        <v>243</v>
      </c>
      <c r="B21" s="274" t="s">
        <v>244</v>
      </c>
      <c r="C21" s="274">
        <v>19.0</v>
      </c>
      <c r="D21" s="275">
        <v>1.0</v>
      </c>
      <c r="E21" s="274"/>
      <c r="F21" s="276"/>
      <c r="G21" s="274"/>
      <c r="H21" s="285" t="s">
        <v>325</v>
      </c>
      <c r="I21" s="274" t="s">
        <v>86</v>
      </c>
      <c r="J21" s="274" t="s">
        <v>83</v>
      </c>
      <c r="K21" s="279" t="s">
        <v>264</v>
      </c>
      <c r="L21" s="279" t="s">
        <v>171</v>
      </c>
      <c r="M21" s="273">
        <v>1.0</v>
      </c>
      <c r="N21" s="273" t="s">
        <v>89</v>
      </c>
      <c r="O21" s="280" t="str">
        <f>IFERROR(VLOOKUP(K21,'US History Framework Standards'!$A:$E,2,false),"")</f>
        <v>Prosperity and Depression (1920-1939)</v>
      </c>
      <c r="P21" s="280" t="str">
        <f>IFERROR(__xludf.DUMMYFUNCTION("IFERROR(Index(SPLIT(#REF!,"".""),1,1))"),"")</f>
        <v/>
      </c>
      <c r="Q21" s="280" t="str">
        <f>IFERROR(__xludf.DUMMYFUNCTION("IFERROR(Index(SPLIT(#REF!,"".""),1,2))"),"")</f>
        <v/>
      </c>
      <c r="R21" s="280" t="str">
        <f>IFERROR(VLOOKUP(#REF!,'US History Framework Standards'!$A:$E,3,false),"")</f>
        <v/>
      </c>
      <c r="S21" s="280" t="str">
        <f>IFERROR(__xludf.DUMMYFUNCTION("IFERROR(Index(SPLIT(#REF!,"".""),1,3)&amp;Index(SPLIT(#REF!,"".""),1,4))"),"")</f>
        <v/>
      </c>
      <c r="T21" s="280" t="str">
        <f>iferror(VLOOKUP(L21,'US History Framework Standards'!$A:$E,2,false),"")</f>
        <v>New Deal</v>
      </c>
      <c r="U21" s="276">
        <v>19.0</v>
      </c>
      <c r="V21" s="274" t="s">
        <v>247</v>
      </c>
      <c r="W21" s="274">
        <v>1201718.0</v>
      </c>
      <c r="X21" s="276"/>
      <c r="Y21" s="276"/>
      <c r="Z21" s="273" t="s">
        <v>248</v>
      </c>
      <c r="AA21" s="281"/>
      <c r="AB21" s="281" t="str">
        <f t="shared" si="1"/>
        <v>HXRG_1201718_Multiple Choice.jpg</v>
      </c>
    </row>
    <row r="22" ht="15.75" customHeight="1">
      <c r="A22" s="273" t="s">
        <v>243</v>
      </c>
      <c r="B22" s="274" t="s">
        <v>244</v>
      </c>
      <c r="C22" s="274">
        <v>20.0</v>
      </c>
      <c r="D22" s="275">
        <v>3.0</v>
      </c>
      <c r="E22" s="274"/>
      <c r="F22" s="276"/>
      <c r="G22" s="274"/>
      <c r="H22" s="285" t="s">
        <v>325</v>
      </c>
      <c r="I22" s="274" t="s">
        <v>86</v>
      </c>
      <c r="J22" s="274" t="s">
        <v>83</v>
      </c>
      <c r="K22" s="279" t="s">
        <v>264</v>
      </c>
      <c r="L22" s="279" t="s">
        <v>171</v>
      </c>
      <c r="M22" s="273">
        <v>8.0</v>
      </c>
      <c r="N22" s="273" t="s">
        <v>85</v>
      </c>
      <c r="O22" s="280" t="str">
        <f>IFERROR(VLOOKUP(K22,'US History Framework Standards'!$A:$E,2,false),"")</f>
        <v>Prosperity and Depression (1920-1939)</v>
      </c>
      <c r="P22" s="280" t="str">
        <f>IFERROR(__xludf.DUMMYFUNCTION("IFERROR(Index(SPLIT(#REF!,"".""),1,1))"),"")</f>
        <v/>
      </c>
      <c r="Q22" s="280" t="str">
        <f>IFERROR(__xludf.DUMMYFUNCTION("IFERROR(Index(SPLIT(#REF!,"".""),1,2))"),"")</f>
        <v/>
      </c>
      <c r="R22" s="280" t="str">
        <f>IFERROR(VLOOKUP(#REF!,'US History Framework Standards'!$A:$E,3,false),"")</f>
        <v/>
      </c>
      <c r="S22" s="280" t="str">
        <f>IFERROR(__xludf.DUMMYFUNCTION("IFERROR(Index(SPLIT(#REF!,"".""),1,3)&amp;Index(SPLIT(#REF!,"".""),1,4))"),"")</f>
        <v/>
      </c>
      <c r="T22" s="280" t="str">
        <f>iferror(VLOOKUP(L22,'US History Framework Standards'!$A:$E,2,false),"")</f>
        <v>New Deal</v>
      </c>
      <c r="U22" s="276">
        <v>20.0</v>
      </c>
      <c r="V22" s="274" t="s">
        <v>247</v>
      </c>
      <c r="W22" s="274">
        <v>1201718.0</v>
      </c>
      <c r="X22" s="276"/>
      <c r="Y22" s="276"/>
      <c r="Z22" s="273" t="s">
        <v>248</v>
      </c>
      <c r="AA22" s="281"/>
      <c r="AB22" s="281" t="str">
        <f t="shared" si="1"/>
        <v>HXRG_1201718_Multiple Choice.jpg</v>
      </c>
    </row>
    <row r="23" ht="15.75" customHeight="1">
      <c r="A23" s="264" t="s">
        <v>243</v>
      </c>
      <c r="B23" s="265" t="s">
        <v>244</v>
      </c>
      <c r="C23" s="265">
        <v>21.0</v>
      </c>
      <c r="D23" s="266">
        <v>4.0</v>
      </c>
      <c r="E23" s="265"/>
      <c r="F23" s="267"/>
      <c r="G23" s="265"/>
      <c r="H23" s="286" t="s">
        <v>326</v>
      </c>
      <c r="I23" s="265" t="s">
        <v>82</v>
      </c>
      <c r="J23" s="265" t="s">
        <v>83</v>
      </c>
      <c r="K23" s="284" t="s">
        <v>268</v>
      </c>
      <c r="L23" s="284" t="s">
        <v>184</v>
      </c>
      <c r="M23" s="264">
        <v>9.0</v>
      </c>
      <c r="N23" s="264" t="s">
        <v>85</v>
      </c>
      <c r="O23" s="271" t="str">
        <f>IFERROR(VLOOKUP(K23,'US History Framework Standards'!$A:$E,2,false),"")</f>
        <v>Cold War (1945-1990)</v>
      </c>
      <c r="P23" s="271" t="str">
        <f>IFERROR(__xludf.DUMMYFUNCTION("IFERROR(Index(SPLIT(#REF!,"".""),1,1))"),"")</f>
        <v/>
      </c>
      <c r="Q23" s="271" t="str">
        <f>IFERROR(__xludf.DUMMYFUNCTION("IFERROR(Index(SPLIT(#REF!,"".""),1,2))"),"")</f>
        <v/>
      </c>
      <c r="R23" s="271" t="str">
        <f>IFERROR(VLOOKUP(#REF!,'US History Framework Standards'!$A:$E,3,false),"")</f>
        <v/>
      </c>
      <c r="S23" s="271" t="str">
        <f>IFERROR(__xludf.DUMMYFUNCTION("IFERROR(Index(SPLIT(#REF!,"".""),1,3)&amp;Index(SPLIT(#REF!,"".""),1,4))"),"")</f>
        <v/>
      </c>
      <c r="T23" s="271" t="str">
        <f>iferror(VLOOKUP(L23,'US History Framework Standards'!$A:$E,2,false),"")</f>
        <v>Containment Policies</v>
      </c>
      <c r="U23" s="267">
        <v>21.0</v>
      </c>
      <c r="V23" s="265" t="s">
        <v>247</v>
      </c>
      <c r="W23" s="265">
        <v>1201718.0</v>
      </c>
      <c r="X23" s="267"/>
      <c r="Y23" s="267"/>
      <c r="Z23" s="264" t="s">
        <v>248</v>
      </c>
      <c r="AA23" s="272"/>
      <c r="AB23" s="272" t="str">
        <f t="shared" si="1"/>
        <v>HXRG_1201718_Multiple Choice.jpg</v>
      </c>
    </row>
    <row r="24" ht="15.75" customHeight="1">
      <c r="A24" s="264" t="s">
        <v>243</v>
      </c>
      <c r="B24" s="265" t="s">
        <v>244</v>
      </c>
      <c r="C24" s="265">
        <v>22.0</v>
      </c>
      <c r="D24" s="266">
        <v>1.0</v>
      </c>
      <c r="E24" s="265"/>
      <c r="F24" s="267"/>
      <c r="G24" s="265"/>
      <c r="H24" s="286" t="s">
        <v>326</v>
      </c>
      <c r="I24" s="265" t="s">
        <v>82</v>
      </c>
      <c r="J24" s="265" t="s">
        <v>83</v>
      </c>
      <c r="K24" s="284" t="s">
        <v>268</v>
      </c>
      <c r="L24" s="284" t="s">
        <v>184</v>
      </c>
      <c r="M24" s="264">
        <v>7.0</v>
      </c>
      <c r="N24" s="264" t="s">
        <v>85</v>
      </c>
      <c r="O24" s="271" t="str">
        <f>IFERROR(VLOOKUP(K24,'US History Framework Standards'!$A:$E,2,false),"")</f>
        <v>Cold War (1945-1990)</v>
      </c>
      <c r="P24" s="271" t="str">
        <f>IFERROR(__xludf.DUMMYFUNCTION("IFERROR(Index(SPLIT(#REF!,"".""),1,1))"),"")</f>
        <v/>
      </c>
      <c r="Q24" s="271" t="str">
        <f>IFERROR(__xludf.DUMMYFUNCTION("IFERROR(Index(SPLIT(#REF!,"".""),1,2))"),"")</f>
        <v/>
      </c>
      <c r="R24" s="271" t="str">
        <f>IFERROR(VLOOKUP(#REF!,'US History Framework Standards'!$A:$E,3,false),"")</f>
        <v/>
      </c>
      <c r="S24" s="271" t="str">
        <f>IFERROR(__xludf.DUMMYFUNCTION("IFERROR(Index(SPLIT(#REF!,"".""),1,3)&amp;Index(SPLIT(#REF!,"".""),1,4))"),"")</f>
        <v/>
      </c>
      <c r="T24" s="271" t="str">
        <f>iferror(VLOOKUP(L24,'US History Framework Standards'!$A:$E,2,false),"")</f>
        <v>Containment Policies</v>
      </c>
      <c r="U24" s="267">
        <v>22.0</v>
      </c>
      <c r="V24" s="265" t="s">
        <v>247</v>
      </c>
      <c r="W24" s="265">
        <v>1201718.0</v>
      </c>
      <c r="X24" s="267"/>
      <c r="Y24" s="267"/>
      <c r="Z24" s="264" t="s">
        <v>248</v>
      </c>
      <c r="AA24" s="272"/>
      <c r="AB24" s="272" t="str">
        <f t="shared" si="1"/>
        <v>HXRG_1201718_Multiple Choice.jpg</v>
      </c>
    </row>
    <row r="25" ht="15.75" customHeight="1">
      <c r="A25" s="273" t="s">
        <v>243</v>
      </c>
      <c r="B25" s="274" t="s">
        <v>244</v>
      </c>
      <c r="C25" s="274">
        <v>23.0</v>
      </c>
      <c r="D25" s="275">
        <v>3.0</v>
      </c>
      <c r="E25" s="274"/>
      <c r="F25" s="276"/>
      <c r="G25" s="274"/>
      <c r="H25" s="282" t="s">
        <v>327</v>
      </c>
      <c r="I25" s="274" t="s">
        <v>82</v>
      </c>
      <c r="J25" s="274" t="s">
        <v>83</v>
      </c>
      <c r="K25" s="279" t="s">
        <v>268</v>
      </c>
      <c r="L25" s="279" t="s">
        <v>185</v>
      </c>
      <c r="M25" s="273">
        <v>3.0</v>
      </c>
      <c r="N25" s="273" t="s">
        <v>89</v>
      </c>
      <c r="O25" s="280" t="str">
        <f>IFERROR(VLOOKUP(K25,'US History Framework Standards'!$A:$E,2,false),"")</f>
        <v>Cold War (1945-1990)</v>
      </c>
      <c r="P25" s="280" t="str">
        <f>IFERROR(__xludf.DUMMYFUNCTION("IFERROR(Index(SPLIT(#REF!,"".""),1,1))"),"")</f>
        <v/>
      </c>
      <c r="Q25" s="280" t="str">
        <f>IFERROR(__xludf.DUMMYFUNCTION("IFERROR(Index(SPLIT(#REF!,"".""),1,2))"),"")</f>
        <v/>
      </c>
      <c r="R25" s="280" t="str">
        <f>IFERROR(VLOOKUP(#REF!,'US History Framework Standards'!$A:$E,3,false),"")</f>
        <v/>
      </c>
      <c r="S25" s="280" t="str">
        <f>IFERROR(__xludf.DUMMYFUNCTION("IFERROR(Index(SPLIT(#REF!,"".""),1,3)&amp;Index(SPLIT(#REF!,"".""),1,4))"),"")</f>
        <v/>
      </c>
      <c r="T25" s="280" t="str">
        <f>iferror(VLOOKUP(L25,'US History Framework Standards'!$A:$E,2,false),"")</f>
        <v>McCarthyism</v>
      </c>
      <c r="U25" s="276">
        <v>23.0</v>
      </c>
      <c r="V25" s="274" t="s">
        <v>247</v>
      </c>
      <c r="W25" s="274">
        <v>1201718.0</v>
      </c>
      <c r="X25" s="276"/>
      <c r="Y25" s="276"/>
      <c r="Z25" s="273" t="s">
        <v>248</v>
      </c>
      <c r="AA25" s="281"/>
      <c r="AB25" s="281" t="str">
        <f t="shared" si="1"/>
        <v>HXRG_1201718_Multiple Choice.jpg</v>
      </c>
    </row>
    <row r="26" ht="15.75" customHeight="1">
      <c r="A26" s="273" t="s">
        <v>243</v>
      </c>
      <c r="B26" s="274" t="s">
        <v>244</v>
      </c>
      <c r="C26" s="274">
        <v>24.0</v>
      </c>
      <c r="D26" s="275">
        <v>4.0</v>
      </c>
      <c r="E26" s="274"/>
      <c r="F26" s="276"/>
      <c r="G26" s="274"/>
      <c r="H26" s="282" t="s">
        <v>327</v>
      </c>
      <c r="I26" s="274" t="s">
        <v>82</v>
      </c>
      <c r="J26" s="274" t="s">
        <v>83</v>
      </c>
      <c r="K26" s="279" t="s">
        <v>268</v>
      </c>
      <c r="L26" s="279" t="s">
        <v>185</v>
      </c>
      <c r="M26" s="273">
        <v>7.0</v>
      </c>
      <c r="N26" s="273" t="s">
        <v>85</v>
      </c>
      <c r="O26" s="280" t="str">
        <f>IFERROR(VLOOKUP(K26,'US History Framework Standards'!$A:$E,2,false),"")</f>
        <v>Cold War (1945-1990)</v>
      </c>
      <c r="P26" s="280" t="str">
        <f>IFERROR(__xludf.DUMMYFUNCTION("IFERROR(Index(SPLIT(#REF!,"".""),1,1))"),"")</f>
        <v/>
      </c>
      <c r="Q26" s="280" t="str">
        <f>IFERROR(__xludf.DUMMYFUNCTION("IFERROR(Index(SPLIT(#REF!,"".""),1,2))"),"")</f>
        <v/>
      </c>
      <c r="R26" s="280" t="str">
        <f>IFERROR(VLOOKUP(#REF!,'US History Framework Standards'!$A:$E,3,false),"")</f>
        <v/>
      </c>
      <c r="S26" s="280" t="str">
        <f>IFERROR(__xludf.DUMMYFUNCTION("IFERROR(Index(SPLIT(#REF!,"".""),1,3)&amp;Index(SPLIT(#REF!,"".""),1,4))"),"")</f>
        <v/>
      </c>
      <c r="T26" s="280" t="str">
        <f>iferror(VLOOKUP(L26,'US History Framework Standards'!$A:$E,2,false),"")</f>
        <v>McCarthyism</v>
      </c>
      <c r="U26" s="276">
        <v>24.0</v>
      </c>
      <c r="V26" s="274" t="s">
        <v>247</v>
      </c>
      <c r="W26" s="274">
        <v>1201718.0</v>
      </c>
      <c r="X26" s="276"/>
      <c r="Y26" s="276"/>
      <c r="Z26" s="273" t="s">
        <v>248</v>
      </c>
      <c r="AA26" s="281"/>
      <c r="AB26" s="281" t="str">
        <f t="shared" si="1"/>
        <v>HXRG_1201718_Multiple Choice.jpg</v>
      </c>
    </row>
    <row r="27" ht="15.75" customHeight="1">
      <c r="A27" s="264" t="s">
        <v>243</v>
      </c>
      <c r="B27" s="265" t="s">
        <v>244</v>
      </c>
      <c r="C27" s="265">
        <v>25.0</v>
      </c>
      <c r="D27" s="266">
        <v>2.0</v>
      </c>
      <c r="E27" s="265"/>
      <c r="F27" s="267"/>
      <c r="G27" s="265"/>
      <c r="H27" s="283" t="s">
        <v>328</v>
      </c>
      <c r="I27" s="265" t="s">
        <v>82</v>
      </c>
      <c r="J27" s="265" t="s">
        <v>83</v>
      </c>
      <c r="K27" s="284" t="s">
        <v>102</v>
      </c>
      <c r="L27" s="284" t="s">
        <v>197</v>
      </c>
      <c r="M27" s="264">
        <v>8.0</v>
      </c>
      <c r="N27" s="264" t="s">
        <v>85</v>
      </c>
      <c r="O27" s="271" t="str">
        <f>IFERROR(VLOOKUP(K27,'US History Framework Standards'!$A:$E,2,false),"")</f>
        <v>Social and Economic Change/ Domestic Issues (1945-present)</v>
      </c>
      <c r="P27" s="271" t="str">
        <f>IFERROR(__xludf.DUMMYFUNCTION("IFERROR(Index(SPLIT(#REF!,"".""),1,1))"),"")</f>
        <v/>
      </c>
      <c r="Q27" s="271" t="str">
        <f>IFERROR(__xludf.DUMMYFUNCTION("IFERROR(Index(SPLIT(#REF!,"".""),1,2))"),"")</f>
        <v/>
      </c>
      <c r="R27" s="271" t="str">
        <f>IFERROR(VLOOKUP(#REF!,'US History Framework Standards'!$A:$E,3,false),"")</f>
        <v/>
      </c>
      <c r="S27" s="271" t="str">
        <f>IFERROR(__xludf.DUMMYFUNCTION("IFERROR(Index(SPLIT(#REF!,"".""),1,3)&amp;Index(SPLIT(#REF!,"".""),1,4))"),"")</f>
        <v/>
      </c>
      <c r="T27" s="271" t="str">
        <f>iferror(VLOOKUP(L27,'US History Framework Standards'!$A:$E,2,false),"")</f>
        <v>Civil Rights Judicial &amp; Legislative Achievements</v>
      </c>
      <c r="U27" s="267">
        <v>25.0</v>
      </c>
      <c r="V27" s="265" t="s">
        <v>247</v>
      </c>
      <c r="W27" s="265">
        <v>1201718.0</v>
      </c>
      <c r="X27" s="267"/>
      <c r="Y27" s="267"/>
      <c r="Z27" s="264" t="s">
        <v>248</v>
      </c>
      <c r="AA27" s="272"/>
      <c r="AB27" s="272" t="str">
        <f t="shared" si="1"/>
        <v>HXRG_1201718_Multiple Choice.jpg</v>
      </c>
    </row>
    <row r="28" ht="15.75" customHeight="1">
      <c r="A28" s="264" t="s">
        <v>243</v>
      </c>
      <c r="B28" s="265" t="s">
        <v>244</v>
      </c>
      <c r="C28" s="265">
        <v>26.0</v>
      </c>
      <c r="D28" s="266">
        <v>1.0</v>
      </c>
      <c r="E28" s="265"/>
      <c r="F28" s="267"/>
      <c r="G28" s="265"/>
      <c r="H28" s="283" t="s">
        <v>328</v>
      </c>
      <c r="I28" s="265" t="s">
        <v>82</v>
      </c>
      <c r="J28" s="265" t="s">
        <v>83</v>
      </c>
      <c r="K28" s="284" t="s">
        <v>102</v>
      </c>
      <c r="L28" s="284" t="s">
        <v>197</v>
      </c>
      <c r="M28" s="264">
        <v>5.0</v>
      </c>
      <c r="N28" s="264" t="s">
        <v>85</v>
      </c>
      <c r="O28" s="271" t="str">
        <f>IFERROR(VLOOKUP(K28,'US History Framework Standards'!$A:$E,2,false),"")</f>
        <v>Social and Economic Change/ Domestic Issues (1945-present)</v>
      </c>
      <c r="P28" s="271" t="str">
        <f>IFERROR(__xludf.DUMMYFUNCTION("IFERROR(Index(SPLIT(#REF!,"".""),1,1))"),"")</f>
        <v/>
      </c>
      <c r="Q28" s="271" t="str">
        <f>IFERROR(__xludf.DUMMYFUNCTION("IFERROR(Index(SPLIT(#REF!,"".""),1,2))"),"")</f>
        <v/>
      </c>
      <c r="R28" s="271" t="str">
        <f>IFERROR(VLOOKUP(#REF!,'US History Framework Standards'!$A:$E,3,false),"")</f>
        <v/>
      </c>
      <c r="S28" s="271" t="str">
        <f>IFERROR(__xludf.DUMMYFUNCTION("IFERROR(Index(SPLIT(#REF!,"".""),1,3)&amp;Index(SPLIT(#REF!,"".""),1,4))"),"")</f>
        <v/>
      </c>
      <c r="T28" s="271" t="str">
        <f>iferror(VLOOKUP(L28,'US History Framework Standards'!$A:$E,2,false),"")</f>
        <v>Civil Rights Judicial &amp; Legislative Achievements</v>
      </c>
      <c r="U28" s="267">
        <v>26.0</v>
      </c>
      <c r="V28" s="265" t="s">
        <v>247</v>
      </c>
      <c r="W28" s="265">
        <v>1201718.0</v>
      </c>
      <c r="X28" s="267"/>
      <c r="Y28" s="267"/>
      <c r="Z28" s="264" t="s">
        <v>248</v>
      </c>
      <c r="AA28" s="272"/>
      <c r="AB28" s="272" t="str">
        <f t="shared" si="1"/>
        <v>HXRG_1201718_Multiple Choice.jpg</v>
      </c>
    </row>
    <row r="29" ht="15.75" customHeight="1">
      <c r="A29" s="273" t="s">
        <v>243</v>
      </c>
      <c r="B29" s="274" t="s">
        <v>244</v>
      </c>
      <c r="C29" s="274">
        <v>27.0</v>
      </c>
      <c r="D29" s="275">
        <v>2.0</v>
      </c>
      <c r="E29" s="274"/>
      <c r="F29" s="276"/>
      <c r="G29" s="274"/>
      <c r="H29" s="282" t="s">
        <v>329</v>
      </c>
      <c r="I29" s="274" t="s">
        <v>82</v>
      </c>
      <c r="J29" s="274" t="s">
        <v>87</v>
      </c>
      <c r="K29" s="279" t="s">
        <v>104</v>
      </c>
      <c r="L29" s="279" t="s">
        <v>206</v>
      </c>
      <c r="M29" s="273">
        <v>7.0</v>
      </c>
      <c r="N29" s="273" t="s">
        <v>85</v>
      </c>
      <c r="O29" s="280" t="str">
        <f>IFERROR(VLOOKUP(K29,'US History Framework Standards'!$A:$E,2,false),"")</f>
        <v>United States in a Changing World (1990-present)</v>
      </c>
      <c r="P29" s="280" t="str">
        <f>IFERROR(__xludf.DUMMYFUNCTION("IFERROR(Index(SPLIT(#REF!,"".""),1,1))"),"")</f>
        <v/>
      </c>
      <c r="Q29" s="280" t="str">
        <f>IFERROR(__xludf.DUMMYFUNCTION("IFERROR(Index(SPLIT(#REF!,"".""),1,2))"),"")</f>
        <v/>
      </c>
      <c r="R29" s="280" t="str">
        <f>IFERROR(VLOOKUP(#REF!,'US History Framework Standards'!$A:$E,3,false),"")</f>
        <v/>
      </c>
      <c r="S29" s="280" t="str">
        <f>IFERROR(__xludf.DUMMYFUNCTION("IFERROR(Index(SPLIT(#REF!,"".""),1,3)&amp;Index(SPLIT(#REF!,"".""),1,4))"),"")</f>
        <v/>
      </c>
      <c r="T29" s="280" t="str">
        <f>iferror(VLOOKUP(L29,'US History Framework Standards'!$A:$E,2,false),"")</f>
        <v>9-11, War on Terror, &amp; PATRIOT Act</v>
      </c>
      <c r="U29" s="276">
        <v>27.0</v>
      </c>
      <c r="V29" s="274" t="s">
        <v>247</v>
      </c>
      <c r="W29" s="274">
        <v>1201718.0</v>
      </c>
      <c r="X29" s="276"/>
      <c r="Y29" s="276"/>
      <c r="Z29" s="273" t="s">
        <v>248</v>
      </c>
      <c r="AA29" s="281"/>
      <c r="AB29" s="281" t="str">
        <f t="shared" si="1"/>
        <v>HXRG_1201718_Multiple Choice.jpg</v>
      </c>
    </row>
    <row r="30" ht="15.75" customHeight="1">
      <c r="A30" s="303" t="s">
        <v>243</v>
      </c>
      <c r="B30" s="304" t="s">
        <v>244</v>
      </c>
      <c r="C30" s="304">
        <v>28.0</v>
      </c>
      <c r="D30" s="319">
        <v>3.0</v>
      </c>
      <c r="E30" s="304"/>
      <c r="F30" s="305"/>
      <c r="G30" s="304"/>
      <c r="H30" s="282" t="s">
        <v>329</v>
      </c>
      <c r="I30" s="304" t="s">
        <v>82</v>
      </c>
      <c r="J30" s="304" t="s">
        <v>87</v>
      </c>
      <c r="K30" s="308" t="s">
        <v>104</v>
      </c>
      <c r="L30" s="308" t="s">
        <v>206</v>
      </c>
      <c r="M30" s="303">
        <v>8.0</v>
      </c>
      <c r="N30" s="303" t="s">
        <v>85</v>
      </c>
      <c r="O30" s="309" t="str">
        <f>IFERROR(VLOOKUP(K30,'US History Framework Standards'!$A:$E,2,false),"")</f>
        <v>United States in a Changing World (1990-present)</v>
      </c>
      <c r="P30" s="309" t="str">
        <f>IFERROR(__xludf.DUMMYFUNCTION("IFERROR(Index(SPLIT(#REF!,"".""),1,1))"),"")</f>
        <v/>
      </c>
      <c r="Q30" s="309" t="str">
        <f>IFERROR(__xludf.DUMMYFUNCTION("IFERROR(Index(SPLIT(#REF!,"".""),1,2))"),"")</f>
        <v/>
      </c>
      <c r="R30" s="309" t="str">
        <f>IFERROR(VLOOKUP(#REF!,'US History Framework Standards'!$A:$E,3,false),"")</f>
        <v/>
      </c>
      <c r="S30" s="309" t="str">
        <f>IFERROR(__xludf.DUMMYFUNCTION("IFERROR(Index(SPLIT(#REF!,"".""),1,3)&amp;Index(SPLIT(#REF!,"".""),1,4))"),"")</f>
        <v/>
      </c>
      <c r="T30" s="280" t="str">
        <f>iferror(VLOOKUP(L30,'US History Framework Standards'!$A:$E,2,false),"")</f>
        <v>9-11, War on Terror, &amp; PATRIOT Act</v>
      </c>
      <c r="U30" s="305">
        <v>28.0</v>
      </c>
      <c r="V30" s="304" t="s">
        <v>247</v>
      </c>
      <c r="W30" s="304">
        <v>1201718.0</v>
      </c>
      <c r="X30" s="305"/>
      <c r="Y30" s="305"/>
      <c r="Z30" s="303" t="s">
        <v>248</v>
      </c>
      <c r="AA30" s="310"/>
      <c r="AB30" s="310" t="str">
        <f t="shared" si="1"/>
        <v>HXRG_1201718_Multiple Choice.jpg</v>
      </c>
    </row>
    <row r="31" ht="15.75" customHeight="1">
      <c r="A31" s="295" t="s">
        <v>271</v>
      </c>
      <c r="B31" s="296" t="s">
        <v>272</v>
      </c>
      <c r="C31" s="296" t="s">
        <v>273</v>
      </c>
      <c r="D31" s="297"/>
      <c r="E31" s="296"/>
      <c r="F31" s="298"/>
      <c r="G31" s="296"/>
      <c r="H31" s="299" t="s">
        <v>330</v>
      </c>
      <c r="I31" s="296" t="s">
        <v>82</v>
      </c>
      <c r="J31" s="296" t="s">
        <v>83</v>
      </c>
      <c r="K31" s="284" t="s">
        <v>102</v>
      </c>
      <c r="L31" s="284" t="s">
        <v>197</v>
      </c>
      <c r="M31" s="295"/>
      <c r="N31" s="295" t="s">
        <v>85</v>
      </c>
      <c r="O31" s="271" t="str">
        <f>IFERROR(VLOOKUP(K31,'US History Framework Standards'!$A:$E,2,false),"")</f>
        <v>Social and Economic Change/ Domestic Issues (1945-present)</v>
      </c>
      <c r="P31" s="301"/>
      <c r="Q31" s="301"/>
      <c r="R31" s="301"/>
      <c r="S31" s="301"/>
      <c r="T31" s="271" t="str">
        <f>iferror(VLOOKUP(L31,'US History Framework Standards'!$A:$E,2,false),"")</f>
        <v>Civil Rights Judicial &amp; Legislative Achievements</v>
      </c>
      <c r="U31" s="298"/>
      <c r="V31" s="296"/>
      <c r="W31" s="296"/>
      <c r="X31" s="298"/>
      <c r="Y31" s="298"/>
      <c r="Z31" s="295"/>
      <c r="AA31" s="302"/>
      <c r="AB31" s="302"/>
    </row>
    <row r="32" ht="15.75" customHeight="1">
      <c r="A32" s="264" t="s">
        <v>275</v>
      </c>
      <c r="B32" s="265" t="s">
        <v>272</v>
      </c>
      <c r="C32" s="265" t="s">
        <v>276</v>
      </c>
      <c r="D32" s="266"/>
      <c r="E32" s="265"/>
      <c r="F32" s="267"/>
      <c r="G32" s="265"/>
      <c r="H32" s="283" t="s">
        <v>331</v>
      </c>
      <c r="I32" s="265" t="s">
        <v>82</v>
      </c>
      <c r="J32" s="265" t="s">
        <v>83</v>
      </c>
      <c r="K32" s="284" t="s">
        <v>102</v>
      </c>
      <c r="L32" s="284" t="s">
        <v>197</v>
      </c>
      <c r="M32" s="264"/>
      <c r="N32" s="264" t="s">
        <v>85</v>
      </c>
      <c r="O32" s="271" t="str">
        <f>IFERROR(VLOOKUP(K32,'US History Framework Standards'!$A:$E,2,false),"")</f>
        <v>Social and Economic Change/ Domestic Issues (1945-present)</v>
      </c>
      <c r="P32" s="271" t="str">
        <f>IFERROR(__xludf.DUMMYFUNCTION("IFERROR(Index(SPLIT(#REF!,"".""),1,1))"),"")</f>
        <v/>
      </c>
      <c r="Q32" s="271" t="str">
        <f>IFERROR(__xludf.DUMMYFUNCTION("IFERROR(Index(SPLIT(#REF!,"".""),1,2))"),"")</f>
        <v/>
      </c>
      <c r="R32" s="271" t="str">
        <f>IFERROR(VLOOKUP(#REF!,'US History Framework Standards'!$A:$E,3,false),"")</f>
        <v/>
      </c>
      <c r="S32" s="271" t="str">
        <f>IFERROR(__xludf.DUMMYFUNCTION("IFERROR(Index(SPLIT(#REF!,"".""),1,3)&amp;Index(SPLIT(#REF!,"".""),1,4))"),"")</f>
        <v/>
      </c>
      <c r="T32" s="271" t="str">
        <f>iferror(VLOOKUP(L32,'US History Framework Standards'!$A:$E,2,false),"")</f>
        <v>Civil Rights Judicial &amp; Legislative Achievements</v>
      </c>
      <c r="U32" s="267">
        <v>29.0</v>
      </c>
      <c r="V32" s="265" t="s">
        <v>247</v>
      </c>
      <c r="W32" s="265">
        <v>1201718.0</v>
      </c>
      <c r="X32" s="267"/>
      <c r="Y32" s="267"/>
      <c r="Z32" s="264" t="s">
        <v>248</v>
      </c>
      <c r="AA32" s="272"/>
      <c r="AB32" s="272" t="str">
        <f t="shared" ref="AB32:AB33" si="2">V32&amp;"_"&amp;W32&amp;"_"&amp;A32&amp;".jpg"</f>
        <v>HXRG_1201718_Doc.jpg</v>
      </c>
    </row>
    <row r="33" ht="15.75" customHeight="1">
      <c r="A33" s="273" t="s">
        <v>275</v>
      </c>
      <c r="B33" s="274" t="s">
        <v>272</v>
      </c>
      <c r="C33" s="274" t="s">
        <v>278</v>
      </c>
      <c r="D33" s="275"/>
      <c r="E33" s="274"/>
      <c r="F33" s="276"/>
      <c r="G33" s="274"/>
      <c r="H33" s="285" t="s">
        <v>332</v>
      </c>
      <c r="I33" s="274" t="s">
        <v>82</v>
      </c>
      <c r="J33" s="274" t="s">
        <v>83</v>
      </c>
      <c r="K33" s="279" t="s">
        <v>254</v>
      </c>
      <c r="L33" s="279" t="s">
        <v>126</v>
      </c>
      <c r="M33" s="273"/>
      <c r="N33" s="273" t="s">
        <v>85</v>
      </c>
      <c r="O33" s="280" t="str">
        <f>IFERROR(VLOOKUP(K33,'US History Framework Standards'!$A:$E,2,false),"")</f>
        <v>Expansion, Nationalism, and Sectionalism (1800-1865)</v>
      </c>
      <c r="P33" s="280" t="str">
        <f>IFERROR(__xludf.DUMMYFUNCTION("IFERROR(Index(SPLIT(#REF!,"".""),1,1))"),"")</f>
        <v/>
      </c>
      <c r="Q33" s="280" t="str">
        <f>IFERROR(__xludf.DUMMYFUNCTION("IFERROR(Index(SPLIT(#REF!,"".""),1,2))"),"")</f>
        <v/>
      </c>
      <c r="R33" s="280" t="str">
        <f>IFERROR(VLOOKUP(#REF!,'US History Framework Standards'!$A:$E,3,false),"")</f>
        <v/>
      </c>
      <c r="S33" s="280" t="str">
        <f>IFERROR(__xludf.DUMMYFUNCTION("IFERROR(Index(SPLIT(#REF!,"".""),1,3)&amp;Index(SPLIT(#REF!,"".""),1,4))"),"")</f>
        <v/>
      </c>
      <c r="T33" s="280" t="str">
        <f>iferror(VLOOKUP(L33,'US History Framework Standards'!$A:$E,2,false),"")</f>
        <v>Expansion of Slavery</v>
      </c>
      <c r="U33" s="276">
        <v>30.0</v>
      </c>
      <c r="V33" s="274" t="s">
        <v>247</v>
      </c>
      <c r="W33" s="274">
        <v>1201718.0</v>
      </c>
      <c r="X33" s="276"/>
      <c r="Y33" s="276"/>
      <c r="Z33" s="273" t="s">
        <v>248</v>
      </c>
      <c r="AA33" s="281"/>
      <c r="AB33" s="281" t="str">
        <f t="shared" si="2"/>
        <v>HXRG_1201718_Doc.jpg</v>
      </c>
    </row>
    <row r="34" ht="15.75" customHeight="1">
      <c r="A34" s="303" t="s">
        <v>271</v>
      </c>
      <c r="B34" s="304" t="s">
        <v>272</v>
      </c>
      <c r="C34" s="304" t="s">
        <v>280</v>
      </c>
      <c r="D34" s="305"/>
      <c r="E34" s="304"/>
      <c r="F34" s="305"/>
      <c r="G34" s="304"/>
      <c r="H34" s="306" t="s">
        <v>333</v>
      </c>
      <c r="I34" s="304" t="s">
        <v>86</v>
      </c>
      <c r="J34" s="304" t="s">
        <v>91</v>
      </c>
      <c r="K34" s="308" t="s">
        <v>254</v>
      </c>
      <c r="L34" s="279" t="s">
        <v>127</v>
      </c>
      <c r="M34" s="303"/>
      <c r="N34" s="303" t="s">
        <v>85</v>
      </c>
      <c r="O34" s="309" t="str">
        <f>IFERROR(VLOOKUP(K34,'US History Framework Standards'!$A:$E,2,false),"")</f>
        <v>Expansion, Nationalism, and Sectionalism (1800-1865)</v>
      </c>
      <c r="P34" s="309"/>
      <c r="Q34" s="309"/>
      <c r="R34" s="309"/>
      <c r="S34" s="309"/>
      <c r="T34" s="280" t="str">
        <f>iferror(VLOOKUP(L34,'US History Framework Standards'!$A:$E,2,false),"")</f>
        <v>Union vs. Confederacy</v>
      </c>
      <c r="U34" s="305"/>
      <c r="V34" s="304"/>
      <c r="W34" s="304"/>
      <c r="X34" s="305"/>
      <c r="Y34" s="305"/>
      <c r="Z34" s="303"/>
      <c r="AA34" s="310"/>
      <c r="AB34" s="310"/>
    </row>
    <row r="35">
      <c r="A35" s="295" t="s">
        <v>275</v>
      </c>
      <c r="B35" s="296" t="s">
        <v>282</v>
      </c>
      <c r="C35" s="296">
        <v>31.0</v>
      </c>
      <c r="D35" s="298"/>
      <c r="E35" s="296"/>
      <c r="F35" s="298"/>
      <c r="G35" s="296"/>
      <c r="H35" s="299" t="s">
        <v>334</v>
      </c>
      <c r="I35" s="296" t="s">
        <v>86</v>
      </c>
      <c r="J35" s="296" t="s">
        <v>83</v>
      </c>
      <c r="K35" s="311" t="s">
        <v>261</v>
      </c>
      <c r="L35" s="311" t="s">
        <v>158</v>
      </c>
      <c r="M35" s="295">
        <v>7.0</v>
      </c>
      <c r="N35" s="295" t="s">
        <v>85</v>
      </c>
      <c r="O35" s="301" t="str">
        <f>IFERROR(VLOOKUP(K35,'US History Framework Standards'!$A:$E,2,false),"")</f>
        <v>Rise of American Power (1890-1920)</v>
      </c>
      <c r="P35" s="301" t="str">
        <f>IFERROR(__xludf.DUMMYFUNCTION("IFERROR(Index(SPLIT(#REF!,"".""),1,1))"),"")</f>
        <v/>
      </c>
      <c r="Q35" s="301" t="str">
        <f>IFERROR(__xludf.DUMMYFUNCTION("IFERROR(Index(SPLIT(#REF!,"".""),1,2))"),"")</f>
        <v/>
      </c>
      <c r="R35" s="301" t="str">
        <f>IFERROR(VLOOKUP(#REF!,'US History Framework Standards'!$A:$E,3,false),"")</f>
        <v/>
      </c>
      <c r="S35" s="301" t="str">
        <f>IFERROR(__xludf.DUMMYFUNCTION("IFERROR(Index(SPLIT(#REF!,"".""),1,3)&amp;Index(SPLIT(#REF!,"".""),1,4))"),"")</f>
        <v/>
      </c>
      <c r="T35" s="271" t="str">
        <f>iferror(VLOOKUP(L35,'US History Framework Standards'!$A:$E,2,false),"")</f>
        <v>Schenck v. US (1919)</v>
      </c>
      <c r="U35" s="298">
        <v>31.0</v>
      </c>
      <c r="V35" s="296" t="s">
        <v>247</v>
      </c>
      <c r="W35" s="296">
        <v>1201718.0</v>
      </c>
      <c r="X35" s="298"/>
      <c r="Y35" s="298"/>
      <c r="Z35" s="295" t="s">
        <v>248</v>
      </c>
      <c r="AA35" s="302"/>
      <c r="AB35" s="302" t="str">
        <f t="shared" ref="AB35:AB39" si="3">V35&amp;"_"&amp;W35&amp;"_"&amp;A35&amp;".jpg"</f>
        <v>HXRG_1201718_Doc.jpg</v>
      </c>
    </row>
    <row r="36">
      <c r="A36" s="303" t="s">
        <v>275</v>
      </c>
      <c r="B36" s="274" t="s">
        <v>282</v>
      </c>
      <c r="C36" s="274">
        <v>32.0</v>
      </c>
      <c r="D36" s="276"/>
      <c r="E36" s="274"/>
      <c r="F36" s="276"/>
      <c r="G36" s="274"/>
      <c r="H36" s="282" t="s">
        <v>335</v>
      </c>
      <c r="I36" s="274" t="s">
        <v>90</v>
      </c>
      <c r="J36" s="274" t="s">
        <v>96</v>
      </c>
      <c r="K36" s="279" t="s">
        <v>261</v>
      </c>
      <c r="L36" s="279" t="s">
        <v>159</v>
      </c>
      <c r="M36" s="273">
        <v>18.0</v>
      </c>
      <c r="N36" s="273" t="s">
        <v>89</v>
      </c>
      <c r="O36" s="280" t="str">
        <f>IFERROR(VLOOKUP(K36,'US History Framework Standards'!$A:$E,2,false),"")</f>
        <v>Rise of American Power (1890-1920)</v>
      </c>
      <c r="P36" s="280" t="str">
        <f>IFERROR(__xludf.DUMMYFUNCTION("IFERROR(Index(SPLIT(#REF!,"".""),1,1))"),"")</f>
        <v/>
      </c>
      <c r="Q36" s="280" t="str">
        <f>IFERROR(__xludf.DUMMYFUNCTION("IFERROR(Index(SPLIT(#REF!,"".""),1,2))"),"")</f>
        <v/>
      </c>
      <c r="R36" s="280" t="str">
        <f>IFERROR(VLOOKUP(#REF!,'US History Framework Standards'!$A:$E,3,false),"")</f>
        <v/>
      </c>
      <c r="S36" s="280" t="str">
        <f>IFERROR(__xludf.DUMMYFUNCTION("IFERROR(Index(SPLIT(#REF!,"".""),1,3)&amp;Index(SPLIT(#REF!,"".""),1,4))"),"")</f>
        <v/>
      </c>
      <c r="T36" s="280" t="str">
        <f>iferror(VLOOKUP(L36,'US History Framework Standards'!$A:$E,2,false),"")</f>
        <v>Fear of Radicals, Xenophobia, and the Red Scare</v>
      </c>
      <c r="U36" s="305">
        <v>32.0</v>
      </c>
      <c r="V36" s="304" t="s">
        <v>247</v>
      </c>
      <c r="W36" s="304">
        <v>1201718.0</v>
      </c>
      <c r="X36" s="305"/>
      <c r="Y36" s="305"/>
      <c r="Z36" s="303" t="s">
        <v>248</v>
      </c>
      <c r="AA36" s="310"/>
      <c r="AB36" s="310" t="str">
        <f t="shared" si="3"/>
        <v>HXRG_1201718_Doc.jpg</v>
      </c>
    </row>
    <row r="37" ht="15.75" customHeight="1">
      <c r="A37" s="295" t="s">
        <v>285</v>
      </c>
      <c r="B37" s="265" t="s">
        <v>282</v>
      </c>
      <c r="C37" s="265">
        <v>33.0</v>
      </c>
      <c r="D37" s="267"/>
      <c r="E37" s="265"/>
      <c r="F37" s="267"/>
      <c r="G37" s="265"/>
      <c r="H37" s="283" t="s">
        <v>336</v>
      </c>
      <c r="I37" s="265" t="s">
        <v>82</v>
      </c>
      <c r="J37" s="265" t="s">
        <v>83</v>
      </c>
      <c r="K37" s="284" t="s">
        <v>261</v>
      </c>
      <c r="L37" s="284" t="s">
        <v>159</v>
      </c>
      <c r="M37" s="264">
        <v>4.0</v>
      </c>
      <c r="N37" s="264" t="s">
        <v>85</v>
      </c>
      <c r="O37" s="271" t="str">
        <f>IFERROR(VLOOKUP(K37,'US History Framework Standards'!$A:$E,2,false),"")</f>
        <v>Rise of American Power (1890-1920)</v>
      </c>
      <c r="P37" s="271" t="str">
        <f>IFERROR(__xludf.DUMMYFUNCTION("IFERROR(Index(SPLIT(#REF!,"".""),1,1))"),"")</f>
        <v/>
      </c>
      <c r="Q37" s="271" t="str">
        <f>IFERROR(__xludf.DUMMYFUNCTION("IFERROR(Index(SPLIT(#REF!,"".""),1,2))"),"")</f>
        <v/>
      </c>
      <c r="R37" s="271" t="str">
        <f>IFERROR(VLOOKUP(#REF!,'US History Framework Standards'!$A:$E,3,false),"")</f>
        <v/>
      </c>
      <c r="S37" s="271" t="str">
        <f>IFERROR(__xludf.DUMMYFUNCTION("IFERROR(Index(SPLIT(#REF!,"".""),1,3)&amp;Index(SPLIT(#REF!,"".""),1,4))"),"")</f>
        <v/>
      </c>
      <c r="T37" s="271" t="str">
        <f>iferror(VLOOKUP(L37,'US History Framework Standards'!$A:$E,2,false),"")</f>
        <v>Fear of Radicals, Xenophobia, and the Red Scare</v>
      </c>
      <c r="U37" s="298">
        <v>33.0</v>
      </c>
      <c r="V37" s="296" t="s">
        <v>247</v>
      </c>
      <c r="W37" s="296">
        <v>1201718.0</v>
      </c>
      <c r="X37" s="298"/>
      <c r="Y37" s="298"/>
      <c r="Z37" s="295" t="s">
        <v>248</v>
      </c>
      <c r="AA37" s="302"/>
      <c r="AB37" s="302" t="str">
        <f t="shared" si="3"/>
        <v>HXRG_1201718_DBQ.jpg</v>
      </c>
    </row>
    <row r="38" ht="15.75" customHeight="1">
      <c r="A38" s="273" t="s">
        <v>285</v>
      </c>
      <c r="B38" s="274" t="s">
        <v>282</v>
      </c>
      <c r="C38" s="274">
        <v>34.0</v>
      </c>
      <c r="D38" s="276"/>
      <c r="E38" s="274"/>
      <c r="F38" s="276"/>
      <c r="G38" s="274"/>
      <c r="H38" s="314" t="s">
        <v>337</v>
      </c>
      <c r="I38" s="274" t="s">
        <v>86</v>
      </c>
      <c r="J38" s="274" t="s">
        <v>83</v>
      </c>
      <c r="K38" s="279" t="s">
        <v>261</v>
      </c>
      <c r="L38" s="279" t="s">
        <v>158</v>
      </c>
      <c r="M38" s="273">
        <v>8.0</v>
      </c>
      <c r="N38" s="273" t="s">
        <v>89</v>
      </c>
      <c r="O38" s="280" t="str">
        <f>IFERROR(VLOOKUP(K38,'US History Framework Standards'!$A:$E,2,false),"")</f>
        <v>Rise of American Power (1890-1920)</v>
      </c>
      <c r="P38" s="280" t="str">
        <f>IFERROR(__xludf.DUMMYFUNCTION("IFERROR(Index(SPLIT(#REF!,"".""),1,1))"),"")</f>
        <v/>
      </c>
      <c r="Q38" s="280" t="str">
        <f>IFERROR(__xludf.DUMMYFUNCTION("IFERROR(Index(SPLIT(#REF!,"".""),1,2))"),"")</f>
        <v/>
      </c>
      <c r="R38" s="280" t="str">
        <f>IFERROR(VLOOKUP(#REF!,'US History Framework Standards'!$A:$E,3,false),"")</f>
        <v/>
      </c>
      <c r="S38" s="280" t="str">
        <f>IFERROR(__xludf.DUMMYFUNCTION("IFERROR(Index(SPLIT(#REF!,"".""),1,3)&amp;Index(SPLIT(#REF!,"".""),1,4))"),"")</f>
        <v/>
      </c>
      <c r="T38" s="280" t="str">
        <f>iferror(VLOOKUP(L38,'US History Framework Standards'!$A:$E,2,false),"")</f>
        <v>Schenck v. US (1919)</v>
      </c>
      <c r="U38" s="276">
        <v>34.0</v>
      </c>
      <c r="V38" s="274" t="s">
        <v>247</v>
      </c>
      <c r="W38" s="274">
        <v>1201718.0</v>
      </c>
      <c r="X38" s="276"/>
      <c r="Y38" s="276"/>
      <c r="Z38" s="273" t="s">
        <v>248</v>
      </c>
      <c r="AA38" s="281"/>
      <c r="AB38" s="281" t="str">
        <f t="shared" si="3"/>
        <v>HXRG_1201718_DBQ.jpg</v>
      </c>
    </row>
    <row r="39" ht="15.75" customHeight="1">
      <c r="A39" s="264" t="s">
        <v>285</v>
      </c>
      <c r="B39" s="265" t="s">
        <v>282</v>
      </c>
      <c r="C39" s="265">
        <v>35.0</v>
      </c>
      <c r="D39" s="267"/>
      <c r="E39" s="265"/>
      <c r="F39" s="267"/>
      <c r="G39" s="265"/>
      <c r="H39" s="268" t="s">
        <v>338</v>
      </c>
      <c r="I39" s="265" t="s">
        <v>86</v>
      </c>
      <c r="J39" s="265" t="s">
        <v>83</v>
      </c>
      <c r="K39" s="284" t="s">
        <v>261</v>
      </c>
      <c r="L39" s="284" t="s">
        <v>159</v>
      </c>
      <c r="M39" s="264">
        <v>8.0</v>
      </c>
      <c r="N39" s="264" t="s">
        <v>89</v>
      </c>
      <c r="O39" s="271" t="str">
        <f>IFERROR(VLOOKUP(K39,'US History Framework Standards'!$A:$E,2,false),"")</f>
        <v>Rise of American Power (1890-1920)</v>
      </c>
      <c r="P39" s="271" t="str">
        <f>IFERROR(__xludf.DUMMYFUNCTION("IFERROR(Index(SPLIT(#REF!,"".""),1,1))"),"")</f>
        <v/>
      </c>
      <c r="Q39" s="271" t="str">
        <f>IFERROR(__xludf.DUMMYFUNCTION("IFERROR(Index(SPLIT(#REF!,"".""),1,2))"),"")</f>
        <v/>
      </c>
      <c r="R39" s="271" t="str">
        <f>IFERROR(VLOOKUP(#REF!,'US History Framework Standards'!$A:$E,3,false),"")</f>
        <v/>
      </c>
      <c r="S39" s="271" t="str">
        <f>IFERROR(__xludf.DUMMYFUNCTION("IFERROR(Index(SPLIT(#REF!,"".""),1,3)&amp;Index(SPLIT(#REF!,"".""),1,4))"),"")</f>
        <v/>
      </c>
      <c r="T39" s="271" t="str">
        <f>iferror(VLOOKUP(L39,'US History Framework Standards'!$A:$E,2,false),"")</f>
        <v>Fear of Radicals, Xenophobia, and the Red Scare</v>
      </c>
      <c r="U39" s="267">
        <v>51.0</v>
      </c>
      <c r="V39" s="265" t="s">
        <v>247</v>
      </c>
      <c r="W39" s="265">
        <v>1201718.0</v>
      </c>
      <c r="X39" s="267"/>
      <c r="Y39" s="267"/>
      <c r="Z39" s="264" t="s">
        <v>248</v>
      </c>
      <c r="AA39" s="272"/>
      <c r="AB39" s="272" t="str">
        <f t="shared" si="3"/>
        <v>HXRG_1201718_DBQ.jpg</v>
      </c>
    </row>
    <row r="40" ht="15.75" customHeight="1">
      <c r="A40" s="273" t="s">
        <v>285</v>
      </c>
      <c r="B40" s="274" t="s">
        <v>282</v>
      </c>
      <c r="C40" s="274">
        <v>36.0</v>
      </c>
      <c r="D40" s="276"/>
      <c r="E40" s="274"/>
      <c r="F40" s="276"/>
      <c r="G40" s="274"/>
      <c r="H40" s="282" t="s">
        <v>339</v>
      </c>
      <c r="I40" s="274" t="s">
        <v>86</v>
      </c>
      <c r="J40" s="274" t="s">
        <v>83</v>
      </c>
      <c r="K40" s="279" t="s">
        <v>266</v>
      </c>
      <c r="L40" s="279" t="s">
        <v>178</v>
      </c>
      <c r="M40" s="273">
        <v>16.0</v>
      </c>
      <c r="N40" s="273" t="s">
        <v>89</v>
      </c>
      <c r="O40" s="280" t="str">
        <f>IFERROR(VLOOKUP(K40,'US History Framework Standards'!$A:$E,2,false),"")</f>
        <v>World War II (1935-1945)</v>
      </c>
      <c r="P40" s="280" t="str">
        <f>IFERROR(__xludf.DUMMYFUNCTION("IFERROR(Index(SPLIT(#REF!,"".""),1,1))"),"")</f>
        <v/>
      </c>
      <c r="Q40" s="280" t="str">
        <f>IFERROR(__xludf.DUMMYFUNCTION("IFERROR(Index(SPLIT(#REF!,"".""),1,2))"),"")</f>
        <v/>
      </c>
      <c r="R40" s="280" t="str">
        <f>IFERROR(VLOOKUP(#REF!,'US History Framework Standards'!$A:$E,3,false),"")</f>
        <v/>
      </c>
      <c r="S40" s="280" t="str">
        <f>IFERROR(__xludf.DUMMYFUNCTION("IFERROR(Index(SPLIT(#REF!,"".""),1,3)&amp;Index(SPLIT(#REF!,"".""),1,4))"),"")</f>
        <v/>
      </c>
      <c r="T40" s="280" t="str">
        <f>iferror(VLOOKUP(L40,'US History Framework Standards'!$A:$E,2,false),"")</f>
        <v>Japanese Internment</v>
      </c>
      <c r="U40" s="276"/>
      <c r="V40" s="274"/>
      <c r="W40" s="274"/>
      <c r="X40" s="276"/>
      <c r="Y40" s="276"/>
      <c r="Z40" s="273"/>
      <c r="AA40" s="281"/>
      <c r="AB40" s="281"/>
    </row>
    <row r="41" ht="15.75" customHeight="1">
      <c r="A41" s="264" t="s">
        <v>285</v>
      </c>
      <c r="B41" s="265" t="s">
        <v>282</v>
      </c>
      <c r="C41" s="265">
        <v>37.0</v>
      </c>
      <c r="D41" s="267"/>
      <c r="E41" s="265"/>
      <c r="F41" s="267"/>
      <c r="G41" s="265"/>
      <c r="H41" s="286"/>
      <c r="I41" s="265"/>
      <c r="J41" s="265"/>
      <c r="K41" s="284"/>
      <c r="L41" s="284"/>
      <c r="M41" s="264"/>
      <c r="N41" s="264" t="s">
        <v>85</v>
      </c>
      <c r="O41" s="271" t="str">
        <f>IFERROR(VLOOKUP(K41,'US History Framework Standards'!$A:$E,2,false),"")</f>
        <v/>
      </c>
      <c r="P41" s="271" t="str">
        <f>IFERROR(__xludf.DUMMYFUNCTION("IFERROR(Index(SPLIT(#REF!,"".""),1,1))"),"")</f>
        <v/>
      </c>
      <c r="Q41" s="271" t="str">
        <f>IFERROR(__xludf.DUMMYFUNCTION("IFERROR(Index(SPLIT(#REF!,"".""),1,2))"),"")</f>
        <v/>
      </c>
      <c r="R41" s="271" t="str">
        <f>IFERROR(VLOOKUP(#REF!,'US History Framework Standards'!$A:$E,3,false),"")</f>
        <v/>
      </c>
      <c r="S41" s="271" t="str">
        <f>IFERROR(__xludf.DUMMYFUNCTION("IFERROR(Index(SPLIT(#REF!,"".""),1,3)&amp;Index(SPLIT(#REF!,"".""),1,4))"),"")</f>
        <v/>
      </c>
      <c r="T41" s="271" t="str">
        <f>iferror(VLOOKUP(L41,'US History Framework Standards'!$A:$E,5,false),"")</f>
        <v/>
      </c>
      <c r="U41" s="267"/>
      <c r="V41" s="265"/>
      <c r="W41" s="265"/>
      <c r="X41" s="267"/>
      <c r="Y41" s="267"/>
      <c r="Z41" s="264"/>
      <c r="AA41" s="272"/>
      <c r="AB41" s="272"/>
    </row>
  </sheetData>
  <mergeCells count="3">
    <mergeCell ref="H1:K1"/>
    <mergeCell ref="L1:N1"/>
    <mergeCell ref="O1:T1"/>
  </mergeCells>
  <dataValidations>
    <dataValidation type="list" allowBlank="1" showErrorMessage="1" sqref="K3:K41">
      <formula1>"11.01,11.02,11.03,11.04,11.05,11.06,11.07,11.08,11.09,11.10,11.11"</formula1>
    </dataValidation>
    <dataValidation type="list" allowBlank="1" sqref="M3:M41">
      <formula1>'Analysis All Exams'!$M$5:$M$22</formula1>
    </dataValidation>
    <dataValidation type="list" allowBlank="1" sqref="G3:G41">
      <formula1>"Stimulus-Based Multiple Choice,Constructed Response Questions,Enduring Issues Essay"</formula1>
    </dataValidation>
    <dataValidation type="list" allowBlank="1" sqref="I3:I41">
      <formula1>'Analysis All Exams'!$A$5:$A$7</formula1>
    </dataValidation>
    <dataValidation type="list" allowBlank="1" sqref="B3:B41">
      <formula1>"Part I,Part II,Part III"</formula1>
    </dataValidation>
    <dataValidation type="list" allowBlank="1" sqref="J3:J41">
      <formula1>'Analysis All Exams'!$D$5:$D$9</formula1>
    </dataValidation>
    <dataValidation type="list" allowBlank="1" sqref="N3:N41">
      <formula1>"Yes,No"</formula1>
    </dataValidation>
    <dataValidation type="list" allowBlank="1" showErrorMessage="1" sqref="L3:L41">
      <formula1>"11.01a.1,11.01a.2,11.01b.1,11.01b.2,11.01b.3,11.01c.1,11.01c.2,11.02a.1,11.02b.1,11.02b.2,11.02c.1,11.02c.2,11.02c.3,11.02c.4,11.02c.5,11.02d.1,11.02d.2,11.02d.3,11.02d.4,11.03a.1,11.03a.2,11.03a.3,11.03b.1,11.03b.2,11.03b.3,11.03b.4,11.03c.1,11.03c.2,11."&amp;"03c.3,11.04a.1,11.04a.2,11.04a.3,11.04a.4,11.04b.1,11.04c.1,11.04c.2,11.04d.1,11.04d.2,11.05a.1,11.05a.2,11.05a.3,11.05b.1,11.05b.2,11.05b.3,11.05b.4,11.05b.5,11.05b.6,11.05b.7,11.06a.1,11.06a.2,11.06a.3,11.06a.4,11.06b.1,11.06b.2,11.06b.3,11.06c.1,11.06c"&amp;".2,11.06c.3,11.06c.4,11.07a.1,11.07a.2,11.07a.3,11.07a.4,11.07a.5,11.07b.1,11.07b.2,11.07c.1,11.07c.2,11.07c.3,11.07c.4,11.07c.5,11.08a.1,11.08a.2,11.08a.3,11.08a.4,11.08a.5,11.08b.1,11.08b.2,11.08b.3,11.08c.1,11.08c.2,11.08c.3,11.09a.1,11.09a.2,11.09a.3,"&amp;"11.09a.4,11.09a.5,11.09a.6,11.09a.7,11.09b.1,11.09b.2,11.09b.3,11.09c.1,11.09d.1,11.10a.1,11.10a.2,11.10a.3,11.10a.4,11.10b.1,11.10b.2,11.10c.1,11.10c.2,11.10c.3,11.11a.1,11.11a.2,11.11b.1,11.11b.2,11.11b.3,11.11c.1,11.11c.2,11.11c.3"</formula1>
    </dataValidation>
  </dataValidations>
  <hyperlinks>
    <hyperlink r:id="rId1" ref="M2"/>
    <hyperlink r:id="rId2" ref="O2"/>
    <hyperlink r:id="rId3" ref="T2"/>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340</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COUNTIF('Itemization 202406'!I:I,A5)</f>
        <v>36</v>
      </c>
      <c r="C5" s="49">
        <f>(B5/B8)</f>
        <v>0.9473684211</v>
      </c>
      <c r="D5" s="47" t="s">
        <v>83</v>
      </c>
      <c r="E5" s="48">
        <f>COUNTIF('Itemization 202406'!J:J,D5)</f>
        <v>25</v>
      </c>
      <c r="F5" s="49">
        <f>(E5/E10)</f>
        <v>0.6578947368</v>
      </c>
      <c r="G5" s="144">
        <v>11.01</v>
      </c>
      <c r="H5" s="114">
        <f>COUNTIF('Itemization 202406'!K:K,G5)</f>
        <v>1</v>
      </c>
      <c r="I5" s="145">
        <f>(H5/H16)</f>
        <v>0.02631578947</v>
      </c>
      <c r="J5" s="121" t="s">
        <v>84</v>
      </c>
      <c r="K5" s="54">
        <f>COUNTIF('Itemization 202406'!L:L,J5)</f>
        <v>0</v>
      </c>
      <c r="L5" s="55">
        <f>(K5/K116)</f>
        <v>0</v>
      </c>
      <c r="M5" s="56">
        <v>1.0</v>
      </c>
      <c r="N5" s="57">
        <f>countif('Itemization 202406'!$M$3:$M$41,M5)</f>
        <v>3</v>
      </c>
      <c r="O5" s="58">
        <f>(N5/N23)</f>
        <v>0.08823529412</v>
      </c>
      <c r="P5" s="47" t="s">
        <v>85</v>
      </c>
      <c r="Q5" s="48">
        <f>countif('Itemization 202406'!N3:N41,P5)</f>
        <v>25</v>
      </c>
      <c r="R5" s="59">
        <f>(Q5/Q7)</f>
        <v>0.641025641</v>
      </c>
    </row>
    <row r="6" ht="15.75" customHeight="1">
      <c r="A6" s="60" t="s">
        <v>86</v>
      </c>
      <c r="B6" s="61">
        <f>COUNTIF('Itemization 202406'!I:I,A6)</f>
        <v>2</v>
      </c>
      <c r="C6" s="62">
        <f>(B6/B8)</f>
        <v>0.05263157895</v>
      </c>
      <c r="D6" s="60" t="s">
        <v>87</v>
      </c>
      <c r="E6" s="61">
        <f>COUNTIF('Itemization 202406'!J:J,D6)</f>
        <v>11</v>
      </c>
      <c r="F6" s="62">
        <f>(E6/E10)</f>
        <v>0.2894736842</v>
      </c>
      <c r="G6" s="56">
        <v>11.02</v>
      </c>
      <c r="H6" s="57">
        <f>COUNTIF('Itemization 202406'!K:K,G6)</f>
        <v>5</v>
      </c>
      <c r="I6" s="58">
        <f>(H6/H16)</f>
        <v>0.1315789474</v>
      </c>
      <c r="J6" s="210" t="s">
        <v>88</v>
      </c>
      <c r="K6" s="114">
        <f>COUNTIF('Itemization 202406'!L:L,J6)</f>
        <v>1</v>
      </c>
      <c r="L6" s="145">
        <f>(K6/K116)</f>
        <v>0.02631578947</v>
      </c>
      <c r="M6" s="56">
        <v>2.0</v>
      </c>
      <c r="N6" s="57">
        <f>countif('Itemization 202406'!$M$3:$M$41,M6)</f>
        <v>3</v>
      </c>
      <c r="O6" s="58">
        <f>(N6/N23)</f>
        <v>0.08823529412</v>
      </c>
      <c r="P6" s="64" t="s">
        <v>89</v>
      </c>
      <c r="Q6" s="61">
        <f>countif('Itemization 202406'!N3:N41,P6)</f>
        <v>14</v>
      </c>
      <c r="R6" s="65">
        <f>(Q6/Q7)</f>
        <v>0.358974359</v>
      </c>
    </row>
    <row r="7" ht="15.75" customHeight="1">
      <c r="A7" s="141" t="s">
        <v>90</v>
      </c>
      <c r="B7" s="54">
        <f>COUNTIF('Itemization 202406'!I:I,A7)</f>
        <v>0</v>
      </c>
      <c r="C7" s="143">
        <f>(B7/B8)</f>
        <v>0</v>
      </c>
      <c r="D7" s="125" t="s">
        <v>91</v>
      </c>
      <c r="E7" s="54">
        <f>COUNTIF('Itemization 202406'!J:J,D7)</f>
        <v>0</v>
      </c>
      <c r="F7" s="55">
        <f>(E7/E10)</f>
        <v>0</v>
      </c>
      <c r="G7" s="144">
        <v>11.03</v>
      </c>
      <c r="H7" s="114">
        <f>COUNTIF('Itemization 202406'!K:K,G7)</f>
        <v>4</v>
      </c>
      <c r="I7" s="145">
        <f>(H7/H16)</f>
        <v>0.1052631579</v>
      </c>
      <c r="J7" s="121" t="s">
        <v>92</v>
      </c>
      <c r="K7" s="54">
        <f>COUNTIF('Itemization 202406'!L:L,J7)</f>
        <v>0</v>
      </c>
      <c r="L7" s="55">
        <f>(K7/K116)</f>
        <v>0</v>
      </c>
      <c r="M7" s="144">
        <v>3.0</v>
      </c>
      <c r="N7" s="114">
        <f>countif('Itemization 202406'!$M$3:$M$41,M7)</f>
        <v>1</v>
      </c>
      <c r="O7" s="145">
        <f>(N7/N23)</f>
        <v>0.02941176471</v>
      </c>
      <c r="P7" s="68" t="s">
        <v>93</v>
      </c>
      <c r="Q7" s="69">
        <f t="shared" ref="Q7:R7" si="1">SUM(Q5:Q6)</f>
        <v>39</v>
      </c>
      <c r="R7" s="70">
        <f t="shared" si="1"/>
        <v>1</v>
      </c>
    </row>
    <row r="8" ht="15.75" customHeight="1">
      <c r="A8" s="68" t="s">
        <v>93</v>
      </c>
      <c r="B8" s="69">
        <f t="shared" ref="B8:C8" si="2">SUM(B5:B7)</f>
        <v>38</v>
      </c>
      <c r="C8" s="71">
        <f t="shared" si="2"/>
        <v>1</v>
      </c>
      <c r="D8" s="125" t="s">
        <v>94</v>
      </c>
      <c r="E8" s="54">
        <f>COUNTIF('Itemization 202406'!J:J,D8)</f>
        <v>0</v>
      </c>
      <c r="F8" s="55">
        <f>(E8/E10)</f>
        <v>0</v>
      </c>
      <c r="G8" s="144">
        <v>11.04</v>
      </c>
      <c r="H8" s="114">
        <f>COUNTIF('Itemization 202406'!K:K,G8)</f>
        <v>3</v>
      </c>
      <c r="I8" s="145">
        <f>(H8/H16)</f>
        <v>0.07894736842</v>
      </c>
      <c r="J8" s="121" t="s">
        <v>95</v>
      </c>
      <c r="K8" s="54">
        <f>COUNTIF('Itemization 202406'!L:L,J8)</f>
        <v>0</v>
      </c>
      <c r="L8" s="55">
        <f>(K8/K116)</f>
        <v>0</v>
      </c>
      <c r="M8" s="56">
        <v>4.0</v>
      </c>
      <c r="N8" s="57">
        <f>countif('Itemization 202406'!$M$3:$M$41,M8)</f>
        <v>3</v>
      </c>
      <c r="O8" s="58">
        <f>(N8/N23)</f>
        <v>0.08823529412</v>
      </c>
      <c r="P8" s="51"/>
      <c r="Q8" s="51"/>
      <c r="R8" s="72"/>
    </row>
    <row r="9" ht="15.75" customHeight="1">
      <c r="A9" s="73"/>
      <c r="B9" s="73"/>
      <c r="C9" s="74"/>
      <c r="D9" s="66" t="s">
        <v>96</v>
      </c>
      <c r="E9" s="57">
        <f>COUNTIF('Itemization 202406'!J:J,D9)</f>
        <v>2</v>
      </c>
      <c r="F9" s="67">
        <f>(E9/E10)</f>
        <v>0.05263157895</v>
      </c>
      <c r="G9" s="60">
        <v>11.05</v>
      </c>
      <c r="H9" s="61">
        <f>COUNTIF('Itemization 202406'!K:K,G9)</f>
        <v>6</v>
      </c>
      <c r="I9" s="62">
        <f>(H9/H16)</f>
        <v>0.1578947368</v>
      </c>
      <c r="J9" s="121" t="s">
        <v>97</v>
      </c>
      <c r="K9" s="54">
        <f>COUNTIF('Itemization 202406'!L:L,J9)</f>
        <v>0</v>
      </c>
      <c r="L9" s="55">
        <f>(K9/K116)</f>
        <v>0</v>
      </c>
      <c r="M9" s="125">
        <v>5.0</v>
      </c>
      <c r="N9" s="54">
        <f>countif('Itemization 202406'!$M$3:$M$41,M9)</f>
        <v>0</v>
      </c>
      <c r="O9" s="55">
        <f>(N9/N23)</f>
        <v>0</v>
      </c>
      <c r="P9" s="51"/>
      <c r="Q9" s="51"/>
      <c r="R9" s="72"/>
    </row>
    <row r="10" ht="15.75" customHeight="1">
      <c r="A10" s="77"/>
      <c r="B10" s="51"/>
      <c r="C10" s="78"/>
      <c r="D10" s="68" t="s">
        <v>93</v>
      </c>
      <c r="E10" s="69">
        <f t="shared" ref="E10:F10" si="3">SUM(E5:E9)</f>
        <v>38</v>
      </c>
      <c r="F10" s="71">
        <f t="shared" si="3"/>
        <v>1</v>
      </c>
      <c r="G10" s="60">
        <v>11.06</v>
      </c>
      <c r="H10" s="61">
        <f>COUNTIF('Itemization 202406'!K:K,G10)</f>
        <v>6</v>
      </c>
      <c r="I10" s="62">
        <f>(H10/H16)</f>
        <v>0.1578947368</v>
      </c>
      <c r="J10" s="121" t="s">
        <v>98</v>
      </c>
      <c r="K10" s="54">
        <f>COUNTIF('Itemization 202406'!L:L,J10)</f>
        <v>0</v>
      </c>
      <c r="L10" s="55">
        <f>(K10/K116)</f>
        <v>0</v>
      </c>
      <c r="M10" s="125">
        <v>6.0</v>
      </c>
      <c r="N10" s="54">
        <f>countif('Itemization 202406'!$M$3:$M$41,M10)</f>
        <v>0</v>
      </c>
      <c r="O10" s="55">
        <f>(N10/N23)</f>
        <v>0</v>
      </c>
      <c r="P10" s="51"/>
      <c r="Q10" s="51"/>
      <c r="R10" s="72"/>
    </row>
    <row r="11" ht="15.75" customHeight="1">
      <c r="A11" s="77"/>
      <c r="B11" s="51"/>
      <c r="C11" s="78"/>
      <c r="D11" s="51"/>
      <c r="E11" s="51"/>
      <c r="F11" s="78"/>
      <c r="G11" s="144">
        <v>11.07</v>
      </c>
      <c r="H11" s="114">
        <f>COUNTIF('Itemization 202406'!K:K,G11)</f>
        <v>3</v>
      </c>
      <c r="I11" s="145">
        <f>(H11/H16)</f>
        <v>0.07894736842</v>
      </c>
      <c r="J11" s="121" t="s">
        <v>99</v>
      </c>
      <c r="K11" s="54">
        <f>COUNTIF('Itemization 202406'!L:L,J11)</f>
        <v>0</v>
      </c>
      <c r="L11" s="55">
        <f>(K11/K116)</f>
        <v>0</v>
      </c>
      <c r="M11" s="144">
        <v>7.0</v>
      </c>
      <c r="N11" s="114">
        <f>countif('Itemization 202406'!$M$3:$M$41,M11)</f>
        <v>2</v>
      </c>
      <c r="O11" s="145">
        <f>(N11/N23)</f>
        <v>0.05882352941</v>
      </c>
      <c r="P11" s="51"/>
      <c r="Q11" s="51"/>
      <c r="R11" s="72"/>
    </row>
    <row r="12" ht="15.75" customHeight="1">
      <c r="A12" s="77"/>
      <c r="B12" s="51"/>
      <c r="C12" s="78"/>
      <c r="D12" s="51"/>
      <c r="E12" s="51"/>
      <c r="F12" s="78"/>
      <c r="G12" s="60">
        <v>11.08</v>
      </c>
      <c r="H12" s="61">
        <f>COUNTIF('Itemization 202406'!K:K,G12)</f>
        <v>6</v>
      </c>
      <c r="I12" s="62">
        <f>(H12/H16)</f>
        <v>0.1578947368</v>
      </c>
      <c r="J12" s="121" t="s">
        <v>100</v>
      </c>
      <c r="K12" s="54">
        <f>COUNTIF('Itemization 202406'!L:L,J12)</f>
        <v>0</v>
      </c>
      <c r="L12" s="55">
        <f>(K12/K116)</f>
        <v>0</v>
      </c>
      <c r="M12" s="56">
        <v>8.0</v>
      </c>
      <c r="N12" s="57">
        <f>countif('Itemization 202406'!$M$3:$M$41,M12)</f>
        <v>3</v>
      </c>
      <c r="O12" s="58">
        <f>(N12/N23)</f>
        <v>0.08823529412</v>
      </c>
      <c r="P12" s="51"/>
      <c r="Q12" s="51"/>
      <c r="R12" s="72"/>
    </row>
    <row r="13" ht="15.75" customHeight="1">
      <c r="A13" s="77"/>
      <c r="B13" s="51"/>
      <c r="C13" s="78"/>
      <c r="D13" s="51"/>
      <c r="E13" s="51"/>
      <c r="F13" s="78"/>
      <c r="G13" s="144">
        <v>11.09</v>
      </c>
      <c r="H13" s="114">
        <f>COUNTIF('Itemization 202406'!K:K,G13)</f>
        <v>3</v>
      </c>
      <c r="I13" s="145">
        <f>(H13/H16)</f>
        <v>0.07894736842</v>
      </c>
      <c r="J13" s="121" t="s">
        <v>101</v>
      </c>
      <c r="K13" s="54">
        <f>COUNTIF('Itemization 202406'!L:L,J13)</f>
        <v>0</v>
      </c>
      <c r="L13" s="55">
        <f>(K13/K116)</f>
        <v>0</v>
      </c>
      <c r="M13" s="144">
        <v>9.0</v>
      </c>
      <c r="N13" s="114">
        <f>countif('Itemization 202406'!$M$3:$M$41,M13)</f>
        <v>1</v>
      </c>
      <c r="O13" s="145">
        <f>(N13/N23)</f>
        <v>0.02941176471</v>
      </c>
      <c r="P13" s="51"/>
      <c r="Q13" s="51"/>
      <c r="R13" s="72"/>
    </row>
    <row r="14" ht="15.75" customHeight="1">
      <c r="A14" s="51"/>
      <c r="B14" s="51"/>
      <c r="C14" s="78"/>
      <c r="D14" s="51"/>
      <c r="E14" s="51"/>
      <c r="F14" s="78"/>
      <c r="G14" s="146" t="s">
        <v>102</v>
      </c>
      <c r="H14" s="114">
        <f>COUNTIF('Itemization 202406'!K:K,G14)</f>
        <v>1</v>
      </c>
      <c r="I14" s="145">
        <f>(H14/H16)</f>
        <v>0.02631578947</v>
      </c>
      <c r="J14" s="121" t="s">
        <v>103</v>
      </c>
      <c r="K14" s="54">
        <f>COUNTIF('Itemization 202406'!L:L,J14)</f>
        <v>0</v>
      </c>
      <c r="L14" s="55">
        <f>(K14/K116)</f>
        <v>0</v>
      </c>
      <c r="M14" s="125">
        <v>10.0</v>
      </c>
      <c r="N14" s="54">
        <f>countif('Itemization 202406'!$M$3:$M$41,M14)</f>
        <v>0</v>
      </c>
      <c r="O14" s="55">
        <f>(N14/N23)</f>
        <v>0</v>
      </c>
      <c r="P14" s="51"/>
      <c r="Q14" s="51"/>
      <c r="R14" s="72"/>
    </row>
    <row r="15" ht="15.75" customHeight="1">
      <c r="A15" s="73"/>
      <c r="B15" s="73"/>
      <c r="C15" s="74"/>
      <c r="D15" s="51"/>
      <c r="E15" s="51"/>
      <c r="F15" s="78"/>
      <c r="G15" s="90" t="s">
        <v>104</v>
      </c>
      <c r="H15" s="54">
        <f>COUNTIF('Itemization 202406'!K:K,G15)</f>
        <v>0</v>
      </c>
      <c r="I15" s="143">
        <f>(H15/H16)</f>
        <v>0</v>
      </c>
      <c r="J15" s="121" t="s">
        <v>105</v>
      </c>
      <c r="K15" s="54">
        <f>COUNTIF('Itemization 202406'!L:L,J15)</f>
        <v>0</v>
      </c>
      <c r="L15" s="55">
        <f>(K15/K116)</f>
        <v>0</v>
      </c>
      <c r="M15" s="125">
        <v>11.0</v>
      </c>
      <c r="N15" s="54">
        <f>countif('Itemization 202406'!$M$3:$M$41,M15)</f>
        <v>0</v>
      </c>
      <c r="O15" s="55">
        <f>(N15/N23)</f>
        <v>0</v>
      </c>
      <c r="P15" s="51"/>
      <c r="Q15" s="51"/>
      <c r="R15" s="72"/>
    </row>
    <row r="16" ht="15.75" customHeight="1">
      <c r="A16" s="51"/>
      <c r="B16" s="51"/>
      <c r="C16" s="78"/>
      <c r="D16" s="51"/>
      <c r="E16" s="51"/>
      <c r="F16" s="78"/>
      <c r="G16" s="68" t="s">
        <v>93</v>
      </c>
      <c r="H16" s="69">
        <f>SUM(H5:H15)</f>
        <v>38</v>
      </c>
      <c r="I16" s="71">
        <f>sum(I5:I15)</f>
        <v>1</v>
      </c>
      <c r="J16" s="122" t="s">
        <v>106</v>
      </c>
      <c r="K16" s="57">
        <f>COUNTIF('Itemization 202406'!L:L,J16)</f>
        <v>2</v>
      </c>
      <c r="L16" s="58">
        <f>(K16/K116)</f>
        <v>0.05263157895</v>
      </c>
      <c r="M16" s="60">
        <v>12.0</v>
      </c>
      <c r="N16" s="61">
        <f>countif('Itemization 202406'!$M$3:$M$41,M16)</f>
        <v>4</v>
      </c>
      <c r="O16" s="62">
        <f>(N16/N23)</f>
        <v>0.1176470588</v>
      </c>
      <c r="P16" s="51"/>
      <c r="Q16" s="51"/>
      <c r="R16" s="72"/>
    </row>
    <row r="17" ht="15.75" customHeight="1">
      <c r="A17" s="73"/>
      <c r="B17" s="73"/>
      <c r="C17" s="74"/>
      <c r="D17" s="51"/>
      <c r="E17" s="51"/>
      <c r="F17" s="78"/>
      <c r="G17" s="51"/>
      <c r="H17" s="51"/>
      <c r="I17" s="78"/>
      <c r="J17" s="121" t="s">
        <v>107</v>
      </c>
      <c r="K17" s="54">
        <f>COUNTIF('Itemization 202406'!L:L,J17)</f>
        <v>0</v>
      </c>
      <c r="L17" s="55">
        <f>(K17/K116)</f>
        <v>0</v>
      </c>
      <c r="M17" s="125">
        <v>13.0</v>
      </c>
      <c r="N17" s="54">
        <f>countif('Itemization 202406'!$M$3:$M$41,M17)</f>
        <v>0</v>
      </c>
      <c r="O17" s="55">
        <f>(N17/N23)</f>
        <v>0</v>
      </c>
      <c r="P17" s="51"/>
      <c r="Q17" s="51"/>
      <c r="R17" s="72"/>
    </row>
    <row r="18" ht="15.75" customHeight="1">
      <c r="A18" s="73"/>
      <c r="B18" s="73"/>
      <c r="C18" s="74"/>
      <c r="D18" s="51"/>
      <c r="E18" s="51"/>
      <c r="F18" s="78"/>
      <c r="G18" s="51"/>
      <c r="H18" s="51"/>
      <c r="I18" s="78"/>
      <c r="J18" s="121" t="s">
        <v>108</v>
      </c>
      <c r="K18" s="54">
        <f>COUNTIF('Itemization 202406'!L:L,J18)</f>
        <v>0</v>
      </c>
      <c r="L18" s="55">
        <f>(K18/K116)</f>
        <v>0</v>
      </c>
      <c r="M18" s="56">
        <v>14.0</v>
      </c>
      <c r="N18" s="57">
        <f>countif('Itemization 202406'!$M$3:$M$41,M18)</f>
        <v>3</v>
      </c>
      <c r="O18" s="58">
        <f>(N18/N23)</f>
        <v>0.08823529412</v>
      </c>
      <c r="P18" s="51"/>
      <c r="Q18" s="51"/>
      <c r="R18" s="72"/>
    </row>
    <row r="19" ht="15.75" customHeight="1">
      <c r="A19" s="80" t="s">
        <v>109</v>
      </c>
      <c r="D19" s="51"/>
      <c r="E19" s="51"/>
      <c r="F19" s="78"/>
      <c r="G19" s="51"/>
      <c r="H19" s="51"/>
      <c r="I19" s="78"/>
      <c r="J19" s="210" t="s">
        <v>110</v>
      </c>
      <c r="K19" s="114">
        <f>COUNTIF('Itemization 202406'!L:L,J19)</f>
        <v>1</v>
      </c>
      <c r="L19" s="145">
        <f>(K19/K116)</f>
        <v>0.02631578947</v>
      </c>
      <c r="M19" s="56">
        <v>15.0</v>
      </c>
      <c r="N19" s="57">
        <f>countif('Itemization 202406'!$M$3:$M$41,M19)</f>
        <v>3</v>
      </c>
      <c r="O19" s="58">
        <f>(N19/N23)</f>
        <v>0.08823529412</v>
      </c>
      <c r="P19" s="51"/>
      <c r="Q19" s="51"/>
      <c r="R19" s="72"/>
    </row>
    <row r="20" ht="15.75" customHeight="1">
      <c r="A20" s="81" t="s">
        <v>111</v>
      </c>
      <c r="D20" s="51"/>
      <c r="E20" s="51"/>
      <c r="F20" s="78"/>
      <c r="G20" s="51"/>
      <c r="H20" s="51"/>
      <c r="I20" s="78"/>
      <c r="J20" s="121" t="s">
        <v>112</v>
      </c>
      <c r="K20" s="54">
        <f>COUNTIF('Itemization 202406'!L:L,J20)</f>
        <v>0</v>
      </c>
      <c r="L20" s="55">
        <f>(K20/K116)</f>
        <v>0</v>
      </c>
      <c r="M20" s="125">
        <v>16.0</v>
      </c>
      <c r="N20" s="54">
        <f>countif('Itemization 202406'!$M$3:$M$41,M20)</f>
        <v>0</v>
      </c>
      <c r="O20" s="55">
        <f>(N20/N23)</f>
        <v>0</v>
      </c>
      <c r="P20" s="51"/>
      <c r="Q20" s="51"/>
      <c r="R20" s="72"/>
    </row>
    <row r="21" ht="15.75" customHeight="1">
      <c r="A21" s="82" t="s">
        <v>113</v>
      </c>
      <c r="D21" s="51"/>
      <c r="E21" s="51"/>
      <c r="F21" s="78"/>
      <c r="G21" s="51"/>
      <c r="H21" s="51"/>
      <c r="I21" s="78"/>
      <c r="J21" s="121" t="s">
        <v>114</v>
      </c>
      <c r="K21" s="54">
        <f>COUNTIF('Itemization 202406'!L:L,J21)</f>
        <v>0</v>
      </c>
      <c r="L21" s="55">
        <f>(K21/K116)</f>
        <v>0</v>
      </c>
      <c r="M21" s="60">
        <v>17.0</v>
      </c>
      <c r="N21" s="61">
        <f>countif('Itemization 202406'!$M$3:$M$41,M21)</f>
        <v>4</v>
      </c>
      <c r="O21" s="62">
        <f>(N21/N23)</f>
        <v>0.1176470588</v>
      </c>
      <c r="P21" s="51"/>
      <c r="Q21" s="51"/>
      <c r="R21" s="72"/>
    </row>
    <row r="22" ht="15.75" customHeight="1">
      <c r="A22" s="83" t="s">
        <v>115</v>
      </c>
      <c r="D22" s="51"/>
      <c r="E22" s="51"/>
      <c r="F22" s="78"/>
      <c r="G22" s="51"/>
      <c r="H22" s="51"/>
      <c r="I22" s="78"/>
      <c r="J22" s="124" t="s">
        <v>116</v>
      </c>
      <c r="K22" s="61">
        <f>COUNTIF('Itemization 202406'!L:L,J22)</f>
        <v>3</v>
      </c>
      <c r="L22" s="62">
        <f>(K22/K116)</f>
        <v>0.07894736842</v>
      </c>
      <c r="M22" s="64">
        <v>18.0</v>
      </c>
      <c r="N22" s="61">
        <f>countif('Itemization 202406'!$M$3:$M$41,M22)</f>
        <v>4</v>
      </c>
      <c r="O22" s="251">
        <f>(N22/N23)</f>
        <v>0.1176470588</v>
      </c>
      <c r="P22" s="51"/>
      <c r="Q22" s="51"/>
      <c r="R22" s="72"/>
    </row>
    <row r="23" ht="15.75" customHeight="1">
      <c r="A23" s="113" t="s">
        <v>220</v>
      </c>
      <c r="D23" s="51"/>
      <c r="E23" s="51"/>
      <c r="F23" s="78"/>
      <c r="G23" s="51"/>
      <c r="H23" s="51"/>
      <c r="I23" s="78"/>
      <c r="J23" s="121" t="s">
        <v>118</v>
      </c>
      <c r="K23" s="54">
        <f>COUNTIF('Itemization 202406'!L:L,J23)</f>
        <v>0</v>
      </c>
      <c r="L23" s="55">
        <f>(K23/K116)</f>
        <v>0</v>
      </c>
      <c r="M23" s="68" t="s">
        <v>93</v>
      </c>
      <c r="N23" s="69">
        <f>SUM(N5:N22)</f>
        <v>34</v>
      </c>
      <c r="O23" s="71">
        <f>SUM(O4:O22)</f>
        <v>1</v>
      </c>
      <c r="P23" s="51"/>
      <c r="Q23" s="51"/>
      <c r="R23" s="72"/>
    </row>
    <row r="24" ht="15.75" customHeight="1">
      <c r="A24" s="86" t="s">
        <v>119</v>
      </c>
      <c r="D24" s="51"/>
      <c r="E24" s="51"/>
      <c r="F24" s="78"/>
      <c r="G24" s="51"/>
      <c r="H24" s="51"/>
      <c r="I24" s="78"/>
      <c r="J24" s="122" t="s">
        <v>120</v>
      </c>
      <c r="K24" s="57">
        <f>COUNTIF('Itemization 202406'!L:L,J24)</f>
        <v>2</v>
      </c>
      <c r="L24" s="58">
        <f>(K24/K116)</f>
        <v>0.05263157895</v>
      </c>
      <c r="M24" s="51"/>
      <c r="N24" s="51"/>
      <c r="O24" s="78"/>
      <c r="P24" s="51"/>
      <c r="Q24" s="51"/>
      <c r="R24" s="72"/>
    </row>
    <row r="25" ht="15.75" customHeight="1">
      <c r="A25" s="85"/>
      <c r="B25" s="85"/>
      <c r="C25" s="85"/>
      <c r="D25" s="51"/>
      <c r="E25" s="51"/>
      <c r="F25" s="78"/>
      <c r="G25" s="51"/>
      <c r="H25" s="51"/>
      <c r="I25" s="78"/>
      <c r="J25" s="121" t="s">
        <v>121</v>
      </c>
      <c r="K25" s="54">
        <f>COUNTIF('Itemization 202406'!L:L,J25)</f>
        <v>0</v>
      </c>
      <c r="L25" s="55">
        <f>(K25/K116)</f>
        <v>0</v>
      </c>
      <c r="M25" s="51"/>
      <c r="N25" s="51"/>
      <c r="O25" s="78"/>
      <c r="P25" s="51"/>
      <c r="Q25" s="51"/>
      <c r="R25" s="72"/>
    </row>
    <row r="26" ht="15.75" customHeight="1">
      <c r="A26" s="85"/>
      <c r="B26" s="85"/>
      <c r="C26" s="85"/>
      <c r="D26" s="51"/>
      <c r="E26" s="51"/>
      <c r="F26" s="78"/>
      <c r="G26" s="51"/>
      <c r="H26" s="51"/>
      <c r="I26" s="78"/>
      <c r="J26" s="121" t="s">
        <v>122</v>
      </c>
      <c r="K26" s="54">
        <f>COUNTIF('Itemization 202406'!L:L,J26)</f>
        <v>0</v>
      </c>
      <c r="L26" s="55">
        <f>(K26/K116)</f>
        <v>0</v>
      </c>
      <c r="M26" s="51"/>
      <c r="N26" s="51"/>
      <c r="O26" s="78"/>
      <c r="P26" s="51"/>
      <c r="Q26" s="51"/>
      <c r="R26" s="72"/>
    </row>
    <row r="27" ht="15.75" customHeight="1">
      <c r="A27" s="85"/>
      <c r="B27" s="85"/>
      <c r="C27" s="85"/>
      <c r="D27" s="51"/>
      <c r="E27" s="51"/>
      <c r="F27" s="78"/>
      <c r="G27" s="51"/>
      <c r="H27" s="51"/>
      <c r="I27" s="78"/>
      <c r="J27" s="121" t="s">
        <v>123</v>
      </c>
      <c r="K27" s="54">
        <f>COUNTIF('Itemization 202406'!L:L,J27)</f>
        <v>0</v>
      </c>
      <c r="L27" s="55">
        <f>(K27/K116)</f>
        <v>0</v>
      </c>
      <c r="M27" s="51"/>
      <c r="N27" s="51"/>
      <c r="O27" s="78"/>
      <c r="P27" s="51"/>
      <c r="Q27" s="51"/>
      <c r="R27" s="72"/>
    </row>
    <row r="28" ht="15.75" customHeight="1">
      <c r="A28" s="85"/>
      <c r="B28" s="85"/>
      <c r="C28" s="85"/>
      <c r="D28" s="51"/>
      <c r="E28" s="51"/>
      <c r="F28" s="78"/>
      <c r="G28" s="51"/>
      <c r="H28" s="51"/>
      <c r="I28" s="78"/>
      <c r="J28" s="121" t="s">
        <v>124</v>
      </c>
      <c r="K28" s="54">
        <f>COUNTIF('Itemization 202406'!L:L,J28)</f>
        <v>0</v>
      </c>
      <c r="L28" s="55">
        <f>(K28/K116)</f>
        <v>0</v>
      </c>
      <c r="M28" s="51"/>
      <c r="N28" s="51"/>
      <c r="O28" s="78"/>
      <c r="P28" s="51"/>
      <c r="Q28" s="51"/>
      <c r="R28" s="72"/>
    </row>
    <row r="29" ht="15.75" customHeight="1">
      <c r="A29" s="85"/>
      <c r="B29" s="85"/>
      <c r="C29" s="85"/>
      <c r="D29" s="51"/>
      <c r="E29" s="51"/>
      <c r="F29" s="78"/>
      <c r="G29" s="51"/>
      <c r="H29" s="51"/>
      <c r="I29" s="78"/>
      <c r="J29" s="121" t="s">
        <v>125</v>
      </c>
      <c r="K29" s="54">
        <f>COUNTIF('Itemization 202406'!L:L,J29)</f>
        <v>0</v>
      </c>
      <c r="L29" s="55">
        <f>(K29/K116)</f>
        <v>0</v>
      </c>
      <c r="M29" s="51"/>
      <c r="N29" s="51"/>
      <c r="O29" s="78"/>
      <c r="P29" s="51"/>
      <c r="Q29" s="51"/>
      <c r="R29" s="72"/>
    </row>
    <row r="30" ht="15.75" customHeight="1">
      <c r="A30" s="85"/>
      <c r="B30" s="85"/>
      <c r="C30" s="85"/>
      <c r="D30" s="51"/>
      <c r="E30" s="51"/>
      <c r="F30" s="78"/>
      <c r="G30" s="51"/>
      <c r="H30" s="51"/>
      <c r="I30" s="78"/>
      <c r="J30" s="121" t="s">
        <v>126</v>
      </c>
      <c r="K30" s="54">
        <f>COUNTIF('Itemization 202406'!L:L,J30)</f>
        <v>0</v>
      </c>
      <c r="L30" s="55">
        <f>(K30/K116)</f>
        <v>0</v>
      </c>
      <c r="M30" s="51"/>
      <c r="N30" s="51"/>
      <c r="O30" s="78"/>
      <c r="P30" s="51"/>
      <c r="Q30" s="51"/>
      <c r="R30" s="72"/>
    </row>
    <row r="31" ht="15.75" customHeight="1">
      <c r="A31" s="85"/>
      <c r="B31" s="85"/>
      <c r="C31" s="85"/>
      <c r="D31" s="51"/>
      <c r="E31" s="51"/>
      <c r="F31" s="78"/>
      <c r="G31" s="51"/>
      <c r="H31" s="51"/>
      <c r="I31" s="78"/>
      <c r="J31" s="121" t="s">
        <v>127</v>
      </c>
      <c r="K31" s="54">
        <f>COUNTIF('Itemization 202406'!L:L,J31)</f>
        <v>0</v>
      </c>
      <c r="L31" s="55">
        <f>(K31/K116)</f>
        <v>0</v>
      </c>
      <c r="M31" s="51"/>
      <c r="N31" s="51"/>
      <c r="O31" s="78"/>
      <c r="P31" s="51"/>
      <c r="Q31" s="51"/>
      <c r="R31" s="72"/>
    </row>
    <row r="32" ht="15.75" customHeight="1">
      <c r="A32" s="85"/>
      <c r="B32" s="85"/>
      <c r="C32" s="85"/>
      <c r="D32" s="51"/>
      <c r="E32" s="51"/>
      <c r="F32" s="78"/>
      <c r="G32" s="51"/>
      <c r="H32" s="51"/>
      <c r="I32" s="78"/>
      <c r="J32" s="122" t="s">
        <v>128</v>
      </c>
      <c r="K32" s="57">
        <f>COUNTIF('Itemization 202406'!L:L,J32)</f>
        <v>2</v>
      </c>
      <c r="L32" s="58">
        <f>(K32/K116)</f>
        <v>0.05263157895</v>
      </c>
      <c r="M32" s="51"/>
      <c r="N32" s="51"/>
      <c r="O32" s="78"/>
      <c r="P32" s="51"/>
      <c r="Q32" s="51"/>
      <c r="R32" s="72"/>
    </row>
    <row r="33" ht="15.75" customHeight="1">
      <c r="A33" s="85"/>
      <c r="B33" s="85"/>
      <c r="C33" s="85"/>
      <c r="D33" s="51"/>
      <c r="E33" s="51"/>
      <c r="F33" s="78"/>
      <c r="G33" s="51"/>
      <c r="H33" s="51"/>
      <c r="I33" s="78"/>
      <c r="J33" s="121" t="s">
        <v>129</v>
      </c>
      <c r="K33" s="54">
        <f>COUNTIF('Itemization 202406'!L:L,J33)</f>
        <v>0</v>
      </c>
      <c r="L33" s="55">
        <f>(K33/K116)</f>
        <v>0</v>
      </c>
      <c r="M33" s="51"/>
      <c r="N33" s="51"/>
      <c r="O33" s="78"/>
      <c r="P33" s="51"/>
      <c r="Q33" s="51"/>
      <c r="R33" s="72"/>
    </row>
    <row r="34" ht="15.75" customHeight="1">
      <c r="A34" s="85"/>
      <c r="B34" s="85"/>
      <c r="C34" s="85"/>
      <c r="D34" s="51"/>
      <c r="E34" s="51"/>
      <c r="F34" s="78"/>
      <c r="G34" s="51"/>
      <c r="H34" s="51"/>
      <c r="I34" s="78"/>
      <c r="J34" s="121" t="s">
        <v>130</v>
      </c>
      <c r="K34" s="54">
        <f>COUNTIF('Itemization 202406'!L:L,J34)</f>
        <v>0</v>
      </c>
      <c r="L34" s="55">
        <f>(K34/K116)</f>
        <v>0</v>
      </c>
      <c r="M34" s="51"/>
      <c r="N34" s="51"/>
      <c r="O34" s="78"/>
      <c r="P34" s="51"/>
      <c r="Q34" s="51"/>
      <c r="R34" s="72"/>
    </row>
    <row r="35" ht="15.75" customHeight="1">
      <c r="A35" s="85"/>
      <c r="B35" s="85"/>
      <c r="C35" s="85"/>
      <c r="D35" s="51"/>
      <c r="E35" s="51"/>
      <c r="F35" s="78"/>
      <c r="G35" s="51"/>
      <c r="H35" s="51"/>
      <c r="I35" s="78"/>
      <c r="J35" s="122" t="s">
        <v>131</v>
      </c>
      <c r="K35" s="57">
        <f>COUNTIF('Itemization 202406'!L:L,J35)</f>
        <v>1</v>
      </c>
      <c r="L35" s="58">
        <f>(K35/K116)</f>
        <v>0.02631578947</v>
      </c>
      <c r="M35" s="51"/>
      <c r="N35" s="51"/>
      <c r="O35" s="78"/>
      <c r="P35" s="51"/>
      <c r="Q35" s="51"/>
      <c r="R35" s="72"/>
    </row>
    <row r="36" ht="15.75" customHeight="1">
      <c r="A36" s="85"/>
      <c r="B36" s="85"/>
      <c r="C36" s="85"/>
      <c r="D36" s="51"/>
      <c r="E36" s="51"/>
      <c r="F36" s="78"/>
      <c r="G36" s="51"/>
      <c r="H36" s="51"/>
      <c r="I36" s="78"/>
      <c r="J36" s="121" t="s">
        <v>132</v>
      </c>
      <c r="K36" s="54">
        <f>COUNTIF('Itemization 202406'!L:L,J36)</f>
        <v>0</v>
      </c>
      <c r="L36" s="55">
        <f>(K36/K116)</f>
        <v>0</v>
      </c>
      <c r="M36" s="51"/>
      <c r="N36" s="51"/>
      <c r="O36" s="78"/>
      <c r="P36" s="51"/>
      <c r="Q36" s="51"/>
      <c r="R36" s="72"/>
    </row>
    <row r="37" ht="15.75" customHeight="1">
      <c r="A37" s="85"/>
      <c r="B37" s="85"/>
      <c r="C37" s="85"/>
      <c r="D37" s="51"/>
      <c r="E37" s="51"/>
      <c r="F37" s="78"/>
      <c r="G37" s="51"/>
      <c r="H37" s="51"/>
      <c r="I37" s="78"/>
      <c r="J37" s="121" t="s">
        <v>133</v>
      </c>
      <c r="K37" s="54">
        <f>COUNTIF('Itemization 202406'!L:L,J37)</f>
        <v>0</v>
      </c>
      <c r="L37" s="55">
        <f>(K37/K116)</f>
        <v>0</v>
      </c>
      <c r="M37" s="51"/>
      <c r="N37" s="51"/>
      <c r="O37" s="78"/>
      <c r="P37" s="51"/>
      <c r="Q37" s="51"/>
      <c r="R37" s="72"/>
    </row>
    <row r="38" ht="15.75" customHeight="1">
      <c r="A38" s="85"/>
      <c r="B38" s="85"/>
      <c r="C38" s="85"/>
      <c r="D38" s="51"/>
      <c r="E38" s="51"/>
      <c r="F38" s="78"/>
      <c r="G38" s="51"/>
      <c r="H38" s="51"/>
      <c r="I38" s="78"/>
      <c r="J38" s="122" t="s">
        <v>134</v>
      </c>
      <c r="K38" s="57">
        <f>COUNTIF('Itemization 202406'!L:L,J38)</f>
        <v>2</v>
      </c>
      <c r="L38" s="58">
        <f>(K38/K116)</f>
        <v>0.05263157895</v>
      </c>
      <c r="M38" s="51"/>
      <c r="N38" s="51"/>
      <c r="O38" s="78"/>
      <c r="P38" s="51"/>
      <c r="Q38" s="51"/>
      <c r="R38" s="72"/>
    </row>
    <row r="39" ht="15.75" customHeight="1">
      <c r="A39" s="85"/>
      <c r="B39" s="85"/>
      <c r="C39" s="85"/>
      <c r="D39" s="51"/>
      <c r="E39" s="51"/>
      <c r="F39" s="78"/>
      <c r="G39" s="51"/>
      <c r="H39" s="51"/>
      <c r="I39" s="78"/>
      <c r="J39" s="121" t="s">
        <v>135</v>
      </c>
      <c r="K39" s="54">
        <f>COUNTIF('Itemization 202406'!L:L,J39)</f>
        <v>0</v>
      </c>
      <c r="L39" s="55">
        <f>(K39/K116)</f>
        <v>0</v>
      </c>
      <c r="M39" s="51"/>
      <c r="N39" s="51"/>
      <c r="O39" s="78"/>
      <c r="P39" s="51"/>
      <c r="Q39" s="51"/>
      <c r="R39" s="72"/>
    </row>
    <row r="40" ht="15.75" customHeight="1">
      <c r="A40" s="85"/>
      <c r="B40" s="85"/>
      <c r="C40" s="85"/>
      <c r="D40" s="51"/>
      <c r="E40" s="51"/>
      <c r="F40" s="78"/>
      <c r="G40" s="51"/>
      <c r="H40" s="51"/>
      <c r="I40" s="78"/>
      <c r="J40" s="121" t="s">
        <v>136</v>
      </c>
      <c r="K40" s="54">
        <f>COUNTIF('Itemization 202406'!L:L,J40)</f>
        <v>0</v>
      </c>
      <c r="L40" s="55">
        <f>(K40/K116)</f>
        <v>0</v>
      </c>
      <c r="M40" s="51"/>
      <c r="N40" s="51"/>
      <c r="O40" s="78"/>
      <c r="P40" s="51"/>
      <c r="Q40" s="51"/>
      <c r="R40" s="72"/>
    </row>
    <row r="41" ht="15.75" customHeight="1">
      <c r="A41" s="85"/>
      <c r="B41" s="85"/>
      <c r="C41" s="85"/>
      <c r="D41" s="51"/>
      <c r="E41" s="51"/>
      <c r="F41" s="78"/>
      <c r="G41" s="51"/>
      <c r="H41" s="51"/>
      <c r="I41" s="78"/>
      <c r="J41" s="121" t="s">
        <v>137</v>
      </c>
      <c r="K41" s="54">
        <f>COUNTIF('Itemization 202406'!L:L,J41)</f>
        <v>0</v>
      </c>
      <c r="L41" s="55">
        <f>(K41/K116)</f>
        <v>0</v>
      </c>
      <c r="M41" s="51"/>
      <c r="N41" s="51"/>
      <c r="O41" s="78"/>
      <c r="P41" s="51"/>
      <c r="Q41" s="51"/>
      <c r="R41" s="72"/>
    </row>
    <row r="42" ht="15.75" customHeight="1">
      <c r="A42" s="85"/>
      <c r="B42" s="85"/>
      <c r="C42" s="85"/>
      <c r="D42" s="51"/>
      <c r="E42" s="51"/>
      <c r="F42" s="78"/>
      <c r="G42" s="51"/>
      <c r="H42" s="51"/>
      <c r="I42" s="78"/>
      <c r="J42" s="121" t="s">
        <v>138</v>
      </c>
      <c r="K42" s="54">
        <f>COUNTIF('Itemization 202406'!L:L,J42)</f>
        <v>0</v>
      </c>
      <c r="L42" s="55">
        <f>(K42/K116)</f>
        <v>0</v>
      </c>
      <c r="M42" s="51"/>
      <c r="N42" s="51"/>
      <c r="O42" s="78"/>
      <c r="P42" s="51"/>
      <c r="Q42" s="51"/>
      <c r="R42" s="72"/>
    </row>
    <row r="43" ht="15.75" customHeight="1">
      <c r="A43" s="85"/>
      <c r="B43" s="85"/>
      <c r="C43" s="85"/>
      <c r="D43" s="51"/>
      <c r="E43" s="51"/>
      <c r="F43" s="78"/>
      <c r="G43" s="51"/>
      <c r="H43" s="51"/>
      <c r="I43" s="78"/>
      <c r="J43" s="121" t="s">
        <v>139</v>
      </c>
      <c r="K43" s="54">
        <f>COUNTIF('Itemization 202406'!L:L,J43)</f>
        <v>0</v>
      </c>
      <c r="L43" s="55">
        <f>(K43/K116)</f>
        <v>0</v>
      </c>
      <c r="M43" s="51"/>
      <c r="N43" s="51"/>
      <c r="O43" s="78"/>
      <c r="P43" s="51"/>
      <c r="Q43" s="51"/>
      <c r="R43" s="72"/>
    </row>
    <row r="44" ht="15.75" customHeight="1">
      <c r="A44" s="85"/>
      <c r="B44" s="85"/>
      <c r="C44" s="85"/>
      <c r="D44" s="51"/>
      <c r="E44" s="51"/>
      <c r="F44" s="78"/>
      <c r="G44" s="51"/>
      <c r="H44" s="51"/>
      <c r="I44" s="78"/>
      <c r="J44" s="121" t="s">
        <v>140</v>
      </c>
      <c r="K44" s="54">
        <f>COUNTIF('Itemization 202406'!L:L,J44)</f>
        <v>0</v>
      </c>
      <c r="L44" s="55">
        <f>(K44/K116)</f>
        <v>0</v>
      </c>
      <c r="M44" s="51"/>
      <c r="N44" s="51"/>
      <c r="O44" s="78"/>
      <c r="P44" s="51"/>
      <c r="Q44" s="51"/>
      <c r="R44" s="72"/>
    </row>
    <row r="45" ht="15.75" customHeight="1">
      <c r="A45" s="85"/>
      <c r="B45" s="85"/>
      <c r="C45" s="85"/>
      <c r="D45" s="51"/>
      <c r="E45" s="51"/>
      <c r="F45" s="78"/>
      <c r="G45" s="51"/>
      <c r="H45" s="51"/>
      <c r="I45" s="78"/>
      <c r="J45" s="122" t="s">
        <v>141</v>
      </c>
      <c r="K45" s="57">
        <f>COUNTIF('Itemization 202406'!L:L,J45)</f>
        <v>2</v>
      </c>
      <c r="L45" s="58">
        <f>(K45/K116)</f>
        <v>0.05263157895</v>
      </c>
      <c r="M45" s="51"/>
      <c r="N45" s="51"/>
      <c r="O45" s="78"/>
      <c r="P45" s="51"/>
      <c r="Q45" s="51"/>
      <c r="R45" s="72"/>
    </row>
    <row r="46" ht="15.75" customHeight="1">
      <c r="A46" s="85"/>
      <c r="B46" s="85"/>
      <c r="C46" s="85"/>
      <c r="D46" s="51"/>
      <c r="E46" s="51"/>
      <c r="F46" s="78"/>
      <c r="G46" s="51"/>
      <c r="H46" s="51"/>
      <c r="I46" s="78"/>
      <c r="J46" s="121" t="s">
        <v>142</v>
      </c>
      <c r="K46" s="54">
        <f>COUNTIF('Itemization 202406'!L:L,J46)</f>
        <v>0</v>
      </c>
      <c r="L46" s="55">
        <f>(K46/K116)</f>
        <v>0</v>
      </c>
      <c r="M46" s="51"/>
      <c r="N46" s="51"/>
      <c r="O46" s="78"/>
      <c r="P46" s="51"/>
      <c r="Q46" s="51"/>
      <c r="R46" s="72"/>
    </row>
    <row r="47" ht="15.75" customHeight="1">
      <c r="A47" s="85"/>
      <c r="B47" s="85"/>
      <c r="C47" s="85"/>
      <c r="D47" s="51"/>
      <c r="E47" s="51"/>
      <c r="F47" s="78"/>
      <c r="G47" s="51"/>
      <c r="H47" s="51"/>
      <c r="I47" s="78"/>
      <c r="J47" s="121" t="s">
        <v>143</v>
      </c>
      <c r="K47" s="54">
        <f>COUNTIF('Itemization 202406'!L:L,J47)</f>
        <v>0</v>
      </c>
      <c r="L47" s="55">
        <f>(K47/K116)</f>
        <v>0</v>
      </c>
      <c r="M47" s="51"/>
      <c r="N47" s="51"/>
      <c r="O47" s="78"/>
      <c r="P47" s="51"/>
      <c r="Q47" s="51"/>
      <c r="R47" s="72"/>
    </row>
    <row r="48" ht="15.75" customHeight="1">
      <c r="A48" s="85"/>
      <c r="B48" s="85"/>
      <c r="C48" s="85"/>
      <c r="D48" s="51"/>
      <c r="E48" s="51"/>
      <c r="F48" s="78"/>
      <c r="G48" s="51"/>
      <c r="H48" s="51"/>
      <c r="I48" s="78"/>
      <c r="J48" s="121" t="s">
        <v>144</v>
      </c>
      <c r="K48" s="54">
        <f>COUNTIF('Itemization 202406'!L:L,J48)</f>
        <v>0</v>
      </c>
      <c r="L48" s="55">
        <f>(K48/K116)</f>
        <v>0</v>
      </c>
      <c r="M48" s="51"/>
      <c r="N48" s="51"/>
      <c r="O48" s="78"/>
      <c r="P48" s="51"/>
      <c r="Q48" s="51"/>
      <c r="R48" s="72"/>
    </row>
    <row r="49" ht="15.75" customHeight="1">
      <c r="A49" s="85"/>
      <c r="B49" s="85"/>
      <c r="C49" s="85"/>
      <c r="D49" s="51"/>
      <c r="E49" s="51"/>
      <c r="F49" s="78"/>
      <c r="G49" s="51"/>
      <c r="H49" s="51"/>
      <c r="I49" s="78"/>
      <c r="J49" s="121" t="s">
        <v>145</v>
      </c>
      <c r="K49" s="54">
        <f>COUNTIF('Itemization 202406'!L:L,J49)</f>
        <v>0</v>
      </c>
      <c r="L49" s="55">
        <f>(K49/K116)</f>
        <v>0</v>
      </c>
      <c r="M49" s="51"/>
      <c r="N49" s="51"/>
      <c r="O49" s="78"/>
      <c r="P49" s="51"/>
      <c r="Q49" s="51"/>
      <c r="R49" s="72"/>
    </row>
    <row r="50" ht="15.75" customHeight="1">
      <c r="A50" s="85"/>
      <c r="B50" s="85"/>
      <c r="C50" s="85"/>
      <c r="D50" s="51"/>
      <c r="E50" s="51"/>
      <c r="F50" s="78"/>
      <c r="G50" s="51"/>
      <c r="H50" s="51"/>
      <c r="I50" s="78"/>
      <c r="J50" s="210" t="s">
        <v>146</v>
      </c>
      <c r="K50" s="114">
        <f>COUNTIF('Itemization 202406'!L:L,J50)</f>
        <v>1</v>
      </c>
      <c r="L50" s="145">
        <f>(K50/K116)</f>
        <v>0.02631578947</v>
      </c>
      <c r="M50" s="51"/>
      <c r="N50" s="51"/>
      <c r="O50" s="78"/>
      <c r="P50" s="51"/>
      <c r="Q50" s="51"/>
      <c r="R50" s="72"/>
    </row>
    <row r="51" ht="15.75" customHeight="1">
      <c r="A51" s="85"/>
      <c r="B51" s="85"/>
      <c r="C51" s="85"/>
      <c r="D51" s="51"/>
      <c r="E51" s="51"/>
      <c r="F51" s="78"/>
      <c r="G51" s="51"/>
      <c r="H51" s="51"/>
      <c r="I51" s="78"/>
      <c r="J51" s="121" t="s">
        <v>147</v>
      </c>
      <c r="K51" s="54">
        <f>COUNTIF('Itemization 202406'!L:L,J51)</f>
        <v>0</v>
      </c>
      <c r="L51" s="55">
        <f>(K51/K116)</f>
        <v>0</v>
      </c>
      <c r="M51" s="51"/>
      <c r="N51" s="51"/>
      <c r="O51" s="78"/>
      <c r="P51" s="51"/>
      <c r="Q51" s="51"/>
      <c r="R51" s="72"/>
    </row>
    <row r="52" ht="15.75" customHeight="1">
      <c r="A52" s="85"/>
      <c r="B52" s="85"/>
      <c r="C52" s="85"/>
      <c r="D52" s="51"/>
      <c r="E52" s="51"/>
      <c r="F52" s="78"/>
      <c r="G52" s="51"/>
      <c r="H52" s="51"/>
      <c r="I52" s="78"/>
      <c r="J52" s="122" t="s">
        <v>148</v>
      </c>
      <c r="K52" s="57">
        <f>COUNTIF('Itemization 202406'!L:L,J52)</f>
        <v>2</v>
      </c>
      <c r="L52" s="58">
        <f>(K52/K116)</f>
        <v>0.05263157895</v>
      </c>
      <c r="M52" s="51"/>
      <c r="N52" s="51"/>
      <c r="O52" s="78"/>
      <c r="P52" s="51"/>
      <c r="Q52" s="51"/>
      <c r="R52" s="72"/>
    </row>
    <row r="53" ht="15.75" customHeight="1">
      <c r="A53" s="85"/>
      <c r="B53" s="85"/>
      <c r="C53" s="85"/>
      <c r="D53" s="51"/>
      <c r="E53" s="51"/>
      <c r="F53" s="78"/>
      <c r="G53" s="51"/>
      <c r="H53" s="51"/>
      <c r="I53" s="78"/>
      <c r="J53" s="121" t="s">
        <v>149</v>
      </c>
      <c r="K53" s="54">
        <f>COUNTIF('Itemization 202406'!L:L,J53)</f>
        <v>0</v>
      </c>
      <c r="L53" s="55">
        <f>(K53/K116)</f>
        <v>0</v>
      </c>
      <c r="M53" s="51"/>
      <c r="N53" s="51"/>
      <c r="O53" s="78"/>
      <c r="P53" s="51"/>
      <c r="Q53" s="51"/>
      <c r="R53" s="72"/>
    </row>
    <row r="54" ht="15.75" customHeight="1">
      <c r="A54" s="85"/>
      <c r="B54" s="85"/>
      <c r="C54" s="85"/>
      <c r="D54" s="51"/>
      <c r="E54" s="51"/>
      <c r="F54" s="78"/>
      <c r="G54" s="51"/>
      <c r="H54" s="51"/>
      <c r="I54" s="78"/>
      <c r="J54" s="122" t="s">
        <v>150</v>
      </c>
      <c r="K54" s="57">
        <f>COUNTIF('Itemization 202406'!L:L,J54)</f>
        <v>2</v>
      </c>
      <c r="L54" s="58">
        <f>(K54/K116)</f>
        <v>0.05263157895</v>
      </c>
      <c r="M54" s="51"/>
      <c r="N54" s="51"/>
      <c r="O54" s="78"/>
      <c r="P54" s="51"/>
      <c r="Q54" s="51"/>
      <c r="R54" s="72"/>
    </row>
    <row r="55" ht="15.75" customHeight="1">
      <c r="A55" s="85"/>
      <c r="B55" s="85"/>
      <c r="C55" s="85"/>
      <c r="D55" s="51"/>
      <c r="E55" s="51"/>
      <c r="F55" s="78"/>
      <c r="G55" s="51"/>
      <c r="H55" s="51"/>
      <c r="I55" s="78"/>
      <c r="J55" s="122" t="s">
        <v>151</v>
      </c>
      <c r="K55" s="57">
        <f>COUNTIF('Itemization 202406'!L:L,J55)</f>
        <v>2</v>
      </c>
      <c r="L55" s="58">
        <f>(K55/K116)</f>
        <v>0.05263157895</v>
      </c>
      <c r="M55" s="51"/>
      <c r="N55" s="51"/>
      <c r="O55" s="78"/>
      <c r="P55" s="51"/>
      <c r="Q55" s="51"/>
      <c r="R55" s="72"/>
    </row>
    <row r="56" ht="15.75" customHeight="1">
      <c r="A56" s="85"/>
      <c r="B56" s="85"/>
      <c r="C56" s="85"/>
      <c r="D56" s="51"/>
      <c r="E56" s="51"/>
      <c r="F56" s="78"/>
      <c r="G56" s="51"/>
      <c r="H56" s="51"/>
      <c r="I56" s="78"/>
      <c r="J56" s="121" t="s">
        <v>152</v>
      </c>
      <c r="K56" s="54">
        <f>COUNTIF('Itemization 202406'!L:L,J56)</f>
        <v>0</v>
      </c>
      <c r="L56" s="55">
        <f>(K56/K116)</f>
        <v>0</v>
      </c>
      <c r="M56" s="51"/>
      <c r="N56" s="51"/>
      <c r="O56" s="78"/>
      <c r="P56" s="51"/>
      <c r="Q56" s="51"/>
      <c r="R56" s="72"/>
    </row>
    <row r="57" ht="15.75" customHeight="1">
      <c r="A57" s="85"/>
      <c r="B57" s="85"/>
      <c r="C57" s="85"/>
      <c r="D57" s="51"/>
      <c r="E57" s="51"/>
      <c r="F57" s="78"/>
      <c r="G57" s="51"/>
      <c r="H57" s="51"/>
      <c r="I57" s="78"/>
      <c r="J57" s="122" t="s">
        <v>153</v>
      </c>
      <c r="K57" s="57">
        <f>COUNTIF('Itemization 202406'!L:L,J57)</f>
        <v>2</v>
      </c>
      <c r="L57" s="58">
        <f>(K57/K116)</f>
        <v>0.05263157895</v>
      </c>
      <c r="M57" s="51"/>
      <c r="N57" s="51"/>
      <c r="O57" s="78"/>
      <c r="P57" s="51"/>
      <c r="Q57" s="51"/>
      <c r="R57" s="72"/>
    </row>
    <row r="58" ht="15.75" customHeight="1">
      <c r="A58" s="85"/>
      <c r="B58" s="85"/>
      <c r="C58" s="85"/>
      <c r="D58" s="51"/>
      <c r="E58" s="51"/>
      <c r="F58" s="78"/>
      <c r="G58" s="51"/>
      <c r="H58" s="51"/>
      <c r="I58" s="78"/>
      <c r="J58" s="121" t="s">
        <v>154</v>
      </c>
      <c r="K58" s="54">
        <f>COUNTIF('Itemization 202406'!L:L,J58)</f>
        <v>0</v>
      </c>
      <c r="L58" s="55">
        <f>(K58/K116)</f>
        <v>0</v>
      </c>
      <c r="M58" s="51"/>
      <c r="N58" s="51"/>
      <c r="O58" s="78"/>
      <c r="P58" s="51"/>
      <c r="Q58" s="51"/>
      <c r="R58" s="72"/>
    </row>
    <row r="59" ht="15.75" customHeight="1">
      <c r="A59" s="85"/>
      <c r="B59" s="85"/>
      <c r="C59" s="85"/>
      <c r="D59" s="51"/>
      <c r="E59" s="51"/>
      <c r="F59" s="78"/>
      <c r="G59" s="51"/>
      <c r="H59" s="51"/>
      <c r="I59" s="78"/>
      <c r="J59" s="121" t="s">
        <v>155</v>
      </c>
      <c r="K59" s="54">
        <f>COUNTIF('Itemization 202406'!L:L,J59)</f>
        <v>0</v>
      </c>
      <c r="L59" s="55">
        <f>(K59/K116)</f>
        <v>0</v>
      </c>
      <c r="M59" s="51"/>
      <c r="N59" s="51"/>
      <c r="O59" s="78"/>
      <c r="P59" s="51"/>
      <c r="Q59" s="51"/>
      <c r="R59" s="72"/>
    </row>
    <row r="60" ht="15.75" customHeight="1">
      <c r="A60" s="85"/>
      <c r="B60" s="85"/>
      <c r="C60" s="85"/>
      <c r="D60" s="51"/>
      <c r="E60" s="51"/>
      <c r="F60" s="78"/>
      <c r="G60" s="51"/>
      <c r="H60" s="51"/>
      <c r="I60" s="78"/>
      <c r="J60" s="121" t="s">
        <v>156</v>
      </c>
      <c r="K60" s="54">
        <f>COUNTIF('Itemization 202406'!L:L,J60)</f>
        <v>0</v>
      </c>
      <c r="L60" s="55">
        <f>(K60/K116)</f>
        <v>0</v>
      </c>
      <c r="M60" s="51"/>
      <c r="N60" s="51"/>
      <c r="O60" s="78"/>
      <c r="P60" s="51"/>
      <c r="Q60" s="51"/>
      <c r="R60" s="72"/>
    </row>
    <row r="61" ht="15.75" customHeight="1">
      <c r="A61" s="85"/>
      <c r="B61" s="85"/>
      <c r="C61" s="85"/>
      <c r="D61" s="51"/>
      <c r="E61" s="51"/>
      <c r="F61" s="78"/>
      <c r="G61" s="51"/>
      <c r="H61" s="51"/>
      <c r="I61" s="78"/>
      <c r="J61" s="121" t="s">
        <v>157</v>
      </c>
      <c r="K61" s="54">
        <f>COUNTIF('Itemization 202406'!L:L,J61)</f>
        <v>0</v>
      </c>
      <c r="L61" s="55">
        <f>(K61/K116)</f>
        <v>0</v>
      </c>
      <c r="M61" s="51"/>
      <c r="N61" s="51"/>
      <c r="O61" s="78"/>
      <c r="P61" s="51"/>
      <c r="Q61" s="51"/>
      <c r="R61" s="72"/>
    </row>
    <row r="62" ht="15.75" customHeight="1">
      <c r="A62" s="85"/>
      <c r="B62" s="85"/>
      <c r="C62" s="85"/>
      <c r="D62" s="51"/>
      <c r="E62" s="51"/>
      <c r="F62" s="78"/>
      <c r="G62" s="51"/>
      <c r="H62" s="51"/>
      <c r="I62" s="78"/>
      <c r="J62" s="121" t="s">
        <v>158</v>
      </c>
      <c r="K62" s="54">
        <f>COUNTIF('Itemization 202406'!L:L,J62)</f>
        <v>0</v>
      </c>
      <c r="L62" s="55">
        <f>(K62/K116)</f>
        <v>0</v>
      </c>
      <c r="M62" s="51"/>
      <c r="N62" s="51"/>
      <c r="O62" s="78"/>
      <c r="P62" s="51"/>
      <c r="Q62" s="51"/>
      <c r="R62" s="72"/>
    </row>
    <row r="63" ht="15.75" customHeight="1">
      <c r="A63" s="85"/>
      <c r="B63" s="85"/>
      <c r="C63" s="85"/>
      <c r="D63" s="51"/>
      <c r="E63" s="51"/>
      <c r="F63" s="78"/>
      <c r="G63" s="51"/>
      <c r="H63" s="51"/>
      <c r="I63" s="78"/>
      <c r="J63" s="121" t="s">
        <v>159</v>
      </c>
      <c r="K63" s="54">
        <f>COUNTIF('Itemization 202406'!L:L,J63)</f>
        <v>0</v>
      </c>
      <c r="L63" s="55">
        <f>(K63/K116)</f>
        <v>0</v>
      </c>
      <c r="M63" s="51"/>
      <c r="N63" s="51"/>
      <c r="O63" s="78"/>
      <c r="P63" s="51"/>
      <c r="Q63" s="51"/>
      <c r="R63" s="72"/>
    </row>
    <row r="64" ht="15.75" customHeight="1">
      <c r="A64" s="85"/>
      <c r="B64" s="85"/>
      <c r="C64" s="85"/>
      <c r="D64" s="51"/>
      <c r="E64" s="51"/>
      <c r="F64" s="78"/>
      <c r="G64" s="51"/>
      <c r="H64" s="51"/>
      <c r="I64" s="78"/>
      <c r="J64" s="121" t="s">
        <v>160</v>
      </c>
      <c r="K64" s="54">
        <f>COUNTIF('Itemization 202406'!L:L,J64)</f>
        <v>0</v>
      </c>
      <c r="L64" s="55">
        <f>(K64/K116)</f>
        <v>0</v>
      </c>
      <c r="M64" s="51"/>
      <c r="N64" s="51"/>
      <c r="O64" s="78"/>
      <c r="P64" s="51"/>
      <c r="Q64" s="51"/>
      <c r="R64" s="72"/>
    </row>
    <row r="65" ht="15.75" customHeight="1">
      <c r="A65" s="85"/>
      <c r="B65" s="85"/>
      <c r="C65" s="85"/>
      <c r="D65" s="51"/>
      <c r="E65" s="51"/>
      <c r="F65" s="78"/>
      <c r="G65" s="51"/>
      <c r="H65" s="51"/>
      <c r="I65" s="78"/>
      <c r="J65" s="210" t="s">
        <v>161</v>
      </c>
      <c r="K65" s="114">
        <f>COUNTIF('Itemization 202406'!L:L,J65)</f>
        <v>1</v>
      </c>
      <c r="L65" s="145">
        <f>(K65/K116)</f>
        <v>0.02631578947</v>
      </c>
      <c r="M65" s="51"/>
      <c r="N65" s="51"/>
      <c r="O65" s="78"/>
      <c r="P65" s="51"/>
      <c r="Q65" s="51"/>
      <c r="R65" s="72"/>
    </row>
    <row r="66" ht="15.75" customHeight="1">
      <c r="A66" s="85"/>
      <c r="B66" s="85"/>
      <c r="C66" s="85"/>
      <c r="D66" s="51"/>
      <c r="E66" s="51"/>
      <c r="F66" s="78"/>
      <c r="G66" s="51"/>
      <c r="H66" s="51"/>
      <c r="I66" s="78"/>
      <c r="J66" s="121" t="s">
        <v>162</v>
      </c>
      <c r="K66" s="54">
        <f>COUNTIF('Itemization 202406'!L:L,J66)</f>
        <v>0</v>
      </c>
      <c r="L66" s="55">
        <f>(K66/K116)</f>
        <v>0</v>
      </c>
      <c r="M66" s="51"/>
      <c r="N66" s="51"/>
      <c r="O66" s="78"/>
      <c r="P66" s="51"/>
      <c r="Q66" s="51"/>
      <c r="R66" s="72"/>
    </row>
    <row r="67" ht="15.75" customHeight="1">
      <c r="A67" s="85"/>
      <c r="B67" s="85"/>
      <c r="C67" s="85"/>
      <c r="D67" s="51"/>
      <c r="E67" s="51"/>
      <c r="F67" s="78"/>
      <c r="G67" s="51"/>
      <c r="H67" s="51"/>
      <c r="I67" s="78"/>
      <c r="J67" s="121" t="s">
        <v>163</v>
      </c>
      <c r="K67" s="54">
        <f>COUNTIF('Itemization 202406'!L:L,J67)</f>
        <v>0</v>
      </c>
      <c r="L67" s="55">
        <f>(K67/K116)</f>
        <v>0</v>
      </c>
      <c r="M67" s="51"/>
      <c r="N67" s="51"/>
      <c r="O67" s="78"/>
      <c r="P67" s="51"/>
      <c r="Q67" s="51"/>
      <c r="R67" s="72"/>
    </row>
    <row r="68" ht="15.75" customHeight="1">
      <c r="A68" s="85"/>
      <c r="B68" s="85"/>
      <c r="C68" s="85"/>
      <c r="D68" s="51"/>
      <c r="E68" s="51"/>
      <c r="F68" s="78"/>
      <c r="G68" s="51"/>
      <c r="H68" s="51"/>
      <c r="I68" s="78"/>
      <c r="J68" s="121" t="s">
        <v>164</v>
      </c>
      <c r="K68" s="54">
        <f>COUNTIF('Itemization 202406'!L:L,J68)</f>
        <v>0</v>
      </c>
      <c r="L68" s="55">
        <f>(K68/K116)</f>
        <v>0</v>
      </c>
      <c r="M68" s="51"/>
      <c r="N68" s="51"/>
      <c r="O68" s="78"/>
      <c r="P68" s="51"/>
      <c r="Q68" s="51"/>
      <c r="R68" s="72"/>
    </row>
    <row r="69" ht="15.75" customHeight="1">
      <c r="A69" s="85"/>
      <c r="B69" s="85"/>
      <c r="C69" s="85"/>
      <c r="D69" s="51"/>
      <c r="E69" s="51"/>
      <c r="F69" s="78"/>
      <c r="G69" s="51"/>
      <c r="H69" s="51"/>
      <c r="I69" s="78"/>
      <c r="J69" s="121" t="s">
        <v>165</v>
      </c>
      <c r="K69" s="54">
        <f>COUNTIF('Itemization 202406'!L:L,J69)</f>
        <v>0</v>
      </c>
      <c r="L69" s="55">
        <f>(K69/K116)</f>
        <v>0</v>
      </c>
      <c r="M69" s="51"/>
      <c r="N69" s="51"/>
      <c r="O69" s="78"/>
      <c r="P69" s="51"/>
      <c r="Q69" s="51"/>
      <c r="R69" s="72"/>
    </row>
    <row r="70" ht="15.75" customHeight="1">
      <c r="A70" s="85"/>
      <c r="B70" s="85"/>
      <c r="C70" s="85"/>
      <c r="D70" s="51"/>
      <c r="E70" s="51"/>
      <c r="F70" s="78"/>
      <c r="G70" s="51"/>
      <c r="H70" s="51"/>
      <c r="I70" s="78"/>
      <c r="J70" s="121" t="s">
        <v>166</v>
      </c>
      <c r="K70" s="54">
        <f>COUNTIF('Itemization 202406'!L:L,J70)</f>
        <v>0</v>
      </c>
      <c r="L70" s="55">
        <f>(K70/K116)</f>
        <v>0</v>
      </c>
      <c r="M70" s="51"/>
      <c r="N70" s="51"/>
      <c r="O70" s="78"/>
      <c r="P70" s="51"/>
      <c r="Q70" s="51"/>
      <c r="R70" s="72"/>
    </row>
    <row r="71" ht="15.75" customHeight="1">
      <c r="A71" s="85"/>
      <c r="B71" s="85"/>
      <c r="C71" s="85"/>
      <c r="D71" s="51"/>
      <c r="E71" s="51"/>
      <c r="F71" s="78"/>
      <c r="G71" s="51"/>
      <c r="H71" s="51"/>
      <c r="I71" s="78"/>
      <c r="J71" s="121" t="s">
        <v>167</v>
      </c>
      <c r="K71" s="54">
        <f>COUNTIF('Itemization 202406'!L:L,J71)</f>
        <v>0</v>
      </c>
      <c r="L71" s="55">
        <f>(K71/K116)</f>
        <v>0</v>
      </c>
      <c r="M71" s="51"/>
      <c r="N71" s="51"/>
      <c r="O71" s="78"/>
      <c r="P71" s="51"/>
      <c r="Q71" s="51"/>
      <c r="R71" s="72"/>
    </row>
    <row r="72" ht="15.75" customHeight="1">
      <c r="A72" s="85"/>
      <c r="B72" s="85"/>
      <c r="C72" s="85"/>
      <c r="D72" s="51"/>
      <c r="E72" s="51"/>
      <c r="F72" s="78"/>
      <c r="G72" s="51"/>
      <c r="H72" s="51"/>
      <c r="I72" s="78"/>
      <c r="J72" s="121" t="s">
        <v>168</v>
      </c>
      <c r="K72" s="54">
        <f>COUNTIF('Itemization 202406'!L:L,J72)</f>
        <v>0</v>
      </c>
      <c r="L72" s="55">
        <f>(K72/K116)</f>
        <v>0</v>
      </c>
      <c r="M72" s="51"/>
      <c r="N72" s="51"/>
      <c r="O72" s="78"/>
      <c r="P72" s="51"/>
      <c r="Q72" s="51"/>
      <c r="R72" s="72"/>
    </row>
    <row r="73" ht="15.75" customHeight="1">
      <c r="A73" s="85"/>
      <c r="B73" s="85"/>
      <c r="C73" s="85"/>
      <c r="D73" s="51"/>
      <c r="E73" s="51"/>
      <c r="F73" s="78"/>
      <c r="G73" s="51"/>
      <c r="H73" s="51"/>
      <c r="I73" s="78"/>
      <c r="J73" s="121" t="s">
        <v>169</v>
      </c>
      <c r="K73" s="54">
        <f>COUNTIF('Itemization 202406'!L:L,J73)</f>
        <v>0</v>
      </c>
      <c r="L73" s="55">
        <f>(K73/K116)</f>
        <v>0</v>
      </c>
      <c r="M73" s="51"/>
      <c r="N73" s="51"/>
      <c r="O73" s="78"/>
      <c r="P73" s="51"/>
      <c r="Q73" s="51"/>
      <c r="R73" s="72"/>
    </row>
    <row r="74" ht="15.75" customHeight="1">
      <c r="A74" s="85"/>
      <c r="B74" s="85"/>
      <c r="C74" s="85"/>
      <c r="D74" s="51"/>
      <c r="E74" s="51"/>
      <c r="F74" s="78"/>
      <c r="G74" s="51"/>
      <c r="H74" s="51"/>
      <c r="I74" s="78"/>
      <c r="J74" s="121" t="s">
        <v>170</v>
      </c>
      <c r="K74" s="54">
        <f>COUNTIF('Itemization 202406'!L:L,J74)</f>
        <v>0</v>
      </c>
      <c r="L74" s="55">
        <f>(K74/K116)</f>
        <v>0</v>
      </c>
      <c r="M74" s="51"/>
      <c r="N74" s="51"/>
      <c r="O74" s="78"/>
      <c r="P74" s="51"/>
      <c r="Q74" s="51"/>
      <c r="R74" s="72"/>
    </row>
    <row r="75" ht="15.75" customHeight="1">
      <c r="A75" s="85"/>
      <c r="B75" s="85"/>
      <c r="C75" s="85"/>
      <c r="D75" s="51"/>
      <c r="E75" s="51"/>
      <c r="F75" s="78"/>
      <c r="G75" s="51"/>
      <c r="H75" s="51"/>
      <c r="I75" s="78"/>
      <c r="J75" s="122" t="s">
        <v>171</v>
      </c>
      <c r="K75" s="57">
        <f>COUNTIF('Itemization 202406'!L:L,J75)</f>
        <v>2</v>
      </c>
      <c r="L75" s="58">
        <f>(K75/K116)</f>
        <v>0.05263157895</v>
      </c>
      <c r="M75" s="51"/>
      <c r="N75" s="51"/>
      <c r="O75" s="78"/>
      <c r="P75" s="51"/>
      <c r="Q75" s="51"/>
      <c r="R75" s="72"/>
    </row>
    <row r="76" ht="15.75" customHeight="1">
      <c r="A76" s="85"/>
      <c r="B76" s="85"/>
      <c r="C76" s="85"/>
      <c r="D76" s="51"/>
      <c r="E76" s="51"/>
      <c r="F76" s="78"/>
      <c r="G76" s="51"/>
      <c r="H76" s="51"/>
      <c r="I76" s="78"/>
      <c r="J76" s="121" t="s">
        <v>172</v>
      </c>
      <c r="K76" s="54">
        <f>COUNTIF('Itemization 202406'!L:L,J76)</f>
        <v>0</v>
      </c>
      <c r="L76" s="55">
        <f>(K76/K116)</f>
        <v>0</v>
      </c>
      <c r="M76" s="51"/>
      <c r="N76" s="51"/>
      <c r="O76" s="78"/>
      <c r="P76" s="51"/>
      <c r="Q76" s="51"/>
      <c r="R76" s="72"/>
    </row>
    <row r="77" ht="15.75" customHeight="1">
      <c r="A77" s="85"/>
      <c r="B77" s="85"/>
      <c r="C77" s="85"/>
      <c r="D77" s="51"/>
      <c r="E77" s="51"/>
      <c r="F77" s="78"/>
      <c r="G77" s="51"/>
      <c r="H77" s="51"/>
      <c r="I77" s="78"/>
      <c r="J77" s="121" t="s">
        <v>173</v>
      </c>
      <c r="K77" s="54">
        <f>COUNTIF('Itemization 202406'!L:L,J77)</f>
        <v>0</v>
      </c>
      <c r="L77" s="55">
        <f>(K77/K116)</f>
        <v>0</v>
      </c>
      <c r="M77" s="51"/>
      <c r="N77" s="51"/>
      <c r="O77" s="78"/>
      <c r="P77" s="51"/>
      <c r="Q77" s="51"/>
      <c r="R77" s="72"/>
    </row>
    <row r="78" ht="15.75" customHeight="1">
      <c r="A78" s="85"/>
      <c r="B78" s="85"/>
      <c r="C78" s="85"/>
      <c r="D78" s="51"/>
      <c r="E78" s="51"/>
      <c r="F78" s="78"/>
      <c r="G78" s="51"/>
      <c r="H78" s="51"/>
      <c r="I78" s="78"/>
      <c r="J78" s="210" t="s">
        <v>174</v>
      </c>
      <c r="K78" s="114">
        <f>COUNTIF('Itemization 202406'!L:L,J78)</f>
        <v>1</v>
      </c>
      <c r="L78" s="145">
        <f>(K78/K116)</f>
        <v>0.02631578947</v>
      </c>
      <c r="M78" s="51"/>
      <c r="N78" s="51"/>
      <c r="O78" s="78"/>
      <c r="P78" s="51"/>
      <c r="Q78" s="51"/>
      <c r="R78" s="72"/>
    </row>
    <row r="79" ht="15.75" customHeight="1">
      <c r="A79" s="85"/>
      <c r="B79" s="85"/>
      <c r="C79" s="85"/>
      <c r="D79" s="51"/>
      <c r="E79" s="51"/>
      <c r="F79" s="78"/>
      <c r="G79" s="51"/>
      <c r="H79" s="51"/>
      <c r="I79" s="78"/>
      <c r="J79" s="121" t="s">
        <v>175</v>
      </c>
      <c r="K79" s="54">
        <f>COUNTIF('Itemization 202406'!L:L,J79)</f>
        <v>0</v>
      </c>
      <c r="L79" s="55">
        <f>(K79/K116)</f>
        <v>0</v>
      </c>
      <c r="M79" s="51"/>
      <c r="N79" s="51"/>
      <c r="O79" s="78"/>
      <c r="P79" s="51"/>
      <c r="Q79" s="51"/>
      <c r="R79" s="72"/>
    </row>
    <row r="80" ht="15.75" customHeight="1">
      <c r="A80" s="85"/>
      <c r="B80" s="85"/>
      <c r="C80" s="85"/>
      <c r="D80" s="51"/>
      <c r="E80" s="51"/>
      <c r="F80" s="78"/>
      <c r="G80" s="51"/>
      <c r="H80" s="51"/>
      <c r="I80" s="78"/>
      <c r="J80" s="121" t="s">
        <v>176</v>
      </c>
      <c r="K80" s="54">
        <f>COUNTIF('Itemization 202406'!L:L,J80)</f>
        <v>0</v>
      </c>
      <c r="L80" s="55">
        <f>(K80/K116)</f>
        <v>0</v>
      </c>
      <c r="M80" s="51"/>
      <c r="N80" s="51"/>
      <c r="O80" s="78"/>
      <c r="P80" s="51"/>
      <c r="Q80" s="51"/>
      <c r="R80" s="72"/>
    </row>
    <row r="81" ht="15.75" customHeight="1">
      <c r="A81" s="85"/>
      <c r="B81" s="85"/>
      <c r="C81" s="85"/>
      <c r="D81" s="51"/>
      <c r="E81" s="51"/>
      <c r="F81" s="78"/>
      <c r="G81" s="51"/>
      <c r="H81" s="51"/>
      <c r="I81" s="78"/>
      <c r="J81" s="121" t="s">
        <v>177</v>
      </c>
      <c r="K81" s="54">
        <f>COUNTIF('Itemization 202406'!L:L,J81)</f>
        <v>0</v>
      </c>
      <c r="L81" s="55">
        <f>(K81/K116)</f>
        <v>0</v>
      </c>
      <c r="M81" s="51"/>
      <c r="N81" s="51"/>
      <c r="O81" s="78"/>
      <c r="P81" s="51"/>
      <c r="Q81" s="51"/>
      <c r="R81" s="72"/>
    </row>
    <row r="82" ht="15.75" customHeight="1">
      <c r="A82" s="85"/>
      <c r="B82" s="85"/>
      <c r="C82" s="85"/>
      <c r="D82" s="51"/>
      <c r="E82" s="51"/>
      <c r="F82" s="78"/>
      <c r="G82" s="51"/>
      <c r="H82" s="51"/>
      <c r="I82" s="78"/>
      <c r="J82" s="126" t="s">
        <v>178</v>
      </c>
      <c r="K82" s="48">
        <f>COUNTIF('Itemization 202406'!L:L,J82)</f>
        <v>5</v>
      </c>
      <c r="L82" s="49">
        <f>(K82/K116)</f>
        <v>0.1315789474</v>
      </c>
      <c r="M82" s="51"/>
      <c r="N82" s="51"/>
      <c r="O82" s="78"/>
      <c r="P82" s="51"/>
      <c r="Q82" s="51"/>
      <c r="R82" s="72"/>
    </row>
    <row r="83" ht="15.75" customHeight="1">
      <c r="A83" s="85"/>
      <c r="B83" s="85"/>
      <c r="C83" s="85"/>
      <c r="D83" s="51"/>
      <c r="E83" s="51"/>
      <c r="F83" s="78"/>
      <c r="G83" s="51"/>
      <c r="H83" s="51"/>
      <c r="I83" s="78"/>
      <c r="J83" s="121" t="s">
        <v>179</v>
      </c>
      <c r="K83" s="54">
        <f>COUNTIF('Itemization 202406'!L:L,J83)</f>
        <v>0</v>
      </c>
      <c r="L83" s="55">
        <f>(K83/K116)</f>
        <v>0</v>
      </c>
      <c r="M83" s="51"/>
      <c r="N83" s="51"/>
      <c r="O83" s="78"/>
      <c r="P83" s="51"/>
      <c r="Q83" s="51"/>
      <c r="R83" s="72"/>
    </row>
    <row r="84" ht="15.75" customHeight="1">
      <c r="A84" s="85"/>
      <c r="B84" s="85"/>
      <c r="C84" s="85"/>
      <c r="D84" s="51"/>
      <c r="E84" s="51"/>
      <c r="F84" s="78"/>
      <c r="G84" s="51"/>
      <c r="H84" s="51"/>
      <c r="I84" s="78"/>
      <c r="J84" s="121" t="s">
        <v>180</v>
      </c>
      <c r="K84" s="54">
        <f>COUNTIF('Itemization 202406'!L:L,J84)</f>
        <v>0</v>
      </c>
      <c r="L84" s="55">
        <f>(K84/K116)</f>
        <v>0</v>
      </c>
      <c r="M84" s="51"/>
      <c r="N84" s="51"/>
      <c r="O84" s="78"/>
      <c r="P84" s="51"/>
      <c r="Q84" s="51"/>
      <c r="R84" s="72"/>
    </row>
    <row r="85" ht="15.75" customHeight="1">
      <c r="A85" s="85"/>
      <c r="B85" s="85"/>
      <c r="C85" s="85"/>
      <c r="D85" s="51"/>
      <c r="E85" s="51"/>
      <c r="F85" s="78"/>
      <c r="G85" s="51"/>
      <c r="H85" s="51"/>
      <c r="I85" s="78"/>
      <c r="J85" s="121" t="s">
        <v>181</v>
      </c>
      <c r="K85" s="54">
        <f>COUNTIF('Itemization 202406'!L:L,J85)</f>
        <v>0</v>
      </c>
      <c r="L85" s="55">
        <f>(K85/K116)</f>
        <v>0</v>
      </c>
      <c r="M85" s="51"/>
      <c r="N85" s="51"/>
      <c r="O85" s="78"/>
      <c r="P85" s="51"/>
      <c r="Q85" s="51"/>
      <c r="R85" s="72"/>
    </row>
    <row r="86" ht="15.75" customHeight="1">
      <c r="A86" s="85"/>
      <c r="B86" s="85"/>
      <c r="C86" s="85"/>
      <c r="D86" s="51"/>
      <c r="E86" s="51"/>
      <c r="F86" s="78"/>
      <c r="G86" s="51"/>
      <c r="H86" s="51"/>
      <c r="I86" s="78"/>
      <c r="J86" s="121" t="s">
        <v>182</v>
      </c>
      <c r="K86" s="54">
        <f>COUNTIF('Itemization 202406'!L:L,J86)</f>
        <v>0</v>
      </c>
      <c r="L86" s="55">
        <f>(K86/K116)</f>
        <v>0</v>
      </c>
      <c r="M86" s="51"/>
      <c r="N86" s="51"/>
      <c r="O86" s="78"/>
      <c r="P86" s="51"/>
      <c r="Q86" s="51"/>
      <c r="R86" s="72"/>
    </row>
    <row r="87" ht="15.75" customHeight="1">
      <c r="A87" s="85"/>
      <c r="B87" s="85"/>
      <c r="C87" s="85"/>
      <c r="D87" s="51"/>
      <c r="E87" s="51"/>
      <c r="F87" s="78"/>
      <c r="G87" s="51"/>
      <c r="H87" s="51"/>
      <c r="I87" s="78"/>
      <c r="J87" s="121" t="s">
        <v>183</v>
      </c>
      <c r="K87" s="54">
        <f>COUNTIF('Itemization 202406'!L:L,J87)</f>
        <v>0</v>
      </c>
      <c r="L87" s="55">
        <f>(K87/K116)</f>
        <v>0</v>
      </c>
      <c r="M87" s="51"/>
      <c r="N87" s="51"/>
      <c r="O87" s="78"/>
      <c r="P87" s="51"/>
      <c r="Q87" s="51"/>
      <c r="R87" s="72"/>
    </row>
    <row r="88" ht="15.75" customHeight="1">
      <c r="A88" s="85"/>
      <c r="B88" s="85"/>
      <c r="C88" s="85"/>
      <c r="D88" s="51"/>
      <c r="E88" s="51"/>
      <c r="F88" s="78"/>
      <c r="G88" s="51"/>
      <c r="H88" s="51"/>
      <c r="I88" s="78"/>
      <c r="J88" s="210" t="s">
        <v>184</v>
      </c>
      <c r="K88" s="114">
        <f>COUNTIF('Itemization 202406'!L:L,J88)</f>
        <v>1</v>
      </c>
      <c r="L88" s="145">
        <f>(K88/K116)</f>
        <v>0.02631578947</v>
      </c>
      <c r="M88" s="51"/>
      <c r="N88" s="51"/>
      <c r="O88" s="78"/>
      <c r="P88" s="51"/>
      <c r="Q88" s="51"/>
      <c r="R88" s="72"/>
    </row>
    <row r="89" ht="15.75" customHeight="1">
      <c r="A89" s="85"/>
      <c r="B89" s="85"/>
      <c r="C89" s="85"/>
      <c r="D89" s="51"/>
      <c r="E89" s="51"/>
      <c r="F89" s="78"/>
      <c r="G89" s="51"/>
      <c r="H89" s="51"/>
      <c r="I89" s="78"/>
      <c r="J89" s="121" t="s">
        <v>185</v>
      </c>
      <c r="K89" s="54">
        <f>COUNTIF('Itemization 202406'!L:L,J89)</f>
        <v>0</v>
      </c>
      <c r="L89" s="55">
        <f>(K89/K116)</f>
        <v>0</v>
      </c>
      <c r="M89" s="51"/>
      <c r="N89" s="51"/>
      <c r="O89" s="78"/>
      <c r="P89" s="51"/>
      <c r="Q89" s="51"/>
      <c r="R89" s="72"/>
    </row>
    <row r="90" ht="15.75" customHeight="1">
      <c r="A90" s="85"/>
      <c r="B90" s="85"/>
      <c r="C90" s="85"/>
      <c r="D90" s="51"/>
      <c r="E90" s="51"/>
      <c r="F90" s="78"/>
      <c r="G90" s="51"/>
      <c r="H90" s="51"/>
      <c r="I90" s="78"/>
      <c r="J90" s="210" t="s">
        <v>186</v>
      </c>
      <c r="K90" s="114">
        <f>COUNTIF('Itemization 202406'!L:L,J90)</f>
        <v>1</v>
      </c>
      <c r="L90" s="145">
        <f>(K90/K116)</f>
        <v>0.02631578947</v>
      </c>
      <c r="M90" s="51"/>
      <c r="N90" s="51"/>
      <c r="O90" s="78"/>
      <c r="P90" s="51"/>
      <c r="Q90" s="51"/>
      <c r="R90" s="72"/>
    </row>
    <row r="91" ht="15.75" customHeight="1">
      <c r="A91" s="85"/>
      <c r="B91" s="85"/>
      <c r="C91" s="85"/>
      <c r="D91" s="51"/>
      <c r="E91" s="51"/>
      <c r="F91" s="78"/>
      <c r="G91" s="51"/>
      <c r="H91" s="51"/>
      <c r="I91" s="78"/>
      <c r="J91" s="121" t="s">
        <v>187</v>
      </c>
      <c r="K91" s="54">
        <f>COUNTIF('Itemization 202406'!L:L,J91)</f>
        <v>0</v>
      </c>
      <c r="L91" s="55">
        <f>(K91/K116)</f>
        <v>0</v>
      </c>
      <c r="M91" s="51"/>
      <c r="N91" s="51"/>
      <c r="O91" s="78"/>
      <c r="P91" s="51"/>
      <c r="Q91" s="51"/>
      <c r="R91" s="72"/>
    </row>
    <row r="92" ht="15.75" customHeight="1">
      <c r="A92" s="85"/>
      <c r="B92" s="85"/>
      <c r="C92" s="85"/>
      <c r="D92" s="51"/>
      <c r="E92" s="51"/>
      <c r="F92" s="78"/>
      <c r="G92" s="51"/>
      <c r="H92" s="51"/>
      <c r="I92" s="78"/>
      <c r="J92" s="121" t="s">
        <v>188</v>
      </c>
      <c r="K92" s="54">
        <f>COUNTIF('Itemization 202406'!L:L,J92)</f>
        <v>0</v>
      </c>
      <c r="L92" s="55">
        <f>(K92/K116)</f>
        <v>0</v>
      </c>
      <c r="M92" s="51"/>
      <c r="N92" s="51"/>
      <c r="O92" s="78"/>
      <c r="P92" s="51"/>
      <c r="Q92" s="51"/>
      <c r="R92" s="72"/>
    </row>
    <row r="93" ht="15.75" customHeight="1">
      <c r="A93" s="85"/>
      <c r="B93" s="85"/>
      <c r="C93" s="85"/>
      <c r="D93" s="51"/>
      <c r="E93" s="51"/>
      <c r="F93" s="78"/>
      <c r="G93" s="51"/>
      <c r="H93" s="51"/>
      <c r="I93" s="78"/>
      <c r="J93" s="121" t="s">
        <v>189</v>
      </c>
      <c r="K93" s="54">
        <f>COUNTIF('Itemization 202406'!L:L,J93)</f>
        <v>0</v>
      </c>
      <c r="L93" s="55">
        <f>(K93/K116)</f>
        <v>0</v>
      </c>
      <c r="M93" s="51"/>
      <c r="N93" s="51"/>
      <c r="O93" s="78"/>
      <c r="P93" s="51"/>
      <c r="Q93" s="51"/>
      <c r="R93" s="72"/>
    </row>
    <row r="94" ht="15.75" customHeight="1">
      <c r="A94" s="85"/>
      <c r="B94" s="85"/>
      <c r="C94" s="85"/>
      <c r="D94" s="51"/>
      <c r="E94" s="51"/>
      <c r="F94" s="78"/>
      <c r="G94" s="51"/>
      <c r="H94" s="51"/>
      <c r="I94" s="78"/>
      <c r="J94" s="121" t="s">
        <v>190</v>
      </c>
      <c r="K94" s="54">
        <f>COUNTIF('Itemization 202406'!L:L,J94)</f>
        <v>0</v>
      </c>
      <c r="L94" s="55">
        <f>(K94/K116)</f>
        <v>0</v>
      </c>
      <c r="M94" s="51"/>
      <c r="N94" s="51"/>
      <c r="O94" s="78"/>
      <c r="P94" s="51"/>
      <c r="Q94" s="51"/>
      <c r="R94" s="72"/>
    </row>
    <row r="95" ht="15.75" customHeight="1">
      <c r="A95" s="85"/>
      <c r="B95" s="85"/>
      <c r="C95" s="85"/>
      <c r="D95" s="51"/>
      <c r="E95" s="51"/>
      <c r="F95" s="78"/>
      <c r="G95" s="51"/>
      <c r="H95" s="51"/>
      <c r="I95" s="78"/>
      <c r="J95" s="121" t="s">
        <v>191</v>
      </c>
      <c r="K95" s="54">
        <f>COUNTIF('Itemization 202406'!L:L,J95)</f>
        <v>0</v>
      </c>
      <c r="L95" s="55">
        <f>(K95/K116)</f>
        <v>0</v>
      </c>
      <c r="M95" s="51"/>
      <c r="N95" s="51"/>
      <c r="O95" s="78"/>
      <c r="P95" s="51"/>
      <c r="Q95" s="51"/>
      <c r="R95" s="72"/>
    </row>
    <row r="96" ht="15.75" customHeight="1">
      <c r="A96" s="85"/>
      <c r="B96" s="85"/>
      <c r="C96" s="85"/>
      <c r="D96" s="51"/>
      <c r="E96" s="51"/>
      <c r="F96" s="78"/>
      <c r="G96" s="51"/>
      <c r="H96" s="51"/>
      <c r="I96" s="78"/>
      <c r="J96" s="210" t="s">
        <v>192</v>
      </c>
      <c r="K96" s="114">
        <f>COUNTIF('Itemization 202406'!L:L,J96)</f>
        <v>1</v>
      </c>
      <c r="L96" s="145">
        <f>(K96/K116)</f>
        <v>0.02631578947</v>
      </c>
      <c r="M96" s="51"/>
      <c r="N96" s="51"/>
      <c r="O96" s="78"/>
      <c r="P96" s="51"/>
      <c r="Q96" s="51"/>
      <c r="R96" s="72"/>
    </row>
    <row r="97" ht="15.75" customHeight="1">
      <c r="A97" s="85"/>
      <c r="B97" s="85"/>
      <c r="C97" s="85"/>
      <c r="D97" s="51"/>
      <c r="E97" s="51"/>
      <c r="F97" s="78"/>
      <c r="G97" s="51"/>
      <c r="H97" s="51"/>
      <c r="I97" s="78"/>
      <c r="J97" s="121" t="s">
        <v>193</v>
      </c>
      <c r="K97" s="54">
        <f>COUNTIF('Itemization 202406'!L:L,J97)</f>
        <v>0</v>
      </c>
      <c r="L97" s="55">
        <f>(K97/K116)</f>
        <v>0</v>
      </c>
      <c r="M97" s="51"/>
      <c r="N97" s="51"/>
      <c r="O97" s="78"/>
      <c r="P97" s="51"/>
      <c r="Q97" s="51"/>
      <c r="R97" s="72"/>
    </row>
    <row r="98" ht="15.75" customHeight="1">
      <c r="A98" s="85"/>
      <c r="B98" s="85"/>
      <c r="C98" s="85"/>
      <c r="D98" s="51"/>
      <c r="E98" s="51"/>
      <c r="F98" s="78"/>
      <c r="G98" s="51"/>
      <c r="H98" s="51"/>
      <c r="I98" s="78"/>
      <c r="J98" s="121" t="s">
        <v>194</v>
      </c>
      <c r="K98" s="54">
        <f>COUNTIF('Itemization 202406'!L:L,J98)</f>
        <v>0</v>
      </c>
      <c r="L98" s="55">
        <f>(K98/K116)</f>
        <v>0</v>
      </c>
      <c r="M98" s="51"/>
      <c r="N98" s="51"/>
      <c r="O98" s="78"/>
      <c r="P98" s="51"/>
      <c r="Q98" s="51"/>
      <c r="R98" s="72"/>
    </row>
    <row r="99" ht="15.75" customHeight="1">
      <c r="A99" s="85"/>
      <c r="B99" s="85"/>
      <c r="C99" s="85"/>
      <c r="D99" s="51"/>
      <c r="E99" s="51"/>
      <c r="F99" s="78"/>
      <c r="G99" s="51"/>
      <c r="H99" s="51"/>
      <c r="I99" s="78"/>
      <c r="J99" s="121" t="s">
        <v>195</v>
      </c>
      <c r="K99" s="54">
        <f>COUNTIF('Itemization 202406'!L:L,J99)</f>
        <v>0</v>
      </c>
      <c r="L99" s="55">
        <f>(K99/K116)</f>
        <v>0</v>
      </c>
      <c r="M99" s="51"/>
      <c r="N99" s="51"/>
      <c r="O99" s="78"/>
      <c r="P99" s="51"/>
      <c r="Q99" s="51"/>
      <c r="R99" s="72"/>
    </row>
    <row r="100" ht="15.75" customHeight="1">
      <c r="A100" s="85"/>
      <c r="B100" s="85"/>
      <c r="C100" s="85"/>
      <c r="D100" s="51"/>
      <c r="E100" s="51"/>
      <c r="F100" s="78"/>
      <c r="G100" s="51"/>
      <c r="H100" s="51"/>
      <c r="I100" s="78"/>
      <c r="J100" s="121" t="s">
        <v>196</v>
      </c>
      <c r="K100" s="54">
        <f>COUNTIF('Itemization 202406'!L:L,J100)</f>
        <v>0</v>
      </c>
      <c r="L100" s="55">
        <f>(K100/K116)</f>
        <v>0</v>
      </c>
      <c r="M100" s="51"/>
      <c r="N100" s="51"/>
      <c r="O100" s="78"/>
      <c r="P100" s="51"/>
      <c r="Q100" s="51"/>
      <c r="R100" s="72"/>
    </row>
    <row r="101" ht="15.75" customHeight="1">
      <c r="A101" s="85"/>
      <c r="B101" s="85"/>
      <c r="C101" s="85"/>
      <c r="D101" s="51"/>
      <c r="E101" s="51"/>
      <c r="F101" s="78"/>
      <c r="G101" s="51"/>
      <c r="H101" s="51"/>
      <c r="I101" s="78"/>
      <c r="J101" s="210" t="s">
        <v>197</v>
      </c>
      <c r="K101" s="114">
        <f>COUNTIF('Itemization 202406'!L:L,J101)</f>
        <v>1</v>
      </c>
      <c r="L101" s="145">
        <f>(K101/K116)</f>
        <v>0.02631578947</v>
      </c>
      <c r="M101" s="51"/>
      <c r="N101" s="51"/>
      <c r="O101" s="78"/>
      <c r="P101" s="51"/>
      <c r="Q101" s="51"/>
      <c r="R101" s="72"/>
    </row>
    <row r="102" ht="15.75" customHeight="1">
      <c r="A102" s="85"/>
      <c r="B102" s="85"/>
      <c r="C102" s="85"/>
      <c r="D102" s="51"/>
      <c r="E102" s="51"/>
      <c r="F102" s="78"/>
      <c r="G102" s="51"/>
      <c r="H102" s="51"/>
      <c r="I102" s="78"/>
      <c r="J102" s="121" t="s">
        <v>198</v>
      </c>
      <c r="K102" s="54">
        <f>COUNTIF('Itemization 202406'!L:L,J102)</f>
        <v>0</v>
      </c>
      <c r="L102" s="55">
        <f>(K102/K116)</f>
        <v>0</v>
      </c>
      <c r="M102" s="51"/>
      <c r="N102" s="51"/>
      <c r="O102" s="78"/>
      <c r="P102" s="51"/>
      <c r="Q102" s="51"/>
      <c r="R102" s="72"/>
    </row>
    <row r="103" ht="15.75" customHeight="1">
      <c r="A103" s="85"/>
      <c r="B103" s="85"/>
      <c r="C103" s="85"/>
      <c r="D103" s="51"/>
      <c r="E103" s="51"/>
      <c r="F103" s="78"/>
      <c r="G103" s="51"/>
      <c r="H103" s="51"/>
      <c r="I103" s="78"/>
      <c r="J103" s="121" t="s">
        <v>199</v>
      </c>
      <c r="K103" s="54">
        <f>COUNTIF('Itemization 202406'!L:L,J103)</f>
        <v>0</v>
      </c>
      <c r="L103" s="55">
        <f>(K103/K116)</f>
        <v>0</v>
      </c>
      <c r="M103" s="51"/>
      <c r="N103" s="51"/>
      <c r="O103" s="78"/>
      <c r="P103" s="51"/>
      <c r="Q103" s="51"/>
      <c r="R103" s="72"/>
    </row>
    <row r="104" ht="15.75" customHeight="1">
      <c r="A104" s="85"/>
      <c r="B104" s="85"/>
      <c r="C104" s="85"/>
      <c r="D104" s="51"/>
      <c r="E104" s="51"/>
      <c r="F104" s="78"/>
      <c r="G104" s="51"/>
      <c r="H104" s="51"/>
      <c r="I104" s="78"/>
      <c r="J104" s="121" t="s">
        <v>200</v>
      </c>
      <c r="K104" s="54">
        <f>COUNTIF('Itemization 202406'!L:L,J104)</f>
        <v>0</v>
      </c>
      <c r="L104" s="55">
        <f>(K104/K116)</f>
        <v>0</v>
      </c>
      <c r="M104" s="51"/>
      <c r="N104" s="51"/>
      <c r="O104" s="78"/>
      <c r="P104" s="51"/>
      <c r="Q104" s="51"/>
      <c r="R104" s="72"/>
    </row>
    <row r="105" ht="15.75" customHeight="1">
      <c r="A105" s="85"/>
      <c r="B105" s="85"/>
      <c r="C105" s="85"/>
      <c r="D105" s="51"/>
      <c r="E105" s="51"/>
      <c r="F105" s="78"/>
      <c r="G105" s="51"/>
      <c r="H105" s="51"/>
      <c r="I105" s="78"/>
      <c r="J105" s="121" t="s">
        <v>201</v>
      </c>
      <c r="K105" s="54">
        <f>COUNTIF('Itemization 202406'!L:L,J105)</f>
        <v>0</v>
      </c>
      <c r="L105" s="55">
        <f>(K105/K116)</f>
        <v>0</v>
      </c>
      <c r="M105" s="51"/>
      <c r="N105" s="51"/>
      <c r="O105" s="78"/>
      <c r="P105" s="51"/>
      <c r="Q105" s="51"/>
      <c r="R105" s="72"/>
    </row>
    <row r="106" ht="15.75" customHeight="1">
      <c r="A106" s="85"/>
      <c r="B106" s="85"/>
      <c r="C106" s="85"/>
      <c r="D106" s="51"/>
      <c r="E106" s="51"/>
      <c r="F106" s="78"/>
      <c r="G106" s="51"/>
      <c r="H106" s="51"/>
      <c r="I106" s="78"/>
      <c r="J106" s="121" t="s">
        <v>202</v>
      </c>
      <c r="K106" s="54">
        <f>COUNTIF('Itemization 202406'!L:L,J106)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COUNTIF('Itemization 202406'!L:L,J107)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COUNTIF('Itemization 202406'!L:L,J108)</f>
        <v>0</v>
      </c>
      <c r="L108" s="55">
        <f>(K108/K116)</f>
        <v>0</v>
      </c>
      <c r="M108" s="51"/>
      <c r="N108" s="51"/>
      <c r="O108" s="78"/>
      <c r="P108" s="51"/>
      <c r="Q108" s="51"/>
      <c r="R108" s="72"/>
    </row>
    <row r="109" ht="15.75" customHeight="1">
      <c r="A109" s="85"/>
      <c r="B109" s="85"/>
      <c r="C109" s="85"/>
      <c r="D109" s="51"/>
      <c r="E109" s="51"/>
      <c r="F109" s="78"/>
      <c r="G109" s="51"/>
      <c r="H109" s="51"/>
      <c r="I109" s="78"/>
      <c r="J109" s="121" t="s">
        <v>205</v>
      </c>
      <c r="K109" s="54">
        <f>COUNTIF('Itemization 202406'!L:L,J109)</f>
        <v>0</v>
      </c>
      <c r="L109" s="55">
        <f>(K109/K116)</f>
        <v>0</v>
      </c>
      <c r="M109" s="51"/>
      <c r="N109" s="51"/>
      <c r="O109" s="78"/>
      <c r="P109" s="51"/>
      <c r="Q109" s="51"/>
      <c r="R109" s="72"/>
    </row>
    <row r="110" ht="15.75" customHeight="1">
      <c r="A110" s="85"/>
      <c r="B110" s="85"/>
      <c r="C110" s="85"/>
      <c r="D110" s="51"/>
      <c r="E110" s="51"/>
      <c r="F110" s="78"/>
      <c r="G110" s="51"/>
      <c r="H110" s="51"/>
      <c r="I110" s="78"/>
      <c r="J110" s="121" t="s">
        <v>206</v>
      </c>
      <c r="K110" s="54">
        <f>COUNTIF('Itemization 202406'!L:L,J110)</f>
        <v>0</v>
      </c>
      <c r="L110" s="55">
        <f>(K110/K116)</f>
        <v>0</v>
      </c>
      <c r="M110" s="51"/>
      <c r="N110" s="51"/>
      <c r="O110" s="78"/>
      <c r="P110" s="51"/>
      <c r="Q110" s="51"/>
      <c r="R110" s="72"/>
    </row>
    <row r="111" ht="15.75" customHeight="1">
      <c r="A111" s="85"/>
      <c r="B111" s="85"/>
      <c r="C111" s="85"/>
      <c r="D111" s="51"/>
      <c r="E111" s="51"/>
      <c r="F111" s="78"/>
      <c r="G111" s="51"/>
      <c r="H111" s="51"/>
      <c r="I111" s="78"/>
      <c r="J111" s="121" t="s">
        <v>207</v>
      </c>
      <c r="K111" s="54">
        <f>COUNTIF('Itemization 202406'!L:L,J111)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COUNTIF('Itemization 202406'!L:L,J112)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COUNTIF('Itemization 202406'!L:L,J113)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COUNTIF('Itemization 202406'!L:L,J114)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COUNTIF('Itemization 202406'!L:L,J115)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38</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37.63"/>
    <col hidden="1" min="21" max="27" width="12.63"/>
    <col customWidth="1" hidden="1" min="28" max="28" width="25.88"/>
  </cols>
  <sheetData>
    <row r="1">
      <c r="A1" s="320"/>
      <c r="B1" s="320"/>
      <c r="C1" s="320"/>
      <c r="D1" s="321"/>
      <c r="E1" s="321"/>
      <c r="F1" s="321"/>
      <c r="G1" s="321"/>
      <c r="H1" s="322" t="s">
        <v>76</v>
      </c>
      <c r="L1" s="322" t="s">
        <v>0</v>
      </c>
      <c r="O1" s="322" t="s">
        <v>221</v>
      </c>
      <c r="U1" s="321"/>
      <c r="V1" s="321"/>
      <c r="W1" s="321"/>
      <c r="X1" s="321"/>
      <c r="Y1" s="321"/>
      <c r="Z1" s="321"/>
      <c r="AA1" s="321"/>
      <c r="AB1" s="321"/>
    </row>
    <row r="2">
      <c r="A2" s="258" t="s">
        <v>222</v>
      </c>
      <c r="B2" s="259" t="s">
        <v>223</v>
      </c>
      <c r="C2" s="259" t="s">
        <v>224</v>
      </c>
      <c r="D2" s="259" t="s">
        <v>225</v>
      </c>
      <c r="E2" s="259" t="s">
        <v>226</v>
      </c>
      <c r="F2" s="259" t="s">
        <v>227</v>
      </c>
      <c r="G2" s="259" t="s">
        <v>228</v>
      </c>
      <c r="H2" s="258" t="s">
        <v>63</v>
      </c>
      <c r="I2" s="259" t="s">
        <v>229</v>
      </c>
      <c r="J2" s="259" t="s">
        <v>77</v>
      </c>
      <c r="K2" s="260" t="s">
        <v>78</v>
      </c>
      <c r="L2" s="260" t="s">
        <v>79</v>
      </c>
      <c r="M2" s="261" t="s">
        <v>71</v>
      </c>
      <c r="N2" s="262" t="s">
        <v>72</v>
      </c>
      <c r="O2" s="261" t="s">
        <v>2</v>
      </c>
      <c r="P2" s="259" t="s">
        <v>230</v>
      </c>
      <c r="Q2" s="262" t="s">
        <v>231</v>
      </c>
      <c r="R2" s="262" t="s">
        <v>232</v>
      </c>
      <c r="S2" s="262" t="s">
        <v>233</v>
      </c>
      <c r="T2" s="261" t="s">
        <v>234</v>
      </c>
      <c r="U2" s="259" t="s">
        <v>235</v>
      </c>
      <c r="V2" s="259" t="s">
        <v>236</v>
      </c>
      <c r="W2" s="259" t="s">
        <v>237</v>
      </c>
      <c r="X2" s="259" t="s">
        <v>238</v>
      </c>
      <c r="Y2" s="259" t="s">
        <v>239</v>
      </c>
      <c r="Z2" s="259" t="s">
        <v>240</v>
      </c>
      <c r="AA2" s="258" t="s">
        <v>241</v>
      </c>
      <c r="AB2" s="263" t="s">
        <v>242</v>
      </c>
    </row>
    <row r="3" ht="15.75" customHeight="1">
      <c r="A3" s="264" t="s">
        <v>243</v>
      </c>
      <c r="B3" s="265" t="s">
        <v>244</v>
      </c>
      <c r="C3" s="265">
        <v>1.0</v>
      </c>
      <c r="D3" s="266">
        <v>2.0</v>
      </c>
      <c r="E3" s="265"/>
      <c r="F3" s="267"/>
      <c r="G3" s="265"/>
      <c r="H3" s="268" t="s">
        <v>341</v>
      </c>
      <c r="I3" s="265" t="s">
        <v>82</v>
      </c>
      <c r="J3" s="265" t="s">
        <v>83</v>
      </c>
      <c r="K3" s="284" t="s">
        <v>246</v>
      </c>
      <c r="L3" s="323" t="s">
        <v>88</v>
      </c>
      <c r="M3" s="264">
        <v>4.0</v>
      </c>
      <c r="N3" s="264" t="s">
        <v>89</v>
      </c>
      <c r="O3" s="271" t="str">
        <f>IFERROR(VLOOKUP(K3,'US History Framework Standards'!$A:$E,2,false),"")</f>
        <v>Colonial Foundations (1607-1763)</v>
      </c>
      <c r="P3" s="324" t="str">
        <f>IFERROR(__xludf.DUMMYFUNCTION("IFERROR(Index(SPLIT(#REF!,"".""),1,1))"),"")</f>
        <v/>
      </c>
      <c r="Q3" s="324" t="str">
        <f>IFERROR(__xludf.DUMMYFUNCTION("IFERROR(Index(SPLIT(#REF!,"".""),1,2))"),"")</f>
        <v/>
      </c>
      <c r="R3" s="324" t="str">
        <f>IFERROR(VLOOKUP(#REF!,'US History Framework Standards'!$A:$E,3,false),"")</f>
        <v/>
      </c>
      <c r="S3" s="324" t="str">
        <f>IFERROR(__xludf.DUMMYFUNCTION("IFERROR(Index(SPLIT(#REF!,"".""),1,3)&amp;Index(SPLIT(#REF!,"".""),1,4))"),"")</f>
        <v/>
      </c>
      <c r="T3" s="271" t="str">
        <f>iferror(VLOOKUP(L3,'US History Framework Standards'!$A:$E,2,false),"")</f>
        <v>Colonization Impact on Native Americans</v>
      </c>
      <c r="U3" s="265">
        <v>1.0</v>
      </c>
      <c r="V3" s="265" t="s">
        <v>247</v>
      </c>
      <c r="W3" s="265">
        <v>1201718.0</v>
      </c>
      <c r="X3" s="267"/>
      <c r="Y3" s="267"/>
      <c r="Z3" s="264" t="s">
        <v>248</v>
      </c>
      <c r="AA3" s="272"/>
      <c r="AB3" s="272" t="str">
        <f t="shared" ref="AB3:AB30" si="1">V3&amp;"_"&amp;W3&amp;"_"&amp;A3&amp;".jpg"</f>
        <v>HXRG_1201718_Multiple Choice.jpg</v>
      </c>
    </row>
    <row r="4" ht="15.75" customHeight="1">
      <c r="A4" s="273" t="s">
        <v>243</v>
      </c>
      <c r="B4" s="274" t="s">
        <v>244</v>
      </c>
      <c r="C4" s="274">
        <v>2.0</v>
      </c>
      <c r="D4" s="275">
        <v>1.0</v>
      </c>
      <c r="E4" s="274"/>
      <c r="F4" s="276"/>
      <c r="G4" s="274"/>
      <c r="H4" s="277" t="s">
        <v>342</v>
      </c>
      <c r="I4" s="274" t="s">
        <v>86</v>
      </c>
      <c r="J4" s="274" t="s">
        <v>83</v>
      </c>
      <c r="K4" s="279" t="s">
        <v>250</v>
      </c>
      <c r="L4" s="279" t="s">
        <v>106</v>
      </c>
      <c r="M4" s="273">
        <v>12.0</v>
      </c>
      <c r="N4" s="273" t="s">
        <v>85</v>
      </c>
      <c r="O4" s="280" t="str">
        <f>IFERROR(VLOOKUP(K4,'US History Framework Standards'!$A:$E,2,false),"")</f>
        <v>Constitutional Foundations (1763–1824)</v>
      </c>
      <c r="P4" s="325" t="str">
        <f>IFERROR(__xludf.DUMMYFUNCTION("IFERROR(Index(SPLIT(#REF!,"".""),1,1))"),"")</f>
        <v/>
      </c>
      <c r="Q4" s="325" t="str">
        <f>IFERROR(__xludf.DUMMYFUNCTION("IFERROR(Index(SPLIT(#REF!,"".""),1,2))"),"")</f>
        <v/>
      </c>
      <c r="R4" s="325" t="str">
        <f>IFERROR(VLOOKUP(#REF!,'US History Framework Standards'!$A:$E,3,false),"")</f>
        <v/>
      </c>
      <c r="S4" s="325" t="str">
        <f>IFERROR(__xludf.DUMMYFUNCTION("IFERROR(Index(SPLIT(#REF!,"".""),1,3)&amp;Index(SPLIT(#REF!,"".""),1,4))"),"")</f>
        <v/>
      </c>
      <c r="T4" s="280" t="str">
        <f>iferror(VLOOKUP(L4,'US History Framework Standards'!$A:$E,2,false),"")</f>
        <v>Constitution Development &amp; Debates</v>
      </c>
      <c r="U4" s="276">
        <v>2.0</v>
      </c>
      <c r="V4" s="274" t="s">
        <v>247</v>
      </c>
      <c r="W4" s="274">
        <v>1201718.0</v>
      </c>
      <c r="X4" s="276"/>
      <c r="Y4" s="276"/>
      <c r="Z4" s="273" t="s">
        <v>248</v>
      </c>
      <c r="AA4" s="281"/>
      <c r="AB4" s="281" t="str">
        <f t="shared" si="1"/>
        <v>HXRG_1201718_Multiple Choice.jpg</v>
      </c>
    </row>
    <row r="5" ht="15.75" customHeight="1">
      <c r="A5" s="273" t="s">
        <v>243</v>
      </c>
      <c r="B5" s="274" t="s">
        <v>244</v>
      </c>
      <c r="C5" s="274">
        <v>3.0</v>
      </c>
      <c r="D5" s="275">
        <v>2.0</v>
      </c>
      <c r="E5" s="274"/>
      <c r="F5" s="276"/>
      <c r="G5" s="274"/>
      <c r="H5" s="277" t="s">
        <v>342</v>
      </c>
      <c r="I5" s="274" t="s">
        <v>86</v>
      </c>
      <c r="J5" s="274" t="s">
        <v>83</v>
      </c>
      <c r="K5" s="279" t="s">
        <v>250</v>
      </c>
      <c r="L5" s="279" t="s">
        <v>106</v>
      </c>
      <c r="M5" s="273">
        <v>9.0</v>
      </c>
      <c r="N5" s="273" t="s">
        <v>85</v>
      </c>
      <c r="O5" s="280" t="str">
        <f>IFERROR(VLOOKUP(K5,'US History Framework Standards'!$A:$E,2,false),"")</f>
        <v>Constitutional Foundations (1763–1824)</v>
      </c>
      <c r="P5" s="325" t="str">
        <f>IFERROR(__xludf.DUMMYFUNCTION("IFERROR(Index(SPLIT(#REF!,"".""),1,1))"),"")</f>
        <v/>
      </c>
      <c r="Q5" s="325" t="str">
        <f>IFERROR(__xludf.DUMMYFUNCTION("IFERROR(Index(SPLIT(#REF!,"".""),1,2))"),"")</f>
        <v/>
      </c>
      <c r="R5" s="325" t="str">
        <f>IFERROR(VLOOKUP(#REF!,'US History Framework Standards'!$A:$E,3,false),"")</f>
        <v/>
      </c>
      <c r="S5" s="325" t="str">
        <f>IFERROR(__xludf.DUMMYFUNCTION("IFERROR(Index(SPLIT(#REF!,"".""),1,3)&amp;Index(SPLIT(#REF!,"".""),1,4))"),"")</f>
        <v/>
      </c>
      <c r="T5" s="280" t="str">
        <f>iferror(VLOOKUP(L5,'US History Framework Standards'!$A:$E,2,false),"")</f>
        <v>Constitution Development &amp; Debates</v>
      </c>
      <c r="U5" s="276">
        <v>3.0</v>
      </c>
      <c r="V5" s="274" t="s">
        <v>247</v>
      </c>
      <c r="W5" s="274">
        <v>1201718.0</v>
      </c>
      <c r="X5" s="276"/>
      <c r="Y5" s="276"/>
      <c r="Z5" s="273" t="s">
        <v>248</v>
      </c>
      <c r="AA5" s="281"/>
      <c r="AB5" s="281" t="str">
        <f t="shared" si="1"/>
        <v>HXRG_1201718_Multiple Choice.jpg</v>
      </c>
    </row>
    <row r="6" ht="15.75" customHeight="1">
      <c r="A6" s="264" t="s">
        <v>243</v>
      </c>
      <c r="B6" s="265" t="s">
        <v>244</v>
      </c>
      <c r="C6" s="265">
        <v>4.0</v>
      </c>
      <c r="D6" s="266">
        <v>1.0</v>
      </c>
      <c r="E6" s="265"/>
      <c r="F6" s="267"/>
      <c r="G6" s="265"/>
      <c r="H6" s="283" t="s">
        <v>343</v>
      </c>
      <c r="I6" s="265" t="s">
        <v>82</v>
      </c>
      <c r="J6" s="265" t="s">
        <v>83</v>
      </c>
      <c r="K6" s="284" t="s">
        <v>254</v>
      </c>
      <c r="L6" s="284" t="s">
        <v>120</v>
      </c>
      <c r="M6" s="264">
        <v>4.0</v>
      </c>
      <c r="N6" s="264" t="s">
        <v>89</v>
      </c>
      <c r="O6" s="271" t="str">
        <f>IFERROR(VLOOKUP(K6,'US History Framework Standards'!$A:$E,2,false),"")</f>
        <v>Expansion, Nationalism, and Sectionalism (1800-1865)</v>
      </c>
      <c r="P6" s="324" t="str">
        <f>IFERROR(__xludf.DUMMYFUNCTION("IFERROR(Index(SPLIT(#REF!,"".""),1,1))"),"")</f>
        <v/>
      </c>
      <c r="Q6" s="324" t="str">
        <f>IFERROR(__xludf.DUMMYFUNCTION("IFERROR(Index(SPLIT(#REF!,"".""),1,2))"),"")</f>
        <v/>
      </c>
      <c r="R6" s="324" t="str">
        <f>IFERROR(VLOOKUP(#REF!,'US History Framework Standards'!$A:$E,3,false),"")</f>
        <v/>
      </c>
      <c r="S6" s="324" t="str">
        <f>IFERROR(__xludf.DUMMYFUNCTION("IFERROR(Index(SPLIT(#REF!,"".""),1,3)&amp;Index(SPLIT(#REF!,"".""),1,4))"),"")</f>
        <v/>
      </c>
      <c r="T6" s="271" t="str">
        <f>iferror(VLOOKUP(L6,'US History Framework Standards'!$A:$E,2,false),"")</f>
        <v>American Nationalism</v>
      </c>
      <c r="U6" s="267">
        <v>4.0</v>
      </c>
      <c r="V6" s="265" t="s">
        <v>247</v>
      </c>
      <c r="W6" s="265">
        <v>1201718.0</v>
      </c>
      <c r="X6" s="267"/>
      <c r="Y6" s="267"/>
      <c r="Z6" s="264" t="s">
        <v>248</v>
      </c>
      <c r="AA6" s="272"/>
      <c r="AB6" s="272" t="str">
        <f t="shared" si="1"/>
        <v>HXRG_1201718_Multiple Choice.jpg</v>
      </c>
    </row>
    <row r="7" ht="15.75" customHeight="1">
      <c r="A7" s="264" t="s">
        <v>243</v>
      </c>
      <c r="B7" s="265" t="s">
        <v>244</v>
      </c>
      <c r="C7" s="265">
        <v>5.0</v>
      </c>
      <c r="D7" s="266">
        <v>3.0</v>
      </c>
      <c r="E7" s="265"/>
      <c r="F7" s="267"/>
      <c r="G7" s="265"/>
      <c r="H7" s="283" t="s">
        <v>343</v>
      </c>
      <c r="I7" s="265" t="s">
        <v>82</v>
      </c>
      <c r="J7" s="265" t="s">
        <v>83</v>
      </c>
      <c r="K7" s="284" t="s">
        <v>254</v>
      </c>
      <c r="L7" s="284" t="s">
        <v>120</v>
      </c>
      <c r="M7" s="264">
        <v>17.0</v>
      </c>
      <c r="N7" s="264" t="s">
        <v>85</v>
      </c>
      <c r="O7" s="271" t="str">
        <f>IFERROR(VLOOKUP(K7,'US History Framework Standards'!$A:$E,2,false),"")</f>
        <v>Expansion, Nationalism, and Sectionalism (1800-1865)</v>
      </c>
      <c r="P7" s="324" t="str">
        <f>IFERROR(__xludf.DUMMYFUNCTION("IFERROR(Index(SPLIT(#REF!,"".""),1,1))"),"")</f>
        <v/>
      </c>
      <c r="Q7" s="324" t="str">
        <f>IFERROR(__xludf.DUMMYFUNCTION("IFERROR(Index(SPLIT(#REF!,"".""),1,2))"),"")</f>
        <v/>
      </c>
      <c r="R7" s="324" t="str">
        <f>IFERROR(VLOOKUP(#REF!,'US History Framework Standards'!$A:$E,3,false),"")</f>
        <v/>
      </c>
      <c r="S7" s="324" t="str">
        <f>IFERROR(__xludf.DUMMYFUNCTION("IFERROR(Index(SPLIT(#REF!,"".""),1,3)&amp;Index(SPLIT(#REF!,"".""),1,4))"),"")</f>
        <v/>
      </c>
      <c r="T7" s="271" t="str">
        <f>iferror(VLOOKUP(L7,'US History Framework Standards'!$A:$E,2,false),"")</f>
        <v>American Nationalism</v>
      </c>
      <c r="U7" s="267">
        <v>5.0</v>
      </c>
      <c r="V7" s="265" t="s">
        <v>247</v>
      </c>
      <c r="W7" s="265">
        <v>1201718.0</v>
      </c>
      <c r="X7" s="267"/>
      <c r="Y7" s="267"/>
      <c r="Z7" s="264" t="s">
        <v>248</v>
      </c>
      <c r="AA7" s="272"/>
      <c r="AB7" s="272" t="str">
        <f t="shared" si="1"/>
        <v>HXRG_1201718_Multiple Choice.jpg</v>
      </c>
    </row>
    <row r="8" ht="15.75" customHeight="1">
      <c r="A8" s="273" t="s">
        <v>243</v>
      </c>
      <c r="B8" s="274" t="s">
        <v>244</v>
      </c>
      <c r="C8" s="274">
        <v>6.0</v>
      </c>
      <c r="D8" s="275">
        <v>4.0</v>
      </c>
      <c r="E8" s="274"/>
      <c r="F8" s="276"/>
      <c r="G8" s="274"/>
      <c r="H8" s="282" t="s">
        <v>344</v>
      </c>
      <c r="I8" s="274" t="s">
        <v>82</v>
      </c>
      <c r="J8" s="274" t="s">
        <v>83</v>
      </c>
      <c r="K8" s="279" t="s">
        <v>254</v>
      </c>
      <c r="L8" s="279" t="s">
        <v>128</v>
      </c>
      <c r="M8" s="273">
        <v>2.0</v>
      </c>
      <c r="N8" s="273" t="s">
        <v>89</v>
      </c>
      <c r="O8" s="280" t="str">
        <f>IFERROR(VLOOKUP(K8,'US History Framework Standards'!$A:$E,2,false),"")</f>
        <v>Expansion, Nationalism, and Sectionalism (1800-1865)</v>
      </c>
      <c r="P8" s="325" t="str">
        <f>IFERROR(__xludf.DUMMYFUNCTION("IFERROR(Index(SPLIT(#REF!,"".""),1,1))"),"")</f>
        <v/>
      </c>
      <c r="Q8" s="325" t="str">
        <f>IFERROR(__xludf.DUMMYFUNCTION("IFERROR(Index(SPLIT(#REF!,"".""),1,2))"),"")</f>
        <v/>
      </c>
      <c r="R8" s="325" t="str">
        <f>IFERROR(VLOOKUP(#REF!,'US History Framework Standards'!$A:$E,3,false),"")</f>
        <v/>
      </c>
      <c r="S8" s="325" t="str">
        <f>IFERROR(__xludf.DUMMYFUNCTION("IFERROR(Index(SPLIT(#REF!,"".""),1,3)&amp;Index(SPLIT(#REF!,"".""),1,4))"),"")</f>
        <v/>
      </c>
      <c r="T8" s="280" t="str">
        <f>iferror(VLOOKUP(L8,'US History Framework Standards'!$A:$E,2,false),"")</f>
        <v>Federal Power: Habeas Corpus &amp; Emancipation</v>
      </c>
      <c r="U8" s="276">
        <v>6.0</v>
      </c>
      <c r="V8" s="274" t="s">
        <v>247</v>
      </c>
      <c r="W8" s="274">
        <v>1201718.0</v>
      </c>
      <c r="X8" s="276"/>
      <c r="Y8" s="276"/>
      <c r="Z8" s="273" t="s">
        <v>248</v>
      </c>
      <c r="AA8" s="281"/>
      <c r="AB8" s="281" t="str">
        <f t="shared" si="1"/>
        <v>HXRG_1201718_Multiple Choice.jpg</v>
      </c>
    </row>
    <row r="9" ht="15.75" customHeight="1">
      <c r="A9" s="273" t="s">
        <v>243</v>
      </c>
      <c r="B9" s="274" t="s">
        <v>244</v>
      </c>
      <c r="C9" s="274">
        <v>7.0</v>
      </c>
      <c r="D9" s="275">
        <v>2.0</v>
      </c>
      <c r="E9" s="274"/>
      <c r="F9" s="276"/>
      <c r="G9" s="274"/>
      <c r="H9" s="277" t="s">
        <v>344</v>
      </c>
      <c r="I9" s="274" t="s">
        <v>82</v>
      </c>
      <c r="J9" s="274" t="s">
        <v>83</v>
      </c>
      <c r="K9" s="279" t="s">
        <v>254</v>
      </c>
      <c r="L9" s="279" t="s">
        <v>128</v>
      </c>
      <c r="M9" s="273">
        <v>15.0</v>
      </c>
      <c r="N9" s="273" t="s">
        <v>89</v>
      </c>
      <c r="O9" s="280" t="str">
        <f>IFERROR(VLOOKUP(K9,'US History Framework Standards'!$A:$E,2,false),"")</f>
        <v>Expansion, Nationalism, and Sectionalism (1800-1865)</v>
      </c>
      <c r="P9" s="325" t="str">
        <f>IFERROR(__xludf.DUMMYFUNCTION("IFERROR(Index(SPLIT(#REF!,"".""),1,1))"),"")</f>
        <v/>
      </c>
      <c r="Q9" s="325" t="str">
        <f>IFERROR(__xludf.DUMMYFUNCTION("IFERROR(Index(SPLIT(#REF!,"".""),1,2))"),"")</f>
        <v/>
      </c>
      <c r="R9" s="325" t="str">
        <f>IFERROR(VLOOKUP(#REF!,'US History Framework Standards'!$A:$E,3,false),"")</f>
        <v/>
      </c>
      <c r="S9" s="325" t="str">
        <f>IFERROR(__xludf.DUMMYFUNCTION("IFERROR(Index(SPLIT(#REF!,"".""),1,3)&amp;Index(SPLIT(#REF!,"".""),1,4))"),"")</f>
        <v/>
      </c>
      <c r="T9" s="271" t="str">
        <f>iferror(VLOOKUP(L9,'US History Framework Standards'!$A:$E,2,false),"")</f>
        <v>Federal Power: Habeas Corpus &amp; Emancipation</v>
      </c>
      <c r="U9" s="276">
        <v>7.0</v>
      </c>
      <c r="V9" s="274" t="s">
        <v>247</v>
      </c>
      <c r="W9" s="274">
        <v>1201718.0</v>
      </c>
      <c r="X9" s="276"/>
      <c r="Y9" s="276"/>
      <c r="Z9" s="273" t="s">
        <v>248</v>
      </c>
      <c r="AA9" s="281"/>
      <c r="AB9" s="281" t="str">
        <f t="shared" si="1"/>
        <v>HXRG_1201718_Multiple Choice.jpg</v>
      </c>
    </row>
    <row r="10" ht="15.75" customHeight="1">
      <c r="A10" s="264" t="s">
        <v>243</v>
      </c>
      <c r="B10" s="265" t="s">
        <v>244</v>
      </c>
      <c r="C10" s="265">
        <v>8.0</v>
      </c>
      <c r="D10" s="266">
        <v>2.0</v>
      </c>
      <c r="E10" s="265"/>
      <c r="F10" s="267"/>
      <c r="G10" s="265"/>
      <c r="H10" s="326" t="s">
        <v>345</v>
      </c>
      <c r="I10" s="265" t="s">
        <v>82</v>
      </c>
      <c r="J10" s="265" t="s">
        <v>83</v>
      </c>
      <c r="K10" s="284" t="s">
        <v>256</v>
      </c>
      <c r="L10" s="284" t="s">
        <v>134</v>
      </c>
      <c r="M10" s="264">
        <v>15.0</v>
      </c>
      <c r="N10" s="264" t="s">
        <v>89</v>
      </c>
      <c r="O10" s="271" t="str">
        <f>IFERROR(VLOOKUP(K10,'US History Framework Standards'!$A:$E,2,false),"")</f>
        <v>Post-Civil War Era (1865-1900)</v>
      </c>
      <c r="P10" s="324" t="str">
        <f>IFERROR(__xludf.DUMMYFUNCTION("IFERROR(Index(SPLIT(#REF!,"".""),1,1))"),"")</f>
        <v/>
      </c>
      <c r="Q10" s="324" t="str">
        <f>IFERROR(__xludf.DUMMYFUNCTION("IFERROR(Index(SPLIT(#REF!,"".""),1,2))"),"")</f>
        <v/>
      </c>
      <c r="R10" s="324" t="str">
        <f>IFERROR(VLOOKUP(#REF!,'US History Framework Standards'!$A:$E,3,false),"")</f>
        <v/>
      </c>
      <c r="S10" s="324" t="str">
        <f>IFERROR(__xludf.DUMMYFUNCTION("IFERROR(Index(SPLIT(#REF!,"".""),1,3)&amp;Index(SPLIT(#REF!,"".""),1,4))"),"")</f>
        <v/>
      </c>
      <c r="T10" s="271" t="str">
        <f>iferror(VLOOKUP(L10,'US History Framework Standards'!$A:$E,2,false),"")</f>
        <v>Exclusion of Women &amp; Struggle for Rights</v>
      </c>
      <c r="U10" s="267">
        <v>8.0</v>
      </c>
      <c r="V10" s="265" t="s">
        <v>247</v>
      </c>
      <c r="W10" s="265">
        <v>1201718.0</v>
      </c>
      <c r="X10" s="267"/>
      <c r="Y10" s="267"/>
      <c r="Z10" s="264" t="s">
        <v>248</v>
      </c>
      <c r="AA10" s="272"/>
      <c r="AB10" s="272" t="str">
        <f t="shared" si="1"/>
        <v>HXRG_1201718_Multiple Choice.jpg</v>
      </c>
    </row>
    <row r="11" ht="15.75" customHeight="1">
      <c r="A11" s="264" t="s">
        <v>243</v>
      </c>
      <c r="B11" s="265" t="s">
        <v>244</v>
      </c>
      <c r="C11" s="265">
        <v>9.0</v>
      </c>
      <c r="D11" s="266">
        <v>3.0</v>
      </c>
      <c r="E11" s="265"/>
      <c r="F11" s="267"/>
      <c r="G11" s="265"/>
      <c r="H11" s="326" t="s">
        <v>346</v>
      </c>
      <c r="I11" s="265" t="s">
        <v>82</v>
      </c>
      <c r="J11" s="265" t="s">
        <v>83</v>
      </c>
      <c r="K11" s="284" t="s">
        <v>256</v>
      </c>
      <c r="L11" s="284" t="s">
        <v>134</v>
      </c>
      <c r="M11" s="264">
        <v>14.0</v>
      </c>
      <c r="N11" s="264" t="s">
        <v>85</v>
      </c>
      <c r="O11" s="271" t="str">
        <f>IFERROR(VLOOKUP(K11,'US History Framework Standards'!$A:$E,2,false),"")</f>
        <v>Post-Civil War Era (1865-1900)</v>
      </c>
      <c r="P11" s="324" t="str">
        <f>IFERROR(__xludf.DUMMYFUNCTION("IFERROR(Index(SPLIT(#REF!,"".""),1,1))"),"")</f>
        <v/>
      </c>
      <c r="Q11" s="324" t="str">
        <f>IFERROR(__xludf.DUMMYFUNCTION("IFERROR(Index(SPLIT(#REF!,"".""),1,2))"),"")</f>
        <v/>
      </c>
      <c r="R11" s="324" t="str">
        <f>IFERROR(VLOOKUP(#REF!,'US History Framework Standards'!$A:$E,3,false),"")</f>
        <v/>
      </c>
      <c r="S11" s="324" t="str">
        <f>IFERROR(__xludf.DUMMYFUNCTION("IFERROR(Index(SPLIT(#REF!,"".""),1,3)&amp;Index(SPLIT(#REF!,"".""),1,4))"),"")</f>
        <v/>
      </c>
      <c r="T11" s="271" t="str">
        <f>iferror(VLOOKUP(L11,'US History Framework Standards'!$A:$E,2,false),"")</f>
        <v>Exclusion of Women &amp; Struggle for Rights</v>
      </c>
      <c r="U11" s="267">
        <v>9.0</v>
      </c>
      <c r="V11" s="265" t="s">
        <v>247</v>
      </c>
      <c r="W11" s="265">
        <v>1201718.0</v>
      </c>
      <c r="X11" s="267"/>
      <c r="Y11" s="267"/>
      <c r="Z11" s="264" t="s">
        <v>248</v>
      </c>
      <c r="AA11" s="272"/>
      <c r="AB11" s="272" t="str">
        <f t="shared" si="1"/>
        <v>HXRG_1201718_Multiple Choice.jpg</v>
      </c>
    </row>
    <row r="12" ht="15.75" customHeight="1">
      <c r="A12" s="273" t="s">
        <v>243</v>
      </c>
      <c r="B12" s="274" t="s">
        <v>244</v>
      </c>
      <c r="C12" s="274">
        <v>10.0</v>
      </c>
      <c r="D12" s="275">
        <v>1.0</v>
      </c>
      <c r="E12" s="274"/>
      <c r="F12" s="276"/>
      <c r="G12" s="274"/>
      <c r="H12" s="282" t="s">
        <v>347</v>
      </c>
      <c r="I12" s="274" t="s">
        <v>82</v>
      </c>
      <c r="J12" s="274" t="s">
        <v>87</v>
      </c>
      <c r="K12" s="279" t="s">
        <v>258</v>
      </c>
      <c r="L12" s="279" t="s">
        <v>141</v>
      </c>
      <c r="M12" s="273">
        <v>14.0</v>
      </c>
      <c r="N12" s="273" t="s">
        <v>89</v>
      </c>
      <c r="O12" s="280" t="str">
        <f>IFERROR(VLOOKUP(K12,'US History Framework Standards'!$A:$E,2,false),"")</f>
        <v>Industrialization and Urbanization (1870-1920)</v>
      </c>
      <c r="P12" s="325" t="str">
        <f>IFERROR(__xludf.DUMMYFUNCTION("IFERROR(Index(SPLIT(#REF!,"".""),1,1))"),"")</f>
        <v/>
      </c>
      <c r="Q12" s="325" t="str">
        <f>IFERROR(__xludf.DUMMYFUNCTION("IFERROR(Index(SPLIT(#REF!,"".""),1,2))"),"")</f>
        <v/>
      </c>
      <c r="R12" s="325" t="str">
        <f>IFERROR(VLOOKUP(#REF!,'US History Framework Standards'!$A:$E,3,false),"")</f>
        <v/>
      </c>
      <c r="S12" s="325" t="str">
        <f>IFERROR(__xludf.DUMMYFUNCTION("IFERROR(Index(SPLIT(#REF!,"".""),1,3)&amp;Index(SPLIT(#REF!,"".""),1,4))"),"")</f>
        <v/>
      </c>
      <c r="T12" s="280" t="str">
        <f>iferror(VLOOKUP(L12,'US History Framework Standards'!$A:$E,2,false),"")</f>
        <v>Regulation vs Monopolies</v>
      </c>
      <c r="U12" s="276">
        <v>10.0</v>
      </c>
      <c r="V12" s="274" t="s">
        <v>247</v>
      </c>
      <c r="W12" s="274">
        <v>1201718.0</v>
      </c>
      <c r="X12" s="276"/>
      <c r="Y12" s="276"/>
      <c r="Z12" s="273" t="s">
        <v>248</v>
      </c>
      <c r="AA12" s="281"/>
      <c r="AB12" s="281" t="str">
        <f t="shared" si="1"/>
        <v>HXRG_1201718_Multiple Choice.jpg</v>
      </c>
    </row>
    <row r="13" ht="15.75" customHeight="1">
      <c r="A13" s="273" t="s">
        <v>243</v>
      </c>
      <c r="B13" s="274" t="s">
        <v>244</v>
      </c>
      <c r="C13" s="274">
        <v>11.0</v>
      </c>
      <c r="D13" s="275">
        <v>2.0</v>
      </c>
      <c r="E13" s="274"/>
      <c r="F13" s="276"/>
      <c r="G13" s="274"/>
      <c r="H13" s="282" t="s">
        <v>347</v>
      </c>
      <c r="I13" s="274" t="s">
        <v>82</v>
      </c>
      <c r="J13" s="274" t="s">
        <v>87</v>
      </c>
      <c r="K13" s="279" t="s">
        <v>258</v>
      </c>
      <c r="L13" s="279" t="s">
        <v>141</v>
      </c>
      <c r="M13" s="273">
        <v>2.0</v>
      </c>
      <c r="N13" s="273" t="s">
        <v>85</v>
      </c>
      <c r="O13" s="280" t="str">
        <f>IFERROR(VLOOKUP(K13,'US History Framework Standards'!$A:$E,2,false),"")</f>
        <v>Industrialization and Urbanization (1870-1920)</v>
      </c>
      <c r="P13" s="325" t="str">
        <f>IFERROR(__xludf.DUMMYFUNCTION("IFERROR(Index(SPLIT(#REF!,"".""),1,1))"),"")</f>
        <v/>
      </c>
      <c r="Q13" s="325" t="str">
        <f>IFERROR(__xludf.DUMMYFUNCTION("IFERROR(Index(SPLIT(#REF!,"".""),1,2))"),"")</f>
        <v/>
      </c>
      <c r="R13" s="325" t="str">
        <f>IFERROR(VLOOKUP(#REF!,'US History Framework Standards'!$A:$E,3,false),"")</f>
        <v/>
      </c>
      <c r="S13" s="325" t="str">
        <f>IFERROR(__xludf.DUMMYFUNCTION("IFERROR(Index(SPLIT(#REF!,"".""),1,3)&amp;Index(SPLIT(#REF!,"".""),1,4))"),"")</f>
        <v/>
      </c>
      <c r="T13" s="271" t="str">
        <f>iferror(VLOOKUP(L13,'US History Framework Standards'!$A:$E,2,false),"")</f>
        <v>Regulation vs Monopolies</v>
      </c>
      <c r="U13" s="276">
        <v>11.0</v>
      </c>
      <c r="V13" s="274" t="s">
        <v>247</v>
      </c>
      <c r="W13" s="274">
        <v>1201718.0</v>
      </c>
      <c r="X13" s="276"/>
      <c r="Y13" s="276"/>
      <c r="Z13" s="273" t="s">
        <v>248</v>
      </c>
      <c r="AA13" s="281"/>
      <c r="AB13" s="281" t="str">
        <f t="shared" si="1"/>
        <v>HXRG_1201718_Multiple Choice.jpg</v>
      </c>
    </row>
    <row r="14" ht="15.75" customHeight="1">
      <c r="A14" s="264" t="s">
        <v>243</v>
      </c>
      <c r="B14" s="265" t="s">
        <v>244</v>
      </c>
      <c r="C14" s="265">
        <v>12.0</v>
      </c>
      <c r="D14" s="266">
        <v>4.0</v>
      </c>
      <c r="E14" s="265"/>
      <c r="F14" s="267"/>
      <c r="G14" s="265"/>
      <c r="H14" s="283" t="s">
        <v>348</v>
      </c>
      <c r="I14" s="265" t="s">
        <v>82</v>
      </c>
      <c r="J14" s="265" t="s">
        <v>83</v>
      </c>
      <c r="K14" s="284" t="s">
        <v>261</v>
      </c>
      <c r="L14" s="284" t="s">
        <v>150</v>
      </c>
      <c r="M14" s="264">
        <v>1.0</v>
      </c>
      <c r="N14" s="264" t="s">
        <v>85</v>
      </c>
      <c r="O14" s="271" t="str">
        <f>IFERROR(VLOOKUP(K14,'US History Framework Standards'!$A:$E,2,false),"")</f>
        <v>Rise of American Power (1890-1920)</v>
      </c>
      <c r="P14" s="324" t="str">
        <f>IFERROR(__xludf.DUMMYFUNCTION("IFERROR(Index(SPLIT(#REF!,"".""),1,1))"),"")</f>
        <v/>
      </c>
      <c r="Q14" s="324" t="str">
        <f>IFERROR(__xludf.DUMMYFUNCTION("IFERROR(Index(SPLIT(#REF!,"".""),1,2))"),"")</f>
        <v/>
      </c>
      <c r="R14" s="324" t="str">
        <f>IFERROR(VLOOKUP(#REF!,'US History Framework Standards'!$A:$E,3,false),"")</f>
        <v/>
      </c>
      <c r="S14" s="324" t="str">
        <f>IFERROR(__xludf.DUMMYFUNCTION("IFERROR(Index(SPLIT(#REF!,"".""),1,3)&amp;Index(SPLIT(#REF!,"".""),1,4))"),"")</f>
        <v/>
      </c>
      <c r="T14" s="271" t="str">
        <f>iferror(VLOOKUP(L14,'US History Framework Standards'!$A:$E,2,false),"")</f>
        <v>Spanish American War</v>
      </c>
      <c r="U14" s="267">
        <v>12.0</v>
      </c>
      <c r="V14" s="265" t="s">
        <v>247</v>
      </c>
      <c r="W14" s="265">
        <v>1201718.0</v>
      </c>
      <c r="X14" s="267"/>
      <c r="Y14" s="267"/>
      <c r="Z14" s="264" t="s">
        <v>248</v>
      </c>
      <c r="AA14" s="272"/>
      <c r="AB14" s="272" t="str">
        <f t="shared" si="1"/>
        <v>HXRG_1201718_Multiple Choice.jpg</v>
      </c>
    </row>
    <row r="15" ht="15.75" customHeight="1">
      <c r="A15" s="264" t="s">
        <v>243</v>
      </c>
      <c r="B15" s="265" t="s">
        <v>244</v>
      </c>
      <c r="C15" s="265">
        <v>13.0</v>
      </c>
      <c r="D15" s="266">
        <v>3.0</v>
      </c>
      <c r="E15" s="265"/>
      <c r="F15" s="267"/>
      <c r="G15" s="265"/>
      <c r="H15" s="268" t="s">
        <v>348</v>
      </c>
      <c r="I15" s="265" t="s">
        <v>82</v>
      </c>
      <c r="J15" s="265" t="s">
        <v>83</v>
      </c>
      <c r="K15" s="284" t="s">
        <v>261</v>
      </c>
      <c r="L15" s="284" t="s">
        <v>150</v>
      </c>
      <c r="M15" s="264">
        <v>12.0</v>
      </c>
      <c r="N15" s="264" t="s">
        <v>85</v>
      </c>
      <c r="O15" s="271" t="str">
        <f>IFERROR(VLOOKUP(K15,'US History Framework Standards'!$A:$E,2,false),"")</f>
        <v>Rise of American Power (1890-1920)</v>
      </c>
      <c r="P15" s="324" t="str">
        <f>IFERROR(__xludf.DUMMYFUNCTION("IFERROR(Index(SPLIT(#REF!,"".""),1,1))"),"")</f>
        <v/>
      </c>
      <c r="Q15" s="324" t="str">
        <f>IFERROR(__xludf.DUMMYFUNCTION("IFERROR(Index(SPLIT(#REF!,"".""),1,2))"),"")</f>
        <v/>
      </c>
      <c r="R15" s="324" t="str">
        <f>IFERROR(VLOOKUP(#REF!,'US History Framework Standards'!$A:$E,3,false),"")</f>
        <v/>
      </c>
      <c r="S15" s="324" t="str">
        <f>IFERROR(__xludf.DUMMYFUNCTION("IFERROR(Index(SPLIT(#REF!,"".""),1,3)&amp;Index(SPLIT(#REF!,"".""),1,4))"),"")</f>
        <v/>
      </c>
      <c r="T15" s="271" t="str">
        <f>iferror(VLOOKUP(L15,'US History Framework Standards'!$A:$E,2,false),"")</f>
        <v>Spanish American War</v>
      </c>
      <c r="U15" s="267">
        <v>13.0</v>
      </c>
      <c r="V15" s="265" t="s">
        <v>247</v>
      </c>
      <c r="W15" s="265">
        <v>1201718.0</v>
      </c>
      <c r="X15" s="267"/>
      <c r="Y15" s="267"/>
      <c r="Z15" s="264" t="s">
        <v>248</v>
      </c>
      <c r="AA15" s="272"/>
      <c r="AB15" s="272" t="str">
        <f t="shared" si="1"/>
        <v>HXRG_1201718_Multiple Choice.jpg</v>
      </c>
    </row>
    <row r="16" ht="15.75" customHeight="1">
      <c r="A16" s="273" t="s">
        <v>243</v>
      </c>
      <c r="B16" s="274" t="s">
        <v>244</v>
      </c>
      <c r="C16" s="274">
        <v>14.0</v>
      </c>
      <c r="D16" s="275">
        <v>3.0</v>
      </c>
      <c r="E16" s="274"/>
      <c r="F16" s="276"/>
      <c r="G16" s="274"/>
      <c r="H16" s="277" t="s">
        <v>349</v>
      </c>
      <c r="I16" s="274" t="s">
        <v>82</v>
      </c>
      <c r="J16" s="274" t="s">
        <v>87</v>
      </c>
      <c r="K16" s="279" t="s">
        <v>261</v>
      </c>
      <c r="L16" s="279" t="s">
        <v>151</v>
      </c>
      <c r="M16" s="273">
        <v>1.0</v>
      </c>
      <c r="N16" s="273" t="s">
        <v>85</v>
      </c>
      <c r="O16" s="280" t="str">
        <f>IFERROR(VLOOKUP(K16,'US History Framework Standards'!$A:$E,2,false),"")</f>
        <v>Rise of American Power (1890-1920)</v>
      </c>
      <c r="P16" s="325" t="str">
        <f>IFERROR(__xludf.DUMMYFUNCTION("IFERROR(Index(SPLIT(#REF!,"".""),1,1))"),"")</f>
        <v/>
      </c>
      <c r="Q16" s="325" t="str">
        <f>IFERROR(__xludf.DUMMYFUNCTION("IFERROR(Index(SPLIT(#REF!,"".""),1,2))"),"")</f>
        <v/>
      </c>
      <c r="R16" s="325" t="str">
        <f>IFERROR(VLOOKUP(#REF!,'US History Framework Standards'!$A:$E,3,false),"")</f>
        <v/>
      </c>
      <c r="S16" s="325" t="str">
        <f>IFERROR(__xludf.DUMMYFUNCTION("IFERROR(Index(SPLIT(#REF!,"".""),1,3)&amp;Index(SPLIT(#REF!,"".""),1,4))"),"")</f>
        <v/>
      </c>
      <c r="T16" s="280" t="str">
        <f>iferror(VLOOKUP(L16,'US History Framework Standards'!$A:$E,2,false),"")</f>
        <v>Imperialism &amp; the Philippines</v>
      </c>
      <c r="U16" s="276">
        <v>14.0</v>
      </c>
      <c r="V16" s="274" t="s">
        <v>247</v>
      </c>
      <c r="W16" s="274">
        <v>1201718.0</v>
      </c>
      <c r="X16" s="276"/>
      <c r="Y16" s="276"/>
      <c r="Z16" s="273" t="s">
        <v>248</v>
      </c>
      <c r="AA16" s="281"/>
      <c r="AB16" s="281" t="str">
        <f t="shared" si="1"/>
        <v>HXRG_1201718_Multiple Choice.jpg</v>
      </c>
    </row>
    <row r="17" ht="15.75" customHeight="1">
      <c r="A17" s="273" t="s">
        <v>243</v>
      </c>
      <c r="B17" s="274" t="s">
        <v>244</v>
      </c>
      <c r="C17" s="274">
        <v>15.0</v>
      </c>
      <c r="D17" s="275">
        <v>1.0</v>
      </c>
      <c r="E17" s="274"/>
      <c r="F17" s="276"/>
      <c r="G17" s="274"/>
      <c r="H17" s="285" t="s">
        <v>349</v>
      </c>
      <c r="I17" s="274" t="s">
        <v>82</v>
      </c>
      <c r="J17" s="274" t="s">
        <v>87</v>
      </c>
      <c r="K17" s="279" t="s">
        <v>261</v>
      </c>
      <c r="L17" s="279" t="s">
        <v>151</v>
      </c>
      <c r="M17" s="273">
        <v>8.0</v>
      </c>
      <c r="N17" s="273" t="s">
        <v>85</v>
      </c>
      <c r="O17" s="280" t="str">
        <f>IFERROR(VLOOKUP(K17,'US History Framework Standards'!$A:$E,2,false),"")</f>
        <v>Rise of American Power (1890-1920)</v>
      </c>
      <c r="P17" s="325" t="str">
        <f>IFERROR(__xludf.DUMMYFUNCTION("IFERROR(Index(SPLIT(#REF!,"".""),1,1))"),"")</f>
        <v/>
      </c>
      <c r="Q17" s="325" t="str">
        <f>IFERROR(__xludf.DUMMYFUNCTION("IFERROR(Index(SPLIT(#REF!,"".""),1,2))"),"")</f>
        <v/>
      </c>
      <c r="R17" s="325" t="str">
        <f>IFERROR(VLOOKUP(#REF!,'US History Framework Standards'!$A:$E,3,false),"")</f>
        <v/>
      </c>
      <c r="S17" s="325" t="str">
        <f>IFERROR(__xludf.DUMMYFUNCTION("IFERROR(Index(SPLIT(#REF!,"".""),1,3)&amp;Index(SPLIT(#REF!,"".""),1,4))"),"")</f>
        <v/>
      </c>
      <c r="T17" s="271" t="str">
        <f>iferror(VLOOKUP(L17,'US History Framework Standards'!$A:$E,2,false),"")</f>
        <v>Imperialism &amp; the Philippines</v>
      </c>
      <c r="U17" s="276">
        <v>15.0</v>
      </c>
      <c r="V17" s="274" t="s">
        <v>247</v>
      </c>
      <c r="W17" s="274">
        <v>1201718.0</v>
      </c>
      <c r="X17" s="276"/>
      <c r="Y17" s="276"/>
      <c r="Z17" s="273" t="s">
        <v>248</v>
      </c>
      <c r="AA17" s="281"/>
      <c r="AB17" s="281" t="str">
        <f t="shared" si="1"/>
        <v>HXRG_1201718_Multiple Choice.jpg</v>
      </c>
    </row>
    <row r="18" ht="15.75" customHeight="1">
      <c r="A18" s="264" t="s">
        <v>243</v>
      </c>
      <c r="B18" s="265" t="s">
        <v>244</v>
      </c>
      <c r="C18" s="265">
        <v>16.0</v>
      </c>
      <c r="D18" s="266">
        <v>3.0</v>
      </c>
      <c r="E18" s="265"/>
      <c r="F18" s="267"/>
      <c r="G18" s="265"/>
      <c r="H18" s="286" t="s">
        <v>350</v>
      </c>
      <c r="I18" s="265" t="s">
        <v>82</v>
      </c>
      <c r="J18" s="265" t="s">
        <v>87</v>
      </c>
      <c r="K18" s="284" t="s">
        <v>258</v>
      </c>
      <c r="L18" s="284" t="s">
        <v>148</v>
      </c>
      <c r="M18" s="264">
        <v>17.0</v>
      </c>
      <c r="N18" s="264" t="s">
        <v>85</v>
      </c>
      <c r="O18" s="271" t="str">
        <f>IFERROR(VLOOKUP(K18,'US History Framework Standards'!$A:$E,2,false),"")</f>
        <v>Industrialization and Urbanization (1870-1920)</v>
      </c>
      <c r="P18" s="324" t="str">
        <f>IFERROR(__xludf.DUMMYFUNCTION("IFERROR(Index(SPLIT(#REF!,"".""),1,1))"),"")</f>
        <v/>
      </c>
      <c r="Q18" s="324" t="str">
        <f>IFERROR(__xludf.DUMMYFUNCTION("IFERROR(Index(SPLIT(#REF!,"".""),1,2))"),"")</f>
        <v/>
      </c>
      <c r="R18" s="324" t="str">
        <f>IFERROR(VLOOKUP(#REF!,'US History Framework Standards'!$A:$E,3,false),"")</f>
        <v/>
      </c>
      <c r="S18" s="324" t="str">
        <f>IFERROR(__xludf.DUMMYFUNCTION("IFERROR(Index(SPLIT(#REF!,"".""),1,3)&amp;Index(SPLIT(#REF!,"".""),1,4))"),"")</f>
        <v/>
      </c>
      <c r="T18" s="271" t="str">
        <f>iferror(VLOOKUP(L18,'US History Framework Standards'!$A:$E,2,false),"")</f>
        <v>Influential Documents of the Progressive Era</v>
      </c>
      <c r="U18" s="267">
        <v>16.0</v>
      </c>
      <c r="V18" s="265" t="s">
        <v>247</v>
      </c>
      <c r="W18" s="265">
        <v>1201718.0</v>
      </c>
      <c r="X18" s="267"/>
      <c r="Y18" s="267"/>
      <c r="Z18" s="264" t="s">
        <v>248</v>
      </c>
      <c r="AA18" s="272"/>
      <c r="AB18" s="272" t="str">
        <f t="shared" si="1"/>
        <v>HXRG_1201718_Multiple Choice.jpg</v>
      </c>
    </row>
    <row r="19" ht="15.75" customHeight="1">
      <c r="A19" s="264" t="s">
        <v>243</v>
      </c>
      <c r="B19" s="265" t="s">
        <v>244</v>
      </c>
      <c r="C19" s="265">
        <v>17.0</v>
      </c>
      <c r="D19" s="266">
        <v>2.0</v>
      </c>
      <c r="E19" s="265"/>
      <c r="F19" s="267"/>
      <c r="G19" s="265"/>
      <c r="H19" s="283" t="s">
        <v>350</v>
      </c>
      <c r="I19" s="265" t="s">
        <v>82</v>
      </c>
      <c r="J19" s="265" t="s">
        <v>87</v>
      </c>
      <c r="K19" s="284" t="s">
        <v>258</v>
      </c>
      <c r="L19" s="284" t="s">
        <v>148</v>
      </c>
      <c r="M19" s="264">
        <v>18.0</v>
      </c>
      <c r="N19" s="264" t="s">
        <v>85</v>
      </c>
      <c r="O19" s="271" t="str">
        <f>IFERROR(VLOOKUP(K19,'US History Framework Standards'!$A:$E,2,false),"")</f>
        <v>Industrialization and Urbanization (1870-1920)</v>
      </c>
      <c r="P19" s="324" t="str">
        <f>IFERROR(__xludf.DUMMYFUNCTION("IFERROR(Index(SPLIT(#REF!,"".""),1,1))"),"")</f>
        <v/>
      </c>
      <c r="Q19" s="324" t="str">
        <f>IFERROR(__xludf.DUMMYFUNCTION("IFERROR(Index(SPLIT(#REF!,"".""),1,2))"),"")</f>
        <v/>
      </c>
      <c r="R19" s="324" t="str">
        <f>IFERROR(VLOOKUP(#REF!,'US History Framework Standards'!$A:$E,3,false),"")</f>
        <v/>
      </c>
      <c r="S19" s="324" t="str">
        <f>IFERROR(__xludf.DUMMYFUNCTION("IFERROR(Index(SPLIT(#REF!,"".""),1,3)&amp;Index(SPLIT(#REF!,"".""),1,4))"),"")</f>
        <v/>
      </c>
      <c r="T19" s="271" t="str">
        <f>iferror(VLOOKUP(L19,'US History Framework Standards'!$A:$E,2,false),"")</f>
        <v>Influential Documents of the Progressive Era</v>
      </c>
      <c r="U19" s="267">
        <v>17.0</v>
      </c>
      <c r="V19" s="265" t="s">
        <v>247</v>
      </c>
      <c r="W19" s="265">
        <v>1201718.0</v>
      </c>
      <c r="X19" s="267"/>
      <c r="Y19" s="267"/>
      <c r="Z19" s="264" t="s">
        <v>248</v>
      </c>
      <c r="AA19" s="272"/>
      <c r="AB19" s="272" t="str">
        <f t="shared" si="1"/>
        <v>HXRG_1201718_Multiple Choice.jpg</v>
      </c>
    </row>
    <row r="20" ht="15.75" customHeight="1">
      <c r="A20" s="273" t="s">
        <v>243</v>
      </c>
      <c r="B20" s="274" t="s">
        <v>244</v>
      </c>
      <c r="C20" s="274">
        <v>18.0</v>
      </c>
      <c r="D20" s="275">
        <v>4.0</v>
      </c>
      <c r="E20" s="274"/>
      <c r="F20" s="276"/>
      <c r="G20" s="274"/>
      <c r="H20" s="282" t="s">
        <v>351</v>
      </c>
      <c r="I20" s="274" t="s">
        <v>82</v>
      </c>
      <c r="J20" s="274" t="s">
        <v>83</v>
      </c>
      <c r="K20" s="279" t="s">
        <v>261</v>
      </c>
      <c r="L20" s="279" t="s">
        <v>153</v>
      </c>
      <c r="M20" s="273">
        <v>4.0</v>
      </c>
      <c r="N20" s="273" t="s">
        <v>89</v>
      </c>
      <c r="O20" s="280" t="str">
        <f>IFERROR(VLOOKUP(K20,'US History Framework Standards'!$A:$E,2,false),"")</f>
        <v>Rise of American Power (1890-1920)</v>
      </c>
      <c r="P20" s="325" t="str">
        <f>IFERROR(__xludf.DUMMYFUNCTION("IFERROR(Index(SPLIT(#REF!,"".""),1,1))"),"")</f>
        <v/>
      </c>
      <c r="Q20" s="325" t="str">
        <f>IFERROR(__xludf.DUMMYFUNCTION("IFERROR(Index(SPLIT(#REF!,"".""),1,2))"),"")</f>
        <v/>
      </c>
      <c r="R20" s="325" t="str">
        <f>IFERROR(VLOOKUP(#REF!,'US History Framework Standards'!$A:$E,3,false),"")</f>
        <v/>
      </c>
      <c r="S20" s="325" t="str">
        <f>IFERROR(__xludf.DUMMYFUNCTION("IFERROR(Index(SPLIT(#REF!,"".""),1,3)&amp;Index(SPLIT(#REF!,"".""),1,4))"),"")</f>
        <v/>
      </c>
      <c r="T20" s="280" t="str">
        <f>iferror(VLOOKUP(L20,'US History Framework Standards'!$A:$E,2,false),"")</f>
        <v>President Wilson: Neutrality to Involvement</v>
      </c>
      <c r="U20" s="276">
        <v>18.0</v>
      </c>
      <c r="V20" s="274" t="s">
        <v>247</v>
      </c>
      <c r="W20" s="274">
        <v>1201718.0</v>
      </c>
      <c r="X20" s="276"/>
      <c r="Y20" s="276"/>
      <c r="Z20" s="273" t="s">
        <v>248</v>
      </c>
      <c r="AA20" s="281"/>
      <c r="AB20" s="281" t="str">
        <f t="shared" si="1"/>
        <v>HXRG_1201718_Multiple Choice.jpg</v>
      </c>
    </row>
    <row r="21" ht="15.75" customHeight="1">
      <c r="A21" s="273" t="s">
        <v>243</v>
      </c>
      <c r="B21" s="274" t="s">
        <v>244</v>
      </c>
      <c r="C21" s="274">
        <v>19.0</v>
      </c>
      <c r="D21" s="275">
        <v>2.0</v>
      </c>
      <c r="E21" s="274"/>
      <c r="F21" s="276"/>
      <c r="G21" s="274"/>
      <c r="H21" s="285" t="s">
        <v>351</v>
      </c>
      <c r="I21" s="274" t="s">
        <v>82</v>
      </c>
      <c r="J21" s="274" t="s">
        <v>83</v>
      </c>
      <c r="K21" s="279" t="s">
        <v>261</v>
      </c>
      <c r="L21" s="279" t="s">
        <v>153</v>
      </c>
      <c r="M21" s="273">
        <v>18.0</v>
      </c>
      <c r="N21" s="273" t="s">
        <v>85</v>
      </c>
      <c r="O21" s="280" t="str">
        <f>IFERROR(VLOOKUP(K21,'US History Framework Standards'!$A:$E,2,false),"")</f>
        <v>Rise of American Power (1890-1920)</v>
      </c>
      <c r="P21" s="325" t="str">
        <f>IFERROR(__xludf.DUMMYFUNCTION("IFERROR(Index(SPLIT(#REF!,"".""),1,1))"),"")</f>
        <v/>
      </c>
      <c r="Q21" s="325" t="str">
        <f>IFERROR(__xludf.DUMMYFUNCTION("IFERROR(Index(SPLIT(#REF!,"".""),1,2))"),"")</f>
        <v/>
      </c>
      <c r="R21" s="325" t="str">
        <f>IFERROR(VLOOKUP(#REF!,'US History Framework Standards'!$A:$E,3,false),"")</f>
        <v/>
      </c>
      <c r="S21" s="325" t="str">
        <f>IFERROR(__xludf.DUMMYFUNCTION("IFERROR(Index(SPLIT(#REF!,"".""),1,3)&amp;Index(SPLIT(#REF!,"".""),1,4))"),"")</f>
        <v/>
      </c>
      <c r="T21" s="280" t="str">
        <f>iferror(VLOOKUP(L21,'US History Framework Standards'!$A:$E,2,false),"")</f>
        <v>President Wilson: Neutrality to Involvement</v>
      </c>
      <c r="U21" s="276">
        <v>19.0</v>
      </c>
      <c r="V21" s="274" t="s">
        <v>247</v>
      </c>
      <c r="W21" s="274">
        <v>1201718.0</v>
      </c>
      <c r="X21" s="276"/>
      <c r="Y21" s="276"/>
      <c r="Z21" s="273" t="s">
        <v>248</v>
      </c>
      <c r="AA21" s="281"/>
      <c r="AB21" s="281" t="str">
        <f t="shared" si="1"/>
        <v>HXRG_1201718_Multiple Choice.jpg</v>
      </c>
    </row>
    <row r="22" ht="15.75" customHeight="1">
      <c r="A22" s="264" t="s">
        <v>243</v>
      </c>
      <c r="B22" s="265" t="s">
        <v>244</v>
      </c>
      <c r="C22" s="265">
        <v>20.0</v>
      </c>
      <c r="D22" s="266">
        <v>4.0</v>
      </c>
      <c r="E22" s="265"/>
      <c r="F22" s="267"/>
      <c r="G22" s="265"/>
      <c r="H22" s="286" t="s">
        <v>352</v>
      </c>
      <c r="I22" s="265" t="s">
        <v>82</v>
      </c>
      <c r="J22" s="265" t="s">
        <v>87</v>
      </c>
      <c r="K22" s="284" t="s">
        <v>258</v>
      </c>
      <c r="L22" s="284" t="s">
        <v>110</v>
      </c>
      <c r="M22" s="264">
        <v>1.0</v>
      </c>
      <c r="N22" s="264" t="s">
        <v>85</v>
      </c>
      <c r="O22" s="271" t="str">
        <f>IFERROR(VLOOKUP(K22,'US History Framework Standards'!$A:$E,2,false),"")</f>
        <v>Industrialization and Urbanization (1870-1920)</v>
      </c>
      <c r="P22" s="324" t="str">
        <f>IFERROR(__xludf.DUMMYFUNCTION("IFERROR(Index(SPLIT(#REF!,"".""),1,1))"),"")</f>
        <v/>
      </c>
      <c r="Q22" s="324" t="str">
        <f>IFERROR(__xludf.DUMMYFUNCTION("IFERROR(Index(SPLIT(#REF!,"".""),1,2))"),"")</f>
        <v/>
      </c>
      <c r="R22" s="324" t="str">
        <f>IFERROR(VLOOKUP(#REF!,'US History Framework Standards'!$A:$E,3,false),"")</f>
        <v/>
      </c>
      <c r="S22" s="324" t="str">
        <f>IFERROR(__xludf.DUMMYFUNCTION("IFERROR(Index(SPLIT(#REF!,"".""),1,3)&amp;Index(SPLIT(#REF!,"".""),1,4))"),"")</f>
        <v/>
      </c>
      <c r="T22" s="271" t="str">
        <f>iferror(VLOOKUP(L22,'US History Framework Standards'!$A:$E,2,false),"")</f>
        <v>Bill of Rights</v>
      </c>
      <c r="U22" s="267">
        <v>20.0</v>
      </c>
      <c r="V22" s="265" t="s">
        <v>247</v>
      </c>
      <c r="W22" s="265">
        <v>1201718.0</v>
      </c>
      <c r="X22" s="267"/>
      <c r="Y22" s="267"/>
      <c r="Z22" s="264" t="s">
        <v>248</v>
      </c>
      <c r="AA22" s="272"/>
      <c r="AB22" s="272" t="str">
        <f t="shared" si="1"/>
        <v>HXRG_1201718_Multiple Choice.jpg</v>
      </c>
    </row>
    <row r="23" ht="15.75" customHeight="1">
      <c r="A23" s="264" t="s">
        <v>243</v>
      </c>
      <c r="B23" s="265" t="s">
        <v>244</v>
      </c>
      <c r="C23" s="265">
        <v>21.0</v>
      </c>
      <c r="D23" s="266">
        <v>3.0</v>
      </c>
      <c r="E23" s="265"/>
      <c r="F23" s="267"/>
      <c r="G23" s="265"/>
      <c r="H23" s="286" t="s">
        <v>352</v>
      </c>
      <c r="I23" s="265" t="s">
        <v>82</v>
      </c>
      <c r="J23" s="265" t="s">
        <v>87</v>
      </c>
      <c r="K23" s="284" t="s">
        <v>258</v>
      </c>
      <c r="L23" s="284" t="s">
        <v>146</v>
      </c>
      <c r="M23" s="264">
        <v>12.0</v>
      </c>
      <c r="N23" s="264" t="s">
        <v>85</v>
      </c>
      <c r="O23" s="271" t="str">
        <f>IFERROR(VLOOKUP(K23,'US History Framework Standards'!$A:$E,2,false),"")</f>
        <v>Industrialization and Urbanization (1870-1920)</v>
      </c>
      <c r="P23" s="324" t="str">
        <f>IFERROR(__xludf.DUMMYFUNCTION("IFERROR(Index(SPLIT(#REF!,"".""),1,1))"),"")</f>
        <v/>
      </c>
      <c r="Q23" s="324" t="str">
        <f>IFERROR(__xludf.DUMMYFUNCTION("IFERROR(Index(SPLIT(#REF!,"".""),1,2))"),"")</f>
        <v/>
      </c>
      <c r="R23" s="324" t="str">
        <f>IFERROR(VLOOKUP(#REF!,'US History Framework Standards'!$A:$E,3,false),"")</f>
        <v/>
      </c>
      <c r="S23" s="324" t="str">
        <f>IFERROR(__xludf.DUMMYFUNCTION("IFERROR(Index(SPLIT(#REF!,"".""),1,3)&amp;Index(SPLIT(#REF!,"".""),1,4))"),"")</f>
        <v/>
      </c>
      <c r="T23" s="271" t="str">
        <f>iferror(VLOOKUP(L23,'US History Framework Standards'!$A:$E,2,false),"")</f>
        <v>Women's Suffrage</v>
      </c>
      <c r="U23" s="267">
        <v>21.0</v>
      </c>
      <c r="V23" s="265" t="s">
        <v>247</v>
      </c>
      <c r="W23" s="265">
        <v>1201718.0</v>
      </c>
      <c r="X23" s="267"/>
      <c r="Y23" s="267"/>
      <c r="Z23" s="264" t="s">
        <v>248</v>
      </c>
      <c r="AA23" s="272"/>
      <c r="AB23" s="272" t="str">
        <f t="shared" si="1"/>
        <v>HXRG_1201718_Multiple Choice.jpg</v>
      </c>
    </row>
    <row r="24" ht="15.75" customHeight="1">
      <c r="A24" s="273" t="s">
        <v>243</v>
      </c>
      <c r="B24" s="274" t="s">
        <v>244</v>
      </c>
      <c r="C24" s="274">
        <v>22.0</v>
      </c>
      <c r="D24" s="275">
        <v>2.0</v>
      </c>
      <c r="E24" s="274"/>
      <c r="F24" s="276"/>
      <c r="G24" s="274"/>
      <c r="H24" s="285" t="s">
        <v>353</v>
      </c>
      <c r="I24" s="274" t="s">
        <v>82</v>
      </c>
      <c r="J24" s="274" t="s">
        <v>83</v>
      </c>
      <c r="K24" s="279" t="s">
        <v>264</v>
      </c>
      <c r="L24" s="279" t="s">
        <v>161</v>
      </c>
      <c r="M24" s="273">
        <v>7.0</v>
      </c>
      <c r="N24" s="273" t="s">
        <v>85</v>
      </c>
      <c r="O24" s="280" t="str">
        <f>IFERROR(VLOOKUP(K24,'US History Framework Standards'!$A:$E,2,false),"")</f>
        <v>Prosperity and Depression (1920-1939)</v>
      </c>
      <c r="P24" s="325" t="str">
        <f>IFERROR(__xludf.DUMMYFUNCTION("IFERROR(Index(SPLIT(#REF!,"".""),1,1))"),"")</f>
        <v/>
      </c>
      <c r="Q24" s="325" t="str">
        <f>IFERROR(__xludf.DUMMYFUNCTION("IFERROR(Index(SPLIT(#REF!,"".""),1,2))"),"")</f>
        <v/>
      </c>
      <c r="R24" s="325" t="str">
        <f>IFERROR(VLOOKUP(#REF!,'US History Framework Standards'!$A:$E,3,false),"")</f>
        <v/>
      </c>
      <c r="S24" s="325" t="str">
        <f>IFERROR(__xludf.DUMMYFUNCTION("IFERROR(Index(SPLIT(#REF!,"".""),1,3)&amp;Index(SPLIT(#REF!,"".""),1,4))"),"")</f>
        <v/>
      </c>
      <c r="T24" s="271" t="str">
        <f>iferror(VLOOKUP(L24,'US History Framework Standards'!$A:$E,2,false),"")</f>
        <v>Prohibition</v>
      </c>
      <c r="U24" s="276">
        <v>22.0</v>
      </c>
      <c r="V24" s="274" t="s">
        <v>247</v>
      </c>
      <c r="W24" s="274">
        <v>1201718.0</v>
      </c>
      <c r="X24" s="276"/>
      <c r="Y24" s="276"/>
      <c r="Z24" s="273" t="s">
        <v>248</v>
      </c>
      <c r="AA24" s="281"/>
      <c r="AB24" s="281" t="str">
        <f t="shared" si="1"/>
        <v>HXRG_1201718_Multiple Choice.jpg</v>
      </c>
    </row>
    <row r="25" ht="15.75" customHeight="1">
      <c r="A25" s="264" t="s">
        <v>243</v>
      </c>
      <c r="B25" s="265" t="s">
        <v>244</v>
      </c>
      <c r="C25" s="265">
        <v>23.0</v>
      </c>
      <c r="D25" s="266">
        <v>1.0</v>
      </c>
      <c r="E25" s="265"/>
      <c r="F25" s="267"/>
      <c r="G25" s="265"/>
      <c r="H25" s="283" t="s">
        <v>354</v>
      </c>
      <c r="I25" s="265" t="s">
        <v>82</v>
      </c>
      <c r="J25" s="265" t="s">
        <v>83</v>
      </c>
      <c r="K25" s="284" t="s">
        <v>264</v>
      </c>
      <c r="L25" s="284" t="s">
        <v>171</v>
      </c>
      <c r="M25" s="264">
        <v>18.0</v>
      </c>
      <c r="N25" s="264" t="s">
        <v>85</v>
      </c>
      <c r="O25" s="271" t="str">
        <f>IFERROR(VLOOKUP(K25,'US History Framework Standards'!$A:$E,2,false),"")</f>
        <v>Prosperity and Depression (1920-1939)</v>
      </c>
      <c r="P25" s="324" t="str">
        <f>IFERROR(__xludf.DUMMYFUNCTION("IFERROR(Index(SPLIT(#REF!,"".""),1,1))"),"")</f>
        <v/>
      </c>
      <c r="Q25" s="324" t="str">
        <f>IFERROR(__xludf.DUMMYFUNCTION("IFERROR(Index(SPLIT(#REF!,"".""),1,2))"),"")</f>
        <v/>
      </c>
      <c r="R25" s="324" t="str">
        <f>IFERROR(VLOOKUP(#REF!,'US History Framework Standards'!$A:$E,3,false),"")</f>
        <v/>
      </c>
      <c r="S25" s="324" t="str">
        <f>IFERROR(__xludf.DUMMYFUNCTION("IFERROR(Index(SPLIT(#REF!,"".""),1,3)&amp;Index(SPLIT(#REF!,"".""),1,4))"),"")</f>
        <v/>
      </c>
      <c r="T25" s="271" t="str">
        <f>iferror(VLOOKUP(L25,'US History Framework Standards'!$A:$E,2,false),"")</f>
        <v>New Deal</v>
      </c>
      <c r="U25" s="267">
        <v>23.0</v>
      </c>
      <c r="V25" s="265" t="s">
        <v>247</v>
      </c>
      <c r="W25" s="265">
        <v>1201718.0</v>
      </c>
      <c r="X25" s="267"/>
      <c r="Y25" s="267"/>
      <c r="Z25" s="264" t="s">
        <v>248</v>
      </c>
      <c r="AA25" s="272"/>
      <c r="AB25" s="272" t="str">
        <f t="shared" si="1"/>
        <v>HXRG_1201718_Multiple Choice.jpg</v>
      </c>
    </row>
    <row r="26" ht="15.75" customHeight="1">
      <c r="A26" s="264" t="s">
        <v>243</v>
      </c>
      <c r="B26" s="265" t="s">
        <v>244</v>
      </c>
      <c r="C26" s="265">
        <v>24.0</v>
      </c>
      <c r="D26" s="266">
        <v>3.0</v>
      </c>
      <c r="E26" s="265"/>
      <c r="F26" s="267"/>
      <c r="G26" s="265"/>
      <c r="H26" s="283" t="s">
        <v>354</v>
      </c>
      <c r="I26" s="265" t="s">
        <v>82</v>
      </c>
      <c r="J26" s="265" t="s">
        <v>83</v>
      </c>
      <c r="K26" s="284" t="s">
        <v>264</v>
      </c>
      <c r="L26" s="284" t="s">
        <v>171</v>
      </c>
      <c r="M26" s="264">
        <v>7.0</v>
      </c>
      <c r="N26" s="264" t="s">
        <v>85</v>
      </c>
      <c r="O26" s="271" t="str">
        <f>IFERROR(VLOOKUP(K26,'US History Framework Standards'!$A:$E,2,false),"")</f>
        <v>Prosperity and Depression (1920-1939)</v>
      </c>
      <c r="P26" s="324" t="str">
        <f>IFERROR(__xludf.DUMMYFUNCTION("IFERROR(Index(SPLIT(#REF!,"".""),1,1))"),"")</f>
        <v/>
      </c>
      <c r="Q26" s="324" t="str">
        <f>IFERROR(__xludf.DUMMYFUNCTION("IFERROR(Index(SPLIT(#REF!,"".""),1,2))"),"")</f>
        <v/>
      </c>
      <c r="R26" s="324" t="str">
        <f>IFERROR(VLOOKUP(#REF!,'US History Framework Standards'!$A:$E,3,false),"")</f>
        <v/>
      </c>
      <c r="S26" s="324" t="str">
        <f>IFERROR(__xludf.DUMMYFUNCTION("IFERROR(Index(SPLIT(#REF!,"".""),1,3)&amp;Index(SPLIT(#REF!,"".""),1,4))"),"")</f>
        <v/>
      </c>
      <c r="T26" s="271" t="str">
        <f>iferror(VLOOKUP(L26,'US History Framework Standards'!$A:$E,2,false),"")</f>
        <v>New Deal</v>
      </c>
      <c r="U26" s="267">
        <v>24.0</v>
      </c>
      <c r="V26" s="265" t="s">
        <v>247</v>
      </c>
      <c r="W26" s="265">
        <v>1201718.0</v>
      </c>
      <c r="X26" s="267"/>
      <c r="Y26" s="267"/>
      <c r="Z26" s="264" t="s">
        <v>248</v>
      </c>
      <c r="AA26" s="272"/>
      <c r="AB26" s="272" t="str">
        <f t="shared" si="1"/>
        <v>HXRG_1201718_Multiple Choice.jpg</v>
      </c>
    </row>
    <row r="27" ht="15.75" customHeight="1">
      <c r="A27" s="273" t="s">
        <v>243</v>
      </c>
      <c r="B27" s="274" t="s">
        <v>244</v>
      </c>
      <c r="C27" s="274">
        <v>25.0</v>
      </c>
      <c r="D27" s="275">
        <v>4.0</v>
      </c>
      <c r="E27" s="274"/>
      <c r="F27" s="276"/>
      <c r="G27" s="274"/>
      <c r="H27" s="282" t="s">
        <v>355</v>
      </c>
      <c r="I27" s="274" t="s">
        <v>82</v>
      </c>
      <c r="J27" s="274" t="s">
        <v>87</v>
      </c>
      <c r="K27" s="279" t="s">
        <v>268</v>
      </c>
      <c r="L27" s="279" t="s">
        <v>184</v>
      </c>
      <c r="M27" s="273">
        <v>3.0</v>
      </c>
      <c r="N27" s="273" t="s">
        <v>85</v>
      </c>
      <c r="O27" s="280" t="str">
        <f>IFERROR(VLOOKUP(K27,'US History Framework Standards'!$A:$E,2,false),"")</f>
        <v>Cold War (1945-1990)</v>
      </c>
      <c r="P27" s="325" t="str">
        <f>IFERROR(__xludf.DUMMYFUNCTION("IFERROR(Index(SPLIT(#REF!,"".""),1,1))"),"")</f>
        <v/>
      </c>
      <c r="Q27" s="325" t="str">
        <f>IFERROR(__xludf.DUMMYFUNCTION("IFERROR(Index(SPLIT(#REF!,"".""),1,2))"),"")</f>
        <v/>
      </c>
      <c r="R27" s="325" t="str">
        <f>IFERROR(VLOOKUP(#REF!,'US History Framework Standards'!$A:$E,3,false),"")</f>
        <v/>
      </c>
      <c r="S27" s="325" t="str">
        <f>IFERROR(__xludf.DUMMYFUNCTION("IFERROR(Index(SPLIT(#REF!,"".""),1,3)&amp;Index(SPLIT(#REF!,"".""),1,4))"),"")</f>
        <v/>
      </c>
      <c r="T27" s="280" t="str">
        <f>iferror(VLOOKUP(L27,'US History Framework Standards'!$A:$E,2,false),"")</f>
        <v>Containment Policies</v>
      </c>
      <c r="U27" s="276">
        <v>25.0</v>
      </c>
      <c r="V27" s="274" t="s">
        <v>247</v>
      </c>
      <c r="W27" s="274">
        <v>1201718.0</v>
      </c>
      <c r="X27" s="276"/>
      <c r="Y27" s="276"/>
      <c r="Z27" s="273" t="s">
        <v>248</v>
      </c>
      <c r="AA27" s="281"/>
      <c r="AB27" s="281" t="str">
        <f t="shared" si="1"/>
        <v>HXRG_1201718_Multiple Choice.jpg</v>
      </c>
    </row>
    <row r="28" ht="15.75" customHeight="1">
      <c r="A28" s="264" t="s">
        <v>243</v>
      </c>
      <c r="B28" s="265" t="s">
        <v>244</v>
      </c>
      <c r="C28" s="265">
        <v>26.0</v>
      </c>
      <c r="D28" s="266">
        <v>1.0</v>
      </c>
      <c r="E28" s="265"/>
      <c r="F28" s="267"/>
      <c r="G28" s="265"/>
      <c r="H28" s="283" t="s">
        <v>356</v>
      </c>
      <c r="I28" s="265" t="s">
        <v>82</v>
      </c>
      <c r="J28" s="265" t="s">
        <v>87</v>
      </c>
      <c r="K28" s="284" t="s">
        <v>250</v>
      </c>
      <c r="L28" s="284" t="s">
        <v>116</v>
      </c>
      <c r="M28" s="264">
        <v>17.0</v>
      </c>
      <c r="N28" s="264" t="s">
        <v>89</v>
      </c>
      <c r="O28" s="271" t="str">
        <f>IFERROR(VLOOKUP(K28,'US History Framework Standards'!$A:$E,2,false),"")</f>
        <v>Constitutional Foundations (1763–1824)</v>
      </c>
      <c r="P28" s="324" t="str">
        <f>IFERROR(__xludf.DUMMYFUNCTION("IFERROR(Index(SPLIT(#REF!,"".""),1,1))"),"")</f>
        <v/>
      </c>
      <c r="Q28" s="324" t="str">
        <f>IFERROR(__xludf.DUMMYFUNCTION("IFERROR(Index(SPLIT(#REF!,"".""),1,2))"),"")</f>
        <v/>
      </c>
      <c r="R28" s="324" t="str">
        <f>IFERROR(VLOOKUP(#REF!,'US History Framework Standards'!$A:$E,3,false),"")</f>
        <v/>
      </c>
      <c r="S28" s="324" t="str">
        <f>IFERROR(__xludf.DUMMYFUNCTION("IFERROR(Index(SPLIT(#REF!,"".""),1,3)&amp;Index(SPLIT(#REF!,"".""),1,4))"),"")</f>
        <v/>
      </c>
      <c r="T28" s="271" t="str">
        <f>iferror(VLOOKUP(L28,'US History Framework Standards'!$A:$E,2,false),"")</f>
        <v>Peaceful Transfers of Power: 1800 vs. 2000</v>
      </c>
      <c r="U28" s="267">
        <v>26.0</v>
      </c>
      <c r="V28" s="265" t="s">
        <v>247</v>
      </c>
      <c r="W28" s="265">
        <v>1201718.0</v>
      </c>
      <c r="X28" s="267"/>
      <c r="Y28" s="267"/>
      <c r="Z28" s="264" t="s">
        <v>248</v>
      </c>
      <c r="AA28" s="272"/>
      <c r="AB28" s="272" t="str">
        <f t="shared" si="1"/>
        <v>HXRG_1201718_Multiple Choice.jpg</v>
      </c>
    </row>
    <row r="29" ht="15.75" customHeight="1">
      <c r="A29" s="264" t="s">
        <v>243</v>
      </c>
      <c r="B29" s="265" t="s">
        <v>244</v>
      </c>
      <c r="C29" s="265">
        <v>27.0</v>
      </c>
      <c r="D29" s="266">
        <v>2.0</v>
      </c>
      <c r="E29" s="265"/>
      <c r="F29" s="267"/>
      <c r="G29" s="265"/>
      <c r="H29" s="283" t="s">
        <v>356</v>
      </c>
      <c r="I29" s="265" t="s">
        <v>82</v>
      </c>
      <c r="J29" s="265" t="s">
        <v>87</v>
      </c>
      <c r="K29" s="284" t="s">
        <v>250</v>
      </c>
      <c r="L29" s="284" t="s">
        <v>116</v>
      </c>
      <c r="M29" s="264">
        <v>15.0</v>
      </c>
      <c r="N29" s="264" t="s">
        <v>85</v>
      </c>
      <c r="O29" s="271" t="str">
        <f>IFERROR(VLOOKUP(K29,'US History Framework Standards'!$A:$E,2,false),"")</f>
        <v>Constitutional Foundations (1763–1824)</v>
      </c>
      <c r="P29" s="324" t="str">
        <f>IFERROR(__xludf.DUMMYFUNCTION("IFERROR(Index(SPLIT(#REF!,"".""),1,1))"),"")</f>
        <v/>
      </c>
      <c r="Q29" s="324" t="str">
        <f>IFERROR(__xludf.DUMMYFUNCTION("IFERROR(Index(SPLIT(#REF!,"".""),1,2))"),"")</f>
        <v/>
      </c>
      <c r="R29" s="324" t="str">
        <f>IFERROR(VLOOKUP(#REF!,'US History Framework Standards'!$A:$E,3,false),"")</f>
        <v/>
      </c>
      <c r="S29" s="324" t="str">
        <f>IFERROR(__xludf.DUMMYFUNCTION("IFERROR(Index(SPLIT(#REF!,"".""),1,3)&amp;Index(SPLIT(#REF!,"".""),1,4))"),"")</f>
        <v/>
      </c>
      <c r="T29" s="271" t="str">
        <f>iferror(VLOOKUP(L29,'US History Framework Standards'!$A:$E,2,false),"")</f>
        <v>Peaceful Transfers of Power: 1800 vs. 2000</v>
      </c>
      <c r="U29" s="267">
        <v>27.0</v>
      </c>
      <c r="V29" s="265" t="s">
        <v>247</v>
      </c>
      <c r="W29" s="265">
        <v>1201718.0</v>
      </c>
      <c r="X29" s="267"/>
      <c r="Y29" s="267"/>
      <c r="Z29" s="264" t="s">
        <v>248</v>
      </c>
      <c r="AA29" s="272"/>
      <c r="AB29" s="272" t="str">
        <f t="shared" si="1"/>
        <v>HXRG_1201718_Multiple Choice.jpg</v>
      </c>
    </row>
    <row r="30" ht="15.75" customHeight="1">
      <c r="A30" s="303" t="s">
        <v>243</v>
      </c>
      <c r="B30" s="304" t="s">
        <v>244</v>
      </c>
      <c r="C30" s="304">
        <v>28.0</v>
      </c>
      <c r="D30" s="319">
        <v>1.0</v>
      </c>
      <c r="E30" s="304"/>
      <c r="F30" s="305"/>
      <c r="G30" s="304"/>
      <c r="H30" s="282" t="s">
        <v>357</v>
      </c>
      <c r="I30" s="304" t="s">
        <v>82</v>
      </c>
      <c r="J30" s="304" t="s">
        <v>83</v>
      </c>
      <c r="K30" s="308" t="s">
        <v>250</v>
      </c>
      <c r="L30" s="308" t="s">
        <v>116</v>
      </c>
      <c r="M30" s="303">
        <v>8.0</v>
      </c>
      <c r="N30" s="303" t="s">
        <v>85</v>
      </c>
      <c r="O30" s="309" t="str">
        <f>IFERROR(VLOOKUP(K30,'US History Framework Standards'!$A:$E,2,false),"")</f>
        <v>Constitutional Foundations (1763–1824)</v>
      </c>
      <c r="P30" s="327" t="str">
        <f>IFERROR(__xludf.DUMMYFUNCTION("IFERROR(Index(SPLIT(#REF!,"".""),1,1))"),"")</f>
        <v/>
      </c>
      <c r="Q30" s="327" t="str">
        <f>IFERROR(__xludf.DUMMYFUNCTION("IFERROR(Index(SPLIT(#REF!,"".""),1,2))"),"")</f>
        <v/>
      </c>
      <c r="R30" s="327" t="str">
        <f>IFERROR(VLOOKUP(#REF!,'US History Framework Standards'!$A:$E,3,false),"")</f>
        <v/>
      </c>
      <c r="S30" s="327" t="str">
        <f>IFERROR(__xludf.DUMMYFUNCTION("IFERROR(Index(SPLIT(#REF!,"".""),1,3)&amp;Index(SPLIT(#REF!,"".""),1,4))"),"")</f>
        <v/>
      </c>
      <c r="T30" s="280" t="str">
        <f>iferror(VLOOKUP(L30,'US History Framework Standards'!$A:$E,2,false),"")</f>
        <v>Peaceful Transfers of Power: 1800 vs. 2000</v>
      </c>
      <c r="U30" s="305">
        <v>28.0</v>
      </c>
      <c r="V30" s="304" t="s">
        <v>247</v>
      </c>
      <c r="W30" s="304">
        <v>1201718.0</v>
      </c>
      <c r="X30" s="305"/>
      <c r="Y30" s="305"/>
      <c r="Z30" s="303" t="s">
        <v>248</v>
      </c>
      <c r="AA30" s="310"/>
      <c r="AB30" s="310" t="str">
        <f t="shared" si="1"/>
        <v>HXRG_1201718_Multiple Choice.jpg</v>
      </c>
    </row>
    <row r="31" ht="15.75" customHeight="1">
      <c r="A31" s="295" t="s">
        <v>271</v>
      </c>
      <c r="B31" s="296" t="s">
        <v>272</v>
      </c>
      <c r="C31" s="296" t="s">
        <v>273</v>
      </c>
      <c r="D31" s="297"/>
      <c r="E31" s="296"/>
      <c r="F31" s="298"/>
      <c r="G31" s="296"/>
      <c r="H31" s="299" t="s">
        <v>358</v>
      </c>
      <c r="I31" s="296" t="s">
        <v>82</v>
      </c>
      <c r="J31" s="296" t="s">
        <v>83</v>
      </c>
      <c r="K31" s="284" t="s">
        <v>256</v>
      </c>
      <c r="L31" s="284" t="s">
        <v>131</v>
      </c>
      <c r="M31" s="295"/>
      <c r="N31" s="295" t="s">
        <v>85</v>
      </c>
      <c r="O31" s="271" t="str">
        <f>IFERROR(VLOOKUP(K31,'US History Framework Standards'!$A:$E,2,false),"")</f>
        <v>Post-Civil War Era (1865-1900)</v>
      </c>
      <c r="P31" s="328"/>
      <c r="Q31" s="328"/>
      <c r="R31" s="328"/>
      <c r="S31" s="328"/>
      <c r="T31" s="271" t="str">
        <f>iferror(VLOOKUP(L31,'US History Framework Standards'!$A:$E,2,false),"")</f>
        <v>Limiting of Black Rights</v>
      </c>
      <c r="U31" s="298"/>
      <c r="V31" s="296"/>
      <c r="W31" s="296"/>
      <c r="X31" s="298"/>
      <c r="Y31" s="298"/>
      <c r="Z31" s="295"/>
      <c r="AA31" s="302"/>
      <c r="AB31" s="302"/>
    </row>
    <row r="32" ht="15.75" customHeight="1">
      <c r="A32" s="264" t="s">
        <v>275</v>
      </c>
      <c r="B32" s="265" t="s">
        <v>272</v>
      </c>
      <c r="C32" s="265" t="s">
        <v>276</v>
      </c>
      <c r="D32" s="266"/>
      <c r="E32" s="265"/>
      <c r="F32" s="267"/>
      <c r="G32" s="265"/>
      <c r="H32" s="283" t="s">
        <v>359</v>
      </c>
      <c r="I32" s="265" t="s">
        <v>82</v>
      </c>
      <c r="J32" s="265" t="s">
        <v>83</v>
      </c>
      <c r="K32" s="284" t="s">
        <v>102</v>
      </c>
      <c r="L32" s="284" t="s">
        <v>197</v>
      </c>
      <c r="M32" s="264"/>
      <c r="N32" s="264" t="s">
        <v>85</v>
      </c>
      <c r="O32" s="271" t="str">
        <f>IFERROR(VLOOKUP(K32,'US History Framework Standards'!$A:$E,2,false),"")</f>
        <v>Social and Economic Change/ Domestic Issues (1945-present)</v>
      </c>
      <c r="P32" s="324" t="str">
        <f>IFERROR(__xludf.DUMMYFUNCTION("IFERROR(Index(SPLIT(#REF!,"".""),1,1))"),"")</f>
        <v/>
      </c>
      <c r="Q32" s="324" t="str">
        <f>IFERROR(__xludf.DUMMYFUNCTION("IFERROR(Index(SPLIT(#REF!,"".""),1,2))"),"")</f>
        <v/>
      </c>
      <c r="R32" s="324" t="str">
        <f>IFERROR(VLOOKUP(#REF!,'US History Framework Standards'!$A:$E,3,false),"")</f>
        <v/>
      </c>
      <c r="S32" s="324" t="str">
        <f>IFERROR(__xludf.DUMMYFUNCTION("IFERROR(Index(SPLIT(#REF!,"".""),1,3)&amp;Index(SPLIT(#REF!,"".""),1,4))"),"")</f>
        <v/>
      </c>
      <c r="T32" s="271" t="str">
        <f>iferror(VLOOKUP(L32,'US History Framework Standards'!$A:$E,2,false),"")</f>
        <v>Civil Rights Judicial &amp; Legislative Achievements</v>
      </c>
      <c r="U32" s="267">
        <v>29.0</v>
      </c>
      <c r="V32" s="265" t="s">
        <v>247</v>
      </c>
      <c r="W32" s="265">
        <v>1201718.0</v>
      </c>
      <c r="X32" s="267"/>
      <c r="Y32" s="267"/>
      <c r="Z32" s="264" t="s">
        <v>248</v>
      </c>
      <c r="AA32" s="272"/>
      <c r="AB32" s="272" t="str">
        <f t="shared" ref="AB32:AB33" si="2">V32&amp;"_"&amp;W32&amp;"_"&amp;A32&amp;".jpg"</f>
        <v>HXRG_1201718_Doc.jpg</v>
      </c>
    </row>
    <row r="33" ht="15.75" customHeight="1">
      <c r="A33" s="273" t="s">
        <v>275</v>
      </c>
      <c r="B33" s="274" t="s">
        <v>272</v>
      </c>
      <c r="C33" s="274" t="s">
        <v>278</v>
      </c>
      <c r="D33" s="275"/>
      <c r="E33" s="274"/>
      <c r="F33" s="276"/>
      <c r="G33" s="274"/>
      <c r="H33" s="285" t="s">
        <v>360</v>
      </c>
      <c r="I33" s="274" t="s">
        <v>82</v>
      </c>
      <c r="J33" s="274" t="s">
        <v>83</v>
      </c>
      <c r="K33" s="279" t="s">
        <v>268</v>
      </c>
      <c r="L33" s="279" t="s">
        <v>186</v>
      </c>
      <c r="M33" s="273"/>
      <c r="N33" s="273" t="s">
        <v>85</v>
      </c>
      <c r="O33" s="280" t="str">
        <f>IFERROR(VLOOKUP(K33,'US History Framework Standards'!$A:$E,2,false),"")</f>
        <v>Cold War (1945-1990)</v>
      </c>
      <c r="P33" s="325" t="str">
        <f>IFERROR(__xludf.DUMMYFUNCTION("IFERROR(Index(SPLIT(#REF!,"".""),1,1))"),"")</f>
        <v/>
      </c>
      <c r="Q33" s="325" t="str">
        <f>IFERROR(__xludf.DUMMYFUNCTION("IFERROR(Index(SPLIT(#REF!,"".""),1,2))"),"")</f>
        <v/>
      </c>
      <c r="R33" s="325" t="str">
        <f>IFERROR(VLOOKUP(#REF!,'US History Framework Standards'!$A:$E,3,false),"")</f>
        <v/>
      </c>
      <c r="S33" s="325" t="str">
        <f>IFERROR(__xludf.DUMMYFUNCTION("IFERROR(Index(SPLIT(#REF!,"".""),1,3)&amp;Index(SPLIT(#REF!,"".""),1,4))"),"")</f>
        <v/>
      </c>
      <c r="T33" s="280" t="str">
        <f>iferror(VLOOKUP(L33,'US History Framework Standards'!$A:$E,2,false),"")</f>
        <v>Korean War</v>
      </c>
      <c r="U33" s="276">
        <v>30.0</v>
      </c>
      <c r="V33" s="274" t="s">
        <v>247</v>
      </c>
      <c r="W33" s="274">
        <v>1201718.0</v>
      </c>
      <c r="X33" s="276"/>
      <c r="Y33" s="276"/>
      <c r="Z33" s="273" t="s">
        <v>248</v>
      </c>
      <c r="AA33" s="281"/>
      <c r="AB33" s="281" t="str">
        <f t="shared" si="2"/>
        <v>HXRG_1201718_Doc.jpg</v>
      </c>
    </row>
    <row r="34" ht="15.75" customHeight="1">
      <c r="A34" s="303" t="s">
        <v>271</v>
      </c>
      <c r="B34" s="304" t="s">
        <v>272</v>
      </c>
      <c r="C34" s="304" t="s">
        <v>280</v>
      </c>
      <c r="D34" s="305"/>
      <c r="E34" s="304"/>
      <c r="F34" s="305"/>
      <c r="G34" s="304"/>
      <c r="H34" s="306" t="s">
        <v>361</v>
      </c>
      <c r="I34" s="304" t="s">
        <v>82</v>
      </c>
      <c r="J34" s="304" t="s">
        <v>83</v>
      </c>
      <c r="K34" s="308" t="s">
        <v>268</v>
      </c>
      <c r="L34" s="279" t="s">
        <v>192</v>
      </c>
      <c r="M34" s="303"/>
      <c r="N34" s="303" t="s">
        <v>85</v>
      </c>
      <c r="O34" s="309" t="str">
        <f>IFERROR(VLOOKUP(K34,'US History Framework Standards'!$A:$E,2,false),"")</f>
        <v>Cold War (1945-1990)</v>
      </c>
      <c r="P34" s="327"/>
      <c r="Q34" s="327"/>
      <c r="R34" s="327"/>
      <c r="S34" s="327"/>
      <c r="T34" s="280" t="str">
        <f>iferror(VLOOKUP(L34,'US History Framework Standards'!$A:$E,2,false),"")</f>
        <v>Détente</v>
      </c>
      <c r="U34" s="305"/>
      <c r="V34" s="304"/>
      <c r="W34" s="304"/>
      <c r="X34" s="305"/>
      <c r="Y34" s="305"/>
      <c r="Z34" s="303"/>
      <c r="AA34" s="310"/>
      <c r="AB34" s="310"/>
    </row>
    <row r="35" ht="15.75" customHeight="1">
      <c r="A35" s="295" t="s">
        <v>275</v>
      </c>
      <c r="B35" s="296" t="s">
        <v>282</v>
      </c>
      <c r="C35" s="296">
        <v>31.0</v>
      </c>
      <c r="D35" s="298"/>
      <c r="E35" s="296"/>
      <c r="F35" s="298"/>
      <c r="G35" s="296"/>
      <c r="H35" s="299" t="s">
        <v>362</v>
      </c>
      <c r="I35" s="296" t="s">
        <v>82</v>
      </c>
      <c r="J35" s="296" t="s">
        <v>83</v>
      </c>
      <c r="K35" s="311" t="s">
        <v>266</v>
      </c>
      <c r="L35" s="311" t="s">
        <v>174</v>
      </c>
      <c r="M35" s="295">
        <v>17.0</v>
      </c>
      <c r="N35" s="295" t="s">
        <v>89</v>
      </c>
      <c r="O35" s="301" t="str">
        <f>IFERROR(VLOOKUP(K35,'US History Framework Standards'!$A:$E,2,false),"")</f>
        <v>World War II (1935-1945)</v>
      </c>
      <c r="P35" s="328" t="str">
        <f>IFERROR(__xludf.DUMMYFUNCTION("IFERROR(Index(SPLIT(#REF!,"".""),1,1))"),"")</f>
        <v/>
      </c>
      <c r="Q35" s="328" t="str">
        <f>IFERROR(__xludf.DUMMYFUNCTION("IFERROR(Index(SPLIT(#REF!,"".""),1,2))"),"")</f>
        <v/>
      </c>
      <c r="R35" s="328" t="str">
        <f>IFERROR(VLOOKUP(#REF!,'US History Framework Standards'!$A:$E,3,false),"")</f>
        <v/>
      </c>
      <c r="S35" s="328" t="str">
        <f>IFERROR(__xludf.DUMMYFUNCTION("IFERROR(Index(SPLIT(#REF!,"".""),1,3)&amp;Index(SPLIT(#REF!,"".""),1,4))"),"")</f>
        <v/>
      </c>
      <c r="T35" s="271" t="str">
        <f>iferror(VLOOKUP(L35,'US History Framework Standards'!$A:$E,2,false),"")</f>
        <v>Pearl Harbor</v>
      </c>
      <c r="U35" s="298">
        <v>31.0</v>
      </c>
      <c r="V35" s="296" t="s">
        <v>247</v>
      </c>
      <c r="W35" s="296">
        <v>1201718.0</v>
      </c>
      <c r="X35" s="298"/>
      <c r="Y35" s="298"/>
      <c r="Z35" s="295" t="s">
        <v>248</v>
      </c>
      <c r="AA35" s="302"/>
      <c r="AB35" s="302" t="str">
        <f t="shared" ref="AB35:AB39" si="3">V35&amp;"_"&amp;W35&amp;"_"&amp;A35&amp;".jpg"</f>
        <v>HXRG_1201718_Doc.jpg</v>
      </c>
    </row>
    <row r="36" ht="15.75" customHeight="1">
      <c r="A36" s="303" t="s">
        <v>275</v>
      </c>
      <c r="B36" s="274" t="s">
        <v>282</v>
      </c>
      <c r="C36" s="274">
        <v>32.0</v>
      </c>
      <c r="D36" s="276"/>
      <c r="E36" s="274"/>
      <c r="F36" s="276"/>
      <c r="G36" s="274"/>
      <c r="H36" s="282" t="s">
        <v>363</v>
      </c>
      <c r="I36" s="274" t="s">
        <v>82</v>
      </c>
      <c r="J36" s="274" t="s">
        <v>96</v>
      </c>
      <c r="K36" s="279" t="s">
        <v>266</v>
      </c>
      <c r="L36" s="279" t="s">
        <v>178</v>
      </c>
      <c r="M36" s="273">
        <v>14.0</v>
      </c>
      <c r="N36" s="273" t="s">
        <v>89</v>
      </c>
      <c r="O36" s="280" t="str">
        <f>IFERROR(VLOOKUP(K36,'US History Framework Standards'!$A:$E,2,false),"")</f>
        <v>World War II (1935-1945)</v>
      </c>
      <c r="P36" s="325" t="str">
        <f>IFERROR(__xludf.DUMMYFUNCTION("IFERROR(Index(SPLIT(#REF!,"".""),1,1))"),"")</f>
        <v/>
      </c>
      <c r="Q36" s="325" t="str">
        <f>IFERROR(__xludf.DUMMYFUNCTION("IFERROR(Index(SPLIT(#REF!,"".""),1,2))"),"")</f>
        <v/>
      </c>
      <c r="R36" s="325" t="str">
        <f>IFERROR(VLOOKUP(#REF!,'US History Framework Standards'!$A:$E,3,false),"")</f>
        <v/>
      </c>
      <c r="S36" s="325" t="str">
        <f>IFERROR(__xludf.DUMMYFUNCTION("IFERROR(Index(SPLIT(#REF!,"".""),1,3)&amp;Index(SPLIT(#REF!,"".""),1,4))"),"")</f>
        <v/>
      </c>
      <c r="T36" s="280" t="str">
        <f>iferror(VLOOKUP(L36,'US History Framework Standards'!$A:$E,2,false),"")</f>
        <v>Japanese Internment</v>
      </c>
      <c r="U36" s="305">
        <v>32.0</v>
      </c>
      <c r="V36" s="304" t="s">
        <v>247</v>
      </c>
      <c r="W36" s="304">
        <v>1201718.0</v>
      </c>
      <c r="X36" s="305"/>
      <c r="Y36" s="305"/>
      <c r="Z36" s="303" t="s">
        <v>248</v>
      </c>
      <c r="AA36" s="310"/>
      <c r="AB36" s="310" t="str">
        <f t="shared" si="3"/>
        <v>HXRG_1201718_Doc.jpg</v>
      </c>
    </row>
    <row r="37" ht="15.75" customHeight="1">
      <c r="A37" s="295" t="s">
        <v>285</v>
      </c>
      <c r="B37" s="265" t="s">
        <v>282</v>
      </c>
      <c r="C37" s="265">
        <v>33.0</v>
      </c>
      <c r="D37" s="267"/>
      <c r="E37" s="265"/>
      <c r="F37" s="267"/>
      <c r="G37" s="265"/>
      <c r="H37" s="283" t="s">
        <v>364</v>
      </c>
      <c r="I37" s="265" t="s">
        <v>82</v>
      </c>
      <c r="J37" s="265" t="s">
        <v>96</v>
      </c>
      <c r="K37" s="284" t="s">
        <v>266</v>
      </c>
      <c r="L37" s="284" t="s">
        <v>178</v>
      </c>
      <c r="M37" s="264">
        <v>2.0</v>
      </c>
      <c r="N37" s="264" t="s">
        <v>89</v>
      </c>
      <c r="O37" s="271" t="str">
        <f>IFERROR(VLOOKUP(K37,'US History Framework Standards'!$A:$E,2,false),"")</f>
        <v>World War II (1935-1945)</v>
      </c>
      <c r="P37" s="324" t="str">
        <f>IFERROR(__xludf.DUMMYFUNCTION("IFERROR(Index(SPLIT(#REF!,"".""),1,1))"),"")</f>
        <v/>
      </c>
      <c r="Q37" s="324" t="str">
        <f>IFERROR(__xludf.DUMMYFUNCTION("IFERROR(Index(SPLIT(#REF!,"".""),1,2))"),"")</f>
        <v/>
      </c>
      <c r="R37" s="324" t="str">
        <f>IFERROR(VLOOKUP(#REF!,'US History Framework Standards'!$A:$E,3,false),"")</f>
        <v/>
      </c>
      <c r="S37" s="324" t="str">
        <f>IFERROR(__xludf.DUMMYFUNCTION("IFERROR(Index(SPLIT(#REF!,"".""),1,3)&amp;Index(SPLIT(#REF!,"".""),1,4))"),"")</f>
        <v/>
      </c>
      <c r="T37" s="271" t="str">
        <f>iferror(VLOOKUP(L37,'US History Framework Standards'!$A:$E,2,false),"")</f>
        <v>Japanese Internment</v>
      </c>
      <c r="U37" s="298">
        <v>33.0</v>
      </c>
      <c r="V37" s="296" t="s">
        <v>247</v>
      </c>
      <c r="W37" s="296">
        <v>1201718.0</v>
      </c>
      <c r="X37" s="298"/>
      <c r="Y37" s="298"/>
      <c r="Z37" s="295" t="s">
        <v>248</v>
      </c>
      <c r="AA37" s="302"/>
      <c r="AB37" s="302" t="str">
        <f t="shared" si="3"/>
        <v>HXRG_1201718_DBQ.jpg</v>
      </c>
    </row>
    <row r="38" ht="15.75" customHeight="1">
      <c r="A38" s="273" t="s">
        <v>285</v>
      </c>
      <c r="B38" s="274" t="s">
        <v>282</v>
      </c>
      <c r="C38" s="274">
        <v>34.0</v>
      </c>
      <c r="D38" s="276"/>
      <c r="E38" s="274"/>
      <c r="F38" s="276"/>
      <c r="G38" s="274"/>
      <c r="H38" s="329" t="s">
        <v>365</v>
      </c>
      <c r="I38" s="274" t="s">
        <v>82</v>
      </c>
      <c r="J38" s="274" t="s">
        <v>83</v>
      </c>
      <c r="K38" s="279" t="s">
        <v>266</v>
      </c>
      <c r="L38" s="279" t="s">
        <v>178</v>
      </c>
      <c r="M38" s="273">
        <v>18.0</v>
      </c>
      <c r="N38" s="273" t="s">
        <v>89</v>
      </c>
      <c r="O38" s="280" t="str">
        <f>IFERROR(VLOOKUP(K38,'US History Framework Standards'!$A:$E,2,false),"")</f>
        <v>World War II (1935-1945)</v>
      </c>
      <c r="P38" s="325" t="str">
        <f>IFERROR(__xludf.DUMMYFUNCTION("IFERROR(Index(SPLIT(#REF!,"".""),1,1))"),"")</f>
        <v/>
      </c>
      <c r="Q38" s="325" t="str">
        <f>IFERROR(__xludf.DUMMYFUNCTION("IFERROR(Index(SPLIT(#REF!,"".""),1,2))"),"")</f>
        <v/>
      </c>
      <c r="R38" s="325" t="str">
        <f>IFERROR(VLOOKUP(#REF!,'US History Framework Standards'!$A:$E,3,false),"")</f>
        <v/>
      </c>
      <c r="S38" s="325" t="str">
        <f>IFERROR(__xludf.DUMMYFUNCTION("IFERROR(Index(SPLIT(#REF!,"".""),1,3)&amp;Index(SPLIT(#REF!,"".""),1,4))"),"")</f>
        <v/>
      </c>
      <c r="T38" s="280" t="str">
        <f>iferror(VLOOKUP(L38,'US History Framework Standards'!$A:$E,2,false),"")</f>
        <v>Japanese Internment</v>
      </c>
      <c r="U38" s="276">
        <v>34.0</v>
      </c>
      <c r="V38" s="274" t="s">
        <v>247</v>
      </c>
      <c r="W38" s="274">
        <v>1201718.0</v>
      </c>
      <c r="X38" s="276"/>
      <c r="Y38" s="276"/>
      <c r="Z38" s="273" t="s">
        <v>248</v>
      </c>
      <c r="AA38" s="281"/>
      <c r="AB38" s="281" t="str">
        <f t="shared" si="3"/>
        <v>HXRG_1201718_DBQ.jpg</v>
      </c>
    </row>
    <row r="39" ht="15.75" customHeight="1">
      <c r="A39" s="264" t="s">
        <v>285</v>
      </c>
      <c r="B39" s="265" t="s">
        <v>282</v>
      </c>
      <c r="C39" s="265">
        <v>35.0</v>
      </c>
      <c r="D39" s="267"/>
      <c r="E39" s="265"/>
      <c r="F39" s="267"/>
      <c r="G39" s="265"/>
      <c r="H39" s="268" t="s">
        <v>366</v>
      </c>
      <c r="I39" s="265" t="s">
        <v>82</v>
      </c>
      <c r="J39" s="265" t="s">
        <v>83</v>
      </c>
      <c r="K39" s="284" t="s">
        <v>266</v>
      </c>
      <c r="L39" s="284" t="s">
        <v>178</v>
      </c>
      <c r="M39" s="264">
        <v>12.0</v>
      </c>
      <c r="N39" s="264" t="s">
        <v>89</v>
      </c>
      <c r="O39" s="271" t="str">
        <f>IFERROR(VLOOKUP(K39,'US History Framework Standards'!$A:$E,2,false),"")</f>
        <v>World War II (1935-1945)</v>
      </c>
      <c r="P39" s="324" t="str">
        <f>IFERROR(__xludf.DUMMYFUNCTION("IFERROR(Index(SPLIT(#REF!,"".""),1,1))"),"")</f>
        <v/>
      </c>
      <c r="Q39" s="324" t="str">
        <f>IFERROR(__xludf.DUMMYFUNCTION("IFERROR(Index(SPLIT(#REF!,"".""),1,2))"),"")</f>
        <v/>
      </c>
      <c r="R39" s="324" t="str">
        <f>IFERROR(VLOOKUP(#REF!,'US History Framework Standards'!$A:$E,3,false),"")</f>
        <v/>
      </c>
      <c r="S39" s="324" t="str">
        <f>IFERROR(__xludf.DUMMYFUNCTION("IFERROR(Index(SPLIT(#REF!,"".""),1,3)&amp;Index(SPLIT(#REF!,"".""),1,4))"),"")</f>
        <v/>
      </c>
      <c r="T39" s="271" t="str">
        <f>iferror(VLOOKUP(L39,'US History Framework Standards'!$A:$E,2,false),"")</f>
        <v>Japanese Internment</v>
      </c>
      <c r="U39" s="267">
        <v>51.0</v>
      </c>
      <c r="V39" s="265" t="s">
        <v>247</v>
      </c>
      <c r="W39" s="265">
        <v>1201718.0</v>
      </c>
      <c r="X39" s="267"/>
      <c r="Y39" s="267"/>
      <c r="Z39" s="264" t="s">
        <v>248</v>
      </c>
      <c r="AA39" s="272"/>
      <c r="AB39" s="272" t="str">
        <f t="shared" si="3"/>
        <v>HXRG_1201718_DBQ.jpg</v>
      </c>
    </row>
    <row r="40" ht="15.75" customHeight="1">
      <c r="A40" s="273" t="s">
        <v>285</v>
      </c>
      <c r="B40" s="274" t="s">
        <v>282</v>
      </c>
      <c r="C40" s="274">
        <v>36.0</v>
      </c>
      <c r="D40" s="276"/>
      <c r="E40" s="274"/>
      <c r="F40" s="276"/>
      <c r="G40" s="274"/>
      <c r="H40" s="282" t="s">
        <v>367</v>
      </c>
      <c r="I40" s="274" t="s">
        <v>82</v>
      </c>
      <c r="J40" s="274" t="s">
        <v>83</v>
      </c>
      <c r="K40" s="279" t="s">
        <v>266</v>
      </c>
      <c r="L40" s="279" t="s">
        <v>178</v>
      </c>
      <c r="M40" s="273">
        <v>8.0</v>
      </c>
      <c r="N40" s="273" t="s">
        <v>89</v>
      </c>
      <c r="O40" s="280" t="str">
        <f>IFERROR(VLOOKUP(K40,'US History Framework Standards'!$A:$E,2,false),"")</f>
        <v>World War II (1935-1945)</v>
      </c>
      <c r="P40" s="325" t="str">
        <f>IFERROR(__xludf.DUMMYFUNCTION("IFERROR(Index(SPLIT(#REF!,"".""),1,1))"),"")</f>
        <v/>
      </c>
      <c r="Q40" s="325" t="str">
        <f>IFERROR(__xludf.DUMMYFUNCTION("IFERROR(Index(SPLIT(#REF!,"".""),1,2))"),"")</f>
        <v/>
      </c>
      <c r="R40" s="325" t="str">
        <f>IFERROR(VLOOKUP(#REF!,'US History Framework Standards'!$A:$E,3,false),"")</f>
        <v/>
      </c>
      <c r="S40" s="325" t="str">
        <f>IFERROR(__xludf.DUMMYFUNCTION("IFERROR(Index(SPLIT(#REF!,"".""),1,3)&amp;Index(SPLIT(#REF!,"".""),1,4))"),"")</f>
        <v/>
      </c>
      <c r="T40" s="280" t="str">
        <f>iferror(VLOOKUP(L40,'US History Framework Standards'!$A:$E,2,false),"")</f>
        <v>Japanese Internment</v>
      </c>
      <c r="U40" s="276"/>
      <c r="V40" s="274"/>
      <c r="W40" s="274"/>
      <c r="X40" s="276"/>
      <c r="Y40" s="276"/>
      <c r="Z40" s="273"/>
      <c r="AA40" s="281"/>
      <c r="AB40" s="281"/>
    </row>
    <row r="41" ht="15.75" customHeight="1">
      <c r="A41" s="264" t="s">
        <v>285</v>
      </c>
      <c r="B41" s="265" t="s">
        <v>282</v>
      </c>
      <c r="C41" s="265">
        <v>37.0</v>
      </c>
      <c r="D41" s="267"/>
      <c r="E41" s="265"/>
      <c r="F41" s="267"/>
      <c r="G41" s="265"/>
      <c r="H41" s="286"/>
      <c r="I41" s="265"/>
      <c r="J41" s="265"/>
      <c r="K41" s="284"/>
      <c r="L41" s="284"/>
      <c r="M41" s="264"/>
      <c r="N41" s="264" t="s">
        <v>85</v>
      </c>
      <c r="O41" s="271" t="str">
        <f>IFERROR(VLOOKUP(K41,'US History Framework Standards'!$A:$E,2,false),"")</f>
        <v/>
      </c>
      <c r="P41" s="324" t="str">
        <f>IFERROR(__xludf.DUMMYFUNCTION("IFERROR(Index(SPLIT(#REF!,"".""),1,1))"),"")</f>
        <v/>
      </c>
      <c r="Q41" s="324" t="str">
        <f>IFERROR(__xludf.DUMMYFUNCTION("IFERROR(Index(SPLIT(#REF!,"".""),1,2))"),"")</f>
        <v/>
      </c>
      <c r="R41" s="324" t="str">
        <f>IFERROR(VLOOKUP(#REF!,'US History Framework Standards'!$A:$E,3,false),"")</f>
        <v/>
      </c>
      <c r="S41" s="324" t="str">
        <f>IFERROR(__xludf.DUMMYFUNCTION("IFERROR(Index(SPLIT(#REF!,"".""),1,3)&amp;Index(SPLIT(#REF!,"".""),1,4))"),"")</f>
        <v/>
      </c>
      <c r="T41" s="271" t="str">
        <f>iferror(VLOOKUP(L41,'US History Framework Standards'!$A:$E,5,false),"")</f>
        <v/>
      </c>
      <c r="U41" s="267"/>
      <c r="V41" s="265"/>
      <c r="W41" s="265"/>
      <c r="X41" s="267"/>
      <c r="Y41" s="267"/>
      <c r="Z41" s="264"/>
      <c r="AA41" s="272"/>
      <c r="AB41" s="272"/>
    </row>
  </sheetData>
  <mergeCells count="3">
    <mergeCell ref="H1:K1"/>
    <mergeCell ref="L1:N1"/>
    <mergeCell ref="O1:T1"/>
  </mergeCells>
  <dataValidations>
    <dataValidation type="list" allowBlank="1" showErrorMessage="1" sqref="K3:K41">
      <formula1>"11.01,11.02,11.03,11.04,11.05,11.06,11.07,11.08,11.09,11.10,11.11"</formula1>
    </dataValidation>
    <dataValidation type="list" allowBlank="1" sqref="M3:M41">
      <formula1>'Analysis All Exams'!$M$5:$M$22</formula1>
    </dataValidation>
    <dataValidation type="list" allowBlank="1" sqref="G3:G41">
      <formula1>"Stimulus-Based Multiple Choice,Constructed Response Questions,Enduring Issues Essay"</formula1>
    </dataValidation>
    <dataValidation type="list" allowBlank="1" sqref="I3:I41">
      <formula1>'Analysis All Exams'!$A$5:$A$7</formula1>
    </dataValidation>
    <dataValidation type="list" allowBlank="1" sqref="B3:B41">
      <formula1>"Part I,Part II,Part III"</formula1>
    </dataValidation>
    <dataValidation type="list" allowBlank="1" sqref="J3:J41">
      <formula1>'Analysis All Exams'!$D$5:$D$9</formula1>
    </dataValidation>
    <dataValidation type="list" allowBlank="1" sqref="N3:N41">
      <formula1>"Yes,No"</formula1>
    </dataValidation>
    <dataValidation type="list" allowBlank="1" showErrorMessage="1" sqref="L3:L41">
      <formula1>"11.01a.1,11.01a.2,11.01b.1,11.01b.2,11.01b.3,11.01c.1,11.01c.2,11.02a.1,11.02b.1,11.02b.2,11.02c.1,11.02c.2,11.02c.3,11.02c.4,11.02c.5,11.02d.1,11.02d.2,11.02d.3,11.02d.4,11.03a.1,11.03a.2,11.03a.3,11.03b.1,11.03b.2,11.03b.3,11.03b.4,11.03c.1,11.03c.2,11."&amp;"03c.3,11.04a.1,11.04a.2,11.04a.3,11.04a.4,11.04b.1,11.04c.1,11.04c.2,11.04d.1,11.04d.2,11.05a.1,11.05a.2,11.05a.3,11.05b.1,11.05b.2,11.05b.3,11.05b.4,11.05b.5,11.05b.6,11.05b.7,11.06a.1,11.06a.2,11.06a.3,11.06a.4,11.06b.1,11.06b.2,11.06b.3,11.06c.1,11.06c"&amp;".2,11.06c.3,11.06c.4,11.07a.1,11.07a.2,11.07a.3,11.07a.4,11.07a.5,11.07b.1,11.07b.2,11.07c.1,11.07c.2,11.07c.3,11.07c.4,11.07c.5,11.08a.1,11.08a.2,11.08a.3,11.08a.4,11.08a.5,11.08b.1,11.08b.2,11.08b.3,11.08c.1,11.08c.2,11.08c.3,11.09a.1,11.09a.2,11.09a.3,"&amp;"11.09a.4,11.09a.5,11.09a.6,11.09a.7,11.09b.1,11.09b.2,11.09b.3,11.09c.1,11.09d.1,11.10a.1,11.10a.2,11.10a.3,11.10a.4,11.10b.1,11.10b.2,11.10c.1,11.10c.2,11.10c.3,11.11a.1,11.11a.2,11.11b.1,11.11b.2,11.11b.3,11.11c.1,11.11c.2,11.11c.3"</formula1>
    </dataValidation>
  </dataValidations>
  <hyperlinks>
    <hyperlink r:id="rId1" ref="M2"/>
    <hyperlink r:id="rId2" ref="O2"/>
    <hyperlink r:id="rId3" ref="T2"/>
    <hyperlink r:id="rId4" ref="H10"/>
    <hyperlink r:id="rId5" ref="H11"/>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368</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COUNTIF('Itemization 202401'!I:I,A5)</f>
        <v>34</v>
      </c>
      <c r="C5" s="49">
        <f>(B5/B8)</f>
        <v>0.8717948718</v>
      </c>
      <c r="D5" s="47" t="s">
        <v>83</v>
      </c>
      <c r="E5" s="48">
        <f>COUNTIF('Itemization 202401'!J:J,D5)</f>
        <v>27</v>
      </c>
      <c r="F5" s="49">
        <f>(E5/E10)</f>
        <v>0.6923076923</v>
      </c>
      <c r="G5" s="144">
        <v>11.01</v>
      </c>
      <c r="H5" s="114">
        <f>COUNTIF('Itemization 202401'!K:K,G5)</f>
        <v>2</v>
      </c>
      <c r="I5" s="145">
        <f>(H5/H16)</f>
        <v>0.05263157895</v>
      </c>
      <c r="J5" s="121" t="s">
        <v>84</v>
      </c>
      <c r="K5" s="54">
        <f>COUNTIF('Itemization 202401'!L:L,J5)</f>
        <v>0</v>
      </c>
      <c r="L5" s="55">
        <f>(K5/K116)</f>
        <v>0</v>
      </c>
      <c r="M5" s="47">
        <v>1.0</v>
      </c>
      <c r="N5" s="316">
        <f>countif('Itemization 202401'!$M$3:$M$42,M5)</f>
        <v>7</v>
      </c>
      <c r="O5" s="49">
        <f>(N5/N23)</f>
        <v>0.2058823529</v>
      </c>
      <c r="P5" s="47" t="s">
        <v>85</v>
      </c>
      <c r="Q5" s="48">
        <f>countif('Itemization 202401'!N3:N42,P5)</f>
        <v>29</v>
      </c>
      <c r="R5" s="59">
        <f>(Q5/Q7)</f>
        <v>0.7631578947</v>
      </c>
    </row>
    <row r="6" ht="15.75" customHeight="1">
      <c r="A6" s="60" t="s">
        <v>86</v>
      </c>
      <c r="B6" s="61">
        <f>COUNTIF('Itemization 202401'!I:I,A6)</f>
        <v>5</v>
      </c>
      <c r="C6" s="62">
        <f>(B6/B8)</f>
        <v>0.1282051282</v>
      </c>
      <c r="D6" s="60" t="s">
        <v>87</v>
      </c>
      <c r="E6" s="61">
        <f>COUNTIF('Itemization 202401'!J:J,D6)</f>
        <v>8</v>
      </c>
      <c r="F6" s="62">
        <f>(E6/E10)</f>
        <v>0.2051282051</v>
      </c>
      <c r="G6" s="144">
        <v>11.02</v>
      </c>
      <c r="H6" s="114">
        <f>COUNTIF('Itemization 202401'!K:K,G6)</f>
        <v>3</v>
      </c>
      <c r="I6" s="145">
        <f>(H6/H16)</f>
        <v>0.07894736842</v>
      </c>
      <c r="J6" s="122" t="s">
        <v>88</v>
      </c>
      <c r="K6" s="57">
        <f>COUNTIF('Itemization 202401'!L:L,J6)</f>
        <v>2</v>
      </c>
      <c r="L6" s="58">
        <f>(K6/K116)</f>
        <v>0.05263157895</v>
      </c>
      <c r="M6" s="56">
        <v>2.0</v>
      </c>
      <c r="N6" s="57">
        <f>countif('Itemization 202401'!$M$3:$M$42,M6)</f>
        <v>3</v>
      </c>
      <c r="O6" s="58">
        <f>(N6/N23)</f>
        <v>0.08823529412</v>
      </c>
      <c r="P6" s="64" t="s">
        <v>89</v>
      </c>
      <c r="Q6" s="61">
        <f>countif('Itemization 202401'!N3:N42,P6)</f>
        <v>9</v>
      </c>
      <c r="R6" s="65">
        <f>(Q6/Q7)</f>
        <v>0.2368421053</v>
      </c>
    </row>
    <row r="7" ht="15.75" customHeight="1">
      <c r="A7" s="141" t="s">
        <v>90</v>
      </c>
      <c r="B7" s="54">
        <f>COUNTIF('Itemization 202401'!I:I,A7)</f>
        <v>0</v>
      </c>
      <c r="C7" s="143">
        <f>(B7/B8)</f>
        <v>0</v>
      </c>
      <c r="D7" s="144" t="s">
        <v>91</v>
      </c>
      <c r="E7" s="114">
        <f>COUNTIF('Itemization 202401'!J:J,D7)</f>
        <v>1</v>
      </c>
      <c r="F7" s="145">
        <f>(E7/E10)</f>
        <v>0.02564102564</v>
      </c>
      <c r="G7" s="56">
        <v>11.03</v>
      </c>
      <c r="H7" s="57">
        <f>COUNTIF('Itemization 202401'!K:K,G7)</f>
        <v>5</v>
      </c>
      <c r="I7" s="58">
        <f>(H7/H16)</f>
        <v>0.1315789474</v>
      </c>
      <c r="J7" s="121" t="s">
        <v>92</v>
      </c>
      <c r="K7" s="54">
        <f>COUNTIF('Itemization 202401'!L:L,J7)</f>
        <v>0</v>
      </c>
      <c r="L7" s="55">
        <f>(K7/K116)</f>
        <v>0</v>
      </c>
      <c r="M7" s="125">
        <v>3.0</v>
      </c>
      <c r="N7" s="54">
        <f>countif('Itemization 202401'!$M$3:$M$42,M7)</f>
        <v>0</v>
      </c>
      <c r="O7" s="55">
        <f>(N7/N23)</f>
        <v>0</v>
      </c>
      <c r="P7" s="68" t="s">
        <v>93</v>
      </c>
      <c r="Q7" s="69">
        <f t="shared" ref="Q7:R7" si="1">SUM(Q5:Q6)</f>
        <v>38</v>
      </c>
      <c r="R7" s="70">
        <f t="shared" si="1"/>
        <v>1</v>
      </c>
    </row>
    <row r="8" ht="15.75" customHeight="1">
      <c r="A8" s="68" t="s">
        <v>93</v>
      </c>
      <c r="B8" s="69">
        <f t="shared" ref="B8:C8" si="2">SUM(B5:B7)</f>
        <v>39</v>
      </c>
      <c r="C8" s="71">
        <f t="shared" si="2"/>
        <v>1</v>
      </c>
      <c r="D8" s="56" t="s">
        <v>94</v>
      </c>
      <c r="E8" s="57">
        <f>COUNTIF('Itemization 202401'!J:J,D8)</f>
        <v>3</v>
      </c>
      <c r="F8" s="58">
        <f>(E8/E10)</f>
        <v>0.07692307692</v>
      </c>
      <c r="G8" s="144">
        <v>11.04</v>
      </c>
      <c r="H8" s="114">
        <f>COUNTIF('Itemization 202401'!K:K,G8)</f>
        <v>4</v>
      </c>
      <c r="I8" s="145">
        <f>(H8/H16)</f>
        <v>0.1052631579</v>
      </c>
      <c r="J8" s="121" t="s">
        <v>95</v>
      </c>
      <c r="K8" s="54">
        <f>COUNTIF('Itemization 202401'!L:L,J8)</f>
        <v>0</v>
      </c>
      <c r="L8" s="55">
        <f>(K8/K116)</f>
        <v>0</v>
      </c>
      <c r="M8" s="144">
        <v>4.0</v>
      </c>
      <c r="N8" s="114">
        <f>countif('Itemization 202401'!$M$3:$M$42,M8)</f>
        <v>1</v>
      </c>
      <c r="O8" s="145">
        <f>(N8/N23)</f>
        <v>0.02941176471</v>
      </c>
      <c r="P8" s="51"/>
      <c r="Q8" s="51"/>
      <c r="R8" s="72"/>
    </row>
    <row r="9" ht="15.75" customHeight="1">
      <c r="A9" s="73"/>
      <c r="B9" s="73"/>
      <c r="C9" s="74"/>
      <c r="D9" s="141" t="s">
        <v>96</v>
      </c>
      <c r="E9" s="54">
        <f>COUNTIF('Itemization 202401'!J:J,D9)</f>
        <v>0</v>
      </c>
      <c r="F9" s="143">
        <f>(E9/E10)</f>
        <v>0</v>
      </c>
      <c r="G9" s="144">
        <v>11.05</v>
      </c>
      <c r="H9" s="114">
        <f>COUNTIF('Itemization 202401'!K:K,G9)</f>
        <v>3</v>
      </c>
      <c r="I9" s="145">
        <f>(H9/H16)</f>
        <v>0.07894736842</v>
      </c>
      <c r="J9" s="121" t="s">
        <v>97</v>
      </c>
      <c r="K9" s="54">
        <f>COUNTIF('Itemization 202401'!L:L,J9)</f>
        <v>0</v>
      </c>
      <c r="L9" s="55">
        <f>(K9/K116)</f>
        <v>0</v>
      </c>
      <c r="M9" s="125">
        <v>5.0</v>
      </c>
      <c r="N9" s="54">
        <f>countif('Itemization 202401'!$M$3:$M$42,M9)</f>
        <v>0</v>
      </c>
      <c r="O9" s="55">
        <f>(N9/N23)</f>
        <v>0</v>
      </c>
      <c r="P9" s="51"/>
      <c r="Q9" s="51"/>
      <c r="R9" s="72"/>
    </row>
    <row r="10" ht="15.75" customHeight="1">
      <c r="A10" s="77"/>
      <c r="B10" s="51"/>
      <c r="C10" s="78"/>
      <c r="D10" s="68" t="s">
        <v>93</v>
      </c>
      <c r="E10" s="69">
        <f t="shared" ref="E10:F10" si="3">SUM(E5:E9)</f>
        <v>39</v>
      </c>
      <c r="F10" s="71">
        <f t="shared" si="3"/>
        <v>1</v>
      </c>
      <c r="G10" s="144">
        <v>11.06</v>
      </c>
      <c r="H10" s="114">
        <f>COUNTIF('Itemization 202401'!K:K,G10)</f>
        <v>1</v>
      </c>
      <c r="I10" s="145">
        <f>(H10/H16)</f>
        <v>0.02631578947</v>
      </c>
      <c r="J10" s="121" t="s">
        <v>98</v>
      </c>
      <c r="K10" s="54">
        <f>COUNTIF('Itemization 202401'!L:L,J10)</f>
        <v>0</v>
      </c>
      <c r="L10" s="55">
        <f>(K10/K116)</f>
        <v>0</v>
      </c>
      <c r="M10" s="125">
        <v>6.0</v>
      </c>
      <c r="N10" s="54">
        <f>countif('Itemization 202401'!$M$3:$M$42,M10)</f>
        <v>0</v>
      </c>
      <c r="O10" s="55">
        <f>(N10/N23)</f>
        <v>0</v>
      </c>
      <c r="P10" s="51"/>
      <c r="Q10" s="51"/>
      <c r="R10" s="72"/>
    </row>
    <row r="11" ht="15.75" customHeight="1">
      <c r="A11" s="77"/>
      <c r="B11" s="51"/>
      <c r="C11" s="78"/>
      <c r="D11" s="51"/>
      <c r="E11" s="51"/>
      <c r="F11" s="78"/>
      <c r="G11" s="60">
        <v>11.07</v>
      </c>
      <c r="H11" s="61">
        <f>COUNTIF('Itemization 202401'!K:K,G11)</f>
        <v>8</v>
      </c>
      <c r="I11" s="62">
        <f>(H11/H16)</f>
        <v>0.2105263158</v>
      </c>
      <c r="J11" s="121" t="s">
        <v>99</v>
      </c>
      <c r="K11" s="54">
        <f>COUNTIF('Itemization 202401'!L:L,J11)</f>
        <v>0</v>
      </c>
      <c r="L11" s="55">
        <f>(K11/K116)</f>
        <v>0</v>
      </c>
      <c r="M11" s="56">
        <v>7.0</v>
      </c>
      <c r="N11" s="57">
        <f>countif('Itemization 202401'!$M$3:$M$42,M11)</f>
        <v>2</v>
      </c>
      <c r="O11" s="58">
        <f>(N11/N23)</f>
        <v>0.05882352941</v>
      </c>
      <c r="P11" s="51"/>
      <c r="Q11" s="51"/>
      <c r="R11" s="72"/>
    </row>
    <row r="12" ht="15.75" customHeight="1">
      <c r="A12" s="77"/>
      <c r="B12" s="51"/>
      <c r="C12" s="78"/>
      <c r="D12" s="51"/>
      <c r="E12" s="51"/>
      <c r="F12" s="78"/>
      <c r="G12" s="125">
        <v>11.08</v>
      </c>
      <c r="H12" s="54">
        <f>COUNTIF('Itemization 202401'!K:K,G12)</f>
        <v>0</v>
      </c>
      <c r="I12" s="55">
        <f>(H12/H16)</f>
        <v>0</v>
      </c>
      <c r="J12" s="121" t="s">
        <v>100</v>
      </c>
      <c r="K12" s="54">
        <f>COUNTIF('Itemization 202401'!L:L,J12)</f>
        <v>0</v>
      </c>
      <c r="L12" s="55">
        <f>(K12/K116)</f>
        <v>0</v>
      </c>
      <c r="M12" s="60">
        <v>8.0</v>
      </c>
      <c r="N12" s="61">
        <f>countif('Itemization 202401'!$M$3:$M$42,M12)</f>
        <v>4</v>
      </c>
      <c r="O12" s="62">
        <f>(N12/N23)</f>
        <v>0.1176470588</v>
      </c>
      <c r="P12" s="51"/>
      <c r="Q12" s="51"/>
      <c r="R12" s="72"/>
    </row>
    <row r="13" ht="15.75" customHeight="1">
      <c r="A13" s="77"/>
      <c r="B13" s="51"/>
      <c r="C13" s="78"/>
      <c r="D13" s="51"/>
      <c r="E13" s="51"/>
      <c r="F13" s="78"/>
      <c r="G13" s="144">
        <v>11.09</v>
      </c>
      <c r="H13" s="114">
        <f>COUNTIF('Itemization 202401'!K:K,G13)</f>
        <v>3</v>
      </c>
      <c r="I13" s="145">
        <f>(H13/H16)</f>
        <v>0.07894736842</v>
      </c>
      <c r="J13" s="122" t="s">
        <v>101</v>
      </c>
      <c r="K13" s="57">
        <f>COUNTIF('Itemization 202401'!L:L,J13)</f>
        <v>2</v>
      </c>
      <c r="L13" s="58">
        <f>(K13/K116)</f>
        <v>0.05263157895</v>
      </c>
      <c r="M13" s="144">
        <v>9.0</v>
      </c>
      <c r="N13" s="114">
        <f>countif('Itemization 202401'!$M$3:$M$42,M13)</f>
        <v>2</v>
      </c>
      <c r="O13" s="145">
        <f>(N13/N23)</f>
        <v>0.05882352941</v>
      </c>
      <c r="P13" s="51"/>
      <c r="Q13" s="51"/>
      <c r="R13" s="72"/>
    </row>
    <row r="14" ht="15.75" customHeight="1">
      <c r="A14" s="51"/>
      <c r="B14" s="51"/>
      <c r="C14" s="78"/>
      <c r="D14" s="51"/>
      <c r="E14" s="51"/>
      <c r="F14" s="78"/>
      <c r="G14" s="87" t="s">
        <v>102</v>
      </c>
      <c r="H14" s="48">
        <f>COUNTIF('Itemization 202401'!K:K,G14)</f>
        <v>9</v>
      </c>
      <c r="I14" s="49">
        <f>(H14/H16)</f>
        <v>0.2368421053</v>
      </c>
      <c r="J14" s="121" t="s">
        <v>103</v>
      </c>
      <c r="K14" s="54">
        <f>COUNTIF('Itemization 202401'!L:L,J14)</f>
        <v>0</v>
      </c>
      <c r="L14" s="55">
        <f>(K14/K116)</f>
        <v>0</v>
      </c>
      <c r="M14" s="144">
        <v>10.0</v>
      </c>
      <c r="N14" s="114">
        <f>countif('Itemization 202401'!$M$3:$M$42,M14)</f>
        <v>1</v>
      </c>
      <c r="O14" s="145">
        <f>(N14/N23)</f>
        <v>0.02941176471</v>
      </c>
      <c r="P14" s="51"/>
      <c r="Q14" s="51"/>
      <c r="R14" s="72"/>
    </row>
    <row r="15" ht="15.75" customHeight="1">
      <c r="A15" s="73"/>
      <c r="B15" s="73"/>
      <c r="C15" s="74"/>
      <c r="D15" s="51"/>
      <c r="E15" s="51"/>
      <c r="F15" s="78"/>
      <c r="G15" s="90" t="s">
        <v>104</v>
      </c>
      <c r="H15" s="54">
        <f>COUNTIF('Itemization 202401'!K:K,G15)</f>
        <v>0</v>
      </c>
      <c r="I15" s="143">
        <f>(H15/H16)</f>
        <v>0</v>
      </c>
      <c r="J15" s="121" t="s">
        <v>105</v>
      </c>
      <c r="K15" s="54">
        <f>COUNTIF('Itemization 202401'!L:L,J15)</f>
        <v>0</v>
      </c>
      <c r="L15" s="55">
        <f>(K15/K116)</f>
        <v>0</v>
      </c>
      <c r="M15" s="125">
        <v>11.0</v>
      </c>
      <c r="N15" s="54">
        <f>countif('Itemization 202401'!$M$3:$M$42,M15)</f>
        <v>0</v>
      </c>
      <c r="O15" s="55">
        <f>(N15/N23)</f>
        <v>0</v>
      </c>
      <c r="P15" s="51"/>
      <c r="Q15" s="51"/>
      <c r="R15" s="72"/>
    </row>
    <row r="16" ht="15.75" customHeight="1">
      <c r="A16" s="51"/>
      <c r="B16" s="51"/>
      <c r="C16" s="78"/>
      <c r="D16" s="51"/>
      <c r="E16" s="51"/>
      <c r="F16" s="78"/>
      <c r="G16" s="68" t="s">
        <v>93</v>
      </c>
      <c r="H16" s="69">
        <f>SUM(H5:H15)</f>
        <v>38</v>
      </c>
      <c r="I16" s="71">
        <f>sum(I5:I15)</f>
        <v>1</v>
      </c>
      <c r="J16" s="121" t="s">
        <v>106</v>
      </c>
      <c r="K16" s="54">
        <f>COUNTIF('Itemization 202401'!L:L,J16)</f>
        <v>0</v>
      </c>
      <c r="L16" s="55">
        <f>(K16/K116)</f>
        <v>0</v>
      </c>
      <c r="M16" s="56">
        <v>12.0</v>
      </c>
      <c r="N16" s="57">
        <f>countif('Itemization 202401'!$M$3:$M$42,M16)</f>
        <v>3</v>
      </c>
      <c r="O16" s="58">
        <f>(N16/N23)</f>
        <v>0.08823529412</v>
      </c>
      <c r="P16" s="51"/>
      <c r="Q16" s="51"/>
      <c r="R16" s="72"/>
    </row>
    <row r="17" ht="15.75" customHeight="1">
      <c r="A17" s="73"/>
      <c r="B17" s="73"/>
      <c r="C17" s="74"/>
      <c r="D17" s="51"/>
      <c r="E17" s="51"/>
      <c r="F17" s="78"/>
      <c r="G17" s="51"/>
      <c r="H17" s="51"/>
      <c r="I17" s="78"/>
      <c r="J17" s="121" t="s">
        <v>107</v>
      </c>
      <c r="K17" s="54">
        <f>COUNTIF('Itemization 202401'!L:L,J17)</f>
        <v>0</v>
      </c>
      <c r="L17" s="55">
        <f>(K17/K116)</f>
        <v>0</v>
      </c>
      <c r="M17" s="125">
        <v>13.0</v>
      </c>
      <c r="N17" s="54">
        <f>countif('Itemization 202401'!$M$3:$M$42,M17)</f>
        <v>0</v>
      </c>
      <c r="O17" s="55">
        <f>(N17/N23)</f>
        <v>0</v>
      </c>
      <c r="P17" s="51"/>
      <c r="Q17" s="51"/>
      <c r="R17" s="72"/>
    </row>
    <row r="18" ht="15.75" customHeight="1">
      <c r="A18" s="73"/>
      <c r="B18" s="73"/>
      <c r="C18" s="74"/>
      <c r="D18" s="51"/>
      <c r="E18" s="51"/>
      <c r="F18" s="78"/>
      <c r="G18" s="51"/>
      <c r="H18" s="51"/>
      <c r="I18" s="78"/>
      <c r="J18" s="121" t="s">
        <v>108</v>
      </c>
      <c r="K18" s="54">
        <f>COUNTIF('Itemization 202401'!L:L,J18)</f>
        <v>0</v>
      </c>
      <c r="L18" s="55">
        <f>(K18/K116)</f>
        <v>0</v>
      </c>
      <c r="M18" s="60">
        <v>14.0</v>
      </c>
      <c r="N18" s="61">
        <f>countif('Itemization 202401'!$M$3:$M$42,M18)</f>
        <v>4</v>
      </c>
      <c r="O18" s="62">
        <f>(N18/N23)</f>
        <v>0.1176470588</v>
      </c>
      <c r="P18" s="51"/>
      <c r="Q18" s="51"/>
      <c r="R18" s="72"/>
    </row>
    <row r="19" ht="15.75" customHeight="1">
      <c r="A19" s="80" t="s">
        <v>109</v>
      </c>
      <c r="D19" s="51"/>
      <c r="E19" s="51"/>
      <c r="F19" s="78"/>
      <c r="G19" s="51"/>
      <c r="H19" s="51"/>
      <c r="I19" s="78"/>
      <c r="J19" s="121" t="s">
        <v>110</v>
      </c>
      <c r="K19" s="54">
        <f>COUNTIF('Itemization 202401'!L:L,J19)</f>
        <v>0</v>
      </c>
      <c r="L19" s="55">
        <f>(K19/K116)</f>
        <v>0</v>
      </c>
      <c r="M19" s="144">
        <v>15.0</v>
      </c>
      <c r="N19" s="114">
        <f>countif('Itemization 202401'!$M$3:$M$42,M19)</f>
        <v>2</v>
      </c>
      <c r="O19" s="145">
        <f>(N19/N23)</f>
        <v>0.05882352941</v>
      </c>
      <c r="P19" s="51"/>
      <c r="Q19" s="51"/>
      <c r="R19" s="72"/>
    </row>
    <row r="20" ht="15.75" customHeight="1">
      <c r="A20" s="81" t="s">
        <v>111</v>
      </c>
      <c r="D20" s="51"/>
      <c r="E20" s="51"/>
      <c r="F20" s="78"/>
      <c r="G20" s="51"/>
      <c r="H20" s="51"/>
      <c r="I20" s="78"/>
      <c r="J20" s="210" t="s">
        <v>112</v>
      </c>
      <c r="K20" s="114">
        <f>COUNTIF('Itemization 202401'!L:L,J20)</f>
        <v>1</v>
      </c>
      <c r="L20" s="145">
        <f>(K20/K116)</f>
        <v>0.02631578947</v>
      </c>
      <c r="M20" s="125">
        <v>16.0</v>
      </c>
      <c r="N20" s="54">
        <f>countif('Itemization 202401'!$M$3:$M$42,M20)</f>
        <v>0</v>
      </c>
      <c r="O20" s="55">
        <f>(N20/N23)</f>
        <v>0</v>
      </c>
      <c r="P20" s="51"/>
      <c r="Q20" s="51"/>
      <c r="R20" s="72"/>
    </row>
    <row r="21" ht="15.75" customHeight="1">
      <c r="A21" s="82" t="s">
        <v>113</v>
      </c>
      <c r="D21" s="51"/>
      <c r="E21" s="51"/>
      <c r="F21" s="78"/>
      <c r="G21" s="51"/>
      <c r="H21" s="51"/>
      <c r="I21" s="78"/>
      <c r="J21" s="121" t="s">
        <v>114</v>
      </c>
      <c r="K21" s="54">
        <f>COUNTIF('Itemization 202401'!L:L,J21)</f>
        <v>0</v>
      </c>
      <c r="L21" s="55">
        <f>(K21/K116)</f>
        <v>0</v>
      </c>
      <c r="M21" s="144">
        <v>17.0</v>
      </c>
      <c r="N21" s="114">
        <f>countif('Itemization 202401'!$M$3:$M$42,M21)</f>
        <v>1</v>
      </c>
      <c r="O21" s="145">
        <f>(N21/N23)</f>
        <v>0.02941176471</v>
      </c>
      <c r="P21" s="51"/>
      <c r="Q21" s="51"/>
      <c r="R21" s="72"/>
    </row>
    <row r="22" ht="15.75" customHeight="1">
      <c r="A22" s="83" t="s">
        <v>115</v>
      </c>
      <c r="D22" s="51"/>
      <c r="E22" s="51"/>
      <c r="F22" s="78"/>
      <c r="G22" s="51"/>
      <c r="H22" s="51"/>
      <c r="I22" s="78"/>
      <c r="J22" s="121" t="s">
        <v>116</v>
      </c>
      <c r="K22" s="54">
        <f>COUNTIF('Itemization 202401'!L:L,J22)</f>
        <v>0</v>
      </c>
      <c r="L22" s="55">
        <f>(K22/K116)</f>
        <v>0</v>
      </c>
      <c r="M22" s="64">
        <v>18.0</v>
      </c>
      <c r="N22" s="61">
        <f>countif('Itemization 202401'!$M$3:$M$42,M22)</f>
        <v>4</v>
      </c>
      <c r="O22" s="251">
        <f>(N22/N23)</f>
        <v>0.1176470588</v>
      </c>
      <c r="P22" s="51"/>
      <c r="Q22" s="51"/>
      <c r="R22" s="72"/>
    </row>
    <row r="23" ht="15.75" customHeight="1">
      <c r="A23" s="113" t="s">
        <v>220</v>
      </c>
      <c r="D23" s="51"/>
      <c r="E23" s="51"/>
      <c r="F23" s="78"/>
      <c r="G23" s="51"/>
      <c r="H23" s="51"/>
      <c r="I23" s="78"/>
      <c r="J23" s="121" t="s">
        <v>118</v>
      </c>
      <c r="K23" s="54">
        <f>COUNTIF('Itemization 202401'!L:L,J23)</f>
        <v>0</v>
      </c>
      <c r="L23" s="55">
        <f>(K23/K116)</f>
        <v>0</v>
      </c>
      <c r="M23" s="68" t="s">
        <v>93</v>
      </c>
      <c r="N23" s="69">
        <f>SUM(N5:N22)</f>
        <v>34</v>
      </c>
      <c r="O23" s="71">
        <f>SUM(O4:O22)</f>
        <v>1</v>
      </c>
      <c r="P23" s="51"/>
      <c r="Q23" s="51"/>
      <c r="R23" s="72"/>
    </row>
    <row r="24" ht="15.75" customHeight="1">
      <c r="A24" s="86" t="s">
        <v>119</v>
      </c>
      <c r="D24" s="51"/>
      <c r="E24" s="51"/>
      <c r="F24" s="78"/>
      <c r="G24" s="51"/>
      <c r="H24" s="51"/>
      <c r="I24" s="78"/>
      <c r="J24" s="124" t="s">
        <v>120</v>
      </c>
      <c r="K24" s="61">
        <f>COUNTIF('Itemization 202401'!L:L,J24)</f>
        <v>3</v>
      </c>
      <c r="L24" s="62">
        <f>(K24/K116)</f>
        <v>0.07894736842</v>
      </c>
      <c r="M24" s="51"/>
      <c r="N24" s="51"/>
      <c r="O24" s="78"/>
      <c r="P24" s="51"/>
      <c r="Q24" s="51"/>
      <c r="R24" s="72"/>
    </row>
    <row r="25" ht="15.75" customHeight="1">
      <c r="A25" s="85"/>
      <c r="B25" s="85"/>
      <c r="C25" s="85"/>
      <c r="D25" s="51"/>
      <c r="E25" s="51"/>
      <c r="F25" s="78"/>
      <c r="G25" s="51"/>
      <c r="H25" s="51"/>
      <c r="I25" s="78"/>
      <c r="J25" s="121" t="s">
        <v>121</v>
      </c>
      <c r="K25" s="54">
        <f>COUNTIF('Itemization 202401'!L:L,J25)</f>
        <v>0</v>
      </c>
      <c r="L25" s="55">
        <f>(K25/K116)</f>
        <v>0</v>
      </c>
      <c r="M25" s="51"/>
      <c r="N25" s="51"/>
      <c r="O25" s="78"/>
      <c r="P25" s="51"/>
      <c r="Q25" s="51"/>
      <c r="R25" s="72"/>
    </row>
    <row r="26" ht="15.75" customHeight="1">
      <c r="A26" s="85"/>
      <c r="B26" s="85"/>
      <c r="C26" s="85"/>
      <c r="D26" s="51"/>
      <c r="E26" s="51"/>
      <c r="F26" s="78"/>
      <c r="G26" s="51"/>
      <c r="H26" s="51"/>
      <c r="I26" s="78"/>
      <c r="J26" s="121" t="s">
        <v>122</v>
      </c>
      <c r="K26" s="54">
        <f>COUNTIF('Itemization 202401'!L:L,J26)</f>
        <v>0</v>
      </c>
      <c r="L26" s="55">
        <f>(K26/K116)</f>
        <v>0</v>
      </c>
      <c r="M26" s="51"/>
      <c r="N26" s="51"/>
      <c r="O26" s="78"/>
      <c r="P26" s="51"/>
      <c r="Q26" s="51"/>
      <c r="R26" s="72"/>
    </row>
    <row r="27" ht="15.75" customHeight="1">
      <c r="A27" s="85"/>
      <c r="B27" s="85"/>
      <c r="C27" s="85"/>
      <c r="D27" s="51"/>
      <c r="E27" s="51"/>
      <c r="F27" s="78"/>
      <c r="G27" s="51"/>
      <c r="H27" s="51"/>
      <c r="I27" s="78"/>
      <c r="J27" s="121" t="s">
        <v>123</v>
      </c>
      <c r="K27" s="54">
        <f>COUNTIF('Itemization 202401'!L:L,J27)</f>
        <v>0</v>
      </c>
      <c r="L27" s="55">
        <f>(K27/K116)</f>
        <v>0</v>
      </c>
      <c r="M27" s="51"/>
      <c r="N27" s="51"/>
      <c r="O27" s="78"/>
      <c r="P27" s="51"/>
      <c r="Q27" s="51"/>
      <c r="R27" s="72"/>
    </row>
    <row r="28" ht="15.75" customHeight="1">
      <c r="A28" s="85"/>
      <c r="B28" s="85"/>
      <c r="C28" s="85"/>
      <c r="D28" s="51"/>
      <c r="E28" s="51"/>
      <c r="F28" s="78"/>
      <c r="G28" s="51"/>
      <c r="H28" s="51"/>
      <c r="I28" s="78"/>
      <c r="J28" s="121" t="s">
        <v>124</v>
      </c>
      <c r="K28" s="54">
        <f>COUNTIF('Itemization 202401'!L:L,J28)</f>
        <v>0</v>
      </c>
      <c r="L28" s="55">
        <f>(K28/K116)</f>
        <v>0</v>
      </c>
      <c r="M28" s="51"/>
      <c r="N28" s="51"/>
      <c r="O28" s="78"/>
      <c r="P28" s="51"/>
      <c r="Q28" s="51"/>
      <c r="R28" s="72"/>
    </row>
    <row r="29" ht="15.75" customHeight="1">
      <c r="A29" s="85"/>
      <c r="B29" s="85"/>
      <c r="C29" s="85"/>
      <c r="D29" s="51"/>
      <c r="E29" s="51"/>
      <c r="F29" s="78"/>
      <c r="G29" s="51"/>
      <c r="H29" s="51"/>
      <c r="I29" s="78"/>
      <c r="J29" s="121" t="s">
        <v>125</v>
      </c>
      <c r="K29" s="54">
        <f>COUNTIF('Itemization 202401'!L:L,J29)</f>
        <v>0</v>
      </c>
      <c r="L29" s="55">
        <f>(K29/K116)</f>
        <v>0</v>
      </c>
      <c r="M29" s="51"/>
      <c r="N29" s="51"/>
      <c r="O29" s="78"/>
      <c r="P29" s="51"/>
      <c r="Q29" s="51"/>
      <c r="R29" s="72"/>
    </row>
    <row r="30" ht="15.75" customHeight="1">
      <c r="A30" s="85"/>
      <c r="B30" s="85"/>
      <c r="C30" s="85"/>
      <c r="D30" s="51"/>
      <c r="E30" s="51"/>
      <c r="F30" s="78"/>
      <c r="G30" s="51"/>
      <c r="H30" s="51"/>
      <c r="I30" s="78"/>
      <c r="J30" s="122" t="s">
        <v>126</v>
      </c>
      <c r="K30" s="57">
        <f>COUNTIF('Itemization 202401'!L:L,J30)</f>
        <v>2</v>
      </c>
      <c r="L30" s="58">
        <f>(K30/K116)</f>
        <v>0.05263157895</v>
      </c>
      <c r="M30" s="51"/>
      <c r="N30" s="51"/>
      <c r="O30" s="78"/>
      <c r="P30" s="51"/>
      <c r="Q30" s="51"/>
      <c r="R30" s="72"/>
    </row>
    <row r="31" ht="15.75" customHeight="1">
      <c r="A31" s="85"/>
      <c r="B31" s="85"/>
      <c r="C31" s="85"/>
      <c r="D31" s="51"/>
      <c r="E31" s="51"/>
      <c r="F31" s="78"/>
      <c r="G31" s="51"/>
      <c r="H31" s="51"/>
      <c r="I31" s="78"/>
      <c r="J31" s="121" t="s">
        <v>127</v>
      </c>
      <c r="K31" s="54">
        <f>COUNTIF('Itemization 202401'!L:L,J31)</f>
        <v>0</v>
      </c>
      <c r="L31" s="55">
        <f>(K31/K116)</f>
        <v>0</v>
      </c>
      <c r="M31" s="51"/>
      <c r="N31" s="51"/>
      <c r="O31" s="78"/>
      <c r="P31" s="51"/>
      <c r="Q31" s="51"/>
      <c r="R31" s="72"/>
    </row>
    <row r="32" ht="15.75" customHeight="1">
      <c r="A32" s="85"/>
      <c r="B32" s="85"/>
      <c r="C32" s="85"/>
      <c r="D32" s="51"/>
      <c r="E32" s="51"/>
      <c r="F32" s="78"/>
      <c r="G32" s="51"/>
      <c r="H32" s="51"/>
      <c r="I32" s="78"/>
      <c r="J32" s="121" t="s">
        <v>128</v>
      </c>
      <c r="K32" s="54">
        <f>COUNTIF('Itemization 202401'!L:L,J32)</f>
        <v>0</v>
      </c>
      <c r="L32" s="55">
        <f>(K32/K116)</f>
        <v>0</v>
      </c>
      <c r="M32" s="51"/>
      <c r="N32" s="51"/>
      <c r="O32" s="78"/>
      <c r="P32" s="51"/>
      <c r="Q32" s="51"/>
      <c r="R32" s="72"/>
    </row>
    <row r="33" ht="15.75" customHeight="1">
      <c r="A33" s="85"/>
      <c r="B33" s="85"/>
      <c r="C33" s="85"/>
      <c r="D33" s="51"/>
      <c r="E33" s="51"/>
      <c r="F33" s="78"/>
      <c r="G33" s="51"/>
      <c r="H33" s="51"/>
      <c r="I33" s="78"/>
      <c r="J33" s="121" t="s">
        <v>129</v>
      </c>
      <c r="K33" s="54">
        <f>COUNTIF('Itemization 202401'!L:L,J33)</f>
        <v>0</v>
      </c>
      <c r="L33" s="55">
        <f>(K33/K116)</f>
        <v>0</v>
      </c>
      <c r="M33" s="51"/>
      <c r="N33" s="51"/>
      <c r="O33" s="78"/>
      <c r="P33" s="51"/>
      <c r="Q33" s="51"/>
      <c r="R33" s="72"/>
    </row>
    <row r="34" ht="15.75" customHeight="1">
      <c r="A34" s="85"/>
      <c r="B34" s="85"/>
      <c r="C34" s="85"/>
      <c r="D34" s="51"/>
      <c r="E34" s="51"/>
      <c r="F34" s="78"/>
      <c r="G34" s="51"/>
      <c r="H34" s="51"/>
      <c r="I34" s="78"/>
      <c r="J34" s="121" t="s">
        <v>130</v>
      </c>
      <c r="K34" s="54">
        <f>COUNTIF('Itemization 202401'!L:L,J34)</f>
        <v>0</v>
      </c>
      <c r="L34" s="55">
        <f>(K34/K116)</f>
        <v>0</v>
      </c>
      <c r="M34" s="51"/>
      <c r="N34" s="51"/>
      <c r="O34" s="78"/>
      <c r="P34" s="51"/>
      <c r="Q34" s="51"/>
      <c r="R34" s="72"/>
    </row>
    <row r="35" ht="15.75" customHeight="1">
      <c r="A35" s="85"/>
      <c r="B35" s="85"/>
      <c r="C35" s="85"/>
      <c r="D35" s="51"/>
      <c r="E35" s="51"/>
      <c r="F35" s="78"/>
      <c r="G35" s="51"/>
      <c r="H35" s="51"/>
      <c r="I35" s="78"/>
      <c r="J35" s="122" t="s">
        <v>131</v>
      </c>
      <c r="K35" s="57">
        <f>COUNTIF('Itemization 202401'!L:L,J35)</f>
        <v>2</v>
      </c>
      <c r="L35" s="58">
        <f>(K35/K116)</f>
        <v>0.05263157895</v>
      </c>
      <c r="M35" s="51"/>
      <c r="N35" s="51"/>
      <c r="O35" s="78"/>
      <c r="P35" s="51"/>
      <c r="Q35" s="51"/>
      <c r="R35" s="72"/>
    </row>
    <row r="36" ht="15.75" customHeight="1">
      <c r="A36" s="85"/>
      <c r="B36" s="85"/>
      <c r="C36" s="85"/>
      <c r="D36" s="51"/>
      <c r="E36" s="51"/>
      <c r="F36" s="78"/>
      <c r="G36" s="51"/>
      <c r="H36" s="51"/>
      <c r="I36" s="78"/>
      <c r="J36" s="121" t="s">
        <v>132</v>
      </c>
      <c r="K36" s="54">
        <f>COUNTIF('Itemization 202401'!L:L,J36)</f>
        <v>0</v>
      </c>
      <c r="L36" s="55">
        <f>(K36/K116)</f>
        <v>0</v>
      </c>
      <c r="M36" s="51"/>
      <c r="N36" s="51"/>
      <c r="O36" s="78"/>
      <c r="P36" s="51"/>
      <c r="Q36" s="51"/>
      <c r="R36" s="72"/>
    </row>
    <row r="37" ht="15.75" customHeight="1">
      <c r="A37" s="85"/>
      <c r="B37" s="85"/>
      <c r="C37" s="85"/>
      <c r="D37" s="51"/>
      <c r="E37" s="51"/>
      <c r="F37" s="78"/>
      <c r="G37" s="51"/>
      <c r="H37" s="51"/>
      <c r="I37" s="78"/>
      <c r="J37" s="121" t="s">
        <v>133</v>
      </c>
      <c r="K37" s="54">
        <f>COUNTIF('Itemization 202401'!L:L,J37)</f>
        <v>0</v>
      </c>
      <c r="L37" s="55">
        <f>(K37/K116)</f>
        <v>0</v>
      </c>
      <c r="M37" s="51"/>
      <c r="N37" s="51"/>
      <c r="O37" s="78"/>
      <c r="P37" s="51"/>
      <c r="Q37" s="51"/>
      <c r="R37" s="72"/>
    </row>
    <row r="38" ht="15.75" customHeight="1">
      <c r="A38" s="85"/>
      <c r="B38" s="85"/>
      <c r="C38" s="85"/>
      <c r="D38" s="51"/>
      <c r="E38" s="51"/>
      <c r="F38" s="78"/>
      <c r="G38" s="51"/>
      <c r="H38" s="51"/>
      <c r="I38" s="78"/>
      <c r="J38" s="121" t="s">
        <v>134</v>
      </c>
      <c r="K38" s="54">
        <f>COUNTIF('Itemization 202401'!L:L,J38)</f>
        <v>0</v>
      </c>
      <c r="L38" s="55">
        <f>(K38/K116)</f>
        <v>0</v>
      </c>
      <c r="M38" s="51"/>
      <c r="N38" s="51"/>
      <c r="O38" s="78"/>
      <c r="P38" s="51"/>
      <c r="Q38" s="51"/>
      <c r="R38" s="72"/>
    </row>
    <row r="39" ht="15.75" customHeight="1">
      <c r="A39" s="85"/>
      <c r="B39" s="85"/>
      <c r="C39" s="85"/>
      <c r="D39" s="51"/>
      <c r="E39" s="51"/>
      <c r="F39" s="78"/>
      <c r="G39" s="51"/>
      <c r="H39" s="51"/>
      <c r="I39" s="78"/>
      <c r="J39" s="121" t="s">
        <v>135</v>
      </c>
      <c r="K39" s="54">
        <f>COUNTIF('Itemization 202401'!L:L,J39)</f>
        <v>0</v>
      </c>
      <c r="L39" s="55">
        <f>(K39/K116)</f>
        <v>0</v>
      </c>
      <c r="M39" s="51"/>
      <c r="N39" s="51"/>
      <c r="O39" s="78"/>
      <c r="P39" s="51"/>
      <c r="Q39" s="51"/>
      <c r="R39" s="72"/>
    </row>
    <row r="40" ht="15.75" customHeight="1">
      <c r="A40" s="85"/>
      <c r="B40" s="85"/>
      <c r="C40" s="85"/>
      <c r="D40" s="51"/>
      <c r="E40" s="51"/>
      <c r="F40" s="78"/>
      <c r="G40" s="51"/>
      <c r="H40" s="51"/>
      <c r="I40" s="78"/>
      <c r="J40" s="121" t="s">
        <v>136</v>
      </c>
      <c r="K40" s="54">
        <f>COUNTIF('Itemization 202401'!L:L,J40)</f>
        <v>0</v>
      </c>
      <c r="L40" s="55">
        <f>(K40/K116)</f>
        <v>0</v>
      </c>
      <c r="M40" s="51"/>
      <c r="N40" s="51"/>
      <c r="O40" s="78"/>
      <c r="P40" s="51"/>
      <c r="Q40" s="51"/>
      <c r="R40" s="72"/>
    </row>
    <row r="41" ht="15.75" customHeight="1">
      <c r="A41" s="85"/>
      <c r="B41" s="85"/>
      <c r="C41" s="85"/>
      <c r="D41" s="51"/>
      <c r="E41" s="51"/>
      <c r="F41" s="78"/>
      <c r="G41" s="51"/>
      <c r="H41" s="51"/>
      <c r="I41" s="78"/>
      <c r="J41" s="121" t="s">
        <v>137</v>
      </c>
      <c r="K41" s="54">
        <f>COUNTIF('Itemization 202401'!L:L,J41)</f>
        <v>0</v>
      </c>
      <c r="L41" s="55">
        <f>(K41/K116)</f>
        <v>0</v>
      </c>
      <c r="M41" s="51"/>
      <c r="N41" s="51"/>
      <c r="O41" s="78"/>
      <c r="P41" s="51"/>
      <c r="Q41" s="51"/>
      <c r="R41" s="72"/>
    </row>
    <row r="42" ht="15.75" customHeight="1">
      <c r="A42" s="85"/>
      <c r="B42" s="85"/>
      <c r="C42" s="85"/>
      <c r="D42" s="51"/>
      <c r="E42" s="51"/>
      <c r="F42" s="78"/>
      <c r="G42" s="51"/>
      <c r="H42" s="51"/>
      <c r="I42" s="78"/>
      <c r="J42" s="122" t="s">
        <v>138</v>
      </c>
      <c r="K42" s="57">
        <f>COUNTIF('Itemization 202401'!L:L,J42)</f>
        <v>2</v>
      </c>
      <c r="L42" s="58">
        <f>(K42/K116)</f>
        <v>0.05263157895</v>
      </c>
      <c r="M42" s="51"/>
      <c r="N42" s="51"/>
      <c r="O42" s="78"/>
      <c r="P42" s="51"/>
      <c r="Q42" s="51"/>
      <c r="R42" s="72"/>
    </row>
    <row r="43" ht="15.75" customHeight="1">
      <c r="A43" s="85"/>
      <c r="B43" s="85"/>
      <c r="C43" s="85"/>
      <c r="D43" s="51"/>
      <c r="E43" s="51"/>
      <c r="F43" s="78"/>
      <c r="G43" s="51"/>
      <c r="H43" s="51"/>
      <c r="I43" s="78"/>
      <c r="J43" s="121" t="s">
        <v>139</v>
      </c>
      <c r="K43" s="54">
        <f>COUNTIF('Itemization 202401'!L:L,J43)</f>
        <v>0</v>
      </c>
      <c r="L43" s="55">
        <f>(K43/K116)</f>
        <v>0</v>
      </c>
      <c r="M43" s="51"/>
      <c r="N43" s="51"/>
      <c r="O43" s="78"/>
      <c r="P43" s="51"/>
      <c r="Q43" s="51"/>
      <c r="R43" s="72"/>
    </row>
    <row r="44" ht="15.75" customHeight="1">
      <c r="A44" s="85"/>
      <c r="B44" s="85"/>
      <c r="C44" s="85"/>
      <c r="D44" s="51"/>
      <c r="E44" s="51"/>
      <c r="F44" s="78"/>
      <c r="G44" s="51"/>
      <c r="H44" s="51"/>
      <c r="I44" s="78"/>
      <c r="J44" s="121" t="s">
        <v>140</v>
      </c>
      <c r="K44" s="54">
        <f>COUNTIF('Itemization 202401'!L:L,J44)</f>
        <v>0</v>
      </c>
      <c r="L44" s="55">
        <f>(K44/K116)</f>
        <v>0</v>
      </c>
      <c r="M44" s="51"/>
      <c r="N44" s="51"/>
      <c r="O44" s="78"/>
      <c r="P44" s="51"/>
      <c r="Q44" s="51"/>
      <c r="R44" s="72"/>
    </row>
    <row r="45" ht="15.75" customHeight="1">
      <c r="A45" s="85"/>
      <c r="B45" s="85"/>
      <c r="C45" s="85"/>
      <c r="D45" s="51"/>
      <c r="E45" s="51"/>
      <c r="F45" s="78"/>
      <c r="G45" s="51"/>
      <c r="H45" s="51"/>
      <c r="I45" s="78"/>
      <c r="J45" s="210" t="s">
        <v>141</v>
      </c>
      <c r="K45" s="114">
        <f>COUNTIF('Itemization 202401'!L:L,J45)</f>
        <v>1</v>
      </c>
      <c r="L45" s="145">
        <f>(K45/K116)</f>
        <v>0.02631578947</v>
      </c>
      <c r="M45" s="51"/>
      <c r="N45" s="51"/>
      <c r="O45" s="78"/>
      <c r="P45" s="51"/>
      <c r="Q45" s="51"/>
      <c r="R45" s="72"/>
    </row>
    <row r="46" ht="15.75" customHeight="1">
      <c r="A46" s="85"/>
      <c r="B46" s="85"/>
      <c r="C46" s="85"/>
      <c r="D46" s="51"/>
      <c r="E46" s="51"/>
      <c r="F46" s="78"/>
      <c r="G46" s="51"/>
      <c r="H46" s="51"/>
      <c r="I46" s="78"/>
      <c r="J46" s="121" t="s">
        <v>142</v>
      </c>
      <c r="K46" s="54">
        <f>COUNTIF('Itemization 202401'!L:L,J46)</f>
        <v>0</v>
      </c>
      <c r="L46" s="55">
        <f>(K46/K116)</f>
        <v>0</v>
      </c>
      <c r="M46" s="51"/>
      <c r="N46" s="51"/>
      <c r="O46" s="78"/>
      <c r="P46" s="51"/>
      <c r="Q46" s="51"/>
      <c r="R46" s="72"/>
    </row>
    <row r="47" ht="15.75" customHeight="1">
      <c r="A47" s="85"/>
      <c r="B47" s="85"/>
      <c r="C47" s="85"/>
      <c r="D47" s="51"/>
      <c r="E47" s="51"/>
      <c r="F47" s="78"/>
      <c r="G47" s="51"/>
      <c r="H47" s="51"/>
      <c r="I47" s="78"/>
      <c r="J47" s="121" t="s">
        <v>143</v>
      </c>
      <c r="K47" s="54">
        <f>COUNTIF('Itemization 202401'!L:L,J47)</f>
        <v>0</v>
      </c>
      <c r="L47" s="55">
        <f>(K47/K116)</f>
        <v>0</v>
      </c>
      <c r="M47" s="51"/>
      <c r="N47" s="51"/>
      <c r="O47" s="78"/>
      <c r="P47" s="51"/>
      <c r="Q47" s="51"/>
      <c r="R47" s="72"/>
    </row>
    <row r="48" ht="15.75" customHeight="1">
      <c r="A48" s="85"/>
      <c r="B48" s="85"/>
      <c r="C48" s="85"/>
      <c r="D48" s="51"/>
      <c r="E48" s="51"/>
      <c r="F48" s="78"/>
      <c r="G48" s="51"/>
      <c r="H48" s="51"/>
      <c r="I48" s="78"/>
      <c r="J48" s="121" t="s">
        <v>144</v>
      </c>
      <c r="K48" s="54">
        <f>COUNTIF('Itemization 202401'!L:L,J48)</f>
        <v>0</v>
      </c>
      <c r="L48" s="55">
        <f>(K48/K116)</f>
        <v>0</v>
      </c>
      <c r="M48" s="51"/>
      <c r="N48" s="51"/>
      <c r="O48" s="78"/>
      <c r="P48" s="51"/>
      <c r="Q48" s="51"/>
      <c r="R48" s="72"/>
    </row>
    <row r="49" ht="15.75" customHeight="1">
      <c r="A49" s="85"/>
      <c r="B49" s="85"/>
      <c r="C49" s="85"/>
      <c r="D49" s="51"/>
      <c r="E49" s="51"/>
      <c r="F49" s="78"/>
      <c r="G49" s="51"/>
      <c r="H49" s="51"/>
      <c r="I49" s="78"/>
      <c r="J49" s="121" t="s">
        <v>145</v>
      </c>
      <c r="K49" s="54">
        <f>COUNTIF('Itemization 202401'!L:L,J49)</f>
        <v>0</v>
      </c>
      <c r="L49" s="55">
        <f>(K49/K116)</f>
        <v>0</v>
      </c>
      <c r="M49" s="51"/>
      <c r="N49" s="51"/>
      <c r="O49" s="78"/>
      <c r="P49" s="51"/>
      <c r="Q49" s="51"/>
      <c r="R49" s="72"/>
    </row>
    <row r="50" ht="15.75" customHeight="1">
      <c r="A50" s="85"/>
      <c r="B50" s="85"/>
      <c r="C50" s="85"/>
      <c r="D50" s="51"/>
      <c r="E50" s="51"/>
      <c r="F50" s="78"/>
      <c r="G50" s="51"/>
      <c r="H50" s="51"/>
      <c r="I50" s="78"/>
      <c r="J50" s="210" t="s">
        <v>146</v>
      </c>
      <c r="K50" s="114">
        <f>COUNTIF('Itemization 202401'!L:L,J50)</f>
        <v>1</v>
      </c>
      <c r="L50" s="145">
        <f>(K50/K116)</f>
        <v>0.02631578947</v>
      </c>
      <c r="M50" s="51"/>
      <c r="N50" s="51"/>
      <c r="O50" s="78"/>
      <c r="P50" s="51"/>
      <c r="Q50" s="51"/>
      <c r="R50" s="72"/>
    </row>
    <row r="51" ht="15.75" customHeight="1">
      <c r="A51" s="85"/>
      <c r="B51" s="85"/>
      <c r="C51" s="85"/>
      <c r="D51" s="51"/>
      <c r="E51" s="51"/>
      <c r="F51" s="78"/>
      <c r="G51" s="51"/>
      <c r="H51" s="51"/>
      <c r="I51" s="78"/>
      <c r="J51" s="121" t="s">
        <v>147</v>
      </c>
      <c r="K51" s="54">
        <f>COUNTIF('Itemization 202401'!L:L,J51)</f>
        <v>0</v>
      </c>
      <c r="L51" s="55">
        <f>(K51/K116)</f>
        <v>0</v>
      </c>
      <c r="M51" s="51"/>
      <c r="N51" s="51"/>
      <c r="O51" s="78"/>
      <c r="P51" s="51"/>
      <c r="Q51" s="51"/>
      <c r="R51" s="72"/>
    </row>
    <row r="52" ht="15.75" customHeight="1">
      <c r="A52" s="85"/>
      <c r="B52" s="85"/>
      <c r="C52" s="85"/>
      <c r="D52" s="51"/>
      <c r="E52" s="51"/>
      <c r="F52" s="78"/>
      <c r="G52" s="51"/>
      <c r="H52" s="51"/>
      <c r="I52" s="78"/>
      <c r="J52" s="122" t="s">
        <v>148</v>
      </c>
      <c r="K52" s="57">
        <f>COUNTIF('Itemization 202401'!L:L,J52)</f>
        <v>2</v>
      </c>
      <c r="L52" s="58">
        <f>(K52/K116)</f>
        <v>0.05263157895</v>
      </c>
      <c r="M52" s="51"/>
      <c r="N52" s="51"/>
      <c r="O52" s="78"/>
      <c r="P52" s="51"/>
      <c r="Q52" s="51"/>
      <c r="R52" s="72"/>
    </row>
    <row r="53" ht="15.75" customHeight="1">
      <c r="A53" s="85"/>
      <c r="B53" s="85"/>
      <c r="C53" s="85"/>
      <c r="D53" s="51"/>
      <c r="E53" s="51"/>
      <c r="F53" s="78"/>
      <c r="G53" s="51"/>
      <c r="H53" s="51"/>
      <c r="I53" s="78"/>
      <c r="J53" s="121" t="s">
        <v>149</v>
      </c>
      <c r="K53" s="54">
        <f>COUNTIF('Itemization 202401'!L:L,J53)</f>
        <v>0</v>
      </c>
      <c r="L53" s="55">
        <f>(K53/K116)</f>
        <v>0</v>
      </c>
      <c r="M53" s="51"/>
      <c r="N53" s="51"/>
      <c r="O53" s="78"/>
      <c r="P53" s="51"/>
      <c r="Q53" s="51"/>
      <c r="R53" s="72"/>
    </row>
    <row r="54" ht="15.75" customHeight="1">
      <c r="A54" s="85"/>
      <c r="B54" s="85"/>
      <c r="C54" s="85"/>
      <c r="D54" s="51"/>
      <c r="E54" s="51"/>
      <c r="F54" s="78"/>
      <c r="G54" s="51"/>
      <c r="H54" s="51"/>
      <c r="I54" s="78"/>
      <c r="J54" s="121" t="s">
        <v>150</v>
      </c>
      <c r="K54" s="54">
        <f>COUNTIF('Itemization 202401'!L:L,J54)</f>
        <v>0</v>
      </c>
      <c r="L54" s="55">
        <f>(K54/K116)</f>
        <v>0</v>
      </c>
      <c r="M54" s="51"/>
      <c r="N54" s="51"/>
      <c r="O54" s="78"/>
      <c r="P54" s="51"/>
      <c r="Q54" s="51"/>
      <c r="R54" s="72"/>
    </row>
    <row r="55" ht="15.75" customHeight="1">
      <c r="A55" s="85"/>
      <c r="B55" s="85"/>
      <c r="C55" s="85"/>
      <c r="D55" s="51"/>
      <c r="E55" s="51"/>
      <c r="F55" s="78"/>
      <c r="G55" s="51"/>
      <c r="H55" s="51"/>
      <c r="I55" s="78"/>
      <c r="J55" s="121" t="s">
        <v>151</v>
      </c>
      <c r="K55" s="54">
        <f>COUNTIF('Itemization 202401'!L:L,J55)</f>
        <v>0</v>
      </c>
      <c r="L55" s="55">
        <f>(K55/K116)</f>
        <v>0</v>
      </c>
      <c r="M55" s="51"/>
      <c r="N55" s="51"/>
      <c r="O55" s="78"/>
      <c r="P55" s="51"/>
      <c r="Q55" s="51"/>
      <c r="R55" s="72"/>
    </row>
    <row r="56" ht="15.75" customHeight="1">
      <c r="A56" s="85"/>
      <c r="B56" s="85"/>
      <c r="C56" s="85"/>
      <c r="D56" s="51"/>
      <c r="E56" s="51"/>
      <c r="F56" s="78"/>
      <c r="G56" s="51"/>
      <c r="H56" s="51"/>
      <c r="I56" s="78"/>
      <c r="J56" s="121" t="s">
        <v>152</v>
      </c>
      <c r="K56" s="54">
        <f>COUNTIF('Itemization 202401'!L:L,J56)</f>
        <v>0</v>
      </c>
      <c r="L56" s="55">
        <f>(K56/K116)</f>
        <v>0</v>
      </c>
      <c r="M56" s="51"/>
      <c r="N56" s="51"/>
      <c r="O56" s="78"/>
      <c r="P56" s="51"/>
      <c r="Q56" s="51"/>
      <c r="R56" s="72"/>
    </row>
    <row r="57" ht="15.75" customHeight="1">
      <c r="A57" s="85"/>
      <c r="B57" s="85"/>
      <c r="C57" s="85"/>
      <c r="D57" s="51"/>
      <c r="E57" s="51"/>
      <c r="F57" s="78"/>
      <c r="G57" s="51"/>
      <c r="H57" s="51"/>
      <c r="I57" s="78"/>
      <c r="J57" s="210" t="s">
        <v>153</v>
      </c>
      <c r="K57" s="114">
        <f>COUNTIF('Itemization 202401'!L:L,J57)</f>
        <v>1</v>
      </c>
      <c r="L57" s="145">
        <f>(K57/K116)</f>
        <v>0.02631578947</v>
      </c>
      <c r="M57" s="51"/>
      <c r="N57" s="51"/>
      <c r="O57" s="78"/>
      <c r="P57" s="51"/>
      <c r="Q57" s="51"/>
      <c r="R57" s="72"/>
    </row>
    <row r="58" ht="15.75" customHeight="1">
      <c r="A58" s="85"/>
      <c r="B58" s="85"/>
      <c r="C58" s="85"/>
      <c r="D58" s="51"/>
      <c r="E58" s="51"/>
      <c r="F58" s="78"/>
      <c r="G58" s="51"/>
      <c r="H58" s="51"/>
      <c r="I58" s="78"/>
      <c r="J58" s="121" t="s">
        <v>154</v>
      </c>
      <c r="K58" s="54">
        <f>COUNTIF('Itemization 202401'!L:L,J58)</f>
        <v>0</v>
      </c>
      <c r="L58" s="55">
        <f>(K58/K116)</f>
        <v>0</v>
      </c>
      <c r="M58" s="51"/>
      <c r="N58" s="51"/>
      <c r="O58" s="78"/>
      <c r="P58" s="51"/>
      <c r="Q58" s="51"/>
      <c r="R58" s="72"/>
    </row>
    <row r="59" ht="15.75" customHeight="1">
      <c r="A59" s="85"/>
      <c r="B59" s="85"/>
      <c r="C59" s="85"/>
      <c r="D59" s="51"/>
      <c r="E59" s="51"/>
      <c r="F59" s="78"/>
      <c r="G59" s="51"/>
      <c r="H59" s="51"/>
      <c r="I59" s="78"/>
      <c r="J59" s="121" t="s">
        <v>155</v>
      </c>
      <c r="K59" s="54">
        <f>COUNTIF('Itemization 202401'!L:L,J59)</f>
        <v>0</v>
      </c>
      <c r="L59" s="55">
        <f>(K59/K116)</f>
        <v>0</v>
      </c>
      <c r="M59" s="51"/>
      <c r="N59" s="51"/>
      <c r="O59" s="78"/>
      <c r="P59" s="51"/>
      <c r="Q59" s="51"/>
      <c r="R59" s="72"/>
    </row>
    <row r="60" ht="15.75" customHeight="1">
      <c r="A60" s="85"/>
      <c r="B60" s="85"/>
      <c r="C60" s="85"/>
      <c r="D60" s="51"/>
      <c r="E60" s="51"/>
      <c r="F60" s="78"/>
      <c r="G60" s="51"/>
      <c r="H60" s="51"/>
      <c r="I60" s="78"/>
      <c r="J60" s="121" t="s">
        <v>156</v>
      </c>
      <c r="K60" s="54">
        <f>COUNTIF('Itemization 202401'!L:L,J60)</f>
        <v>0</v>
      </c>
      <c r="L60" s="55">
        <f>(K60/K116)</f>
        <v>0</v>
      </c>
      <c r="M60" s="51"/>
      <c r="N60" s="51"/>
      <c r="O60" s="78"/>
      <c r="P60" s="51"/>
      <c r="Q60" s="51"/>
      <c r="R60" s="72"/>
    </row>
    <row r="61" ht="15.75" customHeight="1">
      <c r="A61" s="85"/>
      <c r="B61" s="85"/>
      <c r="C61" s="85"/>
      <c r="D61" s="51"/>
      <c r="E61" s="51"/>
      <c r="F61" s="78"/>
      <c r="G61" s="51"/>
      <c r="H61" s="51"/>
      <c r="I61" s="78"/>
      <c r="J61" s="121" t="s">
        <v>157</v>
      </c>
      <c r="K61" s="54">
        <f>COUNTIF('Itemization 202401'!L:L,J61)</f>
        <v>0</v>
      </c>
      <c r="L61" s="55">
        <f>(K61/K116)</f>
        <v>0</v>
      </c>
      <c r="M61" s="51"/>
      <c r="N61" s="51"/>
      <c r="O61" s="78"/>
      <c r="P61" s="51"/>
      <c r="Q61" s="51"/>
      <c r="R61" s="72"/>
    </row>
    <row r="62" ht="15.75" customHeight="1">
      <c r="A62" s="85"/>
      <c r="B62" s="85"/>
      <c r="C62" s="85"/>
      <c r="D62" s="51"/>
      <c r="E62" s="51"/>
      <c r="F62" s="78"/>
      <c r="G62" s="51"/>
      <c r="H62" s="51"/>
      <c r="I62" s="78"/>
      <c r="J62" s="121" t="s">
        <v>158</v>
      </c>
      <c r="K62" s="54">
        <f>COUNTIF('Itemization 202401'!L:L,J62)</f>
        <v>0</v>
      </c>
      <c r="L62" s="55">
        <f>(K62/K116)</f>
        <v>0</v>
      </c>
      <c r="M62" s="51"/>
      <c r="N62" s="51"/>
      <c r="O62" s="78"/>
      <c r="P62" s="51"/>
      <c r="Q62" s="51"/>
      <c r="R62" s="72"/>
    </row>
    <row r="63" ht="15.75" customHeight="1">
      <c r="A63" s="85"/>
      <c r="B63" s="85"/>
      <c r="C63" s="85"/>
      <c r="D63" s="51"/>
      <c r="E63" s="51"/>
      <c r="F63" s="78"/>
      <c r="G63" s="51"/>
      <c r="H63" s="51"/>
      <c r="I63" s="78"/>
      <c r="J63" s="121" t="s">
        <v>159</v>
      </c>
      <c r="K63" s="54">
        <f>COUNTIF('Itemization 202401'!L:L,J63)</f>
        <v>0</v>
      </c>
      <c r="L63" s="55">
        <f>(K63/K116)</f>
        <v>0</v>
      </c>
      <c r="M63" s="51"/>
      <c r="N63" s="51"/>
      <c r="O63" s="78"/>
      <c r="P63" s="51"/>
      <c r="Q63" s="51"/>
      <c r="R63" s="72"/>
    </row>
    <row r="64" ht="15.75" customHeight="1">
      <c r="A64" s="85"/>
      <c r="B64" s="85"/>
      <c r="C64" s="85"/>
      <c r="D64" s="51"/>
      <c r="E64" s="51"/>
      <c r="F64" s="78"/>
      <c r="G64" s="51"/>
      <c r="H64" s="51"/>
      <c r="I64" s="78"/>
      <c r="J64" s="121" t="s">
        <v>160</v>
      </c>
      <c r="K64" s="54">
        <f>COUNTIF('Itemization 202401'!L:L,J64)</f>
        <v>0</v>
      </c>
      <c r="L64" s="55">
        <f>(K64/K116)</f>
        <v>0</v>
      </c>
      <c r="M64" s="51"/>
      <c r="N64" s="51"/>
      <c r="O64" s="78"/>
      <c r="P64" s="51"/>
      <c r="Q64" s="51"/>
      <c r="R64" s="72"/>
    </row>
    <row r="65" ht="15.75" customHeight="1">
      <c r="A65" s="85"/>
      <c r="B65" s="85"/>
      <c r="C65" s="85"/>
      <c r="D65" s="51"/>
      <c r="E65" s="51"/>
      <c r="F65" s="78"/>
      <c r="G65" s="51"/>
      <c r="H65" s="51"/>
      <c r="I65" s="78"/>
      <c r="J65" s="121" t="s">
        <v>161</v>
      </c>
      <c r="K65" s="54">
        <f>COUNTIF('Itemization 202401'!L:L,J65)</f>
        <v>0</v>
      </c>
      <c r="L65" s="55">
        <f>(K65/K116)</f>
        <v>0</v>
      </c>
      <c r="M65" s="51"/>
      <c r="N65" s="51"/>
      <c r="O65" s="78"/>
      <c r="P65" s="51"/>
      <c r="Q65" s="51"/>
      <c r="R65" s="72"/>
    </row>
    <row r="66" ht="15.75" customHeight="1">
      <c r="A66" s="85"/>
      <c r="B66" s="85"/>
      <c r="C66" s="85"/>
      <c r="D66" s="51"/>
      <c r="E66" s="51"/>
      <c r="F66" s="78"/>
      <c r="G66" s="51"/>
      <c r="H66" s="51"/>
      <c r="I66" s="78"/>
      <c r="J66" s="122" t="s">
        <v>162</v>
      </c>
      <c r="K66" s="57">
        <f>COUNTIF('Itemization 202401'!L:L,J66)</f>
        <v>2</v>
      </c>
      <c r="L66" s="58">
        <f>(K66/K116)</f>
        <v>0.05263157895</v>
      </c>
      <c r="M66" s="51"/>
      <c r="N66" s="51"/>
      <c r="O66" s="78"/>
      <c r="P66" s="51"/>
      <c r="Q66" s="51"/>
      <c r="R66" s="72"/>
    </row>
    <row r="67" ht="15.75" customHeight="1">
      <c r="A67" s="85"/>
      <c r="B67" s="85"/>
      <c r="C67" s="85"/>
      <c r="D67" s="51"/>
      <c r="E67" s="51"/>
      <c r="F67" s="78"/>
      <c r="G67" s="51"/>
      <c r="H67" s="51"/>
      <c r="I67" s="78"/>
      <c r="J67" s="121" t="s">
        <v>163</v>
      </c>
      <c r="K67" s="54">
        <f>COUNTIF('Itemization 202401'!L:L,J67)</f>
        <v>0</v>
      </c>
      <c r="L67" s="55">
        <f>(K67/K116)</f>
        <v>0</v>
      </c>
      <c r="M67" s="51"/>
      <c r="N67" s="51"/>
      <c r="O67" s="78"/>
      <c r="P67" s="51"/>
      <c r="Q67" s="51"/>
      <c r="R67" s="72"/>
    </row>
    <row r="68" ht="15.75" customHeight="1">
      <c r="A68" s="85"/>
      <c r="B68" s="85"/>
      <c r="C68" s="85"/>
      <c r="D68" s="51"/>
      <c r="E68" s="51"/>
      <c r="F68" s="78"/>
      <c r="G68" s="51"/>
      <c r="H68" s="51"/>
      <c r="I68" s="78"/>
      <c r="J68" s="121" t="s">
        <v>164</v>
      </c>
      <c r="K68" s="54">
        <f>COUNTIF('Itemization 202401'!L:L,J68)</f>
        <v>0</v>
      </c>
      <c r="L68" s="55">
        <f>(K68/K116)</f>
        <v>0</v>
      </c>
      <c r="M68" s="51"/>
      <c r="N68" s="51"/>
      <c r="O68" s="78"/>
      <c r="P68" s="51"/>
      <c r="Q68" s="51"/>
      <c r="R68" s="72"/>
    </row>
    <row r="69" ht="15.75" customHeight="1">
      <c r="A69" s="85"/>
      <c r="B69" s="85"/>
      <c r="C69" s="85"/>
      <c r="D69" s="51"/>
      <c r="E69" s="51"/>
      <c r="F69" s="78"/>
      <c r="G69" s="51"/>
      <c r="H69" s="51"/>
      <c r="I69" s="78"/>
      <c r="J69" s="210" t="s">
        <v>165</v>
      </c>
      <c r="K69" s="114">
        <f>COUNTIF('Itemization 202401'!L:L,J69)</f>
        <v>1</v>
      </c>
      <c r="L69" s="145">
        <f>(K69/K116)</f>
        <v>0.02631578947</v>
      </c>
      <c r="M69" s="51"/>
      <c r="N69" s="51"/>
      <c r="O69" s="78"/>
      <c r="P69" s="51"/>
      <c r="Q69" s="51"/>
      <c r="R69" s="72"/>
    </row>
    <row r="70" ht="15.75" customHeight="1">
      <c r="A70" s="85"/>
      <c r="B70" s="85"/>
      <c r="C70" s="85"/>
      <c r="D70" s="51"/>
      <c r="E70" s="51"/>
      <c r="F70" s="78"/>
      <c r="G70" s="51"/>
      <c r="H70" s="51"/>
      <c r="I70" s="78"/>
      <c r="J70" s="210" t="s">
        <v>166</v>
      </c>
      <c r="K70" s="114">
        <f>COUNTIF('Itemization 202401'!L:L,J70)</f>
        <v>1</v>
      </c>
      <c r="L70" s="145">
        <f>(K70/K116)</f>
        <v>0.02631578947</v>
      </c>
      <c r="M70" s="51"/>
      <c r="N70" s="51"/>
      <c r="O70" s="78"/>
      <c r="P70" s="51"/>
      <c r="Q70" s="51"/>
      <c r="R70" s="72"/>
    </row>
    <row r="71" ht="15.75" customHeight="1">
      <c r="A71" s="85"/>
      <c r="B71" s="85"/>
      <c r="C71" s="85"/>
      <c r="D71" s="51"/>
      <c r="E71" s="51"/>
      <c r="F71" s="78"/>
      <c r="G71" s="51"/>
      <c r="H71" s="51"/>
      <c r="I71" s="78"/>
      <c r="J71" s="121" t="s">
        <v>167</v>
      </c>
      <c r="K71" s="54">
        <f>COUNTIF('Itemization 202401'!L:L,J71)</f>
        <v>0</v>
      </c>
      <c r="L71" s="55">
        <f>(K71/K116)</f>
        <v>0</v>
      </c>
      <c r="M71" s="51"/>
      <c r="N71" s="51"/>
      <c r="O71" s="78"/>
      <c r="P71" s="51"/>
      <c r="Q71" s="51"/>
      <c r="R71" s="72"/>
    </row>
    <row r="72" ht="15.75" customHeight="1">
      <c r="A72" s="85"/>
      <c r="B72" s="85"/>
      <c r="C72" s="85"/>
      <c r="D72" s="51"/>
      <c r="E72" s="51"/>
      <c r="F72" s="78"/>
      <c r="G72" s="51"/>
      <c r="H72" s="51"/>
      <c r="I72" s="78"/>
      <c r="J72" s="121" t="s">
        <v>168</v>
      </c>
      <c r="K72" s="54">
        <f>COUNTIF('Itemization 202401'!L:L,J72)</f>
        <v>0</v>
      </c>
      <c r="L72" s="55">
        <f>(K72/K116)</f>
        <v>0</v>
      </c>
      <c r="M72" s="51"/>
      <c r="N72" s="51"/>
      <c r="O72" s="78"/>
      <c r="P72" s="51"/>
      <c r="Q72" s="51"/>
      <c r="R72" s="72"/>
    </row>
    <row r="73" ht="15.75" customHeight="1">
      <c r="A73" s="85"/>
      <c r="B73" s="85"/>
      <c r="C73" s="85"/>
      <c r="D73" s="51"/>
      <c r="E73" s="51"/>
      <c r="F73" s="78"/>
      <c r="G73" s="51"/>
      <c r="H73" s="51"/>
      <c r="I73" s="78"/>
      <c r="J73" s="121" t="s">
        <v>169</v>
      </c>
      <c r="K73" s="54">
        <f>COUNTIF('Itemization 202401'!L:L,J73)</f>
        <v>0</v>
      </c>
      <c r="L73" s="55">
        <f>(K73/K116)</f>
        <v>0</v>
      </c>
      <c r="M73" s="51"/>
      <c r="N73" s="51"/>
      <c r="O73" s="78"/>
      <c r="P73" s="51"/>
      <c r="Q73" s="51"/>
      <c r="R73" s="72"/>
    </row>
    <row r="74" ht="15.75" customHeight="1">
      <c r="A74" s="85"/>
      <c r="B74" s="85"/>
      <c r="C74" s="85"/>
      <c r="D74" s="51"/>
      <c r="E74" s="51"/>
      <c r="F74" s="78"/>
      <c r="G74" s="51"/>
      <c r="H74" s="51"/>
      <c r="I74" s="78"/>
      <c r="J74" s="122" t="s">
        <v>170</v>
      </c>
      <c r="K74" s="57">
        <f>COUNTIF('Itemization 202401'!L:L,J74)</f>
        <v>2</v>
      </c>
      <c r="L74" s="58">
        <f>(K74/K116)</f>
        <v>0.05263157895</v>
      </c>
      <c r="M74" s="51"/>
      <c r="N74" s="51"/>
      <c r="O74" s="78"/>
      <c r="P74" s="51"/>
      <c r="Q74" s="51"/>
      <c r="R74" s="72"/>
    </row>
    <row r="75" ht="15.75" customHeight="1">
      <c r="A75" s="85"/>
      <c r="B75" s="85"/>
      <c r="C75" s="85"/>
      <c r="D75" s="51"/>
      <c r="E75" s="51"/>
      <c r="F75" s="78"/>
      <c r="G75" s="51"/>
      <c r="H75" s="51"/>
      <c r="I75" s="78"/>
      <c r="J75" s="122" t="s">
        <v>171</v>
      </c>
      <c r="K75" s="57">
        <f>COUNTIF('Itemization 202401'!L:L,J75)</f>
        <v>2</v>
      </c>
      <c r="L75" s="58">
        <f>(K75/K116)</f>
        <v>0.05263157895</v>
      </c>
      <c r="M75" s="51"/>
      <c r="N75" s="51"/>
      <c r="O75" s="78"/>
      <c r="P75" s="51"/>
      <c r="Q75" s="51"/>
      <c r="R75" s="72"/>
    </row>
    <row r="76" ht="15.75" customHeight="1">
      <c r="A76" s="85"/>
      <c r="B76" s="85"/>
      <c r="C76" s="85"/>
      <c r="D76" s="51"/>
      <c r="E76" s="51"/>
      <c r="F76" s="78"/>
      <c r="G76" s="51"/>
      <c r="H76" s="51"/>
      <c r="I76" s="78"/>
      <c r="J76" s="121" t="s">
        <v>172</v>
      </c>
      <c r="K76" s="54">
        <f>COUNTIF('Itemization 202401'!L:L,J76)</f>
        <v>0</v>
      </c>
      <c r="L76" s="55">
        <f>(K76/K116)</f>
        <v>0</v>
      </c>
      <c r="M76" s="51"/>
      <c r="N76" s="51"/>
      <c r="O76" s="78"/>
      <c r="P76" s="51"/>
      <c r="Q76" s="51"/>
      <c r="R76" s="72"/>
    </row>
    <row r="77" ht="15.75" customHeight="1">
      <c r="A77" s="85"/>
      <c r="B77" s="85"/>
      <c r="C77" s="85"/>
      <c r="D77" s="51"/>
      <c r="E77" s="51"/>
      <c r="F77" s="78"/>
      <c r="G77" s="51"/>
      <c r="H77" s="51"/>
      <c r="I77" s="78"/>
      <c r="J77" s="121" t="s">
        <v>173</v>
      </c>
      <c r="K77" s="54">
        <f>COUNTIF('Itemization 202401'!L:L,J77)</f>
        <v>0</v>
      </c>
      <c r="L77" s="55">
        <f>(K77/K116)</f>
        <v>0</v>
      </c>
      <c r="M77" s="51"/>
      <c r="N77" s="51"/>
      <c r="O77" s="78"/>
      <c r="P77" s="51"/>
      <c r="Q77" s="51"/>
      <c r="R77" s="72"/>
    </row>
    <row r="78" ht="15.75" customHeight="1">
      <c r="A78" s="85"/>
      <c r="B78" s="85"/>
      <c r="C78" s="85"/>
      <c r="D78" s="51"/>
      <c r="E78" s="51"/>
      <c r="F78" s="78"/>
      <c r="G78" s="51"/>
      <c r="H78" s="51"/>
      <c r="I78" s="78"/>
      <c r="J78" s="121" t="s">
        <v>174</v>
      </c>
      <c r="K78" s="54">
        <f>COUNTIF('Itemization 202401'!L:L,J78)</f>
        <v>0</v>
      </c>
      <c r="L78" s="55">
        <f>(K78/K116)</f>
        <v>0</v>
      </c>
      <c r="M78" s="51"/>
      <c r="N78" s="51"/>
      <c r="O78" s="78"/>
      <c r="P78" s="51"/>
      <c r="Q78" s="51"/>
      <c r="R78" s="72"/>
    </row>
    <row r="79" ht="15.75" customHeight="1">
      <c r="A79" s="85"/>
      <c r="B79" s="85"/>
      <c r="C79" s="85"/>
      <c r="D79" s="51"/>
      <c r="E79" s="51"/>
      <c r="F79" s="78"/>
      <c r="G79" s="51"/>
      <c r="H79" s="51"/>
      <c r="I79" s="78"/>
      <c r="J79" s="121" t="s">
        <v>175</v>
      </c>
      <c r="K79" s="54">
        <f>COUNTIF('Itemization 202401'!L:L,J79)</f>
        <v>0</v>
      </c>
      <c r="L79" s="55">
        <f>(K79/K116)</f>
        <v>0</v>
      </c>
      <c r="M79" s="51"/>
      <c r="N79" s="51"/>
      <c r="O79" s="78"/>
      <c r="P79" s="51"/>
      <c r="Q79" s="51"/>
      <c r="R79" s="72"/>
    </row>
    <row r="80" ht="15.75" customHeight="1">
      <c r="A80" s="85"/>
      <c r="B80" s="85"/>
      <c r="C80" s="85"/>
      <c r="D80" s="51"/>
      <c r="E80" s="51"/>
      <c r="F80" s="78"/>
      <c r="G80" s="51"/>
      <c r="H80" s="51"/>
      <c r="I80" s="78"/>
      <c r="J80" s="121" t="s">
        <v>176</v>
      </c>
      <c r="K80" s="54">
        <f>COUNTIF('Itemization 202401'!L:L,J80)</f>
        <v>0</v>
      </c>
      <c r="L80" s="55">
        <f>(K80/K116)</f>
        <v>0</v>
      </c>
      <c r="M80" s="51"/>
      <c r="N80" s="51"/>
      <c r="O80" s="78"/>
      <c r="P80" s="51"/>
      <c r="Q80" s="51"/>
      <c r="R80" s="72"/>
    </row>
    <row r="81" ht="15.75" customHeight="1">
      <c r="A81" s="85"/>
      <c r="B81" s="85"/>
      <c r="C81" s="85"/>
      <c r="D81" s="51"/>
      <c r="E81" s="51"/>
      <c r="F81" s="78"/>
      <c r="G81" s="51"/>
      <c r="H81" s="51"/>
      <c r="I81" s="78"/>
      <c r="J81" s="121" t="s">
        <v>177</v>
      </c>
      <c r="K81" s="54">
        <f>COUNTIF('Itemization 202401'!L:L,J81)</f>
        <v>0</v>
      </c>
      <c r="L81" s="55">
        <f>(K81/K116)</f>
        <v>0</v>
      </c>
      <c r="M81" s="51"/>
      <c r="N81" s="51"/>
      <c r="O81" s="78"/>
      <c r="P81" s="51"/>
      <c r="Q81" s="51"/>
      <c r="R81" s="72"/>
    </row>
    <row r="82" ht="15.75" customHeight="1">
      <c r="A82" s="85"/>
      <c r="B82" s="85"/>
      <c r="C82" s="85"/>
      <c r="D82" s="51"/>
      <c r="E82" s="51"/>
      <c r="F82" s="78"/>
      <c r="G82" s="51"/>
      <c r="H82" s="51"/>
      <c r="I82" s="78"/>
      <c r="J82" s="121" t="s">
        <v>178</v>
      </c>
      <c r="K82" s="54">
        <f>COUNTIF('Itemization 202401'!L:L,J82)</f>
        <v>0</v>
      </c>
      <c r="L82" s="55">
        <f>(K82/K116)</f>
        <v>0</v>
      </c>
      <c r="M82" s="51"/>
      <c r="N82" s="51"/>
      <c r="O82" s="78"/>
      <c r="P82" s="51"/>
      <c r="Q82" s="51"/>
      <c r="R82" s="72"/>
    </row>
    <row r="83" ht="15.75" customHeight="1">
      <c r="A83" s="85"/>
      <c r="B83" s="85"/>
      <c r="C83" s="85"/>
      <c r="D83" s="51"/>
      <c r="E83" s="51"/>
      <c r="F83" s="78"/>
      <c r="G83" s="51"/>
      <c r="H83" s="51"/>
      <c r="I83" s="78"/>
      <c r="J83" s="121" t="s">
        <v>179</v>
      </c>
      <c r="K83" s="54">
        <f>COUNTIF('Itemization 202401'!L:L,J83)</f>
        <v>0</v>
      </c>
      <c r="L83" s="55">
        <f>(K83/K116)</f>
        <v>0</v>
      </c>
      <c r="M83" s="51"/>
      <c r="N83" s="51"/>
      <c r="O83" s="78"/>
      <c r="P83" s="51"/>
      <c r="Q83" s="51"/>
      <c r="R83" s="72"/>
    </row>
    <row r="84" ht="15.75" customHeight="1">
      <c r="A84" s="85"/>
      <c r="B84" s="85"/>
      <c r="C84" s="85"/>
      <c r="D84" s="51"/>
      <c r="E84" s="51"/>
      <c r="F84" s="78"/>
      <c r="G84" s="51"/>
      <c r="H84" s="51"/>
      <c r="I84" s="78"/>
      <c r="J84" s="121" t="s">
        <v>180</v>
      </c>
      <c r="K84" s="54">
        <f>COUNTIF('Itemization 202401'!L:L,J84)</f>
        <v>0</v>
      </c>
      <c r="L84" s="55">
        <f>(K84/K116)</f>
        <v>0</v>
      </c>
      <c r="M84" s="51"/>
      <c r="N84" s="51"/>
      <c r="O84" s="78"/>
      <c r="P84" s="51"/>
      <c r="Q84" s="51"/>
      <c r="R84" s="72"/>
    </row>
    <row r="85" ht="15.75" customHeight="1">
      <c r="A85" s="85"/>
      <c r="B85" s="85"/>
      <c r="C85" s="85"/>
      <c r="D85" s="51"/>
      <c r="E85" s="51"/>
      <c r="F85" s="78"/>
      <c r="G85" s="51"/>
      <c r="H85" s="51"/>
      <c r="I85" s="78"/>
      <c r="J85" s="121" t="s">
        <v>181</v>
      </c>
      <c r="K85" s="54">
        <f>COUNTIF('Itemization 202401'!L:L,J85)</f>
        <v>0</v>
      </c>
      <c r="L85" s="55">
        <f>(K85/K116)</f>
        <v>0</v>
      </c>
      <c r="M85" s="51"/>
      <c r="N85" s="51"/>
      <c r="O85" s="78"/>
      <c r="P85" s="51"/>
      <c r="Q85" s="51"/>
      <c r="R85" s="72"/>
    </row>
    <row r="86" ht="15.75" customHeight="1">
      <c r="A86" s="85"/>
      <c r="B86" s="85"/>
      <c r="C86" s="85"/>
      <c r="D86" s="51"/>
      <c r="E86" s="51"/>
      <c r="F86" s="78"/>
      <c r="G86" s="51"/>
      <c r="H86" s="51"/>
      <c r="I86" s="78"/>
      <c r="J86" s="121" t="s">
        <v>182</v>
      </c>
      <c r="K86" s="54">
        <f>COUNTIF('Itemization 202401'!L:L,J86)</f>
        <v>0</v>
      </c>
      <c r="L86" s="55">
        <f>(K86/K116)</f>
        <v>0</v>
      </c>
      <c r="M86" s="51"/>
      <c r="N86" s="51"/>
      <c r="O86" s="78"/>
      <c r="P86" s="51"/>
      <c r="Q86" s="51"/>
      <c r="R86" s="72"/>
    </row>
    <row r="87" ht="15.75" customHeight="1">
      <c r="A87" s="85"/>
      <c r="B87" s="85"/>
      <c r="C87" s="85"/>
      <c r="D87" s="51"/>
      <c r="E87" s="51"/>
      <c r="F87" s="78"/>
      <c r="G87" s="51"/>
      <c r="H87" s="51"/>
      <c r="I87" s="78"/>
      <c r="J87" s="121" t="s">
        <v>183</v>
      </c>
      <c r="K87" s="54">
        <f>COUNTIF('Itemization 202401'!L:L,J87)</f>
        <v>0</v>
      </c>
      <c r="L87" s="55">
        <f>(K87/K116)</f>
        <v>0</v>
      </c>
      <c r="M87" s="51"/>
      <c r="N87" s="51"/>
      <c r="O87" s="78"/>
      <c r="P87" s="51"/>
      <c r="Q87" s="51"/>
      <c r="R87" s="72"/>
    </row>
    <row r="88" ht="15.75" customHeight="1">
      <c r="A88" s="85"/>
      <c r="B88" s="85"/>
      <c r="C88" s="85"/>
      <c r="D88" s="51"/>
      <c r="E88" s="51"/>
      <c r="F88" s="78"/>
      <c r="G88" s="51"/>
      <c r="H88" s="51"/>
      <c r="I88" s="78"/>
      <c r="J88" s="122" t="s">
        <v>184</v>
      </c>
      <c r="K88" s="57">
        <f>COUNTIF('Itemization 202401'!L:L,J88)</f>
        <v>2</v>
      </c>
      <c r="L88" s="58">
        <f>(K88/K116)</f>
        <v>0.05263157895</v>
      </c>
      <c r="M88" s="51"/>
      <c r="N88" s="51"/>
      <c r="O88" s="78"/>
      <c r="P88" s="51"/>
      <c r="Q88" s="51"/>
      <c r="R88" s="72"/>
    </row>
    <row r="89" ht="15.75" customHeight="1">
      <c r="A89" s="85"/>
      <c r="B89" s="85"/>
      <c r="C89" s="85"/>
      <c r="D89" s="51"/>
      <c r="E89" s="51"/>
      <c r="F89" s="78"/>
      <c r="G89" s="51"/>
      <c r="H89" s="51"/>
      <c r="I89" s="78"/>
      <c r="J89" s="121" t="s">
        <v>185</v>
      </c>
      <c r="K89" s="54">
        <f>COUNTIF('Itemization 202401'!L:L,J89)</f>
        <v>0</v>
      </c>
      <c r="L89" s="55">
        <f>(K89/K116)</f>
        <v>0</v>
      </c>
      <c r="M89" s="51"/>
      <c r="N89" s="51"/>
      <c r="O89" s="78"/>
      <c r="P89" s="51"/>
      <c r="Q89" s="51"/>
      <c r="R89" s="72"/>
    </row>
    <row r="90" ht="15.75" customHeight="1">
      <c r="A90" s="85"/>
      <c r="B90" s="85"/>
      <c r="C90" s="85"/>
      <c r="D90" s="51"/>
      <c r="E90" s="51"/>
      <c r="F90" s="78"/>
      <c r="G90" s="51"/>
      <c r="H90" s="51"/>
      <c r="I90" s="78"/>
      <c r="J90" s="121" t="s">
        <v>186</v>
      </c>
      <c r="K90" s="54">
        <f>COUNTIF('Itemization 202401'!L:L,J90)</f>
        <v>0</v>
      </c>
      <c r="L90" s="55">
        <f>(K90/K116)</f>
        <v>0</v>
      </c>
      <c r="M90" s="51"/>
      <c r="N90" s="51"/>
      <c r="O90" s="78"/>
      <c r="P90" s="51"/>
      <c r="Q90" s="51"/>
      <c r="R90" s="72"/>
    </row>
    <row r="91" ht="15.75" customHeight="1">
      <c r="A91" s="85"/>
      <c r="B91" s="85"/>
      <c r="C91" s="85"/>
      <c r="D91" s="51"/>
      <c r="E91" s="51"/>
      <c r="F91" s="78"/>
      <c r="G91" s="51"/>
      <c r="H91" s="51"/>
      <c r="I91" s="78"/>
      <c r="J91" s="210" t="s">
        <v>187</v>
      </c>
      <c r="K91" s="114">
        <f>COUNTIF('Itemization 202401'!L:L,J91)</f>
        <v>1</v>
      </c>
      <c r="L91" s="145">
        <f>(K91/K116)</f>
        <v>0.02631578947</v>
      </c>
      <c r="M91" s="51"/>
      <c r="N91" s="51"/>
      <c r="O91" s="78"/>
      <c r="P91" s="51"/>
      <c r="Q91" s="51"/>
      <c r="R91" s="72"/>
    </row>
    <row r="92" ht="15.75" customHeight="1">
      <c r="A92" s="85"/>
      <c r="B92" s="85"/>
      <c r="C92" s="85"/>
      <c r="D92" s="51"/>
      <c r="E92" s="51"/>
      <c r="F92" s="78"/>
      <c r="G92" s="51"/>
      <c r="H92" s="51"/>
      <c r="I92" s="78"/>
      <c r="J92" s="121" t="s">
        <v>188</v>
      </c>
      <c r="K92" s="54">
        <f>COUNTIF('Itemization 202401'!L:L,J92)</f>
        <v>0</v>
      </c>
      <c r="L92" s="55">
        <f>(K92/K116)</f>
        <v>0</v>
      </c>
      <c r="M92" s="51"/>
      <c r="N92" s="51"/>
      <c r="O92" s="78"/>
      <c r="P92" s="51"/>
      <c r="Q92" s="51"/>
      <c r="R92" s="72"/>
    </row>
    <row r="93" ht="15.75" customHeight="1">
      <c r="A93" s="85"/>
      <c r="B93" s="85"/>
      <c r="C93" s="85"/>
      <c r="D93" s="51"/>
      <c r="E93" s="51"/>
      <c r="F93" s="78"/>
      <c r="G93" s="51"/>
      <c r="H93" s="51"/>
      <c r="I93" s="78"/>
      <c r="J93" s="121" t="s">
        <v>189</v>
      </c>
      <c r="K93" s="54">
        <f>COUNTIF('Itemization 202401'!L:L,J93)</f>
        <v>0</v>
      </c>
      <c r="L93" s="55">
        <f>(K93/K116)</f>
        <v>0</v>
      </c>
      <c r="M93" s="51"/>
      <c r="N93" s="51"/>
      <c r="O93" s="78"/>
      <c r="P93" s="51"/>
      <c r="Q93" s="51"/>
      <c r="R93" s="72"/>
    </row>
    <row r="94" ht="15.75" customHeight="1">
      <c r="A94" s="85"/>
      <c r="B94" s="85"/>
      <c r="C94" s="85"/>
      <c r="D94" s="51"/>
      <c r="E94" s="51"/>
      <c r="F94" s="78"/>
      <c r="G94" s="51"/>
      <c r="H94" s="51"/>
      <c r="I94" s="78"/>
      <c r="J94" s="121" t="s">
        <v>190</v>
      </c>
      <c r="K94" s="54">
        <f>COUNTIF('Itemization 202401'!L:L,J94)</f>
        <v>0</v>
      </c>
      <c r="L94" s="55">
        <f>(K94/K116)</f>
        <v>0</v>
      </c>
      <c r="M94" s="51"/>
      <c r="N94" s="51"/>
      <c r="O94" s="78"/>
      <c r="P94" s="51"/>
      <c r="Q94" s="51"/>
      <c r="R94" s="72"/>
    </row>
    <row r="95" ht="15.75" customHeight="1">
      <c r="A95" s="85"/>
      <c r="B95" s="85"/>
      <c r="C95" s="85"/>
      <c r="D95" s="51"/>
      <c r="E95" s="51"/>
      <c r="F95" s="78"/>
      <c r="G95" s="51"/>
      <c r="H95" s="51"/>
      <c r="I95" s="78"/>
      <c r="J95" s="121" t="s">
        <v>191</v>
      </c>
      <c r="K95" s="54">
        <f>COUNTIF('Itemization 202401'!L:L,J95)</f>
        <v>0</v>
      </c>
      <c r="L95" s="55">
        <f>(K95/K116)</f>
        <v>0</v>
      </c>
      <c r="M95" s="51"/>
      <c r="N95" s="51"/>
      <c r="O95" s="78"/>
      <c r="P95" s="51"/>
      <c r="Q95" s="51"/>
      <c r="R95" s="72"/>
    </row>
    <row r="96" ht="15.75" customHeight="1">
      <c r="A96" s="85"/>
      <c r="B96" s="85"/>
      <c r="C96" s="85"/>
      <c r="D96" s="51"/>
      <c r="E96" s="51"/>
      <c r="F96" s="78"/>
      <c r="G96" s="51"/>
      <c r="H96" s="51"/>
      <c r="I96" s="78"/>
      <c r="J96" s="121" t="s">
        <v>192</v>
      </c>
      <c r="K96" s="54">
        <f>COUNTIF('Itemization 202401'!L:L,J96)</f>
        <v>0</v>
      </c>
      <c r="L96" s="55">
        <f>(K96/K116)</f>
        <v>0</v>
      </c>
      <c r="M96" s="51"/>
      <c r="N96" s="51"/>
      <c r="O96" s="78"/>
      <c r="P96" s="51"/>
      <c r="Q96" s="51"/>
      <c r="R96" s="72"/>
    </row>
    <row r="97" ht="15.75" customHeight="1">
      <c r="A97" s="85"/>
      <c r="B97" s="85"/>
      <c r="C97" s="85"/>
      <c r="D97" s="51"/>
      <c r="E97" s="51"/>
      <c r="F97" s="78"/>
      <c r="G97" s="51"/>
      <c r="H97" s="51"/>
      <c r="I97" s="78"/>
      <c r="J97" s="121" t="s">
        <v>193</v>
      </c>
      <c r="K97" s="54">
        <f>COUNTIF('Itemization 202401'!L:L,J97)</f>
        <v>0</v>
      </c>
      <c r="L97" s="55">
        <f>(K97/K116)</f>
        <v>0</v>
      </c>
      <c r="M97" s="51"/>
      <c r="N97" s="51"/>
      <c r="O97" s="78"/>
      <c r="P97" s="51"/>
      <c r="Q97" s="51"/>
      <c r="R97" s="72"/>
    </row>
    <row r="98" ht="15.75" customHeight="1">
      <c r="A98" s="85"/>
      <c r="B98" s="85"/>
      <c r="C98" s="85"/>
      <c r="D98" s="51"/>
      <c r="E98" s="51"/>
      <c r="F98" s="78"/>
      <c r="G98" s="51"/>
      <c r="H98" s="51"/>
      <c r="I98" s="78"/>
      <c r="J98" s="121" t="s">
        <v>194</v>
      </c>
      <c r="K98" s="54">
        <f>COUNTIF('Itemization 202401'!L:L,J98)</f>
        <v>0</v>
      </c>
      <c r="L98" s="55">
        <f>(K98/K116)</f>
        <v>0</v>
      </c>
      <c r="M98" s="51"/>
      <c r="N98" s="51"/>
      <c r="O98" s="78"/>
      <c r="P98" s="51"/>
      <c r="Q98" s="51"/>
      <c r="R98" s="72"/>
    </row>
    <row r="99" ht="15.75" customHeight="1">
      <c r="A99" s="85"/>
      <c r="B99" s="85"/>
      <c r="C99" s="85"/>
      <c r="D99" s="51"/>
      <c r="E99" s="51"/>
      <c r="F99" s="78"/>
      <c r="G99" s="51"/>
      <c r="H99" s="51"/>
      <c r="I99" s="78"/>
      <c r="J99" s="121" t="s">
        <v>195</v>
      </c>
      <c r="K99" s="54">
        <f>COUNTIF('Itemization 202401'!L:L,J99)</f>
        <v>0</v>
      </c>
      <c r="L99" s="55">
        <f>(K99/K116)</f>
        <v>0</v>
      </c>
      <c r="M99" s="51"/>
      <c r="N99" s="51"/>
      <c r="O99" s="78"/>
      <c r="P99" s="51"/>
      <c r="Q99" s="51"/>
      <c r="R99" s="72"/>
    </row>
    <row r="100" ht="15.75" customHeight="1">
      <c r="A100" s="85"/>
      <c r="B100" s="85"/>
      <c r="C100" s="85"/>
      <c r="D100" s="51"/>
      <c r="E100" s="51"/>
      <c r="F100" s="78"/>
      <c r="G100" s="51"/>
      <c r="H100" s="51"/>
      <c r="I100" s="78"/>
      <c r="J100" s="210" t="s">
        <v>196</v>
      </c>
      <c r="K100" s="114">
        <f>COUNTIF('Itemization 202401'!L:L,J100)</f>
        <v>1</v>
      </c>
      <c r="L100" s="145">
        <f>(K100/K116)</f>
        <v>0.02631578947</v>
      </c>
      <c r="M100" s="51"/>
      <c r="N100" s="51"/>
      <c r="O100" s="78"/>
      <c r="P100" s="51"/>
      <c r="Q100" s="51"/>
      <c r="R100" s="72"/>
    </row>
    <row r="101" ht="15.75" customHeight="1">
      <c r="A101" s="85"/>
      <c r="B101" s="85"/>
      <c r="C101" s="85"/>
      <c r="D101" s="51"/>
      <c r="E101" s="51"/>
      <c r="F101" s="78"/>
      <c r="G101" s="51"/>
      <c r="H101" s="51"/>
      <c r="I101" s="78"/>
      <c r="J101" s="126" t="s">
        <v>197</v>
      </c>
      <c r="K101" s="316">
        <f>COUNTIF('Itemization 202401'!L:L,J101)</f>
        <v>5</v>
      </c>
      <c r="L101" s="49">
        <f>(K101/K116)</f>
        <v>0.1315789474</v>
      </c>
      <c r="M101" s="51"/>
      <c r="N101" s="51"/>
      <c r="O101" s="78"/>
      <c r="P101" s="51"/>
      <c r="Q101" s="51"/>
      <c r="R101" s="72"/>
    </row>
    <row r="102" ht="15.75" customHeight="1">
      <c r="A102" s="85"/>
      <c r="B102" s="85"/>
      <c r="C102" s="85"/>
      <c r="D102" s="51"/>
      <c r="E102" s="51"/>
      <c r="F102" s="78"/>
      <c r="G102" s="51"/>
      <c r="H102" s="51"/>
      <c r="I102" s="78"/>
      <c r="J102" s="121" t="s">
        <v>198</v>
      </c>
      <c r="K102" s="54">
        <f>COUNTIF('Itemization 202401'!L:L,J102)</f>
        <v>0</v>
      </c>
      <c r="L102" s="55">
        <f>(K102/K116)</f>
        <v>0</v>
      </c>
      <c r="M102" s="51"/>
      <c r="N102" s="51"/>
      <c r="O102" s="78"/>
      <c r="P102" s="51"/>
      <c r="Q102" s="51"/>
      <c r="R102" s="72"/>
    </row>
    <row r="103" ht="15.75" customHeight="1">
      <c r="A103" s="85"/>
      <c r="B103" s="85"/>
      <c r="C103" s="85"/>
      <c r="D103" s="51"/>
      <c r="E103" s="51"/>
      <c r="F103" s="78"/>
      <c r="G103" s="51"/>
      <c r="H103" s="51"/>
      <c r="I103" s="78"/>
      <c r="J103" s="121" t="s">
        <v>199</v>
      </c>
      <c r="K103" s="54">
        <f>COUNTIF('Itemization 202401'!L:L,J103)</f>
        <v>0</v>
      </c>
      <c r="L103" s="55">
        <f>(K103/K116)</f>
        <v>0</v>
      </c>
      <c r="M103" s="51"/>
      <c r="N103" s="51"/>
      <c r="O103" s="78"/>
      <c r="P103" s="51"/>
      <c r="Q103" s="51"/>
      <c r="R103" s="72"/>
    </row>
    <row r="104" ht="15.75" customHeight="1">
      <c r="A104" s="85"/>
      <c r="B104" s="85"/>
      <c r="C104" s="85"/>
      <c r="D104" s="51"/>
      <c r="E104" s="51"/>
      <c r="F104" s="78"/>
      <c r="G104" s="51"/>
      <c r="H104" s="51"/>
      <c r="I104" s="78"/>
      <c r="J104" s="121" t="s">
        <v>200</v>
      </c>
      <c r="K104" s="54">
        <f>COUNTIF('Itemization 202401'!L:L,J104)</f>
        <v>0</v>
      </c>
      <c r="L104" s="55">
        <f>(K104/K116)</f>
        <v>0</v>
      </c>
      <c r="M104" s="51"/>
      <c r="N104" s="51"/>
      <c r="O104" s="78"/>
      <c r="P104" s="51"/>
      <c r="Q104" s="51"/>
      <c r="R104" s="72"/>
    </row>
    <row r="105" ht="15.75" customHeight="1">
      <c r="A105" s="85"/>
      <c r="B105" s="85"/>
      <c r="C105" s="85"/>
      <c r="D105" s="51"/>
      <c r="E105" s="51"/>
      <c r="F105" s="78"/>
      <c r="G105" s="51"/>
      <c r="H105" s="51"/>
      <c r="I105" s="78"/>
      <c r="J105" s="122" t="s">
        <v>201</v>
      </c>
      <c r="K105" s="57">
        <f>COUNTIF('Itemization 202401'!L:L,J105)</f>
        <v>2</v>
      </c>
      <c r="L105" s="58">
        <f>(K105/K116)</f>
        <v>0.05263157895</v>
      </c>
      <c r="M105" s="51"/>
      <c r="N105" s="51"/>
      <c r="O105" s="78"/>
      <c r="P105" s="51"/>
      <c r="Q105" s="51"/>
      <c r="R105" s="72"/>
    </row>
    <row r="106" ht="15.75" customHeight="1">
      <c r="A106" s="85"/>
      <c r="B106" s="85"/>
      <c r="C106" s="85"/>
      <c r="D106" s="51"/>
      <c r="E106" s="51"/>
      <c r="F106" s="78"/>
      <c r="G106" s="51"/>
      <c r="H106" s="51"/>
      <c r="I106" s="78"/>
      <c r="J106" s="121" t="s">
        <v>202</v>
      </c>
      <c r="K106" s="54">
        <f>COUNTIF('Itemization 202401'!L:L,J106)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COUNTIF('Itemization 202401'!L:L,J107)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COUNTIF('Itemization 202401'!L:L,J108)</f>
        <v>0</v>
      </c>
      <c r="L108" s="55">
        <f>(K108/K116)</f>
        <v>0</v>
      </c>
      <c r="M108" s="51"/>
      <c r="N108" s="51"/>
      <c r="O108" s="78"/>
      <c r="P108" s="51"/>
      <c r="Q108" s="51"/>
      <c r="R108" s="72"/>
    </row>
    <row r="109" ht="15.75" customHeight="1">
      <c r="A109" s="85"/>
      <c r="B109" s="85"/>
      <c r="C109" s="85"/>
      <c r="D109" s="51"/>
      <c r="E109" s="51"/>
      <c r="F109" s="78"/>
      <c r="G109" s="51"/>
      <c r="H109" s="51"/>
      <c r="I109" s="78"/>
      <c r="J109" s="121" t="s">
        <v>205</v>
      </c>
      <c r="K109" s="54">
        <f>COUNTIF('Itemization 202401'!L:L,J109)</f>
        <v>0</v>
      </c>
      <c r="L109" s="55">
        <f>(K109/K116)</f>
        <v>0</v>
      </c>
      <c r="M109" s="51"/>
      <c r="N109" s="51"/>
      <c r="O109" s="78"/>
      <c r="P109" s="51"/>
      <c r="Q109" s="51"/>
      <c r="R109" s="72"/>
    </row>
    <row r="110" ht="15.75" customHeight="1">
      <c r="A110" s="85"/>
      <c r="B110" s="85"/>
      <c r="C110" s="85"/>
      <c r="D110" s="51"/>
      <c r="E110" s="51"/>
      <c r="F110" s="78"/>
      <c r="G110" s="51"/>
      <c r="H110" s="51"/>
      <c r="I110" s="78"/>
      <c r="J110" s="121" t="s">
        <v>206</v>
      </c>
      <c r="K110" s="54">
        <f>COUNTIF('Itemization 202401'!L:L,J110)</f>
        <v>0</v>
      </c>
      <c r="L110" s="55">
        <f>(K110/K116)</f>
        <v>0</v>
      </c>
      <c r="M110" s="51"/>
      <c r="N110" s="51"/>
      <c r="O110" s="78"/>
      <c r="P110" s="51"/>
      <c r="Q110" s="51"/>
      <c r="R110" s="72"/>
    </row>
    <row r="111" ht="15.75" customHeight="1">
      <c r="A111" s="85"/>
      <c r="B111" s="85"/>
      <c r="C111" s="85"/>
      <c r="D111" s="51"/>
      <c r="E111" s="51"/>
      <c r="F111" s="78"/>
      <c r="G111" s="51"/>
      <c r="H111" s="51"/>
      <c r="I111" s="78"/>
      <c r="J111" s="121" t="s">
        <v>207</v>
      </c>
      <c r="K111" s="54">
        <f>COUNTIF('Itemization 202401'!L:L,J111)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COUNTIF('Itemization 202401'!L:L,J112)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COUNTIF('Itemization 202401'!L:L,J113)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COUNTIF('Itemization 202401'!L:L,J114)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COUNTIF('Itemization 202401'!L:L,J115)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38</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37.63"/>
    <col hidden="1" min="21" max="27" width="12.63"/>
    <col customWidth="1" hidden="1" min="28" max="28" width="25.88"/>
  </cols>
  <sheetData>
    <row r="1">
      <c r="A1" s="320"/>
      <c r="B1" s="320"/>
      <c r="C1" s="320"/>
      <c r="D1" s="321"/>
      <c r="E1" s="321"/>
      <c r="F1" s="321"/>
      <c r="G1" s="321"/>
      <c r="H1" s="322" t="s">
        <v>76</v>
      </c>
      <c r="L1" s="322" t="s">
        <v>0</v>
      </c>
      <c r="O1" s="322" t="s">
        <v>221</v>
      </c>
      <c r="U1" s="321"/>
      <c r="V1" s="321"/>
      <c r="W1" s="321"/>
      <c r="X1" s="321"/>
      <c r="Y1" s="321"/>
      <c r="Z1" s="321"/>
      <c r="AA1" s="321"/>
      <c r="AB1" s="321"/>
    </row>
    <row r="2">
      <c r="A2" s="258" t="s">
        <v>222</v>
      </c>
      <c r="B2" s="259" t="s">
        <v>223</v>
      </c>
      <c r="C2" s="259" t="s">
        <v>224</v>
      </c>
      <c r="D2" s="259" t="s">
        <v>225</v>
      </c>
      <c r="E2" s="259" t="s">
        <v>226</v>
      </c>
      <c r="F2" s="259" t="s">
        <v>227</v>
      </c>
      <c r="G2" s="259" t="s">
        <v>228</v>
      </c>
      <c r="H2" s="258" t="s">
        <v>63</v>
      </c>
      <c r="I2" s="259" t="s">
        <v>229</v>
      </c>
      <c r="J2" s="259" t="s">
        <v>77</v>
      </c>
      <c r="K2" s="260" t="s">
        <v>78</v>
      </c>
      <c r="L2" s="260" t="s">
        <v>79</v>
      </c>
      <c r="M2" s="261" t="s">
        <v>71</v>
      </c>
      <c r="N2" s="262" t="s">
        <v>72</v>
      </c>
      <c r="O2" s="261" t="s">
        <v>2</v>
      </c>
      <c r="P2" s="259" t="s">
        <v>230</v>
      </c>
      <c r="Q2" s="262" t="s">
        <v>231</v>
      </c>
      <c r="R2" s="262" t="s">
        <v>232</v>
      </c>
      <c r="S2" s="262" t="s">
        <v>233</v>
      </c>
      <c r="T2" s="261" t="s">
        <v>234</v>
      </c>
      <c r="U2" s="259" t="s">
        <v>235</v>
      </c>
      <c r="V2" s="259" t="s">
        <v>236</v>
      </c>
      <c r="W2" s="259" t="s">
        <v>237</v>
      </c>
      <c r="X2" s="259" t="s">
        <v>238</v>
      </c>
      <c r="Y2" s="259" t="s">
        <v>239</v>
      </c>
      <c r="Z2" s="259" t="s">
        <v>240</v>
      </c>
      <c r="AA2" s="258" t="s">
        <v>241</v>
      </c>
      <c r="AB2" s="263" t="s">
        <v>242</v>
      </c>
    </row>
    <row r="3" ht="15.75" customHeight="1">
      <c r="A3" s="264" t="s">
        <v>243</v>
      </c>
      <c r="B3" s="265" t="s">
        <v>244</v>
      </c>
      <c r="C3" s="265">
        <v>1.0</v>
      </c>
      <c r="D3" s="266">
        <v>2.0</v>
      </c>
      <c r="E3" s="265"/>
      <c r="F3" s="267"/>
      <c r="G3" s="265"/>
      <c r="H3" s="268" t="s">
        <v>369</v>
      </c>
      <c r="I3" s="265" t="s">
        <v>82</v>
      </c>
      <c r="J3" s="265" t="s">
        <v>83</v>
      </c>
      <c r="K3" s="284" t="s">
        <v>246</v>
      </c>
      <c r="L3" s="284" t="s">
        <v>88</v>
      </c>
      <c r="M3" s="264">
        <v>7.0</v>
      </c>
      <c r="N3" s="264" t="s">
        <v>85</v>
      </c>
      <c r="O3" s="271" t="str">
        <f>IFERROR(VLOOKUP(K3,'US History Framework Standards'!$A:$E,2,false),"")</f>
        <v>Colonial Foundations (1607-1763)</v>
      </c>
      <c r="P3" s="324" t="str">
        <f>IFERROR(__xludf.DUMMYFUNCTION("IFERROR(Index(SPLIT(#REF!,"".""),1,1))"),"")</f>
        <v/>
      </c>
      <c r="Q3" s="324" t="str">
        <f>IFERROR(__xludf.DUMMYFUNCTION("IFERROR(Index(SPLIT(#REF!,"".""),1,2))"),"")</f>
        <v/>
      </c>
      <c r="R3" s="324" t="str">
        <f>IFERROR(VLOOKUP(#REF!,'US History Framework Standards'!$A:$E,3,false),"")</f>
        <v/>
      </c>
      <c r="S3" s="324" t="str">
        <f>IFERROR(__xludf.DUMMYFUNCTION("IFERROR(Index(SPLIT(#REF!,"".""),1,3)&amp;Index(SPLIT(#REF!,"".""),1,4))"),"")</f>
        <v/>
      </c>
      <c r="T3" s="271" t="str">
        <f>iferror(VLOOKUP(L3,'US History Framework Standards'!$A:$E,2,false),"")</f>
        <v>Colonization Impact on Native Americans</v>
      </c>
      <c r="U3" s="265">
        <v>1.0</v>
      </c>
      <c r="V3" s="265" t="s">
        <v>247</v>
      </c>
      <c r="W3" s="265">
        <v>1201718.0</v>
      </c>
      <c r="X3" s="267"/>
      <c r="Y3" s="267"/>
      <c r="Z3" s="264" t="s">
        <v>248</v>
      </c>
      <c r="AA3" s="272"/>
      <c r="AB3" s="272" t="str">
        <f t="shared" ref="AB3:AB30" si="1">V3&amp;"_"&amp;W3&amp;"_"&amp;A3&amp;".jpg"</f>
        <v>HXRG_1201718_Multiple Choice.jpg</v>
      </c>
    </row>
    <row r="4" ht="15.75" customHeight="1">
      <c r="A4" s="264" t="s">
        <v>243</v>
      </c>
      <c r="B4" s="265" t="s">
        <v>244</v>
      </c>
      <c r="C4" s="265">
        <v>2.0</v>
      </c>
      <c r="D4" s="266">
        <v>3.0</v>
      </c>
      <c r="E4" s="265"/>
      <c r="F4" s="267"/>
      <c r="G4" s="265"/>
      <c r="H4" s="268" t="s">
        <v>369</v>
      </c>
      <c r="I4" s="265" t="s">
        <v>82</v>
      </c>
      <c r="J4" s="265" t="s">
        <v>83</v>
      </c>
      <c r="K4" s="284" t="s">
        <v>246</v>
      </c>
      <c r="L4" s="284" t="s">
        <v>88</v>
      </c>
      <c r="M4" s="264">
        <v>15.0</v>
      </c>
      <c r="N4" s="264" t="s">
        <v>89</v>
      </c>
      <c r="O4" s="271" t="str">
        <f>IFERROR(VLOOKUP(K4,'US History Framework Standards'!$A:$E,2,false),"")</f>
        <v>Colonial Foundations (1607-1763)</v>
      </c>
      <c r="P4" s="324" t="str">
        <f>IFERROR(__xludf.DUMMYFUNCTION("IFERROR(Index(SPLIT(#REF!,"".""),1,1))"),"")</f>
        <v/>
      </c>
      <c r="Q4" s="324" t="str">
        <f>IFERROR(__xludf.DUMMYFUNCTION("IFERROR(Index(SPLIT(#REF!,"".""),1,2))"),"")</f>
        <v/>
      </c>
      <c r="R4" s="324" t="str">
        <f>IFERROR(VLOOKUP(#REF!,'US History Framework Standards'!$A:$E,3,false),"")</f>
        <v/>
      </c>
      <c r="S4" s="324" t="str">
        <f>IFERROR(__xludf.DUMMYFUNCTION("IFERROR(Index(SPLIT(#REF!,"".""),1,3)&amp;Index(SPLIT(#REF!,"".""),1,4))"),"")</f>
        <v/>
      </c>
      <c r="T4" s="271" t="str">
        <f>iferror(VLOOKUP(L4,'US History Framework Standards'!$A:$E,2,false),"")</f>
        <v>Colonization Impact on Native Americans</v>
      </c>
      <c r="U4" s="267">
        <v>2.0</v>
      </c>
      <c r="V4" s="265" t="s">
        <v>247</v>
      </c>
      <c r="W4" s="265">
        <v>1201718.0</v>
      </c>
      <c r="X4" s="267"/>
      <c r="Y4" s="267"/>
      <c r="Z4" s="264" t="s">
        <v>248</v>
      </c>
      <c r="AA4" s="272"/>
      <c r="AB4" s="272" t="str">
        <f t="shared" si="1"/>
        <v>HXRG_1201718_Multiple Choice.jpg</v>
      </c>
    </row>
    <row r="5" ht="15.75" customHeight="1">
      <c r="A5" s="273" t="s">
        <v>243</v>
      </c>
      <c r="B5" s="274" t="s">
        <v>244</v>
      </c>
      <c r="C5" s="274">
        <v>3.0</v>
      </c>
      <c r="D5" s="275">
        <v>4.0</v>
      </c>
      <c r="E5" s="274"/>
      <c r="F5" s="276"/>
      <c r="G5" s="274"/>
      <c r="H5" s="282" t="s">
        <v>370</v>
      </c>
      <c r="I5" s="274" t="s">
        <v>82</v>
      </c>
      <c r="J5" s="274" t="s">
        <v>83</v>
      </c>
      <c r="K5" s="279" t="s">
        <v>250</v>
      </c>
      <c r="L5" s="279" t="s">
        <v>101</v>
      </c>
      <c r="M5" s="273">
        <v>1.0</v>
      </c>
      <c r="N5" s="273" t="s">
        <v>85</v>
      </c>
      <c r="O5" s="280" t="str">
        <f>IFERROR(VLOOKUP(K5,'US History Framework Standards'!$A:$E,2,false),"")</f>
        <v>Constitutional Foundations (1763–1824)</v>
      </c>
      <c r="P5" s="325" t="str">
        <f>IFERROR(__xludf.DUMMYFUNCTION("IFERROR(Index(SPLIT(#REF!,"".""),1,1))"),"")</f>
        <v/>
      </c>
      <c r="Q5" s="325" t="str">
        <f>IFERROR(__xludf.DUMMYFUNCTION("IFERROR(Index(SPLIT(#REF!,"".""),1,2))"),"")</f>
        <v/>
      </c>
      <c r="R5" s="325" t="str">
        <f>IFERROR(VLOOKUP(#REF!,'US History Framework Standards'!$A:$E,3,false),"")</f>
        <v/>
      </c>
      <c r="S5" s="325" t="str">
        <f>IFERROR(__xludf.DUMMYFUNCTION("IFERROR(Index(SPLIT(#REF!,"".""),1,3)&amp;Index(SPLIT(#REF!,"".""),1,4))"),"")</f>
        <v/>
      </c>
      <c r="T5" s="271" t="str">
        <f>iferror(VLOOKUP(L5,'US History Framework Standards'!$A:$E,2,false),"")</f>
        <v>Declaration of Independence</v>
      </c>
      <c r="U5" s="276">
        <v>3.0</v>
      </c>
      <c r="V5" s="274" t="s">
        <v>247</v>
      </c>
      <c r="W5" s="274">
        <v>1201718.0</v>
      </c>
      <c r="X5" s="276"/>
      <c r="Y5" s="276"/>
      <c r="Z5" s="273" t="s">
        <v>248</v>
      </c>
      <c r="AA5" s="281"/>
      <c r="AB5" s="281" t="str">
        <f t="shared" si="1"/>
        <v>HXRG_1201718_Multiple Choice.jpg</v>
      </c>
    </row>
    <row r="6" ht="15.75" customHeight="1">
      <c r="A6" s="273" t="s">
        <v>243</v>
      </c>
      <c r="B6" s="274" t="s">
        <v>244</v>
      </c>
      <c r="C6" s="274">
        <v>4.0</v>
      </c>
      <c r="D6" s="275">
        <v>3.0</v>
      </c>
      <c r="E6" s="274"/>
      <c r="F6" s="276"/>
      <c r="G6" s="274"/>
      <c r="H6" s="282" t="s">
        <v>370</v>
      </c>
      <c r="I6" s="274" t="s">
        <v>82</v>
      </c>
      <c r="J6" s="274" t="s">
        <v>83</v>
      </c>
      <c r="K6" s="279" t="s">
        <v>250</v>
      </c>
      <c r="L6" s="279" t="s">
        <v>101</v>
      </c>
      <c r="M6" s="273">
        <v>8.0</v>
      </c>
      <c r="N6" s="273" t="s">
        <v>85</v>
      </c>
      <c r="O6" s="280" t="str">
        <f>IFERROR(VLOOKUP(K6,'US History Framework Standards'!$A:$E,2,false),"")</f>
        <v>Constitutional Foundations (1763–1824)</v>
      </c>
      <c r="P6" s="325" t="str">
        <f>IFERROR(__xludf.DUMMYFUNCTION("IFERROR(Index(SPLIT(#REF!,"".""),1,1))"),"")</f>
        <v/>
      </c>
      <c r="Q6" s="325" t="str">
        <f>IFERROR(__xludf.DUMMYFUNCTION("IFERROR(Index(SPLIT(#REF!,"".""),1,2))"),"")</f>
        <v/>
      </c>
      <c r="R6" s="325" t="str">
        <f>IFERROR(VLOOKUP(#REF!,'US History Framework Standards'!$A:$E,3,false),"")</f>
        <v/>
      </c>
      <c r="S6" s="325" t="str">
        <f>IFERROR(__xludf.DUMMYFUNCTION("IFERROR(Index(SPLIT(#REF!,"".""),1,3)&amp;Index(SPLIT(#REF!,"".""),1,4))"),"")</f>
        <v/>
      </c>
      <c r="T6" s="271" t="str">
        <f>iferror(VLOOKUP(L6,'US History Framework Standards'!$A:$E,2,false),"")</f>
        <v>Declaration of Independence</v>
      </c>
      <c r="U6" s="276">
        <v>4.0</v>
      </c>
      <c r="V6" s="274" t="s">
        <v>247</v>
      </c>
      <c r="W6" s="274">
        <v>1201718.0</v>
      </c>
      <c r="X6" s="276"/>
      <c r="Y6" s="276"/>
      <c r="Z6" s="273" t="s">
        <v>248</v>
      </c>
      <c r="AA6" s="281"/>
      <c r="AB6" s="281" t="str">
        <f t="shared" si="1"/>
        <v>HXRG_1201718_Multiple Choice.jpg</v>
      </c>
    </row>
    <row r="7" ht="15.75" customHeight="1">
      <c r="A7" s="264" t="s">
        <v>243</v>
      </c>
      <c r="B7" s="265" t="s">
        <v>244</v>
      </c>
      <c r="C7" s="265">
        <v>5.0</v>
      </c>
      <c r="D7" s="266">
        <v>4.0</v>
      </c>
      <c r="E7" s="265"/>
      <c r="F7" s="267"/>
      <c r="G7" s="265"/>
      <c r="H7" s="283" t="s">
        <v>371</v>
      </c>
      <c r="I7" s="265" t="s">
        <v>82</v>
      </c>
      <c r="J7" s="265" t="s">
        <v>83</v>
      </c>
      <c r="K7" s="284" t="s">
        <v>254</v>
      </c>
      <c r="L7" s="284" t="s">
        <v>120</v>
      </c>
      <c r="M7" s="264">
        <v>2.0</v>
      </c>
      <c r="N7" s="264" t="s">
        <v>89</v>
      </c>
      <c r="O7" s="271" t="str">
        <f>IFERROR(VLOOKUP(K7,'US History Framework Standards'!$A:$E,2,false),"")</f>
        <v>Expansion, Nationalism, and Sectionalism (1800-1865)</v>
      </c>
      <c r="P7" s="324" t="str">
        <f>IFERROR(__xludf.DUMMYFUNCTION("IFERROR(Index(SPLIT(#REF!,"".""),1,1))"),"")</f>
        <v/>
      </c>
      <c r="Q7" s="324" t="str">
        <f>IFERROR(__xludf.DUMMYFUNCTION("IFERROR(Index(SPLIT(#REF!,"".""),1,2))"),"")</f>
        <v/>
      </c>
      <c r="R7" s="324" t="str">
        <f>IFERROR(VLOOKUP(#REF!,'US History Framework Standards'!$A:$E,3,false),"")</f>
        <v/>
      </c>
      <c r="S7" s="324" t="str">
        <f>IFERROR(__xludf.DUMMYFUNCTION("IFERROR(Index(SPLIT(#REF!,"".""),1,3)&amp;Index(SPLIT(#REF!,"".""),1,4))"),"")</f>
        <v/>
      </c>
      <c r="T7" s="271" t="str">
        <f>iferror(VLOOKUP(L7,'US History Framework Standards'!$A:$E,2,false),"")</f>
        <v>American Nationalism</v>
      </c>
      <c r="U7" s="267">
        <v>5.0</v>
      </c>
      <c r="V7" s="265" t="s">
        <v>247</v>
      </c>
      <c r="W7" s="265">
        <v>1201718.0</v>
      </c>
      <c r="X7" s="267"/>
      <c r="Y7" s="267"/>
      <c r="Z7" s="264" t="s">
        <v>248</v>
      </c>
      <c r="AA7" s="272"/>
      <c r="AB7" s="272" t="str">
        <f t="shared" si="1"/>
        <v>HXRG_1201718_Multiple Choice.jpg</v>
      </c>
    </row>
    <row r="8" ht="15.75" customHeight="1">
      <c r="A8" s="264" t="s">
        <v>243</v>
      </c>
      <c r="B8" s="265" t="s">
        <v>244</v>
      </c>
      <c r="C8" s="265">
        <v>6.0</v>
      </c>
      <c r="D8" s="266">
        <v>2.0</v>
      </c>
      <c r="E8" s="265"/>
      <c r="F8" s="267"/>
      <c r="G8" s="265"/>
      <c r="H8" s="283" t="s">
        <v>371</v>
      </c>
      <c r="I8" s="265" t="s">
        <v>82</v>
      </c>
      <c r="J8" s="265" t="s">
        <v>83</v>
      </c>
      <c r="K8" s="284" t="s">
        <v>254</v>
      </c>
      <c r="L8" s="284" t="s">
        <v>120</v>
      </c>
      <c r="M8" s="264">
        <v>14.0</v>
      </c>
      <c r="N8" s="264" t="s">
        <v>85</v>
      </c>
      <c r="O8" s="271" t="str">
        <f>IFERROR(VLOOKUP(K8,'US History Framework Standards'!$A:$E,2,false),"")</f>
        <v>Expansion, Nationalism, and Sectionalism (1800-1865)</v>
      </c>
      <c r="P8" s="324" t="str">
        <f>IFERROR(__xludf.DUMMYFUNCTION("IFERROR(Index(SPLIT(#REF!,"".""),1,1))"),"")</f>
        <v/>
      </c>
      <c r="Q8" s="324" t="str">
        <f>IFERROR(__xludf.DUMMYFUNCTION("IFERROR(Index(SPLIT(#REF!,"".""),1,2))"),"")</f>
        <v/>
      </c>
      <c r="R8" s="324" t="str">
        <f>IFERROR(VLOOKUP(#REF!,'US History Framework Standards'!$A:$E,3,false),"")</f>
        <v/>
      </c>
      <c r="S8" s="324" t="str">
        <f>IFERROR(__xludf.DUMMYFUNCTION("IFERROR(Index(SPLIT(#REF!,"".""),1,3)&amp;Index(SPLIT(#REF!,"".""),1,4))"),"")</f>
        <v/>
      </c>
      <c r="T8" s="271" t="str">
        <f>iferror(VLOOKUP(L8,'US History Framework Standards'!$A:$E,2,false),"")</f>
        <v>American Nationalism</v>
      </c>
      <c r="U8" s="267">
        <v>6.0</v>
      </c>
      <c r="V8" s="265" t="s">
        <v>247</v>
      </c>
      <c r="W8" s="265">
        <v>1201718.0</v>
      </c>
      <c r="X8" s="267"/>
      <c r="Y8" s="267"/>
      <c r="Z8" s="264" t="s">
        <v>248</v>
      </c>
      <c r="AA8" s="272"/>
      <c r="AB8" s="272" t="str">
        <f t="shared" si="1"/>
        <v>HXRG_1201718_Multiple Choice.jpg</v>
      </c>
    </row>
    <row r="9" ht="15.75" customHeight="1">
      <c r="A9" s="273" t="s">
        <v>243</v>
      </c>
      <c r="B9" s="274" t="s">
        <v>244</v>
      </c>
      <c r="C9" s="274">
        <v>7.0</v>
      </c>
      <c r="D9" s="275">
        <v>3.0</v>
      </c>
      <c r="E9" s="274"/>
      <c r="F9" s="276"/>
      <c r="G9" s="274"/>
      <c r="H9" s="277" t="s">
        <v>372</v>
      </c>
      <c r="I9" s="274" t="s">
        <v>86</v>
      </c>
      <c r="J9" s="274" t="s">
        <v>94</v>
      </c>
      <c r="K9" s="279" t="s">
        <v>254</v>
      </c>
      <c r="L9" s="279" t="s">
        <v>126</v>
      </c>
      <c r="M9" s="273">
        <v>1.0</v>
      </c>
      <c r="N9" s="273" t="s">
        <v>85</v>
      </c>
      <c r="O9" s="280" t="str">
        <f>IFERROR(VLOOKUP(K9,'US History Framework Standards'!$A:$E,2,false),"")</f>
        <v>Expansion, Nationalism, and Sectionalism (1800-1865)</v>
      </c>
      <c r="P9" s="325" t="str">
        <f>IFERROR(__xludf.DUMMYFUNCTION("IFERROR(Index(SPLIT(#REF!,"".""),1,1))"),"")</f>
        <v/>
      </c>
      <c r="Q9" s="325" t="str">
        <f>IFERROR(__xludf.DUMMYFUNCTION("IFERROR(Index(SPLIT(#REF!,"".""),1,2))"),"")</f>
        <v/>
      </c>
      <c r="R9" s="325" t="str">
        <f>IFERROR(VLOOKUP(#REF!,'US History Framework Standards'!$A:$E,3,false),"")</f>
        <v/>
      </c>
      <c r="S9" s="325" t="str">
        <f>IFERROR(__xludf.DUMMYFUNCTION("IFERROR(Index(SPLIT(#REF!,"".""),1,3)&amp;Index(SPLIT(#REF!,"".""),1,4))"),"")</f>
        <v/>
      </c>
      <c r="T9" s="271" t="str">
        <f>iferror(VLOOKUP(L9,'US History Framework Standards'!$A:$E,2,false),"")</f>
        <v>Expansion of Slavery</v>
      </c>
      <c r="U9" s="276">
        <v>7.0</v>
      </c>
      <c r="V9" s="274" t="s">
        <v>247</v>
      </c>
      <c r="W9" s="274">
        <v>1201718.0</v>
      </c>
      <c r="X9" s="276"/>
      <c r="Y9" s="276"/>
      <c r="Z9" s="273" t="s">
        <v>248</v>
      </c>
      <c r="AA9" s="281"/>
      <c r="AB9" s="281" t="str">
        <f t="shared" si="1"/>
        <v>HXRG_1201718_Multiple Choice.jpg</v>
      </c>
    </row>
    <row r="10" ht="15.75" customHeight="1">
      <c r="A10" s="273" t="s">
        <v>243</v>
      </c>
      <c r="B10" s="274" t="s">
        <v>244</v>
      </c>
      <c r="C10" s="274">
        <v>8.0</v>
      </c>
      <c r="D10" s="275">
        <v>2.0</v>
      </c>
      <c r="E10" s="274"/>
      <c r="F10" s="276"/>
      <c r="G10" s="274"/>
      <c r="H10" s="277" t="s">
        <v>372</v>
      </c>
      <c r="I10" s="274" t="s">
        <v>86</v>
      </c>
      <c r="J10" s="274" t="s">
        <v>94</v>
      </c>
      <c r="K10" s="279" t="s">
        <v>254</v>
      </c>
      <c r="L10" s="279" t="s">
        <v>126</v>
      </c>
      <c r="M10" s="273">
        <v>18.0</v>
      </c>
      <c r="N10" s="273" t="s">
        <v>85</v>
      </c>
      <c r="O10" s="280" t="str">
        <f>IFERROR(VLOOKUP(K10,'US History Framework Standards'!$A:$E,2,false),"")</f>
        <v>Expansion, Nationalism, and Sectionalism (1800-1865)</v>
      </c>
      <c r="P10" s="325" t="str">
        <f>IFERROR(__xludf.DUMMYFUNCTION("IFERROR(Index(SPLIT(#REF!,"".""),1,1))"),"")</f>
        <v/>
      </c>
      <c r="Q10" s="325" t="str">
        <f>IFERROR(__xludf.DUMMYFUNCTION("IFERROR(Index(SPLIT(#REF!,"".""),1,2))"),"")</f>
        <v/>
      </c>
      <c r="R10" s="325" t="str">
        <f>IFERROR(VLOOKUP(#REF!,'US History Framework Standards'!$A:$E,3,false),"")</f>
        <v/>
      </c>
      <c r="S10" s="325" t="str">
        <f>IFERROR(__xludf.DUMMYFUNCTION("IFERROR(Index(SPLIT(#REF!,"".""),1,3)&amp;Index(SPLIT(#REF!,"".""),1,4))"),"")</f>
        <v/>
      </c>
      <c r="T10" s="271" t="str">
        <f>iferror(VLOOKUP(L10,'US History Framework Standards'!$A:$E,2,false),"")</f>
        <v>Expansion of Slavery</v>
      </c>
      <c r="U10" s="276">
        <v>8.0</v>
      </c>
      <c r="V10" s="274" t="s">
        <v>247</v>
      </c>
      <c r="W10" s="274">
        <v>1201718.0</v>
      </c>
      <c r="X10" s="276"/>
      <c r="Y10" s="276"/>
      <c r="Z10" s="273" t="s">
        <v>248</v>
      </c>
      <c r="AA10" s="281"/>
      <c r="AB10" s="281" t="str">
        <f t="shared" si="1"/>
        <v>HXRG_1201718_Multiple Choice.jpg</v>
      </c>
    </row>
    <row r="11" ht="15.75" customHeight="1">
      <c r="A11" s="264" t="s">
        <v>243</v>
      </c>
      <c r="B11" s="265" t="s">
        <v>244</v>
      </c>
      <c r="C11" s="265">
        <v>9.0</v>
      </c>
      <c r="D11" s="266">
        <v>2.0</v>
      </c>
      <c r="E11" s="265"/>
      <c r="F11" s="267"/>
      <c r="G11" s="265"/>
      <c r="H11" s="283" t="s">
        <v>373</v>
      </c>
      <c r="I11" s="265" t="s">
        <v>82</v>
      </c>
      <c r="J11" s="265" t="s">
        <v>83</v>
      </c>
      <c r="K11" s="284" t="s">
        <v>256</v>
      </c>
      <c r="L11" s="284" t="s">
        <v>138</v>
      </c>
      <c r="M11" s="264">
        <v>4.0</v>
      </c>
      <c r="N11" s="264" t="s">
        <v>89</v>
      </c>
      <c r="O11" s="271" t="str">
        <f>IFERROR(VLOOKUP(K11,'US History Framework Standards'!$A:$E,2,false),"")</f>
        <v>Post-Civil War Era (1865-1900)</v>
      </c>
      <c r="P11" s="324" t="str">
        <f>IFERROR(__xludf.DUMMYFUNCTION("IFERROR(Index(SPLIT(#REF!,"".""),1,1))"),"")</f>
        <v/>
      </c>
      <c r="Q11" s="324" t="str">
        <f>IFERROR(__xludf.DUMMYFUNCTION("IFERROR(Index(SPLIT(#REF!,"".""),1,2))"),"")</f>
        <v/>
      </c>
      <c r="R11" s="324" t="str">
        <f>IFERROR(VLOOKUP(#REF!,'US History Framework Standards'!$A:$E,3,false),"")</f>
        <v/>
      </c>
      <c r="S11" s="324" t="str">
        <f>IFERROR(__xludf.DUMMYFUNCTION("IFERROR(Index(SPLIT(#REF!,"".""),1,3)&amp;Index(SPLIT(#REF!,"".""),1,4))"),"")</f>
        <v/>
      </c>
      <c r="T11" s="271" t="str">
        <f>iferror(VLOOKUP(L11,'US History Framework Standards'!$A:$E,2,false),"")</f>
        <v>Chinese Immigration &amp; Exclusion</v>
      </c>
      <c r="U11" s="267">
        <v>9.0</v>
      </c>
      <c r="V11" s="265" t="s">
        <v>247</v>
      </c>
      <c r="W11" s="265">
        <v>1201718.0</v>
      </c>
      <c r="X11" s="267"/>
      <c r="Y11" s="267"/>
      <c r="Z11" s="264" t="s">
        <v>248</v>
      </c>
      <c r="AA11" s="272"/>
      <c r="AB11" s="272" t="str">
        <f t="shared" si="1"/>
        <v>HXRG_1201718_Multiple Choice.jpg</v>
      </c>
    </row>
    <row r="12" ht="15.75" customHeight="1">
      <c r="A12" s="264" t="s">
        <v>243</v>
      </c>
      <c r="B12" s="265" t="s">
        <v>244</v>
      </c>
      <c r="C12" s="265">
        <v>10.0</v>
      </c>
      <c r="D12" s="266">
        <v>4.0</v>
      </c>
      <c r="E12" s="265"/>
      <c r="F12" s="267"/>
      <c r="G12" s="265"/>
      <c r="H12" s="283" t="s">
        <v>373</v>
      </c>
      <c r="I12" s="265" t="s">
        <v>82</v>
      </c>
      <c r="J12" s="265" t="s">
        <v>83</v>
      </c>
      <c r="K12" s="284" t="s">
        <v>256</v>
      </c>
      <c r="L12" s="284" t="s">
        <v>138</v>
      </c>
      <c r="M12" s="264">
        <v>14.0</v>
      </c>
      <c r="N12" s="264" t="s">
        <v>85</v>
      </c>
      <c r="O12" s="271" t="str">
        <f>IFERROR(VLOOKUP(K12,'US History Framework Standards'!$A:$E,2,false),"")</f>
        <v>Post-Civil War Era (1865-1900)</v>
      </c>
      <c r="P12" s="324" t="str">
        <f>IFERROR(__xludf.DUMMYFUNCTION("IFERROR(Index(SPLIT(#REF!,"".""),1,1))"),"")</f>
        <v/>
      </c>
      <c r="Q12" s="324" t="str">
        <f>IFERROR(__xludf.DUMMYFUNCTION("IFERROR(Index(SPLIT(#REF!,"".""),1,2))"),"")</f>
        <v/>
      </c>
      <c r="R12" s="324" t="str">
        <f>IFERROR(VLOOKUP(#REF!,'US History Framework Standards'!$A:$E,3,false),"")</f>
        <v/>
      </c>
      <c r="S12" s="324" t="str">
        <f>IFERROR(__xludf.DUMMYFUNCTION("IFERROR(Index(SPLIT(#REF!,"".""),1,3)&amp;Index(SPLIT(#REF!,"".""),1,4))"),"")</f>
        <v/>
      </c>
      <c r="T12" s="271" t="str">
        <f>iferror(VLOOKUP(L12,'US History Framework Standards'!$A:$E,2,false),"")</f>
        <v>Chinese Immigration &amp; Exclusion</v>
      </c>
      <c r="U12" s="267">
        <v>10.0</v>
      </c>
      <c r="V12" s="265" t="s">
        <v>247</v>
      </c>
      <c r="W12" s="265">
        <v>1201718.0</v>
      </c>
      <c r="X12" s="267"/>
      <c r="Y12" s="267"/>
      <c r="Z12" s="264" t="s">
        <v>248</v>
      </c>
      <c r="AA12" s="272"/>
      <c r="AB12" s="272" t="str">
        <f t="shared" si="1"/>
        <v>HXRG_1201718_Multiple Choice.jpg</v>
      </c>
    </row>
    <row r="13" ht="15.75" customHeight="1">
      <c r="A13" s="273" t="s">
        <v>243</v>
      </c>
      <c r="B13" s="274" t="s">
        <v>244</v>
      </c>
      <c r="C13" s="274">
        <v>11.0</v>
      </c>
      <c r="D13" s="275">
        <v>1.0</v>
      </c>
      <c r="E13" s="274"/>
      <c r="F13" s="276"/>
      <c r="G13" s="274"/>
      <c r="H13" s="282" t="s">
        <v>352</v>
      </c>
      <c r="I13" s="274" t="s">
        <v>82</v>
      </c>
      <c r="J13" s="274" t="s">
        <v>87</v>
      </c>
      <c r="K13" s="279" t="s">
        <v>258</v>
      </c>
      <c r="L13" s="279" t="s">
        <v>146</v>
      </c>
      <c r="M13" s="273">
        <v>14.0</v>
      </c>
      <c r="N13" s="273" t="s">
        <v>85</v>
      </c>
      <c r="O13" s="280" t="str">
        <f>IFERROR(VLOOKUP(K13,'US History Framework Standards'!$A:$E,2,false),"")</f>
        <v>Industrialization and Urbanization (1870-1920)</v>
      </c>
      <c r="P13" s="325" t="str">
        <f>IFERROR(__xludf.DUMMYFUNCTION("IFERROR(Index(SPLIT(#REF!,"".""),1,1))"),"")</f>
        <v/>
      </c>
      <c r="Q13" s="325" t="str">
        <f>IFERROR(__xludf.DUMMYFUNCTION("IFERROR(Index(SPLIT(#REF!,"".""),1,2))"),"")</f>
        <v/>
      </c>
      <c r="R13" s="325" t="str">
        <f>IFERROR(VLOOKUP(#REF!,'US History Framework Standards'!$A:$E,3,false),"")</f>
        <v/>
      </c>
      <c r="S13" s="325" t="str">
        <f>IFERROR(__xludf.DUMMYFUNCTION("IFERROR(Index(SPLIT(#REF!,"".""),1,3)&amp;Index(SPLIT(#REF!,"".""),1,4))"),"")</f>
        <v/>
      </c>
      <c r="T13" s="271" t="str">
        <f>iferror(VLOOKUP(L13,'US History Framework Standards'!$A:$E,2,false),"")</f>
        <v>Women's Suffrage</v>
      </c>
      <c r="U13" s="276">
        <v>11.0</v>
      </c>
      <c r="V13" s="274" t="s">
        <v>247</v>
      </c>
      <c r="W13" s="274">
        <v>1201718.0</v>
      </c>
      <c r="X13" s="276"/>
      <c r="Y13" s="276"/>
      <c r="Z13" s="273" t="s">
        <v>248</v>
      </c>
      <c r="AA13" s="281"/>
      <c r="AB13" s="281" t="str">
        <f t="shared" si="1"/>
        <v>HXRG_1201718_Multiple Choice.jpg</v>
      </c>
    </row>
    <row r="14" ht="15.75" customHeight="1">
      <c r="A14" s="273" t="s">
        <v>243</v>
      </c>
      <c r="B14" s="274" t="s">
        <v>244</v>
      </c>
      <c r="C14" s="274">
        <v>12.0</v>
      </c>
      <c r="D14" s="275">
        <v>4.0</v>
      </c>
      <c r="E14" s="274"/>
      <c r="F14" s="276"/>
      <c r="G14" s="274"/>
      <c r="H14" s="282" t="s">
        <v>352</v>
      </c>
      <c r="I14" s="274" t="s">
        <v>82</v>
      </c>
      <c r="J14" s="274" t="s">
        <v>87</v>
      </c>
      <c r="K14" s="279" t="s">
        <v>261</v>
      </c>
      <c r="L14" s="279" t="s">
        <v>153</v>
      </c>
      <c r="M14" s="273">
        <v>9.0</v>
      </c>
      <c r="N14" s="273" t="s">
        <v>85</v>
      </c>
      <c r="O14" s="280" t="str">
        <f>IFERROR(VLOOKUP(K14,'US History Framework Standards'!$A:$E,2,false),"")</f>
        <v>Rise of American Power (1890-1920)</v>
      </c>
      <c r="P14" s="325" t="str">
        <f>IFERROR(__xludf.DUMMYFUNCTION("IFERROR(Index(SPLIT(#REF!,"".""),1,1))"),"")</f>
        <v/>
      </c>
      <c r="Q14" s="325" t="str">
        <f>IFERROR(__xludf.DUMMYFUNCTION("IFERROR(Index(SPLIT(#REF!,"".""),1,2))"),"")</f>
        <v/>
      </c>
      <c r="R14" s="325" t="str">
        <f>IFERROR(VLOOKUP(#REF!,'US History Framework Standards'!$A:$E,3,false),"")</f>
        <v/>
      </c>
      <c r="S14" s="325" t="str">
        <f>IFERROR(__xludf.DUMMYFUNCTION("IFERROR(Index(SPLIT(#REF!,"".""),1,3)&amp;Index(SPLIT(#REF!,"".""),1,4))"),"")</f>
        <v/>
      </c>
      <c r="T14" s="271" t="str">
        <f>iferror(VLOOKUP(L14,'US History Framework Standards'!$A:$E,2,false),"")</f>
        <v>President Wilson: Neutrality to Involvement</v>
      </c>
      <c r="U14" s="276">
        <v>12.0</v>
      </c>
      <c r="V14" s="274" t="s">
        <v>247</v>
      </c>
      <c r="W14" s="274">
        <v>1201718.0</v>
      </c>
      <c r="X14" s="276"/>
      <c r="Y14" s="276"/>
      <c r="Z14" s="273" t="s">
        <v>248</v>
      </c>
      <c r="AA14" s="281"/>
      <c r="AB14" s="281" t="str">
        <f t="shared" si="1"/>
        <v>HXRG_1201718_Multiple Choice.jpg</v>
      </c>
    </row>
    <row r="15" ht="15.75" customHeight="1">
      <c r="A15" s="264" t="s">
        <v>243</v>
      </c>
      <c r="B15" s="265" t="s">
        <v>244</v>
      </c>
      <c r="C15" s="265">
        <v>13.0</v>
      </c>
      <c r="D15" s="266">
        <v>3.0</v>
      </c>
      <c r="E15" s="265"/>
      <c r="F15" s="267"/>
      <c r="G15" s="265"/>
      <c r="H15" s="268" t="s">
        <v>374</v>
      </c>
      <c r="I15" s="265" t="s">
        <v>82</v>
      </c>
      <c r="J15" s="265" t="s">
        <v>83</v>
      </c>
      <c r="K15" s="284" t="s">
        <v>264</v>
      </c>
      <c r="L15" s="284" t="s">
        <v>166</v>
      </c>
      <c r="M15" s="264">
        <v>1.0</v>
      </c>
      <c r="N15" s="264" t="s">
        <v>85</v>
      </c>
      <c r="O15" s="271" t="str">
        <f>IFERROR(VLOOKUP(K15,'US History Framework Standards'!$A:$E,2,false),"")</f>
        <v>Prosperity and Depression (1920-1939)</v>
      </c>
      <c r="P15" s="324" t="str">
        <f>IFERROR(__xludf.DUMMYFUNCTION("IFERROR(Index(SPLIT(#REF!,"".""),1,1))"),"")</f>
        <v/>
      </c>
      <c r="Q15" s="324" t="str">
        <f>IFERROR(__xludf.DUMMYFUNCTION("IFERROR(Index(SPLIT(#REF!,"".""),1,2))"),"")</f>
        <v/>
      </c>
      <c r="R15" s="324" t="str">
        <f>IFERROR(VLOOKUP(#REF!,'US History Framework Standards'!$A:$E,3,false),"")</f>
        <v/>
      </c>
      <c r="S15" s="324" t="str">
        <f>IFERROR(__xludf.DUMMYFUNCTION("IFERROR(Index(SPLIT(#REF!,"".""),1,3)&amp;Index(SPLIT(#REF!,"".""),1,4))"),"")</f>
        <v/>
      </c>
      <c r="T15" s="271" t="str">
        <f>iferror(VLOOKUP(L15,'US History Framework Standards'!$A:$E,2,false),"")</f>
        <v>Black Pride, Nationalism &amp; Marcus Garvey</v>
      </c>
      <c r="U15" s="267">
        <v>13.0</v>
      </c>
      <c r="V15" s="265" t="s">
        <v>247</v>
      </c>
      <c r="W15" s="265">
        <v>1201718.0</v>
      </c>
      <c r="X15" s="267"/>
      <c r="Y15" s="267"/>
      <c r="Z15" s="264" t="s">
        <v>248</v>
      </c>
      <c r="AA15" s="272"/>
      <c r="AB15" s="272" t="str">
        <f t="shared" si="1"/>
        <v>HXRG_1201718_Multiple Choice.jpg</v>
      </c>
    </row>
    <row r="16" ht="15.75" customHeight="1">
      <c r="A16" s="264" t="s">
        <v>243</v>
      </c>
      <c r="B16" s="265" t="s">
        <v>244</v>
      </c>
      <c r="C16" s="265">
        <v>14.0</v>
      </c>
      <c r="D16" s="266">
        <v>4.0</v>
      </c>
      <c r="E16" s="265"/>
      <c r="F16" s="267"/>
      <c r="G16" s="265"/>
      <c r="H16" s="268" t="s">
        <v>374</v>
      </c>
      <c r="I16" s="265" t="s">
        <v>82</v>
      </c>
      <c r="J16" s="265" t="s">
        <v>83</v>
      </c>
      <c r="K16" s="284" t="s">
        <v>264</v>
      </c>
      <c r="L16" s="284" t="s">
        <v>165</v>
      </c>
      <c r="M16" s="264">
        <v>1.0</v>
      </c>
      <c r="N16" s="264" t="s">
        <v>85</v>
      </c>
      <c r="O16" s="271" t="str">
        <f>IFERROR(VLOOKUP(K16,'US History Framework Standards'!$A:$E,2,false),"")</f>
        <v>Prosperity and Depression (1920-1939)</v>
      </c>
      <c r="P16" s="324" t="str">
        <f>IFERROR(__xludf.DUMMYFUNCTION("IFERROR(Index(SPLIT(#REF!,"".""),1,1))"),"")</f>
        <v/>
      </c>
      <c r="Q16" s="324" t="str">
        <f>IFERROR(__xludf.DUMMYFUNCTION("IFERROR(Index(SPLIT(#REF!,"".""),1,2))"),"")</f>
        <v/>
      </c>
      <c r="R16" s="324" t="str">
        <f>IFERROR(VLOOKUP(#REF!,'US History Framework Standards'!$A:$E,3,false),"")</f>
        <v/>
      </c>
      <c r="S16" s="324" t="str">
        <f>IFERROR(__xludf.DUMMYFUNCTION("IFERROR(Index(SPLIT(#REF!,"".""),1,3)&amp;Index(SPLIT(#REF!,"".""),1,4))"),"")</f>
        <v/>
      </c>
      <c r="T16" s="271" t="str">
        <f>iferror(VLOOKUP(L16,'US History Framework Standards'!$A:$E,2,false),"")</f>
        <v>Harlem Renaissance</v>
      </c>
      <c r="U16" s="267">
        <v>14.0</v>
      </c>
      <c r="V16" s="265" t="s">
        <v>247</v>
      </c>
      <c r="W16" s="265">
        <v>1201718.0</v>
      </c>
      <c r="X16" s="267"/>
      <c r="Y16" s="267"/>
      <c r="Z16" s="264" t="s">
        <v>248</v>
      </c>
      <c r="AA16" s="272"/>
      <c r="AB16" s="272" t="str">
        <f t="shared" si="1"/>
        <v>HXRG_1201718_Multiple Choice.jpg</v>
      </c>
    </row>
    <row r="17" ht="15.75" customHeight="1">
      <c r="A17" s="273" t="s">
        <v>243</v>
      </c>
      <c r="B17" s="274" t="s">
        <v>244</v>
      </c>
      <c r="C17" s="274">
        <v>15.0</v>
      </c>
      <c r="D17" s="275">
        <v>1.0</v>
      </c>
      <c r="E17" s="274"/>
      <c r="F17" s="276"/>
      <c r="G17" s="274"/>
      <c r="H17" s="285" t="s">
        <v>375</v>
      </c>
      <c r="I17" s="274" t="s">
        <v>82</v>
      </c>
      <c r="J17" s="274" t="s">
        <v>87</v>
      </c>
      <c r="K17" s="279" t="s">
        <v>264</v>
      </c>
      <c r="L17" s="279" t="s">
        <v>162</v>
      </c>
      <c r="M17" s="273">
        <v>2.0</v>
      </c>
      <c r="N17" s="273" t="s">
        <v>85</v>
      </c>
      <c r="O17" s="280" t="str">
        <f>IFERROR(VLOOKUP(K17,'US History Framework Standards'!$A:$E,2,false),"")</f>
        <v>Prosperity and Depression (1920-1939)</v>
      </c>
      <c r="P17" s="325" t="str">
        <f>IFERROR(__xludf.DUMMYFUNCTION("IFERROR(Index(SPLIT(#REF!,"".""),1,1))"),"")</f>
        <v/>
      </c>
      <c r="Q17" s="325" t="str">
        <f>IFERROR(__xludf.DUMMYFUNCTION("IFERROR(Index(SPLIT(#REF!,"".""),1,2))"),"")</f>
        <v/>
      </c>
      <c r="R17" s="325" t="str">
        <f>IFERROR(VLOOKUP(#REF!,'US History Framework Standards'!$A:$E,3,false),"")</f>
        <v/>
      </c>
      <c r="S17" s="325" t="str">
        <f>IFERROR(__xludf.DUMMYFUNCTION("IFERROR(Index(SPLIT(#REF!,"".""),1,3)&amp;Index(SPLIT(#REF!,"".""),1,4))"),"")</f>
        <v/>
      </c>
      <c r="T17" s="271" t="str">
        <f>iferror(VLOOKUP(L17,'US History Framework Standards'!$A:$E,2,false),"")</f>
        <v>Immigration in the 1920's</v>
      </c>
      <c r="U17" s="276">
        <v>15.0</v>
      </c>
      <c r="V17" s="274" t="s">
        <v>247</v>
      </c>
      <c r="W17" s="274">
        <v>1201718.0</v>
      </c>
      <c r="X17" s="276"/>
      <c r="Y17" s="276"/>
      <c r="Z17" s="273" t="s">
        <v>248</v>
      </c>
      <c r="AA17" s="281"/>
      <c r="AB17" s="281" t="str">
        <f t="shared" si="1"/>
        <v>HXRG_1201718_Multiple Choice.jpg</v>
      </c>
    </row>
    <row r="18" ht="15.75" customHeight="1">
      <c r="A18" s="273" t="s">
        <v>243</v>
      </c>
      <c r="B18" s="274" t="s">
        <v>244</v>
      </c>
      <c r="C18" s="274">
        <v>16.0</v>
      </c>
      <c r="D18" s="275">
        <v>3.0</v>
      </c>
      <c r="E18" s="274"/>
      <c r="F18" s="276"/>
      <c r="G18" s="274"/>
      <c r="H18" s="285" t="s">
        <v>375</v>
      </c>
      <c r="I18" s="274" t="s">
        <v>82</v>
      </c>
      <c r="J18" s="274" t="s">
        <v>87</v>
      </c>
      <c r="K18" s="279" t="s">
        <v>264</v>
      </c>
      <c r="L18" s="279" t="s">
        <v>162</v>
      </c>
      <c r="M18" s="273">
        <v>18.0</v>
      </c>
      <c r="N18" s="273" t="s">
        <v>85</v>
      </c>
      <c r="O18" s="280" t="str">
        <f>IFERROR(VLOOKUP(K18,'US History Framework Standards'!$A:$E,2,false),"")</f>
        <v>Prosperity and Depression (1920-1939)</v>
      </c>
      <c r="P18" s="325" t="str">
        <f>IFERROR(__xludf.DUMMYFUNCTION("IFERROR(Index(SPLIT(#REF!,"".""),1,1))"),"")</f>
        <v/>
      </c>
      <c r="Q18" s="325" t="str">
        <f>IFERROR(__xludf.DUMMYFUNCTION("IFERROR(Index(SPLIT(#REF!,"".""),1,2))"),"")</f>
        <v/>
      </c>
      <c r="R18" s="325" t="str">
        <f>IFERROR(VLOOKUP(#REF!,'US History Framework Standards'!$A:$E,3,false),"")</f>
        <v/>
      </c>
      <c r="S18" s="325" t="str">
        <f>IFERROR(__xludf.DUMMYFUNCTION("IFERROR(Index(SPLIT(#REF!,"".""),1,3)&amp;Index(SPLIT(#REF!,"".""),1,4))"),"")</f>
        <v/>
      </c>
      <c r="T18" s="280" t="str">
        <f>iferror(VLOOKUP(L18,'US History Framework Standards'!$A:$E,2,false),"")</f>
        <v>Immigration in the 1920's</v>
      </c>
      <c r="U18" s="276">
        <v>16.0</v>
      </c>
      <c r="V18" s="274" t="s">
        <v>247</v>
      </c>
      <c r="W18" s="274">
        <v>1201718.0</v>
      </c>
      <c r="X18" s="276"/>
      <c r="Y18" s="276"/>
      <c r="Z18" s="273" t="s">
        <v>248</v>
      </c>
      <c r="AA18" s="281"/>
      <c r="AB18" s="281" t="str">
        <f t="shared" si="1"/>
        <v>HXRG_1201718_Multiple Choice.jpg</v>
      </c>
    </row>
    <row r="19" ht="15.75" customHeight="1">
      <c r="A19" s="264" t="s">
        <v>243</v>
      </c>
      <c r="B19" s="265" t="s">
        <v>244</v>
      </c>
      <c r="C19" s="265">
        <v>17.0</v>
      </c>
      <c r="D19" s="266">
        <v>2.0</v>
      </c>
      <c r="E19" s="265"/>
      <c r="F19" s="267"/>
      <c r="G19" s="265"/>
      <c r="H19" s="283" t="s">
        <v>376</v>
      </c>
      <c r="I19" s="265" t="s">
        <v>82</v>
      </c>
      <c r="J19" s="265" t="s">
        <v>83</v>
      </c>
      <c r="K19" s="284" t="s">
        <v>264</v>
      </c>
      <c r="L19" s="284" t="s">
        <v>170</v>
      </c>
      <c r="M19" s="264">
        <v>8.0</v>
      </c>
      <c r="N19" s="264" t="s">
        <v>85</v>
      </c>
      <c r="O19" s="271" t="str">
        <f>IFERROR(VLOOKUP(K19,'US History Framework Standards'!$A:$E,2,false),"")</f>
        <v>Prosperity and Depression (1920-1939)</v>
      </c>
      <c r="P19" s="324" t="str">
        <f>IFERROR(__xludf.DUMMYFUNCTION("IFERROR(Index(SPLIT(#REF!,"".""),1,1))"),"")</f>
        <v/>
      </c>
      <c r="Q19" s="324" t="str">
        <f>IFERROR(__xludf.DUMMYFUNCTION("IFERROR(Index(SPLIT(#REF!,"".""),1,2))"),"")</f>
        <v/>
      </c>
      <c r="R19" s="324" t="str">
        <f>IFERROR(VLOOKUP(#REF!,'US History Framework Standards'!$A:$E,3,false),"")</f>
        <v/>
      </c>
      <c r="S19" s="324" t="str">
        <f>IFERROR(__xludf.DUMMYFUNCTION("IFERROR(Index(SPLIT(#REF!,"".""),1,3)&amp;Index(SPLIT(#REF!,"".""),1,4))"),"")</f>
        <v/>
      </c>
      <c r="T19" s="271" t="str">
        <f>iferror(VLOOKUP(L19,'US History Framework Standards'!$A:$E,2,false),"")</f>
        <v>Dust Bowl</v>
      </c>
      <c r="U19" s="267">
        <v>17.0</v>
      </c>
      <c r="V19" s="265" t="s">
        <v>247</v>
      </c>
      <c r="W19" s="265">
        <v>1201718.0</v>
      </c>
      <c r="X19" s="267"/>
      <c r="Y19" s="267"/>
      <c r="Z19" s="264" t="s">
        <v>248</v>
      </c>
      <c r="AA19" s="272"/>
      <c r="AB19" s="272" t="str">
        <f t="shared" si="1"/>
        <v>HXRG_1201718_Multiple Choice.jpg</v>
      </c>
    </row>
    <row r="20" ht="15.75" customHeight="1">
      <c r="A20" s="264" t="s">
        <v>243</v>
      </c>
      <c r="B20" s="265" t="s">
        <v>244</v>
      </c>
      <c r="C20" s="265">
        <v>18.0</v>
      </c>
      <c r="D20" s="266">
        <v>2.0</v>
      </c>
      <c r="E20" s="265"/>
      <c r="F20" s="267"/>
      <c r="G20" s="265"/>
      <c r="H20" s="283" t="s">
        <v>376</v>
      </c>
      <c r="I20" s="265" t="s">
        <v>82</v>
      </c>
      <c r="J20" s="265" t="s">
        <v>83</v>
      </c>
      <c r="K20" s="284" t="s">
        <v>264</v>
      </c>
      <c r="L20" s="284" t="s">
        <v>170</v>
      </c>
      <c r="M20" s="264">
        <v>12.0</v>
      </c>
      <c r="N20" s="264" t="s">
        <v>85</v>
      </c>
      <c r="O20" s="271" t="str">
        <f>IFERROR(VLOOKUP(K20,'US History Framework Standards'!$A:$E,2,false),"")</f>
        <v>Prosperity and Depression (1920-1939)</v>
      </c>
      <c r="P20" s="324" t="str">
        <f>IFERROR(__xludf.DUMMYFUNCTION("IFERROR(Index(SPLIT(#REF!,"".""),1,1))"),"")</f>
        <v/>
      </c>
      <c r="Q20" s="324" t="str">
        <f>IFERROR(__xludf.DUMMYFUNCTION("IFERROR(Index(SPLIT(#REF!,"".""),1,2))"),"")</f>
        <v/>
      </c>
      <c r="R20" s="324" t="str">
        <f>IFERROR(VLOOKUP(#REF!,'US History Framework Standards'!$A:$E,3,false),"")</f>
        <v/>
      </c>
      <c r="S20" s="324" t="str">
        <f>IFERROR(__xludf.DUMMYFUNCTION("IFERROR(Index(SPLIT(#REF!,"".""),1,3)&amp;Index(SPLIT(#REF!,"".""),1,4))"),"")</f>
        <v/>
      </c>
      <c r="T20" s="271" t="str">
        <f>iferror(VLOOKUP(L20,'US History Framework Standards'!$A:$E,2,false),"")</f>
        <v>Dust Bowl</v>
      </c>
      <c r="U20" s="267">
        <v>18.0</v>
      </c>
      <c r="V20" s="265" t="s">
        <v>247</v>
      </c>
      <c r="W20" s="265">
        <v>1201718.0</v>
      </c>
      <c r="X20" s="267"/>
      <c r="Y20" s="267"/>
      <c r="Z20" s="264" t="s">
        <v>248</v>
      </c>
      <c r="AA20" s="272"/>
      <c r="AB20" s="272" t="str">
        <f t="shared" si="1"/>
        <v>HXRG_1201718_Multiple Choice.jpg</v>
      </c>
    </row>
    <row r="21" ht="15.75" customHeight="1">
      <c r="A21" s="273" t="s">
        <v>243</v>
      </c>
      <c r="B21" s="274" t="s">
        <v>244</v>
      </c>
      <c r="C21" s="274">
        <v>19.0</v>
      </c>
      <c r="D21" s="275">
        <v>1.0</v>
      </c>
      <c r="E21" s="274"/>
      <c r="F21" s="276"/>
      <c r="G21" s="274"/>
      <c r="H21" s="285" t="s">
        <v>377</v>
      </c>
      <c r="I21" s="274" t="s">
        <v>82</v>
      </c>
      <c r="J21" s="274" t="s">
        <v>83</v>
      </c>
      <c r="K21" s="279" t="s">
        <v>102</v>
      </c>
      <c r="L21" s="279" t="s">
        <v>201</v>
      </c>
      <c r="M21" s="273">
        <v>10.0</v>
      </c>
      <c r="N21" s="273" t="s">
        <v>85</v>
      </c>
      <c r="O21" s="280" t="str">
        <f>IFERROR(VLOOKUP(K21,'US History Framework Standards'!$A:$E,2,false),"")</f>
        <v>Social and Economic Change/ Domestic Issues (1945-present)</v>
      </c>
      <c r="P21" s="325" t="str">
        <f>IFERROR(__xludf.DUMMYFUNCTION("IFERROR(Index(SPLIT(#REF!,"".""),1,1))"),"")</f>
        <v/>
      </c>
      <c r="Q21" s="325" t="str">
        <f>IFERROR(__xludf.DUMMYFUNCTION("IFERROR(Index(SPLIT(#REF!,"".""),1,2))"),"")</f>
        <v/>
      </c>
      <c r="R21" s="325" t="str">
        <f>IFERROR(VLOOKUP(#REF!,'US History Framework Standards'!$A:$E,3,false),"")</f>
        <v/>
      </c>
      <c r="S21" s="325" t="str">
        <f>IFERROR(__xludf.DUMMYFUNCTION("IFERROR(Index(SPLIT(#REF!,"".""),1,3)&amp;Index(SPLIT(#REF!,"".""),1,4))"),"")</f>
        <v/>
      </c>
      <c r="T21" s="280" t="str">
        <f>iferror(VLOOKUP(L21,'US History Framework Standards'!$A:$E,2,false),"")</f>
        <v>Great Society vs Reaganomics</v>
      </c>
      <c r="U21" s="276">
        <v>19.0</v>
      </c>
      <c r="V21" s="274" t="s">
        <v>247</v>
      </c>
      <c r="W21" s="274">
        <v>1201718.0</v>
      </c>
      <c r="X21" s="276"/>
      <c r="Y21" s="276"/>
      <c r="Z21" s="273" t="s">
        <v>248</v>
      </c>
      <c r="AA21" s="281"/>
      <c r="AB21" s="281" t="str">
        <f t="shared" si="1"/>
        <v>HXRG_1201718_Multiple Choice.jpg</v>
      </c>
    </row>
    <row r="22" ht="15.75" customHeight="1">
      <c r="A22" s="264" t="s">
        <v>243</v>
      </c>
      <c r="B22" s="265" t="s">
        <v>244</v>
      </c>
      <c r="C22" s="265">
        <v>20.0</v>
      </c>
      <c r="D22" s="266">
        <v>2.0</v>
      </c>
      <c r="E22" s="265"/>
      <c r="F22" s="267"/>
      <c r="G22" s="265"/>
      <c r="H22" s="286" t="s">
        <v>378</v>
      </c>
      <c r="I22" s="265" t="s">
        <v>82</v>
      </c>
      <c r="J22" s="265" t="s">
        <v>87</v>
      </c>
      <c r="K22" s="284" t="s">
        <v>264</v>
      </c>
      <c r="L22" s="284" t="s">
        <v>171</v>
      </c>
      <c r="M22" s="264">
        <v>15.0</v>
      </c>
      <c r="N22" s="264" t="s">
        <v>85</v>
      </c>
      <c r="O22" s="271" t="str">
        <f>IFERROR(VLOOKUP(K22,'US History Framework Standards'!$A:$E,2,false),"")</f>
        <v>Prosperity and Depression (1920-1939)</v>
      </c>
      <c r="P22" s="324" t="str">
        <f>IFERROR(__xludf.DUMMYFUNCTION("IFERROR(Index(SPLIT(#REF!,"".""),1,1))"),"")</f>
        <v/>
      </c>
      <c r="Q22" s="324" t="str">
        <f>IFERROR(__xludf.DUMMYFUNCTION("IFERROR(Index(SPLIT(#REF!,"".""),1,2))"),"")</f>
        <v/>
      </c>
      <c r="R22" s="324" t="str">
        <f>IFERROR(VLOOKUP(#REF!,'US History Framework Standards'!$A:$E,3,false),"")</f>
        <v/>
      </c>
      <c r="S22" s="324" t="str">
        <f>IFERROR(__xludf.DUMMYFUNCTION("IFERROR(Index(SPLIT(#REF!,"".""),1,3)&amp;Index(SPLIT(#REF!,"".""),1,4))"),"")</f>
        <v/>
      </c>
      <c r="T22" s="271" t="str">
        <f>iferror(VLOOKUP(L22,'US History Framework Standards'!$A:$E,2,false),"")</f>
        <v>New Deal</v>
      </c>
      <c r="U22" s="267">
        <v>20.0</v>
      </c>
      <c r="V22" s="265" t="s">
        <v>247</v>
      </c>
      <c r="W22" s="265">
        <v>1201718.0</v>
      </c>
      <c r="X22" s="267"/>
      <c r="Y22" s="267"/>
      <c r="Z22" s="264" t="s">
        <v>248</v>
      </c>
      <c r="AA22" s="272"/>
      <c r="AB22" s="272" t="str">
        <f t="shared" si="1"/>
        <v>HXRG_1201718_Multiple Choice.jpg</v>
      </c>
    </row>
    <row r="23" ht="15.75" customHeight="1">
      <c r="A23" s="264" t="s">
        <v>243</v>
      </c>
      <c r="B23" s="265" t="s">
        <v>244</v>
      </c>
      <c r="C23" s="265">
        <v>21.0</v>
      </c>
      <c r="D23" s="266">
        <v>1.0</v>
      </c>
      <c r="E23" s="265"/>
      <c r="F23" s="267"/>
      <c r="G23" s="265"/>
      <c r="H23" s="286" t="s">
        <v>378</v>
      </c>
      <c r="I23" s="265" t="s">
        <v>82</v>
      </c>
      <c r="J23" s="265" t="s">
        <v>87</v>
      </c>
      <c r="K23" s="284" t="s">
        <v>264</v>
      </c>
      <c r="L23" s="284" t="s">
        <v>171</v>
      </c>
      <c r="M23" s="264">
        <v>1.0</v>
      </c>
      <c r="N23" s="264" t="s">
        <v>85</v>
      </c>
      <c r="O23" s="271" t="str">
        <f>IFERROR(VLOOKUP(K23,'US History Framework Standards'!$A:$E,2,false),"")</f>
        <v>Prosperity and Depression (1920-1939)</v>
      </c>
      <c r="P23" s="324" t="str">
        <f>IFERROR(__xludf.DUMMYFUNCTION("IFERROR(Index(SPLIT(#REF!,"".""),1,1))"),"")</f>
        <v/>
      </c>
      <c r="Q23" s="324" t="str">
        <f>IFERROR(__xludf.DUMMYFUNCTION("IFERROR(Index(SPLIT(#REF!,"".""),1,2))"),"")</f>
        <v/>
      </c>
      <c r="R23" s="324" t="str">
        <f>IFERROR(VLOOKUP(#REF!,'US History Framework Standards'!$A:$E,3,false),"")</f>
        <v/>
      </c>
      <c r="S23" s="324" t="str">
        <f>IFERROR(__xludf.DUMMYFUNCTION("IFERROR(Index(SPLIT(#REF!,"".""),1,3)&amp;Index(SPLIT(#REF!,"".""),1,4))"),"")</f>
        <v/>
      </c>
      <c r="T23" s="271" t="str">
        <f>iferror(VLOOKUP(L23,'US History Framework Standards'!$A:$E,2,false),"")</f>
        <v>New Deal</v>
      </c>
      <c r="U23" s="267">
        <v>21.0</v>
      </c>
      <c r="V23" s="265" t="s">
        <v>247</v>
      </c>
      <c r="W23" s="265">
        <v>1201718.0</v>
      </c>
      <c r="X23" s="267"/>
      <c r="Y23" s="267"/>
      <c r="Z23" s="264" t="s">
        <v>248</v>
      </c>
      <c r="AA23" s="272"/>
      <c r="AB23" s="272" t="str">
        <f t="shared" si="1"/>
        <v>HXRG_1201718_Multiple Choice.jpg</v>
      </c>
    </row>
    <row r="24" ht="15.75" customHeight="1">
      <c r="A24" s="273" t="s">
        <v>243</v>
      </c>
      <c r="B24" s="274" t="s">
        <v>244</v>
      </c>
      <c r="C24" s="274">
        <v>22.0</v>
      </c>
      <c r="D24" s="275">
        <v>1.0</v>
      </c>
      <c r="E24" s="274"/>
      <c r="F24" s="276"/>
      <c r="G24" s="274"/>
      <c r="H24" s="285" t="s">
        <v>379</v>
      </c>
      <c r="I24" s="274" t="s">
        <v>82</v>
      </c>
      <c r="J24" s="274" t="s">
        <v>83</v>
      </c>
      <c r="K24" s="279" t="s">
        <v>268</v>
      </c>
      <c r="L24" s="279" t="s">
        <v>184</v>
      </c>
      <c r="M24" s="273">
        <v>12.0</v>
      </c>
      <c r="N24" s="273" t="s">
        <v>85</v>
      </c>
      <c r="O24" s="280" t="str">
        <f>IFERROR(VLOOKUP(K24,'US History Framework Standards'!$A:$E,2,false),"")</f>
        <v>Cold War (1945-1990)</v>
      </c>
      <c r="P24" s="325" t="str">
        <f>IFERROR(__xludf.DUMMYFUNCTION("IFERROR(Index(SPLIT(#REF!,"".""),1,1))"),"")</f>
        <v/>
      </c>
      <c r="Q24" s="325" t="str">
        <f>IFERROR(__xludf.DUMMYFUNCTION("IFERROR(Index(SPLIT(#REF!,"".""),1,2))"),"")</f>
        <v/>
      </c>
      <c r="R24" s="325" t="str">
        <f>IFERROR(VLOOKUP(#REF!,'US History Framework Standards'!$A:$E,3,false),"")</f>
        <v/>
      </c>
      <c r="S24" s="325" t="str">
        <f>IFERROR(__xludf.DUMMYFUNCTION("IFERROR(Index(SPLIT(#REF!,"".""),1,3)&amp;Index(SPLIT(#REF!,"".""),1,4))"),"")</f>
        <v/>
      </c>
      <c r="T24" s="271" t="str">
        <f>iferror(VLOOKUP(L24,'US History Framework Standards'!$A:$E,2,false),"")</f>
        <v>Containment Policies</v>
      </c>
      <c r="U24" s="276">
        <v>22.0</v>
      </c>
      <c r="V24" s="274" t="s">
        <v>247</v>
      </c>
      <c r="W24" s="274">
        <v>1201718.0</v>
      </c>
      <c r="X24" s="276"/>
      <c r="Y24" s="276"/>
      <c r="Z24" s="273" t="s">
        <v>248</v>
      </c>
      <c r="AA24" s="281"/>
      <c r="AB24" s="281" t="str">
        <f t="shared" si="1"/>
        <v>HXRG_1201718_Multiple Choice.jpg</v>
      </c>
    </row>
    <row r="25" ht="15.75" customHeight="1">
      <c r="A25" s="273" t="s">
        <v>243</v>
      </c>
      <c r="B25" s="274" t="s">
        <v>244</v>
      </c>
      <c r="C25" s="274">
        <v>23.0</v>
      </c>
      <c r="D25" s="275">
        <v>2.0</v>
      </c>
      <c r="E25" s="274"/>
      <c r="F25" s="276"/>
      <c r="G25" s="274"/>
      <c r="H25" s="285" t="s">
        <v>379</v>
      </c>
      <c r="I25" s="274" t="s">
        <v>82</v>
      </c>
      <c r="J25" s="274" t="s">
        <v>83</v>
      </c>
      <c r="K25" s="279" t="s">
        <v>268</v>
      </c>
      <c r="L25" s="279" t="s">
        <v>184</v>
      </c>
      <c r="M25" s="273">
        <v>1.0</v>
      </c>
      <c r="N25" s="273" t="s">
        <v>85</v>
      </c>
      <c r="O25" s="280" t="str">
        <f>IFERROR(VLOOKUP(K25,'US History Framework Standards'!$A:$E,2,false),"")</f>
        <v>Cold War (1945-1990)</v>
      </c>
      <c r="P25" s="325" t="str">
        <f>IFERROR(__xludf.DUMMYFUNCTION("IFERROR(Index(SPLIT(#REF!,"".""),1,1))"),"")</f>
        <v/>
      </c>
      <c r="Q25" s="325" t="str">
        <f>IFERROR(__xludf.DUMMYFUNCTION("IFERROR(Index(SPLIT(#REF!,"".""),1,2))"),"")</f>
        <v/>
      </c>
      <c r="R25" s="325" t="str">
        <f>IFERROR(VLOOKUP(#REF!,'US History Framework Standards'!$A:$E,3,false),"")</f>
        <v/>
      </c>
      <c r="S25" s="325" t="str">
        <f>IFERROR(__xludf.DUMMYFUNCTION("IFERROR(Index(SPLIT(#REF!,"".""),1,3)&amp;Index(SPLIT(#REF!,"".""),1,4))"),"")</f>
        <v/>
      </c>
      <c r="T25" s="280" t="str">
        <f>iferror(VLOOKUP(L25,'US History Framework Standards'!$A:$E,2,false),"")</f>
        <v>Containment Policies</v>
      </c>
      <c r="U25" s="276">
        <v>23.0</v>
      </c>
      <c r="V25" s="274" t="s">
        <v>247</v>
      </c>
      <c r="W25" s="274">
        <v>1201718.0</v>
      </c>
      <c r="X25" s="276"/>
      <c r="Y25" s="276"/>
      <c r="Z25" s="273" t="s">
        <v>248</v>
      </c>
      <c r="AA25" s="281"/>
      <c r="AB25" s="281" t="str">
        <f t="shared" si="1"/>
        <v>HXRG_1201718_Multiple Choice.jpg</v>
      </c>
    </row>
    <row r="26" ht="15.75" customHeight="1">
      <c r="A26" s="264" t="s">
        <v>243</v>
      </c>
      <c r="B26" s="265" t="s">
        <v>244</v>
      </c>
      <c r="C26" s="265">
        <v>24.0</v>
      </c>
      <c r="D26" s="266">
        <v>3.0</v>
      </c>
      <c r="E26" s="265"/>
      <c r="F26" s="267"/>
      <c r="G26" s="265"/>
      <c r="H26" s="283" t="s">
        <v>380</v>
      </c>
      <c r="I26" s="265" t="s">
        <v>82</v>
      </c>
      <c r="J26" s="265" t="s">
        <v>83</v>
      </c>
      <c r="K26" s="284" t="s">
        <v>102</v>
      </c>
      <c r="L26" s="284" t="s">
        <v>197</v>
      </c>
      <c r="M26" s="264">
        <v>7.0</v>
      </c>
      <c r="N26" s="264" t="s">
        <v>85</v>
      </c>
      <c r="O26" s="271" t="str">
        <f>IFERROR(VLOOKUP(K26,'US History Framework Standards'!$A:$E,2,false),"")</f>
        <v>Social and Economic Change/ Domestic Issues (1945-present)</v>
      </c>
      <c r="P26" s="324" t="str">
        <f>IFERROR(__xludf.DUMMYFUNCTION("IFERROR(Index(SPLIT(#REF!,"".""),1,1))"),"")</f>
        <v/>
      </c>
      <c r="Q26" s="324" t="str">
        <f>IFERROR(__xludf.DUMMYFUNCTION("IFERROR(Index(SPLIT(#REF!,"".""),1,2))"),"")</f>
        <v/>
      </c>
      <c r="R26" s="324" t="str">
        <f>IFERROR(VLOOKUP(#REF!,'US History Framework Standards'!$A:$E,3,false),"")</f>
        <v/>
      </c>
      <c r="S26" s="324" t="str">
        <f>IFERROR(__xludf.DUMMYFUNCTION("IFERROR(Index(SPLIT(#REF!,"".""),1,3)&amp;Index(SPLIT(#REF!,"".""),1,4))"),"")</f>
        <v/>
      </c>
      <c r="T26" s="271" t="str">
        <f>iferror(VLOOKUP(L26,'US History Framework Standards'!$A:$E,2,false),"")</f>
        <v>Civil Rights Judicial &amp; Legislative Achievements</v>
      </c>
      <c r="U26" s="267">
        <v>24.0</v>
      </c>
      <c r="V26" s="265" t="s">
        <v>247</v>
      </c>
      <c r="W26" s="265">
        <v>1201718.0</v>
      </c>
      <c r="X26" s="267"/>
      <c r="Y26" s="267"/>
      <c r="Z26" s="264" t="s">
        <v>248</v>
      </c>
      <c r="AA26" s="272"/>
      <c r="AB26" s="272" t="str">
        <f t="shared" si="1"/>
        <v>HXRG_1201718_Multiple Choice.jpg</v>
      </c>
    </row>
    <row r="27" ht="15.75" customHeight="1">
      <c r="A27" s="264" t="s">
        <v>243</v>
      </c>
      <c r="B27" s="265" t="s">
        <v>244</v>
      </c>
      <c r="C27" s="265">
        <v>25.0</v>
      </c>
      <c r="D27" s="266">
        <v>1.0</v>
      </c>
      <c r="E27" s="265"/>
      <c r="F27" s="267"/>
      <c r="G27" s="265"/>
      <c r="H27" s="283" t="s">
        <v>380</v>
      </c>
      <c r="I27" s="265" t="s">
        <v>82</v>
      </c>
      <c r="J27" s="265" t="s">
        <v>83</v>
      </c>
      <c r="K27" s="284" t="s">
        <v>102</v>
      </c>
      <c r="L27" s="284" t="s">
        <v>197</v>
      </c>
      <c r="M27" s="264">
        <v>12.0</v>
      </c>
      <c r="N27" s="264" t="s">
        <v>85</v>
      </c>
      <c r="O27" s="271" t="str">
        <f>IFERROR(VLOOKUP(K27,'US History Framework Standards'!$A:$E,2,false),"")</f>
        <v>Social and Economic Change/ Domestic Issues (1945-present)</v>
      </c>
      <c r="P27" s="324" t="str">
        <f>IFERROR(__xludf.DUMMYFUNCTION("IFERROR(Index(SPLIT(#REF!,"".""),1,1))"),"")</f>
        <v/>
      </c>
      <c r="Q27" s="324" t="str">
        <f>IFERROR(__xludf.DUMMYFUNCTION("IFERROR(Index(SPLIT(#REF!,"".""),1,2))"),"")</f>
        <v/>
      </c>
      <c r="R27" s="324" t="str">
        <f>IFERROR(VLOOKUP(#REF!,'US History Framework Standards'!$A:$E,3,false),"")</f>
        <v/>
      </c>
      <c r="S27" s="324" t="str">
        <f>IFERROR(__xludf.DUMMYFUNCTION("IFERROR(Index(SPLIT(#REF!,"".""),1,3)&amp;Index(SPLIT(#REF!,"".""),1,4))"),"")</f>
        <v/>
      </c>
      <c r="T27" s="271" t="str">
        <f>iferror(VLOOKUP(L27,'US History Framework Standards'!$A:$E,2,false),"")</f>
        <v>Civil Rights Judicial &amp; Legislative Achievements</v>
      </c>
      <c r="U27" s="267">
        <v>25.0</v>
      </c>
      <c r="V27" s="265" t="s">
        <v>247</v>
      </c>
      <c r="W27" s="265">
        <v>1201718.0</v>
      </c>
      <c r="X27" s="267"/>
      <c r="Y27" s="267"/>
      <c r="Z27" s="264" t="s">
        <v>248</v>
      </c>
      <c r="AA27" s="272"/>
      <c r="AB27" s="272" t="str">
        <f t="shared" si="1"/>
        <v>HXRG_1201718_Multiple Choice.jpg</v>
      </c>
    </row>
    <row r="28" ht="15.75" customHeight="1">
      <c r="A28" s="273" t="s">
        <v>243</v>
      </c>
      <c r="B28" s="274" t="s">
        <v>244</v>
      </c>
      <c r="C28" s="274">
        <v>26.0</v>
      </c>
      <c r="D28" s="275">
        <v>2.0</v>
      </c>
      <c r="E28" s="274"/>
      <c r="F28" s="276"/>
      <c r="G28" s="274"/>
      <c r="H28" s="282" t="s">
        <v>381</v>
      </c>
      <c r="I28" s="274" t="s">
        <v>82</v>
      </c>
      <c r="J28" s="274" t="s">
        <v>87</v>
      </c>
      <c r="K28" s="279" t="s">
        <v>268</v>
      </c>
      <c r="L28" s="279" t="s">
        <v>187</v>
      </c>
      <c r="M28" s="273">
        <v>8.0</v>
      </c>
      <c r="N28" s="273" t="s">
        <v>85</v>
      </c>
      <c r="O28" s="280" t="str">
        <f>IFERROR(VLOOKUP(K28,'US History Framework Standards'!$A:$E,2,false),"")</f>
        <v>Cold War (1945-1990)</v>
      </c>
      <c r="P28" s="325" t="str">
        <f>IFERROR(__xludf.DUMMYFUNCTION("IFERROR(Index(SPLIT(#REF!,"".""),1,1))"),"")</f>
        <v/>
      </c>
      <c r="Q28" s="325" t="str">
        <f>IFERROR(__xludf.DUMMYFUNCTION("IFERROR(Index(SPLIT(#REF!,"".""),1,2))"),"")</f>
        <v/>
      </c>
      <c r="R28" s="325" t="str">
        <f>IFERROR(VLOOKUP(#REF!,'US History Framework Standards'!$A:$E,3,false),"")</f>
        <v/>
      </c>
      <c r="S28" s="325" t="str">
        <f>IFERROR(__xludf.DUMMYFUNCTION("IFERROR(Index(SPLIT(#REF!,"".""),1,3)&amp;Index(SPLIT(#REF!,"".""),1,4))"),"")</f>
        <v/>
      </c>
      <c r="T28" s="280" t="str">
        <f>iferror(VLOOKUP(L28,'US History Framework Standards'!$A:$E,2,false),"")</f>
        <v>Vietnam War</v>
      </c>
      <c r="U28" s="276">
        <v>26.0</v>
      </c>
      <c r="V28" s="274" t="s">
        <v>247</v>
      </c>
      <c r="W28" s="274">
        <v>1201718.0</v>
      </c>
      <c r="X28" s="276"/>
      <c r="Y28" s="276"/>
      <c r="Z28" s="273" t="s">
        <v>248</v>
      </c>
      <c r="AA28" s="281"/>
      <c r="AB28" s="281" t="str">
        <f t="shared" si="1"/>
        <v>HXRG_1201718_Multiple Choice.jpg</v>
      </c>
    </row>
    <row r="29" ht="15.75" customHeight="1">
      <c r="A29" s="264" t="s">
        <v>243</v>
      </c>
      <c r="B29" s="265" t="s">
        <v>244</v>
      </c>
      <c r="C29" s="265">
        <v>27.0</v>
      </c>
      <c r="D29" s="266">
        <v>3.0</v>
      </c>
      <c r="E29" s="265"/>
      <c r="F29" s="267"/>
      <c r="G29" s="265"/>
      <c r="H29" s="283" t="s">
        <v>382</v>
      </c>
      <c r="I29" s="265" t="s">
        <v>82</v>
      </c>
      <c r="J29" s="265" t="s">
        <v>83</v>
      </c>
      <c r="K29" s="284" t="s">
        <v>102</v>
      </c>
      <c r="L29" s="323" t="s">
        <v>148</v>
      </c>
      <c r="M29" s="264">
        <v>1.0</v>
      </c>
      <c r="N29" s="264" t="s">
        <v>85</v>
      </c>
      <c r="O29" s="271" t="str">
        <f>IFERROR(VLOOKUP(K29,'US History Framework Standards'!$A:$E,2,false),"")</f>
        <v>Social and Economic Change/ Domestic Issues (1945-present)</v>
      </c>
      <c r="P29" s="324" t="str">
        <f>IFERROR(__xludf.DUMMYFUNCTION("IFERROR(Index(SPLIT(#REF!,"".""),1,1))"),"")</f>
        <v/>
      </c>
      <c r="Q29" s="324" t="str">
        <f>IFERROR(__xludf.DUMMYFUNCTION("IFERROR(Index(SPLIT(#REF!,"".""),1,2))"),"")</f>
        <v/>
      </c>
      <c r="R29" s="324" t="str">
        <f>IFERROR(VLOOKUP(#REF!,'US History Framework Standards'!$A:$E,3,false),"")</f>
        <v/>
      </c>
      <c r="S29" s="324" t="str">
        <f>IFERROR(__xludf.DUMMYFUNCTION("IFERROR(Index(SPLIT(#REF!,"".""),1,3)&amp;Index(SPLIT(#REF!,"".""),1,4))"),"")</f>
        <v/>
      </c>
      <c r="T29" s="271" t="str">
        <f>iferror(VLOOKUP(L29,'US History Framework Standards'!$A:$E,2,false),"")</f>
        <v>Influential Documents of the Progressive Era</v>
      </c>
      <c r="U29" s="267">
        <v>27.0</v>
      </c>
      <c r="V29" s="265" t="s">
        <v>247</v>
      </c>
      <c r="W29" s="265">
        <v>1201718.0</v>
      </c>
      <c r="X29" s="267"/>
      <c r="Y29" s="267"/>
      <c r="Z29" s="264" t="s">
        <v>248</v>
      </c>
      <c r="AA29" s="272"/>
      <c r="AB29" s="272" t="str">
        <f t="shared" si="1"/>
        <v>HXRG_1201718_Multiple Choice.jpg</v>
      </c>
    </row>
    <row r="30" ht="15.75" customHeight="1">
      <c r="A30" s="287" t="s">
        <v>243</v>
      </c>
      <c r="B30" s="288" t="s">
        <v>244</v>
      </c>
      <c r="C30" s="288">
        <v>28.0</v>
      </c>
      <c r="D30" s="289">
        <v>4.0</v>
      </c>
      <c r="E30" s="288"/>
      <c r="F30" s="290"/>
      <c r="G30" s="288"/>
      <c r="H30" s="283" t="s">
        <v>382</v>
      </c>
      <c r="I30" s="288" t="s">
        <v>82</v>
      </c>
      <c r="J30" s="288" t="s">
        <v>83</v>
      </c>
      <c r="K30" s="292" t="s">
        <v>102</v>
      </c>
      <c r="L30" s="292" t="s">
        <v>201</v>
      </c>
      <c r="M30" s="287">
        <v>2.0</v>
      </c>
      <c r="N30" s="287" t="s">
        <v>89</v>
      </c>
      <c r="O30" s="293" t="str">
        <f>IFERROR(VLOOKUP(K30,'US History Framework Standards'!$A:$E,2,false),"")</f>
        <v>Social and Economic Change/ Domestic Issues (1945-present)</v>
      </c>
      <c r="P30" s="330" t="str">
        <f>IFERROR(__xludf.DUMMYFUNCTION("IFERROR(Index(SPLIT(#REF!,"".""),1,1))"),"")</f>
        <v/>
      </c>
      <c r="Q30" s="330" t="str">
        <f>IFERROR(__xludf.DUMMYFUNCTION("IFERROR(Index(SPLIT(#REF!,"".""),1,2))"),"")</f>
        <v/>
      </c>
      <c r="R30" s="330" t="str">
        <f>IFERROR(VLOOKUP(#REF!,'US History Framework Standards'!$A:$E,3,false),"")</f>
        <v/>
      </c>
      <c r="S30" s="330" t="str">
        <f>IFERROR(__xludf.DUMMYFUNCTION("IFERROR(Index(SPLIT(#REF!,"".""),1,3)&amp;Index(SPLIT(#REF!,"".""),1,4))"),"")</f>
        <v/>
      </c>
      <c r="T30" s="271" t="str">
        <f>iferror(VLOOKUP(L30,'US History Framework Standards'!$A:$E,2,false),"")</f>
        <v>Great Society vs Reaganomics</v>
      </c>
      <c r="U30" s="290">
        <v>28.0</v>
      </c>
      <c r="V30" s="288" t="s">
        <v>247</v>
      </c>
      <c r="W30" s="288">
        <v>1201718.0</v>
      </c>
      <c r="X30" s="290"/>
      <c r="Y30" s="290"/>
      <c r="Z30" s="287" t="s">
        <v>248</v>
      </c>
      <c r="AA30" s="294"/>
      <c r="AB30" s="294" t="str">
        <f t="shared" si="1"/>
        <v>HXRG_1201718_Multiple Choice.jpg</v>
      </c>
    </row>
    <row r="31" ht="15.75" customHeight="1">
      <c r="A31" s="331" t="s">
        <v>271</v>
      </c>
      <c r="B31" s="332" t="s">
        <v>272</v>
      </c>
      <c r="C31" s="332" t="s">
        <v>273</v>
      </c>
      <c r="D31" s="333"/>
      <c r="E31" s="332"/>
      <c r="F31" s="334"/>
      <c r="G31" s="332"/>
      <c r="H31" s="335" t="s">
        <v>383</v>
      </c>
      <c r="I31" s="332" t="s">
        <v>82</v>
      </c>
      <c r="J31" s="332" t="s">
        <v>83</v>
      </c>
      <c r="K31" s="279" t="s">
        <v>250</v>
      </c>
      <c r="L31" s="279" t="s">
        <v>112</v>
      </c>
      <c r="M31" s="331"/>
      <c r="N31" s="331" t="s">
        <v>85</v>
      </c>
      <c r="O31" s="280" t="str">
        <f>IFERROR(VLOOKUP(K31,'US History Framework Standards'!$A:$E,2,false),"")</f>
        <v>Constitutional Foundations (1763–1824)</v>
      </c>
      <c r="P31" s="336"/>
      <c r="Q31" s="336"/>
      <c r="R31" s="336"/>
      <c r="S31" s="336"/>
      <c r="T31" s="280" t="str">
        <f>iferror(VLOOKUP(L31,'US History Framework Standards'!$A:$E,2,false),"")</f>
        <v>President George Washington</v>
      </c>
      <c r="U31" s="334"/>
      <c r="V31" s="332"/>
      <c r="W31" s="332"/>
      <c r="X31" s="334"/>
      <c r="Y31" s="334"/>
      <c r="Z31" s="331"/>
      <c r="AA31" s="337"/>
      <c r="AB31" s="337"/>
    </row>
    <row r="32" ht="15.75" customHeight="1">
      <c r="A32" s="273" t="s">
        <v>275</v>
      </c>
      <c r="B32" s="274" t="s">
        <v>272</v>
      </c>
      <c r="C32" s="274" t="s">
        <v>276</v>
      </c>
      <c r="D32" s="275"/>
      <c r="E32" s="274"/>
      <c r="F32" s="276"/>
      <c r="G32" s="274"/>
      <c r="H32" s="282" t="s">
        <v>384</v>
      </c>
      <c r="I32" s="274" t="s">
        <v>82</v>
      </c>
      <c r="J32" s="274" t="s">
        <v>83</v>
      </c>
      <c r="K32" s="279" t="s">
        <v>254</v>
      </c>
      <c r="L32" s="279" t="s">
        <v>120</v>
      </c>
      <c r="M32" s="273"/>
      <c r="N32" s="273" t="s">
        <v>85</v>
      </c>
      <c r="O32" s="280" t="str">
        <f>IFERROR(VLOOKUP(K32,'US History Framework Standards'!$A:$E,2,false),"")</f>
        <v>Expansion, Nationalism, and Sectionalism (1800-1865)</v>
      </c>
      <c r="P32" s="325" t="str">
        <f>IFERROR(__xludf.DUMMYFUNCTION("IFERROR(Index(SPLIT(#REF!,"".""),1,1))"),"")</f>
        <v/>
      </c>
      <c r="Q32" s="325" t="str">
        <f>IFERROR(__xludf.DUMMYFUNCTION("IFERROR(Index(SPLIT(#REF!,"".""),1,2))"),"")</f>
        <v/>
      </c>
      <c r="R32" s="325" t="str">
        <f>IFERROR(VLOOKUP(#REF!,'US History Framework Standards'!$A:$E,3,false),"")</f>
        <v/>
      </c>
      <c r="S32" s="325" t="str">
        <f>IFERROR(__xludf.DUMMYFUNCTION("IFERROR(Index(SPLIT(#REF!,"".""),1,3)&amp;Index(SPLIT(#REF!,"".""),1,4))"),"")</f>
        <v/>
      </c>
      <c r="T32" s="280" t="str">
        <f>iferror(VLOOKUP(L32,'US History Framework Standards'!$A:$E,2,false),"")</f>
        <v>American Nationalism</v>
      </c>
      <c r="U32" s="276">
        <v>29.0</v>
      </c>
      <c r="V32" s="274" t="s">
        <v>247</v>
      </c>
      <c r="W32" s="274">
        <v>1201718.0</v>
      </c>
      <c r="X32" s="276"/>
      <c r="Y32" s="276"/>
      <c r="Z32" s="273" t="s">
        <v>248</v>
      </c>
      <c r="AA32" s="281"/>
      <c r="AB32" s="281" t="str">
        <f t="shared" ref="AB32:AB33" si="2">V32&amp;"_"&amp;W32&amp;"_"&amp;A32&amp;".jpg"</f>
        <v>HXRG_1201718_Doc.jpg</v>
      </c>
    </row>
    <row r="33" ht="15.75" customHeight="1">
      <c r="A33" s="264" t="s">
        <v>275</v>
      </c>
      <c r="B33" s="265" t="s">
        <v>272</v>
      </c>
      <c r="C33" s="265" t="s">
        <v>278</v>
      </c>
      <c r="D33" s="266"/>
      <c r="E33" s="265"/>
      <c r="F33" s="267"/>
      <c r="G33" s="265"/>
      <c r="H33" s="286" t="s">
        <v>385</v>
      </c>
      <c r="I33" s="265" t="s">
        <v>82</v>
      </c>
      <c r="J33" s="265" t="s">
        <v>87</v>
      </c>
      <c r="K33" s="284" t="s">
        <v>258</v>
      </c>
      <c r="L33" s="284" t="s">
        <v>141</v>
      </c>
      <c r="M33" s="264"/>
      <c r="N33" s="264" t="s">
        <v>85</v>
      </c>
      <c r="O33" s="271" t="str">
        <f>IFERROR(VLOOKUP(K33,'US History Framework Standards'!$A:$E,2,false),"")</f>
        <v>Industrialization and Urbanization (1870-1920)</v>
      </c>
      <c r="P33" s="324" t="str">
        <f>IFERROR(__xludf.DUMMYFUNCTION("IFERROR(Index(SPLIT(#REF!,"".""),1,1))"),"")</f>
        <v/>
      </c>
      <c r="Q33" s="324" t="str">
        <f>IFERROR(__xludf.DUMMYFUNCTION("IFERROR(Index(SPLIT(#REF!,"".""),1,2))"),"")</f>
        <v/>
      </c>
      <c r="R33" s="324" t="str">
        <f>IFERROR(VLOOKUP(#REF!,'US History Framework Standards'!$A:$E,3,false),"")</f>
        <v/>
      </c>
      <c r="S33" s="324" t="str">
        <f>IFERROR(__xludf.DUMMYFUNCTION("IFERROR(Index(SPLIT(#REF!,"".""),1,3)&amp;Index(SPLIT(#REF!,"".""),1,4))"),"")</f>
        <v/>
      </c>
      <c r="T33" s="271" t="str">
        <f>iferror(VLOOKUP(L33,'US History Framework Standards'!$A:$E,2,false),"")</f>
        <v>Regulation vs Monopolies</v>
      </c>
      <c r="U33" s="267">
        <v>30.0</v>
      </c>
      <c r="V33" s="265" t="s">
        <v>247</v>
      </c>
      <c r="W33" s="265">
        <v>1201718.0</v>
      </c>
      <c r="X33" s="267"/>
      <c r="Y33" s="267"/>
      <c r="Z33" s="264" t="s">
        <v>248</v>
      </c>
      <c r="AA33" s="272"/>
      <c r="AB33" s="272" t="str">
        <f t="shared" si="2"/>
        <v>HXRG_1201718_Doc.jpg</v>
      </c>
    </row>
    <row r="34" ht="15.75" customHeight="1">
      <c r="A34" s="287" t="s">
        <v>271</v>
      </c>
      <c r="B34" s="288" t="s">
        <v>272</v>
      </c>
      <c r="C34" s="288" t="s">
        <v>280</v>
      </c>
      <c r="D34" s="290"/>
      <c r="E34" s="288"/>
      <c r="F34" s="290"/>
      <c r="G34" s="288"/>
      <c r="H34" s="338" t="s">
        <v>386</v>
      </c>
      <c r="I34" s="288" t="s">
        <v>82</v>
      </c>
      <c r="J34" s="288" t="s">
        <v>83</v>
      </c>
      <c r="K34" s="292" t="s">
        <v>258</v>
      </c>
      <c r="L34" s="284" t="s">
        <v>148</v>
      </c>
      <c r="M34" s="287"/>
      <c r="N34" s="287" t="s">
        <v>85</v>
      </c>
      <c r="O34" s="293" t="str">
        <f>IFERROR(VLOOKUP(K34,'US History Framework Standards'!$A:$E,2,false),"")</f>
        <v>Industrialization and Urbanization (1870-1920)</v>
      </c>
      <c r="P34" s="330"/>
      <c r="Q34" s="330"/>
      <c r="R34" s="330"/>
      <c r="S34" s="330"/>
      <c r="T34" s="271" t="str">
        <f>iferror(VLOOKUP(L34,'US History Framework Standards'!$A:$E,2,false),"")</f>
        <v>Influential Documents of the Progressive Era</v>
      </c>
      <c r="U34" s="290"/>
      <c r="V34" s="288"/>
      <c r="W34" s="288"/>
      <c r="X34" s="290"/>
      <c r="Y34" s="290"/>
      <c r="Z34" s="287"/>
      <c r="AA34" s="294"/>
      <c r="AB34" s="294"/>
    </row>
    <row r="35" ht="15.75" customHeight="1">
      <c r="A35" s="331" t="s">
        <v>275</v>
      </c>
      <c r="B35" s="332" t="s">
        <v>282</v>
      </c>
      <c r="C35" s="332">
        <v>31.0</v>
      </c>
      <c r="D35" s="334"/>
      <c r="E35" s="332"/>
      <c r="F35" s="334"/>
      <c r="G35" s="332"/>
      <c r="H35" s="335" t="s">
        <v>387</v>
      </c>
      <c r="I35" s="332" t="s">
        <v>86</v>
      </c>
      <c r="J35" s="332" t="s">
        <v>83</v>
      </c>
      <c r="K35" s="339" t="s">
        <v>256</v>
      </c>
      <c r="L35" s="339" t="s">
        <v>131</v>
      </c>
      <c r="M35" s="331">
        <v>9.0</v>
      </c>
      <c r="N35" s="331" t="s">
        <v>89</v>
      </c>
      <c r="O35" s="340" t="str">
        <f>IFERROR(VLOOKUP(K35,'US History Framework Standards'!$A:$E,2,false),"")</f>
        <v>Post-Civil War Era (1865-1900)</v>
      </c>
      <c r="P35" s="336" t="str">
        <f>IFERROR(__xludf.DUMMYFUNCTION("IFERROR(Index(SPLIT(#REF!,"".""),1,1))"),"")</f>
        <v/>
      </c>
      <c r="Q35" s="336" t="str">
        <f>IFERROR(__xludf.DUMMYFUNCTION("IFERROR(Index(SPLIT(#REF!,"".""),1,2))"),"")</f>
        <v/>
      </c>
      <c r="R35" s="336" t="str">
        <f>IFERROR(VLOOKUP(#REF!,'US History Framework Standards'!$A:$E,3,false),"")</f>
        <v/>
      </c>
      <c r="S35" s="336" t="str">
        <f>IFERROR(__xludf.DUMMYFUNCTION("IFERROR(Index(SPLIT(#REF!,"".""),1,3)&amp;Index(SPLIT(#REF!,"".""),1,4))"),"")</f>
        <v/>
      </c>
      <c r="T35" s="280" t="str">
        <f>iferror(VLOOKUP(L35,'US History Framework Standards'!$A:$E,2,false),"")</f>
        <v>Limiting of Black Rights</v>
      </c>
      <c r="U35" s="334">
        <v>31.0</v>
      </c>
      <c r="V35" s="332" t="s">
        <v>247</v>
      </c>
      <c r="W35" s="332">
        <v>1201718.0</v>
      </c>
      <c r="X35" s="334"/>
      <c r="Y35" s="334"/>
      <c r="Z35" s="331" t="s">
        <v>248</v>
      </c>
      <c r="AA35" s="337"/>
      <c r="AB35" s="337" t="str">
        <f t="shared" ref="AB35:AB39" si="3">V35&amp;"_"&amp;W35&amp;"_"&amp;A35&amp;".jpg"</f>
        <v>HXRG_1201718_Doc.jpg</v>
      </c>
    </row>
    <row r="36" ht="15.75" customHeight="1">
      <c r="A36" s="287" t="s">
        <v>275</v>
      </c>
      <c r="B36" s="265" t="s">
        <v>282</v>
      </c>
      <c r="C36" s="265">
        <v>32.0</v>
      </c>
      <c r="D36" s="267"/>
      <c r="E36" s="265"/>
      <c r="F36" s="267"/>
      <c r="G36" s="265"/>
      <c r="H36" s="283" t="s">
        <v>388</v>
      </c>
      <c r="I36" s="265" t="s">
        <v>82</v>
      </c>
      <c r="J36" s="265" t="s">
        <v>83</v>
      </c>
      <c r="K36" s="284" t="s">
        <v>256</v>
      </c>
      <c r="L36" s="284" t="s">
        <v>131</v>
      </c>
      <c r="M36" s="264">
        <v>14.0</v>
      </c>
      <c r="N36" s="264" t="s">
        <v>89</v>
      </c>
      <c r="O36" s="271" t="str">
        <f>IFERROR(VLOOKUP(K36,'US History Framework Standards'!$A:$E,2,false),"")</f>
        <v>Post-Civil War Era (1865-1900)</v>
      </c>
      <c r="P36" s="324" t="str">
        <f>IFERROR(__xludf.DUMMYFUNCTION("IFERROR(Index(SPLIT(#REF!,"".""),1,1))"),"")</f>
        <v/>
      </c>
      <c r="Q36" s="324" t="str">
        <f>IFERROR(__xludf.DUMMYFUNCTION("IFERROR(Index(SPLIT(#REF!,"".""),1,2))"),"")</f>
        <v/>
      </c>
      <c r="R36" s="324" t="str">
        <f>IFERROR(VLOOKUP(#REF!,'US History Framework Standards'!$A:$E,3,false),"")</f>
        <v/>
      </c>
      <c r="S36" s="324" t="str">
        <f>IFERROR(__xludf.DUMMYFUNCTION("IFERROR(Index(SPLIT(#REF!,"".""),1,3)&amp;Index(SPLIT(#REF!,"".""),1,4))"),"")</f>
        <v/>
      </c>
      <c r="T36" s="271" t="str">
        <f>iferror(VLOOKUP(L36,'US History Framework Standards'!$A:$E,2,false),"")</f>
        <v>Limiting of Black Rights</v>
      </c>
      <c r="U36" s="290">
        <v>32.0</v>
      </c>
      <c r="V36" s="288" t="s">
        <v>247</v>
      </c>
      <c r="W36" s="288">
        <v>1201718.0</v>
      </c>
      <c r="X36" s="290"/>
      <c r="Y36" s="290"/>
      <c r="Z36" s="287" t="s">
        <v>248</v>
      </c>
      <c r="AA36" s="294"/>
      <c r="AB36" s="294" t="str">
        <f t="shared" si="3"/>
        <v>HXRG_1201718_Doc.jpg</v>
      </c>
    </row>
    <row r="37" ht="15.75" customHeight="1">
      <c r="A37" s="331" t="s">
        <v>285</v>
      </c>
      <c r="B37" s="274" t="s">
        <v>282</v>
      </c>
      <c r="C37" s="274">
        <v>33.0</v>
      </c>
      <c r="D37" s="276"/>
      <c r="E37" s="274"/>
      <c r="F37" s="276"/>
      <c r="G37" s="274"/>
      <c r="H37" s="282" t="s">
        <v>389</v>
      </c>
      <c r="I37" s="274" t="s">
        <v>82</v>
      </c>
      <c r="J37" s="274" t="s">
        <v>83</v>
      </c>
      <c r="K37" s="279" t="s">
        <v>102</v>
      </c>
      <c r="L37" s="279" t="s">
        <v>196</v>
      </c>
      <c r="M37" s="273">
        <v>17.0</v>
      </c>
      <c r="N37" s="273" t="s">
        <v>89</v>
      </c>
      <c r="O37" s="280" t="str">
        <f>IFERROR(VLOOKUP(K37,'US History Framework Standards'!$A:$E,2,false),"")</f>
        <v>Social and Economic Change/ Domestic Issues (1945-present)</v>
      </c>
      <c r="P37" s="325" t="str">
        <f>IFERROR(__xludf.DUMMYFUNCTION("IFERROR(Index(SPLIT(#REF!,"".""),1,1))"),"")</f>
        <v/>
      </c>
      <c r="Q37" s="325" t="str">
        <f>IFERROR(__xludf.DUMMYFUNCTION("IFERROR(Index(SPLIT(#REF!,"".""),1,2))"),"")</f>
        <v/>
      </c>
      <c r="R37" s="325" t="str">
        <f>IFERROR(VLOOKUP(#REF!,'US History Framework Standards'!$A:$E,3,false),"")</f>
        <v/>
      </c>
      <c r="S37" s="325" t="str">
        <f>IFERROR(__xludf.DUMMYFUNCTION("IFERROR(Index(SPLIT(#REF!,"".""),1,3)&amp;Index(SPLIT(#REF!,"".""),1,4))"),"")</f>
        <v/>
      </c>
      <c r="T37" s="280" t="str">
        <f>iferror(VLOOKUP(L37,'US History Framework Standards'!$A:$E,2,false),"")</f>
        <v>Civil Rights Groups &amp; Tactics</v>
      </c>
      <c r="U37" s="334">
        <v>33.0</v>
      </c>
      <c r="V37" s="332" t="s">
        <v>247</v>
      </c>
      <c r="W37" s="332">
        <v>1201718.0</v>
      </c>
      <c r="X37" s="334"/>
      <c r="Y37" s="334"/>
      <c r="Z37" s="331" t="s">
        <v>248</v>
      </c>
      <c r="AA37" s="337"/>
      <c r="AB37" s="337" t="str">
        <f t="shared" si="3"/>
        <v>HXRG_1201718_DBQ.jpg</v>
      </c>
    </row>
    <row r="38" ht="15.75" customHeight="1">
      <c r="A38" s="264" t="s">
        <v>285</v>
      </c>
      <c r="B38" s="265" t="s">
        <v>282</v>
      </c>
      <c r="C38" s="265">
        <v>34.0</v>
      </c>
      <c r="D38" s="267"/>
      <c r="E38" s="265"/>
      <c r="F38" s="267"/>
      <c r="G38" s="265"/>
      <c r="H38" s="341" t="s">
        <v>390</v>
      </c>
      <c r="I38" s="265" t="s">
        <v>86</v>
      </c>
      <c r="J38" s="265" t="s">
        <v>83</v>
      </c>
      <c r="K38" s="284" t="s">
        <v>102</v>
      </c>
      <c r="L38" s="284" t="s">
        <v>197</v>
      </c>
      <c r="M38" s="264">
        <v>18.0</v>
      </c>
      <c r="N38" s="264" t="s">
        <v>89</v>
      </c>
      <c r="O38" s="271" t="str">
        <f>IFERROR(VLOOKUP(K38,'US History Framework Standards'!$A:$E,2,false),"")</f>
        <v>Social and Economic Change/ Domestic Issues (1945-present)</v>
      </c>
      <c r="P38" s="324" t="str">
        <f>IFERROR(__xludf.DUMMYFUNCTION("IFERROR(Index(SPLIT(#REF!,"".""),1,1))"),"")</f>
        <v/>
      </c>
      <c r="Q38" s="324" t="str">
        <f>IFERROR(__xludf.DUMMYFUNCTION("IFERROR(Index(SPLIT(#REF!,"".""),1,2))"),"")</f>
        <v/>
      </c>
      <c r="R38" s="324" t="str">
        <f>IFERROR(VLOOKUP(#REF!,'US History Framework Standards'!$A:$E,3,false),"")</f>
        <v/>
      </c>
      <c r="S38" s="324" t="str">
        <f>IFERROR(__xludf.DUMMYFUNCTION("IFERROR(Index(SPLIT(#REF!,"".""),1,3)&amp;Index(SPLIT(#REF!,"".""),1,4))"),"")</f>
        <v/>
      </c>
      <c r="T38" s="271" t="str">
        <f>iferror(VLOOKUP(L38,'US History Framework Standards'!$A:$E,2,false),"")</f>
        <v>Civil Rights Judicial &amp; Legislative Achievements</v>
      </c>
      <c r="U38" s="267">
        <v>34.0</v>
      </c>
      <c r="V38" s="265" t="s">
        <v>247</v>
      </c>
      <c r="W38" s="265">
        <v>1201718.0</v>
      </c>
      <c r="X38" s="267"/>
      <c r="Y38" s="267"/>
      <c r="Z38" s="264" t="s">
        <v>248</v>
      </c>
      <c r="AA38" s="272"/>
      <c r="AB38" s="272" t="str">
        <f t="shared" si="3"/>
        <v>HXRG_1201718_DBQ.jpg</v>
      </c>
    </row>
    <row r="39" ht="15.75" customHeight="1">
      <c r="A39" s="273" t="s">
        <v>285</v>
      </c>
      <c r="B39" s="274" t="s">
        <v>282</v>
      </c>
      <c r="C39" s="274">
        <v>35.0</v>
      </c>
      <c r="D39" s="276"/>
      <c r="E39" s="274"/>
      <c r="F39" s="276"/>
      <c r="G39" s="274"/>
      <c r="H39" s="277" t="s">
        <v>391</v>
      </c>
      <c r="I39" s="274" t="s">
        <v>82</v>
      </c>
      <c r="J39" s="274" t="s">
        <v>91</v>
      </c>
      <c r="K39" s="279" t="s">
        <v>102</v>
      </c>
      <c r="L39" s="279" t="s">
        <v>197</v>
      </c>
      <c r="M39" s="273">
        <v>8.0</v>
      </c>
      <c r="N39" s="273" t="s">
        <v>89</v>
      </c>
      <c r="O39" s="280" t="str">
        <f>IFERROR(VLOOKUP(K39,'US History Framework Standards'!$A:$E,2,false),"")</f>
        <v>Social and Economic Change/ Domestic Issues (1945-present)</v>
      </c>
      <c r="P39" s="325" t="str">
        <f>IFERROR(__xludf.DUMMYFUNCTION("IFERROR(Index(SPLIT(#REF!,"".""),1,1))"),"")</f>
        <v/>
      </c>
      <c r="Q39" s="325" t="str">
        <f>IFERROR(__xludf.DUMMYFUNCTION("IFERROR(Index(SPLIT(#REF!,"".""),1,2))"),"")</f>
        <v/>
      </c>
      <c r="R39" s="325" t="str">
        <f>IFERROR(VLOOKUP(#REF!,'US History Framework Standards'!$A:$E,3,false),"")</f>
        <v/>
      </c>
      <c r="S39" s="325" t="str">
        <f>IFERROR(__xludf.DUMMYFUNCTION("IFERROR(Index(SPLIT(#REF!,"".""),1,3)&amp;Index(SPLIT(#REF!,"".""),1,4))"),"")</f>
        <v/>
      </c>
      <c r="T39" s="280" t="str">
        <f>iferror(VLOOKUP(L39,'US History Framework Standards'!$A:$E,2,false),"")</f>
        <v>Civil Rights Judicial &amp; Legislative Achievements</v>
      </c>
      <c r="U39" s="276">
        <v>51.0</v>
      </c>
      <c r="V39" s="274" t="s">
        <v>247</v>
      </c>
      <c r="W39" s="274">
        <v>1201718.0</v>
      </c>
      <c r="X39" s="276"/>
      <c r="Y39" s="276"/>
      <c r="Z39" s="273" t="s">
        <v>248</v>
      </c>
      <c r="AA39" s="281"/>
      <c r="AB39" s="281" t="str">
        <f t="shared" si="3"/>
        <v>HXRG_1201718_DBQ.jpg</v>
      </c>
    </row>
    <row r="40" ht="15.75" customHeight="1">
      <c r="A40" s="264" t="s">
        <v>285</v>
      </c>
      <c r="B40" s="265" t="s">
        <v>282</v>
      </c>
      <c r="C40" s="265" t="s">
        <v>392</v>
      </c>
      <c r="D40" s="267"/>
      <c r="E40" s="265"/>
      <c r="F40" s="267"/>
      <c r="G40" s="265"/>
      <c r="H40" s="283" t="s">
        <v>393</v>
      </c>
      <c r="I40" s="265" t="s">
        <v>82</v>
      </c>
      <c r="J40" s="265" t="s">
        <v>83</v>
      </c>
      <c r="K40" s="284" t="s">
        <v>102</v>
      </c>
      <c r="L40" s="284" t="s">
        <v>197</v>
      </c>
      <c r="M40" s="264"/>
      <c r="N40" s="264"/>
      <c r="O40" s="271" t="str">
        <f>IFERROR(VLOOKUP(K40,'US History Framework Standards'!$A:$E,2,false),"")</f>
        <v>Social and Economic Change/ Domestic Issues (1945-present)</v>
      </c>
      <c r="P40" s="324" t="str">
        <f>IFERROR(__xludf.DUMMYFUNCTION("IFERROR(Index(SPLIT(#REF!,"".""),1,1))"),"")</f>
        <v/>
      </c>
      <c r="Q40" s="324" t="str">
        <f>IFERROR(__xludf.DUMMYFUNCTION("IFERROR(Index(SPLIT(#REF!,"".""),1,2))"),"")</f>
        <v/>
      </c>
      <c r="R40" s="324" t="str">
        <f>IFERROR(VLOOKUP(#REF!,'US History Framework Standards'!$A:$E,3,false),"")</f>
        <v/>
      </c>
      <c r="S40" s="324" t="str">
        <f>IFERROR(__xludf.DUMMYFUNCTION("IFERROR(Index(SPLIT(#REF!,"".""),1,3)&amp;Index(SPLIT(#REF!,"".""),1,4))"),"")</f>
        <v/>
      </c>
      <c r="T40" s="271" t="str">
        <f>iferror(VLOOKUP(L40,'US History Framework Standards'!$A:$E,2,false),"")</f>
        <v>Civil Rights Judicial &amp; Legislative Achievements</v>
      </c>
      <c r="U40" s="267"/>
      <c r="V40" s="265"/>
      <c r="W40" s="265"/>
      <c r="X40" s="267"/>
      <c r="Y40" s="267"/>
      <c r="Z40" s="264"/>
      <c r="AA40" s="272"/>
      <c r="AB40" s="272"/>
    </row>
    <row r="41" ht="15.75" customHeight="1">
      <c r="A41" s="273" t="s">
        <v>285</v>
      </c>
      <c r="B41" s="274" t="s">
        <v>282</v>
      </c>
      <c r="C41" s="274" t="s">
        <v>394</v>
      </c>
      <c r="D41" s="276"/>
      <c r="E41" s="274"/>
      <c r="F41" s="276"/>
      <c r="G41" s="274"/>
      <c r="H41" s="282" t="s">
        <v>395</v>
      </c>
      <c r="I41" s="274" t="s">
        <v>86</v>
      </c>
      <c r="J41" s="274" t="s">
        <v>94</v>
      </c>
      <c r="K41" s="279"/>
      <c r="L41" s="279"/>
      <c r="M41" s="273">
        <v>18.0</v>
      </c>
      <c r="N41" s="273" t="s">
        <v>85</v>
      </c>
      <c r="O41" s="280" t="str">
        <f>IFERROR(VLOOKUP(K41,'US History Framework Standards'!$A:$E,2,false),"")</f>
        <v/>
      </c>
      <c r="P41" s="325" t="str">
        <f>IFERROR(__xludf.DUMMYFUNCTION("IFERROR(Index(SPLIT(#REF!,"".""),1,1))"),"")</f>
        <v/>
      </c>
      <c r="Q41" s="325" t="str">
        <f>IFERROR(__xludf.DUMMYFUNCTION("IFERROR(Index(SPLIT(#REF!,"".""),1,2))"),"")</f>
        <v/>
      </c>
      <c r="R41" s="325" t="str">
        <f>IFERROR(VLOOKUP(#REF!,'US History Framework Standards'!$A:$E,3,false),"")</f>
        <v/>
      </c>
      <c r="S41" s="325" t="str">
        <f>IFERROR(__xludf.DUMMYFUNCTION("IFERROR(Index(SPLIT(#REF!,"".""),1,3)&amp;Index(SPLIT(#REF!,"".""),1,4))"),"")</f>
        <v/>
      </c>
      <c r="T41" s="280" t="str">
        <f>iferror(VLOOKUP(L41,'US History Framework Standards'!$A:$E,2,false),"")</f>
        <v/>
      </c>
      <c r="U41" s="276"/>
      <c r="V41" s="274"/>
      <c r="W41" s="274"/>
      <c r="X41" s="276"/>
      <c r="Y41" s="276"/>
      <c r="Z41" s="273"/>
      <c r="AA41" s="281"/>
      <c r="AB41" s="281"/>
    </row>
    <row r="42" ht="15.75" customHeight="1">
      <c r="A42" s="264" t="s">
        <v>285</v>
      </c>
      <c r="B42" s="265" t="s">
        <v>282</v>
      </c>
      <c r="C42" s="265">
        <v>37.0</v>
      </c>
      <c r="D42" s="267"/>
      <c r="E42" s="265"/>
      <c r="F42" s="267"/>
      <c r="G42" s="265"/>
      <c r="H42" s="286"/>
      <c r="I42" s="265"/>
      <c r="J42" s="265"/>
      <c r="K42" s="284"/>
      <c r="L42" s="284"/>
      <c r="M42" s="264"/>
      <c r="N42" s="264"/>
      <c r="O42" s="271" t="str">
        <f>IFERROR(VLOOKUP(K42,'US History Framework Standards'!$A:$E,2,false),"")</f>
        <v/>
      </c>
      <c r="P42" s="324" t="str">
        <f>IFERROR(__xludf.DUMMYFUNCTION("IFERROR(Index(SPLIT(#REF!,"".""),1,1))"),"")</f>
        <v/>
      </c>
      <c r="Q42" s="324" t="str">
        <f>IFERROR(__xludf.DUMMYFUNCTION("IFERROR(Index(SPLIT(#REF!,"".""),1,2))"),"")</f>
        <v/>
      </c>
      <c r="R42" s="324" t="str">
        <f>IFERROR(VLOOKUP(#REF!,'US History Framework Standards'!$A:$E,3,false),"")</f>
        <v/>
      </c>
      <c r="S42" s="324" t="str">
        <f>IFERROR(__xludf.DUMMYFUNCTION("IFERROR(Index(SPLIT(#REF!,"".""),1,3)&amp;Index(SPLIT(#REF!,"".""),1,4))"),"")</f>
        <v/>
      </c>
      <c r="T42" s="271" t="str">
        <f>iferror(VLOOKUP(L42,'US History Framework Standards'!$A:$E,5,false),"")</f>
        <v/>
      </c>
      <c r="U42" s="267"/>
      <c r="V42" s="265"/>
      <c r="W42" s="265"/>
      <c r="X42" s="267"/>
      <c r="Y42" s="267"/>
      <c r="Z42" s="264"/>
      <c r="AA42" s="272"/>
      <c r="AB42" s="272"/>
    </row>
  </sheetData>
  <mergeCells count="3">
    <mergeCell ref="H1:K1"/>
    <mergeCell ref="L1:N1"/>
    <mergeCell ref="O1:T1"/>
  </mergeCells>
  <dataValidations>
    <dataValidation type="list" allowBlank="1" sqref="M3:M42">
      <formula1>'Analysis All Exams'!$M$5:$M$22</formula1>
    </dataValidation>
    <dataValidation type="list" allowBlank="1" sqref="G3:G42">
      <formula1>"Stimulus-Based Multiple Choice,Constructed Response Questions,Enduring Issues Essay"</formula1>
    </dataValidation>
    <dataValidation type="list" allowBlank="1" sqref="I3:I42">
      <formula1>'Analysis All Exams'!$A$5:$A$7</formula1>
    </dataValidation>
    <dataValidation type="list" allowBlank="1" sqref="B3:B42">
      <formula1>"Part I,Part II,Part III"</formula1>
    </dataValidation>
    <dataValidation type="list" allowBlank="1" sqref="J3:J42">
      <formula1>'Analysis All Exams'!$D$5:$D$9</formula1>
    </dataValidation>
    <dataValidation type="list" allowBlank="1" sqref="K3:L42">
      <formula1>'US History Framework Standards'!$A:$A</formula1>
    </dataValidation>
    <dataValidation type="list" allowBlank="1" sqref="N3:N42">
      <formula1>"Yes,No"</formula1>
    </dataValidation>
  </dataValidations>
  <hyperlinks>
    <hyperlink r:id="rId1" ref="M2"/>
    <hyperlink r:id="rId2" ref="O2"/>
    <hyperlink r:id="rId3" ref="T2"/>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396</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COUNTIF('Itemization 202308'!I:I,A5)</f>
        <v>26</v>
      </c>
      <c r="C5" s="49">
        <f>(B5/B8)</f>
        <v>0.6842105263</v>
      </c>
      <c r="D5" s="47" t="s">
        <v>83</v>
      </c>
      <c r="E5" s="48">
        <f>COUNTIF('Itemization 202308'!J:J,D5)</f>
        <v>26</v>
      </c>
      <c r="F5" s="49">
        <f>(E5/E10)</f>
        <v>0.6842105263</v>
      </c>
      <c r="G5" s="125">
        <v>11.01</v>
      </c>
      <c r="H5" s="54">
        <f>COUNTIF('Itemization 202308'!K:K,G5)</f>
        <v>0</v>
      </c>
      <c r="I5" s="55">
        <f>(H5/H16)</f>
        <v>0</v>
      </c>
      <c r="J5" s="342" t="s">
        <v>84</v>
      </c>
      <c r="K5" s="343">
        <f>COUNTIF('Itemization 202308'!L:L,J5)</f>
        <v>0</v>
      </c>
      <c r="L5" s="344">
        <f>(K5/K116)</f>
        <v>0</v>
      </c>
      <c r="M5" s="144">
        <v>1.0</v>
      </c>
      <c r="N5" s="114">
        <f>countif('Itemization 202308'!$M$3:$M$42,M5)</f>
        <v>2</v>
      </c>
      <c r="O5" s="145">
        <f>(N5/N23)</f>
        <v>0.05882352941</v>
      </c>
      <c r="P5" s="47" t="s">
        <v>85</v>
      </c>
      <c r="Q5" s="48">
        <f>countif('Itemization 202308'!N3:N42,P5)</f>
        <v>22</v>
      </c>
      <c r="R5" s="59">
        <f>(Q5/Q7)</f>
        <v>0.5789473684</v>
      </c>
    </row>
    <row r="6" ht="15.75" customHeight="1">
      <c r="A6" s="60" t="s">
        <v>86</v>
      </c>
      <c r="B6" s="61">
        <f>COUNTIF('Itemization 202308'!I:I,A6)</f>
        <v>11</v>
      </c>
      <c r="C6" s="62">
        <f>(B6/B8)</f>
        <v>0.2894736842</v>
      </c>
      <c r="D6" s="56" t="s">
        <v>87</v>
      </c>
      <c r="E6" s="57">
        <f>COUNTIF('Itemization 202308'!J:J,D6)</f>
        <v>4</v>
      </c>
      <c r="F6" s="58">
        <f>(E6/E10)</f>
        <v>0.1052631579</v>
      </c>
      <c r="G6" s="47">
        <v>11.02</v>
      </c>
      <c r="H6" s="48">
        <f>COUNTIF('Itemization 202308'!K:K,G6)</f>
        <v>6</v>
      </c>
      <c r="I6" s="49">
        <f>(H6/H16)</f>
        <v>0.1621621622</v>
      </c>
      <c r="J6" s="121" t="s">
        <v>88</v>
      </c>
      <c r="K6" s="54">
        <f>COUNTIF('Itemization 202308'!L:L,J6)</f>
        <v>0</v>
      </c>
      <c r="L6" s="55">
        <f>(K6/K116)</f>
        <v>0</v>
      </c>
      <c r="M6" s="144">
        <v>2.0</v>
      </c>
      <c r="N6" s="114">
        <f>countif('Itemization 202308'!$M$3:$M$42,M6)</f>
        <v>2</v>
      </c>
      <c r="O6" s="145">
        <f>(N6/N23)</f>
        <v>0.05882352941</v>
      </c>
      <c r="P6" s="64" t="s">
        <v>89</v>
      </c>
      <c r="Q6" s="61">
        <f>countif('Itemization 202308'!N3:N42,P6)</f>
        <v>16</v>
      </c>
      <c r="R6" s="65">
        <f>(Q6/Q7)</f>
        <v>0.4210526316</v>
      </c>
    </row>
    <row r="7" ht="15.75" customHeight="1">
      <c r="A7" s="66" t="s">
        <v>90</v>
      </c>
      <c r="B7" s="57">
        <f>COUNTIF('Itemization 202308'!I:I,A7)</f>
        <v>1</v>
      </c>
      <c r="C7" s="67">
        <f>(B7/B8)</f>
        <v>0.02631578947</v>
      </c>
      <c r="D7" s="125" t="s">
        <v>91</v>
      </c>
      <c r="E7" s="54">
        <f>COUNTIF('Itemization 202308'!J:J,D7)</f>
        <v>0</v>
      </c>
      <c r="F7" s="55">
        <f>(E7/E10)</f>
        <v>0</v>
      </c>
      <c r="G7" s="47">
        <v>11.03</v>
      </c>
      <c r="H7" s="48">
        <f>COUNTIF('Itemization 202308'!K:K,G7)</f>
        <v>6</v>
      </c>
      <c r="I7" s="49">
        <f>(H7/H16)</f>
        <v>0.1621621622</v>
      </c>
      <c r="J7" s="121" t="s">
        <v>92</v>
      </c>
      <c r="K7" s="54">
        <f>COUNTIF('Itemization 202308'!L:L,J7)</f>
        <v>0</v>
      </c>
      <c r="L7" s="55">
        <f>(K7/K116)</f>
        <v>0</v>
      </c>
      <c r="M7" s="144">
        <v>3.0</v>
      </c>
      <c r="N7" s="114">
        <f>countif('Itemization 202308'!$M$3:$M$42,M7)</f>
        <v>3</v>
      </c>
      <c r="O7" s="145">
        <f>(N7/N23)</f>
        <v>0.08823529412</v>
      </c>
      <c r="P7" s="68" t="s">
        <v>93</v>
      </c>
      <c r="Q7" s="69">
        <f t="shared" ref="Q7:R7" si="1">SUM(Q5:Q6)</f>
        <v>38</v>
      </c>
      <c r="R7" s="70">
        <f t="shared" si="1"/>
        <v>1</v>
      </c>
    </row>
    <row r="8" ht="15.75" customHeight="1">
      <c r="A8" s="68" t="s">
        <v>93</v>
      </c>
      <c r="B8" s="69">
        <f t="shared" ref="B8:C8" si="2">SUM(B5:B7)</f>
        <v>38</v>
      </c>
      <c r="C8" s="71">
        <f t="shared" si="2"/>
        <v>1</v>
      </c>
      <c r="D8" s="60" t="s">
        <v>94</v>
      </c>
      <c r="E8" s="61">
        <f>COUNTIF('Itemization 202308'!J:J,D8)</f>
        <v>7</v>
      </c>
      <c r="F8" s="62">
        <f>(E8/E10)</f>
        <v>0.1842105263</v>
      </c>
      <c r="G8" s="60">
        <v>11.04</v>
      </c>
      <c r="H8" s="61">
        <f>COUNTIF('Itemization 202308'!K:K,G8)</f>
        <v>4</v>
      </c>
      <c r="I8" s="62">
        <f>(H8/H16)</f>
        <v>0.1081081081</v>
      </c>
      <c r="J8" s="121" t="s">
        <v>95</v>
      </c>
      <c r="K8" s="54">
        <f>COUNTIF('Itemization 202308'!L:L,J8)</f>
        <v>0</v>
      </c>
      <c r="L8" s="55">
        <f>(K8/K116)</f>
        <v>0</v>
      </c>
      <c r="M8" s="144">
        <v>4.0</v>
      </c>
      <c r="N8" s="114">
        <f>countif('Itemization 202308'!$M$3:$M$42,M8)</f>
        <v>1</v>
      </c>
      <c r="O8" s="145">
        <f>(N8/N23)</f>
        <v>0.02941176471</v>
      </c>
      <c r="P8" s="51"/>
      <c r="Q8" s="51"/>
      <c r="R8" s="72"/>
    </row>
    <row r="9" ht="15.75" customHeight="1">
      <c r="A9" s="73"/>
      <c r="B9" s="73"/>
      <c r="C9" s="74"/>
      <c r="D9" s="207" t="s">
        <v>96</v>
      </c>
      <c r="E9" s="114">
        <f>COUNTIF('Itemization 202308'!J:J,D9)</f>
        <v>1</v>
      </c>
      <c r="F9" s="208">
        <f>(E9/E10)</f>
        <v>0.02631578947</v>
      </c>
      <c r="G9" s="144">
        <v>11.05</v>
      </c>
      <c r="H9" s="114">
        <f>COUNTIF('Itemization 202308'!K:K,G9)</f>
        <v>1</v>
      </c>
      <c r="I9" s="145">
        <f>(H9/H16)</f>
        <v>0.02702702703</v>
      </c>
      <c r="J9" s="121" t="s">
        <v>97</v>
      </c>
      <c r="K9" s="54">
        <f>COUNTIF('Itemization 202308'!L:L,J9)</f>
        <v>0</v>
      </c>
      <c r="L9" s="55">
        <f>(K9/K116)</f>
        <v>0</v>
      </c>
      <c r="M9" s="144">
        <v>5.0</v>
      </c>
      <c r="N9" s="114">
        <f>countif('Itemization 202308'!$M$3:$M$42,M9)</f>
        <v>1</v>
      </c>
      <c r="O9" s="145">
        <f>(N9/N23)</f>
        <v>0.02941176471</v>
      </c>
      <c r="P9" s="51"/>
      <c r="Q9" s="51"/>
      <c r="R9" s="72"/>
    </row>
    <row r="10" ht="15.75" customHeight="1">
      <c r="A10" s="77"/>
      <c r="B10" s="51"/>
      <c r="C10" s="78"/>
      <c r="D10" s="68" t="s">
        <v>93</v>
      </c>
      <c r="E10" s="69">
        <f t="shared" ref="E10:F10" si="3">SUM(E5:E9)</f>
        <v>38</v>
      </c>
      <c r="F10" s="71">
        <f t="shared" si="3"/>
        <v>1</v>
      </c>
      <c r="G10" s="56">
        <v>11.06</v>
      </c>
      <c r="H10" s="57">
        <f>COUNTIF('Itemization 202308'!K:K,G10)</f>
        <v>3</v>
      </c>
      <c r="I10" s="58">
        <f>(H10/H16)</f>
        <v>0.08108108108</v>
      </c>
      <c r="J10" s="121" t="s">
        <v>98</v>
      </c>
      <c r="K10" s="54">
        <f>COUNTIF('Itemization 202308'!L:L,J10)</f>
        <v>0</v>
      </c>
      <c r="L10" s="55">
        <f>(K10/K116)</f>
        <v>0</v>
      </c>
      <c r="M10" s="144">
        <v>6.0</v>
      </c>
      <c r="N10" s="114">
        <f>countif('Itemization 202308'!$M$3:$M$42,M10)</f>
        <v>1</v>
      </c>
      <c r="O10" s="145">
        <f>(N10/N23)</f>
        <v>0.02941176471</v>
      </c>
      <c r="P10" s="51"/>
      <c r="Q10" s="51"/>
      <c r="R10" s="72"/>
    </row>
    <row r="11" ht="15.75" customHeight="1">
      <c r="A11" s="77"/>
      <c r="B11" s="51"/>
      <c r="C11" s="78"/>
      <c r="D11" s="51"/>
      <c r="E11" s="51"/>
      <c r="F11" s="78"/>
      <c r="G11" s="60">
        <v>11.07</v>
      </c>
      <c r="H11" s="61">
        <f>COUNTIF('Itemization 202308'!K:K,G11)</f>
        <v>4</v>
      </c>
      <c r="I11" s="62">
        <f>(H11/H16)</f>
        <v>0.1081081081</v>
      </c>
      <c r="J11" s="121" t="s">
        <v>99</v>
      </c>
      <c r="K11" s="54">
        <f>COUNTIF('Itemization 202308'!L:L,J11)</f>
        <v>0</v>
      </c>
      <c r="L11" s="55">
        <f>(K11/K116)</f>
        <v>0</v>
      </c>
      <c r="M11" s="56">
        <v>7.0</v>
      </c>
      <c r="N11" s="57">
        <f>countif('Itemization 202308'!$M$3:$M$42,M11)</f>
        <v>4</v>
      </c>
      <c r="O11" s="58">
        <f>(N11/N23)</f>
        <v>0.1176470588</v>
      </c>
      <c r="P11" s="51"/>
      <c r="Q11" s="51"/>
      <c r="R11" s="72"/>
    </row>
    <row r="12" ht="15.75" customHeight="1">
      <c r="A12" s="77"/>
      <c r="B12" s="51"/>
      <c r="C12" s="78"/>
      <c r="D12" s="51"/>
      <c r="E12" s="51"/>
      <c r="F12" s="78"/>
      <c r="G12" s="144">
        <v>11.08</v>
      </c>
      <c r="H12" s="114">
        <f>COUNTIF('Itemization 202308'!K:K,G12)</f>
        <v>2</v>
      </c>
      <c r="I12" s="145">
        <f>(H12/H16)</f>
        <v>0.05405405405</v>
      </c>
      <c r="J12" s="121" t="s">
        <v>100</v>
      </c>
      <c r="K12" s="54">
        <f>COUNTIF('Itemization 202308'!L:L,J12)</f>
        <v>0</v>
      </c>
      <c r="L12" s="55">
        <f>(K12/K116)</f>
        <v>0</v>
      </c>
      <c r="M12" s="47">
        <v>8.0</v>
      </c>
      <c r="N12" s="48">
        <f>countif('Itemization 202308'!$M$3:$M$42,M12)</f>
        <v>6</v>
      </c>
      <c r="O12" s="49">
        <f>(N12/N23)</f>
        <v>0.1764705882</v>
      </c>
      <c r="P12" s="51"/>
      <c r="Q12" s="51"/>
      <c r="R12" s="72"/>
    </row>
    <row r="13" ht="15.75" customHeight="1">
      <c r="A13" s="77"/>
      <c r="B13" s="51"/>
      <c r="C13" s="78"/>
      <c r="D13" s="51"/>
      <c r="E13" s="51"/>
      <c r="F13" s="78"/>
      <c r="G13" s="56">
        <v>11.09</v>
      </c>
      <c r="H13" s="57">
        <f>COUNTIF('Itemization 202308'!K:K,G13)</f>
        <v>3</v>
      </c>
      <c r="I13" s="58">
        <f>(H13/H16)</f>
        <v>0.08108108108</v>
      </c>
      <c r="J13" s="121" t="s">
        <v>101</v>
      </c>
      <c r="K13" s="54">
        <f>COUNTIF('Itemization 202308'!L:L,J13)</f>
        <v>0</v>
      </c>
      <c r="L13" s="55">
        <f>(K13/K116)</f>
        <v>0</v>
      </c>
      <c r="M13" s="144">
        <v>9.0</v>
      </c>
      <c r="N13" s="114">
        <f>countif('Itemization 202308'!$M$3:$M$42,M13)</f>
        <v>2</v>
      </c>
      <c r="O13" s="145">
        <f>(N13/N23)</f>
        <v>0.05882352941</v>
      </c>
      <c r="P13" s="51"/>
      <c r="Q13" s="51"/>
      <c r="R13" s="72"/>
    </row>
    <row r="14" ht="15.75" customHeight="1">
      <c r="A14" s="51"/>
      <c r="B14" s="51"/>
      <c r="C14" s="78"/>
      <c r="D14" s="51"/>
      <c r="E14" s="51"/>
      <c r="F14" s="78"/>
      <c r="G14" s="87" t="s">
        <v>102</v>
      </c>
      <c r="H14" s="48">
        <f>COUNTIF('Itemization 202308'!K:K,G14)</f>
        <v>6</v>
      </c>
      <c r="I14" s="49">
        <f>(H14/H16)</f>
        <v>0.1621621622</v>
      </c>
      <c r="J14" s="121" t="s">
        <v>103</v>
      </c>
      <c r="K14" s="54">
        <f>COUNTIF('Itemization 202308'!L:L,J14)</f>
        <v>0</v>
      </c>
      <c r="L14" s="55">
        <f>(K14/K116)</f>
        <v>0</v>
      </c>
      <c r="M14" s="125">
        <v>10.0</v>
      </c>
      <c r="N14" s="54">
        <f>countif('Itemization 202308'!$M$3:$M$42,M14)</f>
        <v>0</v>
      </c>
      <c r="O14" s="55">
        <f>(N14/N23)</f>
        <v>0</v>
      </c>
      <c r="P14" s="51"/>
      <c r="Q14" s="51"/>
      <c r="R14" s="72"/>
    </row>
    <row r="15" ht="15.75" customHeight="1">
      <c r="A15" s="73"/>
      <c r="B15" s="73"/>
      <c r="C15" s="74"/>
      <c r="D15" s="51"/>
      <c r="E15" s="51"/>
      <c r="F15" s="78"/>
      <c r="G15" s="252" t="s">
        <v>104</v>
      </c>
      <c r="H15" s="114">
        <f>COUNTIF('Itemization 202308'!K:K,G15)</f>
        <v>2</v>
      </c>
      <c r="I15" s="208">
        <f>(H15/H16)</f>
        <v>0.05405405405</v>
      </c>
      <c r="J15" s="121" t="s">
        <v>105</v>
      </c>
      <c r="K15" s="54">
        <f>COUNTIF('Itemization 202308'!L:L,J15)</f>
        <v>0</v>
      </c>
      <c r="L15" s="55">
        <f>(K15/K116)</f>
        <v>0</v>
      </c>
      <c r="M15" s="125">
        <v>11.0</v>
      </c>
      <c r="N15" s="54">
        <f>countif('Itemization 202308'!$M$3:$M$42,M15)</f>
        <v>0</v>
      </c>
      <c r="O15" s="55">
        <f>(N15/N23)</f>
        <v>0</v>
      </c>
      <c r="P15" s="51"/>
      <c r="Q15" s="51"/>
      <c r="R15" s="72"/>
    </row>
    <row r="16" ht="15.75" customHeight="1">
      <c r="A16" s="51"/>
      <c r="B16" s="51"/>
      <c r="C16" s="78"/>
      <c r="D16" s="51"/>
      <c r="E16" s="51"/>
      <c r="F16" s="78"/>
      <c r="G16" s="68" t="s">
        <v>93</v>
      </c>
      <c r="H16" s="69">
        <f>SUM(H5:H15)</f>
        <v>37</v>
      </c>
      <c r="I16" s="71">
        <f>sum(I5:I15)</f>
        <v>1</v>
      </c>
      <c r="J16" s="121" t="s">
        <v>106</v>
      </c>
      <c r="K16" s="54">
        <f>COUNTIF('Itemization 202308'!L:L,J16)</f>
        <v>0</v>
      </c>
      <c r="L16" s="55">
        <f>(K16/K116)</f>
        <v>0</v>
      </c>
      <c r="M16" s="60">
        <v>12.0</v>
      </c>
      <c r="N16" s="61">
        <f>countif('Itemization 202308'!$M$3:$M$42,M16)</f>
        <v>5</v>
      </c>
      <c r="O16" s="62">
        <f>(N16/N23)</f>
        <v>0.1470588235</v>
      </c>
      <c r="P16" s="51"/>
      <c r="Q16" s="51"/>
      <c r="R16" s="72"/>
    </row>
    <row r="17" ht="15.75" customHeight="1">
      <c r="A17" s="73"/>
      <c r="B17" s="73"/>
      <c r="C17" s="74"/>
      <c r="D17" s="51"/>
      <c r="E17" s="51"/>
      <c r="F17" s="78"/>
      <c r="G17" s="51"/>
      <c r="H17" s="51"/>
      <c r="I17" s="78"/>
      <c r="J17" s="124" t="s">
        <v>107</v>
      </c>
      <c r="K17" s="61">
        <f>COUNTIF('Itemization 202308'!L:L,J17)</f>
        <v>2</v>
      </c>
      <c r="L17" s="62">
        <f>(K17/K116)</f>
        <v>0.05405405405</v>
      </c>
      <c r="M17" s="56">
        <v>13.0</v>
      </c>
      <c r="N17" s="57">
        <f>countif('Itemization 202308'!$M$3:$M$42,M17)</f>
        <v>4</v>
      </c>
      <c r="O17" s="58">
        <f>(N17/N23)</f>
        <v>0.1176470588</v>
      </c>
      <c r="P17" s="51"/>
      <c r="Q17" s="51"/>
      <c r="R17" s="72"/>
    </row>
    <row r="18" ht="15.75" customHeight="1">
      <c r="A18" s="73"/>
      <c r="B18" s="73"/>
      <c r="C18" s="74"/>
      <c r="D18" s="51"/>
      <c r="E18" s="51"/>
      <c r="F18" s="78"/>
      <c r="G18" s="51"/>
      <c r="H18" s="51"/>
      <c r="I18" s="78"/>
      <c r="J18" s="124" t="s">
        <v>108</v>
      </c>
      <c r="K18" s="61">
        <f>COUNTIF('Itemization 202308'!L:L,J18)</f>
        <v>2</v>
      </c>
      <c r="L18" s="62">
        <f>(K18/K116)</f>
        <v>0.05405405405</v>
      </c>
      <c r="M18" s="144">
        <v>14.0</v>
      </c>
      <c r="N18" s="114">
        <f>countif('Itemization 202308'!$M$3:$M$42,M18)</f>
        <v>1</v>
      </c>
      <c r="O18" s="145">
        <f>(N18/N23)</f>
        <v>0.02941176471</v>
      </c>
      <c r="P18" s="51"/>
      <c r="Q18" s="51"/>
      <c r="R18" s="72"/>
    </row>
    <row r="19" ht="15.75" customHeight="1">
      <c r="A19" s="80" t="s">
        <v>109</v>
      </c>
      <c r="D19" s="51"/>
      <c r="E19" s="51"/>
      <c r="F19" s="78"/>
      <c r="G19" s="51"/>
      <c r="H19" s="51"/>
      <c r="I19" s="78"/>
      <c r="J19" s="121" t="s">
        <v>110</v>
      </c>
      <c r="K19" s="54">
        <f>COUNTIF('Itemization 202308'!L:L,J19)</f>
        <v>0</v>
      </c>
      <c r="L19" s="55">
        <f>(K19/K116)</f>
        <v>0</v>
      </c>
      <c r="M19" s="144">
        <v>15.0</v>
      </c>
      <c r="N19" s="114">
        <f>countif('Itemization 202308'!$M$3:$M$42,M19)</f>
        <v>2</v>
      </c>
      <c r="O19" s="145">
        <f>(N19/N23)</f>
        <v>0.05882352941</v>
      </c>
      <c r="P19" s="51"/>
      <c r="Q19" s="51"/>
      <c r="R19" s="72"/>
    </row>
    <row r="20" ht="15.75" customHeight="1">
      <c r="A20" s="81" t="s">
        <v>111</v>
      </c>
      <c r="D20" s="51"/>
      <c r="E20" s="51"/>
      <c r="F20" s="78"/>
      <c r="G20" s="51"/>
      <c r="H20" s="51"/>
      <c r="I20" s="78"/>
      <c r="J20" s="124" t="s">
        <v>112</v>
      </c>
      <c r="K20" s="61">
        <f>COUNTIF('Itemization 202308'!L:L,J20)</f>
        <v>2</v>
      </c>
      <c r="L20" s="62">
        <f>(K20/K116)</f>
        <v>0.05405405405</v>
      </c>
      <c r="M20" s="125">
        <v>16.0</v>
      </c>
      <c r="N20" s="54">
        <f>countif('Itemization 202308'!$M$3:$M$42,M20)</f>
        <v>0</v>
      </c>
      <c r="O20" s="55">
        <f>(N20/N23)</f>
        <v>0</v>
      </c>
      <c r="P20" s="51"/>
      <c r="Q20" s="51"/>
      <c r="R20" s="72"/>
    </row>
    <row r="21" ht="15.75" customHeight="1">
      <c r="A21" s="82" t="s">
        <v>113</v>
      </c>
      <c r="D21" s="51"/>
      <c r="E21" s="51"/>
      <c r="F21" s="78"/>
      <c r="G21" s="51"/>
      <c r="H21" s="51"/>
      <c r="I21" s="78"/>
      <c r="J21" s="121" t="s">
        <v>114</v>
      </c>
      <c r="K21" s="54">
        <f>COUNTIF('Itemization 202308'!L:L,J21)</f>
        <v>0</v>
      </c>
      <c r="L21" s="55">
        <f>(K21/K116)</f>
        <v>0</v>
      </c>
      <c r="M21" s="125">
        <v>17.0</v>
      </c>
      <c r="N21" s="54">
        <f>countif('Itemization 202308'!$M$3:$M$42,M21)</f>
        <v>0</v>
      </c>
      <c r="O21" s="55">
        <f>(N21/N23)</f>
        <v>0</v>
      </c>
      <c r="P21" s="51"/>
      <c r="Q21" s="51"/>
      <c r="R21" s="72"/>
    </row>
    <row r="22" ht="15.75" customHeight="1">
      <c r="A22" s="83" t="s">
        <v>115</v>
      </c>
      <c r="D22" s="51"/>
      <c r="E22" s="51"/>
      <c r="F22" s="78"/>
      <c r="G22" s="51"/>
      <c r="H22" s="51"/>
      <c r="I22" s="78"/>
      <c r="J22" s="121" t="s">
        <v>116</v>
      </c>
      <c r="K22" s="54">
        <f>COUNTIF('Itemization 202308'!L:L,J22)</f>
        <v>0</v>
      </c>
      <c r="L22" s="55">
        <f>(K22/K116)</f>
        <v>0</v>
      </c>
      <c r="M22" s="141">
        <v>18.0</v>
      </c>
      <c r="N22" s="54">
        <f>countif('Itemization 202308'!$M$3:$M$42,M22)</f>
        <v>0</v>
      </c>
      <c r="O22" s="143">
        <f>(N22/N23)</f>
        <v>0</v>
      </c>
      <c r="P22" s="51"/>
      <c r="Q22" s="51"/>
      <c r="R22" s="72"/>
    </row>
    <row r="23" ht="15.75" customHeight="1">
      <c r="A23" s="113" t="s">
        <v>220</v>
      </c>
      <c r="D23" s="51"/>
      <c r="E23" s="51"/>
      <c r="F23" s="78"/>
      <c r="G23" s="51"/>
      <c r="H23" s="51"/>
      <c r="I23" s="78"/>
      <c r="J23" s="121" t="s">
        <v>118</v>
      </c>
      <c r="K23" s="54">
        <f>COUNTIF('Itemization 202308'!L:L,J23)</f>
        <v>0</v>
      </c>
      <c r="L23" s="55">
        <f>(K23/K116)</f>
        <v>0</v>
      </c>
      <c r="M23" s="68" t="s">
        <v>93</v>
      </c>
      <c r="N23" s="69">
        <f>SUM(N5:N22)</f>
        <v>34</v>
      </c>
      <c r="O23" s="71">
        <f>SUM(O4:O22)</f>
        <v>1</v>
      </c>
      <c r="P23" s="51"/>
      <c r="Q23" s="51"/>
      <c r="R23" s="72"/>
    </row>
    <row r="24" ht="15.75" customHeight="1">
      <c r="A24" s="86" t="s">
        <v>119</v>
      </c>
      <c r="D24" s="51"/>
      <c r="E24" s="51"/>
      <c r="F24" s="78"/>
      <c r="G24" s="51"/>
      <c r="H24" s="51"/>
      <c r="I24" s="78"/>
      <c r="J24" s="121" t="s">
        <v>120</v>
      </c>
      <c r="K24" s="54">
        <f>COUNTIF('Itemization 202308'!L:L,J24)</f>
        <v>0</v>
      </c>
      <c r="L24" s="55">
        <f>(K24/K116)</f>
        <v>0</v>
      </c>
      <c r="M24" s="51"/>
      <c r="N24" s="51"/>
      <c r="O24" s="78"/>
      <c r="P24" s="51"/>
      <c r="Q24" s="51"/>
      <c r="R24" s="72"/>
    </row>
    <row r="25" ht="15.75" customHeight="1">
      <c r="A25" s="85"/>
      <c r="B25" s="85"/>
      <c r="C25" s="85"/>
      <c r="D25" s="51"/>
      <c r="E25" s="51"/>
      <c r="F25" s="78"/>
      <c r="G25" s="51"/>
      <c r="H25" s="51"/>
      <c r="I25" s="78"/>
      <c r="J25" s="121" t="s">
        <v>121</v>
      </c>
      <c r="K25" s="54">
        <f>COUNTIF('Itemization 202308'!L:L,J25)</f>
        <v>0</v>
      </c>
      <c r="L25" s="55">
        <f>(K25/K116)</f>
        <v>0</v>
      </c>
      <c r="M25" s="51"/>
      <c r="N25" s="51"/>
      <c r="O25" s="78"/>
      <c r="P25" s="51"/>
      <c r="Q25" s="51"/>
      <c r="R25" s="72"/>
    </row>
    <row r="26" ht="15.75" customHeight="1">
      <c r="A26" s="85"/>
      <c r="B26" s="85"/>
      <c r="C26" s="85"/>
      <c r="D26" s="51"/>
      <c r="E26" s="51"/>
      <c r="F26" s="78"/>
      <c r="G26" s="51"/>
      <c r="H26" s="51"/>
      <c r="I26" s="78"/>
      <c r="J26" s="121" t="s">
        <v>122</v>
      </c>
      <c r="K26" s="54">
        <f>COUNTIF('Itemization 202308'!L:L,J26)</f>
        <v>0</v>
      </c>
      <c r="L26" s="55">
        <f>(K26/K116)</f>
        <v>0</v>
      </c>
      <c r="M26" s="51"/>
      <c r="N26" s="51"/>
      <c r="O26" s="78"/>
      <c r="P26" s="51"/>
      <c r="Q26" s="51"/>
      <c r="R26" s="72"/>
    </row>
    <row r="27" ht="15.75" customHeight="1">
      <c r="A27" s="85"/>
      <c r="B27" s="85"/>
      <c r="C27" s="85"/>
      <c r="D27" s="51"/>
      <c r="E27" s="51"/>
      <c r="F27" s="78"/>
      <c r="G27" s="51"/>
      <c r="H27" s="51"/>
      <c r="I27" s="78"/>
      <c r="J27" s="121" t="s">
        <v>123</v>
      </c>
      <c r="K27" s="54">
        <f>COUNTIF('Itemization 202308'!L:L,J27)</f>
        <v>0</v>
      </c>
      <c r="L27" s="55">
        <f>(K27/K116)</f>
        <v>0</v>
      </c>
      <c r="M27" s="51"/>
      <c r="N27" s="51"/>
      <c r="O27" s="78"/>
      <c r="P27" s="51"/>
      <c r="Q27" s="51"/>
      <c r="R27" s="72"/>
    </row>
    <row r="28" ht="15.75" customHeight="1">
      <c r="A28" s="85"/>
      <c r="B28" s="85"/>
      <c r="C28" s="85"/>
      <c r="D28" s="51"/>
      <c r="E28" s="51"/>
      <c r="F28" s="78"/>
      <c r="G28" s="51"/>
      <c r="H28" s="51"/>
      <c r="I28" s="78"/>
      <c r="J28" s="124" t="s">
        <v>124</v>
      </c>
      <c r="K28" s="61">
        <f>COUNTIF('Itemization 202308'!L:L,J28)</f>
        <v>2</v>
      </c>
      <c r="L28" s="62">
        <f>(K28/K116)</f>
        <v>0.05405405405</v>
      </c>
      <c r="M28" s="51"/>
      <c r="N28" s="51"/>
      <c r="O28" s="78"/>
      <c r="P28" s="51"/>
      <c r="Q28" s="51"/>
      <c r="R28" s="72"/>
    </row>
    <row r="29" ht="15.75" customHeight="1">
      <c r="A29" s="85"/>
      <c r="B29" s="85"/>
      <c r="C29" s="85"/>
      <c r="D29" s="51"/>
      <c r="E29" s="51"/>
      <c r="F29" s="78"/>
      <c r="G29" s="51"/>
      <c r="H29" s="51"/>
      <c r="I29" s="78"/>
      <c r="J29" s="124" t="s">
        <v>125</v>
      </c>
      <c r="K29" s="61">
        <f>COUNTIF('Itemization 202308'!L:L,J29)</f>
        <v>2</v>
      </c>
      <c r="L29" s="62">
        <f>(K29/K116)</f>
        <v>0.05405405405</v>
      </c>
      <c r="M29" s="51"/>
      <c r="N29" s="51"/>
      <c r="O29" s="78"/>
      <c r="P29" s="51"/>
      <c r="Q29" s="51"/>
      <c r="R29" s="72"/>
    </row>
    <row r="30" ht="15.75" customHeight="1">
      <c r="A30" s="85"/>
      <c r="B30" s="85"/>
      <c r="C30" s="85"/>
      <c r="D30" s="51"/>
      <c r="E30" s="51"/>
      <c r="F30" s="78"/>
      <c r="G30" s="51"/>
      <c r="H30" s="51"/>
      <c r="I30" s="78"/>
      <c r="J30" s="124" t="s">
        <v>126</v>
      </c>
      <c r="K30" s="61">
        <f>COUNTIF('Itemization 202308'!L:L,J30)</f>
        <v>2</v>
      </c>
      <c r="L30" s="62">
        <f>(K30/K116)</f>
        <v>0.05405405405</v>
      </c>
      <c r="M30" s="51"/>
      <c r="N30" s="51"/>
      <c r="O30" s="78"/>
      <c r="P30" s="51"/>
      <c r="Q30" s="51"/>
      <c r="R30" s="72"/>
    </row>
    <row r="31" ht="15.75" customHeight="1">
      <c r="A31" s="85"/>
      <c r="B31" s="85"/>
      <c r="C31" s="85"/>
      <c r="D31" s="51"/>
      <c r="E31" s="51"/>
      <c r="F31" s="78"/>
      <c r="G31" s="51"/>
      <c r="H31" s="51"/>
      <c r="I31" s="78"/>
      <c r="J31" s="121" t="s">
        <v>127</v>
      </c>
      <c r="K31" s="54">
        <f>COUNTIF('Itemization 202308'!L:L,J31)</f>
        <v>0</v>
      </c>
      <c r="L31" s="55">
        <f>(K31/K116)</f>
        <v>0</v>
      </c>
      <c r="M31" s="51"/>
      <c r="N31" s="51"/>
      <c r="O31" s="78"/>
      <c r="P31" s="51"/>
      <c r="Q31" s="51"/>
      <c r="R31" s="72"/>
    </row>
    <row r="32" ht="15.75" customHeight="1">
      <c r="A32" s="85"/>
      <c r="B32" s="85"/>
      <c r="C32" s="85"/>
      <c r="D32" s="51"/>
      <c r="E32" s="51"/>
      <c r="F32" s="78"/>
      <c r="G32" s="51"/>
      <c r="H32" s="51"/>
      <c r="I32" s="78"/>
      <c r="J32" s="121" t="s">
        <v>128</v>
      </c>
      <c r="K32" s="54">
        <f>COUNTIF('Itemization 202308'!L:L,J32)</f>
        <v>0</v>
      </c>
      <c r="L32" s="55">
        <f>(K32/K116)</f>
        <v>0</v>
      </c>
      <c r="M32" s="51"/>
      <c r="N32" s="51"/>
      <c r="O32" s="78"/>
      <c r="P32" s="51"/>
      <c r="Q32" s="51"/>
      <c r="R32" s="72"/>
    </row>
    <row r="33" ht="15.75" customHeight="1">
      <c r="A33" s="85"/>
      <c r="B33" s="85"/>
      <c r="C33" s="85"/>
      <c r="D33" s="51"/>
      <c r="E33" s="51"/>
      <c r="F33" s="78"/>
      <c r="G33" s="51"/>
      <c r="H33" s="51"/>
      <c r="I33" s="78"/>
      <c r="J33" s="121" t="s">
        <v>129</v>
      </c>
      <c r="K33" s="54">
        <f>COUNTIF('Itemization 202308'!L:L,J33)</f>
        <v>0</v>
      </c>
      <c r="L33" s="55">
        <f>(K33/K116)</f>
        <v>0</v>
      </c>
      <c r="M33" s="51"/>
      <c r="N33" s="51"/>
      <c r="O33" s="78"/>
      <c r="P33" s="51"/>
      <c r="Q33" s="51"/>
      <c r="R33" s="72"/>
    </row>
    <row r="34" ht="15.75" customHeight="1">
      <c r="A34" s="85"/>
      <c r="B34" s="85"/>
      <c r="C34" s="85"/>
      <c r="D34" s="51"/>
      <c r="E34" s="51"/>
      <c r="F34" s="78"/>
      <c r="G34" s="51"/>
      <c r="H34" s="51"/>
      <c r="I34" s="78"/>
      <c r="J34" s="121" t="s">
        <v>130</v>
      </c>
      <c r="K34" s="54">
        <f>COUNTIF('Itemization 202308'!L:L,J34)</f>
        <v>0</v>
      </c>
      <c r="L34" s="55">
        <f>(K34/K116)</f>
        <v>0</v>
      </c>
      <c r="M34" s="51"/>
      <c r="N34" s="51"/>
      <c r="O34" s="78"/>
      <c r="P34" s="51"/>
      <c r="Q34" s="51"/>
      <c r="R34" s="72"/>
    </row>
    <row r="35" ht="15.75" customHeight="1">
      <c r="A35" s="85"/>
      <c r="B35" s="85"/>
      <c r="C35" s="85"/>
      <c r="D35" s="51"/>
      <c r="E35" s="51"/>
      <c r="F35" s="78"/>
      <c r="G35" s="51"/>
      <c r="H35" s="51"/>
      <c r="I35" s="78"/>
      <c r="J35" s="121" t="s">
        <v>131</v>
      </c>
      <c r="K35" s="54">
        <f>COUNTIF('Itemization 202308'!L:L,J35)</f>
        <v>0</v>
      </c>
      <c r="L35" s="55">
        <f>(K35/K116)</f>
        <v>0</v>
      </c>
      <c r="M35" s="51"/>
      <c r="N35" s="51"/>
      <c r="O35" s="78"/>
      <c r="P35" s="51"/>
      <c r="Q35" s="51"/>
      <c r="R35" s="72"/>
    </row>
    <row r="36" ht="15.75" customHeight="1">
      <c r="A36" s="85"/>
      <c r="B36" s="85"/>
      <c r="C36" s="85"/>
      <c r="D36" s="51"/>
      <c r="E36" s="51"/>
      <c r="F36" s="78"/>
      <c r="G36" s="51"/>
      <c r="H36" s="51"/>
      <c r="I36" s="78"/>
      <c r="J36" s="121" t="s">
        <v>132</v>
      </c>
      <c r="K36" s="54">
        <f>COUNTIF('Itemization 202308'!L:L,J36)</f>
        <v>0</v>
      </c>
      <c r="L36" s="55">
        <f>(K36/K116)</f>
        <v>0</v>
      </c>
      <c r="M36" s="51"/>
      <c r="N36" s="51"/>
      <c r="O36" s="78"/>
      <c r="P36" s="51"/>
      <c r="Q36" s="51"/>
      <c r="R36" s="72"/>
    </row>
    <row r="37" ht="15.75" customHeight="1">
      <c r="A37" s="85"/>
      <c r="B37" s="85"/>
      <c r="C37" s="85"/>
      <c r="D37" s="51"/>
      <c r="E37" s="51"/>
      <c r="F37" s="78"/>
      <c r="G37" s="51"/>
      <c r="H37" s="51"/>
      <c r="I37" s="78"/>
      <c r="J37" s="124" t="s">
        <v>133</v>
      </c>
      <c r="K37" s="61">
        <f>COUNTIF('Itemization 202308'!L:L,J37)</f>
        <v>2</v>
      </c>
      <c r="L37" s="62">
        <f>(K37/K116)</f>
        <v>0.05405405405</v>
      </c>
      <c r="M37" s="51"/>
      <c r="N37" s="51"/>
      <c r="O37" s="78"/>
      <c r="P37" s="51"/>
      <c r="Q37" s="51"/>
      <c r="R37" s="72"/>
    </row>
    <row r="38" ht="15.75" customHeight="1">
      <c r="A38" s="85"/>
      <c r="B38" s="85"/>
      <c r="C38" s="85"/>
      <c r="D38" s="51"/>
      <c r="E38" s="51"/>
      <c r="F38" s="78"/>
      <c r="G38" s="51"/>
      <c r="H38" s="51"/>
      <c r="I38" s="78"/>
      <c r="J38" s="121" t="s">
        <v>134</v>
      </c>
      <c r="K38" s="54">
        <f>COUNTIF('Itemization 202308'!L:L,J38)</f>
        <v>0</v>
      </c>
      <c r="L38" s="55">
        <f>(K38/K116)</f>
        <v>0</v>
      </c>
      <c r="M38" s="51"/>
      <c r="N38" s="51"/>
      <c r="O38" s="78"/>
      <c r="P38" s="51"/>
      <c r="Q38" s="51"/>
      <c r="R38" s="72"/>
    </row>
    <row r="39" ht="15.75" customHeight="1">
      <c r="A39" s="85"/>
      <c r="B39" s="85"/>
      <c r="C39" s="85"/>
      <c r="D39" s="51"/>
      <c r="E39" s="51"/>
      <c r="F39" s="78"/>
      <c r="G39" s="51"/>
      <c r="H39" s="51"/>
      <c r="I39" s="78"/>
      <c r="J39" s="122" t="s">
        <v>135</v>
      </c>
      <c r="K39" s="57">
        <f>COUNTIF('Itemization 202308'!L:L,J39)</f>
        <v>1</v>
      </c>
      <c r="L39" s="58">
        <f>(K39/K116)</f>
        <v>0.02702702703</v>
      </c>
      <c r="M39" s="51"/>
      <c r="N39" s="51"/>
      <c r="O39" s="78"/>
      <c r="P39" s="51"/>
      <c r="Q39" s="51"/>
      <c r="R39" s="72"/>
    </row>
    <row r="40" ht="15.75" customHeight="1">
      <c r="A40" s="85"/>
      <c r="B40" s="85"/>
      <c r="C40" s="85"/>
      <c r="D40" s="51"/>
      <c r="E40" s="51"/>
      <c r="F40" s="78"/>
      <c r="G40" s="51"/>
      <c r="H40" s="51"/>
      <c r="I40" s="78"/>
      <c r="J40" s="122" t="s">
        <v>136</v>
      </c>
      <c r="K40" s="57">
        <f>COUNTIF('Itemization 202308'!L:L,J40)</f>
        <v>1</v>
      </c>
      <c r="L40" s="58">
        <f>(K40/K116)</f>
        <v>0.02702702703</v>
      </c>
      <c r="M40" s="51"/>
      <c r="N40" s="51"/>
      <c r="O40" s="78"/>
      <c r="P40" s="51"/>
      <c r="Q40" s="51"/>
      <c r="R40" s="72"/>
    </row>
    <row r="41" ht="15.75" customHeight="1">
      <c r="A41" s="85"/>
      <c r="B41" s="85"/>
      <c r="C41" s="85"/>
      <c r="D41" s="51"/>
      <c r="E41" s="51"/>
      <c r="F41" s="78"/>
      <c r="G41" s="51"/>
      <c r="H41" s="51"/>
      <c r="I41" s="78"/>
      <c r="J41" s="121" t="s">
        <v>137</v>
      </c>
      <c r="K41" s="54">
        <f>COUNTIF('Itemization 202308'!L:L,J41)</f>
        <v>0</v>
      </c>
      <c r="L41" s="55">
        <f>(K41/K116)</f>
        <v>0</v>
      </c>
      <c r="M41" s="51"/>
      <c r="N41" s="51"/>
      <c r="O41" s="78"/>
      <c r="P41" s="51"/>
      <c r="Q41" s="51"/>
      <c r="R41" s="72"/>
    </row>
    <row r="42" ht="15.75" customHeight="1">
      <c r="A42" s="85"/>
      <c r="B42" s="85"/>
      <c r="C42" s="85"/>
      <c r="D42" s="51"/>
      <c r="E42" s="51"/>
      <c r="F42" s="78"/>
      <c r="G42" s="51"/>
      <c r="H42" s="51"/>
      <c r="I42" s="78"/>
      <c r="J42" s="121" t="s">
        <v>138</v>
      </c>
      <c r="K42" s="54">
        <f>COUNTIF('Itemization 202308'!L:L,J42)</f>
        <v>0</v>
      </c>
      <c r="L42" s="55">
        <f>(K42/K116)</f>
        <v>0</v>
      </c>
      <c r="M42" s="51"/>
      <c r="N42" s="51"/>
      <c r="O42" s="78"/>
      <c r="P42" s="51"/>
      <c r="Q42" s="51"/>
      <c r="R42" s="72"/>
    </row>
    <row r="43" ht="15.75" customHeight="1">
      <c r="A43" s="85"/>
      <c r="B43" s="85"/>
      <c r="C43" s="85"/>
      <c r="D43" s="51"/>
      <c r="E43" s="51"/>
      <c r="F43" s="78"/>
      <c r="G43" s="51"/>
      <c r="H43" s="51"/>
      <c r="I43" s="78"/>
      <c r="J43" s="121" t="s">
        <v>139</v>
      </c>
      <c r="K43" s="54">
        <f>COUNTIF('Itemization 202308'!L:L,J43)</f>
        <v>0</v>
      </c>
      <c r="L43" s="55">
        <f>(K43/K116)</f>
        <v>0</v>
      </c>
      <c r="M43" s="51"/>
      <c r="N43" s="51"/>
      <c r="O43" s="78"/>
      <c r="P43" s="51"/>
      <c r="Q43" s="51"/>
      <c r="R43" s="72"/>
    </row>
    <row r="44" ht="15.75" customHeight="1">
      <c r="A44" s="85"/>
      <c r="B44" s="85"/>
      <c r="C44" s="85"/>
      <c r="D44" s="51"/>
      <c r="E44" s="51"/>
      <c r="F44" s="78"/>
      <c r="G44" s="51"/>
      <c r="H44" s="51"/>
      <c r="I44" s="78"/>
      <c r="J44" s="121" t="s">
        <v>140</v>
      </c>
      <c r="K44" s="54">
        <f>COUNTIF('Itemization 202308'!L:L,J44)</f>
        <v>0</v>
      </c>
      <c r="L44" s="55">
        <f>(K44/K116)</f>
        <v>0</v>
      </c>
      <c r="M44" s="51"/>
      <c r="N44" s="51"/>
      <c r="O44" s="78"/>
      <c r="P44" s="51"/>
      <c r="Q44" s="51"/>
      <c r="R44" s="72"/>
    </row>
    <row r="45" ht="15.75" customHeight="1">
      <c r="A45" s="85"/>
      <c r="B45" s="85"/>
      <c r="C45" s="85"/>
      <c r="D45" s="51"/>
      <c r="E45" s="51"/>
      <c r="F45" s="78"/>
      <c r="G45" s="51"/>
      <c r="H45" s="51"/>
      <c r="I45" s="78"/>
      <c r="J45" s="121" t="s">
        <v>141</v>
      </c>
      <c r="K45" s="54">
        <f>COUNTIF('Itemization 202308'!L:L,J45)</f>
        <v>0</v>
      </c>
      <c r="L45" s="55">
        <f>(K45/K116)</f>
        <v>0</v>
      </c>
      <c r="M45" s="51"/>
      <c r="N45" s="51"/>
      <c r="O45" s="78"/>
      <c r="P45" s="51"/>
      <c r="Q45" s="51"/>
      <c r="R45" s="72"/>
    </row>
    <row r="46" ht="15.75" customHeight="1">
      <c r="A46" s="85"/>
      <c r="B46" s="85"/>
      <c r="C46" s="85"/>
      <c r="D46" s="51"/>
      <c r="E46" s="51"/>
      <c r="F46" s="78"/>
      <c r="G46" s="51"/>
      <c r="H46" s="51"/>
      <c r="I46" s="78"/>
      <c r="J46" s="121" t="s">
        <v>142</v>
      </c>
      <c r="K46" s="54">
        <f>COUNTIF('Itemization 202308'!L:L,J46)</f>
        <v>0</v>
      </c>
      <c r="L46" s="55">
        <f>(K46/K116)</f>
        <v>0</v>
      </c>
      <c r="M46" s="51"/>
      <c r="N46" s="51"/>
      <c r="O46" s="78"/>
      <c r="P46" s="51"/>
      <c r="Q46" s="51"/>
      <c r="R46" s="72"/>
    </row>
    <row r="47" ht="15.75" customHeight="1">
      <c r="A47" s="85"/>
      <c r="B47" s="85"/>
      <c r="C47" s="85"/>
      <c r="D47" s="51"/>
      <c r="E47" s="51"/>
      <c r="F47" s="78"/>
      <c r="G47" s="51"/>
      <c r="H47" s="51"/>
      <c r="I47" s="78"/>
      <c r="J47" s="121" t="s">
        <v>143</v>
      </c>
      <c r="K47" s="54">
        <f>COUNTIF('Itemization 202308'!L:L,J47)</f>
        <v>0</v>
      </c>
      <c r="L47" s="55">
        <f>(K47/K116)</f>
        <v>0</v>
      </c>
      <c r="M47" s="51"/>
      <c r="N47" s="51"/>
      <c r="O47" s="78"/>
      <c r="P47" s="51"/>
      <c r="Q47" s="51"/>
      <c r="R47" s="72"/>
    </row>
    <row r="48" ht="15.75" customHeight="1">
      <c r="A48" s="85"/>
      <c r="B48" s="85"/>
      <c r="C48" s="85"/>
      <c r="D48" s="51"/>
      <c r="E48" s="51"/>
      <c r="F48" s="78"/>
      <c r="G48" s="51"/>
      <c r="H48" s="51"/>
      <c r="I48" s="78"/>
      <c r="J48" s="122" t="s">
        <v>144</v>
      </c>
      <c r="K48" s="57">
        <f>COUNTIF('Itemization 202308'!L:L,J48)</f>
        <v>1</v>
      </c>
      <c r="L48" s="58">
        <f>(K48/K116)</f>
        <v>0.02702702703</v>
      </c>
      <c r="M48" s="51"/>
      <c r="N48" s="51"/>
      <c r="O48" s="78"/>
      <c r="P48" s="51"/>
      <c r="Q48" s="51"/>
      <c r="R48" s="72"/>
    </row>
    <row r="49" ht="15.75" customHeight="1">
      <c r="A49" s="85"/>
      <c r="B49" s="85"/>
      <c r="C49" s="85"/>
      <c r="D49" s="51"/>
      <c r="E49" s="51"/>
      <c r="F49" s="78"/>
      <c r="G49" s="51"/>
      <c r="H49" s="51"/>
      <c r="I49" s="78"/>
      <c r="J49" s="121" t="s">
        <v>145</v>
      </c>
      <c r="K49" s="54">
        <f>COUNTIF('Itemization 202308'!L:L,J49)</f>
        <v>0</v>
      </c>
      <c r="L49" s="55">
        <f>(K49/K116)</f>
        <v>0</v>
      </c>
      <c r="M49" s="51"/>
      <c r="N49" s="51"/>
      <c r="O49" s="78"/>
      <c r="P49" s="51"/>
      <c r="Q49" s="51"/>
      <c r="R49" s="72"/>
    </row>
    <row r="50" ht="15.75" customHeight="1">
      <c r="A50" s="85"/>
      <c r="B50" s="85"/>
      <c r="C50" s="85"/>
      <c r="D50" s="51"/>
      <c r="E50" s="51"/>
      <c r="F50" s="78"/>
      <c r="G50" s="51"/>
      <c r="H50" s="51"/>
      <c r="I50" s="78"/>
      <c r="J50" s="121" t="s">
        <v>146</v>
      </c>
      <c r="K50" s="54">
        <f>COUNTIF('Itemization 202308'!L:L,J50)</f>
        <v>0</v>
      </c>
      <c r="L50" s="55">
        <f>(K50/K116)</f>
        <v>0</v>
      </c>
      <c r="M50" s="51"/>
      <c r="N50" s="51"/>
      <c r="O50" s="78"/>
      <c r="P50" s="51"/>
      <c r="Q50" s="51"/>
      <c r="R50" s="72"/>
    </row>
    <row r="51" ht="15.75" customHeight="1">
      <c r="A51" s="85"/>
      <c r="B51" s="85"/>
      <c r="C51" s="85"/>
      <c r="D51" s="51"/>
      <c r="E51" s="51"/>
      <c r="F51" s="78"/>
      <c r="G51" s="51"/>
      <c r="H51" s="51"/>
      <c r="I51" s="78"/>
      <c r="J51" s="121" t="s">
        <v>147</v>
      </c>
      <c r="K51" s="54">
        <f>COUNTIF('Itemization 202308'!L:L,J51)</f>
        <v>0</v>
      </c>
      <c r="L51" s="55">
        <f>(K51/K116)</f>
        <v>0</v>
      </c>
      <c r="M51" s="51"/>
      <c r="N51" s="51"/>
      <c r="O51" s="78"/>
      <c r="P51" s="51"/>
      <c r="Q51" s="51"/>
      <c r="R51" s="72"/>
    </row>
    <row r="52" ht="15.75" customHeight="1">
      <c r="A52" s="85"/>
      <c r="B52" s="85"/>
      <c r="C52" s="85"/>
      <c r="D52" s="51"/>
      <c r="E52" s="51"/>
      <c r="F52" s="78"/>
      <c r="G52" s="51"/>
      <c r="H52" s="51"/>
      <c r="I52" s="78"/>
      <c r="J52" s="121" t="s">
        <v>148</v>
      </c>
      <c r="K52" s="54">
        <f>COUNTIF('Itemization 202308'!L:L,J52)</f>
        <v>0</v>
      </c>
      <c r="L52" s="55">
        <f>(K52/K116)</f>
        <v>0</v>
      </c>
      <c r="M52" s="51"/>
      <c r="N52" s="51"/>
      <c r="O52" s="78"/>
      <c r="P52" s="51"/>
      <c r="Q52" s="51"/>
      <c r="R52" s="72"/>
    </row>
    <row r="53" ht="15.75" customHeight="1">
      <c r="A53" s="85"/>
      <c r="B53" s="85"/>
      <c r="C53" s="85"/>
      <c r="D53" s="51"/>
      <c r="E53" s="51"/>
      <c r="F53" s="78"/>
      <c r="G53" s="51"/>
      <c r="H53" s="51"/>
      <c r="I53" s="78"/>
      <c r="J53" s="121" t="s">
        <v>149</v>
      </c>
      <c r="K53" s="54">
        <f>COUNTIF('Itemization 202308'!L:L,J53)</f>
        <v>0</v>
      </c>
      <c r="L53" s="55">
        <f>(K53/K116)</f>
        <v>0</v>
      </c>
      <c r="M53" s="51"/>
      <c r="N53" s="51"/>
      <c r="O53" s="78"/>
      <c r="P53" s="51"/>
      <c r="Q53" s="51"/>
      <c r="R53" s="72"/>
    </row>
    <row r="54" ht="15.75" customHeight="1">
      <c r="A54" s="85"/>
      <c r="B54" s="85"/>
      <c r="C54" s="85"/>
      <c r="D54" s="51"/>
      <c r="E54" s="51"/>
      <c r="F54" s="78"/>
      <c r="G54" s="51"/>
      <c r="H54" s="51"/>
      <c r="I54" s="78"/>
      <c r="J54" s="121" t="s">
        <v>150</v>
      </c>
      <c r="K54" s="54">
        <f>COUNTIF('Itemization 202308'!L:L,J54)</f>
        <v>0</v>
      </c>
      <c r="L54" s="55">
        <f>(K54/K116)</f>
        <v>0</v>
      </c>
      <c r="M54" s="51"/>
      <c r="N54" s="51"/>
      <c r="O54" s="78"/>
      <c r="P54" s="51"/>
      <c r="Q54" s="51"/>
      <c r="R54" s="72"/>
    </row>
    <row r="55" ht="15.75" customHeight="1">
      <c r="A55" s="85"/>
      <c r="B55" s="85"/>
      <c r="C55" s="85"/>
      <c r="D55" s="51"/>
      <c r="E55" s="51"/>
      <c r="F55" s="78"/>
      <c r="G55" s="51"/>
      <c r="H55" s="51"/>
      <c r="I55" s="78"/>
      <c r="J55" s="121" t="s">
        <v>151</v>
      </c>
      <c r="K55" s="54">
        <f>COUNTIF('Itemization 202308'!L:L,J55)</f>
        <v>0</v>
      </c>
      <c r="L55" s="55">
        <f>(K55/K116)</f>
        <v>0</v>
      </c>
      <c r="M55" s="51"/>
      <c r="N55" s="51"/>
      <c r="O55" s="78"/>
      <c r="P55" s="51"/>
      <c r="Q55" s="51"/>
      <c r="R55" s="72"/>
    </row>
    <row r="56" ht="15.75" customHeight="1">
      <c r="A56" s="85"/>
      <c r="B56" s="85"/>
      <c r="C56" s="85"/>
      <c r="D56" s="51"/>
      <c r="E56" s="51"/>
      <c r="F56" s="78"/>
      <c r="G56" s="51"/>
      <c r="H56" s="51"/>
      <c r="I56" s="78"/>
      <c r="J56" s="122" t="s">
        <v>152</v>
      </c>
      <c r="K56" s="57">
        <f>COUNTIF('Itemization 202308'!L:L,J56)</f>
        <v>1</v>
      </c>
      <c r="L56" s="58">
        <f>(K56/K116)</f>
        <v>0.02702702703</v>
      </c>
      <c r="M56" s="51"/>
      <c r="N56" s="51"/>
      <c r="O56" s="78"/>
      <c r="P56" s="51"/>
      <c r="Q56" s="51"/>
      <c r="R56" s="72"/>
    </row>
    <row r="57" ht="15.75" customHeight="1">
      <c r="A57" s="85"/>
      <c r="B57" s="85"/>
      <c r="C57" s="85"/>
      <c r="D57" s="51"/>
      <c r="E57" s="51"/>
      <c r="F57" s="78"/>
      <c r="G57" s="51"/>
      <c r="H57" s="51"/>
      <c r="I57" s="78"/>
      <c r="J57" s="121" t="s">
        <v>153</v>
      </c>
      <c r="K57" s="54">
        <f>COUNTIF('Itemization 202308'!L:L,J57)</f>
        <v>0</v>
      </c>
      <c r="L57" s="55">
        <f>(K57/K116)</f>
        <v>0</v>
      </c>
      <c r="M57" s="51"/>
      <c r="N57" s="51"/>
      <c r="O57" s="78"/>
      <c r="P57" s="51"/>
      <c r="Q57" s="51"/>
      <c r="R57" s="72"/>
    </row>
    <row r="58" ht="15.75" customHeight="1">
      <c r="A58" s="85"/>
      <c r="B58" s="85"/>
      <c r="C58" s="85"/>
      <c r="D58" s="51"/>
      <c r="E58" s="51"/>
      <c r="F58" s="78"/>
      <c r="G58" s="51"/>
      <c r="H58" s="51"/>
      <c r="I58" s="78"/>
      <c r="J58" s="124" t="s">
        <v>154</v>
      </c>
      <c r="K58" s="61">
        <f>COUNTIF('Itemization 202308'!L:L,J58)</f>
        <v>2</v>
      </c>
      <c r="L58" s="62">
        <f>(K58/K116)</f>
        <v>0.05405405405</v>
      </c>
      <c r="M58" s="51"/>
      <c r="N58" s="51"/>
      <c r="O58" s="78"/>
      <c r="P58" s="51"/>
      <c r="Q58" s="51"/>
      <c r="R58" s="72"/>
    </row>
    <row r="59" ht="15.75" customHeight="1">
      <c r="A59" s="85"/>
      <c r="B59" s="85"/>
      <c r="C59" s="85"/>
      <c r="D59" s="51"/>
      <c r="E59" s="51"/>
      <c r="F59" s="78"/>
      <c r="G59" s="51"/>
      <c r="H59" s="51"/>
      <c r="I59" s="78"/>
      <c r="J59" s="121" t="s">
        <v>155</v>
      </c>
      <c r="K59" s="54">
        <f>COUNTIF('Itemization 202308'!L:L,J59)</f>
        <v>0</v>
      </c>
      <c r="L59" s="55">
        <f>(K59/K116)</f>
        <v>0</v>
      </c>
      <c r="M59" s="51"/>
      <c r="N59" s="51"/>
      <c r="O59" s="78"/>
      <c r="P59" s="51"/>
      <c r="Q59" s="51"/>
      <c r="R59" s="72"/>
    </row>
    <row r="60" ht="15.75" customHeight="1">
      <c r="A60" s="85"/>
      <c r="B60" s="85"/>
      <c r="C60" s="85"/>
      <c r="D60" s="51"/>
      <c r="E60" s="51"/>
      <c r="F60" s="78"/>
      <c r="G60" s="51"/>
      <c r="H60" s="51"/>
      <c r="I60" s="78"/>
      <c r="J60" s="121" t="s">
        <v>156</v>
      </c>
      <c r="K60" s="54">
        <f>COUNTIF('Itemization 202308'!L:L,J60)</f>
        <v>0</v>
      </c>
      <c r="L60" s="55">
        <f>(K60/K116)</f>
        <v>0</v>
      </c>
      <c r="M60" s="51"/>
      <c r="N60" s="51"/>
      <c r="O60" s="78"/>
      <c r="P60" s="51"/>
      <c r="Q60" s="51"/>
      <c r="R60" s="72"/>
    </row>
    <row r="61" ht="15.75" customHeight="1">
      <c r="A61" s="85"/>
      <c r="B61" s="85"/>
      <c r="C61" s="85"/>
      <c r="D61" s="51"/>
      <c r="E61" s="51"/>
      <c r="F61" s="78"/>
      <c r="G61" s="51"/>
      <c r="H61" s="51"/>
      <c r="I61" s="78"/>
      <c r="J61" s="121" t="s">
        <v>157</v>
      </c>
      <c r="K61" s="54">
        <f>COUNTIF('Itemization 202308'!L:L,J61)</f>
        <v>0</v>
      </c>
      <c r="L61" s="55">
        <f>(K61/K116)</f>
        <v>0</v>
      </c>
      <c r="M61" s="51"/>
      <c r="N61" s="51"/>
      <c r="O61" s="78"/>
      <c r="P61" s="51"/>
      <c r="Q61" s="51"/>
      <c r="R61" s="72"/>
    </row>
    <row r="62" ht="15.75" customHeight="1">
      <c r="A62" s="85"/>
      <c r="B62" s="85"/>
      <c r="C62" s="85"/>
      <c r="D62" s="51"/>
      <c r="E62" s="51"/>
      <c r="F62" s="78"/>
      <c r="G62" s="51"/>
      <c r="H62" s="51"/>
      <c r="I62" s="78"/>
      <c r="J62" s="121" t="s">
        <v>158</v>
      </c>
      <c r="K62" s="54">
        <f>COUNTIF('Itemization 202308'!L:L,J62)</f>
        <v>0</v>
      </c>
      <c r="L62" s="55">
        <f>(K62/K116)</f>
        <v>0</v>
      </c>
      <c r="M62" s="51"/>
      <c r="N62" s="51"/>
      <c r="O62" s="78"/>
      <c r="P62" s="51"/>
      <c r="Q62" s="51"/>
      <c r="R62" s="72"/>
    </row>
    <row r="63" ht="15.75" customHeight="1">
      <c r="A63" s="85"/>
      <c r="B63" s="85"/>
      <c r="C63" s="85"/>
      <c r="D63" s="51"/>
      <c r="E63" s="51"/>
      <c r="F63" s="78"/>
      <c r="G63" s="51"/>
      <c r="H63" s="51"/>
      <c r="I63" s="78"/>
      <c r="J63" s="121" t="s">
        <v>159</v>
      </c>
      <c r="K63" s="54">
        <f>COUNTIF('Itemization 202308'!L:L,J63)</f>
        <v>0</v>
      </c>
      <c r="L63" s="55">
        <f>(K63/K116)</f>
        <v>0</v>
      </c>
      <c r="M63" s="51"/>
      <c r="N63" s="51"/>
      <c r="O63" s="78"/>
      <c r="P63" s="51"/>
      <c r="Q63" s="51"/>
      <c r="R63" s="72"/>
    </row>
    <row r="64" ht="15.75" customHeight="1">
      <c r="A64" s="85"/>
      <c r="B64" s="85"/>
      <c r="C64" s="85"/>
      <c r="D64" s="51"/>
      <c r="E64" s="51"/>
      <c r="F64" s="78"/>
      <c r="G64" s="51"/>
      <c r="H64" s="51"/>
      <c r="I64" s="78"/>
      <c r="J64" s="121" t="s">
        <v>160</v>
      </c>
      <c r="K64" s="54">
        <f>COUNTIF('Itemization 202308'!L:L,J64)</f>
        <v>0</v>
      </c>
      <c r="L64" s="55">
        <f>(K64/K116)</f>
        <v>0</v>
      </c>
      <c r="M64" s="51"/>
      <c r="N64" s="51"/>
      <c r="O64" s="78"/>
      <c r="P64" s="51"/>
      <c r="Q64" s="51"/>
      <c r="R64" s="72"/>
    </row>
    <row r="65" ht="15.75" customHeight="1">
      <c r="A65" s="85"/>
      <c r="B65" s="85"/>
      <c r="C65" s="85"/>
      <c r="D65" s="51"/>
      <c r="E65" s="51"/>
      <c r="F65" s="78"/>
      <c r="G65" s="51"/>
      <c r="H65" s="51"/>
      <c r="I65" s="78"/>
      <c r="J65" s="121" t="s">
        <v>161</v>
      </c>
      <c r="K65" s="54">
        <f>COUNTIF('Itemization 202308'!L:L,J65)</f>
        <v>0</v>
      </c>
      <c r="L65" s="55">
        <f>(K65/K116)</f>
        <v>0</v>
      </c>
      <c r="M65" s="51"/>
      <c r="N65" s="51"/>
      <c r="O65" s="78"/>
      <c r="P65" s="51"/>
      <c r="Q65" s="51"/>
      <c r="R65" s="72"/>
    </row>
    <row r="66" ht="15.75" customHeight="1">
      <c r="A66" s="85"/>
      <c r="B66" s="85"/>
      <c r="C66" s="85"/>
      <c r="D66" s="51"/>
      <c r="E66" s="51"/>
      <c r="F66" s="78"/>
      <c r="G66" s="51"/>
      <c r="H66" s="51"/>
      <c r="I66" s="78"/>
      <c r="J66" s="121" t="s">
        <v>162</v>
      </c>
      <c r="K66" s="54">
        <f>COUNTIF('Itemization 202308'!L:L,J66)</f>
        <v>0</v>
      </c>
      <c r="L66" s="55">
        <f>(K66/K116)</f>
        <v>0</v>
      </c>
      <c r="M66" s="51"/>
      <c r="N66" s="51"/>
      <c r="O66" s="78"/>
      <c r="P66" s="51"/>
      <c r="Q66" s="51"/>
      <c r="R66" s="72"/>
    </row>
    <row r="67" ht="15.75" customHeight="1">
      <c r="A67" s="85"/>
      <c r="B67" s="85"/>
      <c r="C67" s="85"/>
      <c r="D67" s="51"/>
      <c r="E67" s="51"/>
      <c r="F67" s="78"/>
      <c r="G67" s="51"/>
      <c r="H67" s="51"/>
      <c r="I67" s="78"/>
      <c r="J67" s="121" t="s">
        <v>163</v>
      </c>
      <c r="K67" s="54">
        <f>COUNTIF('Itemization 202308'!L:L,J67)</f>
        <v>0</v>
      </c>
      <c r="L67" s="55">
        <f>(K67/K116)</f>
        <v>0</v>
      </c>
      <c r="M67" s="51"/>
      <c r="N67" s="51"/>
      <c r="O67" s="78"/>
      <c r="P67" s="51"/>
      <c r="Q67" s="51"/>
      <c r="R67" s="72"/>
    </row>
    <row r="68" ht="15.75" customHeight="1">
      <c r="A68" s="85"/>
      <c r="B68" s="85"/>
      <c r="C68" s="85"/>
      <c r="D68" s="51"/>
      <c r="E68" s="51"/>
      <c r="F68" s="78"/>
      <c r="G68" s="51"/>
      <c r="H68" s="51"/>
      <c r="I68" s="78"/>
      <c r="J68" s="121" t="s">
        <v>164</v>
      </c>
      <c r="K68" s="54">
        <f>COUNTIF('Itemization 202308'!L:L,J68)</f>
        <v>0</v>
      </c>
      <c r="L68" s="55">
        <f>(K68/K116)</f>
        <v>0</v>
      </c>
      <c r="M68" s="51"/>
      <c r="N68" s="51"/>
      <c r="O68" s="78"/>
      <c r="P68" s="51"/>
      <c r="Q68" s="51"/>
      <c r="R68" s="72"/>
    </row>
    <row r="69" ht="15.75" customHeight="1">
      <c r="A69" s="85"/>
      <c r="B69" s="85"/>
      <c r="C69" s="85"/>
      <c r="D69" s="51"/>
      <c r="E69" s="51"/>
      <c r="F69" s="78"/>
      <c r="G69" s="51"/>
      <c r="H69" s="51"/>
      <c r="I69" s="78"/>
      <c r="J69" s="121" t="s">
        <v>165</v>
      </c>
      <c r="K69" s="54">
        <f>COUNTIF('Itemization 202308'!L:L,J69)</f>
        <v>0</v>
      </c>
      <c r="L69" s="55">
        <f>(K69/K116)</f>
        <v>0</v>
      </c>
      <c r="M69" s="51"/>
      <c r="N69" s="51"/>
      <c r="O69" s="78"/>
      <c r="P69" s="51"/>
      <c r="Q69" s="51"/>
      <c r="R69" s="72"/>
    </row>
    <row r="70" ht="15.75" customHeight="1">
      <c r="A70" s="85"/>
      <c r="B70" s="85"/>
      <c r="C70" s="85"/>
      <c r="D70" s="51"/>
      <c r="E70" s="51"/>
      <c r="F70" s="78"/>
      <c r="G70" s="51"/>
      <c r="H70" s="51"/>
      <c r="I70" s="78"/>
      <c r="J70" s="121" t="s">
        <v>166</v>
      </c>
      <c r="K70" s="54">
        <f>COUNTIF('Itemization 202308'!L:L,J70)</f>
        <v>0</v>
      </c>
      <c r="L70" s="55">
        <f>(K70/K116)</f>
        <v>0</v>
      </c>
      <c r="M70" s="51"/>
      <c r="N70" s="51"/>
      <c r="O70" s="78"/>
      <c r="P70" s="51"/>
      <c r="Q70" s="51"/>
      <c r="R70" s="72"/>
    </row>
    <row r="71" ht="15.75" customHeight="1">
      <c r="A71" s="85"/>
      <c r="B71" s="85"/>
      <c r="C71" s="85"/>
      <c r="D71" s="51"/>
      <c r="E71" s="51"/>
      <c r="F71" s="78"/>
      <c r="G71" s="51"/>
      <c r="H71" s="51"/>
      <c r="I71" s="78"/>
      <c r="J71" s="121" t="s">
        <v>167</v>
      </c>
      <c r="K71" s="54">
        <f>COUNTIF('Itemization 202308'!L:L,J71)</f>
        <v>0</v>
      </c>
      <c r="L71" s="55">
        <f>(K71/K116)</f>
        <v>0</v>
      </c>
      <c r="M71" s="51"/>
      <c r="N71" s="51"/>
      <c r="O71" s="78"/>
      <c r="P71" s="51"/>
      <c r="Q71" s="51"/>
      <c r="R71" s="72"/>
    </row>
    <row r="72" ht="15.75" customHeight="1">
      <c r="A72" s="85"/>
      <c r="B72" s="85"/>
      <c r="C72" s="85"/>
      <c r="D72" s="51"/>
      <c r="E72" s="51"/>
      <c r="F72" s="78"/>
      <c r="G72" s="51"/>
      <c r="H72" s="51"/>
      <c r="I72" s="78"/>
      <c r="J72" s="121" t="s">
        <v>168</v>
      </c>
      <c r="K72" s="54">
        <f>COUNTIF('Itemization 202308'!L:L,J72)</f>
        <v>0</v>
      </c>
      <c r="L72" s="55">
        <f>(K72/K116)</f>
        <v>0</v>
      </c>
      <c r="M72" s="51"/>
      <c r="N72" s="51"/>
      <c r="O72" s="78"/>
      <c r="P72" s="51"/>
      <c r="Q72" s="51"/>
      <c r="R72" s="72"/>
    </row>
    <row r="73" ht="15.75" customHeight="1">
      <c r="A73" s="85"/>
      <c r="B73" s="85"/>
      <c r="C73" s="85"/>
      <c r="D73" s="51"/>
      <c r="E73" s="51"/>
      <c r="F73" s="78"/>
      <c r="G73" s="51"/>
      <c r="H73" s="51"/>
      <c r="I73" s="78"/>
      <c r="J73" s="124" t="s">
        <v>169</v>
      </c>
      <c r="K73" s="61">
        <f>COUNTIF('Itemization 202308'!L:L,J73)</f>
        <v>2</v>
      </c>
      <c r="L73" s="62">
        <f>(K73/K116)</f>
        <v>0.05405405405</v>
      </c>
      <c r="M73" s="51"/>
      <c r="N73" s="51"/>
      <c r="O73" s="78"/>
      <c r="P73" s="51"/>
      <c r="Q73" s="51"/>
      <c r="R73" s="72"/>
    </row>
    <row r="74" ht="15.75" customHeight="1">
      <c r="A74" s="85"/>
      <c r="B74" s="85"/>
      <c r="C74" s="85"/>
      <c r="D74" s="51"/>
      <c r="E74" s="51"/>
      <c r="F74" s="78"/>
      <c r="G74" s="51"/>
      <c r="H74" s="51"/>
      <c r="I74" s="78"/>
      <c r="J74" s="124" t="s">
        <v>170</v>
      </c>
      <c r="K74" s="61">
        <f>COUNTIF('Itemization 202308'!L:L,J74)</f>
        <v>2</v>
      </c>
      <c r="L74" s="62">
        <f>(K74/K116)</f>
        <v>0.05405405405</v>
      </c>
      <c r="M74" s="51"/>
      <c r="N74" s="51"/>
      <c r="O74" s="78"/>
      <c r="P74" s="51"/>
      <c r="Q74" s="51"/>
      <c r="R74" s="72"/>
    </row>
    <row r="75" ht="15.75" customHeight="1">
      <c r="A75" s="85"/>
      <c r="B75" s="85"/>
      <c r="C75" s="85"/>
      <c r="D75" s="51"/>
      <c r="E75" s="51"/>
      <c r="F75" s="78"/>
      <c r="G75" s="51"/>
      <c r="H75" s="51"/>
      <c r="I75" s="78"/>
      <c r="J75" s="121" t="s">
        <v>171</v>
      </c>
      <c r="K75" s="54">
        <f>COUNTIF('Itemization 202308'!L:L,J75)</f>
        <v>0</v>
      </c>
      <c r="L75" s="55">
        <f>(K75/K116)</f>
        <v>0</v>
      </c>
      <c r="M75" s="51"/>
      <c r="N75" s="51"/>
      <c r="O75" s="78"/>
      <c r="P75" s="51"/>
      <c r="Q75" s="51"/>
      <c r="R75" s="72"/>
    </row>
    <row r="76" ht="15.75" customHeight="1">
      <c r="A76" s="85"/>
      <c r="B76" s="85"/>
      <c r="C76" s="85"/>
      <c r="D76" s="51"/>
      <c r="E76" s="51"/>
      <c r="F76" s="78"/>
      <c r="G76" s="51"/>
      <c r="H76" s="51"/>
      <c r="I76" s="78"/>
      <c r="J76" s="124" t="s">
        <v>172</v>
      </c>
      <c r="K76" s="61">
        <f>COUNTIF('Itemization 202308'!L:L,J76)</f>
        <v>2</v>
      </c>
      <c r="L76" s="62">
        <f>(K76/K116)</f>
        <v>0.05405405405</v>
      </c>
      <c r="M76" s="51"/>
      <c r="N76" s="51"/>
      <c r="O76" s="78"/>
      <c r="P76" s="51"/>
      <c r="Q76" s="51"/>
      <c r="R76" s="72"/>
    </row>
    <row r="77" ht="15.75" customHeight="1">
      <c r="A77" s="85"/>
      <c r="B77" s="85"/>
      <c r="C77" s="85"/>
      <c r="D77" s="51"/>
      <c r="E77" s="51"/>
      <c r="F77" s="78"/>
      <c r="G77" s="51"/>
      <c r="H77" s="51"/>
      <c r="I77" s="78"/>
      <c r="J77" s="121" t="s">
        <v>173</v>
      </c>
      <c r="K77" s="54">
        <f>COUNTIF('Itemization 202308'!L:L,J77)</f>
        <v>0</v>
      </c>
      <c r="L77" s="55">
        <f>(K77/K116)</f>
        <v>0</v>
      </c>
      <c r="M77" s="51"/>
      <c r="N77" s="51"/>
      <c r="O77" s="78"/>
      <c r="P77" s="51"/>
      <c r="Q77" s="51"/>
      <c r="R77" s="72"/>
    </row>
    <row r="78" ht="15.75" customHeight="1">
      <c r="A78" s="85"/>
      <c r="B78" s="85"/>
      <c r="C78" s="85"/>
      <c r="D78" s="51"/>
      <c r="E78" s="51"/>
      <c r="F78" s="78"/>
      <c r="G78" s="51"/>
      <c r="H78" s="51"/>
      <c r="I78" s="78"/>
      <c r="J78" s="121" t="s">
        <v>174</v>
      </c>
      <c r="K78" s="54">
        <f>COUNTIF('Itemization 202308'!L:L,J78)</f>
        <v>0</v>
      </c>
      <c r="L78" s="55">
        <f>(K78/K116)</f>
        <v>0</v>
      </c>
      <c r="M78" s="51"/>
      <c r="N78" s="51"/>
      <c r="O78" s="78"/>
      <c r="P78" s="51"/>
      <c r="Q78" s="51"/>
      <c r="R78" s="72"/>
    </row>
    <row r="79" ht="15.75" customHeight="1">
      <c r="A79" s="85"/>
      <c r="B79" s="85"/>
      <c r="C79" s="85"/>
      <c r="D79" s="51"/>
      <c r="E79" s="51"/>
      <c r="F79" s="78"/>
      <c r="G79" s="51"/>
      <c r="H79" s="51"/>
      <c r="I79" s="78"/>
      <c r="J79" s="121" t="s">
        <v>175</v>
      </c>
      <c r="K79" s="54">
        <f>COUNTIF('Itemization 202308'!L:L,J79)</f>
        <v>0</v>
      </c>
      <c r="L79" s="55">
        <f>(K79/K116)</f>
        <v>0</v>
      </c>
      <c r="M79" s="51"/>
      <c r="N79" s="51"/>
      <c r="O79" s="78"/>
      <c r="P79" s="51"/>
      <c r="Q79" s="51"/>
      <c r="R79" s="72"/>
    </row>
    <row r="80" ht="15.75" customHeight="1">
      <c r="A80" s="85"/>
      <c r="B80" s="85"/>
      <c r="C80" s="85"/>
      <c r="D80" s="51"/>
      <c r="E80" s="51"/>
      <c r="F80" s="78"/>
      <c r="G80" s="51"/>
      <c r="H80" s="51"/>
      <c r="I80" s="78"/>
      <c r="J80" s="121" t="s">
        <v>176</v>
      </c>
      <c r="K80" s="54">
        <f>COUNTIF('Itemization 202308'!L:L,J80)</f>
        <v>0</v>
      </c>
      <c r="L80" s="55">
        <f>(K80/K116)</f>
        <v>0</v>
      </c>
      <c r="M80" s="51"/>
      <c r="N80" s="51"/>
      <c r="O80" s="78"/>
      <c r="P80" s="51"/>
      <c r="Q80" s="51"/>
      <c r="R80" s="72"/>
    </row>
    <row r="81" ht="15.75" customHeight="1">
      <c r="A81" s="85"/>
      <c r="B81" s="85"/>
      <c r="C81" s="85"/>
      <c r="D81" s="51"/>
      <c r="E81" s="51"/>
      <c r="F81" s="78"/>
      <c r="G81" s="51"/>
      <c r="H81" s="51"/>
      <c r="I81" s="78"/>
      <c r="J81" s="121" t="s">
        <v>177</v>
      </c>
      <c r="K81" s="54">
        <f>COUNTIF('Itemization 202308'!L:L,J81)</f>
        <v>0</v>
      </c>
      <c r="L81" s="55">
        <f>(K81/K116)</f>
        <v>0</v>
      </c>
      <c r="M81" s="51"/>
      <c r="N81" s="51"/>
      <c r="O81" s="78"/>
      <c r="P81" s="51"/>
      <c r="Q81" s="51"/>
      <c r="R81" s="72"/>
    </row>
    <row r="82" ht="15.75" customHeight="1">
      <c r="A82" s="85"/>
      <c r="B82" s="85"/>
      <c r="C82" s="85"/>
      <c r="D82" s="51"/>
      <c r="E82" s="51"/>
      <c r="F82" s="78"/>
      <c r="G82" s="51"/>
      <c r="H82" s="51"/>
      <c r="I82" s="78"/>
      <c r="J82" s="121" t="s">
        <v>178</v>
      </c>
      <c r="K82" s="54">
        <f>COUNTIF('Itemization 202308'!L:L,J82)</f>
        <v>0</v>
      </c>
      <c r="L82" s="55">
        <f>(K82/K116)</f>
        <v>0</v>
      </c>
      <c r="M82" s="51"/>
      <c r="N82" s="51"/>
      <c r="O82" s="78"/>
      <c r="P82" s="51"/>
      <c r="Q82" s="51"/>
      <c r="R82" s="72"/>
    </row>
    <row r="83" ht="15.75" customHeight="1">
      <c r="A83" s="85"/>
      <c r="B83" s="85"/>
      <c r="C83" s="85"/>
      <c r="D83" s="51"/>
      <c r="E83" s="51"/>
      <c r="F83" s="78"/>
      <c r="G83" s="51"/>
      <c r="H83" s="51"/>
      <c r="I83" s="78"/>
      <c r="J83" s="121" t="s">
        <v>179</v>
      </c>
      <c r="K83" s="54">
        <f>COUNTIF('Itemization 202308'!L:L,J83)</f>
        <v>0</v>
      </c>
      <c r="L83" s="55">
        <f>(K83/K116)</f>
        <v>0</v>
      </c>
      <c r="M83" s="51"/>
      <c r="N83" s="51"/>
      <c r="O83" s="78"/>
      <c r="P83" s="51"/>
      <c r="Q83" s="51"/>
      <c r="R83" s="72"/>
    </row>
    <row r="84" ht="15.75" customHeight="1">
      <c r="A84" s="85"/>
      <c r="B84" s="85"/>
      <c r="C84" s="85"/>
      <c r="D84" s="51"/>
      <c r="E84" s="51"/>
      <c r="F84" s="78"/>
      <c r="G84" s="51"/>
      <c r="H84" s="51"/>
      <c r="I84" s="78"/>
      <c r="J84" s="121" t="s">
        <v>180</v>
      </c>
      <c r="K84" s="54">
        <f>COUNTIF('Itemization 202308'!L:L,J84)</f>
        <v>0</v>
      </c>
      <c r="L84" s="55">
        <f>(K84/K116)</f>
        <v>0</v>
      </c>
      <c r="M84" s="51"/>
      <c r="N84" s="51"/>
      <c r="O84" s="78"/>
      <c r="P84" s="51"/>
      <c r="Q84" s="51"/>
      <c r="R84" s="72"/>
    </row>
    <row r="85" ht="15.75" customHeight="1">
      <c r="A85" s="85"/>
      <c r="B85" s="85"/>
      <c r="C85" s="85"/>
      <c r="D85" s="51"/>
      <c r="E85" s="51"/>
      <c r="F85" s="78"/>
      <c r="G85" s="51"/>
      <c r="H85" s="51"/>
      <c r="I85" s="78"/>
      <c r="J85" s="121" t="s">
        <v>181</v>
      </c>
      <c r="K85" s="54">
        <f>COUNTIF('Itemization 202308'!L:L,J85)</f>
        <v>0</v>
      </c>
      <c r="L85" s="55">
        <f>(K85/K116)</f>
        <v>0</v>
      </c>
      <c r="M85" s="51"/>
      <c r="N85" s="51"/>
      <c r="O85" s="78"/>
      <c r="P85" s="51"/>
      <c r="Q85" s="51"/>
      <c r="R85" s="72"/>
    </row>
    <row r="86" ht="15.75" customHeight="1">
      <c r="A86" s="85"/>
      <c r="B86" s="85"/>
      <c r="C86" s="85"/>
      <c r="D86" s="51"/>
      <c r="E86" s="51"/>
      <c r="F86" s="78"/>
      <c r="G86" s="51"/>
      <c r="H86" s="51"/>
      <c r="I86" s="78"/>
      <c r="J86" s="121" t="s">
        <v>182</v>
      </c>
      <c r="K86" s="54">
        <f>COUNTIF('Itemization 202308'!L:L,J86)</f>
        <v>0</v>
      </c>
      <c r="L86" s="55">
        <f>(K86/K116)</f>
        <v>0</v>
      </c>
      <c r="M86" s="51"/>
      <c r="N86" s="51"/>
      <c r="O86" s="78"/>
      <c r="P86" s="51"/>
      <c r="Q86" s="51"/>
      <c r="R86" s="72"/>
    </row>
    <row r="87" ht="15.75" customHeight="1">
      <c r="A87" s="85"/>
      <c r="B87" s="85"/>
      <c r="C87" s="85"/>
      <c r="D87" s="51"/>
      <c r="E87" s="51"/>
      <c r="F87" s="78"/>
      <c r="G87" s="51"/>
      <c r="H87" s="51"/>
      <c r="I87" s="78"/>
      <c r="J87" s="121" t="s">
        <v>183</v>
      </c>
      <c r="K87" s="54">
        <f>COUNTIF('Itemization 202308'!L:L,J87)</f>
        <v>0</v>
      </c>
      <c r="L87" s="55">
        <f>(K87/K116)</f>
        <v>0</v>
      </c>
      <c r="M87" s="51"/>
      <c r="N87" s="51"/>
      <c r="O87" s="78"/>
      <c r="P87" s="51"/>
      <c r="Q87" s="51"/>
      <c r="R87" s="72"/>
    </row>
    <row r="88" ht="15.75" customHeight="1">
      <c r="A88" s="85"/>
      <c r="B88" s="85"/>
      <c r="C88" s="85"/>
      <c r="D88" s="51"/>
      <c r="E88" s="51"/>
      <c r="F88" s="78"/>
      <c r="G88" s="51"/>
      <c r="H88" s="51"/>
      <c r="I88" s="78"/>
      <c r="J88" s="124" t="s">
        <v>184</v>
      </c>
      <c r="K88" s="61">
        <f>COUNTIF('Itemization 202308'!L:L,J88)</f>
        <v>2</v>
      </c>
      <c r="L88" s="62">
        <f>(K88/K116)</f>
        <v>0.05405405405</v>
      </c>
      <c r="M88" s="51"/>
      <c r="N88" s="51"/>
      <c r="O88" s="78"/>
      <c r="P88" s="51"/>
      <c r="Q88" s="51"/>
      <c r="R88" s="72"/>
    </row>
    <row r="89" ht="15.75" customHeight="1">
      <c r="A89" s="85"/>
      <c r="B89" s="85"/>
      <c r="C89" s="85"/>
      <c r="D89" s="51"/>
      <c r="E89" s="51"/>
      <c r="F89" s="78"/>
      <c r="G89" s="51"/>
      <c r="H89" s="51"/>
      <c r="I89" s="78"/>
      <c r="J89" s="121" t="s">
        <v>185</v>
      </c>
      <c r="K89" s="54">
        <f>COUNTIF('Itemization 202308'!L:L,J89)</f>
        <v>0</v>
      </c>
      <c r="L89" s="55">
        <f>(K89/K116)</f>
        <v>0</v>
      </c>
      <c r="M89" s="51"/>
      <c r="N89" s="51"/>
      <c r="O89" s="78"/>
      <c r="P89" s="51"/>
      <c r="Q89" s="51"/>
      <c r="R89" s="72"/>
    </row>
    <row r="90" ht="15.75" customHeight="1">
      <c r="A90" s="85"/>
      <c r="B90" s="85"/>
      <c r="C90" s="85"/>
      <c r="D90" s="51"/>
      <c r="E90" s="51"/>
      <c r="F90" s="78"/>
      <c r="G90" s="51"/>
      <c r="H90" s="51"/>
      <c r="I90" s="78"/>
      <c r="J90" s="121" t="s">
        <v>186</v>
      </c>
      <c r="K90" s="54">
        <f>COUNTIF('Itemization 202308'!L:L,J90)</f>
        <v>0</v>
      </c>
      <c r="L90" s="55">
        <f>(K90/K116)</f>
        <v>0</v>
      </c>
      <c r="M90" s="51"/>
      <c r="N90" s="51"/>
      <c r="O90" s="78"/>
      <c r="P90" s="51"/>
      <c r="Q90" s="51"/>
      <c r="R90" s="72"/>
    </row>
    <row r="91" ht="15.75" customHeight="1">
      <c r="A91" s="85"/>
      <c r="B91" s="85"/>
      <c r="C91" s="85"/>
      <c r="D91" s="51"/>
      <c r="E91" s="51"/>
      <c r="F91" s="78"/>
      <c r="G91" s="51"/>
      <c r="H91" s="51"/>
      <c r="I91" s="78"/>
      <c r="J91" s="121" t="s">
        <v>187</v>
      </c>
      <c r="K91" s="54">
        <f>COUNTIF('Itemization 202308'!L:L,J91)</f>
        <v>0</v>
      </c>
      <c r="L91" s="55">
        <f>(K91/K116)</f>
        <v>0</v>
      </c>
      <c r="M91" s="51"/>
      <c r="N91" s="51"/>
      <c r="O91" s="78"/>
      <c r="P91" s="51"/>
      <c r="Q91" s="51"/>
      <c r="R91" s="72"/>
    </row>
    <row r="92" ht="15.75" customHeight="1">
      <c r="A92" s="85"/>
      <c r="B92" s="85"/>
      <c r="C92" s="85"/>
      <c r="D92" s="51"/>
      <c r="E92" s="51"/>
      <c r="F92" s="78"/>
      <c r="G92" s="51"/>
      <c r="H92" s="51"/>
      <c r="I92" s="78"/>
      <c r="J92" s="121" t="s">
        <v>188</v>
      </c>
      <c r="K92" s="54">
        <f>COUNTIF('Itemization 202308'!L:L,J92)</f>
        <v>0</v>
      </c>
      <c r="L92" s="55">
        <f>(K92/K116)</f>
        <v>0</v>
      </c>
      <c r="M92" s="51"/>
      <c r="N92" s="51"/>
      <c r="O92" s="78"/>
      <c r="P92" s="51"/>
      <c r="Q92" s="51"/>
      <c r="R92" s="72"/>
    </row>
    <row r="93" ht="15.75" customHeight="1">
      <c r="A93" s="85"/>
      <c r="B93" s="85"/>
      <c r="C93" s="85"/>
      <c r="D93" s="51"/>
      <c r="E93" s="51"/>
      <c r="F93" s="78"/>
      <c r="G93" s="51"/>
      <c r="H93" s="51"/>
      <c r="I93" s="78"/>
      <c r="J93" s="121" t="s">
        <v>189</v>
      </c>
      <c r="K93" s="54">
        <f>COUNTIF('Itemization 202308'!L:L,J93)</f>
        <v>0</v>
      </c>
      <c r="L93" s="55">
        <f>(K93/K116)</f>
        <v>0</v>
      </c>
      <c r="M93" s="51"/>
      <c r="N93" s="51"/>
      <c r="O93" s="78"/>
      <c r="P93" s="51"/>
      <c r="Q93" s="51"/>
      <c r="R93" s="72"/>
    </row>
    <row r="94" ht="15.75" customHeight="1">
      <c r="A94" s="85"/>
      <c r="B94" s="85"/>
      <c r="C94" s="85"/>
      <c r="D94" s="51"/>
      <c r="E94" s="51"/>
      <c r="F94" s="78"/>
      <c r="G94" s="51"/>
      <c r="H94" s="51"/>
      <c r="I94" s="78"/>
      <c r="J94" s="121" t="s">
        <v>190</v>
      </c>
      <c r="K94" s="54">
        <f>COUNTIF('Itemization 202308'!L:L,J94)</f>
        <v>0</v>
      </c>
      <c r="L94" s="55">
        <f>(K94/K116)</f>
        <v>0</v>
      </c>
      <c r="M94" s="51"/>
      <c r="N94" s="51"/>
      <c r="O94" s="78"/>
      <c r="P94" s="51"/>
      <c r="Q94" s="51"/>
      <c r="R94" s="72"/>
    </row>
    <row r="95" ht="15.75" customHeight="1">
      <c r="A95" s="85"/>
      <c r="B95" s="85"/>
      <c r="C95" s="85"/>
      <c r="D95" s="51"/>
      <c r="E95" s="51"/>
      <c r="F95" s="78"/>
      <c r="G95" s="51"/>
      <c r="H95" s="51"/>
      <c r="I95" s="78"/>
      <c r="J95" s="121" t="s">
        <v>191</v>
      </c>
      <c r="K95" s="54">
        <f>COUNTIF('Itemization 202308'!L:L,J95)</f>
        <v>0</v>
      </c>
      <c r="L95" s="55">
        <f>(K95/K116)</f>
        <v>0</v>
      </c>
      <c r="M95" s="51"/>
      <c r="N95" s="51"/>
      <c r="O95" s="78"/>
      <c r="P95" s="51"/>
      <c r="Q95" s="51"/>
      <c r="R95" s="72"/>
    </row>
    <row r="96" ht="15.75" customHeight="1">
      <c r="A96" s="85"/>
      <c r="B96" s="85"/>
      <c r="C96" s="85"/>
      <c r="D96" s="51"/>
      <c r="E96" s="51"/>
      <c r="F96" s="78"/>
      <c r="G96" s="51"/>
      <c r="H96" s="51"/>
      <c r="I96" s="78"/>
      <c r="J96" s="121" t="s">
        <v>192</v>
      </c>
      <c r="K96" s="54">
        <f>COUNTIF('Itemization 202308'!L:L,J96)</f>
        <v>0</v>
      </c>
      <c r="L96" s="55">
        <f>(K96/K116)</f>
        <v>0</v>
      </c>
      <c r="M96" s="51"/>
      <c r="N96" s="51"/>
      <c r="O96" s="78"/>
      <c r="P96" s="51"/>
      <c r="Q96" s="51"/>
      <c r="R96" s="72"/>
    </row>
    <row r="97" ht="15.75" customHeight="1">
      <c r="A97" s="85"/>
      <c r="B97" s="85"/>
      <c r="C97" s="85"/>
      <c r="D97" s="51"/>
      <c r="E97" s="51"/>
      <c r="F97" s="78"/>
      <c r="G97" s="51"/>
      <c r="H97" s="51"/>
      <c r="I97" s="78"/>
      <c r="J97" s="121" t="s">
        <v>193</v>
      </c>
      <c r="K97" s="54">
        <f>COUNTIF('Itemization 202308'!L:L,J97)</f>
        <v>0</v>
      </c>
      <c r="L97" s="55">
        <f>(K97/K116)</f>
        <v>0</v>
      </c>
      <c r="M97" s="51"/>
      <c r="N97" s="51"/>
      <c r="O97" s="78"/>
      <c r="P97" s="51"/>
      <c r="Q97" s="51"/>
      <c r="R97" s="72"/>
    </row>
    <row r="98" ht="15.75" customHeight="1">
      <c r="A98" s="85"/>
      <c r="B98" s="85"/>
      <c r="C98" s="85"/>
      <c r="D98" s="51"/>
      <c r="E98" s="51"/>
      <c r="F98" s="78"/>
      <c r="G98" s="51"/>
      <c r="H98" s="51"/>
      <c r="I98" s="78"/>
      <c r="J98" s="122" t="s">
        <v>194</v>
      </c>
      <c r="K98" s="57">
        <f>COUNTIF('Itemization 202308'!L:L,J98)</f>
        <v>1</v>
      </c>
      <c r="L98" s="58">
        <f>(K98/K116)</f>
        <v>0.02702702703</v>
      </c>
      <c r="M98" s="51"/>
      <c r="N98" s="51"/>
      <c r="O98" s="78"/>
      <c r="P98" s="51"/>
      <c r="Q98" s="51"/>
      <c r="R98" s="72"/>
    </row>
    <row r="99" ht="15.75" customHeight="1">
      <c r="A99" s="85"/>
      <c r="B99" s="85"/>
      <c r="C99" s="85"/>
      <c r="D99" s="51"/>
      <c r="E99" s="51"/>
      <c r="F99" s="78"/>
      <c r="G99" s="51"/>
      <c r="H99" s="51"/>
      <c r="I99" s="78"/>
      <c r="J99" s="121" t="s">
        <v>195</v>
      </c>
      <c r="K99" s="54">
        <f>COUNTIF('Itemization 202308'!L:L,J99)</f>
        <v>0</v>
      </c>
      <c r="L99" s="55">
        <f>(K99/K116)</f>
        <v>0</v>
      </c>
      <c r="M99" s="51"/>
      <c r="N99" s="51"/>
      <c r="O99" s="78"/>
      <c r="P99" s="51"/>
      <c r="Q99" s="51"/>
      <c r="R99" s="72"/>
    </row>
    <row r="100" ht="15.75" customHeight="1">
      <c r="A100" s="85"/>
      <c r="B100" s="85"/>
      <c r="C100" s="85"/>
      <c r="D100" s="51"/>
      <c r="E100" s="51"/>
      <c r="F100" s="78"/>
      <c r="G100" s="51"/>
      <c r="H100" s="51"/>
      <c r="I100" s="78"/>
      <c r="J100" s="124" t="s">
        <v>196</v>
      </c>
      <c r="K100" s="61">
        <f>COUNTIF('Itemization 202308'!L:L,J100)</f>
        <v>2</v>
      </c>
      <c r="L100" s="62">
        <f>(K100/K116)</f>
        <v>0.05405405405</v>
      </c>
      <c r="M100" s="51"/>
      <c r="N100" s="51"/>
      <c r="O100" s="78"/>
      <c r="P100" s="51"/>
      <c r="Q100" s="51"/>
      <c r="R100" s="72"/>
    </row>
    <row r="101" ht="15.75" customHeight="1">
      <c r="A101" s="85"/>
      <c r="B101" s="85"/>
      <c r="C101" s="85"/>
      <c r="D101" s="51"/>
      <c r="E101" s="51"/>
      <c r="F101" s="78"/>
      <c r="G101" s="51"/>
      <c r="H101" s="51"/>
      <c r="I101" s="78"/>
      <c r="J101" s="122" t="s">
        <v>197</v>
      </c>
      <c r="K101" s="57">
        <f>COUNTIF('Itemization 202308'!L:L,J101)</f>
        <v>1</v>
      </c>
      <c r="L101" s="58">
        <f>(K101/K116)</f>
        <v>0.02702702703</v>
      </c>
      <c r="M101" s="51"/>
      <c r="N101" s="51"/>
      <c r="O101" s="78"/>
      <c r="P101" s="51"/>
      <c r="Q101" s="51"/>
      <c r="R101" s="72"/>
    </row>
    <row r="102" ht="15.75" customHeight="1">
      <c r="A102" s="85"/>
      <c r="B102" s="85"/>
      <c r="C102" s="85"/>
      <c r="D102" s="51"/>
      <c r="E102" s="51"/>
      <c r="F102" s="78"/>
      <c r="G102" s="51"/>
      <c r="H102" s="51"/>
      <c r="I102" s="78"/>
      <c r="J102" s="121" t="s">
        <v>198</v>
      </c>
      <c r="K102" s="54">
        <f>COUNTIF('Itemization 202308'!L:L,J102)</f>
        <v>0</v>
      </c>
      <c r="L102" s="55">
        <f>(K102/K116)</f>
        <v>0</v>
      </c>
      <c r="M102" s="51"/>
      <c r="N102" s="51"/>
      <c r="O102" s="78"/>
      <c r="P102" s="51"/>
      <c r="Q102" s="51"/>
      <c r="R102" s="72"/>
    </row>
    <row r="103" ht="15.75" customHeight="1">
      <c r="A103" s="85"/>
      <c r="B103" s="85"/>
      <c r="C103" s="85"/>
      <c r="D103" s="51"/>
      <c r="E103" s="51"/>
      <c r="F103" s="78"/>
      <c r="G103" s="51"/>
      <c r="H103" s="51"/>
      <c r="I103" s="78"/>
      <c r="J103" s="126" t="s">
        <v>199</v>
      </c>
      <c r="K103" s="48">
        <f>COUNTIF('Itemization 202308'!L:L,J103)</f>
        <v>3</v>
      </c>
      <c r="L103" s="49">
        <f>(K103/K116)</f>
        <v>0.08108108108</v>
      </c>
      <c r="M103" s="51"/>
      <c r="N103" s="51"/>
      <c r="O103" s="78"/>
      <c r="P103" s="51"/>
      <c r="Q103" s="51"/>
      <c r="R103" s="72"/>
    </row>
    <row r="104" ht="15.75" customHeight="1">
      <c r="A104" s="85"/>
      <c r="B104" s="85"/>
      <c r="C104" s="85"/>
      <c r="D104" s="51"/>
      <c r="E104" s="51"/>
      <c r="F104" s="78"/>
      <c r="G104" s="51"/>
      <c r="H104" s="51"/>
      <c r="I104" s="78"/>
      <c r="J104" s="121" t="s">
        <v>200</v>
      </c>
      <c r="K104" s="54">
        <f>COUNTIF('Itemization 202308'!L:L,J104)</f>
        <v>0</v>
      </c>
      <c r="L104" s="55">
        <f>(K104/K116)</f>
        <v>0</v>
      </c>
      <c r="M104" s="51"/>
      <c r="N104" s="51"/>
      <c r="O104" s="78"/>
      <c r="P104" s="51"/>
      <c r="Q104" s="51"/>
      <c r="R104" s="72"/>
    </row>
    <row r="105" ht="15.75" customHeight="1">
      <c r="A105" s="85"/>
      <c r="B105" s="85"/>
      <c r="C105" s="85"/>
      <c r="D105" s="51"/>
      <c r="E105" s="51"/>
      <c r="F105" s="78"/>
      <c r="G105" s="51"/>
      <c r="H105" s="51"/>
      <c r="I105" s="78"/>
      <c r="J105" s="121" t="s">
        <v>201</v>
      </c>
      <c r="K105" s="54">
        <f>COUNTIF('Itemization 202308'!L:L,J105)</f>
        <v>0</v>
      </c>
      <c r="L105" s="55">
        <f>(K105/K116)</f>
        <v>0</v>
      </c>
      <c r="M105" s="51"/>
      <c r="N105" s="51"/>
      <c r="O105" s="78"/>
      <c r="P105" s="51"/>
      <c r="Q105" s="51"/>
      <c r="R105" s="72"/>
    </row>
    <row r="106" ht="15.75" customHeight="1">
      <c r="A106" s="85"/>
      <c r="B106" s="85"/>
      <c r="C106" s="85"/>
      <c r="D106" s="51"/>
      <c r="E106" s="51"/>
      <c r="F106" s="78"/>
      <c r="G106" s="51"/>
      <c r="H106" s="51"/>
      <c r="I106" s="78"/>
      <c r="J106" s="121" t="s">
        <v>202</v>
      </c>
      <c r="K106" s="54">
        <f>COUNTIF('Itemization 202308'!L:L,J106)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COUNTIF('Itemization 202308'!L:L,J107)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COUNTIF('Itemization 202308'!L:L,J108)</f>
        <v>0</v>
      </c>
      <c r="L108" s="55">
        <f>(K108/K116)</f>
        <v>0</v>
      </c>
      <c r="M108" s="51"/>
      <c r="N108" s="51"/>
      <c r="O108" s="78"/>
      <c r="P108" s="51"/>
      <c r="Q108" s="51"/>
      <c r="R108" s="72"/>
    </row>
    <row r="109" ht="15.75" customHeight="1">
      <c r="A109" s="85"/>
      <c r="B109" s="85"/>
      <c r="C109" s="85"/>
      <c r="D109" s="51"/>
      <c r="E109" s="51"/>
      <c r="F109" s="78"/>
      <c r="G109" s="51"/>
      <c r="H109" s="51"/>
      <c r="I109" s="78"/>
      <c r="J109" s="124" t="s">
        <v>205</v>
      </c>
      <c r="K109" s="61">
        <f>COUNTIF('Itemization 202308'!L:L,J109)</f>
        <v>2</v>
      </c>
      <c r="L109" s="62">
        <f>(K109/K116)</f>
        <v>0.05405405405</v>
      </c>
      <c r="M109" s="51"/>
      <c r="N109" s="51"/>
      <c r="O109" s="78"/>
      <c r="P109" s="51"/>
      <c r="Q109" s="51"/>
      <c r="R109" s="72"/>
    </row>
    <row r="110" ht="15.75" customHeight="1">
      <c r="A110" s="85"/>
      <c r="B110" s="85"/>
      <c r="C110" s="85"/>
      <c r="D110" s="51"/>
      <c r="E110" s="51"/>
      <c r="F110" s="78"/>
      <c r="G110" s="51"/>
      <c r="H110" s="51"/>
      <c r="I110" s="78"/>
      <c r="J110" s="121" t="s">
        <v>206</v>
      </c>
      <c r="K110" s="54">
        <f>COUNTIF('Itemization 202308'!L:L,J110)</f>
        <v>0</v>
      </c>
      <c r="L110" s="55">
        <f>(K110/K116)</f>
        <v>0</v>
      </c>
      <c r="M110" s="51"/>
      <c r="N110" s="51"/>
      <c r="O110" s="78"/>
      <c r="P110" s="51"/>
      <c r="Q110" s="51"/>
      <c r="R110" s="72"/>
    </row>
    <row r="111" ht="15.75" customHeight="1">
      <c r="A111" s="85"/>
      <c r="B111" s="85"/>
      <c r="C111" s="85"/>
      <c r="D111" s="51"/>
      <c r="E111" s="51"/>
      <c r="F111" s="78"/>
      <c r="G111" s="51"/>
      <c r="H111" s="51"/>
      <c r="I111" s="78"/>
      <c r="J111" s="121" t="s">
        <v>207</v>
      </c>
      <c r="K111" s="54">
        <f>COUNTIF('Itemization 202308'!L:L,J111)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COUNTIF('Itemization 202308'!L:L,J112)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COUNTIF('Itemization 202308'!L:L,J113)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COUNTIF('Itemization 202308'!L:L,J114)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COUNTIF('Itemization 202308'!L:L,J115)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37</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37.63"/>
    <col hidden="1" min="21" max="27" width="12.63"/>
    <col customWidth="1" hidden="1" min="28" max="28" width="25.88"/>
  </cols>
  <sheetData>
    <row r="1">
      <c r="A1" s="320"/>
      <c r="B1" s="320"/>
      <c r="C1" s="320"/>
      <c r="D1" s="321"/>
      <c r="E1" s="321"/>
      <c r="F1" s="321"/>
      <c r="G1" s="321"/>
      <c r="H1" s="322" t="s">
        <v>76</v>
      </c>
      <c r="L1" s="322" t="s">
        <v>0</v>
      </c>
      <c r="O1" s="322" t="s">
        <v>221</v>
      </c>
      <c r="U1" s="321"/>
      <c r="V1" s="321"/>
      <c r="W1" s="321"/>
      <c r="X1" s="321"/>
      <c r="Y1" s="321"/>
      <c r="Z1" s="321"/>
      <c r="AA1" s="321"/>
      <c r="AB1" s="321"/>
    </row>
    <row r="2">
      <c r="A2" s="258" t="s">
        <v>222</v>
      </c>
      <c r="B2" s="259" t="s">
        <v>223</v>
      </c>
      <c r="C2" s="259" t="s">
        <v>224</v>
      </c>
      <c r="D2" s="259" t="s">
        <v>225</v>
      </c>
      <c r="E2" s="259" t="s">
        <v>226</v>
      </c>
      <c r="F2" s="259" t="s">
        <v>227</v>
      </c>
      <c r="G2" s="259" t="s">
        <v>228</v>
      </c>
      <c r="H2" s="258" t="s">
        <v>63</v>
      </c>
      <c r="I2" s="259" t="s">
        <v>229</v>
      </c>
      <c r="J2" s="259" t="s">
        <v>77</v>
      </c>
      <c r="K2" s="260" t="s">
        <v>78</v>
      </c>
      <c r="L2" s="260" t="s">
        <v>79</v>
      </c>
      <c r="M2" s="261" t="s">
        <v>71</v>
      </c>
      <c r="N2" s="262" t="s">
        <v>72</v>
      </c>
      <c r="O2" s="261" t="s">
        <v>2</v>
      </c>
      <c r="P2" s="259" t="s">
        <v>230</v>
      </c>
      <c r="Q2" s="262" t="s">
        <v>231</v>
      </c>
      <c r="R2" s="262" t="s">
        <v>232</v>
      </c>
      <c r="S2" s="262" t="s">
        <v>233</v>
      </c>
      <c r="T2" s="261" t="s">
        <v>234</v>
      </c>
      <c r="U2" s="259" t="s">
        <v>235</v>
      </c>
      <c r="V2" s="259" t="s">
        <v>236</v>
      </c>
      <c r="W2" s="259" t="s">
        <v>237</v>
      </c>
      <c r="X2" s="259" t="s">
        <v>238</v>
      </c>
      <c r="Y2" s="259" t="s">
        <v>239</v>
      </c>
      <c r="Z2" s="259" t="s">
        <v>240</v>
      </c>
      <c r="AA2" s="258" t="s">
        <v>241</v>
      </c>
      <c r="AB2" s="263" t="s">
        <v>242</v>
      </c>
    </row>
    <row r="3" ht="15.75" customHeight="1">
      <c r="A3" s="264" t="s">
        <v>243</v>
      </c>
      <c r="B3" s="265" t="s">
        <v>244</v>
      </c>
      <c r="C3" s="265">
        <v>1.0</v>
      </c>
      <c r="D3" s="266">
        <v>2.0</v>
      </c>
      <c r="E3" s="265"/>
      <c r="F3" s="267"/>
      <c r="G3" s="265"/>
      <c r="H3" s="268" t="s">
        <v>397</v>
      </c>
      <c r="I3" s="265" t="s">
        <v>82</v>
      </c>
      <c r="J3" s="265" t="s">
        <v>83</v>
      </c>
      <c r="K3" s="284" t="s">
        <v>250</v>
      </c>
      <c r="L3" s="284" t="s">
        <v>108</v>
      </c>
      <c r="M3" s="264">
        <v>14.0</v>
      </c>
      <c r="N3" s="264" t="s">
        <v>89</v>
      </c>
      <c r="O3" s="271" t="str">
        <f>IFERROR(VLOOKUP(K3,'US History Framework Standards'!$A:$E,2,false),"")</f>
        <v>Constitutional Foundations (1763–1824)</v>
      </c>
      <c r="P3" s="324" t="str">
        <f>IFERROR(__xludf.DUMMYFUNCTION("IFERROR(Index(SPLIT(#REF!,"".""),1,1))"),"")</f>
        <v/>
      </c>
      <c r="Q3" s="324" t="str">
        <f>IFERROR(__xludf.DUMMYFUNCTION("IFERROR(Index(SPLIT(#REF!,"".""),1,2))"),"")</f>
        <v/>
      </c>
      <c r="R3" s="324" t="str">
        <f>IFERROR(VLOOKUP(#REF!,'US History Framework Standards'!$A:$E,3,false),"")</f>
        <v/>
      </c>
      <c r="S3" s="324" t="str">
        <f>IFERROR(__xludf.DUMMYFUNCTION("IFERROR(Index(SPLIT(#REF!,"".""),1,3)&amp;Index(SPLIT(#REF!,"".""),1,4))"),"")</f>
        <v/>
      </c>
      <c r="T3" s="271" t="str">
        <f>iferror(VLOOKUP(L3,'US History Framework Standards'!$A:$E,2,false),"")</f>
        <v>Federalist vs. Antifederalist</v>
      </c>
      <c r="U3" s="265">
        <v>1.0</v>
      </c>
      <c r="V3" s="265" t="s">
        <v>247</v>
      </c>
      <c r="W3" s="265">
        <v>1201718.0</v>
      </c>
      <c r="X3" s="267"/>
      <c r="Y3" s="267"/>
      <c r="Z3" s="264" t="s">
        <v>248</v>
      </c>
      <c r="AA3" s="272"/>
      <c r="AB3" s="272" t="str">
        <f t="shared" ref="AB3:AB30" si="1">V3&amp;"_"&amp;W3&amp;"_"&amp;A3&amp;".jpg"</f>
        <v>HXRG_1201718_Multiple Choice.jpg</v>
      </c>
    </row>
    <row r="4" ht="15.75" customHeight="1">
      <c r="A4" s="264" t="s">
        <v>243</v>
      </c>
      <c r="B4" s="265" t="s">
        <v>244</v>
      </c>
      <c r="C4" s="265">
        <v>2.0</v>
      </c>
      <c r="D4" s="266">
        <v>3.0</v>
      </c>
      <c r="E4" s="265"/>
      <c r="F4" s="267"/>
      <c r="G4" s="265"/>
      <c r="H4" s="268" t="s">
        <v>397</v>
      </c>
      <c r="I4" s="265" t="s">
        <v>82</v>
      </c>
      <c r="J4" s="265" t="s">
        <v>83</v>
      </c>
      <c r="K4" s="284" t="s">
        <v>250</v>
      </c>
      <c r="L4" s="284" t="s">
        <v>108</v>
      </c>
      <c r="M4" s="264">
        <v>2.0</v>
      </c>
      <c r="N4" s="264" t="s">
        <v>85</v>
      </c>
      <c r="O4" s="271" t="str">
        <f>IFERROR(VLOOKUP(K4,'US History Framework Standards'!$A:$E,2,false),"")</f>
        <v>Constitutional Foundations (1763–1824)</v>
      </c>
      <c r="P4" s="324" t="str">
        <f>IFERROR(__xludf.DUMMYFUNCTION("IFERROR(Index(SPLIT(#REF!,"".""),1,1))"),"")</f>
        <v/>
      </c>
      <c r="Q4" s="324" t="str">
        <f>IFERROR(__xludf.DUMMYFUNCTION("IFERROR(Index(SPLIT(#REF!,"".""),1,2))"),"")</f>
        <v/>
      </c>
      <c r="R4" s="324" t="str">
        <f>IFERROR(VLOOKUP(#REF!,'US History Framework Standards'!$A:$E,3,false),"")</f>
        <v/>
      </c>
      <c r="S4" s="324" t="str">
        <f>IFERROR(__xludf.DUMMYFUNCTION("IFERROR(Index(SPLIT(#REF!,"".""),1,3)&amp;Index(SPLIT(#REF!,"".""),1,4))"),"")</f>
        <v/>
      </c>
      <c r="T4" s="271" t="str">
        <f>iferror(VLOOKUP(L4,'US History Framework Standards'!$A:$E,2,false),"")</f>
        <v>Federalist vs. Antifederalist</v>
      </c>
      <c r="U4" s="267">
        <v>2.0</v>
      </c>
      <c r="V4" s="265" t="s">
        <v>247</v>
      </c>
      <c r="W4" s="265">
        <v>1201718.0</v>
      </c>
      <c r="X4" s="267"/>
      <c r="Y4" s="267"/>
      <c r="Z4" s="264" t="s">
        <v>248</v>
      </c>
      <c r="AA4" s="272"/>
      <c r="AB4" s="272" t="str">
        <f t="shared" si="1"/>
        <v>HXRG_1201718_Multiple Choice.jpg</v>
      </c>
    </row>
    <row r="5" ht="15.75" customHeight="1">
      <c r="A5" s="273" t="s">
        <v>243</v>
      </c>
      <c r="B5" s="274" t="s">
        <v>244</v>
      </c>
      <c r="C5" s="274">
        <v>3.0</v>
      </c>
      <c r="D5" s="275">
        <v>3.0</v>
      </c>
      <c r="E5" s="274"/>
      <c r="F5" s="276"/>
      <c r="G5" s="274"/>
      <c r="H5" s="282" t="s">
        <v>398</v>
      </c>
      <c r="I5" s="274" t="s">
        <v>82</v>
      </c>
      <c r="J5" s="274" t="s">
        <v>83</v>
      </c>
      <c r="K5" s="279" t="s">
        <v>250</v>
      </c>
      <c r="L5" s="279" t="s">
        <v>107</v>
      </c>
      <c r="M5" s="273">
        <v>8.0</v>
      </c>
      <c r="N5" s="273" t="s">
        <v>89</v>
      </c>
      <c r="O5" s="280" t="str">
        <f>IFERROR(VLOOKUP(K5,'US History Framework Standards'!$A:$E,2,false),"")</f>
        <v>Constitutional Foundations (1763–1824)</v>
      </c>
      <c r="P5" s="325" t="str">
        <f>IFERROR(__xludf.DUMMYFUNCTION("IFERROR(Index(SPLIT(#REF!,"".""),1,1))"),"")</f>
        <v/>
      </c>
      <c r="Q5" s="325" t="str">
        <f>IFERROR(__xludf.DUMMYFUNCTION("IFERROR(Index(SPLIT(#REF!,"".""),1,2))"),"")</f>
        <v/>
      </c>
      <c r="R5" s="325" t="str">
        <f>IFERROR(VLOOKUP(#REF!,'US History Framework Standards'!$A:$E,3,false),"")</f>
        <v/>
      </c>
      <c r="S5" s="325" t="str">
        <f>IFERROR(__xludf.DUMMYFUNCTION("IFERROR(Index(SPLIT(#REF!,"".""),1,3)&amp;Index(SPLIT(#REF!,"".""),1,4))"),"")</f>
        <v/>
      </c>
      <c r="T5" s="271" t="str">
        <f>iferror(VLOOKUP(L5,'US History Framework Standards'!$A:$E,2,false),"")</f>
        <v>Federal Government Structure &amp; Principles</v>
      </c>
      <c r="U5" s="276">
        <v>3.0</v>
      </c>
      <c r="V5" s="274" t="s">
        <v>247</v>
      </c>
      <c r="W5" s="274">
        <v>1201718.0</v>
      </c>
      <c r="X5" s="276"/>
      <c r="Y5" s="276"/>
      <c r="Z5" s="273" t="s">
        <v>248</v>
      </c>
      <c r="AA5" s="281"/>
      <c r="AB5" s="281" t="str">
        <f t="shared" si="1"/>
        <v>HXRG_1201718_Multiple Choice.jpg</v>
      </c>
    </row>
    <row r="6" ht="15.75" customHeight="1">
      <c r="A6" s="273" t="s">
        <v>243</v>
      </c>
      <c r="B6" s="274" t="s">
        <v>244</v>
      </c>
      <c r="C6" s="274">
        <v>4.0</v>
      </c>
      <c r="D6" s="275">
        <v>1.0</v>
      </c>
      <c r="E6" s="274"/>
      <c r="F6" s="276"/>
      <c r="G6" s="274"/>
      <c r="H6" s="282" t="s">
        <v>398</v>
      </c>
      <c r="I6" s="274" t="s">
        <v>82</v>
      </c>
      <c r="J6" s="274" t="s">
        <v>83</v>
      </c>
      <c r="K6" s="279" t="s">
        <v>250</v>
      </c>
      <c r="L6" s="279" t="s">
        <v>107</v>
      </c>
      <c r="M6" s="273">
        <v>6.0</v>
      </c>
      <c r="N6" s="273" t="s">
        <v>85</v>
      </c>
      <c r="O6" s="280" t="str">
        <f>IFERROR(VLOOKUP(K6,'US History Framework Standards'!$A:$E,2,false),"")</f>
        <v>Constitutional Foundations (1763–1824)</v>
      </c>
      <c r="P6" s="325" t="str">
        <f>IFERROR(__xludf.DUMMYFUNCTION("IFERROR(Index(SPLIT(#REF!,"".""),1,1))"),"")</f>
        <v/>
      </c>
      <c r="Q6" s="325" t="str">
        <f>IFERROR(__xludf.DUMMYFUNCTION("IFERROR(Index(SPLIT(#REF!,"".""),1,2))"),"")</f>
        <v/>
      </c>
      <c r="R6" s="325" t="str">
        <f>IFERROR(VLOOKUP(#REF!,'US History Framework Standards'!$A:$E,3,false),"")</f>
        <v/>
      </c>
      <c r="S6" s="325" t="str">
        <f>IFERROR(__xludf.DUMMYFUNCTION("IFERROR(Index(SPLIT(#REF!,"".""),1,3)&amp;Index(SPLIT(#REF!,"".""),1,4))"),"")</f>
        <v/>
      </c>
      <c r="T6" s="271" t="str">
        <f>iferror(VLOOKUP(L6,'US History Framework Standards'!$A:$E,2,false),"")</f>
        <v>Federal Government Structure &amp; Principles</v>
      </c>
      <c r="U6" s="276">
        <v>4.0</v>
      </c>
      <c r="V6" s="274" t="s">
        <v>247</v>
      </c>
      <c r="W6" s="274">
        <v>1201718.0</v>
      </c>
      <c r="X6" s="276"/>
      <c r="Y6" s="276"/>
      <c r="Z6" s="273" t="s">
        <v>248</v>
      </c>
      <c r="AA6" s="281"/>
      <c r="AB6" s="281" t="str">
        <f t="shared" si="1"/>
        <v>HXRG_1201718_Multiple Choice.jpg</v>
      </c>
    </row>
    <row r="7" ht="15.75" customHeight="1">
      <c r="A7" s="264" t="s">
        <v>243</v>
      </c>
      <c r="B7" s="265" t="s">
        <v>244</v>
      </c>
      <c r="C7" s="265">
        <v>5.0</v>
      </c>
      <c r="D7" s="266">
        <v>4.0</v>
      </c>
      <c r="E7" s="265"/>
      <c r="F7" s="267"/>
      <c r="G7" s="265"/>
      <c r="H7" s="268" t="s">
        <v>399</v>
      </c>
      <c r="I7" s="265" t="s">
        <v>82</v>
      </c>
      <c r="J7" s="265" t="s">
        <v>83</v>
      </c>
      <c r="K7" s="284" t="s">
        <v>250</v>
      </c>
      <c r="L7" s="284" t="s">
        <v>112</v>
      </c>
      <c r="M7" s="264">
        <v>15.0</v>
      </c>
      <c r="N7" s="264" t="s">
        <v>89</v>
      </c>
      <c r="O7" s="271" t="str">
        <f>IFERROR(VLOOKUP(K7,'US History Framework Standards'!$A:$E,2,false),"")</f>
        <v>Constitutional Foundations (1763–1824)</v>
      </c>
      <c r="P7" s="324" t="str">
        <f>IFERROR(__xludf.DUMMYFUNCTION("IFERROR(Index(SPLIT(#REF!,"".""),1,1))"),"")</f>
        <v/>
      </c>
      <c r="Q7" s="324" t="str">
        <f>IFERROR(__xludf.DUMMYFUNCTION("IFERROR(Index(SPLIT(#REF!,"".""),1,2))"),"")</f>
        <v/>
      </c>
      <c r="R7" s="324" t="str">
        <f>IFERROR(VLOOKUP(#REF!,'US History Framework Standards'!$A:$E,3,false),"")</f>
        <v/>
      </c>
      <c r="S7" s="324" t="str">
        <f>IFERROR(__xludf.DUMMYFUNCTION("IFERROR(Index(SPLIT(#REF!,"".""),1,3)&amp;Index(SPLIT(#REF!,"".""),1,4))"),"")</f>
        <v/>
      </c>
      <c r="T7" s="271" t="str">
        <f>iferror(VLOOKUP(L7,'US History Framework Standards'!$A:$E,2,false),"")</f>
        <v>President George Washington</v>
      </c>
      <c r="U7" s="267">
        <v>5.0</v>
      </c>
      <c r="V7" s="265" t="s">
        <v>247</v>
      </c>
      <c r="W7" s="265">
        <v>1201718.0</v>
      </c>
      <c r="X7" s="267"/>
      <c r="Y7" s="267"/>
      <c r="Z7" s="264" t="s">
        <v>248</v>
      </c>
      <c r="AA7" s="272"/>
      <c r="AB7" s="272" t="str">
        <f t="shared" si="1"/>
        <v>HXRG_1201718_Multiple Choice.jpg</v>
      </c>
    </row>
    <row r="8" ht="15.75" customHeight="1">
      <c r="A8" s="264" t="s">
        <v>243</v>
      </c>
      <c r="B8" s="265" t="s">
        <v>244</v>
      </c>
      <c r="C8" s="265">
        <v>6.0</v>
      </c>
      <c r="D8" s="266">
        <v>2.0</v>
      </c>
      <c r="E8" s="265"/>
      <c r="F8" s="267"/>
      <c r="G8" s="265"/>
      <c r="H8" s="268" t="s">
        <v>399</v>
      </c>
      <c r="I8" s="265" t="s">
        <v>82</v>
      </c>
      <c r="J8" s="265" t="s">
        <v>83</v>
      </c>
      <c r="K8" s="284" t="s">
        <v>250</v>
      </c>
      <c r="L8" s="284" t="s">
        <v>112</v>
      </c>
      <c r="M8" s="264">
        <v>3.0</v>
      </c>
      <c r="N8" s="264" t="s">
        <v>85</v>
      </c>
      <c r="O8" s="271" t="str">
        <f>IFERROR(VLOOKUP(K8,'US History Framework Standards'!$A:$E,2,false),"")</f>
        <v>Constitutional Foundations (1763–1824)</v>
      </c>
      <c r="P8" s="324" t="str">
        <f>IFERROR(__xludf.DUMMYFUNCTION("IFERROR(Index(SPLIT(#REF!,"".""),1,1))"),"")</f>
        <v/>
      </c>
      <c r="Q8" s="324" t="str">
        <f>IFERROR(__xludf.DUMMYFUNCTION("IFERROR(Index(SPLIT(#REF!,"".""),1,2))"),"")</f>
        <v/>
      </c>
      <c r="R8" s="324" t="str">
        <f>IFERROR(VLOOKUP(#REF!,'US History Framework Standards'!$A:$E,3,false),"")</f>
        <v/>
      </c>
      <c r="S8" s="324" t="str">
        <f>IFERROR(__xludf.DUMMYFUNCTION("IFERROR(Index(SPLIT(#REF!,"".""),1,3)&amp;Index(SPLIT(#REF!,"".""),1,4))"),"")</f>
        <v/>
      </c>
      <c r="T8" s="271" t="str">
        <f>iferror(VLOOKUP(L8,'US History Framework Standards'!$A:$E,2,false),"")</f>
        <v>President George Washington</v>
      </c>
      <c r="U8" s="267">
        <v>6.0</v>
      </c>
      <c r="V8" s="265" t="s">
        <v>247</v>
      </c>
      <c r="W8" s="265">
        <v>1201718.0</v>
      </c>
      <c r="X8" s="267"/>
      <c r="Y8" s="267"/>
      <c r="Z8" s="264" t="s">
        <v>248</v>
      </c>
      <c r="AA8" s="272"/>
      <c r="AB8" s="272" t="str">
        <f t="shared" si="1"/>
        <v>HXRG_1201718_Multiple Choice.jpg</v>
      </c>
    </row>
    <row r="9" ht="15.75" customHeight="1">
      <c r="A9" s="273" t="s">
        <v>243</v>
      </c>
      <c r="B9" s="274" t="s">
        <v>244</v>
      </c>
      <c r="C9" s="274">
        <v>7.0</v>
      </c>
      <c r="D9" s="275">
        <v>3.0</v>
      </c>
      <c r="E9" s="274"/>
      <c r="F9" s="276"/>
      <c r="G9" s="274"/>
      <c r="H9" s="282" t="s">
        <v>400</v>
      </c>
      <c r="I9" s="274" t="s">
        <v>86</v>
      </c>
      <c r="J9" s="274" t="s">
        <v>94</v>
      </c>
      <c r="K9" s="279" t="s">
        <v>254</v>
      </c>
      <c r="L9" s="279" t="s">
        <v>126</v>
      </c>
      <c r="M9" s="273">
        <v>1.0</v>
      </c>
      <c r="N9" s="273" t="s">
        <v>85</v>
      </c>
      <c r="O9" s="280" t="str">
        <f>IFERROR(VLOOKUP(K9,'US History Framework Standards'!$A:$E,2,false),"")</f>
        <v>Expansion, Nationalism, and Sectionalism (1800-1865)</v>
      </c>
      <c r="P9" s="325" t="str">
        <f>IFERROR(__xludf.DUMMYFUNCTION("IFERROR(Index(SPLIT(#REF!,"".""),1,1))"),"")</f>
        <v/>
      </c>
      <c r="Q9" s="325" t="str">
        <f>IFERROR(__xludf.DUMMYFUNCTION("IFERROR(Index(SPLIT(#REF!,"".""),1,2))"),"")</f>
        <v/>
      </c>
      <c r="R9" s="325" t="str">
        <f>IFERROR(VLOOKUP(#REF!,'US History Framework Standards'!$A:$E,3,false),"")</f>
        <v/>
      </c>
      <c r="S9" s="325" t="str">
        <f>IFERROR(__xludf.DUMMYFUNCTION("IFERROR(Index(SPLIT(#REF!,"".""),1,3)&amp;Index(SPLIT(#REF!,"".""),1,4))"),"")</f>
        <v/>
      </c>
      <c r="T9" s="271" t="str">
        <f>iferror(VLOOKUP(L9,'US History Framework Standards'!$A:$E,2,false),"")</f>
        <v>Expansion of Slavery</v>
      </c>
      <c r="U9" s="276">
        <v>7.0</v>
      </c>
      <c r="V9" s="274" t="s">
        <v>247</v>
      </c>
      <c r="W9" s="274">
        <v>1201718.0</v>
      </c>
      <c r="X9" s="276"/>
      <c r="Y9" s="276"/>
      <c r="Z9" s="273" t="s">
        <v>248</v>
      </c>
      <c r="AA9" s="281"/>
      <c r="AB9" s="281" t="str">
        <f t="shared" si="1"/>
        <v>HXRG_1201718_Multiple Choice.jpg</v>
      </c>
    </row>
    <row r="10" ht="15.75" customHeight="1">
      <c r="A10" s="273" t="s">
        <v>243</v>
      </c>
      <c r="B10" s="274" t="s">
        <v>244</v>
      </c>
      <c r="C10" s="274">
        <v>8.0</v>
      </c>
      <c r="D10" s="275">
        <v>1.0</v>
      </c>
      <c r="E10" s="274"/>
      <c r="F10" s="276"/>
      <c r="G10" s="274"/>
      <c r="H10" s="282" t="s">
        <v>400</v>
      </c>
      <c r="I10" s="274" t="s">
        <v>86</v>
      </c>
      <c r="J10" s="274" t="s">
        <v>94</v>
      </c>
      <c r="K10" s="279" t="s">
        <v>254</v>
      </c>
      <c r="L10" s="279" t="s">
        <v>126</v>
      </c>
      <c r="M10" s="273">
        <v>13.0</v>
      </c>
      <c r="N10" s="273" t="s">
        <v>89</v>
      </c>
      <c r="O10" s="280" t="str">
        <f>IFERROR(VLOOKUP(K10,'US History Framework Standards'!$A:$E,2,false),"")</f>
        <v>Expansion, Nationalism, and Sectionalism (1800-1865)</v>
      </c>
      <c r="P10" s="325" t="str">
        <f>IFERROR(__xludf.DUMMYFUNCTION("IFERROR(Index(SPLIT(#REF!,"".""),1,1))"),"")</f>
        <v/>
      </c>
      <c r="Q10" s="325" t="str">
        <f>IFERROR(__xludf.DUMMYFUNCTION("IFERROR(Index(SPLIT(#REF!,"".""),1,2))"),"")</f>
        <v/>
      </c>
      <c r="R10" s="325" t="str">
        <f>IFERROR(VLOOKUP(#REF!,'US History Framework Standards'!$A:$E,3,false),"")</f>
        <v/>
      </c>
      <c r="S10" s="325" t="str">
        <f>IFERROR(__xludf.DUMMYFUNCTION("IFERROR(Index(SPLIT(#REF!,"".""),1,3)&amp;Index(SPLIT(#REF!,"".""),1,4))"),"")</f>
        <v/>
      </c>
      <c r="T10" s="271" t="str">
        <f>iferror(VLOOKUP(L10,'US History Framework Standards'!$A:$E,2,false),"")</f>
        <v>Expansion of Slavery</v>
      </c>
      <c r="U10" s="276">
        <v>8.0</v>
      </c>
      <c r="V10" s="274" t="s">
        <v>247</v>
      </c>
      <c r="W10" s="274">
        <v>1201718.0</v>
      </c>
      <c r="X10" s="276"/>
      <c r="Y10" s="276"/>
      <c r="Z10" s="273" t="s">
        <v>248</v>
      </c>
      <c r="AA10" s="281"/>
      <c r="AB10" s="281" t="str">
        <f t="shared" si="1"/>
        <v>HXRG_1201718_Multiple Choice.jpg</v>
      </c>
    </row>
    <row r="11" ht="15.75" customHeight="1">
      <c r="A11" s="264" t="s">
        <v>243</v>
      </c>
      <c r="B11" s="265" t="s">
        <v>244</v>
      </c>
      <c r="C11" s="265">
        <v>9.0</v>
      </c>
      <c r="D11" s="266">
        <v>4.0</v>
      </c>
      <c r="E11" s="265"/>
      <c r="F11" s="267"/>
      <c r="G11" s="265"/>
      <c r="H11" s="283" t="s">
        <v>401</v>
      </c>
      <c r="I11" s="265" t="s">
        <v>82</v>
      </c>
      <c r="J11" s="265" t="s">
        <v>83</v>
      </c>
      <c r="K11" s="284" t="s">
        <v>254</v>
      </c>
      <c r="L11" s="284" t="s">
        <v>125</v>
      </c>
      <c r="M11" s="264">
        <v>4.0</v>
      </c>
      <c r="N11" s="264" t="s">
        <v>89</v>
      </c>
      <c r="O11" s="271" t="str">
        <f>IFERROR(VLOOKUP(K11,'US History Framework Standards'!$A:$E,2,false),"")</f>
        <v>Expansion, Nationalism, and Sectionalism (1800-1865)</v>
      </c>
      <c r="P11" s="324" t="str">
        <f>IFERROR(__xludf.DUMMYFUNCTION("IFERROR(Index(SPLIT(#REF!,"".""),1,1))"),"")</f>
        <v/>
      </c>
      <c r="Q11" s="324" t="str">
        <f>IFERROR(__xludf.DUMMYFUNCTION("IFERROR(Index(SPLIT(#REF!,"".""),1,2))"),"")</f>
        <v/>
      </c>
      <c r="R11" s="324" t="str">
        <f>IFERROR(VLOOKUP(#REF!,'US History Framework Standards'!$A:$E,3,false),"")</f>
        <v/>
      </c>
      <c r="S11" s="324" t="str">
        <f>IFERROR(__xludf.DUMMYFUNCTION("IFERROR(Index(SPLIT(#REF!,"".""),1,3)&amp;Index(SPLIT(#REF!,"".""),1,4))"),"")</f>
        <v/>
      </c>
      <c r="T11" s="271" t="str">
        <f>iferror(VLOOKUP(L11,'US History Framework Standards'!$A:$E,2,false),"")</f>
        <v>Early Women's Rights Movement</v>
      </c>
      <c r="U11" s="267">
        <v>9.0</v>
      </c>
      <c r="V11" s="265" t="s">
        <v>247</v>
      </c>
      <c r="W11" s="265">
        <v>1201718.0</v>
      </c>
      <c r="X11" s="267"/>
      <c r="Y11" s="267"/>
      <c r="Z11" s="264" t="s">
        <v>248</v>
      </c>
      <c r="AA11" s="272"/>
      <c r="AB11" s="272" t="str">
        <f t="shared" si="1"/>
        <v>HXRG_1201718_Multiple Choice.jpg</v>
      </c>
    </row>
    <row r="12" ht="15.75" customHeight="1">
      <c r="A12" s="264" t="s">
        <v>243</v>
      </c>
      <c r="B12" s="265" t="s">
        <v>244</v>
      </c>
      <c r="C12" s="265">
        <v>10.0</v>
      </c>
      <c r="D12" s="266">
        <v>4.0</v>
      </c>
      <c r="E12" s="265"/>
      <c r="F12" s="267"/>
      <c r="G12" s="265"/>
      <c r="H12" s="283" t="s">
        <v>401</v>
      </c>
      <c r="I12" s="265" t="s">
        <v>82</v>
      </c>
      <c r="J12" s="265" t="s">
        <v>83</v>
      </c>
      <c r="K12" s="284" t="s">
        <v>254</v>
      </c>
      <c r="L12" s="284" t="s">
        <v>125</v>
      </c>
      <c r="M12" s="264">
        <v>12.0</v>
      </c>
      <c r="N12" s="264" t="s">
        <v>85</v>
      </c>
      <c r="O12" s="271" t="str">
        <f>IFERROR(VLOOKUP(K12,'US History Framework Standards'!$A:$E,2,false),"")</f>
        <v>Expansion, Nationalism, and Sectionalism (1800-1865)</v>
      </c>
      <c r="P12" s="324" t="str">
        <f>IFERROR(__xludf.DUMMYFUNCTION("IFERROR(Index(SPLIT(#REF!,"".""),1,1))"),"")</f>
        <v/>
      </c>
      <c r="Q12" s="324" t="str">
        <f>IFERROR(__xludf.DUMMYFUNCTION("IFERROR(Index(SPLIT(#REF!,"".""),1,2))"),"")</f>
        <v/>
      </c>
      <c r="R12" s="324" t="str">
        <f>IFERROR(VLOOKUP(#REF!,'US History Framework Standards'!$A:$E,3,false),"")</f>
        <v/>
      </c>
      <c r="S12" s="324" t="str">
        <f>IFERROR(__xludf.DUMMYFUNCTION("IFERROR(Index(SPLIT(#REF!,"".""),1,3)&amp;Index(SPLIT(#REF!,"".""),1,4))"),"")</f>
        <v/>
      </c>
      <c r="T12" s="271" t="str">
        <f>iferror(VLOOKUP(L12,'US History Framework Standards'!$A:$E,2,false),"")</f>
        <v>Early Women's Rights Movement</v>
      </c>
      <c r="U12" s="267">
        <v>10.0</v>
      </c>
      <c r="V12" s="265" t="s">
        <v>247</v>
      </c>
      <c r="W12" s="265">
        <v>1201718.0</v>
      </c>
      <c r="X12" s="267"/>
      <c r="Y12" s="267"/>
      <c r="Z12" s="264" t="s">
        <v>248</v>
      </c>
      <c r="AA12" s="272"/>
      <c r="AB12" s="272" t="str">
        <f t="shared" si="1"/>
        <v>HXRG_1201718_Multiple Choice.jpg</v>
      </c>
    </row>
    <row r="13" ht="15.75" customHeight="1">
      <c r="A13" s="273" t="s">
        <v>243</v>
      </c>
      <c r="B13" s="274" t="s">
        <v>244</v>
      </c>
      <c r="C13" s="274">
        <v>11.0</v>
      </c>
      <c r="D13" s="275">
        <v>2.0</v>
      </c>
      <c r="E13" s="274"/>
      <c r="F13" s="276"/>
      <c r="G13" s="274"/>
      <c r="H13" s="282" t="s">
        <v>402</v>
      </c>
      <c r="I13" s="274" t="s">
        <v>82</v>
      </c>
      <c r="J13" s="274" t="s">
        <v>83</v>
      </c>
      <c r="K13" s="279" t="s">
        <v>254</v>
      </c>
      <c r="L13" s="279" t="s">
        <v>124</v>
      </c>
      <c r="M13" s="273">
        <v>7.0</v>
      </c>
      <c r="N13" s="273" t="s">
        <v>85</v>
      </c>
      <c r="O13" s="280" t="str">
        <f>IFERROR(VLOOKUP(K13,'US History Framework Standards'!$A:$E,2,false),"")</f>
        <v>Expansion, Nationalism, and Sectionalism (1800-1865)</v>
      </c>
      <c r="P13" s="325" t="str">
        <f>IFERROR(__xludf.DUMMYFUNCTION("IFERROR(Index(SPLIT(#REF!,"".""),1,1))"),"")</f>
        <v/>
      </c>
      <c r="Q13" s="325" t="str">
        <f>IFERROR(__xludf.DUMMYFUNCTION("IFERROR(Index(SPLIT(#REF!,"".""),1,2))"),"")</f>
        <v/>
      </c>
      <c r="R13" s="325" t="str">
        <f>IFERROR(VLOOKUP(#REF!,'US History Framework Standards'!$A:$E,3,false),"")</f>
        <v/>
      </c>
      <c r="S13" s="325" t="str">
        <f>IFERROR(__xludf.DUMMYFUNCTION("IFERROR(Index(SPLIT(#REF!,"".""),1,3)&amp;Index(SPLIT(#REF!,"".""),1,4))"),"")</f>
        <v/>
      </c>
      <c r="T13" s="271" t="str">
        <f>iferror(VLOOKUP(L13,'US History Framework Standards'!$A:$E,2,false),"")</f>
        <v>Resistance &amp; Abolitionism</v>
      </c>
      <c r="U13" s="276">
        <v>11.0</v>
      </c>
      <c r="V13" s="274" t="s">
        <v>247</v>
      </c>
      <c r="W13" s="274">
        <v>1201718.0</v>
      </c>
      <c r="X13" s="276"/>
      <c r="Y13" s="276"/>
      <c r="Z13" s="273" t="s">
        <v>248</v>
      </c>
      <c r="AA13" s="281"/>
      <c r="AB13" s="281" t="str">
        <f t="shared" si="1"/>
        <v>HXRG_1201718_Multiple Choice.jpg</v>
      </c>
    </row>
    <row r="14" ht="15.75" customHeight="1">
      <c r="A14" s="273" t="s">
        <v>243</v>
      </c>
      <c r="B14" s="274" t="s">
        <v>244</v>
      </c>
      <c r="C14" s="274">
        <v>12.0</v>
      </c>
      <c r="D14" s="275">
        <v>1.0</v>
      </c>
      <c r="E14" s="274"/>
      <c r="F14" s="276"/>
      <c r="G14" s="274"/>
      <c r="H14" s="282" t="s">
        <v>402</v>
      </c>
      <c r="I14" s="274" t="s">
        <v>82</v>
      </c>
      <c r="J14" s="274" t="s">
        <v>83</v>
      </c>
      <c r="K14" s="279" t="s">
        <v>254</v>
      </c>
      <c r="L14" s="279" t="s">
        <v>124</v>
      </c>
      <c r="M14" s="273">
        <v>8.0</v>
      </c>
      <c r="N14" s="273" t="s">
        <v>85</v>
      </c>
      <c r="O14" s="280" t="str">
        <f>IFERROR(VLOOKUP(K14,'US History Framework Standards'!$A:$E,2,false),"")</f>
        <v>Expansion, Nationalism, and Sectionalism (1800-1865)</v>
      </c>
      <c r="P14" s="325" t="str">
        <f>IFERROR(__xludf.DUMMYFUNCTION("IFERROR(Index(SPLIT(#REF!,"".""),1,1))"),"")</f>
        <v/>
      </c>
      <c r="Q14" s="325" t="str">
        <f>IFERROR(__xludf.DUMMYFUNCTION("IFERROR(Index(SPLIT(#REF!,"".""),1,2))"),"")</f>
        <v/>
      </c>
      <c r="R14" s="325" t="str">
        <f>IFERROR(VLOOKUP(#REF!,'US History Framework Standards'!$A:$E,3,false),"")</f>
        <v/>
      </c>
      <c r="S14" s="325" t="str">
        <f>IFERROR(__xludf.DUMMYFUNCTION("IFERROR(Index(SPLIT(#REF!,"".""),1,3)&amp;Index(SPLIT(#REF!,"".""),1,4))"),"")</f>
        <v/>
      </c>
      <c r="T14" s="271" t="str">
        <f>iferror(VLOOKUP(L14,'US History Framework Standards'!$A:$E,2,false),"")</f>
        <v>Resistance &amp; Abolitionism</v>
      </c>
      <c r="U14" s="276">
        <v>12.0</v>
      </c>
      <c r="V14" s="274" t="s">
        <v>247</v>
      </c>
      <c r="W14" s="274">
        <v>1201718.0</v>
      </c>
      <c r="X14" s="276"/>
      <c r="Y14" s="276"/>
      <c r="Z14" s="273" t="s">
        <v>248</v>
      </c>
      <c r="AA14" s="281"/>
      <c r="AB14" s="281" t="str">
        <f t="shared" si="1"/>
        <v>HXRG_1201718_Multiple Choice.jpg</v>
      </c>
    </row>
    <row r="15" ht="15.75" customHeight="1">
      <c r="A15" s="264" t="s">
        <v>243</v>
      </c>
      <c r="B15" s="265" t="s">
        <v>244</v>
      </c>
      <c r="C15" s="265">
        <v>13.0</v>
      </c>
      <c r="D15" s="266">
        <v>4.0</v>
      </c>
      <c r="E15" s="265"/>
      <c r="F15" s="267"/>
      <c r="G15" s="265"/>
      <c r="H15" s="268" t="s">
        <v>403</v>
      </c>
      <c r="I15" s="265" t="s">
        <v>86</v>
      </c>
      <c r="J15" s="265" t="s">
        <v>94</v>
      </c>
      <c r="K15" s="284" t="s">
        <v>256</v>
      </c>
      <c r="L15" s="284" t="s">
        <v>133</v>
      </c>
      <c r="M15" s="264">
        <v>13.0</v>
      </c>
      <c r="N15" s="264" t="s">
        <v>89</v>
      </c>
      <c r="O15" s="271" t="str">
        <f>IFERROR(VLOOKUP(K15,'US History Framework Standards'!$A:$E,2,false),"")</f>
        <v>Post-Civil War Era (1865-1900)</v>
      </c>
      <c r="P15" s="324" t="str">
        <f>IFERROR(__xludf.DUMMYFUNCTION("IFERROR(Index(SPLIT(#REF!,"".""),1,1))"),"")</f>
        <v/>
      </c>
      <c r="Q15" s="324" t="str">
        <f>IFERROR(__xludf.DUMMYFUNCTION("IFERROR(Index(SPLIT(#REF!,"".""),1,2))"),"")</f>
        <v/>
      </c>
      <c r="R15" s="324" t="str">
        <f>IFERROR(VLOOKUP(#REF!,'US History Framework Standards'!$A:$E,3,false),"")</f>
        <v/>
      </c>
      <c r="S15" s="324" t="str">
        <f>IFERROR(__xludf.DUMMYFUNCTION("IFERROR(Index(SPLIT(#REF!,"".""),1,3)&amp;Index(SPLIT(#REF!,"".""),1,4))"),"")</f>
        <v/>
      </c>
      <c r="T15" s="271" t="str">
        <f>iferror(VLOOKUP(L15,'US History Framework Standards'!$A:$E,2,false),"")</f>
        <v>End of Reconstruction</v>
      </c>
      <c r="U15" s="267">
        <v>13.0</v>
      </c>
      <c r="V15" s="265" t="s">
        <v>247</v>
      </c>
      <c r="W15" s="265">
        <v>1201718.0</v>
      </c>
      <c r="X15" s="267"/>
      <c r="Y15" s="267"/>
      <c r="Z15" s="264" t="s">
        <v>248</v>
      </c>
      <c r="AA15" s="272"/>
      <c r="AB15" s="272" t="str">
        <f t="shared" si="1"/>
        <v>HXRG_1201718_Multiple Choice.jpg</v>
      </c>
    </row>
    <row r="16" ht="15.75" customHeight="1">
      <c r="A16" s="264" t="s">
        <v>243</v>
      </c>
      <c r="B16" s="265" t="s">
        <v>244</v>
      </c>
      <c r="C16" s="265">
        <v>14.0</v>
      </c>
      <c r="D16" s="266">
        <v>2.0</v>
      </c>
      <c r="E16" s="265"/>
      <c r="F16" s="267"/>
      <c r="G16" s="265"/>
      <c r="H16" s="268" t="s">
        <v>403</v>
      </c>
      <c r="I16" s="265" t="s">
        <v>86</v>
      </c>
      <c r="J16" s="265" t="s">
        <v>94</v>
      </c>
      <c r="K16" s="284" t="s">
        <v>256</v>
      </c>
      <c r="L16" s="284" t="s">
        <v>133</v>
      </c>
      <c r="M16" s="264">
        <v>8.0</v>
      </c>
      <c r="N16" s="264" t="s">
        <v>85</v>
      </c>
      <c r="O16" s="271" t="str">
        <f>IFERROR(VLOOKUP(K16,'US History Framework Standards'!$A:$E,2,false),"")</f>
        <v>Post-Civil War Era (1865-1900)</v>
      </c>
      <c r="P16" s="324" t="str">
        <f>IFERROR(__xludf.DUMMYFUNCTION("IFERROR(Index(SPLIT(#REF!,"".""),1,1))"),"")</f>
        <v/>
      </c>
      <c r="Q16" s="324" t="str">
        <f>IFERROR(__xludf.DUMMYFUNCTION("IFERROR(Index(SPLIT(#REF!,"".""),1,2))"),"")</f>
        <v/>
      </c>
      <c r="R16" s="324" t="str">
        <f>IFERROR(VLOOKUP(#REF!,'US History Framework Standards'!$A:$E,3,false),"")</f>
        <v/>
      </c>
      <c r="S16" s="324" t="str">
        <f>IFERROR(__xludf.DUMMYFUNCTION("IFERROR(Index(SPLIT(#REF!,"".""),1,3)&amp;Index(SPLIT(#REF!,"".""),1,4))"),"")</f>
        <v/>
      </c>
      <c r="T16" s="271" t="str">
        <f>iferror(VLOOKUP(L16,'US History Framework Standards'!$A:$E,2,false),"")</f>
        <v>End of Reconstruction</v>
      </c>
      <c r="U16" s="267">
        <v>14.0</v>
      </c>
      <c r="V16" s="265" t="s">
        <v>247</v>
      </c>
      <c r="W16" s="265">
        <v>1201718.0</v>
      </c>
      <c r="X16" s="267"/>
      <c r="Y16" s="267"/>
      <c r="Z16" s="264" t="s">
        <v>248</v>
      </c>
      <c r="AA16" s="272"/>
      <c r="AB16" s="272" t="str">
        <f t="shared" si="1"/>
        <v>HXRG_1201718_Multiple Choice.jpg</v>
      </c>
    </row>
    <row r="17" ht="15.75" customHeight="1">
      <c r="A17" s="273" t="s">
        <v>243</v>
      </c>
      <c r="B17" s="274" t="s">
        <v>244</v>
      </c>
      <c r="C17" s="274">
        <v>15.0</v>
      </c>
      <c r="D17" s="275">
        <v>3.0</v>
      </c>
      <c r="E17" s="274"/>
      <c r="F17" s="276"/>
      <c r="G17" s="274"/>
      <c r="H17" s="285" t="s">
        <v>404</v>
      </c>
      <c r="I17" s="274" t="s">
        <v>82</v>
      </c>
      <c r="J17" s="274" t="s">
        <v>87</v>
      </c>
      <c r="K17" s="279" t="s">
        <v>258</v>
      </c>
      <c r="L17" s="279" t="s">
        <v>144</v>
      </c>
      <c r="M17" s="273">
        <v>1.0</v>
      </c>
      <c r="N17" s="273" t="s">
        <v>85</v>
      </c>
      <c r="O17" s="280" t="str">
        <f>IFERROR(VLOOKUP(K17,'US History Framework Standards'!$A:$E,2,false),"")</f>
        <v>Industrialization and Urbanization (1870-1920)</v>
      </c>
      <c r="P17" s="325" t="str">
        <f>IFERROR(__xludf.DUMMYFUNCTION("IFERROR(Index(SPLIT(#REF!,"".""),1,1))"),"")</f>
        <v/>
      </c>
      <c r="Q17" s="325" t="str">
        <f>IFERROR(__xludf.DUMMYFUNCTION("IFERROR(Index(SPLIT(#REF!,"".""),1,2))"),"")</f>
        <v/>
      </c>
      <c r="R17" s="325" t="str">
        <f>IFERROR(VLOOKUP(#REF!,'US History Framework Standards'!$A:$E,3,false),"")</f>
        <v/>
      </c>
      <c r="S17" s="325" t="str">
        <f>IFERROR(__xludf.DUMMYFUNCTION("IFERROR(Index(SPLIT(#REF!,"".""),1,3)&amp;Index(SPLIT(#REF!,"".""),1,4))"),"")</f>
        <v/>
      </c>
      <c r="T17" s="271" t="str">
        <f>iferror(VLOOKUP(L17,'US History Framework Standards'!$A:$E,2,false),"")</f>
        <v>Early Unionization</v>
      </c>
      <c r="U17" s="276">
        <v>15.0</v>
      </c>
      <c r="V17" s="274" t="s">
        <v>247</v>
      </c>
      <c r="W17" s="274">
        <v>1201718.0</v>
      </c>
      <c r="X17" s="276"/>
      <c r="Y17" s="276"/>
      <c r="Z17" s="273" t="s">
        <v>248</v>
      </c>
      <c r="AA17" s="281"/>
      <c r="AB17" s="281" t="str">
        <f t="shared" si="1"/>
        <v>HXRG_1201718_Multiple Choice.jpg</v>
      </c>
    </row>
    <row r="18" ht="15.75" customHeight="1">
      <c r="A18" s="264" t="s">
        <v>243</v>
      </c>
      <c r="B18" s="265" t="s">
        <v>244</v>
      </c>
      <c r="C18" s="265">
        <v>16.0</v>
      </c>
      <c r="D18" s="266">
        <v>3.0</v>
      </c>
      <c r="E18" s="265"/>
      <c r="F18" s="267"/>
      <c r="G18" s="265"/>
      <c r="H18" s="286" t="s">
        <v>405</v>
      </c>
      <c r="I18" s="265" t="s">
        <v>82</v>
      </c>
      <c r="J18" s="265" t="s">
        <v>87</v>
      </c>
      <c r="K18" s="284" t="s">
        <v>261</v>
      </c>
      <c r="L18" s="284" t="s">
        <v>152</v>
      </c>
      <c r="M18" s="264">
        <v>2.0</v>
      </c>
      <c r="N18" s="264" t="s">
        <v>85</v>
      </c>
      <c r="O18" s="271" t="str">
        <f>IFERROR(VLOOKUP(K18,'US History Framework Standards'!$A:$E,2,false),"")</f>
        <v>Rise of American Power (1890-1920)</v>
      </c>
      <c r="P18" s="324" t="str">
        <f>IFERROR(__xludf.DUMMYFUNCTION("IFERROR(Index(SPLIT(#REF!,"".""),1,1))"),"")</f>
        <v/>
      </c>
      <c r="Q18" s="324" t="str">
        <f>IFERROR(__xludf.DUMMYFUNCTION("IFERROR(Index(SPLIT(#REF!,"".""),1,2))"),"")</f>
        <v/>
      </c>
      <c r="R18" s="324" t="str">
        <f>IFERROR(VLOOKUP(#REF!,'US History Framework Standards'!$A:$E,3,false),"")</f>
        <v/>
      </c>
      <c r="S18" s="324" t="str">
        <f>IFERROR(__xludf.DUMMYFUNCTION("IFERROR(Index(SPLIT(#REF!,"".""),1,3)&amp;Index(SPLIT(#REF!,"".""),1,4))"),"")</f>
        <v/>
      </c>
      <c r="T18" s="271" t="str">
        <f>iferror(VLOOKUP(L18,'US History Framework Standards'!$A:$E,2,false),"")</f>
        <v>Imperialism in the Caribbean &amp; Latin America</v>
      </c>
      <c r="U18" s="267">
        <v>16.0</v>
      </c>
      <c r="V18" s="265" t="s">
        <v>247</v>
      </c>
      <c r="W18" s="265">
        <v>1201718.0</v>
      </c>
      <c r="X18" s="267"/>
      <c r="Y18" s="267"/>
      <c r="Z18" s="264" t="s">
        <v>248</v>
      </c>
      <c r="AA18" s="272"/>
      <c r="AB18" s="272" t="str">
        <f t="shared" si="1"/>
        <v>HXRG_1201718_Multiple Choice.jpg</v>
      </c>
    </row>
    <row r="19" ht="15.75" customHeight="1">
      <c r="A19" s="273" t="s">
        <v>243</v>
      </c>
      <c r="B19" s="274" t="s">
        <v>244</v>
      </c>
      <c r="C19" s="274">
        <v>17.0</v>
      </c>
      <c r="D19" s="275">
        <v>4.0</v>
      </c>
      <c r="E19" s="274"/>
      <c r="F19" s="276"/>
      <c r="G19" s="274"/>
      <c r="H19" s="282" t="s">
        <v>406</v>
      </c>
      <c r="I19" s="274" t="s">
        <v>82</v>
      </c>
      <c r="J19" s="274" t="s">
        <v>83</v>
      </c>
      <c r="K19" s="279" t="s">
        <v>264</v>
      </c>
      <c r="L19" s="279" t="s">
        <v>170</v>
      </c>
      <c r="M19" s="273">
        <v>9.0</v>
      </c>
      <c r="N19" s="273" t="s">
        <v>85</v>
      </c>
      <c r="O19" s="280" t="str">
        <f>IFERROR(VLOOKUP(K19,'US History Framework Standards'!$A:$E,2,false),"")</f>
        <v>Prosperity and Depression (1920-1939)</v>
      </c>
      <c r="P19" s="325" t="str">
        <f>IFERROR(__xludf.DUMMYFUNCTION("IFERROR(Index(SPLIT(#REF!,"".""),1,1))"),"")</f>
        <v/>
      </c>
      <c r="Q19" s="325" t="str">
        <f>IFERROR(__xludf.DUMMYFUNCTION("IFERROR(Index(SPLIT(#REF!,"".""),1,2))"),"")</f>
        <v/>
      </c>
      <c r="R19" s="325" t="str">
        <f>IFERROR(VLOOKUP(#REF!,'US History Framework Standards'!$A:$E,3,false),"")</f>
        <v/>
      </c>
      <c r="S19" s="325" t="str">
        <f>IFERROR(__xludf.DUMMYFUNCTION("IFERROR(Index(SPLIT(#REF!,"".""),1,3)&amp;Index(SPLIT(#REF!,"".""),1,4))"),"")</f>
        <v/>
      </c>
      <c r="T19" s="271" t="str">
        <f>iferror(VLOOKUP(L19,'US History Framework Standards'!$A:$E,2,false),"")</f>
        <v>Dust Bowl</v>
      </c>
      <c r="U19" s="276">
        <v>17.0</v>
      </c>
      <c r="V19" s="274" t="s">
        <v>247</v>
      </c>
      <c r="W19" s="274">
        <v>1201718.0</v>
      </c>
      <c r="X19" s="276"/>
      <c r="Y19" s="276"/>
      <c r="Z19" s="273" t="s">
        <v>248</v>
      </c>
      <c r="AA19" s="281"/>
      <c r="AB19" s="281" t="str">
        <f t="shared" si="1"/>
        <v>HXRG_1201718_Multiple Choice.jpg</v>
      </c>
    </row>
    <row r="20" ht="15.75" customHeight="1">
      <c r="A20" s="273" t="s">
        <v>243</v>
      </c>
      <c r="B20" s="274" t="s">
        <v>244</v>
      </c>
      <c r="C20" s="274">
        <v>18.0</v>
      </c>
      <c r="D20" s="275">
        <v>1.0</v>
      </c>
      <c r="E20" s="274"/>
      <c r="F20" s="276"/>
      <c r="G20" s="274"/>
      <c r="H20" s="282" t="s">
        <v>406</v>
      </c>
      <c r="I20" s="274" t="s">
        <v>82</v>
      </c>
      <c r="J20" s="274" t="s">
        <v>83</v>
      </c>
      <c r="K20" s="279" t="s">
        <v>264</v>
      </c>
      <c r="L20" s="279" t="s">
        <v>170</v>
      </c>
      <c r="M20" s="273">
        <v>12.0</v>
      </c>
      <c r="N20" s="273" t="s">
        <v>85</v>
      </c>
      <c r="O20" s="280" t="str">
        <f>IFERROR(VLOOKUP(K20,'US History Framework Standards'!$A:$E,2,false),"")</f>
        <v>Prosperity and Depression (1920-1939)</v>
      </c>
      <c r="P20" s="325" t="str">
        <f>IFERROR(__xludf.DUMMYFUNCTION("IFERROR(Index(SPLIT(#REF!,"".""),1,1))"),"")</f>
        <v/>
      </c>
      <c r="Q20" s="325" t="str">
        <f>IFERROR(__xludf.DUMMYFUNCTION("IFERROR(Index(SPLIT(#REF!,"".""),1,2))"),"")</f>
        <v/>
      </c>
      <c r="R20" s="325" t="str">
        <f>IFERROR(VLOOKUP(#REF!,'US History Framework Standards'!$A:$E,3,false),"")</f>
        <v/>
      </c>
      <c r="S20" s="325" t="str">
        <f>IFERROR(__xludf.DUMMYFUNCTION("IFERROR(Index(SPLIT(#REF!,"".""),1,3)&amp;Index(SPLIT(#REF!,"".""),1,4))"),"")</f>
        <v/>
      </c>
      <c r="T20" s="271" t="str">
        <f>iferror(VLOOKUP(L20,'US History Framework Standards'!$A:$E,2,false),"")</f>
        <v>Dust Bowl</v>
      </c>
      <c r="U20" s="276">
        <v>18.0</v>
      </c>
      <c r="V20" s="274" t="s">
        <v>247</v>
      </c>
      <c r="W20" s="274">
        <v>1201718.0</v>
      </c>
      <c r="X20" s="276"/>
      <c r="Y20" s="276"/>
      <c r="Z20" s="273" t="s">
        <v>248</v>
      </c>
      <c r="AA20" s="281"/>
      <c r="AB20" s="281" t="str">
        <f t="shared" si="1"/>
        <v>HXRG_1201718_Multiple Choice.jpg</v>
      </c>
    </row>
    <row r="21" ht="15.75" customHeight="1">
      <c r="A21" s="264" t="s">
        <v>243</v>
      </c>
      <c r="B21" s="265" t="s">
        <v>244</v>
      </c>
      <c r="C21" s="265">
        <v>19.0</v>
      </c>
      <c r="D21" s="266">
        <v>1.0</v>
      </c>
      <c r="E21" s="265"/>
      <c r="F21" s="267"/>
      <c r="G21" s="265"/>
      <c r="H21" s="286" t="s">
        <v>407</v>
      </c>
      <c r="I21" s="265" t="s">
        <v>82</v>
      </c>
      <c r="J21" s="265" t="s">
        <v>83</v>
      </c>
      <c r="K21" s="284" t="s">
        <v>266</v>
      </c>
      <c r="L21" s="284" t="s">
        <v>172</v>
      </c>
      <c r="M21" s="264">
        <v>5.0</v>
      </c>
      <c r="N21" s="264" t="s">
        <v>85</v>
      </c>
      <c r="O21" s="271" t="str">
        <f>IFERROR(VLOOKUP(K21,'US History Framework Standards'!$A:$E,2,false),"")</f>
        <v>World War II (1935-1945)</v>
      </c>
      <c r="P21" s="324" t="str">
        <f>IFERROR(__xludf.DUMMYFUNCTION("IFERROR(Index(SPLIT(#REF!,"".""),1,1))"),"")</f>
        <v/>
      </c>
      <c r="Q21" s="324" t="str">
        <f>IFERROR(__xludf.DUMMYFUNCTION("IFERROR(Index(SPLIT(#REF!,"".""),1,2))"),"")</f>
        <v/>
      </c>
      <c r="R21" s="324" t="str">
        <f>IFERROR(VLOOKUP(#REF!,'US History Framework Standards'!$A:$E,3,false),"")</f>
        <v/>
      </c>
      <c r="S21" s="324" t="str">
        <f>IFERROR(__xludf.DUMMYFUNCTION("IFERROR(Index(SPLIT(#REF!,"".""),1,3)&amp;Index(SPLIT(#REF!,"".""),1,4))"),"")</f>
        <v/>
      </c>
      <c r="T21" s="271" t="str">
        <f>iferror(VLOOKUP(L21,'US History Framework Standards'!$A:$E,2,false),"")</f>
        <v>Neutrality Acts</v>
      </c>
      <c r="U21" s="267">
        <v>19.0</v>
      </c>
      <c r="V21" s="265" t="s">
        <v>247</v>
      </c>
      <c r="W21" s="265">
        <v>1201718.0</v>
      </c>
      <c r="X21" s="267"/>
      <c r="Y21" s="267"/>
      <c r="Z21" s="264" t="s">
        <v>248</v>
      </c>
      <c r="AA21" s="272"/>
      <c r="AB21" s="272" t="str">
        <f t="shared" si="1"/>
        <v>HXRG_1201718_Multiple Choice.jpg</v>
      </c>
    </row>
    <row r="22" ht="15.75" customHeight="1">
      <c r="A22" s="264" t="s">
        <v>243</v>
      </c>
      <c r="B22" s="265" t="s">
        <v>244</v>
      </c>
      <c r="C22" s="265">
        <v>20.0</v>
      </c>
      <c r="D22" s="266">
        <v>2.0</v>
      </c>
      <c r="E22" s="265"/>
      <c r="F22" s="267"/>
      <c r="G22" s="265"/>
      <c r="H22" s="286" t="s">
        <v>407</v>
      </c>
      <c r="I22" s="265" t="s">
        <v>82</v>
      </c>
      <c r="J22" s="265" t="s">
        <v>83</v>
      </c>
      <c r="K22" s="284" t="s">
        <v>266</v>
      </c>
      <c r="L22" s="284" t="s">
        <v>172</v>
      </c>
      <c r="M22" s="264">
        <v>15.0</v>
      </c>
      <c r="N22" s="264" t="s">
        <v>85</v>
      </c>
      <c r="O22" s="271" t="str">
        <f>IFERROR(VLOOKUP(K22,'US History Framework Standards'!$A:$E,2,false),"")</f>
        <v>World War II (1935-1945)</v>
      </c>
      <c r="P22" s="324" t="str">
        <f>IFERROR(__xludf.DUMMYFUNCTION("IFERROR(Index(SPLIT(#REF!,"".""),1,1))"),"")</f>
        <v/>
      </c>
      <c r="Q22" s="324" t="str">
        <f>IFERROR(__xludf.DUMMYFUNCTION("IFERROR(Index(SPLIT(#REF!,"".""),1,2))"),"")</f>
        <v/>
      </c>
      <c r="R22" s="324" t="str">
        <f>IFERROR(VLOOKUP(#REF!,'US History Framework Standards'!$A:$E,3,false),"")</f>
        <v/>
      </c>
      <c r="S22" s="324" t="str">
        <f>IFERROR(__xludf.DUMMYFUNCTION("IFERROR(Index(SPLIT(#REF!,"".""),1,3)&amp;Index(SPLIT(#REF!,"".""),1,4))"),"")</f>
        <v/>
      </c>
      <c r="T22" s="271" t="str">
        <f>iferror(VLOOKUP(L22,'US History Framework Standards'!$A:$E,2,false),"")</f>
        <v>Neutrality Acts</v>
      </c>
      <c r="U22" s="267">
        <v>20.0</v>
      </c>
      <c r="V22" s="265" t="s">
        <v>247</v>
      </c>
      <c r="W22" s="265">
        <v>1201718.0</v>
      </c>
      <c r="X22" s="267"/>
      <c r="Y22" s="267"/>
      <c r="Z22" s="264" t="s">
        <v>248</v>
      </c>
      <c r="AA22" s="272"/>
      <c r="AB22" s="272" t="str">
        <f t="shared" si="1"/>
        <v>HXRG_1201718_Multiple Choice.jpg</v>
      </c>
    </row>
    <row r="23" ht="15.75" customHeight="1">
      <c r="A23" s="273" t="s">
        <v>243</v>
      </c>
      <c r="B23" s="274" t="s">
        <v>244</v>
      </c>
      <c r="C23" s="274">
        <v>21.0</v>
      </c>
      <c r="D23" s="275">
        <v>4.0</v>
      </c>
      <c r="E23" s="274"/>
      <c r="F23" s="276"/>
      <c r="G23" s="274"/>
      <c r="H23" s="285" t="s">
        <v>408</v>
      </c>
      <c r="I23" s="274" t="s">
        <v>86</v>
      </c>
      <c r="J23" s="274" t="s">
        <v>94</v>
      </c>
      <c r="K23" s="279" t="s">
        <v>268</v>
      </c>
      <c r="L23" s="279" t="s">
        <v>184</v>
      </c>
      <c r="M23" s="273">
        <v>13.0</v>
      </c>
      <c r="N23" s="273" t="s">
        <v>89</v>
      </c>
      <c r="O23" s="280" t="str">
        <f>IFERROR(VLOOKUP(K23,'US History Framework Standards'!$A:$E,2,false),"")</f>
        <v>Cold War (1945-1990)</v>
      </c>
      <c r="P23" s="325" t="str">
        <f>IFERROR(__xludf.DUMMYFUNCTION("IFERROR(Index(SPLIT(#REF!,"".""),1,1))"),"")</f>
        <v/>
      </c>
      <c r="Q23" s="325" t="str">
        <f>IFERROR(__xludf.DUMMYFUNCTION("IFERROR(Index(SPLIT(#REF!,"".""),1,2))"),"")</f>
        <v/>
      </c>
      <c r="R23" s="325" t="str">
        <f>IFERROR(VLOOKUP(#REF!,'US History Framework Standards'!$A:$E,3,false),"")</f>
        <v/>
      </c>
      <c r="S23" s="325" t="str">
        <f>IFERROR(__xludf.DUMMYFUNCTION("IFERROR(Index(SPLIT(#REF!,"".""),1,3)&amp;Index(SPLIT(#REF!,"".""),1,4))"),"")</f>
        <v/>
      </c>
      <c r="T23" s="271" t="str">
        <f>iferror(VLOOKUP(L23,'US History Framework Standards'!$A:$E,2,false),"")</f>
        <v>Containment Policies</v>
      </c>
      <c r="U23" s="276">
        <v>21.0</v>
      </c>
      <c r="V23" s="274" t="s">
        <v>247</v>
      </c>
      <c r="W23" s="274">
        <v>1201718.0</v>
      </c>
      <c r="X23" s="276"/>
      <c r="Y23" s="276"/>
      <c r="Z23" s="273" t="s">
        <v>248</v>
      </c>
      <c r="AA23" s="281"/>
      <c r="AB23" s="281" t="str">
        <f t="shared" si="1"/>
        <v>HXRG_1201718_Multiple Choice.jpg</v>
      </c>
    </row>
    <row r="24" ht="15.75" customHeight="1">
      <c r="A24" s="273" t="s">
        <v>243</v>
      </c>
      <c r="B24" s="274" t="s">
        <v>244</v>
      </c>
      <c r="C24" s="274">
        <v>22.0</v>
      </c>
      <c r="D24" s="275">
        <v>2.0</v>
      </c>
      <c r="E24" s="274"/>
      <c r="F24" s="276"/>
      <c r="G24" s="274"/>
      <c r="H24" s="285" t="s">
        <v>408</v>
      </c>
      <c r="I24" s="274" t="s">
        <v>86</v>
      </c>
      <c r="J24" s="274" t="s">
        <v>94</v>
      </c>
      <c r="K24" s="279" t="s">
        <v>268</v>
      </c>
      <c r="L24" s="279" t="s">
        <v>184</v>
      </c>
      <c r="M24" s="273">
        <v>3.0</v>
      </c>
      <c r="N24" s="273" t="s">
        <v>85</v>
      </c>
      <c r="O24" s="280" t="str">
        <f>IFERROR(VLOOKUP(K24,'US History Framework Standards'!$A:$E,2,false),"")</f>
        <v>Cold War (1945-1990)</v>
      </c>
      <c r="P24" s="325" t="str">
        <f>IFERROR(__xludf.DUMMYFUNCTION("IFERROR(Index(SPLIT(#REF!,"".""),1,1))"),"")</f>
        <v/>
      </c>
      <c r="Q24" s="325" t="str">
        <f>IFERROR(__xludf.DUMMYFUNCTION("IFERROR(Index(SPLIT(#REF!,"".""),1,2))"),"")</f>
        <v/>
      </c>
      <c r="R24" s="325" t="str">
        <f>IFERROR(VLOOKUP(#REF!,'US History Framework Standards'!$A:$E,3,false),"")</f>
        <v/>
      </c>
      <c r="S24" s="325" t="str">
        <f>IFERROR(__xludf.DUMMYFUNCTION("IFERROR(Index(SPLIT(#REF!,"".""),1,3)&amp;Index(SPLIT(#REF!,"".""),1,4))"),"")</f>
        <v/>
      </c>
      <c r="T24" s="271" t="str">
        <f>iferror(VLOOKUP(L24,'US History Framework Standards'!$A:$E,2,false),"")</f>
        <v>Containment Policies</v>
      </c>
      <c r="U24" s="276">
        <v>22.0</v>
      </c>
      <c r="V24" s="274" t="s">
        <v>247</v>
      </c>
      <c r="W24" s="274">
        <v>1201718.0</v>
      </c>
      <c r="X24" s="276"/>
      <c r="Y24" s="276"/>
      <c r="Z24" s="273" t="s">
        <v>248</v>
      </c>
      <c r="AA24" s="281"/>
      <c r="AB24" s="281" t="str">
        <f t="shared" si="1"/>
        <v>HXRG_1201718_Multiple Choice.jpg</v>
      </c>
    </row>
    <row r="25" ht="15.75" customHeight="1">
      <c r="A25" s="264" t="s">
        <v>243</v>
      </c>
      <c r="B25" s="265" t="s">
        <v>244</v>
      </c>
      <c r="C25" s="265">
        <v>23.0</v>
      </c>
      <c r="D25" s="266">
        <v>3.0</v>
      </c>
      <c r="E25" s="265"/>
      <c r="F25" s="267"/>
      <c r="G25" s="265"/>
      <c r="H25" s="283" t="s">
        <v>409</v>
      </c>
      <c r="I25" s="265" t="s">
        <v>82</v>
      </c>
      <c r="J25" s="265" t="s">
        <v>83</v>
      </c>
      <c r="K25" s="284" t="s">
        <v>102</v>
      </c>
      <c r="L25" s="284" t="s">
        <v>196</v>
      </c>
      <c r="M25" s="264">
        <v>3.0</v>
      </c>
      <c r="N25" s="264" t="s">
        <v>89</v>
      </c>
      <c r="O25" s="271" t="str">
        <f>IFERROR(VLOOKUP(K25,'US History Framework Standards'!$A:$E,2,false),"")</f>
        <v>Social and Economic Change/ Domestic Issues (1945-present)</v>
      </c>
      <c r="P25" s="324" t="str">
        <f>IFERROR(__xludf.DUMMYFUNCTION("IFERROR(Index(SPLIT(#REF!,"".""),1,1))"),"")</f>
        <v/>
      </c>
      <c r="Q25" s="324" t="str">
        <f>IFERROR(__xludf.DUMMYFUNCTION("IFERROR(Index(SPLIT(#REF!,"".""),1,2))"),"")</f>
        <v/>
      </c>
      <c r="R25" s="324" t="str">
        <f>IFERROR(VLOOKUP(#REF!,'US History Framework Standards'!$A:$E,3,false),"")</f>
        <v/>
      </c>
      <c r="S25" s="324" t="str">
        <f>IFERROR(__xludf.DUMMYFUNCTION("IFERROR(Index(SPLIT(#REF!,"".""),1,3)&amp;Index(SPLIT(#REF!,"".""),1,4))"),"")</f>
        <v/>
      </c>
      <c r="T25" s="271" t="str">
        <f>iferror(VLOOKUP(L25,'US History Framework Standards'!$A:$E,2,false),"")</f>
        <v>Civil Rights Groups &amp; Tactics</v>
      </c>
      <c r="U25" s="267">
        <v>23.0</v>
      </c>
      <c r="V25" s="265" t="s">
        <v>247</v>
      </c>
      <c r="W25" s="265">
        <v>1201718.0</v>
      </c>
      <c r="X25" s="267"/>
      <c r="Y25" s="267"/>
      <c r="Z25" s="264" t="s">
        <v>248</v>
      </c>
      <c r="AA25" s="272"/>
      <c r="AB25" s="272" t="str">
        <f t="shared" si="1"/>
        <v>HXRG_1201718_Multiple Choice.jpg</v>
      </c>
    </row>
    <row r="26" ht="15.75" customHeight="1">
      <c r="A26" s="264" t="s">
        <v>243</v>
      </c>
      <c r="B26" s="265" t="s">
        <v>244</v>
      </c>
      <c r="C26" s="265">
        <v>24.0</v>
      </c>
      <c r="D26" s="266">
        <v>1.0</v>
      </c>
      <c r="E26" s="265"/>
      <c r="F26" s="267"/>
      <c r="G26" s="265"/>
      <c r="H26" s="283" t="s">
        <v>409</v>
      </c>
      <c r="I26" s="265" t="s">
        <v>82</v>
      </c>
      <c r="J26" s="265" t="s">
        <v>83</v>
      </c>
      <c r="K26" s="284" t="s">
        <v>102</v>
      </c>
      <c r="L26" s="284" t="s">
        <v>196</v>
      </c>
      <c r="M26" s="264">
        <v>12.0</v>
      </c>
      <c r="N26" s="264" t="s">
        <v>89</v>
      </c>
      <c r="O26" s="271" t="str">
        <f>IFERROR(VLOOKUP(K26,'US History Framework Standards'!$A:$E,2,false),"")</f>
        <v>Social and Economic Change/ Domestic Issues (1945-present)</v>
      </c>
      <c r="P26" s="324" t="str">
        <f>IFERROR(__xludf.DUMMYFUNCTION("IFERROR(Index(SPLIT(#REF!,"".""),1,1))"),"")</f>
        <v/>
      </c>
      <c r="Q26" s="324" t="str">
        <f>IFERROR(__xludf.DUMMYFUNCTION("IFERROR(Index(SPLIT(#REF!,"".""),1,2))"),"")</f>
        <v/>
      </c>
      <c r="R26" s="324" t="str">
        <f>IFERROR(VLOOKUP(#REF!,'US History Framework Standards'!$A:$E,3,false),"")</f>
        <v/>
      </c>
      <c r="S26" s="324" t="str">
        <f>IFERROR(__xludf.DUMMYFUNCTION("IFERROR(Index(SPLIT(#REF!,"".""),1,3)&amp;Index(SPLIT(#REF!,"".""),1,4))"),"")</f>
        <v/>
      </c>
      <c r="T26" s="271" t="str">
        <f>iferror(VLOOKUP(L26,'US History Framework Standards'!$A:$E,2,false),"")</f>
        <v>Civil Rights Groups &amp; Tactics</v>
      </c>
      <c r="U26" s="267">
        <v>24.0</v>
      </c>
      <c r="V26" s="265" t="s">
        <v>247</v>
      </c>
      <c r="W26" s="265">
        <v>1201718.0</v>
      </c>
      <c r="X26" s="267"/>
      <c r="Y26" s="267"/>
      <c r="Z26" s="264" t="s">
        <v>248</v>
      </c>
      <c r="AA26" s="272"/>
      <c r="AB26" s="272" t="str">
        <f t="shared" si="1"/>
        <v>HXRG_1201718_Multiple Choice.jpg</v>
      </c>
    </row>
    <row r="27" ht="15.75" customHeight="1">
      <c r="A27" s="273" t="s">
        <v>243</v>
      </c>
      <c r="B27" s="274" t="s">
        <v>244</v>
      </c>
      <c r="C27" s="274">
        <v>25.0</v>
      </c>
      <c r="D27" s="275">
        <v>4.0</v>
      </c>
      <c r="E27" s="274"/>
      <c r="F27" s="276"/>
      <c r="G27" s="274"/>
      <c r="H27" s="282" t="s">
        <v>410</v>
      </c>
      <c r="I27" s="274" t="s">
        <v>82</v>
      </c>
      <c r="J27" s="274" t="s">
        <v>83</v>
      </c>
      <c r="K27" s="279" t="s">
        <v>102</v>
      </c>
      <c r="L27" s="279" t="s">
        <v>197</v>
      </c>
      <c r="M27" s="273">
        <v>7.0</v>
      </c>
      <c r="N27" s="273" t="s">
        <v>85</v>
      </c>
      <c r="O27" s="280" t="str">
        <f>IFERROR(VLOOKUP(K27,'US History Framework Standards'!$A:$E,2,false),"")</f>
        <v>Social and Economic Change/ Domestic Issues (1945-present)</v>
      </c>
      <c r="P27" s="325" t="str">
        <f>IFERROR(__xludf.DUMMYFUNCTION("IFERROR(Index(SPLIT(#REF!,"".""),1,1))"),"")</f>
        <v/>
      </c>
      <c r="Q27" s="325" t="str">
        <f>IFERROR(__xludf.DUMMYFUNCTION("IFERROR(Index(SPLIT(#REF!,"".""),1,2))"),"")</f>
        <v/>
      </c>
      <c r="R27" s="325" t="str">
        <f>IFERROR(VLOOKUP(#REF!,'US History Framework Standards'!$A:$E,3,false),"")</f>
        <v/>
      </c>
      <c r="S27" s="325" t="str">
        <f>IFERROR(__xludf.DUMMYFUNCTION("IFERROR(Index(SPLIT(#REF!,"".""),1,3)&amp;Index(SPLIT(#REF!,"".""),1,4))"),"")</f>
        <v/>
      </c>
      <c r="T27" s="271" t="str">
        <f>iferror(VLOOKUP(L27,'US History Framework Standards'!$A:$E,2,false),"")</f>
        <v>Civil Rights Judicial &amp; Legislative Achievements</v>
      </c>
      <c r="U27" s="276">
        <v>25.0</v>
      </c>
      <c r="V27" s="274" t="s">
        <v>247</v>
      </c>
      <c r="W27" s="274">
        <v>1201718.0</v>
      </c>
      <c r="X27" s="276"/>
      <c r="Y27" s="276"/>
      <c r="Z27" s="273" t="s">
        <v>248</v>
      </c>
      <c r="AA27" s="281"/>
      <c r="AB27" s="281" t="str">
        <f t="shared" si="1"/>
        <v>HXRG_1201718_Multiple Choice.jpg</v>
      </c>
    </row>
    <row r="28" ht="15.75" customHeight="1">
      <c r="A28" s="264" t="s">
        <v>243</v>
      </c>
      <c r="B28" s="265" t="s">
        <v>244</v>
      </c>
      <c r="C28" s="265">
        <v>26.0</v>
      </c>
      <c r="D28" s="266">
        <v>3.0</v>
      </c>
      <c r="E28" s="265"/>
      <c r="F28" s="267"/>
      <c r="G28" s="265"/>
      <c r="H28" s="283" t="s">
        <v>411</v>
      </c>
      <c r="I28" s="265" t="s">
        <v>86</v>
      </c>
      <c r="J28" s="265" t="s">
        <v>83</v>
      </c>
      <c r="K28" s="284" t="s">
        <v>104</v>
      </c>
      <c r="L28" s="284" t="s">
        <v>205</v>
      </c>
      <c r="M28" s="264">
        <v>7.0</v>
      </c>
      <c r="N28" s="264" t="s">
        <v>85</v>
      </c>
      <c r="O28" s="271" t="str">
        <f>IFERROR(VLOOKUP(K28,'US History Framework Standards'!$A:$E,2,false),"")</f>
        <v>United States in a Changing World (1990-present)</v>
      </c>
      <c r="P28" s="324" t="str">
        <f>IFERROR(__xludf.DUMMYFUNCTION("IFERROR(Index(SPLIT(#REF!,"".""),1,1))"),"")</f>
        <v/>
      </c>
      <c r="Q28" s="324" t="str">
        <f>IFERROR(__xludf.DUMMYFUNCTION("IFERROR(Index(SPLIT(#REF!,"".""),1,2))"),"")</f>
        <v/>
      </c>
      <c r="R28" s="324" t="str">
        <f>IFERROR(VLOOKUP(#REF!,'US History Framework Standards'!$A:$E,3,false),"")</f>
        <v/>
      </c>
      <c r="S28" s="324" t="str">
        <f>IFERROR(__xludf.DUMMYFUNCTION("IFERROR(Index(SPLIT(#REF!,"".""),1,3)&amp;Index(SPLIT(#REF!,"".""),1,4))"),"")</f>
        <v/>
      </c>
      <c r="T28" s="271" t="str">
        <f>iferror(VLOOKUP(L28,'US History Framework Standards'!$A:$E,2,false),"")</f>
        <v>Reluctance to Defend Human Rights</v>
      </c>
      <c r="U28" s="267">
        <v>26.0</v>
      </c>
      <c r="V28" s="265" t="s">
        <v>247</v>
      </c>
      <c r="W28" s="265">
        <v>1201718.0</v>
      </c>
      <c r="X28" s="267"/>
      <c r="Y28" s="267"/>
      <c r="Z28" s="264" t="s">
        <v>248</v>
      </c>
      <c r="AA28" s="272"/>
      <c r="AB28" s="272" t="str">
        <f t="shared" si="1"/>
        <v>HXRG_1201718_Multiple Choice.jpg</v>
      </c>
    </row>
    <row r="29" ht="15.75" customHeight="1">
      <c r="A29" s="264" t="s">
        <v>243</v>
      </c>
      <c r="B29" s="265" t="s">
        <v>244</v>
      </c>
      <c r="C29" s="265">
        <v>27.0</v>
      </c>
      <c r="D29" s="266">
        <v>1.0</v>
      </c>
      <c r="E29" s="265"/>
      <c r="F29" s="267"/>
      <c r="G29" s="265"/>
      <c r="H29" s="283" t="s">
        <v>411</v>
      </c>
      <c r="I29" s="265" t="s">
        <v>86</v>
      </c>
      <c r="J29" s="265" t="s">
        <v>83</v>
      </c>
      <c r="K29" s="284" t="s">
        <v>104</v>
      </c>
      <c r="L29" s="284" t="s">
        <v>205</v>
      </c>
      <c r="M29" s="264">
        <v>7.0</v>
      </c>
      <c r="N29" s="264" t="s">
        <v>89</v>
      </c>
      <c r="O29" s="271" t="str">
        <f>IFERROR(VLOOKUP(K29,'US History Framework Standards'!$A:$E,2,false),"")</f>
        <v>United States in a Changing World (1990-present)</v>
      </c>
      <c r="P29" s="324" t="str">
        <f>IFERROR(__xludf.DUMMYFUNCTION("IFERROR(Index(SPLIT(#REF!,"".""),1,1))"),"")</f>
        <v/>
      </c>
      <c r="Q29" s="324" t="str">
        <f>IFERROR(__xludf.DUMMYFUNCTION("IFERROR(Index(SPLIT(#REF!,"".""),1,2))"),"")</f>
        <v/>
      </c>
      <c r="R29" s="324" t="str">
        <f>IFERROR(VLOOKUP(#REF!,'US History Framework Standards'!$A:$E,3,false),"")</f>
        <v/>
      </c>
      <c r="S29" s="324" t="str">
        <f>IFERROR(__xludf.DUMMYFUNCTION("IFERROR(Index(SPLIT(#REF!,"".""),1,3)&amp;Index(SPLIT(#REF!,"".""),1,4))"),"")</f>
        <v/>
      </c>
      <c r="T29" s="271" t="str">
        <f>iferror(VLOOKUP(L29,'US History Framework Standards'!$A:$E,2,false),"")</f>
        <v>Reluctance to Defend Human Rights</v>
      </c>
      <c r="U29" s="267">
        <v>27.0</v>
      </c>
      <c r="V29" s="265" t="s">
        <v>247</v>
      </c>
      <c r="W29" s="265">
        <v>1201718.0</v>
      </c>
      <c r="X29" s="267"/>
      <c r="Y29" s="267"/>
      <c r="Z29" s="264" t="s">
        <v>248</v>
      </c>
      <c r="AA29" s="272"/>
      <c r="AB29" s="272" t="str">
        <f t="shared" si="1"/>
        <v>HXRG_1201718_Multiple Choice.jpg</v>
      </c>
    </row>
    <row r="30" ht="15.75" customHeight="1">
      <c r="A30" s="303" t="s">
        <v>243</v>
      </c>
      <c r="B30" s="304" t="s">
        <v>244</v>
      </c>
      <c r="C30" s="304">
        <v>28.0</v>
      </c>
      <c r="D30" s="319">
        <v>3.0</v>
      </c>
      <c r="E30" s="304"/>
      <c r="F30" s="305"/>
      <c r="G30" s="304"/>
      <c r="H30" s="306" t="s">
        <v>412</v>
      </c>
      <c r="I30" s="304" t="s">
        <v>82</v>
      </c>
      <c r="J30" s="304" t="s">
        <v>87</v>
      </c>
      <c r="K30" s="308" t="s">
        <v>268</v>
      </c>
      <c r="L30" s="308" t="s">
        <v>194</v>
      </c>
      <c r="M30" s="303">
        <v>13.0</v>
      </c>
      <c r="N30" s="303" t="s">
        <v>85</v>
      </c>
      <c r="O30" s="309" t="str">
        <f>IFERROR(VLOOKUP(K30,'US History Framework Standards'!$A:$E,2,false),"")</f>
        <v>Cold War (1945-1990)</v>
      </c>
      <c r="P30" s="327" t="str">
        <f>IFERROR(__xludf.DUMMYFUNCTION("IFERROR(Index(SPLIT(#REF!,"".""),1,1))"),"")</f>
        <v/>
      </c>
      <c r="Q30" s="327" t="str">
        <f>IFERROR(__xludf.DUMMYFUNCTION("IFERROR(Index(SPLIT(#REF!,"".""),1,2))"),"")</f>
        <v/>
      </c>
      <c r="R30" s="327" t="str">
        <f>IFERROR(VLOOKUP(#REF!,'US History Framework Standards'!$A:$E,3,false),"")</f>
        <v/>
      </c>
      <c r="S30" s="327" t="str">
        <f>IFERROR(__xludf.DUMMYFUNCTION("IFERROR(Index(SPLIT(#REF!,"".""),1,3)&amp;Index(SPLIT(#REF!,"".""),1,4))"),"")</f>
        <v/>
      </c>
      <c r="T30" s="271" t="str">
        <f>iferror(VLOOKUP(L30,'US History Framework Standards'!$A:$E,2,false),"")</f>
        <v>Berlin Wall &amp; the Soviet Loss of Control</v>
      </c>
      <c r="U30" s="305">
        <v>28.0</v>
      </c>
      <c r="V30" s="304" t="s">
        <v>247</v>
      </c>
      <c r="W30" s="304">
        <v>1201718.0</v>
      </c>
      <c r="X30" s="305"/>
      <c r="Y30" s="305"/>
      <c r="Z30" s="303" t="s">
        <v>248</v>
      </c>
      <c r="AA30" s="310"/>
      <c r="AB30" s="310" t="str">
        <f t="shared" si="1"/>
        <v>HXRG_1201718_Multiple Choice.jpg</v>
      </c>
    </row>
    <row r="31" ht="15.75" customHeight="1">
      <c r="A31" s="295" t="s">
        <v>271</v>
      </c>
      <c r="B31" s="296" t="s">
        <v>272</v>
      </c>
      <c r="C31" s="296" t="s">
        <v>273</v>
      </c>
      <c r="D31" s="297"/>
      <c r="E31" s="296"/>
      <c r="F31" s="298"/>
      <c r="G31" s="296"/>
      <c r="H31" s="299" t="s">
        <v>413</v>
      </c>
      <c r="I31" s="296" t="s">
        <v>82</v>
      </c>
      <c r="J31" s="296" t="s">
        <v>83</v>
      </c>
      <c r="K31" s="284" t="s">
        <v>264</v>
      </c>
      <c r="L31" s="284" t="s">
        <v>169</v>
      </c>
      <c r="M31" s="295"/>
      <c r="N31" s="295" t="s">
        <v>85</v>
      </c>
      <c r="O31" s="271" t="str">
        <f>IFERROR(VLOOKUP(K31,'US History Framework Standards'!$A:$E,2,false),"")</f>
        <v>Prosperity and Depression (1920-1939)</v>
      </c>
      <c r="P31" s="328"/>
      <c r="Q31" s="328"/>
      <c r="R31" s="328"/>
      <c r="S31" s="328"/>
      <c r="T31" s="271" t="str">
        <f>iferror(VLOOKUP(L31,'US History Framework Standards'!$A:$E,2,false),"")</f>
        <v>Hoover vs. FDR</v>
      </c>
      <c r="U31" s="298"/>
      <c r="V31" s="296"/>
      <c r="W31" s="296"/>
      <c r="X31" s="298"/>
      <c r="Y31" s="298"/>
      <c r="Z31" s="295"/>
      <c r="AA31" s="302"/>
      <c r="AB31" s="302"/>
    </row>
    <row r="32" ht="15.75" customHeight="1">
      <c r="A32" s="264" t="s">
        <v>275</v>
      </c>
      <c r="B32" s="265" t="s">
        <v>272</v>
      </c>
      <c r="C32" s="265" t="s">
        <v>276</v>
      </c>
      <c r="D32" s="266"/>
      <c r="E32" s="265"/>
      <c r="F32" s="267"/>
      <c r="G32" s="265"/>
      <c r="H32" s="283" t="s">
        <v>414</v>
      </c>
      <c r="I32" s="265" t="s">
        <v>82</v>
      </c>
      <c r="J32" s="265" t="s">
        <v>83</v>
      </c>
      <c r="K32" s="284" t="s">
        <v>264</v>
      </c>
      <c r="L32" s="284" t="s">
        <v>169</v>
      </c>
      <c r="M32" s="264"/>
      <c r="N32" s="264" t="s">
        <v>85</v>
      </c>
      <c r="O32" s="271" t="str">
        <f>IFERROR(VLOOKUP(K32,'US History Framework Standards'!$A:$E,2,false),"")</f>
        <v>Prosperity and Depression (1920-1939)</v>
      </c>
      <c r="P32" s="324" t="str">
        <f>IFERROR(__xludf.DUMMYFUNCTION("IFERROR(Index(SPLIT(#REF!,"".""),1,1))"),"")</f>
        <v/>
      </c>
      <c r="Q32" s="324" t="str">
        <f>IFERROR(__xludf.DUMMYFUNCTION("IFERROR(Index(SPLIT(#REF!,"".""),1,2))"),"")</f>
        <v/>
      </c>
      <c r="R32" s="324" t="str">
        <f>IFERROR(VLOOKUP(#REF!,'US History Framework Standards'!$A:$E,3,false),"")</f>
        <v/>
      </c>
      <c r="S32" s="324" t="str">
        <f>IFERROR(__xludf.DUMMYFUNCTION("IFERROR(Index(SPLIT(#REF!,"".""),1,3)&amp;Index(SPLIT(#REF!,"".""),1,4))"),"")</f>
        <v/>
      </c>
      <c r="T32" s="271" t="str">
        <f>iferror(VLOOKUP(L32,'US History Framework Standards'!$A:$E,2,false),"")</f>
        <v>Hoover vs. FDR</v>
      </c>
      <c r="U32" s="267">
        <v>29.0</v>
      </c>
      <c r="V32" s="265" t="s">
        <v>247</v>
      </c>
      <c r="W32" s="265">
        <v>1201718.0</v>
      </c>
      <c r="X32" s="267"/>
      <c r="Y32" s="267"/>
      <c r="Z32" s="264" t="s">
        <v>248</v>
      </c>
      <c r="AA32" s="272"/>
      <c r="AB32" s="272" t="str">
        <f t="shared" ref="AB32:AB33" si="2">V32&amp;"_"&amp;W32&amp;"_"&amp;A32&amp;".jpg"</f>
        <v>HXRG_1201718_Doc.jpg</v>
      </c>
    </row>
    <row r="33" ht="15.75" customHeight="1">
      <c r="A33" s="273" t="s">
        <v>275</v>
      </c>
      <c r="B33" s="274" t="s">
        <v>272</v>
      </c>
      <c r="C33" s="274" t="s">
        <v>278</v>
      </c>
      <c r="D33" s="275"/>
      <c r="E33" s="274"/>
      <c r="F33" s="276"/>
      <c r="G33" s="274"/>
      <c r="H33" s="285" t="s">
        <v>415</v>
      </c>
      <c r="I33" s="274" t="s">
        <v>82</v>
      </c>
      <c r="J33" s="274" t="s">
        <v>87</v>
      </c>
      <c r="K33" s="279" t="s">
        <v>261</v>
      </c>
      <c r="L33" s="279" t="s">
        <v>154</v>
      </c>
      <c r="M33" s="273"/>
      <c r="N33" s="273" t="s">
        <v>85</v>
      </c>
      <c r="O33" s="280" t="str">
        <f>IFERROR(VLOOKUP(K33,'US History Framework Standards'!$A:$E,2,false),"")</f>
        <v>Rise of American Power (1890-1920)</v>
      </c>
      <c r="P33" s="325" t="str">
        <f>IFERROR(__xludf.DUMMYFUNCTION("IFERROR(Index(SPLIT(#REF!,"".""),1,1))"),"")</f>
        <v/>
      </c>
      <c r="Q33" s="325" t="str">
        <f>IFERROR(__xludf.DUMMYFUNCTION("IFERROR(Index(SPLIT(#REF!,"".""),1,2))"),"")</f>
        <v/>
      </c>
      <c r="R33" s="325" t="str">
        <f>IFERROR(VLOOKUP(#REF!,'US History Framework Standards'!$A:$E,3,false),"")</f>
        <v/>
      </c>
      <c r="S33" s="325" t="str">
        <f>IFERROR(__xludf.DUMMYFUNCTION("IFERROR(Index(SPLIT(#REF!,"".""),1,3)&amp;Index(SPLIT(#REF!,"".""),1,4))"),"")</f>
        <v/>
      </c>
      <c r="T33" s="271" t="str">
        <f>iferror(VLOOKUP(L33,'US History Framework Standards'!$A:$E,2,false),"")</f>
        <v>Attempts at Peace after WWI</v>
      </c>
      <c r="U33" s="276">
        <v>30.0</v>
      </c>
      <c r="V33" s="274" t="s">
        <v>247</v>
      </c>
      <c r="W33" s="274">
        <v>1201718.0</v>
      </c>
      <c r="X33" s="276"/>
      <c r="Y33" s="276"/>
      <c r="Z33" s="273" t="s">
        <v>248</v>
      </c>
      <c r="AA33" s="281"/>
      <c r="AB33" s="281" t="str">
        <f t="shared" si="2"/>
        <v>HXRG_1201718_Doc.jpg</v>
      </c>
    </row>
    <row r="34" ht="15.75" customHeight="1">
      <c r="A34" s="303" t="s">
        <v>271</v>
      </c>
      <c r="B34" s="304" t="s">
        <v>272</v>
      </c>
      <c r="C34" s="304" t="s">
        <v>280</v>
      </c>
      <c r="D34" s="305"/>
      <c r="E34" s="304"/>
      <c r="F34" s="305"/>
      <c r="G34" s="304"/>
      <c r="H34" s="306" t="s">
        <v>416</v>
      </c>
      <c r="I34" s="304" t="s">
        <v>82</v>
      </c>
      <c r="J34" s="304" t="s">
        <v>83</v>
      </c>
      <c r="K34" s="308" t="s">
        <v>261</v>
      </c>
      <c r="L34" s="279" t="s">
        <v>154</v>
      </c>
      <c r="M34" s="303"/>
      <c r="N34" s="303" t="s">
        <v>85</v>
      </c>
      <c r="O34" s="309" t="str">
        <f>IFERROR(VLOOKUP(K34,'US History Framework Standards'!$A:$E,2,false),"")</f>
        <v>Rise of American Power (1890-1920)</v>
      </c>
      <c r="P34" s="327"/>
      <c r="Q34" s="327"/>
      <c r="R34" s="327"/>
      <c r="S34" s="327"/>
      <c r="T34" s="271" t="str">
        <f>iferror(VLOOKUP(L34,'US History Framework Standards'!$A:$E,2,false),"")</f>
        <v>Attempts at Peace after WWI</v>
      </c>
      <c r="U34" s="305"/>
      <c r="V34" s="304"/>
      <c r="W34" s="304"/>
      <c r="X34" s="305"/>
      <c r="Y34" s="305"/>
      <c r="Z34" s="303"/>
      <c r="AA34" s="310"/>
      <c r="AB34" s="310"/>
    </row>
    <row r="35" ht="15.75" customHeight="1">
      <c r="A35" s="295" t="s">
        <v>275</v>
      </c>
      <c r="B35" s="296" t="s">
        <v>282</v>
      </c>
      <c r="C35" s="296">
        <v>31.0</v>
      </c>
      <c r="D35" s="298"/>
      <c r="E35" s="296"/>
      <c r="F35" s="298"/>
      <c r="G35" s="296"/>
      <c r="H35" s="299" t="s">
        <v>417</v>
      </c>
      <c r="I35" s="296" t="s">
        <v>86</v>
      </c>
      <c r="J35" s="296" t="s">
        <v>83</v>
      </c>
      <c r="K35" s="311" t="s">
        <v>256</v>
      </c>
      <c r="L35" s="311" t="s">
        <v>136</v>
      </c>
      <c r="M35" s="295">
        <v>9.0</v>
      </c>
      <c r="N35" s="295" t="s">
        <v>89</v>
      </c>
      <c r="O35" s="301" t="str">
        <f>IFERROR(VLOOKUP(K35,'US History Framework Standards'!$A:$E,2,false),"")</f>
        <v>Post-Civil War Era (1865-1900)</v>
      </c>
      <c r="P35" s="328" t="str">
        <f>IFERROR(__xludf.DUMMYFUNCTION("IFERROR(Index(SPLIT(#REF!,"".""),1,1))"),"")</f>
        <v/>
      </c>
      <c r="Q35" s="328" t="str">
        <f>IFERROR(__xludf.DUMMYFUNCTION("IFERROR(Index(SPLIT(#REF!,"".""),1,2))"),"")</f>
        <v/>
      </c>
      <c r="R35" s="328" t="str">
        <f>IFERROR(VLOOKUP(#REF!,'US History Framework Standards'!$A:$E,3,false),"")</f>
        <v/>
      </c>
      <c r="S35" s="328" t="str">
        <f>IFERROR(__xludf.DUMMYFUNCTION("IFERROR(Index(SPLIT(#REF!,"".""),1,3)&amp;Index(SPLIT(#REF!,"".""),1,4))"),"")</f>
        <v/>
      </c>
      <c r="T35" s="271" t="str">
        <f>iferror(VLOOKUP(L35,'US History Framework Standards'!$A:$E,2,false),"")</f>
        <v>Western Expansion &amp; Native American Impact</v>
      </c>
      <c r="U35" s="298">
        <v>31.0</v>
      </c>
      <c r="V35" s="296" t="s">
        <v>247</v>
      </c>
      <c r="W35" s="296">
        <v>1201718.0</v>
      </c>
      <c r="X35" s="298"/>
      <c r="Y35" s="298"/>
      <c r="Z35" s="295" t="s">
        <v>248</v>
      </c>
      <c r="AA35" s="302"/>
      <c r="AB35" s="302" t="str">
        <f t="shared" ref="AB35:AB39" si="3">V35&amp;"_"&amp;W35&amp;"_"&amp;A35&amp;".jpg"</f>
        <v>HXRG_1201718_Doc.jpg</v>
      </c>
    </row>
    <row r="36" ht="15.75" customHeight="1">
      <c r="A36" s="303" t="s">
        <v>275</v>
      </c>
      <c r="B36" s="274" t="s">
        <v>282</v>
      </c>
      <c r="C36" s="274">
        <v>32.0</v>
      </c>
      <c r="D36" s="276"/>
      <c r="E36" s="274"/>
      <c r="F36" s="276"/>
      <c r="G36" s="274"/>
      <c r="H36" s="282" t="s">
        <v>418</v>
      </c>
      <c r="I36" s="274" t="s">
        <v>86</v>
      </c>
      <c r="J36" s="274" t="s">
        <v>94</v>
      </c>
      <c r="K36" s="279" t="s">
        <v>256</v>
      </c>
      <c r="L36" s="279" t="s">
        <v>135</v>
      </c>
      <c r="M36" s="273">
        <v>8.0</v>
      </c>
      <c r="N36" s="273" t="s">
        <v>89</v>
      </c>
      <c r="O36" s="280" t="str">
        <f>IFERROR(VLOOKUP(K36,'US History Framework Standards'!$A:$E,2,false),"")</f>
        <v>Post-Civil War Era (1865-1900)</v>
      </c>
      <c r="P36" s="325" t="str">
        <f>IFERROR(__xludf.DUMMYFUNCTION("IFERROR(Index(SPLIT(#REF!,"".""),1,1))"),"")</f>
        <v/>
      </c>
      <c r="Q36" s="325" t="str">
        <f>IFERROR(__xludf.DUMMYFUNCTION("IFERROR(Index(SPLIT(#REF!,"".""),1,2))"),"")</f>
        <v/>
      </c>
      <c r="R36" s="325" t="str">
        <f>IFERROR(VLOOKUP(#REF!,'US History Framework Standards'!$A:$E,3,false),"")</f>
        <v/>
      </c>
      <c r="S36" s="325" t="str">
        <f>IFERROR(__xludf.DUMMYFUNCTION("IFERROR(Index(SPLIT(#REF!,"".""),1,3)&amp;Index(SPLIT(#REF!,"".""),1,4))"),"")</f>
        <v/>
      </c>
      <c r="T36" s="271" t="str">
        <f>iferror(VLOOKUP(L36,'US History Framework Standards'!$A:$E,2,false),"")</f>
        <v>Federal Policies &amp; Western Expansion</v>
      </c>
      <c r="U36" s="305">
        <v>32.0</v>
      </c>
      <c r="V36" s="304" t="s">
        <v>247</v>
      </c>
      <c r="W36" s="304">
        <v>1201718.0</v>
      </c>
      <c r="X36" s="305"/>
      <c r="Y36" s="305"/>
      <c r="Z36" s="303" t="s">
        <v>248</v>
      </c>
      <c r="AA36" s="310"/>
      <c r="AB36" s="310" t="str">
        <f t="shared" si="3"/>
        <v>HXRG_1201718_Doc.jpg</v>
      </c>
    </row>
    <row r="37" ht="15.75" customHeight="1">
      <c r="A37" s="295" t="s">
        <v>285</v>
      </c>
      <c r="B37" s="265" t="s">
        <v>282</v>
      </c>
      <c r="C37" s="265">
        <v>33.0</v>
      </c>
      <c r="D37" s="267"/>
      <c r="E37" s="265"/>
      <c r="F37" s="267"/>
      <c r="G37" s="265"/>
      <c r="H37" s="283" t="s">
        <v>419</v>
      </c>
      <c r="I37" s="265" t="s">
        <v>86</v>
      </c>
      <c r="J37" s="265" t="s">
        <v>83</v>
      </c>
      <c r="K37" s="284"/>
      <c r="L37" s="284"/>
      <c r="M37" s="264">
        <v>12.0</v>
      </c>
      <c r="N37" s="264" t="s">
        <v>89</v>
      </c>
      <c r="O37" s="271" t="str">
        <f>IFERROR(VLOOKUP(K37,'US History Framework Standards'!$A:$E,2,false),"")</f>
        <v/>
      </c>
      <c r="P37" s="324" t="str">
        <f>IFERROR(__xludf.DUMMYFUNCTION("IFERROR(Index(SPLIT(#REF!,"".""),1,1))"),"")</f>
        <v/>
      </c>
      <c r="Q37" s="324" t="str">
        <f>IFERROR(__xludf.DUMMYFUNCTION("IFERROR(Index(SPLIT(#REF!,"".""),1,2))"),"")</f>
        <v/>
      </c>
      <c r="R37" s="324" t="str">
        <f>IFERROR(VLOOKUP(#REF!,'US History Framework Standards'!$A:$E,3,false),"")</f>
        <v/>
      </c>
      <c r="S37" s="324" t="str">
        <f>IFERROR(__xludf.DUMMYFUNCTION("IFERROR(Index(SPLIT(#REF!,"".""),1,3)&amp;Index(SPLIT(#REF!,"".""),1,4))"),"")</f>
        <v/>
      </c>
      <c r="T37" s="271" t="str">
        <f>iferror(VLOOKUP(L37,'US History Framework Standards'!$A:$E,2,false),"")</f>
        <v/>
      </c>
      <c r="U37" s="298">
        <v>33.0</v>
      </c>
      <c r="V37" s="296" t="s">
        <v>247</v>
      </c>
      <c r="W37" s="296">
        <v>1201718.0</v>
      </c>
      <c r="X37" s="298"/>
      <c r="Y37" s="298"/>
      <c r="Z37" s="295" t="s">
        <v>248</v>
      </c>
      <c r="AA37" s="302"/>
      <c r="AB37" s="302" t="str">
        <f t="shared" si="3"/>
        <v>HXRG_1201718_DBQ.jpg</v>
      </c>
    </row>
    <row r="38" ht="15.75" customHeight="1">
      <c r="A38" s="273" t="s">
        <v>285</v>
      </c>
      <c r="B38" s="274" t="s">
        <v>282</v>
      </c>
      <c r="C38" s="274">
        <v>34.0</v>
      </c>
      <c r="D38" s="276"/>
      <c r="E38" s="274"/>
      <c r="F38" s="276"/>
      <c r="G38" s="274"/>
      <c r="H38" s="345" t="s">
        <v>420</v>
      </c>
      <c r="I38" s="274" t="s">
        <v>90</v>
      </c>
      <c r="J38" s="274" t="s">
        <v>83</v>
      </c>
      <c r="K38" s="279" t="s">
        <v>102</v>
      </c>
      <c r="L38" s="279" t="s">
        <v>199</v>
      </c>
      <c r="M38" s="273">
        <v>8.0</v>
      </c>
      <c r="N38" s="273" t="s">
        <v>89</v>
      </c>
      <c r="O38" s="280" t="str">
        <f>IFERROR(VLOOKUP(K38,'US History Framework Standards'!$A:$E,2,false),"")</f>
        <v>Social and Economic Change/ Domestic Issues (1945-present)</v>
      </c>
      <c r="P38" s="325" t="str">
        <f>IFERROR(__xludf.DUMMYFUNCTION("IFERROR(Index(SPLIT(#REF!,"".""),1,1))"),"")</f>
        <v/>
      </c>
      <c r="Q38" s="325" t="str">
        <f>IFERROR(__xludf.DUMMYFUNCTION("IFERROR(Index(SPLIT(#REF!,"".""),1,2))"),"")</f>
        <v/>
      </c>
      <c r="R38" s="325" t="str">
        <f>IFERROR(VLOOKUP(#REF!,'US History Framework Standards'!$A:$E,3,false),"")</f>
        <v/>
      </c>
      <c r="S38" s="325" t="str">
        <f>IFERROR(__xludf.DUMMYFUNCTION("IFERROR(Index(SPLIT(#REF!,"".""),1,3)&amp;Index(SPLIT(#REF!,"".""),1,4))"),"")</f>
        <v/>
      </c>
      <c r="T38" s="271" t="str">
        <f>iferror(VLOOKUP(L38,'US History Framework Standards'!$A:$E,2,false),"")</f>
        <v>Individuals &amp; Groups Fight for Equality</v>
      </c>
      <c r="U38" s="276">
        <v>34.0</v>
      </c>
      <c r="V38" s="274" t="s">
        <v>247</v>
      </c>
      <c r="W38" s="274">
        <v>1201718.0</v>
      </c>
      <c r="X38" s="276"/>
      <c r="Y38" s="276"/>
      <c r="Z38" s="273" t="s">
        <v>248</v>
      </c>
      <c r="AA38" s="281"/>
      <c r="AB38" s="281" t="str">
        <f t="shared" si="3"/>
        <v>HXRG_1201718_DBQ.jpg</v>
      </c>
    </row>
    <row r="39" ht="15.75" customHeight="1">
      <c r="A39" s="264" t="s">
        <v>285</v>
      </c>
      <c r="B39" s="265" t="s">
        <v>282</v>
      </c>
      <c r="C39" s="265">
        <v>35.0</v>
      </c>
      <c r="D39" s="267"/>
      <c r="E39" s="265"/>
      <c r="F39" s="267"/>
      <c r="G39" s="265"/>
      <c r="H39" s="326" t="s">
        <v>421</v>
      </c>
      <c r="I39" s="265" t="s">
        <v>82</v>
      </c>
      <c r="J39" s="265" t="s">
        <v>96</v>
      </c>
      <c r="K39" s="284" t="s">
        <v>102</v>
      </c>
      <c r="L39" s="284" t="s">
        <v>199</v>
      </c>
      <c r="M39" s="264">
        <v>12.0</v>
      </c>
      <c r="N39" s="264" t="s">
        <v>89</v>
      </c>
      <c r="O39" s="271" t="str">
        <f>IFERROR(VLOOKUP(K39,'US History Framework Standards'!$A:$E,2,false),"")</f>
        <v>Social and Economic Change/ Domestic Issues (1945-present)</v>
      </c>
      <c r="P39" s="324" t="str">
        <f>IFERROR(__xludf.DUMMYFUNCTION("IFERROR(Index(SPLIT(#REF!,"".""),1,1))"),"")</f>
        <v/>
      </c>
      <c r="Q39" s="324" t="str">
        <f>IFERROR(__xludf.DUMMYFUNCTION("IFERROR(Index(SPLIT(#REF!,"".""),1,2))"),"")</f>
        <v/>
      </c>
      <c r="R39" s="324" t="str">
        <f>IFERROR(VLOOKUP(#REF!,'US History Framework Standards'!$A:$E,3,false),"")</f>
        <v/>
      </c>
      <c r="S39" s="324" t="str">
        <f>IFERROR(__xludf.DUMMYFUNCTION("IFERROR(Index(SPLIT(#REF!,"".""),1,3)&amp;Index(SPLIT(#REF!,"".""),1,4))"),"")</f>
        <v/>
      </c>
      <c r="T39" s="271" t="str">
        <f>iferror(VLOOKUP(L39,'US History Framework Standards'!$A:$E,2,false),"")</f>
        <v>Individuals &amp; Groups Fight for Equality</v>
      </c>
      <c r="U39" s="267">
        <v>51.0</v>
      </c>
      <c r="V39" s="265" t="s">
        <v>247</v>
      </c>
      <c r="W39" s="265">
        <v>1201718.0</v>
      </c>
      <c r="X39" s="267"/>
      <c r="Y39" s="267"/>
      <c r="Z39" s="264" t="s">
        <v>248</v>
      </c>
      <c r="AA39" s="272"/>
      <c r="AB39" s="272" t="str">
        <f t="shared" si="3"/>
        <v>HXRG_1201718_DBQ.jpg</v>
      </c>
    </row>
    <row r="40" ht="15.75" customHeight="1">
      <c r="A40" s="273" t="s">
        <v>285</v>
      </c>
      <c r="B40" s="274" t="s">
        <v>282</v>
      </c>
      <c r="C40" s="274">
        <v>36.0</v>
      </c>
      <c r="D40" s="276"/>
      <c r="E40" s="274"/>
      <c r="F40" s="276"/>
      <c r="G40" s="274"/>
      <c r="H40" s="282" t="s">
        <v>422</v>
      </c>
      <c r="I40" s="274" t="s">
        <v>82</v>
      </c>
      <c r="J40" s="274" t="s">
        <v>83</v>
      </c>
      <c r="K40" s="279" t="s">
        <v>102</v>
      </c>
      <c r="L40" s="279" t="s">
        <v>199</v>
      </c>
      <c r="M40" s="273">
        <v>8.0</v>
      </c>
      <c r="N40" s="273" t="s">
        <v>89</v>
      </c>
      <c r="O40" s="280" t="str">
        <f>IFERROR(VLOOKUP(K40,'US History Framework Standards'!$A:$E,2,false),"")</f>
        <v>Social and Economic Change/ Domestic Issues (1945-present)</v>
      </c>
      <c r="P40" s="325" t="str">
        <f>IFERROR(__xludf.DUMMYFUNCTION("IFERROR(Index(SPLIT(#REF!,"".""),1,1))"),"")</f>
        <v/>
      </c>
      <c r="Q40" s="325" t="str">
        <f>IFERROR(__xludf.DUMMYFUNCTION("IFERROR(Index(SPLIT(#REF!,"".""),1,2))"),"")</f>
        <v/>
      </c>
      <c r="R40" s="325" t="str">
        <f>IFERROR(VLOOKUP(#REF!,'US History Framework Standards'!$A:$E,3,false),"")</f>
        <v/>
      </c>
      <c r="S40" s="325" t="str">
        <f>IFERROR(__xludf.DUMMYFUNCTION("IFERROR(Index(SPLIT(#REF!,"".""),1,3)&amp;Index(SPLIT(#REF!,"".""),1,4))"),"")</f>
        <v/>
      </c>
      <c r="T40" s="271" t="str">
        <f>iferror(VLOOKUP(L40,'US History Framework Standards'!$A:$E,2,false),"")</f>
        <v>Individuals &amp; Groups Fight for Equality</v>
      </c>
      <c r="U40" s="276"/>
      <c r="V40" s="274"/>
      <c r="W40" s="274"/>
      <c r="X40" s="276"/>
      <c r="Y40" s="276"/>
      <c r="Z40" s="273"/>
      <c r="AA40" s="281"/>
      <c r="AB40" s="281"/>
    </row>
    <row r="41" ht="15.75" customHeight="1">
      <c r="A41" s="264" t="s">
        <v>285</v>
      </c>
      <c r="B41" s="265" t="s">
        <v>282</v>
      </c>
      <c r="C41" s="265">
        <v>37.0</v>
      </c>
      <c r="D41" s="267"/>
      <c r="E41" s="265"/>
      <c r="F41" s="267"/>
      <c r="G41" s="265"/>
      <c r="H41" s="283"/>
      <c r="I41" s="265"/>
      <c r="J41" s="265"/>
      <c r="K41" s="284"/>
      <c r="L41" s="284"/>
      <c r="M41" s="264"/>
      <c r="N41" s="264"/>
      <c r="O41" s="271" t="str">
        <f>IFERROR(VLOOKUP(K41,'US History Framework Standards'!$A:$E,2,false),"")</f>
        <v/>
      </c>
      <c r="P41" s="324" t="str">
        <f>IFERROR(__xludf.DUMMYFUNCTION("IFERROR(Index(SPLIT(#REF!,"".""),1,1))"),"")</f>
        <v/>
      </c>
      <c r="Q41" s="324" t="str">
        <f>IFERROR(__xludf.DUMMYFUNCTION("IFERROR(Index(SPLIT(#REF!,"".""),1,2))"),"")</f>
        <v/>
      </c>
      <c r="R41" s="324" t="str">
        <f>IFERROR(VLOOKUP(#REF!,'US History Framework Standards'!$A:$E,3,false),"")</f>
        <v/>
      </c>
      <c r="S41" s="324" t="str">
        <f>IFERROR(__xludf.DUMMYFUNCTION("IFERROR(Index(SPLIT(#REF!,"".""),1,3)&amp;Index(SPLIT(#REF!,"".""),1,4))"),"")</f>
        <v/>
      </c>
      <c r="T41" s="271" t="str">
        <f>iferror(VLOOKUP(L41,'US History Framework Standards'!$A:$E,2,false),"")</f>
        <v/>
      </c>
      <c r="U41" s="267"/>
      <c r="V41" s="265"/>
      <c r="W41" s="265"/>
      <c r="X41" s="267"/>
      <c r="Y41" s="267"/>
      <c r="Z41" s="264"/>
      <c r="AA41" s="272"/>
      <c r="AB41" s="272"/>
    </row>
    <row r="42" ht="15.75" customHeight="1">
      <c r="A42" s="273" t="s">
        <v>285</v>
      </c>
      <c r="B42" s="274"/>
      <c r="C42" s="274"/>
      <c r="D42" s="276"/>
      <c r="E42" s="274"/>
      <c r="F42" s="276"/>
      <c r="G42" s="274"/>
      <c r="H42" s="285"/>
      <c r="I42" s="274"/>
      <c r="J42" s="274"/>
      <c r="K42" s="279"/>
      <c r="L42" s="279"/>
      <c r="M42" s="273"/>
      <c r="N42" s="273"/>
      <c r="O42" s="280" t="str">
        <f>IFERROR(VLOOKUP(K42,'US History Framework Standards'!$A:$E,2,false),"")</f>
        <v/>
      </c>
      <c r="P42" s="325" t="str">
        <f>IFERROR(__xludf.DUMMYFUNCTION("IFERROR(Index(SPLIT(#REF!,"".""),1,1))"),"")</f>
        <v/>
      </c>
      <c r="Q42" s="325" t="str">
        <f>IFERROR(__xludf.DUMMYFUNCTION("IFERROR(Index(SPLIT(#REF!,"".""),1,2))"),"")</f>
        <v/>
      </c>
      <c r="R42" s="325" t="str">
        <f>IFERROR(VLOOKUP(#REF!,'US History Framework Standards'!$A:$E,3,false),"")</f>
        <v/>
      </c>
      <c r="S42" s="325" t="str">
        <f>IFERROR(__xludf.DUMMYFUNCTION("IFERROR(Index(SPLIT(#REF!,"".""),1,3)&amp;Index(SPLIT(#REF!,"".""),1,4))"),"")</f>
        <v/>
      </c>
      <c r="T42" s="280" t="str">
        <f>iferror(VLOOKUP(L42,'US History Framework Standards'!$A:$E,5,false),"")</f>
        <v/>
      </c>
      <c r="U42" s="276"/>
      <c r="V42" s="274"/>
      <c r="W42" s="274"/>
      <c r="X42" s="276"/>
      <c r="Y42" s="276"/>
      <c r="Z42" s="273"/>
      <c r="AA42" s="281"/>
      <c r="AB42" s="281"/>
    </row>
  </sheetData>
  <mergeCells count="3">
    <mergeCell ref="H1:K1"/>
    <mergeCell ref="L1:N1"/>
    <mergeCell ref="O1:T1"/>
  </mergeCells>
  <dataValidations>
    <dataValidation type="list" allowBlank="1" sqref="M3:M42">
      <formula1>'Analysis All Exams'!$M$5:$M$22</formula1>
    </dataValidation>
    <dataValidation type="list" allowBlank="1" sqref="G3:G42">
      <formula1>"Stimulus-Based Multiple Choice,Constructed Response Questions,Enduring Issues Essay"</formula1>
    </dataValidation>
    <dataValidation type="list" allowBlank="1" sqref="I3:I42">
      <formula1>'Analysis All Exams'!$A$5:$A$7</formula1>
    </dataValidation>
    <dataValidation type="list" allowBlank="1" sqref="B3:B42">
      <formula1>"Part I,Part II,Part III"</formula1>
    </dataValidation>
    <dataValidation type="list" allowBlank="1" sqref="J3:J42">
      <formula1>'Analysis All Exams'!$D$5:$D$9</formula1>
    </dataValidation>
    <dataValidation type="list" allowBlank="1" sqref="K3:L42">
      <formula1>'US History Framework Standards'!$A:$A</formula1>
    </dataValidation>
    <dataValidation type="list" allowBlank="1" sqref="N3:N42">
      <formula1>"Yes,No"</formula1>
    </dataValidation>
  </dataValidations>
  <hyperlinks>
    <hyperlink r:id="rId1" ref="M2"/>
    <hyperlink r:id="rId2" ref="O2"/>
    <hyperlink r:id="rId3" ref="T2"/>
    <hyperlink r:id="rId4" ref="H39"/>
  </hyperlinks>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63"/>
    <col customWidth="1" min="2" max="2" width="6.38"/>
    <col customWidth="1" min="3" max="3" width="9.5"/>
    <col customWidth="1" min="4" max="4" width="12.63"/>
    <col customWidth="1" min="5" max="5" width="6.38"/>
    <col customWidth="1" min="6" max="7" width="9.5"/>
    <col customWidth="1" min="8" max="8" width="6.38"/>
    <col customWidth="1" min="9" max="9" width="9.5"/>
    <col customWidth="1" min="10" max="10" width="12.63"/>
    <col customWidth="1" min="11" max="14" width="6.38"/>
    <col customWidth="1" min="15" max="15" width="9.5"/>
    <col customWidth="1" min="16" max="17" width="6.38"/>
    <col customWidth="1" min="18" max="18" width="9.5"/>
  </cols>
  <sheetData>
    <row r="1">
      <c r="A1" s="31" t="s">
        <v>423</v>
      </c>
      <c r="B1" s="32"/>
      <c r="C1" s="32"/>
      <c r="D1" s="32"/>
      <c r="E1" s="32"/>
      <c r="F1" s="32"/>
      <c r="G1" s="32"/>
      <c r="H1" s="32"/>
      <c r="I1" s="32"/>
      <c r="J1" s="32"/>
      <c r="K1" s="32"/>
      <c r="L1" s="32"/>
      <c r="M1" s="32"/>
      <c r="N1" s="32"/>
      <c r="O1" s="32"/>
      <c r="P1" s="32"/>
      <c r="Q1" s="32"/>
      <c r="R1" s="33"/>
    </row>
    <row r="2">
      <c r="A2" s="34" t="s">
        <v>76</v>
      </c>
      <c r="I2" s="35"/>
      <c r="J2" s="36" t="s">
        <v>0</v>
      </c>
    </row>
    <row r="3" ht="15.75" customHeight="1">
      <c r="A3" s="37" t="s">
        <v>64</v>
      </c>
      <c r="B3" s="38"/>
      <c r="C3" s="39"/>
      <c r="D3" s="37" t="s">
        <v>77</v>
      </c>
      <c r="E3" s="38"/>
      <c r="F3" s="39"/>
      <c r="G3" s="40" t="s">
        <v>78</v>
      </c>
      <c r="H3" s="38"/>
      <c r="I3" s="39"/>
      <c r="J3" s="40" t="s">
        <v>79</v>
      </c>
      <c r="K3" s="38"/>
      <c r="L3" s="39"/>
      <c r="M3" s="40" t="s">
        <v>71</v>
      </c>
      <c r="N3" s="38"/>
      <c r="O3" s="39"/>
      <c r="P3" s="37" t="s">
        <v>72</v>
      </c>
      <c r="Q3" s="38"/>
      <c r="R3" s="39"/>
    </row>
    <row r="4" ht="15.75" customHeight="1">
      <c r="A4" s="41"/>
      <c r="B4" s="42" t="s">
        <v>80</v>
      </c>
      <c r="C4" s="43" t="s">
        <v>81</v>
      </c>
      <c r="D4" s="41"/>
      <c r="E4" s="42" t="s">
        <v>80</v>
      </c>
      <c r="F4" s="43" t="s">
        <v>81</v>
      </c>
      <c r="G4" s="41"/>
      <c r="H4" s="42" t="s">
        <v>80</v>
      </c>
      <c r="I4" s="43" t="s">
        <v>81</v>
      </c>
      <c r="J4" s="42"/>
      <c r="K4" s="42" t="s">
        <v>80</v>
      </c>
      <c r="L4" s="42" t="s">
        <v>81</v>
      </c>
      <c r="M4" s="41"/>
      <c r="N4" s="44" t="s">
        <v>80</v>
      </c>
      <c r="O4" s="45" t="s">
        <v>81</v>
      </c>
      <c r="P4" s="41"/>
      <c r="Q4" s="42" t="s">
        <v>80</v>
      </c>
      <c r="R4" s="46" t="s">
        <v>81</v>
      </c>
    </row>
    <row r="5" ht="15.75" customHeight="1">
      <c r="A5" s="47" t="s">
        <v>82</v>
      </c>
      <c r="B5" s="48">
        <f>COUNTIF('Itemization 202306'!I:I,A5)</f>
        <v>26</v>
      </c>
      <c r="C5" s="49">
        <f>(B5/B8)</f>
        <v>0.6842105263</v>
      </c>
      <c r="D5" s="47" t="s">
        <v>83</v>
      </c>
      <c r="E5" s="48">
        <f>COUNTIF('Itemization 202306'!J:J,D5)</f>
        <v>26</v>
      </c>
      <c r="F5" s="49">
        <f>(E5/E10)</f>
        <v>0.6842105263</v>
      </c>
      <c r="G5" s="125">
        <v>11.01</v>
      </c>
      <c r="H5" s="54">
        <f>COUNTIF('Itemization 202306'!K:K,G5)</f>
        <v>0</v>
      </c>
      <c r="I5" s="55">
        <f>(H5/H16)</f>
        <v>0</v>
      </c>
      <c r="J5" s="342" t="s">
        <v>84</v>
      </c>
      <c r="K5" s="343">
        <f>COUNTIF('Itemization 202306'!L:L,J5)</f>
        <v>0</v>
      </c>
      <c r="L5" s="344">
        <f>(K5/K116)</f>
        <v>0</v>
      </c>
      <c r="M5" s="144">
        <v>1.0</v>
      </c>
      <c r="N5" s="114">
        <f>countif('Itemization 202306'!$M$3:$M$42,M5)</f>
        <v>2</v>
      </c>
      <c r="O5" s="145">
        <f>(N5/N23)</f>
        <v>0.05882352941</v>
      </c>
      <c r="P5" s="47" t="s">
        <v>85</v>
      </c>
      <c r="Q5" s="48">
        <f>countif('Itemization 202306'!N3:N42,P5)</f>
        <v>26</v>
      </c>
      <c r="R5" s="59">
        <f>(Q5/Q7)</f>
        <v>0.6666666667</v>
      </c>
    </row>
    <row r="6" ht="15.75" customHeight="1">
      <c r="A6" s="60" t="s">
        <v>86</v>
      </c>
      <c r="B6" s="61">
        <f>COUNTIF('Itemization 202306'!I:I,A6)</f>
        <v>9</v>
      </c>
      <c r="C6" s="62">
        <f>(B6/B8)</f>
        <v>0.2368421053</v>
      </c>
      <c r="D6" s="60" t="s">
        <v>87</v>
      </c>
      <c r="E6" s="61">
        <f>COUNTIF('Itemization 202306'!J:J,D6)</f>
        <v>7</v>
      </c>
      <c r="F6" s="62">
        <f>(E6/E10)</f>
        <v>0.1842105263</v>
      </c>
      <c r="G6" s="56">
        <v>11.02</v>
      </c>
      <c r="H6" s="57">
        <f>COUNTIF('Itemization 202306'!K:K,G6)</f>
        <v>6</v>
      </c>
      <c r="I6" s="58">
        <f>(H6/H16)</f>
        <v>0.1578947368</v>
      </c>
      <c r="J6" s="121" t="s">
        <v>88</v>
      </c>
      <c r="K6" s="54">
        <f>COUNTIF('Itemization 202306'!L:L,J6)</f>
        <v>0</v>
      </c>
      <c r="L6" s="55">
        <f>(K6/K116)</f>
        <v>0</v>
      </c>
      <c r="M6" s="60">
        <v>2.0</v>
      </c>
      <c r="N6" s="61">
        <f>countif('Itemization 202306'!$M$3:$M$42,M6)</f>
        <v>4</v>
      </c>
      <c r="O6" s="62">
        <f>(N6/N23)</f>
        <v>0.1176470588</v>
      </c>
      <c r="P6" s="64" t="s">
        <v>89</v>
      </c>
      <c r="Q6" s="61">
        <f>countif('Itemization 202306'!N3:N42,P6)</f>
        <v>13</v>
      </c>
      <c r="R6" s="65">
        <f>(Q6/Q7)</f>
        <v>0.3333333333</v>
      </c>
    </row>
    <row r="7" ht="15.75" customHeight="1">
      <c r="A7" s="66" t="s">
        <v>90</v>
      </c>
      <c r="B7" s="57">
        <f>COUNTIF('Itemization 202306'!I:I,A7)</f>
        <v>3</v>
      </c>
      <c r="C7" s="67">
        <f>(B7/B8)</f>
        <v>0.07894736842</v>
      </c>
      <c r="D7" s="125" t="s">
        <v>91</v>
      </c>
      <c r="E7" s="54">
        <f>COUNTIF('Itemization 202306'!J:J,D7)</f>
        <v>0</v>
      </c>
      <c r="F7" s="55">
        <f>(E7/E10)</f>
        <v>0</v>
      </c>
      <c r="G7" s="60">
        <v>11.03</v>
      </c>
      <c r="H7" s="61">
        <f>COUNTIF('Itemization 202306'!K:K,G7)</f>
        <v>5</v>
      </c>
      <c r="I7" s="62">
        <f>(H7/H16)</f>
        <v>0.1315789474</v>
      </c>
      <c r="J7" s="121" t="s">
        <v>92</v>
      </c>
      <c r="K7" s="54">
        <f>COUNTIF('Itemization 202306'!L:L,J7)</f>
        <v>0</v>
      </c>
      <c r="L7" s="55">
        <f>(K7/K116)</f>
        <v>0</v>
      </c>
      <c r="M7" s="125">
        <v>3.0</v>
      </c>
      <c r="N7" s="54">
        <f>countif('Itemization 202306'!$M$3:$M$42,M7)</f>
        <v>1</v>
      </c>
      <c r="O7" s="55">
        <f>(N7/N23)</f>
        <v>0.02941176471</v>
      </c>
      <c r="P7" s="68" t="s">
        <v>93</v>
      </c>
      <c r="Q7" s="69">
        <f t="shared" ref="Q7:R7" si="1">SUM(Q5:Q6)</f>
        <v>39</v>
      </c>
      <c r="R7" s="70">
        <f t="shared" si="1"/>
        <v>1</v>
      </c>
    </row>
    <row r="8" ht="15.75" customHeight="1">
      <c r="A8" s="68" t="s">
        <v>93</v>
      </c>
      <c r="B8" s="69">
        <f t="shared" ref="B8:C8" si="2">SUM(B5:B7)</f>
        <v>38</v>
      </c>
      <c r="C8" s="71">
        <f t="shared" si="2"/>
        <v>1</v>
      </c>
      <c r="D8" s="144" t="s">
        <v>94</v>
      </c>
      <c r="E8" s="114">
        <f>COUNTIF('Itemization 202306'!J:J,D8)</f>
        <v>2</v>
      </c>
      <c r="F8" s="145">
        <f>(E8/E10)</f>
        <v>0.05263157895</v>
      </c>
      <c r="G8" s="144">
        <v>11.04</v>
      </c>
      <c r="H8" s="114">
        <f>COUNTIF('Itemization 202306'!K:K,G8)</f>
        <v>3</v>
      </c>
      <c r="I8" s="145">
        <f>(H8/H16)</f>
        <v>0.07894736842</v>
      </c>
      <c r="J8" s="121" t="s">
        <v>95</v>
      </c>
      <c r="K8" s="54">
        <f>COUNTIF('Itemization 202306'!L:L,J8)</f>
        <v>0</v>
      </c>
      <c r="L8" s="55">
        <f>(K8/K116)</f>
        <v>0</v>
      </c>
      <c r="M8" s="144">
        <v>4.0</v>
      </c>
      <c r="N8" s="114">
        <f>countif('Itemization 202306'!$M$3:$M$42,M8)</f>
        <v>1</v>
      </c>
      <c r="O8" s="145">
        <f>(N8/N23)</f>
        <v>0.02941176471</v>
      </c>
      <c r="P8" s="51"/>
      <c r="Q8" s="51"/>
      <c r="R8" s="72"/>
    </row>
    <row r="9" ht="15.75" customHeight="1">
      <c r="A9" s="73"/>
      <c r="B9" s="73"/>
      <c r="C9" s="74"/>
      <c r="D9" s="66" t="s">
        <v>96</v>
      </c>
      <c r="E9" s="57">
        <f>COUNTIF('Itemization 202306'!J:J,D9)</f>
        <v>3</v>
      </c>
      <c r="F9" s="67">
        <f>(E9/E10)</f>
        <v>0.07894736842</v>
      </c>
      <c r="G9" s="47">
        <v>11.05</v>
      </c>
      <c r="H9" s="48">
        <f>COUNTIF('Itemization 202306'!K:K,G9)</f>
        <v>8</v>
      </c>
      <c r="I9" s="49">
        <f>(H9/H16)</f>
        <v>0.2105263158</v>
      </c>
      <c r="J9" s="121" t="s">
        <v>97</v>
      </c>
      <c r="K9" s="54">
        <f>COUNTIF('Itemization 202306'!L:L,J9)</f>
        <v>0</v>
      </c>
      <c r="L9" s="55">
        <f>(K9/K116)</f>
        <v>0</v>
      </c>
      <c r="M9" s="125">
        <v>5.0</v>
      </c>
      <c r="N9" s="54">
        <f>countif('Itemization 202306'!$M$3:$M$42,M9)</f>
        <v>0</v>
      </c>
      <c r="O9" s="55">
        <f>(N9/N23)</f>
        <v>0</v>
      </c>
      <c r="P9" s="51"/>
      <c r="Q9" s="51"/>
      <c r="R9" s="72"/>
    </row>
    <row r="10" ht="15.75" customHeight="1">
      <c r="A10" s="77"/>
      <c r="B10" s="51"/>
      <c r="C10" s="78"/>
      <c r="D10" s="68" t="s">
        <v>93</v>
      </c>
      <c r="E10" s="69">
        <f t="shared" ref="E10:F10" si="3">SUM(E5:E9)</f>
        <v>38</v>
      </c>
      <c r="F10" s="71">
        <f t="shared" si="3"/>
        <v>1</v>
      </c>
      <c r="G10" s="47">
        <v>11.06</v>
      </c>
      <c r="H10" s="48">
        <f>COUNTIF('Itemization 202306'!K:K,G10)</f>
        <v>5</v>
      </c>
      <c r="I10" s="49">
        <f>(H10/H16)</f>
        <v>0.1315789474</v>
      </c>
      <c r="J10" s="121" t="s">
        <v>98</v>
      </c>
      <c r="K10" s="54">
        <f>COUNTIF('Itemization 202306'!L:L,J10)</f>
        <v>0</v>
      </c>
      <c r="L10" s="55">
        <f>(K10/K116)</f>
        <v>0</v>
      </c>
      <c r="M10" s="144">
        <v>6.0</v>
      </c>
      <c r="N10" s="114">
        <f>countif('Itemization 202306'!$M$3:$M$42,M10)</f>
        <v>2</v>
      </c>
      <c r="O10" s="145">
        <f>(N10/N23)</f>
        <v>0.05882352941</v>
      </c>
      <c r="P10" s="51"/>
      <c r="Q10" s="51"/>
      <c r="R10" s="72"/>
    </row>
    <row r="11" ht="15.75" customHeight="1">
      <c r="A11" s="77"/>
      <c r="B11" s="51"/>
      <c r="C11" s="78"/>
      <c r="D11" s="51"/>
      <c r="E11" s="51"/>
      <c r="F11" s="78"/>
      <c r="G11" s="144">
        <v>11.07</v>
      </c>
      <c r="H11" s="114">
        <f>COUNTIF('Itemization 202306'!K:K,G11)</f>
        <v>3</v>
      </c>
      <c r="I11" s="145">
        <f>(H11/H16)</f>
        <v>0.07894736842</v>
      </c>
      <c r="J11" s="121" t="s">
        <v>99</v>
      </c>
      <c r="K11" s="54">
        <f>COUNTIF('Itemization 202306'!L:L,J11)</f>
        <v>0</v>
      </c>
      <c r="L11" s="55">
        <f>(K11/K116)</f>
        <v>0</v>
      </c>
      <c r="M11" s="56">
        <v>7.0</v>
      </c>
      <c r="N11" s="57">
        <f>countif('Itemization 202306'!$M$3:$M$42,M11)</f>
        <v>3</v>
      </c>
      <c r="O11" s="58">
        <f>(N11/N23)</f>
        <v>0.08823529412</v>
      </c>
      <c r="P11" s="51"/>
      <c r="Q11" s="51"/>
      <c r="R11" s="72"/>
    </row>
    <row r="12" ht="15.75" customHeight="1">
      <c r="A12" s="77"/>
      <c r="B12" s="51"/>
      <c r="C12" s="78"/>
      <c r="D12" s="51"/>
      <c r="E12" s="51"/>
      <c r="F12" s="78"/>
      <c r="G12" s="144">
        <v>11.08</v>
      </c>
      <c r="H12" s="114">
        <f>COUNTIF('Itemization 202306'!K:K,G12)</f>
        <v>2</v>
      </c>
      <c r="I12" s="145">
        <f>(H12/H16)</f>
        <v>0.05263157895</v>
      </c>
      <c r="J12" s="124" t="s">
        <v>100</v>
      </c>
      <c r="K12" s="61">
        <f>COUNTIF('Itemization 202306'!L:L,J12)</f>
        <v>4</v>
      </c>
      <c r="L12" s="62">
        <f>(K12/K116)</f>
        <v>0.1052631579</v>
      </c>
      <c r="M12" s="47">
        <v>8.0</v>
      </c>
      <c r="N12" s="48">
        <f>countif('Itemization 202306'!$M$3:$M$42,M12)</f>
        <v>9</v>
      </c>
      <c r="O12" s="49">
        <f>(N12/N23)</f>
        <v>0.2647058824</v>
      </c>
      <c r="P12" s="51"/>
      <c r="Q12" s="51"/>
      <c r="R12" s="72"/>
    </row>
    <row r="13" ht="15.75" customHeight="1">
      <c r="A13" s="77"/>
      <c r="B13" s="51"/>
      <c r="C13" s="78"/>
      <c r="D13" s="51"/>
      <c r="E13" s="51"/>
      <c r="F13" s="78"/>
      <c r="G13" s="56">
        <v>11.09</v>
      </c>
      <c r="H13" s="57">
        <f>COUNTIF('Itemization 202306'!K:K,G13)</f>
        <v>4</v>
      </c>
      <c r="I13" s="58">
        <f>(H13/H16)</f>
        <v>0.1052631579</v>
      </c>
      <c r="J13" s="121" t="s">
        <v>101</v>
      </c>
      <c r="K13" s="54">
        <f>COUNTIF('Itemization 202306'!L:L,J13)</f>
        <v>0</v>
      </c>
      <c r="L13" s="55">
        <f>(K13/K116)</f>
        <v>0</v>
      </c>
      <c r="M13" s="56">
        <v>9.0</v>
      </c>
      <c r="N13" s="57">
        <f>countif('Itemization 202306'!$M$3:$M$42,M13)</f>
        <v>3</v>
      </c>
      <c r="O13" s="58">
        <f>(N13/N23)</f>
        <v>0.08823529412</v>
      </c>
      <c r="P13" s="51"/>
      <c r="Q13" s="51"/>
      <c r="R13" s="72"/>
    </row>
    <row r="14" ht="15.75" customHeight="1">
      <c r="A14" s="51"/>
      <c r="B14" s="51"/>
      <c r="C14" s="78"/>
      <c r="D14" s="51"/>
      <c r="E14" s="51"/>
      <c r="F14" s="78"/>
      <c r="G14" s="346" t="s">
        <v>102</v>
      </c>
      <c r="H14" s="61">
        <f>COUNTIF('Itemization 202306'!K:K,G14)</f>
        <v>2</v>
      </c>
      <c r="I14" s="62">
        <f>(H14/H16)</f>
        <v>0.05263157895</v>
      </c>
      <c r="J14" s="121" t="s">
        <v>103</v>
      </c>
      <c r="K14" s="54">
        <f>COUNTIF('Itemization 202306'!L:L,J14)</f>
        <v>0</v>
      </c>
      <c r="L14" s="55">
        <f>(K14/K116)</f>
        <v>0</v>
      </c>
      <c r="M14" s="144">
        <v>10.0</v>
      </c>
      <c r="N14" s="114">
        <f>countif('Itemization 202306'!$M$3:$M$42,M14)</f>
        <v>1</v>
      </c>
      <c r="O14" s="145">
        <f>(N14/N23)</f>
        <v>0.02941176471</v>
      </c>
      <c r="P14" s="51"/>
      <c r="Q14" s="51"/>
      <c r="R14" s="72"/>
    </row>
    <row r="15" ht="15.75" customHeight="1">
      <c r="A15" s="73"/>
      <c r="B15" s="73"/>
      <c r="C15" s="74"/>
      <c r="D15" s="51"/>
      <c r="E15" s="51"/>
      <c r="F15" s="78"/>
      <c r="G15" s="90" t="s">
        <v>104</v>
      </c>
      <c r="H15" s="54">
        <f>COUNTIF('Itemization 202306'!K:K,G15)</f>
        <v>0</v>
      </c>
      <c r="I15" s="143">
        <f>(H15/H16)</f>
        <v>0</v>
      </c>
      <c r="J15" s="121" t="s">
        <v>105</v>
      </c>
      <c r="K15" s="54">
        <f>COUNTIF('Itemization 202306'!L:L,J15)</f>
        <v>0</v>
      </c>
      <c r="L15" s="55">
        <f>(K15/K116)</f>
        <v>0</v>
      </c>
      <c r="M15" s="144">
        <v>11.0</v>
      </c>
      <c r="N15" s="114">
        <f>countif('Itemization 202306'!$M$3:$M$42,M15)</f>
        <v>1</v>
      </c>
      <c r="O15" s="145">
        <f>(N15/N23)</f>
        <v>0.02941176471</v>
      </c>
      <c r="P15" s="51"/>
      <c r="Q15" s="51"/>
      <c r="R15" s="72"/>
    </row>
    <row r="16" ht="15.75" customHeight="1">
      <c r="A16" s="51"/>
      <c r="B16" s="51"/>
      <c r="C16" s="78"/>
      <c r="D16" s="51"/>
      <c r="E16" s="51"/>
      <c r="F16" s="78"/>
      <c r="G16" s="68" t="s">
        <v>93</v>
      </c>
      <c r="H16" s="69">
        <f>SUM(H5:H15)</f>
        <v>38</v>
      </c>
      <c r="I16" s="71">
        <f>sum(I5:I15)</f>
        <v>1</v>
      </c>
      <c r="J16" s="121" t="s">
        <v>106</v>
      </c>
      <c r="K16" s="54">
        <f>COUNTIF('Itemization 202306'!L:L,J16)</f>
        <v>0</v>
      </c>
      <c r="L16" s="55">
        <f>(K16/K116)</f>
        <v>0</v>
      </c>
      <c r="M16" s="144">
        <v>12.0</v>
      </c>
      <c r="N16" s="114">
        <f>countif('Itemization 202306'!$M$3:$M$42,M16)</f>
        <v>2</v>
      </c>
      <c r="O16" s="145">
        <f>(N16/N23)</f>
        <v>0.05882352941</v>
      </c>
      <c r="P16" s="51"/>
      <c r="Q16" s="51"/>
      <c r="R16" s="72"/>
    </row>
    <row r="17" ht="15.75" customHeight="1">
      <c r="A17" s="73"/>
      <c r="B17" s="73"/>
      <c r="C17" s="74"/>
      <c r="D17" s="51"/>
      <c r="E17" s="51"/>
      <c r="F17" s="78"/>
      <c r="G17" s="51"/>
      <c r="H17" s="51"/>
      <c r="I17" s="78"/>
      <c r="J17" s="121" t="s">
        <v>107</v>
      </c>
      <c r="K17" s="54">
        <f>COUNTIF('Itemization 202306'!L:L,J17)</f>
        <v>0</v>
      </c>
      <c r="L17" s="55">
        <f>(K17/K116)</f>
        <v>0</v>
      </c>
      <c r="M17" s="144">
        <v>13.0</v>
      </c>
      <c r="N17" s="114">
        <f>countif('Itemization 202306'!$M$3:$M$42,M17)</f>
        <v>1</v>
      </c>
      <c r="O17" s="145">
        <f>(N17/N23)</f>
        <v>0.02941176471</v>
      </c>
      <c r="P17" s="51"/>
      <c r="Q17" s="51"/>
      <c r="R17" s="72"/>
    </row>
    <row r="18" ht="15.75" customHeight="1">
      <c r="A18" s="73"/>
      <c r="B18" s="73"/>
      <c r="C18" s="74"/>
      <c r="D18" s="51"/>
      <c r="E18" s="51"/>
      <c r="F18" s="78"/>
      <c r="G18" s="51"/>
      <c r="H18" s="51"/>
      <c r="I18" s="78"/>
      <c r="J18" s="210" t="s">
        <v>108</v>
      </c>
      <c r="K18" s="114">
        <f>COUNTIF('Itemization 202306'!L:L,J18)</f>
        <v>2</v>
      </c>
      <c r="L18" s="145">
        <f>(K18/K116)</f>
        <v>0.05263157895</v>
      </c>
      <c r="M18" s="125">
        <v>14.0</v>
      </c>
      <c r="N18" s="54">
        <f>countif('Itemization 202306'!$M$3:$M$42,M18)</f>
        <v>0</v>
      </c>
      <c r="O18" s="55">
        <f>(N18/N23)</f>
        <v>0</v>
      </c>
      <c r="P18" s="51"/>
      <c r="Q18" s="51"/>
      <c r="R18" s="72"/>
    </row>
    <row r="19" ht="15.75" customHeight="1">
      <c r="A19" s="80" t="s">
        <v>109</v>
      </c>
      <c r="D19" s="51"/>
      <c r="E19" s="51"/>
      <c r="F19" s="78"/>
      <c r="G19" s="51"/>
      <c r="H19" s="51"/>
      <c r="I19" s="78"/>
      <c r="J19" s="121" t="s">
        <v>110</v>
      </c>
      <c r="K19" s="54">
        <f>COUNTIF('Itemization 202306'!L:L,J19)</f>
        <v>0</v>
      </c>
      <c r="L19" s="55">
        <f>(K19/K116)</f>
        <v>0</v>
      </c>
      <c r="M19" s="144">
        <v>15.0</v>
      </c>
      <c r="N19" s="114">
        <f>countif('Itemization 202306'!$M$3:$M$42,M19)</f>
        <v>0</v>
      </c>
      <c r="O19" s="145">
        <f>(N19/N23)</f>
        <v>0</v>
      </c>
      <c r="P19" s="51"/>
      <c r="Q19" s="51"/>
      <c r="R19" s="72"/>
    </row>
    <row r="20" ht="15.75" customHeight="1">
      <c r="A20" s="81" t="s">
        <v>111</v>
      </c>
      <c r="D20" s="51"/>
      <c r="E20" s="51"/>
      <c r="F20" s="78"/>
      <c r="G20" s="51"/>
      <c r="H20" s="51"/>
      <c r="I20" s="78"/>
      <c r="J20" s="121" t="s">
        <v>112</v>
      </c>
      <c r="K20" s="54">
        <f>COUNTIF('Itemization 202306'!L:L,J20)</f>
        <v>0</v>
      </c>
      <c r="L20" s="55">
        <f>(K20/K116)</f>
        <v>0</v>
      </c>
      <c r="M20" s="125">
        <v>16.0</v>
      </c>
      <c r="N20" s="54">
        <f>countif('Itemization 202306'!$M$3:$M$42,M20)</f>
        <v>0</v>
      </c>
      <c r="O20" s="55">
        <f>(N20/N23)</f>
        <v>0</v>
      </c>
      <c r="P20" s="51"/>
      <c r="Q20" s="51"/>
      <c r="R20" s="72"/>
    </row>
    <row r="21" ht="15.75" customHeight="1">
      <c r="A21" s="82" t="s">
        <v>113</v>
      </c>
      <c r="D21" s="51"/>
      <c r="E21" s="51"/>
      <c r="F21" s="78"/>
      <c r="G21" s="51"/>
      <c r="H21" s="51"/>
      <c r="I21" s="78"/>
      <c r="J21" s="121" t="s">
        <v>114</v>
      </c>
      <c r="K21" s="54">
        <f>COUNTIF('Itemization 202306'!L:L,J21)</f>
        <v>0</v>
      </c>
      <c r="L21" s="55">
        <f>(K21/K116)</f>
        <v>0</v>
      </c>
      <c r="M21" s="144">
        <v>17.0</v>
      </c>
      <c r="N21" s="114">
        <f>countif('Itemization 202306'!$M$3:$M$42,M21)</f>
        <v>2</v>
      </c>
      <c r="O21" s="145">
        <f>(N21/N23)</f>
        <v>0.05882352941</v>
      </c>
      <c r="P21" s="51"/>
      <c r="Q21" s="51"/>
      <c r="R21" s="72"/>
    </row>
    <row r="22" ht="15.75" customHeight="1">
      <c r="A22" s="83" t="s">
        <v>115</v>
      </c>
      <c r="D22" s="51"/>
      <c r="E22" s="51"/>
      <c r="F22" s="78"/>
      <c r="G22" s="51"/>
      <c r="H22" s="51"/>
      <c r="I22" s="78"/>
      <c r="J22" s="121" t="s">
        <v>116</v>
      </c>
      <c r="K22" s="54">
        <f>COUNTIF('Itemization 202306'!L:L,J22)</f>
        <v>0</v>
      </c>
      <c r="L22" s="55">
        <f>(K22/K116)</f>
        <v>0</v>
      </c>
      <c r="M22" s="207">
        <v>18.0</v>
      </c>
      <c r="N22" s="114">
        <f>countif('Itemization 202306'!$M$3:$M$42,M22)</f>
        <v>2</v>
      </c>
      <c r="O22" s="208">
        <f>(N22/N23)</f>
        <v>0.05882352941</v>
      </c>
      <c r="P22" s="51"/>
      <c r="Q22" s="51"/>
      <c r="R22" s="72"/>
    </row>
    <row r="23" ht="15.75" customHeight="1">
      <c r="A23" s="113" t="s">
        <v>220</v>
      </c>
      <c r="D23" s="51"/>
      <c r="E23" s="51"/>
      <c r="F23" s="78"/>
      <c r="G23" s="51"/>
      <c r="H23" s="51"/>
      <c r="I23" s="78"/>
      <c r="J23" s="121" t="s">
        <v>118</v>
      </c>
      <c r="K23" s="54">
        <f>COUNTIF('Itemization 202306'!L:L,J23)</f>
        <v>0</v>
      </c>
      <c r="L23" s="55">
        <f>(K23/K116)</f>
        <v>0</v>
      </c>
      <c r="M23" s="68" t="s">
        <v>93</v>
      </c>
      <c r="N23" s="69">
        <f>SUM(N5:N22)</f>
        <v>34</v>
      </c>
      <c r="O23" s="71">
        <f>SUM(O4:O22)</f>
        <v>1</v>
      </c>
      <c r="P23" s="51"/>
      <c r="Q23" s="51"/>
      <c r="R23" s="72"/>
    </row>
    <row r="24" ht="15.75" customHeight="1">
      <c r="A24" s="86" t="s">
        <v>119</v>
      </c>
      <c r="D24" s="51"/>
      <c r="E24" s="51"/>
      <c r="F24" s="78"/>
      <c r="G24" s="51"/>
      <c r="H24" s="51"/>
      <c r="I24" s="78"/>
      <c r="J24" s="124" t="s">
        <v>120</v>
      </c>
      <c r="K24" s="61">
        <f>COUNTIF('Itemization 202306'!L:L,J24)</f>
        <v>2</v>
      </c>
      <c r="L24" s="62">
        <f>(K24/K116)</f>
        <v>0.05263157895</v>
      </c>
      <c r="M24" s="51"/>
      <c r="N24" s="51"/>
      <c r="O24" s="78"/>
      <c r="P24" s="51"/>
      <c r="Q24" s="51"/>
      <c r="R24" s="72"/>
    </row>
    <row r="25" ht="15.75" customHeight="1">
      <c r="A25" s="85"/>
      <c r="B25" s="85"/>
      <c r="C25" s="85"/>
      <c r="D25" s="51"/>
      <c r="E25" s="51"/>
      <c r="F25" s="78"/>
      <c r="G25" s="51"/>
      <c r="H25" s="51"/>
      <c r="I25" s="78"/>
      <c r="J25" s="121" t="s">
        <v>121</v>
      </c>
      <c r="K25" s="54">
        <f>COUNTIF('Itemization 202306'!L:L,J25)</f>
        <v>0</v>
      </c>
      <c r="L25" s="55">
        <f>(K25/K116)</f>
        <v>0</v>
      </c>
      <c r="M25" s="51"/>
      <c r="N25" s="51"/>
      <c r="O25" s="78"/>
      <c r="P25" s="51"/>
      <c r="Q25" s="51"/>
      <c r="R25" s="72"/>
    </row>
    <row r="26" ht="15.75" customHeight="1">
      <c r="A26" s="85"/>
      <c r="B26" s="85"/>
      <c r="C26" s="85"/>
      <c r="D26" s="51"/>
      <c r="E26" s="51"/>
      <c r="F26" s="78"/>
      <c r="G26" s="51"/>
      <c r="H26" s="51"/>
      <c r="I26" s="78"/>
      <c r="J26" s="121" t="s">
        <v>122</v>
      </c>
      <c r="K26" s="54">
        <f>COUNTIF('Itemization 202306'!L:L,J26)</f>
        <v>0</v>
      </c>
      <c r="L26" s="55">
        <f>(K26/K116)</f>
        <v>0</v>
      </c>
      <c r="M26" s="51"/>
      <c r="N26" s="51"/>
      <c r="O26" s="78"/>
      <c r="P26" s="51"/>
      <c r="Q26" s="51"/>
      <c r="R26" s="72"/>
    </row>
    <row r="27" ht="15.75" customHeight="1">
      <c r="A27" s="85"/>
      <c r="B27" s="85"/>
      <c r="C27" s="85"/>
      <c r="D27" s="51"/>
      <c r="E27" s="51"/>
      <c r="F27" s="78"/>
      <c r="G27" s="51"/>
      <c r="H27" s="51"/>
      <c r="I27" s="78"/>
      <c r="J27" s="121" t="s">
        <v>123</v>
      </c>
      <c r="K27" s="54">
        <f>COUNTIF('Itemization 202306'!L:L,J27)</f>
        <v>0</v>
      </c>
      <c r="L27" s="55">
        <f>(K27/K116)</f>
        <v>0</v>
      </c>
      <c r="M27" s="51"/>
      <c r="N27" s="51"/>
      <c r="O27" s="78"/>
      <c r="P27" s="51"/>
      <c r="Q27" s="51"/>
      <c r="R27" s="72"/>
    </row>
    <row r="28" ht="15.75" customHeight="1">
      <c r="A28" s="85"/>
      <c r="B28" s="85"/>
      <c r="C28" s="85"/>
      <c r="D28" s="51"/>
      <c r="E28" s="51"/>
      <c r="F28" s="78"/>
      <c r="G28" s="51"/>
      <c r="H28" s="51"/>
      <c r="I28" s="78"/>
      <c r="J28" s="121" t="s">
        <v>124</v>
      </c>
      <c r="K28" s="54">
        <f>COUNTIF('Itemization 202306'!L:L,J28)</f>
        <v>0</v>
      </c>
      <c r="L28" s="55">
        <f>(K28/K116)</f>
        <v>0</v>
      </c>
      <c r="M28" s="51"/>
      <c r="N28" s="51"/>
      <c r="O28" s="78"/>
      <c r="P28" s="51"/>
      <c r="Q28" s="51"/>
      <c r="R28" s="72"/>
    </row>
    <row r="29" ht="15.75" customHeight="1">
      <c r="A29" s="85"/>
      <c r="B29" s="85"/>
      <c r="C29" s="85"/>
      <c r="D29" s="51"/>
      <c r="E29" s="51"/>
      <c r="F29" s="78"/>
      <c r="G29" s="51"/>
      <c r="H29" s="51"/>
      <c r="I29" s="78"/>
      <c r="J29" s="122" t="s">
        <v>125</v>
      </c>
      <c r="K29" s="57">
        <f>COUNTIF('Itemization 202306'!L:L,J29)</f>
        <v>1</v>
      </c>
      <c r="L29" s="58">
        <f>(K29/K116)</f>
        <v>0.02631578947</v>
      </c>
      <c r="M29" s="51"/>
      <c r="N29" s="51"/>
      <c r="O29" s="78"/>
      <c r="P29" s="51"/>
      <c r="Q29" s="51"/>
      <c r="R29" s="72"/>
    </row>
    <row r="30" ht="15.75" customHeight="1">
      <c r="A30" s="85"/>
      <c r="B30" s="85"/>
      <c r="C30" s="85"/>
      <c r="D30" s="51"/>
      <c r="E30" s="51"/>
      <c r="F30" s="78"/>
      <c r="G30" s="51"/>
      <c r="H30" s="51"/>
      <c r="I30" s="78"/>
      <c r="J30" s="121" t="s">
        <v>126</v>
      </c>
      <c r="K30" s="54">
        <f>COUNTIF('Itemization 202306'!L:L,J30)</f>
        <v>0</v>
      </c>
      <c r="L30" s="55">
        <f>(K30/K116)</f>
        <v>0</v>
      </c>
      <c r="M30" s="51"/>
      <c r="N30" s="51"/>
      <c r="O30" s="78"/>
      <c r="P30" s="51"/>
      <c r="Q30" s="51"/>
      <c r="R30" s="72"/>
    </row>
    <row r="31" ht="15.75" customHeight="1">
      <c r="A31" s="85"/>
      <c r="B31" s="85"/>
      <c r="C31" s="85"/>
      <c r="D31" s="51"/>
      <c r="E31" s="51"/>
      <c r="F31" s="78"/>
      <c r="G31" s="51"/>
      <c r="H31" s="51"/>
      <c r="I31" s="78"/>
      <c r="J31" s="121" t="s">
        <v>127</v>
      </c>
      <c r="K31" s="54">
        <f>COUNTIF('Itemization 202306'!L:L,J31)</f>
        <v>0</v>
      </c>
      <c r="L31" s="55">
        <f>(K31/K116)</f>
        <v>0</v>
      </c>
      <c r="M31" s="51"/>
      <c r="N31" s="51"/>
      <c r="O31" s="78"/>
      <c r="P31" s="51"/>
      <c r="Q31" s="51"/>
      <c r="R31" s="72"/>
    </row>
    <row r="32" ht="15.75" customHeight="1">
      <c r="A32" s="85"/>
      <c r="B32" s="85"/>
      <c r="C32" s="85"/>
      <c r="D32" s="51"/>
      <c r="E32" s="51"/>
      <c r="F32" s="78"/>
      <c r="G32" s="51"/>
      <c r="H32" s="51"/>
      <c r="I32" s="78"/>
      <c r="J32" s="124" t="s">
        <v>128</v>
      </c>
      <c r="K32" s="61">
        <f>COUNTIF('Itemization 202306'!L:L,J32)</f>
        <v>2</v>
      </c>
      <c r="L32" s="62">
        <f>(K32/K116)</f>
        <v>0.05263157895</v>
      </c>
      <c r="M32" s="51"/>
      <c r="N32" s="51"/>
      <c r="O32" s="78"/>
      <c r="P32" s="51"/>
      <c r="Q32" s="51"/>
      <c r="R32" s="72"/>
    </row>
    <row r="33" ht="15.75" customHeight="1">
      <c r="A33" s="85"/>
      <c r="B33" s="85"/>
      <c r="C33" s="85"/>
      <c r="D33" s="51"/>
      <c r="E33" s="51"/>
      <c r="F33" s="78"/>
      <c r="G33" s="51"/>
      <c r="H33" s="51"/>
      <c r="I33" s="78"/>
      <c r="J33" s="121" t="s">
        <v>129</v>
      </c>
      <c r="K33" s="54">
        <f>COUNTIF('Itemization 202306'!L:L,J33)</f>
        <v>0</v>
      </c>
      <c r="L33" s="55">
        <f>(K33/K116)</f>
        <v>0</v>
      </c>
      <c r="M33" s="51"/>
      <c r="N33" s="51"/>
      <c r="O33" s="78"/>
      <c r="P33" s="51"/>
      <c r="Q33" s="51"/>
      <c r="R33" s="72"/>
    </row>
    <row r="34" ht="15.75" customHeight="1">
      <c r="A34" s="85"/>
      <c r="B34" s="85"/>
      <c r="C34" s="85"/>
      <c r="D34" s="51"/>
      <c r="E34" s="51"/>
      <c r="F34" s="78"/>
      <c r="G34" s="51"/>
      <c r="H34" s="51"/>
      <c r="I34" s="78"/>
      <c r="J34" s="121" t="s">
        <v>130</v>
      </c>
      <c r="K34" s="54">
        <f>COUNTIF('Itemization 202306'!L:L,J34)</f>
        <v>0</v>
      </c>
      <c r="L34" s="55">
        <f>(K34/K116)</f>
        <v>0</v>
      </c>
      <c r="M34" s="51"/>
      <c r="N34" s="51"/>
      <c r="O34" s="78"/>
      <c r="P34" s="51"/>
      <c r="Q34" s="51"/>
      <c r="R34" s="72"/>
    </row>
    <row r="35" ht="15.75" customHeight="1">
      <c r="A35" s="85"/>
      <c r="B35" s="85"/>
      <c r="C35" s="85"/>
      <c r="D35" s="51"/>
      <c r="E35" s="51"/>
      <c r="F35" s="78"/>
      <c r="G35" s="51"/>
      <c r="H35" s="51"/>
      <c r="I35" s="78"/>
      <c r="J35" s="121" t="s">
        <v>131</v>
      </c>
      <c r="K35" s="54">
        <f>COUNTIF('Itemization 202306'!L:L,J35)</f>
        <v>0</v>
      </c>
      <c r="L35" s="55">
        <f>(K35/K116)</f>
        <v>0</v>
      </c>
      <c r="M35" s="51"/>
      <c r="N35" s="51"/>
      <c r="O35" s="78"/>
      <c r="P35" s="51"/>
      <c r="Q35" s="51"/>
      <c r="R35" s="72"/>
    </row>
    <row r="36" ht="15.75" customHeight="1">
      <c r="A36" s="85"/>
      <c r="B36" s="85"/>
      <c r="C36" s="85"/>
      <c r="D36" s="51"/>
      <c r="E36" s="51"/>
      <c r="F36" s="78"/>
      <c r="G36" s="51"/>
      <c r="H36" s="51"/>
      <c r="I36" s="78"/>
      <c r="J36" s="121" t="s">
        <v>132</v>
      </c>
      <c r="K36" s="54">
        <f>COUNTIF('Itemization 202306'!L:L,J36)</f>
        <v>0</v>
      </c>
      <c r="L36" s="55">
        <f>(K36/K116)</f>
        <v>0</v>
      </c>
      <c r="M36" s="51"/>
      <c r="N36" s="51"/>
      <c r="O36" s="78"/>
      <c r="P36" s="51"/>
      <c r="Q36" s="51"/>
      <c r="R36" s="72"/>
    </row>
    <row r="37" ht="15.75" customHeight="1">
      <c r="A37" s="85"/>
      <c r="B37" s="85"/>
      <c r="C37" s="85"/>
      <c r="D37" s="51"/>
      <c r="E37" s="51"/>
      <c r="F37" s="78"/>
      <c r="G37" s="51"/>
      <c r="H37" s="51"/>
      <c r="I37" s="78"/>
      <c r="J37" s="121" t="s">
        <v>133</v>
      </c>
      <c r="K37" s="54">
        <f>COUNTIF('Itemization 202306'!L:L,J37)</f>
        <v>0</v>
      </c>
      <c r="L37" s="55">
        <f>(K37/K116)</f>
        <v>0</v>
      </c>
      <c r="M37" s="51"/>
      <c r="N37" s="51"/>
      <c r="O37" s="78"/>
      <c r="P37" s="51"/>
      <c r="Q37" s="51"/>
      <c r="R37" s="72"/>
    </row>
    <row r="38" ht="15.75" customHeight="1">
      <c r="A38" s="85"/>
      <c r="B38" s="85"/>
      <c r="C38" s="85"/>
      <c r="D38" s="51"/>
      <c r="E38" s="51"/>
      <c r="F38" s="78"/>
      <c r="G38" s="51"/>
      <c r="H38" s="51"/>
      <c r="I38" s="78"/>
      <c r="J38" s="121" t="s">
        <v>134</v>
      </c>
      <c r="K38" s="54">
        <f>COUNTIF('Itemization 202306'!L:L,J38)</f>
        <v>1</v>
      </c>
      <c r="L38" s="55">
        <f>(K38/K116)</f>
        <v>0.02631578947</v>
      </c>
      <c r="M38" s="51"/>
      <c r="N38" s="51"/>
      <c r="O38" s="78"/>
      <c r="P38" s="51"/>
      <c r="Q38" s="51"/>
      <c r="R38" s="72"/>
    </row>
    <row r="39" ht="15.75" customHeight="1">
      <c r="A39" s="85"/>
      <c r="B39" s="85"/>
      <c r="C39" s="85"/>
      <c r="D39" s="51"/>
      <c r="E39" s="51"/>
      <c r="F39" s="78"/>
      <c r="G39" s="51"/>
      <c r="H39" s="51"/>
      <c r="I39" s="78"/>
      <c r="J39" s="124" t="s">
        <v>135</v>
      </c>
      <c r="K39" s="61">
        <f>COUNTIF('Itemization 202306'!L:L,J39)</f>
        <v>2</v>
      </c>
      <c r="L39" s="62">
        <f>(K39/K116)</f>
        <v>0.05263157895</v>
      </c>
      <c r="M39" s="51"/>
      <c r="N39" s="51"/>
      <c r="O39" s="78"/>
      <c r="P39" s="51"/>
      <c r="Q39" s="51"/>
      <c r="R39" s="72"/>
    </row>
    <row r="40" ht="15.75" customHeight="1">
      <c r="A40" s="85"/>
      <c r="B40" s="85"/>
      <c r="C40" s="85"/>
      <c r="D40" s="51"/>
      <c r="E40" s="51"/>
      <c r="F40" s="78"/>
      <c r="G40" s="51"/>
      <c r="H40" s="51"/>
      <c r="I40" s="78"/>
      <c r="J40" s="121" t="s">
        <v>136</v>
      </c>
      <c r="K40" s="54">
        <f>COUNTIF('Itemization 202306'!L:L,J40)</f>
        <v>0</v>
      </c>
      <c r="L40" s="55">
        <f>(K40/K116)</f>
        <v>0</v>
      </c>
      <c r="M40" s="51"/>
      <c r="N40" s="51"/>
      <c r="O40" s="78"/>
      <c r="P40" s="51"/>
      <c r="Q40" s="51"/>
      <c r="R40" s="72"/>
    </row>
    <row r="41" ht="15.75" customHeight="1">
      <c r="A41" s="85"/>
      <c r="B41" s="85"/>
      <c r="C41" s="85"/>
      <c r="D41" s="51"/>
      <c r="E41" s="51"/>
      <c r="F41" s="78"/>
      <c r="G41" s="51"/>
      <c r="H41" s="51"/>
      <c r="I41" s="78"/>
      <c r="J41" s="121" t="s">
        <v>137</v>
      </c>
      <c r="K41" s="54">
        <f>COUNTIF('Itemization 202306'!L:L,J41)</f>
        <v>0</v>
      </c>
      <c r="L41" s="55">
        <f>(K41/K116)</f>
        <v>0</v>
      </c>
      <c r="M41" s="51"/>
      <c r="N41" s="51"/>
      <c r="O41" s="78"/>
      <c r="P41" s="51"/>
      <c r="Q41" s="51"/>
      <c r="R41" s="72"/>
    </row>
    <row r="42" ht="15.75" customHeight="1">
      <c r="A42" s="85"/>
      <c r="B42" s="85"/>
      <c r="C42" s="85"/>
      <c r="D42" s="51"/>
      <c r="E42" s="51"/>
      <c r="F42" s="78"/>
      <c r="G42" s="51"/>
      <c r="H42" s="51"/>
      <c r="I42" s="78"/>
      <c r="J42" s="121" t="s">
        <v>138</v>
      </c>
      <c r="K42" s="54">
        <f>COUNTIF('Itemization 202306'!L:L,J42)</f>
        <v>0</v>
      </c>
      <c r="L42" s="55">
        <f>(K42/K116)</f>
        <v>0</v>
      </c>
      <c r="M42" s="51"/>
      <c r="N42" s="51"/>
      <c r="O42" s="78"/>
      <c r="P42" s="51"/>
      <c r="Q42" s="51"/>
      <c r="R42" s="72"/>
    </row>
    <row r="43" ht="15.75" customHeight="1">
      <c r="A43" s="85"/>
      <c r="B43" s="85"/>
      <c r="C43" s="85"/>
      <c r="D43" s="51"/>
      <c r="E43" s="51"/>
      <c r="F43" s="78"/>
      <c r="G43" s="51"/>
      <c r="H43" s="51"/>
      <c r="I43" s="78"/>
      <c r="J43" s="124" t="s">
        <v>139</v>
      </c>
      <c r="K43" s="61">
        <f>COUNTIF('Itemization 202306'!L:L,J43)</f>
        <v>2</v>
      </c>
      <c r="L43" s="62">
        <f>(K43/K116)</f>
        <v>0.05263157895</v>
      </c>
      <c r="M43" s="51"/>
      <c r="N43" s="51"/>
      <c r="O43" s="78"/>
      <c r="P43" s="51"/>
      <c r="Q43" s="51"/>
      <c r="R43" s="72"/>
    </row>
    <row r="44" ht="15.75" customHeight="1">
      <c r="A44" s="85"/>
      <c r="B44" s="85"/>
      <c r="C44" s="85"/>
      <c r="D44" s="51"/>
      <c r="E44" s="51"/>
      <c r="F44" s="78"/>
      <c r="G44" s="51"/>
      <c r="H44" s="51"/>
      <c r="I44" s="78"/>
      <c r="J44" s="121" t="s">
        <v>140</v>
      </c>
      <c r="K44" s="54">
        <f>COUNTIF('Itemization 202306'!L:L,J44)</f>
        <v>0</v>
      </c>
      <c r="L44" s="55">
        <f>(K44/K116)</f>
        <v>0</v>
      </c>
      <c r="M44" s="51"/>
      <c r="N44" s="51"/>
      <c r="O44" s="78"/>
      <c r="P44" s="51"/>
      <c r="Q44" s="51"/>
      <c r="R44" s="72"/>
    </row>
    <row r="45" ht="15.75" customHeight="1">
      <c r="A45" s="85"/>
      <c r="B45" s="85"/>
      <c r="C45" s="85"/>
      <c r="D45" s="51"/>
      <c r="E45" s="51"/>
      <c r="F45" s="78"/>
      <c r="G45" s="51"/>
      <c r="H45" s="51"/>
      <c r="I45" s="78"/>
      <c r="J45" s="121" t="s">
        <v>141</v>
      </c>
      <c r="K45" s="54">
        <f>COUNTIF('Itemization 202306'!L:L,J45)</f>
        <v>0</v>
      </c>
      <c r="L45" s="55">
        <f>(K45/K116)</f>
        <v>0</v>
      </c>
      <c r="M45" s="51"/>
      <c r="N45" s="51"/>
      <c r="O45" s="78"/>
      <c r="P45" s="51"/>
      <c r="Q45" s="51"/>
      <c r="R45" s="72"/>
    </row>
    <row r="46" ht="15.75" customHeight="1">
      <c r="A46" s="85"/>
      <c r="B46" s="85"/>
      <c r="C46" s="85"/>
      <c r="D46" s="51"/>
      <c r="E46" s="51"/>
      <c r="F46" s="78"/>
      <c r="G46" s="51"/>
      <c r="H46" s="51"/>
      <c r="I46" s="78"/>
      <c r="J46" s="121" t="s">
        <v>142</v>
      </c>
      <c r="K46" s="54">
        <f>COUNTIF('Itemization 202306'!L:L,J46)</f>
        <v>0</v>
      </c>
      <c r="L46" s="55">
        <f>(K46/K116)</f>
        <v>0</v>
      </c>
      <c r="M46" s="51"/>
      <c r="N46" s="51"/>
      <c r="O46" s="78"/>
      <c r="P46" s="51"/>
      <c r="Q46" s="51"/>
      <c r="R46" s="72"/>
    </row>
    <row r="47" ht="15.75" customHeight="1">
      <c r="A47" s="85"/>
      <c r="B47" s="85"/>
      <c r="C47" s="85"/>
      <c r="D47" s="51"/>
      <c r="E47" s="51"/>
      <c r="F47" s="78"/>
      <c r="G47" s="51"/>
      <c r="H47" s="51"/>
      <c r="I47" s="78"/>
      <c r="J47" s="121" t="s">
        <v>143</v>
      </c>
      <c r="K47" s="54">
        <f>COUNTIF('Itemization 202306'!L:L,J47)</f>
        <v>0</v>
      </c>
      <c r="L47" s="55">
        <f>(K47/K116)</f>
        <v>0</v>
      </c>
      <c r="M47" s="51"/>
      <c r="N47" s="51"/>
      <c r="O47" s="78"/>
      <c r="P47" s="51"/>
      <c r="Q47" s="51"/>
      <c r="R47" s="72"/>
    </row>
    <row r="48" ht="15.75" customHeight="1">
      <c r="A48" s="85"/>
      <c r="B48" s="85"/>
      <c r="C48" s="85"/>
      <c r="D48" s="51"/>
      <c r="E48" s="51"/>
      <c r="F48" s="78"/>
      <c r="G48" s="51"/>
      <c r="H48" s="51"/>
      <c r="I48" s="78"/>
      <c r="J48" s="121" t="s">
        <v>144</v>
      </c>
      <c r="K48" s="54">
        <f>COUNTIF('Itemization 202306'!L:L,J48)</f>
        <v>0</v>
      </c>
      <c r="L48" s="55">
        <f>(K48/K116)</f>
        <v>0</v>
      </c>
      <c r="M48" s="51"/>
      <c r="N48" s="51"/>
      <c r="O48" s="78"/>
      <c r="P48" s="51"/>
      <c r="Q48" s="51"/>
      <c r="R48" s="72"/>
    </row>
    <row r="49" ht="15.75" customHeight="1">
      <c r="A49" s="85"/>
      <c r="B49" s="85"/>
      <c r="C49" s="85"/>
      <c r="D49" s="51"/>
      <c r="E49" s="51"/>
      <c r="F49" s="78"/>
      <c r="G49" s="51"/>
      <c r="H49" s="51"/>
      <c r="I49" s="78"/>
      <c r="J49" s="121" t="s">
        <v>145</v>
      </c>
      <c r="K49" s="54">
        <f>COUNTIF('Itemization 202306'!L:L,J49)</f>
        <v>0</v>
      </c>
      <c r="L49" s="55">
        <f>(K49/K116)</f>
        <v>0</v>
      </c>
      <c r="M49" s="51"/>
      <c r="N49" s="51"/>
      <c r="O49" s="78"/>
      <c r="P49" s="51"/>
      <c r="Q49" s="51"/>
      <c r="R49" s="72"/>
    </row>
    <row r="50" ht="15.75" customHeight="1">
      <c r="A50" s="85"/>
      <c r="B50" s="85"/>
      <c r="C50" s="85"/>
      <c r="D50" s="51"/>
      <c r="E50" s="51"/>
      <c r="F50" s="78"/>
      <c r="G50" s="51"/>
      <c r="H50" s="51"/>
      <c r="I50" s="78"/>
      <c r="J50" s="124" t="s">
        <v>146</v>
      </c>
      <c r="K50" s="61">
        <f>COUNTIF('Itemization 202306'!L:L,J50)</f>
        <v>4</v>
      </c>
      <c r="L50" s="62">
        <f>(K50/K116)</f>
        <v>0.1052631579</v>
      </c>
      <c r="M50" s="51"/>
      <c r="N50" s="51"/>
      <c r="O50" s="78"/>
      <c r="P50" s="51"/>
      <c r="Q50" s="51"/>
      <c r="R50" s="72"/>
    </row>
    <row r="51" ht="15.75" customHeight="1">
      <c r="A51" s="85"/>
      <c r="B51" s="85"/>
      <c r="C51" s="85"/>
      <c r="D51" s="51"/>
      <c r="E51" s="51"/>
      <c r="F51" s="78"/>
      <c r="G51" s="51"/>
      <c r="H51" s="51"/>
      <c r="I51" s="78"/>
      <c r="J51" s="121" t="s">
        <v>147</v>
      </c>
      <c r="K51" s="54">
        <f>COUNTIF('Itemization 202306'!L:L,J51)</f>
        <v>0</v>
      </c>
      <c r="L51" s="55">
        <f>(K51/K116)</f>
        <v>0</v>
      </c>
      <c r="M51" s="51"/>
      <c r="N51" s="51"/>
      <c r="O51" s="78"/>
      <c r="P51" s="51"/>
      <c r="Q51" s="51"/>
      <c r="R51" s="72"/>
    </row>
    <row r="52" ht="15.75" customHeight="1">
      <c r="A52" s="85"/>
      <c r="B52" s="85"/>
      <c r="C52" s="85"/>
      <c r="D52" s="51"/>
      <c r="E52" s="51"/>
      <c r="F52" s="78"/>
      <c r="G52" s="51"/>
      <c r="H52" s="51"/>
      <c r="I52" s="78"/>
      <c r="J52" s="124" t="s">
        <v>148</v>
      </c>
      <c r="K52" s="61">
        <f>COUNTIF('Itemization 202306'!L:L,J52)</f>
        <v>2</v>
      </c>
      <c r="L52" s="62">
        <f>(K52/K116)</f>
        <v>0.05263157895</v>
      </c>
      <c r="M52" s="51"/>
      <c r="N52" s="51"/>
      <c r="O52" s="78"/>
      <c r="P52" s="51"/>
      <c r="Q52" s="51"/>
      <c r="R52" s="72"/>
    </row>
    <row r="53" ht="15.75" customHeight="1">
      <c r="A53" s="85"/>
      <c r="B53" s="85"/>
      <c r="C53" s="85"/>
      <c r="D53" s="51"/>
      <c r="E53" s="51"/>
      <c r="F53" s="78"/>
      <c r="G53" s="51"/>
      <c r="H53" s="51"/>
      <c r="I53" s="78"/>
      <c r="J53" s="121" t="s">
        <v>149</v>
      </c>
      <c r="K53" s="54">
        <f>COUNTIF('Itemization 202306'!L:L,J53)</f>
        <v>0</v>
      </c>
      <c r="L53" s="55">
        <f>(K53/K116)</f>
        <v>0</v>
      </c>
      <c r="M53" s="51"/>
      <c r="N53" s="51"/>
      <c r="O53" s="78"/>
      <c r="P53" s="51"/>
      <c r="Q53" s="51"/>
      <c r="R53" s="72"/>
    </row>
    <row r="54" ht="15.75" customHeight="1">
      <c r="A54" s="85"/>
      <c r="B54" s="85"/>
      <c r="C54" s="85"/>
      <c r="D54" s="51"/>
      <c r="E54" s="51"/>
      <c r="F54" s="78"/>
      <c r="G54" s="51"/>
      <c r="H54" s="51"/>
      <c r="I54" s="78"/>
      <c r="J54" s="124" t="s">
        <v>150</v>
      </c>
      <c r="K54" s="61">
        <f>COUNTIF('Itemization 202306'!L:L,J54)</f>
        <v>2</v>
      </c>
      <c r="L54" s="62">
        <f>(K54/K116)</f>
        <v>0.05263157895</v>
      </c>
      <c r="M54" s="51"/>
      <c r="N54" s="51"/>
      <c r="O54" s="78"/>
      <c r="P54" s="51"/>
      <c r="Q54" s="51"/>
      <c r="R54" s="72"/>
    </row>
    <row r="55" ht="15.75" customHeight="1">
      <c r="A55" s="85"/>
      <c r="B55" s="85"/>
      <c r="C55" s="85"/>
      <c r="D55" s="51"/>
      <c r="E55" s="51"/>
      <c r="F55" s="78"/>
      <c r="G55" s="51"/>
      <c r="H55" s="51"/>
      <c r="I55" s="78"/>
      <c r="J55" s="121" t="s">
        <v>151</v>
      </c>
      <c r="K55" s="54">
        <f>COUNTIF('Itemization 202306'!L:L,J55)</f>
        <v>0</v>
      </c>
      <c r="L55" s="55">
        <f>(K55/K116)</f>
        <v>0</v>
      </c>
      <c r="M55" s="51"/>
      <c r="N55" s="51"/>
      <c r="O55" s="78"/>
      <c r="P55" s="51"/>
      <c r="Q55" s="51"/>
      <c r="R55" s="72"/>
    </row>
    <row r="56" ht="15.75" customHeight="1">
      <c r="A56" s="85"/>
      <c r="B56" s="85"/>
      <c r="C56" s="85"/>
      <c r="D56" s="51"/>
      <c r="E56" s="51"/>
      <c r="F56" s="78"/>
      <c r="G56" s="51"/>
      <c r="H56" s="51"/>
      <c r="I56" s="78"/>
      <c r="J56" s="121" t="s">
        <v>152</v>
      </c>
      <c r="K56" s="54">
        <f>COUNTIF('Itemization 202306'!L:L,J56)</f>
        <v>0</v>
      </c>
      <c r="L56" s="55">
        <f>(K56/K116)</f>
        <v>0</v>
      </c>
      <c r="M56" s="51"/>
      <c r="N56" s="51"/>
      <c r="O56" s="78"/>
      <c r="P56" s="51"/>
      <c r="Q56" s="51"/>
      <c r="R56" s="72"/>
    </row>
    <row r="57" ht="15.75" customHeight="1">
      <c r="A57" s="85"/>
      <c r="B57" s="85"/>
      <c r="C57" s="85"/>
      <c r="D57" s="51"/>
      <c r="E57" s="51"/>
      <c r="F57" s="78"/>
      <c r="G57" s="51"/>
      <c r="H57" s="51"/>
      <c r="I57" s="78"/>
      <c r="J57" s="121" t="s">
        <v>153</v>
      </c>
      <c r="K57" s="54">
        <f>COUNTIF('Itemization 202306'!L:L,J57)</f>
        <v>0</v>
      </c>
      <c r="L57" s="55">
        <f>(K57/K116)</f>
        <v>0</v>
      </c>
      <c r="M57" s="51"/>
      <c r="N57" s="51"/>
      <c r="O57" s="78"/>
      <c r="P57" s="51"/>
      <c r="Q57" s="51"/>
      <c r="R57" s="72"/>
    </row>
    <row r="58" ht="15.75" customHeight="1">
      <c r="A58" s="85"/>
      <c r="B58" s="85"/>
      <c r="C58" s="85"/>
      <c r="D58" s="51"/>
      <c r="E58" s="51"/>
      <c r="F58" s="78"/>
      <c r="G58" s="51"/>
      <c r="H58" s="51"/>
      <c r="I58" s="78"/>
      <c r="J58" s="121" t="s">
        <v>154</v>
      </c>
      <c r="K58" s="54">
        <f>COUNTIF('Itemization 202306'!L:L,J58)</f>
        <v>0</v>
      </c>
      <c r="L58" s="55">
        <f>(K58/K116)</f>
        <v>0</v>
      </c>
      <c r="M58" s="51"/>
      <c r="N58" s="51"/>
      <c r="O58" s="78"/>
      <c r="P58" s="51"/>
      <c r="Q58" s="51"/>
      <c r="R58" s="72"/>
    </row>
    <row r="59" ht="15.75" customHeight="1">
      <c r="A59" s="85"/>
      <c r="B59" s="85"/>
      <c r="C59" s="85"/>
      <c r="D59" s="51"/>
      <c r="E59" s="51"/>
      <c r="F59" s="78"/>
      <c r="G59" s="51"/>
      <c r="H59" s="51"/>
      <c r="I59" s="78"/>
      <c r="J59" s="121" t="s">
        <v>155</v>
      </c>
      <c r="K59" s="54">
        <f>COUNTIF('Itemization 202306'!L:L,J59)</f>
        <v>0</v>
      </c>
      <c r="L59" s="55">
        <f>(K59/K116)</f>
        <v>0</v>
      </c>
      <c r="M59" s="51"/>
      <c r="N59" s="51"/>
      <c r="O59" s="78"/>
      <c r="P59" s="51"/>
      <c r="Q59" s="51"/>
      <c r="R59" s="72"/>
    </row>
    <row r="60" ht="15.75" customHeight="1">
      <c r="A60" s="85"/>
      <c r="B60" s="85"/>
      <c r="C60" s="85"/>
      <c r="D60" s="51"/>
      <c r="E60" s="51"/>
      <c r="F60" s="78"/>
      <c r="G60" s="51"/>
      <c r="H60" s="51"/>
      <c r="I60" s="78"/>
      <c r="J60" s="121" t="s">
        <v>156</v>
      </c>
      <c r="K60" s="54">
        <f>COUNTIF('Itemization 202306'!L:L,J60)</f>
        <v>0</v>
      </c>
      <c r="L60" s="55">
        <f>(K60/K116)</f>
        <v>0</v>
      </c>
      <c r="M60" s="51"/>
      <c r="N60" s="51"/>
      <c r="O60" s="78"/>
      <c r="P60" s="51"/>
      <c r="Q60" s="51"/>
      <c r="R60" s="72"/>
    </row>
    <row r="61" ht="15.75" customHeight="1">
      <c r="A61" s="85"/>
      <c r="B61" s="85"/>
      <c r="C61" s="85"/>
      <c r="D61" s="51"/>
      <c r="E61" s="51"/>
      <c r="F61" s="78"/>
      <c r="G61" s="51"/>
      <c r="H61" s="51"/>
      <c r="I61" s="78"/>
      <c r="J61" s="124" t="s">
        <v>157</v>
      </c>
      <c r="K61" s="61">
        <f>COUNTIF('Itemization 202306'!L:L,J61)</f>
        <v>1</v>
      </c>
      <c r="L61" s="62">
        <f>(K61/K116)</f>
        <v>0.02631578947</v>
      </c>
      <c r="M61" s="51"/>
      <c r="N61" s="51"/>
      <c r="O61" s="78"/>
      <c r="P61" s="51"/>
      <c r="Q61" s="51"/>
      <c r="R61" s="72"/>
    </row>
    <row r="62" ht="15.75" customHeight="1">
      <c r="A62" s="85"/>
      <c r="B62" s="85"/>
      <c r="C62" s="85"/>
      <c r="D62" s="51"/>
      <c r="E62" s="51"/>
      <c r="F62" s="78"/>
      <c r="G62" s="51"/>
      <c r="H62" s="51"/>
      <c r="I62" s="78"/>
      <c r="J62" s="124" t="s">
        <v>158</v>
      </c>
      <c r="K62" s="61">
        <f>COUNTIF('Itemization 202306'!L:L,J62)</f>
        <v>2</v>
      </c>
      <c r="L62" s="62">
        <f>(K62/K116)</f>
        <v>0.05263157895</v>
      </c>
      <c r="M62" s="51"/>
      <c r="N62" s="51"/>
      <c r="O62" s="78"/>
      <c r="P62" s="51"/>
      <c r="Q62" s="51"/>
      <c r="R62" s="72"/>
    </row>
    <row r="63" ht="15.75" customHeight="1">
      <c r="A63" s="85"/>
      <c r="B63" s="85"/>
      <c r="C63" s="85"/>
      <c r="D63" s="51"/>
      <c r="E63" s="51"/>
      <c r="F63" s="78"/>
      <c r="G63" s="51"/>
      <c r="H63" s="51"/>
      <c r="I63" s="78"/>
      <c r="J63" s="121" t="s">
        <v>159</v>
      </c>
      <c r="K63" s="54">
        <f>COUNTIF('Itemization 202306'!L:L,J63)</f>
        <v>0</v>
      </c>
      <c r="L63" s="55">
        <f>(K63/K116)</f>
        <v>0</v>
      </c>
      <c r="M63" s="51"/>
      <c r="N63" s="51"/>
      <c r="O63" s="78"/>
      <c r="P63" s="51"/>
      <c r="Q63" s="51"/>
      <c r="R63" s="72"/>
    </row>
    <row r="64" ht="15.75" customHeight="1">
      <c r="A64" s="85"/>
      <c r="B64" s="85"/>
      <c r="C64" s="85"/>
      <c r="D64" s="51"/>
      <c r="E64" s="51"/>
      <c r="F64" s="78"/>
      <c r="G64" s="51"/>
      <c r="H64" s="51"/>
      <c r="I64" s="78"/>
      <c r="J64" s="121" t="s">
        <v>160</v>
      </c>
      <c r="K64" s="54">
        <f>COUNTIF('Itemization 202306'!L:L,J64)</f>
        <v>0</v>
      </c>
      <c r="L64" s="55">
        <f>(K64/K116)</f>
        <v>0</v>
      </c>
      <c r="M64" s="51"/>
      <c r="N64" s="51"/>
      <c r="O64" s="78"/>
      <c r="P64" s="51"/>
      <c r="Q64" s="51"/>
      <c r="R64" s="72"/>
    </row>
    <row r="65" ht="15.75" customHeight="1">
      <c r="A65" s="85"/>
      <c r="B65" s="85"/>
      <c r="C65" s="85"/>
      <c r="D65" s="51"/>
      <c r="E65" s="51"/>
      <c r="F65" s="78"/>
      <c r="G65" s="51"/>
      <c r="H65" s="51"/>
      <c r="I65" s="78"/>
      <c r="J65" s="121" t="s">
        <v>161</v>
      </c>
      <c r="K65" s="54">
        <f>COUNTIF('Itemization 202306'!L:L,J65)</f>
        <v>0</v>
      </c>
      <c r="L65" s="55">
        <f>(K65/K116)</f>
        <v>0</v>
      </c>
      <c r="M65" s="51"/>
      <c r="N65" s="51"/>
      <c r="O65" s="78"/>
      <c r="P65" s="51"/>
      <c r="Q65" s="51"/>
      <c r="R65" s="72"/>
    </row>
    <row r="66" ht="15.75" customHeight="1">
      <c r="A66" s="85"/>
      <c r="B66" s="85"/>
      <c r="C66" s="85"/>
      <c r="D66" s="51"/>
      <c r="E66" s="51"/>
      <c r="F66" s="78"/>
      <c r="G66" s="51"/>
      <c r="H66" s="51"/>
      <c r="I66" s="78"/>
      <c r="J66" s="121" t="s">
        <v>162</v>
      </c>
      <c r="K66" s="54">
        <f>COUNTIF('Itemization 202306'!L:L,J66)</f>
        <v>0</v>
      </c>
      <c r="L66" s="55">
        <f>(K66/K116)</f>
        <v>0</v>
      </c>
      <c r="M66" s="51"/>
      <c r="N66" s="51"/>
      <c r="O66" s="78"/>
      <c r="P66" s="51"/>
      <c r="Q66" s="51"/>
      <c r="R66" s="72"/>
    </row>
    <row r="67" ht="15.75" customHeight="1">
      <c r="A67" s="85"/>
      <c r="B67" s="85"/>
      <c r="C67" s="85"/>
      <c r="D67" s="51"/>
      <c r="E67" s="51"/>
      <c r="F67" s="78"/>
      <c r="G67" s="51"/>
      <c r="H67" s="51"/>
      <c r="I67" s="78"/>
      <c r="J67" s="121" t="s">
        <v>163</v>
      </c>
      <c r="K67" s="54">
        <f>COUNTIF('Itemization 202306'!L:L,J67)</f>
        <v>0</v>
      </c>
      <c r="L67" s="55">
        <f>(K67/K116)</f>
        <v>0</v>
      </c>
      <c r="M67" s="51"/>
      <c r="N67" s="51"/>
      <c r="O67" s="78"/>
      <c r="P67" s="51"/>
      <c r="Q67" s="51"/>
      <c r="R67" s="72"/>
    </row>
    <row r="68" ht="15.75" customHeight="1">
      <c r="A68" s="85"/>
      <c r="B68" s="85"/>
      <c r="C68" s="85"/>
      <c r="D68" s="51"/>
      <c r="E68" s="51"/>
      <c r="F68" s="78"/>
      <c r="G68" s="51"/>
      <c r="H68" s="51"/>
      <c r="I68" s="78"/>
      <c r="J68" s="121" t="s">
        <v>164</v>
      </c>
      <c r="K68" s="54">
        <f>COUNTIF('Itemization 202306'!L:L,J68)</f>
        <v>0</v>
      </c>
      <c r="L68" s="55">
        <f>(K68/K116)</f>
        <v>0</v>
      </c>
      <c r="M68" s="51"/>
      <c r="N68" s="51"/>
      <c r="O68" s="78"/>
      <c r="P68" s="51"/>
      <c r="Q68" s="51"/>
      <c r="R68" s="72"/>
    </row>
    <row r="69" ht="15.75" customHeight="1">
      <c r="A69" s="85"/>
      <c r="B69" s="85"/>
      <c r="C69" s="85"/>
      <c r="D69" s="51"/>
      <c r="E69" s="51"/>
      <c r="F69" s="78"/>
      <c r="G69" s="51"/>
      <c r="H69" s="51"/>
      <c r="I69" s="78"/>
      <c r="J69" s="121" t="s">
        <v>165</v>
      </c>
      <c r="K69" s="54">
        <f>COUNTIF('Itemization 202306'!L:L,J69)</f>
        <v>1</v>
      </c>
      <c r="L69" s="55">
        <f>(K69/K116)</f>
        <v>0.02631578947</v>
      </c>
      <c r="M69" s="51"/>
      <c r="N69" s="51"/>
      <c r="O69" s="78"/>
      <c r="P69" s="51"/>
      <c r="Q69" s="51"/>
      <c r="R69" s="72"/>
    </row>
    <row r="70" ht="15.75" customHeight="1">
      <c r="A70" s="85"/>
      <c r="B70" s="85"/>
      <c r="C70" s="85"/>
      <c r="D70" s="51"/>
      <c r="E70" s="51"/>
      <c r="F70" s="78"/>
      <c r="G70" s="51"/>
      <c r="H70" s="51"/>
      <c r="I70" s="78"/>
      <c r="J70" s="121" t="s">
        <v>166</v>
      </c>
      <c r="K70" s="54">
        <f>COUNTIF('Itemization 202306'!L:L,J70)</f>
        <v>0</v>
      </c>
      <c r="L70" s="55">
        <f>(K70/K116)</f>
        <v>0</v>
      </c>
      <c r="M70" s="51"/>
      <c r="N70" s="51"/>
      <c r="O70" s="78"/>
      <c r="P70" s="51"/>
      <c r="Q70" s="51"/>
      <c r="R70" s="72"/>
    </row>
    <row r="71" ht="15.75" customHeight="1">
      <c r="A71" s="85"/>
      <c r="B71" s="85"/>
      <c r="C71" s="85"/>
      <c r="D71" s="51"/>
      <c r="E71" s="51"/>
      <c r="F71" s="78"/>
      <c r="G71" s="51"/>
      <c r="H71" s="51"/>
      <c r="I71" s="78"/>
      <c r="J71" s="121" t="s">
        <v>167</v>
      </c>
      <c r="K71" s="54">
        <f>COUNTIF('Itemization 202306'!L:L,J71)</f>
        <v>0</v>
      </c>
      <c r="L71" s="55">
        <f>(K71/K116)</f>
        <v>0</v>
      </c>
      <c r="M71" s="51"/>
      <c r="N71" s="51"/>
      <c r="O71" s="78"/>
      <c r="P71" s="51"/>
      <c r="Q71" s="51"/>
      <c r="R71" s="72"/>
    </row>
    <row r="72" ht="15.75" customHeight="1">
      <c r="A72" s="85"/>
      <c r="B72" s="85"/>
      <c r="C72" s="85"/>
      <c r="D72" s="51"/>
      <c r="E72" s="51"/>
      <c r="F72" s="78"/>
      <c r="G72" s="51"/>
      <c r="H72" s="51"/>
      <c r="I72" s="78"/>
      <c r="J72" s="122" t="s">
        <v>168</v>
      </c>
      <c r="K72" s="57">
        <f>COUNTIF('Itemization 202306'!L:L,J72)</f>
        <v>1</v>
      </c>
      <c r="L72" s="58">
        <f>(K72/K116)</f>
        <v>0.02631578947</v>
      </c>
      <c r="M72" s="51"/>
      <c r="N72" s="51"/>
      <c r="O72" s="78"/>
      <c r="P72" s="51"/>
      <c r="Q72" s="51"/>
      <c r="R72" s="72"/>
    </row>
    <row r="73" ht="15.75" customHeight="1">
      <c r="A73" s="85"/>
      <c r="B73" s="85"/>
      <c r="C73" s="85"/>
      <c r="D73" s="51"/>
      <c r="E73" s="51"/>
      <c r="F73" s="78"/>
      <c r="G73" s="51"/>
      <c r="H73" s="51"/>
      <c r="I73" s="78"/>
      <c r="J73" s="121" t="s">
        <v>169</v>
      </c>
      <c r="K73" s="54">
        <f>COUNTIF('Itemization 202306'!L:L,J73)</f>
        <v>0</v>
      </c>
      <c r="L73" s="55">
        <f>(K73/K116)</f>
        <v>0</v>
      </c>
      <c r="M73" s="51"/>
      <c r="N73" s="51"/>
      <c r="O73" s="78"/>
      <c r="P73" s="51"/>
      <c r="Q73" s="51"/>
      <c r="R73" s="72"/>
    </row>
    <row r="74" ht="15.75" customHeight="1">
      <c r="A74" s="85"/>
      <c r="B74" s="85"/>
      <c r="C74" s="85"/>
      <c r="D74" s="51"/>
      <c r="E74" s="51"/>
      <c r="F74" s="78"/>
      <c r="G74" s="51"/>
      <c r="H74" s="51"/>
      <c r="I74" s="78"/>
      <c r="J74" s="121" t="s">
        <v>170</v>
      </c>
      <c r="K74" s="54">
        <f>COUNTIF('Itemization 202306'!L:L,J74)</f>
        <v>0</v>
      </c>
      <c r="L74" s="55">
        <f>(K74/K116)</f>
        <v>0</v>
      </c>
      <c r="M74" s="51"/>
      <c r="N74" s="51"/>
      <c r="O74" s="78"/>
      <c r="P74" s="51"/>
      <c r="Q74" s="51"/>
      <c r="R74" s="72"/>
    </row>
    <row r="75" ht="15.75" customHeight="1">
      <c r="A75" s="85"/>
      <c r="B75" s="85"/>
      <c r="C75" s="85"/>
      <c r="D75" s="51"/>
      <c r="E75" s="51"/>
      <c r="F75" s="78"/>
      <c r="G75" s="51"/>
      <c r="H75" s="51"/>
      <c r="I75" s="78"/>
      <c r="J75" s="122" t="s">
        <v>171</v>
      </c>
      <c r="K75" s="57">
        <f>COUNTIF('Itemization 202306'!L:L,J75)</f>
        <v>1</v>
      </c>
      <c r="L75" s="58">
        <f>(K75/K116)</f>
        <v>0.02631578947</v>
      </c>
      <c r="M75" s="51"/>
      <c r="N75" s="51"/>
      <c r="O75" s="78"/>
      <c r="P75" s="51"/>
      <c r="Q75" s="51"/>
      <c r="R75" s="72"/>
    </row>
    <row r="76" ht="15.75" customHeight="1">
      <c r="A76" s="85"/>
      <c r="B76" s="85"/>
      <c r="C76" s="85"/>
      <c r="D76" s="51"/>
      <c r="E76" s="51"/>
      <c r="F76" s="78"/>
      <c r="G76" s="51"/>
      <c r="H76" s="51"/>
      <c r="I76" s="78"/>
      <c r="J76" s="121" t="s">
        <v>172</v>
      </c>
      <c r="K76" s="54">
        <f>COUNTIF('Itemization 202306'!L:L,J76)</f>
        <v>0</v>
      </c>
      <c r="L76" s="55">
        <f>(K76/K116)</f>
        <v>0</v>
      </c>
      <c r="M76" s="51"/>
      <c r="N76" s="51"/>
      <c r="O76" s="78"/>
      <c r="P76" s="51"/>
      <c r="Q76" s="51"/>
      <c r="R76" s="72"/>
    </row>
    <row r="77" ht="15.75" customHeight="1">
      <c r="A77" s="85"/>
      <c r="B77" s="85"/>
      <c r="C77" s="85"/>
      <c r="D77" s="51"/>
      <c r="E77" s="51"/>
      <c r="F77" s="78"/>
      <c r="G77" s="51"/>
      <c r="H77" s="51"/>
      <c r="I77" s="78"/>
      <c r="J77" s="121" t="s">
        <v>173</v>
      </c>
      <c r="K77" s="54">
        <f>COUNTIF('Itemization 202306'!L:L,J77)</f>
        <v>0</v>
      </c>
      <c r="L77" s="55">
        <f>(K77/K116)</f>
        <v>0</v>
      </c>
      <c r="M77" s="51"/>
      <c r="N77" s="51"/>
      <c r="O77" s="78"/>
      <c r="P77" s="51"/>
      <c r="Q77" s="51"/>
      <c r="R77" s="72"/>
    </row>
    <row r="78" ht="15.75" customHeight="1">
      <c r="A78" s="85"/>
      <c r="B78" s="85"/>
      <c r="C78" s="85"/>
      <c r="D78" s="51"/>
      <c r="E78" s="51"/>
      <c r="F78" s="78"/>
      <c r="G78" s="51"/>
      <c r="H78" s="51"/>
      <c r="I78" s="78"/>
      <c r="J78" s="121" t="s">
        <v>174</v>
      </c>
      <c r="K78" s="54">
        <f>COUNTIF('Itemization 202306'!L:L,J78)</f>
        <v>0</v>
      </c>
      <c r="L78" s="55">
        <f>(K78/K116)</f>
        <v>0</v>
      </c>
      <c r="M78" s="51"/>
      <c r="N78" s="51"/>
      <c r="O78" s="78"/>
      <c r="P78" s="51"/>
      <c r="Q78" s="51"/>
      <c r="R78" s="72"/>
    </row>
    <row r="79" ht="15.75" customHeight="1">
      <c r="A79" s="85"/>
      <c r="B79" s="85"/>
      <c r="C79" s="85"/>
      <c r="D79" s="51"/>
      <c r="E79" s="51"/>
      <c r="F79" s="78"/>
      <c r="G79" s="51"/>
      <c r="H79" s="51"/>
      <c r="I79" s="78"/>
      <c r="J79" s="121" t="s">
        <v>175</v>
      </c>
      <c r="K79" s="54">
        <f>COUNTIF('Itemization 202306'!L:L,J79)</f>
        <v>0</v>
      </c>
      <c r="L79" s="55">
        <f>(K79/K116)</f>
        <v>0</v>
      </c>
      <c r="M79" s="51"/>
      <c r="N79" s="51"/>
      <c r="O79" s="78"/>
      <c r="P79" s="51"/>
      <c r="Q79" s="51"/>
      <c r="R79" s="72"/>
    </row>
    <row r="80" ht="15.75" customHeight="1">
      <c r="A80" s="85"/>
      <c r="B80" s="85"/>
      <c r="C80" s="85"/>
      <c r="D80" s="51"/>
      <c r="E80" s="51"/>
      <c r="F80" s="78"/>
      <c r="G80" s="51"/>
      <c r="H80" s="51"/>
      <c r="I80" s="78"/>
      <c r="J80" s="121" t="s">
        <v>176</v>
      </c>
      <c r="K80" s="54">
        <f>COUNTIF('Itemization 202306'!L:L,J80)</f>
        <v>0</v>
      </c>
      <c r="L80" s="55">
        <f>(K80/K116)</f>
        <v>0</v>
      </c>
      <c r="M80" s="51"/>
      <c r="N80" s="51"/>
      <c r="O80" s="78"/>
      <c r="P80" s="51"/>
      <c r="Q80" s="51"/>
      <c r="R80" s="72"/>
    </row>
    <row r="81" ht="15.75" customHeight="1">
      <c r="A81" s="85"/>
      <c r="B81" s="85"/>
      <c r="C81" s="85"/>
      <c r="D81" s="51"/>
      <c r="E81" s="51"/>
      <c r="F81" s="78"/>
      <c r="G81" s="51"/>
      <c r="H81" s="51"/>
      <c r="I81" s="78"/>
      <c r="J81" s="121" t="s">
        <v>177</v>
      </c>
      <c r="K81" s="54">
        <f>COUNTIF('Itemization 202306'!L:L,J81)</f>
        <v>0</v>
      </c>
      <c r="L81" s="55">
        <f>(K81/K116)</f>
        <v>0</v>
      </c>
      <c r="M81" s="51"/>
      <c r="N81" s="51"/>
      <c r="O81" s="78"/>
      <c r="P81" s="51"/>
      <c r="Q81" s="51"/>
      <c r="R81" s="72"/>
    </row>
    <row r="82" ht="15.75" customHeight="1">
      <c r="A82" s="85"/>
      <c r="B82" s="85"/>
      <c r="C82" s="85"/>
      <c r="D82" s="51"/>
      <c r="E82" s="51"/>
      <c r="F82" s="78"/>
      <c r="G82" s="51"/>
      <c r="H82" s="51"/>
      <c r="I82" s="78"/>
      <c r="J82" s="124" t="s">
        <v>178</v>
      </c>
      <c r="K82" s="61">
        <f>COUNTIF('Itemization 202306'!L:L,J82)</f>
        <v>2</v>
      </c>
      <c r="L82" s="62">
        <f>(K82/K116)</f>
        <v>0.05263157895</v>
      </c>
      <c r="M82" s="51"/>
      <c r="N82" s="51"/>
      <c r="O82" s="78"/>
      <c r="P82" s="51"/>
      <c r="Q82" s="51"/>
      <c r="R82" s="72"/>
    </row>
    <row r="83" ht="15.75" customHeight="1">
      <c r="A83" s="85"/>
      <c r="B83" s="85"/>
      <c r="C83" s="85"/>
      <c r="D83" s="51"/>
      <c r="E83" s="51"/>
      <c r="F83" s="78"/>
      <c r="G83" s="51"/>
      <c r="H83" s="51"/>
      <c r="I83" s="78"/>
      <c r="J83" s="121" t="s">
        <v>179</v>
      </c>
      <c r="K83" s="54">
        <f>COUNTIF('Itemization 202306'!L:L,J83)</f>
        <v>0</v>
      </c>
      <c r="L83" s="55">
        <f>(K83/K116)</f>
        <v>0</v>
      </c>
      <c r="M83" s="51"/>
      <c r="N83" s="51"/>
      <c r="O83" s="78"/>
      <c r="P83" s="51"/>
      <c r="Q83" s="51"/>
      <c r="R83" s="72"/>
    </row>
    <row r="84" ht="15.75" customHeight="1">
      <c r="A84" s="85"/>
      <c r="B84" s="85"/>
      <c r="C84" s="85"/>
      <c r="D84" s="51"/>
      <c r="E84" s="51"/>
      <c r="F84" s="78"/>
      <c r="G84" s="51"/>
      <c r="H84" s="51"/>
      <c r="I84" s="78"/>
      <c r="J84" s="121" t="s">
        <v>180</v>
      </c>
      <c r="K84" s="54">
        <f>COUNTIF('Itemization 202306'!L:L,J84)</f>
        <v>0</v>
      </c>
      <c r="L84" s="55">
        <f>(K84/K116)</f>
        <v>0</v>
      </c>
      <c r="M84" s="51"/>
      <c r="N84" s="51"/>
      <c r="O84" s="78"/>
      <c r="P84" s="51"/>
      <c r="Q84" s="51"/>
      <c r="R84" s="72"/>
    </row>
    <row r="85" ht="15.75" customHeight="1">
      <c r="A85" s="85"/>
      <c r="B85" s="85"/>
      <c r="C85" s="85"/>
      <c r="D85" s="51"/>
      <c r="E85" s="51"/>
      <c r="F85" s="78"/>
      <c r="G85" s="51"/>
      <c r="H85" s="51"/>
      <c r="I85" s="78"/>
      <c r="J85" s="121" t="s">
        <v>181</v>
      </c>
      <c r="K85" s="54">
        <f>COUNTIF('Itemization 202306'!L:L,J85)</f>
        <v>0</v>
      </c>
      <c r="L85" s="55">
        <f>(K85/K116)</f>
        <v>0</v>
      </c>
      <c r="M85" s="51"/>
      <c r="N85" s="51"/>
      <c r="O85" s="78"/>
      <c r="P85" s="51"/>
      <c r="Q85" s="51"/>
      <c r="R85" s="72"/>
    </row>
    <row r="86" ht="15.75" customHeight="1">
      <c r="A86" s="85"/>
      <c r="B86" s="85"/>
      <c r="C86" s="85"/>
      <c r="D86" s="51"/>
      <c r="E86" s="51"/>
      <c r="F86" s="78"/>
      <c r="G86" s="51"/>
      <c r="H86" s="51"/>
      <c r="I86" s="78"/>
      <c r="J86" s="121" t="s">
        <v>182</v>
      </c>
      <c r="K86" s="54">
        <f>COUNTIF('Itemization 202306'!L:L,J86)</f>
        <v>0</v>
      </c>
      <c r="L86" s="55">
        <f>(K86/K116)</f>
        <v>0</v>
      </c>
      <c r="M86" s="51"/>
      <c r="N86" s="51"/>
      <c r="O86" s="78"/>
      <c r="P86" s="51"/>
      <c r="Q86" s="51"/>
      <c r="R86" s="72"/>
    </row>
    <row r="87" ht="15.75" customHeight="1">
      <c r="A87" s="85"/>
      <c r="B87" s="85"/>
      <c r="C87" s="85"/>
      <c r="D87" s="51"/>
      <c r="E87" s="51"/>
      <c r="F87" s="78"/>
      <c r="G87" s="51"/>
      <c r="H87" s="51"/>
      <c r="I87" s="78"/>
      <c r="J87" s="121" t="s">
        <v>183</v>
      </c>
      <c r="K87" s="54">
        <f>COUNTIF('Itemization 202306'!L:L,J87)</f>
        <v>0</v>
      </c>
      <c r="L87" s="55">
        <f>(K87/K116)</f>
        <v>0</v>
      </c>
      <c r="M87" s="51"/>
      <c r="N87" s="51"/>
      <c r="O87" s="78"/>
      <c r="P87" s="51"/>
      <c r="Q87" s="51"/>
      <c r="R87" s="72"/>
    </row>
    <row r="88" ht="15.75" customHeight="1">
      <c r="A88" s="85"/>
      <c r="B88" s="85"/>
      <c r="C88" s="85"/>
      <c r="D88" s="51"/>
      <c r="E88" s="51"/>
      <c r="F88" s="78"/>
      <c r="G88" s="51"/>
      <c r="H88" s="51"/>
      <c r="I88" s="78"/>
      <c r="J88" s="124" t="s">
        <v>184</v>
      </c>
      <c r="K88" s="61">
        <f>COUNTIF('Itemization 202306'!L:L,J88)</f>
        <v>2</v>
      </c>
      <c r="L88" s="62">
        <f>(K88/K116)</f>
        <v>0.05263157895</v>
      </c>
      <c r="M88" s="51"/>
      <c r="N88" s="51"/>
      <c r="O88" s="78"/>
      <c r="P88" s="51"/>
      <c r="Q88" s="51"/>
      <c r="R88" s="72"/>
    </row>
    <row r="89" ht="15.75" customHeight="1">
      <c r="A89" s="85"/>
      <c r="B89" s="85"/>
      <c r="C89" s="85"/>
      <c r="D89" s="51"/>
      <c r="E89" s="51"/>
      <c r="F89" s="78"/>
      <c r="G89" s="51"/>
      <c r="H89" s="51"/>
      <c r="I89" s="78"/>
      <c r="J89" s="121" t="s">
        <v>185</v>
      </c>
      <c r="K89" s="54">
        <f>COUNTIF('Itemization 202306'!L:L,J89)</f>
        <v>0</v>
      </c>
      <c r="L89" s="55">
        <f>(K89/K116)</f>
        <v>0</v>
      </c>
      <c r="M89" s="51"/>
      <c r="N89" s="51"/>
      <c r="O89" s="78"/>
      <c r="P89" s="51"/>
      <c r="Q89" s="51"/>
      <c r="R89" s="72"/>
    </row>
    <row r="90" ht="15.75" customHeight="1">
      <c r="A90" s="85"/>
      <c r="B90" s="85"/>
      <c r="C90" s="85"/>
      <c r="D90" s="51"/>
      <c r="E90" s="51"/>
      <c r="F90" s="78"/>
      <c r="G90" s="51"/>
      <c r="H90" s="51"/>
      <c r="I90" s="78"/>
      <c r="J90" s="121" t="s">
        <v>186</v>
      </c>
      <c r="K90" s="54">
        <f>COUNTIF('Itemization 202306'!L:L,J90)</f>
        <v>0</v>
      </c>
      <c r="L90" s="55">
        <f>(K90/K116)</f>
        <v>0</v>
      </c>
      <c r="M90" s="51"/>
      <c r="N90" s="51"/>
      <c r="O90" s="78"/>
      <c r="P90" s="51"/>
      <c r="Q90" s="51"/>
      <c r="R90" s="72"/>
    </row>
    <row r="91" ht="15.75" customHeight="1">
      <c r="A91" s="85"/>
      <c r="B91" s="85"/>
      <c r="C91" s="85"/>
      <c r="D91" s="51"/>
      <c r="E91" s="51"/>
      <c r="F91" s="78"/>
      <c r="G91" s="51"/>
      <c r="H91" s="51"/>
      <c r="I91" s="78"/>
      <c r="J91" s="121" t="s">
        <v>187</v>
      </c>
      <c r="K91" s="54">
        <f>COUNTIF('Itemization 202306'!L:L,J91)</f>
        <v>0</v>
      </c>
      <c r="L91" s="55">
        <f>(K91/K116)</f>
        <v>0</v>
      </c>
      <c r="M91" s="51"/>
      <c r="N91" s="51"/>
      <c r="O91" s="78"/>
      <c r="P91" s="51"/>
      <c r="Q91" s="51"/>
      <c r="R91" s="72"/>
    </row>
    <row r="92" ht="15.75" customHeight="1">
      <c r="A92" s="85"/>
      <c r="B92" s="85"/>
      <c r="C92" s="85"/>
      <c r="D92" s="51"/>
      <c r="E92" s="51"/>
      <c r="F92" s="78"/>
      <c r="G92" s="51"/>
      <c r="H92" s="51"/>
      <c r="I92" s="78"/>
      <c r="J92" s="121" t="s">
        <v>188</v>
      </c>
      <c r="K92" s="54">
        <f>COUNTIF('Itemization 202306'!L:L,J92)</f>
        <v>0</v>
      </c>
      <c r="L92" s="55">
        <f>(K92/K116)</f>
        <v>0</v>
      </c>
      <c r="M92" s="51"/>
      <c r="N92" s="51"/>
      <c r="O92" s="78"/>
      <c r="P92" s="51"/>
      <c r="Q92" s="51"/>
      <c r="R92" s="72"/>
    </row>
    <row r="93" ht="15.75" customHeight="1">
      <c r="A93" s="85"/>
      <c r="B93" s="85"/>
      <c r="C93" s="85"/>
      <c r="D93" s="51"/>
      <c r="E93" s="51"/>
      <c r="F93" s="78"/>
      <c r="G93" s="51"/>
      <c r="H93" s="51"/>
      <c r="I93" s="78"/>
      <c r="J93" s="124" t="s">
        <v>189</v>
      </c>
      <c r="K93" s="61">
        <f>COUNTIF('Itemization 202306'!L:L,J93)</f>
        <v>2</v>
      </c>
      <c r="L93" s="62">
        <f>(K93/K116)</f>
        <v>0.05263157895</v>
      </c>
      <c r="M93" s="51"/>
      <c r="N93" s="51"/>
      <c r="O93" s="78"/>
      <c r="P93" s="51"/>
      <c r="Q93" s="51"/>
      <c r="R93" s="72"/>
    </row>
    <row r="94" ht="15.75" customHeight="1">
      <c r="A94" s="85"/>
      <c r="B94" s="85"/>
      <c r="C94" s="85"/>
      <c r="D94" s="51"/>
      <c r="E94" s="51"/>
      <c r="F94" s="78"/>
      <c r="G94" s="51"/>
      <c r="H94" s="51"/>
      <c r="I94" s="78"/>
      <c r="J94" s="121" t="s">
        <v>190</v>
      </c>
      <c r="K94" s="54">
        <f>COUNTIF('Itemization 202306'!L:L,J94)</f>
        <v>0</v>
      </c>
      <c r="L94" s="55">
        <f>(K94/K116)</f>
        <v>0</v>
      </c>
      <c r="M94" s="51"/>
      <c r="N94" s="51"/>
      <c r="O94" s="78"/>
      <c r="P94" s="51"/>
      <c r="Q94" s="51"/>
      <c r="R94" s="72"/>
    </row>
    <row r="95" ht="15.75" customHeight="1">
      <c r="A95" s="85"/>
      <c r="B95" s="85"/>
      <c r="C95" s="85"/>
      <c r="D95" s="51"/>
      <c r="E95" s="51"/>
      <c r="F95" s="78"/>
      <c r="G95" s="51"/>
      <c r="H95" s="51"/>
      <c r="I95" s="78"/>
      <c r="J95" s="121" t="s">
        <v>191</v>
      </c>
      <c r="K95" s="54">
        <f>COUNTIF('Itemization 202306'!L:L,J95)</f>
        <v>0</v>
      </c>
      <c r="L95" s="55">
        <f>(K95/K116)</f>
        <v>0</v>
      </c>
      <c r="M95" s="51"/>
      <c r="N95" s="51"/>
      <c r="O95" s="78"/>
      <c r="P95" s="51"/>
      <c r="Q95" s="51"/>
      <c r="R95" s="72"/>
    </row>
    <row r="96" ht="15.75" customHeight="1">
      <c r="A96" s="85"/>
      <c r="B96" s="85"/>
      <c r="C96" s="85"/>
      <c r="D96" s="51"/>
      <c r="E96" s="51"/>
      <c r="F96" s="78"/>
      <c r="G96" s="51"/>
      <c r="H96" s="51"/>
      <c r="I96" s="78"/>
      <c r="J96" s="121" t="s">
        <v>192</v>
      </c>
      <c r="K96" s="54">
        <f>COUNTIF('Itemization 202306'!L:L,J96)</f>
        <v>0</v>
      </c>
      <c r="L96" s="55">
        <f>(K96/K116)</f>
        <v>0</v>
      </c>
      <c r="M96" s="51"/>
      <c r="N96" s="51"/>
      <c r="O96" s="78"/>
      <c r="P96" s="51"/>
      <c r="Q96" s="51"/>
      <c r="R96" s="72"/>
    </row>
    <row r="97" ht="15.75" customHeight="1">
      <c r="A97" s="85"/>
      <c r="B97" s="85"/>
      <c r="C97" s="85"/>
      <c r="D97" s="51"/>
      <c r="E97" s="51"/>
      <c r="F97" s="78"/>
      <c r="G97" s="51"/>
      <c r="H97" s="51"/>
      <c r="I97" s="78"/>
      <c r="J97" s="121" t="s">
        <v>193</v>
      </c>
      <c r="K97" s="54">
        <f>COUNTIF('Itemization 202306'!L:L,J97)</f>
        <v>0</v>
      </c>
      <c r="L97" s="55">
        <f>(K97/K116)</f>
        <v>0</v>
      </c>
      <c r="M97" s="51"/>
      <c r="N97" s="51"/>
      <c r="O97" s="78"/>
      <c r="P97" s="51"/>
      <c r="Q97" s="51"/>
      <c r="R97" s="72"/>
    </row>
    <row r="98" ht="15.75" customHeight="1">
      <c r="A98" s="85"/>
      <c r="B98" s="85"/>
      <c r="C98" s="85"/>
      <c r="D98" s="51"/>
      <c r="E98" s="51"/>
      <c r="F98" s="78"/>
      <c r="G98" s="51"/>
      <c r="H98" s="51"/>
      <c r="I98" s="78"/>
      <c r="J98" s="121" t="s">
        <v>194</v>
      </c>
      <c r="K98" s="54">
        <f>COUNTIF('Itemization 202306'!L:L,J98)</f>
        <v>0</v>
      </c>
      <c r="L98" s="55">
        <f>(K98/K116)</f>
        <v>0</v>
      </c>
      <c r="M98" s="51"/>
      <c r="N98" s="51"/>
      <c r="O98" s="78"/>
      <c r="P98" s="51"/>
      <c r="Q98" s="51"/>
      <c r="R98" s="72"/>
    </row>
    <row r="99" ht="15.75" customHeight="1">
      <c r="A99" s="85"/>
      <c r="B99" s="85"/>
      <c r="C99" s="85"/>
      <c r="D99" s="51"/>
      <c r="E99" s="51"/>
      <c r="F99" s="78"/>
      <c r="G99" s="51"/>
      <c r="H99" s="51"/>
      <c r="I99" s="78"/>
      <c r="J99" s="121" t="s">
        <v>195</v>
      </c>
      <c r="K99" s="54">
        <f>COUNTIF('Itemization 202306'!L:L,J99)</f>
        <v>0</v>
      </c>
      <c r="L99" s="55">
        <f>(K99/K116)</f>
        <v>0</v>
      </c>
      <c r="M99" s="51"/>
      <c r="N99" s="51"/>
      <c r="O99" s="78"/>
      <c r="P99" s="51"/>
      <c r="Q99" s="51"/>
      <c r="R99" s="72"/>
    </row>
    <row r="100" ht="15.75" customHeight="1">
      <c r="A100" s="85"/>
      <c r="B100" s="85"/>
      <c r="C100" s="85"/>
      <c r="D100" s="51"/>
      <c r="E100" s="51"/>
      <c r="F100" s="78"/>
      <c r="G100" s="51"/>
      <c r="H100" s="51"/>
      <c r="I100" s="78"/>
      <c r="J100" s="121" t="s">
        <v>196</v>
      </c>
      <c r="K100" s="54">
        <f>COUNTIF('Itemization 202306'!L:L,J100)</f>
        <v>0</v>
      </c>
      <c r="L100" s="55">
        <f>(K100/K116)</f>
        <v>0</v>
      </c>
      <c r="M100" s="51"/>
      <c r="N100" s="51"/>
      <c r="O100" s="78"/>
      <c r="P100" s="51"/>
      <c r="Q100" s="51"/>
      <c r="R100" s="72"/>
    </row>
    <row r="101" ht="15.75" customHeight="1">
      <c r="A101" s="85"/>
      <c r="B101" s="85"/>
      <c r="C101" s="85"/>
      <c r="D101" s="51"/>
      <c r="E101" s="51"/>
      <c r="F101" s="78"/>
      <c r="G101" s="51"/>
      <c r="H101" s="51"/>
      <c r="I101" s="78"/>
      <c r="J101" s="124" t="s">
        <v>197</v>
      </c>
      <c r="K101" s="61">
        <f>COUNTIF('Itemization 202306'!L:L,J101)</f>
        <v>2</v>
      </c>
      <c r="L101" s="62">
        <f>(K101/K116)</f>
        <v>0.05263157895</v>
      </c>
      <c r="M101" s="51"/>
      <c r="N101" s="51"/>
      <c r="O101" s="78"/>
      <c r="P101" s="51"/>
      <c r="Q101" s="51"/>
      <c r="R101" s="72"/>
    </row>
    <row r="102" ht="15.75" customHeight="1">
      <c r="A102" s="85"/>
      <c r="B102" s="85"/>
      <c r="C102" s="85"/>
      <c r="D102" s="51"/>
      <c r="E102" s="51"/>
      <c r="F102" s="78"/>
      <c r="G102" s="51"/>
      <c r="H102" s="51"/>
      <c r="I102" s="78"/>
      <c r="J102" s="121" t="s">
        <v>198</v>
      </c>
      <c r="K102" s="54">
        <f>COUNTIF('Itemization 202306'!L:L,J102)</f>
        <v>0</v>
      </c>
      <c r="L102" s="55">
        <f>(K102/K116)</f>
        <v>0</v>
      </c>
      <c r="M102" s="51"/>
      <c r="N102" s="51"/>
      <c r="O102" s="78"/>
      <c r="P102" s="51"/>
      <c r="Q102" s="51"/>
      <c r="R102" s="72"/>
    </row>
    <row r="103" ht="15.75" customHeight="1">
      <c r="A103" s="85"/>
      <c r="B103" s="85"/>
      <c r="C103" s="85"/>
      <c r="D103" s="51"/>
      <c r="E103" s="51"/>
      <c r="F103" s="78"/>
      <c r="G103" s="51"/>
      <c r="H103" s="51"/>
      <c r="I103" s="78"/>
      <c r="J103" s="126" t="s">
        <v>199</v>
      </c>
      <c r="K103" s="48">
        <f>COUNTIF('Itemization 202306'!L:L,J103)</f>
        <v>0</v>
      </c>
      <c r="L103" s="49">
        <f>(K103/K116)</f>
        <v>0</v>
      </c>
      <c r="M103" s="51"/>
      <c r="N103" s="51"/>
      <c r="O103" s="78"/>
      <c r="P103" s="51"/>
      <c r="Q103" s="51"/>
      <c r="R103" s="72"/>
    </row>
    <row r="104" ht="15.75" customHeight="1">
      <c r="A104" s="85"/>
      <c r="B104" s="85"/>
      <c r="C104" s="85"/>
      <c r="D104" s="51"/>
      <c r="E104" s="51"/>
      <c r="F104" s="78"/>
      <c r="G104" s="51"/>
      <c r="H104" s="51"/>
      <c r="I104" s="78"/>
      <c r="J104" s="121" t="s">
        <v>200</v>
      </c>
      <c r="K104" s="54">
        <f>COUNTIF('Itemization 202306'!L:L,J104)</f>
        <v>0</v>
      </c>
      <c r="L104" s="55">
        <f>(K104/K116)</f>
        <v>0</v>
      </c>
      <c r="M104" s="51"/>
      <c r="N104" s="51"/>
      <c r="O104" s="78"/>
      <c r="P104" s="51"/>
      <c r="Q104" s="51"/>
      <c r="R104" s="72"/>
    </row>
    <row r="105" ht="15.75" customHeight="1">
      <c r="A105" s="85"/>
      <c r="B105" s="85"/>
      <c r="C105" s="85"/>
      <c r="D105" s="51"/>
      <c r="E105" s="51"/>
      <c r="F105" s="78"/>
      <c r="G105" s="51"/>
      <c r="H105" s="51"/>
      <c r="I105" s="78"/>
      <c r="J105" s="121" t="s">
        <v>201</v>
      </c>
      <c r="K105" s="54">
        <f>COUNTIF('Itemization 202306'!L:L,J105)</f>
        <v>0</v>
      </c>
      <c r="L105" s="55">
        <f>(K105/K116)</f>
        <v>0</v>
      </c>
      <c r="M105" s="51"/>
      <c r="N105" s="51"/>
      <c r="O105" s="78"/>
      <c r="P105" s="51"/>
      <c r="Q105" s="51"/>
      <c r="R105" s="72"/>
    </row>
    <row r="106" ht="15.75" customHeight="1">
      <c r="A106" s="85"/>
      <c r="B106" s="85"/>
      <c r="C106" s="85"/>
      <c r="D106" s="51"/>
      <c r="E106" s="51"/>
      <c r="F106" s="78"/>
      <c r="G106" s="51"/>
      <c r="H106" s="51"/>
      <c r="I106" s="78"/>
      <c r="J106" s="121" t="s">
        <v>202</v>
      </c>
      <c r="K106" s="54">
        <f>COUNTIF('Itemization 202306'!L:L,J106)</f>
        <v>0</v>
      </c>
      <c r="L106" s="55">
        <f>(K106/K116)</f>
        <v>0</v>
      </c>
      <c r="M106" s="51"/>
      <c r="N106" s="51"/>
      <c r="O106" s="78"/>
      <c r="P106" s="51"/>
      <c r="Q106" s="51"/>
      <c r="R106" s="72"/>
    </row>
    <row r="107" ht="15.75" customHeight="1">
      <c r="A107" s="85"/>
      <c r="B107" s="85"/>
      <c r="C107" s="85"/>
      <c r="D107" s="51"/>
      <c r="E107" s="51"/>
      <c r="F107" s="78"/>
      <c r="G107" s="51"/>
      <c r="H107" s="51"/>
      <c r="I107" s="78"/>
      <c r="J107" s="121" t="s">
        <v>203</v>
      </c>
      <c r="K107" s="54">
        <f>COUNTIF('Itemization 202306'!L:L,J107)</f>
        <v>0</v>
      </c>
      <c r="L107" s="55">
        <f>(K107/K116)</f>
        <v>0</v>
      </c>
      <c r="M107" s="51"/>
      <c r="N107" s="51"/>
      <c r="O107" s="78"/>
      <c r="P107" s="51"/>
      <c r="Q107" s="51"/>
      <c r="R107" s="72"/>
    </row>
    <row r="108" ht="15.75" customHeight="1">
      <c r="A108" s="85"/>
      <c r="B108" s="85"/>
      <c r="C108" s="85"/>
      <c r="D108" s="51"/>
      <c r="E108" s="51"/>
      <c r="F108" s="78"/>
      <c r="G108" s="51"/>
      <c r="H108" s="51"/>
      <c r="I108" s="78"/>
      <c r="J108" s="121" t="s">
        <v>204</v>
      </c>
      <c r="K108" s="54">
        <f>COUNTIF('Itemization 202306'!L:L,J108)</f>
        <v>0</v>
      </c>
      <c r="L108" s="55">
        <f>(K108/K116)</f>
        <v>0</v>
      </c>
      <c r="M108" s="51"/>
      <c r="N108" s="51"/>
      <c r="O108" s="78"/>
      <c r="P108" s="51"/>
      <c r="Q108" s="51"/>
      <c r="R108" s="72"/>
    </row>
    <row r="109" ht="15.75" customHeight="1">
      <c r="A109" s="85"/>
      <c r="B109" s="85"/>
      <c r="C109" s="85"/>
      <c r="D109" s="51"/>
      <c r="E109" s="51"/>
      <c r="F109" s="78"/>
      <c r="G109" s="51"/>
      <c r="H109" s="51"/>
      <c r="I109" s="78"/>
      <c r="J109" s="121" t="s">
        <v>205</v>
      </c>
      <c r="K109" s="54">
        <f>COUNTIF('Itemization 202306'!L:L,J109)</f>
        <v>0</v>
      </c>
      <c r="L109" s="55">
        <f>(K109/K116)</f>
        <v>0</v>
      </c>
      <c r="M109" s="51"/>
      <c r="N109" s="51"/>
      <c r="O109" s="78"/>
      <c r="P109" s="51"/>
      <c r="Q109" s="51"/>
      <c r="R109" s="72"/>
    </row>
    <row r="110" ht="15.75" customHeight="1">
      <c r="A110" s="85"/>
      <c r="B110" s="85"/>
      <c r="C110" s="85"/>
      <c r="D110" s="51"/>
      <c r="E110" s="51"/>
      <c r="F110" s="78"/>
      <c r="G110" s="51"/>
      <c r="H110" s="51"/>
      <c r="I110" s="78"/>
      <c r="J110" s="121" t="s">
        <v>206</v>
      </c>
      <c r="K110" s="54">
        <f>COUNTIF('Itemization 202306'!L:L,J110)</f>
        <v>0</v>
      </c>
      <c r="L110" s="55">
        <f>(K110/K116)</f>
        <v>0</v>
      </c>
      <c r="M110" s="51"/>
      <c r="N110" s="51"/>
      <c r="O110" s="78"/>
      <c r="P110" s="51"/>
      <c r="Q110" s="51"/>
      <c r="R110" s="72"/>
    </row>
    <row r="111" ht="15.75" customHeight="1">
      <c r="A111" s="85"/>
      <c r="B111" s="85"/>
      <c r="C111" s="85"/>
      <c r="D111" s="51"/>
      <c r="E111" s="51"/>
      <c r="F111" s="78"/>
      <c r="G111" s="51"/>
      <c r="H111" s="51"/>
      <c r="I111" s="78"/>
      <c r="J111" s="121" t="s">
        <v>207</v>
      </c>
      <c r="K111" s="54">
        <f>COUNTIF('Itemization 202306'!L:L,J111)</f>
        <v>0</v>
      </c>
      <c r="L111" s="55">
        <f>(K111/K116)</f>
        <v>0</v>
      </c>
      <c r="M111" s="51"/>
      <c r="N111" s="51"/>
      <c r="O111" s="78"/>
      <c r="P111" s="51"/>
      <c r="Q111" s="51"/>
      <c r="R111" s="72"/>
    </row>
    <row r="112" ht="15.75" customHeight="1">
      <c r="A112" s="85"/>
      <c r="B112" s="85"/>
      <c r="C112" s="85"/>
      <c r="D112" s="51"/>
      <c r="E112" s="51"/>
      <c r="F112" s="78"/>
      <c r="G112" s="51"/>
      <c r="H112" s="51"/>
      <c r="I112" s="78"/>
      <c r="J112" s="121" t="s">
        <v>208</v>
      </c>
      <c r="K112" s="54">
        <f>COUNTIF('Itemization 202306'!L:L,J112)</f>
        <v>0</v>
      </c>
      <c r="L112" s="55">
        <f>(K112/K116)</f>
        <v>0</v>
      </c>
      <c r="M112" s="51"/>
      <c r="N112" s="51"/>
      <c r="O112" s="78"/>
      <c r="P112" s="51"/>
      <c r="Q112" s="51"/>
      <c r="R112" s="72"/>
    </row>
    <row r="113" ht="15.75" customHeight="1">
      <c r="A113" s="85"/>
      <c r="B113" s="85"/>
      <c r="C113" s="85"/>
      <c r="D113" s="51"/>
      <c r="E113" s="51"/>
      <c r="F113" s="78"/>
      <c r="G113" s="51"/>
      <c r="H113" s="51"/>
      <c r="I113" s="78"/>
      <c r="J113" s="121" t="s">
        <v>209</v>
      </c>
      <c r="K113" s="54">
        <f>COUNTIF('Itemization 202306'!L:L,J113)</f>
        <v>0</v>
      </c>
      <c r="L113" s="55">
        <f>(K113/K116)</f>
        <v>0</v>
      </c>
      <c r="M113" s="51"/>
      <c r="N113" s="51"/>
      <c r="O113" s="78"/>
      <c r="P113" s="51"/>
      <c r="Q113" s="51"/>
      <c r="R113" s="72"/>
    </row>
    <row r="114" ht="15.75" customHeight="1">
      <c r="A114" s="85"/>
      <c r="B114" s="85"/>
      <c r="C114" s="85"/>
      <c r="D114" s="51"/>
      <c r="E114" s="51"/>
      <c r="F114" s="78"/>
      <c r="G114" s="51"/>
      <c r="H114" s="51"/>
      <c r="I114" s="78"/>
      <c r="J114" s="121" t="s">
        <v>210</v>
      </c>
      <c r="K114" s="54">
        <f>COUNTIF('Itemization 202306'!L:L,J114)</f>
        <v>0</v>
      </c>
      <c r="L114" s="55">
        <f>(K114/K116)</f>
        <v>0</v>
      </c>
      <c r="M114" s="51"/>
      <c r="N114" s="51"/>
      <c r="O114" s="78"/>
      <c r="P114" s="51"/>
      <c r="Q114" s="51"/>
      <c r="R114" s="72"/>
    </row>
    <row r="115" ht="15.75" customHeight="1">
      <c r="A115" s="85"/>
      <c r="B115" s="85"/>
      <c r="C115" s="85"/>
      <c r="D115" s="51"/>
      <c r="E115" s="51"/>
      <c r="F115" s="78"/>
      <c r="G115" s="51"/>
      <c r="H115" s="51"/>
      <c r="I115" s="78"/>
      <c r="J115" s="121" t="s">
        <v>211</v>
      </c>
      <c r="K115" s="54">
        <f>COUNTIF('Itemization 202306'!L:L,J115)</f>
        <v>0</v>
      </c>
      <c r="L115" s="55">
        <f>(K115/K116)</f>
        <v>0</v>
      </c>
      <c r="M115" s="51"/>
      <c r="N115" s="51"/>
      <c r="O115" s="78"/>
      <c r="P115" s="51"/>
      <c r="Q115" s="51"/>
      <c r="R115" s="72"/>
    </row>
    <row r="116" ht="15.75" customHeight="1">
      <c r="A116" s="85"/>
      <c r="B116" s="85"/>
      <c r="C116" s="85"/>
      <c r="D116" s="51"/>
      <c r="E116" s="51"/>
      <c r="F116" s="78"/>
      <c r="G116" s="51"/>
      <c r="H116" s="51"/>
      <c r="I116" s="78"/>
      <c r="J116" s="68" t="s">
        <v>93</v>
      </c>
      <c r="K116" s="69">
        <f t="shared" ref="K116:L116" si="4">SUM(K5:K115)</f>
        <v>38</v>
      </c>
      <c r="L116" s="71">
        <f t="shared" si="4"/>
        <v>1</v>
      </c>
      <c r="M116" s="51"/>
      <c r="N116" s="51"/>
      <c r="O116" s="78"/>
      <c r="P116" s="51"/>
      <c r="Q116" s="51"/>
      <c r="R116" s="72"/>
    </row>
    <row r="117" ht="15.75" customHeight="1">
      <c r="A117" s="85"/>
      <c r="B117" s="85"/>
      <c r="C117" s="85"/>
      <c r="D117" s="51"/>
      <c r="E117" s="51"/>
      <c r="F117" s="78"/>
      <c r="G117" s="51"/>
      <c r="H117" s="51"/>
      <c r="I117" s="78"/>
      <c r="J117" s="91"/>
      <c r="K117" s="51"/>
      <c r="L117" s="51"/>
      <c r="M117" s="51"/>
      <c r="N117" s="51"/>
      <c r="O117" s="78"/>
      <c r="P117" s="51"/>
      <c r="Q117" s="51"/>
      <c r="R117" s="72"/>
    </row>
  </sheetData>
  <mergeCells count="15">
    <mergeCell ref="M3:O3"/>
    <mergeCell ref="P3:R3"/>
    <mergeCell ref="A19:C19"/>
    <mergeCell ref="A20:C20"/>
    <mergeCell ref="A21:C21"/>
    <mergeCell ref="A22:C22"/>
    <mergeCell ref="A23:C23"/>
    <mergeCell ref="A24:C24"/>
    <mergeCell ref="A1:R1"/>
    <mergeCell ref="A2:I2"/>
    <mergeCell ref="J2:R2"/>
    <mergeCell ref="A3:C3"/>
    <mergeCell ref="D3:F3"/>
    <mergeCell ref="G3:I3"/>
    <mergeCell ref="J3:L3"/>
  </mergeCells>
  <hyperlinks>
    <hyperlink r:id="rId2" ref="G3"/>
    <hyperlink r:id="rId3" ref="J3"/>
    <hyperlink r:id="rId4" ref="M3"/>
  </hyperlinks>
  <drawing r:id="rId5"/>
  <legacy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2.75"/>
  <cols>
    <col customWidth="1" min="1" max="1" width="0.38"/>
    <col customWidth="1" min="2" max="4" width="9.5"/>
    <col customWidth="1" hidden="1" min="5" max="5" width="6.75"/>
    <col customWidth="1" hidden="1" min="6" max="6" width="6.5"/>
    <col customWidth="1" hidden="1" min="7" max="7" width="29.38"/>
    <col customWidth="1" min="8" max="8" width="37.63"/>
    <col customWidth="1" min="9" max="9" width="18.88"/>
    <col customWidth="1" min="10" max="10" width="15.75"/>
    <col customWidth="1" min="11" max="12" width="12.63"/>
    <col customWidth="1" min="13" max="14" width="9.5"/>
    <col customWidth="1" min="15" max="15" width="37.63"/>
    <col hidden="1" min="16" max="16" width="12.63"/>
    <col customWidth="1" min="17" max="19" width="0.38"/>
    <col customWidth="1" min="20" max="20" width="37.63"/>
    <col hidden="1" min="21" max="27" width="12.63"/>
    <col customWidth="1" hidden="1" min="28" max="28" width="25.88"/>
  </cols>
  <sheetData>
    <row r="1">
      <c r="A1" s="320"/>
      <c r="B1" s="320"/>
      <c r="C1" s="320"/>
      <c r="D1" s="320"/>
      <c r="E1" s="320"/>
      <c r="F1" s="320"/>
      <c r="G1" s="320"/>
      <c r="H1" s="322" t="s">
        <v>76</v>
      </c>
      <c r="L1" s="322" t="s">
        <v>0</v>
      </c>
      <c r="O1" s="322" t="s">
        <v>221</v>
      </c>
      <c r="U1" s="320"/>
      <c r="V1" s="320"/>
      <c r="W1" s="320"/>
      <c r="X1" s="320"/>
      <c r="Y1" s="320"/>
      <c r="Z1" s="320"/>
      <c r="AA1" s="320"/>
      <c r="AB1" s="320"/>
    </row>
    <row r="2">
      <c r="A2" s="258" t="s">
        <v>222</v>
      </c>
      <c r="B2" s="259" t="s">
        <v>223</v>
      </c>
      <c r="C2" s="259" t="s">
        <v>224</v>
      </c>
      <c r="D2" s="259" t="s">
        <v>225</v>
      </c>
      <c r="E2" s="259" t="s">
        <v>226</v>
      </c>
      <c r="F2" s="259" t="s">
        <v>227</v>
      </c>
      <c r="G2" s="259" t="s">
        <v>228</v>
      </c>
      <c r="H2" s="258" t="s">
        <v>63</v>
      </c>
      <c r="I2" s="259" t="s">
        <v>229</v>
      </c>
      <c r="J2" s="259" t="s">
        <v>77</v>
      </c>
      <c r="K2" s="260" t="s">
        <v>78</v>
      </c>
      <c r="L2" s="260" t="s">
        <v>79</v>
      </c>
      <c r="M2" s="261" t="s">
        <v>71</v>
      </c>
      <c r="N2" s="262" t="s">
        <v>72</v>
      </c>
      <c r="O2" s="261" t="s">
        <v>2</v>
      </c>
      <c r="P2" s="259" t="s">
        <v>230</v>
      </c>
      <c r="Q2" s="262" t="s">
        <v>231</v>
      </c>
      <c r="R2" s="262" t="s">
        <v>232</v>
      </c>
      <c r="S2" s="262" t="s">
        <v>233</v>
      </c>
      <c r="T2" s="261" t="s">
        <v>234</v>
      </c>
      <c r="U2" s="259" t="s">
        <v>235</v>
      </c>
      <c r="V2" s="259" t="s">
        <v>236</v>
      </c>
      <c r="W2" s="259" t="s">
        <v>237</v>
      </c>
      <c r="X2" s="259" t="s">
        <v>238</v>
      </c>
      <c r="Y2" s="259" t="s">
        <v>239</v>
      </c>
      <c r="Z2" s="259" t="s">
        <v>240</v>
      </c>
      <c r="AA2" s="258" t="s">
        <v>241</v>
      </c>
      <c r="AB2" s="263" t="s">
        <v>242</v>
      </c>
    </row>
    <row r="3" ht="15.75" customHeight="1">
      <c r="A3" s="347" t="s">
        <v>243</v>
      </c>
      <c r="B3" s="265" t="s">
        <v>244</v>
      </c>
      <c r="C3" s="265">
        <v>1.0</v>
      </c>
      <c r="D3" s="266">
        <v>4.0</v>
      </c>
      <c r="E3" s="348"/>
      <c r="F3" s="349"/>
      <c r="G3" s="348"/>
      <c r="H3" s="268" t="s">
        <v>424</v>
      </c>
      <c r="I3" s="265" t="s">
        <v>82</v>
      </c>
      <c r="J3" s="265" t="s">
        <v>83</v>
      </c>
      <c r="K3" s="284" t="s">
        <v>250</v>
      </c>
      <c r="L3" s="284" t="s">
        <v>100</v>
      </c>
      <c r="M3" s="264">
        <v>2.0</v>
      </c>
      <c r="N3" s="264" t="s">
        <v>89</v>
      </c>
      <c r="O3" s="349" t="str">
        <f>IFERROR(VLOOKUP(K3,'US History Framework Standards'!$A:$E,2,false),"")</f>
        <v>Constitutional Foundations (1763–1824)</v>
      </c>
      <c r="P3" s="350" t="str">
        <f>IFERROR(__xludf.DUMMYFUNCTION("IFERROR(Index(SPLIT(#REF!,"".""),1,1))"),"")</f>
        <v/>
      </c>
      <c r="Q3" s="350" t="str">
        <f>IFERROR(__xludf.DUMMYFUNCTION("IFERROR(Index(SPLIT(#REF!,"".""),1,2))"),"")</f>
        <v/>
      </c>
      <c r="R3" s="350" t="str">
        <f>IFERROR(VLOOKUP(#REF!,'US History Framework Standards'!$A:$E,3,false),"")</f>
        <v/>
      </c>
      <c r="S3" s="350" t="str">
        <f>IFERROR(__xludf.DUMMYFUNCTION("IFERROR(Index(SPLIT(#REF!,"".""),1,3)&amp;Index(SPLIT(#REF!,"".""),1,4))"),"")</f>
        <v/>
      </c>
      <c r="T3" s="349" t="str">
        <f>iferror(VLOOKUP(L3,'US History Framework Standards'!$A:$E,2,false),"")</f>
        <v>British Control &amp; Colonial Resistance</v>
      </c>
      <c r="U3" s="348">
        <v>1.0</v>
      </c>
      <c r="V3" s="348" t="s">
        <v>247</v>
      </c>
      <c r="W3" s="348">
        <v>1201718.0</v>
      </c>
      <c r="X3" s="349"/>
      <c r="Y3" s="349"/>
      <c r="Z3" s="347" t="s">
        <v>248</v>
      </c>
      <c r="AA3" s="351"/>
      <c r="AB3" s="351" t="str">
        <f t="shared" ref="AB3:AB30" si="1">V3&amp;"_"&amp;W3&amp;"_"&amp;A3&amp;".jpg"</f>
        <v>HXRG_1201718_Multiple Choice.jpg</v>
      </c>
    </row>
    <row r="4" ht="15.75" customHeight="1">
      <c r="A4" s="347" t="s">
        <v>243</v>
      </c>
      <c r="B4" s="265" t="s">
        <v>244</v>
      </c>
      <c r="C4" s="265">
        <v>2.0</v>
      </c>
      <c r="D4" s="266">
        <v>2.0</v>
      </c>
      <c r="E4" s="348"/>
      <c r="F4" s="349"/>
      <c r="G4" s="348"/>
      <c r="H4" s="268" t="s">
        <v>424</v>
      </c>
      <c r="I4" s="265" t="s">
        <v>82</v>
      </c>
      <c r="J4" s="265" t="s">
        <v>83</v>
      </c>
      <c r="K4" s="284" t="s">
        <v>250</v>
      </c>
      <c r="L4" s="284" t="s">
        <v>100</v>
      </c>
      <c r="M4" s="264">
        <v>4.0</v>
      </c>
      <c r="N4" s="264" t="s">
        <v>89</v>
      </c>
      <c r="O4" s="349" t="str">
        <f>IFERROR(VLOOKUP(K4,'US History Framework Standards'!$A:$E,2,false),"")</f>
        <v>Constitutional Foundations (1763–1824)</v>
      </c>
      <c r="P4" s="350" t="str">
        <f>IFERROR(__xludf.DUMMYFUNCTION("IFERROR(Index(SPLIT(#REF!,"".""),1,1))"),"")</f>
        <v/>
      </c>
      <c r="Q4" s="350" t="str">
        <f>IFERROR(__xludf.DUMMYFUNCTION("IFERROR(Index(SPLIT(#REF!,"".""),1,2))"),"")</f>
        <v/>
      </c>
      <c r="R4" s="350" t="str">
        <f>IFERROR(VLOOKUP(#REF!,'US History Framework Standards'!$A:$E,3,false),"")</f>
        <v/>
      </c>
      <c r="S4" s="350" t="str">
        <f>IFERROR(__xludf.DUMMYFUNCTION("IFERROR(Index(SPLIT(#REF!,"".""),1,3)&amp;Index(SPLIT(#REF!,"".""),1,4))"),"")</f>
        <v/>
      </c>
      <c r="T4" s="349" t="str">
        <f>iferror(VLOOKUP(L4,'US History Framework Standards'!$A:$E,2,false),"")</f>
        <v>British Control &amp; Colonial Resistance</v>
      </c>
      <c r="U4" s="349">
        <v>2.0</v>
      </c>
      <c r="V4" s="348" t="s">
        <v>247</v>
      </c>
      <c r="W4" s="348">
        <v>1201718.0</v>
      </c>
      <c r="X4" s="349"/>
      <c r="Y4" s="349"/>
      <c r="Z4" s="347" t="s">
        <v>248</v>
      </c>
      <c r="AA4" s="351"/>
      <c r="AB4" s="351" t="str">
        <f t="shared" si="1"/>
        <v>HXRG_1201718_Multiple Choice.jpg</v>
      </c>
    </row>
    <row r="5" ht="15.75" customHeight="1">
      <c r="A5" s="352" t="s">
        <v>243</v>
      </c>
      <c r="B5" s="274" t="s">
        <v>244</v>
      </c>
      <c r="C5" s="274">
        <v>3.0</v>
      </c>
      <c r="D5" s="275">
        <v>1.0</v>
      </c>
      <c r="E5" s="353"/>
      <c r="F5" s="354"/>
      <c r="G5" s="353"/>
      <c r="H5" s="282" t="s">
        <v>425</v>
      </c>
      <c r="I5" s="274" t="s">
        <v>82</v>
      </c>
      <c r="J5" s="274" t="s">
        <v>83</v>
      </c>
      <c r="K5" s="279" t="s">
        <v>250</v>
      </c>
      <c r="L5" s="279" t="s">
        <v>108</v>
      </c>
      <c r="M5" s="273">
        <v>12.0</v>
      </c>
      <c r="N5" s="273" t="s">
        <v>85</v>
      </c>
      <c r="O5" s="354" t="str">
        <f>IFERROR(VLOOKUP(K5,'US History Framework Standards'!$A:$E,2,false),"")</f>
        <v>Constitutional Foundations (1763–1824)</v>
      </c>
      <c r="P5" s="355" t="str">
        <f>IFERROR(__xludf.DUMMYFUNCTION("IFERROR(Index(SPLIT(#REF!,"".""),1,1))"),"")</f>
        <v/>
      </c>
      <c r="Q5" s="355" t="str">
        <f>IFERROR(__xludf.DUMMYFUNCTION("IFERROR(Index(SPLIT(#REF!,"".""),1,2))"),"")</f>
        <v/>
      </c>
      <c r="R5" s="355" t="str">
        <f>IFERROR(VLOOKUP(#REF!,'US History Framework Standards'!$A:$E,3,false),"")</f>
        <v/>
      </c>
      <c r="S5" s="355" t="str">
        <f>IFERROR(__xludf.DUMMYFUNCTION("IFERROR(Index(SPLIT(#REF!,"".""),1,3)&amp;Index(SPLIT(#REF!,"".""),1,4))"),"")</f>
        <v/>
      </c>
      <c r="T5" s="349" t="str">
        <f>iferror(VLOOKUP(L5,'US History Framework Standards'!$A:$E,2,false),"")</f>
        <v>Federalist vs. Antifederalist</v>
      </c>
      <c r="U5" s="354">
        <v>3.0</v>
      </c>
      <c r="V5" s="353" t="s">
        <v>247</v>
      </c>
      <c r="W5" s="353">
        <v>1201718.0</v>
      </c>
      <c r="X5" s="354"/>
      <c r="Y5" s="354"/>
      <c r="Z5" s="352" t="s">
        <v>248</v>
      </c>
      <c r="AA5" s="356"/>
      <c r="AB5" s="356" t="str">
        <f t="shared" si="1"/>
        <v>HXRG_1201718_Multiple Choice.jpg</v>
      </c>
    </row>
    <row r="6" ht="15.75" customHeight="1">
      <c r="A6" s="352" t="s">
        <v>243</v>
      </c>
      <c r="B6" s="274" t="s">
        <v>244</v>
      </c>
      <c r="C6" s="274">
        <v>4.0</v>
      </c>
      <c r="D6" s="275">
        <v>2.0</v>
      </c>
      <c r="E6" s="353"/>
      <c r="F6" s="354"/>
      <c r="G6" s="353"/>
      <c r="H6" s="282" t="s">
        <v>425</v>
      </c>
      <c r="I6" s="274" t="s">
        <v>82</v>
      </c>
      <c r="J6" s="274" t="s">
        <v>83</v>
      </c>
      <c r="K6" s="279" t="s">
        <v>250</v>
      </c>
      <c r="L6" s="279" t="s">
        <v>108</v>
      </c>
      <c r="M6" s="273">
        <v>3.0</v>
      </c>
      <c r="N6" s="273" t="s">
        <v>85</v>
      </c>
      <c r="O6" s="354" t="str">
        <f>IFERROR(VLOOKUP(K6,'US History Framework Standards'!$A:$E,2,false),"")</f>
        <v>Constitutional Foundations (1763–1824)</v>
      </c>
      <c r="P6" s="355" t="str">
        <f>IFERROR(__xludf.DUMMYFUNCTION("IFERROR(Index(SPLIT(#REF!,"".""),1,1))"),"")</f>
        <v/>
      </c>
      <c r="Q6" s="355" t="str">
        <f>IFERROR(__xludf.DUMMYFUNCTION("IFERROR(Index(SPLIT(#REF!,"".""),1,2))"),"")</f>
        <v/>
      </c>
      <c r="R6" s="355" t="str">
        <f>IFERROR(VLOOKUP(#REF!,'US History Framework Standards'!$A:$E,3,false),"")</f>
        <v/>
      </c>
      <c r="S6" s="355" t="str">
        <f>IFERROR(__xludf.DUMMYFUNCTION("IFERROR(Index(SPLIT(#REF!,"".""),1,3)&amp;Index(SPLIT(#REF!,"".""),1,4))"),"")</f>
        <v/>
      </c>
      <c r="T6" s="349" t="str">
        <f>iferror(VLOOKUP(L6,'US History Framework Standards'!$A:$E,2,false),"")</f>
        <v>Federalist vs. Antifederalist</v>
      </c>
      <c r="U6" s="354">
        <v>4.0</v>
      </c>
      <c r="V6" s="353" t="s">
        <v>247</v>
      </c>
      <c r="W6" s="353">
        <v>1201718.0</v>
      </c>
      <c r="X6" s="354"/>
      <c r="Y6" s="354"/>
      <c r="Z6" s="352" t="s">
        <v>248</v>
      </c>
      <c r="AA6" s="356"/>
      <c r="AB6" s="356" t="str">
        <f t="shared" si="1"/>
        <v>HXRG_1201718_Multiple Choice.jpg</v>
      </c>
    </row>
    <row r="7" ht="15.75" customHeight="1">
      <c r="A7" s="347" t="s">
        <v>243</v>
      </c>
      <c r="B7" s="265" t="s">
        <v>244</v>
      </c>
      <c r="C7" s="265">
        <v>5.0</v>
      </c>
      <c r="D7" s="266">
        <v>3.0</v>
      </c>
      <c r="E7" s="348"/>
      <c r="F7" s="349"/>
      <c r="G7" s="348"/>
      <c r="H7" s="268" t="s">
        <v>426</v>
      </c>
      <c r="I7" s="265" t="s">
        <v>86</v>
      </c>
      <c r="J7" s="265" t="s">
        <v>83</v>
      </c>
      <c r="K7" s="284" t="s">
        <v>254</v>
      </c>
      <c r="L7" s="284" t="s">
        <v>120</v>
      </c>
      <c r="M7" s="264">
        <v>18.0</v>
      </c>
      <c r="N7" s="264" t="s">
        <v>89</v>
      </c>
      <c r="O7" s="349" t="str">
        <f>IFERROR(VLOOKUP(K7,'US History Framework Standards'!$A:$E,2,false),"")</f>
        <v>Expansion, Nationalism, and Sectionalism (1800-1865)</v>
      </c>
      <c r="P7" s="350" t="str">
        <f>IFERROR(__xludf.DUMMYFUNCTION("IFERROR(Index(SPLIT(#REF!,"".""),1,1))"),"")</f>
        <v/>
      </c>
      <c r="Q7" s="350" t="str">
        <f>IFERROR(__xludf.DUMMYFUNCTION("IFERROR(Index(SPLIT(#REF!,"".""),1,2))"),"")</f>
        <v/>
      </c>
      <c r="R7" s="350" t="str">
        <f>IFERROR(VLOOKUP(#REF!,'US History Framework Standards'!$A:$E,3,false),"")</f>
        <v/>
      </c>
      <c r="S7" s="350" t="str">
        <f>IFERROR(__xludf.DUMMYFUNCTION("IFERROR(Index(SPLIT(#REF!,"".""),1,3)&amp;Index(SPLIT(#REF!,"".""),1,4))"),"")</f>
        <v/>
      </c>
      <c r="T7" s="349" t="str">
        <f>iferror(VLOOKUP(L7,'US History Framework Standards'!$A:$E,2,false),"")</f>
        <v>American Nationalism</v>
      </c>
      <c r="U7" s="349">
        <v>5.0</v>
      </c>
      <c r="V7" s="348" t="s">
        <v>247</v>
      </c>
      <c r="W7" s="348">
        <v>1201718.0</v>
      </c>
      <c r="X7" s="349"/>
      <c r="Y7" s="349"/>
      <c r="Z7" s="347" t="s">
        <v>248</v>
      </c>
      <c r="AA7" s="351"/>
      <c r="AB7" s="351" t="str">
        <f t="shared" si="1"/>
        <v>HXRG_1201718_Multiple Choice.jpg</v>
      </c>
    </row>
    <row r="8" ht="15.75" customHeight="1">
      <c r="A8" s="347" t="s">
        <v>243</v>
      </c>
      <c r="B8" s="265" t="s">
        <v>244</v>
      </c>
      <c r="C8" s="265">
        <v>6.0</v>
      </c>
      <c r="D8" s="266">
        <v>2.0</v>
      </c>
      <c r="E8" s="348"/>
      <c r="F8" s="349"/>
      <c r="G8" s="348"/>
      <c r="H8" s="268" t="s">
        <v>426</v>
      </c>
      <c r="I8" s="265" t="s">
        <v>86</v>
      </c>
      <c r="J8" s="265" t="s">
        <v>83</v>
      </c>
      <c r="K8" s="284" t="s">
        <v>254</v>
      </c>
      <c r="L8" s="284" t="s">
        <v>120</v>
      </c>
      <c r="M8" s="264">
        <v>8.0</v>
      </c>
      <c r="N8" s="264" t="s">
        <v>85</v>
      </c>
      <c r="O8" s="349" t="str">
        <f>IFERROR(VLOOKUP(K8,'US History Framework Standards'!$A:$E,2,false),"")</f>
        <v>Expansion, Nationalism, and Sectionalism (1800-1865)</v>
      </c>
      <c r="P8" s="350" t="str">
        <f>IFERROR(__xludf.DUMMYFUNCTION("IFERROR(Index(SPLIT(#REF!,"".""),1,1))"),"")</f>
        <v/>
      </c>
      <c r="Q8" s="350" t="str">
        <f>IFERROR(__xludf.DUMMYFUNCTION("IFERROR(Index(SPLIT(#REF!,"".""),1,2))"),"")</f>
        <v/>
      </c>
      <c r="R8" s="350" t="str">
        <f>IFERROR(VLOOKUP(#REF!,'US History Framework Standards'!$A:$E,3,false),"")</f>
        <v/>
      </c>
      <c r="S8" s="350" t="str">
        <f>IFERROR(__xludf.DUMMYFUNCTION("IFERROR(Index(SPLIT(#REF!,"".""),1,3)&amp;Index(SPLIT(#REF!,"".""),1,4))"),"")</f>
        <v/>
      </c>
      <c r="T8" s="349" t="str">
        <f>iferror(VLOOKUP(L8,'US History Framework Standards'!$A:$E,2,false),"")</f>
        <v>American Nationalism</v>
      </c>
      <c r="U8" s="349">
        <v>6.0</v>
      </c>
      <c r="V8" s="348" t="s">
        <v>247</v>
      </c>
      <c r="W8" s="348">
        <v>1201718.0</v>
      </c>
      <c r="X8" s="349"/>
      <c r="Y8" s="349"/>
      <c r="Z8" s="347" t="s">
        <v>248</v>
      </c>
      <c r="AA8" s="351"/>
      <c r="AB8" s="351" t="str">
        <f t="shared" si="1"/>
        <v>HXRG_1201718_Multiple Choice.jpg</v>
      </c>
    </row>
    <row r="9" ht="15.75" customHeight="1">
      <c r="A9" s="352" t="s">
        <v>243</v>
      </c>
      <c r="B9" s="274" t="s">
        <v>244</v>
      </c>
      <c r="C9" s="274">
        <v>7.0</v>
      </c>
      <c r="D9" s="275">
        <v>1.0</v>
      </c>
      <c r="E9" s="353"/>
      <c r="F9" s="354"/>
      <c r="G9" s="353"/>
      <c r="H9" s="282" t="s">
        <v>427</v>
      </c>
      <c r="I9" s="274" t="s">
        <v>82</v>
      </c>
      <c r="J9" s="274" t="s">
        <v>83</v>
      </c>
      <c r="K9" s="279" t="s">
        <v>254</v>
      </c>
      <c r="L9" s="279" t="s">
        <v>128</v>
      </c>
      <c r="M9" s="273">
        <v>7.0</v>
      </c>
      <c r="N9" s="273" t="s">
        <v>89</v>
      </c>
      <c r="O9" s="354" t="str">
        <f>IFERROR(VLOOKUP(K9,'US History Framework Standards'!$A:$E,2,false),"")</f>
        <v>Expansion, Nationalism, and Sectionalism (1800-1865)</v>
      </c>
      <c r="P9" s="355" t="str">
        <f>IFERROR(__xludf.DUMMYFUNCTION("IFERROR(Index(SPLIT(#REF!,"".""),1,1))"),"")</f>
        <v/>
      </c>
      <c r="Q9" s="355" t="str">
        <f>IFERROR(__xludf.DUMMYFUNCTION("IFERROR(Index(SPLIT(#REF!,"".""),1,2))"),"")</f>
        <v/>
      </c>
      <c r="R9" s="355" t="str">
        <f>IFERROR(VLOOKUP(#REF!,'US History Framework Standards'!$A:$E,3,false),"")</f>
        <v/>
      </c>
      <c r="S9" s="355" t="str">
        <f>IFERROR(__xludf.DUMMYFUNCTION("IFERROR(Index(SPLIT(#REF!,"".""),1,3)&amp;Index(SPLIT(#REF!,"".""),1,4))"),"")</f>
        <v/>
      </c>
      <c r="T9" s="349" t="str">
        <f>iferror(VLOOKUP(L9,'US History Framework Standards'!$A:$E,2,false),"")</f>
        <v>Federal Power: Habeas Corpus &amp; Emancipation</v>
      </c>
      <c r="U9" s="354">
        <v>7.0</v>
      </c>
      <c r="V9" s="353" t="s">
        <v>247</v>
      </c>
      <c r="W9" s="353">
        <v>1201718.0</v>
      </c>
      <c r="X9" s="354"/>
      <c r="Y9" s="354"/>
      <c r="Z9" s="352" t="s">
        <v>248</v>
      </c>
      <c r="AA9" s="356"/>
      <c r="AB9" s="356" t="str">
        <f t="shared" si="1"/>
        <v>HXRG_1201718_Multiple Choice.jpg</v>
      </c>
    </row>
    <row r="10" ht="15.75" customHeight="1">
      <c r="A10" s="352" t="s">
        <v>243</v>
      </c>
      <c r="B10" s="274" t="s">
        <v>244</v>
      </c>
      <c r="C10" s="274">
        <v>8.0</v>
      </c>
      <c r="D10" s="275">
        <v>3.0</v>
      </c>
      <c r="E10" s="353"/>
      <c r="F10" s="354"/>
      <c r="G10" s="353"/>
      <c r="H10" s="282" t="s">
        <v>427</v>
      </c>
      <c r="I10" s="274" t="s">
        <v>82</v>
      </c>
      <c r="J10" s="274" t="s">
        <v>83</v>
      </c>
      <c r="K10" s="279" t="s">
        <v>254</v>
      </c>
      <c r="L10" s="279" t="s">
        <v>128</v>
      </c>
      <c r="M10" s="273">
        <v>11.0</v>
      </c>
      <c r="N10" s="273" t="s">
        <v>85</v>
      </c>
      <c r="O10" s="354" t="str">
        <f>IFERROR(VLOOKUP(K10,'US History Framework Standards'!$A:$E,2,false),"")</f>
        <v>Expansion, Nationalism, and Sectionalism (1800-1865)</v>
      </c>
      <c r="P10" s="355" t="str">
        <f>IFERROR(__xludf.DUMMYFUNCTION("IFERROR(Index(SPLIT(#REF!,"".""),1,1))"),"")</f>
        <v/>
      </c>
      <c r="Q10" s="355" t="str">
        <f>IFERROR(__xludf.DUMMYFUNCTION("IFERROR(Index(SPLIT(#REF!,"".""),1,2))"),"")</f>
        <v/>
      </c>
      <c r="R10" s="355" t="str">
        <f>IFERROR(VLOOKUP(#REF!,'US History Framework Standards'!$A:$E,3,false),"")</f>
        <v/>
      </c>
      <c r="S10" s="355" t="str">
        <f>IFERROR(__xludf.DUMMYFUNCTION("IFERROR(Index(SPLIT(#REF!,"".""),1,3)&amp;Index(SPLIT(#REF!,"".""),1,4))"),"")</f>
        <v/>
      </c>
      <c r="T10" s="349" t="str">
        <f>iferror(VLOOKUP(L10,'US History Framework Standards'!$A:$E,2,false),"")</f>
        <v>Federal Power: Habeas Corpus &amp; Emancipation</v>
      </c>
      <c r="U10" s="354">
        <v>8.0</v>
      </c>
      <c r="V10" s="353" t="s">
        <v>247</v>
      </c>
      <c r="W10" s="353">
        <v>1201718.0</v>
      </c>
      <c r="X10" s="354"/>
      <c r="Y10" s="354"/>
      <c r="Z10" s="352" t="s">
        <v>248</v>
      </c>
      <c r="AA10" s="356"/>
      <c r="AB10" s="356" t="str">
        <f t="shared" si="1"/>
        <v>HXRG_1201718_Multiple Choice.jpg</v>
      </c>
    </row>
    <row r="11" ht="15.75" customHeight="1">
      <c r="A11" s="347" t="s">
        <v>243</v>
      </c>
      <c r="B11" s="265" t="s">
        <v>244</v>
      </c>
      <c r="C11" s="265">
        <v>9.0</v>
      </c>
      <c r="D11" s="266">
        <v>3.0</v>
      </c>
      <c r="E11" s="348"/>
      <c r="F11" s="349"/>
      <c r="G11" s="348"/>
      <c r="H11" s="283" t="s">
        <v>428</v>
      </c>
      <c r="I11" s="265" t="s">
        <v>86</v>
      </c>
      <c r="J11" s="265" t="s">
        <v>83</v>
      </c>
      <c r="K11" s="284" t="s">
        <v>256</v>
      </c>
      <c r="L11" s="284" t="s">
        <v>135</v>
      </c>
      <c r="M11" s="264">
        <v>9.0</v>
      </c>
      <c r="N11" s="264" t="s">
        <v>89</v>
      </c>
      <c r="O11" s="349" t="str">
        <f>IFERROR(VLOOKUP(K11,'US History Framework Standards'!$A:$E,2,false),"")</f>
        <v>Post-Civil War Era (1865-1900)</v>
      </c>
      <c r="P11" s="350" t="str">
        <f>IFERROR(__xludf.DUMMYFUNCTION("IFERROR(Index(SPLIT(#REF!,"".""),1,1))"),"")</f>
        <v/>
      </c>
      <c r="Q11" s="350" t="str">
        <f>IFERROR(__xludf.DUMMYFUNCTION("IFERROR(Index(SPLIT(#REF!,"".""),1,2))"),"")</f>
        <v/>
      </c>
      <c r="R11" s="350" t="str">
        <f>IFERROR(VLOOKUP(#REF!,'US History Framework Standards'!$A:$E,3,false),"")</f>
        <v/>
      </c>
      <c r="S11" s="350" t="str">
        <f>IFERROR(__xludf.DUMMYFUNCTION("IFERROR(Index(SPLIT(#REF!,"".""),1,3)&amp;Index(SPLIT(#REF!,"".""),1,4))"),"")</f>
        <v/>
      </c>
      <c r="T11" s="349" t="str">
        <f>iferror(VLOOKUP(L11,'US History Framework Standards'!$A:$E,2,false),"")</f>
        <v>Federal Policies &amp; Western Expansion</v>
      </c>
      <c r="U11" s="349">
        <v>9.0</v>
      </c>
      <c r="V11" s="348" t="s">
        <v>247</v>
      </c>
      <c r="W11" s="348">
        <v>1201718.0</v>
      </c>
      <c r="X11" s="349"/>
      <c r="Y11" s="349"/>
      <c r="Z11" s="347" t="s">
        <v>248</v>
      </c>
      <c r="AA11" s="351"/>
      <c r="AB11" s="351" t="str">
        <f t="shared" si="1"/>
        <v>HXRG_1201718_Multiple Choice.jpg</v>
      </c>
    </row>
    <row r="12" ht="15.75" customHeight="1">
      <c r="A12" s="347" t="s">
        <v>243</v>
      </c>
      <c r="B12" s="265" t="s">
        <v>244</v>
      </c>
      <c r="C12" s="265">
        <v>10.0</v>
      </c>
      <c r="D12" s="266">
        <v>4.0</v>
      </c>
      <c r="E12" s="348"/>
      <c r="F12" s="349"/>
      <c r="G12" s="348"/>
      <c r="H12" s="283" t="s">
        <v>428</v>
      </c>
      <c r="I12" s="265" t="s">
        <v>86</v>
      </c>
      <c r="J12" s="265" t="s">
        <v>83</v>
      </c>
      <c r="K12" s="284" t="s">
        <v>256</v>
      </c>
      <c r="L12" s="284" t="s">
        <v>135</v>
      </c>
      <c r="M12" s="264">
        <v>10.0</v>
      </c>
      <c r="N12" s="264" t="s">
        <v>85</v>
      </c>
      <c r="O12" s="349" t="str">
        <f>IFERROR(VLOOKUP(K12,'US History Framework Standards'!$A:$E,2,false),"")</f>
        <v>Post-Civil War Era (1865-1900)</v>
      </c>
      <c r="P12" s="350" t="str">
        <f>IFERROR(__xludf.DUMMYFUNCTION("IFERROR(Index(SPLIT(#REF!,"".""),1,1))"),"")</f>
        <v/>
      </c>
      <c r="Q12" s="350" t="str">
        <f>IFERROR(__xludf.DUMMYFUNCTION("IFERROR(Index(SPLIT(#REF!,"".""),1,2))"),"")</f>
        <v/>
      </c>
      <c r="R12" s="350" t="str">
        <f>IFERROR(VLOOKUP(#REF!,'US History Framework Standards'!$A:$E,3,false),"")</f>
        <v/>
      </c>
      <c r="S12" s="350" t="str">
        <f>IFERROR(__xludf.DUMMYFUNCTION("IFERROR(Index(SPLIT(#REF!,"".""),1,3)&amp;Index(SPLIT(#REF!,"".""),1,4))"),"")</f>
        <v/>
      </c>
      <c r="T12" s="349" t="str">
        <f>iferror(VLOOKUP(L12,'US History Framework Standards'!$A:$E,2,false),"")</f>
        <v>Federal Policies &amp; Western Expansion</v>
      </c>
      <c r="U12" s="349">
        <v>10.0</v>
      </c>
      <c r="V12" s="348" t="s">
        <v>247</v>
      </c>
      <c r="W12" s="348">
        <v>1201718.0</v>
      </c>
      <c r="X12" s="349"/>
      <c r="Y12" s="349"/>
      <c r="Z12" s="347" t="s">
        <v>248</v>
      </c>
      <c r="AA12" s="351"/>
      <c r="AB12" s="351" t="str">
        <f t="shared" si="1"/>
        <v>HXRG_1201718_Multiple Choice.jpg</v>
      </c>
    </row>
    <row r="13" ht="15.75" customHeight="1">
      <c r="A13" s="352" t="s">
        <v>243</v>
      </c>
      <c r="B13" s="274" t="s">
        <v>244</v>
      </c>
      <c r="C13" s="274">
        <v>11.0</v>
      </c>
      <c r="D13" s="275">
        <v>2.0</v>
      </c>
      <c r="E13" s="353"/>
      <c r="F13" s="354"/>
      <c r="G13" s="353"/>
      <c r="H13" s="282" t="s">
        <v>429</v>
      </c>
      <c r="I13" s="274" t="s">
        <v>82</v>
      </c>
      <c r="J13" s="274" t="s">
        <v>83</v>
      </c>
      <c r="K13" s="279" t="s">
        <v>258</v>
      </c>
      <c r="L13" s="279" t="s">
        <v>139</v>
      </c>
      <c r="M13" s="273">
        <v>2.0</v>
      </c>
      <c r="N13" s="273" t="s">
        <v>85</v>
      </c>
      <c r="O13" s="354" t="str">
        <f>IFERROR(VLOOKUP(K13,'US History Framework Standards'!$A:$E,2,false),"")</f>
        <v>Industrialization and Urbanization (1870-1920)</v>
      </c>
      <c r="P13" s="355" t="str">
        <f>IFERROR(__xludf.DUMMYFUNCTION("IFERROR(Index(SPLIT(#REF!,"".""),1,1))"),"")</f>
        <v/>
      </c>
      <c r="Q13" s="355" t="str">
        <f>IFERROR(__xludf.DUMMYFUNCTION("IFERROR(Index(SPLIT(#REF!,"".""),1,2))"),"")</f>
        <v/>
      </c>
      <c r="R13" s="355" t="str">
        <f>IFERROR(VLOOKUP(#REF!,'US History Framework Standards'!$A:$E,3,false),"")</f>
        <v/>
      </c>
      <c r="S13" s="355" t="str">
        <f>IFERROR(__xludf.DUMMYFUNCTION("IFERROR(Index(SPLIT(#REF!,"".""),1,3)&amp;Index(SPLIT(#REF!,"".""),1,4))"),"")</f>
        <v/>
      </c>
      <c r="T13" s="349" t="str">
        <f>iferror(VLOOKUP(L13,'US History Framework Standards'!$A:$E,2,false),"")</f>
        <v>Technological Innovations</v>
      </c>
      <c r="U13" s="354">
        <v>11.0</v>
      </c>
      <c r="V13" s="353" t="s">
        <v>247</v>
      </c>
      <c r="W13" s="353">
        <v>1201718.0</v>
      </c>
      <c r="X13" s="354"/>
      <c r="Y13" s="354"/>
      <c r="Z13" s="352" t="s">
        <v>248</v>
      </c>
      <c r="AA13" s="356"/>
      <c r="AB13" s="356" t="str">
        <f t="shared" si="1"/>
        <v>HXRG_1201718_Multiple Choice.jpg</v>
      </c>
    </row>
    <row r="14" ht="15.75" customHeight="1">
      <c r="A14" s="352" t="s">
        <v>243</v>
      </c>
      <c r="B14" s="274" t="s">
        <v>244</v>
      </c>
      <c r="C14" s="274">
        <v>12.0</v>
      </c>
      <c r="D14" s="275">
        <v>4.0</v>
      </c>
      <c r="E14" s="353"/>
      <c r="F14" s="354"/>
      <c r="G14" s="353"/>
      <c r="H14" s="282" t="s">
        <v>429</v>
      </c>
      <c r="I14" s="274" t="s">
        <v>82</v>
      </c>
      <c r="J14" s="274" t="s">
        <v>83</v>
      </c>
      <c r="K14" s="279" t="s">
        <v>258</v>
      </c>
      <c r="L14" s="279" t="s">
        <v>139</v>
      </c>
      <c r="M14" s="273">
        <v>18.0</v>
      </c>
      <c r="N14" s="273" t="s">
        <v>85</v>
      </c>
      <c r="O14" s="354" t="str">
        <f>IFERROR(VLOOKUP(K14,'US History Framework Standards'!$A:$E,2,false),"")</f>
        <v>Industrialization and Urbanization (1870-1920)</v>
      </c>
      <c r="P14" s="355" t="str">
        <f>IFERROR(__xludf.DUMMYFUNCTION("IFERROR(Index(SPLIT(#REF!,"".""),1,1))"),"")</f>
        <v/>
      </c>
      <c r="Q14" s="355" t="str">
        <f>IFERROR(__xludf.DUMMYFUNCTION("IFERROR(Index(SPLIT(#REF!,"".""),1,2))"),"")</f>
        <v/>
      </c>
      <c r="R14" s="355" t="str">
        <f>IFERROR(VLOOKUP(#REF!,'US History Framework Standards'!$A:$E,3,false),"")</f>
        <v/>
      </c>
      <c r="S14" s="355" t="str">
        <f>IFERROR(__xludf.DUMMYFUNCTION("IFERROR(Index(SPLIT(#REF!,"".""),1,3)&amp;Index(SPLIT(#REF!,"".""),1,4))"),"")</f>
        <v/>
      </c>
      <c r="T14" s="349" t="str">
        <f>iferror(VLOOKUP(L14,'US History Framework Standards'!$A:$E,2,false),"")</f>
        <v>Technological Innovations</v>
      </c>
      <c r="U14" s="354">
        <v>12.0</v>
      </c>
      <c r="V14" s="353" t="s">
        <v>247</v>
      </c>
      <c r="W14" s="353">
        <v>1201718.0</v>
      </c>
      <c r="X14" s="354"/>
      <c r="Y14" s="354"/>
      <c r="Z14" s="352" t="s">
        <v>248</v>
      </c>
      <c r="AA14" s="356"/>
      <c r="AB14" s="356" t="str">
        <f t="shared" si="1"/>
        <v>HXRG_1201718_Multiple Choice.jpg</v>
      </c>
    </row>
    <row r="15" ht="15.75" customHeight="1">
      <c r="A15" s="347" t="s">
        <v>243</v>
      </c>
      <c r="B15" s="265" t="s">
        <v>244</v>
      </c>
      <c r="C15" s="265">
        <v>13.0</v>
      </c>
      <c r="D15" s="266">
        <v>2.0</v>
      </c>
      <c r="E15" s="348"/>
      <c r="F15" s="349"/>
      <c r="G15" s="348"/>
      <c r="H15" s="268" t="s">
        <v>430</v>
      </c>
      <c r="I15" s="265" t="s">
        <v>82</v>
      </c>
      <c r="J15" s="265" t="s">
        <v>83</v>
      </c>
      <c r="K15" s="284" t="s">
        <v>261</v>
      </c>
      <c r="L15" s="284" t="s">
        <v>150</v>
      </c>
      <c r="M15" s="264">
        <v>1.0</v>
      </c>
      <c r="N15" s="264" t="s">
        <v>85</v>
      </c>
      <c r="O15" s="349" t="str">
        <f>IFERROR(VLOOKUP(K15,'US History Framework Standards'!$A:$E,2,false),"")</f>
        <v>Rise of American Power (1890-1920)</v>
      </c>
      <c r="P15" s="350" t="str">
        <f>IFERROR(__xludf.DUMMYFUNCTION("IFERROR(Index(SPLIT(#REF!,"".""),1,1))"),"")</f>
        <v/>
      </c>
      <c r="Q15" s="350" t="str">
        <f>IFERROR(__xludf.DUMMYFUNCTION("IFERROR(Index(SPLIT(#REF!,"".""),1,2))"),"")</f>
        <v/>
      </c>
      <c r="R15" s="350" t="str">
        <f>IFERROR(VLOOKUP(#REF!,'US History Framework Standards'!$A:$E,3,false),"")</f>
        <v/>
      </c>
      <c r="S15" s="350" t="str">
        <f>IFERROR(__xludf.DUMMYFUNCTION("IFERROR(Index(SPLIT(#REF!,"".""),1,3)&amp;Index(SPLIT(#REF!,"".""),1,4))"),"")</f>
        <v/>
      </c>
      <c r="T15" s="349" t="str">
        <f>iferror(VLOOKUP(L15,'US History Framework Standards'!$A:$E,2,false),"")</f>
        <v>Spanish American War</v>
      </c>
      <c r="U15" s="349">
        <v>13.0</v>
      </c>
      <c r="V15" s="348" t="s">
        <v>247</v>
      </c>
      <c r="W15" s="348">
        <v>1201718.0</v>
      </c>
      <c r="X15" s="349"/>
      <c r="Y15" s="349"/>
      <c r="Z15" s="347" t="s">
        <v>248</v>
      </c>
      <c r="AA15" s="351"/>
      <c r="AB15" s="351" t="str">
        <f t="shared" si="1"/>
        <v>HXRG_1201718_Multiple Choice.jpg</v>
      </c>
    </row>
    <row r="16" ht="15.75" customHeight="1">
      <c r="A16" s="347" t="s">
        <v>243</v>
      </c>
      <c r="B16" s="265" t="s">
        <v>244</v>
      </c>
      <c r="C16" s="265">
        <v>14.0</v>
      </c>
      <c r="D16" s="266">
        <v>1.0</v>
      </c>
      <c r="E16" s="348"/>
      <c r="F16" s="349"/>
      <c r="G16" s="348"/>
      <c r="H16" s="268" t="s">
        <v>430</v>
      </c>
      <c r="I16" s="265" t="s">
        <v>82</v>
      </c>
      <c r="J16" s="265" t="s">
        <v>83</v>
      </c>
      <c r="K16" s="284" t="s">
        <v>261</v>
      </c>
      <c r="L16" s="284" t="s">
        <v>150</v>
      </c>
      <c r="M16" s="264">
        <v>6.0</v>
      </c>
      <c r="N16" s="264" t="s">
        <v>85</v>
      </c>
      <c r="O16" s="349" t="str">
        <f>IFERROR(VLOOKUP(K16,'US History Framework Standards'!$A:$E,2,false),"")</f>
        <v>Rise of American Power (1890-1920)</v>
      </c>
      <c r="P16" s="350" t="str">
        <f>IFERROR(__xludf.DUMMYFUNCTION("IFERROR(Index(SPLIT(#REF!,"".""),1,1))"),"")</f>
        <v/>
      </c>
      <c r="Q16" s="350" t="str">
        <f>IFERROR(__xludf.DUMMYFUNCTION("IFERROR(Index(SPLIT(#REF!,"".""),1,2))"),"")</f>
        <v/>
      </c>
      <c r="R16" s="350" t="str">
        <f>IFERROR(VLOOKUP(#REF!,'US History Framework Standards'!$A:$E,3,false),"")</f>
        <v/>
      </c>
      <c r="S16" s="350" t="str">
        <f>IFERROR(__xludf.DUMMYFUNCTION("IFERROR(Index(SPLIT(#REF!,"".""),1,3)&amp;Index(SPLIT(#REF!,"".""),1,4))"),"")</f>
        <v/>
      </c>
      <c r="T16" s="349" t="str">
        <f>iferror(VLOOKUP(L16,'US History Framework Standards'!$A:$E,2,false),"")</f>
        <v>Spanish American War</v>
      </c>
      <c r="U16" s="349">
        <v>14.0</v>
      </c>
      <c r="V16" s="348" t="s">
        <v>247</v>
      </c>
      <c r="W16" s="348">
        <v>1201718.0</v>
      </c>
      <c r="X16" s="349"/>
      <c r="Y16" s="349"/>
      <c r="Z16" s="347" t="s">
        <v>248</v>
      </c>
      <c r="AA16" s="351"/>
      <c r="AB16" s="351" t="str">
        <f t="shared" si="1"/>
        <v>HXRG_1201718_Multiple Choice.jpg</v>
      </c>
    </row>
    <row r="17" ht="15.75" customHeight="1">
      <c r="A17" s="352" t="s">
        <v>243</v>
      </c>
      <c r="B17" s="274" t="s">
        <v>244</v>
      </c>
      <c r="C17" s="274">
        <v>15.0</v>
      </c>
      <c r="D17" s="275">
        <v>4.0</v>
      </c>
      <c r="E17" s="353"/>
      <c r="F17" s="354"/>
      <c r="G17" s="353"/>
      <c r="H17" s="285" t="s">
        <v>431</v>
      </c>
      <c r="I17" s="274" t="s">
        <v>86</v>
      </c>
      <c r="J17" s="274" t="s">
        <v>94</v>
      </c>
      <c r="K17" s="279" t="s">
        <v>261</v>
      </c>
      <c r="L17" s="279" t="s">
        <v>157</v>
      </c>
      <c r="M17" s="273">
        <v>9.0</v>
      </c>
      <c r="N17" s="273" t="s">
        <v>85</v>
      </c>
      <c r="O17" s="354" t="str">
        <f>IFERROR(VLOOKUP(K17,'US History Framework Standards'!$A:$E,2,false),"")</f>
        <v>Rise of American Power (1890-1920)</v>
      </c>
      <c r="P17" s="355" t="str">
        <f>IFERROR(__xludf.DUMMYFUNCTION("IFERROR(Index(SPLIT(#REF!,"".""),1,1))"),"")</f>
        <v/>
      </c>
      <c r="Q17" s="355" t="str">
        <f>IFERROR(__xludf.DUMMYFUNCTION("IFERROR(Index(SPLIT(#REF!,"".""),1,2))"),"")</f>
        <v/>
      </c>
      <c r="R17" s="355" t="str">
        <f>IFERROR(VLOOKUP(#REF!,'US History Framework Standards'!$A:$E,3,false),"")</f>
        <v/>
      </c>
      <c r="S17" s="355" t="str">
        <f>IFERROR(__xludf.DUMMYFUNCTION("IFERROR(Index(SPLIT(#REF!,"".""),1,3)&amp;Index(SPLIT(#REF!,"".""),1,4))"),"")</f>
        <v/>
      </c>
      <c r="T17" s="349" t="str">
        <f>iferror(VLOOKUP(L17,'US History Framework Standards'!$A:$E,2,false),"")</f>
        <v>Great Migration</v>
      </c>
      <c r="U17" s="354">
        <v>15.0</v>
      </c>
      <c r="V17" s="353" t="s">
        <v>247</v>
      </c>
      <c r="W17" s="353">
        <v>1201718.0</v>
      </c>
      <c r="X17" s="354"/>
      <c r="Y17" s="354"/>
      <c r="Z17" s="352" t="s">
        <v>248</v>
      </c>
      <c r="AA17" s="356"/>
      <c r="AB17" s="356" t="str">
        <f t="shared" si="1"/>
        <v>HXRG_1201718_Multiple Choice.jpg</v>
      </c>
    </row>
    <row r="18" ht="15.75" customHeight="1">
      <c r="A18" s="352" t="s">
        <v>243</v>
      </c>
      <c r="B18" s="274" t="s">
        <v>244</v>
      </c>
      <c r="C18" s="274">
        <v>16.0</v>
      </c>
      <c r="D18" s="275">
        <v>3.0</v>
      </c>
      <c r="E18" s="353"/>
      <c r="F18" s="354"/>
      <c r="G18" s="353"/>
      <c r="H18" s="285" t="s">
        <v>431</v>
      </c>
      <c r="I18" s="274" t="s">
        <v>86</v>
      </c>
      <c r="J18" s="274" t="s">
        <v>94</v>
      </c>
      <c r="K18" s="279" t="s">
        <v>264</v>
      </c>
      <c r="L18" s="279" t="s">
        <v>165</v>
      </c>
      <c r="M18" s="273">
        <v>8.0</v>
      </c>
      <c r="N18" s="273" t="s">
        <v>85</v>
      </c>
      <c r="O18" s="354" t="str">
        <f>IFERROR(VLOOKUP(K18,'US History Framework Standards'!$A:$E,2,false),"")</f>
        <v>Prosperity and Depression (1920-1939)</v>
      </c>
      <c r="P18" s="355" t="str">
        <f>IFERROR(__xludf.DUMMYFUNCTION("IFERROR(Index(SPLIT(#REF!,"".""),1,1))"),"")</f>
        <v/>
      </c>
      <c r="Q18" s="355" t="str">
        <f>IFERROR(__xludf.DUMMYFUNCTION("IFERROR(Index(SPLIT(#REF!,"".""),1,2))"),"")</f>
        <v/>
      </c>
      <c r="R18" s="355" t="str">
        <f>IFERROR(VLOOKUP(#REF!,'US History Framework Standards'!$A:$E,3,false),"")</f>
        <v/>
      </c>
      <c r="S18" s="355" t="str">
        <f>IFERROR(__xludf.DUMMYFUNCTION("IFERROR(Index(SPLIT(#REF!,"".""),1,3)&amp;Index(SPLIT(#REF!,"".""),1,4))"),"")</f>
        <v/>
      </c>
      <c r="T18" s="349" t="str">
        <f>iferror(VLOOKUP(L18,'US History Framework Standards'!$A:$E,2,false),"")</f>
        <v>Harlem Renaissance</v>
      </c>
      <c r="U18" s="354">
        <v>16.0</v>
      </c>
      <c r="V18" s="353" t="s">
        <v>247</v>
      </c>
      <c r="W18" s="353">
        <v>1201718.0</v>
      </c>
      <c r="X18" s="354"/>
      <c r="Y18" s="354"/>
      <c r="Z18" s="352" t="s">
        <v>248</v>
      </c>
      <c r="AA18" s="356"/>
      <c r="AB18" s="356" t="str">
        <f t="shared" si="1"/>
        <v>HXRG_1201718_Multiple Choice.jpg</v>
      </c>
    </row>
    <row r="19" ht="15.75" customHeight="1">
      <c r="A19" s="347" t="s">
        <v>243</v>
      </c>
      <c r="B19" s="265" t="s">
        <v>244</v>
      </c>
      <c r="C19" s="265">
        <v>17.0</v>
      </c>
      <c r="D19" s="266">
        <v>1.0</v>
      </c>
      <c r="E19" s="348"/>
      <c r="F19" s="349"/>
      <c r="G19" s="348"/>
      <c r="H19" s="283" t="s">
        <v>432</v>
      </c>
      <c r="I19" s="265" t="s">
        <v>82</v>
      </c>
      <c r="J19" s="265" t="s">
        <v>83</v>
      </c>
      <c r="K19" s="284" t="s">
        <v>261</v>
      </c>
      <c r="L19" s="284" t="s">
        <v>158</v>
      </c>
      <c r="M19" s="264">
        <v>2.0</v>
      </c>
      <c r="N19" s="264" t="s">
        <v>89</v>
      </c>
      <c r="O19" s="349" t="str">
        <f>IFERROR(VLOOKUP(K19,'US History Framework Standards'!$A:$E,2,false),"")</f>
        <v>Rise of American Power (1890-1920)</v>
      </c>
      <c r="P19" s="350" t="str">
        <f>IFERROR(__xludf.DUMMYFUNCTION("IFERROR(Index(SPLIT(#REF!,"".""),1,1))"),"")</f>
        <v/>
      </c>
      <c r="Q19" s="350" t="str">
        <f>IFERROR(__xludf.DUMMYFUNCTION("IFERROR(Index(SPLIT(#REF!,"".""),1,2))"),"")</f>
        <v/>
      </c>
      <c r="R19" s="350" t="str">
        <f>IFERROR(VLOOKUP(#REF!,'US History Framework Standards'!$A:$E,3,false),"")</f>
        <v/>
      </c>
      <c r="S19" s="350" t="str">
        <f>IFERROR(__xludf.DUMMYFUNCTION("IFERROR(Index(SPLIT(#REF!,"".""),1,3)&amp;Index(SPLIT(#REF!,"".""),1,4))"),"")</f>
        <v/>
      </c>
      <c r="T19" s="349" t="str">
        <f>iferror(VLOOKUP(L19,'US History Framework Standards'!$A:$E,2,false),"")</f>
        <v>Schenck v. US (1919)</v>
      </c>
      <c r="U19" s="349">
        <v>17.0</v>
      </c>
      <c r="V19" s="348" t="s">
        <v>247</v>
      </c>
      <c r="W19" s="348">
        <v>1201718.0</v>
      </c>
      <c r="X19" s="349"/>
      <c r="Y19" s="349"/>
      <c r="Z19" s="347" t="s">
        <v>248</v>
      </c>
      <c r="AA19" s="351"/>
      <c r="AB19" s="351" t="str">
        <f t="shared" si="1"/>
        <v>HXRG_1201718_Multiple Choice.jpg</v>
      </c>
    </row>
    <row r="20" ht="15.75" customHeight="1">
      <c r="A20" s="347" t="s">
        <v>243</v>
      </c>
      <c r="B20" s="265" t="s">
        <v>244</v>
      </c>
      <c r="C20" s="265">
        <v>18.0</v>
      </c>
      <c r="D20" s="266">
        <v>4.0</v>
      </c>
      <c r="E20" s="348"/>
      <c r="F20" s="349"/>
      <c r="G20" s="348"/>
      <c r="H20" s="283" t="s">
        <v>432</v>
      </c>
      <c r="I20" s="265" t="s">
        <v>82</v>
      </c>
      <c r="J20" s="265" t="s">
        <v>83</v>
      </c>
      <c r="K20" s="284" t="s">
        <v>261</v>
      </c>
      <c r="L20" s="284" t="s">
        <v>158</v>
      </c>
      <c r="M20" s="264">
        <v>8.0</v>
      </c>
      <c r="N20" s="264" t="s">
        <v>85</v>
      </c>
      <c r="O20" s="349" t="str">
        <f>IFERROR(VLOOKUP(K20,'US History Framework Standards'!$A:$E,2,false),"")</f>
        <v>Rise of American Power (1890-1920)</v>
      </c>
      <c r="P20" s="350" t="str">
        <f>IFERROR(__xludf.DUMMYFUNCTION("IFERROR(Index(SPLIT(#REF!,"".""),1,1))"),"")</f>
        <v/>
      </c>
      <c r="Q20" s="350" t="str">
        <f>IFERROR(__xludf.DUMMYFUNCTION("IFERROR(Index(SPLIT(#REF!,"".""),1,2))"),"")</f>
        <v/>
      </c>
      <c r="R20" s="350" t="str">
        <f>IFERROR(VLOOKUP(#REF!,'US History Framework Standards'!$A:$E,3,false),"")</f>
        <v/>
      </c>
      <c r="S20" s="350" t="str">
        <f>IFERROR(__xludf.DUMMYFUNCTION("IFERROR(Index(SPLIT(#REF!,"".""),1,3)&amp;Index(SPLIT(#REF!,"".""),1,4))"),"")</f>
        <v/>
      </c>
      <c r="T20" s="349" t="str">
        <f>iferror(VLOOKUP(L20,'US History Framework Standards'!$A:$E,2,false),"")</f>
        <v>Schenck v. US (1919)</v>
      </c>
      <c r="U20" s="349">
        <v>18.0</v>
      </c>
      <c r="V20" s="348" t="s">
        <v>247</v>
      </c>
      <c r="W20" s="348">
        <v>1201718.0</v>
      </c>
      <c r="X20" s="349"/>
      <c r="Y20" s="349"/>
      <c r="Z20" s="347" t="s">
        <v>248</v>
      </c>
      <c r="AA20" s="351"/>
      <c r="AB20" s="351" t="str">
        <f t="shared" si="1"/>
        <v>HXRG_1201718_Multiple Choice.jpg</v>
      </c>
    </row>
    <row r="21" ht="15.75" customHeight="1">
      <c r="A21" s="352" t="s">
        <v>243</v>
      </c>
      <c r="B21" s="274" t="s">
        <v>244</v>
      </c>
      <c r="C21" s="274">
        <v>19.0</v>
      </c>
      <c r="D21" s="275">
        <v>1.0</v>
      </c>
      <c r="E21" s="353"/>
      <c r="F21" s="354"/>
      <c r="G21" s="353"/>
      <c r="H21" s="285" t="s">
        <v>433</v>
      </c>
      <c r="I21" s="274" t="s">
        <v>82</v>
      </c>
      <c r="J21" s="274" t="s">
        <v>87</v>
      </c>
      <c r="K21" s="279" t="s">
        <v>264</v>
      </c>
      <c r="L21" s="279" t="s">
        <v>168</v>
      </c>
      <c r="M21" s="273">
        <v>17.0</v>
      </c>
      <c r="N21" s="273" t="s">
        <v>85</v>
      </c>
      <c r="O21" s="354" t="str">
        <f>IFERROR(VLOOKUP(K21,'US History Framework Standards'!$A:$E,2,false),"")</f>
        <v>Prosperity and Depression (1920-1939)</v>
      </c>
      <c r="P21" s="355" t="str">
        <f>IFERROR(__xludf.DUMMYFUNCTION("IFERROR(Index(SPLIT(#REF!,"".""),1,1))"),"")</f>
        <v/>
      </c>
      <c r="Q21" s="355" t="str">
        <f>IFERROR(__xludf.DUMMYFUNCTION("IFERROR(Index(SPLIT(#REF!,"".""),1,2))"),"")</f>
        <v/>
      </c>
      <c r="R21" s="355" t="str">
        <f>IFERROR(VLOOKUP(#REF!,'US History Framework Standards'!$A:$E,3,false),"")</f>
        <v/>
      </c>
      <c r="S21" s="355" t="str">
        <f>IFERROR(__xludf.DUMMYFUNCTION("IFERROR(Index(SPLIT(#REF!,"".""),1,3)&amp;Index(SPLIT(#REF!,"".""),1,4))"),"")</f>
        <v/>
      </c>
      <c r="T21" s="349" t="str">
        <f>iferror(VLOOKUP(L21,'US History Framework Standards'!$A:$E,2,false),"")</f>
        <v>The Great Depression</v>
      </c>
      <c r="U21" s="354">
        <v>19.0</v>
      </c>
      <c r="V21" s="353" t="s">
        <v>247</v>
      </c>
      <c r="W21" s="353">
        <v>1201718.0</v>
      </c>
      <c r="X21" s="354"/>
      <c r="Y21" s="354"/>
      <c r="Z21" s="352" t="s">
        <v>248</v>
      </c>
      <c r="AA21" s="356"/>
      <c r="AB21" s="356" t="str">
        <f t="shared" si="1"/>
        <v>HXRG_1201718_Multiple Choice.jpg</v>
      </c>
    </row>
    <row r="22" ht="15.75" customHeight="1">
      <c r="A22" s="347" t="s">
        <v>243</v>
      </c>
      <c r="B22" s="265" t="s">
        <v>244</v>
      </c>
      <c r="C22" s="265">
        <v>20.0</v>
      </c>
      <c r="D22" s="266">
        <v>2.0</v>
      </c>
      <c r="E22" s="348"/>
      <c r="F22" s="349"/>
      <c r="G22" s="348"/>
      <c r="H22" s="286" t="s">
        <v>434</v>
      </c>
      <c r="I22" s="265" t="s">
        <v>82</v>
      </c>
      <c r="J22" s="265" t="s">
        <v>87</v>
      </c>
      <c r="K22" s="284" t="s">
        <v>264</v>
      </c>
      <c r="L22" s="284" t="s">
        <v>171</v>
      </c>
      <c r="M22" s="264">
        <v>8.0</v>
      </c>
      <c r="N22" s="264" t="s">
        <v>85</v>
      </c>
      <c r="O22" s="349" t="str">
        <f>IFERROR(VLOOKUP(K22,'US History Framework Standards'!$A:$E,2,false),"")</f>
        <v>Prosperity and Depression (1920-1939)</v>
      </c>
      <c r="P22" s="350" t="str">
        <f>IFERROR(__xludf.DUMMYFUNCTION("IFERROR(Index(SPLIT(#REF!,"".""),1,1))"),"")</f>
        <v/>
      </c>
      <c r="Q22" s="350" t="str">
        <f>IFERROR(__xludf.DUMMYFUNCTION("IFERROR(Index(SPLIT(#REF!,"".""),1,2))"),"")</f>
        <v/>
      </c>
      <c r="R22" s="350" t="str">
        <f>IFERROR(VLOOKUP(#REF!,'US History Framework Standards'!$A:$E,3,false),"")</f>
        <v/>
      </c>
      <c r="S22" s="350" t="str">
        <f>IFERROR(__xludf.DUMMYFUNCTION("IFERROR(Index(SPLIT(#REF!,"".""),1,3)&amp;Index(SPLIT(#REF!,"".""),1,4))"),"")</f>
        <v/>
      </c>
      <c r="T22" s="349" t="str">
        <f>iferror(VLOOKUP(L22,'US History Framework Standards'!$A:$E,2,false),"")</f>
        <v>New Deal</v>
      </c>
      <c r="U22" s="349">
        <v>20.0</v>
      </c>
      <c r="V22" s="348" t="s">
        <v>247</v>
      </c>
      <c r="W22" s="348">
        <v>1201718.0</v>
      </c>
      <c r="X22" s="349"/>
      <c r="Y22" s="349"/>
      <c r="Z22" s="347" t="s">
        <v>248</v>
      </c>
      <c r="AA22" s="351"/>
      <c r="AB22" s="351" t="str">
        <f t="shared" si="1"/>
        <v>HXRG_1201718_Multiple Choice.jpg</v>
      </c>
    </row>
    <row r="23" ht="15.75" customHeight="1">
      <c r="A23" s="352" t="s">
        <v>243</v>
      </c>
      <c r="B23" s="274" t="s">
        <v>244</v>
      </c>
      <c r="C23" s="274">
        <v>21.0</v>
      </c>
      <c r="D23" s="275">
        <v>1.0</v>
      </c>
      <c r="E23" s="353"/>
      <c r="F23" s="354"/>
      <c r="G23" s="353"/>
      <c r="H23" s="285" t="s">
        <v>435</v>
      </c>
      <c r="I23" s="274" t="s">
        <v>82</v>
      </c>
      <c r="J23" s="274" t="s">
        <v>83</v>
      </c>
      <c r="K23" s="279" t="s">
        <v>266</v>
      </c>
      <c r="L23" s="279" t="s">
        <v>178</v>
      </c>
      <c r="M23" s="273">
        <v>9.0</v>
      </c>
      <c r="N23" s="273" t="s">
        <v>85</v>
      </c>
      <c r="O23" s="354" t="str">
        <f>IFERROR(VLOOKUP(K23,'US History Framework Standards'!$A:$E,2,false),"")</f>
        <v>World War II (1935-1945)</v>
      </c>
      <c r="P23" s="355" t="str">
        <f>IFERROR(__xludf.DUMMYFUNCTION("IFERROR(Index(SPLIT(#REF!,"".""),1,1))"),"")</f>
        <v/>
      </c>
      <c r="Q23" s="355" t="str">
        <f>IFERROR(__xludf.DUMMYFUNCTION("IFERROR(Index(SPLIT(#REF!,"".""),1,2))"),"")</f>
        <v/>
      </c>
      <c r="R23" s="355" t="str">
        <f>IFERROR(VLOOKUP(#REF!,'US History Framework Standards'!$A:$E,3,false),"")</f>
        <v/>
      </c>
      <c r="S23" s="355" t="str">
        <f>IFERROR(__xludf.DUMMYFUNCTION("IFERROR(Index(SPLIT(#REF!,"".""),1,3)&amp;Index(SPLIT(#REF!,"".""),1,4))"),"")</f>
        <v/>
      </c>
      <c r="T23" s="349" t="str">
        <f>iferror(VLOOKUP(L23,'US History Framework Standards'!$A:$E,2,false),"")</f>
        <v>Japanese Internment</v>
      </c>
      <c r="U23" s="354">
        <v>21.0</v>
      </c>
      <c r="V23" s="353" t="s">
        <v>247</v>
      </c>
      <c r="W23" s="353">
        <v>1201718.0</v>
      </c>
      <c r="X23" s="354"/>
      <c r="Y23" s="354"/>
      <c r="Z23" s="352" t="s">
        <v>248</v>
      </c>
      <c r="AA23" s="356"/>
      <c r="AB23" s="356" t="str">
        <f t="shared" si="1"/>
        <v>HXRG_1201718_Multiple Choice.jpg</v>
      </c>
    </row>
    <row r="24" ht="15.75" customHeight="1">
      <c r="A24" s="352" t="s">
        <v>243</v>
      </c>
      <c r="B24" s="274" t="s">
        <v>244</v>
      </c>
      <c r="C24" s="274">
        <v>22.0</v>
      </c>
      <c r="D24" s="275">
        <v>2.0</v>
      </c>
      <c r="E24" s="353"/>
      <c r="F24" s="354"/>
      <c r="G24" s="353"/>
      <c r="H24" s="285" t="s">
        <v>435</v>
      </c>
      <c r="I24" s="274" t="s">
        <v>82</v>
      </c>
      <c r="J24" s="274" t="s">
        <v>83</v>
      </c>
      <c r="K24" s="279" t="s">
        <v>266</v>
      </c>
      <c r="L24" s="279" t="s">
        <v>178</v>
      </c>
      <c r="M24" s="273">
        <v>6.0</v>
      </c>
      <c r="N24" s="273" t="s">
        <v>85</v>
      </c>
      <c r="O24" s="354" t="str">
        <f>IFERROR(VLOOKUP(K24,'US History Framework Standards'!$A:$E,2,false),"")</f>
        <v>World War II (1935-1945)</v>
      </c>
      <c r="P24" s="355" t="str">
        <f>IFERROR(__xludf.DUMMYFUNCTION("IFERROR(Index(SPLIT(#REF!,"".""),1,1))"),"")</f>
        <v/>
      </c>
      <c r="Q24" s="355" t="str">
        <f>IFERROR(__xludf.DUMMYFUNCTION("IFERROR(Index(SPLIT(#REF!,"".""),1,2))"),"")</f>
        <v/>
      </c>
      <c r="R24" s="355" t="str">
        <f>IFERROR(VLOOKUP(#REF!,'US History Framework Standards'!$A:$E,3,false),"")</f>
        <v/>
      </c>
      <c r="S24" s="355" t="str">
        <f>IFERROR(__xludf.DUMMYFUNCTION("IFERROR(Index(SPLIT(#REF!,"".""),1,3)&amp;Index(SPLIT(#REF!,"".""),1,4))"),"")</f>
        <v/>
      </c>
      <c r="T24" s="349" t="str">
        <f>iferror(VLOOKUP(L24,'US History Framework Standards'!$A:$E,2,false),"")</f>
        <v>Japanese Internment</v>
      </c>
      <c r="U24" s="354">
        <v>22.0</v>
      </c>
      <c r="V24" s="353" t="s">
        <v>247</v>
      </c>
      <c r="W24" s="353">
        <v>1201718.0</v>
      </c>
      <c r="X24" s="354"/>
      <c r="Y24" s="354"/>
      <c r="Z24" s="352" t="s">
        <v>248</v>
      </c>
      <c r="AA24" s="356"/>
      <c r="AB24" s="356" t="str">
        <f t="shared" si="1"/>
        <v>HXRG_1201718_Multiple Choice.jpg</v>
      </c>
    </row>
    <row r="25" ht="15.75" customHeight="1">
      <c r="A25" s="347" t="s">
        <v>243</v>
      </c>
      <c r="B25" s="265" t="s">
        <v>244</v>
      </c>
      <c r="C25" s="265">
        <v>23.0</v>
      </c>
      <c r="D25" s="266">
        <v>4.0</v>
      </c>
      <c r="E25" s="348"/>
      <c r="F25" s="349"/>
      <c r="G25" s="348"/>
      <c r="H25" s="283" t="s">
        <v>436</v>
      </c>
      <c r="I25" s="265" t="s">
        <v>82</v>
      </c>
      <c r="J25" s="265" t="s">
        <v>87</v>
      </c>
      <c r="K25" s="284" t="s">
        <v>268</v>
      </c>
      <c r="L25" s="284" t="s">
        <v>184</v>
      </c>
      <c r="M25" s="264">
        <v>17.0</v>
      </c>
      <c r="N25" s="264" t="s">
        <v>85</v>
      </c>
      <c r="O25" s="349" t="str">
        <f>IFERROR(VLOOKUP(K25,'US History Framework Standards'!$A:$E,2,false),"")</f>
        <v>Cold War (1945-1990)</v>
      </c>
      <c r="P25" s="350" t="str">
        <f>IFERROR(__xludf.DUMMYFUNCTION("IFERROR(Index(SPLIT(#REF!,"".""),1,1))"),"")</f>
        <v/>
      </c>
      <c r="Q25" s="350" t="str">
        <f>IFERROR(__xludf.DUMMYFUNCTION("IFERROR(Index(SPLIT(#REF!,"".""),1,2))"),"")</f>
        <v/>
      </c>
      <c r="R25" s="350" t="str">
        <f>IFERROR(VLOOKUP(#REF!,'US History Framework Standards'!$A:$E,3,false),"")</f>
        <v/>
      </c>
      <c r="S25" s="350" t="str">
        <f>IFERROR(__xludf.DUMMYFUNCTION("IFERROR(Index(SPLIT(#REF!,"".""),1,3)&amp;Index(SPLIT(#REF!,"".""),1,4))"),"")</f>
        <v/>
      </c>
      <c r="T25" s="349" t="str">
        <f>iferror(VLOOKUP(L25,'US History Framework Standards'!$A:$E,2,false),"")</f>
        <v>Containment Policies</v>
      </c>
      <c r="U25" s="349">
        <v>23.0</v>
      </c>
      <c r="V25" s="348" t="s">
        <v>247</v>
      </c>
      <c r="W25" s="348">
        <v>1201718.0</v>
      </c>
      <c r="X25" s="349"/>
      <c r="Y25" s="349"/>
      <c r="Z25" s="347" t="s">
        <v>248</v>
      </c>
      <c r="AA25" s="351"/>
      <c r="AB25" s="351" t="str">
        <f t="shared" si="1"/>
        <v>HXRG_1201718_Multiple Choice.jpg</v>
      </c>
    </row>
    <row r="26" ht="15.75" customHeight="1">
      <c r="A26" s="347" t="s">
        <v>243</v>
      </c>
      <c r="B26" s="265" t="s">
        <v>244</v>
      </c>
      <c r="C26" s="265">
        <v>24.0</v>
      </c>
      <c r="D26" s="266">
        <v>3.0</v>
      </c>
      <c r="E26" s="348"/>
      <c r="F26" s="349"/>
      <c r="G26" s="348"/>
      <c r="H26" s="283" t="s">
        <v>436</v>
      </c>
      <c r="I26" s="265" t="s">
        <v>82</v>
      </c>
      <c r="J26" s="265" t="s">
        <v>87</v>
      </c>
      <c r="K26" s="284" t="s">
        <v>268</v>
      </c>
      <c r="L26" s="284" t="s">
        <v>184</v>
      </c>
      <c r="M26" s="264">
        <v>8.0</v>
      </c>
      <c r="N26" s="264" t="s">
        <v>85</v>
      </c>
      <c r="O26" s="349" t="str">
        <f>IFERROR(VLOOKUP(K26,'US History Framework Standards'!$A:$E,2,false),"")</f>
        <v>Cold War (1945-1990)</v>
      </c>
      <c r="P26" s="350" t="str">
        <f>IFERROR(__xludf.DUMMYFUNCTION("IFERROR(Index(SPLIT(#REF!,"".""),1,1))"),"")</f>
        <v/>
      </c>
      <c r="Q26" s="350" t="str">
        <f>IFERROR(__xludf.DUMMYFUNCTION("IFERROR(Index(SPLIT(#REF!,"".""),1,2))"),"")</f>
        <v/>
      </c>
      <c r="R26" s="350" t="str">
        <f>IFERROR(VLOOKUP(#REF!,'US History Framework Standards'!$A:$E,3,false),"")</f>
        <v/>
      </c>
      <c r="S26" s="350" t="str">
        <f>IFERROR(__xludf.DUMMYFUNCTION("IFERROR(Index(SPLIT(#REF!,"".""),1,3)&amp;Index(SPLIT(#REF!,"".""),1,4))"),"")</f>
        <v/>
      </c>
      <c r="T26" s="349" t="str">
        <f>iferror(VLOOKUP(L26,'US History Framework Standards'!$A:$E,2,false),"")</f>
        <v>Containment Policies</v>
      </c>
      <c r="U26" s="349">
        <v>24.0</v>
      </c>
      <c r="V26" s="348" t="s">
        <v>247</v>
      </c>
      <c r="W26" s="348">
        <v>1201718.0</v>
      </c>
      <c r="X26" s="349"/>
      <c r="Y26" s="349"/>
      <c r="Z26" s="347" t="s">
        <v>248</v>
      </c>
      <c r="AA26" s="351"/>
      <c r="AB26" s="351" t="str">
        <f t="shared" si="1"/>
        <v>HXRG_1201718_Multiple Choice.jpg</v>
      </c>
    </row>
    <row r="27" ht="15.75" customHeight="1">
      <c r="A27" s="352" t="s">
        <v>243</v>
      </c>
      <c r="B27" s="274" t="s">
        <v>244</v>
      </c>
      <c r="C27" s="274">
        <v>25.0</v>
      </c>
      <c r="D27" s="275">
        <v>1.0</v>
      </c>
      <c r="E27" s="353"/>
      <c r="F27" s="354"/>
      <c r="G27" s="353"/>
      <c r="H27" s="282" t="s">
        <v>437</v>
      </c>
      <c r="I27" s="274" t="s">
        <v>82</v>
      </c>
      <c r="J27" s="274" t="s">
        <v>83</v>
      </c>
      <c r="K27" s="279" t="s">
        <v>268</v>
      </c>
      <c r="L27" s="279" t="s">
        <v>189</v>
      </c>
      <c r="M27" s="273">
        <v>1.0</v>
      </c>
      <c r="N27" s="273" t="s">
        <v>89</v>
      </c>
      <c r="O27" s="354" t="str">
        <f>IFERROR(VLOOKUP(K27,'US History Framework Standards'!$A:$E,2,false),"")</f>
        <v>Cold War (1945-1990)</v>
      </c>
      <c r="P27" s="355" t="str">
        <f>IFERROR(__xludf.DUMMYFUNCTION("IFERROR(Index(SPLIT(#REF!,"".""),1,1))"),"")</f>
        <v/>
      </c>
      <c r="Q27" s="355" t="str">
        <f>IFERROR(__xludf.DUMMYFUNCTION("IFERROR(Index(SPLIT(#REF!,"".""),1,2))"),"")</f>
        <v/>
      </c>
      <c r="R27" s="355" t="str">
        <f>IFERROR(VLOOKUP(#REF!,'US History Framework Standards'!$A:$E,3,false),"")</f>
        <v/>
      </c>
      <c r="S27" s="355" t="str">
        <f>IFERROR(__xludf.DUMMYFUNCTION("IFERROR(Index(SPLIT(#REF!,"".""),1,3)&amp;Index(SPLIT(#REF!,"".""),1,4))"),"")</f>
        <v/>
      </c>
      <c r="T27" s="349" t="str">
        <f>iferror(VLOOKUP(L27,'US History Framework Standards'!$A:$E,2,false),"")</f>
        <v>War Powers Act</v>
      </c>
      <c r="U27" s="354">
        <v>25.0</v>
      </c>
      <c r="V27" s="353" t="s">
        <v>247</v>
      </c>
      <c r="W27" s="353">
        <v>1201718.0</v>
      </c>
      <c r="X27" s="354"/>
      <c r="Y27" s="354"/>
      <c r="Z27" s="352" t="s">
        <v>248</v>
      </c>
      <c r="AA27" s="356"/>
      <c r="AB27" s="356" t="str">
        <f t="shared" si="1"/>
        <v>HXRG_1201718_Multiple Choice.jpg</v>
      </c>
    </row>
    <row r="28" ht="15.75" customHeight="1">
      <c r="A28" s="352" t="s">
        <v>243</v>
      </c>
      <c r="B28" s="274" t="s">
        <v>244</v>
      </c>
      <c r="C28" s="274">
        <v>26.0</v>
      </c>
      <c r="D28" s="275">
        <v>3.0</v>
      </c>
      <c r="E28" s="353"/>
      <c r="F28" s="354"/>
      <c r="G28" s="353"/>
      <c r="H28" s="282" t="s">
        <v>437</v>
      </c>
      <c r="I28" s="274" t="s">
        <v>82</v>
      </c>
      <c r="J28" s="274" t="s">
        <v>83</v>
      </c>
      <c r="K28" s="279" t="s">
        <v>268</v>
      </c>
      <c r="L28" s="279" t="s">
        <v>189</v>
      </c>
      <c r="M28" s="273">
        <v>7.0</v>
      </c>
      <c r="N28" s="273" t="s">
        <v>85</v>
      </c>
      <c r="O28" s="354" t="str">
        <f>IFERROR(VLOOKUP(K28,'US History Framework Standards'!$A:$E,2,false),"")</f>
        <v>Cold War (1945-1990)</v>
      </c>
      <c r="P28" s="355" t="str">
        <f>IFERROR(__xludf.DUMMYFUNCTION("IFERROR(Index(SPLIT(#REF!,"".""),1,1))"),"")</f>
        <v/>
      </c>
      <c r="Q28" s="355" t="str">
        <f>IFERROR(__xludf.DUMMYFUNCTION("IFERROR(Index(SPLIT(#REF!,"".""),1,2))"),"")</f>
        <v/>
      </c>
      <c r="R28" s="355" t="str">
        <f>IFERROR(VLOOKUP(#REF!,'US History Framework Standards'!$A:$E,3,false),"")</f>
        <v/>
      </c>
      <c r="S28" s="355" t="str">
        <f>IFERROR(__xludf.DUMMYFUNCTION("IFERROR(Index(SPLIT(#REF!,"".""),1,3)&amp;Index(SPLIT(#REF!,"".""),1,4))"),"")</f>
        <v/>
      </c>
      <c r="T28" s="349" t="str">
        <f>iferror(VLOOKUP(L28,'US History Framework Standards'!$A:$E,2,false),"")</f>
        <v>War Powers Act</v>
      </c>
      <c r="U28" s="354">
        <v>26.0</v>
      </c>
      <c r="V28" s="353" t="s">
        <v>247</v>
      </c>
      <c r="W28" s="353">
        <v>1201718.0</v>
      </c>
      <c r="X28" s="354"/>
      <c r="Y28" s="354"/>
      <c r="Z28" s="352" t="s">
        <v>248</v>
      </c>
      <c r="AA28" s="356"/>
      <c r="AB28" s="356" t="str">
        <f t="shared" si="1"/>
        <v>HXRG_1201718_Multiple Choice.jpg</v>
      </c>
    </row>
    <row r="29" ht="15.75" customHeight="1">
      <c r="A29" s="347" t="s">
        <v>243</v>
      </c>
      <c r="B29" s="265" t="s">
        <v>244</v>
      </c>
      <c r="C29" s="265">
        <v>27.0</v>
      </c>
      <c r="D29" s="266">
        <v>4.0</v>
      </c>
      <c r="E29" s="348"/>
      <c r="F29" s="349"/>
      <c r="G29" s="348"/>
      <c r="H29" s="283" t="s">
        <v>438</v>
      </c>
      <c r="I29" s="265" t="s">
        <v>82</v>
      </c>
      <c r="J29" s="265" t="s">
        <v>87</v>
      </c>
      <c r="K29" s="284" t="s">
        <v>102</v>
      </c>
      <c r="L29" s="284" t="s">
        <v>197</v>
      </c>
      <c r="M29" s="264">
        <v>13.0</v>
      </c>
      <c r="N29" s="264" t="s">
        <v>85</v>
      </c>
      <c r="O29" s="349" t="str">
        <f>IFERROR(VLOOKUP(K29,'US History Framework Standards'!$A:$E,2,false),"")</f>
        <v>Social and Economic Change/ Domestic Issues (1945-present)</v>
      </c>
      <c r="P29" s="350" t="str">
        <f>IFERROR(__xludf.DUMMYFUNCTION("IFERROR(Index(SPLIT(#REF!,"".""),1,1))"),"")</f>
        <v/>
      </c>
      <c r="Q29" s="350" t="str">
        <f>IFERROR(__xludf.DUMMYFUNCTION("IFERROR(Index(SPLIT(#REF!,"".""),1,2))"),"")</f>
        <v/>
      </c>
      <c r="R29" s="350" t="str">
        <f>IFERROR(VLOOKUP(#REF!,'US History Framework Standards'!$A:$E,3,false),"")</f>
        <v/>
      </c>
      <c r="S29" s="350" t="str">
        <f>IFERROR(__xludf.DUMMYFUNCTION("IFERROR(Index(SPLIT(#REF!,"".""),1,3)&amp;Index(SPLIT(#REF!,"".""),1,4))"),"")</f>
        <v/>
      </c>
      <c r="T29" s="349" t="str">
        <f>iferror(VLOOKUP(L29,'US History Framework Standards'!$A:$E,2,false),"")</f>
        <v>Civil Rights Judicial &amp; Legislative Achievements</v>
      </c>
      <c r="U29" s="349">
        <v>27.0</v>
      </c>
      <c r="V29" s="348" t="s">
        <v>247</v>
      </c>
      <c r="W29" s="348">
        <v>1201718.0</v>
      </c>
      <c r="X29" s="349"/>
      <c r="Y29" s="349"/>
      <c r="Z29" s="347" t="s">
        <v>248</v>
      </c>
      <c r="AA29" s="351"/>
      <c r="AB29" s="351" t="str">
        <f t="shared" si="1"/>
        <v>HXRG_1201718_Multiple Choice.jpg</v>
      </c>
    </row>
    <row r="30" ht="15.75" customHeight="1">
      <c r="A30" s="357" t="s">
        <v>243</v>
      </c>
      <c r="B30" s="288" t="s">
        <v>244</v>
      </c>
      <c r="C30" s="288">
        <v>28.0</v>
      </c>
      <c r="D30" s="289">
        <v>3.0</v>
      </c>
      <c r="E30" s="358"/>
      <c r="F30" s="359"/>
      <c r="G30" s="358"/>
      <c r="H30" s="338" t="s">
        <v>438</v>
      </c>
      <c r="I30" s="265" t="s">
        <v>82</v>
      </c>
      <c r="J30" s="265" t="s">
        <v>87</v>
      </c>
      <c r="K30" s="292" t="s">
        <v>102</v>
      </c>
      <c r="L30" s="292" t="s">
        <v>197</v>
      </c>
      <c r="M30" s="287">
        <v>8.0</v>
      </c>
      <c r="N30" s="287" t="s">
        <v>85</v>
      </c>
      <c r="O30" s="359" t="str">
        <f>IFERROR(VLOOKUP(K30,'US History Framework Standards'!$A:$E,2,false),"")</f>
        <v>Social and Economic Change/ Domestic Issues (1945-present)</v>
      </c>
      <c r="P30" s="360" t="str">
        <f>IFERROR(__xludf.DUMMYFUNCTION("IFERROR(Index(SPLIT(#REF!,"".""),1,1))"),"")</f>
        <v/>
      </c>
      <c r="Q30" s="360" t="str">
        <f>IFERROR(__xludf.DUMMYFUNCTION("IFERROR(Index(SPLIT(#REF!,"".""),1,2))"),"")</f>
        <v/>
      </c>
      <c r="R30" s="360" t="str">
        <f>IFERROR(VLOOKUP(#REF!,'US History Framework Standards'!$A:$E,3,false),"")</f>
        <v/>
      </c>
      <c r="S30" s="360" t="str">
        <f>IFERROR(__xludf.DUMMYFUNCTION("IFERROR(Index(SPLIT(#REF!,"".""),1,3)&amp;Index(SPLIT(#REF!,"".""),1,4))"),"")</f>
        <v/>
      </c>
      <c r="T30" s="349" t="str">
        <f>iferror(VLOOKUP(L30,'US History Framework Standards'!$A:$E,2,false),"")</f>
        <v>Civil Rights Judicial &amp; Legislative Achievements</v>
      </c>
      <c r="U30" s="359">
        <v>28.0</v>
      </c>
      <c r="V30" s="358" t="s">
        <v>247</v>
      </c>
      <c r="W30" s="358">
        <v>1201718.0</v>
      </c>
      <c r="X30" s="359"/>
      <c r="Y30" s="359"/>
      <c r="Z30" s="357" t="s">
        <v>248</v>
      </c>
      <c r="AA30" s="361"/>
      <c r="AB30" s="361" t="str">
        <f t="shared" si="1"/>
        <v>HXRG_1201718_Multiple Choice.jpg</v>
      </c>
    </row>
    <row r="31" ht="15.75" customHeight="1">
      <c r="A31" s="362" t="s">
        <v>271</v>
      </c>
      <c r="B31" s="332" t="s">
        <v>272</v>
      </c>
      <c r="C31" s="332" t="s">
        <v>273</v>
      </c>
      <c r="D31" s="333"/>
      <c r="E31" s="363"/>
      <c r="F31" s="364"/>
      <c r="G31" s="363"/>
      <c r="H31" s="335" t="s">
        <v>439</v>
      </c>
      <c r="I31" s="332" t="s">
        <v>82</v>
      </c>
      <c r="J31" s="332" t="s">
        <v>83</v>
      </c>
      <c r="K31" s="339" t="s">
        <v>258</v>
      </c>
      <c r="L31" s="339" t="s">
        <v>148</v>
      </c>
      <c r="M31" s="331"/>
      <c r="N31" s="331" t="s">
        <v>85</v>
      </c>
      <c r="O31" s="354" t="str">
        <f>IFERROR(VLOOKUP(K31,'US History Framework Standards'!$A:$E,2,false),"")</f>
        <v>Industrialization and Urbanization (1870-1920)</v>
      </c>
      <c r="P31" s="365"/>
      <c r="Q31" s="365"/>
      <c r="R31" s="365"/>
      <c r="S31" s="365"/>
      <c r="T31" s="349" t="str">
        <f>iferror(VLOOKUP(L31,'US History Framework Standards'!$A:$E,2,false),"")</f>
        <v>Influential Documents of the Progressive Era</v>
      </c>
      <c r="U31" s="364"/>
      <c r="V31" s="363"/>
      <c r="W31" s="363"/>
      <c r="X31" s="364"/>
      <c r="Y31" s="364"/>
      <c r="Z31" s="362"/>
      <c r="AA31" s="366"/>
      <c r="AB31" s="366"/>
    </row>
    <row r="32" ht="15.75" customHeight="1">
      <c r="A32" s="352" t="s">
        <v>275</v>
      </c>
      <c r="B32" s="274" t="s">
        <v>272</v>
      </c>
      <c r="C32" s="274" t="s">
        <v>276</v>
      </c>
      <c r="D32" s="275"/>
      <c r="E32" s="353"/>
      <c r="F32" s="354"/>
      <c r="G32" s="353"/>
      <c r="H32" s="285" t="s">
        <v>440</v>
      </c>
      <c r="I32" s="274" t="s">
        <v>82</v>
      </c>
      <c r="J32" s="274" t="s">
        <v>83</v>
      </c>
      <c r="K32" s="279" t="s">
        <v>258</v>
      </c>
      <c r="L32" s="279" t="s">
        <v>148</v>
      </c>
      <c r="M32" s="273"/>
      <c r="N32" s="273" t="s">
        <v>85</v>
      </c>
      <c r="O32" s="354" t="str">
        <f>IFERROR(VLOOKUP(K32,'US History Framework Standards'!$A:$E,2,false),"")</f>
        <v>Industrialization and Urbanization (1870-1920)</v>
      </c>
      <c r="P32" s="355" t="str">
        <f>IFERROR(__xludf.DUMMYFUNCTION("IFERROR(Index(SPLIT(#REF!,"".""),1,1))"),"")</f>
        <v/>
      </c>
      <c r="Q32" s="355" t="str">
        <f>IFERROR(__xludf.DUMMYFUNCTION("IFERROR(Index(SPLIT(#REF!,"".""),1,2))"),"")</f>
        <v/>
      </c>
      <c r="R32" s="355" t="str">
        <f>IFERROR(VLOOKUP(#REF!,'US History Framework Standards'!$A:$E,3,false),"")</f>
        <v/>
      </c>
      <c r="S32" s="355" t="str">
        <f>IFERROR(__xludf.DUMMYFUNCTION("IFERROR(Index(SPLIT(#REF!,"".""),1,3)&amp;Index(SPLIT(#REF!,"".""),1,4))"),"")</f>
        <v/>
      </c>
      <c r="T32" s="349" t="str">
        <f>iferror(VLOOKUP(L32,'US History Framework Standards'!$A:$E,2,false),"")</f>
        <v>Influential Documents of the Progressive Era</v>
      </c>
      <c r="U32" s="354">
        <v>30.0</v>
      </c>
      <c r="V32" s="353" t="s">
        <v>247</v>
      </c>
      <c r="W32" s="353">
        <v>1201718.0</v>
      </c>
      <c r="X32" s="354"/>
      <c r="Y32" s="354"/>
      <c r="Z32" s="352" t="s">
        <v>248</v>
      </c>
      <c r="AA32" s="356"/>
      <c r="AB32" s="356" t="str">
        <f t="shared" ref="AB32:AB37" si="2">V32&amp;"_"&amp;W32&amp;"_"&amp;A32&amp;".jpg"</f>
        <v>HXRG_1201718_Doc.jpg</v>
      </c>
    </row>
    <row r="33" ht="15.75" customHeight="1">
      <c r="A33" s="347" t="s">
        <v>275</v>
      </c>
      <c r="B33" s="265" t="s">
        <v>272</v>
      </c>
      <c r="C33" s="265" t="s">
        <v>278</v>
      </c>
      <c r="D33" s="267"/>
      <c r="E33" s="348"/>
      <c r="F33" s="349"/>
      <c r="G33" s="348"/>
      <c r="H33" s="283" t="s">
        <v>441</v>
      </c>
      <c r="I33" s="265" t="s">
        <v>82</v>
      </c>
      <c r="J33" s="265" t="s">
        <v>87</v>
      </c>
      <c r="K33" s="284" t="s">
        <v>250</v>
      </c>
      <c r="L33" s="284" t="s">
        <v>100</v>
      </c>
      <c r="M33" s="264"/>
      <c r="N33" s="264" t="s">
        <v>85</v>
      </c>
      <c r="O33" s="349" t="str">
        <f>IFERROR(VLOOKUP(K33,'US History Framework Standards'!$A:$E,2,false),"")</f>
        <v>Constitutional Foundations (1763–1824)</v>
      </c>
      <c r="P33" s="350" t="str">
        <f>IFERROR(__xludf.DUMMYFUNCTION("IFERROR(Index(SPLIT(#REF!,"".""),1,1))"),"")</f>
        <v/>
      </c>
      <c r="Q33" s="350" t="str">
        <f>IFERROR(__xludf.DUMMYFUNCTION("IFERROR(Index(SPLIT(#REF!,"".""),1,2))"),"")</f>
        <v/>
      </c>
      <c r="R33" s="350" t="str">
        <f>IFERROR(VLOOKUP(#REF!,'US History Framework Standards'!$A:$E,3,false),"")</f>
        <v/>
      </c>
      <c r="S33" s="350" t="str">
        <f>IFERROR(__xludf.DUMMYFUNCTION("IFERROR(Index(SPLIT(#REF!,"".""),1,3)&amp;Index(SPLIT(#REF!,"".""),1,4))"),"")</f>
        <v/>
      </c>
      <c r="T33" s="349" t="str">
        <f>iferror(VLOOKUP(L33,'US History Framework Standards'!$A:$E,2,false),"")</f>
        <v>British Control &amp; Colonial Resistance</v>
      </c>
      <c r="U33" s="349">
        <v>31.0</v>
      </c>
      <c r="V33" s="348" t="s">
        <v>247</v>
      </c>
      <c r="W33" s="348">
        <v>1201718.0</v>
      </c>
      <c r="X33" s="349"/>
      <c r="Y33" s="349"/>
      <c r="Z33" s="347" t="s">
        <v>248</v>
      </c>
      <c r="AA33" s="351"/>
      <c r="AB33" s="351" t="str">
        <f t="shared" si="2"/>
        <v>HXRG_1201718_Doc.jpg</v>
      </c>
    </row>
    <row r="34" ht="15.75" customHeight="1">
      <c r="A34" s="357" t="s">
        <v>275</v>
      </c>
      <c r="B34" s="288" t="s">
        <v>272</v>
      </c>
      <c r="C34" s="288" t="s">
        <v>280</v>
      </c>
      <c r="D34" s="290"/>
      <c r="E34" s="358"/>
      <c r="F34" s="359"/>
      <c r="G34" s="358"/>
      <c r="H34" s="338" t="s">
        <v>442</v>
      </c>
      <c r="I34" s="288" t="s">
        <v>82</v>
      </c>
      <c r="J34" s="288" t="s">
        <v>83</v>
      </c>
      <c r="K34" s="292" t="s">
        <v>250</v>
      </c>
      <c r="L34" s="292" t="s">
        <v>100</v>
      </c>
      <c r="M34" s="287"/>
      <c r="N34" s="287" t="s">
        <v>85</v>
      </c>
      <c r="O34" s="359" t="str">
        <f>IFERROR(VLOOKUP(K34,'US History Framework Standards'!$A:$E,2,false),"")</f>
        <v>Constitutional Foundations (1763–1824)</v>
      </c>
      <c r="P34" s="360" t="str">
        <f>IFERROR(__xludf.DUMMYFUNCTION("IFERROR(Index(SPLIT(#REF!,"".""),1,1))"),"")</f>
        <v/>
      </c>
      <c r="Q34" s="360" t="str">
        <f>IFERROR(__xludf.DUMMYFUNCTION("IFERROR(Index(SPLIT(#REF!,"".""),1,2))"),"")</f>
        <v/>
      </c>
      <c r="R34" s="360" t="str">
        <f>IFERROR(VLOOKUP(#REF!,'US History Framework Standards'!$A:$E,3,false),"")</f>
        <v/>
      </c>
      <c r="S34" s="360" t="str">
        <f>IFERROR(__xludf.DUMMYFUNCTION("IFERROR(Index(SPLIT(#REF!,"".""),1,3)&amp;Index(SPLIT(#REF!,"".""),1,4))"),"")</f>
        <v/>
      </c>
      <c r="T34" s="349" t="str">
        <f>iferror(VLOOKUP(L34,'US History Framework Standards'!$A:$E,2,false),"")</f>
        <v>British Control &amp; Colonial Resistance</v>
      </c>
      <c r="U34" s="359">
        <v>32.0</v>
      </c>
      <c r="V34" s="358" t="s">
        <v>247</v>
      </c>
      <c r="W34" s="358">
        <v>1201718.0</v>
      </c>
      <c r="X34" s="359"/>
      <c r="Y34" s="359"/>
      <c r="Z34" s="357" t="s">
        <v>248</v>
      </c>
      <c r="AA34" s="361"/>
      <c r="AB34" s="361" t="str">
        <f t="shared" si="2"/>
        <v>HXRG_1201718_Doc.jpg</v>
      </c>
    </row>
    <row r="35" ht="15.75" customHeight="1">
      <c r="A35" s="362" t="s">
        <v>285</v>
      </c>
      <c r="B35" s="332" t="s">
        <v>282</v>
      </c>
      <c r="C35" s="332">
        <v>31.0</v>
      </c>
      <c r="D35" s="334"/>
      <c r="E35" s="363"/>
      <c r="F35" s="364"/>
      <c r="G35" s="363"/>
      <c r="H35" s="335" t="s">
        <v>443</v>
      </c>
      <c r="I35" s="332" t="s">
        <v>86</v>
      </c>
      <c r="J35" s="332" t="s">
        <v>83</v>
      </c>
      <c r="K35" s="339" t="s">
        <v>254</v>
      </c>
      <c r="L35" s="339" t="s">
        <v>125</v>
      </c>
      <c r="M35" s="331">
        <v>7.0</v>
      </c>
      <c r="N35" s="331" t="s">
        <v>89</v>
      </c>
      <c r="O35" s="364" t="str">
        <f>IFERROR(VLOOKUP(K35,'US History Framework Standards'!$A:$E,2,false),"")</f>
        <v>Expansion, Nationalism, and Sectionalism (1800-1865)</v>
      </c>
      <c r="P35" s="365" t="str">
        <f>IFERROR(__xludf.DUMMYFUNCTION("IFERROR(Index(SPLIT(#REF!,"".""),1,1))"),"")</f>
        <v/>
      </c>
      <c r="Q35" s="365" t="str">
        <f>IFERROR(__xludf.DUMMYFUNCTION("IFERROR(Index(SPLIT(#REF!,"".""),1,2))"),"")</f>
        <v/>
      </c>
      <c r="R35" s="365" t="str">
        <f>IFERROR(VLOOKUP(#REF!,'US History Framework Standards'!$A:$E,3,false),"")</f>
        <v/>
      </c>
      <c r="S35" s="365" t="str">
        <f>IFERROR(__xludf.DUMMYFUNCTION("IFERROR(Index(SPLIT(#REF!,"".""),1,3)&amp;Index(SPLIT(#REF!,"".""),1,4))"),"")</f>
        <v/>
      </c>
      <c r="T35" s="349" t="str">
        <f>iferror(VLOOKUP(L35,'US History Framework Standards'!$A:$E,2,false),"")</f>
        <v>Early Women's Rights Movement</v>
      </c>
      <c r="U35" s="364">
        <v>33.0</v>
      </c>
      <c r="V35" s="363" t="s">
        <v>247</v>
      </c>
      <c r="W35" s="363">
        <v>1201718.0</v>
      </c>
      <c r="X35" s="364"/>
      <c r="Y35" s="364"/>
      <c r="Z35" s="362" t="s">
        <v>248</v>
      </c>
      <c r="AA35" s="366"/>
      <c r="AB35" s="366" t="str">
        <f t="shared" si="2"/>
        <v>HXRG_1201718_DBQ.jpg</v>
      </c>
    </row>
    <row r="36" ht="15.75" customHeight="1">
      <c r="A36" s="347" t="s">
        <v>285</v>
      </c>
      <c r="B36" s="265" t="s">
        <v>282</v>
      </c>
      <c r="C36" s="265">
        <v>32.0</v>
      </c>
      <c r="D36" s="267"/>
      <c r="E36" s="348"/>
      <c r="F36" s="349"/>
      <c r="G36" s="348"/>
      <c r="H36" s="341" t="s">
        <v>444</v>
      </c>
      <c r="I36" s="265" t="s">
        <v>90</v>
      </c>
      <c r="J36" s="265" t="s">
        <v>96</v>
      </c>
      <c r="K36" s="284" t="s">
        <v>258</v>
      </c>
      <c r="L36" s="284" t="s">
        <v>146</v>
      </c>
      <c r="M36" s="264">
        <v>12.0</v>
      </c>
      <c r="N36" s="264" t="s">
        <v>89</v>
      </c>
      <c r="O36" s="349" t="str">
        <f>IFERROR(VLOOKUP(K36,'US History Framework Standards'!$A:$E,2,false),"")</f>
        <v>Industrialization and Urbanization (1870-1920)</v>
      </c>
      <c r="P36" s="350" t="str">
        <f>IFERROR(__xludf.DUMMYFUNCTION("IFERROR(Index(SPLIT(#REF!,"".""),1,1))"),"")</f>
        <v/>
      </c>
      <c r="Q36" s="350" t="str">
        <f>IFERROR(__xludf.DUMMYFUNCTION("IFERROR(Index(SPLIT(#REF!,"".""),1,2))"),"")</f>
        <v/>
      </c>
      <c r="R36" s="350" t="str">
        <f>IFERROR(VLOOKUP(#REF!,'US History Framework Standards'!$A:$E,3,false),"")</f>
        <v/>
      </c>
      <c r="S36" s="350" t="str">
        <f>IFERROR(__xludf.DUMMYFUNCTION("IFERROR(Index(SPLIT(#REF!,"".""),1,3)&amp;Index(SPLIT(#REF!,"".""),1,4))"),"")</f>
        <v/>
      </c>
      <c r="T36" s="349" t="str">
        <f>iferror(VLOOKUP(L36,'US History Framework Standards'!$A:$E,2,false),"")</f>
        <v>Women's Suffrage</v>
      </c>
      <c r="U36" s="349">
        <v>34.0</v>
      </c>
      <c r="V36" s="348" t="s">
        <v>247</v>
      </c>
      <c r="W36" s="348">
        <v>1201718.0</v>
      </c>
      <c r="X36" s="349"/>
      <c r="Y36" s="349"/>
      <c r="Z36" s="347" t="s">
        <v>248</v>
      </c>
      <c r="AA36" s="351"/>
      <c r="AB36" s="351" t="str">
        <f t="shared" si="2"/>
        <v>HXRG_1201718_DBQ.jpg</v>
      </c>
    </row>
    <row r="37" ht="15.75" customHeight="1">
      <c r="A37" s="352" t="s">
        <v>285</v>
      </c>
      <c r="B37" s="274" t="s">
        <v>282</v>
      </c>
      <c r="C37" s="274">
        <v>33.0</v>
      </c>
      <c r="D37" s="276"/>
      <c r="E37" s="353"/>
      <c r="F37" s="354"/>
      <c r="G37" s="353"/>
      <c r="H37" s="285" t="s">
        <v>445</v>
      </c>
      <c r="I37" s="274" t="s">
        <v>90</v>
      </c>
      <c r="J37" s="274" t="s">
        <v>96</v>
      </c>
      <c r="K37" s="279" t="s">
        <v>256</v>
      </c>
      <c r="L37" s="279" t="s">
        <v>134</v>
      </c>
      <c r="M37" s="273">
        <v>2.0</v>
      </c>
      <c r="N37" s="273" t="s">
        <v>89</v>
      </c>
      <c r="O37" s="354" t="str">
        <f>IFERROR(VLOOKUP(K37,'US History Framework Standards'!$A:$E,2,false),"")</f>
        <v>Post-Civil War Era (1865-1900)</v>
      </c>
      <c r="P37" s="355" t="str">
        <f>IFERROR(__xludf.DUMMYFUNCTION("IFERROR(Index(SPLIT(#REF!,"".""),1,1))"),"")</f>
        <v/>
      </c>
      <c r="Q37" s="355" t="str">
        <f>IFERROR(__xludf.DUMMYFUNCTION("IFERROR(Index(SPLIT(#REF!,"".""),1,2))"),"")</f>
        <v/>
      </c>
      <c r="R37" s="355" t="str">
        <f>IFERROR(VLOOKUP(#REF!,'US History Framework Standards'!$A:$E,3,false),"")</f>
        <v/>
      </c>
      <c r="S37" s="355" t="str">
        <f>IFERROR(__xludf.DUMMYFUNCTION("IFERROR(Index(SPLIT(#REF!,"".""),1,3)&amp;Index(SPLIT(#REF!,"".""),1,4))"),"")</f>
        <v/>
      </c>
      <c r="T37" s="349" t="str">
        <f>iferror(VLOOKUP(L37,'US History Framework Standards'!$A:$E,2,false),"")</f>
        <v>Exclusion of Women &amp; Struggle for Rights</v>
      </c>
      <c r="U37" s="354">
        <v>51.0</v>
      </c>
      <c r="V37" s="353" t="s">
        <v>247</v>
      </c>
      <c r="W37" s="353">
        <v>1201718.0</v>
      </c>
      <c r="X37" s="354"/>
      <c r="Y37" s="354"/>
      <c r="Z37" s="352" t="s">
        <v>248</v>
      </c>
      <c r="AA37" s="356"/>
      <c r="AB37" s="356" t="str">
        <f t="shared" si="2"/>
        <v>HXRG_1201718_DBQ.jpg</v>
      </c>
    </row>
    <row r="38" ht="15.75" customHeight="1">
      <c r="A38" s="347" t="s">
        <v>285</v>
      </c>
      <c r="B38" s="265" t="s">
        <v>282</v>
      </c>
      <c r="C38" s="265">
        <v>34.0</v>
      </c>
      <c r="D38" s="267"/>
      <c r="E38" s="348"/>
      <c r="F38" s="349"/>
      <c r="G38" s="348"/>
      <c r="H38" s="283" t="s">
        <v>446</v>
      </c>
      <c r="I38" s="265" t="s">
        <v>86</v>
      </c>
      <c r="J38" s="265" t="s">
        <v>83</v>
      </c>
      <c r="K38" s="284" t="s">
        <v>258</v>
      </c>
      <c r="L38" s="284" t="s">
        <v>146</v>
      </c>
      <c r="M38" s="264">
        <v>8.0</v>
      </c>
      <c r="N38" s="264" t="s">
        <v>89</v>
      </c>
      <c r="O38" s="349" t="str">
        <f>IFERROR(VLOOKUP(K38,'US History Framework Standards'!$A:$E,2,false),"")</f>
        <v>Industrialization and Urbanization (1870-1920)</v>
      </c>
      <c r="P38" s="350" t="str">
        <f>IFERROR(__xludf.DUMMYFUNCTION("IFERROR(Index(SPLIT(#REF!,"".""),1,1))"),"")</f>
        <v/>
      </c>
      <c r="Q38" s="350" t="str">
        <f>IFERROR(__xludf.DUMMYFUNCTION("IFERROR(Index(SPLIT(#REF!,"".""),1,2))"),"")</f>
        <v/>
      </c>
      <c r="R38" s="350" t="str">
        <f>IFERROR(VLOOKUP(#REF!,'US History Framework Standards'!$A:$E,3,false),"")</f>
        <v/>
      </c>
      <c r="S38" s="350" t="str">
        <f>IFERROR(__xludf.DUMMYFUNCTION("IFERROR(Index(SPLIT(#REF!,"".""),1,3)&amp;Index(SPLIT(#REF!,"".""),1,4))"),"")</f>
        <v/>
      </c>
      <c r="T38" s="349" t="str">
        <f>iferror(VLOOKUP(L38,'US History Framework Standards'!$A:$E,2,false),"")</f>
        <v>Women's Suffrage</v>
      </c>
      <c r="U38" s="349"/>
      <c r="V38" s="348"/>
      <c r="W38" s="348"/>
      <c r="X38" s="349"/>
      <c r="Y38" s="349"/>
      <c r="Z38" s="347"/>
      <c r="AA38" s="351"/>
      <c r="AB38" s="351"/>
    </row>
    <row r="39" ht="15.75" customHeight="1">
      <c r="A39" s="352" t="s">
        <v>285</v>
      </c>
      <c r="B39" s="274" t="s">
        <v>282</v>
      </c>
      <c r="C39" s="274">
        <v>35.0</v>
      </c>
      <c r="D39" s="276"/>
      <c r="E39" s="353"/>
      <c r="F39" s="354"/>
      <c r="G39" s="353"/>
      <c r="H39" s="282" t="s">
        <v>447</v>
      </c>
      <c r="I39" s="274" t="s">
        <v>86</v>
      </c>
      <c r="J39" s="274" t="s">
        <v>83</v>
      </c>
      <c r="K39" s="279" t="s">
        <v>258</v>
      </c>
      <c r="L39" s="279" t="s">
        <v>146</v>
      </c>
      <c r="M39" s="273">
        <v>8.0</v>
      </c>
      <c r="N39" s="273" t="s">
        <v>89</v>
      </c>
      <c r="O39" s="354" t="str">
        <f>IFERROR(VLOOKUP(K39,'US History Framework Standards'!$A:$E,2,false),"")</f>
        <v>Industrialization and Urbanization (1870-1920)</v>
      </c>
      <c r="P39" s="355" t="str">
        <f>IFERROR(__xludf.DUMMYFUNCTION("IFERROR(Index(SPLIT(#REF!,"".""),1,1))"),"")</f>
        <v/>
      </c>
      <c r="Q39" s="355" t="str">
        <f>IFERROR(__xludf.DUMMYFUNCTION("IFERROR(Index(SPLIT(#REF!,"".""),1,2))"),"")</f>
        <v/>
      </c>
      <c r="R39" s="355" t="str">
        <f>IFERROR(VLOOKUP(#REF!,'US History Framework Standards'!$A:$E,3,false),"")</f>
        <v/>
      </c>
      <c r="S39" s="355" t="str">
        <f>IFERROR(__xludf.DUMMYFUNCTION("IFERROR(Index(SPLIT(#REF!,"".""),1,3)&amp;Index(SPLIT(#REF!,"".""),1,4))"),"")</f>
        <v/>
      </c>
      <c r="T39" s="349" t="str">
        <f>iferror(VLOOKUP(L39,'US History Framework Standards'!$A:$E,2,false),"")</f>
        <v>Women's Suffrage</v>
      </c>
      <c r="U39" s="354"/>
      <c r="V39" s="353"/>
      <c r="W39" s="353"/>
      <c r="X39" s="354"/>
      <c r="Y39" s="354"/>
      <c r="Z39" s="352"/>
      <c r="AA39" s="356"/>
      <c r="AB39" s="356"/>
    </row>
    <row r="40" ht="15.75" customHeight="1">
      <c r="A40" s="347" t="s">
        <v>285</v>
      </c>
      <c r="B40" s="265" t="s">
        <v>282</v>
      </c>
      <c r="C40" s="265">
        <v>36.0</v>
      </c>
      <c r="D40" s="267"/>
      <c r="E40" s="348"/>
      <c r="F40" s="349"/>
      <c r="G40" s="348"/>
      <c r="H40" s="286" t="s">
        <v>448</v>
      </c>
      <c r="I40" s="265" t="s">
        <v>90</v>
      </c>
      <c r="J40" s="265" t="s">
        <v>96</v>
      </c>
      <c r="K40" s="284" t="s">
        <v>258</v>
      </c>
      <c r="L40" s="284" t="s">
        <v>146</v>
      </c>
      <c r="M40" s="264">
        <v>8.0</v>
      </c>
      <c r="N40" s="264" t="s">
        <v>89</v>
      </c>
      <c r="O40" s="349" t="str">
        <f>IFERROR(VLOOKUP(K40,'US History Framework Standards'!$A:$E,2,false),"")</f>
        <v>Industrialization and Urbanization (1870-1920)</v>
      </c>
      <c r="P40" s="350" t="str">
        <f>IFERROR(__xludf.DUMMYFUNCTION("IFERROR(Index(SPLIT(#REF!,"".""),1,1))"),"")</f>
        <v/>
      </c>
      <c r="Q40" s="350" t="str">
        <f>IFERROR(__xludf.DUMMYFUNCTION("IFERROR(Index(SPLIT(#REF!,"".""),1,2))"),"")</f>
        <v/>
      </c>
      <c r="R40" s="350" t="str">
        <f>IFERROR(VLOOKUP(#REF!,'US History Framework Standards'!$A:$E,3,false),"")</f>
        <v/>
      </c>
      <c r="S40" s="350" t="str">
        <f>IFERROR(__xludf.DUMMYFUNCTION("IFERROR(Index(SPLIT(#REF!,"".""),1,3)&amp;Index(SPLIT(#REF!,"".""),1,4))"),"")</f>
        <v/>
      </c>
      <c r="T40" s="349" t="str">
        <f>iferror(VLOOKUP(L40,'US History Framework Standards'!$A:$E,2,false),"")</f>
        <v>Women's Suffrage</v>
      </c>
      <c r="U40" s="349"/>
      <c r="V40" s="348"/>
      <c r="W40" s="348"/>
      <c r="X40" s="349"/>
      <c r="Y40" s="349"/>
      <c r="Z40" s="347"/>
      <c r="AA40" s="351"/>
      <c r="AB40" s="351"/>
    </row>
    <row r="41" ht="15.75" customHeight="1">
      <c r="A41" s="352"/>
      <c r="B41" s="274" t="s">
        <v>282</v>
      </c>
      <c r="C41" s="274">
        <v>37.0</v>
      </c>
      <c r="D41" s="276"/>
      <c r="E41" s="353"/>
      <c r="F41" s="354"/>
      <c r="G41" s="353"/>
      <c r="H41" s="285"/>
      <c r="I41" s="274"/>
      <c r="J41" s="274"/>
      <c r="K41" s="279"/>
      <c r="L41" s="279"/>
      <c r="M41" s="273"/>
      <c r="N41" s="273" t="s">
        <v>85</v>
      </c>
      <c r="O41" s="354"/>
      <c r="P41" s="355"/>
      <c r="Q41" s="355"/>
      <c r="R41" s="355"/>
      <c r="S41" s="355"/>
      <c r="T41" s="349" t="str">
        <f>iferror(VLOOKUP(L41,'US History Framework Standards'!$A:$E,2,false),"")</f>
        <v/>
      </c>
      <c r="U41" s="354"/>
      <c r="V41" s="353"/>
      <c r="W41" s="353"/>
      <c r="X41" s="354"/>
      <c r="Y41" s="354"/>
      <c r="Z41" s="352"/>
      <c r="AA41" s="356"/>
      <c r="AB41" s="356"/>
    </row>
    <row r="42" ht="15.75" customHeight="1">
      <c r="A42" s="347"/>
      <c r="B42" s="265"/>
      <c r="C42" s="265"/>
      <c r="D42" s="267"/>
      <c r="E42" s="348"/>
      <c r="F42" s="349"/>
      <c r="G42" s="348"/>
      <c r="H42" s="347"/>
      <c r="I42" s="265"/>
      <c r="J42" s="265"/>
      <c r="K42" s="270"/>
      <c r="L42" s="270"/>
      <c r="M42" s="264"/>
      <c r="N42" s="264"/>
      <c r="O42" s="349"/>
      <c r="P42" s="350"/>
      <c r="Q42" s="350"/>
      <c r="R42" s="350"/>
      <c r="S42" s="350"/>
      <c r="T42" s="349" t="str">
        <f>iferror(VLOOKUP(L42,'US History Framework Standards'!$A:$E,2,false),"")</f>
        <v/>
      </c>
      <c r="U42" s="349"/>
      <c r="V42" s="348"/>
      <c r="W42" s="348"/>
      <c r="X42" s="349"/>
      <c r="Y42" s="349"/>
      <c r="Z42" s="347"/>
      <c r="AA42" s="351"/>
      <c r="AB42" s="351"/>
    </row>
  </sheetData>
  <mergeCells count="3">
    <mergeCell ref="H1:K1"/>
    <mergeCell ref="L1:N1"/>
    <mergeCell ref="O1:T1"/>
  </mergeCells>
  <dataValidations>
    <dataValidation type="list" allowBlank="1" sqref="M3:M42">
      <formula1>'Analysis All Exams'!$M$5:$M$22</formula1>
    </dataValidation>
    <dataValidation type="list" allowBlank="1" sqref="G3:G42">
      <formula1>"Stimulus-Based Multiple Choice,Constructed Response Questions,Enduring Issues Essay"</formula1>
    </dataValidation>
    <dataValidation type="list" allowBlank="1" sqref="I3:I42">
      <formula1>'Analysis All Exams'!$A$5:$A$7</formula1>
    </dataValidation>
    <dataValidation type="list" allowBlank="1" sqref="B3:B42">
      <formula1>"Part I,Part II,Part III"</formula1>
    </dataValidation>
    <dataValidation type="list" allowBlank="1" sqref="J3:J42">
      <formula1>'Analysis All Exams'!$D$5:$D$9</formula1>
    </dataValidation>
    <dataValidation type="list" allowBlank="1" sqref="K3:L42">
      <formula1>'US History Framework Standards'!$A:$A</formula1>
    </dataValidation>
    <dataValidation type="list" allowBlank="1" sqref="N3:N42">
      <formula1>"Yes,No"</formula1>
    </dataValidation>
  </dataValidations>
  <hyperlinks>
    <hyperlink r:id="rId1" ref="M2"/>
    <hyperlink r:id="rId2" ref="O2"/>
    <hyperlink r:id="rId3" ref="T2"/>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2.63"/>
    <col hidden="1" min="3" max="3" width="12.63"/>
    <col customWidth="1" min="4" max="4" width="0.38"/>
    <col customWidth="1" min="5" max="5" width="101.88"/>
  </cols>
  <sheetData>
    <row r="1">
      <c r="A1" s="367" t="s">
        <v>80</v>
      </c>
      <c r="B1" s="368" t="s">
        <v>449</v>
      </c>
      <c r="C1" s="369" t="s">
        <v>450</v>
      </c>
      <c r="D1" s="370" t="s">
        <v>451</v>
      </c>
      <c r="E1" s="371" t="s">
        <v>452</v>
      </c>
    </row>
    <row r="2">
      <c r="A2" s="372" t="s">
        <v>246</v>
      </c>
      <c r="B2" s="373" t="s">
        <v>453</v>
      </c>
      <c r="C2" s="374"/>
      <c r="D2" s="375" t="s">
        <v>454</v>
      </c>
      <c r="E2" s="375" t="s">
        <v>454</v>
      </c>
    </row>
    <row r="3">
      <c r="A3" s="376" t="s">
        <v>455</v>
      </c>
      <c r="B3" s="377" t="s">
        <v>456</v>
      </c>
      <c r="C3" s="378"/>
      <c r="D3" s="379" t="s">
        <v>457</v>
      </c>
      <c r="E3" s="379" t="s">
        <v>457</v>
      </c>
    </row>
    <row r="4">
      <c r="A4" s="380" t="s">
        <v>84</v>
      </c>
      <c r="B4" s="381" t="s">
        <v>458</v>
      </c>
      <c r="C4" s="92"/>
      <c r="D4" s="382" t="s">
        <v>457</v>
      </c>
      <c r="E4" s="382" t="s">
        <v>459</v>
      </c>
    </row>
    <row r="5">
      <c r="A5" s="380" t="s">
        <v>88</v>
      </c>
      <c r="B5" s="381" t="s">
        <v>460</v>
      </c>
      <c r="C5" s="92"/>
      <c r="D5" s="382" t="s">
        <v>457</v>
      </c>
      <c r="E5" s="382" t="s">
        <v>461</v>
      </c>
    </row>
    <row r="6">
      <c r="A6" s="376" t="s">
        <v>462</v>
      </c>
      <c r="B6" s="377" t="s">
        <v>463</v>
      </c>
      <c r="C6" s="378"/>
      <c r="D6" s="379" t="s">
        <v>464</v>
      </c>
      <c r="E6" s="379" t="s">
        <v>464</v>
      </c>
    </row>
    <row r="7">
      <c r="A7" s="380" t="s">
        <v>92</v>
      </c>
      <c r="B7" s="381" t="s">
        <v>465</v>
      </c>
      <c r="C7" s="92"/>
      <c r="D7" s="382" t="s">
        <v>464</v>
      </c>
      <c r="E7" s="382" t="s">
        <v>466</v>
      </c>
    </row>
    <row r="8">
      <c r="A8" s="380" t="s">
        <v>95</v>
      </c>
      <c r="B8" s="381" t="s">
        <v>467</v>
      </c>
      <c r="C8" s="92"/>
      <c r="D8" s="382" t="s">
        <v>464</v>
      </c>
      <c r="E8" s="382" t="s">
        <v>468</v>
      </c>
    </row>
    <row r="9">
      <c r="A9" s="380" t="s">
        <v>97</v>
      </c>
      <c r="B9" s="381" t="s">
        <v>469</v>
      </c>
      <c r="C9" s="92"/>
      <c r="D9" s="382" t="s">
        <v>464</v>
      </c>
      <c r="E9" s="382" t="s">
        <v>470</v>
      </c>
    </row>
    <row r="10">
      <c r="A10" s="376" t="s">
        <v>471</v>
      </c>
      <c r="B10" s="383" t="s">
        <v>472</v>
      </c>
      <c r="C10" s="378"/>
      <c r="D10" s="379" t="s">
        <v>473</v>
      </c>
      <c r="E10" s="379" t="s">
        <v>473</v>
      </c>
    </row>
    <row r="11">
      <c r="A11" s="380" t="s">
        <v>98</v>
      </c>
      <c r="B11" s="381" t="s">
        <v>474</v>
      </c>
      <c r="C11" s="92"/>
      <c r="D11" s="382" t="s">
        <v>473</v>
      </c>
      <c r="E11" s="382" t="s">
        <v>475</v>
      </c>
    </row>
    <row r="12">
      <c r="A12" s="380" t="s">
        <v>99</v>
      </c>
      <c r="B12" s="381" t="s">
        <v>476</v>
      </c>
      <c r="C12" s="92"/>
      <c r="D12" s="382" t="s">
        <v>473</v>
      </c>
      <c r="E12" s="382" t="s">
        <v>477</v>
      </c>
    </row>
    <row r="13">
      <c r="A13" s="384" t="s">
        <v>250</v>
      </c>
      <c r="B13" s="385" t="s">
        <v>478</v>
      </c>
      <c r="C13" s="386"/>
      <c r="D13" s="387" t="s">
        <v>479</v>
      </c>
      <c r="E13" s="387" t="s">
        <v>479</v>
      </c>
    </row>
    <row r="14">
      <c r="A14" s="388" t="s">
        <v>480</v>
      </c>
      <c r="B14" s="389" t="s">
        <v>481</v>
      </c>
      <c r="C14" s="390"/>
      <c r="D14" s="391" t="s">
        <v>482</v>
      </c>
      <c r="E14" s="391" t="s">
        <v>482</v>
      </c>
    </row>
    <row r="15">
      <c r="A15" s="380" t="s">
        <v>100</v>
      </c>
      <c r="B15" s="381" t="s">
        <v>483</v>
      </c>
      <c r="C15" s="92"/>
      <c r="D15" s="392" t="s">
        <v>484</v>
      </c>
      <c r="E15" s="392" t="s">
        <v>484</v>
      </c>
    </row>
    <row r="16">
      <c r="A16" s="388" t="s">
        <v>485</v>
      </c>
      <c r="B16" s="389" t="s">
        <v>370</v>
      </c>
      <c r="C16" s="390"/>
      <c r="D16" s="391" t="s">
        <v>486</v>
      </c>
      <c r="E16" s="391" t="s">
        <v>486</v>
      </c>
    </row>
    <row r="17">
      <c r="A17" s="380" t="s">
        <v>101</v>
      </c>
      <c r="B17" s="381" t="s">
        <v>370</v>
      </c>
      <c r="C17" s="92"/>
      <c r="D17" s="392" t="s">
        <v>486</v>
      </c>
      <c r="E17" s="392" t="s">
        <v>487</v>
      </c>
    </row>
    <row r="18">
      <c r="A18" s="380" t="s">
        <v>103</v>
      </c>
      <c r="B18" s="381" t="s">
        <v>488</v>
      </c>
      <c r="C18" s="92"/>
      <c r="D18" s="392" t="s">
        <v>486</v>
      </c>
      <c r="E18" s="392" t="s">
        <v>489</v>
      </c>
    </row>
    <row r="19">
      <c r="A19" s="388" t="s">
        <v>490</v>
      </c>
      <c r="B19" s="393" t="s">
        <v>491</v>
      </c>
      <c r="C19" s="390"/>
      <c r="D19" s="391" t="s">
        <v>492</v>
      </c>
      <c r="E19" s="391" t="s">
        <v>492</v>
      </c>
    </row>
    <row r="20">
      <c r="A20" s="380" t="s">
        <v>105</v>
      </c>
      <c r="B20" s="381" t="s">
        <v>493</v>
      </c>
      <c r="C20" s="92"/>
      <c r="D20" s="392" t="s">
        <v>492</v>
      </c>
      <c r="E20" s="392" t="s">
        <v>494</v>
      </c>
    </row>
    <row r="21">
      <c r="A21" s="380" t="s">
        <v>106</v>
      </c>
      <c r="B21" s="381" t="s">
        <v>495</v>
      </c>
      <c r="C21" s="92"/>
      <c r="D21" s="392" t="s">
        <v>492</v>
      </c>
      <c r="E21" s="392" t="s">
        <v>496</v>
      </c>
    </row>
    <row r="22">
      <c r="A22" s="380" t="s">
        <v>107</v>
      </c>
      <c r="B22" s="381" t="s">
        <v>497</v>
      </c>
      <c r="C22" s="92"/>
      <c r="D22" s="392" t="s">
        <v>492</v>
      </c>
      <c r="E22" s="392" t="s">
        <v>498</v>
      </c>
    </row>
    <row r="23">
      <c r="A23" s="380" t="s">
        <v>108</v>
      </c>
      <c r="B23" s="381" t="s">
        <v>499</v>
      </c>
      <c r="C23" s="92"/>
      <c r="D23" s="392" t="s">
        <v>492</v>
      </c>
      <c r="E23" s="392" t="s">
        <v>500</v>
      </c>
    </row>
    <row r="24">
      <c r="A24" s="380" t="s">
        <v>110</v>
      </c>
      <c r="B24" s="381" t="s">
        <v>501</v>
      </c>
      <c r="C24" s="92"/>
      <c r="D24" s="392" t="s">
        <v>492</v>
      </c>
      <c r="E24" s="392" t="s">
        <v>502</v>
      </c>
    </row>
    <row r="25">
      <c r="A25" s="388" t="s">
        <v>503</v>
      </c>
      <c r="B25" s="389" t="s">
        <v>504</v>
      </c>
      <c r="C25" s="390"/>
      <c r="D25" s="391" t="s">
        <v>505</v>
      </c>
      <c r="E25" s="391" t="s">
        <v>505</v>
      </c>
    </row>
    <row r="26">
      <c r="A26" s="380" t="s">
        <v>112</v>
      </c>
      <c r="B26" s="381" t="s">
        <v>506</v>
      </c>
      <c r="C26" s="92"/>
      <c r="D26" s="392" t="s">
        <v>505</v>
      </c>
      <c r="E26" s="392" t="s">
        <v>507</v>
      </c>
    </row>
    <row r="27">
      <c r="A27" s="380" t="s">
        <v>114</v>
      </c>
      <c r="B27" s="381" t="s">
        <v>508</v>
      </c>
      <c r="C27" s="92"/>
      <c r="D27" s="392" t="s">
        <v>505</v>
      </c>
      <c r="E27" s="392" t="s">
        <v>509</v>
      </c>
    </row>
    <row r="28">
      <c r="A28" s="380" t="s">
        <v>116</v>
      </c>
      <c r="B28" s="381" t="s">
        <v>510</v>
      </c>
      <c r="C28" s="92"/>
      <c r="D28" s="392" t="s">
        <v>505</v>
      </c>
      <c r="E28" s="392" t="s">
        <v>511</v>
      </c>
    </row>
    <row r="29">
      <c r="A29" s="380" t="s">
        <v>118</v>
      </c>
      <c r="B29" s="381" t="s">
        <v>512</v>
      </c>
      <c r="C29" s="92"/>
      <c r="D29" s="392" t="s">
        <v>505</v>
      </c>
      <c r="E29" s="392" t="s">
        <v>513</v>
      </c>
    </row>
    <row r="30">
      <c r="A30" s="394" t="s">
        <v>254</v>
      </c>
      <c r="B30" s="395" t="s">
        <v>514</v>
      </c>
      <c r="C30" s="396"/>
      <c r="D30" s="397" t="s">
        <v>515</v>
      </c>
      <c r="E30" s="397" t="s">
        <v>515</v>
      </c>
    </row>
    <row r="31">
      <c r="A31" s="398" t="s">
        <v>516</v>
      </c>
      <c r="B31" s="399" t="s">
        <v>517</v>
      </c>
      <c r="C31" s="400"/>
      <c r="D31" s="401" t="s">
        <v>518</v>
      </c>
      <c r="E31" s="401" t="s">
        <v>518</v>
      </c>
    </row>
    <row r="32">
      <c r="A32" s="380" t="s">
        <v>120</v>
      </c>
      <c r="B32" s="381" t="s">
        <v>519</v>
      </c>
      <c r="C32" s="92"/>
      <c r="D32" s="402" t="s">
        <v>518</v>
      </c>
      <c r="E32" s="402" t="s">
        <v>520</v>
      </c>
    </row>
    <row r="33">
      <c r="A33" s="380" t="s">
        <v>121</v>
      </c>
      <c r="B33" s="381" t="s">
        <v>521</v>
      </c>
      <c r="C33" s="92"/>
      <c r="D33" s="402" t="s">
        <v>518</v>
      </c>
      <c r="E33" s="402" t="s">
        <v>522</v>
      </c>
    </row>
    <row r="34">
      <c r="A34" s="380" t="s">
        <v>122</v>
      </c>
      <c r="B34" s="381" t="s">
        <v>523</v>
      </c>
      <c r="C34" s="92"/>
      <c r="D34" s="402" t="s">
        <v>518</v>
      </c>
      <c r="E34" s="402" t="s">
        <v>524</v>
      </c>
    </row>
    <row r="35">
      <c r="A35" s="398" t="s">
        <v>525</v>
      </c>
      <c r="B35" s="399" t="s">
        <v>526</v>
      </c>
      <c r="C35" s="400"/>
      <c r="D35" s="401" t="s">
        <v>527</v>
      </c>
      <c r="E35" s="401" t="s">
        <v>527</v>
      </c>
    </row>
    <row r="36">
      <c r="A36" s="380" t="s">
        <v>123</v>
      </c>
      <c r="B36" s="381" t="s">
        <v>528</v>
      </c>
      <c r="C36" s="92"/>
      <c r="D36" s="402" t="s">
        <v>527</v>
      </c>
      <c r="E36" s="402" t="s">
        <v>529</v>
      </c>
    </row>
    <row r="37">
      <c r="A37" s="380" t="s">
        <v>124</v>
      </c>
      <c r="B37" s="381" t="s">
        <v>530</v>
      </c>
      <c r="C37" s="92"/>
      <c r="D37" s="402" t="s">
        <v>527</v>
      </c>
      <c r="E37" s="402" t="s">
        <v>531</v>
      </c>
    </row>
    <row r="38">
      <c r="A38" s="380" t="s">
        <v>125</v>
      </c>
      <c r="B38" s="381" t="s">
        <v>532</v>
      </c>
      <c r="C38" s="92"/>
      <c r="D38" s="402" t="s">
        <v>527</v>
      </c>
      <c r="E38" s="402" t="s">
        <v>533</v>
      </c>
    </row>
    <row r="39">
      <c r="A39" s="380" t="s">
        <v>126</v>
      </c>
      <c r="B39" s="381" t="s">
        <v>534</v>
      </c>
      <c r="C39" s="92"/>
      <c r="D39" s="402" t="s">
        <v>527</v>
      </c>
      <c r="E39" s="402" t="s">
        <v>535</v>
      </c>
    </row>
    <row r="40">
      <c r="A40" s="398" t="s">
        <v>536</v>
      </c>
      <c r="B40" s="403" t="s">
        <v>537</v>
      </c>
      <c r="C40" s="400"/>
      <c r="D40" s="401" t="s">
        <v>538</v>
      </c>
      <c r="E40" s="401" t="s">
        <v>538</v>
      </c>
    </row>
    <row r="41">
      <c r="A41" s="380" t="s">
        <v>127</v>
      </c>
      <c r="B41" s="381" t="s">
        <v>539</v>
      </c>
      <c r="C41" s="92"/>
      <c r="D41" s="402" t="s">
        <v>538</v>
      </c>
      <c r="E41" s="402" t="s">
        <v>540</v>
      </c>
    </row>
    <row r="42">
      <c r="A42" s="380" t="s">
        <v>128</v>
      </c>
      <c r="B42" s="381" t="s">
        <v>541</v>
      </c>
      <c r="C42" s="92"/>
      <c r="D42" s="402" t="s">
        <v>538</v>
      </c>
      <c r="E42" s="402" t="s">
        <v>542</v>
      </c>
    </row>
    <row r="43">
      <c r="A43" s="380" t="s">
        <v>129</v>
      </c>
      <c r="B43" s="381" t="s">
        <v>543</v>
      </c>
      <c r="C43" s="92"/>
      <c r="D43" s="402" t="s">
        <v>538</v>
      </c>
      <c r="E43" s="402" t="s">
        <v>544</v>
      </c>
    </row>
    <row r="44">
      <c r="A44" s="404" t="s">
        <v>256</v>
      </c>
      <c r="B44" s="405" t="s">
        <v>545</v>
      </c>
      <c r="C44" s="406"/>
      <c r="D44" s="407" t="s">
        <v>546</v>
      </c>
      <c r="E44" s="407" t="s">
        <v>546</v>
      </c>
    </row>
    <row r="45">
      <c r="A45" s="408" t="s">
        <v>547</v>
      </c>
      <c r="B45" s="409" t="s">
        <v>548</v>
      </c>
      <c r="C45" s="410"/>
      <c r="D45" s="411" t="s">
        <v>549</v>
      </c>
      <c r="E45" s="411" t="s">
        <v>549</v>
      </c>
    </row>
    <row r="46">
      <c r="A46" s="380" t="s">
        <v>130</v>
      </c>
      <c r="B46" s="381" t="s">
        <v>550</v>
      </c>
      <c r="C46" s="92"/>
      <c r="D46" s="392" t="s">
        <v>549</v>
      </c>
      <c r="E46" s="392" t="s">
        <v>551</v>
      </c>
    </row>
    <row r="47">
      <c r="A47" s="380" t="s">
        <v>131</v>
      </c>
      <c r="B47" s="381" t="s">
        <v>552</v>
      </c>
      <c r="C47" s="92"/>
      <c r="D47" s="392" t="s">
        <v>549</v>
      </c>
      <c r="E47" s="392" t="s">
        <v>553</v>
      </c>
    </row>
    <row r="48">
      <c r="A48" s="380" t="s">
        <v>132</v>
      </c>
      <c r="B48" s="381" t="s">
        <v>554</v>
      </c>
      <c r="C48" s="92"/>
      <c r="D48" s="392" t="s">
        <v>549</v>
      </c>
      <c r="E48" s="392" t="s">
        <v>555</v>
      </c>
    </row>
    <row r="49">
      <c r="A49" s="380" t="s">
        <v>133</v>
      </c>
      <c r="B49" s="381" t="s">
        <v>556</v>
      </c>
      <c r="C49" s="92"/>
      <c r="D49" s="392" t="s">
        <v>549</v>
      </c>
      <c r="E49" s="392" t="s">
        <v>557</v>
      </c>
    </row>
    <row r="50">
      <c r="A50" s="408" t="s">
        <v>558</v>
      </c>
      <c r="B50" s="409" t="s">
        <v>559</v>
      </c>
      <c r="C50" s="410"/>
      <c r="D50" s="411" t="s">
        <v>560</v>
      </c>
      <c r="E50" s="411" t="s">
        <v>560</v>
      </c>
    </row>
    <row r="51">
      <c r="A51" s="380" t="s">
        <v>134</v>
      </c>
      <c r="B51" s="381" t="s">
        <v>561</v>
      </c>
      <c r="C51" s="92"/>
      <c r="D51" s="392" t="s">
        <v>560</v>
      </c>
      <c r="E51" s="392" t="s">
        <v>562</v>
      </c>
    </row>
    <row r="52">
      <c r="A52" s="408" t="s">
        <v>563</v>
      </c>
      <c r="B52" s="412" t="s">
        <v>564</v>
      </c>
      <c r="C52" s="410"/>
      <c r="D52" s="411" t="s">
        <v>565</v>
      </c>
      <c r="E52" s="411" t="s">
        <v>565</v>
      </c>
    </row>
    <row r="53">
      <c r="A53" s="380" t="s">
        <v>135</v>
      </c>
      <c r="B53" s="381" t="s">
        <v>566</v>
      </c>
      <c r="C53" s="92"/>
      <c r="D53" s="392" t="s">
        <v>565</v>
      </c>
      <c r="E53" s="392" t="s">
        <v>567</v>
      </c>
    </row>
    <row r="54">
      <c r="A54" s="380" t="s">
        <v>136</v>
      </c>
      <c r="B54" s="381" t="s">
        <v>568</v>
      </c>
      <c r="C54" s="92"/>
      <c r="D54" s="392" t="s">
        <v>565</v>
      </c>
      <c r="E54" s="392" t="s">
        <v>569</v>
      </c>
    </row>
    <row r="55">
      <c r="A55" s="408" t="s">
        <v>570</v>
      </c>
      <c r="B55" s="409" t="s">
        <v>571</v>
      </c>
      <c r="C55" s="410"/>
      <c r="D55" s="411" t="s">
        <v>572</v>
      </c>
      <c r="E55" s="411" t="s">
        <v>572</v>
      </c>
    </row>
    <row r="56">
      <c r="A56" s="380" t="s">
        <v>137</v>
      </c>
      <c r="B56" s="381" t="s">
        <v>573</v>
      </c>
      <c r="C56" s="92"/>
      <c r="D56" s="392" t="s">
        <v>572</v>
      </c>
      <c r="E56" s="392" t="s">
        <v>574</v>
      </c>
    </row>
    <row r="57">
      <c r="A57" s="380" t="s">
        <v>138</v>
      </c>
      <c r="B57" s="381" t="s">
        <v>575</v>
      </c>
      <c r="C57" s="92"/>
      <c r="D57" s="392" t="s">
        <v>572</v>
      </c>
      <c r="E57" s="392" t="s">
        <v>576</v>
      </c>
    </row>
    <row r="58">
      <c r="A58" s="413" t="s">
        <v>258</v>
      </c>
      <c r="B58" s="414" t="s">
        <v>577</v>
      </c>
      <c r="C58" s="415"/>
      <c r="D58" s="416" t="s">
        <v>578</v>
      </c>
      <c r="E58" s="416" t="s">
        <v>578</v>
      </c>
    </row>
    <row r="59">
      <c r="A59" s="417" t="s">
        <v>579</v>
      </c>
      <c r="B59" s="418" t="s">
        <v>580</v>
      </c>
      <c r="C59" s="419"/>
      <c r="D59" s="420" t="s">
        <v>581</v>
      </c>
      <c r="E59" s="420" t="s">
        <v>581</v>
      </c>
    </row>
    <row r="60">
      <c r="A60" s="380" t="s">
        <v>139</v>
      </c>
      <c r="B60" s="381" t="s">
        <v>582</v>
      </c>
      <c r="C60" s="92"/>
      <c r="D60" s="392" t="s">
        <v>581</v>
      </c>
      <c r="E60" s="392" t="s">
        <v>583</v>
      </c>
    </row>
    <row r="61">
      <c r="A61" s="380" t="s">
        <v>140</v>
      </c>
      <c r="B61" s="381" t="s">
        <v>584</v>
      </c>
      <c r="C61" s="92"/>
      <c r="D61" s="392" t="s">
        <v>581</v>
      </c>
      <c r="E61" s="392" t="s">
        <v>585</v>
      </c>
    </row>
    <row r="62">
      <c r="A62" s="380" t="s">
        <v>141</v>
      </c>
      <c r="B62" s="381" t="s">
        <v>586</v>
      </c>
      <c r="C62" s="92"/>
      <c r="D62" s="392" t="s">
        <v>581</v>
      </c>
      <c r="E62" s="392" t="s">
        <v>587</v>
      </c>
    </row>
    <row r="63">
      <c r="A63" s="417" t="s">
        <v>588</v>
      </c>
      <c r="B63" s="418" t="s">
        <v>589</v>
      </c>
      <c r="C63" s="419"/>
      <c r="D63" s="420" t="s">
        <v>590</v>
      </c>
      <c r="E63" s="420" t="s">
        <v>590</v>
      </c>
    </row>
    <row r="64">
      <c r="A64" s="380" t="s">
        <v>142</v>
      </c>
      <c r="B64" s="381" t="s">
        <v>591</v>
      </c>
      <c r="C64" s="92"/>
      <c r="D64" s="392" t="s">
        <v>590</v>
      </c>
      <c r="E64" s="392" t="s">
        <v>592</v>
      </c>
    </row>
    <row r="65">
      <c r="A65" s="380" t="s">
        <v>143</v>
      </c>
      <c r="B65" s="381" t="s">
        <v>593</v>
      </c>
      <c r="C65" s="92"/>
      <c r="D65" s="392" t="s">
        <v>590</v>
      </c>
      <c r="E65" s="392" t="s">
        <v>594</v>
      </c>
    </row>
    <row r="66">
      <c r="A66" s="380" t="s">
        <v>144</v>
      </c>
      <c r="B66" s="381" t="s">
        <v>595</v>
      </c>
      <c r="C66" s="92"/>
      <c r="D66" s="392" t="s">
        <v>590</v>
      </c>
      <c r="E66" s="392" t="s">
        <v>596</v>
      </c>
    </row>
    <row r="67">
      <c r="A67" s="380" t="s">
        <v>145</v>
      </c>
      <c r="B67" s="381" t="s">
        <v>597</v>
      </c>
      <c r="C67" s="92"/>
      <c r="D67" s="392" t="s">
        <v>590</v>
      </c>
      <c r="E67" s="392" t="s">
        <v>598</v>
      </c>
    </row>
    <row r="68">
      <c r="A68" s="380" t="s">
        <v>146</v>
      </c>
      <c r="B68" s="381" t="s">
        <v>599</v>
      </c>
      <c r="C68" s="92"/>
      <c r="D68" s="392" t="s">
        <v>590</v>
      </c>
      <c r="E68" s="392" t="s">
        <v>600</v>
      </c>
    </row>
    <row r="69">
      <c r="A69" s="380" t="s">
        <v>147</v>
      </c>
      <c r="B69" s="381" t="s">
        <v>601</v>
      </c>
      <c r="C69" s="92"/>
      <c r="D69" s="392" t="s">
        <v>590</v>
      </c>
      <c r="E69" s="392" t="s">
        <v>602</v>
      </c>
    </row>
    <row r="70">
      <c r="A70" s="380" t="s">
        <v>148</v>
      </c>
      <c r="B70" s="381" t="s">
        <v>603</v>
      </c>
      <c r="C70" s="92"/>
      <c r="D70" s="392" t="s">
        <v>590</v>
      </c>
      <c r="E70" s="382" t="s">
        <v>604</v>
      </c>
    </row>
    <row r="71">
      <c r="A71" s="421" t="s">
        <v>261</v>
      </c>
      <c r="B71" s="422" t="s">
        <v>605</v>
      </c>
      <c r="C71" s="423"/>
      <c r="D71" s="424" t="s">
        <v>606</v>
      </c>
      <c r="E71" s="424" t="s">
        <v>606</v>
      </c>
    </row>
    <row r="72">
      <c r="A72" s="425" t="s">
        <v>607</v>
      </c>
      <c r="B72" s="426" t="s">
        <v>608</v>
      </c>
      <c r="C72" s="427"/>
      <c r="D72" s="428" t="s">
        <v>609</v>
      </c>
      <c r="E72" s="428" t="s">
        <v>609</v>
      </c>
    </row>
    <row r="73">
      <c r="A73" s="380" t="s">
        <v>149</v>
      </c>
      <c r="B73" s="381" t="s">
        <v>610</v>
      </c>
      <c r="C73" s="92"/>
      <c r="D73" s="392" t="s">
        <v>609</v>
      </c>
      <c r="E73" s="392" t="s">
        <v>611</v>
      </c>
    </row>
    <row r="74">
      <c r="A74" s="380" t="s">
        <v>150</v>
      </c>
      <c r="B74" s="381" t="s">
        <v>612</v>
      </c>
      <c r="C74" s="92"/>
      <c r="D74" s="392" t="s">
        <v>609</v>
      </c>
      <c r="E74" s="392" t="s">
        <v>613</v>
      </c>
    </row>
    <row r="75">
      <c r="A75" s="380" t="s">
        <v>151</v>
      </c>
      <c r="B75" s="381" t="s">
        <v>614</v>
      </c>
      <c r="C75" s="92"/>
      <c r="D75" s="392" t="s">
        <v>609</v>
      </c>
      <c r="E75" s="392" t="s">
        <v>615</v>
      </c>
    </row>
    <row r="76">
      <c r="A76" s="380" t="s">
        <v>152</v>
      </c>
      <c r="B76" s="381" t="s">
        <v>616</v>
      </c>
      <c r="C76" s="92"/>
      <c r="D76" s="392" t="s">
        <v>609</v>
      </c>
      <c r="E76" s="392" t="s">
        <v>617</v>
      </c>
    </row>
    <row r="77">
      <c r="A77" s="425" t="s">
        <v>618</v>
      </c>
      <c r="B77" s="429" t="s">
        <v>619</v>
      </c>
      <c r="C77" s="427"/>
      <c r="D77" s="428" t="s">
        <v>620</v>
      </c>
      <c r="E77" s="428" t="s">
        <v>620</v>
      </c>
    </row>
    <row r="78">
      <c r="A78" s="380" t="s">
        <v>153</v>
      </c>
      <c r="B78" s="381" t="s">
        <v>621</v>
      </c>
      <c r="C78" s="92"/>
      <c r="D78" s="392" t="s">
        <v>620</v>
      </c>
      <c r="E78" s="392" t="s">
        <v>622</v>
      </c>
    </row>
    <row r="79">
      <c r="A79" s="380" t="s">
        <v>154</v>
      </c>
      <c r="B79" s="381" t="s">
        <v>623</v>
      </c>
      <c r="C79" s="92"/>
      <c r="D79" s="392" t="s">
        <v>620</v>
      </c>
      <c r="E79" s="392" t="s">
        <v>624</v>
      </c>
    </row>
    <row r="80">
      <c r="A80" s="380" t="s">
        <v>155</v>
      </c>
      <c r="B80" s="381" t="s">
        <v>625</v>
      </c>
      <c r="C80" s="92"/>
      <c r="D80" s="392" t="s">
        <v>620</v>
      </c>
      <c r="E80" s="392" t="s">
        <v>626</v>
      </c>
    </row>
    <row r="81">
      <c r="A81" s="425" t="s">
        <v>627</v>
      </c>
      <c r="B81" s="426" t="s">
        <v>628</v>
      </c>
      <c r="C81" s="427"/>
      <c r="D81" s="428" t="s">
        <v>629</v>
      </c>
      <c r="E81" s="428" t="s">
        <v>629</v>
      </c>
    </row>
    <row r="82">
      <c r="A82" s="380" t="s">
        <v>156</v>
      </c>
      <c r="B82" s="381" t="s">
        <v>630</v>
      </c>
      <c r="C82" s="92"/>
      <c r="D82" s="392" t="s">
        <v>629</v>
      </c>
      <c r="E82" s="392" t="s">
        <v>631</v>
      </c>
    </row>
    <row r="83">
      <c r="A83" s="380" t="s">
        <v>157</v>
      </c>
      <c r="B83" s="381" t="s">
        <v>632</v>
      </c>
      <c r="C83" s="92"/>
      <c r="D83" s="392" t="s">
        <v>629</v>
      </c>
      <c r="E83" s="392" t="s">
        <v>633</v>
      </c>
    </row>
    <row r="84">
      <c r="A84" s="380" t="s">
        <v>158</v>
      </c>
      <c r="B84" s="381" t="s">
        <v>634</v>
      </c>
      <c r="C84" s="92"/>
      <c r="D84" s="392" t="s">
        <v>629</v>
      </c>
      <c r="E84" s="392" t="s">
        <v>635</v>
      </c>
    </row>
    <row r="85">
      <c r="A85" s="380" t="s">
        <v>159</v>
      </c>
      <c r="B85" s="381" t="s">
        <v>636</v>
      </c>
      <c r="C85" s="92"/>
      <c r="D85" s="392" t="s">
        <v>629</v>
      </c>
      <c r="E85" s="392" t="s">
        <v>637</v>
      </c>
    </row>
    <row r="86">
      <c r="A86" s="372" t="s">
        <v>264</v>
      </c>
      <c r="B86" s="373" t="s">
        <v>638</v>
      </c>
      <c r="C86" s="374"/>
      <c r="D86" s="375" t="s">
        <v>639</v>
      </c>
      <c r="E86" s="375" t="s">
        <v>639</v>
      </c>
    </row>
    <row r="87">
      <c r="A87" s="376" t="s">
        <v>640</v>
      </c>
      <c r="B87" s="377" t="s">
        <v>641</v>
      </c>
      <c r="C87" s="378"/>
      <c r="D87" s="430" t="s">
        <v>642</v>
      </c>
      <c r="E87" s="430" t="s">
        <v>642</v>
      </c>
    </row>
    <row r="88">
      <c r="A88" s="380" t="s">
        <v>160</v>
      </c>
      <c r="B88" s="381" t="s">
        <v>643</v>
      </c>
      <c r="C88" s="92"/>
      <c r="D88" s="392" t="s">
        <v>642</v>
      </c>
      <c r="E88" s="392" t="s">
        <v>644</v>
      </c>
    </row>
    <row r="89">
      <c r="A89" s="380" t="s">
        <v>161</v>
      </c>
      <c r="B89" s="381" t="s">
        <v>645</v>
      </c>
      <c r="C89" s="92"/>
      <c r="D89" s="392" t="s">
        <v>642</v>
      </c>
      <c r="E89" s="392" t="s">
        <v>646</v>
      </c>
    </row>
    <row r="90">
      <c r="A90" s="380" t="s">
        <v>162</v>
      </c>
      <c r="B90" s="381" t="s">
        <v>647</v>
      </c>
      <c r="C90" s="92"/>
      <c r="D90" s="392" t="s">
        <v>642</v>
      </c>
      <c r="E90" s="392" t="s">
        <v>648</v>
      </c>
    </row>
    <row r="91">
      <c r="A91" s="380" t="s">
        <v>163</v>
      </c>
      <c r="B91" s="381" t="s">
        <v>649</v>
      </c>
      <c r="C91" s="92"/>
      <c r="D91" s="392" t="s">
        <v>642</v>
      </c>
      <c r="E91" s="392" t="s">
        <v>650</v>
      </c>
    </row>
    <row r="92">
      <c r="A92" s="380" t="s">
        <v>164</v>
      </c>
      <c r="B92" s="381" t="s">
        <v>651</v>
      </c>
      <c r="C92" s="92"/>
      <c r="D92" s="392" t="s">
        <v>642</v>
      </c>
      <c r="E92" s="392" t="s">
        <v>652</v>
      </c>
    </row>
    <row r="93">
      <c r="A93" s="376" t="s">
        <v>653</v>
      </c>
      <c r="B93" s="377" t="s">
        <v>654</v>
      </c>
      <c r="C93" s="378"/>
      <c r="D93" s="430" t="s">
        <v>655</v>
      </c>
      <c r="E93" s="430" t="s">
        <v>655</v>
      </c>
    </row>
    <row r="94">
      <c r="A94" s="380" t="s">
        <v>165</v>
      </c>
      <c r="B94" s="381" t="s">
        <v>656</v>
      </c>
      <c r="C94" s="92"/>
      <c r="D94" s="392" t="s">
        <v>655</v>
      </c>
      <c r="E94" s="392" t="s">
        <v>657</v>
      </c>
    </row>
    <row r="95">
      <c r="A95" s="380" t="s">
        <v>166</v>
      </c>
      <c r="B95" s="381" t="s">
        <v>658</v>
      </c>
      <c r="C95" s="92"/>
      <c r="D95" s="392" t="s">
        <v>655</v>
      </c>
      <c r="E95" s="392" t="s">
        <v>659</v>
      </c>
    </row>
    <row r="96">
      <c r="A96" s="376" t="s">
        <v>660</v>
      </c>
      <c r="B96" s="377" t="s">
        <v>661</v>
      </c>
      <c r="C96" s="378"/>
      <c r="D96" s="430" t="s">
        <v>662</v>
      </c>
      <c r="E96" s="430" t="s">
        <v>662</v>
      </c>
    </row>
    <row r="97">
      <c r="A97" s="380" t="s">
        <v>167</v>
      </c>
      <c r="B97" s="381" t="s">
        <v>663</v>
      </c>
      <c r="C97" s="92"/>
      <c r="D97" s="392" t="s">
        <v>662</v>
      </c>
      <c r="E97" s="392" t="s">
        <v>664</v>
      </c>
    </row>
    <row r="98">
      <c r="A98" s="380" t="s">
        <v>168</v>
      </c>
      <c r="B98" s="381" t="s">
        <v>665</v>
      </c>
      <c r="C98" s="92"/>
      <c r="D98" s="392" t="s">
        <v>662</v>
      </c>
      <c r="E98" s="392" t="s">
        <v>666</v>
      </c>
    </row>
    <row r="99">
      <c r="A99" s="380" t="s">
        <v>169</v>
      </c>
      <c r="B99" s="381" t="s">
        <v>667</v>
      </c>
      <c r="C99" s="92"/>
      <c r="D99" s="392" t="s">
        <v>662</v>
      </c>
      <c r="E99" s="392" t="s">
        <v>668</v>
      </c>
    </row>
    <row r="100">
      <c r="A100" s="380" t="s">
        <v>170</v>
      </c>
      <c r="B100" s="381" t="s">
        <v>669</v>
      </c>
      <c r="C100" s="92"/>
      <c r="D100" s="392" t="s">
        <v>662</v>
      </c>
      <c r="E100" s="392" t="s">
        <v>670</v>
      </c>
    </row>
    <row r="101">
      <c r="A101" s="380" t="s">
        <v>171</v>
      </c>
      <c r="B101" s="381" t="s">
        <v>671</v>
      </c>
      <c r="C101" s="92"/>
      <c r="D101" s="392" t="s">
        <v>662</v>
      </c>
      <c r="E101" s="392" t="s">
        <v>672</v>
      </c>
    </row>
    <row r="102">
      <c r="A102" s="384" t="s">
        <v>266</v>
      </c>
      <c r="B102" s="385" t="s">
        <v>673</v>
      </c>
      <c r="C102" s="386"/>
      <c r="D102" s="387" t="s">
        <v>674</v>
      </c>
      <c r="E102" s="387" t="s">
        <v>674</v>
      </c>
    </row>
    <row r="103">
      <c r="A103" s="388" t="s">
        <v>675</v>
      </c>
      <c r="B103" s="389" t="s">
        <v>676</v>
      </c>
      <c r="C103" s="390"/>
      <c r="D103" s="391" t="s">
        <v>677</v>
      </c>
      <c r="E103" s="391" t="s">
        <v>677</v>
      </c>
    </row>
    <row r="104">
      <c r="A104" s="380" t="s">
        <v>172</v>
      </c>
      <c r="B104" s="381" t="s">
        <v>678</v>
      </c>
      <c r="C104" s="92"/>
      <c r="D104" s="392" t="s">
        <v>677</v>
      </c>
      <c r="E104" s="392" t="s">
        <v>679</v>
      </c>
    </row>
    <row r="105">
      <c r="A105" s="380" t="s">
        <v>173</v>
      </c>
      <c r="B105" s="381" t="s">
        <v>680</v>
      </c>
      <c r="C105" s="92"/>
      <c r="D105" s="392" t="s">
        <v>677</v>
      </c>
      <c r="E105" s="392" t="s">
        <v>681</v>
      </c>
    </row>
    <row r="106">
      <c r="A106" s="380" t="s">
        <v>174</v>
      </c>
      <c r="B106" s="381" t="s">
        <v>682</v>
      </c>
      <c r="C106" s="92"/>
      <c r="D106" s="392" t="s">
        <v>677</v>
      </c>
      <c r="E106" s="392" t="s">
        <v>683</v>
      </c>
    </row>
    <row r="107">
      <c r="A107" s="380" t="s">
        <v>175</v>
      </c>
      <c r="B107" s="381" t="s">
        <v>684</v>
      </c>
      <c r="C107" s="92"/>
      <c r="D107" s="392" t="s">
        <v>677</v>
      </c>
      <c r="E107" s="392" t="s">
        <v>685</v>
      </c>
    </row>
    <row r="108">
      <c r="A108" s="380" t="s">
        <v>176</v>
      </c>
      <c r="B108" s="381" t="s">
        <v>686</v>
      </c>
      <c r="C108" s="431"/>
      <c r="D108" s="392" t="s">
        <v>677</v>
      </c>
      <c r="E108" s="392" t="s">
        <v>687</v>
      </c>
    </row>
    <row r="109">
      <c r="A109" s="388" t="s">
        <v>688</v>
      </c>
      <c r="B109" s="389" t="s">
        <v>689</v>
      </c>
      <c r="C109" s="432"/>
      <c r="D109" s="391" t="s">
        <v>690</v>
      </c>
      <c r="E109" s="391" t="s">
        <v>690</v>
      </c>
    </row>
    <row r="110">
      <c r="A110" s="380" t="s">
        <v>177</v>
      </c>
      <c r="B110" s="381" t="s">
        <v>691</v>
      </c>
      <c r="C110" s="431"/>
      <c r="D110" s="392" t="s">
        <v>690</v>
      </c>
      <c r="E110" s="392" t="s">
        <v>692</v>
      </c>
    </row>
    <row r="111">
      <c r="A111" s="380" t="s">
        <v>178</v>
      </c>
      <c r="B111" s="381" t="s">
        <v>693</v>
      </c>
      <c r="C111" s="431"/>
      <c r="D111" s="392" t="s">
        <v>690</v>
      </c>
      <c r="E111" s="392" t="s">
        <v>694</v>
      </c>
    </row>
    <row r="112">
      <c r="A112" s="380" t="s">
        <v>179</v>
      </c>
      <c r="B112" s="381" t="s">
        <v>695</v>
      </c>
      <c r="C112" s="431"/>
      <c r="D112" s="392" t="s">
        <v>690</v>
      </c>
      <c r="E112" s="392" t="s">
        <v>696</v>
      </c>
    </row>
    <row r="113">
      <c r="A113" s="388" t="s">
        <v>697</v>
      </c>
      <c r="B113" s="389" t="s">
        <v>698</v>
      </c>
      <c r="C113" s="432"/>
      <c r="D113" s="391" t="s">
        <v>699</v>
      </c>
      <c r="E113" s="391" t="s">
        <v>699</v>
      </c>
    </row>
    <row r="114">
      <c r="A114" s="380" t="s">
        <v>180</v>
      </c>
      <c r="B114" s="381" t="s">
        <v>700</v>
      </c>
      <c r="C114" s="431"/>
      <c r="D114" s="392" t="s">
        <v>699</v>
      </c>
      <c r="E114" s="392" t="s">
        <v>701</v>
      </c>
    </row>
    <row r="115">
      <c r="A115" s="380" t="s">
        <v>181</v>
      </c>
      <c r="B115" s="381" t="s">
        <v>702</v>
      </c>
      <c r="C115" s="431"/>
      <c r="D115" s="392" t="s">
        <v>699</v>
      </c>
      <c r="E115" s="392" t="s">
        <v>703</v>
      </c>
    </row>
    <row r="116">
      <c r="A116" s="380" t="s">
        <v>182</v>
      </c>
      <c r="B116" s="381" t="s">
        <v>704</v>
      </c>
      <c r="C116" s="431"/>
      <c r="D116" s="392" t="s">
        <v>699</v>
      </c>
      <c r="E116" s="392" t="s">
        <v>705</v>
      </c>
    </row>
    <row r="117">
      <c r="A117" s="394" t="s">
        <v>268</v>
      </c>
      <c r="B117" s="395" t="s">
        <v>706</v>
      </c>
      <c r="C117" s="396"/>
      <c r="D117" s="397" t="s">
        <v>707</v>
      </c>
      <c r="E117" s="397" t="s">
        <v>707</v>
      </c>
    </row>
    <row r="118">
      <c r="A118" s="398" t="s">
        <v>708</v>
      </c>
      <c r="B118" s="399" t="s">
        <v>709</v>
      </c>
      <c r="C118" s="433"/>
      <c r="D118" s="434" t="s">
        <v>710</v>
      </c>
      <c r="E118" s="434" t="s">
        <v>710</v>
      </c>
    </row>
    <row r="119">
      <c r="A119" s="380" t="s">
        <v>183</v>
      </c>
      <c r="B119" s="381" t="s">
        <v>711</v>
      </c>
      <c r="C119" s="431"/>
      <c r="D119" s="392" t="s">
        <v>710</v>
      </c>
      <c r="E119" s="392" t="s">
        <v>712</v>
      </c>
    </row>
    <row r="120">
      <c r="A120" s="380" t="s">
        <v>184</v>
      </c>
      <c r="B120" s="381" t="s">
        <v>713</v>
      </c>
      <c r="C120" s="431"/>
      <c r="D120" s="392" t="s">
        <v>710</v>
      </c>
      <c r="E120" s="392" t="s">
        <v>714</v>
      </c>
    </row>
    <row r="121">
      <c r="A121" s="380" t="s">
        <v>185</v>
      </c>
      <c r="B121" s="381" t="s">
        <v>715</v>
      </c>
      <c r="C121" s="431"/>
      <c r="D121" s="392" t="s">
        <v>710</v>
      </c>
      <c r="E121" s="392" t="s">
        <v>716</v>
      </c>
    </row>
    <row r="122">
      <c r="A122" s="380" t="s">
        <v>186</v>
      </c>
      <c r="B122" s="381" t="s">
        <v>717</v>
      </c>
      <c r="C122" s="431"/>
      <c r="D122" s="392" t="s">
        <v>710</v>
      </c>
      <c r="E122" s="392" t="s">
        <v>718</v>
      </c>
    </row>
    <row r="123">
      <c r="A123" s="380" t="s">
        <v>187</v>
      </c>
      <c r="B123" s="381" t="s">
        <v>719</v>
      </c>
      <c r="C123" s="431"/>
      <c r="D123" s="392" t="s">
        <v>710</v>
      </c>
      <c r="E123" s="392" t="s">
        <v>720</v>
      </c>
    </row>
    <row r="124">
      <c r="A124" s="380" t="s">
        <v>188</v>
      </c>
      <c r="B124" s="381" t="s">
        <v>721</v>
      </c>
      <c r="C124" s="431"/>
      <c r="D124" s="392" t="s">
        <v>710</v>
      </c>
      <c r="E124" s="392" t="s">
        <v>722</v>
      </c>
    </row>
    <row r="125">
      <c r="A125" s="380" t="s">
        <v>189</v>
      </c>
      <c r="B125" s="381" t="s">
        <v>723</v>
      </c>
      <c r="C125" s="431"/>
      <c r="D125" s="392" t="s">
        <v>710</v>
      </c>
      <c r="E125" s="392" t="s">
        <v>724</v>
      </c>
    </row>
    <row r="126">
      <c r="A126" s="398" t="s">
        <v>725</v>
      </c>
      <c r="B126" s="399" t="s">
        <v>726</v>
      </c>
      <c r="C126" s="433"/>
      <c r="D126" s="434" t="s">
        <v>727</v>
      </c>
      <c r="E126" s="434" t="s">
        <v>727</v>
      </c>
    </row>
    <row r="127">
      <c r="A127" s="380" t="s">
        <v>190</v>
      </c>
      <c r="B127" s="381" t="s">
        <v>726</v>
      </c>
      <c r="C127" s="431"/>
      <c r="D127" s="392" t="s">
        <v>727</v>
      </c>
      <c r="E127" s="392" t="s">
        <v>728</v>
      </c>
    </row>
    <row r="128">
      <c r="A128" s="380" t="s">
        <v>191</v>
      </c>
      <c r="B128" s="381" t="s">
        <v>729</v>
      </c>
      <c r="C128" s="431"/>
      <c r="D128" s="392" t="s">
        <v>727</v>
      </c>
      <c r="E128" s="392" t="s">
        <v>730</v>
      </c>
    </row>
    <row r="129">
      <c r="A129" s="380" t="s">
        <v>192</v>
      </c>
      <c r="B129" s="381" t="s">
        <v>731</v>
      </c>
      <c r="C129" s="431"/>
      <c r="D129" s="392" t="s">
        <v>727</v>
      </c>
      <c r="E129" s="392" t="s">
        <v>732</v>
      </c>
    </row>
    <row r="130">
      <c r="A130" s="398" t="s">
        <v>733</v>
      </c>
      <c r="B130" s="399" t="s">
        <v>734</v>
      </c>
      <c r="C130" s="433"/>
      <c r="D130" s="434" t="s">
        <v>735</v>
      </c>
      <c r="E130" s="434" t="s">
        <v>735</v>
      </c>
    </row>
    <row r="131">
      <c r="A131" s="380" t="s">
        <v>193</v>
      </c>
      <c r="B131" s="381" t="s">
        <v>736</v>
      </c>
      <c r="C131" s="431"/>
      <c r="D131" s="392" t="s">
        <v>735</v>
      </c>
      <c r="E131" s="392" t="s">
        <v>737</v>
      </c>
    </row>
    <row r="132">
      <c r="A132" s="398" t="s">
        <v>738</v>
      </c>
      <c r="B132" s="399" t="s">
        <v>739</v>
      </c>
      <c r="C132" s="433"/>
      <c r="D132" s="434" t="s">
        <v>740</v>
      </c>
      <c r="E132" s="434" t="s">
        <v>740</v>
      </c>
    </row>
    <row r="133">
      <c r="A133" s="380" t="s">
        <v>194</v>
      </c>
      <c r="B133" s="381" t="s">
        <v>741</v>
      </c>
      <c r="C133" s="431"/>
      <c r="D133" s="392" t="s">
        <v>740</v>
      </c>
      <c r="E133" s="392" t="s">
        <v>742</v>
      </c>
    </row>
    <row r="134">
      <c r="A134" s="404" t="s">
        <v>102</v>
      </c>
      <c r="B134" s="405" t="s">
        <v>743</v>
      </c>
      <c r="C134" s="406"/>
      <c r="D134" s="407" t="s">
        <v>744</v>
      </c>
      <c r="E134" s="407" t="s">
        <v>744</v>
      </c>
    </row>
    <row r="135">
      <c r="A135" s="408" t="s">
        <v>745</v>
      </c>
      <c r="B135" s="409" t="s">
        <v>746</v>
      </c>
      <c r="C135" s="435"/>
      <c r="D135" s="411" t="s">
        <v>747</v>
      </c>
      <c r="E135" s="411" t="s">
        <v>747</v>
      </c>
    </row>
    <row r="136">
      <c r="A136" s="380" t="s">
        <v>195</v>
      </c>
      <c r="B136" s="381" t="s">
        <v>748</v>
      </c>
      <c r="C136" s="431"/>
      <c r="D136" s="392" t="s">
        <v>747</v>
      </c>
      <c r="E136" s="392" t="s">
        <v>749</v>
      </c>
    </row>
    <row r="137">
      <c r="A137" s="380" t="s">
        <v>196</v>
      </c>
      <c r="B137" s="381" t="s">
        <v>750</v>
      </c>
      <c r="C137" s="431"/>
      <c r="D137" s="392" t="s">
        <v>747</v>
      </c>
      <c r="E137" s="392" t="s">
        <v>751</v>
      </c>
    </row>
    <row r="138">
      <c r="A138" s="380" t="s">
        <v>197</v>
      </c>
      <c r="B138" s="381" t="s">
        <v>752</v>
      </c>
      <c r="C138" s="431"/>
      <c r="D138" s="392" t="s">
        <v>747</v>
      </c>
      <c r="E138" s="392" t="s">
        <v>753</v>
      </c>
    </row>
    <row r="139">
      <c r="A139" s="380" t="s">
        <v>198</v>
      </c>
      <c r="B139" s="381" t="s">
        <v>754</v>
      </c>
      <c r="C139" s="431"/>
      <c r="D139" s="392" t="s">
        <v>747</v>
      </c>
      <c r="E139" s="392" t="s">
        <v>755</v>
      </c>
    </row>
    <row r="140">
      <c r="A140" s="408" t="s">
        <v>756</v>
      </c>
      <c r="B140" s="409" t="s">
        <v>757</v>
      </c>
      <c r="C140" s="435"/>
      <c r="D140" s="411" t="s">
        <v>758</v>
      </c>
      <c r="E140" s="411" t="s">
        <v>758</v>
      </c>
    </row>
    <row r="141">
      <c r="A141" s="380" t="s">
        <v>199</v>
      </c>
      <c r="B141" s="381" t="s">
        <v>759</v>
      </c>
      <c r="C141" s="431"/>
      <c r="D141" s="392" t="s">
        <v>758</v>
      </c>
      <c r="E141" s="392" t="s">
        <v>760</v>
      </c>
    </row>
    <row r="142">
      <c r="A142" s="380" t="s">
        <v>200</v>
      </c>
      <c r="B142" s="381" t="s">
        <v>761</v>
      </c>
      <c r="C142" s="431"/>
      <c r="D142" s="392" t="s">
        <v>758</v>
      </c>
      <c r="E142" s="392" t="s">
        <v>762</v>
      </c>
    </row>
    <row r="143">
      <c r="A143" s="408" t="s">
        <v>763</v>
      </c>
      <c r="B143" s="409" t="s">
        <v>764</v>
      </c>
      <c r="C143" s="435"/>
      <c r="D143" s="411" t="s">
        <v>765</v>
      </c>
      <c r="E143" s="411" t="s">
        <v>765</v>
      </c>
    </row>
    <row r="144">
      <c r="A144" s="380" t="s">
        <v>201</v>
      </c>
      <c r="B144" s="381" t="s">
        <v>766</v>
      </c>
      <c r="C144" s="431"/>
      <c r="D144" s="392" t="s">
        <v>765</v>
      </c>
      <c r="E144" s="392" t="s">
        <v>767</v>
      </c>
    </row>
    <row r="145">
      <c r="A145" s="380" t="s">
        <v>202</v>
      </c>
      <c r="B145" s="381" t="s">
        <v>768</v>
      </c>
      <c r="C145" s="431"/>
      <c r="D145" s="392" t="s">
        <v>765</v>
      </c>
      <c r="E145" s="392" t="s">
        <v>769</v>
      </c>
    </row>
    <row r="146">
      <c r="A146" s="380" t="s">
        <v>203</v>
      </c>
      <c r="B146" s="381" t="s">
        <v>770</v>
      </c>
      <c r="C146" s="431"/>
      <c r="D146" s="392" t="s">
        <v>765</v>
      </c>
      <c r="E146" s="392" t="s">
        <v>771</v>
      </c>
    </row>
    <row r="147">
      <c r="A147" s="413" t="s">
        <v>104</v>
      </c>
      <c r="B147" s="414" t="s">
        <v>772</v>
      </c>
      <c r="C147" s="415"/>
      <c r="D147" s="416" t="s">
        <v>773</v>
      </c>
      <c r="E147" s="416" t="s">
        <v>773</v>
      </c>
    </row>
    <row r="148">
      <c r="A148" s="417" t="s">
        <v>774</v>
      </c>
      <c r="B148" s="418" t="s">
        <v>775</v>
      </c>
      <c r="C148" s="436"/>
      <c r="D148" s="420" t="s">
        <v>776</v>
      </c>
      <c r="E148" s="420" t="s">
        <v>776</v>
      </c>
    </row>
    <row r="149">
      <c r="A149" s="380" t="s">
        <v>204</v>
      </c>
      <c r="B149" s="381" t="s">
        <v>777</v>
      </c>
      <c r="C149" s="431"/>
      <c r="D149" s="392" t="s">
        <v>776</v>
      </c>
      <c r="E149" s="392" t="s">
        <v>778</v>
      </c>
    </row>
    <row r="150">
      <c r="A150" s="380" t="s">
        <v>205</v>
      </c>
      <c r="B150" s="381" t="s">
        <v>779</v>
      </c>
      <c r="C150" s="431"/>
      <c r="D150" s="392" t="s">
        <v>776</v>
      </c>
      <c r="E150" s="392" t="s">
        <v>780</v>
      </c>
    </row>
    <row r="151">
      <c r="A151" s="417" t="s">
        <v>781</v>
      </c>
      <c r="B151" s="418" t="s">
        <v>782</v>
      </c>
      <c r="C151" s="436"/>
      <c r="D151" s="420" t="s">
        <v>783</v>
      </c>
      <c r="E151" s="420" t="s">
        <v>783</v>
      </c>
    </row>
    <row r="152">
      <c r="A152" s="380" t="s">
        <v>206</v>
      </c>
      <c r="B152" s="381" t="s">
        <v>784</v>
      </c>
      <c r="C152" s="431"/>
      <c r="D152" s="392" t="s">
        <v>783</v>
      </c>
      <c r="E152" s="392" t="s">
        <v>785</v>
      </c>
    </row>
    <row r="153">
      <c r="A153" s="380" t="s">
        <v>207</v>
      </c>
      <c r="B153" s="381" t="s">
        <v>786</v>
      </c>
      <c r="C153" s="431"/>
      <c r="D153" s="392" t="s">
        <v>783</v>
      </c>
      <c r="E153" s="392" t="s">
        <v>787</v>
      </c>
    </row>
    <row r="154">
      <c r="A154" s="380" t="s">
        <v>208</v>
      </c>
      <c r="B154" s="381" t="s">
        <v>788</v>
      </c>
      <c r="C154" s="431"/>
      <c r="D154" s="392" t="s">
        <v>783</v>
      </c>
      <c r="E154" s="392" t="s">
        <v>789</v>
      </c>
    </row>
    <row r="155">
      <c r="A155" s="417" t="s">
        <v>790</v>
      </c>
      <c r="B155" s="418" t="s">
        <v>791</v>
      </c>
      <c r="C155" s="436"/>
      <c r="D155" s="420" t="s">
        <v>792</v>
      </c>
      <c r="E155" s="420" t="s">
        <v>792</v>
      </c>
    </row>
    <row r="156">
      <c r="A156" s="380" t="s">
        <v>209</v>
      </c>
      <c r="B156" s="381" t="s">
        <v>793</v>
      </c>
      <c r="C156" s="431"/>
      <c r="D156" s="392" t="s">
        <v>792</v>
      </c>
      <c r="E156" s="392" t="s">
        <v>794</v>
      </c>
    </row>
    <row r="157">
      <c r="A157" s="380" t="s">
        <v>210</v>
      </c>
      <c r="B157" s="381" t="s">
        <v>795</v>
      </c>
      <c r="C157" s="431"/>
      <c r="D157" s="392" t="s">
        <v>792</v>
      </c>
      <c r="E157" s="392" t="s">
        <v>796</v>
      </c>
    </row>
    <row r="158">
      <c r="A158" s="380" t="s">
        <v>211</v>
      </c>
      <c r="B158" s="381" t="s">
        <v>797</v>
      </c>
      <c r="C158" s="431"/>
      <c r="D158" s="392" t="s">
        <v>792</v>
      </c>
      <c r="E158" s="392" t="s">
        <v>798</v>
      </c>
    </row>
    <row r="159">
      <c r="A159" s="437"/>
      <c r="B159" s="438"/>
      <c r="C159" s="439"/>
      <c r="D159" s="440"/>
      <c r="E159" s="440"/>
    </row>
  </sheetData>
  <printOptions gridLines="1" horizontalCentered="1"/>
  <pageMargins bottom="0.75" footer="0.0" header="0.0" left="0.7" right="0.7" top="0.75"/>
  <pageSetup fitToWidth="0"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5.13"/>
  </cols>
  <sheetData>
    <row r="1">
      <c r="A1" s="441" t="s">
        <v>0</v>
      </c>
      <c r="B1" s="441" t="s">
        <v>799</v>
      </c>
    </row>
    <row r="2">
      <c r="A2" s="442">
        <v>1.0</v>
      </c>
      <c r="B2" s="4" t="s">
        <v>10</v>
      </c>
    </row>
    <row r="3">
      <c r="A3" s="442" t="s">
        <v>800</v>
      </c>
      <c r="B3" s="4" t="s">
        <v>10</v>
      </c>
    </row>
    <row r="4">
      <c r="A4" s="442" t="s">
        <v>801</v>
      </c>
      <c r="B4" s="4" t="s">
        <v>10</v>
      </c>
    </row>
    <row r="5">
      <c r="A5" s="442">
        <v>3.0</v>
      </c>
      <c r="B5" s="4" t="s">
        <v>10</v>
      </c>
    </row>
    <row r="6">
      <c r="A6" s="442">
        <v>4.0</v>
      </c>
      <c r="B6" s="4" t="s">
        <v>802</v>
      </c>
    </row>
    <row r="7">
      <c r="A7" s="442" t="s">
        <v>803</v>
      </c>
      <c r="B7" s="4" t="s">
        <v>802</v>
      </c>
    </row>
    <row r="8">
      <c r="A8" s="442" t="s">
        <v>804</v>
      </c>
      <c r="B8" s="4" t="s">
        <v>802</v>
      </c>
    </row>
    <row r="9">
      <c r="A9" s="442">
        <v>6.0</v>
      </c>
      <c r="B9" s="4" t="s">
        <v>802</v>
      </c>
    </row>
    <row r="10">
      <c r="A10" s="442" t="s">
        <v>805</v>
      </c>
      <c r="B10" s="4" t="s">
        <v>31</v>
      </c>
    </row>
    <row r="11">
      <c r="A11" s="442" t="s">
        <v>806</v>
      </c>
      <c r="B11" s="4" t="s">
        <v>31</v>
      </c>
    </row>
    <row r="12">
      <c r="A12" s="442">
        <v>8.0</v>
      </c>
      <c r="B12" s="4" t="s">
        <v>31</v>
      </c>
    </row>
    <row r="13">
      <c r="A13" s="442">
        <v>9.0</v>
      </c>
      <c r="B13" s="4" t="s">
        <v>31</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2.75"/>
  <cols>
    <col customWidth="1" min="1" max="6" width="15.13"/>
    <col customWidth="1" min="7" max="7" width="14.38"/>
    <col customWidth="1" min="8" max="8" width="15.13"/>
    <col customWidth="1" min="9" max="9" width="21.0"/>
    <col customWidth="1" min="10" max="11" width="11.25"/>
    <col customWidth="1" min="12" max="12" width="22.25"/>
    <col customWidth="1" min="13" max="13" width="39.88"/>
    <col customWidth="1" min="14" max="24" width="15.13"/>
    <col customWidth="1" min="25" max="30" width="9.88"/>
    <col customWidth="1" min="31" max="36" width="15.13"/>
  </cols>
  <sheetData>
    <row r="1">
      <c r="A1" s="443" t="s">
        <v>807</v>
      </c>
      <c r="B1" s="443" t="s">
        <v>808</v>
      </c>
      <c r="C1" s="443" t="s">
        <v>223</v>
      </c>
      <c r="D1" s="443" t="s">
        <v>224</v>
      </c>
      <c r="E1" s="443" t="s">
        <v>228</v>
      </c>
      <c r="F1" s="443" t="s">
        <v>809</v>
      </c>
      <c r="G1" s="444" t="s">
        <v>810</v>
      </c>
      <c r="H1" s="445" t="str">
        <f>HYPERLINK("https://docs.google.com/a/newvisions.org/spreadsheets/d/1Yn1tGkFj9Z4mNcqWWIomHe_Co8WS2YqIlhcwip_7g1I/edit#gid=1","Standards Code")</f>
        <v>Standards Code</v>
      </c>
      <c r="I1" s="1" t="s">
        <v>2</v>
      </c>
      <c r="J1" s="443" t="s">
        <v>811</v>
      </c>
      <c r="K1" s="1" t="s">
        <v>3</v>
      </c>
      <c r="L1" s="1" t="s">
        <v>4</v>
      </c>
      <c r="M1" s="1" t="s">
        <v>5</v>
      </c>
      <c r="N1" s="446" t="s">
        <v>812</v>
      </c>
      <c r="O1" s="446" t="s">
        <v>228</v>
      </c>
      <c r="P1" s="446" t="s">
        <v>813</v>
      </c>
      <c r="Q1" s="447" t="s">
        <v>814</v>
      </c>
      <c r="R1" s="447" t="s">
        <v>815</v>
      </c>
      <c r="S1" s="448" t="s">
        <v>816</v>
      </c>
      <c r="T1" s="447" t="s">
        <v>817</v>
      </c>
      <c r="U1" s="449" t="s">
        <v>818</v>
      </c>
      <c r="V1" s="450" t="s">
        <v>819</v>
      </c>
      <c r="W1" s="446" t="s">
        <v>820</v>
      </c>
      <c r="X1" s="451" t="str">
        <f>HYPERLINK("https://docs.google.com/a/newvisions.org/spreadsheets/d/1Yn1tGkFj9Z4mNcqWWIomHe_Co8WS2YqIlhcwip_7g1I/edit#gid=2","Key Ideas Code")</f>
        <v>Key Ideas Code</v>
      </c>
      <c r="Y1" s="452" t="s">
        <v>821</v>
      </c>
      <c r="Z1" s="452" t="s">
        <v>822</v>
      </c>
      <c r="AA1" s="453" t="s">
        <v>823</v>
      </c>
      <c r="AB1" s="454" t="s">
        <v>232</v>
      </c>
      <c r="AC1" s="454" t="s">
        <v>824</v>
      </c>
      <c r="AD1" s="444" t="s">
        <v>825</v>
      </c>
    </row>
    <row r="2" ht="267.75" customHeight="1">
      <c r="A2" s="455" t="s">
        <v>826</v>
      </c>
      <c r="B2" s="455" t="str">
        <f t="shared" ref="B2:B64" si="1">"June 2014 Global History "&amp;A2</f>
        <v>June 2014 Global History QMC1</v>
      </c>
      <c r="C2" s="455" t="s">
        <v>244</v>
      </c>
      <c r="D2" s="2">
        <v>1.0</v>
      </c>
      <c r="E2" s="455" t="s">
        <v>243</v>
      </c>
      <c r="F2" s="455">
        <v>3.0</v>
      </c>
      <c r="G2" s="455">
        <v>1.0</v>
      </c>
      <c r="H2" s="456" t="s">
        <v>10</v>
      </c>
      <c r="I2" t="str">
        <f t="shared" ref="I2:I66" si="2">IFERROR(VLOOKUP(H2,'Global History Standards'!$A:$E,2,false),"")</f>
        <v/>
      </c>
      <c r="J2">
        <f t="shared" ref="J2:J66" si="3">ROUND(100*SUMIFS($G$2:$G66,$I$2:I66,I2)/SUM($G$2:$G66),0)</f>
        <v>0</v>
      </c>
      <c r="K2" t="str">
        <f t="shared" ref="K2:K66" si="4">IFERROR(VLOOKUP(H2,'Global History Standards'!$A:$E,3,false),"")</f>
        <v/>
      </c>
      <c r="L2" t="str">
        <f t="shared" ref="L2:L66" si="5">iferror(VLOOKUP(H2,'Global History Standards'!$A:$E,4,false),"")</f>
        <v/>
      </c>
      <c r="M2" t="str">
        <f t="shared" ref="M2:M56" si="6">iferror(VLOOKUP(H2,'Global History Standards'!$A:$E,5,false),"")</f>
        <v/>
      </c>
      <c r="N2" s="455"/>
      <c r="O2" s="455" t="s">
        <v>827</v>
      </c>
      <c r="P2" s="455"/>
      <c r="Q2" s="457" t="s">
        <v>828</v>
      </c>
      <c r="R2" s="458" t="s">
        <v>829</v>
      </c>
      <c r="S2" s="457" t="s">
        <v>830</v>
      </c>
      <c r="T2" s="458" t="s">
        <v>829</v>
      </c>
      <c r="U2" s="459"/>
      <c r="V2" s="459" t="s">
        <v>831</v>
      </c>
      <c r="W2" s="455"/>
      <c r="X2" s="455"/>
      <c r="Y2" t="str">
        <f t="shared" ref="Y2:Y56" si="7">iferror(vlookup($X2,'History_Key Ideas'!$A$2:$F$82,2,false),"")</f>
        <v/>
      </c>
      <c r="Z2" t="str">
        <f t="shared" ref="Z2:Z56" si="8">iferror(vlookup($X2,'History_Key Ideas'!$A$2:$F$82,3,false),"")</f>
        <v/>
      </c>
      <c r="AA2" t="str">
        <f t="shared" ref="AA2:AA56" si="9">iferror(vlookup($X2,'History_Key Ideas'!$A$2:$F$82,4,false),"")</f>
        <v/>
      </c>
      <c r="AB2" t="str">
        <f t="shared" ref="AB2:AB56" si="10">iferror(vlookup($X2,'History_Key Ideas'!$A$2:$F$82,5,false),"")</f>
        <v/>
      </c>
      <c r="AC2" t="str">
        <f t="shared" ref="AC2:AC56" si="11">iferror(vlookup($X2,'History_Key Ideas'!$A$2:$F$82,6,false),"")</f>
        <v/>
      </c>
    </row>
    <row r="3">
      <c r="A3" s="455" t="s">
        <v>832</v>
      </c>
      <c r="B3" s="455" t="str">
        <f t="shared" si="1"/>
        <v>June 2014 Global History QMC2</v>
      </c>
      <c r="C3" s="455" t="s">
        <v>244</v>
      </c>
      <c r="D3" s="2">
        <v>2.0</v>
      </c>
      <c r="E3" s="455" t="s">
        <v>243</v>
      </c>
      <c r="F3" s="455">
        <v>1.0</v>
      </c>
      <c r="G3" s="455">
        <v>1.0</v>
      </c>
      <c r="H3" s="456" t="s">
        <v>833</v>
      </c>
      <c r="I3" t="str">
        <f t="shared" si="2"/>
        <v/>
      </c>
      <c r="J3">
        <f t="shared" si="3"/>
        <v>0</v>
      </c>
      <c r="K3" t="str">
        <f t="shared" si="4"/>
        <v/>
      </c>
      <c r="L3" t="str">
        <f t="shared" si="5"/>
        <v/>
      </c>
      <c r="M3" t="str">
        <f t="shared" si="6"/>
        <v/>
      </c>
      <c r="N3" s="455"/>
      <c r="O3" s="455" t="s">
        <v>834</v>
      </c>
      <c r="Q3" s="457" t="s">
        <v>835</v>
      </c>
      <c r="R3" s="458" t="s">
        <v>829</v>
      </c>
      <c r="S3" s="457" t="s">
        <v>830</v>
      </c>
      <c r="T3" s="458" t="s">
        <v>829</v>
      </c>
      <c r="V3" s="460" t="s">
        <v>836</v>
      </c>
      <c r="Y3" t="str">
        <f t="shared" si="7"/>
        <v/>
      </c>
      <c r="Z3" t="str">
        <f t="shared" si="8"/>
        <v/>
      </c>
      <c r="AA3" t="str">
        <f t="shared" si="9"/>
        <v/>
      </c>
      <c r="AB3" t="str">
        <f t="shared" si="10"/>
        <v/>
      </c>
      <c r="AC3" t="str">
        <f t="shared" si="11"/>
        <v/>
      </c>
    </row>
    <row r="4">
      <c r="A4" s="455" t="s">
        <v>837</v>
      </c>
      <c r="B4" s="455" t="str">
        <f t="shared" si="1"/>
        <v>June 2014 Global History QMC3</v>
      </c>
      <c r="C4" s="455" t="s">
        <v>244</v>
      </c>
      <c r="D4" s="2">
        <v>3.0</v>
      </c>
      <c r="E4" s="455" t="s">
        <v>243</v>
      </c>
      <c r="F4" s="455">
        <v>2.0</v>
      </c>
      <c r="G4" s="455">
        <v>1.0</v>
      </c>
      <c r="H4" s="456" t="s">
        <v>838</v>
      </c>
      <c r="I4" t="str">
        <f t="shared" si="2"/>
        <v/>
      </c>
      <c r="J4">
        <f t="shared" si="3"/>
        <v>0</v>
      </c>
      <c r="K4" t="str">
        <f t="shared" si="4"/>
        <v/>
      </c>
      <c r="L4" t="str">
        <f t="shared" si="5"/>
        <v/>
      </c>
      <c r="M4" t="str">
        <f t="shared" si="6"/>
        <v/>
      </c>
      <c r="N4" s="455"/>
      <c r="O4" s="455" t="s">
        <v>839</v>
      </c>
      <c r="Q4" s="457" t="s">
        <v>840</v>
      </c>
      <c r="R4" s="458" t="s">
        <v>829</v>
      </c>
      <c r="S4" s="457" t="s">
        <v>830</v>
      </c>
      <c r="T4" s="458" t="s">
        <v>829</v>
      </c>
      <c r="V4" s="460" t="s">
        <v>841</v>
      </c>
      <c r="Y4" t="str">
        <f t="shared" si="7"/>
        <v/>
      </c>
      <c r="Z4" t="str">
        <f t="shared" si="8"/>
        <v/>
      </c>
      <c r="AA4" t="str">
        <f t="shared" si="9"/>
        <v/>
      </c>
      <c r="AB4" t="str">
        <f t="shared" si="10"/>
        <v/>
      </c>
      <c r="AC4" t="str">
        <f t="shared" si="11"/>
        <v/>
      </c>
    </row>
    <row r="5">
      <c r="A5" s="455" t="s">
        <v>842</v>
      </c>
      <c r="B5" s="455" t="str">
        <f t="shared" si="1"/>
        <v>June 2014 Global History QMC4</v>
      </c>
      <c r="C5" s="455" t="s">
        <v>244</v>
      </c>
      <c r="D5" s="2">
        <v>4.0</v>
      </c>
      <c r="E5" s="455" t="s">
        <v>243</v>
      </c>
      <c r="F5" s="455">
        <v>1.0</v>
      </c>
      <c r="G5" s="455">
        <v>1.0</v>
      </c>
      <c r="H5" s="456" t="s">
        <v>843</v>
      </c>
      <c r="I5" t="str">
        <f t="shared" si="2"/>
        <v/>
      </c>
      <c r="J5">
        <f t="shared" si="3"/>
        <v>0</v>
      </c>
      <c r="K5" t="str">
        <f t="shared" si="4"/>
        <v/>
      </c>
      <c r="L5" t="str">
        <f t="shared" si="5"/>
        <v/>
      </c>
      <c r="M5" t="str">
        <f t="shared" si="6"/>
        <v/>
      </c>
      <c r="N5" s="455"/>
      <c r="O5" s="455" t="s">
        <v>839</v>
      </c>
      <c r="Q5" s="457" t="s">
        <v>844</v>
      </c>
      <c r="R5" s="458" t="s">
        <v>829</v>
      </c>
      <c r="S5" s="457" t="s">
        <v>845</v>
      </c>
      <c r="T5" s="458" t="s">
        <v>829</v>
      </c>
      <c r="V5" s="460" t="s">
        <v>846</v>
      </c>
      <c r="Y5" t="str">
        <f t="shared" si="7"/>
        <v/>
      </c>
      <c r="Z5" t="str">
        <f t="shared" si="8"/>
        <v/>
      </c>
      <c r="AA5" t="str">
        <f t="shared" si="9"/>
        <v/>
      </c>
      <c r="AB5" t="str">
        <f t="shared" si="10"/>
        <v/>
      </c>
      <c r="AC5" t="str">
        <f t="shared" si="11"/>
        <v/>
      </c>
    </row>
    <row r="6">
      <c r="A6" s="455" t="s">
        <v>847</v>
      </c>
      <c r="B6" s="455" t="str">
        <f t="shared" si="1"/>
        <v>June 2014 Global History QMC5</v>
      </c>
      <c r="C6" s="455" t="s">
        <v>244</v>
      </c>
      <c r="D6" s="2">
        <v>5.0</v>
      </c>
      <c r="E6" s="455" t="s">
        <v>243</v>
      </c>
      <c r="F6" s="455">
        <v>4.0</v>
      </c>
      <c r="G6" s="455">
        <v>1.0</v>
      </c>
      <c r="H6" s="456" t="s">
        <v>848</v>
      </c>
      <c r="I6" t="str">
        <f t="shared" si="2"/>
        <v/>
      </c>
      <c r="J6">
        <f t="shared" si="3"/>
        <v>0</v>
      </c>
      <c r="K6" t="str">
        <f t="shared" si="4"/>
        <v/>
      </c>
      <c r="L6" t="str">
        <f t="shared" si="5"/>
        <v/>
      </c>
      <c r="M6" t="str">
        <f t="shared" si="6"/>
        <v/>
      </c>
      <c r="N6" s="455"/>
      <c r="O6" s="455" t="s">
        <v>849</v>
      </c>
      <c r="Q6" s="457" t="s">
        <v>828</v>
      </c>
      <c r="R6" s="458" t="s">
        <v>829</v>
      </c>
      <c r="S6" s="457" t="s">
        <v>830</v>
      </c>
      <c r="T6" s="458" t="s">
        <v>829</v>
      </c>
      <c r="V6" s="460" t="s">
        <v>850</v>
      </c>
      <c r="Y6" t="str">
        <f t="shared" si="7"/>
        <v/>
      </c>
      <c r="Z6" t="str">
        <f t="shared" si="8"/>
        <v/>
      </c>
      <c r="AA6" t="str">
        <f t="shared" si="9"/>
        <v/>
      </c>
      <c r="AB6" t="str">
        <f t="shared" si="10"/>
        <v/>
      </c>
      <c r="AC6" t="str">
        <f t="shared" si="11"/>
        <v/>
      </c>
    </row>
    <row r="7">
      <c r="A7" s="455" t="s">
        <v>851</v>
      </c>
      <c r="B7" s="455" t="str">
        <f t="shared" si="1"/>
        <v>June 2014 Global History QMC6</v>
      </c>
      <c r="C7" s="455" t="s">
        <v>244</v>
      </c>
      <c r="D7" s="2">
        <v>6.0</v>
      </c>
      <c r="E7" s="455" t="s">
        <v>243</v>
      </c>
      <c r="F7" s="455">
        <v>3.0</v>
      </c>
      <c r="G7" s="455">
        <v>1.0</v>
      </c>
      <c r="H7" s="456" t="s">
        <v>10</v>
      </c>
      <c r="I7" t="str">
        <f t="shared" si="2"/>
        <v/>
      </c>
      <c r="J7">
        <f t="shared" si="3"/>
        <v>0</v>
      </c>
      <c r="K7" t="str">
        <f t="shared" si="4"/>
        <v/>
      </c>
      <c r="L7" t="str">
        <f t="shared" si="5"/>
        <v/>
      </c>
      <c r="M7" t="str">
        <f t="shared" si="6"/>
        <v/>
      </c>
      <c r="N7" s="455"/>
      <c r="O7" s="455" t="s">
        <v>839</v>
      </c>
      <c r="Q7" s="457" t="s">
        <v>852</v>
      </c>
      <c r="R7" s="458" t="s">
        <v>829</v>
      </c>
      <c r="S7" s="457" t="s">
        <v>830</v>
      </c>
      <c r="T7" s="458" t="s">
        <v>829</v>
      </c>
      <c r="V7" s="460" t="s">
        <v>853</v>
      </c>
      <c r="Y7" t="str">
        <f t="shared" si="7"/>
        <v/>
      </c>
      <c r="Z7" t="str">
        <f t="shared" si="8"/>
        <v/>
      </c>
      <c r="AA7" t="str">
        <f t="shared" si="9"/>
        <v/>
      </c>
      <c r="AB7" t="str">
        <f t="shared" si="10"/>
        <v/>
      </c>
      <c r="AC7" t="str">
        <f t="shared" si="11"/>
        <v/>
      </c>
    </row>
    <row r="8">
      <c r="A8" s="455" t="s">
        <v>854</v>
      </c>
      <c r="B8" s="455" t="str">
        <f t="shared" si="1"/>
        <v>June 2014 Global History QMC7</v>
      </c>
      <c r="C8" s="455" t="s">
        <v>244</v>
      </c>
      <c r="D8" s="2">
        <v>7.0</v>
      </c>
      <c r="E8" s="455" t="s">
        <v>243</v>
      </c>
      <c r="F8" s="455">
        <v>4.0</v>
      </c>
      <c r="G8" s="455">
        <v>1.0</v>
      </c>
      <c r="H8" s="456" t="s">
        <v>855</v>
      </c>
      <c r="I8" t="str">
        <f t="shared" si="2"/>
        <v/>
      </c>
      <c r="J8">
        <f t="shared" si="3"/>
        <v>0</v>
      </c>
      <c r="K8" t="str">
        <f t="shared" si="4"/>
        <v/>
      </c>
      <c r="L8" t="str">
        <f t="shared" si="5"/>
        <v/>
      </c>
      <c r="M8" t="str">
        <f t="shared" si="6"/>
        <v/>
      </c>
      <c r="N8" s="455"/>
      <c r="O8" s="455" t="s">
        <v>839</v>
      </c>
      <c r="Q8" s="457" t="s">
        <v>856</v>
      </c>
      <c r="R8" s="458" t="s">
        <v>829</v>
      </c>
      <c r="S8" s="457" t="s">
        <v>830</v>
      </c>
      <c r="T8" s="458" t="s">
        <v>829</v>
      </c>
      <c r="V8" s="460" t="s">
        <v>857</v>
      </c>
      <c r="Y8" t="str">
        <f t="shared" si="7"/>
        <v/>
      </c>
      <c r="Z8" t="str">
        <f t="shared" si="8"/>
        <v/>
      </c>
      <c r="AA8" t="str">
        <f t="shared" si="9"/>
        <v/>
      </c>
      <c r="AB8" t="str">
        <f t="shared" si="10"/>
        <v/>
      </c>
      <c r="AC8" t="str">
        <f t="shared" si="11"/>
        <v/>
      </c>
    </row>
    <row r="9">
      <c r="A9" s="455" t="s">
        <v>858</v>
      </c>
      <c r="B9" s="455" t="str">
        <f t="shared" si="1"/>
        <v>June 2014 Global History QMC8</v>
      </c>
      <c r="C9" s="455" t="s">
        <v>244</v>
      </c>
      <c r="D9" s="2">
        <v>8.0</v>
      </c>
      <c r="E9" s="455" t="s">
        <v>243</v>
      </c>
      <c r="F9" s="455">
        <v>1.0</v>
      </c>
      <c r="G9" s="455">
        <v>1.0</v>
      </c>
      <c r="H9" s="456" t="s">
        <v>859</v>
      </c>
      <c r="I9" t="str">
        <f t="shared" si="2"/>
        <v/>
      </c>
      <c r="J9">
        <f t="shared" si="3"/>
        <v>0</v>
      </c>
      <c r="K9" t="str">
        <f t="shared" si="4"/>
        <v/>
      </c>
      <c r="L9" t="str">
        <f t="shared" si="5"/>
        <v/>
      </c>
      <c r="M9" t="str">
        <f t="shared" si="6"/>
        <v/>
      </c>
      <c r="N9" s="455"/>
      <c r="O9" s="455" t="s">
        <v>839</v>
      </c>
      <c r="Q9" s="457" t="s">
        <v>840</v>
      </c>
      <c r="R9" s="458" t="s">
        <v>829</v>
      </c>
      <c r="S9" s="457" t="s">
        <v>845</v>
      </c>
      <c r="T9" s="458" t="s">
        <v>829</v>
      </c>
      <c r="V9" s="460" t="s">
        <v>860</v>
      </c>
      <c r="Y9" t="str">
        <f t="shared" si="7"/>
        <v/>
      </c>
      <c r="Z9" t="str">
        <f t="shared" si="8"/>
        <v/>
      </c>
      <c r="AA9" t="str">
        <f t="shared" si="9"/>
        <v/>
      </c>
      <c r="AB9" t="str">
        <f t="shared" si="10"/>
        <v/>
      </c>
      <c r="AC9" t="str">
        <f t="shared" si="11"/>
        <v/>
      </c>
    </row>
    <row r="10">
      <c r="A10" s="455" t="s">
        <v>861</v>
      </c>
      <c r="B10" s="455" t="str">
        <f t="shared" si="1"/>
        <v>June 2014 Global History QMC9</v>
      </c>
      <c r="C10" s="455" t="s">
        <v>244</v>
      </c>
      <c r="D10" s="2">
        <v>9.0</v>
      </c>
      <c r="E10" s="455" t="s">
        <v>243</v>
      </c>
      <c r="F10" s="455">
        <v>4.0</v>
      </c>
      <c r="G10" s="455">
        <v>1.0</v>
      </c>
      <c r="H10" s="456" t="s">
        <v>862</v>
      </c>
      <c r="I10" t="str">
        <f t="shared" si="2"/>
        <v/>
      </c>
      <c r="J10">
        <f t="shared" si="3"/>
        <v>0</v>
      </c>
      <c r="K10" t="str">
        <f t="shared" si="4"/>
        <v/>
      </c>
      <c r="L10" t="str">
        <f t="shared" si="5"/>
        <v/>
      </c>
      <c r="M10" t="str">
        <f t="shared" si="6"/>
        <v/>
      </c>
      <c r="N10" s="455"/>
      <c r="O10" s="455" t="s">
        <v>839</v>
      </c>
      <c r="Q10" s="457" t="s">
        <v>840</v>
      </c>
      <c r="R10" s="458" t="s">
        <v>829</v>
      </c>
      <c r="S10" s="457" t="s">
        <v>845</v>
      </c>
      <c r="T10" s="458" t="s">
        <v>829</v>
      </c>
      <c r="V10" s="460" t="s">
        <v>863</v>
      </c>
      <c r="Y10" t="str">
        <f t="shared" si="7"/>
        <v/>
      </c>
      <c r="Z10" t="str">
        <f t="shared" si="8"/>
        <v/>
      </c>
      <c r="AA10" t="str">
        <f t="shared" si="9"/>
        <v/>
      </c>
      <c r="AB10" t="str">
        <f t="shared" si="10"/>
        <v/>
      </c>
      <c r="AC10" t="str">
        <f t="shared" si="11"/>
        <v/>
      </c>
    </row>
    <row r="11">
      <c r="A11" s="455" t="s">
        <v>864</v>
      </c>
      <c r="B11" s="455" t="str">
        <f t="shared" si="1"/>
        <v>June 2014 Global History QMC10</v>
      </c>
      <c r="C11" s="455" t="s">
        <v>244</v>
      </c>
      <c r="D11" s="2">
        <v>10.0</v>
      </c>
      <c r="E11" s="455" t="s">
        <v>243</v>
      </c>
      <c r="F11" s="455">
        <v>1.0</v>
      </c>
      <c r="G11" s="455">
        <v>1.0</v>
      </c>
      <c r="H11" s="456" t="s">
        <v>17</v>
      </c>
      <c r="I11" t="str">
        <f t="shared" si="2"/>
        <v/>
      </c>
      <c r="J11">
        <f t="shared" si="3"/>
        <v>0</v>
      </c>
      <c r="K11" t="str">
        <f t="shared" si="4"/>
        <v/>
      </c>
      <c r="L11" t="str">
        <f t="shared" si="5"/>
        <v/>
      </c>
      <c r="M11" t="str">
        <f t="shared" si="6"/>
        <v/>
      </c>
      <c r="N11" s="455"/>
      <c r="O11" s="455" t="s">
        <v>839</v>
      </c>
      <c r="Q11" s="457" t="s">
        <v>852</v>
      </c>
      <c r="R11" s="458" t="s">
        <v>829</v>
      </c>
      <c r="S11" s="457" t="s">
        <v>830</v>
      </c>
      <c r="T11" s="458" t="s">
        <v>829</v>
      </c>
      <c r="V11" s="460" t="s">
        <v>865</v>
      </c>
      <c r="Y11" t="str">
        <f t="shared" si="7"/>
        <v/>
      </c>
      <c r="Z11" t="str">
        <f t="shared" si="8"/>
        <v/>
      </c>
      <c r="AA11" t="str">
        <f t="shared" si="9"/>
        <v/>
      </c>
      <c r="AB11" t="str">
        <f t="shared" si="10"/>
        <v/>
      </c>
      <c r="AC11" t="str">
        <f t="shared" si="11"/>
        <v/>
      </c>
    </row>
    <row r="12">
      <c r="A12" s="455" t="s">
        <v>866</v>
      </c>
      <c r="B12" s="455" t="str">
        <f t="shared" si="1"/>
        <v>June 2014 Global History QMC11</v>
      </c>
      <c r="C12" s="455" t="s">
        <v>244</v>
      </c>
      <c r="D12" s="2">
        <v>11.0</v>
      </c>
      <c r="E12" s="455" t="s">
        <v>243</v>
      </c>
      <c r="F12" s="455">
        <v>4.0</v>
      </c>
      <c r="G12" s="455">
        <v>1.0</v>
      </c>
      <c r="H12" s="456" t="s">
        <v>867</v>
      </c>
      <c r="I12" t="str">
        <f t="shared" si="2"/>
        <v/>
      </c>
      <c r="J12">
        <f t="shared" si="3"/>
        <v>0</v>
      </c>
      <c r="K12" t="str">
        <f t="shared" si="4"/>
        <v/>
      </c>
      <c r="L12" t="str">
        <f t="shared" si="5"/>
        <v/>
      </c>
      <c r="M12" t="str">
        <f t="shared" si="6"/>
        <v/>
      </c>
      <c r="N12" s="455"/>
      <c r="O12" s="455" t="s">
        <v>868</v>
      </c>
      <c r="Q12" s="457" t="s">
        <v>835</v>
      </c>
      <c r="R12" s="458" t="s">
        <v>829</v>
      </c>
      <c r="S12" s="457" t="s">
        <v>830</v>
      </c>
      <c r="T12" s="458" t="s">
        <v>829</v>
      </c>
      <c r="V12" s="460" t="s">
        <v>869</v>
      </c>
      <c r="Y12" t="str">
        <f t="shared" si="7"/>
        <v/>
      </c>
      <c r="Z12" t="str">
        <f t="shared" si="8"/>
        <v/>
      </c>
      <c r="AA12" t="str">
        <f t="shared" si="9"/>
        <v/>
      </c>
      <c r="AB12" t="str">
        <f t="shared" si="10"/>
        <v/>
      </c>
      <c r="AC12" t="str">
        <f t="shared" si="11"/>
        <v/>
      </c>
    </row>
    <row r="13">
      <c r="A13" s="455" t="s">
        <v>870</v>
      </c>
      <c r="B13" s="455" t="str">
        <f t="shared" si="1"/>
        <v>June 2014 Global History QMC12</v>
      </c>
      <c r="C13" s="455" t="s">
        <v>244</v>
      </c>
      <c r="D13" s="2">
        <v>12.0</v>
      </c>
      <c r="E13" s="455" t="s">
        <v>243</v>
      </c>
      <c r="F13" s="455">
        <v>3.0</v>
      </c>
      <c r="G13" s="455">
        <v>1.0</v>
      </c>
      <c r="H13" s="456" t="s">
        <v>871</v>
      </c>
      <c r="I13" t="str">
        <f t="shared" si="2"/>
        <v/>
      </c>
      <c r="J13">
        <f t="shared" si="3"/>
        <v>0</v>
      </c>
      <c r="K13" t="str">
        <f t="shared" si="4"/>
        <v/>
      </c>
      <c r="L13" t="str">
        <f t="shared" si="5"/>
        <v/>
      </c>
      <c r="M13" t="str">
        <f t="shared" si="6"/>
        <v/>
      </c>
      <c r="N13" s="461"/>
      <c r="O13" s="461" t="s">
        <v>839</v>
      </c>
      <c r="Q13" s="457" t="s">
        <v>840</v>
      </c>
      <c r="R13" s="458" t="s">
        <v>829</v>
      </c>
      <c r="S13" s="457" t="s">
        <v>830</v>
      </c>
      <c r="T13" s="458" t="s">
        <v>829</v>
      </c>
      <c r="V13" s="460" t="s">
        <v>872</v>
      </c>
      <c r="Y13" t="str">
        <f t="shared" si="7"/>
        <v/>
      </c>
      <c r="Z13" t="str">
        <f t="shared" si="8"/>
        <v/>
      </c>
      <c r="AA13" t="str">
        <f t="shared" si="9"/>
        <v/>
      </c>
      <c r="AB13" t="str">
        <f t="shared" si="10"/>
        <v/>
      </c>
      <c r="AC13" t="str">
        <f t="shared" si="11"/>
        <v/>
      </c>
    </row>
    <row r="14">
      <c r="A14" s="455" t="s">
        <v>873</v>
      </c>
      <c r="B14" s="455" t="str">
        <f t="shared" si="1"/>
        <v>June 2014 Global History QMC13</v>
      </c>
      <c r="C14" s="455" t="s">
        <v>244</v>
      </c>
      <c r="D14" s="2">
        <v>13.0</v>
      </c>
      <c r="E14" s="455" t="s">
        <v>243</v>
      </c>
      <c r="F14" s="455">
        <v>1.0</v>
      </c>
      <c r="G14" s="455">
        <v>1.0</v>
      </c>
      <c r="H14" s="456" t="s">
        <v>874</v>
      </c>
      <c r="I14" t="str">
        <f t="shared" si="2"/>
        <v/>
      </c>
      <c r="J14">
        <f t="shared" si="3"/>
        <v>0</v>
      </c>
      <c r="K14" t="str">
        <f t="shared" si="4"/>
        <v/>
      </c>
      <c r="L14" t="str">
        <f t="shared" si="5"/>
        <v/>
      </c>
      <c r="M14" t="str">
        <f t="shared" si="6"/>
        <v/>
      </c>
      <c r="N14" s="461"/>
      <c r="O14" s="461" t="s">
        <v>839</v>
      </c>
      <c r="Q14" s="457" t="s">
        <v>840</v>
      </c>
      <c r="R14" s="458" t="s">
        <v>829</v>
      </c>
      <c r="S14" s="457" t="s">
        <v>845</v>
      </c>
      <c r="T14" s="458" t="s">
        <v>829</v>
      </c>
      <c r="V14" s="460" t="s">
        <v>875</v>
      </c>
      <c r="Y14" t="str">
        <f t="shared" si="7"/>
        <v/>
      </c>
      <c r="Z14" t="str">
        <f t="shared" si="8"/>
        <v/>
      </c>
      <c r="AA14" t="str">
        <f t="shared" si="9"/>
        <v/>
      </c>
      <c r="AB14" t="str">
        <f t="shared" si="10"/>
        <v/>
      </c>
      <c r="AC14" t="str">
        <f t="shared" si="11"/>
        <v/>
      </c>
    </row>
    <row r="15">
      <c r="A15" s="455" t="s">
        <v>876</v>
      </c>
      <c r="B15" s="455" t="str">
        <f t="shared" si="1"/>
        <v>June 2014 Global History QMC14</v>
      </c>
      <c r="C15" s="455" t="s">
        <v>244</v>
      </c>
      <c r="D15" s="2">
        <v>14.0</v>
      </c>
      <c r="E15" s="455" t="s">
        <v>243</v>
      </c>
      <c r="F15" s="455">
        <v>3.0</v>
      </c>
      <c r="G15" s="455">
        <v>1.0</v>
      </c>
      <c r="H15" s="456" t="s">
        <v>877</v>
      </c>
      <c r="I15" t="str">
        <f t="shared" si="2"/>
        <v/>
      </c>
      <c r="J15">
        <f t="shared" si="3"/>
        <v>0</v>
      </c>
      <c r="K15" t="str">
        <f t="shared" si="4"/>
        <v/>
      </c>
      <c r="L15" t="str">
        <f t="shared" si="5"/>
        <v/>
      </c>
      <c r="M15" t="str">
        <f t="shared" si="6"/>
        <v/>
      </c>
      <c r="N15" s="455"/>
      <c r="O15" s="455" t="s">
        <v>839</v>
      </c>
      <c r="Q15" s="457" t="s">
        <v>840</v>
      </c>
      <c r="R15" s="458" t="s">
        <v>829</v>
      </c>
      <c r="S15" s="457" t="s">
        <v>830</v>
      </c>
      <c r="T15" s="458" t="s">
        <v>829</v>
      </c>
      <c r="V15" s="460" t="s">
        <v>878</v>
      </c>
      <c r="Y15" t="str">
        <f t="shared" si="7"/>
        <v/>
      </c>
      <c r="Z15" t="str">
        <f t="shared" si="8"/>
        <v/>
      </c>
      <c r="AA15" t="str">
        <f t="shared" si="9"/>
        <v/>
      </c>
      <c r="AB15" t="str">
        <f t="shared" si="10"/>
        <v/>
      </c>
      <c r="AC15" t="str">
        <f t="shared" si="11"/>
        <v/>
      </c>
    </row>
    <row r="16">
      <c r="A16" s="455" t="s">
        <v>879</v>
      </c>
      <c r="B16" s="455" t="str">
        <f t="shared" si="1"/>
        <v>June 2014 Global History QMC15</v>
      </c>
      <c r="C16" s="455" t="s">
        <v>244</v>
      </c>
      <c r="D16" s="2">
        <v>15.0</v>
      </c>
      <c r="E16" s="455" t="s">
        <v>243</v>
      </c>
      <c r="F16" s="455">
        <v>1.0</v>
      </c>
      <c r="G16" s="455">
        <v>1.0</v>
      </c>
      <c r="H16" s="456" t="s">
        <v>880</v>
      </c>
      <c r="I16" t="str">
        <f t="shared" si="2"/>
        <v/>
      </c>
      <c r="J16">
        <f t="shared" si="3"/>
        <v>0</v>
      </c>
      <c r="K16" t="str">
        <f t="shared" si="4"/>
        <v/>
      </c>
      <c r="L16" t="str">
        <f t="shared" si="5"/>
        <v/>
      </c>
      <c r="M16" t="str">
        <f t="shared" si="6"/>
        <v/>
      </c>
      <c r="N16" s="455"/>
      <c r="O16" s="455" t="s">
        <v>839</v>
      </c>
      <c r="Q16" s="457" t="s">
        <v>835</v>
      </c>
      <c r="R16" s="458" t="s">
        <v>829</v>
      </c>
      <c r="S16" s="457" t="s">
        <v>830</v>
      </c>
      <c r="T16" s="458" t="s">
        <v>829</v>
      </c>
      <c r="V16" s="460" t="s">
        <v>881</v>
      </c>
      <c r="Y16" t="str">
        <f t="shared" si="7"/>
        <v/>
      </c>
      <c r="Z16" t="str">
        <f t="shared" si="8"/>
        <v/>
      </c>
      <c r="AA16" t="str">
        <f t="shared" si="9"/>
        <v/>
      </c>
      <c r="AB16" t="str">
        <f t="shared" si="10"/>
        <v/>
      </c>
      <c r="AC16" t="str">
        <f t="shared" si="11"/>
        <v/>
      </c>
    </row>
    <row r="17">
      <c r="A17" s="455" t="s">
        <v>882</v>
      </c>
      <c r="B17" s="455" t="str">
        <f t="shared" si="1"/>
        <v>June 2014 Global History QMC16</v>
      </c>
      <c r="C17" s="455" t="s">
        <v>244</v>
      </c>
      <c r="D17" s="2">
        <v>16.0</v>
      </c>
      <c r="E17" s="455" t="s">
        <v>243</v>
      </c>
      <c r="F17" s="455">
        <v>2.0</v>
      </c>
      <c r="G17" s="455">
        <v>1.0</v>
      </c>
      <c r="H17" s="456" t="s">
        <v>883</v>
      </c>
      <c r="I17" t="str">
        <f t="shared" si="2"/>
        <v/>
      </c>
      <c r="J17">
        <f t="shared" si="3"/>
        <v>0</v>
      </c>
      <c r="K17" t="str">
        <f t="shared" si="4"/>
        <v/>
      </c>
      <c r="L17" t="str">
        <f t="shared" si="5"/>
        <v/>
      </c>
      <c r="M17" t="str">
        <f t="shared" si="6"/>
        <v/>
      </c>
      <c r="N17" s="455"/>
      <c r="O17" s="455" t="s">
        <v>839</v>
      </c>
      <c r="Q17" s="457" t="s">
        <v>840</v>
      </c>
      <c r="R17" s="458" t="s">
        <v>829</v>
      </c>
      <c r="S17" s="457" t="s">
        <v>830</v>
      </c>
      <c r="T17" s="458" t="s">
        <v>829</v>
      </c>
      <c r="V17" s="460" t="s">
        <v>884</v>
      </c>
      <c r="Y17" t="str">
        <f t="shared" si="7"/>
        <v/>
      </c>
      <c r="Z17" t="str">
        <f t="shared" si="8"/>
        <v/>
      </c>
      <c r="AA17" t="str">
        <f t="shared" si="9"/>
        <v/>
      </c>
      <c r="AB17" t="str">
        <f t="shared" si="10"/>
        <v/>
      </c>
      <c r="AC17" t="str">
        <f t="shared" si="11"/>
        <v/>
      </c>
    </row>
    <row r="18">
      <c r="A18" s="455" t="s">
        <v>885</v>
      </c>
      <c r="B18" s="455" t="str">
        <f t="shared" si="1"/>
        <v>June 2014 Global History QMC17</v>
      </c>
      <c r="C18" s="455" t="s">
        <v>244</v>
      </c>
      <c r="D18" s="2">
        <v>17.0</v>
      </c>
      <c r="E18" s="455" t="s">
        <v>243</v>
      </c>
      <c r="F18" s="455">
        <v>1.0</v>
      </c>
      <c r="G18" s="455">
        <v>1.0</v>
      </c>
      <c r="H18" s="456" t="s">
        <v>886</v>
      </c>
      <c r="I18" t="str">
        <f t="shared" si="2"/>
        <v/>
      </c>
      <c r="J18">
        <f t="shared" si="3"/>
        <v>0</v>
      </c>
      <c r="K18" t="str">
        <f t="shared" si="4"/>
        <v/>
      </c>
      <c r="L18" t="str">
        <f t="shared" si="5"/>
        <v/>
      </c>
      <c r="M18" t="str">
        <f t="shared" si="6"/>
        <v/>
      </c>
      <c r="N18" s="455"/>
      <c r="O18" s="455" t="s">
        <v>839</v>
      </c>
      <c r="Q18" s="457" t="s">
        <v>840</v>
      </c>
      <c r="R18" s="458" t="s">
        <v>829</v>
      </c>
      <c r="S18" s="457" t="s">
        <v>830</v>
      </c>
      <c r="T18" s="458" t="s">
        <v>829</v>
      </c>
      <c r="V18" s="460" t="s">
        <v>887</v>
      </c>
      <c r="Y18" t="str">
        <f t="shared" si="7"/>
        <v/>
      </c>
      <c r="Z18" t="str">
        <f t="shared" si="8"/>
        <v/>
      </c>
      <c r="AA18" t="str">
        <f t="shared" si="9"/>
        <v/>
      </c>
      <c r="AB18" t="str">
        <f t="shared" si="10"/>
        <v/>
      </c>
      <c r="AC18" t="str">
        <f t="shared" si="11"/>
        <v/>
      </c>
    </row>
    <row r="19">
      <c r="A19" s="455" t="s">
        <v>888</v>
      </c>
      <c r="B19" s="455" t="str">
        <f t="shared" si="1"/>
        <v>June 2014 Global History QMC18</v>
      </c>
      <c r="C19" s="455" t="s">
        <v>244</v>
      </c>
      <c r="D19" s="2">
        <v>18.0</v>
      </c>
      <c r="E19" s="455" t="s">
        <v>243</v>
      </c>
      <c r="F19" s="455">
        <v>2.0</v>
      </c>
      <c r="G19" s="455">
        <v>1.0</v>
      </c>
      <c r="H19" s="456" t="s">
        <v>802</v>
      </c>
      <c r="I19" t="str">
        <f t="shared" si="2"/>
        <v/>
      </c>
      <c r="J19">
        <f t="shared" si="3"/>
        <v>0</v>
      </c>
      <c r="K19" t="str">
        <f t="shared" si="4"/>
        <v/>
      </c>
      <c r="L19" t="str">
        <f t="shared" si="5"/>
        <v/>
      </c>
      <c r="M19" t="str">
        <f t="shared" si="6"/>
        <v/>
      </c>
      <c r="N19" s="455"/>
      <c r="O19" s="455" t="s">
        <v>839</v>
      </c>
      <c r="Q19" s="457" t="s">
        <v>852</v>
      </c>
      <c r="R19" s="458" t="s">
        <v>829</v>
      </c>
      <c r="S19" s="457" t="s">
        <v>830</v>
      </c>
      <c r="T19" s="458" t="s">
        <v>829</v>
      </c>
      <c r="V19" s="460" t="s">
        <v>889</v>
      </c>
      <c r="Y19" t="str">
        <f t="shared" si="7"/>
        <v/>
      </c>
      <c r="Z19" t="str">
        <f t="shared" si="8"/>
        <v/>
      </c>
      <c r="AA19" t="str">
        <f t="shared" si="9"/>
        <v/>
      </c>
      <c r="AB19" t="str">
        <f t="shared" si="10"/>
        <v/>
      </c>
      <c r="AC19" t="str">
        <f t="shared" si="11"/>
        <v/>
      </c>
    </row>
    <row r="20">
      <c r="A20" s="455" t="s">
        <v>890</v>
      </c>
      <c r="B20" s="455" t="str">
        <f t="shared" si="1"/>
        <v>June 2014 Global History QMC19</v>
      </c>
      <c r="C20" s="455" t="s">
        <v>244</v>
      </c>
      <c r="D20" s="2">
        <v>19.0</v>
      </c>
      <c r="E20" s="455" t="s">
        <v>243</v>
      </c>
      <c r="F20" s="455">
        <v>3.0</v>
      </c>
      <c r="G20" s="455">
        <v>1.0</v>
      </c>
      <c r="H20" s="456" t="s">
        <v>22</v>
      </c>
      <c r="I20" t="str">
        <f t="shared" si="2"/>
        <v/>
      </c>
      <c r="J20">
        <f t="shared" si="3"/>
        <v>0</v>
      </c>
      <c r="K20" t="str">
        <f t="shared" si="4"/>
        <v/>
      </c>
      <c r="L20" t="str">
        <f t="shared" si="5"/>
        <v/>
      </c>
      <c r="M20" t="str">
        <f t="shared" si="6"/>
        <v/>
      </c>
      <c r="N20" s="455"/>
      <c r="O20" s="455" t="s">
        <v>839</v>
      </c>
      <c r="Q20" s="457" t="s">
        <v>852</v>
      </c>
      <c r="R20" s="458" t="s">
        <v>829</v>
      </c>
      <c r="S20" s="457" t="s">
        <v>830</v>
      </c>
      <c r="T20" s="458" t="s">
        <v>829</v>
      </c>
      <c r="V20" s="460" t="s">
        <v>891</v>
      </c>
      <c r="Y20" t="str">
        <f t="shared" si="7"/>
        <v/>
      </c>
      <c r="Z20" t="str">
        <f t="shared" si="8"/>
        <v/>
      </c>
      <c r="AA20" t="str">
        <f t="shared" si="9"/>
        <v/>
      </c>
      <c r="AB20" t="str">
        <f t="shared" si="10"/>
        <v/>
      </c>
      <c r="AC20" t="str">
        <f t="shared" si="11"/>
        <v/>
      </c>
    </row>
    <row r="21">
      <c r="A21" s="455" t="s">
        <v>892</v>
      </c>
      <c r="B21" s="455" t="str">
        <f t="shared" si="1"/>
        <v>June 2014 Global History QMC20</v>
      </c>
      <c r="C21" s="455" t="s">
        <v>244</v>
      </c>
      <c r="D21" s="2">
        <v>20.0</v>
      </c>
      <c r="E21" s="455" t="s">
        <v>243</v>
      </c>
      <c r="F21" s="455">
        <v>4.0</v>
      </c>
      <c r="G21" s="455">
        <v>1.0</v>
      </c>
      <c r="H21" s="456" t="s">
        <v>893</v>
      </c>
      <c r="I21" t="str">
        <f t="shared" si="2"/>
        <v/>
      </c>
      <c r="J21">
        <f t="shared" si="3"/>
        <v>0</v>
      </c>
      <c r="K21" t="str">
        <f t="shared" si="4"/>
        <v/>
      </c>
      <c r="L21" t="str">
        <f t="shared" si="5"/>
        <v/>
      </c>
      <c r="M21" t="str">
        <f t="shared" si="6"/>
        <v/>
      </c>
      <c r="N21" s="461"/>
      <c r="O21" s="461" t="s">
        <v>839</v>
      </c>
      <c r="Q21" s="457" t="s">
        <v>835</v>
      </c>
      <c r="R21" s="458" t="s">
        <v>829</v>
      </c>
      <c r="S21" s="457" t="s">
        <v>830</v>
      </c>
      <c r="T21" s="458" t="s">
        <v>829</v>
      </c>
      <c r="V21" s="460" t="s">
        <v>894</v>
      </c>
      <c r="Y21" t="str">
        <f t="shared" si="7"/>
        <v/>
      </c>
      <c r="Z21" t="str">
        <f t="shared" si="8"/>
        <v/>
      </c>
      <c r="AA21" t="str">
        <f t="shared" si="9"/>
        <v/>
      </c>
      <c r="AB21" t="str">
        <f t="shared" si="10"/>
        <v/>
      </c>
      <c r="AC21" t="str">
        <f t="shared" si="11"/>
        <v/>
      </c>
    </row>
    <row r="22">
      <c r="A22" s="455" t="s">
        <v>895</v>
      </c>
      <c r="B22" s="455" t="str">
        <f t="shared" si="1"/>
        <v>June 2014 Global History QMC21</v>
      </c>
      <c r="C22" s="455" t="s">
        <v>244</v>
      </c>
      <c r="D22" s="2">
        <v>21.0</v>
      </c>
      <c r="E22" s="455" t="s">
        <v>243</v>
      </c>
      <c r="F22" s="455">
        <v>2.0</v>
      </c>
      <c r="G22" s="455">
        <v>1.0</v>
      </c>
      <c r="H22" s="456" t="s">
        <v>896</v>
      </c>
      <c r="I22" t="str">
        <f t="shared" si="2"/>
        <v/>
      </c>
      <c r="J22">
        <f t="shared" si="3"/>
        <v>0</v>
      </c>
      <c r="K22" t="str">
        <f t="shared" si="4"/>
        <v/>
      </c>
      <c r="L22" t="str">
        <f t="shared" si="5"/>
        <v/>
      </c>
      <c r="M22" t="str">
        <f t="shared" si="6"/>
        <v/>
      </c>
      <c r="N22" s="461"/>
      <c r="O22" s="461" t="s">
        <v>839</v>
      </c>
      <c r="Q22" s="457" t="s">
        <v>852</v>
      </c>
      <c r="R22" s="458" t="s">
        <v>829</v>
      </c>
      <c r="S22" s="457" t="s">
        <v>830</v>
      </c>
      <c r="T22" s="458" t="s">
        <v>829</v>
      </c>
      <c r="V22" s="460" t="s">
        <v>897</v>
      </c>
      <c r="Y22" t="str">
        <f t="shared" si="7"/>
        <v/>
      </c>
      <c r="Z22" t="str">
        <f t="shared" si="8"/>
        <v/>
      </c>
      <c r="AA22" t="str">
        <f t="shared" si="9"/>
        <v/>
      </c>
      <c r="AB22" t="str">
        <f t="shared" si="10"/>
        <v/>
      </c>
      <c r="AC22" t="str">
        <f t="shared" si="11"/>
        <v/>
      </c>
    </row>
    <row r="23">
      <c r="A23" s="455" t="s">
        <v>898</v>
      </c>
      <c r="B23" s="455" t="str">
        <f t="shared" si="1"/>
        <v>June 2014 Global History QMC22</v>
      </c>
      <c r="C23" s="455" t="s">
        <v>244</v>
      </c>
      <c r="D23" s="2">
        <v>22.0</v>
      </c>
      <c r="E23" s="455" t="s">
        <v>243</v>
      </c>
      <c r="F23" s="455">
        <v>2.0</v>
      </c>
      <c r="G23" s="455">
        <v>1.0</v>
      </c>
      <c r="H23" s="456" t="s">
        <v>25</v>
      </c>
      <c r="I23" t="str">
        <f t="shared" si="2"/>
        <v/>
      </c>
      <c r="J23">
        <f t="shared" si="3"/>
        <v>0</v>
      </c>
      <c r="K23" t="str">
        <f t="shared" si="4"/>
        <v/>
      </c>
      <c r="L23" t="str">
        <f t="shared" si="5"/>
        <v/>
      </c>
      <c r="M23" t="str">
        <f t="shared" si="6"/>
        <v/>
      </c>
      <c r="N23" s="461"/>
      <c r="O23" s="461" t="s">
        <v>839</v>
      </c>
      <c r="Q23" s="457" t="s">
        <v>856</v>
      </c>
      <c r="R23" s="458" t="s">
        <v>829</v>
      </c>
      <c r="S23" s="457" t="s">
        <v>830</v>
      </c>
      <c r="T23" s="458" t="s">
        <v>829</v>
      </c>
      <c r="V23" s="460" t="s">
        <v>899</v>
      </c>
      <c r="Y23" t="str">
        <f t="shared" si="7"/>
        <v/>
      </c>
      <c r="Z23" t="str">
        <f t="shared" si="8"/>
        <v/>
      </c>
      <c r="AA23" t="str">
        <f t="shared" si="9"/>
        <v/>
      </c>
      <c r="AB23" t="str">
        <f t="shared" si="10"/>
        <v/>
      </c>
      <c r="AC23" t="str">
        <f t="shared" si="11"/>
        <v/>
      </c>
    </row>
    <row r="24">
      <c r="A24" s="455" t="s">
        <v>900</v>
      </c>
      <c r="B24" s="455" t="str">
        <f t="shared" si="1"/>
        <v>June 2014 Global History QMC23</v>
      </c>
      <c r="C24" s="455" t="s">
        <v>244</v>
      </c>
      <c r="D24" s="2">
        <v>23.0</v>
      </c>
      <c r="E24" s="455" t="s">
        <v>243</v>
      </c>
      <c r="F24" s="455">
        <v>1.0</v>
      </c>
      <c r="G24" s="455">
        <v>1.0</v>
      </c>
      <c r="H24" s="456" t="s">
        <v>901</v>
      </c>
      <c r="I24" t="str">
        <f t="shared" si="2"/>
        <v/>
      </c>
      <c r="J24">
        <f t="shared" si="3"/>
        <v>0</v>
      </c>
      <c r="K24" t="str">
        <f t="shared" si="4"/>
        <v/>
      </c>
      <c r="L24" t="str">
        <f t="shared" si="5"/>
        <v/>
      </c>
      <c r="M24" t="str">
        <f t="shared" si="6"/>
        <v/>
      </c>
      <c r="N24" s="461"/>
      <c r="O24" s="461" t="s">
        <v>839</v>
      </c>
      <c r="Q24" s="457" t="s">
        <v>852</v>
      </c>
      <c r="R24" s="458" t="s">
        <v>829</v>
      </c>
      <c r="S24" s="457" t="s">
        <v>830</v>
      </c>
      <c r="T24" s="458" t="s">
        <v>829</v>
      </c>
      <c r="V24" s="460" t="s">
        <v>902</v>
      </c>
      <c r="Y24" t="str">
        <f t="shared" si="7"/>
        <v/>
      </c>
      <c r="Z24" t="str">
        <f t="shared" si="8"/>
        <v/>
      </c>
      <c r="AA24" t="str">
        <f t="shared" si="9"/>
        <v/>
      </c>
      <c r="AB24" t="str">
        <f t="shared" si="10"/>
        <v/>
      </c>
      <c r="AC24" t="str">
        <f t="shared" si="11"/>
        <v/>
      </c>
    </row>
    <row r="25">
      <c r="A25" s="455" t="s">
        <v>903</v>
      </c>
      <c r="B25" s="455" t="str">
        <f t="shared" si="1"/>
        <v>June 2014 Global History QMC24</v>
      </c>
      <c r="C25" s="455" t="s">
        <v>244</v>
      </c>
      <c r="D25" s="2">
        <v>24.0</v>
      </c>
      <c r="E25" s="455" t="s">
        <v>243</v>
      </c>
      <c r="F25" s="455">
        <v>3.0</v>
      </c>
      <c r="G25" s="455">
        <v>1.0</v>
      </c>
      <c r="H25" s="456" t="s">
        <v>28</v>
      </c>
      <c r="I25" t="str">
        <f t="shared" si="2"/>
        <v/>
      </c>
      <c r="J25">
        <f t="shared" si="3"/>
        <v>0</v>
      </c>
      <c r="K25" t="str">
        <f t="shared" si="4"/>
        <v/>
      </c>
      <c r="L25" t="str">
        <f t="shared" si="5"/>
        <v/>
      </c>
      <c r="M25" t="str">
        <f t="shared" si="6"/>
        <v/>
      </c>
      <c r="N25" s="461"/>
      <c r="O25" s="461" t="s">
        <v>839</v>
      </c>
      <c r="Q25" s="457" t="s">
        <v>856</v>
      </c>
      <c r="R25" s="458" t="s">
        <v>829</v>
      </c>
      <c r="S25" s="457" t="s">
        <v>904</v>
      </c>
      <c r="T25" s="458" t="s">
        <v>829</v>
      </c>
      <c r="V25" s="460" t="s">
        <v>905</v>
      </c>
      <c r="Y25" t="str">
        <f t="shared" si="7"/>
        <v/>
      </c>
      <c r="Z25" t="str">
        <f t="shared" si="8"/>
        <v/>
      </c>
      <c r="AA25" t="str">
        <f t="shared" si="9"/>
        <v/>
      </c>
      <c r="AB25" t="str">
        <f t="shared" si="10"/>
        <v/>
      </c>
      <c r="AC25" t="str">
        <f t="shared" si="11"/>
        <v/>
      </c>
    </row>
    <row r="26">
      <c r="A26" s="455" t="s">
        <v>906</v>
      </c>
      <c r="B26" s="455" t="str">
        <f t="shared" si="1"/>
        <v>June 2014 Global History QMC25</v>
      </c>
      <c r="C26" s="455" t="s">
        <v>244</v>
      </c>
      <c r="D26" s="2">
        <v>25.0</v>
      </c>
      <c r="E26" s="455" t="s">
        <v>243</v>
      </c>
      <c r="F26" s="455">
        <v>1.0</v>
      </c>
      <c r="G26" s="455">
        <v>1.0</v>
      </c>
      <c r="H26" s="456" t="s">
        <v>907</v>
      </c>
      <c r="I26" t="str">
        <f t="shared" si="2"/>
        <v/>
      </c>
      <c r="J26">
        <f t="shared" si="3"/>
        <v>0</v>
      </c>
      <c r="K26" t="str">
        <f t="shared" si="4"/>
        <v/>
      </c>
      <c r="L26" t="str">
        <f t="shared" si="5"/>
        <v/>
      </c>
      <c r="M26" t="str">
        <f t="shared" si="6"/>
        <v/>
      </c>
      <c r="N26" s="461"/>
      <c r="O26" s="461" t="s">
        <v>839</v>
      </c>
      <c r="Q26" s="457" t="s">
        <v>852</v>
      </c>
      <c r="R26" s="458" t="s">
        <v>829</v>
      </c>
      <c r="S26" s="457" t="s">
        <v>830</v>
      </c>
      <c r="T26" s="458" t="s">
        <v>829</v>
      </c>
      <c r="V26" s="460" t="s">
        <v>908</v>
      </c>
      <c r="Y26" t="str">
        <f t="shared" si="7"/>
        <v/>
      </c>
      <c r="Z26" t="str">
        <f t="shared" si="8"/>
        <v/>
      </c>
      <c r="AA26" t="str">
        <f t="shared" si="9"/>
        <v/>
      </c>
      <c r="AB26" t="str">
        <f t="shared" si="10"/>
        <v/>
      </c>
      <c r="AC26" t="str">
        <f t="shared" si="11"/>
        <v/>
      </c>
    </row>
    <row r="27">
      <c r="A27" s="455" t="s">
        <v>909</v>
      </c>
      <c r="B27" s="455" t="str">
        <f t="shared" si="1"/>
        <v>June 2014 Global History QMC26</v>
      </c>
      <c r="C27" s="455" t="s">
        <v>244</v>
      </c>
      <c r="D27" s="2">
        <v>26.0</v>
      </c>
      <c r="E27" s="455" t="s">
        <v>243</v>
      </c>
      <c r="F27" s="455">
        <v>2.0</v>
      </c>
      <c r="G27" s="455">
        <v>1.0</v>
      </c>
      <c r="H27" s="456" t="s">
        <v>910</v>
      </c>
      <c r="I27" t="str">
        <f t="shared" si="2"/>
        <v/>
      </c>
      <c r="J27">
        <f t="shared" si="3"/>
        <v>0</v>
      </c>
      <c r="K27" t="str">
        <f t="shared" si="4"/>
        <v/>
      </c>
      <c r="L27" t="str">
        <f t="shared" si="5"/>
        <v/>
      </c>
      <c r="M27" t="str">
        <f t="shared" si="6"/>
        <v/>
      </c>
      <c r="N27" s="461"/>
      <c r="O27" s="461" t="s">
        <v>839</v>
      </c>
      <c r="Q27" s="457" t="s">
        <v>840</v>
      </c>
      <c r="R27" s="458" t="s">
        <v>829</v>
      </c>
      <c r="S27" s="457" t="s">
        <v>845</v>
      </c>
      <c r="T27" s="458" t="s">
        <v>829</v>
      </c>
      <c r="V27" s="460" t="s">
        <v>911</v>
      </c>
      <c r="Y27" t="str">
        <f t="shared" si="7"/>
        <v/>
      </c>
      <c r="Z27" t="str">
        <f t="shared" si="8"/>
        <v/>
      </c>
      <c r="AA27" t="str">
        <f t="shared" si="9"/>
        <v/>
      </c>
      <c r="AB27" t="str">
        <f t="shared" si="10"/>
        <v/>
      </c>
      <c r="AC27" t="str">
        <f t="shared" si="11"/>
        <v/>
      </c>
    </row>
    <row r="28">
      <c r="A28" s="455" t="s">
        <v>912</v>
      </c>
      <c r="B28" s="455" t="str">
        <f t="shared" si="1"/>
        <v>June 2014 Global History QMC27</v>
      </c>
      <c r="C28" s="455" t="s">
        <v>244</v>
      </c>
      <c r="D28" s="2">
        <v>27.0</v>
      </c>
      <c r="E28" s="455" t="s">
        <v>243</v>
      </c>
      <c r="F28" s="455">
        <v>4.0</v>
      </c>
      <c r="G28" s="455">
        <v>1.0</v>
      </c>
      <c r="H28" s="456" t="s">
        <v>913</v>
      </c>
      <c r="I28" t="str">
        <f t="shared" si="2"/>
        <v/>
      </c>
      <c r="J28">
        <f t="shared" si="3"/>
        <v>0</v>
      </c>
      <c r="K28" t="str">
        <f t="shared" si="4"/>
        <v/>
      </c>
      <c r="L28" t="str">
        <f t="shared" si="5"/>
        <v/>
      </c>
      <c r="M28" t="str">
        <f t="shared" si="6"/>
        <v/>
      </c>
      <c r="N28" s="461"/>
      <c r="O28" s="461" t="s">
        <v>839</v>
      </c>
      <c r="Q28" s="457" t="s">
        <v>840</v>
      </c>
      <c r="R28" s="458" t="s">
        <v>829</v>
      </c>
      <c r="S28" s="457" t="s">
        <v>830</v>
      </c>
      <c r="T28" s="458" t="s">
        <v>829</v>
      </c>
      <c r="V28" s="460" t="s">
        <v>914</v>
      </c>
      <c r="Y28" t="str">
        <f t="shared" si="7"/>
        <v/>
      </c>
      <c r="Z28" t="str">
        <f t="shared" si="8"/>
        <v/>
      </c>
      <c r="AA28" t="str">
        <f t="shared" si="9"/>
        <v/>
      </c>
      <c r="AB28" t="str">
        <f t="shared" si="10"/>
        <v/>
      </c>
      <c r="AC28" t="str">
        <f t="shared" si="11"/>
        <v/>
      </c>
    </row>
    <row r="29">
      <c r="A29" s="455" t="s">
        <v>915</v>
      </c>
      <c r="B29" s="455" t="str">
        <f t="shared" si="1"/>
        <v>June 2014 Global History QMC28</v>
      </c>
      <c r="C29" s="455" t="s">
        <v>244</v>
      </c>
      <c r="D29" s="2">
        <v>28.0</v>
      </c>
      <c r="E29" s="455" t="s">
        <v>243</v>
      </c>
      <c r="F29" s="455">
        <v>2.0</v>
      </c>
      <c r="G29" s="455">
        <v>1.0</v>
      </c>
      <c r="H29" s="456" t="s">
        <v>871</v>
      </c>
      <c r="I29" t="str">
        <f t="shared" si="2"/>
        <v/>
      </c>
      <c r="J29">
        <f t="shared" si="3"/>
        <v>0</v>
      </c>
      <c r="K29" t="str">
        <f t="shared" si="4"/>
        <v/>
      </c>
      <c r="L29" t="str">
        <f t="shared" si="5"/>
        <v/>
      </c>
      <c r="M29" t="str">
        <f t="shared" si="6"/>
        <v/>
      </c>
      <c r="N29" s="461"/>
      <c r="O29" s="461" t="s">
        <v>839</v>
      </c>
      <c r="Q29" s="457" t="s">
        <v>840</v>
      </c>
      <c r="R29" s="458" t="s">
        <v>829</v>
      </c>
      <c r="S29" s="457" t="s">
        <v>830</v>
      </c>
      <c r="T29" s="458" t="s">
        <v>829</v>
      </c>
      <c r="V29" s="460" t="s">
        <v>916</v>
      </c>
      <c r="Y29" t="str">
        <f t="shared" si="7"/>
        <v/>
      </c>
      <c r="Z29" t="str">
        <f t="shared" si="8"/>
        <v/>
      </c>
      <c r="AA29" t="str">
        <f t="shared" si="9"/>
        <v/>
      </c>
      <c r="AB29" t="str">
        <f t="shared" si="10"/>
        <v/>
      </c>
      <c r="AC29" t="str">
        <f t="shared" si="11"/>
        <v/>
      </c>
    </row>
    <row r="30">
      <c r="A30" s="455" t="s">
        <v>917</v>
      </c>
      <c r="B30" s="455" t="str">
        <f t="shared" si="1"/>
        <v>June 2014 Global History QMC29</v>
      </c>
      <c r="C30" s="455" t="s">
        <v>244</v>
      </c>
      <c r="D30" s="2">
        <v>29.0</v>
      </c>
      <c r="E30" s="455" t="s">
        <v>243</v>
      </c>
      <c r="F30" s="455">
        <v>4.0</v>
      </c>
      <c r="G30" s="455">
        <v>1.0</v>
      </c>
      <c r="H30" s="456" t="s">
        <v>918</v>
      </c>
      <c r="I30" t="str">
        <f t="shared" si="2"/>
        <v/>
      </c>
      <c r="J30">
        <f t="shared" si="3"/>
        <v>0</v>
      </c>
      <c r="K30" t="str">
        <f t="shared" si="4"/>
        <v/>
      </c>
      <c r="L30" t="str">
        <f t="shared" si="5"/>
        <v/>
      </c>
      <c r="M30" t="str">
        <f t="shared" si="6"/>
        <v/>
      </c>
      <c r="N30" s="461"/>
      <c r="O30" s="461" t="s">
        <v>839</v>
      </c>
      <c r="Q30" s="457" t="s">
        <v>852</v>
      </c>
      <c r="R30" s="458" t="s">
        <v>829</v>
      </c>
      <c r="S30" s="457" t="s">
        <v>830</v>
      </c>
      <c r="T30" s="458" t="s">
        <v>829</v>
      </c>
      <c r="V30" s="460" t="s">
        <v>919</v>
      </c>
      <c r="Y30" t="str">
        <f t="shared" si="7"/>
        <v/>
      </c>
      <c r="Z30" t="str">
        <f t="shared" si="8"/>
        <v/>
      </c>
      <c r="AA30" t="str">
        <f t="shared" si="9"/>
        <v/>
      </c>
      <c r="AB30" t="str">
        <f t="shared" si="10"/>
        <v/>
      </c>
      <c r="AC30" t="str">
        <f t="shared" si="11"/>
        <v/>
      </c>
    </row>
    <row r="31">
      <c r="A31" s="455" t="s">
        <v>920</v>
      </c>
      <c r="B31" s="455" t="str">
        <f t="shared" si="1"/>
        <v>June 2014 Global History QMC30</v>
      </c>
      <c r="C31" s="455" t="s">
        <v>244</v>
      </c>
      <c r="D31" s="2">
        <v>30.0</v>
      </c>
      <c r="E31" s="455" t="s">
        <v>243</v>
      </c>
      <c r="F31" s="455">
        <v>3.0</v>
      </c>
      <c r="G31" s="455">
        <v>1.0</v>
      </c>
      <c r="H31" s="456" t="s">
        <v>921</v>
      </c>
      <c r="I31" t="str">
        <f t="shared" si="2"/>
        <v/>
      </c>
      <c r="J31">
        <f t="shared" si="3"/>
        <v>0</v>
      </c>
      <c r="K31" t="str">
        <f t="shared" si="4"/>
        <v/>
      </c>
      <c r="L31" t="str">
        <f t="shared" si="5"/>
        <v/>
      </c>
      <c r="M31" t="str">
        <f t="shared" si="6"/>
        <v/>
      </c>
      <c r="N31" s="455"/>
      <c r="O31" s="455" t="s">
        <v>834</v>
      </c>
      <c r="Q31" s="457" t="s">
        <v>835</v>
      </c>
      <c r="R31" s="458" t="s">
        <v>829</v>
      </c>
      <c r="S31" s="457" t="s">
        <v>830</v>
      </c>
      <c r="T31" s="458" t="s">
        <v>829</v>
      </c>
      <c r="V31" s="460" t="s">
        <v>922</v>
      </c>
      <c r="Y31" t="str">
        <f t="shared" si="7"/>
        <v/>
      </c>
      <c r="Z31" t="str">
        <f t="shared" si="8"/>
        <v/>
      </c>
      <c r="AA31" t="str">
        <f t="shared" si="9"/>
        <v/>
      </c>
      <c r="AB31" t="str">
        <f t="shared" si="10"/>
        <v/>
      </c>
      <c r="AC31" t="str">
        <f t="shared" si="11"/>
        <v/>
      </c>
    </row>
    <row r="32">
      <c r="A32" s="455" t="s">
        <v>923</v>
      </c>
      <c r="B32" s="455" t="str">
        <f t="shared" si="1"/>
        <v>June 2014 Global History QMC31</v>
      </c>
      <c r="C32" s="455" t="s">
        <v>244</v>
      </c>
      <c r="D32" s="2">
        <v>31.0</v>
      </c>
      <c r="E32" s="455" t="s">
        <v>243</v>
      </c>
      <c r="F32" s="455">
        <v>1.0</v>
      </c>
      <c r="G32" s="455">
        <v>1.0</v>
      </c>
      <c r="H32" s="456" t="s">
        <v>924</v>
      </c>
      <c r="I32" t="str">
        <f t="shared" si="2"/>
        <v/>
      </c>
      <c r="J32">
        <f t="shared" si="3"/>
        <v>0</v>
      </c>
      <c r="K32" t="str">
        <f t="shared" si="4"/>
        <v/>
      </c>
      <c r="L32" t="str">
        <f t="shared" si="5"/>
        <v/>
      </c>
      <c r="M32" t="str">
        <f t="shared" si="6"/>
        <v/>
      </c>
      <c r="N32" s="461"/>
      <c r="O32" s="461" t="s">
        <v>839</v>
      </c>
      <c r="Q32" s="457" t="s">
        <v>840</v>
      </c>
      <c r="R32" s="458" t="s">
        <v>829</v>
      </c>
      <c r="S32" s="457" t="s">
        <v>830</v>
      </c>
      <c r="T32" s="458" t="s">
        <v>829</v>
      </c>
      <c r="V32" s="460" t="s">
        <v>925</v>
      </c>
      <c r="Y32" t="str">
        <f t="shared" si="7"/>
        <v/>
      </c>
      <c r="Z32" t="str">
        <f t="shared" si="8"/>
        <v/>
      </c>
      <c r="AA32" t="str">
        <f t="shared" si="9"/>
        <v/>
      </c>
      <c r="AB32" t="str">
        <f t="shared" si="10"/>
        <v/>
      </c>
      <c r="AC32" t="str">
        <f t="shared" si="11"/>
        <v/>
      </c>
    </row>
    <row r="33">
      <c r="A33" s="455" t="s">
        <v>926</v>
      </c>
      <c r="B33" s="455" t="str">
        <f t="shared" si="1"/>
        <v>June 2014 Global History QMC32</v>
      </c>
      <c r="C33" s="455" t="s">
        <v>244</v>
      </c>
      <c r="D33" s="2">
        <v>32.0</v>
      </c>
      <c r="E33" s="455" t="s">
        <v>243</v>
      </c>
      <c r="F33" s="455">
        <v>4.0</v>
      </c>
      <c r="G33" s="455">
        <v>1.0</v>
      </c>
      <c r="H33" s="456" t="s">
        <v>927</v>
      </c>
      <c r="I33" t="str">
        <f t="shared" si="2"/>
        <v/>
      </c>
      <c r="J33">
        <f t="shared" si="3"/>
        <v>0</v>
      </c>
      <c r="K33" t="str">
        <f t="shared" si="4"/>
        <v/>
      </c>
      <c r="L33" t="str">
        <f t="shared" si="5"/>
        <v/>
      </c>
      <c r="M33" t="str">
        <f t="shared" si="6"/>
        <v/>
      </c>
      <c r="N33" s="461"/>
      <c r="O33" s="461" t="s">
        <v>839</v>
      </c>
      <c r="Q33" s="457" t="s">
        <v>844</v>
      </c>
      <c r="R33" s="458" t="s">
        <v>829</v>
      </c>
      <c r="S33" s="457" t="s">
        <v>845</v>
      </c>
      <c r="T33" s="458" t="s">
        <v>829</v>
      </c>
      <c r="V33" s="460" t="s">
        <v>928</v>
      </c>
      <c r="Y33" t="str">
        <f t="shared" si="7"/>
        <v/>
      </c>
      <c r="Z33" t="str">
        <f t="shared" si="8"/>
        <v/>
      </c>
      <c r="AA33" t="str">
        <f t="shared" si="9"/>
        <v/>
      </c>
      <c r="AB33" t="str">
        <f t="shared" si="10"/>
        <v/>
      </c>
      <c r="AC33" t="str">
        <f t="shared" si="11"/>
        <v/>
      </c>
    </row>
    <row r="34">
      <c r="A34" s="455" t="s">
        <v>929</v>
      </c>
      <c r="B34" s="455" t="str">
        <f t="shared" si="1"/>
        <v>June 2014 Global History QMC33</v>
      </c>
      <c r="C34" s="455" t="s">
        <v>244</v>
      </c>
      <c r="D34" s="2">
        <v>33.0</v>
      </c>
      <c r="E34" s="455" t="s">
        <v>243</v>
      </c>
      <c r="F34" s="455">
        <v>4.0</v>
      </c>
      <c r="G34" s="455">
        <v>1.0</v>
      </c>
      <c r="H34" s="456" t="s">
        <v>42</v>
      </c>
      <c r="I34" t="str">
        <f t="shared" si="2"/>
        <v/>
      </c>
      <c r="J34">
        <f t="shared" si="3"/>
        <v>0</v>
      </c>
      <c r="K34" t="str">
        <f t="shared" si="4"/>
        <v/>
      </c>
      <c r="L34" t="str">
        <f t="shared" si="5"/>
        <v/>
      </c>
      <c r="M34" t="str">
        <f t="shared" si="6"/>
        <v/>
      </c>
      <c r="N34" s="455"/>
      <c r="O34" s="455" t="s">
        <v>827</v>
      </c>
      <c r="Q34" s="457" t="s">
        <v>828</v>
      </c>
      <c r="R34" s="458" t="s">
        <v>829</v>
      </c>
      <c r="S34" s="457" t="s">
        <v>830</v>
      </c>
      <c r="T34" s="458" t="s">
        <v>829</v>
      </c>
      <c r="V34" s="460" t="s">
        <v>930</v>
      </c>
      <c r="Y34" t="str">
        <f t="shared" si="7"/>
        <v/>
      </c>
      <c r="Z34" t="str">
        <f t="shared" si="8"/>
        <v/>
      </c>
      <c r="AA34" t="str">
        <f t="shared" si="9"/>
        <v/>
      </c>
      <c r="AB34" t="str">
        <f t="shared" si="10"/>
        <v/>
      </c>
      <c r="AC34" t="str">
        <f t="shared" si="11"/>
        <v/>
      </c>
    </row>
    <row r="35">
      <c r="A35" s="455" t="s">
        <v>931</v>
      </c>
      <c r="B35" s="455" t="str">
        <f t="shared" si="1"/>
        <v>June 2014 Global History QMC34</v>
      </c>
      <c r="C35" s="455" t="s">
        <v>244</v>
      </c>
      <c r="D35" s="2">
        <v>34.0</v>
      </c>
      <c r="E35" s="455" t="s">
        <v>243</v>
      </c>
      <c r="F35" s="455">
        <v>1.0</v>
      </c>
      <c r="G35" s="455">
        <v>1.0</v>
      </c>
      <c r="H35" s="456" t="s">
        <v>932</v>
      </c>
      <c r="I35" t="str">
        <f t="shared" si="2"/>
        <v/>
      </c>
      <c r="J35">
        <f t="shared" si="3"/>
        <v>0</v>
      </c>
      <c r="K35" t="str">
        <f t="shared" si="4"/>
        <v/>
      </c>
      <c r="L35" t="str">
        <f t="shared" si="5"/>
        <v/>
      </c>
      <c r="M35" t="str">
        <f t="shared" si="6"/>
        <v/>
      </c>
      <c r="N35" s="461"/>
      <c r="O35" s="461" t="s">
        <v>839</v>
      </c>
      <c r="Q35" s="457" t="s">
        <v>852</v>
      </c>
      <c r="R35" s="458" t="s">
        <v>829</v>
      </c>
      <c r="S35" s="457" t="s">
        <v>830</v>
      </c>
      <c r="T35" s="458" t="s">
        <v>829</v>
      </c>
      <c r="V35" s="460" t="s">
        <v>933</v>
      </c>
      <c r="Y35" t="str">
        <f t="shared" si="7"/>
        <v/>
      </c>
      <c r="Z35" t="str">
        <f t="shared" si="8"/>
        <v/>
      </c>
      <c r="AA35" t="str">
        <f t="shared" si="9"/>
        <v/>
      </c>
      <c r="AB35" t="str">
        <f t="shared" si="10"/>
        <v/>
      </c>
      <c r="AC35" t="str">
        <f t="shared" si="11"/>
        <v/>
      </c>
    </row>
    <row r="36">
      <c r="A36" s="455" t="s">
        <v>934</v>
      </c>
      <c r="B36" s="455" t="str">
        <f t="shared" si="1"/>
        <v>June 2014 Global History QMC35</v>
      </c>
      <c r="C36" s="455" t="s">
        <v>244</v>
      </c>
      <c r="D36" s="2">
        <v>35.0</v>
      </c>
      <c r="E36" s="455" t="s">
        <v>243</v>
      </c>
      <c r="F36" s="455">
        <v>2.0</v>
      </c>
      <c r="G36" s="455">
        <v>1.0</v>
      </c>
      <c r="H36" s="456" t="s">
        <v>40</v>
      </c>
      <c r="I36" t="str">
        <f t="shared" si="2"/>
        <v/>
      </c>
      <c r="J36">
        <f t="shared" si="3"/>
        <v>0</v>
      </c>
      <c r="K36" t="str">
        <f t="shared" si="4"/>
        <v/>
      </c>
      <c r="L36" t="str">
        <f t="shared" si="5"/>
        <v/>
      </c>
      <c r="M36" t="str">
        <f t="shared" si="6"/>
        <v/>
      </c>
      <c r="N36" s="461"/>
      <c r="O36" s="461" t="s">
        <v>839</v>
      </c>
      <c r="Q36" s="457" t="s">
        <v>840</v>
      </c>
      <c r="R36" s="458" t="s">
        <v>829</v>
      </c>
      <c r="S36" s="457" t="s">
        <v>845</v>
      </c>
      <c r="T36" s="458" t="s">
        <v>829</v>
      </c>
      <c r="V36" s="460" t="s">
        <v>935</v>
      </c>
      <c r="Y36" t="str">
        <f t="shared" si="7"/>
        <v/>
      </c>
      <c r="Z36" t="str">
        <f t="shared" si="8"/>
        <v/>
      </c>
      <c r="AA36" t="str">
        <f t="shared" si="9"/>
        <v/>
      </c>
      <c r="AB36" t="str">
        <f t="shared" si="10"/>
        <v/>
      </c>
      <c r="AC36" t="str">
        <f t="shared" si="11"/>
        <v/>
      </c>
    </row>
    <row r="37">
      <c r="A37" s="455" t="s">
        <v>936</v>
      </c>
      <c r="B37" s="455" t="str">
        <f t="shared" si="1"/>
        <v>June 2014 Global History QMC36</v>
      </c>
      <c r="C37" s="455" t="s">
        <v>244</v>
      </c>
      <c r="D37" s="2">
        <v>36.0</v>
      </c>
      <c r="E37" s="455" t="s">
        <v>243</v>
      </c>
      <c r="F37" s="455">
        <v>2.0</v>
      </c>
      <c r="G37" s="455">
        <v>1.0</v>
      </c>
      <c r="H37" s="456" t="s">
        <v>937</v>
      </c>
      <c r="I37" t="str">
        <f t="shared" si="2"/>
        <v/>
      </c>
      <c r="J37">
        <f t="shared" si="3"/>
        <v>0</v>
      </c>
      <c r="K37" t="str">
        <f t="shared" si="4"/>
        <v/>
      </c>
      <c r="L37" t="str">
        <f t="shared" si="5"/>
        <v/>
      </c>
      <c r="M37" t="str">
        <f t="shared" si="6"/>
        <v/>
      </c>
      <c r="N37" s="455"/>
      <c r="O37" s="455" t="s">
        <v>868</v>
      </c>
      <c r="Q37" s="457" t="s">
        <v>828</v>
      </c>
      <c r="R37" s="458" t="s">
        <v>829</v>
      </c>
      <c r="S37" s="457" t="s">
        <v>830</v>
      </c>
      <c r="T37" s="458" t="s">
        <v>829</v>
      </c>
      <c r="V37" s="460" t="s">
        <v>938</v>
      </c>
      <c r="Y37" t="str">
        <f t="shared" si="7"/>
        <v/>
      </c>
      <c r="Z37" t="str">
        <f t="shared" si="8"/>
        <v/>
      </c>
      <c r="AA37" t="str">
        <f t="shared" si="9"/>
        <v/>
      </c>
      <c r="AB37" t="str">
        <f t="shared" si="10"/>
        <v/>
      </c>
      <c r="AC37" t="str">
        <f t="shared" si="11"/>
        <v/>
      </c>
    </row>
    <row r="38">
      <c r="A38" s="455" t="s">
        <v>939</v>
      </c>
      <c r="B38" s="455" t="str">
        <f t="shared" si="1"/>
        <v>June 2014 Global History QMC37</v>
      </c>
      <c r="C38" s="455" t="s">
        <v>244</v>
      </c>
      <c r="D38" s="2">
        <v>37.0</v>
      </c>
      <c r="E38" s="455" t="s">
        <v>243</v>
      </c>
      <c r="F38" s="455">
        <v>4.0</v>
      </c>
      <c r="G38" s="455">
        <v>1.0</v>
      </c>
      <c r="H38" s="456" t="s">
        <v>37</v>
      </c>
      <c r="I38" t="str">
        <f t="shared" si="2"/>
        <v/>
      </c>
      <c r="J38">
        <f t="shared" si="3"/>
        <v>0</v>
      </c>
      <c r="K38" t="str">
        <f t="shared" si="4"/>
        <v/>
      </c>
      <c r="L38" t="str">
        <f t="shared" si="5"/>
        <v/>
      </c>
      <c r="M38" t="str">
        <f t="shared" si="6"/>
        <v/>
      </c>
      <c r="N38" s="455"/>
      <c r="O38" s="455" t="s">
        <v>940</v>
      </c>
      <c r="Q38" s="457" t="s">
        <v>828</v>
      </c>
      <c r="R38" s="458" t="s">
        <v>829</v>
      </c>
      <c r="S38" s="457" t="s">
        <v>830</v>
      </c>
      <c r="T38" s="458" t="s">
        <v>829</v>
      </c>
      <c r="V38" s="460" t="s">
        <v>941</v>
      </c>
      <c r="Y38" t="str">
        <f t="shared" si="7"/>
        <v/>
      </c>
      <c r="Z38" t="str">
        <f t="shared" si="8"/>
        <v/>
      </c>
      <c r="AA38" t="str">
        <f t="shared" si="9"/>
        <v/>
      </c>
      <c r="AB38" t="str">
        <f t="shared" si="10"/>
        <v/>
      </c>
      <c r="AC38" t="str">
        <f t="shared" si="11"/>
        <v/>
      </c>
    </row>
    <row r="39">
      <c r="A39" s="455" t="s">
        <v>942</v>
      </c>
      <c r="B39" s="455" t="str">
        <f t="shared" si="1"/>
        <v>June 2014 Global History QMC38</v>
      </c>
      <c r="C39" s="455" t="s">
        <v>244</v>
      </c>
      <c r="D39" s="2">
        <v>38.0</v>
      </c>
      <c r="E39" s="455" t="s">
        <v>243</v>
      </c>
      <c r="F39" s="455">
        <v>3.0</v>
      </c>
      <c r="G39" s="455">
        <v>1.0</v>
      </c>
      <c r="H39" s="456" t="s">
        <v>50</v>
      </c>
      <c r="I39" t="str">
        <f t="shared" si="2"/>
        <v/>
      </c>
      <c r="J39">
        <f t="shared" si="3"/>
        <v>0</v>
      </c>
      <c r="K39" t="str">
        <f t="shared" si="4"/>
        <v/>
      </c>
      <c r="L39" t="str">
        <f t="shared" si="5"/>
        <v/>
      </c>
      <c r="M39" t="str">
        <f t="shared" si="6"/>
        <v/>
      </c>
      <c r="N39" s="461"/>
      <c r="O39" s="461" t="s">
        <v>839</v>
      </c>
      <c r="Q39" s="457" t="s">
        <v>840</v>
      </c>
      <c r="R39" s="458" t="s">
        <v>829</v>
      </c>
      <c r="S39" s="457" t="s">
        <v>830</v>
      </c>
      <c r="T39" s="458" t="s">
        <v>829</v>
      </c>
      <c r="V39" s="460" t="s">
        <v>943</v>
      </c>
      <c r="Y39" t="str">
        <f t="shared" si="7"/>
        <v/>
      </c>
      <c r="Z39" t="str">
        <f t="shared" si="8"/>
        <v/>
      </c>
      <c r="AA39" t="str">
        <f t="shared" si="9"/>
        <v/>
      </c>
      <c r="AB39" t="str">
        <f t="shared" si="10"/>
        <v/>
      </c>
      <c r="AC39" t="str">
        <f t="shared" si="11"/>
        <v/>
      </c>
    </row>
    <row r="40">
      <c r="A40" s="455" t="s">
        <v>944</v>
      </c>
      <c r="B40" s="455" t="str">
        <f t="shared" si="1"/>
        <v>June 2014 Global History QMC39</v>
      </c>
      <c r="C40" s="455" t="s">
        <v>244</v>
      </c>
      <c r="D40" s="2">
        <v>39.0</v>
      </c>
      <c r="E40" s="455" t="s">
        <v>243</v>
      </c>
      <c r="F40" s="455">
        <v>4.0</v>
      </c>
      <c r="G40" s="455">
        <v>1.0</v>
      </c>
      <c r="H40" s="456" t="s">
        <v>43</v>
      </c>
      <c r="I40" t="str">
        <f t="shared" si="2"/>
        <v/>
      </c>
      <c r="J40">
        <f t="shared" si="3"/>
        <v>0</v>
      </c>
      <c r="K40" t="str">
        <f t="shared" si="4"/>
        <v/>
      </c>
      <c r="L40" t="str">
        <f t="shared" si="5"/>
        <v/>
      </c>
      <c r="M40" t="str">
        <f t="shared" si="6"/>
        <v/>
      </c>
      <c r="N40" s="461"/>
      <c r="O40" s="461" t="s">
        <v>839</v>
      </c>
      <c r="Q40" s="457" t="s">
        <v>852</v>
      </c>
      <c r="R40" s="458" t="s">
        <v>829</v>
      </c>
      <c r="S40" s="457" t="s">
        <v>830</v>
      </c>
      <c r="T40" s="458" t="s">
        <v>829</v>
      </c>
      <c r="V40" s="460" t="s">
        <v>945</v>
      </c>
      <c r="Y40" t="str">
        <f t="shared" si="7"/>
        <v/>
      </c>
      <c r="Z40" t="str">
        <f t="shared" si="8"/>
        <v/>
      </c>
      <c r="AA40" t="str">
        <f t="shared" si="9"/>
        <v/>
      </c>
      <c r="AB40" t="str">
        <f t="shared" si="10"/>
        <v/>
      </c>
      <c r="AC40" t="str">
        <f t="shared" si="11"/>
        <v/>
      </c>
    </row>
    <row r="41">
      <c r="A41" s="455" t="s">
        <v>946</v>
      </c>
      <c r="B41" s="455" t="str">
        <f t="shared" si="1"/>
        <v>June 2014 Global History QMC40</v>
      </c>
      <c r="C41" s="455" t="s">
        <v>244</v>
      </c>
      <c r="D41" s="2">
        <v>40.0</v>
      </c>
      <c r="E41" s="455" t="s">
        <v>243</v>
      </c>
      <c r="F41" s="455">
        <v>4.0</v>
      </c>
      <c r="G41" s="455">
        <v>1.0</v>
      </c>
      <c r="H41" s="456" t="s">
        <v>45</v>
      </c>
      <c r="I41" t="str">
        <f t="shared" si="2"/>
        <v/>
      </c>
      <c r="J41">
        <f t="shared" si="3"/>
        <v>0</v>
      </c>
      <c r="K41" t="str">
        <f t="shared" si="4"/>
        <v/>
      </c>
      <c r="L41" t="str">
        <f t="shared" si="5"/>
        <v/>
      </c>
      <c r="M41" t="str">
        <f t="shared" si="6"/>
        <v/>
      </c>
      <c r="N41" s="461"/>
      <c r="O41" s="461" t="s">
        <v>839</v>
      </c>
      <c r="Q41" s="457" t="s">
        <v>844</v>
      </c>
      <c r="R41" s="458" t="s">
        <v>829</v>
      </c>
      <c r="S41" s="457" t="s">
        <v>845</v>
      </c>
      <c r="T41" s="458" t="s">
        <v>829</v>
      </c>
      <c r="V41" s="460" t="s">
        <v>947</v>
      </c>
      <c r="Y41" t="str">
        <f t="shared" si="7"/>
        <v/>
      </c>
      <c r="Z41" t="str">
        <f t="shared" si="8"/>
        <v/>
      </c>
      <c r="AA41" t="str">
        <f t="shared" si="9"/>
        <v/>
      </c>
      <c r="AB41" t="str">
        <f t="shared" si="10"/>
        <v/>
      </c>
      <c r="AC41" t="str">
        <f t="shared" si="11"/>
        <v/>
      </c>
    </row>
    <row r="42">
      <c r="A42" s="455" t="s">
        <v>948</v>
      </c>
      <c r="B42" s="455" t="str">
        <f t="shared" si="1"/>
        <v>June 2014 Global History QMC41</v>
      </c>
      <c r="C42" s="455" t="s">
        <v>244</v>
      </c>
      <c r="D42" s="2">
        <v>41.0</v>
      </c>
      <c r="E42" s="455" t="s">
        <v>243</v>
      </c>
      <c r="F42" s="455">
        <v>3.0</v>
      </c>
      <c r="G42" s="455">
        <v>1.0</v>
      </c>
      <c r="H42" s="456" t="s">
        <v>949</v>
      </c>
      <c r="I42" t="str">
        <f t="shared" si="2"/>
        <v/>
      </c>
      <c r="J42">
        <f t="shared" si="3"/>
        <v>0</v>
      </c>
      <c r="K42" t="str">
        <f t="shared" si="4"/>
        <v/>
      </c>
      <c r="L42" t="str">
        <f t="shared" si="5"/>
        <v/>
      </c>
      <c r="M42" t="str">
        <f t="shared" si="6"/>
        <v/>
      </c>
      <c r="N42" s="461"/>
      <c r="O42" s="461" t="s">
        <v>839</v>
      </c>
      <c r="Q42" s="457" t="s">
        <v>856</v>
      </c>
      <c r="R42" s="458" t="s">
        <v>829</v>
      </c>
      <c r="S42" s="457" t="s">
        <v>830</v>
      </c>
      <c r="T42" s="458" t="s">
        <v>829</v>
      </c>
      <c r="V42" s="460" t="s">
        <v>950</v>
      </c>
      <c r="Y42" t="str">
        <f t="shared" si="7"/>
        <v/>
      </c>
      <c r="Z42" t="str">
        <f t="shared" si="8"/>
        <v/>
      </c>
      <c r="AA42" t="str">
        <f t="shared" si="9"/>
        <v/>
      </c>
      <c r="AB42" t="str">
        <f t="shared" si="10"/>
        <v/>
      </c>
      <c r="AC42" t="str">
        <f t="shared" si="11"/>
        <v/>
      </c>
    </row>
    <row r="43">
      <c r="A43" s="455" t="s">
        <v>951</v>
      </c>
      <c r="B43" s="455" t="str">
        <f t="shared" si="1"/>
        <v>June 2014 Global History QMC42</v>
      </c>
      <c r="C43" s="455" t="s">
        <v>244</v>
      </c>
      <c r="D43" s="2">
        <v>42.0</v>
      </c>
      <c r="E43" s="455" t="s">
        <v>243</v>
      </c>
      <c r="F43" s="455">
        <v>2.0</v>
      </c>
      <c r="G43" s="455">
        <v>1.0</v>
      </c>
      <c r="H43" s="456" t="s">
        <v>952</v>
      </c>
      <c r="I43" t="str">
        <f t="shared" si="2"/>
        <v/>
      </c>
      <c r="J43">
        <f t="shared" si="3"/>
        <v>0</v>
      </c>
      <c r="K43" t="str">
        <f t="shared" si="4"/>
        <v/>
      </c>
      <c r="L43" t="str">
        <f t="shared" si="5"/>
        <v/>
      </c>
      <c r="M43" t="str">
        <f t="shared" si="6"/>
        <v/>
      </c>
      <c r="N43" s="455"/>
      <c r="O43" s="455" t="s">
        <v>940</v>
      </c>
      <c r="Q43" s="457" t="s">
        <v>828</v>
      </c>
      <c r="R43" s="458" t="s">
        <v>829</v>
      </c>
      <c r="S43" s="457" t="s">
        <v>830</v>
      </c>
      <c r="T43" s="458" t="s">
        <v>829</v>
      </c>
      <c r="V43" s="460" t="s">
        <v>953</v>
      </c>
      <c r="Y43" t="str">
        <f t="shared" si="7"/>
        <v/>
      </c>
      <c r="Z43" t="str">
        <f t="shared" si="8"/>
        <v/>
      </c>
      <c r="AA43" t="str">
        <f t="shared" si="9"/>
        <v/>
      </c>
      <c r="AB43" t="str">
        <f t="shared" si="10"/>
        <v/>
      </c>
      <c r="AC43" t="str">
        <f t="shared" si="11"/>
        <v/>
      </c>
    </row>
    <row r="44">
      <c r="A44" s="455" t="s">
        <v>954</v>
      </c>
      <c r="B44" s="455" t="str">
        <f t="shared" si="1"/>
        <v>June 2014 Global History QMC43</v>
      </c>
      <c r="C44" s="455" t="s">
        <v>244</v>
      </c>
      <c r="D44" s="2">
        <v>43.0</v>
      </c>
      <c r="E44" s="455" t="s">
        <v>243</v>
      </c>
      <c r="F44" s="455">
        <v>4.0</v>
      </c>
      <c r="G44" s="455">
        <v>1.0</v>
      </c>
      <c r="H44" s="456" t="s">
        <v>38</v>
      </c>
      <c r="I44" t="str">
        <f t="shared" si="2"/>
        <v/>
      </c>
      <c r="J44">
        <f t="shared" si="3"/>
        <v>0</v>
      </c>
      <c r="K44" t="str">
        <f t="shared" si="4"/>
        <v/>
      </c>
      <c r="L44" t="str">
        <f t="shared" si="5"/>
        <v/>
      </c>
      <c r="M44" t="str">
        <f t="shared" si="6"/>
        <v/>
      </c>
      <c r="N44" s="461"/>
      <c r="O44" s="461" t="s">
        <v>839</v>
      </c>
      <c r="Q44" s="457" t="s">
        <v>856</v>
      </c>
      <c r="R44" s="458" t="s">
        <v>829</v>
      </c>
      <c r="S44" s="457" t="s">
        <v>904</v>
      </c>
      <c r="T44" s="458" t="s">
        <v>829</v>
      </c>
      <c r="V44" s="460" t="s">
        <v>955</v>
      </c>
      <c r="Y44" t="str">
        <f t="shared" si="7"/>
        <v/>
      </c>
      <c r="Z44" t="str">
        <f t="shared" si="8"/>
        <v/>
      </c>
      <c r="AA44" t="str">
        <f t="shared" si="9"/>
        <v/>
      </c>
      <c r="AB44" t="str">
        <f t="shared" si="10"/>
        <v/>
      </c>
      <c r="AC44" t="str">
        <f t="shared" si="11"/>
        <v/>
      </c>
    </row>
    <row r="45">
      <c r="A45" s="455" t="s">
        <v>956</v>
      </c>
      <c r="B45" s="455" t="str">
        <f t="shared" si="1"/>
        <v>June 2014 Global History QMC44</v>
      </c>
      <c r="C45" s="455" t="s">
        <v>244</v>
      </c>
      <c r="D45" s="2">
        <v>44.0</v>
      </c>
      <c r="E45" s="455" t="s">
        <v>243</v>
      </c>
      <c r="F45" s="455">
        <v>3.0</v>
      </c>
      <c r="G45" s="455">
        <v>1.0</v>
      </c>
      <c r="H45" s="456" t="s">
        <v>957</v>
      </c>
      <c r="I45" t="str">
        <f t="shared" si="2"/>
        <v/>
      </c>
      <c r="J45">
        <f t="shared" si="3"/>
        <v>0</v>
      </c>
      <c r="K45" t="str">
        <f t="shared" si="4"/>
        <v/>
      </c>
      <c r="L45" t="str">
        <f t="shared" si="5"/>
        <v/>
      </c>
      <c r="M45" t="str">
        <f t="shared" si="6"/>
        <v/>
      </c>
      <c r="N45" s="461"/>
      <c r="O45" s="461" t="s">
        <v>839</v>
      </c>
      <c r="Q45" s="457" t="s">
        <v>840</v>
      </c>
      <c r="R45" s="458" t="s">
        <v>829</v>
      </c>
      <c r="S45" s="457" t="s">
        <v>830</v>
      </c>
      <c r="T45" s="458" t="s">
        <v>829</v>
      </c>
      <c r="V45" s="460" t="s">
        <v>958</v>
      </c>
      <c r="Y45" t="str">
        <f t="shared" si="7"/>
        <v/>
      </c>
      <c r="Z45" t="str">
        <f t="shared" si="8"/>
        <v/>
      </c>
      <c r="AA45" t="str">
        <f t="shared" si="9"/>
        <v/>
      </c>
      <c r="AB45" t="str">
        <f t="shared" si="10"/>
        <v/>
      </c>
      <c r="AC45" t="str">
        <f t="shared" si="11"/>
        <v/>
      </c>
    </row>
    <row r="46">
      <c r="A46" s="455" t="s">
        <v>959</v>
      </c>
      <c r="B46" s="455" t="str">
        <f t="shared" si="1"/>
        <v>June 2014 Global History QMC45</v>
      </c>
      <c r="C46" s="455" t="s">
        <v>244</v>
      </c>
      <c r="D46" s="2">
        <v>45.0</v>
      </c>
      <c r="E46" s="455" t="s">
        <v>243</v>
      </c>
      <c r="F46" s="455">
        <v>1.0</v>
      </c>
      <c r="G46" s="455">
        <v>1.0</v>
      </c>
      <c r="H46" s="456" t="s">
        <v>45</v>
      </c>
      <c r="I46" t="str">
        <f t="shared" si="2"/>
        <v/>
      </c>
      <c r="J46">
        <f t="shared" si="3"/>
        <v>0</v>
      </c>
      <c r="K46" t="str">
        <f t="shared" si="4"/>
        <v/>
      </c>
      <c r="L46" t="str">
        <f t="shared" si="5"/>
        <v/>
      </c>
      <c r="M46" t="str">
        <f t="shared" si="6"/>
        <v/>
      </c>
      <c r="N46" s="455"/>
      <c r="O46" s="455" t="s">
        <v>940</v>
      </c>
      <c r="Q46" s="457" t="s">
        <v>828</v>
      </c>
      <c r="R46" s="458" t="s">
        <v>829</v>
      </c>
      <c r="S46" s="457" t="s">
        <v>830</v>
      </c>
      <c r="T46" s="458" t="s">
        <v>829</v>
      </c>
      <c r="V46" s="460" t="s">
        <v>960</v>
      </c>
      <c r="Y46" t="str">
        <f t="shared" si="7"/>
        <v/>
      </c>
      <c r="Z46" t="str">
        <f t="shared" si="8"/>
        <v/>
      </c>
      <c r="AA46" t="str">
        <f t="shared" si="9"/>
        <v/>
      </c>
      <c r="AB46" t="str">
        <f t="shared" si="10"/>
        <v/>
      </c>
      <c r="AC46" t="str">
        <f t="shared" si="11"/>
        <v/>
      </c>
    </row>
    <row r="47">
      <c r="A47" s="455" t="s">
        <v>961</v>
      </c>
      <c r="B47" s="455" t="str">
        <f t="shared" si="1"/>
        <v>June 2014 Global History QMC46</v>
      </c>
      <c r="C47" s="455" t="s">
        <v>244</v>
      </c>
      <c r="D47" s="2">
        <v>46.0</v>
      </c>
      <c r="E47" s="455" t="s">
        <v>243</v>
      </c>
      <c r="F47" s="455">
        <v>2.0</v>
      </c>
      <c r="G47" s="455">
        <v>1.0</v>
      </c>
      <c r="H47" s="456" t="s">
        <v>962</v>
      </c>
      <c r="I47" t="str">
        <f t="shared" si="2"/>
        <v/>
      </c>
      <c r="J47">
        <f t="shared" si="3"/>
        <v>0</v>
      </c>
      <c r="K47" t="str">
        <f t="shared" si="4"/>
        <v/>
      </c>
      <c r="L47" t="str">
        <f t="shared" si="5"/>
        <v/>
      </c>
      <c r="M47" t="str">
        <f t="shared" si="6"/>
        <v/>
      </c>
      <c r="N47" s="455"/>
      <c r="O47" s="455" t="s">
        <v>834</v>
      </c>
      <c r="Q47" s="457" t="s">
        <v>852</v>
      </c>
      <c r="R47" s="458" t="s">
        <v>829</v>
      </c>
      <c r="S47" s="457" t="s">
        <v>830</v>
      </c>
      <c r="T47" s="458" t="s">
        <v>829</v>
      </c>
      <c r="V47" s="460" t="s">
        <v>963</v>
      </c>
      <c r="Y47" t="str">
        <f t="shared" si="7"/>
        <v/>
      </c>
      <c r="Z47" t="str">
        <f t="shared" si="8"/>
        <v/>
      </c>
      <c r="AA47" t="str">
        <f t="shared" si="9"/>
        <v/>
      </c>
      <c r="AB47" t="str">
        <f t="shared" si="10"/>
        <v/>
      </c>
      <c r="AC47" t="str">
        <f t="shared" si="11"/>
        <v/>
      </c>
    </row>
    <row r="48">
      <c r="A48" s="455" t="s">
        <v>964</v>
      </c>
      <c r="B48" s="455" t="str">
        <f t="shared" si="1"/>
        <v>June 2014 Global History QMC47</v>
      </c>
      <c r="C48" s="455" t="s">
        <v>244</v>
      </c>
      <c r="D48" s="2">
        <v>47.0</v>
      </c>
      <c r="E48" s="455" t="s">
        <v>243</v>
      </c>
      <c r="F48" s="455">
        <v>3.0</v>
      </c>
      <c r="G48" s="455">
        <v>1.0</v>
      </c>
      <c r="H48" s="456" t="s">
        <v>965</v>
      </c>
      <c r="I48" t="str">
        <f t="shared" si="2"/>
        <v/>
      </c>
      <c r="J48">
        <f t="shared" si="3"/>
        <v>0</v>
      </c>
      <c r="K48" t="str">
        <f t="shared" si="4"/>
        <v/>
      </c>
      <c r="L48" t="str">
        <f t="shared" si="5"/>
        <v/>
      </c>
      <c r="M48" t="str">
        <f t="shared" si="6"/>
        <v/>
      </c>
      <c r="N48" s="455"/>
      <c r="O48" s="455" t="s">
        <v>834</v>
      </c>
      <c r="Q48" s="457" t="s">
        <v>840</v>
      </c>
      <c r="R48" s="458" t="s">
        <v>829</v>
      </c>
      <c r="S48" s="457" t="s">
        <v>830</v>
      </c>
      <c r="T48" s="458" t="s">
        <v>829</v>
      </c>
      <c r="V48" s="460" t="s">
        <v>966</v>
      </c>
      <c r="Y48" t="str">
        <f t="shared" si="7"/>
        <v/>
      </c>
      <c r="Z48" t="str">
        <f t="shared" si="8"/>
        <v/>
      </c>
      <c r="AA48" t="str">
        <f t="shared" si="9"/>
        <v/>
      </c>
      <c r="AB48" t="str">
        <f t="shared" si="10"/>
        <v/>
      </c>
      <c r="AC48" t="str">
        <f t="shared" si="11"/>
        <v/>
      </c>
    </row>
    <row r="49">
      <c r="A49" s="455" t="s">
        <v>967</v>
      </c>
      <c r="B49" s="455" t="str">
        <f t="shared" si="1"/>
        <v>June 2014 Global History QMC48</v>
      </c>
      <c r="C49" s="455" t="s">
        <v>244</v>
      </c>
      <c r="D49" s="2">
        <v>48.0</v>
      </c>
      <c r="E49" s="455" t="s">
        <v>243</v>
      </c>
      <c r="F49" s="455">
        <v>1.0</v>
      </c>
      <c r="G49" s="455">
        <v>1.0</v>
      </c>
      <c r="H49" s="456" t="s">
        <v>968</v>
      </c>
      <c r="I49" t="str">
        <f t="shared" si="2"/>
        <v/>
      </c>
      <c r="J49">
        <f t="shared" si="3"/>
        <v>0</v>
      </c>
      <c r="K49" t="str">
        <f t="shared" si="4"/>
        <v/>
      </c>
      <c r="L49" t="str">
        <f t="shared" si="5"/>
        <v/>
      </c>
      <c r="M49" t="str">
        <f t="shared" si="6"/>
        <v/>
      </c>
      <c r="N49" s="455"/>
      <c r="O49" s="455" t="s">
        <v>839</v>
      </c>
      <c r="Q49" s="457" t="s">
        <v>840</v>
      </c>
      <c r="R49" s="458" t="s">
        <v>829</v>
      </c>
      <c r="S49" s="457" t="s">
        <v>830</v>
      </c>
      <c r="T49" s="458" t="s">
        <v>829</v>
      </c>
      <c r="V49" s="460" t="s">
        <v>969</v>
      </c>
      <c r="Y49" t="str">
        <f t="shared" si="7"/>
        <v/>
      </c>
      <c r="Z49" t="str">
        <f t="shared" si="8"/>
        <v/>
      </c>
      <c r="AA49" t="str">
        <f t="shared" si="9"/>
        <v/>
      </c>
      <c r="AB49" t="str">
        <f t="shared" si="10"/>
        <v/>
      </c>
      <c r="AC49" t="str">
        <f t="shared" si="11"/>
        <v/>
      </c>
    </row>
    <row r="50">
      <c r="A50" s="455" t="s">
        <v>970</v>
      </c>
      <c r="B50" s="455" t="str">
        <f t="shared" si="1"/>
        <v>June 2014 Global History QMC49</v>
      </c>
      <c r="C50" s="455" t="s">
        <v>244</v>
      </c>
      <c r="D50" s="2">
        <v>49.0</v>
      </c>
      <c r="E50" s="455" t="s">
        <v>243</v>
      </c>
      <c r="F50" s="455">
        <v>1.0</v>
      </c>
      <c r="G50" s="455">
        <v>1.0</v>
      </c>
      <c r="H50" s="456" t="s">
        <v>971</v>
      </c>
      <c r="I50" t="str">
        <f t="shared" si="2"/>
        <v/>
      </c>
      <c r="J50">
        <f t="shared" si="3"/>
        <v>0</v>
      </c>
      <c r="K50" t="str">
        <f t="shared" si="4"/>
        <v/>
      </c>
      <c r="L50" t="str">
        <f t="shared" si="5"/>
        <v/>
      </c>
      <c r="M50" t="str">
        <f t="shared" si="6"/>
        <v/>
      </c>
      <c r="N50" s="455"/>
      <c r="O50" s="455" t="s">
        <v>940</v>
      </c>
      <c r="Q50" s="457" t="s">
        <v>828</v>
      </c>
      <c r="R50" s="458" t="s">
        <v>829</v>
      </c>
      <c r="S50" s="457" t="s">
        <v>904</v>
      </c>
      <c r="T50" s="458" t="s">
        <v>829</v>
      </c>
      <c r="V50" s="460" t="s">
        <v>972</v>
      </c>
      <c r="Y50" t="str">
        <f t="shared" si="7"/>
        <v/>
      </c>
      <c r="Z50" t="str">
        <f t="shared" si="8"/>
        <v/>
      </c>
      <c r="AA50" t="str">
        <f t="shared" si="9"/>
        <v/>
      </c>
      <c r="AB50" t="str">
        <f t="shared" si="10"/>
        <v/>
      </c>
      <c r="AC50" t="str">
        <f t="shared" si="11"/>
        <v/>
      </c>
    </row>
    <row r="51">
      <c r="A51" s="455" t="s">
        <v>973</v>
      </c>
      <c r="B51" s="455" t="str">
        <f t="shared" si="1"/>
        <v>June 2014 Global History QMC50</v>
      </c>
      <c r="C51" s="455" t="s">
        <v>244</v>
      </c>
      <c r="D51" s="2">
        <v>50.0</v>
      </c>
      <c r="E51" s="455" t="s">
        <v>243</v>
      </c>
      <c r="F51" s="455">
        <v>2.0</v>
      </c>
      <c r="G51" s="455">
        <v>1.0</v>
      </c>
      <c r="H51" s="456" t="s">
        <v>971</v>
      </c>
      <c r="I51" t="str">
        <f t="shared" si="2"/>
        <v/>
      </c>
      <c r="J51">
        <f t="shared" si="3"/>
        <v>0</v>
      </c>
      <c r="K51" t="str">
        <f t="shared" si="4"/>
        <v/>
      </c>
      <c r="L51" t="str">
        <f t="shared" si="5"/>
        <v/>
      </c>
      <c r="M51" t="str">
        <f t="shared" si="6"/>
        <v/>
      </c>
      <c r="N51" s="455"/>
      <c r="O51" s="455" t="s">
        <v>940</v>
      </c>
      <c r="Q51" s="457" t="s">
        <v>835</v>
      </c>
      <c r="R51" s="458" t="s">
        <v>829</v>
      </c>
      <c r="S51" s="457" t="s">
        <v>904</v>
      </c>
      <c r="T51" s="458" t="s">
        <v>829</v>
      </c>
      <c r="V51" s="460" t="s">
        <v>974</v>
      </c>
      <c r="Y51" t="str">
        <f t="shared" si="7"/>
        <v/>
      </c>
      <c r="Z51" t="str">
        <f t="shared" si="8"/>
        <v/>
      </c>
      <c r="AA51" t="str">
        <f t="shared" si="9"/>
        <v/>
      </c>
      <c r="AB51" t="str">
        <f t="shared" si="10"/>
        <v/>
      </c>
      <c r="AC51" t="str">
        <f t="shared" si="11"/>
        <v/>
      </c>
    </row>
    <row r="52">
      <c r="A52" s="455" t="s">
        <v>975</v>
      </c>
      <c r="B52" s="455" t="str">
        <f t="shared" si="1"/>
        <v>June 2014 Global History QTE1</v>
      </c>
      <c r="C52" s="455" t="s">
        <v>272</v>
      </c>
      <c r="D52" s="455" t="s">
        <v>976</v>
      </c>
      <c r="E52" s="455" t="s">
        <v>976</v>
      </c>
      <c r="F52" s="455" t="s">
        <v>977</v>
      </c>
      <c r="G52" s="455">
        <v>5.0</v>
      </c>
      <c r="H52" s="455" t="s">
        <v>978</v>
      </c>
      <c r="I52" t="str">
        <f t="shared" si="2"/>
        <v/>
      </c>
      <c r="J52">
        <f t="shared" si="3"/>
        <v>0</v>
      </c>
      <c r="K52" t="str">
        <f t="shared" si="4"/>
        <v/>
      </c>
      <c r="L52" t="str">
        <f t="shared" si="5"/>
        <v/>
      </c>
      <c r="M52" t="str">
        <f t="shared" si="6"/>
        <v/>
      </c>
      <c r="Q52" s="450"/>
      <c r="R52" s="458" t="s">
        <v>829</v>
      </c>
      <c r="S52" s="450"/>
      <c r="T52" s="458" t="s">
        <v>829</v>
      </c>
      <c r="V52" s="460" t="s">
        <v>979</v>
      </c>
      <c r="Y52" t="str">
        <f t="shared" si="7"/>
        <v/>
      </c>
      <c r="Z52" t="str">
        <f t="shared" si="8"/>
        <v/>
      </c>
      <c r="AA52" t="str">
        <f t="shared" si="9"/>
        <v/>
      </c>
      <c r="AB52" t="str">
        <f t="shared" si="10"/>
        <v/>
      </c>
      <c r="AC52" t="str">
        <f t="shared" si="11"/>
        <v/>
      </c>
    </row>
    <row r="53">
      <c r="A53" s="455" t="s">
        <v>980</v>
      </c>
      <c r="B53" s="455" t="str">
        <f t="shared" si="1"/>
        <v>June 2014 Global History QDBQ1</v>
      </c>
      <c r="C53" s="455" t="s">
        <v>981</v>
      </c>
      <c r="D53" s="455">
        <v>1.0</v>
      </c>
      <c r="E53" s="455" t="s">
        <v>982</v>
      </c>
      <c r="F53" s="455" t="s">
        <v>977</v>
      </c>
      <c r="G53" s="455">
        <v>1.0</v>
      </c>
      <c r="H53" s="455" t="s">
        <v>18</v>
      </c>
      <c r="I53" t="str">
        <f t="shared" si="2"/>
        <v/>
      </c>
      <c r="J53">
        <f t="shared" si="3"/>
        <v>0</v>
      </c>
      <c r="K53" t="str">
        <f t="shared" si="4"/>
        <v/>
      </c>
      <c r="L53" t="str">
        <f t="shared" si="5"/>
        <v/>
      </c>
      <c r="M53" t="str">
        <f t="shared" si="6"/>
        <v/>
      </c>
      <c r="Q53" s="450"/>
      <c r="R53" s="458" t="s">
        <v>829</v>
      </c>
      <c r="S53" s="450"/>
      <c r="T53" s="458" t="s">
        <v>829</v>
      </c>
      <c r="V53" s="460" t="s">
        <v>983</v>
      </c>
      <c r="Y53" t="str">
        <f t="shared" si="7"/>
        <v/>
      </c>
      <c r="Z53" t="str">
        <f t="shared" si="8"/>
        <v/>
      </c>
      <c r="AA53" t="str">
        <f t="shared" si="9"/>
        <v/>
      </c>
      <c r="AB53" t="str">
        <f t="shared" si="10"/>
        <v/>
      </c>
      <c r="AC53" t="str">
        <f t="shared" si="11"/>
        <v/>
      </c>
    </row>
    <row r="54">
      <c r="A54" s="455" t="s">
        <v>984</v>
      </c>
      <c r="B54" s="455" t="str">
        <f t="shared" si="1"/>
        <v>June 2014 Global History QDBQ2</v>
      </c>
      <c r="C54" s="455" t="s">
        <v>981</v>
      </c>
      <c r="D54" s="455">
        <v>2.0</v>
      </c>
      <c r="E54" s="455" t="s">
        <v>982</v>
      </c>
      <c r="F54" s="455" t="s">
        <v>977</v>
      </c>
      <c r="G54" s="455">
        <v>1.0</v>
      </c>
      <c r="H54" s="455" t="s">
        <v>18</v>
      </c>
      <c r="I54" t="str">
        <f t="shared" si="2"/>
        <v/>
      </c>
      <c r="J54">
        <f t="shared" si="3"/>
        <v>0</v>
      </c>
      <c r="K54" t="str">
        <f t="shared" si="4"/>
        <v/>
      </c>
      <c r="L54" t="str">
        <f t="shared" si="5"/>
        <v/>
      </c>
      <c r="M54" t="str">
        <f t="shared" si="6"/>
        <v/>
      </c>
      <c r="Q54" s="450"/>
      <c r="R54" s="458" t="s">
        <v>829</v>
      </c>
      <c r="S54" s="450"/>
      <c r="T54" s="458" t="s">
        <v>829</v>
      </c>
      <c r="V54" s="460" t="s">
        <v>985</v>
      </c>
      <c r="Y54" t="str">
        <f t="shared" si="7"/>
        <v/>
      </c>
      <c r="Z54" t="str">
        <f t="shared" si="8"/>
        <v/>
      </c>
      <c r="AA54" t="str">
        <f t="shared" si="9"/>
        <v/>
      </c>
      <c r="AB54" t="str">
        <f t="shared" si="10"/>
        <v/>
      </c>
      <c r="AC54" t="str">
        <f t="shared" si="11"/>
        <v/>
      </c>
    </row>
    <row r="55">
      <c r="A55" s="455" t="s">
        <v>986</v>
      </c>
      <c r="B55" s="455" t="str">
        <f t="shared" si="1"/>
        <v>June 2014 Global History QDBQ3</v>
      </c>
      <c r="C55" s="455" t="s">
        <v>981</v>
      </c>
      <c r="D55" s="455">
        <v>3.0</v>
      </c>
      <c r="E55" s="455" t="s">
        <v>982</v>
      </c>
      <c r="F55" s="455" t="s">
        <v>977</v>
      </c>
      <c r="G55" s="455">
        <v>1.0</v>
      </c>
      <c r="H55" s="455" t="s">
        <v>18</v>
      </c>
      <c r="I55" t="str">
        <f t="shared" si="2"/>
        <v/>
      </c>
      <c r="J55">
        <f t="shared" si="3"/>
        <v>0</v>
      </c>
      <c r="K55" t="str">
        <f t="shared" si="4"/>
        <v/>
      </c>
      <c r="L55" t="str">
        <f t="shared" si="5"/>
        <v/>
      </c>
      <c r="M55" t="str">
        <f t="shared" si="6"/>
        <v/>
      </c>
      <c r="Q55" s="450"/>
      <c r="R55" s="458" t="s">
        <v>829</v>
      </c>
      <c r="S55" s="450"/>
      <c r="T55" s="458" t="s">
        <v>829</v>
      </c>
      <c r="V55" s="460" t="s">
        <v>987</v>
      </c>
      <c r="Y55" t="str">
        <f t="shared" si="7"/>
        <v/>
      </c>
      <c r="Z55" t="str">
        <f t="shared" si="8"/>
        <v/>
      </c>
      <c r="AA55" t="str">
        <f t="shared" si="9"/>
        <v/>
      </c>
      <c r="AB55" t="str">
        <f t="shared" si="10"/>
        <v/>
      </c>
      <c r="AC55" t="str">
        <f t="shared" si="11"/>
        <v/>
      </c>
    </row>
    <row r="56">
      <c r="A56" s="455" t="s">
        <v>988</v>
      </c>
      <c r="B56" s="455" t="str">
        <f t="shared" si="1"/>
        <v>June 2014 Global History QDBQ4</v>
      </c>
      <c r="C56" s="455" t="s">
        <v>981</v>
      </c>
      <c r="D56" s="462">
        <v>4.0</v>
      </c>
      <c r="E56" s="455" t="s">
        <v>982</v>
      </c>
      <c r="F56" s="455" t="s">
        <v>977</v>
      </c>
      <c r="G56" s="455">
        <v>1.0</v>
      </c>
      <c r="H56" s="455" t="s">
        <v>55</v>
      </c>
      <c r="I56" t="str">
        <f t="shared" si="2"/>
        <v/>
      </c>
      <c r="J56">
        <f t="shared" si="3"/>
        <v>0</v>
      </c>
      <c r="K56" t="str">
        <f t="shared" si="4"/>
        <v/>
      </c>
      <c r="L56" t="str">
        <f t="shared" si="5"/>
        <v/>
      </c>
      <c r="M56" t="str">
        <f t="shared" si="6"/>
        <v/>
      </c>
      <c r="Q56" s="450"/>
      <c r="R56" s="458" t="s">
        <v>829</v>
      </c>
      <c r="S56" s="450"/>
      <c r="T56" s="458" t="s">
        <v>829</v>
      </c>
      <c r="V56" s="460" t="s">
        <v>989</v>
      </c>
      <c r="Y56" t="str">
        <f t="shared" si="7"/>
        <v/>
      </c>
      <c r="Z56" t="str">
        <f t="shared" si="8"/>
        <v/>
      </c>
      <c r="AA56" t="str">
        <f t="shared" si="9"/>
        <v/>
      </c>
      <c r="AB56" t="str">
        <f t="shared" si="10"/>
        <v/>
      </c>
      <c r="AC56" t="str">
        <f t="shared" si="11"/>
        <v/>
      </c>
    </row>
    <row r="57">
      <c r="A57" s="455" t="s">
        <v>990</v>
      </c>
      <c r="B57" s="455" t="str">
        <f t="shared" si="1"/>
        <v>June 2014 Global History QDBQ5</v>
      </c>
      <c r="C57" s="455" t="s">
        <v>981</v>
      </c>
      <c r="D57" s="462">
        <v>5.0</v>
      </c>
      <c r="E57" s="455" t="s">
        <v>982</v>
      </c>
      <c r="F57" s="455" t="s">
        <v>977</v>
      </c>
      <c r="G57" s="455">
        <v>1.0</v>
      </c>
      <c r="H57" s="455" t="s">
        <v>55</v>
      </c>
      <c r="I57" t="str">
        <f t="shared" si="2"/>
        <v/>
      </c>
      <c r="J57">
        <f t="shared" si="3"/>
        <v>0</v>
      </c>
      <c r="K57" t="str">
        <f t="shared" si="4"/>
        <v/>
      </c>
      <c r="L57" t="str">
        <f t="shared" si="5"/>
        <v/>
      </c>
      <c r="Q57" s="450"/>
      <c r="R57" s="458"/>
      <c r="S57" s="450"/>
      <c r="T57" s="458"/>
      <c r="V57" s="460" t="s">
        <v>991</v>
      </c>
    </row>
    <row r="58">
      <c r="A58" s="455" t="s">
        <v>992</v>
      </c>
      <c r="B58" s="455" t="str">
        <f t="shared" si="1"/>
        <v>June 2014 Global History QDBQ6a</v>
      </c>
      <c r="C58" s="455" t="s">
        <v>981</v>
      </c>
      <c r="D58" s="455" t="s">
        <v>993</v>
      </c>
      <c r="E58" s="455" t="s">
        <v>982</v>
      </c>
      <c r="F58" s="455" t="s">
        <v>977</v>
      </c>
      <c r="G58" s="455">
        <v>1.0</v>
      </c>
      <c r="H58" s="455" t="s">
        <v>55</v>
      </c>
      <c r="I58" t="str">
        <f t="shared" si="2"/>
        <v/>
      </c>
      <c r="J58">
        <f t="shared" si="3"/>
        <v>0</v>
      </c>
      <c r="K58" t="str">
        <f t="shared" si="4"/>
        <v/>
      </c>
      <c r="L58" t="str">
        <f t="shared" si="5"/>
        <v/>
      </c>
      <c r="M58" t="str">
        <f t="shared" ref="M58:M64" si="12">iferror(VLOOKUP(H58,'Global History Standards'!$A:$E,5,false),"")</f>
        <v/>
      </c>
      <c r="Q58" s="450"/>
      <c r="R58" s="458" t="s">
        <v>829</v>
      </c>
      <c r="S58" s="450"/>
      <c r="T58" s="458" t="s">
        <v>829</v>
      </c>
      <c r="V58" s="460" t="s">
        <v>994</v>
      </c>
      <c r="Y58" t="str">
        <f t="shared" ref="Y58:Y64" si="13">iferror(vlookup($X58,'History_Key Ideas'!$A$2:$F$82,2,false),"")</f>
        <v/>
      </c>
      <c r="Z58" t="str">
        <f t="shared" ref="Z58:Z64" si="14">iferror(vlookup($X58,'History_Key Ideas'!$A$2:$F$82,3,false),"")</f>
        <v/>
      </c>
      <c r="AA58" t="str">
        <f t="shared" ref="AA58:AA64" si="15">iferror(vlookup($X58,'History_Key Ideas'!$A$2:$F$82,4,false),"")</f>
        <v/>
      </c>
      <c r="AB58" t="str">
        <f t="shared" ref="AB58:AB64" si="16">iferror(vlookup($X58,'History_Key Ideas'!$A$2:$F$82,5,false),"")</f>
        <v/>
      </c>
      <c r="AC58" t="str">
        <f t="shared" ref="AC58:AC64" si="17">iferror(vlookup($X58,'History_Key Ideas'!$A$2:$F$82,6,false),"")</f>
        <v/>
      </c>
    </row>
    <row r="59">
      <c r="A59" s="455" t="s">
        <v>995</v>
      </c>
      <c r="B59" s="455" t="str">
        <f t="shared" si="1"/>
        <v>June 2014 Global History QDBQ6b</v>
      </c>
      <c r="C59" s="455" t="s">
        <v>981</v>
      </c>
      <c r="D59" s="462" t="s">
        <v>996</v>
      </c>
      <c r="E59" s="455" t="s">
        <v>982</v>
      </c>
      <c r="F59" s="455" t="s">
        <v>977</v>
      </c>
      <c r="G59" s="455">
        <v>1.0</v>
      </c>
      <c r="H59" s="455" t="s">
        <v>55</v>
      </c>
      <c r="I59" t="str">
        <f t="shared" si="2"/>
        <v/>
      </c>
      <c r="J59">
        <f t="shared" si="3"/>
        <v>0</v>
      </c>
      <c r="K59" t="str">
        <f t="shared" si="4"/>
        <v/>
      </c>
      <c r="L59" t="str">
        <f t="shared" si="5"/>
        <v/>
      </c>
      <c r="M59" t="str">
        <f t="shared" si="12"/>
        <v/>
      </c>
      <c r="Q59" s="450"/>
      <c r="R59" s="458" t="s">
        <v>829</v>
      </c>
      <c r="S59" s="450"/>
      <c r="T59" s="458" t="s">
        <v>829</v>
      </c>
      <c r="V59" s="460" t="s">
        <v>997</v>
      </c>
      <c r="Y59" t="str">
        <f t="shared" si="13"/>
        <v/>
      </c>
      <c r="Z59" t="str">
        <f t="shared" si="14"/>
        <v/>
      </c>
      <c r="AA59" t="str">
        <f t="shared" si="15"/>
        <v/>
      </c>
      <c r="AB59" t="str">
        <f t="shared" si="16"/>
        <v/>
      </c>
      <c r="AC59" t="str">
        <f t="shared" si="17"/>
        <v/>
      </c>
    </row>
    <row r="60">
      <c r="A60" s="455" t="s">
        <v>998</v>
      </c>
      <c r="B60" s="455" t="str">
        <f t="shared" si="1"/>
        <v>June 2014 Global History QDBQ7a</v>
      </c>
      <c r="C60" s="455" t="s">
        <v>981</v>
      </c>
      <c r="D60" s="462" t="s">
        <v>805</v>
      </c>
      <c r="E60" s="455" t="s">
        <v>982</v>
      </c>
      <c r="F60" s="455" t="s">
        <v>977</v>
      </c>
      <c r="G60" s="455">
        <v>1.0</v>
      </c>
      <c r="H60" s="455" t="s">
        <v>999</v>
      </c>
      <c r="I60" t="str">
        <f t="shared" si="2"/>
        <v/>
      </c>
      <c r="J60">
        <f t="shared" si="3"/>
        <v>0</v>
      </c>
      <c r="K60" t="str">
        <f t="shared" si="4"/>
        <v/>
      </c>
      <c r="L60" t="str">
        <f t="shared" si="5"/>
        <v/>
      </c>
      <c r="M60" t="str">
        <f t="shared" si="12"/>
        <v/>
      </c>
      <c r="Q60" s="450"/>
      <c r="R60" s="458" t="s">
        <v>829</v>
      </c>
      <c r="S60" s="450"/>
      <c r="T60" s="458" t="s">
        <v>829</v>
      </c>
      <c r="V60" s="460" t="s">
        <v>1000</v>
      </c>
      <c r="Y60" t="str">
        <f t="shared" si="13"/>
        <v/>
      </c>
      <c r="Z60" t="str">
        <f t="shared" si="14"/>
        <v/>
      </c>
      <c r="AA60" t="str">
        <f t="shared" si="15"/>
        <v/>
      </c>
      <c r="AB60" t="str">
        <f t="shared" si="16"/>
        <v/>
      </c>
      <c r="AC60" t="str">
        <f t="shared" si="17"/>
        <v/>
      </c>
    </row>
    <row r="61">
      <c r="A61" s="455" t="s">
        <v>1001</v>
      </c>
      <c r="B61" s="455" t="str">
        <f t="shared" si="1"/>
        <v>June 2014 Global History QDBQ7b</v>
      </c>
      <c r="C61" s="455" t="s">
        <v>981</v>
      </c>
      <c r="D61" s="462" t="s">
        <v>806</v>
      </c>
      <c r="E61" s="455" t="s">
        <v>982</v>
      </c>
      <c r="F61" s="455" t="s">
        <v>977</v>
      </c>
      <c r="G61" s="455">
        <v>1.0</v>
      </c>
      <c r="H61" s="455" t="s">
        <v>999</v>
      </c>
      <c r="I61" t="str">
        <f t="shared" si="2"/>
        <v/>
      </c>
      <c r="J61">
        <f t="shared" si="3"/>
        <v>0</v>
      </c>
      <c r="K61" t="str">
        <f t="shared" si="4"/>
        <v/>
      </c>
      <c r="L61" t="str">
        <f t="shared" si="5"/>
        <v/>
      </c>
      <c r="M61" t="str">
        <f t="shared" si="12"/>
        <v/>
      </c>
      <c r="Q61" s="450"/>
      <c r="R61" s="458" t="s">
        <v>829</v>
      </c>
      <c r="S61" s="450"/>
      <c r="T61" s="458" t="s">
        <v>829</v>
      </c>
      <c r="V61" s="460" t="s">
        <v>1002</v>
      </c>
      <c r="Y61" t="str">
        <f t="shared" si="13"/>
        <v/>
      </c>
      <c r="Z61" t="str">
        <f t="shared" si="14"/>
        <v/>
      </c>
      <c r="AA61" t="str">
        <f t="shared" si="15"/>
        <v/>
      </c>
      <c r="AB61" t="str">
        <f t="shared" si="16"/>
        <v/>
      </c>
      <c r="AC61" t="str">
        <f t="shared" si="17"/>
        <v/>
      </c>
    </row>
    <row r="62">
      <c r="A62" s="455" t="s">
        <v>1003</v>
      </c>
      <c r="B62" s="455" t="str">
        <f t="shared" si="1"/>
        <v>June 2014 Global History QDBQ8</v>
      </c>
      <c r="C62" s="455" t="s">
        <v>981</v>
      </c>
      <c r="D62" s="455">
        <v>8.0</v>
      </c>
      <c r="E62" s="455" t="s">
        <v>982</v>
      </c>
      <c r="F62" s="455" t="s">
        <v>977</v>
      </c>
      <c r="G62" s="455">
        <v>1.0</v>
      </c>
      <c r="H62" s="455" t="s">
        <v>999</v>
      </c>
      <c r="I62" t="str">
        <f t="shared" si="2"/>
        <v/>
      </c>
      <c r="J62">
        <f t="shared" si="3"/>
        <v>0</v>
      </c>
      <c r="K62" t="str">
        <f t="shared" si="4"/>
        <v/>
      </c>
      <c r="L62" t="str">
        <f t="shared" si="5"/>
        <v/>
      </c>
      <c r="M62" t="str">
        <f t="shared" si="12"/>
        <v/>
      </c>
      <c r="Q62" s="450"/>
      <c r="R62" s="458" t="s">
        <v>829</v>
      </c>
      <c r="S62" s="450"/>
      <c r="T62" s="458" t="s">
        <v>829</v>
      </c>
      <c r="V62" s="460" t="s">
        <v>1004</v>
      </c>
      <c r="Y62" t="str">
        <f t="shared" si="13"/>
        <v/>
      </c>
      <c r="Z62" t="str">
        <f t="shared" si="14"/>
        <v/>
      </c>
      <c r="AA62" t="str">
        <f t="shared" si="15"/>
        <v/>
      </c>
      <c r="AB62" t="str">
        <f t="shared" si="16"/>
        <v/>
      </c>
      <c r="AC62" t="str">
        <f t="shared" si="17"/>
        <v/>
      </c>
    </row>
    <row r="63">
      <c r="A63" s="455" t="s">
        <v>1005</v>
      </c>
      <c r="B63" s="455" t="str">
        <f t="shared" si="1"/>
        <v>June 2014 Global History QDBQ9</v>
      </c>
      <c r="C63" s="455" t="s">
        <v>981</v>
      </c>
      <c r="D63" s="455">
        <v>9.0</v>
      </c>
      <c r="E63" s="455" t="s">
        <v>982</v>
      </c>
      <c r="F63" s="455" t="s">
        <v>977</v>
      </c>
      <c r="G63" s="455">
        <v>1.0</v>
      </c>
      <c r="H63" s="455" t="s">
        <v>999</v>
      </c>
      <c r="I63" t="str">
        <f t="shared" si="2"/>
        <v/>
      </c>
      <c r="J63">
        <f t="shared" si="3"/>
        <v>0</v>
      </c>
      <c r="K63" t="str">
        <f t="shared" si="4"/>
        <v/>
      </c>
      <c r="L63" t="str">
        <f t="shared" si="5"/>
        <v/>
      </c>
      <c r="M63" t="str">
        <f t="shared" si="12"/>
        <v/>
      </c>
      <c r="Q63" s="450"/>
      <c r="R63" s="458" t="s">
        <v>829</v>
      </c>
      <c r="S63" s="450"/>
      <c r="T63" s="458" t="s">
        <v>829</v>
      </c>
      <c r="V63" s="460" t="s">
        <v>1006</v>
      </c>
      <c r="Y63" t="str">
        <f t="shared" si="13"/>
        <v/>
      </c>
      <c r="Z63" t="str">
        <f t="shared" si="14"/>
        <v/>
      </c>
      <c r="AA63" t="str">
        <f t="shared" si="15"/>
        <v/>
      </c>
      <c r="AB63" t="str">
        <f t="shared" si="16"/>
        <v/>
      </c>
      <c r="AC63" t="str">
        <f t="shared" si="17"/>
        <v/>
      </c>
    </row>
    <row r="64">
      <c r="A64" s="455" t="s">
        <v>1007</v>
      </c>
      <c r="B64" s="455" t="str">
        <f t="shared" si="1"/>
        <v>June 2014 Global History QDE1</v>
      </c>
      <c r="C64" s="455" t="s">
        <v>1008</v>
      </c>
      <c r="D64" s="455" t="s">
        <v>1009</v>
      </c>
      <c r="E64" s="455" t="s">
        <v>1009</v>
      </c>
      <c r="F64" s="455" t="s">
        <v>977</v>
      </c>
      <c r="G64" s="455">
        <f t="shared" ref="G64:G66" si="18">5/3</f>
        <v>1.666666667</v>
      </c>
      <c r="H64" s="455" t="s">
        <v>18</v>
      </c>
      <c r="I64" t="str">
        <f t="shared" si="2"/>
        <v/>
      </c>
      <c r="J64">
        <f t="shared" si="3"/>
        <v>0</v>
      </c>
      <c r="K64" t="str">
        <f t="shared" si="4"/>
        <v/>
      </c>
      <c r="L64" t="str">
        <f t="shared" si="5"/>
        <v/>
      </c>
      <c r="M64" t="str">
        <f t="shared" si="12"/>
        <v/>
      </c>
      <c r="Q64" s="450"/>
      <c r="R64" s="458" t="s">
        <v>829</v>
      </c>
      <c r="S64" s="450"/>
      <c r="T64" s="458" t="s">
        <v>829</v>
      </c>
      <c r="V64" s="460" t="s">
        <v>1010</v>
      </c>
      <c r="Y64" t="str">
        <f t="shared" si="13"/>
        <v/>
      </c>
      <c r="Z64" t="str">
        <f t="shared" si="14"/>
        <v/>
      </c>
      <c r="AA64" t="str">
        <f t="shared" si="15"/>
        <v/>
      </c>
      <c r="AB64" t="str">
        <f t="shared" si="16"/>
        <v/>
      </c>
      <c r="AC64" t="str">
        <f t="shared" si="17"/>
        <v/>
      </c>
    </row>
    <row r="65">
      <c r="A65" s="455"/>
      <c r="B65" s="455"/>
      <c r="C65" s="455" t="s">
        <v>1008</v>
      </c>
      <c r="D65" s="455">
        <v>1.0</v>
      </c>
      <c r="E65" s="455" t="s">
        <v>1009</v>
      </c>
      <c r="F65" s="455" t="s">
        <v>977</v>
      </c>
      <c r="G65" s="455">
        <f t="shared" si="18"/>
        <v>1.666666667</v>
      </c>
      <c r="H65" s="455" t="s">
        <v>55</v>
      </c>
      <c r="I65" t="str">
        <f t="shared" si="2"/>
        <v/>
      </c>
      <c r="J65">
        <f t="shared" si="3"/>
        <v>0</v>
      </c>
      <c r="K65" t="str">
        <f t="shared" si="4"/>
        <v/>
      </c>
      <c r="L65" t="str">
        <f t="shared" si="5"/>
        <v/>
      </c>
      <c r="Q65" s="450"/>
      <c r="R65" s="458" t="s">
        <v>829</v>
      </c>
      <c r="S65" s="450"/>
      <c r="T65" s="458" t="s">
        <v>829</v>
      </c>
    </row>
    <row r="66">
      <c r="A66" s="455"/>
      <c r="B66" s="455"/>
      <c r="C66" s="455" t="s">
        <v>1008</v>
      </c>
      <c r="D66" s="455">
        <v>1.0</v>
      </c>
      <c r="E66" s="455" t="s">
        <v>1009</v>
      </c>
      <c r="F66" s="455" t="s">
        <v>977</v>
      </c>
      <c r="G66" s="455">
        <f t="shared" si="18"/>
        <v>1.666666667</v>
      </c>
      <c r="H66" s="455" t="s">
        <v>999</v>
      </c>
      <c r="I66" t="str">
        <f t="shared" si="2"/>
        <v/>
      </c>
      <c r="J66">
        <f t="shared" si="3"/>
        <v>0</v>
      </c>
      <c r="K66" t="str">
        <f t="shared" si="4"/>
        <v/>
      </c>
      <c r="L66" t="str">
        <f t="shared" si="5"/>
        <v/>
      </c>
      <c r="Q66" s="450"/>
      <c r="R66" s="458" t="s">
        <v>829</v>
      </c>
      <c r="S66" s="450"/>
      <c r="T66" s="458" t="s">
        <v>829</v>
      </c>
    </row>
  </sheetData>
  <autoFilter ref="$A$1:$AJ$66"/>
  <dataValidations>
    <dataValidation type="list" allowBlank="1" sqref="H3:H66">
      <formula1>'Global History Standards'!$A$2:$A$319</formula1>
    </dataValidation>
    <dataValidation type="list" allowBlank="1" sqref="N2:O66">
      <formula1>QType!$A:$A</formula1>
    </dataValidation>
    <dataValidation type="list" allowBlank="1" sqref="S2:S66">
      <formula1>'Cognitive Reasoning'!$A$2:$A$101</formula1>
    </dataValidation>
    <dataValidation type="list" allowBlank="1" sqref="E2:E66">
      <formula1>"Multiple Choice,Thematic Essay,Document-Based,Document Essay"</formula1>
    </dataValidation>
    <dataValidation type="list" allowBlank="1" sqref="H2">
      <formula1>'Global History Standards'!$A$2:$A$277</formula1>
    </dataValidation>
    <dataValidation type="list" allowBlank="1" sqref="X2:X66">
      <formula1>'History_Key Ideas'!$A$2:$A$82</formula1>
    </dataValidation>
    <dataValidation type="list" allowBlank="1" sqref="C2:C66">
      <formula1>"Part I,Part II,Part IIIA,Part IIIB"</formula1>
    </dataValidation>
    <dataValidation type="list" allowBlank="1" sqref="Q2:Q66">
      <formula1>Skill!$A$2:$A$101</formula1>
    </dataValidation>
  </dataValidations>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455" t="s">
        <v>1011</v>
      </c>
      <c r="B1" s="463" t="str">
        <f t="shared" ref="B1:B19" si="1">lower(substitute(substitute(A1," ",""),":",""))</f>
        <v>name</v>
      </c>
      <c r="C1" s="463" t="str">
        <f t="shared" ref="C1:C83" si="2">"capture rename var"&amp;row()&amp;" "&amp;B1</f>
        <v>capture rename var1 name</v>
      </c>
    </row>
    <row r="2">
      <c r="A2" s="455" t="s">
        <v>1012</v>
      </c>
      <c r="B2" s="463" t="str">
        <f t="shared" si="1"/>
        <v>studentid</v>
      </c>
      <c r="C2" s="463" t="str">
        <f t="shared" si="2"/>
        <v>capture rename var2 studentid</v>
      </c>
    </row>
    <row r="3">
      <c r="A3" s="455" t="s">
        <v>1013</v>
      </c>
      <c r="B3" s="463" t="str">
        <f t="shared" si="1"/>
        <v>ofccls</v>
      </c>
      <c r="C3" s="463" t="str">
        <f t="shared" si="2"/>
        <v>capture rename var3 ofccls</v>
      </c>
    </row>
    <row r="4">
      <c r="A4" s="455" t="s">
        <v>1014</v>
      </c>
      <c r="B4" s="463" t="str">
        <f t="shared" si="1"/>
        <v>section</v>
      </c>
      <c r="C4" s="463" t="str">
        <f t="shared" si="2"/>
        <v>capture rename var4 section</v>
      </c>
    </row>
    <row r="5">
      <c r="A5" s="455" t="s">
        <v>1015</v>
      </c>
      <c r="B5" s="463" t="str">
        <f t="shared" si="1"/>
        <v>roomnum</v>
      </c>
      <c r="C5" s="463" t="str">
        <f t="shared" si="2"/>
        <v>capture rename var5 roomnum</v>
      </c>
    </row>
    <row r="6">
      <c r="A6" s="455" t="s">
        <v>1016</v>
      </c>
      <c r="B6" s="463" t="str">
        <f t="shared" si="1"/>
        <v>nonpub</v>
      </c>
      <c r="C6" s="463" t="str">
        <f t="shared" si="2"/>
        <v>capture rename var6 nonpub</v>
      </c>
    </row>
    <row r="7">
      <c r="A7" s="455" t="s">
        <v>1017</v>
      </c>
      <c r="B7" s="463" t="str">
        <f t="shared" si="1"/>
        <v>rawscore</v>
      </c>
      <c r="C7" s="463" t="str">
        <f t="shared" si="2"/>
        <v>capture rename var7 rawscore</v>
      </c>
    </row>
    <row r="8">
      <c r="A8" s="455" t="s">
        <v>1018</v>
      </c>
      <c r="B8" s="463" t="str">
        <f t="shared" si="1"/>
        <v>essscore</v>
      </c>
      <c r="C8" s="463" t="str">
        <f t="shared" si="2"/>
        <v>capture rename var8 essscore</v>
      </c>
    </row>
    <row r="9">
      <c r="A9" s="455" t="s">
        <v>1019</v>
      </c>
      <c r="B9" s="463" t="str">
        <f t="shared" si="1"/>
        <v>finalscore</v>
      </c>
      <c r="C9" s="463" t="str">
        <f t="shared" si="2"/>
        <v>capture rename var9 finalscore</v>
      </c>
    </row>
    <row r="10">
      <c r="A10" s="455" t="s">
        <v>1020</v>
      </c>
      <c r="B10" s="463" t="str">
        <f t="shared" si="1"/>
        <v>scandate</v>
      </c>
      <c r="C10" s="463" t="str">
        <f t="shared" si="2"/>
        <v>capture rename var10 scandate</v>
      </c>
    </row>
    <row r="11">
      <c r="A11" s="455" t="s">
        <v>1021</v>
      </c>
      <c r="B11" s="463" t="str">
        <f t="shared" si="1"/>
        <v>pagenum</v>
      </c>
      <c r="C11" s="463" t="str">
        <f t="shared" si="2"/>
        <v>capture rename var11 pagenum</v>
      </c>
    </row>
    <row r="12">
      <c r="A12" s="455" t="s">
        <v>1022</v>
      </c>
      <c r="B12" s="463" t="str">
        <f t="shared" si="1"/>
        <v>scandate2</v>
      </c>
      <c r="C12" s="463" t="str">
        <f t="shared" si="2"/>
        <v>capture rename var12 scandate2</v>
      </c>
    </row>
    <row r="13">
      <c r="A13" s="455" t="s">
        <v>1023</v>
      </c>
      <c r="B13" s="463" t="str">
        <f t="shared" si="1"/>
        <v>pagenum2</v>
      </c>
      <c r="C13" s="463" t="str">
        <f t="shared" si="2"/>
        <v>capture rename var13 pagenum2</v>
      </c>
    </row>
    <row r="14">
      <c r="A14" s="455" t="s">
        <v>1024</v>
      </c>
      <c r="B14" s="463" t="str">
        <f t="shared" si="1"/>
        <v>iep</v>
      </c>
      <c r="C14" s="463" t="str">
        <f t="shared" si="2"/>
        <v>capture rename var14 iep</v>
      </c>
    </row>
    <row r="15">
      <c r="A15" s="455" t="s">
        <v>1025</v>
      </c>
      <c r="B15" s="463" t="str">
        <f t="shared" si="1"/>
        <v>ell</v>
      </c>
      <c r="C15" s="463" t="str">
        <f t="shared" si="2"/>
        <v>capture rename var15 ell</v>
      </c>
    </row>
    <row r="16">
      <c r="A16" s="455" t="s">
        <v>1026</v>
      </c>
      <c r="B16" s="463" t="str">
        <f t="shared" si="1"/>
        <v>errors</v>
      </c>
      <c r="C16" s="463" t="str">
        <f t="shared" si="2"/>
        <v>capture rename var16 errors</v>
      </c>
    </row>
    <row r="17">
      <c r="A17" s="455" t="s">
        <v>1027</v>
      </c>
      <c r="B17" s="463" t="str">
        <f t="shared" si="1"/>
        <v>altlang</v>
      </c>
      <c r="C17" s="463" t="str">
        <f t="shared" si="2"/>
        <v>capture rename var17 altlang</v>
      </c>
    </row>
    <row r="18">
      <c r="A18" s="455" t="s">
        <v>1028</v>
      </c>
      <c r="B18" s="463" t="str">
        <f t="shared" si="1"/>
        <v>multiscan</v>
      </c>
      <c r="C18" s="463" t="str">
        <f t="shared" si="2"/>
        <v>capture rename var18 multiscan</v>
      </c>
    </row>
    <row r="19">
      <c r="A19" s="455" t="s">
        <v>1029</v>
      </c>
      <c r="B19" s="463" t="str">
        <f t="shared" si="1"/>
        <v>questions</v>
      </c>
      <c r="C19" s="463" t="str">
        <f t="shared" si="2"/>
        <v>capture rename var19 questions</v>
      </c>
    </row>
    <row r="20">
      <c r="A20" s="464" t="s">
        <v>826</v>
      </c>
      <c r="B20" t="s">
        <v>826</v>
      </c>
      <c r="C20" s="463" t="str">
        <f t="shared" si="2"/>
        <v>capture rename var20 QMC1</v>
      </c>
    </row>
    <row r="21">
      <c r="A21" s="464" t="s">
        <v>832</v>
      </c>
      <c r="B21" t="s">
        <v>832</v>
      </c>
      <c r="C21" s="463" t="str">
        <f t="shared" si="2"/>
        <v>capture rename var21 QMC2</v>
      </c>
    </row>
    <row r="22">
      <c r="A22" s="464" t="s">
        <v>837</v>
      </c>
      <c r="B22" t="s">
        <v>837</v>
      </c>
      <c r="C22" s="463" t="str">
        <f t="shared" si="2"/>
        <v>capture rename var22 QMC3</v>
      </c>
    </row>
    <row r="23">
      <c r="A23" s="464" t="s">
        <v>842</v>
      </c>
      <c r="B23" t="s">
        <v>842</v>
      </c>
      <c r="C23" s="463" t="str">
        <f t="shared" si="2"/>
        <v>capture rename var23 QMC4</v>
      </c>
    </row>
    <row r="24">
      <c r="A24" s="464" t="s">
        <v>847</v>
      </c>
      <c r="B24" t="s">
        <v>847</v>
      </c>
      <c r="C24" s="463" t="str">
        <f t="shared" si="2"/>
        <v>capture rename var24 QMC5</v>
      </c>
    </row>
    <row r="25">
      <c r="A25" s="464" t="s">
        <v>851</v>
      </c>
      <c r="B25" t="s">
        <v>851</v>
      </c>
      <c r="C25" s="463" t="str">
        <f t="shared" si="2"/>
        <v>capture rename var25 QMC6</v>
      </c>
    </row>
    <row r="26">
      <c r="A26" s="464" t="s">
        <v>854</v>
      </c>
      <c r="B26" t="s">
        <v>854</v>
      </c>
      <c r="C26" s="463" t="str">
        <f t="shared" si="2"/>
        <v>capture rename var26 QMC7</v>
      </c>
    </row>
    <row r="27">
      <c r="A27" s="464" t="s">
        <v>858</v>
      </c>
      <c r="B27" t="s">
        <v>858</v>
      </c>
      <c r="C27" s="463" t="str">
        <f t="shared" si="2"/>
        <v>capture rename var27 QMC8</v>
      </c>
    </row>
    <row r="28">
      <c r="A28" s="464" t="s">
        <v>861</v>
      </c>
      <c r="B28" t="s">
        <v>861</v>
      </c>
      <c r="C28" s="463" t="str">
        <f t="shared" si="2"/>
        <v>capture rename var28 QMC9</v>
      </c>
    </row>
    <row r="29">
      <c r="A29" s="464" t="s">
        <v>864</v>
      </c>
      <c r="B29" t="s">
        <v>864</v>
      </c>
      <c r="C29" s="463" t="str">
        <f t="shared" si="2"/>
        <v>capture rename var29 QMC10</v>
      </c>
    </row>
    <row r="30">
      <c r="A30" s="464" t="s">
        <v>866</v>
      </c>
      <c r="B30" t="s">
        <v>866</v>
      </c>
      <c r="C30" s="463" t="str">
        <f t="shared" si="2"/>
        <v>capture rename var30 QMC11</v>
      </c>
    </row>
    <row r="31">
      <c r="A31" s="464" t="s">
        <v>870</v>
      </c>
      <c r="B31" t="s">
        <v>870</v>
      </c>
      <c r="C31" s="463" t="str">
        <f t="shared" si="2"/>
        <v>capture rename var31 QMC12</v>
      </c>
    </row>
    <row r="32">
      <c r="A32" s="464" t="s">
        <v>873</v>
      </c>
      <c r="B32" t="s">
        <v>873</v>
      </c>
      <c r="C32" s="463" t="str">
        <f t="shared" si="2"/>
        <v>capture rename var32 QMC13</v>
      </c>
    </row>
    <row r="33">
      <c r="A33" s="464" t="s">
        <v>876</v>
      </c>
      <c r="B33" t="s">
        <v>876</v>
      </c>
      <c r="C33" s="463" t="str">
        <f t="shared" si="2"/>
        <v>capture rename var33 QMC14</v>
      </c>
    </row>
    <row r="34">
      <c r="A34" s="464" t="s">
        <v>879</v>
      </c>
      <c r="B34" t="s">
        <v>879</v>
      </c>
      <c r="C34" s="463" t="str">
        <f t="shared" si="2"/>
        <v>capture rename var34 QMC15</v>
      </c>
    </row>
    <row r="35">
      <c r="A35" s="464" t="s">
        <v>882</v>
      </c>
      <c r="B35" t="s">
        <v>882</v>
      </c>
      <c r="C35" s="463" t="str">
        <f t="shared" si="2"/>
        <v>capture rename var35 QMC16</v>
      </c>
    </row>
    <row r="36">
      <c r="A36" s="464" t="s">
        <v>885</v>
      </c>
      <c r="B36" t="s">
        <v>885</v>
      </c>
      <c r="C36" s="463" t="str">
        <f t="shared" si="2"/>
        <v>capture rename var36 QMC17</v>
      </c>
    </row>
    <row r="37">
      <c r="A37" s="464" t="s">
        <v>888</v>
      </c>
      <c r="B37" t="s">
        <v>888</v>
      </c>
      <c r="C37" s="463" t="str">
        <f t="shared" si="2"/>
        <v>capture rename var37 QMC18</v>
      </c>
    </row>
    <row r="38">
      <c r="A38" s="464" t="s">
        <v>890</v>
      </c>
      <c r="B38" t="s">
        <v>890</v>
      </c>
      <c r="C38" s="463" t="str">
        <f t="shared" si="2"/>
        <v>capture rename var38 QMC19</v>
      </c>
    </row>
    <row r="39">
      <c r="A39" s="464" t="s">
        <v>892</v>
      </c>
      <c r="B39" t="s">
        <v>892</v>
      </c>
      <c r="C39" s="463" t="str">
        <f t="shared" si="2"/>
        <v>capture rename var39 QMC20</v>
      </c>
    </row>
    <row r="40">
      <c r="A40" s="464" t="s">
        <v>895</v>
      </c>
      <c r="B40" t="s">
        <v>895</v>
      </c>
      <c r="C40" s="463" t="str">
        <f t="shared" si="2"/>
        <v>capture rename var40 QMC21</v>
      </c>
    </row>
    <row r="41">
      <c r="A41" s="464" t="s">
        <v>898</v>
      </c>
      <c r="B41" t="s">
        <v>898</v>
      </c>
      <c r="C41" s="463" t="str">
        <f t="shared" si="2"/>
        <v>capture rename var41 QMC22</v>
      </c>
    </row>
    <row r="42">
      <c r="A42" s="464" t="s">
        <v>900</v>
      </c>
      <c r="B42" t="s">
        <v>900</v>
      </c>
      <c r="C42" s="463" t="str">
        <f t="shared" si="2"/>
        <v>capture rename var42 QMC23</v>
      </c>
    </row>
    <row r="43">
      <c r="A43" s="464" t="s">
        <v>903</v>
      </c>
      <c r="B43" t="s">
        <v>903</v>
      </c>
      <c r="C43" s="463" t="str">
        <f t="shared" si="2"/>
        <v>capture rename var43 QMC24</v>
      </c>
    </row>
    <row r="44">
      <c r="A44" s="464" t="s">
        <v>906</v>
      </c>
      <c r="B44" t="s">
        <v>906</v>
      </c>
      <c r="C44" s="463" t="str">
        <f t="shared" si="2"/>
        <v>capture rename var44 QMC25</v>
      </c>
    </row>
    <row r="45">
      <c r="A45" s="464" t="s">
        <v>909</v>
      </c>
      <c r="B45" t="s">
        <v>909</v>
      </c>
      <c r="C45" s="463" t="str">
        <f t="shared" si="2"/>
        <v>capture rename var45 QMC26</v>
      </c>
    </row>
    <row r="46">
      <c r="A46" s="464" t="s">
        <v>912</v>
      </c>
      <c r="B46" t="s">
        <v>912</v>
      </c>
      <c r="C46" s="463" t="str">
        <f t="shared" si="2"/>
        <v>capture rename var46 QMC27</v>
      </c>
    </row>
    <row r="47">
      <c r="A47" s="464" t="s">
        <v>915</v>
      </c>
      <c r="B47" t="s">
        <v>915</v>
      </c>
      <c r="C47" s="463" t="str">
        <f t="shared" si="2"/>
        <v>capture rename var47 QMC28</v>
      </c>
    </row>
    <row r="48">
      <c r="A48" s="464" t="s">
        <v>917</v>
      </c>
      <c r="B48" t="s">
        <v>917</v>
      </c>
      <c r="C48" s="463" t="str">
        <f t="shared" si="2"/>
        <v>capture rename var48 QMC29</v>
      </c>
    </row>
    <row r="49">
      <c r="A49" s="464" t="s">
        <v>920</v>
      </c>
      <c r="B49" t="s">
        <v>920</v>
      </c>
      <c r="C49" s="463" t="str">
        <f t="shared" si="2"/>
        <v>capture rename var49 QMC30</v>
      </c>
    </row>
    <row r="50">
      <c r="A50" s="464" t="s">
        <v>923</v>
      </c>
      <c r="B50" t="s">
        <v>923</v>
      </c>
      <c r="C50" s="463" t="str">
        <f t="shared" si="2"/>
        <v>capture rename var50 QMC31</v>
      </c>
    </row>
    <row r="51">
      <c r="A51" s="464" t="s">
        <v>926</v>
      </c>
      <c r="B51" t="s">
        <v>926</v>
      </c>
      <c r="C51" s="463" t="str">
        <f t="shared" si="2"/>
        <v>capture rename var51 QMC32</v>
      </c>
    </row>
    <row r="52">
      <c r="A52" s="464" t="s">
        <v>929</v>
      </c>
      <c r="B52" t="s">
        <v>929</v>
      </c>
      <c r="C52" s="463" t="str">
        <f t="shared" si="2"/>
        <v>capture rename var52 QMC33</v>
      </c>
    </row>
    <row r="53">
      <c r="A53" s="464" t="s">
        <v>931</v>
      </c>
      <c r="B53" t="s">
        <v>931</v>
      </c>
      <c r="C53" s="463" t="str">
        <f t="shared" si="2"/>
        <v>capture rename var53 QMC34</v>
      </c>
    </row>
    <row r="54">
      <c r="A54" s="464" t="s">
        <v>934</v>
      </c>
      <c r="B54" t="s">
        <v>934</v>
      </c>
      <c r="C54" s="463" t="str">
        <f t="shared" si="2"/>
        <v>capture rename var54 QMC35</v>
      </c>
    </row>
    <row r="55">
      <c r="A55" s="464" t="s">
        <v>936</v>
      </c>
      <c r="B55" t="s">
        <v>936</v>
      </c>
      <c r="C55" s="463" t="str">
        <f t="shared" si="2"/>
        <v>capture rename var55 QMC36</v>
      </c>
    </row>
    <row r="56">
      <c r="A56" s="464" t="s">
        <v>939</v>
      </c>
      <c r="B56" t="s">
        <v>939</v>
      </c>
      <c r="C56" s="463" t="str">
        <f t="shared" si="2"/>
        <v>capture rename var56 QMC37</v>
      </c>
    </row>
    <row r="57">
      <c r="A57" s="464" t="s">
        <v>942</v>
      </c>
      <c r="B57" t="s">
        <v>942</v>
      </c>
      <c r="C57" s="463" t="str">
        <f t="shared" si="2"/>
        <v>capture rename var57 QMC38</v>
      </c>
    </row>
    <row r="58">
      <c r="A58" s="464" t="s">
        <v>944</v>
      </c>
      <c r="B58" t="s">
        <v>944</v>
      </c>
      <c r="C58" s="463" t="str">
        <f t="shared" si="2"/>
        <v>capture rename var58 QMC39</v>
      </c>
    </row>
    <row r="59">
      <c r="A59" s="464" t="s">
        <v>946</v>
      </c>
      <c r="B59" t="s">
        <v>946</v>
      </c>
      <c r="C59" s="463" t="str">
        <f t="shared" si="2"/>
        <v>capture rename var59 QMC40</v>
      </c>
    </row>
    <row r="60">
      <c r="A60" s="464" t="s">
        <v>948</v>
      </c>
      <c r="B60" t="s">
        <v>948</v>
      </c>
      <c r="C60" s="463" t="str">
        <f t="shared" si="2"/>
        <v>capture rename var60 QMC41</v>
      </c>
    </row>
    <row r="61">
      <c r="A61" s="464" t="s">
        <v>951</v>
      </c>
      <c r="B61" t="s">
        <v>951</v>
      </c>
      <c r="C61" s="463" t="str">
        <f t="shared" si="2"/>
        <v>capture rename var61 QMC42</v>
      </c>
    </row>
    <row r="62">
      <c r="A62" s="464" t="s">
        <v>954</v>
      </c>
      <c r="B62" t="s">
        <v>954</v>
      </c>
      <c r="C62" s="463" t="str">
        <f t="shared" si="2"/>
        <v>capture rename var62 QMC43</v>
      </c>
    </row>
    <row r="63">
      <c r="A63" s="464" t="s">
        <v>956</v>
      </c>
      <c r="B63" t="s">
        <v>956</v>
      </c>
      <c r="C63" s="463" t="str">
        <f t="shared" si="2"/>
        <v>capture rename var63 QMC44</v>
      </c>
    </row>
    <row r="64">
      <c r="A64" s="464" t="s">
        <v>959</v>
      </c>
      <c r="B64" t="s">
        <v>959</v>
      </c>
      <c r="C64" s="463" t="str">
        <f t="shared" si="2"/>
        <v>capture rename var64 QMC45</v>
      </c>
    </row>
    <row r="65">
      <c r="A65" s="464" t="s">
        <v>961</v>
      </c>
      <c r="B65" t="s">
        <v>961</v>
      </c>
      <c r="C65" s="463" t="str">
        <f t="shared" si="2"/>
        <v>capture rename var65 QMC46</v>
      </c>
    </row>
    <row r="66">
      <c r="A66" s="464" t="s">
        <v>964</v>
      </c>
      <c r="B66" t="s">
        <v>964</v>
      </c>
      <c r="C66" s="463" t="str">
        <f t="shared" si="2"/>
        <v>capture rename var66 QMC47</v>
      </c>
    </row>
    <row r="67">
      <c r="A67" s="464" t="s">
        <v>967</v>
      </c>
      <c r="B67" t="s">
        <v>967</v>
      </c>
      <c r="C67" s="463" t="str">
        <f t="shared" si="2"/>
        <v>capture rename var67 QMC48</v>
      </c>
    </row>
    <row r="68">
      <c r="A68" s="464" t="s">
        <v>970</v>
      </c>
      <c r="B68" t="s">
        <v>970</v>
      </c>
      <c r="C68" s="463" t="str">
        <f t="shared" si="2"/>
        <v>capture rename var68 QMC49</v>
      </c>
    </row>
    <row r="69">
      <c r="A69" s="464" t="s">
        <v>973</v>
      </c>
      <c r="B69" t="s">
        <v>973</v>
      </c>
      <c r="C69" s="463" t="str">
        <f t="shared" si="2"/>
        <v>capture rename var69 QMC50</v>
      </c>
    </row>
    <row r="70">
      <c r="A70" s="464" t="s">
        <v>1030</v>
      </c>
      <c r="B70" t="s">
        <v>1030</v>
      </c>
      <c r="C70" s="463" t="str">
        <f t="shared" si="2"/>
        <v>capture rename var70 QThematic_Essay</v>
      </c>
    </row>
    <row r="71">
      <c r="A71" s="464" t="s">
        <v>980</v>
      </c>
      <c r="B71" t="s">
        <v>980</v>
      </c>
      <c r="C71" s="463" t="str">
        <f t="shared" si="2"/>
        <v>capture rename var71 QDBQ1</v>
      </c>
    </row>
    <row r="72">
      <c r="A72" s="464" t="s">
        <v>984</v>
      </c>
      <c r="B72" t="s">
        <v>984</v>
      </c>
      <c r="C72" s="463" t="str">
        <f t="shared" si="2"/>
        <v>capture rename var72 QDBQ2</v>
      </c>
    </row>
    <row r="73">
      <c r="A73" s="464" t="s">
        <v>986</v>
      </c>
      <c r="B73" t="s">
        <v>986</v>
      </c>
      <c r="C73" s="463" t="str">
        <f t="shared" si="2"/>
        <v>capture rename var73 QDBQ3</v>
      </c>
    </row>
    <row r="74">
      <c r="A74" s="464" t="s">
        <v>1031</v>
      </c>
      <c r="B74" t="s">
        <v>1031</v>
      </c>
      <c r="C74" s="463" t="str">
        <f t="shared" si="2"/>
        <v>capture rename var74 QDBQ4a</v>
      </c>
    </row>
    <row r="75">
      <c r="A75" s="464" t="s">
        <v>1032</v>
      </c>
      <c r="B75" t="s">
        <v>1032</v>
      </c>
      <c r="C75" s="463" t="str">
        <f t="shared" si="2"/>
        <v>capture rename var75 QDBQ4b</v>
      </c>
    </row>
    <row r="76">
      <c r="A76" s="464" t="s">
        <v>990</v>
      </c>
      <c r="B76" t="s">
        <v>990</v>
      </c>
      <c r="C76" s="463" t="str">
        <f t="shared" si="2"/>
        <v>capture rename var76 QDBQ5</v>
      </c>
    </row>
    <row r="77">
      <c r="A77" s="464" t="s">
        <v>1033</v>
      </c>
      <c r="B77" t="s">
        <v>1033</v>
      </c>
      <c r="C77" s="463" t="str">
        <f t="shared" si="2"/>
        <v>capture rename var77 QDBQ6</v>
      </c>
    </row>
    <row r="78">
      <c r="A78" s="464" t="s">
        <v>1034</v>
      </c>
      <c r="B78" t="s">
        <v>1034</v>
      </c>
      <c r="C78" s="463" t="str">
        <f t="shared" si="2"/>
        <v>capture rename var78 QDBQ7</v>
      </c>
    </row>
    <row r="79">
      <c r="A79" s="464" t="s">
        <v>1003</v>
      </c>
      <c r="B79" t="s">
        <v>1003</v>
      </c>
      <c r="C79" s="463" t="str">
        <f t="shared" si="2"/>
        <v>capture rename var79 QDBQ8</v>
      </c>
    </row>
    <row r="80">
      <c r="A80" s="464" t="s">
        <v>1005</v>
      </c>
      <c r="B80" t="s">
        <v>1005</v>
      </c>
      <c r="C80" s="463" t="str">
        <f t="shared" si="2"/>
        <v>capture rename var80 QDBQ9</v>
      </c>
    </row>
    <row r="81">
      <c r="A81" s="464" t="s">
        <v>1035</v>
      </c>
      <c r="B81" t="s">
        <v>1035</v>
      </c>
      <c r="C81" s="463" t="str">
        <f t="shared" si="2"/>
        <v>capture rename var81 QDocument_Essay</v>
      </c>
    </row>
    <row r="82">
      <c r="A82" s="455" t="s">
        <v>1036</v>
      </c>
      <c r="B82" s="463" t="str">
        <f t="shared" ref="B82:B83" si="3">lower(substitute(substitute(A82," ",""),":",""))</f>
        <v>omitted</v>
      </c>
      <c r="C82" s="463" t="str">
        <f t="shared" si="2"/>
        <v>capture rename var82 omitted</v>
      </c>
    </row>
    <row r="83">
      <c r="A83" s="455" t="s">
        <v>96</v>
      </c>
      <c r="B83" s="463" t="str">
        <f t="shared" si="3"/>
        <v>multiple</v>
      </c>
      <c r="C83" s="463" t="str">
        <f t="shared" si="2"/>
        <v>capture rename var83 multiple</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13"/>
  </cols>
  <sheetData>
    <row r="1">
      <c r="A1" s="455" t="s">
        <v>83</v>
      </c>
    </row>
    <row r="2">
      <c r="A2" s="455" t="s">
        <v>91</v>
      </c>
    </row>
    <row r="3">
      <c r="A3" s="455" t="s">
        <v>94</v>
      </c>
    </row>
    <row r="4">
      <c r="A4" s="455" t="s">
        <v>87</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0" width="15.13"/>
  </cols>
  <sheetData>
    <row r="1">
      <c r="A1" s="1" t="s">
        <v>0</v>
      </c>
      <c r="B1" s="1" t="s">
        <v>1</v>
      </c>
      <c r="C1" s="1" t="s">
        <v>2</v>
      </c>
      <c r="D1" s="1" t="s">
        <v>3</v>
      </c>
      <c r="E1" s="1" t="s">
        <v>4</v>
      </c>
      <c r="F1" s="1" t="s">
        <v>5</v>
      </c>
      <c r="G1" s="1" t="s">
        <v>6</v>
      </c>
      <c r="H1" s="1" t="s">
        <v>7</v>
      </c>
    </row>
    <row r="2">
      <c r="A2" s="2">
        <v>1.0</v>
      </c>
      <c r="B2" s="3"/>
      <c r="C2" t="str">
        <f t="shared" ref="C2:C100" si="1">VLOOKUP(B2,'Global History Standards'!$A:$E,2,false)</f>
        <v>#REF!</v>
      </c>
      <c r="D2" t="str">
        <f t="shared" ref="D2:D100" si="2">VLOOKUP(B2,'Global History Standards'!$A:$E,3,false)</f>
        <v>#REF!</v>
      </c>
      <c r="E2" t="str">
        <f t="shared" ref="E2:E100" si="3">VLOOKUP(B2,'Global History Standards'!$A:$E,4,false)</f>
        <v>#REF!</v>
      </c>
      <c r="F2" t="str">
        <f t="shared" ref="F2:F100" si="4">VLOOKUP(B2,'Global History Standards'!$A:$E,5,false)</f>
        <v>#REF!</v>
      </c>
    </row>
    <row r="3">
      <c r="A3" s="2">
        <v>2.0</v>
      </c>
      <c r="B3" s="3"/>
      <c r="C3" t="str">
        <f t="shared" si="1"/>
        <v>#REF!</v>
      </c>
      <c r="D3" t="str">
        <f t="shared" si="2"/>
        <v>#REF!</v>
      </c>
      <c r="E3" t="str">
        <f t="shared" si="3"/>
        <v>#REF!</v>
      </c>
      <c r="F3" t="str">
        <f t="shared" si="4"/>
        <v>#REF!</v>
      </c>
    </row>
    <row r="4">
      <c r="A4" s="2">
        <v>3.0</v>
      </c>
      <c r="B4" s="3"/>
      <c r="C4" t="str">
        <f t="shared" si="1"/>
        <v>#REF!</v>
      </c>
      <c r="D4" t="str">
        <f t="shared" si="2"/>
        <v>#REF!</v>
      </c>
      <c r="E4" t="str">
        <f t="shared" si="3"/>
        <v>#REF!</v>
      </c>
      <c r="F4" t="str">
        <f t="shared" si="4"/>
        <v>#REF!</v>
      </c>
    </row>
    <row r="5">
      <c r="A5" s="2">
        <v>4.0</v>
      </c>
      <c r="B5" s="3"/>
      <c r="C5" t="str">
        <f t="shared" si="1"/>
        <v>#REF!</v>
      </c>
      <c r="D5" t="str">
        <f t="shared" si="2"/>
        <v>#REF!</v>
      </c>
      <c r="E5" t="str">
        <f t="shared" si="3"/>
        <v>#REF!</v>
      </c>
      <c r="F5" t="str">
        <f t="shared" si="4"/>
        <v>#REF!</v>
      </c>
    </row>
    <row r="6">
      <c r="A6" s="2">
        <v>5.0</v>
      </c>
      <c r="B6" s="3"/>
      <c r="C6" t="str">
        <f t="shared" si="1"/>
        <v>#REF!</v>
      </c>
      <c r="D6" t="str">
        <f t="shared" si="2"/>
        <v>#REF!</v>
      </c>
      <c r="E6" t="str">
        <f t="shared" si="3"/>
        <v>#REF!</v>
      </c>
      <c r="F6" t="str">
        <f t="shared" si="4"/>
        <v>#REF!</v>
      </c>
    </row>
    <row r="7">
      <c r="A7" s="2">
        <v>6.0</v>
      </c>
      <c r="B7" s="3"/>
      <c r="C7" t="str">
        <f t="shared" si="1"/>
        <v>#REF!</v>
      </c>
      <c r="D7" t="str">
        <f t="shared" si="2"/>
        <v>#REF!</v>
      </c>
      <c r="E7" t="str">
        <f t="shared" si="3"/>
        <v>#REF!</v>
      </c>
      <c r="F7" t="str">
        <f t="shared" si="4"/>
        <v>#REF!</v>
      </c>
    </row>
    <row r="8">
      <c r="A8" s="2">
        <v>7.0</v>
      </c>
      <c r="B8" s="3"/>
      <c r="C8" t="str">
        <f t="shared" si="1"/>
        <v>#REF!</v>
      </c>
      <c r="D8" t="str">
        <f t="shared" si="2"/>
        <v>#REF!</v>
      </c>
      <c r="E8" t="str">
        <f t="shared" si="3"/>
        <v>#REF!</v>
      </c>
      <c r="F8" t="str">
        <f t="shared" si="4"/>
        <v>#REF!</v>
      </c>
    </row>
    <row r="9">
      <c r="A9" s="2">
        <v>8.0</v>
      </c>
      <c r="B9" s="3"/>
      <c r="C9" t="str">
        <f t="shared" si="1"/>
        <v>#REF!</v>
      </c>
      <c r="D9" t="str">
        <f t="shared" si="2"/>
        <v>#REF!</v>
      </c>
      <c r="E9" t="str">
        <f t="shared" si="3"/>
        <v>#REF!</v>
      </c>
      <c r="F9" t="str">
        <f t="shared" si="4"/>
        <v>#REF!</v>
      </c>
    </row>
    <row r="10">
      <c r="A10" s="2">
        <v>9.0</v>
      </c>
      <c r="B10" s="3"/>
      <c r="C10" t="str">
        <f t="shared" si="1"/>
        <v>#REF!</v>
      </c>
      <c r="D10" t="str">
        <f t="shared" si="2"/>
        <v>#REF!</v>
      </c>
      <c r="E10" t="str">
        <f t="shared" si="3"/>
        <v>#REF!</v>
      </c>
      <c r="F10" t="str">
        <f t="shared" si="4"/>
        <v>#REF!</v>
      </c>
    </row>
    <row r="11">
      <c r="A11" s="2">
        <v>10.0</v>
      </c>
      <c r="B11" s="3"/>
      <c r="C11" t="str">
        <f t="shared" si="1"/>
        <v>#REF!</v>
      </c>
      <c r="D11" t="str">
        <f t="shared" si="2"/>
        <v>#REF!</v>
      </c>
      <c r="E11" t="str">
        <f t="shared" si="3"/>
        <v>#REF!</v>
      </c>
      <c r="F11" t="str">
        <f t="shared" si="4"/>
        <v>#REF!</v>
      </c>
    </row>
    <row r="12">
      <c r="A12" s="2">
        <v>11.0</v>
      </c>
      <c r="B12" s="3"/>
      <c r="C12" t="str">
        <f t="shared" si="1"/>
        <v>#REF!</v>
      </c>
      <c r="D12" t="str">
        <f t="shared" si="2"/>
        <v>#REF!</v>
      </c>
      <c r="E12" t="str">
        <f t="shared" si="3"/>
        <v>#REF!</v>
      </c>
      <c r="F12" t="str">
        <f t="shared" si="4"/>
        <v>#REF!</v>
      </c>
    </row>
    <row r="13">
      <c r="A13" s="2">
        <v>12.0</v>
      </c>
      <c r="B13" s="3"/>
      <c r="C13" t="str">
        <f t="shared" si="1"/>
        <v>#REF!</v>
      </c>
      <c r="D13" t="str">
        <f t="shared" si="2"/>
        <v>#REF!</v>
      </c>
      <c r="E13" t="str">
        <f t="shared" si="3"/>
        <v>#REF!</v>
      </c>
      <c r="F13" t="str">
        <f t="shared" si="4"/>
        <v>#REF!</v>
      </c>
    </row>
    <row r="14">
      <c r="A14" s="2">
        <v>13.0</v>
      </c>
      <c r="B14" s="3"/>
      <c r="C14" t="str">
        <f t="shared" si="1"/>
        <v>#REF!</v>
      </c>
      <c r="D14" t="str">
        <f t="shared" si="2"/>
        <v>#REF!</v>
      </c>
      <c r="E14" t="str">
        <f t="shared" si="3"/>
        <v>#REF!</v>
      </c>
      <c r="F14" t="str">
        <f t="shared" si="4"/>
        <v>#REF!</v>
      </c>
    </row>
    <row r="15">
      <c r="A15" s="2">
        <v>14.0</v>
      </c>
      <c r="B15" s="3"/>
      <c r="C15" t="str">
        <f t="shared" si="1"/>
        <v>#REF!</v>
      </c>
      <c r="D15" t="str">
        <f t="shared" si="2"/>
        <v>#REF!</v>
      </c>
      <c r="E15" t="str">
        <f t="shared" si="3"/>
        <v>#REF!</v>
      </c>
      <c r="F15" t="str">
        <f t="shared" si="4"/>
        <v>#REF!</v>
      </c>
    </row>
    <row r="16">
      <c r="A16" s="2">
        <v>15.0</v>
      </c>
      <c r="B16" s="3"/>
      <c r="C16" t="str">
        <f t="shared" si="1"/>
        <v>#REF!</v>
      </c>
      <c r="D16" t="str">
        <f t="shared" si="2"/>
        <v>#REF!</v>
      </c>
      <c r="E16" t="str">
        <f t="shared" si="3"/>
        <v>#REF!</v>
      </c>
      <c r="F16" t="str">
        <f t="shared" si="4"/>
        <v>#REF!</v>
      </c>
    </row>
    <row r="17">
      <c r="A17" s="2">
        <v>16.0</v>
      </c>
      <c r="B17" s="3"/>
      <c r="C17" t="str">
        <f t="shared" si="1"/>
        <v>#REF!</v>
      </c>
      <c r="D17" t="str">
        <f t="shared" si="2"/>
        <v>#REF!</v>
      </c>
      <c r="E17" t="str">
        <f t="shared" si="3"/>
        <v>#REF!</v>
      </c>
      <c r="F17" t="str">
        <f t="shared" si="4"/>
        <v>#REF!</v>
      </c>
    </row>
    <row r="18">
      <c r="A18" s="2">
        <v>17.0</v>
      </c>
      <c r="B18" s="3"/>
      <c r="C18" t="str">
        <f t="shared" si="1"/>
        <v>#REF!</v>
      </c>
      <c r="D18" t="str">
        <f t="shared" si="2"/>
        <v>#REF!</v>
      </c>
      <c r="E18" t="str">
        <f t="shared" si="3"/>
        <v>#REF!</v>
      </c>
      <c r="F18" t="str">
        <f t="shared" si="4"/>
        <v>#REF!</v>
      </c>
    </row>
    <row r="19">
      <c r="A19" s="2">
        <v>18.0</v>
      </c>
      <c r="B19" s="3"/>
      <c r="C19" t="str">
        <f t="shared" si="1"/>
        <v>#REF!</v>
      </c>
      <c r="D19" t="str">
        <f t="shared" si="2"/>
        <v>#REF!</v>
      </c>
      <c r="E19" t="str">
        <f t="shared" si="3"/>
        <v>#REF!</v>
      </c>
      <c r="F19" t="str">
        <f t="shared" si="4"/>
        <v>#REF!</v>
      </c>
    </row>
    <row r="20">
      <c r="A20" s="2">
        <v>19.0</v>
      </c>
      <c r="B20" s="3"/>
      <c r="C20" t="str">
        <f t="shared" si="1"/>
        <v>#REF!</v>
      </c>
      <c r="D20" t="str">
        <f t="shared" si="2"/>
        <v>#REF!</v>
      </c>
      <c r="E20" t="str">
        <f t="shared" si="3"/>
        <v>#REF!</v>
      </c>
      <c r="F20" t="str">
        <f t="shared" si="4"/>
        <v>#REF!</v>
      </c>
    </row>
    <row r="21">
      <c r="A21" s="2">
        <v>20.0</v>
      </c>
      <c r="B21" s="3"/>
      <c r="C21" t="str">
        <f t="shared" si="1"/>
        <v>#REF!</v>
      </c>
      <c r="D21" t="str">
        <f t="shared" si="2"/>
        <v>#REF!</v>
      </c>
      <c r="E21" t="str">
        <f t="shared" si="3"/>
        <v>#REF!</v>
      </c>
      <c r="F21" t="str">
        <f t="shared" si="4"/>
        <v>#REF!</v>
      </c>
    </row>
    <row r="22">
      <c r="A22" s="2">
        <v>21.0</v>
      </c>
      <c r="B22" s="3"/>
      <c r="C22" t="str">
        <f t="shared" si="1"/>
        <v>#REF!</v>
      </c>
      <c r="D22" t="str">
        <f t="shared" si="2"/>
        <v>#REF!</v>
      </c>
      <c r="E22" t="str">
        <f t="shared" si="3"/>
        <v>#REF!</v>
      </c>
      <c r="F22" t="str">
        <f t="shared" si="4"/>
        <v>#REF!</v>
      </c>
    </row>
    <row r="23">
      <c r="A23" s="2">
        <v>22.0</v>
      </c>
      <c r="B23" s="3"/>
      <c r="C23" t="str">
        <f t="shared" si="1"/>
        <v>#REF!</v>
      </c>
      <c r="D23" t="str">
        <f t="shared" si="2"/>
        <v>#REF!</v>
      </c>
      <c r="E23" t="str">
        <f t="shared" si="3"/>
        <v>#REF!</v>
      </c>
      <c r="F23" t="str">
        <f t="shared" si="4"/>
        <v>#REF!</v>
      </c>
    </row>
    <row r="24">
      <c r="A24" s="2">
        <v>23.0</v>
      </c>
      <c r="B24" s="3"/>
      <c r="C24" t="str">
        <f t="shared" si="1"/>
        <v>#REF!</v>
      </c>
      <c r="D24" t="str">
        <f t="shared" si="2"/>
        <v>#REF!</v>
      </c>
      <c r="E24" t="str">
        <f t="shared" si="3"/>
        <v>#REF!</v>
      </c>
      <c r="F24" t="str">
        <f t="shared" si="4"/>
        <v>#REF!</v>
      </c>
    </row>
    <row r="25">
      <c r="A25" s="2">
        <v>24.0</v>
      </c>
      <c r="B25" s="3"/>
      <c r="C25" t="str">
        <f t="shared" si="1"/>
        <v>#REF!</v>
      </c>
      <c r="D25" t="str">
        <f t="shared" si="2"/>
        <v>#REF!</v>
      </c>
      <c r="E25" t="str">
        <f t="shared" si="3"/>
        <v>#REF!</v>
      </c>
      <c r="F25" t="str">
        <f t="shared" si="4"/>
        <v>#REF!</v>
      </c>
    </row>
    <row r="26">
      <c r="A26" s="2">
        <v>25.0</v>
      </c>
      <c r="B26" s="3"/>
      <c r="C26" t="str">
        <f t="shared" si="1"/>
        <v>#REF!</v>
      </c>
      <c r="D26" t="str">
        <f t="shared" si="2"/>
        <v>#REF!</v>
      </c>
      <c r="E26" t="str">
        <f t="shared" si="3"/>
        <v>#REF!</v>
      </c>
      <c r="F26" t="str">
        <f t="shared" si="4"/>
        <v>#REF!</v>
      </c>
    </row>
    <row r="27">
      <c r="A27" s="2">
        <v>26.0</v>
      </c>
      <c r="B27" s="3"/>
      <c r="C27" t="str">
        <f t="shared" si="1"/>
        <v>#REF!</v>
      </c>
      <c r="D27" t="str">
        <f t="shared" si="2"/>
        <v>#REF!</v>
      </c>
      <c r="E27" t="str">
        <f t="shared" si="3"/>
        <v>#REF!</v>
      </c>
      <c r="F27" t="str">
        <f t="shared" si="4"/>
        <v>#REF!</v>
      </c>
    </row>
    <row r="28">
      <c r="A28" s="2">
        <v>27.0</v>
      </c>
      <c r="B28" s="3"/>
      <c r="C28" t="str">
        <f t="shared" si="1"/>
        <v>#REF!</v>
      </c>
      <c r="D28" t="str">
        <f t="shared" si="2"/>
        <v>#REF!</v>
      </c>
      <c r="E28" t="str">
        <f t="shared" si="3"/>
        <v>#REF!</v>
      </c>
      <c r="F28" t="str">
        <f t="shared" si="4"/>
        <v>#REF!</v>
      </c>
    </row>
    <row r="29">
      <c r="A29" s="2">
        <v>28.0</v>
      </c>
      <c r="B29" s="3"/>
      <c r="C29" t="str">
        <f t="shared" si="1"/>
        <v>#REF!</v>
      </c>
      <c r="D29" t="str">
        <f t="shared" si="2"/>
        <v>#REF!</v>
      </c>
      <c r="E29" t="str">
        <f t="shared" si="3"/>
        <v>#REF!</v>
      </c>
      <c r="F29" t="str">
        <f t="shared" si="4"/>
        <v>#REF!</v>
      </c>
    </row>
    <row r="30">
      <c r="A30" s="2">
        <v>29.0</v>
      </c>
      <c r="B30" s="3"/>
      <c r="C30" t="str">
        <f t="shared" si="1"/>
        <v>#REF!</v>
      </c>
      <c r="D30" t="str">
        <f t="shared" si="2"/>
        <v>#REF!</v>
      </c>
      <c r="E30" t="str">
        <f t="shared" si="3"/>
        <v>#REF!</v>
      </c>
      <c r="F30" t="str">
        <f t="shared" si="4"/>
        <v>#REF!</v>
      </c>
    </row>
    <row r="31">
      <c r="A31" s="2">
        <v>30.0</v>
      </c>
      <c r="B31" s="3"/>
      <c r="C31" t="str">
        <f t="shared" si="1"/>
        <v>#REF!</v>
      </c>
      <c r="D31" t="str">
        <f t="shared" si="2"/>
        <v>#REF!</v>
      </c>
      <c r="E31" t="str">
        <f t="shared" si="3"/>
        <v>#REF!</v>
      </c>
      <c r="F31" t="str">
        <f t="shared" si="4"/>
        <v>#REF!</v>
      </c>
    </row>
    <row r="32">
      <c r="A32" s="2">
        <v>31.0</v>
      </c>
      <c r="B32" s="3"/>
      <c r="C32" t="str">
        <f t="shared" si="1"/>
        <v>#REF!</v>
      </c>
      <c r="D32" t="str">
        <f t="shared" si="2"/>
        <v>#REF!</v>
      </c>
      <c r="E32" t="str">
        <f t="shared" si="3"/>
        <v>#REF!</v>
      </c>
      <c r="F32" t="str">
        <f t="shared" si="4"/>
        <v>#REF!</v>
      </c>
    </row>
    <row r="33">
      <c r="A33" s="2">
        <v>32.0</v>
      </c>
      <c r="B33" s="3"/>
      <c r="C33" t="str">
        <f t="shared" si="1"/>
        <v>#REF!</v>
      </c>
      <c r="D33" t="str">
        <f t="shared" si="2"/>
        <v>#REF!</v>
      </c>
      <c r="E33" t="str">
        <f t="shared" si="3"/>
        <v>#REF!</v>
      </c>
      <c r="F33" t="str">
        <f t="shared" si="4"/>
        <v>#REF!</v>
      </c>
    </row>
    <row r="34">
      <c r="A34" s="2">
        <v>33.0</v>
      </c>
      <c r="B34" s="3"/>
      <c r="C34" t="str">
        <f t="shared" si="1"/>
        <v>#REF!</v>
      </c>
      <c r="D34" t="str">
        <f t="shared" si="2"/>
        <v>#REF!</v>
      </c>
      <c r="E34" t="str">
        <f t="shared" si="3"/>
        <v>#REF!</v>
      </c>
      <c r="F34" t="str">
        <f t="shared" si="4"/>
        <v>#REF!</v>
      </c>
    </row>
    <row r="35">
      <c r="A35" s="2">
        <v>34.0</v>
      </c>
      <c r="B35" s="3"/>
      <c r="C35" t="str">
        <f t="shared" si="1"/>
        <v>#REF!</v>
      </c>
      <c r="D35" t="str">
        <f t="shared" si="2"/>
        <v>#REF!</v>
      </c>
      <c r="E35" t="str">
        <f t="shared" si="3"/>
        <v>#REF!</v>
      </c>
      <c r="F35" t="str">
        <f t="shared" si="4"/>
        <v>#REF!</v>
      </c>
    </row>
    <row r="36">
      <c r="A36" s="2">
        <v>35.0</v>
      </c>
      <c r="B36" s="3"/>
      <c r="C36" t="str">
        <f t="shared" si="1"/>
        <v>#REF!</v>
      </c>
      <c r="D36" t="str">
        <f t="shared" si="2"/>
        <v>#REF!</v>
      </c>
      <c r="E36" t="str">
        <f t="shared" si="3"/>
        <v>#REF!</v>
      </c>
      <c r="F36" t="str">
        <f t="shared" si="4"/>
        <v>#REF!</v>
      </c>
    </row>
    <row r="37">
      <c r="A37" s="2">
        <v>36.0</v>
      </c>
      <c r="B37" s="3"/>
      <c r="C37" t="str">
        <f t="shared" si="1"/>
        <v>#REF!</v>
      </c>
      <c r="D37" t="str">
        <f t="shared" si="2"/>
        <v>#REF!</v>
      </c>
      <c r="E37" t="str">
        <f t="shared" si="3"/>
        <v>#REF!</v>
      </c>
      <c r="F37" t="str">
        <f t="shared" si="4"/>
        <v>#REF!</v>
      </c>
    </row>
    <row r="38">
      <c r="A38" s="2">
        <v>37.0</v>
      </c>
      <c r="B38" s="3"/>
      <c r="C38" t="str">
        <f t="shared" si="1"/>
        <v>#REF!</v>
      </c>
      <c r="D38" t="str">
        <f t="shared" si="2"/>
        <v>#REF!</v>
      </c>
      <c r="E38" t="str">
        <f t="shared" si="3"/>
        <v>#REF!</v>
      </c>
      <c r="F38" t="str">
        <f t="shared" si="4"/>
        <v>#REF!</v>
      </c>
    </row>
    <row r="39">
      <c r="A39" s="2">
        <v>38.0</v>
      </c>
      <c r="B39" s="3"/>
      <c r="C39" t="str">
        <f t="shared" si="1"/>
        <v>#REF!</v>
      </c>
      <c r="D39" t="str">
        <f t="shared" si="2"/>
        <v>#REF!</v>
      </c>
      <c r="E39" t="str">
        <f t="shared" si="3"/>
        <v>#REF!</v>
      </c>
      <c r="F39" t="str">
        <f t="shared" si="4"/>
        <v>#REF!</v>
      </c>
    </row>
    <row r="40">
      <c r="A40" s="2">
        <v>39.0</v>
      </c>
      <c r="B40" s="3"/>
      <c r="C40" t="str">
        <f t="shared" si="1"/>
        <v>#REF!</v>
      </c>
      <c r="D40" t="str">
        <f t="shared" si="2"/>
        <v>#REF!</v>
      </c>
      <c r="E40" t="str">
        <f t="shared" si="3"/>
        <v>#REF!</v>
      </c>
      <c r="F40" t="str">
        <f t="shared" si="4"/>
        <v>#REF!</v>
      </c>
    </row>
    <row r="41">
      <c r="A41" s="2">
        <v>40.0</v>
      </c>
      <c r="B41" s="3"/>
      <c r="C41" t="str">
        <f t="shared" si="1"/>
        <v>#REF!</v>
      </c>
      <c r="D41" t="str">
        <f t="shared" si="2"/>
        <v>#REF!</v>
      </c>
      <c r="E41" t="str">
        <f t="shared" si="3"/>
        <v>#REF!</v>
      </c>
      <c r="F41" t="str">
        <f t="shared" si="4"/>
        <v>#REF!</v>
      </c>
    </row>
    <row r="42">
      <c r="A42" s="2">
        <v>41.0</v>
      </c>
      <c r="B42" s="3"/>
      <c r="C42" t="str">
        <f t="shared" si="1"/>
        <v>#REF!</v>
      </c>
      <c r="D42" t="str">
        <f t="shared" si="2"/>
        <v>#REF!</v>
      </c>
      <c r="E42" t="str">
        <f t="shared" si="3"/>
        <v>#REF!</v>
      </c>
      <c r="F42" t="str">
        <f t="shared" si="4"/>
        <v>#REF!</v>
      </c>
    </row>
    <row r="43">
      <c r="A43" s="2">
        <v>42.0</v>
      </c>
      <c r="B43" s="3"/>
      <c r="C43" t="str">
        <f t="shared" si="1"/>
        <v>#REF!</v>
      </c>
      <c r="D43" t="str">
        <f t="shared" si="2"/>
        <v>#REF!</v>
      </c>
      <c r="E43" t="str">
        <f t="shared" si="3"/>
        <v>#REF!</v>
      </c>
      <c r="F43" t="str">
        <f t="shared" si="4"/>
        <v>#REF!</v>
      </c>
    </row>
    <row r="44">
      <c r="A44" s="2">
        <v>43.0</v>
      </c>
      <c r="B44" s="3"/>
      <c r="C44" t="str">
        <f t="shared" si="1"/>
        <v>#REF!</v>
      </c>
      <c r="D44" t="str">
        <f t="shared" si="2"/>
        <v>#REF!</v>
      </c>
      <c r="E44" t="str">
        <f t="shared" si="3"/>
        <v>#REF!</v>
      </c>
      <c r="F44" t="str">
        <f t="shared" si="4"/>
        <v>#REF!</v>
      </c>
    </row>
    <row r="45">
      <c r="A45" s="2">
        <v>44.0</v>
      </c>
      <c r="B45" s="3"/>
      <c r="C45" t="str">
        <f t="shared" si="1"/>
        <v>#REF!</v>
      </c>
      <c r="D45" t="str">
        <f t="shared" si="2"/>
        <v>#REF!</v>
      </c>
      <c r="E45" t="str">
        <f t="shared" si="3"/>
        <v>#REF!</v>
      </c>
      <c r="F45" t="str">
        <f t="shared" si="4"/>
        <v>#REF!</v>
      </c>
    </row>
    <row r="46">
      <c r="A46" s="2">
        <v>45.0</v>
      </c>
      <c r="B46" s="3"/>
      <c r="C46" t="str">
        <f t="shared" si="1"/>
        <v>#REF!</v>
      </c>
      <c r="D46" t="str">
        <f t="shared" si="2"/>
        <v>#REF!</v>
      </c>
      <c r="E46" t="str">
        <f t="shared" si="3"/>
        <v>#REF!</v>
      </c>
      <c r="F46" t="str">
        <f t="shared" si="4"/>
        <v>#REF!</v>
      </c>
    </row>
    <row r="47">
      <c r="A47" s="2">
        <v>46.0</v>
      </c>
      <c r="B47" s="3"/>
      <c r="C47" t="str">
        <f t="shared" si="1"/>
        <v>#REF!</v>
      </c>
      <c r="D47" t="str">
        <f t="shared" si="2"/>
        <v>#REF!</v>
      </c>
      <c r="E47" t="str">
        <f t="shared" si="3"/>
        <v>#REF!</v>
      </c>
      <c r="F47" t="str">
        <f t="shared" si="4"/>
        <v>#REF!</v>
      </c>
    </row>
    <row r="48">
      <c r="A48" s="2">
        <v>47.0</v>
      </c>
      <c r="B48" s="3"/>
      <c r="C48" t="str">
        <f t="shared" si="1"/>
        <v>#REF!</v>
      </c>
      <c r="D48" t="str">
        <f t="shared" si="2"/>
        <v>#REF!</v>
      </c>
      <c r="E48" t="str">
        <f t="shared" si="3"/>
        <v>#REF!</v>
      </c>
      <c r="F48" t="str">
        <f t="shared" si="4"/>
        <v>#REF!</v>
      </c>
    </row>
    <row r="49">
      <c r="A49" s="2">
        <v>48.0</v>
      </c>
      <c r="B49" s="3"/>
      <c r="C49" t="str">
        <f t="shared" si="1"/>
        <v>#REF!</v>
      </c>
      <c r="D49" t="str">
        <f t="shared" si="2"/>
        <v>#REF!</v>
      </c>
      <c r="E49" t="str">
        <f t="shared" si="3"/>
        <v>#REF!</v>
      </c>
      <c r="F49" t="str">
        <f t="shared" si="4"/>
        <v>#REF!</v>
      </c>
    </row>
    <row r="50">
      <c r="A50" s="2">
        <v>49.0</v>
      </c>
      <c r="B50" s="3"/>
      <c r="C50" t="str">
        <f t="shared" si="1"/>
        <v>#REF!</v>
      </c>
      <c r="D50" t="str">
        <f t="shared" si="2"/>
        <v>#REF!</v>
      </c>
      <c r="E50" t="str">
        <f t="shared" si="3"/>
        <v>#REF!</v>
      </c>
      <c r="F50" t="str">
        <f t="shared" si="4"/>
        <v>#REF!</v>
      </c>
    </row>
    <row r="51">
      <c r="A51" s="2">
        <v>50.0</v>
      </c>
      <c r="B51" s="3"/>
      <c r="C51" t="str">
        <f t="shared" si="1"/>
        <v>#REF!</v>
      </c>
      <c r="D51" t="str">
        <f t="shared" si="2"/>
        <v>#REF!</v>
      </c>
      <c r="E51" t="str">
        <f t="shared" si="3"/>
        <v>#REF!</v>
      </c>
      <c r="F51" t="str">
        <f t="shared" si="4"/>
        <v>#REF!</v>
      </c>
    </row>
    <row r="52">
      <c r="C52" t="str">
        <f t="shared" si="1"/>
        <v>#REF!</v>
      </c>
      <c r="D52" t="str">
        <f t="shared" si="2"/>
        <v>#REF!</v>
      </c>
      <c r="E52" t="str">
        <f t="shared" si="3"/>
        <v>#REF!</v>
      </c>
      <c r="F52" t="str">
        <f t="shared" si="4"/>
        <v>#REF!</v>
      </c>
    </row>
    <row r="53">
      <c r="C53" t="str">
        <f t="shared" si="1"/>
        <v>#REF!</v>
      </c>
      <c r="D53" t="str">
        <f t="shared" si="2"/>
        <v>#REF!</v>
      </c>
      <c r="E53" t="str">
        <f t="shared" si="3"/>
        <v>#REF!</v>
      </c>
      <c r="F53" t="str">
        <f t="shared" si="4"/>
        <v>#REF!</v>
      </c>
    </row>
    <row r="54">
      <c r="C54" t="str">
        <f t="shared" si="1"/>
        <v>#REF!</v>
      </c>
      <c r="D54" t="str">
        <f t="shared" si="2"/>
        <v>#REF!</v>
      </c>
      <c r="E54" t="str">
        <f t="shared" si="3"/>
        <v>#REF!</v>
      </c>
      <c r="F54" t="str">
        <f t="shared" si="4"/>
        <v>#REF!</v>
      </c>
    </row>
    <row r="55">
      <c r="C55" t="str">
        <f t="shared" si="1"/>
        <v>#REF!</v>
      </c>
      <c r="D55" t="str">
        <f t="shared" si="2"/>
        <v>#REF!</v>
      </c>
      <c r="E55" t="str">
        <f t="shared" si="3"/>
        <v>#REF!</v>
      </c>
      <c r="F55" t="str">
        <f t="shared" si="4"/>
        <v>#REF!</v>
      </c>
    </row>
    <row r="56">
      <c r="C56" t="str">
        <f t="shared" si="1"/>
        <v>#REF!</v>
      </c>
      <c r="D56" t="str">
        <f t="shared" si="2"/>
        <v>#REF!</v>
      </c>
      <c r="E56" t="str">
        <f t="shared" si="3"/>
        <v>#REF!</v>
      </c>
      <c r="F56" t="str">
        <f t="shared" si="4"/>
        <v>#REF!</v>
      </c>
    </row>
    <row r="57">
      <c r="C57" t="str">
        <f t="shared" si="1"/>
        <v>#REF!</v>
      </c>
      <c r="D57" t="str">
        <f t="shared" si="2"/>
        <v>#REF!</v>
      </c>
      <c r="E57" t="str">
        <f t="shared" si="3"/>
        <v>#REF!</v>
      </c>
      <c r="F57" t="str">
        <f t="shared" si="4"/>
        <v>#REF!</v>
      </c>
    </row>
    <row r="58">
      <c r="C58" t="str">
        <f t="shared" si="1"/>
        <v>#REF!</v>
      </c>
      <c r="D58" t="str">
        <f t="shared" si="2"/>
        <v>#REF!</v>
      </c>
      <c r="E58" t="str">
        <f t="shared" si="3"/>
        <v>#REF!</v>
      </c>
      <c r="F58" t="str">
        <f t="shared" si="4"/>
        <v>#REF!</v>
      </c>
    </row>
    <row r="59">
      <c r="C59" t="str">
        <f t="shared" si="1"/>
        <v>#REF!</v>
      </c>
      <c r="D59" t="str">
        <f t="shared" si="2"/>
        <v>#REF!</v>
      </c>
      <c r="E59" t="str">
        <f t="shared" si="3"/>
        <v>#REF!</v>
      </c>
      <c r="F59" t="str">
        <f t="shared" si="4"/>
        <v>#REF!</v>
      </c>
    </row>
    <row r="60">
      <c r="C60" t="str">
        <f t="shared" si="1"/>
        <v>#REF!</v>
      </c>
      <c r="D60" t="str">
        <f t="shared" si="2"/>
        <v>#REF!</v>
      </c>
      <c r="E60" t="str">
        <f t="shared" si="3"/>
        <v>#REF!</v>
      </c>
      <c r="F60" t="str">
        <f t="shared" si="4"/>
        <v>#REF!</v>
      </c>
    </row>
    <row r="61">
      <c r="C61" t="str">
        <f t="shared" si="1"/>
        <v>#REF!</v>
      </c>
      <c r="D61" t="str">
        <f t="shared" si="2"/>
        <v>#REF!</v>
      </c>
      <c r="E61" t="str">
        <f t="shared" si="3"/>
        <v>#REF!</v>
      </c>
      <c r="F61" t="str">
        <f t="shared" si="4"/>
        <v>#REF!</v>
      </c>
    </row>
    <row r="62">
      <c r="C62" t="str">
        <f t="shared" si="1"/>
        <v>#REF!</v>
      </c>
      <c r="D62" t="str">
        <f t="shared" si="2"/>
        <v>#REF!</v>
      </c>
      <c r="E62" t="str">
        <f t="shared" si="3"/>
        <v>#REF!</v>
      </c>
      <c r="F62" t="str">
        <f t="shared" si="4"/>
        <v>#REF!</v>
      </c>
    </row>
    <row r="63">
      <c r="C63" t="str">
        <f t="shared" si="1"/>
        <v>#REF!</v>
      </c>
      <c r="D63" t="str">
        <f t="shared" si="2"/>
        <v>#REF!</v>
      </c>
      <c r="E63" t="str">
        <f t="shared" si="3"/>
        <v>#REF!</v>
      </c>
      <c r="F63" t="str">
        <f t="shared" si="4"/>
        <v>#REF!</v>
      </c>
    </row>
    <row r="64">
      <c r="C64" t="str">
        <f t="shared" si="1"/>
        <v>#REF!</v>
      </c>
      <c r="D64" t="str">
        <f t="shared" si="2"/>
        <v>#REF!</v>
      </c>
      <c r="E64" t="str">
        <f t="shared" si="3"/>
        <v>#REF!</v>
      </c>
      <c r="F64" t="str">
        <f t="shared" si="4"/>
        <v>#REF!</v>
      </c>
    </row>
    <row r="65">
      <c r="C65" t="str">
        <f t="shared" si="1"/>
        <v>#REF!</v>
      </c>
      <c r="D65" t="str">
        <f t="shared" si="2"/>
        <v>#REF!</v>
      </c>
      <c r="E65" t="str">
        <f t="shared" si="3"/>
        <v>#REF!</v>
      </c>
      <c r="F65" t="str">
        <f t="shared" si="4"/>
        <v>#REF!</v>
      </c>
    </row>
    <row r="66">
      <c r="C66" t="str">
        <f t="shared" si="1"/>
        <v>#REF!</v>
      </c>
      <c r="D66" t="str">
        <f t="shared" si="2"/>
        <v>#REF!</v>
      </c>
      <c r="E66" t="str">
        <f t="shared" si="3"/>
        <v>#REF!</v>
      </c>
      <c r="F66" t="str">
        <f t="shared" si="4"/>
        <v>#REF!</v>
      </c>
    </row>
    <row r="67">
      <c r="C67" t="str">
        <f t="shared" si="1"/>
        <v>#REF!</v>
      </c>
      <c r="D67" t="str">
        <f t="shared" si="2"/>
        <v>#REF!</v>
      </c>
      <c r="E67" t="str">
        <f t="shared" si="3"/>
        <v>#REF!</v>
      </c>
      <c r="F67" t="str">
        <f t="shared" si="4"/>
        <v>#REF!</v>
      </c>
    </row>
    <row r="68">
      <c r="C68" t="str">
        <f t="shared" si="1"/>
        <v>#REF!</v>
      </c>
      <c r="D68" t="str">
        <f t="shared" si="2"/>
        <v>#REF!</v>
      </c>
      <c r="E68" t="str">
        <f t="shared" si="3"/>
        <v>#REF!</v>
      </c>
      <c r="F68" t="str">
        <f t="shared" si="4"/>
        <v>#REF!</v>
      </c>
    </row>
    <row r="69">
      <c r="C69" t="str">
        <f t="shared" si="1"/>
        <v>#REF!</v>
      </c>
      <c r="D69" t="str">
        <f t="shared" si="2"/>
        <v>#REF!</v>
      </c>
      <c r="E69" t="str">
        <f t="shared" si="3"/>
        <v>#REF!</v>
      </c>
      <c r="F69" t="str">
        <f t="shared" si="4"/>
        <v>#REF!</v>
      </c>
    </row>
    <row r="70">
      <c r="C70" t="str">
        <f t="shared" si="1"/>
        <v>#REF!</v>
      </c>
      <c r="D70" t="str">
        <f t="shared" si="2"/>
        <v>#REF!</v>
      </c>
      <c r="E70" t="str">
        <f t="shared" si="3"/>
        <v>#REF!</v>
      </c>
      <c r="F70" t="str">
        <f t="shared" si="4"/>
        <v>#REF!</v>
      </c>
    </row>
    <row r="71">
      <c r="C71" t="str">
        <f t="shared" si="1"/>
        <v>#REF!</v>
      </c>
      <c r="D71" t="str">
        <f t="shared" si="2"/>
        <v>#REF!</v>
      </c>
      <c r="E71" t="str">
        <f t="shared" si="3"/>
        <v>#REF!</v>
      </c>
      <c r="F71" t="str">
        <f t="shared" si="4"/>
        <v>#REF!</v>
      </c>
    </row>
    <row r="72">
      <c r="C72" t="str">
        <f t="shared" si="1"/>
        <v>#REF!</v>
      </c>
      <c r="D72" t="str">
        <f t="shared" si="2"/>
        <v>#REF!</v>
      </c>
      <c r="E72" t="str">
        <f t="shared" si="3"/>
        <v>#REF!</v>
      </c>
      <c r="F72" t="str">
        <f t="shared" si="4"/>
        <v>#REF!</v>
      </c>
    </row>
    <row r="73">
      <c r="C73" t="str">
        <f t="shared" si="1"/>
        <v>#REF!</v>
      </c>
      <c r="D73" t="str">
        <f t="shared" si="2"/>
        <v>#REF!</v>
      </c>
      <c r="E73" t="str">
        <f t="shared" si="3"/>
        <v>#REF!</v>
      </c>
      <c r="F73" t="str">
        <f t="shared" si="4"/>
        <v>#REF!</v>
      </c>
    </row>
    <row r="74">
      <c r="C74" t="str">
        <f t="shared" si="1"/>
        <v>#REF!</v>
      </c>
      <c r="D74" t="str">
        <f t="shared" si="2"/>
        <v>#REF!</v>
      </c>
      <c r="E74" t="str">
        <f t="shared" si="3"/>
        <v>#REF!</v>
      </c>
      <c r="F74" t="str">
        <f t="shared" si="4"/>
        <v>#REF!</v>
      </c>
    </row>
    <row r="75">
      <c r="C75" t="str">
        <f t="shared" si="1"/>
        <v>#REF!</v>
      </c>
      <c r="D75" t="str">
        <f t="shared" si="2"/>
        <v>#REF!</v>
      </c>
      <c r="E75" t="str">
        <f t="shared" si="3"/>
        <v>#REF!</v>
      </c>
      <c r="F75" t="str">
        <f t="shared" si="4"/>
        <v>#REF!</v>
      </c>
    </row>
    <row r="76">
      <c r="C76" t="str">
        <f t="shared" si="1"/>
        <v>#REF!</v>
      </c>
      <c r="D76" t="str">
        <f t="shared" si="2"/>
        <v>#REF!</v>
      </c>
      <c r="E76" t="str">
        <f t="shared" si="3"/>
        <v>#REF!</v>
      </c>
      <c r="F76" t="str">
        <f t="shared" si="4"/>
        <v>#REF!</v>
      </c>
    </row>
    <row r="77">
      <c r="C77" t="str">
        <f t="shared" si="1"/>
        <v>#REF!</v>
      </c>
      <c r="D77" t="str">
        <f t="shared" si="2"/>
        <v>#REF!</v>
      </c>
      <c r="E77" t="str">
        <f t="shared" si="3"/>
        <v>#REF!</v>
      </c>
      <c r="F77" t="str">
        <f t="shared" si="4"/>
        <v>#REF!</v>
      </c>
    </row>
    <row r="78">
      <c r="C78" t="str">
        <f t="shared" si="1"/>
        <v>#REF!</v>
      </c>
      <c r="D78" t="str">
        <f t="shared" si="2"/>
        <v>#REF!</v>
      </c>
      <c r="E78" t="str">
        <f t="shared" si="3"/>
        <v>#REF!</v>
      </c>
      <c r="F78" t="str">
        <f t="shared" si="4"/>
        <v>#REF!</v>
      </c>
    </row>
    <row r="79">
      <c r="C79" t="str">
        <f t="shared" si="1"/>
        <v>#REF!</v>
      </c>
      <c r="D79" t="str">
        <f t="shared" si="2"/>
        <v>#REF!</v>
      </c>
      <c r="E79" t="str">
        <f t="shared" si="3"/>
        <v>#REF!</v>
      </c>
      <c r="F79" t="str">
        <f t="shared" si="4"/>
        <v>#REF!</v>
      </c>
    </row>
    <row r="80">
      <c r="C80" t="str">
        <f t="shared" si="1"/>
        <v>#REF!</v>
      </c>
      <c r="D80" t="str">
        <f t="shared" si="2"/>
        <v>#REF!</v>
      </c>
      <c r="E80" t="str">
        <f t="shared" si="3"/>
        <v>#REF!</v>
      </c>
      <c r="F80" t="str">
        <f t="shared" si="4"/>
        <v>#REF!</v>
      </c>
    </row>
    <row r="81">
      <c r="C81" t="str">
        <f t="shared" si="1"/>
        <v>#REF!</v>
      </c>
      <c r="D81" t="str">
        <f t="shared" si="2"/>
        <v>#REF!</v>
      </c>
      <c r="E81" t="str">
        <f t="shared" si="3"/>
        <v>#REF!</v>
      </c>
      <c r="F81" t="str">
        <f t="shared" si="4"/>
        <v>#REF!</v>
      </c>
    </row>
    <row r="82">
      <c r="C82" t="str">
        <f t="shared" si="1"/>
        <v>#REF!</v>
      </c>
      <c r="D82" t="str">
        <f t="shared" si="2"/>
        <v>#REF!</v>
      </c>
      <c r="E82" t="str">
        <f t="shared" si="3"/>
        <v>#REF!</v>
      </c>
      <c r="F82" t="str">
        <f t="shared" si="4"/>
        <v>#REF!</v>
      </c>
    </row>
    <row r="83">
      <c r="C83" t="str">
        <f t="shared" si="1"/>
        <v>#REF!</v>
      </c>
      <c r="D83" t="str">
        <f t="shared" si="2"/>
        <v>#REF!</v>
      </c>
      <c r="E83" t="str">
        <f t="shared" si="3"/>
        <v>#REF!</v>
      </c>
      <c r="F83" t="str">
        <f t="shared" si="4"/>
        <v>#REF!</v>
      </c>
    </row>
    <row r="84">
      <c r="C84" t="str">
        <f t="shared" si="1"/>
        <v>#REF!</v>
      </c>
      <c r="D84" t="str">
        <f t="shared" si="2"/>
        <v>#REF!</v>
      </c>
      <c r="E84" t="str">
        <f t="shared" si="3"/>
        <v>#REF!</v>
      </c>
      <c r="F84" t="str">
        <f t="shared" si="4"/>
        <v>#REF!</v>
      </c>
    </row>
    <row r="85">
      <c r="C85" t="str">
        <f t="shared" si="1"/>
        <v>#REF!</v>
      </c>
      <c r="D85" t="str">
        <f t="shared" si="2"/>
        <v>#REF!</v>
      </c>
      <c r="E85" t="str">
        <f t="shared" si="3"/>
        <v>#REF!</v>
      </c>
      <c r="F85" t="str">
        <f t="shared" si="4"/>
        <v>#REF!</v>
      </c>
    </row>
    <row r="86">
      <c r="C86" t="str">
        <f t="shared" si="1"/>
        <v>#REF!</v>
      </c>
      <c r="D86" t="str">
        <f t="shared" si="2"/>
        <v>#REF!</v>
      </c>
      <c r="E86" t="str">
        <f t="shared" si="3"/>
        <v>#REF!</v>
      </c>
      <c r="F86" t="str">
        <f t="shared" si="4"/>
        <v>#REF!</v>
      </c>
    </row>
    <row r="87">
      <c r="C87" t="str">
        <f t="shared" si="1"/>
        <v>#REF!</v>
      </c>
      <c r="D87" t="str">
        <f t="shared" si="2"/>
        <v>#REF!</v>
      </c>
      <c r="E87" t="str">
        <f t="shared" si="3"/>
        <v>#REF!</v>
      </c>
      <c r="F87" t="str">
        <f t="shared" si="4"/>
        <v>#REF!</v>
      </c>
    </row>
    <row r="88">
      <c r="C88" t="str">
        <f t="shared" si="1"/>
        <v>#REF!</v>
      </c>
      <c r="D88" t="str">
        <f t="shared" si="2"/>
        <v>#REF!</v>
      </c>
      <c r="E88" t="str">
        <f t="shared" si="3"/>
        <v>#REF!</v>
      </c>
      <c r="F88" t="str">
        <f t="shared" si="4"/>
        <v>#REF!</v>
      </c>
    </row>
    <row r="89">
      <c r="C89" t="str">
        <f t="shared" si="1"/>
        <v>#REF!</v>
      </c>
      <c r="D89" t="str">
        <f t="shared" si="2"/>
        <v>#REF!</v>
      </c>
      <c r="E89" t="str">
        <f t="shared" si="3"/>
        <v>#REF!</v>
      </c>
      <c r="F89" t="str">
        <f t="shared" si="4"/>
        <v>#REF!</v>
      </c>
    </row>
    <row r="90">
      <c r="C90" t="str">
        <f t="shared" si="1"/>
        <v>#REF!</v>
      </c>
      <c r="D90" t="str">
        <f t="shared" si="2"/>
        <v>#REF!</v>
      </c>
      <c r="E90" t="str">
        <f t="shared" si="3"/>
        <v>#REF!</v>
      </c>
      <c r="F90" t="str">
        <f t="shared" si="4"/>
        <v>#REF!</v>
      </c>
    </row>
    <row r="91">
      <c r="C91" t="str">
        <f t="shared" si="1"/>
        <v>#REF!</v>
      </c>
      <c r="D91" t="str">
        <f t="shared" si="2"/>
        <v>#REF!</v>
      </c>
      <c r="E91" t="str">
        <f t="shared" si="3"/>
        <v>#REF!</v>
      </c>
      <c r="F91" t="str">
        <f t="shared" si="4"/>
        <v>#REF!</v>
      </c>
    </row>
    <row r="92">
      <c r="C92" t="str">
        <f t="shared" si="1"/>
        <v>#REF!</v>
      </c>
      <c r="D92" t="str">
        <f t="shared" si="2"/>
        <v>#REF!</v>
      </c>
      <c r="E92" t="str">
        <f t="shared" si="3"/>
        <v>#REF!</v>
      </c>
      <c r="F92" t="str">
        <f t="shared" si="4"/>
        <v>#REF!</v>
      </c>
    </row>
    <row r="93">
      <c r="C93" t="str">
        <f t="shared" si="1"/>
        <v>#REF!</v>
      </c>
      <c r="D93" t="str">
        <f t="shared" si="2"/>
        <v>#REF!</v>
      </c>
      <c r="E93" t="str">
        <f t="shared" si="3"/>
        <v>#REF!</v>
      </c>
      <c r="F93" t="str">
        <f t="shared" si="4"/>
        <v>#REF!</v>
      </c>
    </row>
    <row r="94">
      <c r="C94" t="str">
        <f t="shared" si="1"/>
        <v>#REF!</v>
      </c>
      <c r="D94" t="str">
        <f t="shared" si="2"/>
        <v>#REF!</v>
      </c>
      <c r="E94" t="str">
        <f t="shared" si="3"/>
        <v>#REF!</v>
      </c>
      <c r="F94" t="str">
        <f t="shared" si="4"/>
        <v>#REF!</v>
      </c>
    </row>
    <row r="95">
      <c r="C95" t="str">
        <f t="shared" si="1"/>
        <v>#REF!</v>
      </c>
      <c r="D95" t="str">
        <f t="shared" si="2"/>
        <v>#REF!</v>
      </c>
      <c r="E95" t="str">
        <f t="shared" si="3"/>
        <v>#REF!</v>
      </c>
      <c r="F95" t="str">
        <f t="shared" si="4"/>
        <v>#REF!</v>
      </c>
    </row>
    <row r="96">
      <c r="C96" t="str">
        <f t="shared" si="1"/>
        <v>#REF!</v>
      </c>
      <c r="D96" t="str">
        <f t="shared" si="2"/>
        <v>#REF!</v>
      </c>
      <c r="E96" t="str">
        <f t="shared" si="3"/>
        <v>#REF!</v>
      </c>
      <c r="F96" t="str">
        <f t="shared" si="4"/>
        <v>#REF!</v>
      </c>
    </row>
    <row r="97">
      <c r="C97" t="str">
        <f t="shared" si="1"/>
        <v>#REF!</v>
      </c>
      <c r="D97" t="str">
        <f t="shared" si="2"/>
        <v>#REF!</v>
      </c>
      <c r="E97" t="str">
        <f t="shared" si="3"/>
        <v>#REF!</v>
      </c>
      <c r="F97" t="str">
        <f t="shared" si="4"/>
        <v>#REF!</v>
      </c>
    </row>
    <row r="98">
      <c r="C98" t="str">
        <f t="shared" si="1"/>
        <v>#REF!</v>
      </c>
      <c r="D98" t="str">
        <f t="shared" si="2"/>
        <v>#REF!</v>
      </c>
      <c r="E98" t="str">
        <f t="shared" si="3"/>
        <v>#REF!</v>
      </c>
      <c r="F98" t="str">
        <f t="shared" si="4"/>
        <v>#REF!</v>
      </c>
    </row>
    <row r="99">
      <c r="C99" t="str">
        <f t="shared" si="1"/>
        <v>#REF!</v>
      </c>
      <c r="D99" t="str">
        <f t="shared" si="2"/>
        <v>#REF!</v>
      </c>
      <c r="E99" t="str">
        <f t="shared" si="3"/>
        <v>#REF!</v>
      </c>
      <c r="F99" t="str">
        <f t="shared" si="4"/>
        <v>#REF!</v>
      </c>
    </row>
    <row r="100">
      <c r="C100" t="str">
        <f t="shared" si="1"/>
        <v>#REF!</v>
      </c>
      <c r="D100" t="str">
        <f t="shared" si="2"/>
        <v>#REF!</v>
      </c>
      <c r="E100" t="str">
        <f t="shared" si="3"/>
        <v>#REF!</v>
      </c>
      <c r="F100" t="str">
        <f t="shared" si="4"/>
        <v>#REF!</v>
      </c>
    </row>
  </sheetData>
  <dataValidations>
    <dataValidation type="list" allowBlank="1" sqref="B2:B100">
      <formula1>'Global History Standards'!$A$2:$A$277</formula1>
    </dataValidation>
  </dataValidations>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0" width="15.13"/>
  </cols>
  <sheetData>
    <row r="1">
      <c r="A1" s="1" t="s">
        <v>0</v>
      </c>
      <c r="B1" s="1" t="s">
        <v>1</v>
      </c>
      <c r="C1" s="1" t="s">
        <v>2</v>
      </c>
      <c r="D1" s="1" t="s">
        <v>3</v>
      </c>
      <c r="E1" s="1" t="s">
        <v>4</v>
      </c>
      <c r="F1" s="1" t="s">
        <v>5</v>
      </c>
      <c r="G1" s="1" t="s">
        <v>6</v>
      </c>
      <c r="H1" s="1" t="s">
        <v>7</v>
      </c>
    </row>
    <row r="2">
      <c r="A2" s="2">
        <v>1.0</v>
      </c>
      <c r="B2" s="3"/>
      <c r="C2" t="str">
        <f t="shared" ref="C2:C100" si="1">VLOOKUP(B2,'Global History Standards'!$A:$E,2,false)</f>
        <v>#REF!</v>
      </c>
      <c r="D2" t="str">
        <f t="shared" ref="D2:D100" si="2">VLOOKUP(B2,'Global History Standards'!$A:$E,3,false)</f>
        <v>#REF!</v>
      </c>
      <c r="E2" t="str">
        <f t="shared" ref="E2:E100" si="3">VLOOKUP(B2,'Global History Standards'!$A:$E,4,false)</f>
        <v>#REF!</v>
      </c>
      <c r="F2" t="str">
        <f t="shared" ref="F2:F100" si="4">VLOOKUP(B2,'Global History Standards'!$A:$E,5,false)</f>
        <v>#REF!</v>
      </c>
    </row>
    <row r="3">
      <c r="A3" s="2">
        <v>2.0</v>
      </c>
      <c r="B3" s="3"/>
      <c r="C3" t="str">
        <f t="shared" si="1"/>
        <v>#REF!</v>
      </c>
      <c r="D3" t="str">
        <f t="shared" si="2"/>
        <v>#REF!</v>
      </c>
      <c r="E3" t="str">
        <f t="shared" si="3"/>
        <v>#REF!</v>
      </c>
      <c r="F3" t="str">
        <f t="shared" si="4"/>
        <v>#REF!</v>
      </c>
    </row>
    <row r="4">
      <c r="A4" s="2">
        <v>3.0</v>
      </c>
      <c r="B4" s="3"/>
      <c r="C4" t="str">
        <f t="shared" si="1"/>
        <v>#REF!</v>
      </c>
      <c r="D4" t="str">
        <f t="shared" si="2"/>
        <v>#REF!</v>
      </c>
      <c r="E4" t="str">
        <f t="shared" si="3"/>
        <v>#REF!</v>
      </c>
      <c r="F4" t="str">
        <f t="shared" si="4"/>
        <v>#REF!</v>
      </c>
    </row>
    <row r="5">
      <c r="A5" s="2">
        <v>4.0</v>
      </c>
      <c r="B5" s="3"/>
      <c r="C5" t="str">
        <f t="shared" si="1"/>
        <v>#REF!</v>
      </c>
      <c r="D5" t="str">
        <f t="shared" si="2"/>
        <v>#REF!</v>
      </c>
      <c r="E5" t="str">
        <f t="shared" si="3"/>
        <v>#REF!</v>
      </c>
      <c r="F5" t="str">
        <f t="shared" si="4"/>
        <v>#REF!</v>
      </c>
    </row>
    <row r="6">
      <c r="A6" s="2">
        <v>5.0</v>
      </c>
      <c r="B6" s="3"/>
      <c r="C6" t="str">
        <f t="shared" si="1"/>
        <v>#REF!</v>
      </c>
      <c r="D6" t="str">
        <f t="shared" si="2"/>
        <v>#REF!</v>
      </c>
      <c r="E6" t="str">
        <f t="shared" si="3"/>
        <v>#REF!</v>
      </c>
      <c r="F6" t="str">
        <f t="shared" si="4"/>
        <v>#REF!</v>
      </c>
    </row>
    <row r="7">
      <c r="A7" s="2">
        <v>6.0</v>
      </c>
      <c r="B7" s="3"/>
      <c r="C7" t="str">
        <f t="shared" si="1"/>
        <v>#REF!</v>
      </c>
      <c r="D7" t="str">
        <f t="shared" si="2"/>
        <v>#REF!</v>
      </c>
      <c r="E7" t="str">
        <f t="shared" si="3"/>
        <v>#REF!</v>
      </c>
      <c r="F7" t="str">
        <f t="shared" si="4"/>
        <v>#REF!</v>
      </c>
    </row>
    <row r="8">
      <c r="A8" s="2">
        <v>7.0</v>
      </c>
      <c r="B8" s="3"/>
      <c r="C8" t="str">
        <f t="shared" si="1"/>
        <v>#REF!</v>
      </c>
      <c r="D8" t="str">
        <f t="shared" si="2"/>
        <v>#REF!</v>
      </c>
      <c r="E8" t="str">
        <f t="shared" si="3"/>
        <v>#REF!</v>
      </c>
      <c r="F8" t="str">
        <f t="shared" si="4"/>
        <v>#REF!</v>
      </c>
    </row>
    <row r="9">
      <c r="A9" s="2">
        <v>8.0</v>
      </c>
      <c r="B9" s="3"/>
      <c r="C9" t="str">
        <f t="shared" si="1"/>
        <v>#REF!</v>
      </c>
      <c r="D9" t="str">
        <f t="shared" si="2"/>
        <v>#REF!</v>
      </c>
      <c r="E9" t="str">
        <f t="shared" si="3"/>
        <v>#REF!</v>
      </c>
      <c r="F9" t="str">
        <f t="shared" si="4"/>
        <v>#REF!</v>
      </c>
    </row>
    <row r="10">
      <c r="A10" s="2">
        <v>9.0</v>
      </c>
      <c r="B10" s="3"/>
      <c r="C10" t="str">
        <f t="shared" si="1"/>
        <v>#REF!</v>
      </c>
      <c r="D10" t="str">
        <f t="shared" si="2"/>
        <v>#REF!</v>
      </c>
      <c r="E10" t="str">
        <f t="shared" si="3"/>
        <v>#REF!</v>
      </c>
      <c r="F10" t="str">
        <f t="shared" si="4"/>
        <v>#REF!</v>
      </c>
    </row>
    <row r="11">
      <c r="A11" s="2">
        <v>10.0</v>
      </c>
      <c r="B11" s="3"/>
      <c r="C11" t="str">
        <f t="shared" si="1"/>
        <v>#REF!</v>
      </c>
      <c r="D11" t="str">
        <f t="shared" si="2"/>
        <v>#REF!</v>
      </c>
      <c r="E11" t="str">
        <f t="shared" si="3"/>
        <v>#REF!</v>
      </c>
      <c r="F11" t="str">
        <f t="shared" si="4"/>
        <v>#REF!</v>
      </c>
    </row>
    <row r="12">
      <c r="A12" s="2">
        <v>11.0</v>
      </c>
      <c r="B12" s="3"/>
      <c r="C12" t="str">
        <f t="shared" si="1"/>
        <v>#REF!</v>
      </c>
      <c r="D12" t="str">
        <f t="shared" si="2"/>
        <v>#REF!</v>
      </c>
      <c r="E12" t="str">
        <f t="shared" si="3"/>
        <v>#REF!</v>
      </c>
      <c r="F12" t="str">
        <f t="shared" si="4"/>
        <v>#REF!</v>
      </c>
    </row>
    <row r="13">
      <c r="A13" s="2">
        <v>12.0</v>
      </c>
      <c r="B13" s="3"/>
      <c r="C13" t="str">
        <f t="shared" si="1"/>
        <v>#REF!</v>
      </c>
      <c r="D13" t="str">
        <f t="shared" si="2"/>
        <v>#REF!</v>
      </c>
      <c r="E13" t="str">
        <f t="shared" si="3"/>
        <v>#REF!</v>
      </c>
      <c r="F13" t="str">
        <f t="shared" si="4"/>
        <v>#REF!</v>
      </c>
    </row>
    <row r="14">
      <c r="A14" s="2">
        <v>13.0</v>
      </c>
      <c r="B14" s="3"/>
      <c r="C14" t="str">
        <f t="shared" si="1"/>
        <v>#REF!</v>
      </c>
      <c r="D14" t="str">
        <f t="shared" si="2"/>
        <v>#REF!</v>
      </c>
      <c r="E14" t="str">
        <f t="shared" si="3"/>
        <v>#REF!</v>
      </c>
      <c r="F14" t="str">
        <f t="shared" si="4"/>
        <v>#REF!</v>
      </c>
    </row>
    <row r="15">
      <c r="A15" s="2">
        <v>14.0</v>
      </c>
      <c r="B15" s="3"/>
      <c r="C15" t="str">
        <f t="shared" si="1"/>
        <v>#REF!</v>
      </c>
      <c r="D15" t="str">
        <f t="shared" si="2"/>
        <v>#REF!</v>
      </c>
      <c r="E15" t="str">
        <f t="shared" si="3"/>
        <v>#REF!</v>
      </c>
      <c r="F15" t="str">
        <f t="shared" si="4"/>
        <v>#REF!</v>
      </c>
    </row>
    <row r="16">
      <c r="A16" s="2">
        <v>15.0</v>
      </c>
      <c r="B16" s="3"/>
      <c r="C16" t="str">
        <f t="shared" si="1"/>
        <v>#REF!</v>
      </c>
      <c r="D16" t="str">
        <f t="shared" si="2"/>
        <v>#REF!</v>
      </c>
      <c r="E16" t="str">
        <f t="shared" si="3"/>
        <v>#REF!</v>
      </c>
      <c r="F16" t="str">
        <f t="shared" si="4"/>
        <v>#REF!</v>
      </c>
    </row>
    <row r="17">
      <c r="A17" s="2">
        <v>16.0</v>
      </c>
      <c r="B17" s="3"/>
      <c r="C17" t="str">
        <f t="shared" si="1"/>
        <v>#REF!</v>
      </c>
      <c r="D17" t="str">
        <f t="shared" si="2"/>
        <v>#REF!</v>
      </c>
      <c r="E17" t="str">
        <f t="shared" si="3"/>
        <v>#REF!</v>
      </c>
      <c r="F17" t="str">
        <f t="shared" si="4"/>
        <v>#REF!</v>
      </c>
    </row>
    <row r="18">
      <c r="A18" s="2">
        <v>17.0</v>
      </c>
      <c r="B18" s="3"/>
      <c r="C18" t="str">
        <f t="shared" si="1"/>
        <v>#REF!</v>
      </c>
      <c r="D18" t="str">
        <f t="shared" si="2"/>
        <v>#REF!</v>
      </c>
      <c r="E18" t="str">
        <f t="shared" si="3"/>
        <v>#REF!</v>
      </c>
      <c r="F18" t="str">
        <f t="shared" si="4"/>
        <v>#REF!</v>
      </c>
    </row>
    <row r="19">
      <c r="A19" s="2">
        <v>18.0</v>
      </c>
      <c r="B19" s="3"/>
      <c r="C19" t="str">
        <f t="shared" si="1"/>
        <v>#REF!</v>
      </c>
      <c r="D19" t="str">
        <f t="shared" si="2"/>
        <v>#REF!</v>
      </c>
      <c r="E19" t="str">
        <f t="shared" si="3"/>
        <v>#REF!</v>
      </c>
      <c r="F19" t="str">
        <f t="shared" si="4"/>
        <v>#REF!</v>
      </c>
    </row>
    <row r="20">
      <c r="A20" s="2">
        <v>19.0</v>
      </c>
      <c r="B20" s="3"/>
      <c r="C20" t="str">
        <f t="shared" si="1"/>
        <v>#REF!</v>
      </c>
      <c r="D20" t="str">
        <f t="shared" si="2"/>
        <v>#REF!</v>
      </c>
      <c r="E20" t="str">
        <f t="shared" si="3"/>
        <v>#REF!</v>
      </c>
      <c r="F20" t="str">
        <f t="shared" si="4"/>
        <v>#REF!</v>
      </c>
    </row>
    <row r="21">
      <c r="A21" s="2">
        <v>20.0</v>
      </c>
      <c r="B21" s="3"/>
      <c r="C21" t="str">
        <f t="shared" si="1"/>
        <v>#REF!</v>
      </c>
      <c r="D21" t="str">
        <f t="shared" si="2"/>
        <v>#REF!</v>
      </c>
      <c r="E21" t="str">
        <f t="shared" si="3"/>
        <v>#REF!</v>
      </c>
      <c r="F21" t="str">
        <f t="shared" si="4"/>
        <v>#REF!</v>
      </c>
    </row>
    <row r="22">
      <c r="A22" s="2">
        <v>21.0</v>
      </c>
      <c r="B22" s="3"/>
      <c r="C22" t="str">
        <f t="shared" si="1"/>
        <v>#REF!</v>
      </c>
      <c r="D22" t="str">
        <f t="shared" si="2"/>
        <v>#REF!</v>
      </c>
      <c r="E22" t="str">
        <f t="shared" si="3"/>
        <v>#REF!</v>
      </c>
      <c r="F22" t="str">
        <f t="shared" si="4"/>
        <v>#REF!</v>
      </c>
    </row>
    <row r="23">
      <c r="A23" s="2">
        <v>22.0</v>
      </c>
      <c r="B23" s="3"/>
      <c r="C23" t="str">
        <f t="shared" si="1"/>
        <v>#REF!</v>
      </c>
      <c r="D23" t="str">
        <f t="shared" si="2"/>
        <v>#REF!</v>
      </c>
      <c r="E23" t="str">
        <f t="shared" si="3"/>
        <v>#REF!</v>
      </c>
      <c r="F23" t="str">
        <f t="shared" si="4"/>
        <v>#REF!</v>
      </c>
    </row>
    <row r="24">
      <c r="A24" s="2">
        <v>23.0</v>
      </c>
      <c r="B24" s="3"/>
      <c r="C24" t="str">
        <f t="shared" si="1"/>
        <v>#REF!</v>
      </c>
      <c r="D24" t="str">
        <f t="shared" si="2"/>
        <v>#REF!</v>
      </c>
      <c r="E24" t="str">
        <f t="shared" si="3"/>
        <v>#REF!</v>
      </c>
      <c r="F24" t="str">
        <f t="shared" si="4"/>
        <v>#REF!</v>
      </c>
    </row>
    <row r="25">
      <c r="A25" s="2">
        <v>24.0</v>
      </c>
      <c r="B25" s="3"/>
      <c r="C25" t="str">
        <f t="shared" si="1"/>
        <v>#REF!</v>
      </c>
      <c r="D25" t="str">
        <f t="shared" si="2"/>
        <v>#REF!</v>
      </c>
      <c r="E25" t="str">
        <f t="shared" si="3"/>
        <v>#REF!</v>
      </c>
      <c r="F25" t="str">
        <f t="shared" si="4"/>
        <v>#REF!</v>
      </c>
    </row>
    <row r="26">
      <c r="A26" s="2">
        <v>25.0</v>
      </c>
      <c r="B26" s="3"/>
      <c r="C26" t="str">
        <f t="shared" si="1"/>
        <v>#REF!</v>
      </c>
      <c r="D26" t="str">
        <f t="shared" si="2"/>
        <v>#REF!</v>
      </c>
      <c r="E26" t="str">
        <f t="shared" si="3"/>
        <v>#REF!</v>
      </c>
      <c r="F26" t="str">
        <f t="shared" si="4"/>
        <v>#REF!</v>
      </c>
    </row>
    <row r="27">
      <c r="A27" s="2">
        <v>26.0</v>
      </c>
      <c r="B27" s="3"/>
      <c r="C27" t="str">
        <f t="shared" si="1"/>
        <v>#REF!</v>
      </c>
      <c r="D27" t="str">
        <f t="shared" si="2"/>
        <v>#REF!</v>
      </c>
      <c r="E27" t="str">
        <f t="shared" si="3"/>
        <v>#REF!</v>
      </c>
      <c r="F27" t="str">
        <f t="shared" si="4"/>
        <v>#REF!</v>
      </c>
    </row>
    <row r="28">
      <c r="A28" s="2">
        <v>27.0</v>
      </c>
      <c r="B28" s="3"/>
      <c r="C28" t="str">
        <f t="shared" si="1"/>
        <v>#REF!</v>
      </c>
      <c r="D28" t="str">
        <f t="shared" si="2"/>
        <v>#REF!</v>
      </c>
      <c r="E28" t="str">
        <f t="shared" si="3"/>
        <v>#REF!</v>
      </c>
      <c r="F28" t="str">
        <f t="shared" si="4"/>
        <v>#REF!</v>
      </c>
    </row>
    <row r="29">
      <c r="A29" s="2">
        <v>28.0</v>
      </c>
      <c r="B29" s="3"/>
      <c r="C29" t="str">
        <f t="shared" si="1"/>
        <v>#REF!</v>
      </c>
      <c r="D29" t="str">
        <f t="shared" si="2"/>
        <v>#REF!</v>
      </c>
      <c r="E29" t="str">
        <f t="shared" si="3"/>
        <v>#REF!</v>
      </c>
      <c r="F29" t="str">
        <f t="shared" si="4"/>
        <v>#REF!</v>
      </c>
    </row>
    <row r="30">
      <c r="A30" s="2">
        <v>29.0</v>
      </c>
      <c r="B30" s="3"/>
      <c r="C30" t="str">
        <f t="shared" si="1"/>
        <v>#REF!</v>
      </c>
      <c r="D30" t="str">
        <f t="shared" si="2"/>
        <v>#REF!</v>
      </c>
      <c r="E30" t="str">
        <f t="shared" si="3"/>
        <v>#REF!</v>
      </c>
      <c r="F30" t="str">
        <f t="shared" si="4"/>
        <v>#REF!</v>
      </c>
    </row>
    <row r="31">
      <c r="A31" s="2">
        <v>30.0</v>
      </c>
      <c r="B31" s="3"/>
      <c r="C31" t="str">
        <f t="shared" si="1"/>
        <v>#REF!</v>
      </c>
      <c r="D31" t="str">
        <f t="shared" si="2"/>
        <v>#REF!</v>
      </c>
      <c r="E31" t="str">
        <f t="shared" si="3"/>
        <v>#REF!</v>
      </c>
      <c r="F31" t="str">
        <f t="shared" si="4"/>
        <v>#REF!</v>
      </c>
    </row>
    <row r="32">
      <c r="A32" s="2">
        <v>31.0</v>
      </c>
      <c r="B32" s="3"/>
      <c r="C32" t="str">
        <f t="shared" si="1"/>
        <v>#REF!</v>
      </c>
      <c r="D32" t="str">
        <f t="shared" si="2"/>
        <v>#REF!</v>
      </c>
      <c r="E32" t="str">
        <f t="shared" si="3"/>
        <v>#REF!</v>
      </c>
      <c r="F32" t="str">
        <f t="shared" si="4"/>
        <v>#REF!</v>
      </c>
    </row>
    <row r="33">
      <c r="A33" s="2">
        <v>32.0</v>
      </c>
      <c r="B33" s="3"/>
      <c r="C33" t="str">
        <f t="shared" si="1"/>
        <v>#REF!</v>
      </c>
      <c r="D33" t="str">
        <f t="shared" si="2"/>
        <v>#REF!</v>
      </c>
      <c r="E33" t="str">
        <f t="shared" si="3"/>
        <v>#REF!</v>
      </c>
      <c r="F33" t="str">
        <f t="shared" si="4"/>
        <v>#REF!</v>
      </c>
    </row>
    <row r="34">
      <c r="A34" s="2">
        <v>33.0</v>
      </c>
      <c r="B34" s="3"/>
      <c r="C34" t="str">
        <f t="shared" si="1"/>
        <v>#REF!</v>
      </c>
      <c r="D34" t="str">
        <f t="shared" si="2"/>
        <v>#REF!</v>
      </c>
      <c r="E34" t="str">
        <f t="shared" si="3"/>
        <v>#REF!</v>
      </c>
      <c r="F34" t="str">
        <f t="shared" si="4"/>
        <v>#REF!</v>
      </c>
    </row>
    <row r="35">
      <c r="A35" s="2">
        <v>34.0</v>
      </c>
      <c r="B35" s="3"/>
      <c r="C35" t="str">
        <f t="shared" si="1"/>
        <v>#REF!</v>
      </c>
      <c r="D35" t="str">
        <f t="shared" si="2"/>
        <v>#REF!</v>
      </c>
      <c r="E35" t="str">
        <f t="shared" si="3"/>
        <v>#REF!</v>
      </c>
      <c r="F35" t="str">
        <f t="shared" si="4"/>
        <v>#REF!</v>
      </c>
    </row>
    <row r="36">
      <c r="A36" s="2">
        <v>35.0</v>
      </c>
      <c r="B36" s="3"/>
      <c r="C36" t="str">
        <f t="shared" si="1"/>
        <v>#REF!</v>
      </c>
      <c r="D36" t="str">
        <f t="shared" si="2"/>
        <v>#REF!</v>
      </c>
      <c r="E36" t="str">
        <f t="shared" si="3"/>
        <v>#REF!</v>
      </c>
      <c r="F36" t="str">
        <f t="shared" si="4"/>
        <v>#REF!</v>
      </c>
    </row>
    <row r="37">
      <c r="A37" s="2">
        <v>36.0</v>
      </c>
      <c r="B37" s="3"/>
      <c r="C37" t="str">
        <f t="shared" si="1"/>
        <v>#REF!</v>
      </c>
      <c r="D37" t="str">
        <f t="shared" si="2"/>
        <v>#REF!</v>
      </c>
      <c r="E37" t="str">
        <f t="shared" si="3"/>
        <v>#REF!</v>
      </c>
      <c r="F37" t="str">
        <f t="shared" si="4"/>
        <v>#REF!</v>
      </c>
    </row>
    <row r="38">
      <c r="A38" s="2">
        <v>37.0</v>
      </c>
      <c r="B38" s="3"/>
      <c r="C38" t="str">
        <f t="shared" si="1"/>
        <v>#REF!</v>
      </c>
      <c r="D38" t="str">
        <f t="shared" si="2"/>
        <v>#REF!</v>
      </c>
      <c r="E38" t="str">
        <f t="shared" si="3"/>
        <v>#REF!</v>
      </c>
      <c r="F38" t="str">
        <f t="shared" si="4"/>
        <v>#REF!</v>
      </c>
    </row>
    <row r="39">
      <c r="A39" s="2">
        <v>38.0</v>
      </c>
      <c r="B39" s="3"/>
      <c r="C39" t="str">
        <f t="shared" si="1"/>
        <v>#REF!</v>
      </c>
      <c r="D39" t="str">
        <f t="shared" si="2"/>
        <v>#REF!</v>
      </c>
      <c r="E39" t="str">
        <f t="shared" si="3"/>
        <v>#REF!</v>
      </c>
      <c r="F39" t="str">
        <f t="shared" si="4"/>
        <v>#REF!</v>
      </c>
    </row>
    <row r="40">
      <c r="A40" s="2">
        <v>39.0</v>
      </c>
      <c r="B40" s="3"/>
      <c r="C40" t="str">
        <f t="shared" si="1"/>
        <v>#REF!</v>
      </c>
      <c r="D40" t="str">
        <f t="shared" si="2"/>
        <v>#REF!</v>
      </c>
      <c r="E40" t="str">
        <f t="shared" si="3"/>
        <v>#REF!</v>
      </c>
      <c r="F40" t="str">
        <f t="shared" si="4"/>
        <v>#REF!</v>
      </c>
    </row>
    <row r="41">
      <c r="A41" s="2">
        <v>40.0</v>
      </c>
      <c r="B41" s="3"/>
      <c r="C41" t="str">
        <f t="shared" si="1"/>
        <v>#REF!</v>
      </c>
      <c r="D41" t="str">
        <f t="shared" si="2"/>
        <v>#REF!</v>
      </c>
      <c r="E41" t="str">
        <f t="shared" si="3"/>
        <v>#REF!</v>
      </c>
      <c r="F41" t="str">
        <f t="shared" si="4"/>
        <v>#REF!</v>
      </c>
    </row>
    <row r="42">
      <c r="A42" s="2">
        <v>41.0</v>
      </c>
      <c r="B42" s="3"/>
      <c r="C42" t="str">
        <f t="shared" si="1"/>
        <v>#REF!</v>
      </c>
      <c r="D42" t="str">
        <f t="shared" si="2"/>
        <v>#REF!</v>
      </c>
      <c r="E42" t="str">
        <f t="shared" si="3"/>
        <v>#REF!</v>
      </c>
      <c r="F42" t="str">
        <f t="shared" si="4"/>
        <v>#REF!</v>
      </c>
    </row>
    <row r="43">
      <c r="A43" s="2">
        <v>42.0</v>
      </c>
      <c r="B43" s="3"/>
      <c r="C43" t="str">
        <f t="shared" si="1"/>
        <v>#REF!</v>
      </c>
      <c r="D43" t="str">
        <f t="shared" si="2"/>
        <v>#REF!</v>
      </c>
      <c r="E43" t="str">
        <f t="shared" si="3"/>
        <v>#REF!</v>
      </c>
      <c r="F43" t="str">
        <f t="shared" si="4"/>
        <v>#REF!</v>
      </c>
    </row>
    <row r="44">
      <c r="A44" s="2">
        <v>43.0</v>
      </c>
      <c r="B44" s="3"/>
      <c r="C44" t="str">
        <f t="shared" si="1"/>
        <v>#REF!</v>
      </c>
      <c r="D44" t="str">
        <f t="shared" si="2"/>
        <v>#REF!</v>
      </c>
      <c r="E44" t="str">
        <f t="shared" si="3"/>
        <v>#REF!</v>
      </c>
      <c r="F44" t="str">
        <f t="shared" si="4"/>
        <v>#REF!</v>
      </c>
    </row>
    <row r="45">
      <c r="A45" s="2">
        <v>44.0</v>
      </c>
      <c r="B45" s="3"/>
      <c r="C45" t="str">
        <f t="shared" si="1"/>
        <v>#REF!</v>
      </c>
      <c r="D45" t="str">
        <f t="shared" si="2"/>
        <v>#REF!</v>
      </c>
      <c r="E45" t="str">
        <f t="shared" si="3"/>
        <v>#REF!</v>
      </c>
      <c r="F45" t="str">
        <f t="shared" si="4"/>
        <v>#REF!</v>
      </c>
    </row>
    <row r="46">
      <c r="A46" s="2">
        <v>45.0</v>
      </c>
      <c r="B46" s="3"/>
      <c r="C46" t="str">
        <f t="shared" si="1"/>
        <v>#REF!</v>
      </c>
      <c r="D46" t="str">
        <f t="shared" si="2"/>
        <v>#REF!</v>
      </c>
      <c r="E46" t="str">
        <f t="shared" si="3"/>
        <v>#REF!</v>
      </c>
      <c r="F46" t="str">
        <f t="shared" si="4"/>
        <v>#REF!</v>
      </c>
    </row>
    <row r="47">
      <c r="A47" s="2">
        <v>46.0</v>
      </c>
      <c r="B47" s="3"/>
      <c r="C47" t="str">
        <f t="shared" si="1"/>
        <v>#REF!</v>
      </c>
      <c r="D47" t="str">
        <f t="shared" si="2"/>
        <v>#REF!</v>
      </c>
      <c r="E47" t="str">
        <f t="shared" si="3"/>
        <v>#REF!</v>
      </c>
      <c r="F47" t="str">
        <f t="shared" si="4"/>
        <v>#REF!</v>
      </c>
    </row>
    <row r="48">
      <c r="A48" s="2">
        <v>47.0</v>
      </c>
      <c r="B48" s="3"/>
      <c r="C48" t="str">
        <f t="shared" si="1"/>
        <v>#REF!</v>
      </c>
      <c r="D48" t="str">
        <f t="shared" si="2"/>
        <v>#REF!</v>
      </c>
      <c r="E48" t="str">
        <f t="shared" si="3"/>
        <v>#REF!</v>
      </c>
      <c r="F48" t="str">
        <f t="shared" si="4"/>
        <v>#REF!</v>
      </c>
    </row>
    <row r="49">
      <c r="A49" s="2">
        <v>48.0</v>
      </c>
      <c r="B49" s="3"/>
      <c r="C49" t="str">
        <f t="shared" si="1"/>
        <v>#REF!</v>
      </c>
      <c r="D49" t="str">
        <f t="shared" si="2"/>
        <v>#REF!</v>
      </c>
      <c r="E49" t="str">
        <f t="shared" si="3"/>
        <v>#REF!</v>
      </c>
      <c r="F49" t="str">
        <f t="shared" si="4"/>
        <v>#REF!</v>
      </c>
    </row>
    <row r="50">
      <c r="A50" s="2">
        <v>49.0</v>
      </c>
      <c r="B50" s="3"/>
      <c r="C50" t="str">
        <f t="shared" si="1"/>
        <v>#REF!</v>
      </c>
      <c r="D50" t="str">
        <f t="shared" si="2"/>
        <v>#REF!</v>
      </c>
      <c r="E50" t="str">
        <f t="shared" si="3"/>
        <v>#REF!</v>
      </c>
      <c r="F50" t="str">
        <f t="shared" si="4"/>
        <v>#REF!</v>
      </c>
    </row>
    <row r="51">
      <c r="A51" s="2">
        <v>50.0</v>
      </c>
      <c r="B51" s="3"/>
      <c r="C51" t="str">
        <f t="shared" si="1"/>
        <v>#REF!</v>
      </c>
      <c r="D51" t="str">
        <f t="shared" si="2"/>
        <v>#REF!</v>
      </c>
      <c r="E51" t="str">
        <f t="shared" si="3"/>
        <v>#REF!</v>
      </c>
      <c r="F51" t="str">
        <f t="shared" si="4"/>
        <v>#REF!</v>
      </c>
    </row>
    <row r="52">
      <c r="C52" t="str">
        <f t="shared" si="1"/>
        <v>#REF!</v>
      </c>
      <c r="D52" t="str">
        <f t="shared" si="2"/>
        <v>#REF!</v>
      </c>
      <c r="E52" t="str">
        <f t="shared" si="3"/>
        <v>#REF!</v>
      </c>
      <c r="F52" t="str">
        <f t="shared" si="4"/>
        <v>#REF!</v>
      </c>
    </row>
    <row r="53">
      <c r="C53" t="str">
        <f t="shared" si="1"/>
        <v>#REF!</v>
      </c>
      <c r="D53" t="str">
        <f t="shared" si="2"/>
        <v>#REF!</v>
      </c>
      <c r="E53" t="str">
        <f t="shared" si="3"/>
        <v>#REF!</v>
      </c>
      <c r="F53" t="str">
        <f t="shared" si="4"/>
        <v>#REF!</v>
      </c>
    </row>
    <row r="54">
      <c r="C54" t="str">
        <f t="shared" si="1"/>
        <v>#REF!</v>
      </c>
      <c r="D54" t="str">
        <f t="shared" si="2"/>
        <v>#REF!</v>
      </c>
      <c r="E54" t="str">
        <f t="shared" si="3"/>
        <v>#REF!</v>
      </c>
      <c r="F54" t="str">
        <f t="shared" si="4"/>
        <v>#REF!</v>
      </c>
    </row>
    <row r="55">
      <c r="C55" t="str">
        <f t="shared" si="1"/>
        <v>#REF!</v>
      </c>
      <c r="D55" t="str">
        <f t="shared" si="2"/>
        <v>#REF!</v>
      </c>
      <c r="E55" t="str">
        <f t="shared" si="3"/>
        <v>#REF!</v>
      </c>
      <c r="F55" t="str">
        <f t="shared" si="4"/>
        <v>#REF!</v>
      </c>
    </row>
    <row r="56">
      <c r="C56" t="str">
        <f t="shared" si="1"/>
        <v>#REF!</v>
      </c>
      <c r="D56" t="str">
        <f t="shared" si="2"/>
        <v>#REF!</v>
      </c>
      <c r="E56" t="str">
        <f t="shared" si="3"/>
        <v>#REF!</v>
      </c>
      <c r="F56" t="str">
        <f t="shared" si="4"/>
        <v>#REF!</v>
      </c>
    </row>
    <row r="57">
      <c r="C57" t="str">
        <f t="shared" si="1"/>
        <v>#REF!</v>
      </c>
      <c r="D57" t="str">
        <f t="shared" si="2"/>
        <v>#REF!</v>
      </c>
      <c r="E57" t="str">
        <f t="shared" si="3"/>
        <v>#REF!</v>
      </c>
      <c r="F57" t="str">
        <f t="shared" si="4"/>
        <v>#REF!</v>
      </c>
    </row>
    <row r="58">
      <c r="C58" t="str">
        <f t="shared" si="1"/>
        <v>#REF!</v>
      </c>
      <c r="D58" t="str">
        <f t="shared" si="2"/>
        <v>#REF!</v>
      </c>
      <c r="E58" t="str">
        <f t="shared" si="3"/>
        <v>#REF!</v>
      </c>
      <c r="F58" t="str">
        <f t="shared" si="4"/>
        <v>#REF!</v>
      </c>
    </row>
    <row r="59">
      <c r="C59" t="str">
        <f t="shared" si="1"/>
        <v>#REF!</v>
      </c>
      <c r="D59" t="str">
        <f t="shared" si="2"/>
        <v>#REF!</v>
      </c>
      <c r="E59" t="str">
        <f t="shared" si="3"/>
        <v>#REF!</v>
      </c>
      <c r="F59" t="str">
        <f t="shared" si="4"/>
        <v>#REF!</v>
      </c>
    </row>
    <row r="60">
      <c r="C60" t="str">
        <f t="shared" si="1"/>
        <v>#REF!</v>
      </c>
      <c r="D60" t="str">
        <f t="shared" si="2"/>
        <v>#REF!</v>
      </c>
      <c r="E60" t="str">
        <f t="shared" si="3"/>
        <v>#REF!</v>
      </c>
      <c r="F60" t="str">
        <f t="shared" si="4"/>
        <v>#REF!</v>
      </c>
    </row>
    <row r="61">
      <c r="C61" t="str">
        <f t="shared" si="1"/>
        <v>#REF!</v>
      </c>
      <c r="D61" t="str">
        <f t="shared" si="2"/>
        <v>#REF!</v>
      </c>
      <c r="E61" t="str">
        <f t="shared" si="3"/>
        <v>#REF!</v>
      </c>
      <c r="F61" t="str">
        <f t="shared" si="4"/>
        <v>#REF!</v>
      </c>
    </row>
    <row r="62">
      <c r="C62" t="str">
        <f t="shared" si="1"/>
        <v>#REF!</v>
      </c>
      <c r="D62" t="str">
        <f t="shared" si="2"/>
        <v>#REF!</v>
      </c>
      <c r="E62" t="str">
        <f t="shared" si="3"/>
        <v>#REF!</v>
      </c>
      <c r="F62" t="str">
        <f t="shared" si="4"/>
        <v>#REF!</v>
      </c>
    </row>
    <row r="63">
      <c r="C63" t="str">
        <f t="shared" si="1"/>
        <v>#REF!</v>
      </c>
      <c r="D63" t="str">
        <f t="shared" si="2"/>
        <v>#REF!</v>
      </c>
      <c r="E63" t="str">
        <f t="shared" si="3"/>
        <v>#REF!</v>
      </c>
      <c r="F63" t="str">
        <f t="shared" si="4"/>
        <v>#REF!</v>
      </c>
    </row>
    <row r="64">
      <c r="C64" t="str">
        <f t="shared" si="1"/>
        <v>#REF!</v>
      </c>
      <c r="D64" t="str">
        <f t="shared" si="2"/>
        <v>#REF!</v>
      </c>
      <c r="E64" t="str">
        <f t="shared" si="3"/>
        <v>#REF!</v>
      </c>
      <c r="F64" t="str">
        <f t="shared" si="4"/>
        <v>#REF!</v>
      </c>
    </row>
    <row r="65">
      <c r="C65" t="str">
        <f t="shared" si="1"/>
        <v>#REF!</v>
      </c>
      <c r="D65" t="str">
        <f t="shared" si="2"/>
        <v>#REF!</v>
      </c>
      <c r="E65" t="str">
        <f t="shared" si="3"/>
        <v>#REF!</v>
      </c>
      <c r="F65" t="str">
        <f t="shared" si="4"/>
        <v>#REF!</v>
      </c>
    </row>
    <row r="66">
      <c r="C66" t="str">
        <f t="shared" si="1"/>
        <v>#REF!</v>
      </c>
      <c r="D66" t="str">
        <f t="shared" si="2"/>
        <v>#REF!</v>
      </c>
      <c r="E66" t="str">
        <f t="shared" si="3"/>
        <v>#REF!</v>
      </c>
      <c r="F66" t="str">
        <f t="shared" si="4"/>
        <v>#REF!</v>
      </c>
    </row>
    <row r="67">
      <c r="C67" t="str">
        <f t="shared" si="1"/>
        <v>#REF!</v>
      </c>
      <c r="D67" t="str">
        <f t="shared" si="2"/>
        <v>#REF!</v>
      </c>
      <c r="E67" t="str">
        <f t="shared" si="3"/>
        <v>#REF!</v>
      </c>
      <c r="F67" t="str">
        <f t="shared" si="4"/>
        <v>#REF!</v>
      </c>
    </row>
    <row r="68">
      <c r="C68" t="str">
        <f t="shared" si="1"/>
        <v>#REF!</v>
      </c>
      <c r="D68" t="str">
        <f t="shared" si="2"/>
        <v>#REF!</v>
      </c>
      <c r="E68" t="str">
        <f t="shared" si="3"/>
        <v>#REF!</v>
      </c>
      <c r="F68" t="str">
        <f t="shared" si="4"/>
        <v>#REF!</v>
      </c>
    </row>
    <row r="69">
      <c r="C69" t="str">
        <f t="shared" si="1"/>
        <v>#REF!</v>
      </c>
      <c r="D69" t="str">
        <f t="shared" si="2"/>
        <v>#REF!</v>
      </c>
      <c r="E69" t="str">
        <f t="shared" si="3"/>
        <v>#REF!</v>
      </c>
      <c r="F69" t="str">
        <f t="shared" si="4"/>
        <v>#REF!</v>
      </c>
    </row>
    <row r="70">
      <c r="C70" t="str">
        <f t="shared" si="1"/>
        <v>#REF!</v>
      </c>
      <c r="D70" t="str">
        <f t="shared" si="2"/>
        <v>#REF!</v>
      </c>
      <c r="E70" t="str">
        <f t="shared" si="3"/>
        <v>#REF!</v>
      </c>
      <c r="F70" t="str">
        <f t="shared" si="4"/>
        <v>#REF!</v>
      </c>
    </row>
    <row r="71">
      <c r="C71" t="str">
        <f t="shared" si="1"/>
        <v>#REF!</v>
      </c>
      <c r="D71" t="str">
        <f t="shared" si="2"/>
        <v>#REF!</v>
      </c>
      <c r="E71" t="str">
        <f t="shared" si="3"/>
        <v>#REF!</v>
      </c>
      <c r="F71" t="str">
        <f t="shared" si="4"/>
        <v>#REF!</v>
      </c>
    </row>
    <row r="72">
      <c r="C72" t="str">
        <f t="shared" si="1"/>
        <v>#REF!</v>
      </c>
      <c r="D72" t="str">
        <f t="shared" si="2"/>
        <v>#REF!</v>
      </c>
      <c r="E72" t="str">
        <f t="shared" si="3"/>
        <v>#REF!</v>
      </c>
      <c r="F72" t="str">
        <f t="shared" si="4"/>
        <v>#REF!</v>
      </c>
    </row>
    <row r="73">
      <c r="C73" t="str">
        <f t="shared" si="1"/>
        <v>#REF!</v>
      </c>
      <c r="D73" t="str">
        <f t="shared" si="2"/>
        <v>#REF!</v>
      </c>
      <c r="E73" t="str">
        <f t="shared" si="3"/>
        <v>#REF!</v>
      </c>
      <c r="F73" t="str">
        <f t="shared" si="4"/>
        <v>#REF!</v>
      </c>
    </row>
    <row r="74">
      <c r="C74" t="str">
        <f t="shared" si="1"/>
        <v>#REF!</v>
      </c>
      <c r="D74" t="str">
        <f t="shared" si="2"/>
        <v>#REF!</v>
      </c>
      <c r="E74" t="str">
        <f t="shared" si="3"/>
        <v>#REF!</v>
      </c>
      <c r="F74" t="str">
        <f t="shared" si="4"/>
        <v>#REF!</v>
      </c>
    </row>
    <row r="75">
      <c r="C75" t="str">
        <f t="shared" si="1"/>
        <v>#REF!</v>
      </c>
      <c r="D75" t="str">
        <f t="shared" si="2"/>
        <v>#REF!</v>
      </c>
      <c r="E75" t="str">
        <f t="shared" si="3"/>
        <v>#REF!</v>
      </c>
      <c r="F75" t="str">
        <f t="shared" si="4"/>
        <v>#REF!</v>
      </c>
    </row>
    <row r="76">
      <c r="C76" t="str">
        <f t="shared" si="1"/>
        <v>#REF!</v>
      </c>
      <c r="D76" t="str">
        <f t="shared" si="2"/>
        <v>#REF!</v>
      </c>
      <c r="E76" t="str">
        <f t="shared" si="3"/>
        <v>#REF!</v>
      </c>
      <c r="F76" t="str">
        <f t="shared" si="4"/>
        <v>#REF!</v>
      </c>
    </row>
    <row r="77">
      <c r="C77" t="str">
        <f t="shared" si="1"/>
        <v>#REF!</v>
      </c>
      <c r="D77" t="str">
        <f t="shared" si="2"/>
        <v>#REF!</v>
      </c>
      <c r="E77" t="str">
        <f t="shared" si="3"/>
        <v>#REF!</v>
      </c>
      <c r="F77" t="str">
        <f t="shared" si="4"/>
        <v>#REF!</v>
      </c>
    </row>
    <row r="78">
      <c r="C78" t="str">
        <f t="shared" si="1"/>
        <v>#REF!</v>
      </c>
      <c r="D78" t="str">
        <f t="shared" si="2"/>
        <v>#REF!</v>
      </c>
      <c r="E78" t="str">
        <f t="shared" si="3"/>
        <v>#REF!</v>
      </c>
      <c r="F78" t="str">
        <f t="shared" si="4"/>
        <v>#REF!</v>
      </c>
    </row>
    <row r="79">
      <c r="C79" t="str">
        <f t="shared" si="1"/>
        <v>#REF!</v>
      </c>
      <c r="D79" t="str">
        <f t="shared" si="2"/>
        <v>#REF!</v>
      </c>
      <c r="E79" t="str">
        <f t="shared" si="3"/>
        <v>#REF!</v>
      </c>
      <c r="F79" t="str">
        <f t="shared" si="4"/>
        <v>#REF!</v>
      </c>
    </row>
    <row r="80">
      <c r="C80" t="str">
        <f t="shared" si="1"/>
        <v>#REF!</v>
      </c>
      <c r="D80" t="str">
        <f t="shared" si="2"/>
        <v>#REF!</v>
      </c>
      <c r="E80" t="str">
        <f t="shared" si="3"/>
        <v>#REF!</v>
      </c>
      <c r="F80" t="str">
        <f t="shared" si="4"/>
        <v>#REF!</v>
      </c>
    </row>
    <row r="81">
      <c r="C81" t="str">
        <f t="shared" si="1"/>
        <v>#REF!</v>
      </c>
      <c r="D81" t="str">
        <f t="shared" si="2"/>
        <v>#REF!</v>
      </c>
      <c r="E81" t="str">
        <f t="shared" si="3"/>
        <v>#REF!</v>
      </c>
      <c r="F81" t="str">
        <f t="shared" si="4"/>
        <v>#REF!</v>
      </c>
    </row>
    <row r="82">
      <c r="C82" t="str">
        <f t="shared" si="1"/>
        <v>#REF!</v>
      </c>
      <c r="D82" t="str">
        <f t="shared" si="2"/>
        <v>#REF!</v>
      </c>
      <c r="E82" t="str">
        <f t="shared" si="3"/>
        <v>#REF!</v>
      </c>
      <c r="F82" t="str">
        <f t="shared" si="4"/>
        <v>#REF!</v>
      </c>
    </row>
    <row r="83">
      <c r="C83" t="str">
        <f t="shared" si="1"/>
        <v>#REF!</v>
      </c>
      <c r="D83" t="str">
        <f t="shared" si="2"/>
        <v>#REF!</v>
      </c>
      <c r="E83" t="str">
        <f t="shared" si="3"/>
        <v>#REF!</v>
      </c>
      <c r="F83" t="str">
        <f t="shared" si="4"/>
        <v>#REF!</v>
      </c>
    </row>
    <row r="84">
      <c r="C84" t="str">
        <f t="shared" si="1"/>
        <v>#REF!</v>
      </c>
      <c r="D84" t="str">
        <f t="shared" si="2"/>
        <v>#REF!</v>
      </c>
      <c r="E84" t="str">
        <f t="shared" si="3"/>
        <v>#REF!</v>
      </c>
      <c r="F84" t="str">
        <f t="shared" si="4"/>
        <v>#REF!</v>
      </c>
    </row>
    <row r="85">
      <c r="C85" t="str">
        <f t="shared" si="1"/>
        <v>#REF!</v>
      </c>
      <c r="D85" t="str">
        <f t="shared" si="2"/>
        <v>#REF!</v>
      </c>
      <c r="E85" t="str">
        <f t="shared" si="3"/>
        <v>#REF!</v>
      </c>
      <c r="F85" t="str">
        <f t="shared" si="4"/>
        <v>#REF!</v>
      </c>
    </row>
    <row r="86">
      <c r="C86" t="str">
        <f t="shared" si="1"/>
        <v>#REF!</v>
      </c>
      <c r="D86" t="str">
        <f t="shared" si="2"/>
        <v>#REF!</v>
      </c>
      <c r="E86" t="str">
        <f t="shared" si="3"/>
        <v>#REF!</v>
      </c>
      <c r="F86" t="str">
        <f t="shared" si="4"/>
        <v>#REF!</v>
      </c>
    </row>
    <row r="87">
      <c r="C87" t="str">
        <f t="shared" si="1"/>
        <v>#REF!</v>
      </c>
      <c r="D87" t="str">
        <f t="shared" si="2"/>
        <v>#REF!</v>
      </c>
      <c r="E87" t="str">
        <f t="shared" si="3"/>
        <v>#REF!</v>
      </c>
      <c r="F87" t="str">
        <f t="shared" si="4"/>
        <v>#REF!</v>
      </c>
    </row>
    <row r="88">
      <c r="C88" t="str">
        <f t="shared" si="1"/>
        <v>#REF!</v>
      </c>
      <c r="D88" t="str">
        <f t="shared" si="2"/>
        <v>#REF!</v>
      </c>
      <c r="E88" t="str">
        <f t="shared" si="3"/>
        <v>#REF!</v>
      </c>
      <c r="F88" t="str">
        <f t="shared" si="4"/>
        <v>#REF!</v>
      </c>
    </row>
    <row r="89">
      <c r="C89" t="str">
        <f t="shared" si="1"/>
        <v>#REF!</v>
      </c>
      <c r="D89" t="str">
        <f t="shared" si="2"/>
        <v>#REF!</v>
      </c>
      <c r="E89" t="str">
        <f t="shared" si="3"/>
        <v>#REF!</v>
      </c>
      <c r="F89" t="str">
        <f t="shared" si="4"/>
        <v>#REF!</v>
      </c>
    </row>
    <row r="90">
      <c r="C90" t="str">
        <f t="shared" si="1"/>
        <v>#REF!</v>
      </c>
      <c r="D90" t="str">
        <f t="shared" si="2"/>
        <v>#REF!</v>
      </c>
      <c r="E90" t="str">
        <f t="shared" si="3"/>
        <v>#REF!</v>
      </c>
      <c r="F90" t="str">
        <f t="shared" si="4"/>
        <v>#REF!</v>
      </c>
    </row>
    <row r="91">
      <c r="C91" t="str">
        <f t="shared" si="1"/>
        <v>#REF!</v>
      </c>
      <c r="D91" t="str">
        <f t="shared" si="2"/>
        <v>#REF!</v>
      </c>
      <c r="E91" t="str">
        <f t="shared" si="3"/>
        <v>#REF!</v>
      </c>
      <c r="F91" t="str">
        <f t="shared" si="4"/>
        <v>#REF!</v>
      </c>
    </row>
    <row r="92">
      <c r="C92" t="str">
        <f t="shared" si="1"/>
        <v>#REF!</v>
      </c>
      <c r="D92" t="str">
        <f t="shared" si="2"/>
        <v>#REF!</v>
      </c>
      <c r="E92" t="str">
        <f t="shared" si="3"/>
        <v>#REF!</v>
      </c>
      <c r="F92" t="str">
        <f t="shared" si="4"/>
        <v>#REF!</v>
      </c>
    </row>
    <row r="93">
      <c r="C93" t="str">
        <f t="shared" si="1"/>
        <v>#REF!</v>
      </c>
      <c r="D93" t="str">
        <f t="shared" si="2"/>
        <v>#REF!</v>
      </c>
      <c r="E93" t="str">
        <f t="shared" si="3"/>
        <v>#REF!</v>
      </c>
      <c r="F93" t="str">
        <f t="shared" si="4"/>
        <v>#REF!</v>
      </c>
    </row>
    <row r="94">
      <c r="C94" t="str">
        <f t="shared" si="1"/>
        <v>#REF!</v>
      </c>
      <c r="D94" t="str">
        <f t="shared" si="2"/>
        <v>#REF!</v>
      </c>
      <c r="E94" t="str">
        <f t="shared" si="3"/>
        <v>#REF!</v>
      </c>
      <c r="F94" t="str">
        <f t="shared" si="4"/>
        <v>#REF!</v>
      </c>
    </row>
    <row r="95">
      <c r="C95" t="str">
        <f t="shared" si="1"/>
        <v>#REF!</v>
      </c>
      <c r="D95" t="str">
        <f t="shared" si="2"/>
        <v>#REF!</v>
      </c>
      <c r="E95" t="str">
        <f t="shared" si="3"/>
        <v>#REF!</v>
      </c>
      <c r="F95" t="str">
        <f t="shared" si="4"/>
        <v>#REF!</v>
      </c>
    </row>
    <row r="96">
      <c r="C96" t="str">
        <f t="shared" si="1"/>
        <v>#REF!</v>
      </c>
      <c r="D96" t="str">
        <f t="shared" si="2"/>
        <v>#REF!</v>
      </c>
      <c r="E96" t="str">
        <f t="shared" si="3"/>
        <v>#REF!</v>
      </c>
      <c r="F96" t="str">
        <f t="shared" si="4"/>
        <v>#REF!</v>
      </c>
    </row>
    <row r="97">
      <c r="C97" t="str">
        <f t="shared" si="1"/>
        <v>#REF!</v>
      </c>
      <c r="D97" t="str">
        <f t="shared" si="2"/>
        <v>#REF!</v>
      </c>
      <c r="E97" t="str">
        <f t="shared" si="3"/>
        <v>#REF!</v>
      </c>
      <c r="F97" t="str">
        <f t="shared" si="4"/>
        <v>#REF!</v>
      </c>
    </row>
    <row r="98">
      <c r="C98" t="str">
        <f t="shared" si="1"/>
        <v>#REF!</v>
      </c>
      <c r="D98" t="str">
        <f t="shared" si="2"/>
        <v>#REF!</v>
      </c>
      <c r="E98" t="str">
        <f t="shared" si="3"/>
        <v>#REF!</v>
      </c>
      <c r="F98" t="str">
        <f t="shared" si="4"/>
        <v>#REF!</v>
      </c>
    </row>
    <row r="99">
      <c r="C99" t="str">
        <f t="shared" si="1"/>
        <v>#REF!</v>
      </c>
      <c r="D99" t="str">
        <f t="shared" si="2"/>
        <v>#REF!</v>
      </c>
      <c r="E99" t="str">
        <f t="shared" si="3"/>
        <v>#REF!</v>
      </c>
      <c r="F99" t="str">
        <f t="shared" si="4"/>
        <v>#REF!</v>
      </c>
    </row>
    <row r="100">
      <c r="C100" t="str">
        <f t="shared" si="1"/>
        <v>#REF!</v>
      </c>
      <c r="D100" t="str">
        <f t="shared" si="2"/>
        <v>#REF!</v>
      </c>
      <c r="E100" t="str">
        <f t="shared" si="3"/>
        <v>#REF!</v>
      </c>
      <c r="F100" t="str">
        <f t="shared" si="4"/>
        <v>#REF!</v>
      </c>
    </row>
  </sheetData>
  <dataValidations>
    <dataValidation type="list" allowBlank="1" sqref="B2:B100">
      <formula1>'Global History Standards'!$A$2:$A$277</formula1>
    </dataValidation>
  </dataValidations>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75"/>
    <col customWidth="1" min="2" max="2" width="7.38"/>
    <col customWidth="1" min="3" max="3" width="39.13"/>
    <col customWidth="1" min="4" max="4" width="28.5"/>
    <col customWidth="1" min="5" max="5" width="27.5"/>
    <col customWidth="1" min="6" max="6" width="17.63"/>
    <col customWidth="1" min="7" max="7" width="20.63"/>
    <col customWidth="1" min="8" max="8" width="16.13"/>
    <col customWidth="1" min="9" max="9" width="15.38"/>
    <col customWidth="1" min="10" max="10" width="27.38"/>
    <col customWidth="1" min="11" max="11" width="14.88"/>
  </cols>
  <sheetData>
    <row r="1" ht="26.25" customHeight="1">
      <c r="A1" s="465" t="s">
        <v>0</v>
      </c>
      <c r="B1" s="465" t="s">
        <v>1</v>
      </c>
      <c r="C1" s="466" t="s">
        <v>2</v>
      </c>
      <c r="D1" s="466" t="s">
        <v>799</v>
      </c>
      <c r="E1" s="466" t="s">
        <v>1037</v>
      </c>
      <c r="F1" s="466" t="s">
        <v>1038</v>
      </c>
      <c r="G1" s="466" t="s">
        <v>1039</v>
      </c>
      <c r="H1" s="467" t="s">
        <v>1040</v>
      </c>
      <c r="I1" s="467" t="s">
        <v>1041</v>
      </c>
      <c r="J1" s="467" t="s">
        <v>1042</v>
      </c>
      <c r="K1" s="467" t="s">
        <v>1043</v>
      </c>
    </row>
    <row r="2" ht="15.0" customHeight="1">
      <c r="A2" s="468">
        <v>27.0</v>
      </c>
      <c r="B2" s="468" t="s">
        <v>1044</v>
      </c>
      <c r="C2" s="469" t="s">
        <v>1045</v>
      </c>
      <c r="D2" s="469" t="s">
        <v>1046</v>
      </c>
      <c r="E2" s="469" t="s">
        <v>1047</v>
      </c>
      <c r="F2" s="470"/>
      <c r="G2" s="470"/>
      <c r="H2" s="469" t="s">
        <v>1048</v>
      </c>
      <c r="I2" s="471"/>
      <c r="J2" s="471"/>
      <c r="K2" s="470"/>
    </row>
    <row r="3" ht="15.0" customHeight="1">
      <c r="A3" s="468">
        <v>1.0</v>
      </c>
      <c r="B3" s="468" t="s">
        <v>1049</v>
      </c>
      <c r="C3" s="469" t="s">
        <v>1050</v>
      </c>
      <c r="D3" s="469" t="s">
        <v>1051</v>
      </c>
      <c r="E3" s="469" t="s">
        <v>1052</v>
      </c>
      <c r="F3" s="468" t="s">
        <v>1053</v>
      </c>
      <c r="G3" s="468" t="s">
        <v>827</v>
      </c>
      <c r="H3" s="469" t="s">
        <v>1048</v>
      </c>
      <c r="I3" s="471"/>
      <c r="J3" s="471"/>
      <c r="K3" s="471"/>
    </row>
    <row r="4" ht="15.0" customHeight="1">
      <c r="A4" s="468">
        <v>2.0</v>
      </c>
      <c r="B4" s="468" t="s">
        <v>1049</v>
      </c>
      <c r="C4" s="469" t="s">
        <v>1050</v>
      </c>
      <c r="D4" s="469" t="s">
        <v>1051</v>
      </c>
      <c r="E4" s="469" t="s">
        <v>1052</v>
      </c>
      <c r="F4" s="468" t="s">
        <v>1053</v>
      </c>
      <c r="G4" s="468" t="s">
        <v>827</v>
      </c>
      <c r="H4" s="469" t="s">
        <v>1048</v>
      </c>
      <c r="I4" s="471"/>
      <c r="J4" s="469" t="s">
        <v>1054</v>
      </c>
      <c r="K4" s="471"/>
    </row>
    <row r="5" ht="15.0" customHeight="1">
      <c r="A5" s="468">
        <v>45.0</v>
      </c>
      <c r="B5" s="468" t="s">
        <v>848</v>
      </c>
      <c r="C5" s="469" t="s">
        <v>1050</v>
      </c>
      <c r="D5" s="469" t="s">
        <v>1055</v>
      </c>
      <c r="E5" s="469" t="s">
        <v>1056</v>
      </c>
      <c r="F5" s="468" t="s">
        <v>1057</v>
      </c>
      <c r="G5" s="468" t="s">
        <v>1058</v>
      </c>
      <c r="H5" s="469" t="s">
        <v>1059</v>
      </c>
      <c r="I5" s="471"/>
      <c r="J5" s="471"/>
      <c r="K5" s="470"/>
    </row>
    <row r="6" ht="15.0" customHeight="1">
      <c r="A6" s="468">
        <v>48.0</v>
      </c>
      <c r="B6" s="468" t="s">
        <v>1060</v>
      </c>
      <c r="C6" s="469" t="s">
        <v>1050</v>
      </c>
      <c r="D6" s="469" t="s">
        <v>1051</v>
      </c>
      <c r="E6" s="469" t="s">
        <v>1061</v>
      </c>
      <c r="F6" s="468" t="s">
        <v>1062</v>
      </c>
      <c r="G6" s="470"/>
      <c r="H6" s="469" t="s">
        <v>1048</v>
      </c>
      <c r="I6" s="469" t="s">
        <v>1063</v>
      </c>
      <c r="J6" s="469" t="s">
        <v>1064</v>
      </c>
      <c r="K6" s="471"/>
    </row>
    <row r="7" ht="15.0" customHeight="1">
      <c r="A7" s="468">
        <v>12.0</v>
      </c>
      <c r="B7" s="468" t="s">
        <v>1065</v>
      </c>
      <c r="C7" s="469" t="s">
        <v>1066</v>
      </c>
      <c r="D7" s="469" t="s">
        <v>1067</v>
      </c>
      <c r="E7" s="469" t="s">
        <v>1068</v>
      </c>
      <c r="F7" s="468" t="s">
        <v>1069</v>
      </c>
      <c r="G7" s="468" t="s">
        <v>1058</v>
      </c>
      <c r="H7" s="469" t="s">
        <v>1070</v>
      </c>
      <c r="I7" s="471"/>
      <c r="J7" s="471"/>
      <c r="K7" s="470"/>
    </row>
    <row r="8" ht="15.0" customHeight="1">
      <c r="A8" s="468">
        <v>13.0</v>
      </c>
      <c r="B8" s="468" t="s">
        <v>1065</v>
      </c>
      <c r="C8" s="469" t="s">
        <v>1066</v>
      </c>
      <c r="D8" s="469" t="s">
        <v>1067</v>
      </c>
      <c r="E8" s="469" t="s">
        <v>1068</v>
      </c>
      <c r="F8" s="468" t="s">
        <v>1069</v>
      </c>
      <c r="G8" s="468" t="s">
        <v>1058</v>
      </c>
      <c r="H8" s="469" t="s">
        <v>1070</v>
      </c>
      <c r="I8" s="471"/>
      <c r="J8" s="471"/>
      <c r="K8" s="470"/>
    </row>
    <row r="9" ht="15.0" customHeight="1">
      <c r="A9" s="468">
        <v>44.0</v>
      </c>
      <c r="B9" s="468" t="s">
        <v>862</v>
      </c>
      <c r="C9" s="469" t="s">
        <v>1066</v>
      </c>
      <c r="D9" s="469" t="s">
        <v>1071</v>
      </c>
      <c r="E9" s="469" t="s">
        <v>1072</v>
      </c>
      <c r="F9" s="468" t="s">
        <v>1073</v>
      </c>
      <c r="G9" s="470"/>
      <c r="H9" s="469" t="s">
        <v>1074</v>
      </c>
      <c r="I9" s="469" t="s">
        <v>1075</v>
      </c>
      <c r="J9" s="471"/>
      <c r="K9" s="470"/>
    </row>
    <row r="10" ht="15.0" customHeight="1">
      <c r="A10" s="468">
        <v>46.0</v>
      </c>
      <c r="B10" s="468" t="s">
        <v>1076</v>
      </c>
      <c r="C10" s="469" t="s">
        <v>1066</v>
      </c>
      <c r="D10" s="469" t="s">
        <v>1067</v>
      </c>
      <c r="E10" s="469" t="s">
        <v>1077</v>
      </c>
      <c r="F10" s="468" t="s">
        <v>1073</v>
      </c>
      <c r="G10" s="470"/>
      <c r="H10" s="469" t="s">
        <v>1074</v>
      </c>
      <c r="I10" s="469" t="s">
        <v>1075</v>
      </c>
      <c r="J10" s="469" t="s">
        <v>1078</v>
      </c>
      <c r="K10" s="470"/>
    </row>
    <row r="11" ht="15.0" customHeight="1">
      <c r="A11" s="468">
        <v>6.0</v>
      </c>
      <c r="B11" s="468" t="s">
        <v>1079</v>
      </c>
      <c r="C11" s="469" t="s">
        <v>1080</v>
      </c>
      <c r="D11" s="469" t="s">
        <v>1081</v>
      </c>
      <c r="E11" s="469" t="s">
        <v>1082</v>
      </c>
      <c r="F11" s="468" t="s">
        <v>1053</v>
      </c>
      <c r="G11" s="470"/>
      <c r="H11" s="469" t="s">
        <v>1074</v>
      </c>
      <c r="I11" s="469" t="s">
        <v>1075</v>
      </c>
      <c r="J11" s="469" t="s">
        <v>1083</v>
      </c>
      <c r="K11" s="470"/>
    </row>
    <row r="12" ht="15.0" customHeight="1">
      <c r="A12" s="468">
        <v>7.0</v>
      </c>
      <c r="B12" s="468" t="s">
        <v>16</v>
      </c>
      <c r="C12" s="469" t="s">
        <v>1080</v>
      </c>
      <c r="D12" s="469" t="s">
        <v>1081</v>
      </c>
      <c r="E12" s="469" t="s">
        <v>1084</v>
      </c>
      <c r="F12" s="468" t="s">
        <v>1053</v>
      </c>
      <c r="G12" s="470"/>
      <c r="H12" s="469" t="s">
        <v>1048</v>
      </c>
      <c r="I12" s="471"/>
      <c r="J12" s="471"/>
      <c r="K12" s="471"/>
    </row>
    <row r="13" ht="15.0" customHeight="1">
      <c r="A13" s="468">
        <v>8.0</v>
      </c>
      <c r="B13" s="468" t="s">
        <v>1085</v>
      </c>
      <c r="C13" s="469" t="s">
        <v>1080</v>
      </c>
      <c r="D13" s="469" t="s">
        <v>1086</v>
      </c>
      <c r="E13" s="469" t="s">
        <v>1087</v>
      </c>
      <c r="F13" s="468" t="s">
        <v>1062</v>
      </c>
      <c r="G13" s="470"/>
      <c r="H13" s="469" t="s">
        <v>1048</v>
      </c>
      <c r="I13" s="471"/>
      <c r="J13" s="471"/>
      <c r="K13" s="471"/>
    </row>
    <row r="14" ht="15.0" customHeight="1">
      <c r="A14" s="468">
        <v>9.0</v>
      </c>
      <c r="B14" s="468" t="s">
        <v>17</v>
      </c>
      <c r="C14" s="469" t="s">
        <v>1080</v>
      </c>
      <c r="D14" s="469" t="s">
        <v>1088</v>
      </c>
      <c r="E14" s="469" t="s">
        <v>1089</v>
      </c>
      <c r="F14" s="468" t="s">
        <v>1090</v>
      </c>
      <c r="G14" s="470"/>
      <c r="H14" s="469" t="s">
        <v>1091</v>
      </c>
      <c r="I14" s="469" t="s">
        <v>1092</v>
      </c>
      <c r="J14" s="471"/>
      <c r="K14" s="470"/>
    </row>
    <row r="15" ht="15.0" customHeight="1">
      <c r="A15" s="468">
        <v>10.0</v>
      </c>
      <c r="B15" s="468" t="s">
        <v>1093</v>
      </c>
      <c r="C15" s="469" t="s">
        <v>1080</v>
      </c>
      <c r="D15" s="469" t="s">
        <v>1094</v>
      </c>
      <c r="E15" s="469" t="s">
        <v>1095</v>
      </c>
      <c r="F15" s="468" t="s">
        <v>1096</v>
      </c>
      <c r="G15" s="470"/>
      <c r="H15" s="469" t="s">
        <v>1048</v>
      </c>
      <c r="I15" s="468" t="s">
        <v>1097</v>
      </c>
      <c r="J15" s="471"/>
      <c r="K15" s="470"/>
    </row>
    <row r="16" ht="15.0" customHeight="1">
      <c r="A16" s="468">
        <v>11.0</v>
      </c>
      <c r="B16" s="468" t="s">
        <v>17</v>
      </c>
      <c r="C16" s="469" t="s">
        <v>1080</v>
      </c>
      <c r="D16" s="469" t="s">
        <v>1088</v>
      </c>
      <c r="E16" s="469" t="s">
        <v>1089</v>
      </c>
      <c r="F16" s="468" t="s">
        <v>1090</v>
      </c>
      <c r="G16" s="470"/>
      <c r="H16" s="468" t="s">
        <v>1048</v>
      </c>
      <c r="I16" s="471"/>
      <c r="J16" s="469" t="s">
        <v>1098</v>
      </c>
      <c r="K16" s="470"/>
    </row>
    <row r="17" ht="15.0" customHeight="1">
      <c r="A17" s="468">
        <v>15.0</v>
      </c>
      <c r="B17" s="468" t="s">
        <v>1099</v>
      </c>
      <c r="C17" s="469" t="s">
        <v>1080</v>
      </c>
      <c r="D17" s="469" t="s">
        <v>1100</v>
      </c>
      <c r="E17" s="469" t="s">
        <v>1101</v>
      </c>
      <c r="F17" s="468" t="s">
        <v>1062</v>
      </c>
      <c r="G17" s="468" t="s">
        <v>1058</v>
      </c>
      <c r="H17" s="469" t="s">
        <v>1070</v>
      </c>
      <c r="I17" s="469" t="s">
        <v>1102</v>
      </c>
      <c r="J17" s="469" t="s">
        <v>1103</v>
      </c>
      <c r="K17" s="470"/>
    </row>
    <row r="18" ht="15.0" customHeight="1">
      <c r="A18" s="468">
        <v>16.0</v>
      </c>
      <c r="B18" s="468" t="s">
        <v>1104</v>
      </c>
      <c r="C18" s="469" t="s">
        <v>1080</v>
      </c>
      <c r="D18" s="469" t="s">
        <v>1100</v>
      </c>
      <c r="E18" s="469" t="s">
        <v>1105</v>
      </c>
      <c r="F18" s="468" t="s">
        <v>1062</v>
      </c>
      <c r="G18" s="468" t="s">
        <v>1058</v>
      </c>
      <c r="H18" s="469" t="s">
        <v>1070</v>
      </c>
      <c r="I18" s="471"/>
      <c r="J18" s="469" t="s">
        <v>1106</v>
      </c>
      <c r="K18" s="470"/>
    </row>
    <row r="19" ht="15.0" customHeight="1">
      <c r="A19" s="468">
        <v>4.0</v>
      </c>
      <c r="B19" s="468" t="s">
        <v>802</v>
      </c>
      <c r="C19" s="469" t="s">
        <v>1107</v>
      </c>
      <c r="D19" s="469" t="s">
        <v>1108</v>
      </c>
      <c r="E19" s="469" t="s">
        <v>1052</v>
      </c>
      <c r="F19" s="468" t="s">
        <v>1109</v>
      </c>
      <c r="G19" s="470"/>
      <c r="H19" s="469" t="s">
        <v>1074</v>
      </c>
      <c r="I19" s="469" t="s">
        <v>1075</v>
      </c>
      <c r="J19" s="471"/>
      <c r="K19" s="470"/>
    </row>
    <row r="20" ht="15.0" customHeight="1">
      <c r="A20" s="468">
        <v>5.0</v>
      </c>
      <c r="B20" s="468" t="s">
        <v>1110</v>
      </c>
      <c r="C20" s="469" t="s">
        <v>1107</v>
      </c>
      <c r="D20" s="469" t="s">
        <v>1111</v>
      </c>
      <c r="E20" s="469" t="s">
        <v>1112</v>
      </c>
      <c r="F20" s="469" t="s">
        <v>1053</v>
      </c>
      <c r="G20" s="469" t="s">
        <v>1113</v>
      </c>
      <c r="H20" s="469" t="s">
        <v>1070</v>
      </c>
      <c r="I20" s="471"/>
      <c r="J20" s="471"/>
      <c r="K20" s="470"/>
    </row>
    <row r="21" ht="15.0" customHeight="1">
      <c r="A21" s="468">
        <v>14.0</v>
      </c>
      <c r="B21" s="468" t="s">
        <v>1114</v>
      </c>
      <c r="C21" s="469" t="s">
        <v>1107</v>
      </c>
      <c r="D21" s="469" t="s">
        <v>1115</v>
      </c>
      <c r="E21" s="469" t="s">
        <v>1052</v>
      </c>
      <c r="F21" s="468" t="s">
        <v>1062</v>
      </c>
      <c r="G21" s="470"/>
      <c r="H21" s="469" t="s">
        <v>1048</v>
      </c>
      <c r="I21" s="469" t="s">
        <v>1097</v>
      </c>
      <c r="J21" s="471"/>
      <c r="K21" s="470"/>
    </row>
    <row r="22" ht="15.0" customHeight="1">
      <c r="A22" s="468">
        <v>17.0</v>
      </c>
      <c r="B22" s="468" t="s">
        <v>22</v>
      </c>
      <c r="C22" s="469" t="s">
        <v>1107</v>
      </c>
      <c r="D22" s="469" t="s">
        <v>1116</v>
      </c>
      <c r="E22" s="469" t="s">
        <v>1117</v>
      </c>
      <c r="F22" s="468" t="s">
        <v>1090</v>
      </c>
      <c r="G22" s="470"/>
      <c r="H22" s="469" t="s">
        <v>1048</v>
      </c>
      <c r="I22" s="471"/>
      <c r="J22" s="471"/>
      <c r="K22" s="470"/>
    </row>
    <row r="23" ht="15.0" customHeight="1">
      <c r="A23" s="468">
        <v>18.0</v>
      </c>
      <c r="B23" s="468" t="s">
        <v>1118</v>
      </c>
      <c r="C23" s="469" t="s">
        <v>1107</v>
      </c>
      <c r="D23" s="469" t="s">
        <v>1119</v>
      </c>
      <c r="E23" s="469" t="s">
        <v>1120</v>
      </c>
      <c r="F23" s="468" t="s">
        <v>1109</v>
      </c>
      <c r="G23" s="470"/>
      <c r="H23" s="469" t="s">
        <v>1070</v>
      </c>
      <c r="I23" s="471"/>
      <c r="J23" s="471"/>
      <c r="K23" s="470"/>
    </row>
    <row r="24" ht="15.0" customHeight="1">
      <c r="A24" s="468">
        <v>19.0</v>
      </c>
      <c r="B24" s="468" t="s">
        <v>24</v>
      </c>
      <c r="C24" s="469" t="s">
        <v>1107</v>
      </c>
      <c r="D24" s="469" t="s">
        <v>1121</v>
      </c>
      <c r="E24" s="469" t="s">
        <v>1122</v>
      </c>
      <c r="F24" s="468" t="s">
        <v>1109</v>
      </c>
      <c r="G24" s="468" t="s">
        <v>1058</v>
      </c>
      <c r="H24" s="469" t="s">
        <v>1048</v>
      </c>
      <c r="I24" s="469" t="s">
        <v>1123</v>
      </c>
      <c r="J24" s="471"/>
      <c r="K24" s="470"/>
    </row>
    <row r="25" ht="15.0" customHeight="1">
      <c r="A25" s="468">
        <v>20.0</v>
      </c>
      <c r="B25" s="468" t="s">
        <v>24</v>
      </c>
      <c r="C25" s="469" t="s">
        <v>1107</v>
      </c>
      <c r="D25" s="469" t="s">
        <v>1121</v>
      </c>
      <c r="E25" s="469" t="s">
        <v>1122</v>
      </c>
      <c r="F25" s="468" t="s">
        <v>1109</v>
      </c>
      <c r="G25" s="468" t="s">
        <v>1058</v>
      </c>
      <c r="H25" s="469" t="s">
        <v>1048</v>
      </c>
      <c r="I25" s="471"/>
      <c r="J25" s="471"/>
      <c r="K25" s="470"/>
    </row>
    <row r="26" ht="15.0" customHeight="1">
      <c r="A26" s="468">
        <v>28.0</v>
      </c>
      <c r="B26" s="468" t="s">
        <v>1124</v>
      </c>
      <c r="C26" s="469" t="s">
        <v>1107</v>
      </c>
      <c r="D26" s="469" t="s">
        <v>1121</v>
      </c>
      <c r="E26" s="469" t="s">
        <v>1125</v>
      </c>
      <c r="F26" s="468" t="s">
        <v>1053</v>
      </c>
      <c r="G26" s="468" t="s">
        <v>827</v>
      </c>
      <c r="H26" s="469" t="s">
        <v>1048</v>
      </c>
      <c r="I26" s="471"/>
      <c r="J26" s="471"/>
      <c r="K26" s="470"/>
    </row>
    <row r="27" ht="15.0" customHeight="1">
      <c r="A27" s="468">
        <v>47.0</v>
      </c>
      <c r="B27" s="468" t="s">
        <v>27</v>
      </c>
      <c r="C27" s="469" t="s">
        <v>1107</v>
      </c>
      <c r="D27" s="469" t="s">
        <v>1126</v>
      </c>
      <c r="E27" s="469" t="s">
        <v>1127</v>
      </c>
      <c r="F27" s="468" t="s">
        <v>1090</v>
      </c>
      <c r="G27" s="470"/>
      <c r="H27" s="469" t="s">
        <v>1128</v>
      </c>
      <c r="I27" s="471"/>
      <c r="J27" s="469" t="s">
        <v>1129</v>
      </c>
      <c r="K27" s="471"/>
    </row>
    <row r="28" ht="15.0" customHeight="1">
      <c r="A28" s="468">
        <v>21.0</v>
      </c>
      <c r="B28" s="468" t="s">
        <v>30</v>
      </c>
      <c r="C28" s="469" t="s">
        <v>1130</v>
      </c>
      <c r="D28" s="469" t="s">
        <v>1131</v>
      </c>
      <c r="E28" s="469" t="s">
        <v>1132</v>
      </c>
      <c r="F28" s="468" t="s">
        <v>1109</v>
      </c>
      <c r="G28" s="470"/>
      <c r="H28" s="469" t="s">
        <v>1091</v>
      </c>
      <c r="I28" s="469" t="s">
        <v>1133</v>
      </c>
      <c r="J28" s="471"/>
      <c r="K28" s="470"/>
    </row>
    <row r="29" ht="15.0" customHeight="1">
      <c r="A29" s="468">
        <v>22.0</v>
      </c>
      <c r="B29" s="468" t="s">
        <v>1134</v>
      </c>
      <c r="C29" s="469" t="s">
        <v>1130</v>
      </c>
      <c r="D29" s="469" t="s">
        <v>1135</v>
      </c>
      <c r="E29" s="469" t="s">
        <v>1136</v>
      </c>
      <c r="F29" s="468" t="s">
        <v>1090</v>
      </c>
      <c r="G29" s="470"/>
      <c r="H29" s="469" t="s">
        <v>1128</v>
      </c>
      <c r="I29" s="469" t="s">
        <v>1063</v>
      </c>
      <c r="J29" s="471"/>
      <c r="K29" s="470"/>
    </row>
    <row r="30" ht="15.0" customHeight="1">
      <c r="A30" s="468">
        <v>24.0</v>
      </c>
      <c r="B30" s="468" t="s">
        <v>1137</v>
      </c>
      <c r="C30" s="469" t="s">
        <v>1130</v>
      </c>
      <c r="D30" s="469" t="s">
        <v>1138</v>
      </c>
      <c r="E30" s="469" t="s">
        <v>1139</v>
      </c>
      <c r="F30" s="468" t="s">
        <v>1090</v>
      </c>
      <c r="G30" s="470"/>
      <c r="H30" s="469" t="s">
        <v>1059</v>
      </c>
      <c r="I30" s="471"/>
      <c r="J30" s="471"/>
      <c r="K30" s="470"/>
    </row>
    <row r="31" ht="15.0" customHeight="1">
      <c r="A31" s="468">
        <v>25.0</v>
      </c>
      <c r="B31" s="468" t="s">
        <v>913</v>
      </c>
      <c r="C31" s="469" t="s">
        <v>1130</v>
      </c>
      <c r="D31" s="469" t="s">
        <v>1140</v>
      </c>
      <c r="E31" s="469" t="s">
        <v>1141</v>
      </c>
      <c r="F31" s="468" t="s">
        <v>1090</v>
      </c>
      <c r="G31" s="470"/>
      <c r="H31" s="469" t="s">
        <v>1091</v>
      </c>
      <c r="I31" s="469" t="s">
        <v>1142</v>
      </c>
      <c r="J31" s="471"/>
      <c r="K31" s="470"/>
    </row>
    <row r="32" ht="15.0" customHeight="1">
      <c r="A32" s="468">
        <v>26.0</v>
      </c>
      <c r="B32" s="468" t="s">
        <v>913</v>
      </c>
      <c r="C32" s="469" t="s">
        <v>1130</v>
      </c>
      <c r="D32" s="469" t="s">
        <v>1140</v>
      </c>
      <c r="E32" s="469" t="s">
        <v>1141</v>
      </c>
      <c r="F32" s="468" t="s">
        <v>1090</v>
      </c>
      <c r="G32" s="470"/>
      <c r="H32" s="469" t="s">
        <v>1070</v>
      </c>
      <c r="I32" s="469" t="s">
        <v>1143</v>
      </c>
      <c r="J32" s="471"/>
      <c r="K32" s="470"/>
    </row>
    <row r="33" ht="15.0" customHeight="1">
      <c r="A33" s="468">
        <v>23.0</v>
      </c>
      <c r="B33" s="468" t="s">
        <v>1144</v>
      </c>
      <c r="C33" s="469" t="s">
        <v>1145</v>
      </c>
      <c r="D33" s="469" t="s">
        <v>1146</v>
      </c>
      <c r="E33" s="469" t="s">
        <v>1147</v>
      </c>
      <c r="F33" s="468" t="s">
        <v>1053</v>
      </c>
      <c r="G33" s="471"/>
      <c r="H33" s="469" t="s">
        <v>1048</v>
      </c>
      <c r="I33" s="469" t="s">
        <v>1148</v>
      </c>
      <c r="J33" s="471"/>
      <c r="K33" s="470"/>
    </row>
    <row r="34" ht="15.0" customHeight="1">
      <c r="A34" s="468">
        <v>29.0</v>
      </c>
      <c r="B34" s="468" t="s">
        <v>1149</v>
      </c>
      <c r="C34" s="469" t="s">
        <v>1145</v>
      </c>
      <c r="D34" s="469" t="s">
        <v>1146</v>
      </c>
      <c r="E34" s="469" t="s">
        <v>1150</v>
      </c>
      <c r="F34" s="468" t="s">
        <v>1053</v>
      </c>
      <c r="G34" s="470"/>
      <c r="H34" s="469" t="s">
        <v>1091</v>
      </c>
      <c r="I34" s="468" t="s">
        <v>1151</v>
      </c>
      <c r="J34" s="471"/>
      <c r="K34" s="470"/>
    </row>
    <row r="35" ht="15.0" customHeight="1">
      <c r="A35" s="468">
        <v>30.0</v>
      </c>
      <c r="B35" s="468" t="s">
        <v>35</v>
      </c>
      <c r="C35" s="469" t="s">
        <v>1145</v>
      </c>
      <c r="D35" s="469" t="s">
        <v>1152</v>
      </c>
      <c r="E35" s="469" t="s">
        <v>1153</v>
      </c>
      <c r="F35" s="468" t="s">
        <v>1057</v>
      </c>
      <c r="G35" s="470"/>
      <c r="H35" s="469" t="s">
        <v>1128</v>
      </c>
      <c r="I35" s="469" t="s">
        <v>1063</v>
      </c>
      <c r="J35" s="471"/>
      <c r="K35" s="470"/>
    </row>
    <row r="36" ht="15.0" customHeight="1">
      <c r="A36" s="468">
        <v>31.0</v>
      </c>
      <c r="B36" s="468" t="s">
        <v>1154</v>
      </c>
      <c r="C36" s="469" t="s">
        <v>1145</v>
      </c>
      <c r="D36" s="469" t="s">
        <v>1152</v>
      </c>
      <c r="E36" s="469" t="s">
        <v>1155</v>
      </c>
      <c r="F36" s="470"/>
      <c r="G36" s="468" t="s">
        <v>1156</v>
      </c>
      <c r="H36" s="469" t="s">
        <v>1070</v>
      </c>
      <c r="I36" s="471"/>
      <c r="J36" s="471"/>
      <c r="K36" s="470"/>
    </row>
    <row r="37" ht="15.0" customHeight="1">
      <c r="A37" s="468">
        <v>32.0</v>
      </c>
      <c r="B37" s="468" t="s">
        <v>1157</v>
      </c>
      <c r="C37" s="469" t="s">
        <v>1145</v>
      </c>
      <c r="D37" s="469" t="s">
        <v>1152</v>
      </c>
      <c r="E37" s="469" t="s">
        <v>1158</v>
      </c>
      <c r="F37" s="468" t="s">
        <v>1053</v>
      </c>
      <c r="G37" s="470"/>
      <c r="H37" s="469" t="s">
        <v>1128</v>
      </c>
      <c r="I37" s="469" t="s">
        <v>1063</v>
      </c>
      <c r="J37" s="471"/>
      <c r="K37" s="470"/>
    </row>
    <row r="38" ht="15.0" customHeight="1">
      <c r="A38" s="468">
        <v>33.0</v>
      </c>
      <c r="B38" s="468" t="s">
        <v>1159</v>
      </c>
      <c r="C38" s="469" t="s">
        <v>1145</v>
      </c>
      <c r="D38" s="469" t="s">
        <v>1152</v>
      </c>
      <c r="E38" s="469" t="s">
        <v>1160</v>
      </c>
      <c r="F38" s="468" t="s">
        <v>1090</v>
      </c>
      <c r="G38" s="470"/>
      <c r="H38" s="469" t="s">
        <v>1161</v>
      </c>
      <c r="I38" s="469" t="s">
        <v>1162</v>
      </c>
      <c r="J38" s="471"/>
      <c r="K38" s="470"/>
    </row>
    <row r="39" ht="15.0" customHeight="1">
      <c r="A39" s="468">
        <v>34.0</v>
      </c>
      <c r="B39" s="468" t="s">
        <v>1163</v>
      </c>
      <c r="C39" s="469" t="s">
        <v>1145</v>
      </c>
      <c r="D39" s="469" t="s">
        <v>1164</v>
      </c>
      <c r="E39" s="469" t="s">
        <v>1165</v>
      </c>
      <c r="F39" s="468" t="s">
        <v>1053</v>
      </c>
      <c r="G39" s="470"/>
      <c r="H39" s="469" t="s">
        <v>1048</v>
      </c>
      <c r="I39" s="471"/>
      <c r="J39" s="471"/>
      <c r="K39" s="470"/>
    </row>
    <row r="40" ht="15.0" customHeight="1">
      <c r="A40" s="468">
        <v>35.0</v>
      </c>
      <c r="B40" s="468" t="s">
        <v>1166</v>
      </c>
      <c r="C40" s="469" t="s">
        <v>1145</v>
      </c>
      <c r="D40" s="469" t="s">
        <v>1164</v>
      </c>
      <c r="E40" s="469" t="s">
        <v>1167</v>
      </c>
      <c r="F40" s="471"/>
      <c r="G40" s="471"/>
      <c r="H40" s="469" t="s">
        <v>1048</v>
      </c>
      <c r="I40" s="471"/>
      <c r="J40" s="471"/>
      <c r="K40" s="470"/>
    </row>
    <row r="41" ht="15.0" customHeight="1">
      <c r="A41" s="468">
        <v>49.0</v>
      </c>
      <c r="B41" s="468" t="s">
        <v>56</v>
      </c>
      <c r="C41" s="469" t="s">
        <v>1145</v>
      </c>
      <c r="D41" s="469" t="s">
        <v>1146</v>
      </c>
      <c r="E41" s="469" t="s">
        <v>1168</v>
      </c>
      <c r="F41" s="468" t="s">
        <v>1090</v>
      </c>
      <c r="G41" s="470"/>
      <c r="H41" s="469" t="s">
        <v>1091</v>
      </c>
      <c r="I41" s="469" t="s">
        <v>1092</v>
      </c>
      <c r="J41" s="471"/>
      <c r="K41" s="470"/>
    </row>
    <row r="42" ht="15.0" customHeight="1">
      <c r="A42" s="468">
        <v>3.0</v>
      </c>
      <c r="B42" s="468" t="s">
        <v>1169</v>
      </c>
      <c r="C42" s="469" t="s">
        <v>1170</v>
      </c>
      <c r="D42" s="469" t="s">
        <v>1171</v>
      </c>
      <c r="E42" s="469" t="s">
        <v>1172</v>
      </c>
      <c r="F42" s="470"/>
      <c r="G42" s="470"/>
      <c r="H42" s="469" t="s">
        <v>1048</v>
      </c>
      <c r="I42" s="471"/>
      <c r="J42" s="471"/>
      <c r="K42" s="470"/>
    </row>
    <row r="43" ht="15.0" customHeight="1">
      <c r="A43" s="468">
        <v>37.0</v>
      </c>
      <c r="B43" s="468" t="s">
        <v>927</v>
      </c>
      <c r="C43" s="469" t="s">
        <v>1173</v>
      </c>
      <c r="D43" s="469" t="s">
        <v>1174</v>
      </c>
      <c r="E43" s="469" t="s">
        <v>1175</v>
      </c>
      <c r="F43" s="468" t="s">
        <v>1073</v>
      </c>
      <c r="G43" s="470"/>
      <c r="H43" s="469" t="s">
        <v>1074</v>
      </c>
      <c r="I43" s="469" t="s">
        <v>1075</v>
      </c>
      <c r="J43" s="470"/>
      <c r="K43" s="468" t="s">
        <v>1176</v>
      </c>
    </row>
    <row r="44" ht="15.0" customHeight="1">
      <c r="A44" s="468">
        <v>39.0</v>
      </c>
      <c r="B44" s="468" t="s">
        <v>927</v>
      </c>
      <c r="C44" s="469" t="s">
        <v>1173</v>
      </c>
      <c r="D44" s="469" t="s">
        <v>1174</v>
      </c>
      <c r="E44" s="469" t="s">
        <v>1175</v>
      </c>
      <c r="F44" s="468" t="s">
        <v>1053</v>
      </c>
      <c r="G44" s="468" t="s">
        <v>1058</v>
      </c>
      <c r="H44" s="469" t="s">
        <v>1070</v>
      </c>
      <c r="I44" s="471"/>
      <c r="J44" s="471"/>
      <c r="K44" s="470"/>
    </row>
    <row r="45" ht="15.0" customHeight="1">
      <c r="A45" s="468">
        <v>36.0</v>
      </c>
      <c r="B45" s="468" t="s">
        <v>38</v>
      </c>
      <c r="C45" s="469" t="s">
        <v>1177</v>
      </c>
      <c r="D45" s="469" t="s">
        <v>1178</v>
      </c>
      <c r="E45" s="469" t="s">
        <v>1179</v>
      </c>
      <c r="F45" s="468" t="s">
        <v>1096</v>
      </c>
      <c r="G45" s="468" t="s">
        <v>1113</v>
      </c>
      <c r="H45" s="469" t="s">
        <v>1048</v>
      </c>
      <c r="I45" s="471"/>
      <c r="J45" s="471"/>
      <c r="K45" s="470"/>
    </row>
    <row r="46" ht="15.0" customHeight="1">
      <c r="A46" s="468">
        <v>38.0</v>
      </c>
      <c r="B46" s="468" t="s">
        <v>1180</v>
      </c>
      <c r="C46" s="469" t="s">
        <v>1181</v>
      </c>
      <c r="D46" s="469" t="s">
        <v>1182</v>
      </c>
      <c r="E46" s="469" t="s">
        <v>1183</v>
      </c>
      <c r="F46" s="468" t="s">
        <v>1057</v>
      </c>
      <c r="G46" s="470"/>
      <c r="H46" s="469" t="s">
        <v>1128</v>
      </c>
      <c r="I46" s="471"/>
      <c r="J46" s="469" t="s">
        <v>1184</v>
      </c>
      <c r="K46" s="470"/>
    </row>
    <row r="47" ht="15.0" customHeight="1">
      <c r="A47" s="468">
        <v>42.0</v>
      </c>
      <c r="B47" s="468" t="s">
        <v>1185</v>
      </c>
      <c r="C47" s="469" t="s">
        <v>1186</v>
      </c>
      <c r="D47" s="469" t="s">
        <v>1187</v>
      </c>
      <c r="E47" s="469" t="s">
        <v>1052</v>
      </c>
      <c r="F47" s="468" t="s">
        <v>1062</v>
      </c>
      <c r="G47" s="468" t="s">
        <v>827</v>
      </c>
      <c r="H47" s="469" t="s">
        <v>1059</v>
      </c>
      <c r="I47" s="471"/>
      <c r="J47" s="471"/>
      <c r="K47" s="470"/>
    </row>
    <row r="48" ht="15.0" customHeight="1">
      <c r="A48" s="468">
        <v>41.0</v>
      </c>
      <c r="B48" s="468" t="s">
        <v>1188</v>
      </c>
      <c r="C48" s="469" t="s">
        <v>1189</v>
      </c>
      <c r="D48" s="469" t="s">
        <v>1187</v>
      </c>
      <c r="E48" s="469" t="s">
        <v>1190</v>
      </c>
      <c r="F48" s="468" t="s">
        <v>1062</v>
      </c>
      <c r="G48" s="470"/>
      <c r="H48" s="469" t="s">
        <v>1048</v>
      </c>
      <c r="I48" s="471"/>
      <c r="J48" s="469" t="s">
        <v>1191</v>
      </c>
      <c r="K48" s="470"/>
    </row>
    <row r="49" ht="15.0" customHeight="1">
      <c r="A49" s="468">
        <v>40.0</v>
      </c>
      <c r="B49" s="468" t="s">
        <v>1192</v>
      </c>
      <c r="C49" s="469" t="s">
        <v>1193</v>
      </c>
      <c r="D49" s="469" t="s">
        <v>1194</v>
      </c>
      <c r="E49" s="469" t="s">
        <v>1195</v>
      </c>
      <c r="F49" s="468" t="s">
        <v>1053</v>
      </c>
      <c r="G49" s="470"/>
      <c r="H49" s="469" t="s">
        <v>1070</v>
      </c>
      <c r="I49" s="471"/>
      <c r="J49" s="471"/>
      <c r="K49" s="470"/>
    </row>
    <row r="50" ht="15.0" customHeight="1">
      <c r="A50" s="468">
        <v>43.0</v>
      </c>
      <c r="B50" s="468" t="s">
        <v>1196</v>
      </c>
      <c r="C50" s="469" t="s">
        <v>1193</v>
      </c>
      <c r="D50" s="469" t="s">
        <v>1197</v>
      </c>
      <c r="E50" s="469" t="s">
        <v>1198</v>
      </c>
      <c r="F50" s="468" t="s">
        <v>1062</v>
      </c>
      <c r="G50" s="468" t="s">
        <v>1058</v>
      </c>
      <c r="H50" s="469" t="s">
        <v>1059</v>
      </c>
      <c r="I50" s="469" t="s">
        <v>1199</v>
      </c>
      <c r="J50" s="471"/>
      <c r="K50" s="470"/>
    </row>
    <row r="51" ht="15.0" customHeight="1">
      <c r="A51" s="468">
        <v>50.0</v>
      </c>
      <c r="B51" s="468" t="s">
        <v>1200</v>
      </c>
      <c r="C51" s="469" t="s">
        <v>1193</v>
      </c>
      <c r="D51" s="469" t="s">
        <v>1194</v>
      </c>
      <c r="E51" s="469" t="s">
        <v>1201</v>
      </c>
      <c r="F51" s="468" t="s">
        <v>1057</v>
      </c>
      <c r="G51" s="468" t="s">
        <v>1202</v>
      </c>
      <c r="H51" s="469" t="s">
        <v>1070</v>
      </c>
      <c r="I51" s="471"/>
      <c r="J51" s="471"/>
      <c r="K51" s="470"/>
    </row>
  </sheetData>
  <autoFilter ref="$A$1:$K$51"/>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0.63"/>
    <col customWidth="1" min="2" max="2" width="6.5"/>
    <col customWidth="1" min="3" max="3" width="20.25"/>
    <col customWidth="1" min="4" max="4" width="28.75"/>
    <col customWidth="1" min="5" max="5" width="41.25"/>
    <col customWidth="1" min="6" max="6" width="14.5"/>
    <col customWidth="1" min="7" max="7" width="21.13"/>
    <col customWidth="1" min="8" max="8" width="14.5"/>
    <col customWidth="1" min="9" max="9" width="45.75"/>
    <col customWidth="1" min="10" max="10" width="23.75"/>
  </cols>
  <sheetData>
    <row r="1" ht="15.0" customHeight="1">
      <c r="A1" s="441" t="s">
        <v>0</v>
      </c>
      <c r="B1" s="441" t="s">
        <v>1</v>
      </c>
      <c r="C1" s="467" t="s">
        <v>2</v>
      </c>
      <c r="D1" s="467" t="s">
        <v>799</v>
      </c>
      <c r="E1" s="467" t="s">
        <v>1037</v>
      </c>
      <c r="F1" s="441" t="s">
        <v>1039</v>
      </c>
      <c r="G1" s="441" t="s">
        <v>1040</v>
      </c>
      <c r="H1" s="467" t="s">
        <v>1038</v>
      </c>
      <c r="I1" s="441" t="s">
        <v>1042</v>
      </c>
      <c r="J1" s="467" t="s">
        <v>1043</v>
      </c>
    </row>
    <row r="2" ht="15.0" customHeight="1">
      <c r="A2" s="468" t="s">
        <v>1203</v>
      </c>
      <c r="B2" s="468" t="s">
        <v>1204</v>
      </c>
      <c r="C2" s="469" t="s">
        <v>1045</v>
      </c>
      <c r="D2" s="469" t="s">
        <v>1205</v>
      </c>
      <c r="E2" s="469" t="s">
        <v>1206</v>
      </c>
      <c r="F2" s="471"/>
      <c r="G2" s="469" t="s">
        <v>1048</v>
      </c>
      <c r="H2" s="469" t="s">
        <v>1073</v>
      </c>
      <c r="I2" s="471"/>
      <c r="J2" s="468" t="s">
        <v>1207</v>
      </c>
    </row>
    <row r="3" ht="15.0" customHeight="1">
      <c r="A3" s="468" t="s">
        <v>1208</v>
      </c>
      <c r="B3" s="468" t="s">
        <v>1209</v>
      </c>
      <c r="C3" s="469" t="s">
        <v>1045</v>
      </c>
      <c r="D3" s="469" t="s">
        <v>1210</v>
      </c>
      <c r="E3" s="469" t="s">
        <v>1211</v>
      </c>
      <c r="F3" s="469" t="s">
        <v>1212</v>
      </c>
      <c r="G3" s="469" t="s">
        <v>1048</v>
      </c>
      <c r="H3" s="471"/>
      <c r="I3" s="469" t="s">
        <v>1213</v>
      </c>
      <c r="J3" s="468" t="s">
        <v>1214</v>
      </c>
    </row>
    <row r="4" ht="15.0" customHeight="1">
      <c r="A4" s="468" t="s">
        <v>1215</v>
      </c>
      <c r="B4" s="468" t="s">
        <v>1214</v>
      </c>
      <c r="C4" s="469" t="s">
        <v>1045</v>
      </c>
      <c r="D4" s="469" t="s">
        <v>1210</v>
      </c>
      <c r="E4" s="469" t="s">
        <v>1216</v>
      </c>
      <c r="F4" s="468" t="s">
        <v>1058</v>
      </c>
      <c r="G4" s="468" t="s">
        <v>1048</v>
      </c>
      <c r="H4" s="469" t="s">
        <v>1217</v>
      </c>
      <c r="I4" s="469" t="s">
        <v>1218</v>
      </c>
      <c r="J4" s="470"/>
    </row>
    <row r="5" ht="15.0" customHeight="1">
      <c r="A5" s="468" t="s">
        <v>1219</v>
      </c>
      <c r="B5" s="468" t="s">
        <v>1214</v>
      </c>
      <c r="C5" s="469" t="s">
        <v>1045</v>
      </c>
      <c r="D5" s="469" t="s">
        <v>1210</v>
      </c>
      <c r="E5" s="469" t="s">
        <v>1216</v>
      </c>
      <c r="F5" s="468" t="s">
        <v>1058</v>
      </c>
      <c r="G5" s="468" t="s">
        <v>1048</v>
      </c>
      <c r="H5" s="469" t="s">
        <v>1217</v>
      </c>
      <c r="I5" s="469" t="s">
        <v>1218</v>
      </c>
      <c r="J5" s="471"/>
    </row>
    <row r="6" ht="15.0" customHeight="1">
      <c r="A6" s="468" t="s">
        <v>1220</v>
      </c>
      <c r="B6" s="468" t="s">
        <v>1214</v>
      </c>
      <c r="C6" s="469" t="s">
        <v>1045</v>
      </c>
      <c r="D6" s="469" t="s">
        <v>1210</v>
      </c>
      <c r="E6" s="469" t="s">
        <v>1216</v>
      </c>
      <c r="F6" s="468" t="s">
        <v>1058</v>
      </c>
      <c r="G6" s="468" t="s">
        <v>1048</v>
      </c>
      <c r="H6" s="469" t="s">
        <v>1217</v>
      </c>
      <c r="I6" s="469" t="s">
        <v>1218</v>
      </c>
      <c r="J6" s="471"/>
    </row>
    <row r="7" ht="15.0" customHeight="1">
      <c r="A7" s="468" t="s">
        <v>1221</v>
      </c>
      <c r="B7" s="468" t="s">
        <v>25</v>
      </c>
      <c r="C7" s="469" t="s">
        <v>1107</v>
      </c>
      <c r="D7" s="469" t="s">
        <v>1222</v>
      </c>
      <c r="E7" s="469" t="s">
        <v>1223</v>
      </c>
      <c r="F7" s="468" t="s">
        <v>1058</v>
      </c>
      <c r="G7" s="468" t="s">
        <v>1059</v>
      </c>
      <c r="H7" s="469" t="s">
        <v>1053</v>
      </c>
      <c r="I7" s="469" t="s">
        <v>1224</v>
      </c>
      <c r="J7" s="471"/>
    </row>
    <row r="8" ht="15.0" customHeight="1">
      <c r="A8" s="468" t="s">
        <v>1225</v>
      </c>
      <c r="B8" s="468" t="s">
        <v>25</v>
      </c>
      <c r="C8" s="469" t="s">
        <v>1107</v>
      </c>
      <c r="D8" s="469" t="s">
        <v>1222</v>
      </c>
      <c r="E8" s="469" t="s">
        <v>1223</v>
      </c>
      <c r="F8" s="468" t="s">
        <v>1058</v>
      </c>
      <c r="G8" s="468" t="s">
        <v>1059</v>
      </c>
      <c r="H8" s="469" t="s">
        <v>1053</v>
      </c>
      <c r="I8" s="469" t="s">
        <v>1224</v>
      </c>
      <c r="J8" s="471"/>
    </row>
    <row r="9" ht="15.0" customHeight="1">
      <c r="A9" s="468" t="s">
        <v>1226</v>
      </c>
      <c r="B9" s="468" t="s">
        <v>1214</v>
      </c>
      <c r="C9" s="469" t="s">
        <v>1045</v>
      </c>
      <c r="D9" s="469" t="s">
        <v>1210</v>
      </c>
      <c r="E9" s="469" t="s">
        <v>1216</v>
      </c>
      <c r="F9" s="468" t="s">
        <v>1058</v>
      </c>
      <c r="G9" s="468" t="s">
        <v>1070</v>
      </c>
      <c r="H9" s="468" t="s">
        <v>1053</v>
      </c>
      <c r="I9" s="471"/>
      <c r="J9" s="471"/>
    </row>
    <row r="10" ht="15.0" customHeight="1">
      <c r="A10" s="468" t="s">
        <v>1227</v>
      </c>
      <c r="B10" s="468" t="s">
        <v>25</v>
      </c>
      <c r="C10" s="469" t="s">
        <v>1107</v>
      </c>
      <c r="D10" s="469" t="s">
        <v>1222</v>
      </c>
      <c r="E10" s="469" t="s">
        <v>1223</v>
      </c>
      <c r="F10" s="468" t="s">
        <v>1058</v>
      </c>
      <c r="G10" s="468" t="s">
        <v>1059</v>
      </c>
      <c r="H10" s="469" t="s">
        <v>1053</v>
      </c>
      <c r="I10" s="469" t="s">
        <v>1224</v>
      </c>
      <c r="J10" s="471"/>
    </row>
    <row r="11" ht="15.0" customHeight="1">
      <c r="A11" s="468" t="s">
        <v>1228</v>
      </c>
      <c r="B11" s="468" t="s">
        <v>25</v>
      </c>
      <c r="C11" s="469" t="s">
        <v>1107</v>
      </c>
      <c r="D11" s="469" t="s">
        <v>1222</v>
      </c>
      <c r="E11" s="469" t="s">
        <v>1223</v>
      </c>
      <c r="F11" s="468" t="s">
        <v>1058</v>
      </c>
      <c r="G11" s="468" t="s">
        <v>1048</v>
      </c>
      <c r="H11" s="468" t="s">
        <v>1090</v>
      </c>
      <c r="I11" s="469" t="s">
        <v>1229</v>
      </c>
      <c r="J11" s="471"/>
    </row>
    <row r="12" ht="15.0" customHeight="1">
      <c r="A12" s="468" t="s">
        <v>1228</v>
      </c>
      <c r="B12" s="468" t="s">
        <v>25</v>
      </c>
      <c r="C12" s="469" t="s">
        <v>1107</v>
      </c>
      <c r="D12" s="469" t="s">
        <v>1222</v>
      </c>
      <c r="E12" s="469" t="s">
        <v>1223</v>
      </c>
      <c r="F12" s="468" t="s">
        <v>1058</v>
      </c>
      <c r="G12" s="468" t="s">
        <v>1048</v>
      </c>
      <c r="H12" s="468" t="s">
        <v>1090</v>
      </c>
      <c r="I12" s="469" t="s">
        <v>1229</v>
      </c>
      <c r="J12" s="470"/>
    </row>
    <row r="13" ht="15.0" customHeight="1">
      <c r="A13" s="468" t="s">
        <v>1230</v>
      </c>
      <c r="B13" s="468" t="s">
        <v>25</v>
      </c>
      <c r="C13" s="469" t="s">
        <v>1107</v>
      </c>
      <c r="D13" s="469" t="s">
        <v>1222</v>
      </c>
      <c r="E13" s="469" t="s">
        <v>1223</v>
      </c>
      <c r="F13" s="470"/>
      <c r="G13" s="468" t="s">
        <v>1231</v>
      </c>
      <c r="H13" s="468" t="s">
        <v>1073</v>
      </c>
      <c r="I13" s="468" t="s">
        <v>1232</v>
      </c>
      <c r="J13" s="470"/>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75"/>
    <col customWidth="1" min="2" max="2" width="7.38"/>
    <col customWidth="1" min="3" max="3" width="39.13"/>
    <col customWidth="1" min="4" max="4" width="28.5"/>
    <col customWidth="1" min="5" max="5" width="27.5"/>
  </cols>
  <sheetData>
    <row r="1" ht="15.0" customHeight="1">
      <c r="A1" s="441" t="s">
        <v>0</v>
      </c>
      <c r="B1" s="441" t="s">
        <v>1</v>
      </c>
      <c r="C1" s="467" t="s">
        <v>2</v>
      </c>
      <c r="D1" s="467" t="s">
        <v>799</v>
      </c>
      <c r="E1" s="467" t="s">
        <v>1037</v>
      </c>
    </row>
    <row r="2" ht="25.5" customHeight="1">
      <c r="A2" s="468">
        <v>1.0</v>
      </c>
      <c r="B2" s="468" t="s">
        <v>1049</v>
      </c>
      <c r="C2" s="469" t="s">
        <v>1050</v>
      </c>
      <c r="D2" s="469" t="s">
        <v>1051</v>
      </c>
      <c r="E2" s="469" t="s">
        <v>1052</v>
      </c>
    </row>
    <row r="3" ht="25.5" customHeight="1">
      <c r="A3" s="468">
        <v>3.0</v>
      </c>
      <c r="B3" s="468" t="s">
        <v>1049</v>
      </c>
      <c r="C3" s="469" t="s">
        <v>1050</v>
      </c>
      <c r="D3" s="469" t="s">
        <v>1051</v>
      </c>
      <c r="E3" s="469" t="s">
        <v>1052</v>
      </c>
    </row>
    <row r="4" ht="25.5" customHeight="1">
      <c r="A4" s="468">
        <v>48.0</v>
      </c>
      <c r="B4" s="468" t="s">
        <v>1060</v>
      </c>
      <c r="C4" s="469" t="s">
        <v>1050</v>
      </c>
      <c r="D4" s="469" t="s">
        <v>1051</v>
      </c>
      <c r="E4" s="469" t="s">
        <v>1061</v>
      </c>
    </row>
    <row r="5" ht="51.0" customHeight="1">
      <c r="A5" s="468">
        <v>5.0</v>
      </c>
      <c r="B5" s="468" t="s">
        <v>10</v>
      </c>
      <c r="C5" s="469" t="s">
        <v>1050</v>
      </c>
      <c r="D5" s="469" t="s">
        <v>1055</v>
      </c>
      <c r="E5" s="469" t="s">
        <v>1233</v>
      </c>
    </row>
    <row r="6" ht="25.5" customHeight="1">
      <c r="A6" s="468">
        <v>4.0</v>
      </c>
      <c r="B6" s="468" t="s">
        <v>1234</v>
      </c>
      <c r="C6" s="469" t="s">
        <v>1050</v>
      </c>
      <c r="D6" s="469" t="s">
        <v>1235</v>
      </c>
      <c r="E6" s="469" t="s">
        <v>1236</v>
      </c>
    </row>
    <row r="7" ht="25.5" customHeight="1">
      <c r="A7" s="468">
        <v>44.0</v>
      </c>
      <c r="B7" s="468" t="s">
        <v>859</v>
      </c>
      <c r="C7" s="469" t="s">
        <v>1050</v>
      </c>
      <c r="D7" s="469" t="s">
        <v>1237</v>
      </c>
      <c r="E7" s="469" t="s">
        <v>1238</v>
      </c>
    </row>
    <row r="8" ht="25.5" customHeight="1">
      <c r="A8" s="468">
        <v>12.0</v>
      </c>
      <c r="B8" s="468" t="s">
        <v>1239</v>
      </c>
      <c r="C8" s="469" t="s">
        <v>1050</v>
      </c>
      <c r="D8" s="469" t="s">
        <v>1240</v>
      </c>
      <c r="E8" s="469" t="s">
        <v>1241</v>
      </c>
    </row>
    <row r="9" ht="25.5" customHeight="1">
      <c r="A9" s="468">
        <v>7.0</v>
      </c>
      <c r="B9" s="468" t="s">
        <v>862</v>
      </c>
      <c r="C9" s="469" t="s">
        <v>1066</v>
      </c>
      <c r="D9" s="469" t="s">
        <v>1071</v>
      </c>
      <c r="E9" s="469" t="s">
        <v>1072</v>
      </c>
    </row>
    <row r="10" ht="25.5" customHeight="1">
      <c r="A10" s="468">
        <v>6.0</v>
      </c>
      <c r="B10" s="468" t="s">
        <v>1242</v>
      </c>
      <c r="C10" s="469" t="s">
        <v>1066</v>
      </c>
      <c r="D10" s="469" t="s">
        <v>1071</v>
      </c>
      <c r="E10" s="469" t="s">
        <v>1243</v>
      </c>
    </row>
    <row r="11" ht="25.5" customHeight="1">
      <c r="A11" s="468">
        <v>41.0</v>
      </c>
      <c r="B11" s="468" t="s">
        <v>1065</v>
      </c>
      <c r="C11" s="469" t="s">
        <v>1066</v>
      </c>
      <c r="D11" s="469" t="s">
        <v>1067</v>
      </c>
      <c r="E11" s="469" t="s">
        <v>1068</v>
      </c>
    </row>
    <row r="12" ht="25.5" customHeight="1">
      <c r="A12" s="468">
        <v>11.0</v>
      </c>
      <c r="B12" s="468" t="s">
        <v>1244</v>
      </c>
      <c r="C12" s="469" t="s">
        <v>1066</v>
      </c>
      <c r="D12" s="469" t="s">
        <v>1067</v>
      </c>
      <c r="E12" s="469" t="s">
        <v>1245</v>
      </c>
    </row>
    <row r="13" ht="25.5" customHeight="1">
      <c r="A13" s="468">
        <v>9.0</v>
      </c>
      <c r="B13" s="468" t="s">
        <v>14</v>
      </c>
      <c r="C13" s="469" t="s">
        <v>1066</v>
      </c>
      <c r="D13" s="469" t="s">
        <v>1246</v>
      </c>
      <c r="E13" s="469" t="s">
        <v>1247</v>
      </c>
    </row>
    <row r="14" ht="25.5" customHeight="1">
      <c r="A14" s="468">
        <v>10.0</v>
      </c>
      <c r="B14" s="468" t="s">
        <v>965</v>
      </c>
      <c r="C14" s="469" t="s">
        <v>1066</v>
      </c>
      <c r="D14" s="469" t="s">
        <v>1248</v>
      </c>
      <c r="E14" s="469" t="s">
        <v>1249</v>
      </c>
    </row>
    <row r="15" ht="38.25" customHeight="1">
      <c r="A15" s="468">
        <v>8.0</v>
      </c>
      <c r="B15" s="468" t="s">
        <v>16</v>
      </c>
      <c r="C15" s="469" t="s">
        <v>1080</v>
      </c>
      <c r="D15" s="469" t="s">
        <v>1081</v>
      </c>
      <c r="E15" s="469" t="s">
        <v>1084</v>
      </c>
    </row>
    <row r="16" ht="38.25" customHeight="1">
      <c r="A16" s="468">
        <v>45.0</v>
      </c>
      <c r="B16" s="468" t="s">
        <v>1093</v>
      </c>
      <c r="C16" s="469" t="s">
        <v>1080</v>
      </c>
      <c r="D16" s="469" t="s">
        <v>1094</v>
      </c>
      <c r="E16" s="469" t="s">
        <v>1095</v>
      </c>
    </row>
    <row r="17" ht="38.25" customHeight="1">
      <c r="A17" s="468">
        <v>42.0</v>
      </c>
      <c r="B17" s="468" t="s">
        <v>1250</v>
      </c>
      <c r="C17" s="469" t="s">
        <v>1080</v>
      </c>
      <c r="D17" s="469" t="s">
        <v>1251</v>
      </c>
      <c r="E17" s="471"/>
    </row>
    <row r="18" ht="25.5" customHeight="1">
      <c r="A18" s="468">
        <v>13.0</v>
      </c>
      <c r="B18" s="468" t="s">
        <v>1252</v>
      </c>
      <c r="C18" s="469" t="s">
        <v>1080</v>
      </c>
      <c r="D18" s="469" t="s">
        <v>1253</v>
      </c>
      <c r="E18" s="469" t="s">
        <v>1254</v>
      </c>
    </row>
    <row r="19" ht="25.5" customHeight="1">
      <c r="A19" s="468">
        <v>14.0</v>
      </c>
      <c r="B19" s="468" t="s">
        <v>1255</v>
      </c>
      <c r="C19" s="469" t="s">
        <v>1080</v>
      </c>
      <c r="D19" s="469" t="s">
        <v>1100</v>
      </c>
      <c r="E19" s="469" t="s">
        <v>1256</v>
      </c>
    </row>
    <row r="20" ht="38.25" customHeight="1">
      <c r="A20" s="468">
        <v>15.0</v>
      </c>
      <c r="B20" s="468" t="s">
        <v>886</v>
      </c>
      <c r="C20" s="469" t="s">
        <v>1107</v>
      </c>
      <c r="D20" s="469" t="s">
        <v>1115</v>
      </c>
      <c r="E20" s="469" t="s">
        <v>1257</v>
      </c>
    </row>
    <row r="21" ht="51.0" customHeight="1">
      <c r="A21" s="468">
        <v>18.0</v>
      </c>
      <c r="B21" s="468" t="s">
        <v>893</v>
      </c>
      <c r="C21" s="469" t="s">
        <v>1107</v>
      </c>
      <c r="D21" s="469" t="s">
        <v>1121</v>
      </c>
      <c r="E21" s="469" t="s">
        <v>1258</v>
      </c>
    </row>
    <row r="22" ht="51.0" customHeight="1">
      <c r="A22" s="468">
        <v>47.0</v>
      </c>
      <c r="B22" s="468" t="s">
        <v>24</v>
      </c>
      <c r="C22" s="469" t="s">
        <v>1107</v>
      </c>
      <c r="D22" s="469" t="s">
        <v>1121</v>
      </c>
      <c r="E22" s="469" t="s">
        <v>1122</v>
      </c>
    </row>
    <row r="23" ht="51.0" customHeight="1">
      <c r="A23" s="468">
        <v>17.0</v>
      </c>
      <c r="B23" s="468" t="s">
        <v>971</v>
      </c>
      <c r="C23" s="469" t="s">
        <v>1107</v>
      </c>
      <c r="D23" s="469" t="s">
        <v>1121</v>
      </c>
      <c r="E23" s="469" t="s">
        <v>1259</v>
      </c>
    </row>
    <row r="24" ht="51.0" customHeight="1">
      <c r="A24" s="468">
        <v>16.0</v>
      </c>
      <c r="B24" s="468" t="s">
        <v>25</v>
      </c>
      <c r="C24" s="469" t="s">
        <v>1107</v>
      </c>
      <c r="D24" s="469" t="s">
        <v>1222</v>
      </c>
      <c r="E24" s="469" t="s">
        <v>1223</v>
      </c>
    </row>
    <row r="25" ht="38.25" customHeight="1">
      <c r="A25" s="468">
        <v>19.0</v>
      </c>
      <c r="B25" s="468" t="s">
        <v>27</v>
      </c>
      <c r="C25" s="469" t="s">
        <v>1107</v>
      </c>
      <c r="D25" s="469" t="s">
        <v>1126</v>
      </c>
      <c r="E25" s="469" t="s">
        <v>1127</v>
      </c>
    </row>
    <row r="26" ht="38.25" customHeight="1">
      <c r="A26" s="468">
        <v>20.0</v>
      </c>
      <c r="B26" s="468" t="s">
        <v>26</v>
      </c>
      <c r="C26" s="469" t="s">
        <v>1107</v>
      </c>
      <c r="D26" s="469" t="s">
        <v>1126</v>
      </c>
      <c r="E26" s="469" t="s">
        <v>1260</v>
      </c>
    </row>
    <row r="27" ht="25.5" customHeight="1">
      <c r="A27" s="468">
        <v>46.0</v>
      </c>
      <c r="B27" s="468" t="s">
        <v>1134</v>
      </c>
      <c r="C27" s="469" t="s">
        <v>1130</v>
      </c>
      <c r="D27" s="469" t="s">
        <v>1135</v>
      </c>
      <c r="E27" s="469" t="s">
        <v>1136</v>
      </c>
    </row>
    <row r="28" ht="25.5" customHeight="1">
      <c r="A28" s="468">
        <v>22.0</v>
      </c>
      <c r="B28" s="468" t="s">
        <v>907</v>
      </c>
      <c r="C28" s="469" t="s">
        <v>1130</v>
      </c>
      <c r="D28" s="469" t="s">
        <v>1261</v>
      </c>
      <c r="E28" s="469" t="s">
        <v>1262</v>
      </c>
    </row>
    <row r="29" ht="51.0" customHeight="1">
      <c r="A29" s="468">
        <v>21.0</v>
      </c>
      <c r="B29" s="468" t="s">
        <v>30</v>
      </c>
      <c r="C29" s="469" t="s">
        <v>1130</v>
      </c>
      <c r="D29" s="469" t="s">
        <v>1131</v>
      </c>
      <c r="E29" s="469" t="s">
        <v>1132</v>
      </c>
    </row>
    <row r="30">
      <c r="A30" s="468">
        <v>23.0</v>
      </c>
      <c r="B30" s="468" t="s">
        <v>871</v>
      </c>
      <c r="C30" s="469" t="s">
        <v>1130</v>
      </c>
      <c r="D30" s="469" t="s">
        <v>1140</v>
      </c>
      <c r="E30" s="469" t="s">
        <v>1263</v>
      </c>
    </row>
    <row r="31" ht="51.0" customHeight="1">
      <c r="A31" s="468">
        <v>29.0</v>
      </c>
      <c r="B31" s="468" t="s">
        <v>33</v>
      </c>
      <c r="C31" s="469" t="s">
        <v>1130</v>
      </c>
      <c r="D31" s="469" t="s">
        <v>1264</v>
      </c>
      <c r="E31" s="469" t="s">
        <v>1265</v>
      </c>
    </row>
    <row r="32">
      <c r="A32" s="468">
        <v>31.0</v>
      </c>
      <c r="B32" s="468" t="s">
        <v>1266</v>
      </c>
      <c r="C32" s="469" t="s">
        <v>1130</v>
      </c>
      <c r="D32" s="469" t="s">
        <v>1264</v>
      </c>
      <c r="E32" s="469" t="s">
        <v>1267</v>
      </c>
    </row>
    <row r="33">
      <c r="A33" s="468">
        <v>27.0</v>
      </c>
      <c r="B33" s="468" t="s">
        <v>34</v>
      </c>
      <c r="C33" s="469" t="s">
        <v>1130</v>
      </c>
      <c r="D33" s="469" t="s">
        <v>1268</v>
      </c>
      <c r="E33" s="469" t="s">
        <v>1269</v>
      </c>
    </row>
    <row r="34" ht="25.5" customHeight="1">
      <c r="A34" s="468">
        <v>28.0</v>
      </c>
      <c r="B34" s="468" t="s">
        <v>1270</v>
      </c>
      <c r="C34" s="469" t="s">
        <v>1145</v>
      </c>
      <c r="D34" s="469" t="s">
        <v>1146</v>
      </c>
      <c r="E34" s="469" t="s">
        <v>1271</v>
      </c>
    </row>
    <row r="35" ht="25.5" customHeight="1">
      <c r="A35" s="468">
        <v>30.0</v>
      </c>
      <c r="B35" s="468" t="s">
        <v>56</v>
      </c>
      <c r="C35" s="469" t="s">
        <v>1145</v>
      </c>
      <c r="D35" s="469" t="s">
        <v>1146</v>
      </c>
      <c r="E35" s="469" t="s">
        <v>1168</v>
      </c>
    </row>
    <row r="36" ht="25.5" customHeight="1">
      <c r="A36" s="468">
        <v>25.0</v>
      </c>
      <c r="B36" s="468" t="s">
        <v>1159</v>
      </c>
      <c r="C36" s="469" t="s">
        <v>1145</v>
      </c>
      <c r="D36" s="469" t="s">
        <v>1152</v>
      </c>
      <c r="E36" s="469" t="s">
        <v>1160</v>
      </c>
    </row>
    <row r="37">
      <c r="A37" s="468">
        <v>49.0</v>
      </c>
      <c r="B37" s="468" t="s">
        <v>41</v>
      </c>
      <c r="C37" s="469" t="s">
        <v>1145</v>
      </c>
      <c r="D37" s="469" t="s">
        <v>1164</v>
      </c>
      <c r="E37" s="469" t="s">
        <v>1052</v>
      </c>
    </row>
    <row r="38" ht="25.5" customHeight="1">
      <c r="A38" s="468">
        <v>50.0</v>
      </c>
      <c r="B38" s="468" t="s">
        <v>1166</v>
      </c>
      <c r="C38" s="469" t="s">
        <v>1145</v>
      </c>
      <c r="D38" s="469" t="s">
        <v>1164</v>
      </c>
      <c r="E38" s="469" t="s">
        <v>1167</v>
      </c>
    </row>
    <row r="39" ht="51.0" customHeight="1">
      <c r="A39" s="468">
        <v>33.0</v>
      </c>
      <c r="B39" s="468" t="s">
        <v>1272</v>
      </c>
      <c r="C39" s="469" t="s">
        <v>1145</v>
      </c>
      <c r="D39" s="469" t="s">
        <v>1164</v>
      </c>
      <c r="E39" s="469" t="s">
        <v>1273</v>
      </c>
    </row>
    <row r="40">
      <c r="A40" s="468">
        <v>32.0</v>
      </c>
      <c r="B40" s="468" t="s">
        <v>1274</v>
      </c>
      <c r="C40" s="469" t="s">
        <v>1145</v>
      </c>
      <c r="D40" s="469" t="s">
        <v>1164</v>
      </c>
      <c r="E40" s="469" t="s">
        <v>1275</v>
      </c>
    </row>
    <row r="41">
      <c r="A41" s="468">
        <v>38.0</v>
      </c>
      <c r="B41" s="468" t="s">
        <v>1169</v>
      </c>
      <c r="C41" s="469" t="s">
        <v>1170</v>
      </c>
      <c r="D41" s="469" t="s">
        <v>1171</v>
      </c>
      <c r="E41" s="469" t="s">
        <v>1172</v>
      </c>
    </row>
    <row r="42" ht="38.25" customHeight="1">
      <c r="A42" s="468">
        <v>37.0</v>
      </c>
      <c r="B42" s="468" t="s">
        <v>43</v>
      </c>
      <c r="C42" s="469" t="s">
        <v>1276</v>
      </c>
      <c r="D42" s="469" t="s">
        <v>1277</v>
      </c>
      <c r="E42" s="469" t="s">
        <v>1278</v>
      </c>
    </row>
    <row r="43" ht="38.25" customHeight="1">
      <c r="A43" s="468">
        <v>24.0</v>
      </c>
      <c r="B43" s="468" t="s">
        <v>927</v>
      </c>
      <c r="C43" s="469" t="s">
        <v>1173</v>
      </c>
      <c r="D43" s="469" t="s">
        <v>1174</v>
      </c>
      <c r="E43" s="469" t="s">
        <v>1175</v>
      </c>
    </row>
    <row r="44">
      <c r="A44" s="468">
        <v>35.0</v>
      </c>
      <c r="B44" s="468" t="s">
        <v>40</v>
      </c>
      <c r="C44" s="469" t="s">
        <v>1279</v>
      </c>
      <c r="D44" s="469" t="s">
        <v>1178</v>
      </c>
      <c r="E44" s="469" t="s">
        <v>1280</v>
      </c>
    </row>
    <row r="45" ht="25.5" customHeight="1">
      <c r="A45" s="468">
        <v>36.0</v>
      </c>
      <c r="B45" s="468" t="s">
        <v>38</v>
      </c>
      <c r="C45" s="469" t="s">
        <v>1177</v>
      </c>
      <c r="D45" s="469" t="s">
        <v>1178</v>
      </c>
      <c r="E45" s="469" t="s">
        <v>1179</v>
      </c>
    </row>
    <row r="46" ht="25.5" customHeight="1">
      <c r="A46" s="468">
        <v>34.0</v>
      </c>
      <c r="B46" s="468" t="s">
        <v>1281</v>
      </c>
      <c r="C46" s="469" t="s">
        <v>1282</v>
      </c>
      <c r="D46" s="469" t="s">
        <v>1187</v>
      </c>
      <c r="E46" s="469" t="s">
        <v>1283</v>
      </c>
    </row>
    <row r="47" ht="38.25" customHeight="1">
      <c r="A47" s="468">
        <v>39.0</v>
      </c>
      <c r="B47" s="468" t="s">
        <v>1188</v>
      </c>
      <c r="C47" s="469" t="s">
        <v>1189</v>
      </c>
      <c r="D47" s="469" t="s">
        <v>1187</v>
      </c>
      <c r="E47" s="469" t="s">
        <v>1190</v>
      </c>
    </row>
    <row r="48" ht="25.5" customHeight="1">
      <c r="A48" s="468">
        <v>40.0</v>
      </c>
      <c r="B48" s="468" t="s">
        <v>1284</v>
      </c>
      <c r="C48" s="469" t="s">
        <v>1285</v>
      </c>
      <c r="D48" s="469" t="s">
        <v>1187</v>
      </c>
      <c r="E48" s="469" t="s">
        <v>1286</v>
      </c>
    </row>
    <row r="49" ht="38.25" customHeight="1">
      <c r="A49" s="468">
        <v>43.0</v>
      </c>
      <c r="B49" s="468" t="s">
        <v>1287</v>
      </c>
      <c r="C49" s="469" t="s">
        <v>1193</v>
      </c>
      <c r="D49" s="469" t="s">
        <v>1194</v>
      </c>
      <c r="E49" s="469" t="s">
        <v>1288</v>
      </c>
    </row>
    <row r="50" ht="51.0" customHeight="1">
      <c r="A50" s="468">
        <v>2.0</v>
      </c>
      <c r="B50" s="468" t="s">
        <v>1044</v>
      </c>
      <c r="C50" s="469" t="s">
        <v>1045</v>
      </c>
      <c r="D50" s="469" t="s">
        <v>1046</v>
      </c>
      <c r="E50" s="469" t="s">
        <v>1047</v>
      </c>
    </row>
    <row r="51">
      <c r="A51" s="468">
        <v>26.0</v>
      </c>
      <c r="B51" s="468" t="s">
        <v>1214</v>
      </c>
      <c r="C51" s="469" t="s">
        <v>1045</v>
      </c>
      <c r="D51" s="469" t="s">
        <v>1210</v>
      </c>
      <c r="E51" s="469" t="s">
        <v>1216</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63"/>
    <col customWidth="1" min="2" max="2" width="6.5"/>
    <col customWidth="1" min="3" max="3" width="20.25"/>
    <col customWidth="1" min="4" max="4" width="28.75"/>
    <col customWidth="1" min="5" max="5" width="41.25"/>
  </cols>
  <sheetData>
    <row r="1" ht="15.0" customHeight="1">
      <c r="A1" s="441" t="s">
        <v>0</v>
      </c>
      <c r="B1" s="441" t="s">
        <v>1</v>
      </c>
      <c r="C1" s="466" t="s">
        <v>2</v>
      </c>
      <c r="D1" s="466" t="s">
        <v>799</v>
      </c>
      <c r="E1" s="466" t="s">
        <v>1037</v>
      </c>
    </row>
    <row r="2" ht="38.25" customHeight="1">
      <c r="A2" s="468" t="s">
        <v>1203</v>
      </c>
      <c r="B2" s="468" t="s">
        <v>1196</v>
      </c>
      <c r="C2" s="469" t="s">
        <v>1193</v>
      </c>
      <c r="D2" s="469" t="s">
        <v>1197</v>
      </c>
      <c r="E2" s="469" t="s">
        <v>1198</v>
      </c>
    </row>
    <row r="3" ht="43.5" customHeight="1">
      <c r="A3" s="468" t="s">
        <v>1208</v>
      </c>
      <c r="B3" s="468" t="s">
        <v>1154</v>
      </c>
      <c r="C3" s="469" t="s">
        <v>1145</v>
      </c>
      <c r="D3" s="469" t="s">
        <v>1152</v>
      </c>
      <c r="E3" s="469" t="s">
        <v>1155</v>
      </c>
    </row>
    <row r="4" ht="25.5" customHeight="1">
      <c r="A4" s="468" t="s">
        <v>1215</v>
      </c>
      <c r="B4" s="468" t="s">
        <v>1154</v>
      </c>
      <c r="C4" s="469" t="s">
        <v>1145</v>
      </c>
      <c r="D4" s="469" t="s">
        <v>1152</v>
      </c>
      <c r="E4" s="469" t="s">
        <v>1155</v>
      </c>
    </row>
    <row r="5" ht="37.5" customHeight="1">
      <c r="A5" s="468" t="s">
        <v>1289</v>
      </c>
      <c r="B5" s="468" t="s">
        <v>1154</v>
      </c>
      <c r="C5" s="469" t="s">
        <v>1145</v>
      </c>
      <c r="D5" s="469" t="s">
        <v>1152</v>
      </c>
      <c r="E5" s="469" t="s">
        <v>1155</v>
      </c>
    </row>
    <row r="6" ht="37.5" customHeight="1">
      <c r="A6" s="468" t="s">
        <v>1290</v>
      </c>
      <c r="B6" s="468" t="s">
        <v>1154</v>
      </c>
      <c r="C6" s="469" t="s">
        <v>1145</v>
      </c>
      <c r="D6" s="469" t="s">
        <v>1152</v>
      </c>
      <c r="E6" s="469" t="s">
        <v>1155</v>
      </c>
    </row>
    <row r="7" ht="25.5" customHeight="1">
      <c r="A7" s="468" t="s">
        <v>1291</v>
      </c>
      <c r="B7" s="468" t="s">
        <v>1214</v>
      </c>
      <c r="C7" s="469" t="s">
        <v>1045</v>
      </c>
      <c r="D7" s="469" t="s">
        <v>1210</v>
      </c>
      <c r="E7" s="469" t="s">
        <v>1216</v>
      </c>
    </row>
    <row r="8" ht="25.5" customHeight="1">
      <c r="A8" s="468" t="s">
        <v>1292</v>
      </c>
      <c r="B8" s="468" t="s">
        <v>1214</v>
      </c>
      <c r="C8" s="469" t="s">
        <v>1045</v>
      </c>
      <c r="D8" s="469" t="s">
        <v>1210</v>
      </c>
      <c r="E8" s="469" t="s">
        <v>1216</v>
      </c>
    </row>
    <row r="9" ht="39.0" customHeight="1">
      <c r="A9" s="468" t="s">
        <v>1293</v>
      </c>
      <c r="B9" s="468" t="s">
        <v>1214</v>
      </c>
      <c r="C9" s="469" t="s">
        <v>1045</v>
      </c>
      <c r="D9" s="469" t="s">
        <v>1210</v>
      </c>
      <c r="E9" s="469" t="s">
        <v>1216</v>
      </c>
    </row>
    <row r="10" ht="32.25" customHeight="1">
      <c r="A10" s="468" t="s">
        <v>1294</v>
      </c>
      <c r="B10" s="468" t="s">
        <v>1214</v>
      </c>
      <c r="C10" s="469" t="s">
        <v>1045</v>
      </c>
      <c r="D10" s="469" t="s">
        <v>1210</v>
      </c>
      <c r="E10" s="469" t="s">
        <v>1216</v>
      </c>
    </row>
    <row r="11" ht="40.5" customHeight="1">
      <c r="A11" s="468" t="s">
        <v>1295</v>
      </c>
      <c r="B11" s="468" t="s">
        <v>1214</v>
      </c>
      <c r="C11" s="469" t="s">
        <v>1045</v>
      </c>
      <c r="D11" s="469" t="s">
        <v>1210</v>
      </c>
      <c r="E11" s="469" t="s">
        <v>1216</v>
      </c>
    </row>
    <row r="12" ht="25.5" customHeight="1">
      <c r="A12" s="468" t="s">
        <v>1226</v>
      </c>
      <c r="B12" s="468" t="s">
        <v>1296</v>
      </c>
      <c r="C12" s="469" t="s">
        <v>1045</v>
      </c>
      <c r="D12" s="469" t="s">
        <v>1210</v>
      </c>
      <c r="E12" s="469" t="s">
        <v>1297</v>
      </c>
    </row>
    <row r="13" ht="25.5" customHeight="1">
      <c r="A13" s="468" t="s">
        <v>1298</v>
      </c>
      <c r="B13" s="468" t="s">
        <v>38</v>
      </c>
      <c r="C13" s="469" t="s">
        <v>1177</v>
      </c>
      <c r="D13" s="469" t="s">
        <v>1178</v>
      </c>
      <c r="E13" s="469" t="s">
        <v>1179</v>
      </c>
    </row>
    <row r="14" ht="25.5" customHeight="1">
      <c r="A14" s="468" t="s">
        <v>1299</v>
      </c>
      <c r="B14" s="468" t="s">
        <v>38</v>
      </c>
      <c r="C14" s="469" t="s">
        <v>1177</v>
      </c>
      <c r="D14" s="469" t="s">
        <v>1178</v>
      </c>
      <c r="E14" s="469" t="s">
        <v>1179</v>
      </c>
    </row>
    <row r="15" ht="25.5" customHeight="1">
      <c r="A15" s="468" t="s">
        <v>1228</v>
      </c>
      <c r="B15" s="468" t="s">
        <v>38</v>
      </c>
      <c r="C15" s="469" t="s">
        <v>1177</v>
      </c>
      <c r="D15" s="469" t="s">
        <v>1178</v>
      </c>
      <c r="E15" s="469" t="s">
        <v>1179</v>
      </c>
    </row>
    <row r="16" ht="25.5" customHeight="1">
      <c r="A16" s="468" t="s">
        <v>1300</v>
      </c>
      <c r="B16" s="468" t="s">
        <v>1214</v>
      </c>
      <c r="C16" s="469" t="s">
        <v>1045</v>
      </c>
      <c r="D16" s="469" t="s">
        <v>1210</v>
      </c>
      <c r="E16" s="469" t="s">
        <v>1216</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8.75"/>
    <col customWidth="1" min="2" max="2" width="7.38"/>
    <col customWidth="1" min="3" max="3" width="39.13"/>
    <col customWidth="1" min="4" max="4" width="28.5"/>
    <col customWidth="1" min="5" max="5" width="27.5"/>
    <col customWidth="1" min="6" max="6" width="44.25"/>
  </cols>
  <sheetData>
    <row r="1" ht="15.0" customHeight="1">
      <c r="A1" s="467" t="s">
        <v>1301</v>
      </c>
      <c r="B1" s="467" t="s">
        <v>1</v>
      </c>
      <c r="C1" s="467" t="s">
        <v>2</v>
      </c>
      <c r="D1" s="467" t="s">
        <v>799</v>
      </c>
      <c r="E1" s="467" t="s">
        <v>1037</v>
      </c>
      <c r="F1" s="467" t="s">
        <v>450</v>
      </c>
    </row>
    <row r="2">
      <c r="A2" s="469">
        <v>50.0</v>
      </c>
      <c r="B2" s="469">
        <v>2.3</v>
      </c>
      <c r="C2" s="471"/>
      <c r="D2" s="471"/>
      <c r="E2" s="471"/>
      <c r="F2" s="471"/>
    </row>
    <row r="3" ht="25.5" customHeight="1">
      <c r="A3" s="469">
        <v>1.0</v>
      </c>
      <c r="B3" s="469" t="s">
        <v>1049</v>
      </c>
      <c r="C3" s="469" t="s">
        <v>1302</v>
      </c>
      <c r="D3" s="469" t="s">
        <v>1303</v>
      </c>
      <c r="E3" s="469" t="s">
        <v>1304</v>
      </c>
      <c r="F3" s="469" t="s">
        <v>1305</v>
      </c>
    </row>
    <row r="4" ht="25.5" customHeight="1">
      <c r="A4" s="469">
        <v>2.0</v>
      </c>
      <c r="B4" s="469" t="s">
        <v>1049</v>
      </c>
      <c r="C4" s="469" t="s">
        <v>1302</v>
      </c>
      <c r="D4" s="469" t="s">
        <v>1303</v>
      </c>
      <c r="E4" s="469" t="s">
        <v>1304</v>
      </c>
      <c r="F4" s="469" t="s">
        <v>1305</v>
      </c>
    </row>
    <row r="5" ht="25.5" customHeight="1">
      <c r="A5" s="469">
        <v>3.0</v>
      </c>
      <c r="B5" s="469" t="s">
        <v>1049</v>
      </c>
      <c r="C5" s="469" t="s">
        <v>1302</v>
      </c>
      <c r="D5" s="469" t="s">
        <v>1303</v>
      </c>
      <c r="E5" s="469" t="s">
        <v>1304</v>
      </c>
      <c r="F5" s="469" t="s">
        <v>1305</v>
      </c>
    </row>
    <row r="6" ht="89.25" customHeight="1">
      <c r="A6" s="469">
        <v>4.0</v>
      </c>
      <c r="B6" s="469" t="s">
        <v>10</v>
      </c>
      <c r="C6" s="469" t="s">
        <v>1302</v>
      </c>
      <c r="D6" s="469" t="s">
        <v>1306</v>
      </c>
      <c r="E6" s="469" t="s">
        <v>1307</v>
      </c>
      <c r="F6" s="469" t="s">
        <v>1308</v>
      </c>
    </row>
    <row r="7" ht="63.75" customHeight="1">
      <c r="A7" s="469">
        <v>5.0</v>
      </c>
      <c r="B7" s="469" t="s">
        <v>859</v>
      </c>
      <c r="C7" s="469" t="s">
        <v>1302</v>
      </c>
      <c r="D7" s="469" t="s">
        <v>1309</v>
      </c>
      <c r="E7" s="469" t="s">
        <v>1310</v>
      </c>
      <c r="F7" s="469" t="s">
        <v>1311</v>
      </c>
    </row>
    <row r="8" ht="63.75" customHeight="1">
      <c r="A8" s="469">
        <v>6.0</v>
      </c>
      <c r="B8" s="469" t="s">
        <v>859</v>
      </c>
      <c r="C8" s="469" t="s">
        <v>1302</v>
      </c>
      <c r="D8" s="469" t="s">
        <v>1309</v>
      </c>
      <c r="E8" s="469" t="s">
        <v>1310</v>
      </c>
      <c r="F8" s="469" t="s">
        <v>1311</v>
      </c>
    </row>
    <row r="9" ht="25.5" customHeight="1">
      <c r="A9" s="469">
        <v>8.0</v>
      </c>
      <c r="B9" s="469" t="s">
        <v>862</v>
      </c>
      <c r="C9" s="469" t="s">
        <v>1312</v>
      </c>
      <c r="D9" s="469" t="s">
        <v>1071</v>
      </c>
      <c r="E9" s="469" t="s">
        <v>1313</v>
      </c>
      <c r="F9" s="469" t="s">
        <v>1314</v>
      </c>
    </row>
    <row r="10">
      <c r="A10" s="469">
        <v>49.0</v>
      </c>
      <c r="B10" s="469" t="s">
        <v>1315</v>
      </c>
      <c r="C10" s="471"/>
      <c r="D10" s="471"/>
      <c r="E10" s="471"/>
      <c r="F10" s="471"/>
    </row>
    <row r="11" ht="25.5" customHeight="1">
      <c r="A11" s="469">
        <v>7.0</v>
      </c>
      <c r="B11" s="469" t="s">
        <v>1316</v>
      </c>
      <c r="C11" s="469" t="s">
        <v>1312</v>
      </c>
      <c r="D11" s="469" t="s">
        <v>1067</v>
      </c>
      <c r="E11" s="469" t="s">
        <v>1317</v>
      </c>
      <c r="F11" s="469" t="s">
        <v>1305</v>
      </c>
    </row>
    <row r="12" ht="76.5" customHeight="1">
      <c r="A12" s="469">
        <v>9.0</v>
      </c>
      <c r="B12" s="469" t="s">
        <v>14</v>
      </c>
      <c r="C12" s="469" t="s">
        <v>1312</v>
      </c>
      <c r="D12" s="469" t="s">
        <v>1318</v>
      </c>
      <c r="E12" s="469" t="s">
        <v>1319</v>
      </c>
      <c r="F12" s="469" t="s">
        <v>1320</v>
      </c>
    </row>
    <row r="13" ht="25.5" customHeight="1">
      <c r="A13" s="469">
        <v>45.0</v>
      </c>
      <c r="B13" s="469" t="s">
        <v>1321</v>
      </c>
      <c r="C13" s="469" t="s">
        <v>1312</v>
      </c>
      <c r="D13" s="469" t="s">
        <v>1248</v>
      </c>
      <c r="E13" s="469" t="s">
        <v>1322</v>
      </c>
      <c r="F13" s="469" t="s">
        <v>1323</v>
      </c>
    </row>
    <row r="14" ht="25.5" customHeight="1">
      <c r="A14" s="469">
        <v>46.0</v>
      </c>
      <c r="B14" s="469" t="s">
        <v>1324</v>
      </c>
      <c r="C14" s="469" t="s">
        <v>1312</v>
      </c>
      <c r="D14" s="469" t="s">
        <v>1248</v>
      </c>
      <c r="E14" s="469" t="s">
        <v>1325</v>
      </c>
      <c r="F14" s="469" t="s">
        <v>1326</v>
      </c>
    </row>
    <row r="15" ht="25.5" customHeight="1">
      <c r="A15" s="469">
        <v>13.0</v>
      </c>
      <c r="B15" s="469" t="s">
        <v>18</v>
      </c>
      <c r="C15" s="469" t="s">
        <v>1312</v>
      </c>
      <c r="D15" s="469" t="s">
        <v>1248</v>
      </c>
      <c r="E15" s="469" t="s">
        <v>1327</v>
      </c>
      <c r="F15" s="471"/>
    </row>
    <row r="16" ht="25.5" customHeight="1">
      <c r="A16" s="469">
        <v>10.0</v>
      </c>
      <c r="B16" s="469" t="s">
        <v>1328</v>
      </c>
      <c r="C16" s="469" t="s">
        <v>1312</v>
      </c>
      <c r="D16" s="469" t="s">
        <v>1329</v>
      </c>
      <c r="E16" s="469" t="s">
        <v>1330</v>
      </c>
      <c r="F16" s="469" t="s">
        <v>1331</v>
      </c>
    </row>
    <row r="17" ht="38.25" customHeight="1">
      <c r="A17" s="469">
        <v>11.0</v>
      </c>
      <c r="B17" s="469" t="s">
        <v>1085</v>
      </c>
      <c r="C17" s="469" t="s">
        <v>1332</v>
      </c>
      <c r="D17" s="469" t="s">
        <v>1333</v>
      </c>
      <c r="E17" s="469" t="s">
        <v>1087</v>
      </c>
      <c r="F17" s="469" t="s">
        <v>1315</v>
      </c>
    </row>
    <row r="18" ht="25.5" customHeight="1">
      <c r="A18" s="469">
        <v>12.0</v>
      </c>
      <c r="B18" s="469" t="s">
        <v>17</v>
      </c>
      <c r="C18" s="469" t="s">
        <v>1332</v>
      </c>
      <c r="D18" s="469" t="s">
        <v>1334</v>
      </c>
      <c r="E18" s="469" t="s">
        <v>1335</v>
      </c>
      <c r="F18" s="469" t="s">
        <v>1336</v>
      </c>
    </row>
    <row r="19" ht="25.5" customHeight="1">
      <c r="A19" s="469">
        <v>15.0</v>
      </c>
      <c r="B19" s="469" t="s">
        <v>53</v>
      </c>
      <c r="C19" s="469" t="s">
        <v>1332</v>
      </c>
      <c r="D19" s="469" t="s">
        <v>1337</v>
      </c>
      <c r="E19" s="469" t="s">
        <v>1338</v>
      </c>
      <c r="F19" s="469" t="s">
        <v>1339</v>
      </c>
    </row>
    <row r="20">
      <c r="A20" s="469">
        <v>14.0</v>
      </c>
      <c r="B20" s="469" t="s">
        <v>54</v>
      </c>
      <c r="C20" s="469" t="s">
        <v>1332</v>
      </c>
      <c r="D20" s="469" t="s">
        <v>1337</v>
      </c>
      <c r="E20" s="469" t="s">
        <v>1340</v>
      </c>
      <c r="F20" s="469" t="s">
        <v>1341</v>
      </c>
    </row>
    <row r="21" ht="25.5" customHeight="1">
      <c r="A21" s="469">
        <v>16.0</v>
      </c>
      <c r="B21" s="469" t="s">
        <v>1118</v>
      </c>
      <c r="C21" s="469" t="s">
        <v>1342</v>
      </c>
      <c r="D21" s="469" t="s">
        <v>1343</v>
      </c>
      <c r="E21" s="469" t="s">
        <v>1344</v>
      </c>
      <c r="F21" s="469" t="s">
        <v>1345</v>
      </c>
    </row>
    <row r="22" ht="63.75" customHeight="1">
      <c r="A22" s="469">
        <v>18.0</v>
      </c>
      <c r="B22" s="469" t="s">
        <v>1124</v>
      </c>
      <c r="C22" s="469" t="s">
        <v>1342</v>
      </c>
      <c r="D22" s="469" t="s">
        <v>1346</v>
      </c>
      <c r="E22" s="469" t="s">
        <v>1347</v>
      </c>
      <c r="F22" s="469" t="s">
        <v>1348</v>
      </c>
    </row>
    <row r="23" ht="63.75" customHeight="1">
      <c r="A23" s="469">
        <v>17.0</v>
      </c>
      <c r="B23" s="469" t="s">
        <v>1349</v>
      </c>
      <c r="C23" s="469" t="s">
        <v>1342</v>
      </c>
      <c r="D23" s="469" t="s">
        <v>1346</v>
      </c>
      <c r="E23" s="469" t="s">
        <v>1350</v>
      </c>
      <c r="F23" s="469" t="s">
        <v>1351</v>
      </c>
    </row>
    <row r="24" ht="63.75" customHeight="1">
      <c r="A24" s="469">
        <v>19.0</v>
      </c>
      <c r="B24" s="469" t="s">
        <v>893</v>
      </c>
      <c r="C24" s="469" t="s">
        <v>1342</v>
      </c>
      <c r="D24" s="469" t="s">
        <v>1346</v>
      </c>
      <c r="E24" s="469" t="s">
        <v>1258</v>
      </c>
      <c r="F24" s="469" t="s">
        <v>1352</v>
      </c>
    </row>
    <row r="25" ht="51.0" customHeight="1">
      <c r="A25" s="469">
        <v>20.0</v>
      </c>
      <c r="B25" s="469" t="s">
        <v>25</v>
      </c>
      <c r="C25" s="469" t="s">
        <v>1342</v>
      </c>
      <c r="D25" s="469" t="s">
        <v>1222</v>
      </c>
      <c r="E25" s="469" t="s">
        <v>1353</v>
      </c>
      <c r="F25" s="469" t="s">
        <v>1354</v>
      </c>
    </row>
    <row r="26" ht="38.25" customHeight="1">
      <c r="A26" s="469">
        <v>21.0</v>
      </c>
      <c r="B26" s="469" t="s">
        <v>1355</v>
      </c>
      <c r="C26" s="469" t="s">
        <v>1342</v>
      </c>
      <c r="D26" s="469" t="s">
        <v>1126</v>
      </c>
      <c r="E26" s="469" t="s">
        <v>1356</v>
      </c>
      <c r="F26" s="469" t="s">
        <v>1357</v>
      </c>
    </row>
    <row r="27" ht="38.25" customHeight="1">
      <c r="A27" s="469">
        <v>22.0</v>
      </c>
      <c r="B27" s="469" t="s">
        <v>26</v>
      </c>
      <c r="C27" s="469" t="s">
        <v>1342</v>
      </c>
      <c r="D27" s="469" t="s">
        <v>1126</v>
      </c>
      <c r="E27" s="469" t="s">
        <v>1358</v>
      </c>
      <c r="F27" s="469" t="s">
        <v>1359</v>
      </c>
    </row>
    <row r="28" ht="51.0" customHeight="1">
      <c r="A28" s="469">
        <v>23.0</v>
      </c>
      <c r="B28" s="469" t="s">
        <v>30</v>
      </c>
      <c r="C28" s="469" t="s">
        <v>1360</v>
      </c>
      <c r="D28" s="469" t="s">
        <v>1361</v>
      </c>
      <c r="E28" s="469" t="s">
        <v>1132</v>
      </c>
      <c r="F28" s="469" t="s">
        <v>1362</v>
      </c>
    </row>
    <row r="29">
      <c r="A29" s="469">
        <v>27.0</v>
      </c>
      <c r="B29" s="469" t="s">
        <v>31</v>
      </c>
      <c r="C29" s="469" t="s">
        <v>1360</v>
      </c>
      <c r="D29" s="469" t="s">
        <v>1363</v>
      </c>
      <c r="E29" s="469" t="s">
        <v>1317</v>
      </c>
      <c r="F29" s="469" t="s">
        <v>1305</v>
      </c>
    </row>
    <row r="30">
      <c r="A30" s="469">
        <v>40.0</v>
      </c>
      <c r="B30" s="469" t="s">
        <v>1364</v>
      </c>
      <c r="C30" s="469" t="s">
        <v>1360</v>
      </c>
      <c r="D30" s="469" t="s">
        <v>1363</v>
      </c>
      <c r="E30" s="469" t="s">
        <v>1365</v>
      </c>
      <c r="F30" s="469" t="s">
        <v>1366</v>
      </c>
    </row>
    <row r="31" ht="165.75" customHeight="1">
      <c r="A31" s="469">
        <v>44.0</v>
      </c>
      <c r="B31" s="469" t="s">
        <v>1367</v>
      </c>
      <c r="C31" s="469" t="s">
        <v>1360</v>
      </c>
      <c r="D31" s="469" t="s">
        <v>1363</v>
      </c>
      <c r="E31" s="469" t="s">
        <v>1368</v>
      </c>
      <c r="F31" s="469" t="s">
        <v>1369</v>
      </c>
    </row>
    <row r="32" ht="25.5" customHeight="1">
      <c r="A32" s="469">
        <v>25.0</v>
      </c>
      <c r="B32" s="469" t="s">
        <v>32</v>
      </c>
      <c r="C32" s="469" t="s">
        <v>1360</v>
      </c>
      <c r="D32" s="469" t="s">
        <v>1363</v>
      </c>
      <c r="E32" s="469" t="s">
        <v>1370</v>
      </c>
      <c r="F32" s="469" t="s">
        <v>1371</v>
      </c>
    </row>
    <row r="33" ht="51.0" customHeight="1">
      <c r="A33" s="469">
        <v>26.0</v>
      </c>
      <c r="B33" s="469" t="s">
        <v>33</v>
      </c>
      <c r="C33" s="469" t="s">
        <v>1360</v>
      </c>
      <c r="D33" s="469" t="s">
        <v>1264</v>
      </c>
      <c r="E33" s="469" t="s">
        <v>1372</v>
      </c>
      <c r="F33" s="469" t="s">
        <v>1373</v>
      </c>
    </row>
    <row r="34" ht="63.75" customHeight="1">
      <c r="A34" s="469">
        <v>28.0</v>
      </c>
      <c r="B34" s="469" t="s">
        <v>55</v>
      </c>
      <c r="C34" s="469" t="s">
        <v>1360</v>
      </c>
      <c r="D34" s="469" t="s">
        <v>1264</v>
      </c>
      <c r="E34" s="469" t="s">
        <v>1374</v>
      </c>
      <c r="F34" s="469" t="s">
        <v>1375</v>
      </c>
    </row>
    <row r="35" ht="25.5" customHeight="1">
      <c r="A35" s="469">
        <v>24.0</v>
      </c>
      <c r="B35" s="469" t="s">
        <v>999</v>
      </c>
      <c r="C35" s="469" t="s">
        <v>1376</v>
      </c>
      <c r="D35" s="469" t="s">
        <v>1377</v>
      </c>
      <c r="E35" s="469" t="s">
        <v>1378</v>
      </c>
      <c r="F35" s="469" t="s">
        <v>1379</v>
      </c>
    </row>
    <row r="36" ht="25.5" customHeight="1">
      <c r="A36" s="469">
        <v>29.0</v>
      </c>
      <c r="B36" s="469" t="s">
        <v>36</v>
      </c>
      <c r="C36" s="469" t="s">
        <v>1376</v>
      </c>
      <c r="D36" s="469" t="s">
        <v>1377</v>
      </c>
      <c r="E36" s="469" t="s">
        <v>1380</v>
      </c>
      <c r="F36" s="469" t="s">
        <v>1381</v>
      </c>
    </row>
    <row r="37" ht="25.5" customHeight="1">
      <c r="A37" s="469">
        <v>30.0</v>
      </c>
      <c r="B37" s="469" t="s">
        <v>1382</v>
      </c>
      <c r="C37" s="469" t="s">
        <v>1376</v>
      </c>
      <c r="D37" s="469" t="s">
        <v>1383</v>
      </c>
      <c r="E37" s="469" t="s">
        <v>1384</v>
      </c>
      <c r="F37" s="469" t="s">
        <v>1385</v>
      </c>
    </row>
    <row r="38" ht="51.0" customHeight="1">
      <c r="A38" s="469">
        <v>31.0</v>
      </c>
      <c r="B38" s="469" t="s">
        <v>932</v>
      </c>
      <c r="C38" s="469" t="s">
        <v>1376</v>
      </c>
      <c r="D38" s="469" t="s">
        <v>1383</v>
      </c>
      <c r="E38" s="469" t="s">
        <v>1386</v>
      </c>
      <c r="F38" s="469" t="s">
        <v>1387</v>
      </c>
    </row>
    <row r="39" ht="25.5" customHeight="1">
      <c r="A39" s="469">
        <v>47.0</v>
      </c>
      <c r="B39" s="469" t="s">
        <v>41</v>
      </c>
      <c r="C39" s="469" t="s">
        <v>1376</v>
      </c>
      <c r="D39" s="469" t="s">
        <v>1388</v>
      </c>
      <c r="E39" s="469" t="s">
        <v>1317</v>
      </c>
      <c r="F39" s="469" t="s">
        <v>1305</v>
      </c>
    </row>
    <row r="40" ht="25.5" customHeight="1">
      <c r="A40" s="469">
        <v>48.0</v>
      </c>
      <c r="B40" s="469" t="s">
        <v>41</v>
      </c>
      <c r="C40" s="469" t="s">
        <v>1376</v>
      </c>
      <c r="D40" s="469" t="s">
        <v>1388</v>
      </c>
      <c r="E40" s="469" t="s">
        <v>1317</v>
      </c>
      <c r="F40" s="469" t="s">
        <v>1305</v>
      </c>
    </row>
    <row r="41" ht="38.25" customHeight="1">
      <c r="A41" s="469">
        <v>32.0</v>
      </c>
      <c r="B41" s="469" t="s">
        <v>42</v>
      </c>
      <c r="C41" s="469" t="s">
        <v>1376</v>
      </c>
      <c r="D41" s="469" t="s">
        <v>1388</v>
      </c>
      <c r="E41" s="469" t="s">
        <v>1389</v>
      </c>
      <c r="F41" s="469" t="s">
        <v>1379</v>
      </c>
    </row>
    <row r="42" ht="25.5" customHeight="1">
      <c r="A42" s="469">
        <v>35.0</v>
      </c>
      <c r="B42" s="469" t="s">
        <v>1390</v>
      </c>
      <c r="C42" s="469" t="s">
        <v>1391</v>
      </c>
      <c r="D42" s="469" t="s">
        <v>1392</v>
      </c>
      <c r="E42" s="469" t="s">
        <v>1393</v>
      </c>
      <c r="F42" s="469" t="s">
        <v>1394</v>
      </c>
    </row>
    <row r="43" ht="51.0" customHeight="1">
      <c r="A43" s="469">
        <v>36.0</v>
      </c>
      <c r="B43" s="469" t="s">
        <v>927</v>
      </c>
      <c r="C43" s="469" t="s">
        <v>1395</v>
      </c>
      <c r="D43" s="469" t="s">
        <v>1174</v>
      </c>
      <c r="E43" s="469" t="s">
        <v>1396</v>
      </c>
      <c r="F43" s="469" t="s">
        <v>1397</v>
      </c>
    </row>
    <row r="44" ht="76.5" customHeight="1">
      <c r="A44" s="469">
        <v>37.0</v>
      </c>
      <c r="B44" s="469" t="s">
        <v>40</v>
      </c>
      <c r="C44" s="469" t="s">
        <v>1398</v>
      </c>
      <c r="D44" s="469" t="s">
        <v>1178</v>
      </c>
      <c r="E44" s="469" t="s">
        <v>1399</v>
      </c>
      <c r="F44" s="469" t="s">
        <v>1400</v>
      </c>
    </row>
    <row r="45" ht="165.75" customHeight="1">
      <c r="A45" s="469">
        <v>38.0</v>
      </c>
      <c r="B45" s="469" t="s">
        <v>38</v>
      </c>
      <c r="C45" s="469" t="s">
        <v>1401</v>
      </c>
      <c r="D45" s="469" t="s">
        <v>1178</v>
      </c>
      <c r="E45" s="469" t="s">
        <v>1402</v>
      </c>
      <c r="F45" s="469" t="s">
        <v>1403</v>
      </c>
    </row>
    <row r="46" ht="38.25" customHeight="1">
      <c r="A46" s="469">
        <v>39.0</v>
      </c>
      <c r="B46" s="469" t="s">
        <v>1404</v>
      </c>
      <c r="C46" s="469" t="s">
        <v>1405</v>
      </c>
      <c r="D46" s="469" t="s">
        <v>1178</v>
      </c>
      <c r="E46" s="469" t="s">
        <v>1406</v>
      </c>
      <c r="F46" s="469" t="s">
        <v>1407</v>
      </c>
    </row>
    <row r="47" ht="51.0" customHeight="1">
      <c r="A47" s="469">
        <v>33.0</v>
      </c>
      <c r="B47" s="469" t="s">
        <v>952</v>
      </c>
      <c r="C47" s="469" t="s">
        <v>1408</v>
      </c>
      <c r="D47" s="469" t="s">
        <v>1409</v>
      </c>
      <c r="E47" s="469" t="s">
        <v>1410</v>
      </c>
      <c r="F47" s="469" t="s">
        <v>1411</v>
      </c>
    </row>
    <row r="48" ht="38.25" customHeight="1">
      <c r="A48" s="469">
        <v>34.0</v>
      </c>
      <c r="B48" s="469" t="s">
        <v>1412</v>
      </c>
      <c r="C48" s="469" t="s">
        <v>1408</v>
      </c>
      <c r="D48" s="469" t="s">
        <v>1413</v>
      </c>
      <c r="E48" s="469" t="s">
        <v>1414</v>
      </c>
      <c r="F48" s="469" t="s">
        <v>1415</v>
      </c>
    </row>
    <row r="49">
      <c r="A49" s="469">
        <v>41.0</v>
      </c>
      <c r="B49" s="469" t="s">
        <v>1416</v>
      </c>
      <c r="C49" s="469" t="s">
        <v>1408</v>
      </c>
      <c r="D49" s="469" t="s">
        <v>1413</v>
      </c>
      <c r="E49" s="469" t="s">
        <v>1417</v>
      </c>
      <c r="F49" s="469" t="s">
        <v>1418</v>
      </c>
    </row>
    <row r="50">
      <c r="A50" s="469">
        <v>42.0</v>
      </c>
      <c r="B50" s="469" t="s">
        <v>1419</v>
      </c>
      <c r="C50" s="469" t="s">
        <v>1408</v>
      </c>
      <c r="D50" s="469" t="s">
        <v>1420</v>
      </c>
      <c r="E50" s="469" t="s">
        <v>1421</v>
      </c>
      <c r="F50" s="469" t="s">
        <v>1422</v>
      </c>
    </row>
    <row r="51">
      <c r="A51" s="469">
        <v>43.0</v>
      </c>
      <c r="B51" s="469" t="s">
        <v>49</v>
      </c>
      <c r="C51" s="469" t="s">
        <v>1408</v>
      </c>
      <c r="D51" s="469" t="s">
        <v>1423</v>
      </c>
      <c r="E51" s="469" t="s">
        <v>1424</v>
      </c>
      <c r="F51" s="469" t="s">
        <v>1425</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63"/>
    <col customWidth="1" min="2" max="2" width="6.5"/>
    <col customWidth="1" min="3" max="3" width="14.5"/>
    <col customWidth="1" min="4" max="4" width="21.13"/>
    <col customWidth="1" min="5" max="5" width="44.88"/>
    <col customWidth="1" min="6" max="6" width="56.75"/>
    <col customWidth="1" min="7" max="7" width="26.25"/>
  </cols>
  <sheetData>
    <row r="1" ht="15.0" customHeight="1">
      <c r="A1" s="468" t="s">
        <v>1203</v>
      </c>
      <c r="B1" s="468" t="s">
        <v>1379</v>
      </c>
      <c r="C1" s="468">
        <v>2.0</v>
      </c>
      <c r="D1" s="469" t="s">
        <v>1426</v>
      </c>
      <c r="E1" s="469" t="s">
        <v>1427</v>
      </c>
      <c r="F1" s="469" t="s">
        <v>1428</v>
      </c>
      <c r="G1" s="469" t="s">
        <v>1429</v>
      </c>
    </row>
    <row r="2" ht="15.0" customHeight="1">
      <c r="A2" s="468" t="s">
        <v>1430</v>
      </c>
      <c r="B2" s="468" t="s">
        <v>1305</v>
      </c>
      <c r="C2" s="468">
        <v>3.0</v>
      </c>
      <c r="D2" s="469" t="s">
        <v>1205</v>
      </c>
      <c r="E2" s="469" t="s">
        <v>1431</v>
      </c>
      <c r="F2" s="469" t="s">
        <v>1432</v>
      </c>
      <c r="G2" s="469" t="s">
        <v>1433</v>
      </c>
    </row>
    <row r="3" ht="15.0" customHeight="1">
      <c r="A3" s="468" t="s">
        <v>1215</v>
      </c>
      <c r="B3" s="468" t="s">
        <v>1434</v>
      </c>
      <c r="C3" s="468">
        <v>3.0</v>
      </c>
      <c r="D3" s="469" t="s">
        <v>1205</v>
      </c>
      <c r="E3" s="469" t="s">
        <v>1431</v>
      </c>
      <c r="F3" s="469" t="s">
        <v>1435</v>
      </c>
      <c r="G3" s="469" t="s">
        <v>1436</v>
      </c>
    </row>
    <row r="4" ht="15.0" customHeight="1">
      <c r="A4" s="468" t="s">
        <v>1208</v>
      </c>
      <c r="B4" s="468" t="s">
        <v>1437</v>
      </c>
      <c r="C4" s="468">
        <v>4.0</v>
      </c>
      <c r="D4" s="469" t="s">
        <v>1046</v>
      </c>
      <c r="E4" s="469" t="s">
        <v>1438</v>
      </c>
      <c r="F4" s="469" t="s">
        <v>1439</v>
      </c>
      <c r="G4" s="469" t="s">
        <v>1440</v>
      </c>
    </row>
    <row r="5" ht="15.0" customHeight="1">
      <c r="A5" s="468" t="s">
        <v>1441</v>
      </c>
      <c r="B5" s="468" t="s">
        <v>1437</v>
      </c>
      <c r="C5" s="468">
        <v>4.0</v>
      </c>
      <c r="D5" s="469" t="s">
        <v>1046</v>
      </c>
      <c r="E5" s="469" t="s">
        <v>1438</v>
      </c>
      <c r="F5" s="469" t="s">
        <v>1439</v>
      </c>
      <c r="G5" s="469" t="s">
        <v>1440</v>
      </c>
    </row>
    <row r="6" ht="15.0" customHeight="1">
      <c r="A6" s="468" t="s">
        <v>1220</v>
      </c>
      <c r="B6" s="468" t="s">
        <v>1437</v>
      </c>
      <c r="C6" s="468">
        <v>4.0</v>
      </c>
      <c r="D6" s="469" t="s">
        <v>1046</v>
      </c>
      <c r="E6" s="469" t="s">
        <v>1438</v>
      </c>
      <c r="F6" s="469" t="s">
        <v>1439</v>
      </c>
      <c r="G6" s="469" t="s">
        <v>1440</v>
      </c>
    </row>
    <row r="7" ht="15.0" customHeight="1">
      <c r="A7" s="468" t="s">
        <v>1295</v>
      </c>
      <c r="B7" s="468" t="s">
        <v>1437</v>
      </c>
      <c r="C7" s="468">
        <v>4.0</v>
      </c>
      <c r="D7" s="469" t="s">
        <v>1046</v>
      </c>
      <c r="E7" s="469" t="s">
        <v>1438</v>
      </c>
      <c r="F7" s="469" t="s">
        <v>1439</v>
      </c>
      <c r="G7" s="469" t="s">
        <v>1440</v>
      </c>
    </row>
    <row r="8" ht="15.0" customHeight="1">
      <c r="A8" s="468" t="s">
        <v>1442</v>
      </c>
      <c r="B8" s="468" t="s">
        <v>1437</v>
      </c>
      <c r="C8" s="468">
        <v>4.0</v>
      </c>
      <c r="D8" s="469" t="s">
        <v>1046</v>
      </c>
      <c r="E8" s="469" t="s">
        <v>1438</v>
      </c>
      <c r="F8" s="469" t="s">
        <v>1439</v>
      </c>
      <c r="G8" s="469" t="s">
        <v>1440</v>
      </c>
    </row>
    <row r="9" ht="15.0" customHeight="1">
      <c r="A9" s="468" t="s">
        <v>1443</v>
      </c>
      <c r="B9" s="468" t="s">
        <v>1437</v>
      </c>
      <c r="C9" s="468">
        <v>4.0</v>
      </c>
      <c r="D9" s="469" t="s">
        <v>1046</v>
      </c>
      <c r="E9" s="469" t="s">
        <v>1438</v>
      </c>
      <c r="F9" s="469" t="s">
        <v>1439</v>
      </c>
      <c r="G9" s="469" t="s">
        <v>1440</v>
      </c>
    </row>
    <row r="10" ht="15.0" customHeight="1">
      <c r="A10" s="468" t="s">
        <v>1298</v>
      </c>
      <c r="B10" s="468" t="s">
        <v>1437</v>
      </c>
      <c r="C10" s="468">
        <v>4.0</v>
      </c>
      <c r="D10" s="469" t="s">
        <v>1046</v>
      </c>
      <c r="E10" s="469" t="s">
        <v>1438</v>
      </c>
      <c r="F10" s="469" t="s">
        <v>1439</v>
      </c>
      <c r="G10" s="469" t="s">
        <v>1440</v>
      </c>
    </row>
    <row r="11" ht="15.0" customHeight="1">
      <c r="A11" s="468" t="s">
        <v>1299</v>
      </c>
      <c r="B11" s="468" t="s">
        <v>1437</v>
      </c>
      <c r="C11" s="468">
        <v>4.0</v>
      </c>
      <c r="D11" s="469" t="s">
        <v>1046</v>
      </c>
      <c r="E11" s="469" t="s">
        <v>1438</v>
      </c>
      <c r="F11" s="469" t="s">
        <v>1439</v>
      </c>
      <c r="G11" s="469" t="s">
        <v>1440</v>
      </c>
    </row>
    <row r="12" ht="15.0" customHeight="1">
      <c r="A12" s="468" t="s">
        <v>1300</v>
      </c>
      <c r="B12" s="468" t="s">
        <v>1437</v>
      </c>
      <c r="C12" s="468">
        <v>4.0</v>
      </c>
      <c r="D12" s="469" t="s">
        <v>1046</v>
      </c>
      <c r="E12" s="469" t="s">
        <v>1438</v>
      </c>
      <c r="F12" s="469" t="s">
        <v>1439</v>
      </c>
      <c r="G12" s="469" t="s">
        <v>1440</v>
      </c>
    </row>
    <row r="13" ht="76.5" customHeight="1">
      <c r="A13" s="468" t="s">
        <v>1228</v>
      </c>
      <c r="B13" s="468" t="s">
        <v>1444</v>
      </c>
      <c r="C13" s="468">
        <v>4.0</v>
      </c>
      <c r="D13" s="469" t="s">
        <v>1046</v>
      </c>
      <c r="E13" s="469" t="s">
        <v>1438</v>
      </c>
      <c r="F13" s="469" t="s">
        <v>1439</v>
      </c>
      <c r="G13" s="469" t="s">
        <v>1445</v>
      </c>
    </row>
    <row r="14" ht="15.0" customHeight="1">
      <c r="A14" s="441" t="s">
        <v>0</v>
      </c>
      <c r="B14" s="441" t="s">
        <v>1</v>
      </c>
      <c r="C14" s="441" t="s">
        <v>821</v>
      </c>
      <c r="D14" s="467" t="s">
        <v>1446</v>
      </c>
      <c r="E14" s="467" t="s">
        <v>823</v>
      </c>
      <c r="F14" s="467" t="s">
        <v>232</v>
      </c>
      <c r="G14" s="467" t="s">
        <v>824</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6" width="15.13"/>
  </cols>
  <sheetData>
    <row r="1">
      <c r="A1" s="466" t="s">
        <v>1301</v>
      </c>
      <c r="B1" s="472" t="s">
        <v>1</v>
      </c>
      <c r="C1" s="472" t="s">
        <v>2</v>
      </c>
      <c r="D1" s="472" t="s">
        <v>3</v>
      </c>
      <c r="E1" s="472" t="s">
        <v>799</v>
      </c>
      <c r="F1" s="472" t="s">
        <v>450</v>
      </c>
    </row>
    <row r="2">
      <c r="A2" s="469">
        <v>1.0</v>
      </c>
      <c r="B2" s="473"/>
      <c r="C2" s="474"/>
      <c r="D2" s="475" t="s">
        <v>1205</v>
      </c>
      <c r="E2" s="475" t="s">
        <v>1447</v>
      </c>
      <c r="F2" s="474"/>
    </row>
    <row r="3">
      <c r="A3" s="469">
        <v>2.0</v>
      </c>
      <c r="B3" s="473"/>
      <c r="C3" s="474"/>
      <c r="D3" s="474"/>
      <c r="E3" s="475" t="s">
        <v>1448</v>
      </c>
      <c r="F3" s="474"/>
    </row>
    <row r="4">
      <c r="A4" s="469">
        <v>3.0</v>
      </c>
      <c r="B4" s="476"/>
      <c r="C4" s="477"/>
      <c r="D4" s="478" t="s">
        <v>1046</v>
      </c>
      <c r="E4" s="478" t="s">
        <v>1449</v>
      </c>
      <c r="F4" s="474"/>
    </row>
    <row r="5">
      <c r="A5" s="479">
        <v>4.0</v>
      </c>
      <c r="B5" s="479" t="s">
        <v>848</v>
      </c>
      <c r="C5" s="475" t="s">
        <v>1302</v>
      </c>
      <c r="D5" s="475" t="s">
        <v>1306</v>
      </c>
      <c r="E5" s="475" t="s">
        <v>1450</v>
      </c>
      <c r="F5" s="475" t="s">
        <v>1451</v>
      </c>
    </row>
    <row r="6">
      <c r="A6" s="479">
        <v>5.0</v>
      </c>
      <c r="B6" s="479" t="s">
        <v>855</v>
      </c>
      <c r="C6" s="475" t="s">
        <v>1302</v>
      </c>
      <c r="D6" s="475" t="s">
        <v>1452</v>
      </c>
      <c r="E6" s="475" t="s">
        <v>1453</v>
      </c>
      <c r="F6" s="475" t="s">
        <v>1454</v>
      </c>
    </row>
    <row r="7">
      <c r="A7" s="479">
        <v>6.0</v>
      </c>
      <c r="B7" s="479" t="s">
        <v>859</v>
      </c>
      <c r="C7" s="475" t="s">
        <v>1302</v>
      </c>
      <c r="D7" s="475" t="s">
        <v>1309</v>
      </c>
      <c r="E7" s="475" t="s">
        <v>1310</v>
      </c>
      <c r="F7" s="475" t="s">
        <v>1311</v>
      </c>
    </row>
    <row r="8">
      <c r="A8" s="479">
        <v>7.0</v>
      </c>
      <c r="B8" s="479" t="s">
        <v>10</v>
      </c>
      <c r="C8" s="475" t="s">
        <v>1302</v>
      </c>
      <c r="D8" s="475" t="s">
        <v>1306</v>
      </c>
      <c r="E8" s="475" t="s">
        <v>1307</v>
      </c>
      <c r="F8" s="475" t="s">
        <v>1308</v>
      </c>
    </row>
    <row r="9">
      <c r="A9" s="479">
        <v>8.0</v>
      </c>
      <c r="B9" s="479" t="s">
        <v>15</v>
      </c>
      <c r="C9" s="475" t="s">
        <v>1312</v>
      </c>
      <c r="D9" s="475" t="s">
        <v>1067</v>
      </c>
      <c r="E9" s="475" t="s">
        <v>1455</v>
      </c>
      <c r="F9" s="475" t="s">
        <v>1456</v>
      </c>
    </row>
    <row r="10">
      <c r="A10" s="479">
        <v>9.0</v>
      </c>
      <c r="B10" s="479" t="s">
        <v>1457</v>
      </c>
      <c r="C10" s="475" t="s">
        <v>1312</v>
      </c>
      <c r="D10" s="475" t="s">
        <v>1071</v>
      </c>
      <c r="E10" s="475" t="s">
        <v>1317</v>
      </c>
      <c r="F10" s="475" t="s">
        <v>1305</v>
      </c>
    </row>
    <row r="11">
      <c r="A11" s="479">
        <v>10.0</v>
      </c>
      <c r="B11" s="479" t="s">
        <v>871</v>
      </c>
      <c r="C11" s="475" t="s">
        <v>1360</v>
      </c>
      <c r="D11" s="475" t="s">
        <v>1363</v>
      </c>
      <c r="E11" s="475" t="s">
        <v>1458</v>
      </c>
      <c r="F11" s="474"/>
    </row>
    <row r="12">
      <c r="A12" s="479">
        <v>11.0</v>
      </c>
      <c r="B12" s="479" t="s">
        <v>1459</v>
      </c>
      <c r="C12" s="475" t="s">
        <v>1332</v>
      </c>
      <c r="D12" s="475" t="s">
        <v>1460</v>
      </c>
      <c r="E12" s="475" t="s">
        <v>1461</v>
      </c>
      <c r="F12" s="475" t="s">
        <v>1462</v>
      </c>
    </row>
    <row r="13">
      <c r="A13" s="479">
        <v>12.0</v>
      </c>
      <c r="B13" s="479" t="s">
        <v>19</v>
      </c>
      <c r="C13" s="475" t="s">
        <v>1332</v>
      </c>
      <c r="D13" s="475" t="s">
        <v>1463</v>
      </c>
      <c r="E13" s="475" t="s">
        <v>1464</v>
      </c>
      <c r="F13" s="475" t="s">
        <v>1465</v>
      </c>
    </row>
    <row r="14">
      <c r="A14" s="479">
        <v>13.0</v>
      </c>
      <c r="B14" s="479" t="s">
        <v>54</v>
      </c>
      <c r="C14" s="475" t="s">
        <v>1332</v>
      </c>
      <c r="D14" s="475" t="s">
        <v>1337</v>
      </c>
      <c r="E14" s="475" t="s">
        <v>1340</v>
      </c>
      <c r="F14" s="475" t="s">
        <v>1341</v>
      </c>
    </row>
    <row r="15">
      <c r="A15" s="479">
        <v>14.0</v>
      </c>
      <c r="B15" s="480"/>
      <c r="C15" s="474"/>
      <c r="D15" s="474"/>
      <c r="E15" s="475" t="s">
        <v>1466</v>
      </c>
      <c r="F15" s="474"/>
    </row>
    <row r="16">
      <c r="A16" s="479">
        <v>15.0</v>
      </c>
      <c r="B16" s="479" t="s">
        <v>1467</v>
      </c>
      <c r="C16" s="475" t="s">
        <v>1342</v>
      </c>
      <c r="D16" s="475" t="s">
        <v>1468</v>
      </c>
      <c r="E16" s="475" t="s">
        <v>1469</v>
      </c>
      <c r="F16" s="475" t="s">
        <v>1314</v>
      </c>
    </row>
    <row r="17">
      <c r="A17" s="479">
        <v>16.0</v>
      </c>
      <c r="B17" s="479" t="s">
        <v>1470</v>
      </c>
      <c r="C17" s="475" t="s">
        <v>1342</v>
      </c>
      <c r="D17" s="475" t="s">
        <v>1111</v>
      </c>
      <c r="E17" s="475" t="s">
        <v>1469</v>
      </c>
      <c r="F17" s="475" t="s">
        <v>1314</v>
      </c>
    </row>
    <row r="18">
      <c r="A18" s="479">
        <v>17.0</v>
      </c>
      <c r="B18" s="479" t="s">
        <v>1471</v>
      </c>
      <c r="C18" s="475" t="s">
        <v>1360</v>
      </c>
      <c r="D18" s="475" t="s">
        <v>1261</v>
      </c>
      <c r="E18" s="475" t="s">
        <v>1472</v>
      </c>
      <c r="F18" s="475" t="s">
        <v>1465</v>
      </c>
    </row>
    <row r="19">
      <c r="A19" s="479">
        <v>18.0</v>
      </c>
      <c r="B19" s="479" t="s">
        <v>1118</v>
      </c>
      <c r="C19" s="475" t="s">
        <v>1342</v>
      </c>
      <c r="D19" s="475" t="s">
        <v>1343</v>
      </c>
      <c r="E19" s="475" t="s">
        <v>1344</v>
      </c>
      <c r="F19" s="475" t="s">
        <v>1345</v>
      </c>
    </row>
    <row r="20">
      <c r="A20" s="479">
        <v>19.0</v>
      </c>
      <c r="B20" s="479" t="s">
        <v>23</v>
      </c>
      <c r="C20" s="475" t="s">
        <v>1342</v>
      </c>
      <c r="D20" s="475" t="s">
        <v>1346</v>
      </c>
      <c r="E20" s="475" t="s">
        <v>1317</v>
      </c>
      <c r="F20" s="475" t="s">
        <v>1305</v>
      </c>
    </row>
    <row r="21">
      <c r="A21" s="479">
        <v>20.0</v>
      </c>
      <c r="B21" s="479" t="s">
        <v>1473</v>
      </c>
      <c r="C21" s="475" t="s">
        <v>1342</v>
      </c>
      <c r="D21" s="475" t="s">
        <v>1346</v>
      </c>
      <c r="E21" s="475" t="s">
        <v>1474</v>
      </c>
      <c r="F21" s="475" t="s">
        <v>1352</v>
      </c>
    </row>
    <row r="22">
      <c r="A22" s="479">
        <v>21.0</v>
      </c>
      <c r="B22" s="480"/>
      <c r="C22" s="474"/>
      <c r="D22" s="475" t="s">
        <v>1205</v>
      </c>
      <c r="E22" s="474"/>
      <c r="F22" s="474"/>
    </row>
    <row r="23">
      <c r="A23" s="479">
        <v>22.0</v>
      </c>
      <c r="B23" s="479" t="s">
        <v>913</v>
      </c>
      <c r="C23" s="475" t="s">
        <v>1360</v>
      </c>
      <c r="D23" s="475" t="s">
        <v>1363</v>
      </c>
      <c r="E23" s="475" t="s">
        <v>1475</v>
      </c>
      <c r="F23" s="475" t="s">
        <v>1476</v>
      </c>
    </row>
    <row r="24">
      <c r="A24" s="479">
        <v>23.0</v>
      </c>
      <c r="B24" s="480"/>
      <c r="C24" s="474"/>
      <c r="D24" s="475" t="s">
        <v>1205</v>
      </c>
      <c r="E24" s="474"/>
      <c r="F24" s="474"/>
    </row>
    <row r="25">
      <c r="A25" s="479">
        <v>24.0</v>
      </c>
      <c r="B25" s="480"/>
      <c r="C25" s="474"/>
      <c r="D25" s="475" t="s">
        <v>1205</v>
      </c>
      <c r="E25" s="475" t="s">
        <v>1477</v>
      </c>
      <c r="F25" s="474"/>
    </row>
    <row r="26">
      <c r="A26" s="479">
        <v>25.0</v>
      </c>
      <c r="B26" s="479" t="s">
        <v>34</v>
      </c>
      <c r="C26" s="475" t="s">
        <v>1360</v>
      </c>
      <c r="D26" s="475" t="s">
        <v>1478</v>
      </c>
      <c r="E26" s="475" t="s">
        <v>1269</v>
      </c>
      <c r="F26" s="475" t="s">
        <v>1479</v>
      </c>
    </row>
    <row r="27">
      <c r="A27" s="479">
        <v>26.0</v>
      </c>
      <c r="B27" s="479" t="s">
        <v>1480</v>
      </c>
      <c r="C27" s="475" t="s">
        <v>1360</v>
      </c>
      <c r="D27" s="475" t="s">
        <v>1264</v>
      </c>
      <c r="E27" s="475" t="s">
        <v>1481</v>
      </c>
      <c r="F27" s="475" t="s">
        <v>1482</v>
      </c>
    </row>
    <row r="28">
      <c r="A28" s="479">
        <v>27.0</v>
      </c>
      <c r="B28" s="479" t="s">
        <v>1483</v>
      </c>
      <c r="C28" s="475" t="s">
        <v>1376</v>
      </c>
      <c r="D28" s="475" t="s">
        <v>1377</v>
      </c>
      <c r="E28" s="475" t="s">
        <v>1484</v>
      </c>
      <c r="F28" s="475" t="s">
        <v>1385</v>
      </c>
    </row>
    <row r="29">
      <c r="A29" s="479">
        <v>28.0</v>
      </c>
      <c r="B29" s="480"/>
      <c r="C29" s="474"/>
      <c r="D29" s="474"/>
      <c r="E29" s="475" t="s">
        <v>1485</v>
      </c>
      <c r="F29" s="474"/>
    </row>
    <row r="30">
      <c r="A30" s="479">
        <v>29.0</v>
      </c>
      <c r="B30" s="479" t="s">
        <v>55</v>
      </c>
      <c r="C30" s="475" t="s">
        <v>1360</v>
      </c>
      <c r="D30" s="475" t="s">
        <v>1264</v>
      </c>
      <c r="E30" s="475" t="s">
        <v>1374</v>
      </c>
      <c r="F30" s="475" t="s">
        <v>1375</v>
      </c>
    </row>
    <row r="31">
      <c r="A31" s="479">
        <v>30.0</v>
      </c>
      <c r="B31" s="469" t="s">
        <v>37</v>
      </c>
      <c r="C31" s="475" t="s">
        <v>1376</v>
      </c>
      <c r="D31" s="475" t="s">
        <v>1152</v>
      </c>
      <c r="E31" s="475" t="s">
        <v>1486</v>
      </c>
      <c r="F31" s="475" t="s">
        <v>1385</v>
      </c>
    </row>
    <row r="32">
      <c r="A32" s="479">
        <v>31.0</v>
      </c>
      <c r="B32" s="469" t="s">
        <v>1272</v>
      </c>
      <c r="C32" s="475" t="s">
        <v>1376</v>
      </c>
      <c r="D32" s="475" t="s">
        <v>1388</v>
      </c>
      <c r="E32" s="475" t="s">
        <v>1487</v>
      </c>
      <c r="F32" s="475" t="s">
        <v>1488</v>
      </c>
    </row>
    <row r="33">
      <c r="A33" s="479">
        <v>32.0</v>
      </c>
      <c r="B33" s="480"/>
      <c r="C33" s="474"/>
      <c r="D33" s="474"/>
      <c r="E33" s="475" t="s">
        <v>1489</v>
      </c>
      <c r="F33" s="474"/>
    </row>
    <row r="34">
      <c r="A34" s="479">
        <v>33.0</v>
      </c>
      <c r="B34" s="2" t="s">
        <v>40</v>
      </c>
      <c r="C34" s="481" t="s">
        <v>1398</v>
      </c>
      <c r="D34" s="478" t="s">
        <v>1178</v>
      </c>
      <c r="E34" s="478" t="s">
        <v>1399</v>
      </c>
      <c r="F34" s="481" t="s">
        <v>1400</v>
      </c>
    </row>
    <row r="35">
      <c r="A35" s="479">
        <v>34.0</v>
      </c>
      <c r="B35" s="469" t="s">
        <v>40</v>
      </c>
      <c r="C35" s="475" t="s">
        <v>1398</v>
      </c>
      <c r="D35" s="475" t="s">
        <v>1178</v>
      </c>
      <c r="E35" s="475" t="s">
        <v>1399</v>
      </c>
      <c r="F35" s="475" t="s">
        <v>1400</v>
      </c>
    </row>
    <row r="36">
      <c r="A36" s="479">
        <v>35.0</v>
      </c>
      <c r="B36" s="479" t="s">
        <v>918</v>
      </c>
      <c r="C36" s="475" t="s">
        <v>1360</v>
      </c>
      <c r="D36" s="475" t="s">
        <v>1478</v>
      </c>
      <c r="E36" s="475" t="s">
        <v>1490</v>
      </c>
      <c r="F36" s="475" t="s">
        <v>1491</v>
      </c>
    </row>
    <row r="37">
      <c r="A37" s="479">
        <v>36.0</v>
      </c>
      <c r="B37" s="479" t="s">
        <v>50</v>
      </c>
      <c r="C37" s="475" t="s">
        <v>1492</v>
      </c>
      <c r="D37" s="475" t="s">
        <v>1493</v>
      </c>
      <c r="E37" s="475" t="s">
        <v>1494</v>
      </c>
      <c r="F37" s="475" t="s">
        <v>1495</v>
      </c>
    </row>
    <row r="38">
      <c r="A38" s="479">
        <v>37.0</v>
      </c>
      <c r="B38" s="480"/>
      <c r="C38" s="474"/>
      <c r="D38" s="474"/>
      <c r="E38" s="475" t="s">
        <v>1496</v>
      </c>
      <c r="F38" s="474"/>
    </row>
    <row r="39">
      <c r="A39" s="479">
        <v>38.0</v>
      </c>
      <c r="B39" s="479" t="s">
        <v>51</v>
      </c>
      <c r="C39" s="475" t="s">
        <v>1408</v>
      </c>
      <c r="D39" s="475" t="s">
        <v>1423</v>
      </c>
      <c r="E39" s="475" t="s">
        <v>1497</v>
      </c>
      <c r="F39" s="475" t="s">
        <v>1425</v>
      </c>
    </row>
    <row r="40">
      <c r="A40" s="479">
        <v>39.0</v>
      </c>
      <c r="B40" s="479" t="s">
        <v>1498</v>
      </c>
      <c r="C40" s="475" t="s">
        <v>1499</v>
      </c>
      <c r="D40" s="475" t="s">
        <v>1493</v>
      </c>
      <c r="E40" s="475" t="s">
        <v>1500</v>
      </c>
      <c r="F40" s="475" t="s">
        <v>1501</v>
      </c>
    </row>
    <row r="41">
      <c r="A41" s="479">
        <v>40.0</v>
      </c>
      <c r="B41" s="480"/>
      <c r="C41" s="474"/>
      <c r="D41" s="474"/>
      <c r="E41" s="474"/>
      <c r="F41" s="474"/>
    </row>
    <row r="42">
      <c r="A42" s="479">
        <v>41.0</v>
      </c>
      <c r="B42" s="480"/>
      <c r="C42" s="474"/>
      <c r="D42" s="474"/>
      <c r="E42" s="475" t="s">
        <v>1502</v>
      </c>
      <c r="F42" s="474"/>
    </row>
    <row r="43">
      <c r="A43" s="479">
        <v>42.0</v>
      </c>
      <c r="B43" s="480"/>
      <c r="C43" s="474"/>
      <c r="D43" s="474"/>
      <c r="E43" s="474"/>
      <c r="F43" s="474"/>
    </row>
    <row r="44">
      <c r="A44" s="479">
        <v>43.0</v>
      </c>
      <c r="B44" s="480"/>
      <c r="C44" s="474"/>
      <c r="D44" s="474"/>
      <c r="E44" s="474"/>
      <c r="F44" s="474"/>
    </row>
    <row r="45">
      <c r="A45" s="479">
        <v>44.0</v>
      </c>
      <c r="B45" s="479" t="s">
        <v>10</v>
      </c>
      <c r="C45" s="475" t="s">
        <v>1302</v>
      </c>
      <c r="D45" s="475" t="s">
        <v>1306</v>
      </c>
      <c r="E45" s="475" t="s">
        <v>1307</v>
      </c>
      <c r="F45" s="475" t="s">
        <v>1308</v>
      </c>
    </row>
    <row r="46">
      <c r="A46" s="479">
        <v>45.0</v>
      </c>
      <c r="B46" s="479" t="s">
        <v>1483</v>
      </c>
      <c r="C46" s="475" t="s">
        <v>1376</v>
      </c>
      <c r="D46" s="475" t="s">
        <v>1377</v>
      </c>
      <c r="E46" s="475" t="s">
        <v>1484</v>
      </c>
      <c r="F46" s="475" t="s">
        <v>1385</v>
      </c>
    </row>
    <row r="47">
      <c r="A47" s="479">
        <v>46.0</v>
      </c>
      <c r="B47" s="479" t="s">
        <v>1503</v>
      </c>
      <c r="C47" s="475" t="s">
        <v>1504</v>
      </c>
      <c r="D47" s="475" t="s">
        <v>1493</v>
      </c>
      <c r="E47" s="475" t="s">
        <v>1505</v>
      </c>
      <c r="F47" s="475" t="s">
        <v>1506</v>
      </c>
    </row>
    <row r="48">
      <c r="A48" s="479">
        <v>47.0</v>
      </c>
      <c r="B48" s="479" t="s">
        <v>38</v>
      </c>
      <c r="C48" s="475" t="s">
        <v>1401</v>
      </c>
      <c r="D48" s="475" t="s">
        <v>1178</v>
      </c>
      <c r="E48" s="475" t="s">
        <v>1402</v>
      </c>
      <c r="F48" s="475" t="s">
        <v>1403</v>
      </c>
    </row>
    <row r="49">
      <c r="A49" s="479">
        <v>48.0</v>
      </c>
      <c r="B49" s="469" t="s">
        <v>965</v>
      </c>
      <c r="C49" s="475" t="s">
        <v>1312</v>
      </c>
      <c r="D49" s="475" t="s">
        <v>1248</v>
      </c>
      <c r="E49" s="475" t="s">
        <v>1507</v>
      </c>
      <c r="F49" s="475" t="s">
        <v>1508</v>
      </c>
    </row>
    <row r="50">
      <c r="A50" s="479">
        <v>49.0</v>
      </c>
      <c r="B50" s="479" t="s">
        <v>893</v>
      </c>
      <c r="C50" s="475" t="s">
        <v>1342</v>
      </c>
      <c r="D50" s="475" t="s">
        <v>1346</v>
      </c>
      <c r="E50" s="475" t="s">
        <v>1258</v>
      </c>
      <c r="F50" s="475" t="s">
        <v>1352</v>
      </c>
    </row>
    <row r="51">
      <c r="A51" s="479">
        <v>50.0</v>
      </c>
      <c r="B51" s="479" t="s">
        <v>25</v>
      </c>
      <c r="C51" s="475" t="s">
        <v>1342</v>
      </c>
      <c r="D51" s="475" t="s">
        <v>1222</v>
      </c>
      <c r="E51" s="475" t="s">
        <v>1353</v>
      </c>
      <c r="F51" s="475" t="s">
        <v>1354</v>
      </c>
    </row>
    <row r="52">
      <c r="B52" s="482"/>
      <c r="D52" s="483"/>
      <c r="E52" s="483"/>
      <c r="F52" s="482"/>
    </row>
    <row r="53">
      <c r="B53" s="482"/>
      <c r="D53" s="483"/>
      <c r="E53" s="483"/>
      <c r="F53" s="482"/>
    </row>
    <row r="54">
      <c r="B54" s="482"/>
      <c r="D54" s="483"/>
      <c r="E54" s="483"/>
      <c r="F54" s="482"/>
    </row>
    <row r="55">
      <c r="B55" s="482"/>
      <c r="D55" s="483"/>
      <c r="E55" s="483"/>
      <c r="F55" s="482"/>
    </row>
    <row r="56">
      <c r="B56" s="482"/>
      <c r="D56" s="483"/>
      <c r="E56" s="483"/>
      <c r="F56" s="482"/>
    </row>
    <row r="57">
      <c r="B57" s="482"/>
      <c r="D57" s="483"/>
      <c r="E57" s="483"/>
      <c r="F57" s="482"/>
    </row>
    <row r="58">
      <c r="B58" s="482"/>
      <c r="D58" s="483"/>
      <c r="E58" s="483"/>
      <c r="F58" s="482"/>
    </row>
    <row r="59">
      <c r="B59" s="482"/>
      <c r="D59" s="483"/>
      <c r="E59" s="483"/>
      <c r="F59" s="482"/>
    </row>
    <row r="60">
      <c r="B60" s="482"/>
      <c r="D60" s="483"/>
      <c r="E60" s="483"/>
      <c r="F60" s="482"/>
    </row>
    <row r="61">
      <c r="B61" s="482"/>
      <c r="D61" s="483"/>
      <c r="E61" s="483"/>
      <c r="F61" s="482"/>
    </row>
    <row r="62">
      <c r="B62" s="482"/>
      <c r="D62" s="483"/>
      <c r="E62" s="483"/>
      <c r="F62" s="482"/>
    </row>
    <row r="63">
      <c r="B63" s="482"/>
      <c r="C63" s="482"/>
      <c r="D63" s="483"/>
      <c r="E63" s="483"/>
      <c r="F63" s="482"/>
    </row>
    <row r="64">
      <c r="B64" s="482"/>
      <c r="C64" s="482"/>
      <c r="D64" s="483"/>
      <c r="E64" s="483"/>
      <c r="F64" s="482"/>
    </row>
    <row r="65">
      <c r="B65" s="482"/>
      <c r="C65" s="482"/>
      <c r="D65" s="483"/>
      <c r="E65" s="483"/>
      <c r="F65" s="482"/>
    </row>
    <row r="66">
      <c r="B66" s="482"/>
      <c r="C66" s="482"/>
      <c r="D66" s="483"/>
      <c r="E66" s="483"/>
      <c r="F66" s="482"/>
    </row>
    <row r="67">
      <c r="B67" s="482"/>
      <c r="C67" s="482"/>
      <c r="D67" s="483"/>
      <c r="E67" s="483"/>
      <c r="F67" s="482"/>
    </row>
    <row r="68">
      <c r="B68" s="482"/>
      <c r="C68" s="482"/>
      <c r="D68" s="483"/>
      <c r="E68" s="483"/>
      <c r="F68" s="482"/>
    </row>
    <row r="69">
      <c r="B69" s="482"/>
      <c r="C69" s="482"/>
      <c r="D69" s="483"/>
      <c r="E69" s="483"/>
      <c r="F69" s="482"/>
    </row>
    <row r="70">
      <c r="B70" s="482"/>
      <c r="C70" s="482"/>
      <c r="D70" s="483"/>
      <c r="E70" s="483"/>
      <c r="F70" s="482"/>
    </row>
    <row r="71">
      <c r="B71" s="482"/>
      <c r="C71" s="482"/>
      <c r="D71" s="483"/>
      <c r="E71" s="483"/>
      <c r="F71" s="482"/>
    </row>
    <row r="72">
      <c r="B72" s="482"/>
      <c r="C72" s="482"/>
      <c r="D72" s="483"/>
      <c r="E72" s="483"/>
      <c r="F72" s="482"/>
    </row>
    <row r="73">
      <c r="B73" s="482"/>
      <c r="C73" s="482"/>
      <c r="D73" s="483"/>
      <c r="E73" s="483"/>
      <c r="F73" s="482"/>
    </row>
    <row r="74">
      <c r="B74" s="482"/>
      <c r="C74" s="482"/>
      <c r="D74" s="483"/>
      <c r="E74" s="483"/>
      <c r="F74" s="482"/>
    </row>
    <row r="75">
      <c r="B75" s="482"/>
      <c r="C75" s="482"/>
      <c r="D75" s="483"/>
      <c r="E75" s="483"/>
      <c r="F75" s="482"/>
    </row>
    <row r="76">
      <c r="B76" s="482"/>
      <c r="C76" s="482"/>
      <c r="D76" s="483"/>
      <c r="E76" s="483"/>
      <c r="F76" s="482"/>
    </row>
    <row r="77">
      <c r="B77" s="482"/>
      <c r="C77" s="482"/>
      <c r="D77" s="483"/>
      <c r="E77" s="483"/>
      <c r="F77" s="482"/>
    </row>
    <row r="78">
      <c r="B78" s="482"/>
      <c r="C78" s="482"/>
      <c r="D78" s="483"/>
      <c r="E78" s="483"/>
      <c r="F78" s="482"/>
    </row>
    <row r="79">
      <c r="B79" s="482"/>
      <c r="C79" s="482"/>
      <c r="D79" s="483"/>
      <c r="E79" s="483"/>
      <c r="F79" s="482"/>
    </row>
    <row r="80">
      <c r="B80" s="482"/>
      <c r="C80" s="482"/>
      <c r="D80" s="483"/>
      <c r="E80" s="483"/>
      <c r="F80" s="482"/>
    </row>
    <row r="81">
      <c r="B81" s="482"/>
      <c r="C81" s="482"/>
      <c r="D81" s="483"/>
      <c r="E81" s="483"/>
      <c r="F81" s="482"/>
    </row>
    <row r="82">
      <c r="B82" s="482"/>
      <c r="C82" s="482"/>
      <c r="D82" s="483"/>
      <c r="E82" s="483"/>
      <c r="F82" s="482"/>
    </row>
    <row r="83">
      <c r="B83" s="482"/>
      <c r="C83" s="482"/>
      <c r="D83" s="483"/>
      <c r="E83" s="483"/>
      <c r="F83" s="482"/>
    </row>
    <row r="84">
      <c r="B84" s="482"/>
      <c r="C84" s="482"/>
      <c r="D84" s="483"/>
      <c r="E84" s="483"/>
      <c r="F84" s="482"/>
    </row>
    <row r="85">
      <c r="B85" s="482"/>
      <c r="C85" s="482"/>
      <c r="D85" s="483"/>
      <c r="E85" s="483"/>
      <c r="F85" s="482"/>
    </row>
    <row r="86">
      <c r="B86" s="482"/>
      <c r="C86" s="482"/>
      <c r="D86" s="483"/>
      <c r="E86" s="483"/>
      <c r="F86" s="482"/>
    </row>
    <row r="87">
      <c r="B87" s="482"/>
      <c r="C87" s="482"/>
      <c r="D87" s="483"/>
      <c r="E87" s="483"/>
      <c r="F87" s="482"/>
    </row>
    <row r="88">
      <c r="B88" s="482"/>
      <c r="C88" s="482"/>
      <c r="D88" s="483"/>
      <c r="E88" s="483"/>
      <c r="F88" s="482"/>
    </row>
    <row r="89">
      <c r="B89" s="482"/>
      <c r="C89" s="482"/>
      <c r="D89" s="483"/>
      <c r="E89" s="483"/>
      <c r="F89" s="482"/>
    </row>
    <row r="90">
      <c r="B90" s="482"/>
      <c r="C90" s="482"/>
      <c r="D90" s="483"/>
      <c r="E90" s="483"/>
      <c r="F90" s="482"/>
    </row>
    <row r="91">
      <c r="B91" s="482"/>
      <c r="C91" s="482"/>
      <c r="D91" s="483"/>
      <c r="E91" s="483"/>
      <c r="F91" s="482"/>
    </row>
    <row r="92">
      <c r="B92" s="482"/>
      <c r="C92" s="482"/>
      <c r="D92" s="483"/>
      <c r="E92" s="483"/>
      <c r="F92" s="482"/>
    </row>
    <row r="93">
      <c r="B93" s="482"/>
      <c r="C93" s="482"/>
      <c r="D93" s="483"/>
      <c r="E93" s="483"/>
      <c r="F93" s="482"/>
    </row>
    <row r="94">
      <c r="B94" s="482"/>
      <c r="C94" s="482"/>
      <c r="D94" s="483"/>
      <c r="E94" s="483"/>
      <c r="F94" s="482"/>
    </row>
    <row r="95">
      <c r="B95" s="482"/>
      <c r="C95" s="482"/>
      <c r="D95" s="483"/>
      <c r="E95" s="483"/>
      <c r="F95" s="482"/>
    </row>
    <row r="96">
      <c r="B96" s="482"/>
      <c r="C96" s="482"/>
      <c r="D96" s="483"/>
      <c r="E96" s="483"/>
      <c r="F96" s="482"/>
    </row>
    <row r="97">
      <c r="B97" s="482"/>
      <c r="C97" s="482"/>
      <c r="D97" s="483"/>
      <c r="E97" s="483"/>
      <c r="F97" s="482"/>
    </row>
    <row r="98">
      <c r="B98" s="482"/>
      <c r="C98" s="482"/>
      <c r="D98" s="483"/>
      <c r="E98" s="483"/>
      <c r="F98" s="482"/>
    </row>
    <row r="99">
      <c r="B99" s="482"/>
      <c r="C99" s="482"/>
      <c r="D99" s="483"/>
      <c r="E99" s="483"/>
      <c r="F99" s="482"/>
    </row>
    <row r="100">
      <c r="B100" s="482"/>
      <c r="C100" s="482"/>
      <c r="D100" s="483"/>
      <c r="E100" s="483"/>
      <c r="F100" s="482"/>
    </row>
  </sheetData>
  <autoFilter ref="$A$1:$F$51"/>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15.13"/>
  </cols>
  <sheetData>
    <row r="1">
      <c r="A1" s="441" t="s">
        <v>0</v>
      </c>
      <c r="B1" s="466" t="s">
        <v>799</v>
      </c>
    </row>
    <row r="2" ht="1.5" customHeight="1">
      <c r="A2" s="469" t="s">
        <v>1203</v>
      </c>
      <c r="B2" s="469" t="s">
        <v>1509</v>
      </c>
    </row>
    <row r="3">
      <c r="A3" s="469" t="s">
        <v>1208</v>
      </c>
      <c r="B3" s="469" t="s">
        <v>1510</v>
      </c>
    </row>
    <row r="4">
      <c r="A4" s="469" t="s">
        <v>1215</v>
      </c>
      <c r="B4" s="469" t="s">
        <v>1510</v>
      </c>
    </row>
    <row r="5">
      <c r="A5" s="469" t="s">
        <v>1441</v>
      </c>
      <c r="B5" s="469" t="s">
        <v>1510</v>
      </c>
    </row>
    <row r="6">
      <c r="A6" s="469" t="s">
        <v>1220</v>
      </c>
      <c r="B6" s="469" t="s">
        <v>1511</v>
      </c>
    </row>
    <row r="7">
      <c r="A7" s="469" t="s">
        <v>1430</v>
      </c>
      <c r="B7" s="469" t="s">
        <v>1511</v>
      </c>
    </row>
    <row r="8">
      <c r="A8" s="469" t="s">
        <v>1295</v>
      </c>
      <c r="B8" s="469" t="s">
        <v>1511</v>
      </c>
    </row>
    <row r="9">
      <c r="A9" s="469" t="s">
        <v>1226</v>
      </c>
      <c r="B9" s="469" t="s">
        <v>1512</v>
      </c>
    </row>
    <row r="10">
      <c r="A10" s="469" t="s">
        <v>1227</v>
      </c>
      <c r="B10" s="469" t="s">
        <v>1512</v>
      </c>
    </row>
    <row r="11">
      <c r="A11" s="469" t="s">
        <v>1228</v>
      </c>
      <c r="B11" s="469" t="s">
        <v>1512</v>
      </c>
    </row>
    <row r="12">
      <c r="A12" s="469" t="s">
        <v>1300</v>
      </c>
      <c r="B12" s="469" t="s">
        <v>1513</v>
      </c>
    </row>
  </sheetData>
  <drawing r:id="rId1"/>
</worksheet>
</file>