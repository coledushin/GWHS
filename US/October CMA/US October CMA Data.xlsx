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oledushin/Documents/GWHS/US/October CMA/"/>
    </mc:Choice>
  </mc:AlternateContent>
  <xr:revisionPtr revIDLastSave="0" documentId="13_ncr:1_{1809095C-331E-FA4C-B427-575B19AFBA21}" xr6:coauthVersionLast="47" xr6:coauthVersionMax="47" xr10:uidLastSave="{00000000-0000-0000-0000-000000000000}"/>
  <bookViews>
    <workbookView xWindow="0" yWindow="600" windowWidth="28160" windowHeight="15480" xr2:uid="{00000000-000D-0000-FFFF-FFFF00000000}"/>
  </bookViews>
  <sheets>
    <sheet name="Scores" sheetId="1" r:id="rId1"/>
    <sheet name="Questions" sheetId="2" r:id="rId2"/>
    <sheet name="Task Models" sheetId="4" r:id="rId3"/>
    <sheet name="Skill Standards" sheetId="5" r:id="rId4"/>
    <sheet name="Content Standards"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1" l="1"/>
  <c r="Q6" i="1"/>
  <c r="R6" i="1"/>
  <c r="S6" i="1"/>
  <c r="T6" i="1"/>
  <c r="U6" i="1"/>
  <c r="P7" i="1"/>
  <c r="Q7" i="1"/>
  <c r="R7" i="1"/>
  <c r="S7" i="1"/>
  <c r="T7" i="1"/>
  <c r="U7" i="1"/>
  <c r="P8" i="1"/>
  <c r="Q8" i="1"/>
  <c r="R8" i="1"/>
  <c r="S8" i="1"/>
  <c r="T8" i="1"/>
  <c r="U8" i="1"/>
  <c r="P9" i="1"/>
  <c r="Q9" i="1"/>
  <c r="R9" i="1"/>
  <c r="S9" i="1"/>
  <c r="T9" i="1"/>
  <c r="U9" i="1"/>
  <c r="P10" i="1"/>
  <c r="Q10" i="1"/>
  <c r="R10" i="1"/>
  <c r="S10" i="1"/>
  <c r="T10" i="1"/>
  <c r="U10" i="1"/>
  <c r="P11" i="1"/>
  <c r="Q11" i="1"/>
  <c r="R11" i="1"/>
  <c r="S11" i="1"/>
  <c r="T11" i="1"/>
  <c r="U11" i="1"/>
  <c r="P12" i="1"/>
  <c r="Q12" i="1"/>
  <c r="R12" i="1"/>
  <c r="S12" i="1"/>
  <c r="T12" i="1"/>
  <c r="U12" i="1"/>
  <c r="P13" i="1"/>
  <c r="Q13" i="1"/>
  <c r="R13" i="1"/>
  <c r="S13" i="1"/>
  <c r="T13" i="1"/>
  <c r="U13" i="1"/>
  <c r="P14" i="1"/>
  <c r="Q14" i="1"/>
  <c r="R14" i="1"/>
  <c r="S14" i="1"/>
  <c r="T14" i="1"/>
  <c r="U14" i="1"/>
  <c r="P15" i="1"/>
  <c r="Q15" i="1"/>
  <c r="R15" i="1"/>
  <c r="S15" i="1"/>
  <c r="T15" i="1"/>
  <c r="U15" i="1"/>
  <c r="P16" i="1"/>
  <c r="Q16" i="1"/>
  <c r="R16" i="1"/>
  <c r="S16" i="1"/>
  <c r="T16" i="1"/>
  <c r="U16" i="1"/>
  <c r="P17" i="1"/>
  <c r="Q17" i="1"/>
  <c r="R17" i="1"/>
  <c r="S17" i="1"/>
  <c r="T17" i="1"/>
  <c r="U17" i="1"/>
  <c r="P18" i="1"/>
  <c r="Q18" i="1"/>
  <c r="R18" i="1"/>
  <c r="S18" i="1"/>
  <c r="T18" i="1"/>
  <c r="U18" i="1"/>
  <c r="P19" i="1"/>
  <c r="Q19" i="1"/>
  <c r="R19" i="1"/>
  <c r="S19" i="1"/>
  <c r="T19" i="1"/>
  <c r="U19" i="1"/>
  <c r="P20" i="1"/>
  <c r="Q20" i="1"/>
  <c r="R20" i="1"/>
  <c r="S20" i="1"/>
  <c r="T20" i="1"/>
  <c r="U20" i="1"/>
  <c r="P21" i="1"/>
  <c r="Q21" i="1"/>
  <c r="R21" i="1"/>
  <c r="S21" i="1"/>
  <c r="T21" i="1"/>
  <c r="U21" i="1"/>
  <c r="P22" i="1"/>
  <c r="Q22" i="1"/>
  <c r="R22" i="1"/>
  <c r="S22" i="1"/>
  <c r="T22" i="1"/>
  <c r="U22" i="1"/>
  <c r="P23" i="1"/>
  <c r="Q23" i="1"/>
  <c r="R23" i="1"/>
  <c r="S23" i="1"/>
  <c r="T23" i="1"/>
  <c r="U23" i="1"/>
  <c r="P24" i="1"/>
  <c r="Q24" i="1"/>
  <c r="R24" i="1"/>
  <c r="S24" i="1"/>
  <c r="T24" i="1"/>
  <c r="U24" i="1"/>
  <c r="P25" i="1"/>
  <c r="Q25" i="1"/>
  <c r="R25" i="1"/>
  <c r="S25" i="1"/>
  <c r="T25" i="1"/>
  <c r="U25" i="1"/>
  <c r="P26" i="1"/>
  <c r="Q26" i="1"/>
  <c r="R26" i="1"/>
  <c r="S26" i="1"/>
  <c r="T26" i="1"/>
  <c r="U26" i="1"/>
  <c r="P27" i="1"/>
  <c r="Q27" i="1"/>
  <c r="R27" i="1"/>
  <c r="S27" i="1"/>
  <c r="T27" i="1"/>
  <c r="U27" i="1"/>
  <c r="P28" i="1"/>
  <c r="Q28" i="1"/>
  <c r="R28" i="1"/>
  <c r="S28" i="1"/>
  <c r="T28" i="1"/>
  <c r="U28" i="1"/>
  <c r="P29" i="1"/>
  <c r="Q29" i="1"/>
  <c r="R29" i="1"/>
  <c r="S29" i="1"/>
  <c r="T29" i="1"/>
  <c r="U29" i="1"/>
  <c r="P30" i="1"/>
  <c r="Q30" i="1"/>
  <c r="R30" i="1"/>
  <c r="S30" i="1"/>
  <c r="T30" i="1"/>
  <c r="U30" i="1"/>
  <c r="P31" i="1"/>
  <c r="Q31" i="1"/>
  <c r="R31" i="1"/>
  <c r="S31" i="1"/>
  <c r="T31" i="1"/>
  <c r="U31" i="1"/>
  <c r="P32" i="1"/>
  <c r="Q32" i="1"/>
  <c r="R32" i="1"/>
  <c r="S32" i="1"/>
  <c r="T32" i="1"/>
  <c r="U32" i="1"/>
  <c r="P33" i="1"/>
  <c r="Q33" i="1"/>
  <c r="R33" i="1"/>
  <c r="S33" i="1"/>
  <c r="T33" i="1"/>
  <c r="U33" i="1"/>
  <c r="P34" i="1"/>
  <c r="Q34" i="1"/>
  <c r="R34" i="1"/>
  <c r="S34" i="1"/>
  <c r="T34" i="1"/>
  <c r="U34" i="1"/>
  <c r="P35" i="1"/>
  <c r="Q35" i="1"/>
  <c r="R35" i="1"/>
  <c r="S35" i="1"/>
  <c r="T35" i="1"/>
  <c r="U35" i="1"/>
  <c r="P36" i="1"/>
  <c r="Q36" i="1"/>
  <c r="R36" i="1"/>
  <c r="S36" i="1"/>
  <c r="T36" i="1"/>
  <c r="U36" i="1"/>
  <c r="P37" i="1"/>
  <c r="Q37" i="1"/>
  <c r="R37" i="1"/>
  <c r="S37" i="1"/>
  <c r="T37" i="1"/>
  <c r="U37" i="1"/>
  <c r="P38" i="1"/>
  <c r="Q38" i="1"/>
  <c r="R38" i="1"/>
  <c r="S38" i="1"/>
  <c r="T38" i="1"/>
  <c r="U38" i="1"/>
  <c r="P39" i="1"/>
  <c r="Q39" i="1"/>
  <c r="R39" i="1"/>
  <c r="S39" i="1"/>
  <c r="T39" i="1"/>
  <c r="U39" i="1"/>
  <c r="P40" i="1"/>
  <c r="Q40" i="1"/>
  <c r="R40" i="1"/>
  <c r="S40" i="1"/>
  <c r="T40" i="1"/>
  <c r="U40" i="1"/>
  <c r="P41" i="1"/>
  <c r="Q41" i="1"/>
  <c r="R41" i="1"/>
  <c r="S41" i="1"/>
  <c r="T41" i="1"/>
  <c r="U41" i="1"/>
  <c r="P42" i="1"/>
  <c r="Q42" i="1"/>
  <c r="R42" i="1"/>
  <c r="S42" i="1"/>
  <c r="T42" i="1"/>
  <c r="U42" i="1"/>
  <c r="P43" i="1"/>
  <c r="Q43" i="1"/>
  <c r="R43" i="1"/>
  <c r="S43" i="1"/>
  <c r="T43" i="1"/>
  <c r="U43" i="1"/>
  <c r="P44" i="1"/>
  <c r="Q44" i="1"/>
  <c r="R44" i="1"/>
  <c r="S44" i="1"/>
  <c r="T44" i="1"/>
  <c r="U44" i="1"/>
  <c r="P45" i="1"/>
  <c r="Q45" i="1"/>
  <c r="R45" i="1"/>
  <c r="S45" i="1"/>
  <c r="T45" i="1"/>
  <c r="U45" i="1"/>
  <c r="P46" i="1"/>
  <c r="Q46" i="1"/>
  <c r="R46" i="1"/>
  <c r="S46" i="1"/>
  <c r="T46" i="1"/>
  <c r="U46" i="1"/>
  <c r="P47" i="1"/>
  <c r="Q47" i="1"/>
  <c r="R47" i="1"/>
  <c r="S47" i="1"/>
  <c r="T47" i="1"/>
  <c r="U47" i="1"/>
  <c r="P48" i="1"/>
  <c r="Q48" i="1"/>
  <c r="R48" i="1"/>
  <c r="S48" i="1"/>
  <c r="T48" i="1"/>
  <c r="U48" i="1"/>
  <c r="P49" i="1"/>
  <c r="Q49" i="1"/>
  <c r="R49" i="1"/>
  <c r="S49" i="1"/>
  <c r="T49" i="1"/>
  <c r="U49" i="1"/>
  <c r="P50" i="1"/>
  <c r="Q50" i="1"/>
  <c r="R50" i="1"/>
  <c r="S50" i="1"/>
  <c r="T50" i="1"/>
  <c r="U50" i="1"/>
  <c r="P51" i="1"/>
  <c r="Q51" i="1"/>
  <c r="R51" i="1"/>
  <c r="S51" i="1"/>
  <c r="T51" i="1"/>
  <c r="U51" i="1"/>
  <c r="P52" i="1"/>
  <c r="Q52" i="1"/>
  <c r="R52" i="1"/>
  <c r="S52" i="1"/>
  <c r="T52" i="1"/>
  <c r="U52" i="1"/>
  <c r="P53" i="1"/>
  <c r="Q53" i="1"/>
  <c r="R53" i="1"/>
  <c r="S53" i="1"/>
  <c r="T53" i="1"/>
  <c r="U53" i="1"/>
  <c r="P54" i="1"/>
  <c r="Q54" i="1"/>
  <c r="R54" i="1"/>
  <c r="S54" i="1"/>
  <c r="T54" i="1"/>
  <c r="U54" i="1"/>
  <c r="P55" i="1"/>
  <c r="Q55" i="1"/>
  <c r="R55" i="1"/>
  <c r="S55" i="1"/>
  <c r="T55" i="1"/>
  <c r="U55" i="1"/>
  <c r="P56" i="1"/>
  <c r="Q56" i="1"/>
  <c r="R56" i="1"/>
  <c r="S56" i="1"/>
  <c r="T56" i="1"/>
  <c r="U56" i="1"/>
  <c r="P57" i="1"/>
  <c r="Q57" i="1"/>
  <c r="R57" i="1"/>
  <c r="S57" i="1"/>
  <c r="T57" i="1"/>
  <c r="U57" i="1"/>
  <c r="P58" i="1"/>
  <c r="Q58" i="1"/>
  <c r="R58" i="1"/>
  <c r="S58" i="1"/>
  <c r="T58" i="1"/>
  <c r="U58" i="1"/>
  <c r="P59" i="1"/>
  <c r="Q59" i="1"/>
  <c r="R59" i="1"/>
  <c r="S59" i="1"/>
  <c r="T59" i="1"/>
  <c r="U59" i="1"/>
  <c r="P60" i="1"/>
  <c r="Q60" i="1"/>
  <c r="R60" i="1"/>
  <c r="S60" i="1"/>
  <c r="T60" i="1"/>
  <c r="U60" i="1"/>
  <c r="P61" i="1"/>
  <c r="Q61" i="1"/>
  <c r="R61" i="1"/>
  <c r="S61" i="1"/>
  <c r="T61" i="1"/>
  <c r="U61" i="1"/>
  <c r="P62" i="1"/>
  <c r="Q62" i="1"/>
  <c r="R62" i="1"/>
  <c r="S62" i="1"/>
  <c r="T62" i="1"/>
  <c r="U62" i="1"/>
  <c r="P63" i="1"/>
  <c r="Q63" i="1"/>
  <c r="R63" i="1"/>
  <c r="S63" i="1"/>
  <c r="T63" i="1"/>
  <c r="U63" i="1"/>
  <c r="P64" i="1"/>
  <c r="Q64" i="1"/>
  <c r="R64" i="1"/>
  <c r="S64" i="1"/>
  <c r="T64" i="1"/>
  <c r="U64" i="1"/>
  <c r="P65" i="1"/>
  <c r="Q65" i="1"/>
  <c r="R65" i="1"/>
  <c r="S65" i="1"/>
  <c r="T65" i="1"/>
  <c r="U65" i="1"/>
  <c r="P66" i="1"/>
  <c r="Q66" i="1"/>
  <c r="R66" i="1"/>
  <c r="S66" i="1"/>
  <c r="T66" i="1"/>
  <c r="U66" i="1"/>
  <c r="P67" i="1"/>
  <c r="Q67" i="1"/>
  <c r="R67" i="1"/>
  <c r="S67" i="1"/>
  <c r="T67" i="1"/>
  <c r="U67" i="1"/>
  <c r="P68" i="1"/>
  <c r="Q68" i="1"/>
  <c r="R68" i="1"/>
  <c r="S68" i="1"/>
  <c r="T68" i="1"/>
  <c r="U68" i="1"/>
  <c r="P69" i="1"/>
  <c r="Q69" i="1"/>
  <c r="R69" i="1"/>
  <c r="S69" i="1"/>
  <c r="T69" i="1"/>
  <c r="U69" i="1"/>
  <c r="P70" i="1"/>
  <c r="Q70" i="1"/>
  <c r="R70" i="1"/>
  <c r="S70" i="1"/>
  <c r="T70" i="1"/>
  <c r="U70" i="1"/>
  <c r="P71" i="1"/>
  <c r="Q71" i="1"/>
  <c r="R71" i="1"/>
  <c r="S71" i="1"/>
  <c r="T71" i="1"/>
  <c r="U71" i="1"/>
  <c r="P72" i="1"/>
  <c r="Q72" i="1"/>
  <c r="R72" i="1"/>
  <c r="S72" i="1"/>
  <c r="T72" i="1"/>
  <c r="U72" i="1"/>
  <c r="P73" i="1"/>
  <c r="Q73" i="1"/>
  <c r="R73" i="1"/>
  <c r="S73" i="1"/>
  <c r="T73" i="1"/>
  <c r="U73" i="1"/>
  <c r="P74" i="1"/>
  <c r="Q74" i="1"/>
  <c r="R74" i="1"/>
  <c r="S74" i="1"/>
  <c r="T74" i="1"/>
  <c r="U74" i="1"/>
  <c r="P75" i="1"/>
  <c r="Q75" i="1"/>
  <c r="R75" i="1"/>
  <c r="S75" i="1"/>
  <c r="T75" i="1"/>
  <c r="U75" i="1"/>
  <c r="P76" i="1"/>
  <c r="Q76" i="1"/>
  <c r="R76" i="1"/>
  <c r="S76" i="1"/>
  <c r="T76" i="1"/>
  <c r="U76" i="1"/>
  <c r="P77" i="1"/>
  <c r="Q77" i="1"/>
  <c r="R77" i="1"/>
  <c r="S77" i="1"/>
  <c r="T77" i="1"/>
  <c r="U77" i="1"/>
  <c r="P78" i="1"/>
  <c r="Q78" i="1"/>
  <c r="R78" i="1"/>
  <c r="S78" i="1"/>
  <c r="T78" i="1"/>
  <c r="U78" i="1"/>
  <c r="P79" i="1"/>
  <c r="Q79" i="1"/>
  <c r="R79" i="1"/>
  <c r="S79" i="1"/>
  <c r="T79" i="1"/>
  <c r="U79" i="1"/>
  <c r="P80" i="1"/>
  <c r="Q80" i="1"/>
  <c r="R80" i="1"/>
  <c r="S80" i="1"/>
  <c r="T80" i="1"/>
  <c r="U80" i="1"/>
  <c r="P81" i="1"/>
  <c r="Q81" i="1"/>
  <c r="R81" i="1"/>
  <c r="S81" i="1"/>
  <c r="T81" i="1"/>
  <c r="U81" i="1"/>
  <c r="P82" i="1"/>
  <c r="Q82" i="1"/>
  <c r="R82" i="1"/>
  <c r="S82" i="1"/>
  <c r="T82" i="1"/>
  <c r="U82" i="1"/>
  <c r="P83" i="1"/>
  <c r="Q83" i="1"/>
  <c r="R83" i="1"/>
  <c r="S83" i="1"/>
  <c r="T83" i="1"/>
  <c r="U83" i="1"/>
  <c r="P84" i="1"/>
  <c r="Q84" i="1"/>
  <c r="R84" i="1"/>
  <c r="S84" i="1"/>
  <c r="T84" i="1"/>
  <c r="U84" i="1"/>
  <c r="P85" i="1"/>
  <c r="Q85" i="1"/>
  <c r="R85" i="1"/>
  <c r="S85" i="1"/>
  <c r="T85" i="1"/>
  <c r="U85" i="1"/>
  <c r="P86" i="1"/>
  <c r="Q86" i="1"/>
  <c r="R86" i="1"/>
  <c r="S86" i="1"/>
  <c r="T86" i="1"/>
  <c r="U86" i="1"/>
  <c r="P87" i="1"/>
  <c r="Q87" i="1"/>
  <c r="R87" i="1"/>
  <c r="S87" i="1"/>
  <c r="T87" i="1"/>
  <c r="U87" i="1"/>
  <c r="P88" i="1"/>
  <c r="Q88" i="1"/>
  <c r="R88" i="1"/>
  <c r="S88" i="1"/>
  <c r="T88" i="1"/>
  <c r="U88" i="1"/>
  <c r="P89" i="1"/>
  <c r="Q89" i="1"/>
  <c r="R89" i="1"/>
  <c r="S89" i="1"/>
  <c r="T89" i="1"/>
  <c r="U89" i="1"/>
  <c r="P90" i="1"/>
  <c r="Q90" i="1"/>
  <c r="R90" i="1"/>
  <c r="S90" i="1"/>
  <c r="T90" i="1"/>
  <c r="U90" i="1"/>
  <c r="P91" i="1"/>
  <c r="Q91" i="1"/>
  <c r="R91" i="1"/>
  <c r="S91" i="1"/>
  <c r="T91" i="1"/>
  <c r="U91" i="1"/>
  <c r="P92" i="1"/>
  <c r="Q92" i="1"/>
  <c r="R92" i="1"/>
  <c r="S92" i="1"/>
  <c r="T92" i="1"/>
  <c r="U92" i="1"/>
  <c r="P93" i="1"/>
  <c r="Q93" i="1"/>
  <c r="R93" i="1"/>
  <c r="S93" i="1"/>
  <c r="T93" i="1"/>
  <c r="U93" i="1"/>
  <c r="P94" i="1"/>
  <c r="Q94" i="1"/>
  <c r="R94" i="1"/>
  <c r="S94" i="1"/>
  <c r="T94" i="1"/>
  <c r="U94" i="1"/>
  <c r="P95" i="1"/>
  <c r="Q95" i="1"/>
  <c r="R95" i="1"/>
  <c r="S95" i="1"/>
  <c r="T95" i="1"/>
  <c r="U95" i="1"/>
  <c r="P96" i="1"/>
  <c r="Q96" i="1"/>
  <c r="R96" i="1"/>
  <c r="S96" i="1"/>
  <c r="T96" i="1"/>
  <c r="U96" i="1"/>
  <c r="P97" i="1"/>
  <c r="Q97" i="1"/>
  <c r="R97" i="1"/>
  <c r="S97" i="1"/>
  <c r="T97" i="1"/>
  <c r="U97" i="1"/>
  <c r="P98" i="1"/>
  <c r="Q98" i="1"/>
  <c r="R98" i="1"/>
  <c r="S98" i="1"/>
  <c r="T98" i="1"/>
  <c r="U98" i="1"/>
  <c r="P99" i="1"/>
  <c r="Q99" i="1"/>
  <c r="R99" i="1"/>
  <c r="S99" i="1"/>
  <c r="T99" i="1"/>
  <c r="U99" i="1"/>
  <c r="P100" i="1"/>
  <c r="Q100" i="1"/>
  <c r="R100" i="1"/>
  <c r="S100" i="1"/>
  <c r="T100" i="1"/>
  <c r="U100" i="1"/>
  <c r="P101" i="1"/>
  <c r="Q101" i="1"/>
  <c r="R101" i="1"/>
  <c r="S101" i="1"/>
  <c r="T101" i="1"/>
  <c r="U101" i="1"/>
  <c r="P102" i="1"/>
  <c r="Q102" i="1"/>
  <c r="R102" i="1"/>
  <c r="S102" i="1"/>
  <c r="T102" i="1"/>
  <c r="U102" i="1"/>
  <c r="P103" i="1"/>
  <c r="Q103" i="1"/>
  <c r="R103" i="1"/>
  <c r="S103" i="1"/>
  <c r="T103" i="1"/>
  <c r="U103" i="1"/>
  <c r="P104" i="1"/>
  <c r="Q104" i="1"/>
  <c r="R104" i="1"/>
  <c r="S104" i="1"/>
  <c r="T104" i="1"/>
  <c r="U104" i="1"/>
  <c r="P105" i="1"/>
  <c r="Q105" i="1"/>
  <c r="R105" i="1"/>
  <c r="S105" i="1"/>
  <c r="T105" i="1"/>
  <c r="U105" i="1"/>
  <c r="P106" i="1"/>
  <c r="Q106" i="1"/>
  <c r="R106" i="1"/>
  <c r="S106" i="1"/>
  <c r="T106" i="1"/>
  <c r="U106" i="1"/>
  <c r="P107" i="1"/>
  <c r="Q107" i="1"/>
  <c r="R107" i="1"/>
  <c r="S107" i="1"/>
  <c r="T107" i="1"/>
  <c r="U107" i="1"/>
  <c r="P108" i="1"/>
  <c r="Q108" i="1"/>
  <c r="R108" i="1"/>
  <c r="S108" i="1"/>
  <c r="T108" i="1"/>
  <c r="U108" i="1"/>
  <c r="P109" i="1"/>
  <c r="Q109" i="1"/>
  <c r="R109" i="1"/>
  <c r="S109" i="1"/>
  <c r="T109" i="1"/>
  <c r="U109" i="1"/>
  <c r="P110" i="1"/>
  <c r="Q110" i="1"/>
  <c r="R110" i="1"/>
  <c r="S110" i="1"/>
  <c r="T110" i="1"/>
  <c r="U110" i="1"/>
  <c r="P111" i="1"/>
  <c r="Q111" i="1"/>
  <c r="R111" i="1"/>
  <c r="S111" i="1"/>
  <c r="T111" i="1"/>
  <c r="U111" i="1"/>
  <c r="P112" i="1"/>
  <c r="Q112" i="1"/>
  <c r="R112" i="1"/>
  <c r="S112" i="1"/>
  <c r="T112" i="1"/>
  <c r="U112" i="1"/>
  <c r="P113" i="1"/>
  <c r="Q113" i="1"/>
  <c r="R113" i="1"/>
  <c r="S113" i="1"/>
  <c r="T113" i="1"/>
  <c r="U113" i="1"/>
  <c r="P114" i="1"/>
  <c r="Q114" i="1"/>
  <c r="R114" i="1"/>
  <c r="S114" i="1"/>
  <c r="T114" i="1"/>
  <c r="U114" i="1"/>
  <c r="P115" i="1"/>
  <c r="Q115" i="1"/>
  <c r="R115" i="1"/>
  <c r="S115" i="1"/>
  <c r="T115" i="1"/>
  <c r="U115" i="1"/>
  <c r="P116" i="1"/>
  <c r="Q116" i="1"/>
  <c r="R116" i="1"/>
  <c r="S116" i="1"/>
  <c r="T116" i="1"/>
  <c r="U116" i="1"/>
  <c r="P117" i="1"/>
  <c r="Q117" i="1"/>
  <c r="R117" i="1"/>
  <c r="S117" i="1"/>
  <c r="T117" i="1"/>
  <c r="U117" i="1"/>
  <c r="P118" i="1"/>
  <c r="Q118" i="1"/>
  <c r="R118" i="1"/>
  <c r="S118" i="1"/>
  <c r="T118" i="1"/>
  <c r="U118" i="1"/>
  <c r="P119" i="1"/>
  <c r="Q119" i="1"/>
  <c r="R119" i="1"/>
  <c r="S119" i="1"/>
  <c r="T119" i="1"/>
  <c r="U119" i="1"/>
  <c r="P120" i="1"/>
  <c r="Q120" i="1"/>
  <c r="R120" i="1"/>
  <c r="S120" i="1"/>
  <c r="T120" i="1"/>
  <c r="U120" i="1"/>
  <c r="P121" i="1"/>
  <c r="Q121" i="1"/>
  <c r="R121" i="1"/>
  <c r="S121" i="1"/>
  <c r="T121" i="1"/>
  <c r="U121" i="1"/>
  <c r="P122" i="1"/>
  <c r="Q122" i="1"/>
  <c r="R122" i="1"/>
  <c r="S122" i="1"/>
  <c r="T122" i="1"/>
  <c r="U122" i="1"/>
  <c r="P123" i="1"/>
  <c r="Q123" i="1"/>
  <c r="R123" i="1"/>
  <c r="S123" i="1"/>
  <c r="T123" i="1"/>
  <c r="U123" i="1"/>
  <c r="P124" i="1"/>
  <c r="Q124" i="1"/>
  <c r="R124" i="1"/>
  <c r="S124" i="1"/>
  <c r="T124" i="1"/>
  <c r="U124" i="1"/>
  <c r="P125" i="1"/>
  <c r="Q125" i="1"/>
  <c r="R125" i="1"/>
  <c r="S125" i="1"/>
  <c r="T125" i="1"/>
  <c r="U125" i="1"/>
  <c r="P126" i="1"/>
  <c r="Q126" i="1"/>
  <c r="R126" i="1"/>
  <c r="S126" i="1"/>
  <c r="T126" i="1"/>
  <c r="U126" i="1"/>
  <c r="P127" i="1"/>
  <c r="Q127" i="1"/>
  <c r="R127" i="1"/>
  <c r="S127" i="1"/>
  <c r="T127" i="1"/>
  <c r="U127" i="1"/>
  <c r="P128" i="1"/>
  <c r="Q128" i="1"/>
  <c r="R128" i="1"/>
  <c r="S128" i="1"/>
  <c r="T128" i="1"/>
  <c r="U128" i="1"/>
  <c r="P129" i="1"/>
  <c r="Q129" i="1"/>
  <c r="R129" i="1"/>
  <c r="S129" i="1"/>
  <c r="T129" i="1"/>
  <c r="U129" i="1"/>
  <c r="P130" i="1"/>
  <c r="Q130" i="1"/>
  <c r="R130" i="1"/>
  <c r="S130" i="1"/>
  <c r="T130" i="1"/>
  <c r="U130" i="1"/>
  <c r="P131" i="1"/>
  <c r="Q131" i="1"/>
  <c r="R131" i="1"/>
  <c r="S131" i="1"/>
  <c r="T131" i="1"/>
  <c r="U131" i="1"/>
  <c r="P132" i="1"/>
  <c r="Q132" i="1"/>
  <c r="R132" i="1"/>
  <c r="S132" i="1"/>
  <c r="T132" i="1"/>
  <c r="U132" i="1"/>
  <c r="P133" i="1"/>
  <c r="Q133" i="1"/>
  <c r="R133" i="1"/>
  <c r="S133" i="1"/>
  <c r="T133" i="1"/>
  <c r="U133" i="1"/>
  <c r="P134" i="1"/>
  <c r="Q134" i="1"/>
  <c r="R134" i="1"/>
  <c r="S134" i="1"/>
  <c r="T134" i="1"/>
  <c r="U134" i="1"/>
  <c r="P135" i="1"/>
  <c r="Q135" i="1"/>
  <c r="R135" i="1"/>
  <c r="S135" i="1"/>
  <c r="T135" i="1"/>
  <c r="U135" i="1"/>
  <c r="P136" i="1"/>
  <c r="Q136" i="1"/>
  <c r="R136" i="1"/>
  <c r="S136" i="1"/>
  <c r="T136" i="1"/>
  <c r="U136" i="1"/>
  <c r="P137" i="1"/>
  <c r="Q137" i="1"/>
  <c r="R137" i="1"/>
  <c r="S137" i="1"/>
  <c r="T137" i="1"/>
  <c r="U137" i="1"/>
  <c r="P138" i="1"/>
  <c r="Q138" i="1"/>
  <c r="R138" i="1"/>
  <c r="S138" i="1"/>
  <c r="T138" i="1"/>
  <c r="U138" i="1"/>
  <c r="P139" i="1"/>
  <c r="Q139" i="1"/>
  <c r="R139" i="1"/>
  <c r="S139" i="1"/>
  <c r="T139" i="1"/>
  <c r="U139" i="1"/>
  <c r="P140" i="1"/>
  <c r="Q140" i="1"/>
  <c r="R140" i="1"/>
  <c r="S140" i="1"/>
  <c r="T140" i="1"/>
  <c r="U140" i="1"/>
  <c r="D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U5" i="1" l="1"/>
  <c r="T5" i="1"/>
  <c r="S5" i="1"/>
  <c r="R5" i="1"/>
  <c r="Q5" i="1"/>
  <c r="P5" i="1"/>
  <c r="U4" i="1"/>
  <c r="T4" i="1"/>
  <c r="S4" i="1"/>
  <c r="R4" i="1"/>
  <c r="Q4" i="1"/>
  <c r="P4" i="1"/>
  <c r="U3" i="1"/>
  <c r="T3" i="1"/>
  <c r="S3" i="1"/>
  <c r="R3" i="1"/>
  <c r="Q3" i="1"/>
  <c r="P3" i="1"/>
  <c r="U2" i="1"/>
  <c r="T2" i="1"/>
  <c r="S2" i="1"/>
  <c r="R2" i="1"/>
  <c r="Q2" i="1"/>
  <c r="P2" i="1"/>
  <c r="P2" i="2" l="1" a="1"/>
  <c r="P2" i="2" s="1"/>
  <c r="P7" i="2" a="1"/>
  <c r="P7" i="2" s="1"/>
  <c r="P3" i="2" a="1"/>
  <c r="P3" i="2" s="1"/>
  <c r="P5" i="2" a="1"/>
  <c r="P5" i="2" s="1"/>
  <c r="P4" i="2" a="1"/>
  <c r="P4" i="2" s="1"/>
  <c r="P6" i="2" a="1"/>
  <c r="P6" i="2" s="1"/>
  <c r="G4" i="1"/>
  <c r="G5" i="1"/>
  <c r="G8" i="1"/>
  <c r="G9" i="1"/>
  <c r="G12" i="1"/>
  <c r="G13" i="1"/>
  <c r="G16" i="1"/>
  <c r="G17" i="1"/>
  <c r="G20" i="1"/>
  <c r="G21" i="1"/>
  <c r="G24" i="1"/>
  <c r="G25" i="1"/>
  <c r="G28" i="1"/>
  <c r="G32" i="1"/>
  <c r="G36" i="1"/>
  <c r="G40" i="1"/>
  <c r="G44" i="1"/>
  <c r="G7" i="1"/>
  <c r="G11" i="1"/>
  <c r="G27" i="1"/>
  <c r="G31" i="1"/>
  <c r="G35" i="1"/>
  <c r="G39" i="1"/>
  <c r="G43" i="1"/>
  <c r="G29" i="1"/>
  <c r="G33" i="1"/>
  <c r="G37" i="1"/>
  <c r="G41" i="1"/>
  <c r="G45" i="1"/>
  <c r="G3" i="1"/>
  <c r="G10" i="1"/>
  <c r="G15" i="1"/>
  <c r="G18" i="1"/>
  <c r="G19" i="1"/>
  <c r="G22" i="1"/>
  <c r="G23" i="1"/>
  <c r="G26" i="1"/>
  <c r="G30" i="1"/>
  <c r="G34" i="1"/>
  <c r="G38" i="1"/>
  <c r="G42" i="1"/>
  <c r="G46" i="1"/>
  <c r="G2" i="1"/>
  <c r="G6" i="1"/>
  <c r="G14" i="1"/>
  <c r="G141" i="1" l="1"/>
</calcChain>
</file>

<file path=xl/sharedStrings.xml><?xml version="1.0" encoding="utf-8"?>
<sst xmlns="http://schemas.openxmlformats.org/spreadsheetml/2006/main" count="1098" uniqueCount="889">
  <si>
    <t>Model</t>
  </si>
  <si>
    <t>#</t>
  </si>
  <si>
    <t>Part</t>
  </si>
  <si>
    <t>Detail</t>
  </si>
  <si>
    <t>Stimulus</t>
  </si>
  <si>
    <t>1. Best Use</t>
  </si>
  <si>
    <t>Question</t>
  </si>
  <si>
    <t>Key</t>
  </si>
  <si>
    <t>Students are given a stimulus and asked to evaluate and classify (identify) best use.</t>
  </si>
  <si>
    <t>Option_1</t>
  </si>
  <si>
    <t>Class</t>
  </si>
  <si>
    <t>Option_2</t>
  </si>
  <si>
    <t>2. POV</t>
  </si>
  <si>
    <t>Option_3</t>
  </si>
  <si>
    <t>Period</t>
  </si>
  <si>
    <t>Students are given a stimulus and asked to identify point of view, purpose, context, bias, format of source, location of source in time and/or place, and/or intended audience of sources using background knowledge.</t>
  </si>
  <si>
    <t>Option_4</t>
  </si>
  <si>
    <t>MC</t>
  </si>
  <si>
    <t>1</t>
  </si>
  <si>
    <t>2</t>
  </si>
  <si>
    <t>3</t>
  </si>
  <si>
    <t>3. Claim Validity (With Outside Information)</t>
  </si>
  <si>
    <t>Stimulus_type</t>
  </si>
  <si>
    <t>4</t>
  </si>
  <si>
    <t>5</t>
  </si>
  <si>
    <t>6</t>
  </si>
  <si>
    <t>Source_type</t>
  </si>
  <si>
    <t>Students are given a stimulus and asked to identify support for a claim found in the stimulus (bound in the same timeframe/event/space). It must require students to draw on their knowledge rather than on straight comprehension of text.</t>
  </si>
  <si>
    <t>Bermejo</t>
  </si>
  <si>
    <t>ELL</t>
  </si>
  <si>
    <t>Task_model</t>
  </si>
  <si>
    <t>4. Claim Validity (Without Outside Information)</t>
  </si>
  <si>
    <t>IEP</t>
  </si>
  <si>
    <t>Skill_standard</t>
  </si>
  <si>
    <t>Students are given a stimulus and asked to select a plausible claim that logically follows from evidence presented.</t>
  </si>
  <si>
    <t>Need_OI?</t>
  </si>
  <si>
    <t>5. Turning Point</t>
  </si>
  <si>
    <t>Content_standard</t>
  </si>
  <si>
    <t>Final</t>
  </si>
  <si>
    <t>Students are given a stimulus and asked to identify the significance of a turning point in history.</t>
  </si>
  <si>
    <t>Pct_Correct</t>
  </si>
  <si>
    <t>6. Change Over Time</t>
  </si>
  <si>
    <t>Dushin</t>
  </si>
  <si>
    <t>Point_Biserial</t>
  </si>
  <si>
    <t>Students are given a stimulus and asked to identify significance of an event, action, idea, or development as part of change or part of continuity in history.</t>
  </si>
  <si>
    <t>Klein / Cooper</t>
  </si>
  <si>
    <t>7. Cause</t>
  </si>
  <si>
    <t>Students are given a stimulus and asked to identify a central cause of the described phenomenon.</t>
  </si>
  <si>
    <t>Part I</t>
  </si>
  <si>
    <t>8. Effect</t>
  </si>
  <si>
    <t>Students are given a stimulus and asked to identify a central effect of the described phenomenon.</t>
  </si>
  <si>
    <t>9. Impact of Setting</t>
  </si>
  <si>
    <t>Students are given a stimulus and asked to identify the impact of time and place on an issue or event linked to that stimulus.</t>
  </si>
  <si>
    <t>10. Compare</t>
  </si>
  <si>
    <t>Students are given one stimulus or two stimuli and asked to identify a similarity in the described phenomenon (historical development, historical event, geographic setting, economic situation, individual’s action/belief) (implicit comparison).</t>
  </si>
  <si>
    <t>SEQ</t>
  </si>
  <si>
    <t>11. Contrast</t>
  </si>
  <si>
    <t>Q1</t>
  </si>
  <si>
    <t>Students are given one/two stimuli and asked to identify a difference in the described phenomenon (historical development, historical event, geographic setting, economic situation, individual’s action/belief) (implicit comparison).</t>
  </si>
  <si>
    <t>Q2</t>
  </si>
  <si>
    <t>Q3</t>
  </si>
  <si>
    <t>12. Informed Civic Action</t>
  </si>
  <si>
    <t>Q4</t>
  </si>
  <si>
    <t>Students are given a stimulus and asked to identify an informed action taken by an individual, group, or government connected to civic activism.</t>
  </si>
  <si>
    <t>Q5</t>
  </si>
  <si>
    <t>Q6</t>
  </si>
  <si>
    <t>13. Interpret Visual Data</t>
  </si>
  <si>
    <t>Students are given a visual stimulus such as a map, graph, chart, timeline, cartoon, or photograph and asked to extract and interpret relevant information to answer a question.</t>
  </si>
  <si>
    <t>14. Stakeholder Issue</t>
  </si>
  <si>
    <t>Students are given one stimulus or two stimuli and asked to identify a stakeholder or a stakeholder’s issue.</t>
  </si>
  <si>
    <t>15. Recommended Action</t>
  </si>
  <si>
    <t>Students are given a stimulus and asked to identify a course of action recommended by a historical figure, a group, or a government.</t>
  </si>
  <si>
    <t>16. Sequence of Events</t>
  </si>
  <si>
    <t>Students are given a stimulus and asked to identify how historical events are related chronologically.</t>
  </si>
  <si>
    <t>17. Problem</t>
  </si>
  <si>
    <t>Students are given one stimulus or two stimuli and asked to identify a problem (issue).</t>
  </si>
  <si>
    <t>18. Response to Problem</t>
  </si>
  <si>
    <t>Students are given one stimulus or two stimuli and asked to identify a response to a problem (issue).</t>
  </si>
  <si>
    <t>Standard</t>
  </si>
  <si>
    <t>Concept</t>
  </si>
  <si>
    <t>Specification</t>
  </si>
  <si>
    <t>A. Gathering, Interpreting, and Using Evidence</t>
  </si>
  <si>
    <t>A.1: Framing Questions &amp; Hypotheses</t>
  </si>
  <si>
    <t>Define and frame questions about events and the world in which we live, form hypotheses as potential answers to these questions, use evidence to answer these questions, and consider and analyze counter-hypotheses.</t>
  </si>
  <si>
    <t>A.2: Evaluating Sources</t>
  </si>
  <si>
    <t>Identify, describe, and evaluate evidence about events from diverse sources (including written documents, works of art, photographs, charts and graphs, artifacts, oral traditions, and other primary and secondary sources).</t>
  </si>
  <si>
    <t>A.3: Sourcing &amp; Point of View</t>
  </si>
  <si>
    <t>Analyze evidence in terms of content, authorship, point of view, bias, purpose, format, and audience.</t>
  </si>
  <si>
    <t>A.4: Evaluating Arguments</t>
  </si>
  <si>
    <t>Describe, analyze, and evaluate arguments of others.</t>
  </si>
  <si>
    <t>A.5: Inferences &amp; Conclusions</t>
  </si>
  <si>
    <t>Make inferences and draw conclusions from evidence.</t>
  </si>
  <si>
    <t>A.6: Constructing Arguments</t>
  </si>
  <si>
    <t>Deconstruct and construct plausible and persuasive arguments, using evidence.</t>
  </si>
  <si>
    <t>A.7: Synthesizing Evidence</t>
  </si>
  <si>
    <t>Create meaningful and persuasive understandings of the past by fusing disparate and relevant evidence from primary and secondary sources and drawing connections to the present.</t>
  </si>
  <si>
    <t>B. Chronological Reasoning and Causation</t>
  </si>
  <si>
    <t>B.1: Chronological Relationships</t>
  </si>
  <si>
    <t>Articulate how events are related chronologically to one another in time and explain the ways in which earlier ideas and events may influence subsequent ideas and events.</t>
  </si>
  <si>
    <t>B.2: Cause &amp; Effect</t>
  </si>
  <si>
    <t>Identify causes and effects using examples from different time periods and courses of study across several grade levels.</t>
  </si>
  <si>
    <t>B.3: Multiple Causes &amp; Effects</t>
  </si>
  <si>
    <t>Identify, analyze, and evaluate the relationship between multiple causes and effects</t>
  </si>
  <si>
    <t>B.4: Long-Term vs. Immediate Causes</t>
  </si>
  <si>
    <t>Distinguish between long-term and immediate causes and multiple effects (time, continuity, and change).</t>
  </si>
  <si>
    <t>Part II</t>
  </si>
  <si>
    <t>B.5: Continuity &amp; Change</t>
  </si>
  <si>
    <t>Recognize, analyze, and evaluate dynamics of historical continuity and change over periods of time and investigate factors that caused those changes over time.</t>
  </si>
  <si>
    <t>B.6: Periodization &amp; Perspective</t>
  </si>
  <si>
    <t>Recognize that choice of specific periodization favors or advantages one narrative, region, or group over another narrative, region, or group.</t>
  </si>
  <si>
    <t>B.7: Patterns &amp; Historical Themes</t>
  </si>
  <si>
    <t>Relate patterns of continuity and change to larger historical processes and themes.</t>
  </si>
  <si>
    <t>B.8: Models of Periodization</t>
  </si>
  <si>
    <t>Describe, analyze, evaluate, and construct models of historical periodization that historians use to categorize events.</t>
  </si>
  <si>
    <t>C. Comparison and Contextualization</t>
  </si>
  <si>
    <t>C.1: Comparing Regions</t>
  </si>
  <si>
    <t>Identify similarities and differences between geographic regions across historical time periods, and relate differences in geography to different historical events and outcomes.</t>
  </si>
  <si>
    <t>C.2: Multiple Perspectives</t>
  </si>
  <si>
    <t>Identify, compare, and evaluate multiple perspectives on a given historical experience.</t>
  </si>
  <si>
    <t>C.3: Comparing Developments</t>
  </si>
  <si>
    <t>Identify and compare similarities and differences between historical developments over time and in different geographical and cultural contexts.</t>
  </si>
  <si>
    <t>C.4: Comparing Societies</t>
  </si>
  <si>
    <t>Describe, compare, and evaluate multiple historical developments (within societies; across and between societies; in various chronological and geographical contexts).</t>
  </si>
  <si>
    <t>C.5: Geography, Economics &amp; History</t>
  </si>
  <si>
    <t>Recognize the relationship between geography, economics, and history as a context for events and movements and as a matrix of time and place.</t>
  </si>
  <si>
    <t>C.6: Historical Context</t>
  </si>
  <si>
    <t>Connect historical developments to specific circumstances of time and place and to broader regional, national, or global processes and draw connections to the present (where appropriate).</t>
  </si>
  <si>
    <t>D. Geographic Reasoning</t>
  </si>
  <si>
    <t>D.1: Asking Geographic Questions</t>
  </si>
  <si>
    <t>Ask geographic questions about where places are located, why their locations are important, and how their locations are related to the locations of other places and people.</t>
  </si>
  <si>
    <t>D.2: Spatial Relationships</t>
  </si>
  <si>
    <t>Framework</t>
  </si>
  <si>
    <t>Identify, describe, and evaluate the relationships between people, places, regions, and environments by using geographic tools to place them in a spatial context.</t>
  </si>
  <si>
    <t>Specifications</t>
  </si>
  <si>
    <t>10.01a.1</t>
  </si>
  <si>
    <t>D.3: Humans &amp; the Environment</t>
  </si>
  <si>
    <t>Mughal &amp; Ottoman (c. 1750)</t>
  </si>
  <si>
    <t>Identify, analyze, and evaluate the relationship between the environment and human activities, how the physical environment is modified by human activities, and how human activities are also influenced by Earth’s physical features and processes.</t>
  </si>
  <si>
    <t>Students will compare and contrast the Mughal Empire and the Ottoman Empire in 1750 in terms of religious and ethnic tolerance, political organization, and commercial activity.</t>
  </si>
  <si>
    <t>10.01a.2</t>
  </si>
  <si>
    <t>Tokugawa Shogunate</t>
  </si>
  <si>
    <t>D.4: Patterns &amp; Processes</t>
  </si>
  <si>
    <t>Students will examine efforts to unify, stabilize, and centralize Japan under the rule of the Tokugawa Shogunate.</t>
  </si>
  <si>
    <t>Recognize and interpret (at different scales) the relationships between patterns and processes.</t>
  </si>
  <si>
    <t>10.01a.3</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</si>
  <si>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</si>
  <si>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</si>
  <si>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10.01b.1</t>
  </si>
  <si>
    <t>D.5: Place &amp; Regional Influence</t>
  </si>
  <si>
    <t>Tokugawa &amp; Mughal Responses to Outsiders</t>
  </si>
  <si>
    <t>Students will compare and contrast the Tokugawa and Mughal responses to outsiders, with attention to the impacts of those decisions.</t>
  </si>
  <si>
    <t>Recognize and analyze how place and region influence the social, cultural, and economic characteristics of civilizations.</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</si>
  <si>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</si>
  <si>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</si>
  <si>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</si>
  <si>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D.6: Connections Between Regions</t>
  </si>
  <si>
    <t>10.01b.3</t>
  </si>
  <si>
    <t>Comparing Empire's Geography &amp; Power</t>
  </si>
  <si>
    <t>Characterize and analyze changing connections between places and regions.</t>
  </si>
  <si>
    <t>Students will compare the size of these states, empires, and kingdoms relative to the power they wielded in their regions and in the world.</t>
  </si>
  <si>
    <t>10.02a.1</t>
  </si>
  <si>
    <t>Political Philosophies</t>
  </si>
  <si>
    <t>E. Economics and Economics Systems</t>
  </si>
  <si>
    <t>Students will examine at least three Enlightenment thinkers, including John Locke, Baron de Montesquieu, and Jean-Jacques Rousseau, and key ideas from their written works.</t>
  </si>
  <si>
    <t>E.1: Marginal Benefits &amp; Costs</t>
  </si>
  <si>
    <t>10.02b.1</t>
  </si>
  <si>
    <t>Gender &amp; Abolition</t>
  </si>
  <si>
    <t>Use marginal benefits and marginal costs to construct an argument for or against an approach or solution to an economic issue.</t>
  </si>
  <si>
    <t>Students will explore the influence of Enlightenment ideals on issues of gender and abolition by examining the ideas of individuals such as Mary Wollstonecraft and William Wilberforce.</t>
  </si>
  <si>
    <t>10.02b.2</t>
  </si>
  <si>
    <t>Enlightened Despots</t>
  </si>
  <si>
    <t>Students will examine enlightened despots including Catherine the Great.</t>
  </si>
  <si>
    <t>E.2: Incentives in Markets</t>
  </si>
  <si>
    <t>10.02c.1</t>
  </si>
  <si>
    <t>French Revolutions</t>
  </si>
  <si>
    <t>Analyze the ways in which incentives influence what is produced and distributed in a market system.</t>
  </si>
  <si>
    <t>Students will examine evidence related to the preconditions of the French Revolution and the course of the revolution, noting the roles of Olympe de Gouges, Maximilien Robespierre, and Napoleon Bonaparte.</t>
  </si>
  <si>
    <t>10.02c.2</t>
  </si>
  <si>
    <t>Latin American Revolutions</t>
  </si>
  <si>
    <t>Students will examine the evidence related to the impacts of the French Revolution on resistance and revolutionary movements, noting the roles of Toussaint L'Ouverture and Simon Bolivar.</t>
  </si>
  <si>
    <t>E.3: Market Competition</t>
  </si>
  <si>
    <t>10.02d.1</t>
  </si>
  <si>
    <t>Evaluate the extent to which competition between sellers and between buyers exists in specific markets.</t>
  </si>
  <si>
    <t>Italy, Germany &amp; Ottoman, Austrian</t>
  </si>
  <si>
    <t>Students will investigate the role of cultural identity and nationalism in the unification of Italy and Germany and in the dissolution of the Ottoman and Austrian Empires.</t>
  </si>
  <si>
    <t>10.03a.1</t>
  </si>
  <si>
    <t>E.4: Property Rights &amp; Rule of Law</t>
  </si>
  <si>
    <t>British Agricultural Revolution</t>
  </si>
  <si>
    <t>Students will examine the agricultural revolution in Great Britain.</t>
  </si>
  <si>
    <t>Describe concepts of property rights and rule of law as they apply to a market economy.</t>
  </si>
  <si>
    <t>10.03b.1</t>
  </si>
  <si>
    <t>Industrial Production &amp; Economic Practices</t>
  </si>
  <si>
    <t>Students will analyze the factors and conditions needed to industrialize and to expand industrial production, as well as shifts in economic practices.</t>
  </si>
  <si>
    <t>10.03b.2</t>
  </si>
  <si>
    <t>E.5: Economic Indicators</t>
  </si>
  <si>
    <t>Wealth of Nations</t>
  </si>
  <si>
    <t>Students will examine the economic theory presented in The Wealth of Nations.</t>
  </si>
  <si>
    <t>10.03b.3</t>
  </si>
  <si>
    <t>Use economic indicators to analyze the current and future state of the economy.</t>
  </si>
  <si>
    <t>Energy, Technology, Communication, &amp; Transportation</t>
  </si>
  <si>
    <t>Students will examine changes and innovations in energy, technology, communication, and transportation that enabled industrialization.</t>
  </si>
  <si>
    <t>10.03c.1</t>
  </si>
  <si>
    <t>E.6: Government Economic Policy</t>
  </si>
  <si>
    <t>Comparing Victorian England &amp; Meiji Japan</t>
  </si>
  <si>
    <t>Students will investigate the social, political, and economic impacts of industrialization in Victorian England and Meiji Japan and compare and contrast them.</t>
  </si>
  <si>
    <t>Analyze government economic policies and the effects on the national and global economy.</t>
  </si>
  <si>
    <t>10.03d.1</t>
  </si>
  <si>
    <t>Suffrage, Education/ Labor Reforms, &amp; Marxism</t>
  </si>
  <si>
    <t>F. Civic Participation</t>
  </si>
  <si>
    <t>Students will investigate suffrage, education, and labor reforms, as well as ideologies such as Marxism, that were intended to transform society.</t>
  </si>
  <si>
    <t>F.1: Respectful Civil Discourse</t>
  </si>
  <si>
    <t>10.03d.2</t>
  </si>
  <si>
    <t>Irish Potato Famine</t>
  </si>
  <si>
    <t>Demonstrate respect for the rights of others in discussions and classroom debates; respectfully disagree with other viewpoints and provide evidence for a counter-argument.</t>
  </si>
  <si>
    <t>Students will examine the Irish potato famine within the context of the British agricultural revolution and Industrial Revolution.</t>
  </si>
  <si>
    <t>10.04a.1</t>
  </si>
  <si>
    <t>Perspectives on Imperialism</t>
  </si>
  <si>
    <t>Students will explore imperialism from a variety of perspectives such as those of missionaries, indigenous peoples, women, merchants/business people, and government officials.</t>
  </si>
  <si>
    <t>F.2: Civic Engagement</t>
  </si>
  <si>
    <t>10.04a.2</t>
  </si>
  <si>
    <t>Control &amp; Spheres of Influence in Africa &amp; China</t>
  </si>
  <si>
    <t>Participate in activities that focus on a classroom, school, community, state, or national issue or problem.</t>
  </si>
  <si>
    <t>Students will trace how imperial powers politically and economically controlled territories and people, including direct and indirect rule in Africa (South Africa, Congo, and one other territory), India, Indochina, and spheres of influence in China.</t>
  </si>
  <si>
    <t>10.04b.1</t>
  </si>
  <si>
    <t>Resistance in Africa &amp; China</t>
  </si>
  <si>
    <t>Students will investigate one example of resistance in Africa (Zulu, Ethiopia, or Southern Egypt/Sudan) and one in China (Taiping Rebellion or Boxer Rebellion and the role of Empress Dowager CiXi).</t>
  </si>
  <si>
    <t>F.3: Philosophies of Participation</t>
  </si>
  <si>
    <t>10.04b.2</t>
  </si>
  <si>
    <t>Japanese Reaction to Western Imperialism</t>
  </si>
  <si>
    <t>Explain differing philosophies of social and political participation and the role of the individual leading to group-driven philosophies.</t>
  </si>
  <si>
    <t>Students will investigate how Japan reacted to the threat of Western imperialism in Asia.</t>
  </si>
  <si>
    <t>10.04c.1</t>
  </si>
  <si>
    <t>Comparing Geography of Africa (c. 1800-1914)</t>
  </si>
  <si>
    <t>F.4: Individual Civic Roles</t>
  </si>
  <si>
    <t>Students will compare and contrast maps of Africa from ca. 1800 and ca. 1914, noting the changes and continuities of ethnic groups and regions, African states, and European claims.</t>
  </si>
  <si>
    <t>10.05a.1</t>
  </si>
  <si>
    <t>Identify, describe, and contrast the roles of the individual in opportunities for social and political participation in different societies.</t>
  </si>
  <si>
    <t>Comparing Cause &amp; Effects of the World Wars</t>
  </si>
  <si>
    <t>Students will compare and contrast long- and short-term causes and effects of World War I and World War II.</t>
  </si>
  <si>
    <t>10.05b.1</t>
  </si>
  <si>
    <t>F.5: Negotiation &amp; Compromise</t>
  </si>
  <si>
    <t>Technological Development &amp; Devastation</t>
  </si>
  <si>
    <t>Students will compare and contrast the technologies utilized in both World War I and World War II, noting the human and environmental devastation.</t>
  </si>
  <si>
    <t>Participate in persuading, debating, negotiating, and compromising in the resolution of conflicts and differences.</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</si>
  <si>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</si>
  <si>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</si>
  <si>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</si>
  <si>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F.6: Identifying Need for Action</t>
  </si>
  <si>
    <t>10.05d.1</t>
  </si>
  <si>
    <t>Russian Revolution, Soviet Union, Lenin &amp; Stalin</t>
  </si>
  <si>
    <t>Identify situations in which social actions are required and determine an appropriate course of action.</t>
  </si>
  <si>
    <t>Students will examine the Russian Revolution and the development of Soviet ideology and nationalism under Lenin and Stalin.</t>
  </si>
  <si>
    <t>10.05d.2</t>
  </si>
  <si>
    <t>Nationalism, the Nazi Party, &amp; Hitler in Germany</t>
  </si>
  <si>
    <t>F.7: Advocating for Rights</t>
  </si>
  <si>
    <t>Students will examine the role of nationalism and the development of the National Socialist state under Hitler in Germany.</t>
  </si>
  <si>
    <t>10.05d.3</t>
  </si>
  <si>
    <t>Work to influence those in positions of power to strive for extensions of freedom, social justice, and human rights.</t>
  </si>
  <si>
    <t>Nationalism &amp; Militarism in Japan</t>
  </si>
  <si>
    <t>Students will examine the role of nationalism and militarism in Japan.</t>
  </si>
  <si>
    <t>10.05d.4</t>
  </si>
  <si>
    <t>Great Depression &amp; Totalitarian Dictators</t>
  </si>
  <si>
    <t>F.8: Civic Responsibility</t>
  </si>
  <si>
    <t>Students will investigate the causes of the Great Depression and its influence on the rise of totalitarian dictators and determine the common characteristics of these dictators.</t>
  </si>
  <si>
    <t>10.05e.1</t>
  </si>
  <si>
    <t>Fulfill social and political responsibilities associated with citizenship in a democratic society and interdependent global community by developing awareness of and/or engaging in the political process.</t>
  </si>
  <si>
    <t>Armenian Genocide, Ukranian Holodomor, &amp; the Holocaust</t>
  </si>
  <si>
    <t>Students will examine the atrocities against the Armenians; examine the Ukrainian Holodomor, and examine the Holocaust.</t>
  </si>
  <si>
    <t>10.06a.1</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</si>
  <si>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</si>
  <si>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</si>
  <si>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10.06b.1</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</si>
  <si>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</si>
  <si>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</si>
  <si>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</si>
  <si>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</si>
  <si>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</si>
  <si>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</si>
  <si>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</si>
  <si>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</si>
  <si>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</si>
  <si>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</si>
  <si>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</si>
  <si>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10.06c.1</t>
  </si>
  <si>
    <t>Glasnost &amp; Perestroika Reforms</t>
  </si>
  <si>
    <t>Students will investigate the political reforms of glasnost and economic reforms of perestroika.</t>
  </si>
  <si>
    <t>10.06c.2</t>
  </si>
  <si>
    <t>Impact of Reform on the Soviet Union, Bloc, and the World</t>
  </si>
  <si>
    <t>Students will examine the impacts of those reforms within the Soviet Union, on the Soviet communist bloc, and in the world.</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</si>
  <si>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</si>
  <si>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</si>
  <si>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</si>
  <si>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10.07a.2</t>
  </si>
  <si>
    <t>Comparing Gandhi &amp; Ho Chi Minh</t>
  </si>
  <si>
    <t>Students will compare and contrast the ideologies and methodologies of Gandhi and Ho Chi Minh as nationalist leaders.</t>
  </si>
  <si>
    <t>10.07b.1</t>
  </si>
  <si>
    <t>Ghana, Algeria, and/or Kenya</t>
  </si>
  <si>
    <t>Students will explore at least two of these three African independence movements: Ghana, Algeria, Kenya.</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</si>
  <si>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</si>
  <si>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</si>
  <si>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</si>
  <si>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</si>
  <si>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</si>
  <si>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</si>
  <si>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</si>
  <si>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</si>
  <si>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</si>
  <si>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</si>
  <si>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</si>
  <si>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</si>
  <si>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</si>
  <si>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</si>
  <si>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</si>
  <si>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10.08b.1</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</si>
  <si>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</si>
  <si>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</si>
  <si>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</si>
  <si>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</si>
  <si>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</si>
  <si>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</si>
  <si>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</si>
  <si>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</si>
  <si>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</si>
  <si>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</si>
  <si>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</si>
  <si>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10.09b.1</t>
  </si>
  <si>
    <t>Globalization Arguments</t>
  </si>
  <si>
    <t>Students will compare and contrast arguments supporting and criticizing globalization by examining concerns including...</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</si>
  <si>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</si>
  <si>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</si>
  <si>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</si>
  <si>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</si>
  <si>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</si>
  <si>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</si>
  <si>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10.09c.3</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</si>
  <si>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</si>
  <si>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</si>
  <si>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10.09d.1</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</si>
  <si>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</si>
  <si>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</si>
  <si>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</si>
  <si>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</si>
  <si>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</si>
  <si>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</si>
  <si>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</si>
  <si>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</si>
  <si>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</si>
  <si>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</si>
  <si>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</si>
  <si>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</si>
  <si>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</si>
  <si>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</si>
  <si>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</si>
  <si>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</si>
  <si>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</si>
  <si>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</si>
  <si>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</si>
  <si>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</si>
  <si>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</si>
  <si>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</si>
  <si>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</si>
  <si>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</si>
  <si>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</si>
  <si>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</si>
  <si>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</si>
  <si>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</si>
  <si>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</si>
  <si>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</si>
  <si>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</si>
  <si>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</si>
  <si>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11.01a.1</t>
  </si>
  <si>
    <t>European Colonizing Nations</t>
  </si>
  <si>
    <t>Students will trace European contact with Native Americans, including the Dutch, the English, the French and the Spanish.</t>
  </si>
  <si>
    <t>11.01a.2</t>
  </si>
  <si>
    <t>Colonization Impact on Native Americans</t>
  </si>
  <si>
    <t>Students will examine the impacts of European colonization on Native Americans, who eventually lost much of their land and experienced a drastic decline in population through diseases and armed conflict.</t>
  </si>
  <si>
    <t>11.01b.1</t>
  </si>
  <si>
    <t>Geography &amp; Economic Systems</t>
  </si>
  <si>
    <t>Students will examine the impacts of geographic factors on patterns of settlement and the development of colonial economic systems.</t>
  </si>
  <si>
    <t>11.01b.2</t>
  </si>
  <si>
    <t>Social Structures &amp; Labor</t>
  </si>
  <si>
    <t>Students will examine the factors influencing variations in colonial social structures and labor systems.</t>
  </si>
  <si>
    <t>11.01b.3</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</si>
  <si>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</si>
  <si>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</si>
  <si>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11.01c.1</t>
  </si>
  <si>
    <t>Enlightenment &amp; British Traditions</t>
  </si>
  <si>
    <t>Students will examine colonial political institutions to determine how they were influenced by Enlightenment ideas, British traditions such as the Magna Carta, and the colonial experience.</t>
  </si>
  <si>
    <t>11.01c.2</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</si>
  <si>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</si>
  <si>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</si>
  <si>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11.02a.1</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</si>
  <si>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</si>
  <si>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</si>
  <si>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11.02b.1</t>
  </si>
  <si>
    <t>Declaration of Independence</t>
  </si>
  <si>
    <t>Students will examine the purpose of and the ideas contained in the Declaration of Independence and consider its long term impacts.</t>
  </si>
  <si>
    <t>11.02b.2</t>
  </si>
  <si>
    <t>Impact on Marginalized Groups</t>
  </si>
  <si>
    <t>Students will examine the impacts of the Revolutionary War on workers, African Americans, women, and Native Americans.</t>
  </si>
  <si>
    <t>11.02c.1</t>
  </si>
  <si>
    <t>Articles of Confederation</t>
  </si>
  <si>
    <t>Students will examine the weaknesses and successes of government under the Articles of Confederation.</t>
  </si>
  <si>
    <t>11.02c.2</t>
  </si>
  <si>
    <t>Constitution Development &amp; Debates</t>
  </si>
  <si>
    <t>Students will explore the development of the Constitution, including the major debates and their resolutions, which included compromises over representation, taxation, and slavery.</t>
  </si>
  <si>
    <t>11.02c.3</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</si>
  <si>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</si>
  <si>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</si>
  <si>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11.02c.4</t>
  </si>
  <si>
    <t>Federalist vs. Antifederalist</t>
  </si>
  <si>
    <t>Students will examine the key points of debate expressed in the Federalist Papers and the Antifederalist Papers, focusing on the protection of individual rights and the proper size for a republic.</t>
  </si>
  <si>
    <t>11.02c.5</t>
  </si>
  <si>
    <t>Bill of Rights</t>
  </si>
  <si>
    <t>Students will examine the rights and protections provided by the Bill of Rights and to whom they initially applied.</t>
  </si>
  <si>
    <t>11.02d.1</t>
  </si>
  <si>
    <t>President George Washington</t>
  </si>
  <si>
    <t>Students will identify presidential actions and precedents established by George Washington, including those articulated in his Farewell Address.</t>
  </si>
  <si>
    <t>11.02d.2</t>
  </si>
  <si>
    <t>Hamilton's Economic Plan &amp; Political Parties</t>
  </si>
  <si>
    <t>Students will examine Hamilton’s economic plan, the debate surrounding the plan, and its impacts on the development of political parties.</t>
  </si>
  <si>
    <t>11.02d.3</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</si>
  <si>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</si>
  <si>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</si>
  <si>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11.02d.4</t>
  </si>
  <si>
    <t>Early Supreme Court Cases</t>
  </si>
  <si>
    <t>Students will examine Supreme Court cases, including Marbury v. Madison, McCulloch v. Maryland, and Gibbons v. Ogden, and analyze how these decisions strengthened the powers of the federal government.</t>
  </si>
  <si>
    <t>11.03a.1</t>
  </si>
  <si>
    <t>American Nationalism</t>
  </si>
  <si>
    <t>Students will examine how the Louisiana Purchase, the War of 1812, and the Monroe Doctrine strengthened nationalism.</t>
  </si>
  <si>
    <t>11.03a.2</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</si>
  <si>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</si>
  <si>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</si>
  <si>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11.03a.3</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</si>
  <si>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</si>
  <si>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</si>
  <si>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11.03b.1</t>
  </si>
  <si>
    <t>Resolutions &amp; Nullifications</t>
  </si>
  <si>
    <t>Students will compare different perspectives on States rights by examining the Kentucky and Virginia Resolutions and the nullification crisis</t>
  </si>
  <si>
    <t>11.03b.2</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</si>
  <si>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</si>
  <si>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</si>
  <si>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11.03b.3</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</si>
  <si>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</si>
  <si>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</si>
  <si>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11.03b.4</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</si>
  <si>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</si>
  <si>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</si>
  <si>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11.03c.1</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</si>
  <si>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</si>
  <si>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</si>
  <si>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11.03c.2</t>
  </si>
  <si>
    <t>Federal Power: Habeas Corpus &amp; Emancipation</t>
  </si>
  <si>
    <t>Students will examine the expansion of executive and federal power as they relate to the suspension of habeas corpus within the Union and the issuance of the Emancipation Proclamation.</t>
  </si>
  <si>
    <t>11.03c.3</t>
  </si>
  <si>
    <t>Gettysburg Address</t>
  </si>
  <si>
    <t>Students will analyze the ideas expressed in the Gettysburg Address, considering its long-term effects.</t>
  </si>
  <si>
    <t>11.04a.1</t>
  </si>
  <si>
    <t>Amendments &amp; Reconstruction</t>
  </si>
  <si>
    <t>Students will examine the 13th, 14th, and 15th amendments and consider the role of Radical Republicans in Reconstruction</t>
  </si>
  <si>
    <t>11.04a.2</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</si>
  <si>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</si>
  <si>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</si>
  <si>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11.04a.3</t>
  </si>
  <si>
    <t>Freedmen's Pursuit of Independence</t>
  </si>
  <si>
    <t>Students will examine the ways in which freedmen attempted to build independent lives, including the activities of the Freedmen’s Bureau, the creation of educational institutions, and political participation.</t>
  </si>
  <si>
    <t>11.04a.4</t>
  </si>
  <si>
    <t>End of Reconstruction</t>
  </si>
  <si>
    <t>Students will examine the impacts of the election of 1876 and the compromise of 1877 on African Americans.</t>
  </si>
  <si>
    <t>11.04b.1</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</si>
  <si>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</si>
  <si>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</si>
  <si>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11.04c.1</t>
  </si>
  <si>
    <t>Federal Policies &amp; Western Expansion</t>
  </si>
  <si>
    <t>Students will examine the economic effects of the Homestead Act (1862) and the Pacific Railway Act (1862) on westward expansion.</t>
  </si>
  <si>
    <t>11.04c.2</t>
  </si>
  <si>
    <t>Western Expansion &amp; Native American Impact</t>
  </si>
  <si>
    <t>Students will examine the effect of federal policies on Native Americans, including reservation policies, the Dawes Act (1887), and forced assimilation efforts (Carlisle Indian School).</t>
  </si>
  <si>
    <t>11.04d.1</t>
  </si>
  <si>
    <t>Treatment of Mexicans &amp; Mexican Americans</t>
  </si>
  <si>
    <t>Students will analyze relevant provisions of the Treaty of Guadalupe Hidalgo as compared with the actual treatment of Mexicans and Mexican Americans in the Southwest, including California, from 1848 to 1900.</t>
  </si>
  <si>
    <t>11.04d.2</t>
  </si>
  <si>
    <t>Chinese Immigration &amp; Exclusion</t>
  </si>
  <si>
    <t>Students will examine the contributions of Chinese to the national economy and reasons for nativist opposition to their continued immigration (Chinese Exclusion Act of 1882).</t>
  </si>
  <si>
    <t>11.05a.1</t>
  </si>
  <si>
    <t>Technological Innovations</t>
  </si>
  <si>
    <t>Students will examine the technological innovations that facilitated industrialization, considering energy sources, natural resources, transportation, and communication.</t>
  </si>
  <si>
    <t>11.05a.2</t>
  </si>
  <si>
    <t>Growth of Industrial Businesses</t>
  </si>
  <si>
    <t>Students will examine the growth of industries under the leadership of businessmen such as John D. Rockefeller, Andrew Carnegie, J.P. Morgan, and Henry Ford and analyze their business practices and organizational structures.</t>
  </si>
  <si>
    <t>11.05a.3</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</si>
  <si>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</si>
  <si>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</si>
  <si>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11.05b.1</t>
  </si>
  <si>
    <t>Urbanization &amp; Immigration</t>
  </si>
  <si>
    <t>Students will examine demographic trends associated with urbanization and immigration between 1840 and 1920, including push-pull factors regarding Irish immigration and immigration from southern and eastern Europe.</t>
  </si>
  <si>
    <t>11.05b.2</t>
  </si>
  <si>
    <t>Grange Movement &amp; Populist Party</t>
  </si>
  <si>
    <t>Students will examine problems faced by farmers between 1870 and 1900 and examine the goals and achievements of the Grange Movement and the Populist Party.</t>
  </si>
  <si>
    <t>11.05b.3</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</si>
  <si>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</si>
  <si>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</si>
  <si>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11.05b.4</t>
  </si>
  <si>
    <t>Progressive Era</t>
  </si>
  <si>
    <t>Students will examine Progressive Era reforms, such as the 16th and 17th amendments (1913) and the establishment of the Federal Reserve System (1913).</t>
  </si>
  <si>
    <t>11.05b.5</t>
  </si>
  <si>
    <t>Women's Suffrage</t>
  </si>
  <si>
    <t>Students will examine the efforts of the women’s suffrage movement after 1900, leading to ratification of the 19th amendment(1920).</t>
  </si>
  <si>
    <t>11.05b.6</t>
  </si>
  <si>
    <t>Temperance &amp; Prohibition</t>
  </si>
  <si>
    <t>Students will trace the temperance and prohibition movements leading to the ratification of the 18th amendment (1919).</t>
  </si>
  <si>
    <t>11.05b.7</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</si>
  <si>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</si>
  <si>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</si>
  <si>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11.06a.1</t>
  </si>
  <si>
    <t>Gowing Economic Interests, Foreign Involvement, &amp; Hawaii</t>
  </si>
  <si>
    <t>Students will examine factors such as the economic and strategic interests that led the United States to seek foreign markets, resources, and coaling stations, including interest in Hawaii.</t>
  </si>
  <si>
    <t>11.06a.2</t>
  </si>
  <si>
    <t>Spanish American War</t>
  </si>
  <si>
    <t>Students will investigate the causes and effects of the Spanish-American War, evaluating Spanish, Cuban, and United States interests and actions.</t>
  </si>
  <si>
    <t>11.06a.3</t>
  </si>
  <si>
    <t>(Anti) Imperialism &amp; the Philippines</t>
  </si>
  <si>
    <t>Students will examine debates between anti-imperialists and imperialists surrounding ratification of the Treaty of Paris of 1898 and annexation of the Philippines.</t>
  </si>
  <si>
    <t>11.06a.4</t>
  </si>
  <si>
    <t>Imperialism in the Caribbean &amp; Latin America</t>
  </si>
  <si>
    <t>Students will investigate expanding American influence in the Caribbean and Latin America through the creation of the Panama Canal and the Roosevelt Corollary.</t>
  </si>
  <si>
    <t>11.06b.1</t>
  </si>
  <si>
    <t>President Wilson: Neutrality to Involvement</t>
  </si>
  <si>
    <t>Students will investigate the reasons for President Wilson’s shift from neutrality to involvement in World War I.</t>
  </si>
  <si>
    <t>11.06b.2</t>
  </si>
  <si>
    <t>Attempts at Peace after WWI</t>
  </si>
  <si>
    <t>Students will examine Wilson’s goals as expressed in the Fourteen Points, his role at the Versailles Peace Conference, and the compromises he was forced to make to gain approval for the League of Nations.</t>
  </si>
  <si>
    <t>11.06b.3</t>
  </si>
  <si>
    <t>Unsuccessful Ratification of the Treaty of Versailles</t>
  </si>
  <si>
    <t>Students will examine the reasons why President Wilson was unsuccessful in gaining support for Senate ratification of the Treaty of Versailles.</t>
  </si>
  <si>
    <t>11.06c.1</t>
  </si>
  <si>
    <t>Mobilization Economic Effects</t>
  </si>
  <si>
    <t>Students will investigate the effects of mobilization on the United States economy, including the role and contributions of women and African Americans in the war effort.</t>
  </si>
  <si>
    <t>11.06c.2</t>
  </si>
  <si>
    <t>Great Migration</t>
  </si>
  <si>
    <t>Students will investigate the causes and effects of the Great Migration on American society.</t>
  </si>
  <si>
    <t>11.06c.3</t>
  </si>
  <si>
    <t>Schenck v. US (1919)</t>
  </si>
  <si>
    <t>Students will examine the Supreme Court decision concerning civil liberties in Schenck v. United States (1919).</t>
  </si>
  <si>
    <t>11.06c.4</t>
  </si>
  <si>
    <t>Fear of Radicals, Xenophobia, and the Red Scare</t>
  </si>
  <si>
    <t>Students will examine the relationship between postwar recession, fear of radicals, xenophobia, and the Red Scare (1919–1921).</t>
  </si>
  <si>
    <t>11.07a.1</t>
  </si>
  <si>
    <t>Roaring Twenties</t>
  </si>
  <si>
    <t>Students will examine the cultural trends associated with the Roaring Twenties, including women’s efforts at self-expression and their changing roles.</t>
  </si>
  <si>
    <t>11.07a.2</t>
  </si>
  <si>
    <t>Prohibition</t>
  </si>
  <si>
    <t>Students will examine the impact of Prohibition on American society.</t>
  </si>
  <si>
    <t>11.07a.3</t>
  </si>
  <si>
    <t>Immigration in the 1920's</t>
  </si>
  <si>
    <t>Students will examine change in immigration policy as reflected by the passage of the Quota Acts of the 1920s.</t>
  </si>
  <si>
    <t>11.07a.4</t>
  </si>
  <si>
    <t>Resurgence of the KKK</t>
  </si>
  <si>
    <t>Students will examine the reasons for the resurgence of the Ku Klux Klan.</t>
  </si>
  <si>
    <t>11.07a.5</t>
  </si>
  <si>
    <t>Scopes Trial</t>
  </si>
  <si>
    <t>Students will examine the key issues related to the Scopes trial.</t>
  </si>
  <si>
    <t>11.07b.1</t>
  </si>
  <si>
    <t>Harlem Renaissance</t>
  </si>
  <si>
    <t>Students will examine literary and artistic contributions associated with the Harlem Renaissance and its impact on national culture.</t>
  </si>
  <si>
    <t>11.07b.2</t>
  </si>
  <si>
    <t>Black Pride, Nationalism &amp; Marcus Garvey</t>
  </si>
  <si>
    <t>Students will examine the rise of African American racial pride and Black Nationalism, including the role of Marcus Garvey.</t>
  </si>
  <si>
    <t>11.07c.1</t>
  </si>
  <si>
    <t>Economic Prosperity</t>
  </si>
  <si>
    <t>Students will examine the reasons for economic prosperity during the 1920s.</t>
  </si>
  <si>
    <t>11.07c.2</t>
  </si>
  <si>
    <t>The Great Depression</t>
  </si>
  <si>
    <t>Students will examine the underlying weaknesses of the economy that led to the stock market crash of 1929 and the Great Depression.</t>
  </si>
  <si>
    <t>11.07c.3</t>
  </si>
  <si>
    <t>Hoover vs. FDR</t>
  </si>
  <si>
    <t>Students will compare and contrast the responses of Presidents Herbert Hoover and Franklin D. Roosevelt to the Great Depression.</t>
  </si>
  <si>
    <t>11.07c.4</t>
  </si>
  <si>
    <t>Dust Bowl</t>
  </si>
  <si>
    <t>Students will examine the human and environmental causes of the Dust Bowl and its effects.</t>
  </si>
  <si>
    <t>11.07c.5</t>
  </si>
  <si>
    <t>New Deal</t>
  </si>
  <si>
    <t>Students will evaluate President Roosevelt’s leadership during the Depression, including key legislative initiatives of the New Deal, expansion of federal government power, and the constitutional challenge represented by his court packing effort.</t>
  </si>
  <si>
    <t>11.08a.1</t>
  </si>
  <si>
    <t>Neutrality Acts</t>
  </si>
  <si>
    <t>Students will examine reasons for the passage of the Neutrality Acts (1935–1937) and consider the national debate as a shift to pro-Allied policies, including “cash and carry” and Lend-Lease.</t>
  </si>
  <si>
    <t>11.08a.2</t>
  </si>
  <si>
    <t>Negotiations with Japan</t>
  </si>
  <si>
    <t>Students will trace ongoing negotiations with Japan and United States efforts to stop Japanese aggression without resorting to war and without appeasing Japanese demands.</t>
  </si>
  <si>
    <t>11.08a.3</t>
  </si>
  <si>
    <t>Pearl Harbor</t>
  </si>
  <si>
    <t>Students will examine the impact of the Japanese attack on Pearl Harbor.</t>
  </si>
  <si>
    <t>11.08a.4</t>
  </si>
  <si>
    <t>FDR &amp; the Grand Alliance</t>
  </si>
  <si>
    <t>Students will examine President Roosevelt’s leadership during World War II, including his role as commander in chief and his diplomatic efforts to maintain the Grand Alliance.</t>
  </si>
  <si>
    <t>11.08a.5</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</si>
  <si>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</si>
  <si>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</si>
  <si>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11.08b.1</t>
  </si>
  <si>
    <t>Mobilizations</t>
  </si>
  <si>
    <t>Students will examine United States mobilization efforts and wartime production and their effects on unemployment rates.</t>
  </si>
  <si>
    <t>11.08b.2</t>
  </si>
  <si>
    <t>Japanese Internment</t>
  </si>
  <si>
    <t>Students will examine the reasons for President Roosevelt’s executive order for Japanese removal, the impact of removal on Japanese people living in the United States, and the Supreme Court’s decision in Korematsu v. United States(1944).</t>
  </si>
  <si>
    <t>11.08b.3</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</si>
  <si>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</si>
  <si>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</si>
  <si>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11.08c.1</t>
  </si>
  <si>
    <t>Holocaust</t>
  </si>
  <si>
    <t>Students will investigate American officials' knowledge of the Holocaust, evaluating the degree to which intervention may have been possible.</t>
  </si>
  <si>
    <t>11.08c.2</t>
  </si>
  <si>
    <t>Nuremberg War Crime Trials</t>
  </si>
  <si>
    <t>Students will examine the contributions of Supreme Court Justice Robert Jackson and his arguments made as Chief Prosecutor for the United States at the Nuremberg War Crimes trials.</t>
  </si>
  <si>
    <t>11.08c.3</t>
  </si>
  <si>
    <t>Eleanor Roosevelt &amp; UN's Universal Declaration of Human Rights</t>
  </si>
  <si>
    <t>Students will investigate the role of Eleanor Roosevelt in creating the United Nations Universal Declaration of Human Rights.</t>
  </si>
  <si>
    <t>11.09a.1</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</si>
  <si>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</si>
  <si>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</si>
  <si>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11.09a.2</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</si>
  <si>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</si>
  <si>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</si>
  <si>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11.09a.3</t>
  </si>
  <si>
    <t>McCarthyism</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</si>
  <si>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</si>
  <si>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</si>
  <si>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</si>
  <si>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</si>
  <si>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</si>
  <si>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</si>
  <si>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</si>
  <si>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11.09a.6</t>
  </si>
  <si>
    <t>Antiwar Movement &amp; Watergate</t>
  </si>
  <si>
    <t>Students will examine reasons for declining public confidence in government, including America’s involvement in Vietnam, student protests, the growing antiwar movement, and the Watergate affair.</t>
  </si>
  <si>
    <t>11.09a.7</t>
  </si>
  <si>
    <t>War Powers Act</t>
  </si>
  <si>
    <t>Students will examine the congressional effort to limit presidential power through the War Powers Act.</t>
  </si>
  <si>
    <t>11.09b.1</t>
  </si>
  <si>
    <t>Nuclear Arms Race</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</si>
  <si>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</si>
  <si>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</si>
  <si>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</si>
  <si>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</si>
  <si>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</si>
  <si>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</si>
  <si>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</si>
  <si>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</si>
  <si>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</si>
  <si>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</si>
  <si>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</si>
  <si>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</si>
  <si>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</si>
  <si>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</si>
  <si>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</si>
  <si>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</si>
  <si>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</si>
  <si>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</si>
  <si>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</si>
  <si>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</si>
  <si>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</si>
  <si>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</si>
  <si>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11.10a.4</t>
  </si>
  <si>
    <t>Civil Rights Protests &amp; Civil Resistance</t>
  </si>
  <si>
    <t>Students will analyze the significance of key events in the movement, including the Montgomery bus boycott, federal intervention at Little Rock, Arkansas; the Birmingham protest; and the March on Washington.</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</si>
  <si>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</si>
  <si>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</si>
  <si>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</si>
  <si>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</si>
  <si>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</si>
  <si>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</si>
  <si>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</si>
  <si>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</si>
  <si>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</si>
  <si>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</si>
  <si>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</si>
  <si>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</si>
  <si>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</si>
  <si>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</si>
  <si>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</si>
  <si>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</si>
  <si>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</si>
  <si>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</si>
  <si>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</si>
  <si>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</si>
  <si>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</si>
  <si>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11.11b.1</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</si>
  <si>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</si>
  <si>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</si>
  <si>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</si>
  <si>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</si>
  <si>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</si>
  <si>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11.11b.3</t>
  </si>
  <si>
    <t>Violation of Civil Liberties &amp; Surveillance</t>
  </si>
  <si>
    <t>Students will evaluate the USA PATRIOT Act, including constitutional issues raised about the violation of civil liberties by the federal government’s electronic surveillance programs.</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</si>
  <si>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</si>
  <si>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</si>
  <si>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</si>
  <si>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</si>
  <si>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</si>
  <si>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</si>
  <si>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</si>
  <si>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</si>
  <si>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</si>
  <si>
    <t>No</t>
  </si>
  <si>
    <t>Excerpt from John Robinson's Farewell Address to the Pilgrims (1620)</t>
  </si>
  <si>
    <t>Based on this excerpt, what is the author’s point of view about the role of government in the Plymouth Colony?</t>
  </si>
  <si>
    <t>Which document most closely reflects the ideas about government expressed by John Robinson in this address?</t>
  </si>
  <si>
    <t>Passage from John Josselyn's account of New England (1638)</t>
  </si>
  <si>
    <t>The events described in this account could be considered a turning point in history because</t>
  </si>
  <si>
    <t>Based on the information provided in this account, which claim is most plausible?</t>
  </si>
  <si>
    <t>Excerpt on colonial slavery (Engerman, Sutch &amp; Wright, 2003) and an image</t>
  </si>
  <si>
    <t>Based on both the excerpt and the image, which is most likely responsible for the action shown in the image?</t>
  </si>
  <si>
    <t>Which statement best describes a result of the historical events referenced in the excerpt and the image?</t>
  </si>
  <si>
    <t>Two documents: Miantonomo's plea for unity (1642) and John Lawson's A New Voyage to Carolina (1709)</t>
  </si>
  <si>
    <t>Read and analyze the documents. In a short essay: (1) describe the historical context surrounding Documents 1 and 2; (2) analyze Document 1 and explain how audience, purpose, bias, or point of view affects its use as a reliable source of evidence.</t>
  </si>
  <si>
    <t>Separate leaders for church and state should be elected.</t>
  </si>
  <si>
    <t>People have the right to rebel against the government.</t>
  </si>
  <si>
    <t>The power to govern belongs to the people.</t>
  </si>
  <si>
    <t>Rulers must be given absolute authority to govern.</t>
  </si>
  <si>
    <t>Mayflower Compact</t>
  </si>
  <si>
    <t>Maryland Toleration Act</t>
  </si>
  <si>
    <t>Stamp Act</t>
  </si>
  <si>
    <t>Townshend Acts</t>
  </si>
  <si>
    <t>The author of this account went on to become a powerful English Lord.</t>
  </si>
  <si>
    <t>Native American societies grew strong again after contracting European diseases, resulting in an increase in Native populations at this time.</t>
  </si>
  <si>
    <t>Native Americans in the British colonies experienced a drastic decline in population due to disease and war brought by Europeans.</t>
  </si>
  <si>
    <t>New England colonists repaired relationships with Native Americans soon after the incidents described.</t>
  </si>
  <si>
    <t>Native American peoples were welcoming to European colonists who settled in North America.</t>
  </si>
  <si>
    <t>Native American populations were susceptible to diseases to which they had no previous exposure.</t>
  </si>
  <si>
    <t>European colonists poisoned Native peoples intentionally, decimating their population.</t>
  </si>
  <si>
    <t>Native American civilization was far inferior to European civilization</t>
  </si>
  <si>
    <t>The decline of the institution of slavery in England by the early 17th century.</t>
  </si>
  <si>
    <t>Increased 19th century demand for cotton grown in the deep southern U.S.</t>
  </si>
  <si>
    <t>Increased 18th century demand for tobacco grown in the Chesapeake region of the U.S.</t>
  </si>
  <si>
    <t>Increased demand for white indentured servants in the Southern states.</t>
  </si>
  <si>
    <t>Southern planters relied more heavily on white indentured servants to produce cotton.</t>
  </si>
  <si>
    <t>Generations of people with African ancestry were legally subjected to lifetime enslavement.</t>
  </si>
  <si>
    <t>Southern planters began to cultivate tobacco during the 18th century.</t>
  </si>
  <si>
    <t>White indentured servants increasingly joined with black workers to fight for their rights.</t>
  </si>
  <si>
    <t>Text-based</t>
  </si>
  <si>
    <t>Multiple</t>
  </si>
  <si>
    <t>Secondary</t>
  </si>
  <si>
    <t>Primary</t>
  </si>
  <si>
    <t>11.01c.2: Colonial Democracy &amp; Key Documents</t>
  </si>
  <si>
    <t>Yes</t>
  </si>
  <si>
    <t>11.01a.2: Colonization Impact on Native Americans</t>
  </si>
  <si>
    <t>11.01b.3: Colonial Slavery</t>
  </si>
  <si>
    <t>Concatenated</t>
  </si>
  <si>
    <t>Kovelsky</t>
  </si>
  <si>
    <t>Grade</t>
  </si>
  <si>
    <t>BCE87468</t>
  </si>
  <si>
    <t>PYD85821</t>
  </si>
  <si>
    <t>SPL19463</t>
  </si>
  <si>
    <t>TFT96599</t>
  </si>
  <si>
    <t>AEA52429</t>
  </si>
  <si>
    <t>ONK63527</t>
  </si>
  <si>
    <t>MPA54097</t>
  </si>
  <si>
    <t>PUZ92475</t>
  </si>
  <si>
    <t>BFA12371</t>
  </si>
  <si>
    <t>BWX22237</t>
  </si>
  <si>
    <t>MRQ47886</t>
  </si>
  <si>
    <t>DTY88033</t>
  </si>
  <si>
    <t>EBH29779</t>
  </si>
  <si>
    <t>BJO21212</t>
  </si>
  <si>
    <t>JLX21297</t>
  </si>
  <si>
    <t>VHW73020</t>
  </si>
  <si>
    <t>TXB14318</t>
  </si>
  <si>
    <t>ZMS92794</t>
  </si>
  <si>
    <t>RQY44411</t>
  </si>
  <si>
    <t>OTM13405</t>
  </si>
  <si>
    <t>HOT90521</t>
  </si>
  <si>
    <t>RTH79332</t>
  </si>
  <si>
    <t>XXD85883</t>
  </si>
  <si>
    <t>LFK75199</t>
  </si>
  <si>
    <t>AZH29276</t>
  </si>
  <si>
    <t>JSN75135</t>
  </si>
  <si>
    <t>MDS28198</t>
  </si>
  <si>
    <t>BBW35809</t>
  </si>
  <si>
    <t>QJC38094</t>
  </si>
  <si>
    <t>EXL78479</t>
  </si>
  <si>
    <t>QMV74206</t>
  </si>
  <si>
    <t>CIT87934</t>
  </si>
  <si>
    <t>CLQ75171</t>
  </si>
  <si>
    <t>FXD68642</t>
  </si>
  <si>
    <t>AEU59958</t>
  </si>
  <si>
    <t>JXA20997</t>
  </si>
  <si>
    <t>LOB72239</t>
  </si>
  <si>
    <t>MND12981</t>
  </si>
  <si>
    <t>DTP58821</t>
  </si>
  <si>
    <t>NFR65117</t>
  </si>
  <si>
    <t>TOB31201</t>
  </si>
  <si>
    <t>OTB29052</t>
  </si>
  <si>
    <t>SBP71888</t>
  </si>
  <si>
    <t>ZJU22624</t>
  </si>
  <si>
    <t>DWK39559</t>
  </si>
  <si>
    <t>TAJ26766</t>
  </si>
  <si>
    <t>NBR19673</t>
  </si>
  <si>
    <t>FYI62103</t>
  </si>
  <si>
    <t>SES69634</t>
  </si>
  <si>
    <t>DHC45581</t>
  </si>
  <si>
    <t>QAI80102</t>
  </si>
  <si>
    <t>VBX69991</t>
  </si>
  <si>
    <t>VEI56568</t>
  </si>
  <si>
    <t>DLA71738</t>
  </si>
  <si>
    <t>UOK67779</t>
  </si>
  <si>
    <t>SSH34700</t>
  </si>
  <si>
    <t>FGQ30121</t>
  </si>
  <si>
    <t>YIN10536</t>
  </si>
  <si>
    <t>GIS59561</t>
  </si>
  <si>
    <t>YCB68290</t>
  </si>
  <si>
    <t>FZG75254</t>
  </si>
  <si>
    <t>LFA38642</t>
  </si>
  <si>
    <t>XJB61404</t>
  </si>
  <si>
    <t>UYT20669</t>
  </si>
  <si>
    <t>CRI76501</t>
  </si>
  <si>
    <t>EAH31443</t>
  </si>
  <si>
    <t>OYR21509</t>
  </si>
  <si>
    <t>NBI81346</t>
  </si>
  <si>
    <t>NPQ11133</t>
  </si>
  <si>
    <t>KQW90435</t>
  </si>
  <si>
    <t>VGQ54749</t>
  </si>
  <si>
    <t>KNB73713</t>
  </si>
  <si>
    <t>VJX26106</t>
  </si>
  <si>
    <t>NPR55657</t>
  </si>
  <si>
    <t>ATP23397</t>
  </si>
  <si>
    <t>DPT96866</t>
  </si>
  <si>
    <t>VDA73806</t>
  </si>
  <si>
    <t>SBA28155</t>
  </si>
  <si>
    <t>UCD49129</t>
  </si>
  <si>
    <t>CLK39974</t>
  </si>
  <si>
    <t>ZPI51571</t>
  </si>
  <si>
    <t>MRC57489</t>
  </si>
  <si>
    <t>JTO21324</t>
  </si>
  <si>
    <t>HXE84177</t>
  </si>
  <si>
    <t>OCS40016</t>
  </si>
  <si>
    <t>WVH29287</t>
  </si>
  <si>
    <t>AGB36654</t>
  </si>
  <si>
    <t>SNV77028</t>
  </si>
  <si>
    <t>XMZ55136</t>
  </si>
  <si>
    <t>GKB67820</t>
  </si>
  <si>
    <t>BBY14959</t>
  </si>
  <si>
    <t>DWK74474</t>
  </si>
  <si>
    <t>MZB79205</t>
  </si>
  <si>
    <t>XCN58637</t>
  </si>
  <si>
    <t>PLD66414</t>
  </si>
  <si>
    <t>FIM25375</t>
  </si>
  <si>
    <t>OWI55457</t>
  </si>
  <si>
    <t>JGN46222</t>
  </si>
  <si>
    <t>KIF34983</t>
  </si>
  <si>
    <t>LYP83564</t>
  </si>
  <si>
    <t>JER71568</t>
  </si>
  <si>
    <t>IHK21700</t>
  </si>
  <si>
    <t>JOE63160</t>
  </si>
  <si>
    <t>WRF62439</t>
  </si>
  <si>
    <t>VHB56911</t>
  </si>
  <si>
    <t>HPM45577</t>
  </si>
  <si>
    <t>TFC63010</t>
  </si>
  <si>
    <t>AVW57108</t>
  </si>
  <si>
    <t>SHL28614</t>
  </si>
  <si>
    <t>TCZ30524</t>
  </si>
  <si>
    <t>MEK28482</t>
  </si>
  <si>
    <t>OYA29056</t>
  </si>
  <si>
    <t>TMI31401</t>
  </si>
  <si>
    <t>MBT39196</t>
  </si>
  <si>
    <t>ZOY64027</t>
  </si>
  <si>
    <t>BXA18368</t>
  </si>
  <si>
    <t>WMW86220</t>
  </si>
  <si>
    <t>AVO62088</t>
  </si>
  <si>
    <t>ASV84493</t>
  </si>
  <si>
    <t>MBL38474</t>
  </si>
  <si>
    <t>JRG12665</t>
  </si>
  <si>
    <t>ISA40439</t>
  </si>
  <si>
    <t>FDC41321</t>
  </si>
  <si>
    <t>YGY58448</t>
  </si>
  <si>
    <t>FDV70186</t>
  </si>
  <si>
    <t>NUB89163</t>
  </si>
  <si>
    <t>QQA90014</t>
  </si>
  <si>
    <t>ZJL27840</t>
  </si>
  <si>
    <t>MSR33082</t>
  </si>
  <si>
    <t>BUE64832</t>
  </si>
  <si>
    <t>VLC23912</t>
  </si>
  <si>
    <t>GVR79043</t>
  </si>
  <si>
    <t>WWL74295</t>
  </si>
  <si>
    <t>WZE53686</t>
  </si>
  <si>
    <t>XXA89248</t>
  </si>
  <si>
    <t>SYE52204</t>
  </si>
  <si>
    <t>AUG82979</t>
  </si>
  <si>
    <t>VIT24690</t>
  </si>
  <si>
    <t>OYI76487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</si>
</sst>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2"/>
      <color theme="1"/>
      <name val="Arial"/>
      <family val="2"/>
      <scheme val="minor"/>
    </font>
    <font>
      <sz val="10"/>
      <color theme="1"/>
      <name val="Arial"/>
      <family val="2"/>
      <scheme val="minor"/>
    </font>
    <font>
      <sz val="10"/>
      <color theme="1"/>
      <name val="Arial"/>
      <family val="2"/>
      <scheme val="minor"/>
    </font>
    <font>
      <sz val="11"/>
      <color theme="1"/>
      <name val="Arial"/>
      <family val="2"/>
      <scheme val="minor"/>
    </font>
    <font>
      <sz val="11"/>
      <name val="Calibri"/>
      <family val="2"/>
    </font>
    <font>
      <sz val="10"/>
      <color rgb="FF1F3A2E"/>
      <name val="Arial"/>
      <family val="2"/>
      <scheme val="minor"/>
    </font>
    <font>
      <b/>
      <sz val="10"/>
      <color rgb="FF1F3A2E"/>
      <name val="Arial"/>
      <family val="2"/>
      <scheme val="minor"/>
    </font>
    <font>
      <sz val="10"/>
      <color rgb="FF445C44"/>
      <name val="Arial"/>
      <family val="2"/>
      <scheme val="minor"/>
    </font>
    <font>
      <sz val="10"/>
      <color rgb="FF000000"/>
      <name val="Arial"/>
      <family val="2"/>
      <scheme val="minor"/>
    </font>
    <font>
      <sz val="10"/>
      <color rgb="FF3F4A58"/>
      <name val="Arial"/>
      <family val="2"/>
      <scheme val="minor"/>
    </font>
    <font>
      <sz val="10"/>
      <color rgb="FF434343"/>
      <name val="Roboto"/>
    </font>
    <font>
      <sz val="8"/>
      <name val="Arial"/>
      <family val="2"/>
      <scheme val="minor"/>
    </font>
    <font>
      <sz val="10"/>
      <color rgb="FF3A4654"/>
      <name val="Arial"/>
      <family val="2"/>
      <scheme val="minor"/>
    </font>
    <font>
      <b/>
      <sz val="10"/>
      <color theme="1"/>
      <name val="Arial"/>
      <family val="2"/>
      <scheme val="minor"/>
    </font>
    <font>
      <b/>
      <sz val="10"/>
      <color rgb="FF3F4A58"/>
      <name val="Arial"/>
      <family val="2"/>
      <scheme val="minor"/>
    </font>
  </fonts>
  <fills count="4">
    <fill>
      <patternFill patternType="none"/>
    </fill>
    <fill>
      <patternFill patternType="gray125"/>
    </fill>
    <fill>
      <patternFill patternType="solid">
        <fgColor rgb="FFF5F8FB"/>
        <bgColor indexed="64"/>
      </patternFill>
    </fill>
    <fill>
      <patternFill patternType="solid">
        <fgColor rgb="FFE8EEF4"/>
        <bgColor indexed="64"/>
      </patternFill>
    </fill>
  </fills>
  <borders count="13">
    <border>
      <left/>
      <right/>
      <top/>
      <bottom/>
      <diagonal/>
    </border>
    <border>
      <left style="thin">
        <color rgb="FF3F4A58"/>
      </left>
      <right/>
      <top/>
      <bottom/>
      <diagonal/>
    </border>
    <border>
      <left style="thin">
        <color rgb="FF3F4A58"/>
      </left>
      <right style="thin">
        <color rgb="FF3F4A58"/>
      </right>
      <top/>
      <bottom/>
      <diagonal/>
    </border>
    <border>
      <left/>
      <right style="thin">
        <color rgb="FF3F4A58"/>
      </right>
      <top/>
      <bottom/>
      <diagonal/>
    </border>
    <border>
      <left style="hair">
        <color rgb="FFD8E0E8"/>
      </left>
      <right/>
      <top style="thin">
        <color auto="1"/>
      </top>
      <bottom style="hair">
        <color rgb="FFD8E0E8"/>
      </bottom>
      <diagonal/>
    </border>
    <border>
      <left/>
      <right/>
      <top style="thin">
        <color auto="1"/>
      </top>
      <bottom style="hair">
        <color rgb="FFD8E0E8"/>
      </bottom>
      <diagonal/>
    </border>
    <border>
      <left style="thin">
        <color rgb="FF3F4A58"/>
      </left>
      <right/>
      <top style="thin">
        <color auto="1"/>
      </top>
      <bottom style="hair">
        <color rgb="FFD8E0E8"/>
      </bottom>
      <diagonal/>
    </border>
    <border>
      <left/>
      <right/>
      <top style="hair">
        <color rgb="FFD8E0E8"/>
      </top>
      <bottom/>
      <diagonal/>
    </border>
    <border>
      <left style="thin">
        <color rgb="FF3F4A58"/>
      </left>
      <right/>
      <top style="hair">
        <color rgb="FFD8E0E8"/>
      </top>
      <bottom/>
      <diagonal/>
    </border>
    <border>
      <left/>
      <right/>
      <top style="thin">
        <color auto="1"/>
      </top>
      <bottom/>
      <diagonal/>
    </border>
    <border>
      <left style="thin">
        <color rgb="FF3F4A58"/>
      </left>
      <right/>
      <top style="thin">
        <color auto="1"/>
      </top>
      <bottom/>
      <diagonal/>
    </border>
    <border>
      <left/>
      <right/>
      <top style="hair">
        <color rgb="FFECF0F4"/>
      </top>
      <bottom/>
      <diagonal/>
    </border>
    <border>
      <left style="thin">
        <color rgb="FF3F4A58"/>
      </left>
      <right/>
      <top style="hair">
        <color rgb="FFECF0F4"/>
      </top>
      <bottom/>
      <diagonal/>
    </border>
  </borders>
  <cellStyleXfs count="5">
    <xf numFmtId="0" fontId="0" fillId="0" borderId="0"/>
    <xf numFmtId="0" fontId="4" fillId="0" borderId="0"/>
    <xf numFmtId="0" fontId="5" fillId="0" borderId="0"/>
    <xf numFmtId="0" fontId="1" fillId="0" borderId="0"/>
    <xf numFmtId="9" fontId="1" fillId="0" borderId="0" applyFont="0" applyFill="0" applyBorder="0" applyAlignment="0" applyProtection="0"/>
  </cellStyleXfs>
  <cellXfs count="72">
    <xf numFmtId="0" fontId="0" fillId="0" borderId="0" xfId="0"/>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xf numFmtId="0" fontId="7"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vertical="center" wrapText="1"/>
    </xf>
    <xf numFmtId="0" fontId="6" fillId="0" borderId="0" xfId="0" applyFont="1" applyAlignment="1">
      <alignment horizontal="center" vertical="center" wrapText="1"/>
    </xf>
    <xf numFmtId="9" fontId="6" fillId="0" borderId="0" xfId="0" applyNumberFormat="1" applyFont="1" applyAlignment="1">
      <alignment horizontal="center" vertical="center" wrapText="1"/>
    </xf>
    <xf numFmtId="0" fontId="6" fillId="0" borderId="0" xfId="0" applyFont="1" applyAlignment="1">
      <alignment vertical="center"/>
    </xf>
    <xf numFmtId="0" fontId="9" fillId="0" borderId="0" xfId="0" applyFont="1"/>
    <xf numFmtId="0" fontId="3"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0" fillId="0" borderId="3" xfId="0" applyBorder="1" applyAlignment="1">
      <alignment vertical="center"/>
    </xf>
    <xf numFmtId="0" fontId="0" fillId="0" borderId="2" xfId="0" applyBorder="1" applyAlignment="1">
      <alignment horizontal="center" vertical="center"/>
    </xf>
    <xf numFmtId="0" fontId="10" fillId="0" borderId="1" xfId="0" applyFont="1" applyBorder="1" applyAlignment="1">
      <alignment vertical="center"/>
    </xf>
    <xf numFmtId="0" fontId="10" fillId="0" borderId="3" xfId="0" applyFont="1" applyBorder="1" applyAlignment="1">
      <alignment vertical="center"/>
    </xf>
    <xf numFmtId="0" fontId="11" fillId="0" borderId="0" xfId="0" applyFont="1"/>
    <xf numFmtId="0" fontId="14" fillId="3" borderId="7"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2" fillId="2" borderId="9" xfId="0" applyFont="1" applyFill="1" applyBorder="1" applyAlignment="1">
      <alignment vertical="center"/>
    </xf>
    <xf numFmtId="0" fontId="2" fillId="2" borderId="9" xfId="0" applyFont="1" applyFill="1" applyBorder="1" applyAlignment="1">
      <alignment horizontal="center" vertical="center"/>
    </xf>
    <xf numFmtId="0" fontId="10" fillId="2" borderId="10" xfId="0" applyFont="1" applyFill="1" applyBorder="1" applyAlignment="1">
      <alignment horizontal="center" vertical="center"/>
      <extLst>
        <ext xmlns:xfpb="http://schemas.microsoft.com/office/spreadsheetml/2022/featurepropertybag" uri="{C7286773-470A-42A8-94C5-96B5CB345126}">
          <xfpb:xfComplement i="0"/>
        </ext>
      </extLst>
    </xf>
    <xf numFmtId="0" fontId="10" fillId="2" borderId="9"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2" borderId="10" xfId="0" applyFont="1" applyFill="1" applyBorder="1" applyAlignment="1">
      <alignment horizontal="center" vertical="center"/>
    </xf>
    <xf numFmtId="9" fontId="2" fillId="2" borderId="9" xfId="0" applyNumberFormat="1" applyFont="1" applyFill="1" applyBorder="1" applyAlignment="1">
      <alignment horizontal="center" vertical="center"/>
    </xf>
    <xf numFmtId="0" fontId="2" fillId="0" borderId="11" xfId="0" applyFont="1" applyBorder="1" applyAlignment="1">
      <alignment vertical="center"/>
    </xf>
    <xf numFmtId="0" fontId="2" fillId="0" borderId="11" xfId="0" applyFont="1" applyBorder="1" applyAlignment="1">
      <alignment horizontal="center" vertical="center"/>
    </xf>
    <xf numFmtId="0" fontId="10" fillId="0" borderId="12" xfId="0" applyFont="1" applyBorder="1" applyAlignment="1">
      <alignment horizontal="center" vertical="center"/>
      <extLst>
        <ext xmlns:xfpb="http://schemas.microsoft.com/office/spreadsheetml/2022/featurepropertybag" uri="{C7286773-470A-42A8-94C5-96B5CB345126}">
          <xfpb:xfComplement i="0"/>
        </ext>
      </extLst>
    </xf>
    <xf numFmtId="0" fontId="10" fillId="0" borderId="11" xfId="0" applyFont="1" applyBorder="1" applyAlignment="1">
      <alignment horizontal="center" vertical="center"/>
      <extLst>
        <ext xmlns:xfpb="http://schemas.microsoft.com/office/spreadsheetml/2022/featurepropertybag" uri="{C7286773-470A-42A8-94C5-96B5CB345126}">
          <xfpb:xfComplement i="0"/>
        </ext>
      </extLst>
    </xf>
    <xf numFmtId="0" fontId="2" fillId="0" borderId="12" xfId="0" applyFont="1" applyBorder="1" applyAlignment="1">
      <alignment horizontal="center" vertical="center"/>
    </xf>
    <xf numFmtId="9" fontId="2" fillId="0" borderId="11" xfId="0" applyNumberFormat="1" applyFont="1" applyBorder="1" applyAlignment="1">
      <alignment horizontal="center" vertical="center"/>
    </xf>
    <xf numFmtId="0" fontId="2" fillId="2" borderId="11" xfId="0" applyFont="1" applyFill="1" applyBorder="1" applyAlignment="1">
      <alignment vertical="center"/>
    </xf>
    <xf numFmtId="0" fontId="2" fillId="2" borderId="11" xfId="0" applyFont="1" applyFill="1" applyBorder="1" applyAlignment="1">
      <alignment horizontal="center" vertical="center"/>
    </xf>
    <xf numFmtId="0" fontId="10" fillId="2" borderId="12" xfId="0" applyFont="1" applyFill="1" applyBorder="1" applyAlignment="1">
      <alignment horizontal="center" vertical="center"/>
      <extLst>
        <ext xmlns:xfpb="http://schemas.microsoft.com/office/spreadsheetml/2022/featurepropertybag" uri="{C7286773-470A-42A8-94C5-96B5CB345126}">
          <xfpb:xfComplement i="0"/>
        </ext>
      </extLst>
    </xf>
    <xf numFmtId="0" fontId="10" fillId="2" borderId="11"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2" borderId="12" xfId="0" applyFont="1" applyFill="1" applyBorder="1" applyAlignment="1">
      <alignment horizontal="center" vertical="center"/>
    </xf>
    <xf numFmtId="9" fontId="2" fillId="2" borderId="11" xfId="0" applyNumberFormat="1" applyFont="1" applyFill="1" applyBorder="1" applyAlignment="1">
      <alignment horizontal="center" vertical="center"/>
    </xf>
    <xf numFmtId="0" fontId="2" fillId="0" borderId="11" xfId="0" applyFont="1" applyBorder="1" applyAlignment="1">
      <alignment horizontal="left" vertical="center"/>
    </xf>
    <xf numFmtId="0" fontId="2" fillId="2" borderId="11" xfId="0" applyFont="1" applyFill="1" applyBorder="1" applyAlignment="1">
      <alignment horizontal="left" vertical="center"/>
    </xf>
    <xf numFmtId="0" fontId="13" fillId="0" borderId="11" xfId="0" applyFont="1" applyBorder="1" applyAlignment="1">
      <alignment horizontal="left" vertical="center"/>
    </xf>
    <xf numFmtId="0" fontId="13" fillId="0" borderId="11" xfId="0" applyFont="1" applyBorder="1" applyAlignment="1">
      <alignment horizontal="center" vertical="center"/>
    </xf>
    <xf numFmtId="0" fontId="10" fillId="0" borderId="12" xfId="0" applyFont="1" applyBorder="1" applyAlignment="1">
      <alignment vertical="center"/>
      <extLst>
        <ext xmlns:xfpb="http://schemas.microsoft.com/office/spreadsheetml/2022/featurepropertybag" uri="{C7286773-470A-42A8-94C5-96B5CB345126}">
          <xfpb:xfComplement i="0"/>
        </ext>
      </extLst>
    </xf>
    <xf numFmtId="0" fontId="10" fillId="0" borderId="11" xfId="0" applyFont="1" applyBorder="1" applyAlignment="1">
      <alignment vertical="center"/>
      <extLst>
        <ext xmlns:xfpb="http://schemas.microsoft.com/office/spreadsheetml/2022/featurepropertybag" uri="{C7286773-470A-42A8-94C5-96B5CB345126}">
          <xfpb:xfComplement i="0"/>
        </ext>
      </extLst>
    </xf>
    <xf numFmtId="0" fontId="13" fillId="0" borderId="12" xfId="0" applyFont="1" applyBorder="1" applyAlignment="1">
      <alignment horizontal="center" vertical="center"/>
    </xf>
    <xf numFmtId="0" fontId="13" fillId="0" borderId="11" xfId="0" applyFont="1" applyBorder="1" applyAlignment="1">
      <alignment vertical="center"/>
    </xf>
    <xf numFmtId="0" fontId="13" fillId="2" borderId="11" xfId="0" applyFont="1" applyFill="1" applyBorder="1" applyAlignment="1">
      <alignment horizontal="left" vertical="center"/>
    </xf>
    <xf numFmtId="0" fontId="13" fillId="2" borderId="11" xfId="0" applyFont="1" applyFill="1" applyBorder="1" applyAlignment="1">
      <alignment horizontal="center" vertical="center"/>
    </xf>
    <xf numFmtId="0" fontId="10" fillId="2" borderId="12" xfId="0" applyFont="1" applyFill="1" applyBorder="1" applyAlignment="1">
      <alignment vertical="center"/>
      <extLst>
        <ext xmlns:xfpb="http://schemas.microsoft.com/office/spreadsheetml/2022/featurepropertybag" uri="{C7286773-470A-42A8-94C5-96B5CB345126}">
          <xfpb:xfComplement i="0"/>
        </ext>
      </extLst>
    </xf>
    <xf numFmtId="0" fontId="10" fillId="2" borderId="11" xfId="0" applyFont="1" applyFill="1" applyBorder="1" applyAlignment="1">
      <alignment vertical="center"/>
      <extLst>
        <ext xmlns:xfpb="http://schemas.microsoft.com/office/spreadsheetml/2022/featurepropertybag" uri="{C7286773-470A-42A8-94C5-96B5CB345126}">
          <xfpb:xfComplement i="0"/>
        </ext>
      </extLst>
    </xf>
    <xf numFmtId="0" fontId="13" fillId="2" borderId="12" xfId="0" applyFont="1" applyFill="1" applyBorder="1" applyAlignment="1">
      <alignment horizontal="center" vertical="center"/>
    </xf>
    <xf numFmtId="0" fontId="13" fillId="2" borderId="11" xfId="0" applyFont="1" applyFill="1" applyBorder="1" applyAlignment="1">
      <alignment vertical="center"/>
    </xf>
    <xf numFmtId="9" fontId="13" fillId="0" borderId="11" xfId="0" applyNumberFormat="1" applyFont="1" applyBorder="1" applyAlignment="1">
      <alignment vertical="center"/>
    </xf>
    <xf numFmtId="9" fontId="13" fillId="2" borderId="11" xfId="0" applyNumberFormat="1" applyFont="1" applyFill="1" applyBorder="1" applyAlignment="1">
      <alignment vertical="center"/>
    </xf>
    <xf numFmtId="0" fontId="13" fillId="3" borderId="5" xfId="0" applyFont="1" applyFill="1" applyBorder="1" applyAlignment="1">
      <alignment vertical="center"/>
    </xf>
    <xf numFmtId="0" fontId="13" fillId="3" borderId="5" xfId="0" applyFont="1" applyFill="1" applyBorder="1" applyAlignment="1">
      <alignment horizontal="center" vertical="center"/>
    </xf>
    <xf numFmtId="0" fontId="10" fillId="3" borderId="6" xfId="0" applyFont="1" applyFill="1" applyBorder="1" applyAlignment="1">
      <alignment vertical="center"/>
    </xf>
    <xf numFmtId="0" fontId="10" fillId="3" borderId="5" xfId="0" applyFont="1" applyFill="1" applyBorder="1" applyAlignment="1">
      <alignment vertical="center"/>
    </xf>
    <xf numFmtId="2" fontId="13" fillId="3" borderId="6" xfId="0" applyNumberFormat="1" applyFont="1" applyFill="1" applyBorder="1" applyAlignment="1">
      <alignment horizontal="center" vertical="center"/>
    </xf>
    <xf numFmtId="0" fontId="13" fillId="3" borderId="6" xfId="0" applyFont="1" applyFill="1" applyBorder="1" applyAlignment="1">
      <alignment horizontal="center" vertical="center"/>
    </xf>
    <xf numFmtId="0" fontId="8" fillId="0" borderId="0" xfId="0" applyFont="1" applyAlignment="1">
      <alignment horizontal="center" vertical="center" wrapText="1"/>
    </xf>
    <xf numFmtId="0" fontId="13" fillId="3" borderId="4" xfId="0" applyFont="1" applyFill="1" applyBorder="1" applyAlignment="1">
      <alignment horizontal="center" vertical="center"/>
    </xf>
  </cellXfs>
  <cellStyles count="5">
    <cellStyle name="Normal" xfId="0" builtinId="0"/>
    <cellStyle name="Normal 2" xfId="1" xr:uid="{DA641685-26FE-5F41-8EA2-D4E570A5232F}"/>
    <cellStyle name="Normal 3" xfId="2" xr:uid="{E5158F20-8553-2B45-9983-5977F4779BE5}"/>
    <cellStyle name="Normal 4" xfId="3" xr:uid="{D605B4E0-7730-4D43-A011-6A0EF9292E1A}"/>
    <cellStyle name="Percent 2" xfId="4" xr:uid="{E6DE421D-B06A-DB4D-BCE7-D696BB42B3F4}"/>
  </cellStyles>
  <dxfs count="32">
    <dxf>
      <font>
        <color rgb="FF006100"/>
      </font>
      <fill>
        <patternFill patternType="solid">
          <fgColor indexed="64"/>
          <bgColor rgb="FFC6EFCE"/>
        </patternFill>
      </fill>
    </dxf>
    <dxf>
      <font>
        <color rgb="FF9C0006"/>
      </font>
      <fill>
        <patternFill>
          <bgColor rgb="FFFFC7CE"/>
        </patternFill>
      </fill>
    </dxf>
    <dxf>
      <numFmt numFmtId="0" formatCode="General"/>
    </dxf>
    <dxf>
      <alignment textRotation="0" wrapText="1" indent="0" justifyLastLine="0" shrinkToFit="0" readingOrder="0"/>
    </dxf>
    <dxf>
      <alignment vertical="top" textRotation="0" wrapText="1" indent="0" justifyLastLine="0" shrinkToFit="0" readingOrder="0"/>
    </dxf>
    <dxf>
      <font>
        <color rgb="FF1F3A2E"/>
      </font>
      <alignment vertical="center" wrapText="1"/>
    </dxf>
    <dxf>
      <font>
        <color rgb="FF1F3A2E"/>
      </font>
      <alignment vertical="center" wrapText="1"/>
    </dxf>
    <dxf>
      <font>
        <color rgb="FF1F3A2E"/>
      </font>
      <alignment vertical="center" wrapText="1"/>
    </dxf>
    <dxf>
      <font>
        <color rgb="FF1F3A2E"/>
      </font>
      <alignment vertical="center" wrapText="1"/>
    </dxf>
    <dxf>
      <font>
        <color rgb="FF1F3A2E"/>
      </font>
      <alignment vertical="center" wrapText="1"/>
    </dxf>
    <dxf>
      <font>
        <color rgb="FF1F3A2E"/>
      </font>
      <alignment vertical="center" wrapText="1"/>
    </dxf>
    <dxf>
      <font>
        <color rgb="FF1F3A2E"/>
      </font>
      <alignment vertical="center" wrapText="1"/>
    </dxf>
    <dxf>
      <font>
        <color rgb="FF1F3A2E"/>
      </font>
      <alignment vertical="center" wrapText="1"/>
    </dxf>
    <dxf>
      <font>
        <color rgb="FF1F3A2E"/>
      </font>
      <alignment vertical="center" textRotation="0" wrapText="0" indent="0" justifyLastLine="0" shrinkToFit="0" readingOrder="0"/>
    </dxf>
    <dxf>
      <font>
        <color rgb="FF1F3A2E"/>
      </font>
      <alignment vertical="center" textRotation="0" wrapText="0" indent="0" justifyLastLine="0" shrinkToFit="0" readingOrder="0"/>
    </dxf>
    <dxf>
      <font>
        <color rgb="FF1F3A2E"/>
      </font>
      <alignment vertical="center" textRotation="0" wrapText="0" indent="0" justifyLastLine="0" shrinkToFit="0" readingOrder="0"/>
    </dxf>
    <dxf>
      <font>
        <color rgb="FF1F3A2E"/>
      </font>
      <alignment vertical="center" textRotation="0" wrapText="0" indent="0" justifyLastLine="0" shrinkToFit="0" readingOrder="0"/>
    </dxf>
    <dxf>
      <font>
        <color rgb="FF1F3A2E"/>
      </font>
      <alignment vertical="center" wrapText="1"/>
    </dxf>
    <dxf>
      <font>
        <color rgb="FF1F3A2E"/>
      </font>
      <alignment vertical="center" textRotation="0" wrapText="0" indent="0" justifyLastLine="0" shrinkToFit="0" readingOrder="0"/>
    </dxf>
    <dxf>
      <font>
        <color rgb="FF1F3A2E"/>
      </font>
      <alignment horizontal="general" vertical="center" textRotation="0" wrapText="1" indent="0" justifyLastLine="0" shrinkToFit="0" readingOrder="0"/>
    </dxf>
    <dxf>
      <font>
        <color rgb="FF1F3A2E"/>
      </font>
      <alignment vertical="center" wrapText="1"/>
    </dxf>
    <dxf>
      <font>
        <b val="0"/>
        <color rgb="FF1F3A2E"/>
      </font>
      <alignment vertical="center" wrapText="1"/>
    </dxf>
    <dxf>
      <font>
        <color rgb="FF1F3A2E"/>
      </font>
      <alignment vertical="center"/>
    </dxf>
    <dxf>
      <font>
        <color rgb="FF1F3A2E"/>
      </font>
      <alignment vertical="center" wrapText="1"/>
    </dxf>
    <dxf>
      <font>
        <b/>
        <strike val="0"/>
        <outline val="0"/>
        <shadow val="0"/>
        <u val="none"/>
        <vertAlign val="baseline"/>
        <sz val="10"/>
        <color rgb="FF1F3A2E"/>
        <name val="Arial"/>
        <scheme val="minor"/>
      </font>
      <alignment vertical="center"/>
    </dxf>
    <dxf>
      <alignment horizontal="center" vertical="center" textRotation="0" wrapText="0" indent="0" justifyLastLine="0" shrinkToFit="0" readingOrder="0"/>
    </dxf>
    <dxf>
      <border outline="0">
        <right style="hair">
          <color rgb="FFD8E0E8"/>
        </right>
      </border>
    </dxf>
    <dxf>
      <font>
        <b/>
        <i val="0"/>
        <strike val="0"/>
        <condense val="0"/>
        <extend val="0"/>
        <outline val="0"/>
        <shadow val="0"/>
        <u val="none"/>
        <vertAlign val="baseline"/>
        <sz val="10"/>
        <color theme="1"/>
        <name val="Arial"/>
        <family val="2"/>
        <scheme val="minor"/>
      </font>
      <fill>
        <patternFill patternType="solid">
          <fgColor indexed="64"/>
          <bgColor rgb="FFE8EEF4"/>
        </patternFill>
      </fill>
      <alignment horizontal="center" vertical="center" textRotation="0" wrapText="0" indent="0" justifyLastLine="0" shrinkToFit="0" readingOrder="0"/>
    </dxf>
    <dxf>
      <fill>
        <patternFill>
          <bgColor rgb="FFF5F8FB"/>
        </patternFill>
      </fill>
    </dxf>
    <dxf>
      <fill>
        <patternFill>
          <bgColor rgb="FFE8EEF4"/>
        </patternFill>
      </fill>
      <border>
        <top style="thin">
          <color auto="1"/>
        </top>
      </border>
    </dxf>
    <dxf>
      <font>
        <b/>
        <i val="0"/>
        <color rgb="FF2A3F54"/>
      </font>
      <fill>
        <patternFill>
          <bgColor rgb="FFE8EEF4"/>
        </patternFill>
      </fill>
      <border>
        <bottom style="thin">
          <color auto="1"/>
        </bottom>
      </border>
    </dxf>
    <dxf>
      <font>
        <color rgb="FF3A4654"/>
      </font>
      <border>
        <left style="hair">
          <color rgb="FFD8E0E8"/>
        </left>
        <right style="hair">
          <color rgb="FFD8E0E8"/>
        </right>
        <top style="hair">
          <color rgb="FFD8E0E8"/>
        </top>
        <bottom style="hair">
          <color rgb="FFD8E0E8"/>
        </bottom>
        <horizontal style="hair">
          <color rgb="FFECF0F4"/>
        </horizontal>
      </border>
    </dxf>
  </dxfs>
  <tableStyles count="1">
    <tableStyle name="Light and Airy" count="4" xr9:uid="{9857ACD9-B079-C44A-A030-69F7726DB419}">
      <tableStyleElement type="wholeTable" dxfId="31"/>
      <tableStyleElement type="headerRow" dxfId="30"/>
      <tableStyleElement type="totalRow" dxfId="29"/>
      <tableStyleElement type="firstRowStripe" dxfId="28"/>
    </tableStyle>
  </tableStyles>
  <colors>
    <mruColors>
      <color rgb="FF3F4A58"/>
      <color rgb="FF445C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4EAAE0-8575-4C4D-8F7C-680B0F8FE844}" name="Table4" displayName="Table4" ref="A1:U141" totalsRowShown="0" headerRowDxfId="27" tableBorderDxfId="26">
  <autoFilter ref="A1:U141" xr:uid="{C04EAAE0-8575-4C4D-8F7C-680B0F8FE844}"/>
  <tableColumns count="21">
    <tableColumn id="1" xr3:uid="{C8800E54-CA52-2044-A16A-FF3249E700E8}" name="Key" dataDxfId="25"/>
    <tableColumn id="5" xr3:uid="{1508E423-CBEF-6F4B-9DCF-7D205ACAAA4A}" name="Class"/>
    <tableColumn id="6" xr3:uid="{AACC7F38-4163-B84F-88F9-448EEF83552D}" name="Period"/>
    <tableColumn id="7" xr3:uid="{1050C21B-C0F8-E841-8048-E0D87CBF2D06}" name="Grade"/>
    <tableColumn id="8" xr3:uid="{6EBFF56D-B711-DF4F-AF9F-1AF4C8503F2B}" name="ELL"/>
    <tableColumn id="9" xr3:uid="{8F709CEE-3E42-A64F-AC3A-E1D45A3CD907}" name="IEP"/>
    <tableColumn id="10" xr3:uid="{CB2DACB8-54A8-F645-B16D-D372A6FF012B}" name="MC"/>
    <tableColumn id="11" xr3:uid="{91F605EE-0292-A240-B0E9-B66C75DED15B}" name="Final"/>
    <tableColumn id="12" xr3:uid="{9BD2B17D-F52C-DF45-BBEA-1FC67036CAF7}" name="1"/>
    <tableColumn id="13" xr3:uid="{6C71C594-C972-C34E-9048-3FAE97DB5B87}" name="2"/>
    <tableColumn id="14" xr3:uid="{7934AB58-75B0-7D4C-8407-6E7111E425C5}" name="3"/>
    <tableColumn id="15" xr3:uid="{91C9AA13-54D5-1245-878C-BB958B98D474}" name="4"/>
    <tableColumn id="16" xr3:uid="{280F1581-6BB7-AA40-BA64-B9B1D5EC039E}" name="5"/>
    <tableColumn id="17" xr3:uid="{B505128E-6482-B04D-B008-6130C246603C}" name="6"/>
    <tableColumn id="18" xr3:uid="{04066AAB-B625-9142-8AA5-F572F8CBDB08}" name="SEQ"/>
    <tableColumn id="19" xr3:uid="{67FF1281-7512-004E-B492-CC8466201E57}" name="Q1"/>
    <tableColumn id="20" xr3:uid="{3E67444E-71D4-684D-A41E-C91BF3EDDAA2}" name="Q2"/>
    <tableColumn id="21" xr3:uid="{520B1B2E-E968-4E49-9E3B-56AE2861A841}" name="Q3"/>
    <tableColumn id="22" xr3:uid="{ADDAF140-16A5-134F-924F-34EF7FF507A3}" name="Q4"/>
    <tableColumn id="23" xr3:uid="{4256D7DB-E669-1B46-A82B-18EDDD9B4E9F}" name="Q5"/>
    <tableColumn id="24" xr3:uid="{74BB6AC9-8F8A-C247-B594-474D93D09DF9}" name="Q6"/>
  </tableColumns>
  <tableStyleInfo name="Light and Ai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s" displayName="Questions" ref="A1:Q8" headerRowDxfId="24" dataDxfId="23" totalsRowDxfId="22">
  <tableColumns count="17">
    <tableColumn id="1" xr3:uid="{00000000-0010-0000-0100-000001000000}" name="#" dataDxfId="21"/>
    <tableColumn id="2" xr3:uid="{00000000-0010-0000-0100-000002000000}" name="Part" dataDxfId="20"/>
    <tableColumn id="3" xr3:uid="{00000000-0010-0000-0100-000003000000}" name="Stimulus" dataDxfId="19"/>
    <tableColumn id="4" xr3:uid="{00000000-0010-0000-0100-000004000000}" name="Question" dataDxfId="18"/>
    <tableColumn id="5" xr3:uid="{00000000-0010-0000-0100-000005000000}" name="Key" dataDxfId="17"/>
    <tableColumn id="6" xr3:uid="{00000000-0010-0000-0100-000006000000}" name="Option_1" dataDxfId="16"/>
    <tableColumn id="7" xr3:uid="{00000000-0010-0000-0100-000007000000}" name="Option_2" dataDxfId="15"/>
    <tableColumn id="8" xr3:uid="{00000000-0010-0000-0100-000008000000}" name="Option_3" dataDxfId="14"/>
    <tableColumn id="9" xr3:uid="{00000000-0010-0000-0100-000009000000}" name="Option_4" dataDxfId="13"/>
    <tableColumn id="10" xr3:uid="{00000000-0010-0000-0100-00000A000000}" name="Stimulus_type" dataDxfId="12"/>
    <tableColumn id="11" xr3:uid="{00000000-0010-0000-0100-00000B000000}" name="Source_type" dataDxfId="11"/>
    <tableColumn id="12" xr3:uid="{00000000-0010-0000-0100-00000C000000}" name="Task_model" dataDxfId="10"/>
    <tableColumn id="13" xr3:uid="{00000000-0010-0000-0100-00000D000000}" name="Skill_standard" dataDxfId="9"/>
    <tableColumn id="14" xr3:uid="{00000000-0010-0000-0100-00000E000000}" name="Need_OI?" dataDxfId="8"/>
    <tableColumn id="15" xr3:uid="{00000000-0010-0000-0100-00000F000000}" name="Content_standard" dataDxfId="7"/>
    <tableColumn id="16" xr3:uid="{00000000-0010-0000-0100-000010000000}" name="Pct_Correct" dataDxfId="6"/>
    <tableColumn id="17" xr3:uid="{00000000-0010-0000-0100-000011000000}" name="Point_Biserial" dataDxfId="5"/>
  </tableColumns>
  <tableStyleInfo name="Light and Airy"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B19">
  <tableColumns count="2">
    <tableColumn id="1" xr3:uid="{00000000-0010-0000-0200-000001000000}" name="Model"/>
    <tableColumn id="2" xr3:uid="{00000000-0010-0000-0200-000002000000}" name="Detail" dataDxfId="4"/>
  </tableColumns>
  <tableStyleInfo name="Light and Airy"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1:C42">
  <tableColumns count="3">
    <tableColumn id="1" xr3:uid="{00000000-0010-0000-0300-000001000000}" name="Standard"/>
    <tableColumn id="2" xr3:uid="{00000000-0010-0000-0300-000002000000}" name="Concept"/>
    <tableColumn id="3" xr3:uid="{00000000-0010-0000-0300-000003000000}" name="Specification" dataDxfId="3"/>
  </tableColumns>
  <tableStyleInfo name="Light and Airy"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1:D178">
  <tableColumns count="4">
    <tableColumn id="1" xr3:uid="{00000000-0010-0000-0400-000001000000}" name="#"/>
    <tableColumn id="2" xr3:uid="{00000000-0010-0000-0400-000002000000}" name="Framework"/>
    <tableColumn id="3" xr3:uid="{00000000-0010-0000-0400-000003000000}" name="Specifications"/>
    <tableColumn id="4" xr3:uid="{B9670A8F-2834-6A44-B0B5-70CE5D45B362}" name="Concatenated" dataDxfId="2">
      <calculatedColumnFormula>_xlfn.CONCAT(Table3[[#This Row],['#]],": ",Table3[[#This Row],[Framework]])</calculatedColumnFormula>
    </tableColumn>
  </tableColumns>
  <tableStyleInfo name="Light and Airy"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5423F8-6977-F546-B59B-548AFFBB210A}">
  <we:reference id="WA200009404" version="1.0.0.8" store="Omex" storeType="OMEX"/>
  <we:alternateReferences>
    <we:reference id="WA200009404" version="1.0.0.8" store="WA200009404" storeType="OMEX"/>
  </we:alternateReferences>
  <we:properties>
    <we:property name="claude.fileId" value="&quot;6d1fba07-6e04-484b-a3a7-36214c0e12c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41"/>
  <sheetViews>
    <sheetView showGridLines="0" tabSelected="1" zoomScale="82" workbookViewId="0">
      <pane ySplit="1" topLeftCell="A123" activePane="bottomLeft" state="frozen"/>
      <selection pane="bottomLeft" activeCell="B9" sqref="B9"/>
    </sheetView>
  </sheetViews>
  <sheetFormatPr baseColWidth="10" defaultColWidth="12.6640625" defaultRowHeight="21" customHeight="1" outlineLevelCol="1" x14ac:dyDescent="0.15"/>
  <cols>
    <col min="1" max="1" width="10.5" style="20" bestFit="1" customWidth="1"/>
    <col min="2" max="2" width="12.83203125" style="19" customWidth="1"/>
    <col min="3" max="4" width="10.1640625" style="20" customWidth="1"/>
    <col min="5" max="5" width="10.1640625" style="23" customWidth="1"/>
    <col min="6" max="6" width="10.1640625" style="24" customWidth="1"/>
    <col min="7" max="7" width="10.1640625" style="20" customWidth="1"/>
    <col min="8" max="8" width="10.1640625" style="21" customWidth="1"/>
    <col min="9" max="14" width="10.1640625" style="20" customWidth="1"/>
    <col min="15" max="15" width="10.1640625" style="22" customWidth="1"/>
    <col min="16" max="21" width="10.1640625" style="20" customWidth="1" outlineLevel="1"/>
    <col min="22" max="16384" width="12.6640625" style="19"/>
  </cols>
  <sheetData>
    <row r="1" spans="1:23" s="18" customFormat="1" ht="21" customHeight="1" x14ac:dyDescent="0.15">
      <c r="A1" s="70" t="s">
        <v>7</v>
      </c>
      <c r="B1" s="26" t="s">
        <v>10</v>
      </c>
      <c r="C1" s="26" t="s">
        <v>14</v>
      </c>
      <c r="D1" s="26" t="s">
        <v>749</v>
      </c>
      <c r="E1" s="27" t="s">
        <v>29</v>
      </c>
      <c r="F1" s="28" t="s">
        <v>32</v>
      </c>
      <c r="G1" s="29" t="s">
        <v>17</v>
      </c>
      <c r="H1" s="26" t="s">
        <v>38</v>
      </c>
      <c r="I1" s="29" t="s">
        <v>18</v>
      </c>
      <c r="J1" s="26" t="s">
        <v>19</v>
      </c>
      <c r="K1" s="26" t="s">
        <v>20</v>
      </c>
      <c r="L1" s="26" t="s">
        <v>23</v>
      </c>
      <c r="M1" s="26" t="s">
        <v>24</v>
      </c>
      <c r="N1" s="26" t="s">
        <v>25</v>
      </c>
      <c r="O1" s="29" t="s">
        <v>55</v>
      </c>
      <c r="P1" s="29" t="s">
        <v>57</v>
      </c>
      <c r="Q1" s="26" t="s">
        <v>59</v>
      </c>
      <c r="R1" s="26" t="s">
        <v>60</v>
      </c>
      <c r="S1" s="26" t="s">
        <v>62</v>
      </c>
      <c r="T1" s="26" t="s">
        <v>64</v>
      </c>
      <c r="U1" s="26" t="s">
        <v>65</v>
      </c>
    </row>
    <row r="2" spans="1:23" ht="21" customHeight="1" x14ac:dyDescent="0.15">
      <c r="A2" s="1" t="s">
        <v>750</v>
      </c>
      <c r="B2" s="30" t="s">
        <v>28</v>
      </c>
      <c r="C2" s="31">
        <v>6</v>
      </c>
      <c r="D2" s="31">
        <v>9</v>
      </c>
      <c r="E2" s="32" t="b">
        <v>0</v>
      </c>
      <c r="F2" s="33" t="b">
        <v>0</v>
      </c>
      <c r="G2" s="34">
        <f t="shared" ref="G2:G46" si="0">SUM(P2:U2)</f>
        <v>5</v>
      </c>
      <c r="H2" s="35"/>
      <c r="I2" s="34">
        <v>3</v>
      </c>
      <c r="J2" s="31">
        <v>4</v>
      </c>
      <c r="K2" s="31">
        <v>3</v>
      </c>
      <c r="L2" s="31">
        <v>2</v>
      </c>
      <c r="M2" s="31">
        <v>3</v>
      </c>
      <c r="N2" s="31">
        <v>2</v>
      </c>
      <c r="O2" s="34">
        <v>3</v>
      </c>
      <c r="P2" s="34">
        <f>IF(I2=VLOOKUP(VALUE(I$1),Questions[#All],5,FALSE),1,0)</f>
        <v>1</v>
      </c>
      <c r="Q2" s="31">
        <f>IF(J2=VLOOKUP(VALUE(J$1),Questions[#All],5,FALSE),1,0)</f>
        <v>0</v>
      </c>
      <c r="R2" s="31">
        <f>IF(K2=VLOOKUP(VALUE(K$1),Questions[#All],5,FALSE),1,0)</f>
        <v>1</v>
      </c>
      <c r="S2" s="31">
        <f>IF(L2=VLOOKUP(VALUE(L$1),Questions[#All],5,FALSE),1,0)</f>
        <v>1</v>
      </c>
      <c r="T2" s="31">
        <f>IF(M2=VLOOKUP(VALUE(M$1),Questions[#All],5,FALSE),1,0)</f>
        <v>1</v>
      </c>
      <c r="U2" s="31">
        <f>IF(N2=VLOOKUP(VALUE(N$1),Questions[#All],5,FALSE),1,0)</f>
        <v>1</v>
      </c>
      <c r="W2" s="25"/>
    </row>
    <row r="3" spans="1:23" ht="21" customHeight="1" x14ac:dyDescent="0.15">
      <c r="A3" s="1" t="s">
        <v>751</v>
      </c>
      <c r="B3" s="36" t="s">
        <v>28</v>
      </c>
      <c r="C3" s="37">
        <v>6</v>
      </c>
      <c r="D3" s="37">
        <v>9</v>
      </c>
      <c r="E3" s="38" t="b">
        <v>0</v>
      </c>
      <c r="F3" s="39" t="b">
        <v>0</v>
      </c>
      <c r="G3" s="40">
        <f t="shared" si="0"/>
        <v>4</v>
      </c>
      <c r="H3" s="41"/>
      <c r="I3" s="40">
        <v>3</v>
      </c>
      <c r="J3" s="37">
        <v>1</v>
      </c>
      <c r="K3" s="37">
        <v>3</v>
      </c>
      <c r="L3" s="37">
        <v>3</v>
      </c>
      <c r="M3" s="37">
        <v>3</v>
      </c>
      <c r="N3" s="37">
        <v>3</v>
      </c>
      <c r="O3" s="40">
        <v>1</v>
      </c>
      <c r="P3" s="40">
        <f>IF(I3=VLOOKUP(VALUE(I$1),Questions[#All],5,FALSE),1,0)</f>
        <v>1</v>
      </c>
      <c r="Q3" s="37">
        <f>IF(J3=VLOOKUP(VALUE(J$1),Questions[#All],5,FALSE),1,0)</f>
        <v>1</v>
      </c>
      <c r="R3" s="37">
        <f>IF(K3=VLOOKUP(VALUE(K$1),Questions[#All],5,FALSE),1,0)</f>
        <v>1</v>
      </c>
      <c r="S3" s="37">
        <f>IF(L3=VLOOKUP(VALUE(L$1),Questions[#All],5,FALSE),1,0)</f>
        <v>0</v>
      </c>
      <c r="T3" s="37">
        <f>IF(M3=VLOOKUP(VALUE(M$1),Questions[#All],5,FALSE),1,0)</f>
        <v>1</v>
      </c>
      <c r="U3" s="37">
        <f>IF(N3=VLOOKUP(VALUE(N$1),Questions[#All],5,FALSE),1,0)</f>
        <v>0</v>
      </c>
      <c r="W3" s="25"/>
    </row>
    <row r="4" spans="1:23" ht="21" customHeight="1" x14ac:dyDescent="0.15">
      <c r="A4" s="1" t="s">
        <v>752</v>
      </c>
      <c r="B4" s="42" t="s">
        <v>28</v>
      </c>
      <c r="C4" s="43">
        <v>6</v>
      </c>
      <c r="D4" s="43">
        <v>9</v>
      </c>
      <c r="E4" s="44" t="b">
        <v>0</v>
      </c>
      <c r="F4" s="45" t="b">
        <v>0</v>
      </c>
      <c r="G4" s="46">
        <f t="shared" si="0"/>
        <v>4</v>
      </c>
      <c r="H4" s="47"/>
      <c r="I4" s="46">
        <v>3</v>
      </c>
      <c r="J4" s="43">
        <v>1</v>
      </c>
      <c r="K4" s="43">
        <v>3</v>
      </c>
      <c r="L4" s="43">
        <v>2</v>
      </c>
      <c r="M4" s="43">
        <v>1</v>
      </c>
      <c r="N4" s="43">
        <v>1</v>
      </c>
      <c r="O4" s="46">
        <v>2</v>
      </c>
      <c r="P4" s="46">
        <f>IF(I4=VLOOKUP(VALUE(I$1),Questions[#All],5,FALSE),1,0)</f>
        <v>1</v>
      </c>
      <c r="Q4" s="43">
        <f>IF(J4=VLOOKUP(VALUE(J$1),Questions[#All],5,FALSE),1,0)</f>
        <v>1</v>
      </c>
      <c r="R4" s="43">
        <f>IF(K4=VLOOKUP(VALUE(K$1),Questions[#All],5,FALSE),1,0)</f>
        <v>1</v>
      </c>
      <c r="S4" s="43">
        <f>IF(L4=VLOOKUP(VALUE(L$1),Questions[#All],5,FALSE),1,0)</f>
        <v>1</v>
      </c>
      <c r="T4" s="43">
        <f>IF(M4=VLOOKUP(VALUE(M$1),Questions[#All],5,FALSE),1,0)</f>
        <v>0</v>
      </c>
      <c r="U4" s="43">
        <f>IF(N4=VLOOKUP(VALUE(N$1),Questions[#All],5,FALSE),1,0)</f>
        <v>0</v>
      </c>
      <c r="W4" s="25"/>
    </row>
    <row r="5" spans="1:23" ht="21" customHeight="1" x14ac:dyDescent="0.15">
      <c r="A5" s="1" t="s">
        <v>753</v>
      </c>
      <c r="B5" s="36" t="s">
        <v>28</v>
      </c>
      <c r="C5" s="37">
        <v>6</v>
      </c>
      <c r="D5" s="37">
        <v>9</v>
      </c>
      <c r="E5" s="38" t="b">
        <v>0</v>
      </c>
      <c r="F5" s="39" t="b">
        <v>0</v>
      </c>
      <c r="G5" s="40">
        <f t="shared" si="0"/>
        <v>6</v>
      </c>
      <c r="H5" s="41"/>
      <c r="I5" s="40">
        <v>3</v>
      </c>
      <c r="J5" s="37">
        <v>1</v>
      </c>
      <c r="K5" s="37">
        <v>3</v>
      </c>
      <c r="L5" s="37">
        <v>2</v>
      </c>
      <c r="M5" s="37">
        <v>3</v>
      </c>
      <c r="N5" s="37">
        <v>2</v>
      </c>
      <c r="O5" s="40">
        <v>1</v>
      </c>
      <c r="P5" s="40">
        <f>IF(I5=VLOOKUP(VALUE(I$1),Questions[#All],5,FALSE),1,0)</f>
        <v>1</v>
      </c>
      <c r="Q5" s="37">
        <f>IF(J5=VLOOKUP(VALUE(J$1),Questions[#All],5,FALSE),1,0)</f>
        <v>1</v>
      </c>
      <c r="R5" s="37">
        <f>IF(K5=VLOOKUP(VALUE(K$1),Questions[#All],5,FALSE),1,0)</f>
        <v>1</v>
      </c>
      <c r="S5" s="37">
        <f>IF(L5=VLOOKUP(VALUE(L$1),Questions[#All],5,FALSE),1,0)</f>
        <v>1</v>
      </c>
      <c r="T5" s="37">
        <f>IF(M5=VLOOKUP(VALUE(M$1),Questions[#All],5,FALSE),1,0)</f>
        <v>1</v>
      </c>
      <c r="U5" s="37">
        <f>IF(N5=VLOOKUP(VALUE(N$1),Questions[#All],5,FALSE),1,0)</f>
        <v>1</v>
      </c>
      <c r="W5" s="25"/>
    </row>
    <row r="6" spans="1:23" ht="21" customHeight="1" x14ac:dyDescent="0.15">
      <c r="A6" s="1" t="s">
        <v>754</v>
      </c>
      <c r="B6" s="42" t="s">
        <v>28</v>
      </c>
      <c r="C6" s="43">
        <v>6</v>
      </c>
      <c r="D6" s="43">
        <v>9</v>
      </c>
      <c r="E6" s="44" t="b">
        <v>0</v>
      </c>
      <c r="F6" s="45" t="b">
        <v>0</v>
      </c>
      <c r="G6" s="46">
        <f t="shared" si="0"/>
        <v>5</v>
      </c>
      <c r="H6" s="47"/>
      <c r="I6" s="46">
        <v>3</v>
      </c>
      <c r="J6" s="43">
        <v>1</v>
      </c>
      <c r="K6" s="43">
        <v>3</v>
      </c>
      <c r="L6" s="43">
        <v>2</v>
      </c>
      <c r="M6" s="43">
        <v>1</v>
      </c>
      <c r="N6" s="43">
        <v>2</v>
      </c>
      <c r="O6" s="46">
        <v>1</v>
      </c>
      <c r="P6" s="46">
        <f>IF(I6=VLOOKUP(VALUE(I$1),Questions[#All],5,FALSE),1,0)</f>
        <v>1</v>
      </c>
      <c r="Q6" s="43">
        <f>IF(J6=VLOOKUP(VALUE(J$1),Questions[#All],5,FALSE),1,0)</f>
        <v>1</v>
      </c>
      <c r="R6" s="43">
        <f>IF(K6=VLOOKUP(VALUE(K$1),Questions[#All],5,FALSE),1,0)</f>
        <v>1</v>
      </c>
      <c r="S6" s="43">
        <f>IF(L6=VLOOKUP(VALUE(L$1),Questions[#All],5,FALSE),1,0)</f>
        <v>1</v>
      </c>
      <c r="T6" s="43">
        <f>IF(M6=VLOOKUP(VALUE(M$1),Questions[#All],5,FALSE),1,0)</f>
        <v>0</v>
      </c>
      <c r="U6" s="43">
        <f>IF(N6=VLOOKUP(VALUE(N$1),Questions[#All],5,FALSE),1,0)</f>
        <v>1</v>
      </c>
      <c r="W6" s="25"/>
    </row>
    <row r="7" spans="1:23" ht="21" customHeight="1" x14ac:dyDescent="0.15">
      <c r="A7" s="1" t="s">
        <v>755</v>
      </c>
      <c r="B7" s="36" t="s">
        <v>28</v>
      </c>
      <c r="C7" s="37">
        <v>6</v>
      </c>
      <c r="D7" s="37">
        <v>9</v>
      </c>
      <c r="E7" s="38" t="b">
        <v>0</v>
      </c>
      <c r="F7" s="39" t="b">
        <v>0</v>
      </c>
      <c r="G7" s="40">
        <f t="shared" si="0"/>
        <v>2</v>
      </c>
      <c r="H7" s="41"/>
      <c r="I7" s="40">
        <v>3</v>
      </c>
      <c r="J7" s="37">
        <v>2</v>
      </c>
      <c r="K7" s="37">
        <v>3</v>
      </c>
      <c r="L7" s="37">
        <v>1</v>
      </c>
      <c r="M7" s="37">
        <v>2</v>
      </c>
      <c r="N7" s="37">
        <v>3</v>
      </c>
      <c r="O7" s="40">
        <v>1</v>
      </c>
      <c r="P7" s="40">
        <f>IF(I7=VLOOKUP(VALUE(I$1),Questions[#All],5,FALSE),1,0)</f>
        <v>1</v>
      </c>
      <c r="Q7" s="37">
        <f>IF(J7=VLOOKUP(VALUE(J$1),Questions[#All],5,FALSE),1,0)</f>
        <v>0</v>
      </c>
      <c r="R7" s="37">
        <f>IF(K7=VLOOKUP(VALUE(K$1),Questions[#All],5,FALSE),1,0)</f>
        <v>1</v>
      </c>
      <c r="S7" s="37">
        <f>IF(L7=VLOOKUP(VALUE(L$1),Questions[#All],5,FALSE),1,0)</f>
        <v>0</v>
      </c>
      <c r="T7" s="37">
        <f>IF(M7=VLOOKUP(VALUE(M$1),Questions[#All],5,FALSE),1,0)</f>
        <v>0</v>
      </c>
      <c r="U7" s="37">
        <f>IF(N7=VLOOKUP(VALUE(N$1),Questions[#All],5,FALSE),1,0)</f>
        <v>0</v>
      </c>
      <c r="W7" s="25"/>
    </row>
    <row r="8" spans="1:23" ht="21" customHeight="1" x14ac:dyDescent="0.15">
      <c r="A8" s="1" t="s">
        <v>756</v>
      </c>
      <c r="B8" s="42" t="s">
        <v>28</v>
      </c>
      <c r="C8" s="43">
        <v>6</v>
      </c>
      <c r="D8" s="43">
        <v>9</v>
      </c>
      <c r="E8" s="44" t="b">
        <v>0</v>
      </c>
      <c r="F8" s="45" t="b">
        <v>0</v>
      </c>
      <c r="G8" s="46">
        <f t="shared" si="0"/>
        <v>3</v>
      </c>
      <c r="H8" s="47"/>
      <c r="I8" s="46">
        <v>1</v>
      </c>
      <c r="J8" s="43">
        <v>4</v>
      </c>
      <c r="K8" s="43">
        <v>3</v>
      </c>
      <c r="L8" s="43">
        <v>4</v>
      </c>
      <c r="M8" s="43">
        <v>3</v>
      </c>
      <c r="N8" s="43">
        <v>2</v>
      </c>
      <c r="O8" s="46">
        <v>1</v>
      </c>
      <c r="P8" s="46">
        <f>IF(I8=VLOOKUP(VALUE(I$1),Questions[#All],5,FALSE),1,0)</f>
        <v>0</v>
      </c>
      <c r="Q8" s="43">
        <f>IF(J8=VLOOKUP(VALUE(J$1),Questions[#All],5,FALSE),1,0)</f>
        <v>0</v>
      </c>
      <c r="R8" s="43">
        <f>IF(K8=VLOOKUP(VALUE(K$1),Questions[#All],5,FALSE),1,0)</f>
        <v>1</v>
      </c>
      <c r="S8" s="43">
        <f>IF(L8=VLOOKUP(VALUE(L$1),Questions[#All],5,FALSE),1,0)</f>
        <v>0</v>
      </c>
      <c r="T8" s="43">
        <f>IF(M8=VLOOKUP(VALUE(M$1),Questions[#All],5,FALSE),1,0)</f>
        <v>1</v>
      </c>
      <c r="U8" s="43">
        <f>IF(N8=VLOOKUP(VALUE(N$1),Questions[#All],5,FALSE),1,0)</f>
        <v>1</v>
      </c>
      <c r="W8" s="25"/>
    </row>
    <row r="9" spans="1:23" ht="21" customHeight="1" x14ac:dyDescent="0.15">
      <c r="A9" s="1" t="s">
        <v>757</v>
      </c>
      <c r="B9" s="36" t="s">
        <v>28</v>
      </c>
      <c r="C9" s="37">
        <v>6</v>
      </c>
      <c r="D9" s="37">
        <v>9</v>
      </c>
      <c r="E9" s="38" t="b">
        <v>0</v>
      </c>
      <c r="F9" s="39" t="b">
        <v>0</v>
      </c>
      <c r="G9" s="40">
        <f t="shared" si="0"/>
        <v>4</v>
      </c>
      <c r="H9" s="41"/>
      <c r="I9" s="40">
        <v>3</v>
      </c>
      <c r="J9" s="37">
        <v>4</v>
      </c>
      <c r="K9" s="37">
        <v>3</v>
      </c>
      <c r="L9" s="37">
        <v>2</v>
      </c>
      <c r="M9" s="37">
        <v>1</v>
      </c>
      <c r="N9" s="37">
        <v>2</v>
      </c>
      <c r="O9" s="40">
        <v>1</v>
      </c>
      <c r="P9" s="40">
        <f>IF(I9=VLOOKUP(VALUE(I$1),Questions[#All],5,FALSE),1,0)</f>
        <v>1</v>
      </c>
      <c r="Q9" s="37">
        <f>IF(J9=VLOOKUP(VALUE(J$1),Questions[#All],5,FALSE),1,0)</f>
        <v>0</v>
      </c>
      <c r="R9" s="37">
        <f>IF(K9=VLOOKUP(VALUE(K$1),Questions[#All],5,FALSE),1,0)</f>
        <v>1</v>
      </c>
      <c r="S9" s="37">
        <f>IF(L9=VLOOKUP(VALUE(L$1),Questions[#All],5,FALSE),1,0)</f>
        <v>1</v>
      </c>
      <c r="T9" s="37">
        <f>IF(M9=VLOOKUP(VALUE(M$1),Questions[#All],5,FALSE),1,0)</f>
        <v>0</v>
      </c>
      <c r="U9" s="37">
        <f>IF(N9=VLOOKUP(VALUE(N$1),Questions[#All],5,FALSE),1,0)</f>
        <v>1</v>
      </c>
      <c r="W9" s="25"/>
    </row>
    <row r="10" spans="1:23" ht="21" customHeight="1" x14ac:dyDescent="0.15">
      <c r="A10" s="1" t="s">
        <v>758</v>
      </c>
      <c r="B10" s="42" t="s">
        <v>28</v>
      </c>
      <c r="C10" s="43">
        <v>6</v>
      </c>
      <c r="D10" s="43">
        <v>9</v>
      </c>
      <c r="E10" s="44" t="b">
        <v>0</v>
      </c>
      <c r="F10" s="45" t="b">
        <v>1</v>
      </c>
      <c r="G10" s="46">
        <f t="shared" si="0"/>
        <v>3</v>
      </c>
      <c r="H10" s="47"/>
      <c r="I10" s="46">
        <v>4</v>
      </c>
      <c r="J10" s="43">
        <v>2</v>
      </c>
      <c r="K10" s="43">
        <v>3</v>
      </c>
      <c r="L10" s="43">
        <v>2</v>
      </c>
      <c r="M10" s="43">
        <v>4</v>
      </c>
      <c r="N10" s="43">
        <v>2</v>
      </c>
      <c r="O10" s="46">
        <v>0</v>
      </c>
      <c r="P10" s="46">
        <f>IF(I10=VLOOKUP(VALUE(I$1),Questions[#All],5,FALSE),1,0)</f>
        <v>0</v>
      </c>
      <c r="Q10" s="43">
        <f>IF(J10=VLOOKUP(VALUE(J$1),Questions[#All],5,FALSE),1,0)</f>
        <v>0</v>
      </c>
      <c r="R10" s="43">
        <f>IF(K10=VLOOKUP(VALUE(K$1),Questions[#All],5,FALSE),1,0)</f>
        <v>1</v>
      </c>
      <c r="S10" s="43">
        <f>IF(L10=VLOOKUP(VALUE(L$1),Questions[#All],5,FALSE),1,0)</f>
        <v>1</v>
      </c>
      <c r="T10" s="43">
        <f>IF(M10=VLOOKUP(VALUE(M$1),Questions[#All],5,FALSE),1,0)</f>
        <v>0</v>
      </c>
      <c r="U10" s="43">
        <f>IF(N10=VLOOKUP(VALUE(N$1),Questions[#All],5,FALSE),1,0)</f>
        <v>1</v>
      </c>
      <c r="W10" s="25"/>
    </row>
    <row r="11" spans="1:23" ht="21" customHeight="1" x14ac:dyDescent="0.15">
      <c r="A11" s="1" t="s">
        <v>759</v>
      </c>
      <c r="B11" s="36" t="s">
        <v>28</v>
      </c>
      <c r="C11" s="37">
        <v>6</v>
      </c>
      <c r="D11" s="37">
        <v>9</v>
      </c>
      <c r="E11" s="38" t="b">
        <v>0</v>
      </c>
      <c r="F11" s="39" t="b">
        <v>0</v>
      </c>
      <c r="G11" s="40">
        <f t="shared" si="0"/>
        <v>2</v>
      </c>
      <c r="H11" s="41"/>
      <c r="I11" s="40">
        <v>2</v>
      </c>
      <c r="J11" s="37">
        <v>1</v>
      </c>
      <c r="K11" s="37">
        <v>3</v>
      </c>
      <c r="L11" s="37"/>
      <c r="M11" s="37">
        <v>1</v>
      </c>
      <c r="N11" s="37">
        <v>3</v>
      </c>
      <c r="O11" s="40">
        <v>3</v>
      </c>
      <c r="P11" s="40">
        <f>IF(I11=VLOOKUP(VALUE(I$1),Questions[#All],5,FALSE),1,0)</f>
        <v>0</v>
      </c>
      <c r="Q11" s="37">
        <f>IF(J11=VLOOKUP(VALUE(J$1),Questions[#All],5,FALSE),1,0)</f>
        <v>1</v>
      </c>
      <c r="R11" s="37">
        <f>IF(K11=VLOOKUP(VALUE(K$1),Questions[#All],5,FALSE),1,0)</f>
        <v>1</v>
      </c>
      <c r="S11" s="37">
        <f>IF(L11=VLOOKUP(VALUE(L$1),Questions[#All],5,FALSE),1,0)</f>
        <v>0</v>
      </c>
      <c r="T11" s="37">
        <f>IF(M11=VLOOKUP(VALUE(M$1),Questions[#All],5,FALSE),1,0)</f>
        <v>0</v>
      </c>
      <c r="U11" s="37">
        <f>IF(N11=VLOOKUP(VALUE(N$1),Questions[#All],5,FALSE),1,0)</f>
        <v>0</v>
      </c>
      <c r="W11" s="25"/>
    </row>
    <row r="12" spans="1:23" ht="21" customHeight="1" x14ac:dyDescent="0.15">
      <c r="A12" s="1" t="s">
        <v>760</v>
      </c>
      <c r="B12" s="42" t="s">
        <v>28</v>
      </c>
      <c r="C12" s="43">
        <v>6</v>
      </c>
      <c r="D12" s="43">
        <v>9</v>
      </c>
      <c r="E12" s="44" t="b">
        <v>0</v>
      </c>
      <c r="F12" s="45" t="b">
        <v>0</v>
      </c>
      <c r="G12" s="46">
        <f t="shared" si="0"/>
        <v>1</v>
      </c>
      <c r="H12" s="47"/>
      <c r="I12" s="46">
        <v>2</v>
      </c>
      <c r="J12" s="43">
        <v>2</v>
      </c>
      <c r="K12" s="43">
        <v>3</v>
      </c>
      <c r="L12" s="43">
        <v>3</v>
      </c>
      <c r="M12" s="43">
        <v>1</v>
      </c>
      <c r="N12" s="43">
        <v>1</v>
      </c>
      <c r="O12" s="46">
        <v>1</v>
      </c>
      <c r="P12" s="46">
        <f>IF(I12=VLOOKUP(VALUE(I$1),Questions[#All],5,FALSE),1,0)</f>
        <v>0</v>
      </c>
      <c r="Q12" s="43">
        <f>IF(J12=VLOOKUP(VALUE(J$1),Questions[#All],5,FALSE),1,0)</f>
        <v>0</v>
      </c>
      <c r="R12" s="43">
        <f>IF(K12=VLOOKUP(VALUE(K$1),Questions[#All],5,FALSE),1,0)</f>
        <v>1</v>
      </c>
      <c r="S12" s="43">
        <f>IF(L12=VLOOKUP(VALUE(L$1),Questions[#All],5,FALSE),1,0)</f>
        <v>0</v>
      </c>
      <c r="T12" s="43">
        <f>IF(M12=VLOOKUP(VALUE(M$1),Questions[#All],5,FALSE),1,0)</f>
        <v>0</v>
      </c>
      <c r="U12" s="43">
        <f>IF(N12=VLOOKUP(VALUE(N$1),Questions[#All],5,FALSE),1,0)</f>
        <v>0</v>
      </c>
      <c r="W12" s="25"/>
    </row>
    <row r="13" spans="1:23" ht="21" customHeight="1" x14ac:dyDescent="0.15">
      <c r="A13" s="1" t="s">
        <v>761</v>
      </c>
      <c r="B13" s="36" t="s">
        <v>28</v>
      </c>
      <c r="C13" s="37">
        <v>6</v>
      </c>
      <c r="D13" s="37">
        <v>9</v>
      </c>
      <c r="E13" s="38" t="b">
        <v>0</v>
      </c>
      <c r="F13" s="39" t="b">
        <v>0</v>
      </c>
      <c r="G13" s="40">
        <f t="shared" si="0"/>
        <v>6</v>
      </c>
      <c r="H13" s="41"/>
      <c r="I13" s="40">
        <v>3</v>
      </c>
      <c r="J13" s="37">
        <v>1</v>
      </c>
      <c r="K13" s="37">
        <v>3</v>
      </c>
      <c r="L13" s="37">
        <v>2</v>
      </c>
      <c r="M13" s="37">
        <v>3</v>
      </c>
      <c r="N13" s="37">
        <v>2</v>
      </c>
      <c r="O13" s="40">
        <v>3</v>
      </c>
      <c r="P13" s="40">
        <f>IF(I13=VLOOKUP(VALUE(I$1),Questions[#All],5,FALSE),1,0)</f>
        <v>1</v>
      </c>
      <c r="Q13" s="37">
        <f>IF(J13=VLOOKUP(VALUE(J$1),Questions[#All],5,FALSE),1,0)</f>
        <v>1</v>
      </c>
      <c r="R13" s="37">
        <f>IF(K13=VLOOKUP(VALUE(K$1),Questions[#All],5,FALSE),1,0)</f>
        <v>1</v>
      </c>
      <c r="S13" s="37">
        <f>IF(L13=VLOOKUP(VALUE(L$1),Questions[#All],5,FALSE),1,0)</f>
        <v>1</v>
      </c>
      <c r="T13" s="37">
        <f>IF(M13=VLOOKUP(VALUE(M$1),Questions[#All],5,FALSE),1,0)</f>
        <v>1</v>
      </c>
      <c r="U13" s="37">
        <f>IF(N13=VLOOKUP(VALUE(N$1),Questions[#All],5,FALSE),1,0)</f>
        <v>1</v>
      </c>
      <c r="W13" s="25"/>
    </row>
    <row r="14" spans="1:23" ht="21" customHeight="1" x14ac:dyDescent="0.15">
      <c r="A14" s="1" t="s">
        <v>762</v>
      </c>
      <c r="B14" s="42" t="s">
        <v>28</v>
      </c>
      <c r="C14" s="43">
        <v>6</v>
      </c>
      <c r="D14" s="43">
        <v>9</v>
      </c>
      <c r="E14" s="44" t="b">
        <v>0</v>
      </c>
      <c r="F14" s="45" t="b">
        <v>1</v>
      </c>
      <c r="G14" s="46">
        <f t="shared" si="0"/>
        <v>1</v>
      </c>
      <c r="H14" s="47"/>
      <c r="I14" s="46">
        <v>4</v>
      </c>
      <c r="J14" s="43">
        <v>2</v>
      </c>
      <c r="K14" s="43">
        <v>3</v>
      </c>
      <c r="L14" s="43">
        <v>3</v>
      </c>
      <c r="M14" s="43">
        <v>4</v>
      </c>
      <c r="N14" s="43">
        <v>1</v>
      </c>
      <c r="O14" s="46">
        <v>0</v>
      </c>
      <c r="P14" s="46">
        <f>IF(I14=VLOOKUP(VALUE(I$1),Questions[#All],5,FALSE),1,0)</f>
        <v>0</v>
      </c>
      <c r="Q14" s="43">
        <f>IF(J14=VLOOKUP(VALUE(J$1),Questions[#All],5,FALSE),1,0)</f>
        <v>0</v>
      </c>
      <c r="R14" s="43">
        <f>IF(K14=VLOOKUP(VALUE(K$1),Questions[#All],5,FALSE),1,0)</f>
        <v>1</v>
      </c>
      <c r="S14" s="43">
        <f>IF(L14=VLOOKUP(VALUE(L$1),Questions[#All],5,FALSE),1,0)</f>
        <v>0</v>
      </c>
      <c r="T14" s="43">
        <f>IF(M14=VLOOKUP(VALUE(M$1),Questions[#All],5,FALSE),1,0)</f>
        <v>0</v>
      </c>
      <c r="U14" s="43">
        <f>IF(N14=VLOOKUP(VALUE(N$1),Questions[#All],5,FALSE),1,0)</f>
        <v>0</v>
      </c>
      <c r="W14" s="25"/>
    </row>
    <row r="15" spans="1:23" ht="21" customHeight="1" x14ac:dyDescent="0.15">
      <c r="A15" s="1" t="s">
        <v>763</v>
      </c>
      <c r="B15" s="36" t="s">
        <v>28</v>
      </c>
      <c r="C15" s="37">
        <v>8</v>
      </c>
      <c r="D15" s="37">
        <v>9</v>
      </c>
      <c r="E15" s="38" t="b">
        <v>0</v>
      </c>
      <c r="F15" s="39" t="b">
        <v>0</v>
      </c>
      <c r="G15" s="40">
        <f t="shared" si="0"/>
        <v>3</v>
      </c>
      <c r="H15" s="41"/>
      <c r="I15" s="40">
        <v>4</v>
      </c>
      <c r="J15" s="37">
        <v>1</v>
      </c>
      <c r="K15" s="37">
        <v>3</v>
      </c>
      <c r="L15" s="37">
        <v>2</v>
      </c>
      <c r="M15" s="37">
        <v>1</v>
      </c>
      <c r="N15" s="37">
        <v>4</v>
      </c>
      <c r="O15" s="40">
        <v>1</v>
      </c>
      <c r="P15" s="40">
        <f>IF(I15=VLOOKUP(VALUE(I$1),Questions[#All],5,FALSE),1,0)</f>
        <v>0</v>
      </c>
      <c r="Q15" s="37">
        <f>IF(J15=VLOOKUP(VALUE(J$1),Questions[#All],5,FALSE),1,0)</f>
        <v>1</v>
      </c>
      <c r="R15" s="37">
        <f>IF(K15=VLOOKUP(VALUE(K$1),Questions[#All],5,FALSE),1,0)</f>
        <v>1</v>
      </c>
      <c r="S15" s="37">
        <f>IF(L15=VLOOKUP(VALUE(L$1),Questions[#All],5,FALSE),1,0)</f>
        <v>1</v>
      </c>
      <c r="T15" s="37">
        <f>IF(M15=VLOOKUP(VALUE(M$1),Questions[#All],5,FALSE),1,0)</f>
        <v>0</v>
      </c>
      <c r="U15" s="37">
        <f>IF(N15=VLOOKUP(VALUE(N$1),Questions[#All],5,FALSE),1,0)</f>
        <v>0</v>
      </c>
      <c r="W15" s="25"/>
    </row>
    <row r="16" spans="1:23" ht="21" customHeight="1" x14ac:dyDescent="0.15">
      <c r="A16" s="1" t="s">
        <v>764</v>
      </c>
      <c r="B16" s="42" t="s">
        <v>28</v>
      </c>
      <c r="C16" s="43">
        <v>8</v>
      </c>
      <c r="D16" s="43">
        <v>9</v>
      </c>
      <c r="E16" s="44" t="b">
        <v>0</v>
      </c>
      <c r="F16" s="45" t="b">
        <v>0</v>
      </c>
      <c r="G16" s="46">
        <f t="shared" si="0"/>
        <v>6</v>
      </c>
      <c r="H16" s="47"/>
      <c r="I16" s="46">
        <v>3</v>
      </c>
      <c r="J16" s="43">
        <v>1</v>
      </c>
      <c r="K16" s="43">
        <v>3</v>
      </c>
      <c r="L16" s="43">
        <v>2</v>
      </c>
      <c r="M16" s="43">
        <v>3</v>
      </c>
      <c r="N16" s="43">
        <v>2</v>
      </c>
      <c r="O16" s="46">
        <v>2</v>
      </c>
      <c r="P16" s="46">
        <f>IF(I16=VLOOKUP(VALUE(I$1),Questions[#All],5,FALSE),1,0)</f>
        <v>1</v>
      </c>
      <c r="Q16" s="43">
        <f>IF(J16=VLOOKUP(VALUE(J$1),Questions[#All],5,FALSE),1,0)</f>
        <v>1</v>
      </c>
      <c r="R16" s="43">
        <f>IF(K16=VLOOKUP(VALUE(K$1),Questions[#All],5,FALSE),1,0)</f>
        <v>1</v>
      </c>
      <c r="S16" s="43">
        <f>IF(L16=VLOOKUP(VALUE(L$1),Questions[#All],5,FALSE),1,0)</f>
        <v>1</v>
      </c>
      <c r="T16" s="43">
        <f>IF(M16=VLOOKUP(VALUE(M$1),Questions[#All],5,FALSE),1,0)</f>
        <v>1</v>
      </c>
      <c r="U16" s="43">
        <f>IF(N16=VLOOKUP(VALUE(N$1),Questions[#All],5,FALSE),1,0)</f>
        <v>1</v>
      </c>
      <c r="W16" s="25"/>
    </row>
    <row r="17" spans="1:23" ht="21" customHeight="1" x14ac:dyDescent="0.15">
      <c r="A17" s="1" t="s">
        <v>765</v>
      </c>
      <c r="B17" s="36" t="s">
        <v>28</v>
      </c>
      <c r="C17" s="37">
        <v>8</v>
      </c>
      <c r="D17" s="37">
        <v>9</v>
      </c>
      <c r="E17" s="38" t="b">
        <v>0</v>
      </c>
      <c r="F17" s="39" t="b">
        <v>0</v>
      </c>
      <c r="G17" s="40">
        <f t="shared" si="0"/>
        <v>5</v>
      </c>
      <c r="H17" s="41"/>
      <c r="I17" s="40">
        <v>3</v>
      </c>
      <c r="J17" s="37">
        <v>1</v>
      </c>
      <c r="K17" s="37">
        <v>3</v>
      </c>
      <c r="L17" s="37">
        <v>2</v>
      </c>
      <c r="M17" s="37">
        <v>1</v>
      </c>
      <c r="N17" s="37">
        <v>2</v>
      </c>
      <c r="O17" s="40">
        <v>2</v>
      </c>
      <c r="P17" s="40">
        <f>IF(I17=VLOOKUP(VALUE(I$1),Questions[#All],5,FALSE),1,0)</f>
        <v>1</v>
      </c>
      <c r="Q17" s="37">
        <f>IF(J17=VLOOKUP(VALUE(J$1),Questions[#All],5,FALSE),1,0)</f>
        <v>1</v>
      </c>
      <c r="R17" s="37">
        <f>IF(K17=VLOOKUP(VALUE(K$1),Questions[#All],5,FALSE),1,0)</f>
        <v>1</v>
      </c>
      <c r="S17" s="37">
        <f>IF(L17=VLOOKUP(VALUE(L$1),Questions[#All],5,FALSE),1,0)</f>
        <v>1</v>
      </c>
      <c r="T17" s="37">
        <f>IF(M17=VLOOKUP(VALUE(M$1),Questions[#All],5,FALSE),1,0)</f>
        <v>0</v>
      </c>
      <c r="U17" s="37">
        <f>IF(N17=VLOOKUP(VALUE(N$1),Questions[#All],5,FALSE),1,0)</f>
        <v>1</v>
      </c>
      <c r="W17" s="25"/>
    </row>
    <row r="18" spans="1:23" ht="21" customHeight="1" x14ac:dyDescent="0.15">
      <c r="A18" s="1" t="s">
        <v>766</v>
      </c>
      <c r="B18" s="42" t="s">
        <v>28</v>
      </c>
      <c r="C18" s="43">
        <v>8</v>
      </c>
      <c r="D18" s="43">
        <v>9</v>
      </c>
      <c r="E18" s="44" t="b">
        <v>0</v>
      </c>
      <c r="F18" s="45" t="b">
        <v>1</v>
      </c>
      <c r="G18" s="46">
        <f t="shared" si="0"/>
        <v>2</v>
      </c>
      <c r="H18" s="47"/>
      <c r="I18" s="46">
        <v>2</v>
      </c>
      <c r="J18" s="43">
        <v>2</v>
      </c>
      <c r="K18" s="43">
        <v>3</v>
      </c>
      <c r="L18" s="43">
        <v>1</v>
      </c>
      <c r="M18" s="43">
        <v>3</v>
      </c>
      <c r="N18" s="43">
        <v>4</v>
      </c>
      <c r="O18" s="46">
        <v>3</v>
      </c>
      <c r="P18" s="46">
        <f>IF(I18=VLOOKUP(VALUE(I$1),Questions[#All],5,FALSE),1,0)</f>
        <v>0</v>
      </c>
      <c r="Q18" s="43">
        <f>IF(J18=VLOOKUP(VALUE(J$1),Questions[#All],5,FALSE),1,0)</f>
        <v>0</v>
      </c>
      <c r="R18" s="43">
        <f>IF(K18=VLOOKUP(VALUE(K$1),Questions[#All],5,FALSE),1,0)</f>
        <v>1</v>
      </c>
      <c r="S18" s="43">
        <f>IF(L18=VLOOKUP(VALUE(L$1),Questions[#All],5,FALSE),1,0)</f>
        <v>0</v>
      </c>
      <c r="T18" s="43">
        <f>IF(M18=VLOOKUP(VALUE(M$1),Questions[#All],5,FALSE),1,0)</f>
        <v>1</v>
      </c>
      <c r="U18" s="43">
        <f>IF(N18=VLOOKUP(VALUE(N$1),Questions[#All],5,FALSE),1,0)</f>
        <v>0</v>
      </c>
      <c r="W18" s="25"/>
    </row>
    <row r="19" spans="1:23" ht="21" customHeight="1" x14ac:dyDescent="0.15">
      <c r="A19" s="1" t="s">
        <v>767</v>
      </c>
      <c r="B19" s="36" t="s">
        <v>28</v>
      </c>
      <c r="C19" s="37">
        <v>8</v>
      </c>
      <c r="D19" s="37">
        <v>9</v>
      </c>
      <c r="E19" s="38" t="b">
        <v>0</v>
      </c>
      <c r="F19" s="39" t="b">
        <v>1</v>
      </c>
      <c r="G19" s="40">
        <f t="shared" si="0"/>
        <v>1</v>
      </c>
      <c r="H19" s="41"/>
      <c r="I19" s="40">
        <v>2</v>
      </c>
      <c r="J19" s="37">
        <v>3</v>
      </c>
      <c r="K19" s="37">
        <v>1</v>
      </c>
      <c r="L19" s="37">
        <v>4</v>
      </c>
      <c r="M19" s="37">
        <v>4</v>
      </c>
      <c r="N19" s="37">
        <v>2</v>
      </c>
      <c r="O19" s="40">
        <v>1</v>
      </c>
      <c r="P19" s="40">
        <f>IF(I19=VLOOKUP(VALUE(I$1),Questions[#All],5,FALSE),1,0)</f>
        <v>0</v>
      </c>
      <c r="Q19" s="37">
        <f>IF(J19=VLOOKUP(VALUE(J$1),Questions[#All],5,FALSE),1,0)</f>
        <v>0</v>
      </c>
      <c r="R19" s="37">
        <f>IF(K19=VLOOKUP(VALUE(K$1),Questions[#All],5,FALSE),1,0)</f>
        <v>0</v>
      </c>
      <c r="S19" s="37">
        <f>IF(L19=VLOOKUP(VALUE(L$1),Questions[#All],5,FALSE),1,0)</f>
        <v>0</v>
      </c>
      <c r="T19" s="37">
        <f>IF(M19=VLOOKUP(VALUE(M$1),Questions[#All],5,FALSE),1,0)</f>
        <v>0</v>
      </c>
      <c r="U19" s="37">
        <f>IF(N19=VLOOKUP(VALUE(N$1),Questions[#All],5,FALSE),1,0)</f>
        <v>1</v>
      </c>
      <c r="W19" s="25"/>
    </row>
    <row r="20" spans="1:23" ht="21" customHeight="1" x14ac:dyDescent="0.15">
      <c r="A20" s="1" t="s">
        <v>768</v>
      </c>
      <c r="B20" s="42" t="s">
        <v>28</v>
      </c>
      <c r="C20" s="43">
        <v>8</v>
      </c>
      <c r="D20" s="43">
        <v>9</v>
      </c>
      <c r="E20" s="44" t="b">
        <v>0</v>
      </c>
      <c r="F20" s="45" t="b">
        <v>0</v>
      </c>
      <c r="G20" s="46">
        <f t="shared" si="0"/>
        <v>0</v>
      </c>
      <c r="H20" s="47"/>
      <c r="I20" s="46"/>
      <c r="J20" s="43"/>
      <c r="K20" s="43"/>
      <c r="L20" s="43"/>
      <c r="M20" s="43"/>
      <c r="N20" s="43"/>
      <c r="O20" s="46"/>
      <c r="P20" s="46">
        <f>IF(I20=VLOOKUP(VALUE(I$1),Questions[#All],5,FALSE),1,0)</f>
        <v>0</v>
      </c>
      <c r="Q20" s="43">
        <f>IF(J20=VLOOKUP(VALUE(J$1),Questions[#All],5,FALSE),1,0)</f>
        <v>0</v>
      </c>
      <c r="R20" s="43">
        <f>IF(K20=VLOOKUP(VALUE(K$1),Questions[#All],5,FALSE),1,0)</f>
        <v>0</v>
      </c>
      <c r="S20" s="43">
        <f>IF(L20=VLOOKUP(VALUE(L$1),Questions[#All],5,FALSE),1,0)</f>
        <v>0</v>
      </c>
      <c r="T20" s="43">
        <f>IF(M20=VLOOKUP(VALUE(M$1),Questions[#All],5,FALSE),1,0)</f>
        <v>0</v>
      </c>
      <c r="U20" s="43">
        <f>IF(N20=VLOOKUP(VALUE(N$1),Questions[#All],5,FALSE),1,0)</f>
        <v>0</v>
      </c>
      <c r="W20" s="25"/>
    </row>
    <row r="21" spans="1:23" ht="21" customHeight="1" x14ac:dyDescent="0.15">
      <c r="A21" s="1" t="s">
        <v>769</v>
      </c>
      <c r="B21" s="36" t="s">
        <v>28</v>
      </c>
      <c r="C21" s="37">
        <v>8</v>
      </c>
      <c r="D21" s="37">
        <v>9</v>
      </c>
      <c r="E21" s="38" t="b">
        <v>0</v>
      </c>
      <c r="F21" s="39" t="b">
        <v>0</v>
      </c>
      <c r="G21" s="40">
        <f t="shared" si="0"/>
        <v>2</v>
      </c>
      <c r="H21" s="41"/>
      <c r="I21" s="40">
        <v>3</v>
      </c>
      <c r="J21" s="37">
        <v>4</v>
      </c>
      <c r="K21" s="37">
        <v>3</v>
      </c>
      <c r="L21" s="37">
        <v>3</v>
      </c>
      <c r="M21" s="37">
        <v>1</v>
      </c>
      <c r="N21" s="37"/>
      <c r="O21" s="40"/>
      <c r="P21" s="40">
        <f>IF(I21=VLOOKUP(VALUE(I$1),Questions[#All],5,FALSE),1,0)</f>
        <v>1</v>
      </c>
      <c r="Q21" s="37">
        <f>IF(J21=VLOOKUP(VALUE(J$1),Questions[#All],5,FALSE),1,0)</f>
        <v>0</v>
      </c>
      <c r="R21" s="37">
        <f>IF(K21=VLOOKUP(VALUE(K$1),Questions[#All],5,FALSE),1,0)</f>
        <v>1</v>
      </c>
      <c r="S21" s="37">
        <f>IF(L21=VLOOKUP(VALUE(L$1),Questions[#All],5,FALSE),1,0)</f>
        <v>0</v>
      </c>
      <c r="T21" s="37">
        <f>IF(M21=VLOOKUP(VALUE(M$1),Questions[#All],5,FALSE),1,0)</f>
        <v>0</v>
      </c>
      <c r="U21" s="37">
        <f>IF(N21=VLOOKUP(VALUE(N$1),Questions[#All],5,FALSE),1,0)</f>
        <v>0</v>
      </c>
      <c r="W21" s="25"/>
    </row>
    <row r="22" spans="1:23" ht="21" customHeight="1" x14ac:dyDescent="0.15">
      <c r="A22" s="1" t="s">
        <v>770</v>
      </c>
      <c r="B22" s="42" t="s">
        <v>28</v>
      </c>
      <c r="C22" s="43">
        <v>8</v>
      </c>
      <c r="D22" s="43">
        <v>9</v>
      </c>
      <c r="E22" s="44" t="b">
        <v>0</v>
      </c>
      <c r="F22" s="45" t="b">
        <v>0</v>
      </c>
      <c r="G22" s="46">
        <f t="shared" si="0"/>
        <v>5</v>
      </c>
      <c r="H22" s="47"/>
      <c r="I22" s="46">
        <v>1</v>
      </c>
      <c r="J22" s="43">
        <v>1</v>
      </c>
      <c r="K22" s="43">
        <v>3</v>
      </c>
      <c r="L22" s="43">
        <v>2</v>
      </c>
      <c r="M22" s="43">
        <v>3</v>
      </c>
      <c r="N22" s="43">
        <v>2</v>
      </c>
      <c r="O22" s="46">
        <v>2</v>
      </c>
      <c r="P22" s="46">
        <f>IF(I22=VLOOKUP(VALUE(I$1),Questions[#All],5,FALSE),1,0)</f>
        <v>0</v>
      </c>
      <c r="Q22" s="43">
        <f>IF(J22=VLOOKUP(VALUE(J$1),Questions[#All],5,FALSE),1,0)</f>
        <v>1</v>
      </c>
      <c r="R22" s="43">
        <f>IF(K22=VLOOKUP(VALUE(K$1),Questions[#All],5,FALSE),1,0)</f>
        <v>1</v>
      </c>
      <c r="S22" s="43">
        <f>IF(L22=VLOOKUP(VALUE(L$1),Questions[#All],5,FALSE),1,0)</f>
        <v>1</v>
      </c>
      <c r="T22" s="43">
        <f>IF(M22=VLOOKUP(VALUE(M$1),Questions[#All],5,FALSE),1,0)</f>
        <v>1</v>
      </c>
      <c r="U22" s="43">
        <f>IF(N22=VLOOKUP(VALUE(N$1),Questions[#All],5,FALSE),1,0)</f>
        <v>1</v>
      </c>
      <c r="W22" s="25"/>
    </row>
    <row r="23" spans="1:23" ht="21" customHeight="1" x14ac:dyDescent="0.15">
      <c r="A23" s="1" t="s">
        <v>771</v>
      </c>
      <c r="B23" s="36" t="s">
        <v>28</v>
      </c>
      <c r="C23" s="37">
        <v>8</v>
      </c>
      <c r="D23" s="37">
        <v>9</v>
      </c>
      <c r="E23" s="38" t="b">
        <v>0</v>
      </c>
      <c r="F23" s="39" t="b">
        <v>0</v>
      </c>
      <c r="G23" s="40">
        <f t="shared" si="0"/>
        <v>3</v>
      </c>
      <c r="H23" s="41"/>
      <c r="I23" s="40">
        <v>4</v>
      </c>
      <c r="J23" s="37">
        <v>1</v>
      </c>
      <c r="K23" s="37">
        <v>3</v>
      </c>
      <c r="L23" s="37">
        <v>3</v>
      </c>
      <c r="M23" s="37">
        <v>1</v>
      </c>
      <c r="N23" s="37">
        <v>2</v>
      </c>
      <c r="O23" s="40">
        <v>1</v>
      </c>
      <c r="P23" s="40">
        <f>IF(I23=VLOOKUP(VALUE(I$1),Questions[#All],5,FALSE),1,0)</f>
        <v>0</v>
      </c>
      <c r="Q23" s="37">
        <f>IF(J23=VLOOKUP(VALUE(J$1),Questions[#All],5,FALSE),1,0)</f>
        <v>1</v>
      </c>
      <c r="R23" s="37">
        <f>IF(K23=VLOOKUP(VALUE(K$1),Questions[#All],5,FALSE),1,0)</f>
        <v>1</v>
      </c>
      <c r="S23" s="37">
        <f>IF(L23=VLOOKUP(VALUE(L$1),Questions[#All],5,FALSE),1,0)</f>
        <v>0</v>
      </c>
      <c r="T23" s="37">
        <f>IF(M23=VLOOKUP(VALUE(M$1),Questions[#All],5,FALSE),1,0)</f>
        <v>0</v>
      </c>
      <c r="U23" s="37">
        <f>IF(N23=VLOOKUP(VALUE(N$1),Questions[#All],5,FALSE),1,0)</f>
        <v>1</v>
      </c>
      <c r="W23" s="25"/>
    </row>
    <row r="24" spans="1:23" ht="21" customHeight="1" x14ac:dyDescent="0.15">
      <c r="A24" s="1" t="s">
        <v>772</v>
      </c>
      <c r="B24" s="42" t="s">
        <v>28</v>
      </c>
      <c r="C24" s="43">
        <v>8</v>
      </c>
      <c r="D24" s="43">
        <v>9</v>
      </c>
      <c r="E24" s="44" t="b">
        <v>0</v>
      </c>
      <c r="F24" s="45" t="b">
        <v>0</v>
      </c>
      <c r="G24" s="46">
        <f t="shared" si="0"/>
        <v>4</v>
      </c>
      <c r="H24" s="47"/>
      <c r="I24" s="46">
        <v>1</v>
      </c>
      <c r="J24" s="43">
        <v>2</v>
      </c>
      <c r="K24" s="43">
        <v>3</v>
      </c>
      <c r="L24" s="43">
        <v>2</v>
      </c>
      <c r="M24" s="43">
        <v>3</v>
      </c>
      <c r="N24" s="43">
        <v>2</v>
      </c>
      <c r="O24" s="46">
        <v>1</v>
      </c>
      <c r="P24" s="46">
        <f>IF(I24=VLOOKUP(VALUE(I$1),Questions[#All],5,FALSE),1,0)</f>
        <v>0</v>
      </c>
      <c r="Q24" s="43">
        <f>IF(J24=VLOOKUP(VALUE(J$1),Questions[#All],5,FALSE),1,0)</f>
        <v>0</v>
      </c>
      <c r="R24" s="43">
        <f>IF(K24=VLOOKUP(VALUE(K$1),Questions[#All],5,FALSE),1,0)</f>
        <v>1</v>
      </c>
      <c r="S24" s="43">
        <f>IF(L24=VLOOKUP(VALUE(L$1),Questions[#All],5,FALSE),1,0)</f>
        <v>1</v>
      </c>
      <c r="T24" s="43">
        <f>IF(M24=VLOOKUP(VALUE(M$1),Questions[#All],5,FALSE),1,0)</f>
        <v>1</v>
      </c>
      <c r="U24" s="43">
        <f>IF(N24=VLOOKUP(VALUE(N$1),Questions[#All],5,FALSE),1,0)</f>
        <v>1</v>
      </c>
      <c r="W24" s="25"/>
    </row>
    <row r="25" spans="1:23" ht="21" customHeight="1" x14ac:dyDescent="0.15">
      <c r="A25" s="1" t="s">
        <v>773</v>
      </c>
      <c r="B25" s="36" t="s">
        <v>28</v>
      </c>
      <c r="C25" s="37">
        <v>8</v>
      </c>
      <c r="D25" s="37">
        <v>9</v>
      </c>
      <c r="E25" s="38" t="b">
        <v>0</v>
      </c>
      <c r="F25" s="39" t="b">
        <v>1</v>
      </c>
      <c r="G25" s="40">
        <f t="shared" si="0"/>
        <v>4</v>
      </c>
      <c r="H25" s="41"/>
      <c r="I25" s="40">
        <v>2</v>
      </c>
      <c r="J25" s="37">
        <v>1</v>
      </c>
      <c r="K25" s="37">
        <v>3</v>
      </c>
      <c r="L25" s="37">
        <v>2</v>
      </c>
      <c r="M25" s="37">
        <v>3</v>
      </c>
      <c r="N25" s="37">
        <v>4</v>
      </c>
      <c r="O25" s="40">
        <v>1</v>
      </c>
      <c r="P25" s="40">
        <f>IF(I25=VLOOKUP(VALUE(I$1),Questions[#All],5,FALSE),1,0)</f>
        <v>0</v>
      </c>
      <c r="Q25" s="37">
        <f>IF(J25=VLOOKUP(VALUE(J$1),Questions[#All],5,FALSE),1,0)</f>
        <v>1</v>
      </c>
      <c r="R25" s="37">
        <f>IF(K25=VLOOKUP(VALUE(K$1),Questions[#All],5,FALSE),1,0)</f>
        <v>1</v>
      </c>
      <c r="S25" s="37">
        <f>IF(L25=VLOOKUP(VALUE(L$1),Questions[#All],5,FALSE),1,0)</f>
        <v>1</v>
      </c>
      <c r="T25" s="37">
        <f>IF(M25=VLOOKUP(VALUE(M$1),Questions[#All],5,FALSE),1,0)</f>
        <v>1</v>
      </c>
      <c r="U25" s="37">
        <f>IF(N25=VLOOKUP(VALUE(N$1),Questions[#All],5,FALSE),1,0)</f>
        <v>0</v>
      </c>
      <c r="W25" s="25"/>
    </row>
    <row r="26" spans="1:23" ht="21" customHeight="1" x14ac:dyDescent="0.15">
      <c r="A26" s="1" t="s">
        <v>774</v>
      </c>
      <c r="B26" s="42" t="s">
        <v>28</v>
      </c>
      <c r="C26" s="43">
        <v>8</v>
      </c>
      <c r="D26" s="43">
        <v>9</v>
      </c>
      <c r="E26" s="44" t="b">
        <v>1</v>
      </c>
      <c r="F26" s="45" t="b">
        <v>0</v>
      </c>
      <c r="G26" s="46">
        <f t="shared" si="0"/>
        <v>2</v>
      </c>
      <c r="H26" s="47"/>
      <c r="I26" s="46">
        <v>3</v>
      </c>
      <c r="J26" s="43">
        <v>1</v>
      </c>
      <c r="K26" s="43">
        <v>2</v>
      </c>
      <c r="L26" s="43">
        <v>3</v>
      </c>
      <c r="M26" s="43">
        <v>1</v>
      </c>
      <c r="N26" s="43">
        <v>4</v>
      </c>
      <c r="O26" s="46">
        <v>1</v>
      </c>
      <c r="P26" s="46">
        <f>IF(I26=VLOOKUP(VALUE(I$1),Questions[#All],5,FALSE),1,0)</f>
        <v>1</v>
      </c>
      <c r="Q26" s="43">
        <f>IF(J26=VLOOKUP(VALUE(J$1),Questions[#All],5,FALSE),1,0)</f>
        <v>1</v>
      </c>
      <c r="R26" s="43">
        <f>IF(K26=VLOOKUP(VALUE(K$1),Questions[#All],5,FALSE),1,0)</f>
        <v>0</v>
      </c>
      <c r="S26" s="43">
        <f>IF(L26=VLOOKUP(VALUE(L$1),Questions[#All],5,FALSE),1,0)</f>
        <v>0</v>
      </c>
      <c r="T26" s="43">
        <f>IF(M26=VLOOKUP(VALUE(M$1),Questions[#All],5,FALSE),1,0)</f>
        <v>0</v>
      </c>
      <c r="U26" s="43">
        <f>IF(N26=VLOOKUP(VALUE(N$1),Questions[#All],5,FALSE),1,0)</f>
        <v>0</v>
      </c>
      <c r="W26" s="25"/>
    </row>
    <row r="27" spans="1:23" ht="21" customHeight="1" x14ac:dyDescent="0.15">
      <c r="A27" s="1" t="s">
        <v>775</v>
      </c>
      <c r="B27" s="36" t="s">
        <v>28</v>
      </c>
      <c r="C27" s="37">
        <v>8</v>
      </c>
      <c r="D27" s="37">
        <v>9</v>
      </c>
      <c r="E27" s="38" t="b">
        <v>0</v>
      </c>
      <c r="F27" s="39" t="b">
        <v>1</v>
      </c>
      <c r="G27" s="40">
        <f t="shared" si="0"/>
        <v>1</v>
      </c>
      <c r="H27" s="41"/>
      <c r="I27" s="40">
        <v>4</v>
      </c>
      <c r="J27" s="37">
        <v>3</v>
      </c>
      <c r="K27" s="37">
        <v>2</v>
      </c>
      <c r="L27" s="37">
        <v>3</v>
      </c>
      <c r="M27" s="37">
        <v>3</v>
      </c>
      <c r="N27" s="37">
        <v>1</v>
      </c>
      <c r="O27" s="40">
        <v>2</v>
      </c>
      <c r="P27" s="40">
        <f>IF(I27=VLOOKUP(VALUE(I$1),Questions[#All],5,FALSE),1,0)</f>
        <v>0</v>
      </c>
      <c r="Q27" s="37">
        <f>IF(J27=VLOOKUP(VALUE(J$1),Questions[#All],5,FALSE),1,0)</f>
        <v>0</v>
      </c>
      <c r="R27" s="37">
        <f>IF(K27=VLOOKUP(VALUE(K$1),Questions[#All],5,FALSE),1,0)</f>
        <v>0</v>
      </c>
      <c r="S27" s="37">
        <f>IF(L27=VLOOKUP(VALUE(L$1),Questions[#All],5,FALSE),1,0)</f>
        <v>0</v>
      </c>
      <c r="T27" s="37">
        <f>IF(M27=VLOOKUP(VALUE(M$1),Questions[#All],5,FALSE),1,0)</f>
        <v>1</v>
      </c>
      <c r="U27" s="37">
        <f>IF(N27=VLOOKUP(VALUE(N$1),Questions[#All],5,FALSE),1,0)</f>
        <v>0</v>
      </c>
      <c r="W27" s="25"/>
    </row>
    <row r="28" spans="1:23" ht="21" customHeight="1" x14ac:dyDescent="0.15">
      <c r="A28" s="1" t="s">
        <v>776</v>
      </c>
      <c r="B28" s="42" t="s">
        <v>28</v>
      </c>
      <c r="C28" s="43">
        <v>8</v>
      </c>
      <c r="D28" s="43">
        <v>9</v>
      </c>
      <c r="E28" s="44" t="b">
        <v>0</v>
      </c>
      <c r="F28" s="45" t="b">
        <v>0</v>
      </c>
      <c r="G28" s="46">
        <f t="shared" si="0"/>
        <v>5</v>
      </c>
      <c r="H28" s="47"/>
      <c r="I28" s="46">
        <v>3</v>
      </c>
      <c r="J28" s="43">
        <v>1</v>
      </c>
      <c r="K28" s="43">
        <v>3</v>
      </c>
      <c r="L28" s="43">
        <v>2</v>
      </c>
      <c r="M28" s="43">
        <v>1</v>
      </c>
      <c r="N28" s="43">
        <v>2</v>
      </c>
      <c r="O28" s="46">
        <v>3</v>
      </c>
      <c r="P28" s="46">
        <f>IF(I28=VLOOKUP(VALUE(I$1),Questions[#All],5,FALSE),1,0)</f>
        <v>1</v>
      </c>
      <c r="Q28" s="43">
        <f>IF(J28=VLOOKUP(VALUE(J$1),Questions[#All],5,FALSE),1,0)</f>
        <v>1</v>
      </c>
      <c r="R28" s="43">
        <f>IF(K28=VLOOKUP(VALUE(K$1),Questions[#All],5,FALSE),1,0)</f>
        <v>1</v>
      </c>
      <c r="S28" s="43">
        <f>IF(L28=VLOOKUP(VALUE(L$1),Questions[#All],5,FALSE),1,0)</f>
        <v>1</v>
      </c>
      <c r="T28" s="43">
        <f>IF(M28=VLOOKUP(VALUE(M$1),Questions[#All],5,FALSE),1,0)</f>
        <v>0</v>
      </c>
      <c r="U28" s="43">
        <f>IF(N28=VLOOKUP(VALUE(N$1),Questions[#All],5,FALSE),1,0)</f>
        <v>1</v>
      </c>
      <c r="W28" s="25"/>
    </row>
    <row r="29" spans="1:23" ht="21" customHeight="1" x14ac:dyDescent="0.15">
      <c r="A29" s="1" t="s">
        <v>777</v>
      </c>
      <c r="B29" s="36" t="s">
        <v>42</v>
      </c>
      <c r="C29" s="37">
        <v>3</v>
      </c>
      <c r="D29" s="37">
        <v>9</v>
      </c>
      <c r="E29" s="38" t="b">
        <v>0</v>
      </c>
      <c r="F29" s="39" t="b">
        <v>0</v>
      </c>
      <c r="G29" s="40">
        <f t="shared" si="0"/>
        <v>3</v>
      </c>
      <c r="H29" s="41"/>
      <c r="I29" s="40">
        <v>3</v>
      </c>
      <c r="J29" s="37">
        <v>2</v>
      </c>
      <c r="K29" s="37">
        <v>4</v>
      </c>
      <c r="L29" s="37">
        <v>2</v>
      </c>
      <c r="M29" s="37">
        <v>1</v>
      </c>
      <c r="N29" s="37">
        <v>2</v>
      </c>
      <c r="O29" s="40">
        <v>2</v>
      </c>
      <c r="P29" s="40">
        <f>IF(I29=VLOOKUP(VALUE(I$1),Questions[#All],5,FALSE),1,0)</f>
        <v>1</v>
      </c>
      <c r="Q29" s="37">
        <f>IF(J29=VLOOKUP(VALUE(J$1),Questions[#All],5,FALSE),1,0)</f>
        <v>0</v>
      </c>
      <c r="R29" s="37">
        <f>IF(K29=VLOOKUP(VALUE(K$1),Questions[#All],5,FALSE),1,0)</f>
        <v>0</v>
      </c>
      <c r="S29" s="37">
        <f>IF(L29=VLOOKUP(VALUE(L$1),Questions[#All],5,FALSE),1,0)</f>
        <v>1</v>
      </c>
      <c r="T29" s="37">
        <f>IF(M29=VLOOKUP(VALUE(M$1),Questions[#All],5,FALSE),1,0)</f>
        <v>0</v>
      </c>
      <c r="U29" s="37">
        <f>IF(N29=VLOOKUP(VALUE(N$1),Questions[#All],5,FALSE),1,0)</f>
        <v>1</v>
      </c>
      <c r="W29" s="25"/>
    </row>
    <row r="30" spans="1:23" ht="21" customHeight="1" x14ac:dyDescent="0.15">
      <c r="A30" s="1" t="s">
        <v>778</v>
      </c>
      <c r="B30" s="42" t="s">
        <v>42</v>
      </c>
      <c r="C30" s="43">
        <v>3</v>
      </c>
      <c r="D30" s="43">
        <v>9</v>
      </c>
      <c r="E30" s="44" t="b">
        <v>0</v>
      </c>
      <c r="F30" s="45" t="b">
        <v>0</v>
      </c>
      <c r="G30" s="46">
        <f t="shared" si="0"/>
        <v>3</v>
      </c>
      <c r="H30" s="47"/>
      <c r="I30" s="46">
        <v>4</v>
      </c>
      <c r="J30" s="43">
        <v>1</v>
      </c>
      <c r="K30" s="43">
        <v>3</v>
      </c>
      <c r="L30" s="43">
        <v>2</v>
      </c>
      <c r="M30" s="43">
        <v>1</v>
      </c>
      <c r="N30" s="43"/>
      <c r="O30" s="46">
        <v>2</v>
      </c>
      <c r="P30" s="46">
        <f>IF(I30=VLOOKUP(VALUE(I$1),Questions[#All],5,FALSE),1,0)</f>
        <v>0</v>
      </c>
      <c r="Q30" s="43">
        <f>IF(J30=VLOOKUP(VALUE(J$1),Questions[#All],5,FALSE),1,0)</f>
        <v>1</v>
      </c>
      <c r="R30" s="43">
        <f>IF(K30=VLOOKUP(VALUE(K$1),Questions[#All],5,FALSE),1,0)</f>
        <v>1</v>
      </c>
      <c r="S30" s="43">
        <f>IF(L30=VLOOKUP(VALUE(L$1),Questions[#All],5,FALSE),1,0)</f>
        <v>1</v>
      </c>
      <c r="T30" s="43">
        <f>IF(M30=VLOOKUP(VALUE(M$1),Questions[#All],5,FALSE),1,0)</f>
        <v>0</v>
      </c>
      <c r="U30" s="43">
        <f>IF(N30=VLOOKUP(VALUE(N$1),Questions[#All],5,FALSE),1,0)</f>
        <v>0</v>
      </c>
      <c r="W30" s="25"/>
    </row>
    <row r="31" spans="1:23" ht="21" customHeight="1" x14ac:dyDescent="0.15">
      <c r="A31" s="1" t="s">
        <v>779</v>
      </c>
      <c r="B31" s="36" t="s">
        <v>42</v>
      </c>
      <c r="C31" s="37">
        <v>3</v>
      </c>
      <c r="D31" s="37">
        <v>9</v>
      </c>
      <c r="E31" s="38" t="b">
        <v>1</v>
      </c>
      <c r="F31" s="39" t="b">
        <v>0</v>
      </c>
      <c r="G31" s="40">
        <f t="shared" si="0"/>
        <v>5</v>
      </c>
      <c r="H31" s="41"/>
      <c r="I31" s="40">
        <v>3</v>
      </c>
      <c r="J31" s="37">
        <v>1</v>
      </c>
      <c r="K31" s="37">
        <v>3</v>
      </c>
      <c r="L31" s="37">
        <v>2</v>
      </c>
      <c r="M31" s="37">
        <v>1</v>
      </c>
      <c r="N31" s="37">
        <v>2</v>
      </c>
      <c r="O31" s="40">
        <v>0</v>
      </c>
      <c r="P31" s="40">
        <f>IF(I31=VLOOKUP(VALUE(I$1),Questions[#All],5,FALSE),1,0)</f>
        <v>1</v>
      </c>
      <c r="Q31" s="37">
        <f>IF(J31=VLOOKUP(VALUE(J$1),Questions[#All],5,FALSE),1,0)</f>
        <v>1</v>
      </c>
      <c r="R31" s="37">
        <f>IF(K31=VLOOKUP(VALUE(K$1),Questions[#All],5,FALSE),1,0)</f>
        <v>1</v>
      </c>
      <c r="S31" s="37">
        <f>IF(L31=VLOOKUP(VALUE(L$1),Questions[#All],5,FALSE),1,0)</f>
        <v>1</v>
      </c>
      <c r="T31" s="37">
        <f>IF(M31=VLOOKUP(VALUE(M$1),Questions[#All],5,FALSE),1,0)</f>
        <v>0</v>
      </c>
      <c r="U31" s="37">
        <f>IF(N31=VLOOKUP(VALUE(N$1),Questions[#All],5,FALSE),1,0)</f>
        <v>1</v>
      </c>
      <c r="W31" s="25"/>
    </row>
    <row r="32" spans="1:23" ht="21" customHeight="1" x14ac:dyDescent="0.15">
      <c r="A32" s="1" t="s">
        <v>780</v>
      </c>
      <c r="B32" s="42" t="s">
        <v>42</v>
      </c>
      <c r="C32" s="43">
        <v>3</v>
      </c>
      <c r="D32" s="43">
        <v>9</v>
      </c>
      <c r="E32" s="44" t="b">
        <v>0</v>
      </c>
      <c r="F32" s="45" t="b">
        <v>1</v>
      </c>
      <c r="G32" s="46">
        <f t="shared" si="0"/>
        <v>3</v>
      </c>
      <c r="H32" s="47"/>
      <c r="I32" s="46">
        <v>3</v>
      </c>
      <c r="J32" s="43">
        <v>1</v>
      </c>
      <c r="K32" s="43">
        <v>2</v>
      </c>
      <c r="L32" s="43">
        <v>3</v>
      </c>
      <c r="M32" s="43">
        <v>3</v>
      </c>
      <c r="N32" s="43">
        <v>4</v>
      </c>
      <c r="O32" s="46"/>
      <c r="P32" s="46">
        <f>IF(I32=VLOOKUP(VALUE(I$1),Questions[#All],5,FALSE),1,0)</f>
        <v>1</v>
      </c>
      <c r="Q32" s="43">
        <f>IF(J32=VLOOKUP(VALUE(J$1),Questions[#All],5,FALSE),1,0)</f>
        <v>1</v>
      </c>
      <c r="R32" s="43">
        <f>IF(K32=VLOOKUP(VALUE(K$1),Questions[#All],5,FALSE),1,0)</f>
        <v>0</v>
      </c>
      <c r="S32" s="43">
        <f>IF(L32=VLOOKUP(VALUE(L$1),Questions[#All],5,FALSE),1,0)</f>
        <v>0</v>
      </c>
      <c r="T32" s="43">
        <f>IF(M32=VLOOKUP(VALUE(M$1),Questions[#All],5,FALSE),1,0)</f>
        <v>1</v>
      </c>
      <c r="U32" s="43">
        <f>IF(N32=VLOOKUP(VALUE(N$1),Questions[#All],5,FALSE),1,0)</f>
        <v>0</v>
      </c>
      <c r="W32" s="25"/>
    </row>
    <row r="33" spans="1:23" ht="21" customHeight="1" x14ac:dyDescent="0.15">
      <c r="A33" s="1" t="s">
        <v>781</v>
      </c>
      <c r="B33" s="36" t="s">
        <v>42</v>
      </c>
      <c r="C33" s="37">
        <v>3</v>
      </c>
      <c r="D33" s="37">
        <v>9</v>
      </c>
      <c r="E33" s="38" t="b">
        <v>0</v>
      </c>
      <c r="F33" s="39" t="b">
        <v>0</v>
      </c>
      <c r="G33" s="40">
        <f t="shared" si="0"/>
        <v>2</v>
      </c>
      <c r="H33" s="41"/>
      <c r="I33" s="40">
        <v>2</v>
      </c>
      <c r="J33" s="37">
        <v>1</v>
      </c>
      <c r="K33" s="37">
        <v>4</v>
      </c>
      <c r="L33" s="37">
        <v>2</v>
      </c>
      <c r="M33" s="37">
        <v>1</v>
      </c>
      <c r="N33" s="37">
        <v>3</v>
      </c>
      <c r="O33" s="40">
        <v>2</v>
      </c>
      <c r="P33" s="40">
        <f>IF(I33=VLOOKUP(VALUE(I$1),Questions[#All],5,FALSE),1,0)</f>
        <v>0</v>
      </c>
      <c r="Q33" s="37">
        <f>IF(J33=VLOOKUP(VALUE(J$1),Questions[#All],5,FALSE),1,0)</f>
        <v>1</v>
      </c>
      <c r="R33" s="37">
        <f>IF(K33=VLOOKUP(VALUE(K$1),Questions[#All],5,FALSE),1,0)</f>
        <v>0</v>
      </c>
      <c r="S33" s="37">
        <f>IF(L33=VLOOKUP(VALUE(L$1),Questions[#All],5,FALSE),1,0)</f>
        <v>1</v>
      </c>
      <c r="T33" s="37">
        <f>IF(M33=VLOOKUP(VALUE(M$1),Questions[#All],5,FALSE),1,0)</f>
        <v>0</v>
      </c>
      <c r="U33" s="37">
        <f>IF(N33=VLOOKUP(VALUE(N$1),Questions[#All],5,FALSE),1,0)</f>
        <v>0</v>
      </c>
      <c r="W33" s="25"/>
    </row>
    <row r="34" spans="1:23" ht="21" customHeight="1" x14ac:dyDescent="0.15">
      <c r="A34" s="1" t="s">
        <v>782</v>
      </c>
      <c r="B34" s="42" t="s">
        <v>42</v>
      </c>
      <c r="C34" s="43">
        <v>3</v>
      </c>
      <c r="D34" s="43">
        <v>9</v>
      </c>
      <c r="E34" s="44" t="b">
        <v>1</v>
      </c>
      <c r="F34" s="45" t="b">
        <v>0</v>
      </c>
      <c r="G34" s="46">
        <f t="shared" si="0"/>
        <v>3</v>
      </c>
      <c r="H34" s="47"/>
      <c r="I34" s="46">
        <v>3</v>
      </c>
      <c r="J34" s="43">
        <v>1</v>
      </c>
      <c r="K34" s="43">
        <v>3</v>
      </c>
      <c r="L34" s="43">
        <v>4</v>
      </c>
      <c r="M34" s="43">
        <v>2</v>
      </c>
      <c r="N34" s="43">
        <v>1</v>
      </c>
      <c r="O34" s="46">
        <v>0</v>
      </c>
      <c r="P34" s="46">
        <f>IF(I34=VLOOKUP(VALUE(I$1),Questions[#All],5,FALSE),1,0)</f>
        <v>1</v>
      </c>
      <c r="Q34" s="43">
        <f>IF(J34=VLOOKUP(VALUE(J$1),Questions[#All],5,FALSE),1,0)</f>
        <v>1</v>
      </c>
      <c r="R34" s="43">
        <f>IF(K34=VLOOKUP(VALUE(K$1),Questions[#All],5,FALSE),1,0)</f>
        <v>1</v>
      </c>
      <c r="S34" s="43">
        <f>IF(L34=VLOOKUP(VALUE(L$1),Questions[#All],5,FALSE),1,0)</f>
        <v>0</v>
      </c>
      <c r="T34" s="43">
        <f>IF(M34=VLOOKUP(VALUE(M$1),Questions[#All],5,FALSE),1,0)</f>
        <v>0</v>
      </c>
      <c r="U34" s="43">
        <f>IF(N34=VLOOKUP(VALUE(N$1),Questions[#All],5,FALSE),1,0)</f>
        <v>0</v>
      </c>
      <c r="W34" s="25"/>
    </row>
    <row r="35" spans="1:23" ht="21" customHeight="1" x14ac:dyDescent="0.15">
      <c r="A35" s="1" t="s">
        <v>783</v>
      </c>
      <c r="B35" s="36" t="s">
        <v>42</v>
      </c>
      <c r="C35" s="37">
        <v>3</v>
      </c>
      <c r="D35" s="37">
        <v>9</v>
      </c>
      <c r="E35" s="38" t="b">
        <v>0</v>
      </c>
      <c r="F35" s="39" t="b">
        <v>0</v>
      </c>
      <c r="G35" s="40">
        <f t="shared" si="0"/>
        <v>3</v>
      </c>
      <c r="H35" s="41"/>
      <c r="I35" s="40">
        <v>3</v>
      </c>
      <c r="J35" s="37">
        <v>4</v>
      </c>
      <c r="K35" s="37">
        <v>1</v>
      </c>
      <c r="L35" s="37">
        <v>2</v>
      </c>
      <c r="M35" s="37">
        <v>4</v>
      </c>
      <c r="N35" s="37">
        <v>2</v>
      </c>
      <c r="O35" s="40">
        <v>0</v>
      </c>
      <c r="P35" s="40">
        <f>IF(I35=VLOOKUP(VALUE(I$1),Questions[#All],5,FALSE),1,0)</f>
        <v>1</v>
      </c>
      <c r="Q35" s="37">
        <f>IF(J35=VLOOKUP(VALUE(J$1),Questions[#All],5,FALSE),1,0)</f>
        <v>0</v>
      </c>
      <c r="R35" s="37">
        <f>IF(K35=VLOOKUP(VALUE(K$1),Questions[#All],5,FALSE),1,0)</f>
        <v>0</v>
      </c>
      <c r="S35" s="37">
        <f>IF(L35=VLOOKUP(VALUE(L$1),Questions[#All],5,FALSE),1,0)</f>
        <v>1</v>
      </c>
      <c r="T35" s="37">
        <f>IF(M35=VLOOKUP(VALUE(M$1),Questions[#All],5,FALSE),1,0)</f>
        <v>0</v>
      </c>
      <c r="U35" s="37">
        <f>IF(N35=VLOOKUP(VALUE(N$1),Questions[#All],5,FALSE),1,0)</f>
        <v>1</v>
      </c>
      <c r="W35" s="25"/>
    </row>
    <row r="36" spans="1:23" ht="21" customHeight="1" x14ac:dyDescent="0.15">
      <c r="A36" s="1" t="s">
        <v>784</v>
      </c>
      <c r="B36" s="42" t="s">
        <v>42</v>
      </c>
      <c r="C36" s="43">
        <v>3</v>
      </c>
      <c r="D36" s="43">
        <v>9</v>
      </c>
      <c r="E36" s="44" t="b">
        <v>0</v>
      </c>
      <c r="F36" s="45" t="b">
        <v>0</v>
      </c>
      <c r="G36" s="46">
        <f t="shared" si="0"/>
        <v>2</v>
      </c>
      <c r="H36" s="47"/>
      <c r="I36" s="46">
        <v>4</v>
      </c>
      <c r="J36" s="43">
        <v>2</v>
      </c>
      <c r="K36" s="43">
        <v>3</v>
      </c>
      <c r="L36" s="43">
        <v>3</v>
      </c>
      <c r="M36" s="43">
        <v>1</v>
      </c>
      <c r="N36" s="43">
        <v>2</v>
      </c>
      <c r="O36" s="46">
        <v>4</v>
      </c>
      <c r="P36" s="46">
        <f>IF(I36=VLOOKUP(VALUE(I$1),Questions[#All],5,FALSE),1,0)</f>
        <v>0</v>
      </c>
      <c r="Q36" s="43">
        <f>IF(J36=VLOOKUP(VALUE(J$1),Questions[#All],5,FALSE),1,0)</f>
        <v>0</v>
      </c>
      <c r="R36" s="43">
        <f>IF(K36=VLOOKUP(VALUE(K$1),Questions[#All],5,FALSE),1,0)</f>
        <v>1</v>
      </c>
      <c r="S36" s="43">
        <f>IF(L36=VLOOKUP(VALUE(L$1),Questions[#All],5,FALSE),1,0)</f>
        <v>0</v>
      </c>
      <c r="T36" s="43">
        <f>IF(M36=VLOOKUP(VALUE(M$1),Questions[#All],5,FALSE),1,0)</f>
        <v>0</v>
      </c>
      <c r="U36" s="43">
        <f>IF(N36=VLOOKUP(VALUE(N$1),Questions[#All],5,FALSE),1,0)</f>
        <v>1</v>
      </c>
      <c r="W36" s="25"/>
    </row>
    <row r="37" spans="1:23" ht="21" customHeight="1" x14ac:dyDescent="0.15">
      <c r="A37" s="1" t="s">
        <v>785</v>
      </c>
      <c r="B37" s="36" t="s">
        <v>42</v>
      </c>
      <c r="C37" s="37">
        <v>3</v>
      </c>
      <c r="D37" s="37">
        <v>9</v>
      </c>
      <c r="E37" s="38" t="b">
        <v>0</v>
      </c>
      <c r="F37" s="39" t="b">
        <v>0</v>
      </c>
      <c r="G37" s="40">
        <f t="shared" si="0"/>
        <v>3</v>
      </c>
      <c r="H37" s="41"/>
      <c r="I37" s="40">
        <v>2</v>
      </c>
      <c r="J37" s="37">
        <v>4</v>
      </c>
      <c r="K37" s="37">
        <v>3</v>
      </c>
      <c r="L37" s="37">
        <v>2</v>
      </c>
      <c r="M37" s="37">
        <v>1</v>
      </c>
      <c r="N37" s="37">
        <v>2</v>
      </c>
      <c r="O37" s="40"/>
      <c r="P37" s="40">
        <f>IF(I37=VLOOKUP(VALUE(I$1),Questions[#All],5,FALSE),1,0)</f>
        <v>0</v>
      </c>
      <c r="Q37" s="37">
        <f>IF(J37=VLOOKUP(VALUE(J$1),Questions[#All],5,FALSE),1,0)</f>
        <v>0</v>
      </c>
      <c r="R37" s="37">
        <f>IF(K37=VLOOKUP(VALUE(K$1),Questions[#All],5,FALSE),1,0)</f>
        <v>1</v>
      </c>
      <c r="S37" s="37">
        <f>IF(L37=VLOOKUP(VALUE(L$1),Questions[#All],5,FALSE),1,0)</f>
        <v>1</v>
      </c>
      <c r="T37" s="37">
        <f>IF(M37=VLOOKUP(VALUE(M$1),Questions[#All],5,FALSE),1,0)</f>
        <v>0</v>
      </c>
      <c r="U37" s="37">
        <f>IF(N37=VLOOKUP(VALUE(N$1),Questions[#All],5,FALSE),1,0)</f>
        <v>1</v>
      </c>
      <c r="W37" s="25"/>
    </row>
    <row r="38" spans="1:23" ht="21" customHeight="1" x14ac:dyDescent="0.15">
      <c r="A38" s="1" t="s">
        <v>786</v>
      </c>
      <c r="B38" s="42" t="s">
        <v>42</v>
      </c>
      <c r="C38" s="43">
        <v>3</v>
      </c>
      <c r="D38" s="43">
        <v>9</v>
      </c>
      <c r="E38" s="44" t="b">
        <v>0</v>
      </c>
      <c r="F38" s="45" t="b">
        <v>0</v>
      </c>
      <c r="G38" s="46">
        <f t="shared" si="0"/>
        <v>2</v>
      </c>
      <c r="H38" s="47"/>
      <c r="I38" s="46">
        <v>4</v>
      </c>
      <c r="J38" s="43">
        <v>3</v>
      </c>
      <c r="K38" s="43">
        <v>3</v>
      </c>
      <c r="L38" s="43">
        <v>3</v>
      </c>
      <c r="M38" s="43">
        <v>1</v>
      </c>
      <c r="N38" s="43">
        <v>2</v>
      </c>
      <c r="O38" s="46">
        <v>3</v>
      </c>
      <c r="P38" s="46">
        <f>IF(I38=VLOOKUP(VALUE(I$1),Questions[#All],5,FALSE),1,0)</f>
        <v>0</v>
      </c>
      <c r="Q38" s="43">
        <f>IF(J38=VLOOKUP(VALUE(J$1),Questions[#All],5,FALSE),1,0)</f>
        <v>0</v>
      </c>
      <c r="R38" s="43">
        <f>IF(K38=VLOOKUP(VALUE(K$1),Questions[#All],5,FALSE),1,0)</f>
        <v>1</v>
      </c>
      <c r="S38" s="43">
        <f>IF(L38=VLOOKUP(VALUE(L$1),Questions[#All],5,FALSE),1,0)</f>
        <v>0</v>
      </c>
      <c r="T38" s="43">
        <f>IF(M38=VLOOKUP(VALUE(M$1),Questions[#All],5,FALSE),1,0)</f>
        <v>0</v>
      </c>
      <c r="U38" s="43">
        <f>IF(N38=VLOOKUP(VALUE(N$1),Questions[#All],5,FALSE),1,0)</f>
        <v>1</v>
      </c>
      <c r="W38" s="25"/>
    </row>
    <row r="39" spans="1:23" ht="21" customHeight="1" x14ac:dyDescent="0.15">
      <c r="A39" s="1" t="s">
        <v>787</v>
      </c>
      <c r="B39" s="36" t="s">
        <v>42</v>
      </c>
      <c r="C39" s="37">
        <v>3</v>
      </c>
      <c r="D39" s="37">
        <v>9</v>
      </c>
      <c r="E39" s="38" t="b">
        <v>0</v>
      </c>
      <c r="F39" s="39" t="b">
        <v>0</v>
      </c>
      <c r="G39" s="40">
        <f t="shared" si="0"/>
        <v>4</v>
      </c>
      <c r="H39" s="41"/>
      <c r="I39" s="40">
        <v>4</v>
      </c>
      <c r="J39" s="37">
        <v>1</v>
      </c>
      <c r="K39" s="37">
        <v>3</v>
      </c>
      <c r="L39" s="37">
        <v>2</v>
      </c>
      <c r="M39" s="37">
        <v>4</v>
      </c>
      <c r="N39" s="37">
        <v>2</v>
      </c>
      <c r="O39" s="40">
        <v>1</v>
      </c>
      <c r="P39" s="40">
        <f>IF(I39=VLOOKUP(VALUE(I$1),Questions[#All],5,FALSE),1,0)</f>
        <v>0</v>
      </c>
      <c r="Q39" s="37">
        <f>IF(J39=VLOOKUP(VALUE(J$1),Questions[#All],5,FALSE),1,0)</f>
        <v>1</v>
      </c>
      <c r="R39" s="37">
        <f>IF(K39=VLOOKUP(VALUE(K$1),Questions[#All],5,FALSE),1,0)</f>
        <v>1</v>
      </c>
      <c r="S39" s="37">
        <f>IF(L39=VLOOKUP(VALUE(L$1),Questions[#All],5,FALSE),1,0)</f>
        <v>1</v>
      </c>
      <c r="T39" s="37">
        <f>IF(M39=VLOOKUP(VALUE(M$1),Questions[#All],5,FALSE),1,0)</f>
        <v>0</v>
      </c>
      <c r="U39" s="37">
        <f>IF(N39=VLOOKUP(VALUE(N$1),Questions[#All],5,FALSE),1,0)</f>
        <v>1</v>
      </c>
      <c r="W39" s="25"/>
    </row>
    <row r="40" spans="1:23" ht="21" customHeight="1" x14ac:dyDescent="0.15">
      <c r="A40" s="1" t="s">
        <v>788</v>
      </c>
      <c r="B40" s="42" t="s">
        <v>42</v>
      </c>
      <c r="C40" s="43">
        <v>3</v>
      </c>
      <c r="D40" s="43">
        <v>9</v>
      </c>
      <c r="E40" s="44" t="b">
        <v>0</v>
      </c>
      <c r="F40" s="45" t="b">
        <v>0</v>
      </c>
      <c r="G40" s="46">
        <f t="shared" si="0"/>
        <v>3</v>
      </c>
      <c r="H40" s="47"/>
      <c r="I40" s="46">
        <v>2</v>
      </c>
      <c r="J40" s="43">
        <v>1</v>
      </c>
      <c r="K40" s="43">
        <v>3</v>
      </c>
      <c r="L40" s="43">
        <v>2</v>
      </c>
      <c r="M40" s="43">
        <v>4</v>
      </c>
      <c r="N40" s="43">
        <v>1</v>
      </c>
      <c r="O40" s="46">
        <v>2</v>
      </c>
      <c r="P40" s="46">
        <f>IF(I40=VLOOKUP(VALUE(I$1),Questions[#All],5,FALSE),1,0)</f>
        <v>0</v>
      </c>
      <c r="Q40" s="43">
        <f>IF(J40=VLOOKUP(VALUE(J$1),Questions[#All],5,FALSE),1,0)</f>
        <v>1</v>
      </c>
      <c r="R40" s="43">
        <f>IF(K40=VLOOKUP(VALUE(K$1),Questions[#All],5,FALSE),1,0)</f>
        <v>1</v>
      </c>
      <c r="S40" s="43">
        <f>IF(L40=VLOOKUP(VALUE(L$1),Questions[#All],5,FALSE),1,0)</f>
        <v>1</v>
      </c>
      <c r="T40" s="43">
        <f>IF(M40=VLOOKUP(VALUE(M$1),Questions[#All],5,FALSE),1,0)</f>
        <v>0</v>
      </c>
      <c r="U40" s="43">
        <f>IF(N40=VLOOKUP(VALUE(N$1),Questions[#All],5,FALSE),1,0)</f>
        <v>0</v>
      </c>
      <c r="W40" s="25"/>
    </row>
    <row r="41" spans="1:23" ht="21" customHeight="1" x14ac:dyDescent="0.15">
      <c r="A41" s="1" t="s">
        <v>789</v>
      </c>
      <c r="B41" s="36" t="s">
        <v>42</v>
      </c>
      <c r="C41" s="37">
        <v>3</v>
      </c>
      <c r="D41" s="37">
        <v>9</v>
      </c>
      <c r="E41" s="38" t="b">
        <v>0</v>
      </c>
      <c r="F41" s="39" t="b">
        <v>0</v>
      </c>
      <c r="G41" s="40">
        <f t="shared" si="0"/>
        <v>4</v>
      </c>
      <c r="H41" s="41"/>
      <c r="I41" s="40">
        <v>2</v>
      </c>
      <c r="J41" s="37">
        <v>1</v>
      </c>
      <c r="K41" s="37">
        <v>2</v>
      </c>
      <c r="L41" s="37">
        <v>2</v>
      </c>
      <c r="M41" s="37">
        <v>3</v>
      </c>
      <c r="N41" s="37">
        <v>2</v>
      </c>
      <c r="O41" s="40">
        <v>3</v>
      </c>
      <c r="P41" s="40">
        <f>IF(I41=VLOOKUP(VALUE(I$1),Questions[#All],5,FALSE),1,0)</f>
        <v>0</v>
      </c>
      <c r="Q41" s="37">
        <f>IF(J41=VLOOKUP(VALUE(J$1),Questions[#All],5,FALSE),1,0)</f>
        <v>1</v>
      </c>
      <c r="R41" s="37">
        <f>IF(K41=VLOOKUP(VALUE(K$1),Questions[#All],5,FALSE),1,0)</f>
        <v>0</v>
      </c>
      <c r="S41" s="37">
        <f>IF(L41=VLOOKUP(VALUE(L$1),Questions[#All],5,FALSE),1,0)</f>
        <v>1</v>
      </c>
      <c r="T41" s="37">
        <f>IF(M41=VLOOKUP(VALUE(M$1),Questions[#All],5,FALSE),1,0)</f>
        <v>1</v>
      </c>
      <c r="U41" s="37">
        <f>IF(N41=VLOOKUP(VALUE(N$1),Questions[#All],5,FALSE),1,0)</f>
        <v>1</v>
      </c>
      <c r="W41" s="25"/>
    </row>
    <row r="42" spans="1:23" ht="21" customHeight="1" x14ac:dyDescent="0.15">
      <c r="A42" s="1" t="s">
        <v>790</v>
      </c>
      <c r="B42" s="42" t="s">
        <v>42</v>
      </c>
      <c r="C42" s="43">
        <v>3</v>
      </c>
      <c r="D42" s="43">
        <v>9</v>
      </c>
      <c r="E42" s="44" t="b">
        <v>0</v>
      </c>
      <c r="F42" s="45" t="b">
        <v>0</v>
      </c>
      <c r="G42" s="46">
        <f t="shared" si="0"/>
        <v>5</v>
      </c>
      <c r="H42" s="47"/>
      <c r="I42" s="46">
        <v>3</v>
      </c>
      <c r="J42" s="43">
        <v>1</v>
      </c>
      <c r="K42" s="43">
        <v>3</v>
      </c>
      <c r="L42" s="43">
        <v>2</v>
      </c>
      <c r="M42" s="43">
        <v>1</v>
      </c>
      <c r="N42" s="43">
        <v>2</v>
      </c>
      <c r="O42" s="46">
        <v>0</v>
      </c>
      <c r="P42" s="46">
        <f>IF(I42=VLOOKUP(VALUE(I$1),Questions[#All],5,FALSE),1,0)</f>
        <v>1</v>
      </c>
      <c r="Q42" s="43">
        <f>IF(J42=VLOOKUP(VALUE(J$1),Questions[#All],5,FALSE),1,0)</f>
        <v>1</v>
      </c>
      <c r="R42" s="43">
        <f>IF(K42=VLOOKUP(VALUE(K$1),Questions[#All],5,FALSE),1,0)</f>
        <v>1</v>
      </c>
      <c r="S42" s="43">
        <f>IF(L42=VLOOKUP(VALUE(L$1),Questions[#All],5,FALSE),1,0)</f>
        <v>1</v>
      </c>
      <c r="T42" s="43">
        <f>IF(M42=VLOOKUP(VALUE(M$1),Questions[#All],5,FALSE),1,0)</f>
        <v>0</v>
      </c>
      <c r="U42" s="43">
        <f>IF(N42=VLOOKUP(VALUE(N$1),Questions[#All],5,FALSE),1,0)</f>
        <v>1</v>
      </c>
      <c r="W42" s="25"/>
    </row>
    <row r="43" spans="1:23" ht="21" customHeight="1" x14ac:dyDescent="0.15">
      <c r="A43" s="1" t="s">
        <v>791</v>
      </c>
      <c r="B43" s="36" t="s">
        <v>42</v>
      </c>
      <c r="C43" s="37">
        <v>3</v>
      </c>
      <c r="D43" s="37">
        <v>9</v>
      </c>
      <c r="E43" s="38" t="b">
        <v>0</v>
      </c>
      <c r="F43" s="39" t="b">
        <v>0</v>
      </c>
      <c r="G43" s="40">
        <f t="shared" si="0"/>
        <v>5</v>
      </c>
      <c r="H43" s="41"/>
      <c r="I43" s="40">
        <v>3</v>
      </c>
      <c r="J43" s="37">
        <v>1</v>
      </c>
      <c r="K43" s="37">
        <v>3</v>
      </c>
      <c r="L43" s="37">
        <v>2</v>
      </c>
      <c r="M43" s="37">
        <v>1</v>
      </c>
      <c r="N43" s="37">
        <v>2</v>
      </c>
      <c r="O43" s="40">
        <v>2</v>
      </c>
      <c r="P43" s="40">
        <f>IF(I43=VLOOKUP(VALUE(I$1),Questions[#All],5,FALSE),1,0)</f>
        <v>1</v>
      </c>
      <c r="Q43" s="37">
        <f>IF(J43=VLOOKUP(VALUE(J$1),Questions[#All],5,FALSE),1,0)</f>
        <v>1</v>
      </c>
      <c r="R43" s="37">
        <f>IF(K43=VLOOKUP(VALUE(K$1),Questions[#All],5,FALSE),1,0)</f>
        <v>1</v>
      </c>
      <c r="S43" s="37">
        <f>IF(L43=VLOOKUP(VALUE(L$1),Questions[#All],5,FALSE),1,0)</f>
        <v>1</v>
      </c>
      <c r="T43" s="37">
        <f>IF(M43=VLOOKUP(VALUE(M$1),Questions[#All],5,FALSE),1,0)</f>
        <v>0</v>
      </c>
      <c r="U43" s="37">
        <f>IF(N43=VLOOKUP(VALUE(N$1),Questions[#All],5,FALSE),1,0)</f>
        <v>1</v>
      </c>
      <c r="W43" s="25"/>
    </row>
    <row r="44" spans="1:23" ht="21" customHeight="1" x14ac:dyDescent="0.15">
      <c r="A44" s="1" t="s">
        <v>792</v>
      </c>
      <c r="B44" s="42" t="s">
        <v>42</v>
      </c>
      <c r="C44" s="43">
        <v>3</v>
      </c>
      <c r="D44" s="43">
        <v>9</v>
      </c>
      <c r="E44" s="44" t="b">
        <v>0</v>
      </c>
      <c r="F44" s="45" t="b">
        <v>0</v>
      </c>
      <c r="G44" s="46">
        <f t="shared" si="0"/>
        <v>4</v>
      </c>
      <c r="H44" s="47"/>
      <c r="I44" s="46">
        <v>2</v>
      </c>
      <c r="J44" s="43">
        <v>1</v>
      </c>
      <c r="K44" s="43">
        <v>3</v>
      </c>
      <c r="L44" s="43">
        <v>2</v>
      </c>
      <c r="M44" s="43">
        <v>3</v>
      </c>
      <c r="N44" s="43">
        <v>4</v>
      </c>
      <c r="O44" s="46">
        <v>4</v>
      </c>
      <c r="P44" s="46">
        <f>IF(I44=VLOOKUP(VALUE(I$1),Questions[#All],5,FALSE),1,0)</f>
        <v>0</v>
      </c>
      <c r="Q44" s="43">
        <f>IF(J44=VLOOKUP(VALUE(J$1),Questions[#All],5,FALSE),1,0)</f>
        <v>1</v>
      </c>
      <c r="R44" s="43">
        <f>IF(K44=VLOOKUP(VALUE(K$1),Questions[#All],5,FALSE),1,0)</f>
        <v>1</v>
      </c>
      <c r="S44" s="43">
        <f>IF(L44=VLOOKUP(VALUE(L$1),Questions[#All],5,FALSE),1,0)</f>
        <v>1</v>
      </c>
      <c r="T44" s="43">
        <f>IF(M44=VLOOKUP(VALUE(M$1),Questions[#All],5,FALSE),1,0)</f>
        <v>1</v>
      </c>
      <c r="U44" s="43">
        <f>IF(N44=VLOOKUP(VALUE(N$1),Questions[#All],5,FALSE),1,0)</f>
        <v>0</v>
      </c>
      <c r="W44" s="25"/>
    </row>
    <row r="45" spans="1:23" ht="21" customHeight="1" x14ac:dyDescent="0.15">
      <c r="A45" s="1" t="s">
        <v>793</v>
      </c>
      <c r="B45" s="36" t="s">
        <v>42</v>
      </c>
      <c r="C45" s="37">
        <v>3</v>
      </c>
      <c r="D45" s="37">
        <v>9</v>
      </c>
      <c r="E45" s="38" t="b">
        <v>0</v>
      </c>
      <c r="F45" s="39" t="b">
        <v>1</v>
      </c>
      <c r="G45" s="40">
        <f t="shared" si="0"/>
        <v>1</v>
      </c>
      <c r="H45" s="41"/>
      <c r="I45" s="40">
        <v>3</v>
      </c>
      <c r="J45" s="37">
        <v>3</v>
      </c>
      <c r="K45" s="37"/>
      <c r="L45" s="37"/>
      <c r="M45" s="37"/>
      <c r="N45" s="37"/>
      <c r="O45" s="40"/>
      <c r="P45" s="40">
        <f>IF(I45=VLOOKUP(VALUE(I$1),Questions[#All],5,FALSE),1,0)</f>
        <v>1</v>
      </c>
      <c r="Q45" s="37">
        <f>IF(J45=VLOOKUP(VALUE(J$1),Questions[#All],5,FALSE),1,0)</f>
        <v>0</v>
      </c>
      <c r="R45" s="37">
        <f>IF(K45=VLOOKUP(VALUE(K$1),Questions[#All],5,FALSE),1,0)</f>
        <v>0</v>
      </c>
      <c r="S45" s="37">
        <f>IF(L45=VLOOKUP(VALUE(L$1),Questions[#All],5,FALSE),1,0)</f>
        <v>0</v>
      </c>
      <c r="T45" s="37">
        <f>IF(M45=VLOOKUP(VALUE(M$1),Questions[#All],5,FALSE),1,0)</f>
        <v>0</v>
      </c>
      <c r="U45" s="37">
        <f>IF(N45=VLOOKUP(VALUE(N$1),Questions[#All],5,FALSE),1,0)</f>
        <v>0</v>
      </c>
      <c r="W45" s="25"/>
    </row>
    <row r="46" spans="1:23" ht="21" customHeight="1" x14ac:dyDescent="0.15">
      <c r="A46" s="1" t="s">
        <v>794</v>
      </c>
      <c r="B46" s="42" t="s">
        <v>42</v>
      </c>
      <c r="C46" s="43">
        <v>3</v>
      </c>
      <c r="D46" s="43">
        <v>9</v>
      </c>
      <c r="E46" s="44" t="b">
        <v>0</v>
      </c>
      <c r="F46" s="45" t="b">
        <v>0</v>
      </c>
      <c r="G46" s="46">
        <f t="shared" si="0"/>
        <v>4</v>
      </c>
      <c r="H46" s="47"/>
      <c r="I46" s="46">
        <v>3</v>
      </c>
      <c r="J46" s="43">
        <v>4</v>
      </c>
      <c r="K46" s="43">
        <v>3</v>
      </c>
      <c r="L46" s="43">
        <v>2</v>
      </c>
      <c r="M46" s="43">
        <v>4</v>
      </c>
      <c r="N46" s="43">
        <v>2</v>
      </c>
      <c r="O46" s="46">
        <v>1</v>
      </c>
      <c r="P46" s="46">
        <f>IF(I46=VLOOKUP(VALUE(I$1),Questions[#All],5,FALSE),1,0)</f>
        <v>1</v>
      </c>
      <c r="Q46" s="43">
        <f>IF(J46=VLOOKUP(VALUE(J$1),Questions[#All],5,FALSE),1,0)</f>
        <v>0</v>
      </c>
      <c r="R46" s="43">
        <f>IF(K46=VLOOKUP(VALUE(K$1),Questions[#All],5,FALSE),1,0)</f>
        <v>1</v>
      </c>
      <c r="S46" s="43">
        <f>IF(L46=VLOOKUP(VALUE(L$1),Questions[#All],5,FALSE),1,0)</f>
        <v>1</v>
      </c>
      <c r="T46" s="43">
        <f>IF(M46=VLOOKUP(VALUE(M$1),Questions[#All],5,FALSE),1,0)</f>
        <v>0</v>
      </c>
      <c r="U46" s="43">
        <f>IF(N46=VLOOKUP(VALUE(N$1),Questions[#All],5,FALSE),1,0)</f>
        <v>1</v>
      </c>
      <c r="W46" s="25"/>
    </row>
    <row r="47" spans="1:23" ht="21" customHeight="1" x14ac:dyDescent="0.15">
      <c r="A47" s="1" t="s">
        <v>795</v>
      </c>
      <c r="B47" s="36" t="s">
        <v>45</v>
      </c>
      <c r="C47" s="37">
        <v>5</v>
      </c>
      <c r="D47" s="37">
        <v>11</v>
      </c>
      <c r="E47" s="38" t="b">
        <v>0</v>
      </c>
      <c r="F47" s="39" t="b">
        <v>0</v>
      </c>
      <c r="G47" s="40">
        <v>3</v>
      </c>
      <c r="H47" s="41"/>
      <c r="I47" s="40">
        <v>2</v>
      </c>
      <c r="J47" s="37">
        <v>1</v>
      </c>
      <c r="K47" s="37">
        <v>3</v>
      </c>
      <c r="L47" s="37">
        <v>2</v>
      </c>
      <c r="M47" s="37">
        <v>2</v>
      </c>
      <c r="N47" s="37">
        <v>1</v>
      </c>
      <c r="O47" s="40"/>
      <c r="P47" s="40">
        <f>IF(I47=VLOOKUP(VALUE(I$1),Questions[#All],5,FALSE),1,0)</f>
        <v>0</v>
      </c>
      <c r="Q47" s="37">
        <f>IF(J47=VLOOKUP(VALUE(J$1),Questions[#All],5,FALSE),1,0)</f>
        <v>1</v>
      </c>
      <c r="R47" s="37">
        <f>IF(K47=VLOOKUP(VALUE(K$1),Questions[#All],5,FALSE),1,0)</f>
        <v>1</v>
      </c>
      <c r="S47" s="37">
        <f>IF(L47=VLOOKUP(VALUE(L$1),Questions[#All],5,FALSE),1,0)</f>
        <v>1</v>
      </c>
      <c r="T47" s="37">
        <f>IF(M47=VLOOKUP(VALUE(M$1),Questions[#All],5,FALSE),1,0)</f>
        <v>0</v>
      </c>
      <c r="U47" s="37">
        <f>IF(N47=VLOOKUP(VALUE(N$1),Questions[#All],5,FALSE),1,0)</f>
        <v>0</v>
      </c>
      <c r="W47" s="25"/>
    </row>
    <row r="48" spans="1:23" ht="21" customHeight="1" x14ac:dyDescent="0.15">
      <c r="A48" s="1" t="s">
        <v>796</v>
      </c>
      <c r="B48" s="42" t="s">
        <v>45</v>
      </c>
      <c r="C48" s="43">
        <v>5</v>
      </c>
      <c r="D48" s="43">
        <v>11</v>
      </c>
      <c r="E48" s="44" t="b">
        <v>0</v>
      </c>
      <c r="F48" s="45" t="b">
        <v>0</v>
      </c>
      <c r="G48" s="46">
        <v>2</v>
      </c>
      <c r="H48" s="47"/>
      <c r="I48" s="46">
        <v>1</v>
      </c>
      <c r="J48" s="43">
        <v>2</v>
      </c>
      <c r="K48" s="43">
        <v>3</v>
      </c>
      <c r="L48" s="43">
        <v>2</v>
      </c>
      <c r="M48" s="43"/>
      <c r="N48" s="43"/>
      <c r="O48" s="46"/>
      <c r="P48" s="46">
        <f>IF(I48=VLOOKUP(VALUE(I$1),Questions[#All],5,FALSE),1,0)</f>
        <v>0</v>
      </c>
      <c r="Q48" s="43">
        <f>IF(J48=VLOOKUP(VALUE(J$1),Questions[#All],5,FALSE),1,0)</f>
        <v>0</v>
      </c>
      <c r="R48" s="43">
        <f>IF(K48=VLOOKUP(VALUE(K$1),Questions[#All],5,FALSE),1,0)</f>
        <v>1</v>
      </c>
      <c r="S48" s="43">
        <f>IF(L48=VLOOKUP(VALUE(L$1),Questions[#All],5,FALSE),1,0)</f>
        <v>1</v>
      </c>
      <c r="T48" s="43">
        <f>IF(M48=VLOOKUP(VALUE(M$1),Questions[#All],5,FALSE),1,0)</f>
        <v>0</v>
      </c>
      <c r="U48" s="43">
        <f>IF(N48=VLOOKUP(VALUE(N$1),Questions[#All],5,FALSE),1,0)</f>
        <v>0</v>
      </c>
      <c r="W48" s="25"/>
    </row>
    <row r="49" spans="1:23" ht="21" customHeight="1" x14ac:dyDescent="0.15">
      <c r="A49" s="1" t="s">
        <v>797</v>
      </c>
      <c r="B49" s="36" t="s">
        <v>45</v>
      </c>
      <c r="C49" s="37">
        <v>5</v>
      </c>
      <c r="D49" s="37">
        <v>11</v>
      </c>
      <c r="E49" s="38" t="b">
        <v>0</v>
      </c>
      <c r="F49" s="39" t="b">
        <v>0</v>
      </c>
      <c r="G49" s="40">
        <v>3</v>
      </c>
      <c r="H49" s="41"/>
      <c r="I49" s="40">
        <v>1</v>
      </c>
      <c r="J49" s="37">
        <v>2</v>
      </c>
      <c r="K49" s="37">
        <v>1</v>
      </c>
      <c r="L49" s="37">
        <v>2</v>
      </c>
      <c r="M49" s="37">
        <v>3</v>
      </c>
      <c r="N49" s="37">
        <v>2</v>
      </c>
      <c r="O49" s="40"/>
      <c r="P49" s="40">
        <f>IF(I49=VLOOKUP(VALUE(I$1),Questions[#All],5,FALSE),1,0)</f>
        <v>0</v>
      </c>
      <c r="Q49" s="37">
        <f>IF(J49=VLOOKUP(VALUE(J$1),Questions[#All],5,FALSE),1,0)</f>
        <v>0</v>
      </c>
      <c r="R49" s="37">
        <f>IF(K49=VLOOKUP(VALUE(K$1),Questions[#All],5,FALSE),1,0)</f>
        <v>0</v>
      </c>
      <c r="S49" s="37">
        <f>IF(L49=VLOOKUP(VALUE(L$1),Questions[#All],5,FALSE),1,0)</f>
        <v>1</v>
      </c>
      <c r="T49" s="37">
        <f>IF(M49=VLOOKUP(VALUE(M$1),Questions[#All],5,FALSE),1,0)</f>
        <v>1</v>
      </c>
      <c r="U49" s="37">
        <f>IF(N49=VLOOKUP(VALUE(N$1),Questions[#All],5,FALSE),1,0)</f>
        <v>1</v>
      </c>
      <c r="W49" s="25"/>
    </row>
    <row r="50" spans="1:23" ht="21" customHeight="1" x14ac:dyDescent="0.15">
      <c r="A50" s="1" t="s">
        <v>798</v>
      </c>
      <c r="B50" s="42" t="s">
        <v>45</v>
      </c>
      <c r="C50" s="43">
        <v>5</v>
      </c>
      <c r="D50" s="43">
        <v>11</v>
      </c>
      <c r="E50" s="44" t="b">
        <v>0</v>
      </c>
      <c r="F50" s="45" t="b">
        <v>0</v>
      </c>
      <c r="G50" s="46">
        <v>4</v>
      </c>
      <c r="H50" s="47"/>
      <c r="I50" s="46">
        <v>3</v>
      </c>
      <c r="J50" s="43">
        <v>1</v>
      </c>
      <c r="K50" s="43">
        <v>3</v>
      </c>
      <c r="L50" s="43">
        <v>2</v>
      </c>
      <c r="M50" s="43">
        <v>1</v>
      </c>
      <c r="N50" s="43">
        <v>4</v>
      </c>
      <c r="O50" s="46"/>
      <c r="P50" s="46">
        <f>IF(I50=VLOOKUP(VALUE(I$1),Questions[#All],5,FALSE),1,0)</f>
        <v>1</v>
      </c>
      <c r="Q50" s="43">
        <f>IF(J50=VLOOKUP(VALUE(J$1),Questions[#All],5,FALSE),1,0)</f>
        <v>1</v>
      </c>
      <c r="R50" s="43">
        <f>IF(K50=VLOOKUP(VALUE(K$1),Questions[#All],5,FALSE),1,0)</f>
        <v>1</v>
      </c>
      <c r="S50" s="43">
        <f>IF(L50=VLOOKUP(VALUE(L$1),Questions[#All],5,FALSE),1,0)</f>
        <v>1</v>
      </c>
      <c r="T50" s="43">
        <f>IF(M50=VLOOKUP(VALUE(M$1),Questions[#All],5,FALSE),1,0)</f>
        <v>0</v>
      </c>
      <c r="U50" s="43">
        <f>IF(N50=VLOOKUP(VALUE(N$1),Questions[#All],5,FALSE),1,0)</f>
        <v>0</v>
      </c>
      <c r="W50" s="17"/>
    </row>
    <row r="51" spans="1:23" ht="21" customHeight="1" x14ac:dyDescent="0.15">
      <c r="A51" s="1" t="s">
        <v>799</v>
      </c>
      <c r="B51" s="36" t="s">
        <v>45</v>
      </c>
      <c r="C51" s="37">
        <v>5</v>
      </c>
      <c r="D51" s="37">
        <v>11</v>
      </c>
      <c r="E51" s="38" t="b">
        <v>0</v>
      </c>
      <c r="F51" s="39" t="b">
        <v>0</v>
      </c>
      <c r="G51" s="40">
        <v>3</v>
      </c>
      <c r="H51" s="41"/>
      <c r="I51" s="40">
        <v>4</v>
      </c>
      <c r="J51" s="37">
        <v>4</v>
      </c>
      <c r="K51" s="37">
        <v>3</v>
      </c>
      <c r="L51" s="37">
        <v>2</v>
      </c>
      <c r="M51" s="37">
        <v>1</v>
      </c>
      <c r="N51" s="37">
        <v>2</v>
      </c>
      <c r="O51" s="40"/>
      <c r="P51" s="40">
        <f>IF(I51=VLOOKUP(VALUE(I$1),Questions[#All],5,FALSE),1,0)</f>
        <v>0</v>
      </c>
      <c r="Q51" s="37">
        <f>IF(J51=VLOOKUP(VALUE(J$1),Questions[#All],5,FALSE),1,0)</f>
        <v>0</v>
      </c>
      <c r="R51" s="37">
        <f>IF(K51=VLOOKUP(VALUE(K$1),Questions[#All],5,FALSE),1,0)</f>
        <v>1</v>
      </c>
      <c r="S51" s="37">
        <f>IF(L51=VLOOKUP(VALUE(L$1),Questions[#All],5,FALSE),1,0)</f>
        <v>1</v>
      </c>
      <c r="T51" s="37">
        <f>IF(M51=VLOOKUP(VALUE(M$1),Questions[#All],5,FALSE),1,0)</f>
        <v>0</v>
      </c>
      <c r="U51" s="37">
        <f>IF(N51=VLOOKUP(VALUE(N$1),Questions[#All],5,FALSE),1,0)</f>
        <v>1</v>
      </c>
      <c r="W51" s="25"/>
    </row>
    <row r="52" spans="1:23" ht="21" customHeight="1" x14ac:dyDescent="0.15">
      <c r="A52" s="1" t="s">
        <v>800</v>
      </c>
      <c r="B52" s="42" t="s">
        <v>45</v>
      </c>
      <c r="C52" s="43">
        <v>5</v>
      </c>
      <c r="D52" s="43">
        <v>11</v>
      </c>
      <c r="E52" s="44" t="b">
        <v>0</v>
      </c>
      <c r="F52" s="45" t="b">
        <v>0</v>
      </c>
      <c r="G52" s="46">
        <v>3</v>
      </c>
      <c r="H52" s="47"/>
      <c r="I52" s="46">
        <v>4</v>
      </c>
      <c r="J52" s="43">
        <v>4</v>
      </c>
      <c r="K52" s="43">
        <v>3</v>
      </c>
      <c r="L52" s="43">
        <v>2</v>
      </c>
      <c r="M52" s="43">
        <v>1</v>
      </c>
      <c r="N52" s="43">
        <v>2</v>
      </c>
      <c r="O52" s="46">
        <v>3</v>
      </c>
      <c r="P52" s="46">
        <f>IF(I52=VLOOKUP(VALUE(I$1),Questions[#All],5,FALSE),1,0)</f>
        <v>0</v>
      </c>
      <c r="Q52" s="43">
        <f>IF(J52=VLOOKUP(VALUE(J$1),Questions[#All],5,FALSE),1,0)</f>
        <v>0</v>
      </c>
      <c r="R52" s="43">
        <f>IF(K52=VLOOKUP(VALUE(K$1),Questions[#All],5,FALSE),1,0)</f>
        <v>1</v>
      </c>
      <c r="S52" s="43">
        <f>IF(L52=VLOOKUP(VALUE(L$1),Questions[#All],5,FALSE),1,0)</f>
        <v>1</v>
      </c>
      <c r="T52" s="43">
        <f>IF(M52=VLOOKUP(VALUE(M$1),Questions[#All],5,FALSE),1,0)</f>
        <v>0</v>
      </c>
      <c r="U52" s="43">
        <f>IF(N52=VLOOKUP(VALUE(N$1),Questions[#All],5,FALSE),1,0)</f>
        <v>1</v>
      </c>
      <c r="W52" s="25"/>
    </row>
    <row r="53" spans="1:23" ht="21" customHeight="1" x14ac:dyDescent="0.15">
      <c r="A53" s="1" t="s">
        <v>801</v>
      </c>
      <c r="B53" s="36" t="s">
        <v>45</v>
      </c>
      <c r="C53" s="37">
        <v>5</v>
      </c>
      <c r="D53" s="37">
        <v>11</v>
      </c>
      <c r="E53" s="38" t="b">
        <v>0</v>
      </c>
      <c r="F53" s="39" t="b">
        <v>0</v>
      </c>
      <c r="G53" s="40">
        <v>2</v>
      </c>
      <c r="H53" s="41"/>
      <c r="I53" s="40">
        <v>2</v>
      </c>
      <c r="J53" s="37">
        <v>2</v>
      </c>
      <c r="K53" s="37">
        <v>2</v>
      </c>
      <c r="L53" s="37">
        <v>2</v>
      </c>
      <c r="M53" s="37">
        <v>1</v>
      </c>
      <c r="N53" s="37">
        <v>2</v>
      </c>
      <c r="O53" s="40">
        <v>1</v>
      </c>
      <c r="P53" s="40">
        <f>IF(I53=VLOOKUP(VALUE(I$1),Questions[#All],5,FALSE),1,0)</f>
        <v>0</v>
      </c>
      <c r="Q53" s="37">
        <f>IF(J53=VLOOKUP(VALUE(J$1),Questions[#All],5,FALSE),1,0)</f>
        <v>0</v>
      </c>
      <c r="R53" s="37">
        <f>IF(K53=VLOOKUP(VALUE(K$1),Questions[#All],5,FALSE),1,0)</f>
        <v>0</v>
      </c>
      <c r="S53" s="37">
        <f>IF(L53=VLOOKUP(VALUE(L$1),Questions[#All],5,FALSE),1,0)</f>
        <v>1</v>
      </c>
      <c r="T53" s="37">
        <f>IF(M53=VLOOKUP(VALUE(M$1),Questions[#All],5,FALSE),1,0)</f>
        <v>0</v>
      </c>
      <c r="U53" s="37">
        <f>IF(N53=VLOOKUP(VALUE(N$1),Questions[#All],5,FALSE),1,0)</f>
        <v>1</v>
      </c>
      <c r="W53" s="25"/>
    </row>
    <row r="54" spans="1:23" ht="21" customHeight="1" x14ac:dyDescent="0.15">
      <c r="A54" s="1" t="s">
        <v>802</v>
      </c>
      <c r="B54" s="42" t="s">
        <v>45</v>
      </c>
      <c r="C54" s="43">
        <v>5</v>
      </c>
      <c r="D54" s="43">
        <v>11</v>
      </c>
      <c r="E54" s="44" t="b">
        <v>0</v>
      </c>
      <c r="F54" s="45" t="b">
        <v>0</v>
      </c>
      <c r="G54" s="46">
        <v>4</v>
      </c>
      <c r="H54" s="47"/>
      <c r="I54" s="46">
        <v>2</v>
      </c>
      <c r="J54" s="43">
        <v>1</v>
      </c>
      <c r="K54" s="43">
        <v>3</v>
      </c>
      <c r="L54" s="43">
        <v>2</v>
      </c>
      <c r="M54" s="43">
        <v>1</v>
      </c>
      <c r="N54" s="43">
        <v>2</v>
      </c>
      <c r="O54" s="46"/>
      <c r="P54" s="46">
        <f>IF(I54=VLOOKUP(VALUE(I$1),Questions[#All],5,FALSE),1,0)</f>
        <v>0</v>
      </c>
      <c r="Q54" s="43">
        <f>IF(J54=VLOOKUP(VALUE(J$1),Questions[#All],5,FALSE),1,0)</f>
        <v>1</v>
      </c>
      <c r="R54" s="43">
        <f>IF(K54=VLOOKUP(VALUE(K$1),Questions[#All],5,FALSE),1,0)</f>
        <v>1</v>
      </c>
      <c r="S54" s="43">
        <f>IF(L54=VLOOKUP(VALUE(L$1),Questions[#All],5,FALSE),1,0)</f>
        <v>1</v>
      </c>
      <c r="T54" s="43">
        <f>IF(M54=VLOOKUP(VALUE(M$1),Questions[#All],5,FALSE),1,0)</f>
        <v>0</v>
      </c>
      <c r="U54" s="43">
        <f>IF(N54=VLOOKUP(VALUE(N$1),Questions[#All],5,FALSE),1,0)</f>
        <v>1</v>
      </c>
      <c r="W54" s="25"/>
    </row>
    <row r="55" spans="1:23" ht="21" customHeight="1" x14ac:dyDescent="0.15">
      <c r="A55" s="1" t="s">
        <v>803</v>
      </c>
      <c r="B55" s="36" t="s">
        <v>45</v>
      </c>
      <c r="C55" s="37">
        <v>5</v>
      </c>
      <c r="D55" s="37">
        <v>11</v>
      </c>
      <c r="E55" s="38" t="b">
        <v>0</v>
      </c>
      <c r="F55" s="39" t="b">
        <v>0</v>
      </c>
      <c r="G55" s="40">
        <v>5</v>
      </c>
      <c r="H55" s="41"/>
      <c r="I55" s="40">
        <v>3</v>
      </c>
      <c r="J55" s="37">
        <v>1</v>
      </c>
      <c r="K55" s="37">
        <v>3</v>
      </c>
      <c r="L55" s="37">
        <v>2</v>
      </c>
      <c r="M55" s="37">
        <v>1</v>
      </c>
      <c r="N55" s="37">
        <v>2</v>
      </c>
      <c r="O55" s="40">
        <v>3</v>
      </c>
      <c r="P55" s="40">
        <f>IF(I55=VLOOKUP(VALUE(I$1),Questions[#All],5,FALSE),1,0)</f>
        <v>1</v>
      </c>
      <c r="Q55" s="37">
        <f>IF(J55=VLOOKUP(VALUE(J$1),Questions[#All],5,FALSE),1,0)</f>
        <v>1</v>
      </c>
      <c r="R55" s="37">
        <f>IF(K55=VLOOKUP(VALUE(K$1),Questions[#All],5,FALSE),1,0)</f>
        <v>1</v>
      </c>
      <c r="S55" s="37">
        <f>IF(L55=VLOOKUP(VALUE(L$1),Questions[#All],5,FALSE),1,0)</f>
        <v>1</v>
      </c>
      <c r="T55" s="37">
        <f>IF(M55=VLOOKUP(VALUE(M$1),Questions[#All],5,FALSE),1,0)</f>
        <v>0</v>
      </c>
      <c r="U55" s="37">
        <f>IF(N55=VLOOKUP(VALUE(N$1),Questions[#All],5,FALSE),1,0)</f>
        <v>1</v>
      </c>
      <c r="W55" s="25"/>
    </row>
    <row r="56" spans="1:23" ht="21" customHeight="1" x14ac:dyDescent="0.15">
      <c r="A56" s="1" t="s">
        <v>804</v>
      </c>
      <c r="B56" s="42" t="s">
        <v>45</v>
      </c>
      <c r="C56" s="43">
        <v>5</v>
      </c>
      <c r="D56" s="43">
        <v>11</v>
      </c>
      <c r="E56" s="44" t="b">
        <v>0</v>
      </c>
      <c r="F56" s="45" t="b">
        <v>0</v>
      </c>
      <c r="G56" s="46">
        <v>5</v>
      </c>
      <c r="H56" s="47"/>
      <c r="I56" s="46">
        <v>3</v>
      </c>
      <c r="J56" s="43">
        <v>1</v>
      </c>
      <c r="K56" s="43">
        <v>3</v>
      </c>
      <c r="L56" s="43">
        <v>2</v>
      </c>
      <c r="M56" s="43">
        <v>4</v>
      </c>
      <c r="N56" s="43">
        <v>2</v>
      </c>
      <c r="O56" s="46"/>
      <c r="P56" s="46">
        <f>IF(I56=VLOOKUP(VALUE(I$1),Questions[#All],5,FALSE),1,0)</f>
        <v>1</v>
      </c>
      <c r="Q56" s="43">
        <f>IF(J56=VLOOKUP(VALUE(J$1),Questions[#All],5,FALSE),1,0)</f>
        <v>1</v>
      </c>
      <c r="R56" s="43">
        <f>IF(K56=VLOOKUP(VALUE(K$1),Questions[#All],5,FALSE),1,0)</f>
        <v>1</v>
      </c>
      <c r="S56" s="43">
        <f>IF(L56=VLOOKUP(VALUE(L$1),Questions[#All],5,FALSE),1,0)</f>
        <v>1</v>
      </c>
      <c r="T56" s="43">
        <f>IF(M56=VLOOKUP(VALUE(M$1),Questions[#All],5,FALSE),1,0)</f>
        <v>0</v>
      </c>
      <c r="U56" s="43">
        <f>IF(N56=VLOOKUP(VALUE(N$1),Questions[#All],5,FALSE),1,0)</f>
        <v>1</v>
      </c>
      <c r="W56" s="25"/>
    </row>
    <row r="57" spans="1:23" ht="21" customHeight="1" x14ac:dyDescent="0.15">
      <c r="A57" s="1" t="s">
        <v>805</v>
      </c>
      <c r="B57" s="36" t="s">
        <v>45</v>
      </c>
      <c r="C57" s="37">
        <v>5</v>
      </c>
      <c r="D57" s="37">
        <v>11</v>
      </c>
      <c r="E57" s="38" t="b">
        <v>0</v>
      </c>
      <c r="F57" s="39" t="b">
        <v>0</v>
      </c>
      <c r="G57" s="40">
        <v>5</v>
      </c>
      <c r="H57" s="41"/>
      <c r="I57" s="40">
        <v>3</v>
      </c>
      <c r="J57" s="37">
        <v>4</v>
      </c>
      <c r="K57" s="37">
        <v>3</v>
      </c>
      <c r="L57" s="37">
        <v>2</v>
      </c>
      <c r="M57" s="37">
        <v>3</v>
      </c>
      <c r="N57" s="37">
        <v>2</v>
      </c>
      <c r="O57" s="40">
        <v>4</v>
      </c>
      <c r="P57" s="40">
        <f>IF(I57=VLOOKUP(VALUE(I$1),Questions[#All],5,FALSE),1,0)</f>
        <v>1</v>
      </c>
      <c r="Q57" s="37">
        <f>IF(J57=VLOOKUP(VALUE(J$1),Questions[#All],5,FALSE),1,0)</f>
        <v>0</v>
      </c>
      <c r="R57" s="37">
        <f>IF(K57=VLOOKUP(VALUE(K$1),Questions[#All],5,FALSE),1,0)</f>
        <v>1</v>
      </c>
      <c r="S57" s="37">
        <f>IF(L57=VLOOKUP(VALUE(L$1),Questions[#All],5,FALSE),1,0)</f>
        <v>1</v>
      </c>
      <c r="T57" s="37">
        <f>IF(M57=VLOOKUP(VALUE(M$1),Questions[#All],5,FALSE),1,0)</f>
        <v>1</v>
      </c>
      <c r="U57" s="37">
        <f>IF(N57=VLOOKUP(VALUE(N$1),Questions[#All],5,FALSE),1,0)</f>
        <v>1</v>
      </c>
      <c r="W57" s="25"/>
    </row>
    <row r="58" spans="1:23" ht="21" customHeight="1" x14ac:dyDescent="0.15">
      <c r="A58" s="1" t="s">
        <v>806</v>
      </c>
      <c r="B58" s="42" t="s">
        <v>45</v>
      </c>
      <c r="C58" s="43">
        <v>5</v>
      </c>
      <c r="D58" s="43">
        <v>11</v>
      </c>
      <c r="E58" s="44" t="b">
        <v>0</v>
      </c>
      <c r="F58" s="45" t="b">
        <v>0</v>
      </c>
      <c r="G58" s="46">
        <v>4</v>
      </c>
      <c r="H58" s="47"/>
      <c r="I58" s="46">
        <v>3</v>
      </c>
      <c r="J58" s="43">
        <v>4</v>
      </c>
      <c r="K58" s="43">
        <v>3</v>
      </c>
      <c r="L58" s="43">
        <v>2</v>
      </c>
      <c r="M58" s="43">
        <v>1</v>
      </c>
      <c r="N58" s="43">
        <v>2</v>
      </c>
      <c r="O58" s="46">
        <v>4</v>
      </c>
      <c r="P58" s="46">
        <f>IF(I58=VLOOKUP(VALUE(I$1),Questions[#All],5,FALSE),1,0)</f>
        <v>1</v>
      </c>
      <c r="Q58" s="43">
        <f>IF(J58=VLOOKUP(VALUE(J$1),Questions[#All],5,FALSE),1,0)</f>
        <v>0</v>
      </c>
      <c r="R58" s="43">
        <f>IF(K58=VLOOKUP(VALUE(K$1),Questions[#All],5,FALSE),1,0)</f>
        <v>1</v>
      </c>
      <c r="S58" s="43">
        <f>IF(L58=VLOOKUP(VALUE(L$1),Questions[#All],5,FALSE),1,0)</f>
        <v>1</v>
      </c>
      <c r="T58" s="43">
        <f>IF(M58=VLOOKUP(VALUE(M$1),Questions[#All],5,FALSE),1,0)</f>
        <v>0</v>
      </c>
      <c r="U58" s="43">
        <f>IF(N58=VLOOKUP(VALUE(N$1),Questions[#All],5,FALSE),1,0)</f>
        <v>1</v>
      </c>
      <c r="W58" s="25"/>
    </row>
    <row r="59" spans="1:23" ht="21" customHeight="1" x14ac:dyDescent="0.15">
      <c r="A59" s="1" t="s">
        <v>807</v>
      </c>
      <c r="B59" s="36" t="s">
        <v>45</v>
      </c>
      <c r="C59" s="37">
        <v>5</v>
      </c>
      <c r="D59" s="37">
        <v>11</v>
      </c>
      <c r="E59" s="38" t="b">
        <v>0</v>
      </c>
      <c r="F59" s="39" t="b">
        <v>0</v>
      </c>
      <c r="G59" s="40">
        <v>5</v>
      </c>
      <c r="H59" s="41"/>
      <c r="I59" s="40">
        <v>3</v>
      </c>
      <c r="J59" s="37">
        <v>1</v>
      </c>
      <c r="K59" s="37">
        <v>3</v>
      </c>
      <c r="L59" s="37">
        <v>2</v>
      </c>
      <c r="M59" s="37">
        <v>4</v>
      </c>
      <c r="N59" s="37">
        <v>2</v>
      </c>
      <c r="O59" s="40">
        <v>4</v>
      </c>
      <c r="P59" s="40">
        <f>IF(I59=VLOOKUP(VALUE(I$1),Questions[#All],5,FALSE),1,0)</f>
        <v>1</v>
      </c>
      <c r="Q59" s="37">
        <f>IF(J59=VLOOKUP(VALUE(J$1),Questions[#All],5,FALSE),1,0)</f>
        <v>1</v>
      </c>
      <c r="R59" s="37">
        <f>IF(K59=VLOOKUP(VALUE(K$1),Questions[#All],5,FALSE),1,0)</f>
        <v>1</v>
      </c>
      <c r="S59" s="37">
        <f>IF(L59=VLOOKUP(VALUE(L$1),Questions[#All],5,FALSE),1,0)</f>
        <v>1</v>
      </c>
      <c r="T59" s="37">
        <f>IF(M59=VLOOKUP(VALUE(M$1),Questions[#All],5,FALSE),1,0)</f>
        <v>0</v>
      </c>
      <c r="U59" s="37">
        <f>IF(N59=VLOOKUP(VALUE(N$1),Questions[#All],5,FALSE),1,0)</f>
        <v>1</v>
      </c>
      <c r="W59" s="25"/>
    </row>
    <row r="60" spans="1:23" ht="21" customHeight="1" x14ac:dyDescent="0.15">
      <c r="A60" s="1" t="s">
        <v>808</v>
      </c>
      <c r="B60" s="42" t="s">
        <v>45</v>
      </c>
      <c r="C60" s="43">
        <v>5</v>
      </c>
      <c r="D60" s="43">
        <v>11</v>
      </c>
      <c r="E60" s="44" t="b">
        <v>0</v>
      </c>
      <c r="F60" s="45" t="b">
        <v>0</v>
      </c>
      <c r="G60" s="46">
        <v>4</v>
      </c>
      <c r="H60" s="47"/>
      <c r="I60" s="46">
        <v>3</v>
      </c>
      <c r="J60" s="43">
        <v>1</v>
      </c>
      <c r="K60" s="43">
        <v>3</v>
      </c>
      <c r="L60" s="43">
        <v>2</v>
      </c>
      <c r="M60" s="43"/>
      <c r="N60" s="43"/>
      <c r="O60" s="46"/>
      <c r="P60" s="46">
        <f>IF(I60=VLOOKUP(VALUE(I$1),Questions[#All],5,FALSE),1,0)</f>
        <v>1</v>
      </c>
      <c r="Q60" s="43">
        <f>IF(J60=VLOOKUP(VALUE(J$1),Questions[#All],5,FALSE),1,0)</f>
        <v>1</v>
      </c>
      <c r="R60" s="43">
        <f>IF(K60=VLOOKUP(VALUE(K$1),Questions[#All],5,FALSE),1,0)</f>
        <v>1</v>
      </c>
      <c r="S60" s="43">
        <f>IF(L60=VLOOKUP(VALUE(L$1),Questions[#All],5,FALSE),1,0)</f>
        <v>1</v>
      </c>
      <c r="T60" s="43">
        <f>IF(M60=VLOOKUP(VALUE(M$1),Questions[#All],5,FALSE),1,0)</f>
        <v>0</v>
      </c>
      <c r="U60" s="43">
        <f>IF(N60=VLOOKUP(VALUE(N$1),Questions[#All],5,FALSE),1,0)</f>
        <v>0</v>
      </c>
      <c r="W60" s="25"/>
    </row>
    <row r="61" spans="1:23" ht="21" customHeight="1" x14ac:dyDescent="0.15">
      <c r="A61" s="1" t="s">
        <v>809</v>
      </c>
      <c r="B61" s="36" t="s">
        <v>45</v>
      </c>
      <c r="C61" s="37">
        <v>5</v>
      </c>
      <c r="D61" s="37">
        <v>11</v>
      </c>
      <c r="E61" s="38" t="b">
        <v>0</v>
      </c>
      <c r="F61" s="39" t="b">
        <v>0</v>
      </c>
      <c r="G61" s="40">
        <v>3</v>
      </c>
      <c r="H61" s="41"/>
      <c r="I61" s="40">
        <v>1</v>
      </c>
      <c r="J61" s="37">
        <v>3</v>
      </c>
      <c r="K61" s="37">
        <v>3</v>
      </c>
      <c r="L61" s="37">
        <v>2</v>
      </c>
      <c r="M61" s="37">
        <v>2</v>
      </c>
      <c r="N61" s="37">
        <v>2</v>
      </c>
      <c r="O61" s="40">
        <v>4</v>
      </c>
      <c r="P61" s="40">
        <f>IF(I61=VLOOKUP(VALUE(I$1),Questions[#All],5,FALSE),1,0)</f>
        <v>0</v>
      </c>
      <c r="Q61" s="37">
        <f>IF(J61=VLOOKUP(VALUE(J$1),Questions[#All],5,FALSE),1,0)</f>
        <v>0</v>
      </c>
      <c r="R61" s="37">
        <f>IF(K61=VLOOKUP(VALUE(K$1),Questions[#All],5,FALSE),1,0)</f>
        <v>1</v>
      </c>
      <c r="S61" s="37">
        <f>IF(L61=VLOOKUP(VALUE(L$1),Questions[#All],5,FALSE),1,0)</f>
        <v>1</v>
      </c>
      <c r="T61" s="37">
        <f>IF(M61=VLOOKUP(VALUE(M$1),Questions[#All],5,FALSE),1,0)</f>
        <v>0</v>
      </c>
      <c r="U61" s="37">
        <f>IF(N61=VLOOKUP(VALUE(N$1),Questions[#All],5,FALSE),1,0)</f>
        <v>1</v>
      </c>
      <c r="W61" s="25"/>
    </row>
    <row r="62" spans="1:23" ht="21" customHeight="1" x14ac:dyDescent="0.15">
      <c r="A62" s="1" t="s">
        <v>810</v>
      </c>
      <c r="B62" s="42" t="s">
        <v>45</v>
      </c>
      <c r="C62" s="43">
        <v>5</v>
      </c>
      <c r="D62" s="43">
        <v>11</v>
      </c>
      <c r="E62" s="44" t="b">
        <v>0</v>
      </c>
      <c r="F62" s="45" t="b">
        <v>0</v>
      </c>
      <c r="G62" s="46">
        <v>3</v>
      </c>
      <c r="H62" s="47"/>
      <c r="I62" s="46">
        <v>2</v>
      </c>
      <c r="J62" s="43">
        <v>1</v>
      </c>
      <c r="K62" s="43">
        <v>2</v>
      </c>
      <c r="L62" s="43">
        <v>2</v>
      </c>
      <c r="M62" s="43">
        <v>1</v>
      </c>
      <c r="N62" s="43">
        <v>2</v>
      </c>
      <c r="O62" s="46"/>
      <c r="P62" s="46">
        <f>IF(I62=VLOOKUP(VALUE(I$1),Questions[#All],5,FALSE),1,0)</f>
        <v>0</v>
      </c>
      <c r="Q62" s="43">
        <f>IF(J62=VLOOKUP(VALUE(J$1),Questions[#All],5,FALSE),1,0)</f>
        <v>1</v>
      </c>
      <c r="R62" s="43">
        <f>IF(K62=VLOOKUP(VALUE(K$1),Questions[#All],5,FALSE),1,0)</f>
        <v>0</v>
      </c>
      <c r="S62" s="43">
        <f>IF(L62=VLOOKUP(VALUE(L$1),Questions[#All],5,FALSE),1,0)</f>
        <v>1</v>
      </c>
      <c r="T62" s="43">
        <f>IF(M62=VLOOKUP(VALUE(M$1),Questions[#All],5,FALSE),1,0)</f>
        <v>0</v>
      </c>
      <c r="U62" s="43">
        <f>IF(N62=VLOOKUP(VALUE(N$1),Questions[#All],5,FALSE),1,0)</f>
        <v>1</v>
      </c>
      <c r="W62" s="25"/>
    </row>
    <row r="63" spans="1:23" ht="21" customHeight="1" x14ac:dyDescent="0.15">
      <c r="A63" s="1" t="s">
        <v>811</v>
      </c>
      <c r="B63" s="36" t="s">
        <v>45</v>
      </c>
      <c r="C63" s="37">
        <v>5</v>
      </c>
      <c r="D63" s="37">
        <v>11</v>
      </c>
      <c r="E63" s="38" t="b">
        <v>0</v>
      </c>
      <c r="F63" s="39" t="b">
        <v>0</v>
      </c>
      <c r="G63" s="40">
        <v>4</v>
      </c>
      <c r="H63" s="41"/>
      <c r="I63" s="40">
        <v>3</v>
      </c>
      <c r="J63" s="37">
        <v>4</v>
      </c>
      <c r="K63" s="37">
        <v>3</v>
      </c>
      <c r="L63" s="37">
        <v>2</v>
      </c>
      <c r="M63" s="37">
        <v>1</v>
      </c>
      <c r="N63" s="37">
        <v>2</v>
      </c>
      <c r="O63" s="40"/>
      <c r="P63" s="40">
        <f>IF(I63=VLOOKUP(VALUE(I$1),Questions[#All],5,FALSE),1,0)</f>
        <v>1</v>
      </c>
      <c r="Q63" s="37">
        <f>IF(J63=VLOOKUP(VALUE(J$1),Questions[#All],5,FALSE),1,0)</f>
        <v>0</v>
      </c>
      <c r="R63" s="37">
        <f>IF(K63=VLOOKUP(VALUE(K$1),Questions[#All],5,FALSE),1,0)</f>
        <v>1</v>
      </c>
      <c r="S63" s="37">
        <f>IF(L63=VLOOKUP(VALUE(L$1),Questions[#All],5,FALSE),1,0)</f>
        <v>1</v>
      </c>
      <c r="T63" s="37">
        <f>IF(M63=VLOOKUP(VALUE(M$1),Questions[#All],5,FALSE),1,0)</f>
        <v>0</v>
      </c>
      <c r="U63" s="37">
        <f>IF(N63=VLOOKUP(VALUE(N$1),Questions[#All],5,FALSE),1,0)</f>
        <v>1</v>
      </c>
      <c r="W63" s="25"/>
    </row>
    <row r="64" spans="1:23" ht="21" customHeight="1" x14ac:dyDescent="0.15">
      <c r="A64" s="1" t="s">
        <v>812</v>
      </c>
      <c r="B64" s="42" t="s">
        <v>45</v>
      </c>
      <c r="C64" s="43">
        <v>5</v>
      </c>
      <c r="D64" s="43">
        <v>11</v>
      </c>
      <c r="E64" s="44" t="b">
        <v>0</v>
      </c>
      <c r="F64" s="45" t="b">
        <v>0</v>
      </c>
      <c r="G64" s="46">
        <v>5</v>
      </c>
      <c r="H64" s="47"/>
      <c r="I64" s="46">
        <v>3</v>
      </c>
      <c r="J64" s="43">
        <v>1</v>
      </c>
      <c r="K64" s="43">
        <v>3</v>
      </c>
      <c r="L64" s="43">
        <v>2</v>
      </c>
      <c r="M64" s="43">
        <v>1</v>
      </c>
      <c r="N64" s="43">
        <v>2</v>
      </c>
      <c r="O64" s="46">
        <v>4</v>
      </c>
      <c r="P64" s="46">
        <f>IF(I64=VLOOKUP(VALUE(I$1),Questions[#All],5,FALSE),1,0)</f>
        <v>1</v>
      </c>
      <c r="Q64" s="43">
        <f>IF(J64=VLOOKUP(VALUE(J$1),Questions[#All],5,FALSE),1,0)</f>
        <v>1</v>
      </c>
      <c r="R64" s="43">
        <f>IF(K64=VLOOKUP(VALUE(K$1),Questions[#All],5,FALSE),1,0)</f>
        <v>1</v>
      </c>
      <c r="S64" s="43">
        <f>IF(L64=VLOOKUP(VALUE(L$1),Questions[#All],5,FALSE),1,0)</f>
        <v>1</v>
      </c>
      <c r="T64" s="43">
        <f>IF(M64=VLOOKUP(VALUE(M$1),Questions[#All],5,FALSE),1,0)</f>
        <v>0</v>
      </c>
      <c r="U64" s="43">
        <f>IF(N64=VLOOKUP(VALUE(N$1),Questions[#All],5,FALSE),1,0)</f>
        <v>1</v>
      </c>
      <c r="W64" s="25"/>
    </row>
    <row r="65" spans="1:23" ht="21" customHeight="1" x14ac:dyDescent="0.15">
      <c r="A65" s="1" t="s">
        <v>813</v>
      </c>
      <c r="B65" s="36" t="s">
        <v>45</v>
      </c>
      <c r="C65" s="37">
        <v>5</v>
      </c>
      <c r="D65" s="37">
        <v>11</v>
      </c>
      <c r="E65" s="38" t="b">
        <v>0</v>
      </c>
      <c r="F65" s="39" t="b">
        <v>0</v>
      </c>
      <c r="G65" s="40">
        <v>3</v>
      </c>
      <c r="H65" s="41"/>
      <c r="I65" s="40">
        <v>3</v>
      </c>
      <c r="J65" s="37">
        <v>1</v>
      </c>
      <c r="K65" s="37">
        <v>2</v>
      </c>
      <c r="L65" s="37">
        <v>2</v>
      </c>
      <c r="M65" s="37">
        <v>1</v>
      </c>
      <c r="N65" s="37">
        <v>4</v>
      </c>
      <c r="O65" s="40"/>
      <c r="P65" s="40">
        <f>IF(I65=VLOOKUP(VALUE(I$1),Questions[#All],5,FALSE),1,0)</f>
        <v>1</v>
      </c>
      <c r="Q65" s="37">
        <f>IF(J65=VLOOKUP(VALUE(J$1),Questions[#All],5,FALSE),1,0)</f>
        <v>1</v>
      </c>
      <c r="R65" s="37">
        <f>IF(K65=VLOOKUP(VALUE(K$1),Questions[#All],5,FALSE),1,0)</f>
        <v>0</v>
      </c>
      <c r="S65" s="37">
        <f>IF(L65=VLOOKUP(VALUE(L$1),Questions[#All],5,FALSE),1,0)</f>
        <v>1</v>
      </c>
      <c r="T65" s="37">
        <f>IF(M65=VLOOKUP(VALUE(M$1),Questions[#All],5,FALSE),1,0)</f>
        <v>0</v>
      </c>
      <c r="U65" s="37">
        <f>IF(N65=VLOOKUP(VALUE(N$1),Questions[#All],5,FALSE),1,0)</f>
        <v>0</v>
      </c>
      <c r="W65" s="25"/>
    </row>
    <row r="66" spans="1:23" ht="21" customHeight="1" x14ac:dyDescent="0.15">
      <c r="A66" s="1" t="s">
        <v>814</v>
      </c>
      <c r="B66" s="42" t="s">
        <v>45</v>
      </c>
      <c r="C66" s="43">
        <v>5</v>
      </c>
      <c r="D66" s="43">
        <v>11</v>
      </c>
      <c r="E66" s="44" t="b">
        <v>0</v>
      </c>
      <c r="F66" s="45" t="b">
        <v>0</v>
      </c>
      <c r="G66" s="46">
        <v>5</v>
      </c>
      <c r="H66" s="47"/>
      <c r="I66" s="46">
        <v>3</v>
      </c>
      <c r="J66" s="43">
        <v>1</v>
      </c>
      <c r="K66" s="43">
        <v>3</v>
      </c>
      <c r="L66" s="43">
        <v>2</v>
      </c>
      <c r="M66" s="43">
        <v>1</v>
      </c>
      <c r="N66" s="43">
        <v>2</v>
      </c>
      <c r="O66" s="46"/>
      <c r="P66" s="46">
        <f>IF(I66=VLOOKUP(VALUE(I$1),Questions[#All],5,FALSE),1,0)</f>
        <v>1</v>
      </c>
      <c r="Q66" s="43">
        <f>IF(J66=VLOOKUP(VALUE(J$1),Questions[#All],5,FALSE),1,0)</f>
        <v>1</v>
      </c>
      <c r="R66" s="43">
        <f>IF(K66=VLOOKUP(VALUE(K$1),Questions[#All],5,FALSE),1,0)</f>
        <v>1</v>
      </c>
      <c r="S66" s="43">
        <f>IF(L66=VLOOKUP(VALUE(L$1),Questions[#All],5,FALSE),1,0)</f>
        <v>1</v>
      </c>
      <c r="T66" s="43">
        <f>IF(M66=VLOOKUP(VALUE(M$1),Questions[#All],5,FALSE),1,0)</f>
        <v>0</v>
      </c>
      <c r="U66" s="43">
        <f>IF(N66=VLOOKUP(VALUE(N$1),Questions[#All],5,FALSE),1,0)</f>
        <v>1</v>
      </c>
      <c r="W66" s="25"/>
    </row>
    <row r="67" spans="1:23" ht="21" customHeight="1" x14ac:dyDescent="0.15">
      <c r="A67" s="1" t="s">
        <v>815</v>
      </c>
      <c r="B67" s="36" t="s">
        <v>45</v>
      </c>
      <c r="C67" s="37">
        <v>5</v>
      </c>
      <c r="D67" s="37">
        <v>11</v>
      </c>
      <c r="E67" s="38" t="b">
        <v>0</v>
      </c>
      <c r="F67" s="39" t="b">
        <v>0</v>
      </c>
      <c r="G67" s="40">
        <v>5</v>
      </c>
      <c r="H67" s="41"/>
      <c r="I67" s="40">
        <v>3</v>
      </c>
      <c r="J67" s="37">
        <v>1</v>
      </c>
      <c r="K67" s="37">
        <v>3</v>
      </c>
      <c r="L67" s="37">
        <v>2</v>
      </c>
      <c r="M67" s="37">
        <v>4</v>
      </c>
      <c r="N67" s="37">
        <v>2</v>
      </c>
      <c r="O67" s="40">
        <v>4</v>
      </c>
      <c r="P67" s="40">
        <f>IF(I67=VLOOKUP(VALUE(I$1),Questions[#All],5,FALSE),1,0)</f>
        <v>1</v>
      </c>
      <c r="Q67" s="37">
        <f>IF(J67=VLOOKUP(VALUE(J$1),Questions[#All],5,FALSE),1,0)</f>
        <v>1</v>
      </c>
      <c r="R67" s="37">
        <f>IF(K67=VLOOKUP(VALUE(K$1),Questions[#All],5,FALSE),1,0)</f>
        <v>1</v>
      </c>
      <c r="S67" s="37">
        <f>IF(L67=VLOOKUP(VALUE(L$1),Questions[#All],5,FALSE),1,0)</f>
        <v>1</v>
      </c>
      <c r="T67" s="37">
        <f>IF(M67=VLOOKUP(VALUE(M$1),Questions[#All],5,FALSE),1,0)</f>
        <v>0</v>
      </c>
      <c r="U67" s="37">
        <f>IF(N67=VLOOKUP(VALUE(N$1),Questions[#All],5,FALSE),1,0)</f>
        <v>1</v>
      </c>
      <c r="W67" s="25"/>
    </row>
    <row r="68" spans="1:23" ht="21" customHeight="1" x14ac:dyDescent="0.15">
      <c r="A68" s="1" t="s">
        <v>816</v>
      </c>
      <c r="B68" s="42" t="s">
        <v>45</v>
      </c>
      <c r="C68" s="43">
        <v>4</v>
      </c>
      <c r="D68" s="43">
        <v>11</v>
      </c>
      <c r="E68" s="44" t="b">
        <v>0</v>
      </c>
      <c r="F68" s="45" t="b">
        <v>0</v>
      </c>
      <c r="G68" s="46">
        <v>5</v>
      </c>
      <c r="H68" s="47"/>
      <c r="I68" s="46">
        <v>3</v>
      </c>
      <c r="J68" s="43">
        <v>1</v>
      </c>
      <c r="K68" s="43">
        <v>3</v>
      </c>
      <c r="L68" s="43">
        <v>2</v>
      </c>
      <c r="M68" s="43">
        <v>1</v>
      </c>
      <c r="N68" s="43">
        <v>2</v>
      </c>
      <c r="O68" s="46">
        <v>3</v>
      </c>
      <c r="P68" s="46">
        <f>IF(I68=VLOOKUP(VALUE(I$1),Questions[#All],5,FALSE),1,0)</f>
        <v>1</v>
      </c>
      <c r="Q68" s="43">
        <f>IF(J68=VLOOKUP(VALUE(J$1),Questions[#All],5,FALSE),1,0)</f>
        <v>1</v>
      </c>
      <c r="R68" s="43">
        <f>IF(K68=VLOOKUP(VALUE(K$1),Questions[#All],5,FALSE),1,0)</f>
        <v>1</v>
      </c>
      <c r="S68" s="43">
        <f>IF(L68=VLOOKUP(VALUE(L$1),Questions[#All],5,FALSE),1,0)</f>
        <v>1</v>
      </c>
      <c r="T68" s="43">
        <f>IF(M68=VLOOKUP(VALUE(M$1),Questions[#All],5,FALSE),1,0)</f>
        <v>0</v>
      </c>
      <c r="U68" s="43">
        <f>IF(N68=VLOOKUP(VALUE(N$1),Questions[#All],5,FALSE),1,0)</f>
        <v>1</v>
      </c>
      <c r="W68" s="25"/>
    </row>
    <row r="69" spans="1:23" ht="21" customHeight="1" x14ac:dyDescent="0.15">
      <c r="A69" s="1" t="s">
        <v>817</v>
      </c>
      <c r="B69" s="48" t="s">
        <v>45</v>
      </c>
      <c r="C69" s="37">
        <v>4</v>
      </c>
      <c r="D69" s="37">
        <v>11</v>
      </c>
      <c r="E69" s="38" t="b">
        <v>0</v>
      </c>
      <c r="F69" s="39" t="b">
        <v>0</v>
      </c>
      <c r="G69" s="40">
        <v>3</v>
      </c>
      <c r="H69" s="41"/>
      <c r="I69" s="40">
        <v>4</v>
      </c>
      <c r="J69" s="37">
        <v>4</v>
      </c>
      <c r="K69" s="37">
        <v>3</v>
      </c>
      <c r="L69" s="37">
        <v>2</v>
      </c>
      <c r="M69" s="37">
        <v>4</v>
      </c>
      <c r="N69" s="37">
        <v>2</v>
      </c>
      <c r="O69" s="40">
        <v>3</v>
      </c>
      <c r="P69" s="40">
        <f>IF(I69=VLOOKUP(VALUE(I$1),Questions[#All],5,FALSE),1,0)</f>
        <v>0</v>
      </c>
      <c r="Q69" s="37">
        <f>IF(J69=VLOOKUP(VALUE(J$1),Questions[#All],5,FALSE),1,0)</f>
        <v>0</v>
      </c>
      <c r="R69" s="37">
        <f>IF(K69=VLOOKUP(VALUE(K$1),Questions[#All],5,FALSE),1,0)</f>
        <v>1</v>
      </c>
      <c r="S69" s="37">
        <f>IF(L69=VLOOKUP(VALUE(L$1),Questions[#All],5,FALSE),1,0)</f>
        <v>1</v>
      </c>
      <c r="T69" s="37">
        <f>IF(M69=VLOOKUP(VALUE(M$1),Questions[#All],5,FALSE),1,0)</f>
        <v>0</v>
      </c>
      <c r="U69" s="37">
        <f>IF(N69=VLOOKUP(VALUE(N$1),Questions[#All],5,FALSE),1,0)</f>
        <v>1</v>
      </c>
      <c r="W69" s="25"/>
    </row>
    <row r="70" spans="1:23" ht="21" customHeight="1" x14ac:dyDescent="0.15">
      <c r="A70" s="1" t="s">
        <v>818</v>
      </c>
      <c r="B70" s="49" t="s">
        <v>45</v>
      </c>
      <c r="C70" s="43">
        <v>4</v>
      </c>
      <c r="D70" s="43">
        <v>11</v>
      </c>
      <c r="E70" s="44" t="b">
        <v>0</v>
      </c>
      <c r="F70" s="45" t="b">
        <v>0</v>
      </c>
      <c r="G70" s="46">
        <v>5</v>
      </c>
      <c r="H70" s="47"/>
      <c r="I70" s="46">
        <v>3</v>
      </c>
      <c r="J70" s="43">
        <v>4</v>
      </c>
      <c r="K70" s="43">
        <v>3</v>
      </c>
      <c r="L70" s="43">
        <v>2</v>
      </c>
      <c r="M70" s="43">
        <v>3</v>
      </c>
      <c r="N70" s="43">
        <v>2</v>
      </c>
      <c r="O70" s="46">
        <v>2</v>
      </c>
      <c r="P70" s="46">
        <f>IF(I70=VLOOKUP(VALUE(I$1),Questions[#All],5,FALSE),1,0)</f>
        <v>1</v>
      </c>
      <c r="Q70" s="43">
        <f>IF(J70=VLOOKUP(VALUE(J$1),Questions[#All],5,FALSE),1,0)</f>
        <v>0</v>
      </c>
      <c r="R70" s="43">
        <f>IF(K70=VLOOKUP(VALUE(K$1),Questions[#All],5,FALSE),1,0)</f>
        <v>1</v>
      </c>
      <c r="S70" s="43">
        <f>IF(L70=VLOOKUP(VALUE(L$1),Questions[#All],5,FALSE),1,0)</f>
        <v>1</v>
      </c>
      <c r="T70" s="43">
        <f>IF(M70=VLOOKUP(VALUE(M$1),Questions[#All],5,FALSE),1,0)</f>
        <v>1</v>
      </c>
      <c r="U70" s="43">
        <f>IF(N70=VLOOKUP(VALUE(N$1),Questions[#All],5,FALSE),1,0)</f>
        <v>1</v>
      </c>
      <c r="W70" s="25"/>
    </row>
    <row r="71" spans="1:23" ht="21" customHeight="1" x14ac:dyDescent="0.15">
      <c r="A71" s="1" t="s">
        <v>819</v>
      </c>
      <c r="B71" s="48" t="s">
        <v>45</v>
      </c>
      <c r="C71" s="37">
        <v>4</v>
      </c>
      <c r="D71" s="37">
        <v>11</v>
      </c>
      <c r="E71" s="38" t="b">
        <v>0</v>
      </c>
      <c r="F71" s="39" t="b">
        <v>0</v>
      </c>
      <c r="G71" s="40">
        <v>6</v>
      </c>
      <c r="H71" s="41"/>
      <c r="I71" s="40">
        <v>3</v>
      </c>
      <c r="J71" s="37">
        <v>1</v>
      </c>
      <c r="K71" s="37">
        <v>3</v>
      </c>
      <c r="L71" s="37">
        <v>2</v>
      </c>
      <c r="M71" s="37">
        <v>3</v>
      </c>
      <c r="N71" s="37">
        <v>2</v>
      </c>
      <c r="O71" s="40">
        <v>3</v>
      </c>
      <c r="P71" s="40">
        <f>IF(I71=VLOOKUP(VALUE(I$1),Questions[#All],5,FALSE),1,0)</f>
        <v>1</v>
      </c>
      <c r="Q71" s="37">
        <f>IF(J71=VLOOKUP(VALUE(J$1),Questions[#All],5,FALSE),1,0)</f>
        <v>1</v>
      </c>
      <c r="R71" s="37">
        <f>IF(K71=VLOOKUP(VALUE(K$1),Questions[#All],5,FALSE),1,0)</f>
        <v>1</v>
      </c>
      <c r="S71" s="37">
        <f>IF(L71=VLOOKUP(VALUE(L$1),Questions[#All],5,FALSE),1,0)</f>
        <v>1</v>
      </c>
      <c r="T71" s="37">
        <f>IF(M71=VLOOKUP(VALUE(M$1),Questions[#All],5,FALSE),1,0)</f>
        <v>1</v>
      </c>
      <c r="U71" s="37">
        <f>IF(N71=VLOOKUP(VALUE(N$1),Questions[#All],5,FALSE),1,0)</f>
        <v>1</v>
      </c>
      <c r="W71" s="25"/>
    </row>
    <row r="72" spans="1:23" ht="21" customHeight="1" x14ac:dyDescent="0.15">
      <c r="A72" s="1" t="s">
        <v>820</v>
      </c>
      <c r="B72" s="49" t="s">
        <v>45</v>
      </c>
      <c r="C72" s="43">
        <v>4</v>
      </c>
      <c r="D72" s="43">
        <v>11</v>
      </c>
      <c r="E72" s="44" t="b">
        <v>0</v>
      </c>
      <c r="F72" s="45" t="b">
        <v>1</v>
      </c>
      <c r="G72" s="46">
        <v>2</v>
      </c>
      <c r="H72" s="47"/>
      <c r="I72" s="46">
        <v>2</v>
      </c>
      <c r="J72" s="43">
        <v>3</v>
      </c>
      <c r="K72" s="43">
        <v>3</v>
      </c>
      <c r="L72" s="43">
        <v>2</v>
      </c>
      <c r="M72" s="43"/>
      <c r="N72" s="43"/>
      <c r="O72" s="46">
        <v>3</v>
      </c>
      <c r="P72" s="46">
        <f>IF(I72=VLOOKUP(VALUE(I$1),Questions[#All],5,FALSE),1,0)</f>
        <v>0</v>
      </c>
      <c r="Q72" s="43">
        <f>IF(J72=VLOOKUP(VALUE(J$1),Questions[#All],5,FALSE),1,0)</f>
        <v>0</v>
      </c>
      <c r="R72" s="43">
        <f>IF(K72=VLOOKUP(VALUE(K$1),Questions[#All],5,FALSE),1,0)</f>
        <v>1</v>
      </c>
      <c r="S72" s="43">
        <f>IF(L72=VLOOKUP(VALUE(L$1),Questions[#All],5,FALSE),1,0)</f>
        <v>1</v>
      </c>
      <c r="T72" s="43">
        <f>IF(M72=VLOOKUP(VALUE(M$1),Questions[#All],5,FALSE),1,0)</f>
        <v>0</v>
      </c>
      <c r="U72" s="43">
        <f>IF(N72=VLOOKUP(VALUE(N$1),Questions[#All],5,FALSE),1,0)</f>
        <v>0</v>
      </c>
      <c r="W72" s="25"/>
    </row>
    <row r="73" spans="1:23" ht="21" customHeight="1" x14ac:dyDescent="0.15">
      <c r="A73" s="1" t="s">
        <v>821</v>
      </c>
      <c r="B73" s="48" t="s">
        <v>45</v>
      </c>
      <c r="C73" s="37">
        <v>4</v>
      </c>
      <c r="D73" s="37">
        <v>11</v>
      </c>
      <c r="E73" s="38" t="b">
        <v>0</v>
      </c>
      <c r="F73" s="39" t="b">
        <v>0</v>
      </c>
      <c r="G73" s="40">
        <v>4</v>
      </c>
      <c r="H73" s="41"/>
      <c r="I73" s="40">
        <v>3</v>
      </c>
      <c r="J73" s="37">
        <v>4</v>
      </c>
      <c r="K73" s="37">
        <v>3</v>
      </c>
      <c r="L73" s="37">
        <v>2</v>
      </c>
      <c r="M73" s="37">
        <v>4</v>
      </c>
      <c r="N73" s="37">
        <v>2</v>
      </c>
      <c r="O73" s="40">
        <v>5</v>
      </c>
      <c r="P73" s="40">
        <f>IF(I73=VLOOKUP(VALUE(I$1),Questions[#All],5,FALSE),1,0)</f>
        <v>1</v>
      </c>
      <c r="Q73" s="37">
        <f>IF(J73=VLOOKUP(VALUE(J$1),Questions[#All],5,FALSE),1,0)</f>
        <v>0</v>
      </c>
      <c r="R73" s="37">
        <f>IF(K73=VLOOKUP(VALUE(K$1),Questions[#All],5,FALSE),1,0)</f>
        <v>1</v>
      </c>
      <c r="S73" s="37">
        <f>IF(L73=VLOOKUP(VALUE(L$1),Questions[#All],5,FALSE),1,0)</f>
        <v>1</v>
      </c>
      <c r="T73" s="37">
        <f>IF(M73=VLOOKUP(VALUE(M$1),Questions[#All],5,FALSE),1,0)</f>
        <v>0</v>
      </c>
      <c r="U73" s="37">
        <f>IF(N73=VLOOKUP(VALUE(N$1),Questions[#All],5,FALSE),1,0)</f>
        <v>1</v>
      </c>
      <c r="W73" s="25"/>
    </row>
    <row r="74" spans="1:23" ht="21" customHeight="1" x14ac:dyDescent="0.15">
      <c r="A74" s="1" t="s">
        <v>822</v>
      </c>
      <c r="B74" s="49" t="s">
        <v>45</v>
      </c>
      <c r="C74" s="43">
        <v>4</v>
      </c>
      <c r="D74" s="43">
        <v>11</v>
      </c>
      <c r="E74" s="44" t="b">
        <v>0</v>
      </c>
      <c r="F74" s="45" t="b">
        <v>1</v>
      </c>
      <c r="G74" s="46">
        <v>5</v>
      </c>
      <c r="H74" s="47"/>
      <c r="I74" s="46">
        <v>3</v>
      </c>
      <c r="J74" s="43">
        <v>2</v>
      </c>
      <c r="K74" s="43">
        <v>3</v>
      </c>
      <c r="L74" s="43">
        <v>2</v>
      </c>
      <c r="M74" s="43">
        <v>3</v>
      </c>
      <c r="N74" s="43">
        <v>2</v>
      </c>
      <c r="O74" s="46">
        <v>3</v>
      </c>
      <c r="P74" s="46">
        <f>IF(I74=VLOOKUP(VALUE(I$1),Questions[#All],5,FALSE),1,0)</f>
        <v>1</v>
      </c>
      <c r="Q74" s="43">
        <f>IF(J74=VLOOKUP(VALUE(J$1),Questions[#All],5,FALSE),1,0)</f>
        <v>0</v>
      </c>
      <c r="R74" s="43">
        <f>IF(K74=VLOOKUP(VALUE(K$1),Questions[#All],5,FALSE),1,0)</f>
        <v>1</v>
      </c>
      <c r="S74" s="43">
        <f>IF(L74=VLOOKUP(VALUE(L$1),Questions[#All],5,FALSE),1,0)</f>
        <v>1</v>
      </c>
      <c r="T74" s="43">
        <f>IF(M74=VLOOKUP(VALUE(M$1),Questions[#All],5,FALSE),1,0)</f>
        <v>1</v>
      </c>
      <c r="U74" s="43">
        <f>IF(N74=VLOOKUP(VALUE(N$1),Questions[#All],5,FALSE),1,0)</f>
        <v>1</v>
      </c>
      <c r="W74" s="25"/>
    </row>
    <row r="75" spans="1:23" ht="21" customHeight="1" x14ac:dyDescent="0.15">
      <c r="A75" s="1" t="s">
        <v>823</v>
      </c>
      <c r="B75" s="48" t="s">
        <v>45</v>
      </c>
      <c r="C75" s="37">
        <v>4</v>
      </c>
      <c r="D75" s="37">
        <v>11</v>
      </c>
      <c r="E75" s="38" t="b">
        <v>0</v>
      </c>
      <c r="F75" s="39" t="b">
        <v>0</v>
      </c>
      <c r="G75" s="40">
        <v>3</v>
      </c>
      <c r="H75" s="41"/>
      <c r="I75" s="40">
        <v>4</v>
      </c>
      <c r="J75" s="37">
        <v>3</v>
      </c>
      <c r="K75" s="37">
        <v>2</v>
      </c>
      <c r="L75" s="37">
        <v>2</v>
      </c>
      <c r="M75" s="37">
        <v>3</v>
      </c>
      <c r="N75" s="37">
        <v>2</v>
      </c>
      <c r="O75" s="40">
        <v>2</v>
      </c>
      <c r="P75" s="40">
        <f>IF(I75=VLOOKUP(VALUE(I$1),Questions[#All],5,FALSE),1,0)</f>
        <v>0</v>
      </c>
      <c r="Q75" s="37">
        <f>IF(J75=VLOOKUP(VALUE(J$1),Questions[#All],5,FALSE),1,0)</f>
        <v>0</v>
      </c>
      <c r="R75" s="37">
        <f>IF(K75=VLOOKUP(VALUE(K$1),Questions[#All],5,FALSE),1,0)</f>
        <v>0</v>
      </c>
      <c r="S75" s="37">
        <f>IF(L75=VLOOKUP(VALUE(L$1),Questions[#All],5,FALSE),1,0)</f>
        <v>1</v>
      </c>
      <c r="T75" s="37">
        <f>IF(M75=VLOOKUP(VALUE(M$1),Questions[#All],5,FALSE),1,0)</f>
        <v>1</v>
      </c>
      <c r="U75" s="37">
        <f>IF(N75=VLOOKUP(VALUE(N$1),Questions[#All],5,FALSE),1,0)</f>
        <v>1</v>
      </c>
      <c r="W75" s="25"/>
    </row>
    <row r="76" spans="1:23" ht="21" customHeight="1" x14ac:dyDescent="0.15">
      <c r="A76" s="1" t="s">
        <v>824</v>
      </c>
      <c r="B76" s="49" t="s">
        <v>45</v>
      </c>
      <c r="C76" s="43">
        <v>4</v>
      </c>
      <c r="D76" s="43">
        <v>11</v>
      </c>
      <c r="E76" s="44" t="b">
        <v>0</v>
      </c>
      <c r="F76" s="45" t="b">
        <v>0</v>
      </c>
      <c r="G76" s="46">
        <v>3</v>
      </c>
      <c r="H76" s="47"/>
      <c r="I76" s="46">
        <v>3</v>
      </c>
      <c r="J76" s="43">
        <v>4</v>
      </c>
      <c r="K76" s="43">
        <v>3</v>
      </c>
      <c r="L76" s="43">
        <v>2</v>
      </c>
      <c r="M76" s="43">
        <v>1</v>
      </c>
      <c r="N76" s="43">
        <v>1</v>
      </c>
      <c r="O76" s="46">
        <v>5</v>
      </c>
      <c r="P76" s="46">
        <f>IF(I76=VLOOKUP(VALUE(I$1),Questions[#All],5,FALSE),1,0)</f>
        <v>1</v>
      </c>
      <c r="Q76" s="43">
        <f>IF(J76=VLOOKUP(VALUE(J$1),Questions[#All],5,FALSE),1,0)</f>
        <v>0</v>
      </c>
      <c r="R76" s="43">
        <f>IF(K76=VLOOKUP(VALUE(K$1),Questions[#All],5,FALSE),1,0)</f>
        <v>1</v>
      </c>
      <c r="S76" s="43">
        <f>IF(L76=VLOOKUP(VALUE(L$1),Questions[#All],5,FALSE),1,0)</f>
        <v>1</v>
      </c>
      <c r="T76" s="43">
        <f>IF(M76=VLOOKUP(VALUE(M$1),Questions[#All],5,FALSE),1,0)</f>
        <v>0</v>
      </c>
      <c r="U76" s="43">
        <f>IF(N76=VLOOKUP(VALUE(N$1),Questions[#All],5,FALSE),1,0)</f>
        <v>0</v>
      </c>
      <c r="W76" s="25"/>
    </row>
    <row r="77" spans="1:23" ht="21" customHeight="1" x14ac:dyDescent="0.15">
      <c r="A77" s="1" t="s">
        <v>825</v>
      </c>
      <c r="B77" s="48" t="s">
        <v>45</v>
      </c>
      <c r="C77" s="37">
        <v>4</v>
      </c>
      <c r="D77" s="37">
        <v>11</v>
      </c>
      <c r="E77" s="38" t="b">
        <v>0</v>
      </c>
      <c r="F77" s="39" t="b">
        <v>0</v>
      </c>
      <c r="G77" s="40">
        <v>4</v>
      </c>
      <c r="H77" s="41"/>
      <c r="I77" s="40">
        <v>4</v>
      </c>
      <c r="J77" s="37">
        <v>1</v>
      </c>
      <c r="K77" s="37">
        <v>3</v>
      </c>
      <c r="L77" s="37">
        <v>2</v>
      </c>
      <c r="M77" s="37">
        <v>4</v>
      </c>
      <c r="N77" s="37">
        <v>2</v>
      </c>
      <c r="O77" s="40">
        <v>3</v>
      </c>
      <c r="P77" s="40">
        <f>IF(I77=VLOOKUP(VALUE(I$1),Questions[#All],5,FALSE),1,0)</f>
        <v>0</v>
      </c>
      <c r="Q77" s="37">
        <f>IF(J77=VLOOKUP(VALUE(J$1),Questions[#All],5,FALSE),1,0)</f>
        <v>1</v>
      </c>
      <c r="R77" s="37">
        <f>IF(K77=VLOOKUP(VALUE(K$1),Questions[#All],5,FALSE),1,0)</f>
        <v>1</v>
      </c>
      <c r="S77" s="37">
        <f>IF(L77=VLOOKUP(VALUE(L$1),Questions[#All],5,FALSE),1,0)</f>
        <v>1</v>
      </c>
      <c r="T77" s="37">
        <f>IF(M77=VLOOKUP(VALUE(M$1),Questions[#All],5,FALSE),1,0)</f>
        <v>0</v>
      </c>
      <c r="U77" s="37">
        <f>IF(N77=VLOOKUP(VALUE(N$1),Questions[#All],5,FALSE),1,0)</f>
        <v>1</v>
      </c>
      <c r="W77" s="25"/>
    </row>
    <row r="78" spans="1:23" ht="21" customHeight="1" x14ac:dyDescent="0.15">
      <c r="A78" s="1" t="s">
        <v>826</v>
      </c>
      <c r="B78" s="49" t="s">
        <v>45</v>
      </c>
      <c r="C78" s="43">
        <v>4</v>
      </c>
      <c r="D78" s="43">
        <v>11</v>
      </c>
      <c r="E78" s="44" t="b">
        <v>0</v>
      </c>
      <c r="F78" s="45" t="b">
        <v>0</v>
      </c>
      <c r="G78" s="46">
        <v>6</v>
      </c>
      <c r="H78" s="47"/>
      <c r="I78" s="46">
        <v>3</v>
      </c>
      <c r="J78" s="43">
        <v>1</v>
      </c>
      <c r="K78" s="43">
        <v>3</v>
      </c>
      <c r="L78" s="43">
        <v>2</v>
      </c>
      <c r="M78" s="43">
        <v>3</v>
      </c>
      <c r="N78" s="43">
        <v>2</v>
      </c>
      <c r="O78" s="46">
        <v>5</v>
      </c>
      <c r="P78" s="46">
        <f>IF(I78=VLOOKUP(VALUE(I$1),Questions[#All],5,FALSE),1,0)</f>
        <v>1</v>
      </c>
      <c r="Q78" s="43">
        <f>IF(J78=VLOOKUP(VALUE(J$1),Questions[#All],5,FALSE),1,0)</f>
        <v>1</v>
      </c>
      <c r="R78" s="43">
        <f>IF(K78=VLOOKUP(VALUE(K$1),Questions[#All],5,FALSE),1,0)</f>
        <v>1</v>
      </c>
      <c r="S78" s="43">
        <f>IF(L78=VLOOKUP(VALUE(L$1),Questions[#All],5,FALSE),1,0)</f>
        <v>1</v>
      </c>
      <c r="T78" s="43">
        <f>IF(M78=VLOOKUP(VALUE(M$1),Questions[#All],5,FALSE),1,0)</f>
        <v>1</v>
      </c>
      <c r="U78" s="43">
        <f>IF(N78=VLOOKUP(VALUE(N$1),Questions[#All],5,FALSE),1,0)</f>
        <v>1</v>
      </c>
      <c r="W78" s="25"/>
    </row>
    <row r="79" spans="1:23" ht="21" customHeight="1" x14ac:dyDescent="0.15">
      <c r="A79" s="1" t="s">
        <v>827</v>
      </c>
      <c r="B79" s="48" t="s">
        <v>45</v>
      </c>
      <c r="C79" s="37">
        <v>4</v>
      </c>
      <c r="D79" s="37">
        <v>11</v>
      </c>
      <c r="E79" s="38" t="b">
        <v>0</v>
      </c>
      <c r="F79" s="39" t="b">
        <v>0</v>
      </c>
      <c r="G79" s="40">
        <v>6</v>
      </c>
      <c r="H79" s="41"/>
      <c r="I79" s="40">
        <v>3</v>
      </c>
      <c r="J79" s="37">
        <v>1</v>
      </c>
      <c r="K79" s="37">
        <v>3</v>
      </c>
      <c r="L79" s="37">
        <v>2</v>
      </c>
      <c r="M79" s="37">
        <v>3</v>
      </c>
      <c r="N79" s="37">
        <v>2</v>
      </c>
      <c r="O79" s="40">
        <v>5</v>
      </c>
      <c r="P79" s="40">
        <f>IF(I79=VLOOKUP(VALUE(I$1),Questions[#All],5,FALSE),1,0)</f>
        <v>1</v>
      </c>
      <c r="Q79" s="37">
        <f>IF(J79=VLOOKUP(VALUE(J$1),Questions[#All],5,FALSE),1,0)</f>
        <v>1</v>
      </c>
      <c r="R79" s="37">
        <f>IF(K79=VLOOKUP(VALUE(K$1),Questions[#All],5,FALSE),1,0)</f>
        <v>1</v>
      </c>
      <c r="S79" s="37">
        <f>IF(L79=VLOOKUP(VALUE(L$1),Questions[#All],5,FALSE),1,0)</f>
        <v>1</v>
      </c>
      <c r="T79" s="37">
        <f>IF(M79=VLOOKUP(VALUE(M$1),Questions[#All],5,FALSE),1,0)</f>
        <v>1</v>
      </c>
      <c r="U79" s="37">
        <f>IF(N79=VLOOKUP(VALUE(N$1),Questions[#All],5,FALSE),1,0)</f>
        <v>1</v>
      </c>
      <c r="W79" s="25"/>
    </row>
    <row r="80" spans="1:23" ht="21" customHeight="1" x14ac:dyDescent="0.15">
      <c r="A80" s="1" t="s">
        <v>828</v>
      </c>
      <c r="B80" s="49" t="s">
        <v>45</v>
      </c>
      <c r="C80" s="43">
        <v>4</v>
      </c>
      <c r="D80" s="43">
        <v>11</v>
      </c>
      <c r="E80" s="44" t="b">
        <v>0</v>
      </c>
      <c r="F80" s="45" t="b">
        <v>0</v>
      </c>
      <c r="G80" s="46">
        <v>5</v>
      </c>
      <c r="H80" s="47"/>
      <c r="I80" s="46">
        <v>3</v>
      </c>
      <c r="J80" s="43">
        <v>2</v>
      </c>
      <c r="K80" s="43">
        <v>3</v>
      </c>
      <c r="L80" s="43">
        <v>2</v>
      </c>
      <c r="M80" s="43">
        <v>3</v>
      </c>
      <c r="N80" s="43">
        <v>2</v>
      </c>
      <c r="O80" s="46">
        <v>3</v>
      </c>
      <c r="P80" s="46">
        <f>IF(I80=VLOOKUP(VALUE(I$1),Questions[#All],5,FALSE),1,0)</f>
        <v>1</v>
      </c>
      <c r="Q80" s="43">
        <f>IF(J80=VLOOKUP(VALUE(J$1),Questions[#All],5,FALSE),1,0)</f>
        <v>0</v>
      </c>
      <c r="R80" s="43">
        <f>IF(K80=VLOOKUP(VALUE(K$1),Questions[#All],5,FALSE),1,0)</f>
        <v>1</v>
      </c>
      <c r="S80" s="43">
        <f>IF(L80=VLOOKUP(VALUE(L$1),Questions[#All],5,FALSE),1,0)</f>
        <v>1</v>
      </c>
      <c r="T80" s="43">
        <f>IF(M80=VLOOKUP(VALUE(M$1),Questions[#All],5,FALSE),1,0)</f>
        <v>1</v>
      </c>
      <c r="U80" s="43">
        <f>IF(N80=VLOOKUP(VALUE(N$1),Questions[#All],5,FALSE),1,0)</f>
        <v>1</v>
      </c>
      <c r="W80" s="25"/>
    </row>
    <row r="81" spans="1:23" ht="21" customHeight="1" x14ac:dyDescent="0.15">
      <c r="A81" s="1" t="s">
        <v>829</v>
      </c>
      <c r="B81" s="48" t="s">
        <v>45</v>
      </c>
      <c r="C81" s="37">
        <v>4</v>
      </c>
      <c r="D81" s="37">
        <v>11</v>
      </c>
      <c r="E81" s="38" t="b">
        <v>0</v>
      </c>
      <c r="F81" s="39" t="b">
        <v>0</v>
      </c>
      <c r="G81" s="40">
        <v>4</v>
      </c>
      <c r="H81" s="41"/>
      <c r="I81" s="40">
        <v>3</v>
      </c>
      <c r="J81" s="37">
        <v>4</v>
      </c>
      <c r="K81" s="37">
        <v>3</v>
      </c>
      <c r="L81" s="37">
        <v>2</v>
      </c>
      <c r="M81" s="37">
        <v>1</v>
      </c>
      <c r="N81" s="37">
        <v>2</v>
      </c>
      <c r="O81" s="40">
        <v>3</v>
      </c>
      <c r="P81" s="40">
        <f>IF(I81=VLOOKUP(VALUE(I$1),Questions[#All],5,FALSE),1,0)</f>
        <v>1</v>
      </c>
      <c r="Q81" s="37">
        <f>IF(J81=VLOOKUP(VALUE(J$1),Questions[#All],5,FALSE),1,0)</f>
        <v>0</v>
      </c>
      <c r="R81" s="37">
        <f>IF(K81=VLOOKUP(VALUE(K$1),Questions[#All],5,FALSE),1,0)</f>
        <v>1</v>
      </c>
      <c r="S81" s="37">
        <f>IF(L81=VLOOKUP(VALUE(L$1),Questions[#All],5,FALSE),1,0)</f>
        <v>1</v>
      </c>
      <c r="T81" s="37">
        <f>IF(M81=VLOOKUP(VALUE(M$1),Questions[#All],5,FALSE),1,0)</f>
        <v>0</v>
      </c>
      <c r="U81" s="37">
        <f>IF(N81=VLOOKUP(VALUE(N$1),Questions[#All],5,FALSE),1,0)</f>
        <v>1</v>
      </c>
      <c r="W81" s="25"/>
    </row>
    <row r="82" spans="1:23" ht="21" customHeight="1" x14ac:dyDescent="0.15">
      <c r="A82" s="1" t="s">
        <v>830</v>
      </c>
      <c r="B82" s="49" t="s">
        <v>45</v>
      </c>
      <c r="C82" s="43">
        <v>4</v>
      </c>
      <c r="D82" s="43">
        <v>11</v>
      </c>
      <c r="E82" s="44" t="b">
        <v>0</v>
      </c>
      <c r="F82" s="45" t="b">
        <v>1</v>
      </c>
      <c r="G82" s="46">
        <v>0</v>
      </c>
      <c r="H82" s="47"/>
      <c r="I82" s="46">
        <v>4</v>
      </c>
      <c r="J82" s="43">
        <v>4</v>
      </c>
      <c r="K82" s="43">
        <v>2</v>
      </c>
      <c r="L82" s="43">
        <v>1</v>
      </c>
      <c r="M82" s="43">
        <v>4</v>
      </c>
      <c r="N82" s="43">
        <v>3</v>
      </c>
      <c r="O82" s="46">
        <v>1</v>
      </c>
      <c r="P82" s="46">
        <f>IF(I82=VLOOKUP(VALUE(I$1),Questions[#All],5,FALSE),1,0)</f>
        <v>0</v>
      </c>
      <c r="Q82" s="43">
        <f>IF(J82=VLOOKUP(VALUE(J$1),Questions[#All],5,FALSE),1,0)</f>
        <v>0</v>
      </c>
      <c r="R82" s="43">
        <f>IF(K82=VLOOKUP(VALUE(K$1),Questions[#All],5,FALSE),1,0)</f>
        <v>0</v>
      </c>
      <c r="S82" s="43">
        <f>IF(L82=VLOOKUP(VALUE(L$1),Questions[#All],5,FALSE),1,0)</f>
        <v>0</v>
      </c>
      <c r="T82" s="43">
        <f>IF(M82=VLOOKUP(VALUE(M$1),Questions[#All],5,FALSE),1,0)</f>
        <v>0</v>
      </c>
      <c r="U82" s="43">
        <f>IF(N82=VLOOKUP(VALUE(N$1),Questions[#All],5,FALSE),1,0)</f>
        <v>0</v>
      </c>
      <c r="W82" s="25"/>
    </row>
    <row r="83" spans="1:23" ht="21" customHeight="1" x14ac:dyDescent="0.15">
      <c r="A83" s="1" t="s">
        <v>831</v>
      </c>
      <c r="B83" s="48" t="s">
        <v>45</v>
      </c>
      <c r="C83" s="37">
        <v>4</v>
      </c>
      <c r="D83" s="37">
        <v>11</v>
      </c>
      <c r="E83" s="38" t="b">
        <v>0</v>
      </c>
      <c r="F83" s="39" t="b">
        <v>0</v>
      </c>
      <c r="G83" s="40">
        <v>4</v>
      </c>
      <c r="H83" s="41"/>
      <c r="I83" s="40">
        <v>4</v>
      </c>
      <c r="J83" s="37"/>
      <c r="K83" s="37">
        <v>3</v>
      </c>
      <c r="L83" s="37">
        <v>2</v>
      </c>
      <c r="M83" s="37">
        <v>3</v>
      </c>
      <c r="N83" s="37">
        <v>2</v>
      </c>
      <c r="O83" s="40">
        <v>4</v>
      </c>
      <c r="P83" s="40">
        <f>IF(I83=VLOOKUP(VALUE(I$1),Questions[#All],5,FALSE),1,0)</f>
        <v>0</v>
      </c>
      <c r="Q83" s="37">
        <f>IF(J83=VLOOKUP(VALUE(J$1),Questions[#All],5,FALSE),1,0)</f>
        <v>0</v>
      </c>
      <c r="R83" s="37">
        <f>IF(K83=VLOOKUP(VALUE(K$1),Questions[#All],5,FALSE),1,0)</f>
        <v>1</v>
      </c>
      <c r="S83" s="37">
        <f>IF(L83=VLOOKUP(VALUE(L$1),Questions[#All],5,FALSE),1,0)</f>
        <v>1</v>
      </c>
      <c r="T83" s="37">
        <f>IF(M83=VLOOKUP(VALUE(M$1),Questions[#All],5,FALSE),1,0)</f>
        <v>1</v>
      </c>
      <c r="U83" s="37">
        <f>IF(N83=VLOOKUP(VALUE(N$1),Questions[#All],5,FALSE),1,0)</f>
        <v>1</v>
      </c>
      <c r="W83" s="25"/>
    </row>
    <row r="84" spans="1:23" ht="21" customHeight="1" x14ac:dyDescent="0.15">
      <c r="A84" s="1" t="s">
        <v>832</v>
      </c>
      <c r="B84" s="49" t="s">
        <v>45</v>
      </c>
      <c r="C84" s="43">
        <v>4</v>
      </c>
      <c r="D84" s="43">
        <v>11</v>
      </c>
      <c r="E84" s="44" t="b">
        <v>0</v>
      </c>
      <c r="F84" s="45" t="b">
        <v>1</v>
      </c>
      <c r="G84" s="46">
        <v>3</v>
      </c>
      <c r="H84" s="47"/>
      <c r="I84" s="46">
        <v>2</v>
      </c>
      <c r="J84" s="43">
        <v>1</v>
      </c>
      <c r="K84" s="43">
        <v>3</v>
      </c>
      <c r="L84" s="43">
        <v>2</v>
      </c>
      <c r="M84" s="43">
        <v>1</v>
      </c>
      <c r="N84" s="43">
        <v>4</v>
      </c>
      <c r="O84" s="46">
        <v>3</v>
      </c>
      <c r="P84" s="46">
        <f>IF(I84=VLOOKUP(VALUE(I$1),Questions[#All],5,FALSE),1,0)</f>
        <v>0</v>
      </c>
      <c r="Q84" s="43">
        <f>IF(J84=VLOOKUP(VALUE(J$1),Questions[#All],5,FALSE),1,0)</f>
        <v>1</v>
      </c>
      <c r="R84" s="43">
        <f>IF(K84=VLOOKUP(VALUE(K$1),Questions[#All],5,FALSE),1,0)</f>
        <v>1</v>
      </c>
      <c r="S84" s="43">
        <f>IF(L84=VLOOKUP(VALUE(L$1),Questions[#All],5,FALSE),1,0)</f>
        <v>1</v>
      </c>
      <c r="T84" s="43">
        <f>IF(M84=VLOOKUP(VALUE(M$1),Questions[#All],5,FALSE),1,0)</f>
        <v>0</v>
      </c>
      <c r="U84" s="43">
        <f>IF(N84=VLOOKUP(VALUE(N$1),Questions[#All],5,FALSE),1,0)</f>
        <v>0</v>
      </c>
      <c r="W84" s="25"/>
    </row>
    <row r="85" spans="1:23" ht="21" customHeight="1" x14ac:dyDescent="0.15">
      <c r="A85" s="1" t="s">
        <v>833</v>
      </c>
      <c r="B85" s="48" t="s">
        <v>45</v>
      </c>
      <c r="C85" s="37">
        <v>4</v>
      </c>
      <c r="D85" s="37">
        <v>11</v>
      </c>
      <c r="E85" s="38" t="b">
        <v>0</v>
      </c>
      <c r="F85" s="39" t="b">
        <v>0</v>
      </c>
      <c r="G85" s="40">
        <v>5</v>
      </c>
      <c r="H85" s="41"/>
      <c r="I85" s="40">
        <v>3</v>
      </c>
      <c r="J85" s="37">
        <v>1</v>
      </c>
      <c r="K85" s="37">
        <v>3</v>
      </c>
      <c r="L85" s="37">
        <v>2</v>
      </c>
      <c r="M85" s="37">
        <v>4</v>
      </c>
      <c r="N85" s="37">
        <v>2</v>
      </c>
      <c r="O85" s="40">
        <v>4</v>
      </c>
      <c r="P85" s="40">
        <f>IF(I85=VLOOKUP(VALUE(I$1),Questions[#All],5,FALSE),1,0)</f>
        <v>1</v>
      </c>
      <c r="Q85" s="37">
        <f>IF(J85=VLOOKUP(VALUE(J$1),Questions[#All],5,FALSE),1,0)</f>
        <v>1</v>
      </c>
      <c r="R85" s="37">
        <f>IF(K85=VLOOKUP(VALUE(K$1),Questions[#All],5,FALSE),1,0)</f>
        <v>1</v>
      </c>
      <c r="S85" s="37">
        <f>IF(L85=VLOOKUP(VALUE(L$1),Questions[#All],5,FALSE),1,0)</f>
        <v>1</v>
      </c>
      <c r="T85" s="37">
        <f>IF(M85=VLOOKUP(VALUE(M$1),Questions[#All],5,FALSE),1,0)</f>
        <v>0</v>
      </c>
      <c r="U85" s="37">
        <f>IF(N85=VLOOKUP(VALUE(N$1),Questions[#All],5,FALSE),1,0)</f>
        <v>1</v>
      </c>
      <c r="W85" s="25"/>
    </row>
    <row r="86" spans="1:23" ht="21" customHeight="1" x14ac:dyDescent="0.15">
      <c r="A86" s="1" t="s">
        <v>834</v>
      </c>
      <c r="B86" s="49" t="s">
        <v>45</v>
      </c>
      <c r="C86" s="43">
        <v>4</v>
      </c>
      <c r="D86" s="43">
        <v>11</v>
      </c>
      <c r="E86" s="44" t="b">
        <v>0</v>
      </c>
      <c r="F86" s="45" t="b">
        <v>0</v>
      </c>
      <c r="G86" s="46">
        <v>6</v>
      </c>
      <c r="H86" s="47"/>
      <c r="I86" s="46">
        <v>3</v>
      </c>
      <c r="J86" s="43">
        <v>1</v>
      </c>
      <c r="K86" s="43">
        <v>3</v>
      </c>
      <c r="L86" s="43">
        <v>2</v>
      </c>
      <c r="M86" s="43">
        <v>3</v>
      </c>
      <c r="N86" s="43">
        <v>2</v>
      </c>
      <c r="O86" s="46">
        <v>3</v>
      </c>
      <c r="P86" s="46">
        <f>IF(I86=VLOOKUP(VALUE(I$1),Questions[#All],5,FALSE),1,0)</f>
        <v>1</v>
      </c>
      <c r="Q86" s="43">
        <f>IF(J86=VLOOKUP(VALUE(J$1),Questions[#All],5,FALSE),1,0)</f>
        <v>1</v>
      </c>
      <c r="R86" s="43">
        <f>IF(K86=VLOOKUP(VALUE(K$1),Questions[#All],5,FALSE),1,0)</f>
        <v>1</v>
      </c>
      <c r="S86" s="43">
        <f>IF(L86=VLOOKUP(VALUE(L$1),Questions[#All],5,FALSE),1,0)</f>
        <v>1</v>
      </c>
      <c r="T86" s="43">
        <f>IF(M86=VLOOKUP(VALUE(M$1),Questions[#All],5,FALSE),1,0)</f>
        <v>1</v>
      </c>
      <c r="U86" s="43">
        <f>IF(N86=VLOOKUP(VALUE(N$1),Questions[#All],5,FALSE),1,0)</f>
        <v>1</v>
      </c>
      <c r="W86" s="25"/>
    </row>
    <row r="87" spans="1:23" ht="21" customHeight="1" x14ac:dyDescent="0.15">
      <c r="A87" s="1" t="s">
        <v>835</v>
      </c>
      <c r="B87" s="48" t="s">
        <v>45</v>
      </c>
      <c r="C87" s="37">
        <v>4</v>
      </c>
      <c r="D87" s="37">
        <v>11</v>
      </c>
      <c r="E87" s="38" t="b">
        <v>0</v>
      </c>
      <c r="F87" s="39" t="b">
        <v>0</v>
      </c>
      <c r="G87" s="40">
        <v>5</v>
      </c>
      <c r="H87" s="41"/>
      <c r="I87" s="40">
        <v>3</v>
      </c>
      <c r="J87" s="37">
        <v>1</v>
      </c>
      <c r="K87" s="37">
        <v>3</v>
      </c>
      <c r="L87" s="37">
        <v>2</v>
      </c>
      <c r="M87" s="37">
        <v>2</v>
      </c>
      <c r="N87" s="37">
        <v>2</v>
      </c>
      <c r="O87" s="40">
        <v>4</v>
      </c>
      <c r="P87" s="40">
        <f>IF(I87=VLOOKUP(VALUE(I$1),Questions[#All],5,FALSE),1,0)</f>
        <v>1</v>
      </c>
      <c r="Q87" s="37">
        <f>IF(J87=VLOOKUP(VALUE(J$1),Questions[#All],5,FALSE),1,0)</f>
        <v>1</v>
      </c>
      <c r="R87" s="37">
        <f>IF(K87=VLOOKUP(VALUE(K$1),Questions[#All],5,FALSE),1,0)</f>
        <v>1</v>
      </c>
      <c r="S87" s="37">
        <f>IF(L87=VLOOKUP(VALUE(L$1),Questions[#All],5,FALSE),1,0)</f>
        <v>1</v>
      </c>
      <c r="T87" s="37">
        <f>IF(M87=VLOOKUP(VALUE(M$1),Questions[#All],5,FALSE),1,0)</f>
        <v>0</v>
      </c>
      <c r="U87" s="37">
        <f>IF(N87=VLOOKUP(VALUE(N$1),Questions[#All],5,FALSE),1,0)</f>
        <v>1</v>
      </c>
      <c r="W87" s="25"/>
    </row>
    <row r="88" spans="1:23" ht="21" customHeight="1" x14ac:dyDescent="0.15">
      <c r="A88" s="1" t="s">
        <v>836</v>
      </c>
      <c r="B88" s="49" t="s">
        <v>45</v>
      </c>
      <c r="C88" s="43">
        <v>4</v>
      </c>
      <c r="D88" s="43">
        <v>11</v>
      </c>
      <c r="E88" s="44" t="b">
        <v>0</v>
      </c>
      <c r="F88" s="45" t="b">
        <v>0</v>
      </c>
      <c r="G88" s="46">
        <v>5</v>
      </c>
      <c r="H88" s="47"/>
      <c r="I88" s="46">
        <v>3</v>
      </c>
      <c r="J88" s="43">
        <v>2</v>
      </c>
      <c r="K88" s="43">
        <v>3</v>
      </c>
      <c r="L88" s="43">
        <v>2</v>
      </c>
      <c r="M88" s="43">
        <v>3</v>
      </c>
      <c r="N88" s="43">
        <v>2</v>
      </c>
      <c r="O88" s="46">
        <v>2</v>
      </c>
      <c r="P88" s="46">
        <f>IF(I88=VLOOKUP(VALUE(I$1),Questions[#All],5,FALSE),1,0)</f>
        <v>1</v>
      </c>
      <c r="Q88" s="43">
        <f>IF(J88=VLOOKUP(VALUE(J$1),Questions[#All],5,FALSE),1,0)</f>
        <v>0</v>
      </c>
      <c r="R88" s="43">
        <f>IF(K88=VLOOKUP(VALUE(K$1),Questions[#All],5,FALSE),1,0)</f>
        <v>1</v>
      </c>
      <c r="S88" s="43">
        <f>IF(L88=VLOOKUP(VALUE(L$1),Questions[#All],5,FALSE),1,0)</f>
        <v>1</v>
      </c>
      <c r="T88" s="43">
        <f>IF(M88=VLOOKUP(VALUE(M$1),Questions[#All],5,FALSE),1,0)</f>
        <v>1</v>
      </c>
      <c r="U88" s="43">
        <f>IF(N88=VLOOKUP(VALUE(N$1),Questions[#All],5,FALSE),1,0)</f>
        <v>1</v>
      </c>
      <c r="W88" s="25"/>
    </row>
    <row r="89" spans="1:23" ht="21" customHeight="1" x14ac:dyDescent="0.15">
      <c r="A89" s="1" t="s">
        <v>837</v>
      </c>
      <c r="B89" s="48" t="s">
        <v>45</v>
      </c>
      <c r="C89" s="37">
        <v>4</v>
      </c>
      <c r="D89" s="37">
        <v>11</v>
      </c>
      <c r="E89" s="38" t="b">
        <v>0</v>
      </c>
      <c r="F89" s="39" t="b">
        <v>0</v>
      </c>
      <c r="G89" s="40">
        <v>5</v>
      </c>
      <c r="H89" s="41"/>
      <c r="I89" s="40">
        <v>3</v>
      </c>
      <c r="J89" s="37">
        <v>4</v>
      </c>
      <c r="K89" s="37">
        <v>3</v>
      </c>
      <c r="L89" s="37">
        <v>2</v>
      </c>
      <c r="M89" s="37">
        <v>3</v>
      </c>
      <c r="N89" s="37">
        <v>2</v>
      </c>
      <c r="O89" s="40">
        <v>3</v>
      </c>
      <c r="P89" s="40">
        <f>IF(I89=VLOOKUP(VALUE(I$1),Questions[#All],5,FALSE),1,0)</f>
        <v>1</v>
      </c>
      <c r="Q89" s="37">
        <f>IF(J89=VLOOKUP(VALUE(J$1),Questions[#All],5,FALSE),1,0)</f>
        <v>0</v>
      </c>
      <c r="R89" s="37">
        <f>IF(K89=VLOOKUP(VALUE(K$1),Questions[#All],5,FALSE),1,0)</f>
        <v>1</v>
      </c>
      <c r="S89" s="37">
        <f>IF(L89=VLOOKUP(VALUE(L$1),Questions[#All],5,FALSE),1,0)</f>
        <v>1</v>
      </c>
      <c r="T89" s="37">
        <f>IF(M89=VLOOKUP(VALUE(M$1),Questions[#All],5,FALSE),1,0)</f>
        <v>1</v>
      </c>
      <c r="U89" s="37">
        <f>IF(N89=VLOOKUP(VALUE(N$1),Questions[#All],5,FALSE),1,0)</f>
        <v>1</v>
      </c>
      <c r="W89" s="25"/>
    </row>
    <row r="90" spans="1:23" ht="21" customHeight="1" x14ac:dyDescent="0.15">
      <c r="A90" s="1" t="s">
        <v>838</v>
      </c>
      <c r="B90" s="49" t="s">
        <v>45</v>
      </c>
      <c r="C90" s="43">
        <v>4</v>
      </c>
      <c r="D90" s="43">
        <v>11</v>
      </c>
      <c r="E90" s="44" t="b">
        <v>0</v>
      </c>
      <c r="F90" s="45" t="b">
        <v>1</v>
      </c>
      <c r="G90" s="46">
        <v>2</v>
      </c>
      <c r="H90" s="47"/>
      <c r="I90" s="46">
        <v>2</v>
      </c>
      <c r="J90" s="43">
        <v>1</v>
      </c>
      <c r="K90" s="43">
        <v>2</v>
      </c>
      <c r="L90" s="43">
        <v>4</v>
      </c>
      <c r="M90" s="43">
        <v>3</v>
      </c>
      <c r="N90" s="43">
        <v>4</v>
      </c>
      <c r="O90" s="46">
        <v>2</v>
      </c>
      <c r="P90" s="46">
        <f>IF(I90=VLOOKUP(VALUE(I$1),Questions[#All],5,FALSE),1,0)</f>
        <v>0</v>
      </c>
      <c r="Q90" s="43">
        <f>IF(J90=VLOOKUP(VALUE(J$1),Questions[#All],5,FALSE),1,0)</f>
        <v>1</v>
      </c>
      <c r="R90" s="43">
        <f>IF(K90=VLOOKUP(VALUE(K$1),Questions[#All],5,FALSE),1,0)</f>
        <v>0</v>
      </c>
      <c r="S90" s="43">
        <f>IF(L90=VLOOKUP(VALUE(L$1),Questions[#All],5,FALSE),1,0)</f>
        <v>0</v>
      </c>
      <c r="T90" s="43">
        <f>IF(M90=VLOOKUP(VALUE(M$1),Questions[#All],5,FALSE),1,0)</f>
        <v>1</v>
      </c>
      <c r="U90" s="43">
        <f>IF(N90=VLOOKUP(VALUE(N$1),Questions[#All],5,FALSE),1,0)</f>
        <v>0</v>
      </c>
      <c r="W90" s="25"/>
    </row>
    <row r="91" spans="1:23" ht="21" customHeight="1" x14ac:dyDescent="0.15">
      <c r="A91" s="1" t="s">
        <v>839</v>
      </c>
      <c r="B91" s="48" t="s">
        <v>45</v>
      </c>
      <c r="C91" s="37">
        <v>4</v>
      </c>
      <c r="D91" s="37">
        <v>11</v>
      </c>
      <c r="E91" s="38" t="b">
        <v>0</v>
      </c>
      <c r="F91" s="39" t="b">
        <v>0</v>
      </c>
      <c r="G91" s="40">
        <v>5</v>
      </c>
      <c r="H91" s="41"/>
      <c r="I91" s="40">
        <v>3</v>
      </c>
      <c r="J91" s="37">
        <v>1</v>
      </c>
      <c r="K91" s="37">
        <v>3</v>
      </c>
      <c r="L91" s="37">
        <v>2</v>
      </c>
      <c r="M91" s="37">
        <v>4</v>
      </c>
      <c r="N91" s="37">
        <v>2</v>
      </c>
      <c r="O91" s="40">
        <v>4</v>
      </c>
      <c r="P91" s="40">
        <f>IF(I91=VLOOKUP(VALUE(I$1),Questions[#All],5,FALSE),1,0)</f>
        <v>1</v>
      </c>
      <c r="Q91" s="37">
        <f>IF(J91=VLOOKUP(VALUE(J$1),Questions[#All],5,FALSE),1,0)</f>
        <v>1</v>
      </c>
      <c r="R91" s="37">
        <f>IF(K91=VLOOKUP(VALUE(K$1),Questions[#All],5,FALSE),1,0)</f>
        <v>1</v>
      </c>
      <c r="S91" s="37">
        <f>IF(L91=VLOOKUP(VALUE(L$1),Questions[#All],5,FALSE),1,0)</f>
        <v>1</v>
      </c>
      <c r="T91" s="37">
        <f>IF(M91=VLOOKUP(VALUE(M$1),Questions[#All],5,FALSE),1,0)</f>
        <v>0</v>
      </c>
      <c r="U91" s="37">
        <f>IF(N91=VLOOKUP(VALUE(N$1),Questions[#All],5,FALSE),1,0)</f>
        <v>1</v>
      </c>
      <c r="W91" s="25"/>
    </row>
    <row r="92" spans="1:23" ht="21" customHeight="1" x14ac:dyDescent="0.15">
      <c r="A92" s="1" t="s">
        <v>840</v>
      </c>
      <c r="B92" s="49" t="s">
        <v>45</v>
      </c>
      <c r="C92" s="43">
        <v>4</v>
      </c>
      <c r="D92" s="43">
        <v>11</v>
      </c>
      <c r="E92" s="44" t="b">
        <v>0</v>
      </c>
      <c r="F92" s="45" t="b">
        <v>0</v>
      </c>
      <c r="G92" s="46">
        <v>5</v>
      </c>
      <c r="H92" s="47"/>
      <c r="I92" s="46">
        <v>3</v>
      </c>
      <c r="J92" s="43">
        <v>1</v>
      </c>
      <c r="K92" s="43">
        <v>2</v>
      </c>
      <c r="L92" s="43">
        <v>2</v>
      </c>
      <c r="M92" s="43">
        <v>3</v>
      </c>
      <c r="N92" s="43">
        <v>2</v>
      </c>
      <c r="O92" s="46">
        <v>4</v>
      </c>
      <c r="P92" s="46">
        <f>IF(I92=VLOOKUP(VALUE(I$1),Questions[#All],5,FALSE),1,0)</f>
        <v>1</v>
      </c>
      <c r="Q92" s="43">
        <f>IF(J92=VLOOKUP(VALUE(J$1),Questions[#All],5,FALSE),1,0)</f>
        <v>1</v>
      </c>
      <c r="R92" s="43">
        <f>IF(K92=VLOOKUP(VALUE(K$1),Questions[#All],5,FALSE),1,0)</f>
        <v>0</v>
      </c>
      <c r="S92" s="43">
        <f>IF(L92=VLOOKUP(VALUE(L$1),Questions[#All],5,FALSE),1,0)</f>
        <v>1</v>
      </c>
      <c r="T92" s="43">
        <f>IF(M92=VLOOKUP(VALUE(M$1),Questions[#All],5,FALSE),1,0)</f>
        <v>1</v>
      </c>
      <c r="U92" s="43">
        <f>IF(N92=VLOOKUP(VALUE(N$1),Questions[#All],5,FALSE),1,0)</f>
        <v>1</v>
      </c>
      <c r="W92" s="25"/>
    </row>
    <row r="93" spans="1:23" ht="21" customHeight="1" x14ac:dyDescent="0.15">
      <c r="A93" s="1" t="s">
        <v>841</v>
      </c>
      <c r="B93" s="48" t="s">
        <v>45</v>
      </c>
      <c r="C93" s="37">
        <v>4</v>
      </c>
      <c r="D93" s="37">
        <v>11</v>
      </c>
      <c r="E93" s="38" t="b">
        <v>0</v>
      </c>
      <c r="F93" s="39" t="b">
        <v>0</v>
      </c>
      <c r="G93" s="40">
        <v>6</v>
      </c>
      <c r="H93" s="41"/>
      <c r="I93" s="40">
        <v>3</v>
      </c>
      <c r="J93" s="37">
        <v>1</v>
      </c>
      <c r="K93" s="37">
        <v>3</v>
      </c>
      <c r="L93" s="37">
        <v>2</v>
      </c>
      <c r="M93" s="37">
        <v>3</v>
      </c>
      <c r="N93" s="37">
        <v>2</v>
      </c>
      <c r="O93" s="40">
        <v>4</v>
      </c>
      <c r="P93" s="40">
        <f>IF(I93=VLOOKUP(VALUE(I$1),Questions[#All],5,FALSE),1,0)</f>
        <v>1</v>
      </c>
      <c r="Q93" s="37">
        <f>IF(J93=VLOOKUP(VALUE(J$1),Questions[#All],5,FALSE),1,0)</f>
        <v>1</v>
      </c>
      <c r="R93" s="37">
        <f>IF(K93=VLOOKUP(VALUE(K$1),Questions[#All],5,FALSE),1,0)</f>
        <v>1</v>
      </c>
      <c r="S93" s="37">
        <f>IF(L93=VLOOKUP(VALUE(L$1),Questions[#All],5,FALSE),1,0)</f>
        <v>1</v>
      </c>
      <c r="T93" s="37">
        <f>IF(M93=VLOOKUP(VALUE(M$1),Questions[#All],5,FALSE),1,0)</f>
        <v>1</v>
      </c>
      <c r="U93" s="37">
        <f>IF(N93=VLOOKUP(VALUE(N$1),Questions[#All],5,FALSE),1,0)</f>
        <v>1</v>
      </c>
      <c r="W93" s="25"/>
    </row>
    <row r="94" spans="1:23" ht="21" customHeight="1" x14ac:dyDescent="0.15">
      <c r="A94" s="1" t="s">
        <v>842</v>
      </c>
      <c r="B94" s="49" t="s">
        <v>748</v>
      </c>
      <c r="C94" s="43">
        <v>2</v>
      </c>
      <c r="D94" s="43">
        <v>11</v>
      </c>
      <c r="E94" s="44" t="b">
        <v>0</v>
      </c>
      <c r="F94" s="45" t="b">
        <v>0</v>
      </c>
      <c r="G94" s="46">
        <v>5</v>
      </c>
      <c r="H94" s="47"/>
      <c r="I94" s="46">
        <v>3</v>
      </c>
      <c r="J94" s="43">
        <v>1</v>
      </c>
      <c r="K94" s="43">
        <v>3</v>
      </c>
      <c r="L94" s="43">
        <v>2</v>
      </c>
      <c r="M94" s="43">
        <v>1</v>
      </c>
      <c r="N94" s="43">
        <v>2</v>
      </c>
      <c r="O94" s="46"/>
      <c r="P94" s="46">
        <f>IF(I94=VLOOKUP(VALUE(I$1),Questions[#All],5,FALSE),1,0)</f>
        <v>1</v>
      </c>
      <c r="Q94" s="43">
        <f>IF(J94=VLOOKUP(VALUE(J$1),Questions[#All],5,FALSE),1,0)</f>
        <v>1</v>
      </c>
      <c r="R94" s="43">
        <f>IF(K94=VLOOKUP(VALUE(K$1),Questions[#All],5,FALSE),1,0)</f>
        <v>1</v>
      </c>
      <c r="S94" s="43">
        <f>IF(L94=VLOOKUP(VALUE(L$1),Questions[#All],5,FALSE),1,0)</f>
        <v>1</v>
      </c>
      <c r="T94" s="43">
        <f>IF(M94=VLOOKUP(VALUE(M$1),Questions[#All],5,FALSE),1,0)</f>
        <v>0</v>
      </c>
      <c r="U94" s="43">
        <f>IF(N94=VLOOKUP(VALUE(N$1),Questions[#All],5,FALSE),1,0)</f>
        <v>1</v>
      </c>
      <c r="W94" s="25"/>
    </row>
    <row r="95" spans="1:23" ht="21" customHeight="1" x14ac:dyDescent="0.15">
      <c r="A95" s="20" t="s">
        <v>843</v>
      </c>
      <c r="B95" s="50" t="s">
        <v>748</v>
      </c>
      <c r="C95" s="51">
        <v>2</v>
      </c>
      <c r="D95" s="37">
        <v>11</v>
      </c>
      <c r="E95" s="52" t="b">
        <v>0</v>
      </c>
      <c r="F95" s="53" t="b">
        <v>0</v>
      </c>
      <c r="G95" s="54">
        <v>6</v>
      </c>
      <c r="H95" s="55"/>
      <c r="I95" s="54">
        <v>3</v>
      </c>
      <c r="J95" s="51">
        <v>1</v>
      </c>
      <c r="K95" s="51">
        <v>3</v>
      </c>
      <c r="L95" s="51">
        <v>2</v>
      </c>
      <c r="M95" s="51">
        <v>3</v>
      </c>
      <c r="N95" s="51">
        <v>2</v>
      </c>
      <c r="O95" s="54"/>
      <c r="P95" s="40">
        <f>IF(I95=VLOOKUP(VALUE(I$1),Questions[#All],5,FALSE),1,0)</f>
        <v>1</v>
      </c>
      <c r="Q95" s="37">
        <f>IF(J95=VLOOKUP(VALUE(J$1),Questions[#All],5,FALSE),1,0)</f>
        <v>1</v>
      </c>
      <c r="R95" s="37">
        <f>IF(K95=VLOOKUP(VALUE(K$1),Questions[#All],5,FALSE),1,0)</f>
        <v>1</v>
      </c>
      <c r="S95" s="37">
        <f>IF(L95=VLOOKUP(VALUE(L$1),Questions[#All],5,FALSE),1,0)</f>
        <v>1</v>
      </c>
      <c r="T95" s="37">
        <f>IF(M95=VLOOKUP(VALUE(M$1),Questions[#All],5,FALSE),1,0)</f>
        <v>1</v>
      </c>
      <c r="U95" s="37">
        <f>IF(N95=VLOOKUP(VALUE(N$1),Questions[#All],5,FALSE),1,0)</f>
        <v>1</v>
      </c>
      <c r="W95" s="25"/>
    </row>
    <row r="96" spans="1:23" ht="21" customHeight="1" x14ac:dyDescent="0.15">
      <c r="A96" s="20" t="s">
        <v>844</v>
      </c>
      <c r="B96" s="56" t="s">
        <v>748</v>
      </c>
      <c r="C96" s="57">
        <v>2</v>
      </c>
      <c r="D96" s="43">
        <v>11</v>
      </c>
      <c r="E96" s="58" t="b">
        <v>0</v>
      </c>
      <c r="F96" s="59" t="b">
        <v>0</v>
      </c>
      <c r="G96" s="60">
        <v>6</v>
      </c>
      <c r="H96" s="61"/>
      <c r="I96" s="60">
        <v>3</v>
      </c>
      <c r="J96" s="57">
        <v>1</v>
      </c>
      <c r="K96" s="57">
        <v>3</v>
      </c>
      <c r="L96" s="57">
        <v>2</v>
      </c>
      <c r="M96" s="57">
        <v>3</v>
      </c>
      <c r="N96" s="57">
        <v>2</v>
      </c>
      <c r="O96" s="60"/>
      <c r="P96" s="46">
        <f>IF(I96=VLOOKUP(VALUE(I$1),Questions[#All],5,FALSE),1,0)</f>
        <v>1</v>
      </c>
      <c r="Q96" s="43">
        <f>IF(J96=VLOOKUP(VALUE(J$1),Questions[#All],5,FALSE),1,0)</f>
        <v>1</v>
      </c>
      <c r="R96" s="43">
        <f>IF(K96=VLOOKUP(VALUE(K$1),Questions[#All],5,FALSE),1,0)</f>
        <v>1</v>
      </c>
      <c r="S96" s="43">
        <f>IF(L96=VLOOKUP(VALUE(L$1),Questions[#All],5,FALSE),1,0)</f>
        <v>1</v>
      </c>
      <c r="T96" s="43">
        <f>IF(M96=VLOOKUP(VALUE(M$1),Questions[#All],5,FALSE),1,0)</f>
        <v>1</v>
      </c>
      <c r="U96" s="43">
        <f>IF(N96=VLOOKUP(VALUE(N$1),Questions[#All],5,FALSE),1,0)</f>
        <v>1</v>
      </c>
      <c r="W96" s="25"/>
    </row>
    <row r="97" spans="1:23" ht="21" customHeight="1" x14ac:dyDescent="0.15">
      <c r="A97" s="20" t="s">
        <v>845</v>
      </c>
      <c r="B97" s="50" t="s">
        <v>748</v>
      </c>
      <c r="C97" s="51">
        <v>2</v>
      </c>
      <c r="D97" s="37">
        <v>11</v>
      </c>
      <c r="E97" s="52" t="b">
        <v>0</v>
      </c>
      <c r="F97" s="53" t="b">
        <v>0</v>
      </c>
      <c r="G97" s="54">
        <v>2</v>
      </c>
      <c r="H97" s="55"/>
      <c r="I97" s="54">
        <v>2</v>
      </c>
      <c r="J97" s="51">
        <v>2</v>
      </c>
      <c r="K97" s="51">
        <v>3</v>
      </c>
      <c r="L97" s="51">
        <v>1</v>
      </c>
      <c r="M97" s="51">
        <v>4</v>
      </c>
      <c r="N97" s="51">
        <v>2</v>
      </c>
      <c r="O97" s="54"/>
      <c r="P97" s="40">
        <f>IF(I97=VLOOKUP(VALUE(I$1),Questions[#All],5,FALSE),1,0)</f>
        <v>0</v>
      </c>
      <c r="Q97" s="37">
        <f>IF(J97=VLOOKUP(VALUE(J$1),Questions[#All],5,FALSE),1,0)</f>
        <v>0</v>
      </c>
      <c r="R97" s="37">
        <f>IF(K97=VLOOKUP(VALUE(K$1),Questions[#All],5,FALSE),1,0)</f>
        <v>1</v>
      </c>
      <c r="S97" s="37">
        <f>IF(L97=VLOOKUP(VALUE(L$1),Questions[#All],5,FALSE),1,0)</f>
        <v>0</v>
      </c>
      <c r="T97" s="37">
        <f>IF(M97=VLOOKUP(VALUE(M$1),Questions[#All],5,FALSE),1,0)</f>
        <v>0</v>
      </c>
      <c r="U97" s="37">
        <f>IF(N97=VLOOKUP(VALUE(N$1),Questions[#All],5,FALSE),1,0)</f>
        <v>1</v>
      </c>
      <c r="W97" s="25"/>
    </row>
    <row r="98" spans="1:23" ht="21" customHeight="1" x14ac:dyDescent="0.15">
      <c r="A98" s="20" t="s">
        <v>846</v>
      </c>
      <c r="B98" s="56" t="s">
        <v>748</v>
      </c>
      <c r="C98" s="57">
        <v>2</v>
      </c>
      <c r="D98" s="43">
        <v>11</v>
      </c>
      <c r="E98" s="58" t="b">
        <v>0</v>
      </c>
      <c r="F98" s="59" t="b">
        <v>0</v>
      </c>
      <c r="G98" s="60">
        <v>6</v>
      </c>
      <c r="H98" s="61"/>
      <c r="I98" s="60">
        <v>3</v>
      </c>
      <c r="J98" s="57">
        <v>1</v>
      </c>
      <c r="K98" s="57">
        <v>3</v>
      </c>
      <c r="L98" s="57">
        <v>2</v>
      </c>
      <c r="M98" s="57">
        <v>3</v>
      </c>
      <c r="N98" s="57">
        <v>2</v>
      </c>
      <c r="O98" s="60"/>
      <c r="P98" s="46">
        <f>IF(I98=VLOOKUP(VALUE(I$1),Questions[#All],5,FALSE),1,0)</f>
        <v>1</v>
      </c>
      <c r="Q98" s="43">
        <f>IF(J98=VLOOKUP(VALUE(J$1),Questions[#All],5,FALSE),1,0)</f>
        <v>1</v>
      </c>
      <c r="R98" s="43">
        <f>IF(K98=VLOOKUP(VALUE(K$1),Questions[#All],5,FALSE),1,0)</f>
        <v>1</v>
      </c>
      <c r="S98" s="43">
        <f>IF(L98=VLOOKUP(VALUE(L$1),Questions[#All],5,FALSE),1,0)</f>
        <v>1</v>
      </c>
      <c r="T98" s="43">
        <f>IF(M98=VLOOKUP(VALUE(M$1),Questions[#All],5,FALSE),1,0)</f>
        <v>1</v>
      </c>
      <c r="U98" s="43">
        <f>IF(N98=VLOOKUP(VALUE(N$1),Questions[#All],5,FALSE),1,0)</f>
        <v>1</v>
      </c>
      <c r="W98" s="25"/>
    </row>
    <row r="99" spans="1:23" ht="21" customHeight="1" x14ac:dyDescent="0.15">
      <c r="A99" s="20" t="s">
        <v>847</v>
      </c>
      <c r="B99" s="50" t="s">
        <v>748</v>
      </c>
      <c r="C99" s="51">
        <v>2</v>
      </c>
      <c r="D99" s="37">
        <v>11</v>
      </c>
      <c r="E99" s="52" t="b">
        <v>0</v>
      </c>
      <c r="F99" s="53" t="b">
        <v>0</v>
      </c>
      <c r="G99" s="54">
        <v>4</v>
      </c>
      <c r="H99" s="55"/>
      <c r="I99" s="54">
        <v>3</v>
      </c>
      <c r="J99" s="51">
        <v>1</v>
      </c>
      <c r="K99" s="51">
        <v>2</v>
      </c>
      <c r="L99" s="51">
        <v>3</v>
      </c>
      <c r="M99" s="51">
        <v>3</v>
      </c>
      <c r="N99" s="51">
        <v>2</v>
      </c>
      <c r="O99" s="54"/>
      <c r="P99" s="40">
        <f>IF(I99=VLOOKUP(VALUE(I$1),Questions[#All],5,FALSE),1,0)</f>
        <v>1</v>
      </c>
      <c r="Q99" s="37">
        <f>IF(J99=VLOOKUP(VALUE(J$1),Questions[#All],5,FALSE),1,0)</f>
        <v>1</v>
      </c>
      <c r="R99" s="37">
        <f>IF(K99=VLOOKUP(VALUE(K$1),Questions[#All],5,FALSE),1,0)</f>
        <v>0</v>
      </c>
      <c r="S99" s="37">
        <f>IF(L99=VLOOKUP(VALUE(L$1),Questions[#All],5,FALSE),1,0)</f>
        <v>0</v>
      </c>
      <c r="T99" s="37">
        <f>IF(M99=VLOOKUP(VALUE(M$1),Questions[#All],5,FALSE),1,0)</f>
        <v>1</v>
      </c>
      <c r="U99" s="37">
        <f>IF(N99=VLOOKUP(VALUE(N$1),Questions[#All],5,FALSE),1,0)</f>
        <v>1</v>
      </c>
      <c r="W99" s="25"/>
    </row>
    <row r="100" spans="1:23" ht="21" customHeight="1" x14ac:dyDescent="0.15">
      <c r="A100" s="20" t="s">
        <v>848</v>
      </c>
      <c r="B100" s="56" t="s">
        <v>748</v>
      </c>
      <c r="C100" s="57">
        <v>2</v>
      </c>
      <c r="D100" s="43">
        <v>11</v>
      </c>
      <c r="E100" s="58" t="b">
        <v>0</v>
      </c>
      <c r="F100" s="59" t="b">
        <v>0</v>
      </c>
      <c r="G100" s="60">
        <v>4</v>
      </c>
      <c r="H100" s="61"/>
      <c r="I100" s="60">
        <v>2</v>
      </c>
      <c r="J100" s="57">
        <v>2</v>
      </c>
      <c r="K100" s="57">
        <v>3</v>
      </c>
      <c r="L100" s="57">
        <v>2</v>
      </c>
      <c r="M100" s="57">
        <v>3</v>
      </c>
      <c r="N100" s="57">
        <v>2</v>
      </c>
      <c r="O100" s="60"/>
      <c r="P100" s="46">
        <f>IF(I100=VLOOKUP(VALUE(I$1),Questions[#All],5,FALSE),1,0)</f>
        <v>0</v>
      </c>
      <c r="Q100" s="43">
        <f>IF(J100=VLOOKUP(VALUE(J$1),Questions[#All],5,FALSE),1,0)</f>
        <v>0</v>
      </c>
      <c r="R100" s="43">
        <f>IF(K100=VLOOKUP(VALUE(K$1),Questions[#All],5,FALSE),1,0)</f>
        <v>1</v>
      </c>
      <c r="S100" s="43">
        <f>IF(L100=VLOOKUP(VALUE(L$1),Questions[#All],5,FALSE),1,0)</f>
        <v>1</v>
      </c>
      <c r="T100" s="43">
        <f>IF(M100=VLOOKUP(VALUE(M$1),Questions[#All],5,FALSE),1,0)</f>
        <v>1</v>
      </c>
      <c r="U100" s="43">
        <f>IF(N100=VLOOKUP(VALUE(N$1),Questions[#All],5,FALSE),1,0)</f>
        <v>1</v>
      </c>
      <c r="W100" s="25"/>
    </row>
    <row r="101" spans="1:23" ht="21" customHeight="1" x14ac:dyDescent="0.15">
      <c r="A101" s="20" t="s">
        <v>849</v>
      </c>
      <c r="B101" s="50" t="s">
        <v>748</v>
      </c>
      <c r="C101" s="51">
        <v>2</v>
      </c>
      <c r="D101" s="37">
        <v>11</v>
      </c>
      <c r="E101" s="52" t="b">
        <v>0</v>
      </c>
      <c r="F101" s="53" t="b">
        <v>0</v>
      </c>
      <c r="G101" s="54">
        <v>0</v>
      </c>
      <c r="H101" s="55"/>
      <c r="I101" s="54">
        <v>2</v>
      </c>
      <c r="J101" s="51">
        <v>3</v>
      </c>
      <c r="K101" s="51">
        <v>2</v>
      </c>
      <c r="L101" s="51">
        <v>3</v>
      </c>
      <c r="M101" s="51">
        <v>1</v>
      </c>
      <c r="N101" s="51">
        <v>4</v>
      </c>
      <c r="O101" s="54"/>
      <c r="P101" s="40">
        <f>IF(I101=VLOOKUP(VALUE(I$1),Questions[#All],5,FALSE),1,0)</f>
        <v>0</v>
      </c>
      <c r="Q101" s="37">
        <f>IF(J101=VLOOKUP(VALUE(J$1),Questions[#All],5,FALSE),1,0)</f>
        <v>0</v>
      </c>
      <c r="R101" s="37">
        <f>IF(K101=VLOOKUP(VALUE(K$1),Questions[#All],5,FALSE),1,0)</f>
        <v>0</v>
      </c>
      <c r="S101" s="37">
        <f>IF(L101=VLOOKUP(VALUE(L$1),Questions[#All],5,FALSE),1,0)</f>
        <v>0</v>
      </c>
      <c r="T101" s="37">
        <f>IF(M101=VLOOKUP(VALUE(M$1),Questions[#All],5,FALSE),1,0)</f>
        <v>0</v>
      </c>
      <c r="U101" s="37">
        <f>IF(N101=VLOOKUP(VALUE(N$1),Questions[#All],5,FALSE),1,0)</f>
        <v>0</v>
      </c>
      <c r="W101" s="25"/>
    </row>
    <row r="102" spans="1:23" ht="21" customHeight="1" x14ac:dyDescent="0.15">
      <c r="A102" s="20" t="s">
        <v>850</v>
      </c>
      <c r="B102" s="56" t="s">
        <v>748</v>
      </c>
      <c r="C102" s="57">
        <v>2</v>
      </c>
      <c r="D102" s="43">
        <v>11</v>
      </c>
      <c r="E102" s="58" t="b">
        <v>0</v>
      </c>
      <c r="F102" s="59" t="b">
        <v>0</v>
      </c>
      <c r="G102" s="60">
        <v>5</v>
      </c>
      <c r="H102" s="61"/>
      <c r="I102" s="60">
        <v>3</v>
      </c>
      <c r="J102" s="57">
        <v>2</v>
      </c>
      <c r="K102" s="57">
        <v>3</v>
      </c>
      <c r="L102" s="57">
        <v>2</v>
      </c>
      <c r="M102" s="57">
        <v>3</v>
      </c>
      <c r="N102" s="57">
        <v>2</v>
      </c>
      <c r="O102" s="60"/>
      <c r="P102" s="46">
        <f>IF(I102=VLOOKUP(VALUE(I$1),Questions[#All],5,FALSE),1,0)</f>
        <v>1</v>
      </c>
      <c r="Q102" s="43">
        <f>IF(J102=VLOOKUP(VALUE(J$1),Questions[#All],5,FALSE),1,0)</f>
        <v>0</v>
      </c>
      <c r="R102" s="43">
        <f>IF(K102=VLOOKUP(VALUE(K$1),Questions[#All],5,FALSE),1,0)</f>
        <v>1</v>
      </c>
      <c r="S102" s="43">
        <f>IF(L102=VLOOKUP(VALUE(L$1),Questions[#All],5,FALSE),1,0)</f>
        <v>1</v>
      </c>
      <c r="T102" s="43">
        <f>IF(M102=VLOOKUP(VALUE(M$1),Questions[#All],5,FALSE),1,0)</f>
        <v>1</v>
      </c>
      <c r="U102" s="43">
        <f>IF(N102=VLOOKUP(VALUE(N$1),Questions[#All],5,FALSE),1,0)</f>
        <v>1</v>
      </c>
      <c r="W102" s="25"/>
    </row>
    <row r="103" spans="1:23" ht="21" customHeight="1" x14ac:dyDescent="0.15">
      <c r="A103" s="20" t="s">
        <v>851</v>
      </c>
      <c r="B103" s="50" t="s">
        <v>748</v>
      </c>
      <c r="C103" s="51">
        <v>2</v>
      </c>
      <c r="D103" s="37">
        <v>11</v>
      </c>
      <c r="E103" s="52" t="b">
        <v>0</v>
      </c>
      <c r="F103" s="53" t="b">
        <v>0</v>
      </c>
      <c r="G103" s="54">
        <v>3</v>
      </c>
      <c r="H103" s="55"/>
      <c r="I103" s="54">
        <v>2</v>
      </c>
      <c r="J103" s="51">
        <v>2</v>
      </c>
      <c r="K103" s="51">
        <v>3</v>
      </c>
      <c r="L103" s="51">
        <v>2</v>
      </c>
      <c r="M103" s="51">
        <v>2</v>
      </c>
      <c r="N103" s="51">
        <v>2</v>
      </c>
      <c r="O103" s="54"/>
      <c r="P103" s="40">
        <f>IF(I103=VLOOKUP(VALUE(I$1),Questions[#All],5,FALSE),1,0)</f>
        <v>0</v>
      </c>
      <c r="Q103" s="37">
        <f>IF(J103=VLOOKUP(VALUE(J$1),Questions[#All],5,FALSE),1,0)</f>
        <v>0</v>
      </c>
      <c r="R103" s="37">
        <f>IF(K103=VLOOKUP(VALUE(K$1),Questions[#All],5,FALSE),1,0)</f>
        <v>1</v>
      </c>
      <c r="S103" s="37">
        <f>IF(L103=VLOOKUP(VALUE(L$1),Questions[#All],5,FALSE),1,0)</f>
        <v>1</v>
      </c>
      <c r="T103" s="37">
        <f>IF(M103=VLOOKUP(VALUE(M$1),Questions[#All],5,FALSE),1,0)</f>
        <v>0</v>
      </c>
      <c r="U103" s="37">
        <f>IF(N103=VLOOKUP(VALUE(N$1),Questions[#All],5,FALSE),1,0)</f>
        <v>1</v>
      </c>
      <c r="W103" s="25"/>
    </row>
    <row r="104" spans="1:23" ht="21" customHeight="1" x14ac:dyDescent="0.15">
      <c r="A104" s="20" t="s">
        <v>852</v>
      </c>
      <c r="B104" s="56" t="s">
        <v>748</v>
      </c>
      <c r="C104" s="57">
        <v>2</v>
      </c>
      <c r="D104" s="43">
        <v>11</v>
      </c>
      <c r="E104" s="58" t="b">
        <v>0</v>
      </c>
      <c r="F104" s="59" t="b">
        <v>0</v>
      </c>
      <c r="G104" s="60">
        <v>4</v>
      </c>
      <c r="H104" s="61"/>
      <c r="I104" s="60">
        <v>1</v>
      </c>
      <c r="J104" s="57">
        <v>1</v>
      </c>
      <c r="K104" s="57">
        <v>3</v>
      </c>
      <c r="L104" s="57">
        <v>2</v>
      </c>
      <c r="M104" s="57">
        <v>1</v>
      </c>
      <c r="N104" s="57">
        <v>2</v>
      </c>
      <c r="O104" s="60"/>
      <c r="P104" s="46">
        <f>IF(I104=VLOOKUP(VALUE(I$1),Questions[#All],5,FALSE),1,0)</f>
        <v>0</v>
      </c>
      <c r="Q104" s="43">
        <f>IF(J104=VLOOKUP(VALUE(J$1),Questions[#All],5,FALSE),1,0)</f>
        <v>1</v>
      </c>
      <c r="R104" s="43">
        <f>IF(K104=VLOOKUP(VALUE(K$1),Questions[#All],5,FALSE),1,0)</f>
        <v>1</v>
      </c>
      <c r="S104" s="43">
        <f>IF(L104=VLOOKUP(VALUE(L$1),Questions[#All],5,FALSE),1,0)</f>
        <v>1</v>
      </c>
      <c r="T104" s="43">
        <f>IF(M104=VLOOKUP(VALUE(M$1),Questions[#All],5,FALSE),1,0)</f>
        <v>0</v>
      </c>
      <c r="U104" s="43">
        <f>IF(N104=VLOOKUP(VALUE(N$1),Questions[#All],5,FALSE),1,0)</f>
        <v>1</v>
      </c>
      <c r="W104" s="25"/>
    </row>
    <row r="105" spans="1:23" ht="21" customHeight="1" x14ac:dyDescent="0.15">
      <c r="A105" s="20" t="s">
        <v>853</v>
      </c>
      <c r="B105" s="50" t="s">
        <v>748</v>
      </c>
      <c r="C105" s="51">
        <v>1</v>
      </c>
      <c r="D105" s="37">
        <v>11</v>
      </c>
      <c r="E105" s="52" t="b">
        <v>0</v>
      </c>
      <c r="F105" s="53" t="b">
        <v>0</v>
      </c>
      <c r="G105" s="54">
        <v>2</v>
      </c>
      <c r="H105" s="55"/>
      <c r="I105" s="54">
        <v>3</v>
      </c>
      <c r="J105" s="51">
        <v>2</v>
      </c>
      <c r="K105" s="51">
        <v>3</v>
      </c>
      <c r="L105" s="51">
        <v>3</v>
      </c>
      <c r="M105" s="51">
        <v>1</v>
      </c>
      <c r="N105" s="51">
        <v>3</v>
      </c>
      <c r="O105" s="54"/>
      <c r="P105" s="40">
        <f>IF(I105=VLOOKUP(VALUE(I$1),Questions[#All],5,FALSE),1,0)</f>
        <v>1</v>
      </c>
      <c r="Q105" s="37">
        <f>IF(J105=VLOOKUP(VALUE(J$1),Questions[#All],5,FALSE),1,0)</f>
        <v>0</v>
      </c>
      <c r="R105" s="37">
        <f>IF(K105=VLOOKUP(VALUE(K$1),Questions[#All],5,FALSE),1,0)</f>
        <v>1</v>
      </c>
      <c r="S105" s="37">
        <f>IF(L105=VLOOKUP(VALUE(L$1),Questions[#All],5,FALSE),1,0)</f>
        <v>0</v>
      </c>
      <c r="T105" s="37">
        <f>IF(M105=VLOOKUP(VALUE(M$1),Questions[#All],5,FALSE),1,0)</f>
        <v>0</v>
      </c>
      <c r="U105" s="37">
        <f>IF(N105=VLOOKUP(VALUE(N$1),Questions[#All],5,FALSE),1,0)</f>
        <v>0</v>
      </c>
      <c r="W105" s="25"/>
    </row>
    <row r="106" spans="1:23" ht="21" customHeight="1" x14ac:dyDescent="0.15">
      <c r="A106" s="20" t="s">
        <v>854</v>
      </c>
      <c r="B106" s="56" t="s">
        <v>748</v>
      </c>
      <c r="C106" s="57">
        <v>1</v>
      </c>
      <c r="D106" s="43">
        <v>11</v>
      </c>
      <c r="E106" s="58" t="b">
        <v>0</v>
      </c>
      <c r="F106" s="59" t="b">
        <v>0</v>
      </c>
      <c r="G106" s="60">
        <v>3</v>
      </c>
      <c r="H106" s="61"/>
      <c r="I106" s="60">
        <v>4</v>
      </c>
      <c r="J106" s="57">
        <v>2</v>
      </c>
      <c r="K106" s="57">
        <v>3</v>
      </c>
      <c r="L106" s="57">
        <v>1</v>
      </c>
      <c r="M106" s="57">
        <v>3</v>
      </c>
      <c r="N106" s="57">
        <v>2</v>
      </c>
      <c r="O106" s="60"/>
      <c r="P106" s="46">
        <f>IF(I106=VLOOKUP(VALUE(I$1),Questions[#All],5,FALSE),1,0)</f>
        <v>0</v>
      </c>
      <c r="Q106" s="43">
        <f>IF(J106=VLOOKUP(VALUE(J$1),Questions[#All],5,FALSE),1,0)</f>
        <v>0</v>
      </c>
      <c r="R106" s="43">
        <f>IF(K106=VLOOKUP(VALUE(K$1),Questions[#All],5,FALSE),1,0)</f>
        <v>1</v>
      </c>
      <c r="S106" s="43">
        <f>IF(L106=VLOOKUP(VALUE(L$1),Questions[#All],5,FALSE),1,0)</f>
        <v>0</v>
      </c>
      <c r="T106" s="43">
        <f>IF(M106=VLOOKUP(VALUE(M$1),Questions[#All],5,FALSE),1,0)</f>
        <v>1</v>
      </c>
      <c r="U106" s="43">
        <f>IF(N106=VLOOKUP(VALUE(N$1),Questions[#All],5,FALSE),1,0)</f>
        <v>1</v>
      </c>
      <c r="W106" s="25"/>
    </row>
    <row r="107" spans="1:23" ht="21" customHeight="1" x14ac:dyDescent="0.15">
      <c r="A107" s="20" t="s">
        <v>855</v>
      </c>
      <c r="B107" s="50" t="s">
        <v>748</v>
      </c>
      <c r="C107" s="51">
        <v>1</v>
      </c>
      <c r="D107" s="37">
        <v>11</v>
      </c>
      <c r="E107" s="52" t="b">
        <v>0</v>
      </c>
      <c r="F107" s="53" t="b">
        <v>0</v>
      </c>
      <c r="G107" s="54">
        <v>3</v>
      </c>
      <c r="H107" s="55"/>
      <c r="I107" s="54">
        <v>4</v>
      </c>
      <c r="J107" s="51">
        <v>2</v>
      </c>
      <c r="K107" s="51">
        <v>3</v>
      </c>
      <c r="L107" s="51">
        <v>2</v>
      </c>
      <c r="M107" s="51">
        <v>1</v>
      </c>
      <c r="N107" s="51">
        <v>2</v>
      </c>
      <c r="O107" s="54"/>
      <c r="P107" s="40">
        <f>IF(I107=VLOOKUP(VALUE(I$1),Questions[#All],5,FALSE),1,0)</f>
        <v>0</v>
      </c>
      <c r="Q107" s="37">
        <f>IF(J107=VLOOKUP(VALUE(J$1),Questions[#All],5,FALSE),1,0)</f>
        <v>0</v>
      </c>
      <c r="R107" s="37">
        <f>IF(K107=VLOOKUP(VALUE(K$1),Questions[#All],5,FALSE),1,0)</f>
        <v>1</v>
      </c>
      <c r="S107" s="37">
        <f>IF(L107=VLOOKUP(VALUE(L$1),Questions[#All],5,FALSE),1,0)</f>
        <v>1</v>
      </c>
      <c r="T107" s="37">
        <f>IF(M107=VLOOKUP(VALUE(M$1),Questions[#All],5,FALSE),1,0)</f>
        <v>0</v>
      </c>
      <c r="U107" s="37">
        <f>IF(N107=VLOOKUP(VALUE(N$1),Questions[#All],5,FALSE),1,0)</f>
        <v>1</v>
      </c>
      <c r="W107" s="25"/>
    </row>
    <row r="108" spans="1:23" ht="21" customHeight="1" x14ac:dyDescent="0.15">
      <c r="A108" s="20" t="s">
        <v>856</v>
      </c>
      <c r="B108" s="56" t="s">
        <v>748</v>
      </c>
      <c r="C108" s="57">
        <v>1</v>
      </c>
      <c r="D108" s="43">
        <v>11</v>
      </c>
      <c r="E108" s="58" t="b">
        <v>0</v>
      </c>
      <c r="F108" s="59" t="b">
        <v>0</v>
      </c>
      <c r="G108" s="60">
        <v>1</v>
      </c>
      <c r="H108" s="61"/>
      <c r="I108" s="60">
        <v>3</v>
      </c>
      <c r="J108" s="57">
        <v>2</v>
      </c>
      <c r="K108" s="57">
        <v>4</v>
      </c>
      <c r="L108" s="57">
        <v>1</v>
      </c>
      <c r="M108" s="57">
        <v>1</v>
      </c>
      <c r="N108" s="57">
        <v>1</v>
      </c>
      <c r="O108" s="60"/>
      <c r="P108" s="46">
        <f>IF(I108=VLOOKUP(VALUE(I$1),Questions[#All],5,FALSE),1,0)</f>
        <v>1</v>
      </c>
      <c r="Q108" s="43">
        <f>IF(J108=VLOOKUP(VALUE(J$1),Questions[#All],5,FALSE),1,0)</f>
        <v>0</v>
      </c>
      <c r="R108" s="43">
        <f>IF(K108=VLOOKUP(VALUE(K$1),Questions[#All],5,FALSE),1,0)</f>
        <v>0</v>
      </c>
      <c r="S108" s="43">
        <f>IF(L108=VLOOKUP(VALUE(L$1),Questions[#All],5,FALSE),1,0)</f>
        <v>0</v>
      </c>
      <c r="T108" s="43">
        <f>IF(M108=VLOOKUP(VALUE(M$1),Questions[#All],5,FALSE),1,0)</f>
        <v>0</v>
      </c>
      <c r="U108" s="43">
        <f>IF(N108=VLOOKUP(VALUE(N$1),Questions[#All],5,FALSE),1,0)</f>
        <v>0</v>
      </c>
      <c r="W108" s="25"/>
    </row>
    <row r="109" spans="1:23" ht="21" customHeight="1" x14ac:dyDescent="0.15">
      <c r="A109" s="20" t="s">
        <v>857</v>
      </c>
      <c r="B109" s="50" t="s">
        <v>748</v>
      </c>
      <c r="C109" s="51">
        <v>1</v>
      </c>
      <c r="D109" s="37">
        <v>11</v>
      </c>
      <c r="E109" s="52" t="b">
        <v>0</v>
      </c>
      <c r="F109" s="53" t="b">
        <v>0</v>
      </c>
      <c r="G109" s="54">
        <v>3</v>
      </c>
      <c r="H109" s="55"/>
      <c r="I109" s="54">
        <v>2</v>
      </c>
      <c r="J109" s="51">
        <v>2</v>
      </c>
      <c r="K109" s="51">
        <v>3</v>
      </c>
      <c r="L109" s="51">
        <v>2</v>
      </c>
      <c r="M109" s="51">
        <v>4</v>
      </c>
      <c r="N109" s="51">
        <v>2</v>
      </c>
      <c r="O109" s="54"/>
      <c r="P109" s="40">
        <f>IF(I109=VLOOKUP(VALUE(I$1),Questions[#All],5,FALSE),1,0)</f>
        <v>0</v>
      </c>
      <c r="Q109" s="37">
        <f>IF(J109=VLOOKUP(VALUE(J$1),Questions[#All],5,FALSE),1,0)</f>
        <v>0</v>
      </c>
      <c r="R109" s="37">
        <f>IF(K109=VLOOKUP(VALUE(K$1),Questions[#All],5,FALSE),1,0)</f>
        <v>1</v>
      </c>
      <c r="S109" s="37">
        <f>IF(L109=VLOOKUP(VALUE(L$1),Questions[#All],5,FALSE),1,0)</f>
        <v>1</v>
      </c>
      <c r="T109" s="37">
        <f>IF(M109=VLOOKUP(VALUE(M$1),Questions[#All],5,FALSE),1,0)</f>
        <v>0</v>
      </c>
      <c r="U109" s="37">
        <f>IF(N109=VLOOKUP(VALUE(N$1),Questions[#All],5,FALSE),1,0)</f>
        <v>1</v>
      </c>
      <c r="W109" s="25"/>
    </row>
    <row r="110" spans="1:23" ht="21" customHeight="1" x14ac:dyDescent="0.15">
      <c r="A110" s="20" t="s">
        <v>858</v>
      </c>
      <c r="B110" s="56" t="s">
        <v>748</v>
      </c>
      <c r="C110" s="57">
        <v>1</v>
      </c>
      <c r="D110" s="43">
        <v>11</v>
      </c>
      <c r="E110" s="58" t="b">
        <v>0</v>
      </c>
      <c r="F110" s="59" t="b">
        <v>0</v>
      </c>
      <c r="G110" s="60">
        <v>5</v>
      </c>
      <c r="H110" s="61"/>
      <c r="I110" s="60">
        <v>3</v>
      </c>
      <c r="J110" s="57">
        <v>1</v>
      </c>
      <c r="K110" s="57">
        <v>3</v>
      </c>
      <c r="L110" s="57">
        <v>2</v>
      </c>
      <c r="M110" s="57">
        <v>1</v>
      </c>
      <c r="N110" s="57">
        <v>2</v>
      </c>
      <c r="O110" s="60"/>
      <c r="P110" s="46">
        <f>IF(I110=VLOOKUP(VALUE(I$1),Questions[#All],5,FALSE),1,0)</f>
        <v>1</v>
      </c>
      <c r="Q110" s="43">
        <f>IF(J110=VLOOKUP(VALUE(J$1),Questions[#All],5,FALSE),1,0)</f>
        <v>1</v>
      </c>
      <c r="R110" s="43">
        <f>IF(K110=VLOOKUP(VALUE(K$1),Questions[#All],5,FALSE),1,0)</f>
        <v>1</v>
      </c>
      <c r="S110" s="43">
        <f>IF(L110=VLOOKUP(VALUE(L$1),Questions[#All],5,FALSE),1,0)</f>
        <v>1</v>
      </c>
      <c r="T110" s="43">
        <f>IF(M110=VLOOKUP(VALUE(M$1),Questions[#All],5,FALSE),1,0)</f>
        <v>0</v>
      </c>
      <c r="U110" s="43">
        <f>IF(N110=VLOOKUP(VALUE(N$1),Questions[#All],5,FALSE),1,0)</f>
        <v>1</v>
      </c>
      <c r="W110" s="25"/>
    </row>
    <row r="111" spans="1:23" ht="21" customHeight="1" x14ac:dyDescent="0.15">
      <c r="A111" s="20" t="s">
        <v>859</v>
      </c>
      <c r="B111" s="50" t="s">
        <v>748</v>
      </c>
      <c r="C111" s="51">
        <v>1</v>
      </c>
      <c r="D111" s="37">
        <v>11</v>
      </c>
      <c r="E111" s="52" t="b">
        <v>0</v>
      </c>
      <c r="F111" s="53" t="b">
        <v>0</v>
      </c>
      <c r="G111" s="54">
        <v>4</v>
      </c>
      <c r="H111" s="55"/>
      <c r="I111" s="54">
        <v>3</v>
      </c>
      <c r="J111" s="51">
        <v>1</v>
      </c>
      <c r="K111" s="51">
        <v>3</v>
      </c>
      <c r="L111" s="51">
        <v>2</v>
      </c>
      <c r="M111" s="51">
        <v>4</v>
      </c>
      <c r="N111" s="51">
        <v>1</v>
      </c>
      <c r="O111" s="54"/>
      <c r="P111" s="40">
        <f>IF(I111=VLOOKUP(VALUE(I$1),Questions[#All],5,FALSE),1,0)</f>
        <v>1</v>
      </c>
      <c r="Q111" s="37">
        <f>IF(J111=VLOOKUP(VALUE(J$1),Questions[#All],5,FALSE),1,0)</f>
        <v>1</v>
      </c>
      <c r="R111" s="37">
        <f>IF(K111=VLOOKUP(VALUE(K$1),Questions[#All],5,FALSE),1,0)</f>
        <v>1</v>
      </c>
      <c r="S111" s="37">
        <f>IF(L111=VLOOKUP(VALUE(L$1),Questions[#All],5,FALSE),1,0)</f>
        <v>1</v>
      </c>
      <c r="T111" s="37">
        <f>IF(M111=VLOOKUP(VALUE(M$1),Questions[#All],5,FALSE),1,0)</f>
        <v>0</v>
      </c>
      <c r="U111" s="37">
        <f>IF(N111=VLOOKUP(VALUE(N$1),Questions[#All],5,FALSE),1,0)</f>
        <v>0</v>
      </c>
      <c r="W111" s="25"/>
    </row>
    <row r="112" spans="1:23" ht="21" customHeight="1" x14ac:dyDescent="0.15">
      <c r="A112" s="20" t="s">
        <v>860</v>
      </c>
      <c r="B112" s="56" t="s">
        <v>748</v>
      </c>
      <c r="C112" s="57">
        <v>1</v>
      </c>
      <c r="D112" s="43">
        <v>11</v>
      </c>
      <c r="E112" s="58" t="b">
        <v>0</v>
      </c>
      <c r="F112" s="59" t="b">
        <v>0</v>
      </c>
      <c r="G112" s="60">
        <v>6</v>
      </c>
      <c r="H112" s="61"/>
      <c r="I112" s="60">
        <v>3</v>
      </c>
      <c r="J112" s="57">
        <v>1</v>
      </c>
      <c r="K112" s="57">
        <v>3</v>
      </c>
      <c r="L112" s="57">
        <v>2</v>
      </c>
      <c r="M112" s="57">
        <v>3</v>
      </c>
      <c r="N112" s="57">
        <v>2</v>
      </c>
      <c r="O112" s="60"/>
      <c r="P112" s="46">
        <f>IF(I112=VLOOKUP(VALUE(I$1),Questions[#All],5,FALSE),1,0)</f>
        <v>1</v>
      </c>
      <c r="Q112" s="43">
        <f>IF(J112=VLOOKUP(VALUE(J$1),Questions[#All],5,FALSE),1,0)</f>
        <v>1</v>
      </c>
      <c r="R112" s="43">
        <f>IF(K112=VLOOKUP(VALUE(K$1),Questions[#All],5,FALSE),1,0)</f>
        <v>1</v>
      </c>
      <c r="S112" s="43">
        <f>IF(L112=VLOOKUP(VALUE(L$1),Questions[#All],5,FALSE),1,0)</f>
        <v>1</v>
      </c>
      <c r="T112" s="43">
        <f>IF(M112=VLOOKUP(VALUE(M$1),Questions[#All],5,FALSE),1,0)</f>
        <v>1</v>
      </c>
      <c r="U112" s="43">
        <f>IF(N112=VLOOKUP(VALUE(N$1),Questions[#All],5,FALSE),1,0)</f>
        <v>1</v>
      </c>
      <c r="W112" s="25"/>
    </row>
    <row r="113" spans="1:23" ht="21" customHeight="1" x14ac:dyDescent="0.15">
      <c r="A113" s="20" t="s">
        <v>861</v>
      </c>
      <c r="B113" s="50" t="s">
        <v>748</v>
      </c>
      <c r="C113" s="51">
        <v>1</v>
      </c>
      <c r="D113" s="37">
        <v>11</v>
      </c>
      <c r="E113" s="52" t="b">
        <v>0</v>
      </c>
      <c r="F113" s="53" t="b">
        <v>0</v>
      </c>
      <c r="G113" s="54">
        <v>4</v>
      </c>
      <c r="H113" s="55"/>
      <c r="I113" s="54">
        <v>3</v>
      </c>
      <c r="J113" s="51">
        <v>4</v>
      </c>
      <c r="K113" s="51">
        <v>3</v>
      </c>
      <c r="L113" s="51">
        <v>2</v>
      </c>
      <c r="M113" s="51">
        <v>2</v>
      </c>
      <c r="N113" s="51">
        <v>2</v>
      </c>
      <c r="O113" s="54"/>
      <c r="P113" s="40">
        <f>IF(I113=VLOOKUP(VALUE(I$1),Questions[#All],5,FALSE),1,0)</f>
        <v>1</v>
      </c>
      <c r="Q113" s="37">
        <f>IF(J113=VLOOKUP(VALUE(J$1),Questions[#All],5,FALSE),1,0)</f>
        <v>0</v>
      </c>
      <c r="R113" s="37">
        <f>IF(K113=VLOOKUP(VALUE(K$1),Questions[#All],5,FALSE),1,0)</f>
        <v>1</v>
      </c>
      <c r="S113" s="37">
        <f>IF(L113=VLOOKUP(VALUE(L$1),Questions[#All],5,FALSE),1,0)</f>
        <v>1</v>
      </c>
      <c r="T113" s="37">
        <f>IF(M113=VLOOKUP(VALUE(M$1),Questions[#All],5,FALSE),1,0)</f>
        <v>0</v>
      </c>
      <c r="U113" s="37">
        <f>IF(N113=VLOOKUP(VALUE(N$1),Questions[#All],5,FALSE),1,0)</f>
        <v>1</v>
      </c>
      <c r="W113" s="25"/>
    </row>
    <row r="114" spans="1:23" ht="21" customHeight="1" x14ac:dyDescent="0.15">
      <c r="A114" s="20" t="s">
        <v>862</v>
      </c>
      <c r="B114" s="56" t="s">
        <v>748</v>
      </c>
      <c r="C114" s="57">
        <v>1</v>
      </c>
      <c r="D114" s="43">
        <v>11</v>
      </c>
      <c r="E114" s="58" t="b">
        <v>0</v>
      </c>
      <c r="F114" s="59" t="b">
        <v>0</v>
      </c>
      <c r="G114" s="60">
        <v>4</v>
      </c>
      <c r="H114" s="61"/>
      <c r="I114" s="60">
        <v>3</v>
      </c>
      <c r="J114" s="57">
        <v>2</v>
      </c>
      <c r="K114" s="57">
        <v>3</v>
      </c>
      <c r="L114" s="57">
        <v>3</v>
      </c>
      <c r="M114" s="57">
        <v>3</v>
      </c>
      <c r="N114" s="57">
        <v>2</v>
      </c>
      <c r="O114" s="60"/>
      <c r="P114" s="46">
        <f>IF(I114=VLOOKUP(VALUE(I$1),Questions[#All],5,FALSE),1,0)</f>
        <v>1</v>
      </c>
      <c r="Q114" s="43">
        <f>IF(J114=VLOOKUP(VALUE(J$1),Questions[#All],5,FALSE),1,0)</f>
        <v>0</v>
      </c>
      <c r="R114" s="43">
        <f>IF(K114=VLOOKUP(VALUE(K$1),Questions[#All],5,FALSE),1,0)</f>
        <v>1</v>
      </c>
      <c r="S114" s="43">
        <f>IF(L114=VLOOKUP(VALUE(L$1),Questions[#All],5,FALSE),1,0)</f>
        <v>0</v>
      </c>
      <c r="T114" s="43">
        <f>IF(M114=VLOOKUP(VALUE(M$1),Questions[#All],5,FALSE),1,0)</f>
        <v>1</v>
      </c>
      <c r="U114" s="43">
        <f>IF(N114=VLOOKUP(VALUE(N$1),Questions[#All],5,FALSE),1,0)</f>
        <v>1</v>
      </c>
      <c r="W114" s="25"/>
    </row>
    <row r="115" spans="1:23" ht="21" customHeight="1" x14ac:dyDescent="0.15">
      <c r="A115" s="20" t="s">
        <v>863</v>
      </c>
      <c r="B115" s="50" t="s">
        <v>748</v>
      </c>
      <c r="C115" s="51">
        <v>1</v>
      </c>
      <c r="D115" s="37">
        <v>11</v>
      </c>
      <c r="E115" s="52" t="b">
        <v>0</v>
      </c>
      <c r="F115" s="53" t="b">
        <v>0</v>
      </c>
      <c r="G115" s="54">
        <v>3</v>
      </c>
      <c r="H115" s="55"/>
      <c r="I115" s="54">
        <v>2</v>
      </c>
      <c r="J115" s="51">
        <v>2</v>
      </c>
      <c r="K115" s="51">
        <v>2</v>
      </c>
      <c r="L115" s="51">
        <v>2</v>
      </c>
      <c r="M115" s="51">
        <v>3</v>
      </c>
      <c r="N115" s="51">
        <v>2</v>
      </c>
      <c r="O115" s="54"/>
      <c r="P115" s="40">
        <f>IF(I115=VLOOKUP(VALUE(I$1),Questions[#All],5,FALSE),1,0)</f>
        <v>0</v>
      </c>
      <c r="Q115" s="37">
        <f>IF(J115=VLOOKUP(VALUE(J$1),Questions[#All],5,FALSE),1,0)</f>
        <v>0</v>
      </c>
      <c r="R115" s="37">
        <f>IF(K115=VLOOKUP(VALUE(K$1),Questions[#All],5,FALSE),1,0)</f>
        <v>0</v>
      </c>
      <c r="S115" s="37">
        <f>IF(L115=VLOOKUP(VALUE(L$1),Questions[#All],5,FALSE),1,0)</f>
        <v>1</v>
      </c>
      <c r="T115" s="37">
        <f>IF(M115=VLOOKUP(VALUE(M$1),Questions[#All],5,FALSE),1,0)</f>
        <v>1</v>
      </c>
      <c r="U115" s="37">
        <f>IF(N115=VLOOKUP(VALUE(N$1),Questions[#All],5,FALSE),1,0)</f>
        <v>1</v>
      </c>
      <c r="W115" s="25"/>
    </row>
    <row r="116" spans="1:23" ht="21" customHeight="1" x14ac:dyDescent="0.15">
      <c r="A116" s="20" t="s">
        <v>864</v>
      </c>
      <c r="B116" s="56" t="s">
        <v>748</v>
      </c>
      <c r="C116" s="57">
        <v>1</v>
      </c>
      <c r="D116" s="43">
        <v>11</v>
      </c>
      <c r="E116" s="58" t="b">
        <v>0</v>
      </c>
      <c r="F116" s="59" t="b">
        <v>0</v>
      </c>
      <c r="G116" s="60">
        <v>6</v>
      </c>
      <c r="H116" s="61"/>
      <c r="I116" s="60">
        <v>3</v>
      </c>
      <c r="J116" s="57">
        <v>1</v>
      </c>
      <c r="K116" s="57">
        <v>3</v>
      </c>
      <c r="L116" s="57">
        <v>2</v>
      </c>
      <c r="M116" s="57">
        <v>3</v>
      </c>
      <c r="N116" s="57">
        <v>2</v>
      </c>
      <c r="O116" s="60"/>
      <c r="P116" s="46">
        <f>IF(I116=VLOOKUP(VALUE(I$1),Questions[#All],5,FALSE),1,0)</f>
        <v>1</v>
      </c>
      <c r="Q116" s="43">
        <f>IF(J116=VLOOKUP(VALUE(J$1),Questions[#All],5,FALSE),1,0)</f>
        <v>1</v>
      </c>
      <c r="R116" s="43">
        <f>IF(K116=VLOOKUP(VALUE(K$1),Questions[#All],5,FALSE),1,0)</f>
        <v>1</v>
      </c>
      <c r="S116" s="43">
        <f>IF(L116=VLOOKUP(VALUE(L$1),Questions[#All],5,FALSE),1,0)</f>
        <v>1</v>
      </c>
      <c r="T116" s="43">
        <f>IF(M116=VLOOKUP(VALUE(M$1),Questions[#All],5,FALSE),1,0)</f>
        <v>1</v>
      </c>
      <c r="U116" s="43">
        <f>IF(N116=VLOOKUP(VALUE(N$1),Questions[#All],5,FALSE),1,0)</f>
        <v>1</v>
      </c>
      <c r="W116" s="25"/>
    </row>
    <row r="117" spans="1:23" ht="21" customHeight="1" x14ac:dyDescent="0.15">
      <c r="A117" s="20" t="s">
        <v>865</v>
      </c>
      <c r="B117" s="50" t="s">
        <v>748</v>
      </c>
      <c r="C117" s="51">
        <v>1</v>
      </c>
      <c r="D117" s="37">
        <v>11</v>
      </c>
      <c r="E117" s="52" t="b">
        <v>0</v>
      </c>
      <c r="F117" s="53" t="b">
        <v>0</v>
      </c>
      <c r="G117" s="54">
        <v>4</v>
      </c>
      <c r="H117" s="55"/>
      <c r="I117" s="54">
        <v>3</v>
      </c>
      <c r="J117" s="51">
        <v>1</v>
      </c>
      <c r="K117" s="51">
        <v>3</v>
      </c>
      <c r="L117" s="51">
        <v>4</v>
      </c>
      <c r="M117" s="51">
        <v>1</v>
      </c>
      <c r="N117" s="51">
        <v>2</v>
      </c>
      <c r="O117" s="54"/>
      <c r="P117" s="40">
        <f>IF(I117=VLOOKUP(VALUE(I$1),Questions[#All],5,FALSE),1,0)</f>
        <v>1</v>
      </c>
      <c r="Q117" s="37">
        <f>IF(J117=VLOOKUP(VALUE(J$1),Questions[#All],5,FALSE),1,0)</f>
        <v>1</v>
      </c>
      <c r="R117" s="37">
        <f>IF(K117=VLOOKUP(VALUE(K$1),Questions[#All],5,FALSE),1,0)</f>
        <v>1</v>
      </c>
      <c r="S117" s="37">
        <f>IF(L117=VLOOKUP(VALUE(L$1),Questions[#All],5,FALSE),1,0)</f>
        <v>0</v>
      </c>
      <c r="T117" s="37">
        <f>IF(M117=VLOOKUP(VALUE(M$1),Questions[#All],5,FALSE),1,0)</f>
        <v>0</v>
      </c>
      <c r="U117" s="37">
        <f>IF(N117=VLOOKUP(VALUE(N$1),Questions[#All],5,FALSE),1,0)</f>
        <v>1</v>
      </c>
      <c r="W117" s="25"/>
    </row>
    <row r="118" spans="1:23" ht="21" customHeight="1" x14ac:dyDescent="0.15">
      <c r="A118" s="20" t="s">
        <v>866</v>
      </c>
      <c r="B118" s="56" t="s">
        <v>748</v>
      </c>
      <c r="C118" s="57">
        <v>1</v>
      </c>
      <c r="D118" s="43">
        <v>11</v>
      </c>
      <c r="E118" s="58" t="b">
        <v>0</v>
      </c>
      <c r="F118" s="59" t="b">
        <v>0</v>
      </c>
      <c r="G118" s="60">
        <v>4</v>
      </c>
      <c r="H118" s="61"/>
      <c r="I118" s="60">
        <v>3</v>
      </c>
      <c r="J118" s="57">
        <v>1</v>
      </c>
      <c r="K118" s="57">
        <v>3</v>
      </c>
      <c r="L118" s="57">
        <v>3</v>
      </c>
      <c r="M118" s="57">
        <v>1</v>
      </c>
      <c r="N118" s="57">
        <v>2</v>
      </c>
      <c r="O118" s="60"/>
      <c r="P118" s="46">
        <f>IF(I118=VLOOKUP(VALUE(I$1),Questions[#All],5,FALSE),1,0)</f>
        <v>1</v>
      </c>
      <c r="Q118" s="43">
        <f>IF(J118=VLOOKUP(VALUE(J$1),Questions[#All],5,FALSE),1,0)</f>
        <v>1</v>
      </c>
      <c r="R118" s="43">
        <f>IF(K118=VLOOKUP(VALUE(K$1),Questions[#All],5,FALSE),1,0)</f>
        <v>1</v>
      </c>
      <c r="S118" s="43">
        <f>IF(L118=VLOOKUP(VALUE(L$1),Questions[#All],5,FALSE),1,0)</f>
        <v>0</v>
      </c>
      <c r="T118" s="43">
        <f>IF(M118=VLOOKUP(VALUE(M$1),Questions[#All],5,FALSE),1,0)</f>
        <v>0</v>
      </c>
      <c r="U118" s="43">
        <f>IF(N118=VLOOKUP(VALUE(N$1),Questions[#All],5,FALSE),1,0)</f>
        <v>1</v>
      </c>
      <c r="W118" s="25"/>
    </row>
    <row r="119" spans="1:23" ht="21" customHeight="1" x14ac:dyDescent="0.15">
      <c r="A119" s="20" t="s">
        <v>867</v>
      </c>
      <c r="B119" s="50" t="s">
        <v>748</v>
      </c>
      <c r="C119" s="51">
        <v>1</v>
      </c>
      <c r="D119" s="37">
        <v>11</v>
      </c>
      <c r="E119" s="52" t="b">
        <v>0</v>
      </c>
      <c r="F119" s="53" t="b">
        <v>0</v>
      </c>
      <c r="G119" s="54">
        <v>4</v>
      </c>
      <c r="H119" s="55"/>
      <c r="I119" s="54">
        <v>2</v>
      </c>
      <c r="J119" s="51">
        <v>1</v>
      </c>
      <c r="K119" s="51">
        <v>3</v>
      </c>
      <c r="L119" s="51">
        <v>2</v>
      </c>
      <c r="M119" s="51">
        <v>1</v>
      </c>
      <c r="N119" s="51">
        <v>2</v>
      </c>
      <c r="O119" s="54"/>
      <c r="P119" s="40">
        <f>IF(I119=VLOOKUP(VALUE(I$1),Questions[#All],5,FALSE),1,0)</f>
        <v>0</v>
      </c>
      <c r="Q119" s="37">
        <f>IF(J119=VLOOKUP(VALUE(J$1),Questions[#All],5,FALSE),1,0)</f>
        <v>1</v>
      </c>
      <c r="R119" s="37">
        <f>IF(K119=VLOOKUP(VALUE(K$1),Questions[#All],5,FALSE),1,0)</f>
        <v>1</v>
      </c>
      <c r="S119" s="37">
        <f>IF(L119=VLOOKUP(VALUE(L$1),Questions[#All],5,FALSE),1,0)</f>
        <v>1</v>
      </c>
      <c r="T119" s="37">
        <f>IF(M119=VLOOKUP(VALUE(M$1),Questions[#All],5,FALSE),1,0)</f>
        <v>0</v>
      </c>
      <c r="U119" s="37">
        <f>IF(N119=VLOOKUP(VALUE(N$1),Questions[#All],5,FALSE),1,0)</f>
        <v>1</v>
      </c>
      <c r="W119" s="25"/>
    </row>
    <row r="120" spans="1:23" ht="21" customHeight="1" x14ac:dyDescent="0.15">
      <c r="A120" s="20" t="s">
        <v>868</v>
      </c>
      <c r="B120" s="56" t="s">
        <v>748</v>
      </c>
      <c r="C120" s="57">
        <v>1</v>
      </c>
      <c r="D120" s="43">
        <v>11</v>
      </c>
      <c r="E120" s="58" t="b">
        <v>0</v>
      </c>
      <c r="F120" s="59" t="b">
        <v>0</v>
      </c>
      <c r="G120" s="60">
        <v>6</v>
      </c>
      <c r="H120" s="61"/>
      <c r="I120" s="60">
        <v>3</v>
      </c>
      <c r="J120" s="57">
        <v>1</v>
      </c>
      <c r="K120" s="57">
        <v>3</v>
      </c>
      <c r="L120" s="57">
        <v>2</v>
      </c>
      <c r="M120" s="57">
        <v>3</v>
      </c>
      <c r="N120" s="57">
        <v>2</v>
      </c>
      <c r="O120" s="60"/>
      <c r="P120" s="46">
        <f>IF(I120=VLOOKUP(VALUE(I$1),Questions[#All],5,FALSE),1,0)</f>
        <v>1</v>
      </c>
      <c r="Q120" s="43">
        <f>IF(J120=VLOOKUP(VALUE(J$1),Questions[#All],5,FALSE),1,0)</f>
        <v>1</v>
      </c>
      <c r="R120" s="43">
        <f>IF(K120=VLOOKUP(VALUE(K$1),Questions[#All],5,FALSE),1,0)</f>
        <v>1</v>
      </c>
      <c r="S120" s="43">
        <f>IF(L120=VLOOKUP(VALUE(L$1),Questions[#All],5,FALSE),1,0)</f>
        <v>1</v>
      </c>
      <c r="T120" s="43">
        <f>IF(M120=VLOOKUP(VALUE(M$1),Questions[#All],5,FALSE),1,0)</f>
        <v>1</v>
      </c>
      <c r="U120" s="43">
        <f>IF(N120=VLOOKUP(VALUE(N$1),Questions[#All],5,FALSE),1,0)</f>
        <v>1</v>
      </c>
      <c r="W120" s="25"/>
    </row>
    <row r="121" spans="1:23" ht="21" customHeight="1" x14ac:dyDescent="0.15">
      <c r="A121" s="20" t="s">
        <v>869</v>
      </c>
      <c r="B121" s="55" t="s">
        <v>45</v>
      </c>
      <c r="C121" s="51">
        <v>8</v>
      </c>
      <c r="D121" s="51">
        <v>9</v>
      </c>
      <c r="E121" s="52" t="b">
        <v>0</v>
      </c>
      <c r="F121" s="53" t="b">
        <v>0</v>
      </c>
      <c r="G121" s="54">
        <v>2</v>
      </c>
      <c r="H121" s="62"/>
      <c r="I121" s="54">
        <v>3</v>
      </c>
      <c r="J121" s="51">
        <v>2</v>
      </c>
      <c r="K121" s="51">
        <v>4</v>
      </c>
      <c r="L121" s="51">
        <v>1</v>
      </c>
      <c r="M121" s="51">
        <v>3</v>
      </c>
      <c r="N121" s="51">
        <v>2</v>
      </c>
      <c r="O121" s="54"/>
      <c r="P121" s="40">
        <f>IF(I121=VLOOKUP(VALUE(I$1),Questions[#All],5,FALSE),1,0)</f>
        <v>1</v>
      </c>
      <c r="Q121" s="37">
        <f>IF(J121=VLOOKUP(VALUE(J$1),Questions[#All],5,FALSE),1,0)</f>
        <v>0</v>
      </c>
      <c r="R121" s="37">
        <f>IF(K121=VLOOKUP(VALUE(K$1),Questions[#All],5,FALSE),1,0)</f>
        <v>0</v>
      </c>
      <c r="S121" s="37">
        <f>IF(L121=VLOOKUP(VALUE(L$1),Questions[#All],5,FALSE),1,0)</f>
        <v>0</v>
      </c>
      <c r="T121" s="37">
        <f>IF(M121=VLOOKUP(VALUE(M$1),Questions[#All],5,FALSE),1,0)</f>
        <v>1</v>
      </c>
      <c r="U121" s="37">
        <f>IF(N121=VLOOKUP(VALUE(N$1),Questions[#All],5,FALSE),1,0)</f>
        <v>1</v>
      </c>
      <c r="W121" s="25"/>
    </row>
    <row r="122" spans="1:23" ht="21" customHeight="1" x14ac:dyDescent="0.15">
      <c r="A122" s="20" t="s">
        <v>870</v>
      </c>
      <c r="B122" s="61" t="s">
        <v>45</v>
      </c>
      <c r="C122" s="57">
        <v>8</v>
      </c>
      <c r="D122" s="57">
        <v>9</v>
      </c>
      <c r="E122" s="58" t="b">
        <v>0</v>
      </c>
      <c r="F122" s="59" t="b">
        <v>0</v>
      </c>
      <c r="G122" s="60">
        <v>2</v>
      </c>
      <c r="H122" s="63"/>
      <c r="I122" s="60">
        <v>4</v>
      </c>
      <c r="J122" s="57">
        <v>2</v>
      </c>
      <c r="K122" s="57">
        <v>3</v>
      </c>
      <c r="L122" s="57">
        <v>2</v>
      </c>
      <c r="M122" s="57">
        <v>3</v>
      </c>
      <c r="N122" s="57">
        <v>1</v>
      </c>
      <c r="O122" s="60"/>
      <c r="P122" s="46">
        <f>IF(I122=VLOOKUP(VALUE(I$1),Questions[#All],5,FALSE),1,0)</f>
        <v>0</v>
      </c>
      <c r="Q122" s="43">
        <f>IF(J122=VLOOKUP(VALUE(J$1),Questions[#All],5,FALSE),1,0)</f>
        <v>0</v>
      </c>
      <c r="R122" s="43">
        <f>IF(K122=VLOOKUP(VALUE(K$1),Questions[#All],5,FALSE),1,0)</f>
        <v>1</v>
      </c>
      <c r="S122" s="43">
        <f>IF(L122=VLOOKUP(VALUE(L$1),Questions[#All],5,FALSE),1,0)</f>
        <v>1</v>
      </c>
      <c r="T122" s="43">
        <f>IF(M122=VLOOKUP(VALUE(M$1),Questions[#All],5,FALSE),1,0)</f>
        <v>1</v>
      </c>
      <c r="U122" s="43">
        <f>IF(N122=VLOOKUP(VALUE(N$1),Questions[#All],5,FALSE),1,0)</f>
        <v>0</v>
      </c>
    </row>
    <row r="123" spans="1:23" ht="21" customHeight="1" x14ac:dyDescent="0.15">
      <c r="A123" s="20" t="s">
        <v>871</v>
      </c>
      <c r="B123" s="55" t="s">
        <v>45</v>
      </c>
      <c r="C123" s="51">
        <v>8</v>
      </c>
      <c r="D123" s="51">
        <v>9</v>
      </c>
      <c r="E123" s="52" t="b">
        <v>0</v>
      </c>
      <c r="F123" s="53" t="b">
        <v>0</v>
      </c>
      <c r="G123" s="54">
        <v>3</v>
      </c>
      <c r="H123" s="62"/>
      <c r="I123" s="54">
        <v>3</v>
      </c>
      <c r="J123" s="51">
        <v>4</v>
      </c>
      <c r="K123" s="51">
        <v>3</v>
      </c>
      <c r="L123" s="51">
        <v>2</v>
      </c>
      <c r="M123" s="51">
        <v>1</v>
      </c>
      <c r="N123" s="51"/>
      <c r="O123" s="54"/>
      <c r="P123" s="40">
        <f>IF(I123=VLOOKUP(VALUE(I$1),Questions[#All],5,FALSE),1,0)</f>
        <v>1</v>
      </c>
      <c r="Q123" s="37">
        <f>IF(J123=VLOOKUP(VALUE(J$1),Questions[#All],5,FALSE),1,0)</f>
        <v>0</v>
      </c>
      <c r="R123" s="37">
        <f>IF(K123=VLOOKUP(VALUE(K$1),Questions[#All],5,FALSE),1,0)</f>
        <v>1</v>
      </c>
      <c r="S123" s="37">
        <f>IF(L123=VLOOKUP(VALUE(L$1),Questions[#All],5,FALSE),1,0)</f>
        <v>1</v>
      </c>
      <c r="T123" s="37">
        <f>IF(M123=VLOOKUP(VALUE(M$1),Questions[#All],5,FALSE),1,0)</f>
        <v>0</v>
      </c>
      <c r="U123" s="37">
        <f>IF(N123=VLOOKUP(VALUE(N$1),Questions[#All],5,FALSE),1,0)</f>
        <v>0</v>
      </c>
    </row>
    <row r="124" spans="1:23" ht="21" customHeight="1" x14ac:dyDescent="0.15">
      <c r="A124" s="20" t="s">
        <v>872</v>
      </c>
      <c r="B124" s="61" t="s">
        <v>45</v>
      </c>
      <c r="C124" s="57">
        <v>8</v>
      </c>
      <c r="D124" s="57">
        <v>9</v>
      </c>
      <c r="E124" s="58" t="b">
        <v>0</v>
      </c>
      <c r="F124" s="59" t="b">
        <v>0</v>
      </c>
      <c r="G124" s="60">
        <v>3</v>
      </c>
      <c r="H124" s="63"/>
      <c r="I124" s="60">
        <v>4</v>
      </c>
      <c r="J124" s="57">
        <v>2</v>
      </c>
      <c r="K124" s="57">
        <v>3</v>
      </c>
      <c r="L124" s="57">
        <v>2</v>
      </c>
      <c r="M124" s="57">
        <v>4</v>
      </c>
      <c r="N124" s="57">
        <v>2</v>
      </c>
      <c r="O124" s="60"/>
      <c r="P124" s="46">
        <f>IF(I124=VLOOKUP(VALUE(I$1),Questions[#All],5,FALSE),1,0)</f>
        <v>0</v>
      </c>
      <c r="Q124" s="43">
        <f>IF(J124=VLOOKUP(VALUE(J$1),Questions[#All],5,FALSE),1,0)</f>
        <v>0</v>
      </c>
      <c r="R124" s="43">
        <f>IF(K124=VLOOKUP(VALUE(K$1),Questions[#All],5,FALSE),1,0)</f>
        <v>1</v>
      </c>
      <c r="S124" s="43">
        <f>IF(L124=VLOOKUP(VALUE(L$1),Questions[#All],5,FALSE),1,0)</f>
        <v>1</v>
      </c>
      <c r="T124" s="43">
        <f>IF(M124=VLOOKUP(VALUE(M$1),Questions[#All],5,FALSE),1,0)</f>
        <v>0</v>
      </c>
      <c r="U124" s="43">
        <f>IF(N124=VLOOKUP(VALUE(N$1),Questions[#All],5,FALSE),1,0)</f>
        <v>1</v>
      </c>
    </row>
    <row r="125" spans="1:23" ht="21" customHeight="1" x14ac:dyDescent="0.15">
      <c r="A125" s="20" t="s">
        <v>873</v>
      </c>
      <c r="B125" s="55" t="s">
        <v>45</v>
      </c>
      <c r="C125" s="51">
        <v>8</v>
      </c>
      <c r="D125" s="51">
        <v>9</v>
      </c>
      <c r="E125" s="52" t="b">
        <v>0</v>
      </c>
      <c r="F125" s="53" t="b">
        <v>0</v>
      </c>
      <c r="G125" s="54">
        <v>3</v>
      </c>
      <c r="H125" s="62"/>
      <c r="I125" s="54">
        <v>4</v>
      </c>
      <c r="J125" s="51">
        <v>1</v>
      </c>
      <c r="K125" s="51">
        <v>3</v>
      </c>
      <c r="L125" s="51">
        <v>2</v>
      </c>
      <c r="M125" s="51">
        <v>1</v>
      </c>
      <c r="N125" s="51">
        <v>1</v>
      </c>
      <c r="O125" s="54"/>
      <c r="P125" s="40">
        <f>IF(I125=VLOOKUP(VALUE(I$1),Questions[#All],5,FALSE),1,0)</f>
        <v>0</v>
      </c>
      <c r="Q125" s="37">
        <f>IF(J125=VLOOKUP(VALUE(J$1),Questions[#All],5,FALSE),1,0)</f>
        <v>1</v>
      </c>
      <c r="R125" s="37">
        <f>IF(K125=VLOOKUP(VALUE(K$1),Questions[#All],5,FALSE),1,0)</f>
        <v>1</v>
      </c>
      <c r="S125" s="37">
        <f>IF(L125=VLOOKUP(VALUE(L$1),Questions[#All],5,FALSE),1,0)</f>
        <v>1</v>
      </c>
      <c r="T125" s="37">
        <f>IF(M125=VLOOKUP(VALUE(M$1),Questions[#All],5,FALSE),1,0)</f>
        <v>0</v>
      </c>
      <c r="U125" s="37">
        <f>IF(N125=VLOOKUP(VALUE(N$1),Questions[#All],5,FALSE),1,0)</f>
        <v>0</v>
      </c>
    </row>
    <row r="126" spans="1:23" ht="21" customHeight="1" x14ac:dyDescent="0.15">
      <c r="A126" s="20" t="s">
        <v>874</v>
      </c>
      <c r="B126" s="61" t="s">
        <v>45</v>
      </c>
      <c r="C126" s="57">
        <v>8</v>
      </c>
      <c r="D126" s="57">
        <v>9</v>
      </c>
      <c r="E126" s="58" t="b">
        <v>0</v>
      </c>
      <c r="F126" s="59" t="b">
        <v>0</v>
      </c>
      <c r="G126" s="60">
        <v>0</v>
      </c>
      <c r="H126" s="63"/>
      <c r="I126" s="60"/>
      <c r="J126" s="57"/>
      <c r="K126" s="57"/>
      <c r="L126" s="57"/>
      <c r="M126" s="57"/>
      <c r="N126" s="57"/>
      <c r="O126" s="60"/>
      <c r="P126" s="46">
        <f>IF(I126=VLOOKUP(VALUE(I$1),Questions[#All],5,FALSE),1,0)</f>
        <v>0</v>
      </c>
      <c r="Q126" s="43">
        <f>IF(J126=VLOOKUP(VALUE(J$1),Questions[#All],5,FALSE),1,0)</f>
        <v>0</v>
      </c>
      <c r="R126" s="43">
        <f>IF(K126=VLOOKUP(VALUE(K$1),Questions[#All],5,FALSE),1,0)</f>
        <v>0</v>
      </c>
      <c r="S126" s="43">
        <f>IF(L126=VLOOKUP(VALUE(L$1),Questions[#All],5,FALSE),1,0)</f>
        <v>0</v>
      </c>
      <c r="T126" s="43">
        <f>IF(M126=VLOOKUP(VALUE(M$1),Questions[#All],5,FALSE),1,0)</f>
        <v>0</v>
      </c>
      <c r="U126" s="43">
        <f>IF(N126=VLOOKUP(VALUE(N$1),Questions[#All],5,FALSE),1,0)</f>
        <v>0</v>
      </c>
    </row>
    <row r="127" spans="1:23" ht="21" customHeight="1" x14ac:dyDescent="0.15">
      <c r="A127" s="20" t="s">
        <v>875</v>
      </c>
      <c r="B127" s="55" t="s">
        <v>45</v>
      </c>
      <c r="C127" s="51">
        <v>8</v>
      </c>
      <c r="D127" s="51">
        <v>9</v>
      </c>
      <c r="E127" s="52" t="b">
        <v>0</v>
      </c>
      <c r="F127" s="53" t="b">
        <v>0</v>
      </c>
      <c r="G127" s="54">
        <v>2</v>
      </c>
      <c r="H127" s="62"/>
      <c r="I127" s="54">
        <v>1</v>
      </c>
      <c r="J127" s="51">
        <v>2</v>
      </c>
      <c r="K127" s="51">
        <v>3</v>
      </c>
      <c r="L127" s="51">
        <v>3</v>
      </c>
      <c r="M127" s="51">
        <v>2</v>
      </c>
      <c r="N127" s="51">
        <v>2</v>
      </c>
      <c r="O127" s="54"/>
      <c r="P127" s="40">
        <f>IF(I127=VLOOKUP(VALUE(I$1),Questions[#All],5,FALSE),1,0)</f>
        <v>0</v>
      </c>
      <c r="Q127" s="37">
        <f>IF(J127=VLOOKUP(VALUE(J$1),Questions[#All],5,FALSE),1,0)</f>
        <v>0</v>
      </c>
      <c r="R127" s="37">
        <f>IF(K127=VLOOKUP(VALUE(K$1),Questions[#All],5,FALSE),1,0)</f>
        <v>1</v>
      </c>
      <c r="S127" s="37">
        <f>IF(L127=VLOOKUP(VALUE(L$1),Questions[#All],5,FALSE),1,0)</f>
        <v>0</v>
      </c>
      <c r="T127" s="37">
        <f>IF(M127=VLOOKUP(VALUE(M$1),Questions[#All],5,FALSE),1,0)</f>
        <v>0</v>
      </c>
      <c r="U127" s="37">
        <f>IF(N127=VLOOKUP(VALUE(N$1),Questions[#All],5,FALSE),1,0)</f>
        <v>1</v>
      </c>
    </row>
    <row r="128" spans="1:23" ht="21" customHeight="1" x14ac:dyDescent="0.15">
      <c r="A128" s="20" t="s">
        <v>876</v>
      </c>
      <c r="B128" s="61" t="s">
        <v>45</v>
      </c>
      <c r="C128" s="57">
        <v>8</v>
      </c>
      <c r="D128" s="57">
        <v>9</v>
      </c>
      <c r="E128" s="58" t="b">
        <v>0</v>
      </c>
      <c r="F128" s="59" t="b">
        <v>0</v>
      </c>
      <c r="G128" s="60">
        <v>4</v>
      </c>
      <c r="H128" s="63"/>
      <c r="I128" s="60">
        <v>4</v>
      </c>
      <c r="J128" s="57">
        <v>1</v>
      </c>
      <c r="K128" s="57">
        <v>3</v>
      </c>
      <c r="L128" s="57">
        <v>2</v>
      </c>
      <c r="M128" s="57">
        <v>1</v>
      </c>
      <c r="N128" s="57">
        <v>2</v>
      </c>
      <c r="O128" s="60"/>
      <c r="P128" s="46">
        <f>IF(I128=VLOOKUP(VALUE(I$1),Questions[#All],5,FALSE),1,0)</f>
        <v>0</v>
      </c>
      <c r="Q128" s="43">
        <f>IF(J128=VLOOKUP(VALUE(J$1),Questions[#All],5,FALSE),1,0)</f>
        <v>1</v>
      </c>
      <c r="R128" s="43">
        <f>IF(K128=VLOOKUP(VALUE(K$1),Questions[#All],5,FALSE),1,0)</f>
        <v>1</v>
      </c>
      <c r="S128" s="43">
        <f>IF(L128=VLOOKUP(VALUE(L$1),Questions[#All],5,FALSE),1,0)</f>
        <v>1</v>
      </c>
      <c r="T128" s="43">
        <f>IF(M128=VLOOKUP(VALUE(M$1),Questions[#All],5,FALSE),1,0)</f>
        <v>0</v>
      </c>
      <c r="U128" s="43">
        <f>IF(N128=VLOOKUP(VALUE(N$1),Questions[#All],5,FALSE),1,0)</f>
        <v>1</v>
      </c>
    </row>
    <row r="129" spans="1:21" ht="21" customHeight="1" x14ac:dyDescent="0.15">
      <c r="A129" s="20" t="s">
        <v>877</v>
      </c>
      <c r="B129" s="55" t="s">
        <v>45</v>
      </c>
      <c r="C129" s="51">
        <v>8</v>
      </c>
      <c r="D129" s="51">
        <v>9</v>
      </c>
      <c r="E129" s="52" t="b">
        <v>0</v>
      </c>
      <c r="F129" s="53" t="b">
        <v>0</v>
      </c>
      <c r="G129" s="54">
        <v>5</v>
      </c>
      <c r="H129" s="62"/>
      <c r="I129" s="54">
        <v>3</v>
      </c>
      <c r="J129" s="51">
        <v>1</v>
      </c>
      <c r="K129" s="51">
        <v>3</v>
      </c>
      <c r="L129" s="51">
        <v>2</v>
      </c>
      <c r="M129" s="51">
        <v>3</v>
      </c>
      <c r="N129" s="51">
        <v>2</v>
      </c>
      <c r="O129" s="54"/>
      <c r="P129" s="40">
        <f>IF(I129=VLOOKUP(VALUE(I$1),Questions[#All],5,FALSE),1,0)</f>
        <v>1</v>
      </c>
      <c r="Q129" s="37">
        <f>IF(J129=VLOOKUP(VALUE(J$1),Questions[#All],5,FALSE),1,0)</f>
        <v>1</v>
      </c>
      <c r="R129" s="37">
        <f>IF(K129=VLOOKUP(VALUE(K$1),Questions[#All],5,FALSE),1,0)</f>
        <v>1</v>
      </c>
      <c r="S129" s="37">
        <f>IF(L129=VLOOKUP(VALUE(L$1),Questions[#All],5,FALSE),1,0)</f>
        <v>1</v>
      </c>
      <c r="T129" s="37">
        <f>IF(M129=VLOOKUP(VALUE(M$1),Questions[#All],5,FALSE),1,0)</f>
        <v>1</v>
      </c>
      <c r="U129" s="37">
        <f>IF(N129=VLOOKUP(VALUE(N$1),Questions[#All],5,FALSE),1,0)</f>
        <v>1</v>
      </c>
    </row>
    <row r="130" spans="1:21" ht="21" customHeight="1" x14ac:dyDescent="0.15">
      <c r="A130" s="20" t="s">
        <v>878</v>
      </c>
      <c r="B130" s="61" t="s">
        <v>45</v>
      </c>
      <c r="C130" s="57">
        <v>8</v>
      </c>
      <c r="D130" s="57">
        <v>9</v>
      </c>
      <c r="E130" s="58" t="b">
        <v>0</v>
      </c>
      <c r="F130" s="59" t="b">
        <v>0</v>
      </c>
      <c r="G130" s="60">
        <v>2</v>
      </c>
      <c r="H130" s="63"/>
      <c r="I130" s="60">
        <v>2</v>
      </c>
      <c r="J130" s="57">
        <v>3</v>
      </c>
      <c r="K130" s="57">
        <v>3</v>
      </c>
      <c r="L130" s="57">
        <v>2</v>
      </c>
      <c r="M130" s="57">
        <v>1</v>
      </c>
      <c r="N130" s="57">
        <v>3</v>
      </c>
      <c r="O130" s="60"/>
      <c r="P130" s="46">
        <f>IF(I130=VLOOKUP(VALUE(I$1),Questions[#All],5,FALSE),1,0)</f>
        <v>0</v>
      </c>
      <c r="Q130" s="43">
        <f>IF(J130=VLOOKUP(VALUE(J$1),Questions[#All],5,FALSE),1,0)</f>
        <v>0</v>
      </c>
      <c r="R130" s="43">
        <f>IF(K130=VLOOKUP(VALUE(K$1),Questions[#All],5,FALSE),1,0)</f>
        <v>1</v>
      </c>
      <c r="S130" s="43">
        <f>IF(L130=VLOOKUP(VALUE(L$1),Questions[#All],5,FALSE),1,0)</f>
        <v>1</v>
      </c>
      <c r="T130" s="43">
        <f>IF(M130=VLOOKUP(VALUE(M$1),Questions[#All],5,FALSE),1,0)</f>
        <v>0</v>
      </c>
      <c r="U130" s="43">
        <f>IF(N130=VLOOKUP(VALUE(N$1),Questions[#All],5,FALSE),1,0)</f>
        <v>0</v>
      </c>
    </row>
    <row r="131" spans="1:21" ht="21" customHeight="1" x14ac:dyDescent="0.15">
      <c r="A131" s="20" t="s">
        <v>879</v>
      </c>
      <c r="B131" s="55" t="s">
        <v>45</v>
      </c>
      <c r="C131" s="51">
        <v>8</v>
      </c>
      <c r="D131" s="51">
        <v>9</v>
      </c>
      <c r="E131" s="52" t="b">
        <v>0</v>
      </c>
      <c r="F131" s="53" t="b">
        <v>0</v>
      </c>
      <c r="G131" s="54">
        <v>1</v>
      </c>
      <c r="H131" s="62"/>
      <c r="I131" s="54">
        <v>2</v>
      </c>
      <c r="J131" s="51">
        <v>4</v>
      </c>
      <c r="K131" s="51">
        <v>2</v>
      </c>
      <c r="L131" s="51">
        <v>1</v>
      </c>
      <c r="M131" s="51">
        <v>3</v>
      </c>
      <c r="N131" s="51">
        <v>2</v>
      </c>
      <c r="O131" s="54"/>
      <c r="P131" s="40">
        <f>IF(I131=VLOOKUP(VALUE(I$1),Questions[#All],5,FALSE),1,0)</f>
        <v>0</v>
      </c>
      <c r="Q131" s="37">
        <f>IF(J131=VLOOKUP(VALUE(J$1),Questions[#All],5,FALSE),1,0)</f>
        <v>0</v>
      </c>
      <c r="R131" s="37">
        <f>IF(K131=VLOOKUP(VALUE(K$1),Questions[#All],5,FALSE),1,0)</f>
        <v>0</v>
      </c>
      <c r="S131" s="37">
        <f>IF(L131=VLOOKUP(VALUE(L$1),Questions[#All],5,FALSE),1,0)</f>
        <v>0</v>
      </c>
      <c r="T131" s="37">
        <f>IF(M131=VLOOKUP(VALUE(M$1),Questions[#All],5,FALSE),1,0)</f>
        <v>1</v>
      </c>
      <c r="U131" s="37">
        <f>IF(N131=VLOOKUP(VALUE(N$1),Questions[#All],5,FALSE),1,0)</f>
        <v>1</v>
      </c>
    </row>
    <row r="132" spans="1:21" ht="21" customHeight="1" x14ac:dyDescent="0.15">
      <c r="A132" s="20" t="s">
        <v>880</v>
      </c>
      <c r="B132" s="61" t="s">
        <v>45</v>
      </c>
      <c r="C132" s="57">
        <v>8</v>
      </c>
      <c r="D132" s="57">
        <v>9</v>
      </c>
      <c r="E132" s="58" t="b">
        <v>0</v>
      </c>
      <c r="F132" s="59" t="b">
        <v>0</v>
      </c>
      <c r="G132" s="60">
        <v>2</v>
      </c>
      <c r="H132" s="63"/>
      <c r="I132" s="60">
        <v>2</v>
      </c>
      <c r="J132" s="57">
        <v>2</v>
      </c>
      <c r="K132" s="57">
        <v>1</v>
      </c>
      <c r="L132" s="57">
        <v>2</v>
      </c>
      <c r="M132" s="57">
        <v>3</v>
      </c>
      <c r="N132" s="57">
        <v>2</v>
      </c>
      <c r="O132" s="60"/>
      <c r="P132" s="46">
        <f>IF(I132=VLOOKUP(VALUE(I$1),Questions[#All],5,FALSE),1,0)</f>
        <v>0</v>
      </c>
      <c r="Q132" s="43">
        <f>IF(J132=VLOOKUP(VALUE(J$1),Questions[#All],5,FALSE),1,0)</f>
        <v>0</v>
      </c>
      <c r="R132" s="43">
        <f>IF(K132=VLOOKUP(VALUE(K$1),Questions[#All],5,FALSE),1,0)</f>
        <v>0</v>
      </c>
      <c r="S132" s="43">
        <f>IF(L132=VLOOKUP(VALUE(L$1),Questions[#All],5,FALSE),1,0)</f>
        <v>1</v>
      </c>
      <c r="T132" s="43">
        <f>IF(M132=VLOOKUP(VALUE(M$1),Questions[#All],5,FALSE),1,0)</f>
        <v>1</v>
      </c>
      <c r="U132" s="43">
        <f>IF(N132=VLOOKUP(VALUE(N$1),Questions[#All],5,FALSE),1,0)</f>
        <v>1</v>
      </c>
    </row>
    <row r="133" spans="1:21" ht="21" customHeight="1" x14ac:dyDescent="0.15">
      <c r="A133" s="20" t="s">
        <v>881</v>
      </c>
      <c r="B133" s="55" t="s">
        <v>45</v>
      </c>
      <c r="C133" s="51">
        <v>8</v>
      </c>
      <c r="D133" s="51">
        <v>9</v>
      </c>
      <c r="E133" s="52" t="b">
        <v>0</v>
      </c>
      <c r="F133" s="53" t="b">
        <v>0</v>
      </c>
      <c r="G133" s="54">
        <v>2</v>
      </c>
      <c r="H133" s="62"/>
      <c r="I133" s="54">
        <v>2</v>
      </c>
      <c r="J133" s="51">
        <v>1</v>
      </c>
      <c r="K133" s="51">
        <v>3</v>
      </c>
      <c r="L133" s="51">
        <v>4</v>
      </c>
      <c r="M133" s="51">
        <v>1</v>
      </c>
      <c r="N133" s="51">
        <v>3</v>
      </c>
      <c r="O133" s="54"/>
      <c r="P133" s="40">
        <f>IF(I133=VLOOKUP(VALUE(I$1),Questions[#All],5,FALSE),1,0)</f>
        <v>0</v>
      </c>
      <c r="Q133" s="37">
        <f>IF(J133=VLOOKUP(VALUE(J$1),Questions[#All],5,FALSE),1,0)</f>
        <v>1</v>
      </c>
      <c r="R133" s="37">
        <f>IF(K133=VLOOKUP(VALUE(K$1),Questions[#All],5,FALSE),1,0)</f>
        <v>1</v>
      </c>
      <c r="S133" s="37">
        <f>IF(L133=VLOOKUP(VALUE(L$1),Questions[#All],5,FALSE),1,0)</f>
        <v>0</v>
      </c>
      <c r="T133" s="37">
        <f>IF(M133=VLOOKUP(VALUE(M$1),Questions[#All],5,FALSE),1,0)</f>
        <v>0</v>
      </c>
      <c r="U133" s="37">
        <f>IF(N133=VLOOKUP(VALUE(N$1),Questions[#All],5,FALSE),1,0)</f>
        <v>0</v>
      </c>
    </row>
    <row r="134" spans="1:21" ht="21" customHeight="1" x14ac:dyDescent="0.15">
      <c r="A134" s="20" t="s">
        <v>882</v>
      </c>
      <c r="B134" s="61" t="s">
        <v>45</v>
      </c>
      <c r="C134" s="57">
        <v>8</v>
      </c>
      <c r="D134" s="57">
        <v>9</v>
      </c>
      <c r="E134" s="58" t="b">
        <v>0</v>
      </c>
      <c r="F134" s="59" t="b">
        <v>0</v>
      </c>
      <c r="G134" s="60">
        <v>3</v>
      </c>
      <c r="H134" s="63"/>
      <c r="I134" s="60">
        <v>3</v>
      </c>
      <c r="J134" s="57">
        <v>4</v>
      </c>
      <c r="K134" s="57">
        <v>3</v>
      </c>
      <c r="L134" s="57">
        <v>2</v>
      </c>
      <c r="M134" s="57">
        <v>4</v>
      </c>
      <c r="N134" s="57">
        <v>1</v>
      </c>
      <c r="O134" s="60"/>
      <c r="P134" s="46">
        <f>IF(I134=VLOOKUP(VALUE(I$1),Questions[#All],5,FALSE),1,0)</f>
        <v>1</v>
      </c>
      <c r="Q134" s="43">
        <f>IF(J134=VLOOKUP(VALUE(J$1),Questions[#All],5,FALSE),1,0)</f>
        <v>0</v>
      </c>
      <c r="R134" s="43">
        <f>IF(K134=VLOOKUP(VALUE(K$1),Questions[#All],5,FALSE),1,0)</f>
        <v>1</v>
      </c>
      <c r="S134" s="43">
        <f>IF(L134=VLOOKUP(VALUE(L$1),Questions[#All],5,FALSE),1,0)</f>
        <v>1</v>
      </c>
      <c r="T134" s="43">
        <f>IF(M134=VLOOKUP(VALUE(M$1),Questions[#All],5,FALSE),1,0)</f>
        <v>0</v>
      </c>
      <c r="U134" s="43">
        <f>IF(N134=VLOOKUP(VALUE(N$1),Questions[#All],5,FALSE),1,0)</f>
        <v>0</v>
      </c>
    </row>
    <row r="135" spans="1:21" ht="21" customHeight="1" x14ac:dyDescent="0.15">
      <c r="A135" s="20" t="s">
        <v>883</v>
      </c>
      <c r="B135" s="55" t="s">
        <v>45</v>
      </c>
      <c r="C135" s="51">
        <v>8</v>
      </c>
      <c r="D135" s="51">
        <v>9</v>
      </c>
      <c r="E135" s="52" t="b">
        <v>0</v>
      </c>
      <c r="F135" s="53" t="b">
        <v>0</v>
      </c>
      <c r="G135" s="54">
        <v>2</v>
      </c>
      <c r="H135" s="62"/>
      <c r="I135" s="54">
        <v>1</v>
      </c>
      <c r="J135" s="51">
        <v>2</v>
      </c>
      <c r="K135" s="51">
        <v>3</v>
      </c>
      <c r="L135" s="51">
        <v>1</v>
      </c>
      <c r="M135" s="51">
        <v>4</v>
      </c>
      <c r="N135" s="51">
        <v>2</v>
      </c>
      <c r="O135" s="54"/>
      <c r="P135" s="40">
        <f>IF(I135=VLOOKUP(VALUE(I$1),Questions[#All],5,FALSE),1,0)</f>
        <v>0</v>
      </c>
      <c r="Q135" s="37">
        <f>IF(J135=VLOOKUP(VALUE(J$1),Questions[#All],5,FALSE),1,0)</f>
        <v>0</v>
      </c>
      <c r="R135" s="37">
        <f>IF(K135=VLOOKUP(VALUE(K$1),Questions[#All],5,FALSE),1,0)</f>
        <v>1</v>
      </c>
      <c r="S135" s="37">
        <f>IF(L135=VLOOKUP(VALUE(L$1),Questions[#All],5,FALSE),1,0)</f>
        <v>0</v>
      </c>
      <c r="T135" s="37">
        <f>IF(M135=VLOOKUP(VALUE(M$1),Questions[#All],5,FALSE),1,0)</f>
        <v>0</v>
      </c>
      <c r="U135" s="37">
        <f>IF(N135=VLOOKUP(VALUE(N$1),Questions[#All],5,FALSE),1,0)</f>
        <v>1</v>
      </c>
    </row>
    <row r="136" spans="1:21" ht="21" customHeight="1" x14ac:dyDescent="0.15">
      <c r="A136" s="20" t="s">
        <v>884</v>
      </c>
      <c r="B136" s="61" t="s">
        <v>45</v>
      </c>
      <c r="C136" s="57">
        <v>8</v>
      </c>
      <c r="D136" s="57">
        <v>9</v>
      </c>
      <c r="E136" s="58" t="b">
        <v>0</v>
      </c>
      <c r="F136" s="59" t="b">
        <v>0</v>
      </c>
      <c r="G136" s="60">
        <v>2</v>
      </c>
      <c r="H136" s="63"/>
      <c r="I136" s="60">
        <v>2</v>
      </c>
      <c r="J136" s="57">
        <v>4</v>
      </c>
      <c r="K136" s="57">
        <v>3</v>
      </c>
      <c r="L136" s="57">
        <v>2</v>
      </c>
      <c r="M136" s="57">
        <v>1</v>
      </c>
      <c r="N136" s="57">
        <v>3</v>
      </c>
      <c r="O136" s="60"/>
      <c r="P136" s="46">
        <f>IF(I136=VLOOKUP(VALUE(I$1),Questions[#All],5,FALSE),1,0)</f>
        <v>0</v>
      </c>
      <c r="Q136" s="43">
        <f>IF(J136=VLOOKUP(VALUE(J$1),Questions[#All],5,FALSE),1,0)</f>
        <v>0</v>
      </c>
      <c r="R136" s="43">
        <f>IF(K136=VLOOKUP(VALUE(K$1),Questions[#All],5,FALSE),1,0)</f>
        <v>1</v>
      </c>
      <c r="S136" s="43">
        <f>IF(L136=VLOOKUP(VALUE(L$1),Questions[#All],5,FALSE),1,0)</f>
        <v>1</v>
      </c>
      <c r="T136" s="43">
        <f>IF(M136=VLOOKUP(VALUE(M$1),Questions[#All],5,FALSE),1,0)</f>
        <v>0</v>
      </c>
      <c r="U136" s="43">
        <f>IF(N136=VLOOKUP(VALUE(N$1),Questions[#All],5,FALSE),1,0)</f>
        <v>0</v>
      </c>
    </row>
    <row r="137" spans="1:21" ht="21" customHeight="1" x14ac:dyDescent="0.15">
      <c r="A137" s="20" t="s">
        <v>885</v>
      </c>
      <c r="B137" s="55" t="s">
        <v>45</v>
      </c>
      <c r="C137" s="51">
        <v>8</v>
      </c>
      <c r="D137" s="51">
        <v>9</v>
      </c>
      <c r="E137" s="52" t="b">
        <v>0</v>
      </c>
      <c r="F137" s="53" t="b">
        <v>0</v>
      </c>
      <c r="G137" s="54">
        <v>0</v>
      </c>
      <c r="H137" s="62"/>
      <c r="I137" s="54"/>
      <c r="J137" s="51"/>
      <c r="K137" s="51"/>
      <c r="L137" s="51"/>
      <c r="M137" s="51"/>
      <c r="N137" s="51"/>
      <c r="O137" s="54"/>
      <c r="P137" s="40">
        <f>IF(I137=VLOOKUP(VALUE(I$1),Questions[#All],5,FALSE),1,0)</f>
        <v>0</v>
      </c>
      <c r="Q137" s="37">
        <f>IF(J137=VLOOKUP(VALUE(J$1),Questions[#All],5,FALSE),1,0)</f>
        <v>0</v>
      </c>
      <c r="R137" s="37">
        <f>IF(K137=VLOOKUP(VALUE(K$1),Questions[#All],5,FALSE),1,0)</f>
        <v>0</v>
      </c>
      <c r="S137" s="37">
        <f>IF(L137=VLOOKUP(VALUE(L$1),Questions[#All],5,FALSE),1,0)</f>
        <v>0</v>
      </c>
      <c r="T137" s="37">
        <f>IF(M137=VLOOKUP(VALUE(M$1),Questions[#All],5,FALSE),1,0)</f>
        <v>0</v>
      </c>
      <c r="U137" s="37">
        <f>IF(N137=VLOOKUP(VALUE(N$1),Questions[#All],5,FALSE),1,0)</f>
        <v>0</v>
      </c>
    </row>
    <row r="138" spans="1:21" ht="21" customHeight="1" x14ac:dyDescent="0.15">
      <c r="A138" s="20" t="s">
        <v>886</v>
      </c>
      <c r="B138" s="61" t="s">
        <v>45</v>
      </c>
      <c r="C138" s="57">
        <v>8</v>
      </c>
      <c r="D138" s="57">
        <v>9</v>
      </c>
      <c r="E138" s="58" t="b">
        <v>0</v>
      </c>
      <c r="F138" s="59" t="b">
        <v>0</v>
      </c>
      <c r="G138" s="60">
        <v>0</v>
      </c>
      <c r="H138" s="63"/>
      <c r="I138" s="60"/>
      <c r="J138" s="57"/>
      <c r="K138" s="57"/>
      <c r="L138" s="57"/>
      <c r="M138" s="57"/>
      <c r="N138" s="57"/>
      <c r="O138" s="60"/>
      <c r="P138" s="46">
        <f>IF(I138=VLOOKUP(VALUE(I$1),Questions[#All],5,FALSE),1,0)</f>
        <v>0</v>
      </c>
      <c r="Q138" s="43">
        <f>IF(J138=VLOOKUP(VALUE(J$1),Questions[#All],5,FALSE),1,0)</f>
        <v>0</v>
      </c>
      <c r="R138" s="43">
        <f>IF(K138=VLOOKUP(VALUE(K$1),Questions[#All],5,FALSE),1,0)</f>
        <v>0</v>
      </c>
      <c r="S138" s="43">
        <f>IF(L138=VLOOKUP(VALUE(L$1),Questions[#All],5,FALSE),1,0)</f>
        <v>0</v>
      </c>
      <c r="T138" s="43">
        <f>IF(M138=VLOOKUP(VALUE(M$1),Questions[#All],5,FALSE),1,0)</f>
        <v>0</v>
      </c>
      <c r="U138" s="43">
        <f>IF(N138=VLOOKUP(VALUE(N$1),Questions[#All],5,FALSE),1,0)</f>
        <v>0</v>
      </c>
    </row>
    <row r="139" spans="1:21" ht="21" customHeight="1" x14ac:dyDescent="0.15">
      <c r="A139" s="20" t="s">
        <v>887</v>
      </c>
      <c r="B139" s="55" t="s">
        <v>45</v>
      </c>
      <c r="C139" s="51">
        <v>8</v>
      </c>
      <c r="D139" s="51">
        <v>9</v>
      </c>
      <c r="E139" s="52" t="b">
        <v>0</v>
      </c>
      <c r="F139" s="53" t="b">
        <v>0</v>
      </c>
      <c r="G139" s="54">
        <v>2</v>
      </c>
      <c r="H139" s="62"/>
      <c r="I139" s="54">
        <v>1</v>
      </c>
      <c r="J139" s="51">
        <v>4</v>
      </c>
      <c r="K139" s="51">
        <v>3</v>
      </c>
      <c r="L139" s="51">
        <v>2</v>
      </c>
      <c r="M139" s="51">
        <v>4</v>
      </c>
      <c r="N139" s="51">
        <v>1</v>
      </c>
      <c r="O139" s="54"/>
      <c r="P139" s="40">
        <f>IF(I139=VLOOKUP(VALUE(I$1),Questions[#All],5,FALSE),1,0)</f>
        <v>0</v>
      </c>
      <c r="Q139" s="37">
        <f>IF(J139=VLOOKUP(VALUE(J$1),Questions[#All],5,FALSE),1,0)</f>
        <v>0</v>
      </c>
      <c r="R139" s="37">
        <f>IF(K139=VLOOKUP(VALUE(K$1),Questions[#All],5,FALSE),1,0)</f>
        <v>1</v>
      </c>
      <c r="S139" s="37">
        <f>IF(L139=VLOOKUP(VALUE(L$1),Questions[#All],5,FALSE),1,0)</f>
        <v>1</v>
      </c>
      <c r="T139" s="37">
        <f>IF(M139=VLOOKUP(VALUE(M$1),Questions[#All],5,FALSE),1,0)</f>
        <v>0</v>
      </c>
      <c r="U139" s="37">
        <f>IF(N139=VLOOKUP(VALUE(N$1),Questions[#All],5,FALSE),1,0)</f>
        <v>0</v>
      </c>
    </row>
    <row r="140" spans="1:21" ht="21" customHeight="1" x14ac:dyDescent="0.15">
      <c r="A140" s="20" t="s">
        <v>888</v>
      </c>
      <c r="B140" s="61" t="s">
        <v>45</v>
      </c>
      <c r="C140" s="57">
        <v>8</v>
      </c>
      <c r="D140" s="57">
        <v>9</v>
      </c>
      <c r="E140" s="58" t="b">
        <v>0</v>
      </c>
      <c r="F140" s="59" t="b">
        <v>0</v>
      </c>
      <c r="G140" s="60">
        <v>4</v>
      </c>
      <c r="H140" s="63"/>
      <c r="I140" s="60">
        <v>4</v>
      </c>
      <c r="J140" s="57">
        <v>1</v>
      </c>
      <c r="K140" s="57">
        <v>3</v>
      </c>
      <c r="L140" s="57">
        <v>2</v>
      </c>
      <c r="M140" s="57">
        <v>3</v>
      </c>
      <c r="N140" s="57">
        <v>2</v>
      </c>
      <c r="O140" s="60"/>
      <c r="P140" s="46">
        <f>IF(I140=VLOOKUP(VALUE(I$1),Questions[#All],5,FALSE),1,0)</f>
        <v>0</v>
      </c>
      <c r="Q140" s="43">
        <f>IF(J140=VLOOKUP(VALUE(J$1),Questions[#All],5,FALSE),1,0)</f>
        <v>1</v>
      </c>
      <c r="R140" s="43">
        <f>IF(K140=VLOOKUP(VALUE(K$1),Questions[#All],5,FALSE),1,0)</f>
        <v>1</v>
      </c>
      <c r="S140" s="43">
        <f>IF(L140=VLOOKUP(VALUE(L$1),Questions[#All],5,FALSE),1,0)</f>
        <v>1</v>
      </c>
      <c r="T140" s="43">
        <f>IF(M140=VLOOKUP(VALUE(M$1),Questions[#All],5,FALSE),1,0)</f>
        <v>1</v>
      </c>
      <c r="U140" s="43">
        <f>IF(N140=VLOOKUP(VALUE(N$1),Questions[#All],5,FALSE),1,0)</f>
        <v>1</v>
      </c>
    </row>
    <row r="141" spans="1:21" ht="21" customHeight="1" x14ac:dyDescent="0.15">
      <c r="A141" s="71"/>
      <c r="B141" s="64"/>
      <c r="C141" s="65"/>
      <c r="D141" s="65"/>
      <c r="E141" s="66"/>
      <c r="F141" s="67"/>
      <c r="G141" s="68">
        <f>AVERAGE(Scores!$G$2:$G$140)</f>
        <v>3.5323741007194243</v>
      </c>
      <c r="H141" s="64"/>
      <c r="I141" s="69"/>
      <c r="J141" s="65"/>
      <c r="K141" s="65"/>
      <c r="L141" s="65"/>
      <c r="M141" s="65"/>
      <c r="N141" s="65"/>
      <c r="O141" s="69"/>
      <c r="P141" s="69"/>
      <c r="Q141" s="65"/>
      <c r="R141" s="65"/>
      <c r="S141" s="65"/>
      <c r="T141" s="65"/>
      <c r="U141" s="65"/>
    </row>
  </sheetData>
  <phoneticPr fontId="12" type="noConversion"/>
  <conditionalFormatting sqref="I2:N140">
    <cfRule type="expression" dxfId="1" priority="1" stopIfTrue="1">
      <formula>P2=0</formula>
    </cfRule>
  </conditionalFormatting>
  <dataValidations count="2">
    <dataValidation type="list" allowBlank="1" sqref="B2:B140" xr:uid="{00000000-0002-0000-0000-000000000000}">
      <formula1>"Bermejo,Dushin,Klein / Cooper,Kovelsky"</formula1>
    </dataValidation>
    <dataValidation type="custom" allowBlank="1" showDropDown="1" sqref="H2:H140" xr:uid="{00000000-0002-0000-0000-000001000000}">
      <formula1>AND(ISNUMBER(H2),(NOT(OR(NOT(ISERROR(DATEVALUE(H2))), AND(ISNUMBER(H2), LEFT(CELL("format", H2))="D")))))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8"/>
  <sheetViews>
    <sheetView showGridLines="0" zoomScale="107" workbookViewId="0">
      <pane ySplit="1" topLeftCell="A28" activePane="bottomLeft" state="frozen"/>
      <selection pane="bottomLeft" activeCell="F6" sqref="F6"/>
    </sheetView>
  </sheetViews>
  <sheetFormatPr baseColWidth="10" defaultColWidth="12.6640625" defaultRowHeight="15.75" customHeight="1" x14ac:dyDescent="0.15"/>
  <cols>
    <col min="1" max="1" width="10.1640625" customWidth="1"/>
    <col min="3" max="4" width="37.6640625" customWidth="1"/>
    <col min="5" max="5" width="10.1640625" customWidth="1"/>
    <col min="6" max="9" width="25.1640625" customWidth="1"/>
    <col min="10" max="10" width="19.1640625" customWidth="1"/>
    <col min="11" max="11" width="17.83203125" customWidth="1"/>
    <col min="12" max="12" width="17.6640625" customWidth="1"/>
    <col min="13" max="13" width="19.1640625" customWidth="1"/>
    <col min="14" max="14" width="15.6640625" customWidth="1"/>
    <col min="15" max="15" width="21.83203125" customWidth="1"/>
    <col min="16" max="16" width="17.33203125" customWidth="1"/>
    <col min="17" max="17" width="15.6640625" customWidth="1"/>
  </cols>
  <sheetData>
    <row r="1" spans="1:17" s="10" customFormat="1" ht="22.5" customHeight="1" x14ac:dyDescent="0.15">
      <c r="A1" s="11" t="s">
        <v>1</v>
      </c>
      <c r="B1" s="12" t="s">
        <v>2</v>
      </c>
      <c r="C1" s="12" t="s">
        <v>4</v>
      </c>
      <c r="D1" s="12" t="s">
        <v>6</v>
      </c>
      <c r="E1" s="11" t="s">
        <v>7</v>
      </c>
      <c r="F1" s="12" t="s">
        <v>9</v>
      </c>
      <c r="G1" s="12" t="s">
        <v>11</v>
      </c>
      <c r="H1" s="12" t="s">
        <v>13</v>
      </c>
      <c r="I1" s="12" t="s">
        <v>16</v>
      </c>
      <c r="J1" s="12" t="s">
        <v>22</v>
      </c>
      <c r="K1" s="12" t="s">
        <v>26</v>
      </c>
      <c r="L1" s="12" t="s">
        <v>30</v>
      </c>
      <c r="M1" s="12" t="s">
        <v>33</v>
      </c>
      <c r="N1" s="12" t="s">
        <v>35</v>
      </c>
      <c r="O1" s="12" t="s">
        <v>37</v>
      </c>
      <c r="P1" s="12" t="s">
        <v>40</v>
      </c>
      <c r="Q1" s="12" t="s">
        <v>43</v>
      </c>
    </row>
    <row r="2" spans="1:17" ht="42" x14ac:dyDescent="0.15">
      <c r="A2" s="14">
        <v>1</v>
      </c>
      <c r="B2" s="13" t="s">
        <v>48</v>
      </c>
      <c r="C2" s="13" t="s">
        <v>704</v>
      </c>
      <c r="D2" s="13" t="s">
        <v>705</v>
      </c>
      <c r="E2" s="14">
        <v>3</v>
      </c>
      <c r="F2" s="13" t="s">
        <v>715</v>
      </c>
      <c r="G2" s="13" t="s">
        <v>716</v>
      </c>
      <c r="H2" s="13" t="s">
        <v>717</v>
      </c>
      <c r="I2" s="13" t="s">
        <v>718</v>
      </c>
      <c r="J2" s="13" t="s">
        <v>739</v>
      </c>
      <c r="K2" s="13" t="s">
        <v>742</v>
      </c>
      <c r="L2" s="13" t="s">
        <v>12</v>
      </c>
      <c r="M2" s="13" t="s">
        <v>86</v>
      </c>
      <c r="N2" s="13" t="s">
        <v>703</v>
      </c>
      <c r="O2" s="13" t="s">
        <v>743</v>
      </c>
      <c r="P2" s="15">
        <f t="array" ref="P2">AVERAGE(INDEX(Scores!$B$2:$U$140,0,MATCH("Q"&amp;$A2,Scores!$B$1:$U$1,0)))</f>
        <v>0.52517985611510787</v>
      </c>
      <c r="Q2" s="13"/>
    </row>
    <row r="3" spans="1:17" ht="42" x14ac:dyDescent="0.15">
      <c r="A3" s="14">
        <v>2</v>
      </c>
      <c r="B3" s="13" t="s">
        <v>48</v>
      </c>
      <c r="C3" s="13" t="s">
        <v>704</v>
      </c>
      <c r="D3" s="13" t="s">
        <v>706</v>
      </c>
      <c r="E3" s="14">
        <v>1</v>
      </c>
      <c r="F3" s="13" t="s">
        <v>719</v>
      </c>
      <c r="G3" s="13" t="s">
        <v>720</v>
      </c>
      <c r="H3" s="13" t="s">
        <v>721</v>
      </c>
      <c r="I3" s="13" t="s">
        <v>722</v>
      </c>
      <c r="J3" s="13" t="s">
        <v>739</v>
      </c>
      <c r="K3" s="13" t="s">
        <v>742</v>
      </c>
      <c r="L3" s="13" t="s">
        <v>53</v>
      </c>
      <c r="M3" s="13" t="s">
        <v>119</v>
      </c>
      <c r="N3" s="13" t="s">
        <v>744</v>
      </c>
      <c r="O3" s="13" t="s">
        <v>743</v>
      </c>
      <c r="P3" s="15">
        <f t="array" ref="P3">AVERAGE(INDEX(Scores!$B$2:$U$140,0,MATCH("Q"&amp;$A3,Scores!$B$1:$U$1,0)))</f>
        <v>0.49640287769784175</v>
      </c>
      <c r="Q3" s="13"/>
    </row>
    <row r="4" spans="1:17" ht="84" x14ac:dyDescent="0.15">
      <c r="A4" s="14">
        <v>3</v>
      </c>
      <c r="B4" s="13" t="s">
        <v>48</v>
      </c>
      <c r="C4" s="13" t="s">
        <v>707</v>
      </c>
      <c r="D4" s="13" t="s">
        <v>708</v>
      </c>
      <c r="E4" s="14">
        <v>3</v>
      </c>
      <c r="F4" s="13" t="s">
        <v>723</v>
      </c>
      <c r="G4" s="13" t="s">
        <v>724</v>
      </c>
      <c r="H4" s="13" t="s">
        <v>725</v>
      </c>
      <c r="I4" s="13" t="s">
        <v>726</v>
      </c>
      <c r="J4" s="13" t="s">
        <v>739</v>
      </c>
      <c r="K4" s="13" t="s">
        <v>742</v>
      </c>
      <c r="L4" s="13" t="s">
        <v>36</v>
      </c>
      <c r="M4" s="13" t="s">
        <v>106</v>
      </c>
      <c r="N4" s="13" t="s">
        <v>744</v>
      </c>
      <c r="O4" s="13" t="s">
        <v>745</v>
      </c>
      <c r="P4" s="15">
        <f t="array" ref="P4">AVERAGE(INDEX(Scores!$B$2:$U$140,0,MATCH("Q"&amp;$A4,Scores!$B$1:$U$1,0)))</f>
        <v>0.79856115107913672</v>
      </c>
      <c r="Q4" s="13"/>
    </row>
    <row r="5" spans="1:17" ht="56" x14ac:dyDescent="0.15">
      <c r="A5" s="14">
        <v>4</v>
      </c>
      <c r="B5" s="13" t="s">
        <v>48</v>
      </c>
      <c r="C5" s="13" t="s">
        <v>707</v>
      </c>
      <c r="D5" s="13" t="s">
        <v>709</v>
      </c>
      <c r="E5" s="14">
        <v>2</v>
      </c>
      <c r="F5" s="13" t="s">
        <v>727</v>
      </c>
      <c r="G5" s="13" t="s">
        <v>728</v>
      </c>
      <c r="H5" s="13" t="s">
        <v>729</v>
      </c>
      <c r="I5" s="13" t="s">
        <v>730</v>
      </c>
      <c r="J5" s="13" t="s">
        <v>739</v>
      </c>
      <c r="K5" s="13" t="s">
        <v>742</v>
      </c>
      <c r="L5" s="13" t="s">
        <v>31</v>
      </c>
      <c r="M5" s="13" t="s">
        <v>90</v>
      </c>
      <c r="N5" s="13" t="s">
        <v>703</v>
      </c>
      <c r="O5" s="13" t="s">
        <v>745</v>
      </c>
      <c r="P5" s="15">
        <f t="array" ref="P5">AVERAGE(INDEX(Scores!$B$2:$U$140,0,MATCH("Q"&amp;$A5,Scores!$B$1:$U$1,0)))</f>
        <v>0.73381294964028776</v>
      </c>
      <c r="Q5" s="13"/>
    </row>
    <row r="6" spans="1:17" ht="56" x14ac:dyDescent="0.15">
      <c r="A6" s="14">
        <v>5</v>
      </c>
      <c r="B6" s="13" t="s">
        <v>48</v>
      </c>
      <c r="C6" s="13" t="s">
        <v>710</v>
      </c>
      <c r="D6" s="13" t="s">
        <v>711</v>
      </c>
      <c r="E6" s="14">
        <v>3</v>
      </c>
      <c r="F6" s="13" t="s">
        <v>731</v>
      </c>
      <c r="G6" s="13" t="s">
        <v>732</v>
      </c>
      <c r="H6" s="13" t="s">
        <v>733</v>
      </c>
      <c r="I6" s="13" t="s">
        <v>734</v>
      </c>
      <c r="J6" s="13" t="s">
        <v>740</v>
      </c>
      <c r="K6" s="13" t="s">
        <v>741</v>
      </c>
      <c r="L6" s="13" t="s">
        <v>46</v>
      </c>
      <c r="M6" s="13" t="s">
        <v>99</v>
      </c>
      <c r="N6" s="13" t="s">
        <v>744</v>
      </c>
      <c r="O6" s="13" t="s">
        <v>746</v>
      </c>
      <c r="P6" s="15">
        <f t="array" ref="P6">AVERAGE(INDEX(Scores!$B$2:$U$140,0,MATCH("Q"&amp;$A6,Scores!$B$1:$U$1,0)))</f>
        <v>0.34532374100719426</v>
      </c>
      <c r="Q6" s="13"/>
    </row>
    <row r="7" spans="1:17" ht="56" x14ac:dyDescent="0.15">
      <c r="A7" s="14">
        <v>6</v>
      </c>
      <c r="B7" s="13" t="s">
        <v>48</v>
      </c>
      <c r="C7" s="13" t="s">
        <v>710</v>
      </c>
      <c r="D7" s="13" t="s">
        <v>712</v>
      </c>
      <c r="E7" s="14">
        <v>2</v>
      </c>
      <c r="F7" s="13" t="s">
        <v>735</v>
      </c>
      <c r="G7" s="13" t="s">
        <v>736</v>
      </c>
      <c r="H7" s="13" t="s">
        <v>737</v>
      </c>
      <c r="I7" s="13" t="s">
        <v>738</v>
      </c>
      <c r="J7" s="13" t="s">
        <v>740</v>
      </c>
      <c r="K7" s="13" t="s">
        <v>741</v>
      </c>
      <c r="L7" s="13" t="s">
        <v>49</v>
      </c>
      <c r="M7" s="13" t="s">
        <v>99</v>
      </c>
      <c r="N7" s="13" t="s">
        <v>703</v>
      </c>
      <c r="O7" s="13" t="s">
        <v>746</v>
      </c>
      <c r="P7" s="15">
        <f t="array" ref="P7">AVERAGE(INDEX(Scores!$B$2:$U$140,0,MATCH("Q"&amp;$A7,Scores!$B$1:$U$1,0)))</f>
        <v>0.67625899280575541</v>
      </c>
      <c r="Q7" s="13"/>
    </row>
    <row r="8" spans="1:17" ht="84" x14ac:dyDescent="0.15">
      <c r="A8" s="14">
        <v>7</v>
      </c>
      <c r="B8" s="13" t="s">
        <v>105</v>
      </c>
      <c r="C8" s="13" t="s">
        <v>713</v>
      </c>
      <c r="D8" s="13" t="s">
        <v>714</v>
      </c>
      <c r="E8" s="14"/>
      <c r="F8" s="16"/>
      <c r="G8" s="16"/>
      <c r="H8" s="16"/>
      <c r="I8" s="16"/>
      <c r="J8" s="13" t="s">
        <v>739</v>
      </c>
      <c r="K8" s="13"/>
      <c r="L8" s="13"/>
      <c r="M8" s="13"/>
      <c r="N8" s="13"/>
      <c r="O8" s="13" t="s">
        <v>745</v>
      </c>
      <c r="P8" s="15"/>
      <c r="Q8" s="13"/>
    </row>
  </sheetData>
  <conditionalFormatting sqref="F2:I8">
    <cfRule type="expression" dxfId="0" priority="1">
      <formula>"Option_"&amp;$E2=F$1</formula>
    </cfRule>
  </conditionalFormatting>
  <dataValidations count="4">
    <dataValidation type="list" allowBlank="1" sqref="N2:N8" xr:uid="{00000000-0002-0000-0100-000000000000}">
      <formula1>"Yes,No"</formula1>
    </dataValidation>
    <dataValidation type="custom" allowBlank="1" showDropDown="1" sqref="A2:A8 P2:P8" xr:uid="{00000000-0002-0000-0100-000001000000}">
      <formula1>AND(ISNUMBER(A2),(NOT(OR(NOT(ISERROR(DATEVALUE(A2))), AND(ISNUMBER(A2), LEFT(CELL("format", A2))="D")))))</formula1>
    </dataValidation>
    <dataValidation type="list" allowBlank="1" sqref="J2:J8" xr:uid="{00000000-0002-0000-0100-000002000000}">
      <formula1>"Text-based,Data-based,Map-based,Visual-based,Multiple"</formula1>
    </dataValidation>
    <dataValidation type="list" allowBlank="1" sqref="K2:K8" xr:uid="{00000000-0002-0000-0100-000004000000}">
      <formula1>"Primary,Secondary,Both"</formula1>
    </dataValidation>
  </dataValidations>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3">
        <x14:dataValidation type="list" allowBlank="1" xr:uid="{00000000-0002-0000-0100-000003000000}">
          <x14:formula1>
            <xm:f>'Content Standards'!$D:$D</xm:f>
          </x14:formula1>
          <xm:sqref>O2:O8</xm:sqref>
        </x14:dataValidation>
        <x14:dataValidation type="list" allowBlank="1" xr:uid="{5878EFB0-93BB-E048-A38F-DD0CFE127311}">
          <x14:formula1>
            <xm:f>'Task Models'!$A$2:$A$19</xm:f>
          </x14:formula1>
          <xm:sqref>L2 L3:L8</xm:sqref>
        </x14:dataValidation>
        <x14:dataValidation type="list" allowBlank="1" xr:uid="{329A147B-D6D2-BC49-ADE3-AB651FAD09C8}">
          <x14:formula1>
            <xm:f>'Skill Standards'!$B$2:$B$42</xm:f>
          </x14:formula1>
          <xm:sqref>M2:M8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9"/>
  <sheetViews>
    <sheetView showGridLines="0" workbookViewId="0">
      <pane ySplit="1" topLeftCell="A2" activePane="bottomLeft" state="frozen"/>
      <selection pane="bottomLeft" activeCell="B6" sqref="B6"/>
    </sheetView>
  </sheetViews>
  <sheetFormatPr baseColWidth="10" defaultColWidth="12.6640625" defaultRowHeight="15.75" customHeight="1" x14ac:dyDescent="0.15"/>
  <cols>
    <col min="1" max="1" width="36.6640625" customWidth="1"/>
    <col min="2" max="2" width="100.83203125" style="9" customWidth="1"/>
  </cols>
  <sheetData>
    <row r="1" spans="1:2" ht="22.5" customHeight="1" x14ac:dyDescent="0.15">
      <c r="A1" s="2" t="s">
        <v>0</v>
      </c>
      <c r="B1" s="7" t="s">
        <v>3</v>
      </c>
    </row>
    <row r="2" spans="1:2" ht="22.5" customHeight="1" x14ac:dyDescent="0.15">
      <c r="A2" s="3" t="s">
        <v>5</v>
      </c>
      <c r="B2" s="8" t="s">
        <v>8</v>
      </c>
    </row>
    <row r="3" spans="1:2" ht="22.5" customHeight="1" x14ac:dyDescent="0.15">
      <c r="A3" s="3" t="s">
        <v>12</v>
      </c>
      <c r="B3" s="8" t="s">
        <v>15</v>
      </c>
    </row>
    <row r="4" spans="1:2" ht="22.5" customHeight="1" x14ac:dyDescent="0.15">
      <c r="A4" s="3" t="s">
        <v>21</v>
      </c>
      <c r="B4" s="8" t="s">
        <v>27</v>
      </c>
    </row>
    <row r="5" spans="1:2" ht="22.5" customHeight="1" x14ac:dyDescent="0.15">
      <c r="A5" s="3" t="s">
        <v>31</v>
      </c>
      <c r="B5" s="8" t="s">
        <v>34</v>
      </c>
    </row>
    <row r="6" spans="1:2" ht="22.5" customHeight="1" x14ac:dyDescent="0.15">
      <c r="A6" s="3" t="s">
        <v>36</v>
      </c>
      <c r="B6" s="8" t="s">
        <v>39</v>
      </c>
    </row>
    <row r="7" spans="1:2" ht="22.5" customHeight="1" x14ac:dyDescent="0.15">
      <c r="A7" s="3" t="s">
        <v>41</v>
      </c>
      <c r="B7" s="8" t="s">
        <v>44</v>
      </c>
    </row>
    <row r="8" spans="1:2" ht="22.5" customHeight="1" x14ac:dyDescent="0.15">
      <c r="A8" s="3" t="s">
        <v>46</v>
      </c>
      <c r="B8" s="8" t="s">
        <v>47</v>
      </c>
    </row>
    <row r="9" spans="1:2" ht="22.5" customHeight="1" x14ac:dyDescent="0.15">
      <c r="A9" s="3" t="s">
        <v>49</v>
      </c>
      <c r="B9" s="8" t="s">
        <v>50</v>
      </c>
    </row>
    <row r="10" spans="1:2" ht="22.5" customHeight="1" x14ac:dyDescent="0.15">
      <c r="A10" s="3" t="s">
        <v>51</v>
      </c>
      <c r="B10" s="8" t="s">
        <v>52</v>
      </c>
    </row>
    <row r="11" spans="1:2" ht="22.5" customHeight="1" x14ac:dyDescent="0.15">
      <c r="A11" s="3" t="s">
        <v>53</v>
      </c>
      <c r="B11" s="8" t="s">
        <v>54</v>
      </c>
    </row>
    <row r="12" spans="1:2" ht="22.5" customHeight="1" x14ac:dyDescent="0.15">
      <c r="A12" s="3" t="s">
        <v>56</v>
      </c>
      <c r="B12" s="8" t="s">
        <v>58</v>
      </c>
    </row>
    <row r="13" spans="1:2" ht="22.5" customHeight="1" x14ac:dyDescent="0.15">
      <c r="A13" s="3" t="s">
        <v>61</v>
      </c>
      <c r="B13" s="8" t="s">
        <v>63</v>
      </c>
    </row>
    <row r="14" spans="1:2" ht="22.5" customHeight="1" x14ac:dyDescent="0.15">
      <c r="A14" s="3" t="s">
        <v>66</v>
      </c>
      <c r="B14" s="8" t="s">
        <v>67</v>
      </c>
    </row>
    <row r="15" spans="1:2" ht="22.5" customHeight="1" x14ac:dyDescent="0.15">
      <c r="A15" s="3" t="s">
        <v>68</v>
      </c>
      <c r="B15" s="8" t="s">
        <v>69</v>
      </c>
    </row>
    <row r="16" spans="1:2" ht="22.5" customHeight="1" x14ac:dyDescent="0.15">
      <c r="A16" s="3" t="s">
        <v>70</v>
      </c>
      <c r="B16" s="8" t="s">
        <v>71</v>
      </c>
    </row>
    <row r="17" spans="1:2" ht="22.5" customHeight="1" x14ac:dyDescent="0.15">
      <c r="A17" s="3" t="s">
        <v>72</v>
      </c>
      <c r="B17" s="8" t="s">
        <v>73</v>
      </c>
    </row>
    <row r="18" spans="1:2" ht="22.5" customHeight="1" x14ac:dyDescent="0.15">
      <c r="A18" s="3" t="s">
        <v>74</v>
      </c>
      <c r="B18" s="8" t="s">
        <v>75</v>
      </c>
    </row>
    <row r="19" spans="1:2" ht="22.5" customHeight="1" x14ac:dyDescent="0.15">
      <c r="A19" s="3" t="s">
        <v>76</v>
      </c>
      <c r="B19" s="8" t="s">
        <v>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42"/>
  <sheetViews>
    <sheetView showGridLines="0" workbookViewId="0">
      <pane ySplit="1" topLeftCell="A24" activePane="bottomLeft" state="frozen"/>
      <selection pane="bottomLeft" activeCell="B34" sqref="B34"/>
    </sheetView>
  </sheetViews>
  <sheetFormatPr baseColWidth="10" defaultColWidth="12.6640625" defaultRowHeight="15.75" customHeight="1" x14ac:dyDescent="0.15"/>
  <cols>
    <col min="1" max="1" width="35.83203125" customWidth="1"/>
    <col min="2" max="2" width="30.1640625" customWidth="1"/>
    <col min="3" max="3" width="37.6640625" style="6" customWidth="1"/>
  </cols>
  <sheetData>
    <row r="1" spans="1:3" ht="22.5" customHeight="1" x14ac:dyDescent="0.15">
      <c r="A1" s="2" t="s">
        <v>78</v>
      </c>
      <c r="B1" s="2" t="s">
        <v>79</v>
      </c>
      <c r="C1" s="4" t="s">
        <v>80</v>
      </c>
    </row>
    <row r="2" spans="1:3" ht="22.5" customHeight="1" x14ac:dyDescent="0.15">
      <c r="A2" s="3" t="s">
        <v>81</v>
      </c>
      <c r="B2" s="3" t="s">
        <v>82</v>
      </c>
      <c r="C2" s="5" t="s">
        <v>83</v>
      </c>
    </row>
    <row r="3" spans="1:3" ht="22.5" customHeight="1" x14ac:dyDescent="0.15">
      <c r="A3" s="3" t="s">
        <v>81</v>
      </c>
      <c r="B3" s="3" t="s">
        <v>84</v>
      </c>
      <c r="C3" s="5" t="s">
        <v>85</v>
      </c>
    </row>
    <row r="4" spans="1:3" ht="22.5" customHeight="1" x14ac:dyDescent="0.15">
      <c r="A4" s="3" t="s">
        <v>81</v>
      </c>
      <c r="B4" s="3" t="s">
        <v>86</v>
      </c>
      <c r="C4" s="5" t="s">
        <v>87</v>
      </c>
    </row>
    <row r="5" spans="1:3" ht="22.5" customHeight="1" x14ac:dyDescent="0.15">
      <c r="A5" s="3" t="s">
        <v>81</v>
      </c>
      <c r="B5" s="3" t="s">
        <v>88</v>
      </c>
      <c r="C5" s="5" t="s">
        <v>89</v>
      </c>
    </row>
    <row r="6" spans="1:3" ht="22.5" customHeight="1" x14ac:dyDescent="0.15">
      <c r="A6" s="3" t="s">
        <v>81</v>
      </c>
      <c r="B6" s="3" t="s">
        <v>90</v>
      </c>
      <c r="C6" s="5" t="s">
        <v>91</v>
      </c>
    </row>
    <row r="7" spans="1:3" ht="22.5" customHeight="1" x14ac:dyDescent="0.15">
      <c r="A7" s="3" t="s">
        <v>81</v>
      </c>
      <c r="B7" s="3" t="s">
        <v>92</v>
      </c>
      <c r="C7" s="5" t="s">
        <v>93</v>
      </c>
    </row>
    <row r="8" spans="1:3" ht="22.5" customHeight="1" x14ac:dyDescent="0.15">
      <c r="A8" s="3" t="s">
        <v>81</v>
      </c>
      <c r="B8" s="3" t="s">
        <v>94</v>
      </c>
      <c r="C8" s="5" t="s">
        <v>95</v>
      </c>
    </row>
    <row r="9" spans="1:3" ht="22.5" customHeight="1" x14ac:dyDescent="0.15">
      <c r="A9" s="3" t="s">
        <v>96</v>
      </c>
      <c r="B9" s="3" t="s">
        <v>97</v>
      </c>
      <c r="C9" s="5" t="s">
        <v>98</v>
      </c>
    </row>
    <row r="10" spans="1:3" ht="22.5" customHeight="1" x14ac:dyDescent="0.15">
      <c r="A10" s="3" t="s">
        <v>96</v>
      </c>
      <c r="B10" s="3" t="s">
        <v>99</v>
      </c>
      <c r="C10" s="5" t="s">
        <v>100</v>
      </c>
    </row>
    <row r="11" spans="1:3" ht="22.5" customHeight="1" x14ac:dyDescent="0.15">
      <c r="A11" s="3" t="s">
        <v>96</v>
      </c>
      <c r="B11" s="3" t="s">
        <v>101</v>
      </c>
      <c r="C11" s="5" t="s">
        <v>102</v>
      </c>
    </row>
    <row r="12" spans="1:3" ht="22.5" customHeight="1" x14ac:dyDescent="0.15">
      <c r="A12" s="3" t="s">
        <v>96</v>
      </c>
      <c r="B12" s="3" t="s">
        <v>103</v>
      </c>
      <c r="C12" s="5" t="s">
        <v>104</v>
      </c>
    </row>
    <row r="13" spans="1:3" ht="22.5" customHeight="1" x14ac:dyDescent="0.15">
      <c r="A13" s="3" t="s">
        <v>96</v>
      </c>
      <c r="B13" s="3" t="s">
        <v>106</v>
      </c>
      <c r="C13" s="5" t="s">
        <v>107</v>
      </c>
    </row>
    <row r="14" spans="1:3" ht="22.5" customHeight="1" x14ac:dyDescent="0.15">
      <c r="A14" s="3" t="s">
        <v>96</v>
      </c>
      <c r="B14" s="3" t="s">
        <v>108</v>
      </c>
      <c r="C14" s="5" t="s">
        <v>109</v>
      </c>
    </row>
    <row r="15" spans="1:3" ht="22.5" customHeight="1" x14ac:dyDescent="0.15">
      <c r="A15" s="3" t="s">
        <v>96</v>
      </c>
      <c r="B15" s="3" t="s">
        <v>110</v>
      </c>
      <c r="C15" s="5" t="s">
        <v>111</v>
      </c>
    </row>
    <row r="16" spans="1:3" ht="22.5" customHeight="1" x14ac:dyDescent="0.15">
      <c r="A16" s="3" t="s">
        <v>96</v>
      </c>
      <c r="B16" s="3" t="s">
        <v>112</v>
      </c>
      <c r="C16" s="5" t="s">
        <v>113</v>
      </c>
    </row>
    <row r="17" spans="1:3" ht="22.5" customHeight="1" x14ac:dyDescent="0.15">
      <c r="A17" s="3" t="s">
        <v>114</v>
      </c>
      <c r="B17" s="3" t="s">
        <v>115</v>
      </c>
      <c r="C17" s="5" t="s">
        <v>116</v>
      </c>
    </row>
    <row r="18" spans="1:3" ht="22.5" customHeight="1" x14ac:dyDescent="0.15">
      <c r="A18" s="3" t="s">
        <v>114</v>
      </c>
      <c r="B18" s="3" t="s">
        <v>117</v>
      </c>
      <c r="C18" s="5" t="s">
        <v>118</v>
      </c>
    </row>
    <row r="19" spans="1:3" ht="22.5" customHeight="1" x14ac:dyDescent="0.15">
      <c r="A19" s="3" t="s">
        <v>114</v>
      </c>
      <c r="B19" s="3" t="s">
        <v>119</v>
      </c>
      <c r="C19" s="5" t="s">
        <v>120</v>
      </c>
    </row>
    <row r="20" spans="1:3" ht="22.5" customHeight="1" x14ac:dyDescent="0.15">
      <c r="A20" s="3" t="s">
        <v>114</v>
      </c>
      <c r="B20" s="3" t="s">
        <v>121</v>
      </c>
      <c r="C20" s="5" t="s">
        <v>122</v>
      </c>
    </row>
    <row r="21" spans="1:3" ht="22.5" customHeight="1" x14ac:dyDescent="0.15">
      <c r="A21" s="3" t="s">
        <v>114</v>
      </c>
      <c r="B21" s="3" t="s">
        <v>123</v>
      </c>
      <c r="C21" s="5" t="s">
        <v>124</v>
      </c>
    </row>
    <row r="22" spans="1:3" ht="22.5" customHeight="1" x14ac:dyDescent="0.15">
      <c r="A22" s="3" t="s">
        <v>114</v>
      </c>
      <c r="B22" s="3" t="s">
        <v>125</v>
      </c>
      <c r="C22" s="5" t="s">
        <v>126</v>
      </c>
    </row>
    <row r="23" spans="1:3" ht="22.5" customHeight="1" x14ac:dyDescent="0.15">
      <c r="A23" s="3" t="s">
        <v>127</v>
      </c>
      <c r="B23" s="3" t="s">
        <v>128</v>
      </c>
      <c r="C23" s="5" t="s">
        <v>129</v>
      </c>
    </row>
    <row r="24" spans="1:3" ht="22.5" customHeight="1" x14ac:dyDescent="0.15">
      <c r="A24" s="3" t="s">
        <v>127</v>
      </c>
      <c r="B24" s="3" t="s">
        <v>130</v>
      </c>
      <c r="C24" s="5" t="s">
        <v>132</v>
      </c>
    </row>
    <row r="25" spans="1:3" ht="22.5" customHeight="1" x14ac:dyDescent="0.15">
      <c r="A25" s="3" t="s">
        <v>127</v>
      </c>
      <c r="B25" s="3" t="s">
        <v>135</v>
      </c>
      <c r="C25" s="5" t="s">
        <v>137</v>
      </c>
    </row>
    <row r="26" spans="1:3" ht="22.5" customHeight="1" x14ac:dyDescent="0.15">
      <c r="A26" s="3" t="s">
        <v>127</v>
      </c>
      <c r="B26" s="3" t="s">
        <v>141</v>
      </c>
      <c r="C26" s="5" t="s">
        <v>143</v>
      </c>
    </row>
    <row r="27" spans="1:3" ht="22.5" customHeight="1" x14ac:dyDescent="0.15">
      <c r="A27" s="3" t="s">
        <v>127</v>
      </c>
      <c r="B27" s="3" t="s">
        <v>148</v>
      </c>
      <c r="C27" s="5" t="s">
        <v>151</v>
      </c>
    </row>
    <row r="28" spans="1:3" ht="22.5" customHeight="1" x14ac:dyDescent="0.15">
      <c r="A28" s="3" t="s">
        <v>127</v>
      </c>
      <c r="B28" s="3" t="s">
        <v>155</v>
      </c>
      <c r="C28" s="5" t="s">
        <v>158</v>
      </c>
    </row>
    <row r="29" spans="1:3" ht="22.5" customHeight="1" x14ac:dyDescent="0.15">
      <c r="A29" s="3" t="s">
        <v>162</v>
      </c>
      <c r="B29" s="3" t="s">
        <v>164</v>
      </c>
      <c r="C29" s="5" t="s">
        <v>167</v>
      </c>
    </row>
    <row r="30" spans="1:3" ht="22.5" customHeight="1" x14ac:dyDescent="0.15">
      <c r="A30" s="3" t="s">
        <v>162</v>
      </c>
      <c r="B30" s="3" t="s">
        <v>172</v>
      </c>
      <c r="C30" s="5" t="s">
        <v>175</v>
      </c>
    </row>
    <row r="31" spans="1:3" ht="22.5" customHeight="1" x14ac:dyDescent="0.15">
      <c r="A31" s="3" t="s">
        <v>162</v>
      </c>
      <c r="B31" s="3" t="s">
        <v>180</v>
      </c>
      <c r="C31" s="5" t="s">
        <v>182</v>
      </c>
    </row>
    <row r="32" spans="1:3" ht="22.5" customHeight="1" x14ac:dyDescent="0.15">
      <c r="A32" s="3" t="s">
        <v>162</v>
      </c>
      <c r="B32" s="3" t="s">
        <v>186</v>
      </c>
      <c r="C32" s="5" t="s">
        <v>189</v>
      </c>
    </row>
    <row r="33" spans="1:3" ht="22.5" customHeight="1" x14ac:dyDescent="0.15">
      <c r="A33" s="3" t="s">
        <v>162</v>
      </c>
      <c r="B33" s="3" t="s">
        <v>194</v>
      </c>
      <c r="C33" s="5" t="s">
        <v>198</v>
      </c>
    </row>
    <row r="34" spans="1:3" ht="22.5" customHeight="1" x14ac:dyDescent="0.15">
      <c r="A34" s="3" t="s">
        <v>162</v>
      </c>
      <c r="B34" s="3" t="s">
        <v>202</v>
      </c>
      <c r="C34" s="5" t="s">
        <v>205</v>
      </c>
    </row>
    <row r="35" spans="1:3" ht="22.5" customHeight="1" x14ac:dyDescent="0.15">
      <c r="A35" s="3" t="s">
        <v>208</v>
      </c>
      <c r="B35" s="3" t="s">
        <v>210</v>
      </c>
      <c r="C35" s="5" t="s">
        <v>213</v>
      </c>
    </row>
    <row r="36" spans="1:3" ht="22.5" customHeight="1" x14ac:dyDescent="0.15">
      <c r="A36" s="3" t="s">
        <v>208</v>
      </c>
      <c r="B36" s="3" t="s">
        <v>218</v>
      </c>
      <c r="C36" s="5" t="s">
        <v>221</v>
      </c>
    </row>
    <row r="37" spans="1:3" ht="22.5" customHeight="1" x14ac:dyDescent="0.15">
      <c r="A37" s="3" t="s">
        <v>208</v>
      </c>
      <c r="B37" s="3" t="s">
        <v>226</v>
      </c>
      <c r="C37" s="5" t="s">
        <v>229</v>
      </c>
    </row>
    <row r="38" spans="1:3" ht="22.5" customHeight="1" x14ac:dyDescent="0.15">
      <c r="A38" s="3" t="s">
        <v>208</v>
      </c>
      <c r="B38" s="3" t="s">
        <v>233</v>
      </c>
      <c r="C38" s="5" t="s">
        <v>236</v>
      </c>
    </row>
    <row r="39" spans="1:3" ht="22.5" customHeight="1" x14ac:dyDescent="0.15">
      <c r="A39" s="3" t="s">
        <v>208</v>
      </c>
      <c r="B39" s="3" t="s">
        <v>240</v>
      </c>
      <c r="C39" s="5" t="s">
        <v>243</v>
      </c>
    </row>
    <row r="40" spans="1:3" ht="22.5" customHeight="1" x14ac:dyDescent="0.15">
      <c r="A40" s="3" t="s">
        <v>208</v>
      </c>
      <c r="B40" s="3" t="s">
        <v>247</v>
      </c>
      <c r="C40" s="5" t="s">
        <v>250</v>
      </c>
    </row>
    <row r="41" spans="1:3" ht="22.5" customHeight="1" x14ac:dyDescent="0.15">
      <c r="A41" s="3" t="s">
        <v>208</v>
      </c>
      <c r="B41" s="3" t="s">
        <v>254</v>
      </c>
      <c r="C41" s="5" t="s">
        <v>257</v>
      </c>
    </row>
    <row r="42" spans="1:3" ht="22.5" customHeight="1" x14ac:dyDescent="0.15">
      <c r="A42" s="3" t="s">
        <v>208</v>
      </c>
      <c r="B42" s="3" t="s">
        <v>262</v>
      </c>
      <c r="C42" s="5" t="s">
        <v>265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78"/>
  <sheetViews>
    <sheetView showGridLines="0" topLeftCell="C1" workbookViewId="0">
      <pane ySplit="1" topLeftCell="A2" activePane="bottomLeft" state="frozen"/>
      <selection pane="bottomLeft" activeCell="D3" sqref="D3"/>
    </sheetView>
  </sheetViews>
  <sheetFormatPr baseColWidth="10" defaultColWidth="12.6640625" defaultRowHeight="15.75" customHeight="1" x14ac:dyDescent="0.15"/>
  <cols>
    <col min="2" max="3" width="37.6640625" customWidth="1"/>
  </cols>
  <sheetData>
    <row r="1" spans="1:4" ht="22.5" customHeight="1" x14ac:dyDescent="0.15">
      <c r="A1" s="2" t="s">
        <v>1</v>
      </c>
      <c r="B1" s="2" t="s">
        <v>131</v>
      </c>
      <c r="C1" s="2" t="s">
        <v>133</v>
      </c>
      <c r="D1" s="17" t="s">
        <v>747</v>
      </c>
    </row>
    <row r="2" spans="1:4" ht="22.5" customHeight="1" x14ac:dyDescent="0.15">
      <c r="A2" s="3" t="s">
        <v>134</v>
      </c>
      <c r="B2" s="3" t="s">
        <v>136</v>
      </c>
      <c r="C2" s="3" t="s">
        <v>138</v>
      </c>
      <c r="D2" t="str">
        <f>_xlfn.CONCAT(Table3[[#This Row],['#]],": ",Table3[[#This Row],[Framework]])</f>
        <v>10.01a.1: Mughal &amp; Ottoman (c. 1750)</v>
      </c>
    </row>
    <row r="3" spans="1:4" ht="22.5" customHeight="1" x14ac:dyDescent="0.15">
      <c r="A3" s="3" t="s">
        <v>139</v>
      </c>
      <c r="B3" s="3" t="s">
        <v>140</v>
      </c>
      <c r="C3" s="3" t="s">
        <v>142</v>
      </c>
      <c r="D3" t="str">
        <f>_xlfn.CONCAT(Table3[[#This Row],['#]],": ",Table3[[#This Row],[Framework]])</f>
        <v>10.01a.2: Tokugawa Shogunate</v>
      </c>
    </row>
    <row r="4" spans="1:4" ht="22.5" customHeight="1" x14ac:dyDescent="0.15">
      <c r="A4" s="3" t="s">
        <v>144</v>
      </c>
      <c r="B4" s="3" t="s">
        <v>145</v>
      </c>
      <c r="C4" s="3" t="s">
        <v>146</v>
      </c>
      <c r="D4" t="str">
        <f>_xlfn.CONCAT(Table3[[#This Row],['#]],": ",Table3[[#This Row],[Framework]])</f>
        <v>10.01a.3: Comparing Tokugawa Shogunate &amp; Bourbon Dynasty</v>
      </c>
    </row>
    <row r="5" spans="1:4" ht="22.5" customHeight="1" x14ac:dyDescent="0.15">
      <c r="A5" s="3" t="s">
        <v>147</v>
      </c>
      <c r="B5" s="3" t="s">
        <v>149</v>
      </c>
      <c r="C5" s="3" t="s">
        <v>150</v>
      </c>
      <c r="D5" t="str">
        <f>_xlfn.CONCAT(Table3[[#This Row],['#]],": ",Table3[[#This Row],[Framework]])</f>
        <v>10.01b.1: Tokugawa &amp; Mughal Responses to Outsiders</v>
      </c>
    </row>
    <row r="6" spans="1:4" ht="22.5" customHeight="1" x14ac:dyDescent="0.15">
      <c r="A6" s="3" t="s">
        <v>152</v>
      </c>
      <c r="B6" s="3" t="s">
        <v>153</v>
      </c>
      <c r="C6" s="3" t="s">
        <v>154</v>
      </c>
      <c r="D6" t="str">
        <f>_xlfn.CONCAT(Table3[[#This Row],['#]],": ",Table3[[#This Row],[Framework]])</f>
        <v>10.01b.2: Eurasia World Map</v>
      </c>
    </row>
    <row r="7" spans="1:4" ht="22.5" customHeight="1" x14ac:dyDescent="0.15">
      <c r="A7" s="3" t="s">
        <v>156</v>
      </c>
      <c r="B7" s="3" t="s">
        <v>157</v>
      </c>
      <c r="C7" s="3" t="s">
        <v>159</v>
      </c>
      <c r="D7" t="str">
        <f>_xlfn.CONCAT(Table3[[#This Row],['#]],": ",Table3[[#This Row],[Framework]])</f>
        <v>10.01b.3: Comparing Empire's Geography &amp; Power</v>
      </c>
    </row>
    <row r="8" spans="1:4" ht="22.5" customHeight="1" x14ac:dyDescent="0.15">
      <c r="A8" s="3" t="s">
        <v>160</v>
      </c>
      <c r="B8" s="3" t="s">
        <v>161</v>
      </c>
      <c r="C8" s="3" t="s">
        <v>163</v>
      </c>
      <c r="D8" t="str">
        <f>_xlfn.CONCAT(Table3[[#This Row],['#]],": ",Table3[[#This Row],[Framework]])</f>
        <v>10.02a.1: Political Philosophies</v>
      </c>
    </row>
    <row r="9" spans="1:4" ht="22.5" customHeight="1" x14ac:dyDescent="0.15">
      <c r="A9" s="3" t="s">
        <v>165</v>
      </c>
      <c r="B9" s="3" t="s">
        <v>166</v>
      </c>
      <c r="C9" s="3" t="s">
        <v>168</v>
      </c>
      <c r="D9" t="str">
        <f>_xlfn.CONCAT(Table3[[#This Row],['#]],": ",Table3[[#This Row],[Framework]])</f>
        <v>10.02b.1: Gender &amp; Abolition</v>
      </c>
    </row>
    <row r="10" spans="1:4" ht="22.5" customHeight="1" x14ac:dyDescent="0.15">
      <c r="A10" s="3" t="s">
        <v>169</v>
      </c>
      <c r="B10" s="3" t="s">
        <v>170</v>
      </c>
      <c r="C10" s="3" t="s">
        <v>171</v>
      </c>
      <c r="D10" t="str">
        <f>_xlfn.CONCAT(Table3[[#This Row],['#]],": ",Table3[[#This Row],[Framework]])</f>
        <v>10.02b.2: Enlightened Despots</v>
      </c>
    </row>
    <row r="11" spans="1:4" ht="22.5" customHeight="1" x14ac:dyDescent="0.15">
      <c r="A11" s="3" t="s">
        <v>173</v>
      </c>
      <c r="B11" s="3" t="s">
        <v>174</v>
      </c>
      <c r="C11" s="3" t="s">
        <v>176</v>
      </c>
      <c r="D11" t="str">
        <f>_xlfn.CONCAT(Table3[[#This Row],['#]],": ",Table3[[#This Row],[Framework]])</f>
        <v>10.02c.1: French Revolutions</v>
      </c>
    </row>
    <row r="12" spans="1:4" ht="22.5" customHeight="1" x14ac:dyDescent="0.15">
      <c r="A12" s="3" t="s">
        <v>177</v>
      </c>
      <c r="B12" s="3" t="s">
        <v>178</v>
      </c>
      <c r="C12" s="3" t="s">
        <v>179</v>
      </c>
      <c r="D12" t="str">
        <f>_xlfn.CONCAT(Table3[[#This Row],['#]],": ",Table3[[#This Row],[Framework]])</f>
        <v>10.02c.2: Latin American Revolutions</v>
      </c>
    </row>
    <row r="13" spans="1:4" ht="22.5" customHeight="1" x14ac:dyDescent="0.15">
      <c r="A13" s="3" t="s">
        <v>181</v>
      </c>
      <c r="B13" s="3" t="s">
        <v>183</v>
      </c>
      <c r="C13" s="3" t="s">
        <v>184</v>
      </c>
      <c r="D13" t="str">
        <f>_xlfn.CONCAT(Table3[[#This Row],['#]],": ",Table3[[#This Row],[Framework]])</f>
        <v>10.02d.1: Italy, Germany &amp; Ottoman, Austrian</v>
      </c>
    </row>
    <row r="14" spans="1:4" ht="22.5" customHeight="1" x14ac:dyDescent="0.15">
      <c r="A14" s="3" t="s">
        <v>185</v>
      </c>
      <c r="B14" s="3" t="s">
        <v>187</v>
      </c>
      <c r="C14" s="3" t="s">
        <v>188</v>
      </c>
      <c r="D14" t="str">
        <f>_xlfn.CONCAT(Table3[[#This Row],['#]],": ",Table3[[#This Row],[Framework]])</f>
        <v>10.03a.1: British Agricultural Revolution</v>
      </c>
    </row>
    <row r="15" spans="1:4" ht="22.5" customHeight="1" x14ac:dyDescent="0.15">
      <c r="A15" s="3" t="s">
        <v>190</v>
      </c>
      <c r="B15" s="3" t="s">
        <v>191</v>
      </c>
      <c r="C15" s="3" t="s">
        <v>192</v>
      </c>
      <c r="D15" t="str">
        <f>_xlfn.CONCAT(Table3[[#This Row],['#]],": ",Table3[[#This Row],[Framework]])</f>
        <v>10.03b.1: Industrial Production &amp; Economic Practices</v>
      </c>
    </row>
    <row r="16" spans="1:4" ht="22.5" customHeight="1" x14ac:dyDescent="0.15">
      <c r="A16" s="3" t="s">
        <v>193</v>
      </c>
      <c r="B16" s="3" t="s">
        <v>195</v>
      </c>
      <c r="C16" s="3" t="s">
        <v>196</v>
      </c>
      <c r="D16" t="str">
        <f>_xlfn.CONCAT(Table3[[#This Row],['#]],": ",Table3[[#This Row],[Framework]])</f>
        <v>10.03b.2: Wealth of Nations</v>
      </c>
    </row>
    <row r="17" spans="1:4" ht="22.5" customHeight="1" x14ac:dyDescent="0.15">
      <c r="A17" s="3" t="s">
        <v>197</v>
      </c>
      <c r="B17" s="3" t="s">
        <v>199</v>
      </c>
      <c r="C17" s="3" t="s">
        <v>200</v>
      </c>
      <c r="D17" t="str">
        <f>_xlfn.CONCAT(Table3[[#This Row],['#]],": ",Table3[[#This Row],[Framework]])</f>
        <v>10.03b.3: Energy, Technology, Communication, &amp; Transportation</v>
      </c>
    </row>
    <row r="18" spans="1:4" ht="22.5" customHeight="1" x14ac:dyDescent="0.15">
      <c r="A18" s="3" t="s">
        <v>201</v>
      </c>
      <c r="B18" s="3" t="s">
        <v>203</v>
      </c>
      <c r="C18" s="3" t="s">
        <v>204</v>
      </c>
      <c r="D18" t="str">
        <f>_xlfn.CONCAT(Table3[[#This Row],['#]],": ",Table3[[#This Row],[Framework]])</f>
        <v>10.03c.1: Comparing Victorian England &amp; Meiji Japan</v>
      </c>
    </row>
    <row r="19" spans="1:4" ht="22.5" customHeight="1" x14ac:dyDescent="0.15">
      <c r="A19" s="3" t="s">
        <v>206</v>
      </c>
      <c r="B19" s="3" t="s">
        <v>207</v>
      </c>
      <c r="C19" s="3" t="s">
        <v>209</v>
      </c>
      <c r="D19" t="str">
        <f>_xlfn.CONCAT(Table3[[#This Row],['#]],": ",Table3[[#This Row],[Framework]])</f>
        <v>10.03d.1: Suffrage, Education/ Labor Reforms, &amp; Marxism</v>
      </c>
    </row>
    <row r="20" spans="1:4" ht="22.5" customHeight="1" x14ac:dyDescent="0.15">
      <c r="A20" s="3" t="s">
        <v>211</v>
      </c>
      <c r="B20" s="3" t="s">
        <v>212</v>
      </c>
      <c r="C20" s="3" t="s">
        <v>214</v>
      </c>
      <c r="D20" t="str">
        <f>_xlfn.CONCAT(Table3[[#This Row],['#]],": ",Table3[[#This Row],[Framework]])</f>
        <v>10.03d.2: Irish Potato Famine</v>
      </c>
    </row>
    <row r="21" spans="1:4" ht="22.5" customHeight="1" x14ac:dyDescent="0.15">
      <c r="A21" s="3" t="s">
        <v>215</v>
      </c>
      <c r="B21" s="3" t="s">
        <v>216</v>
      </c>
      <c r="C21" s="3" t="s">
        <v>217</v>
      </c>
      <c r="D21" t="str">
        <f>_xlfn.CONCAT(Table3[[#This Row],['#]],": ",Table3[[#This Row],[Framework]])</f>
        <v>10.04a.1: Perspectives on Imperialism</v>
      </c>
    </row>
    <row r="22" spans="1:4" ht="22.5" customHeight="1" x14ac:dyDescent="0.15">
      <c r="A22" s="3" t="s">
        <v>219</v>
      </c>
      <c r="B22" s="3" t="s">
        <v>220</v>
      </c>
      <c r="C22" s="3" t="s">
        <v>222</v>
      </c>
      <c r="D22" t="str">
        <f>_xlfn.CONCAT(Table3[[#This Row],['#]],": ",Table3[[#This Row],[Framework]])</f>
        <v>10.04a.2: Control &amp; Spheres of Influence in Africa &amp; China</v>
      </c>
    </row>
    <row r="23" spans="1:4" ht="22.5" customHeight="1" x14ac:dyDescent="0.15">
      <c r="A23" s="3" t="s">
        <v>223</v>
      </c>
      <c r="B23" s="3" t="s">
        <v>224</v>
      </c>
      <c r="C23" s="3" t="s">
        <v>225</v>
      </c>
      <c r="D23" t="str">
        <f>_xlfn.CONCAT(Table3[[#This Row],['#]],": ",Table3[[#This Row],[Framework]])</f>
        <v>10.04b.1: Resistance in Africa &amp; China</v>
      </c>
    </row>
    <row r="24" spans="1:4" ht="22.5" customHeight="1" x14ac:dyDescent="0.15">
      <c r="A24" s="3" t="s">
        <v>227</v>
      </c>
      <c r="B24" s="3" t="s">
        <v>228</v>
      </c>
      <c r="C24" s="3" t="s">
        <v>230</v>
      </c>
      <c r="D24" t="str">
        <f>_xlfn.CONCAT(Table3[[#This Row],['#]],": ",Table3[[#This Row],[Framework]])</f>
        <v>10.04b.2: Japanese Reaction to Western Imperialism</v>
      </c>
    </row>
    <row r="25" spans="1:4" ht="22.5" customHeight="1" x14ac:dyDescent="0.15">
      <c r="A25" s="3" t="s">
        <v>231</v>
      </c>
      <c r="B25" s="3" t="s">
        <v>232</v>
      </c>
      <c r="C25" s="3" t="s">
        <v>234</v>
      </c>
      <c r="D25" t="str">
        <f>_xlfn.CONCAT(Table3[[#This Row],['#]],": ",Table3[[#This Row],[Framework]])</f>
        <v>10.04c.1: Comparing Geography of Africa (c. 1800-1914)</v>
      </c>
    </row>
    <row r="26" spans="1:4" ht="22.5" customHeight="1" x14ac:dyDescent="0.15">
      <c r="A26" s="3" t="s">
        <v>235</v>
      </c>
      <c r="B26" s="3" t="s">
        <v>237</v>
      </c>
      <c r="C26" s="3" t="s">
        <v>238</v>
      </c>
      <c r="D26" t="str">
        <f>_xlfn.CONCAT(Table3[[#This Row],['#]],": ",Table3[[#This Row],[Framework]])</f>
        <v>10.05a.1: Comparing Cause &amp; Effects of the World Wars</v>
      </c>
    </row>
    <row r="27" spans="1:4" ht="22.5" customHeight="1" x14ac:dyDescent="0.15">
      <c r="A27" s="3" t="s">
        <v>239</v>
      </c>
      <c r="B27" s="3" t="s">
        <v>241</v>
      </c>
      <c r="C27" s="3" t="s">
        <v>242</v>
      </c>
      <c r="D27" t="str">
        <f>_xlfn.CONCAT(Table3[[#This Row],['#]],": ",Table3[[#This Row],[Framework]])</f>
        <v>10.05b.1: Technological Development &amp; Devastation</v>
      </c>
    </row>
    <row r="28" spans="1:4" ht="22.5" customHeight="1" x14ac:dyDescent="0.15">
      <c r="A28" s="3" t="s">
        <v>244</v>
      </c>
      <c r="B28" s="3" t="s">
        <v>245</v>
      </c>
      <c r="C28" s="3" t="s">
        <v>246</v>
      </c>
      <c r="D28" t="str">
        <f>_xlfn.CONCAT(Table3[[#This Row],['#]],": ",Table3[[#This Row],[Framework]])</f>
        <v>10.05c.1: Fourteen Points, the Treaty of Versailles, League of Nations, &amp; United Nations</v>
      </c>
    </row>
    <row r="29" spans="1:4" ht="22.5" customHeight="1" x14ac:dyDescent="0.15">
      <c r="A29" s="3" t="s">
        <v>248</v>
      </c>
      <c r="B29" s="3" t="s">
        <v>249</v>
      </c>
      <c r="C29" s="3" t="s">
        <v>251</v>
      </c>
      <c r="D29" t="str">
        <f>_xlfn.CONCAT(Table3[[#This Row],['#]],": ",Table3[[#This Row],[Framework]])</f>
        <v>10.05d.1: Russian Revolution, Soviet Union, Lenin &amp; Stalin</v>
      </c>
    </row>
    <row r="30" spans="1:4" ht="22.5" customHeight="1" x14ac:dyDescent="0.15">
      <c r="A30" s="3" t="s">
        <v>252</v>
      </c>
      <c r="B30" s="3" t="s">
        <v>253</v>
      </c>
      <c r="C30" s="3" t="s">
        <v>255</v>
      </c>
      <c r="D30" t="str">
        <f>_xlfn.CONCAT(Table3[[#This Row],['#]],": ",Table3[[#This Row],[Framework]])</f>
        <v>10.05d.2: Nationalism, the Nazi Party, &amp; Hitler in Germany</v>
      </c>
    </row>
    <row r="31" spans="1:4" ht="22.5" customHeight="1" x14ac:dyDescent="0.15">
      <c r="A31" s="3" t="s">
        <v>256</v>
      </c>
      <c r="B31" s="3" t="s">
        <v>258</v>
      </c>
      <c r="C31" s="3" t="s">
        <v>259</v>
      </c>
      <c r="D31" t="str">
        <f>_xlfn.CONCAT(Table3[[#This Row],['#]],": ",Table3[[#This Row],[Framework]])</f>
        <v>10.05d.3: Nationalism &amp; Militarism in Japan</v>
      </c>
    </row>
    <row r="32" spans="1:4" ht="22.5" customHeight="1" x14ac:dyDescent="0.15">
      <c r="A32" s="3" t="s">
        <v>260</v>
      </c>
      <c r="B32" s="3" t="s">
        <v>261</v>
      </c>
      <c r="C32" s="3" t="s">
        <v>263</v>
      </c>
      <c r="D32" t="str">
        <f>_xlfn.CONCAT(Table3[[#This Row],['#]],": ",Table3[[#This Row],[Framework]])</f>
        <v>10.05d.4: Great Depression &amp; Totalitarian Dictators</v>
      </c>
    </row>
    <row r="33" spans="1:4" ht="22.5" customHeight="1" x14ac:dyDescent="0.15">
      <c r="A33" s="3" t="s">
        <v>264</v>
      </c>
      <c r="B33" s="3" t="s">
        <v>266</v>
      </c>
      <c r="C33" s="3" t="s">
        <v>267</v>
      </c>
      <c r="D33" t="str">
        <f>_xlfn.CONCAT(Table3[[#This Row],['#]],": ",Table3[[#This Row],[Framework]])</f>
        <v>10.05e.1: Armenian Genocide, Ukranian Holodomor, &amp; the Holocaust</v>
      </c>
    </row>
    <row r="34" spans="1:4" ht="22.5" customHeight="1" x14ac:dyDescent="0.15">
      <c r="A34" s="3" t="s">
        <v>268</v>
      </c>
      <c r="B34" s="3" t="s">
        <v>269</v>
      </c>
      <c r="C34" s="3" t="s">
        <v>270</v>
      </c>
      <c r="D34" t="str">
        <f>_xlfn.CONCAT(Table3[[#This Row],['#]],": ",Table3[[#This Row],[Framework]])</f>
        <v>10.06a.1: Conceptions of Peace vs the Reality of Post-War Europe</v>
      </c>
    </row>
    <row r="35" spans="1:4" ht="22.5" customHeight="1" x14ac:dyDescent="0.15">
      <c r="A35" s="3" t="s">
        <v>271</v>
      </c>
      <c r="B35" s="3" t="s">
        <v>272</v>
      </c>
      <c r="C35" s="3" t="s">
        <v>273</v>
      </c>
      <c r="D35" t="str">
        <f>_xlfn.CONCAT(Table3[[#This Row],['#]],": ",Table3[[#This Row],[Framework]])</f>
        <v>10.06b.1: Cuba, Vietnam, Afghanistan</v>
      </c>
    </row>
    <row r="36" spans="1:4" ht="22.5" customHeight="1" x14ac:dyDescent="0.15">
      <c r="A36" s="3" t="s">
        <v>274</v>
      </c>
      <c r="B36" s="3" t="s">
        <v>275</v>
      </c>
      <c r="C36" s="3" t="s">
        <v>276</v>
      </c>
      <c r="D36" t="str">
        <f>_xlfn.CONCAT(Table3[[#This Row],['#]],": ",Table3[[#This Row],[Framework]])</f>
        <v>10.06b.2: Military Alliances, Nuclear Proliferation, &amp; the Military-Industrial Complex</v>
      </c>
    </row>
    <row r="37" spans="1:4" ht="22.5" customHeight="1" x14ac:dyDescent="0.15">
      <c r="A37" s="3" t="s">
        <v>277</v>
      </c>
      <c r="B37" s="3" t="s">
        <v>278</v>
      </c>
      <c r="C37" s="3" t="s">
        <v>279</v>
      </c>
      <c r="D37" t="str">
        <f>_xlfn.CONCAT(Table3[[#This Row],['#]],": ",Table3[[#This Row],[Framework]])</f>
        <v>10.06b.3: Nonalignment</v>
      </c>
    </row>
    <row r="38" spans="1:4" ht="22.5" customHeight="1" x14ac:dyDescent="0.15">
      <c r="A38" s="3" t="s">
        <v>280</v>
      </c>
      <c r="B38" s="3" t="s">
        <v>281</v>
      </c>
      <c r="C38" s="3" t="s">
        <v>282</v>
      </c>
      <c r="D38" t="str">
        <f>_xlfn.CONCAT(Table3[[#This Row],['#]],": ",Table3[[#This Row],[Framework]])</f>
        <v>10.06b.4: Détente Perspectives</v>
      </c>
    </row>
    <row r="39" spans="1:4" ht="22.5" customHeight="1" x14ac:dyDescent="0.15">
      <c r="A39" s="3" t="s">
        <v>283</v>
      </c>
      <c r="B39" s="3" t="s">
        <v>284</v>
      </c>
      <c r="C39" s="3" t="s">
        <v>285</v>
      </c>
      <c r="D39" t="str">
        <f>_xlfn.CONCAT(Table3[[#This Row],['#]],": ",Table3[[#This Row],[Framework]])</f>
        <v>10.06c.1: Glasnost &amp; Perestroika Reforms</v>
      </c>
    </row>
    <row r="40" spans="1:4" ht="22.5" customHeight="1" x14ac:dyDescent="0.15">
      <c r="A40" s="3" t="s">
        <v>286</v>
      </c>
      <c r="B40" s="3" t="s">
        <v>287</v>
      </c>
      <c r="C40" s="3" t="s">
        <v>288</v>
      </c>
      <c r="D40" t="str">
        <f>_xlfn.CONCAT(Table3[[#This Row],['#]],": ",Table3[[#This Row],[Framework]])</f>
        <v>10.06c.2: Impact of Reform on the Soviet Union, Bloc, and the World</v>
      </c>
    </row>
    <row r="41" spans="1:4" ht="22.5" customHeight="1" x14ac:dyDescent="0.15">
      <c r="A41" s="3" t="s">
        <v>289</v>
      </c>
      <c r="B41" s="3" t="s">
        <v>290</v>
      </c>
      <c r="C41" s="3" t="s">
        <v>291</v>
      </c>
      <c r="D41" t="str">
        <f>_xlfn.CONCAT(Table3[[#This Row],['#]],": ",Table3[[#This Row],[Framework]])</f>
        <v>10.07a.1: Gandhi’s Nonviolent Nationalist Movement, the Muslim League, &amp; Partition</v>
      </c>
    </row>
    <row r="42" spans="1:4" ht="22.5" customHeight="1" x14ac:dyDescent="0.15">
      <c r="A42" s="3" t="s">
        <v>292</v>
      </c>
      <c r="B42" s="3" t="s">
        <v>293</v>
      </c>
      <c r="C42" s="3" t="s">
        <v>294</v>
      </c>
      <c r="D42" t="str">
        <f>_xlfn.CONCAT(Table3[[#This Row],['#]],": ",Table3[[#This Row],[Framework]])</f>
        <v>10.07a.2: Comparing Gandhi &amp; Ho Chi Minh</v>
      </c>
    </row>
    <row r="43" spans="1:4" ht="22.5" customHeight="1" x14ac:dyDescent="0.15">
      <c r="A43" s="3" t="s">
        <v>295</v>
      </c>
      <c r="B43" s="3" t="s">
        <v>296</v>
      </c>
      <c r="C43" s="3" t="s">
        <v>297</v>
      </c>
      <c r="D43" t="str">
        <f>_xlfn.CONCAT(Table3[[#This Row],['#]],": ",Table3[[#This Row],[Framework]])</f>
        <v>10.07b.1: Ghana, Algeria, and/or Kenya</v>
      </c>
    </row>
    <row r="44" spans="1:4" ht="22.5" customHeight="1" x14ac:dyDescent="0.15">
      <c r="A44" s="3" t="s">
        <v>298</v>
      </c>
      <c r="B44" s="3" t="s">
        <v>299</v>
      </c>
      <c r="C44" s="3" t="s">
        <v>300</v>
      </c>
      <c r="D44" t="str">
        <f>_xlfn.CONCAT(Table3[[#This Row],['#]],": ",Table3[[#This Row],[Framework]])</f>
        <v>10.07c.1: Zionism, Mandates, &amp; Arab Nationalism</v>
      </c>
    </row>
    <row r="45" spans="1:4" ht="22.5" customHeight="1" x14ac:dyDescent="0.15">
      <c r="A45" s="3" t="s">
        <v>301</v>
      </c>
      <c r="B45" s="3" t="s">
        <v>302</v>
      </c>
      <c r="C45" s="3" t="s">
        <v>303</v>
      </c>
      <c r="D45" t="str">
        <f>_xlfn.CONCAT(Table3[[#This Row],['#]],": ",Table3[[#This Row],[Framework]])</f>
        <v>10.07c.2: Arab-Israeli Conflict</v>
      </c>
    </row>
    <row r="46" spans="1:4" ht="22.5" customHeight="1" x14ac:dyDescent="0.15">
      <c r="A46" s="3" t="s">
        <v>304</v>
      </c>
      <c r="B46" s="3" t="s">
        <v>305</v>
      </c>
      <c r="C46" s="3" t="s">
        <v>306</v>
      </c>
      <c r="D46" t="str">
        <f>_xlfn.CONCAT(Table3[[#This Row],['#]],": ",Table3[[#This Row],[Framework]])</f>
        <v>10.07d.1: Chinese Civil War, Communist China, &amp; Nationalist Taiwan</v>
      </c>
    </row>
    <row r="47" spans="1:4" ht="22.5" customHeight="1" x14ac:dyDescent="0.15">
      <c r="A47" s="3" t="s">
        <v>307</v>
      </c>
      <c r="B47" s="3" t="s">
        <v>308</v>
      </c>
      <c r="C47" s="3" t="s">
        <v>309</v>
      </c>
      <c r="D47" t="str">
        <f>_xlfn.CONCAT(Table3[[#This Row],['#]],": ",Table3[[#This Row],[Framework]])</f>
        <v>10.07d.2: Comparing Mao Zedong &amp; Deng Xiaoping</v>
      </c>
    </row>
    <row r="48" spans="1:4" ht="22.5" customHeight="1" x14ac:dyDescent="0.15">
      <c r="A48" s="3" t="s">
        <v>310</v>
      </c>
      <c r="B48" s="3" t="s">
        <v>311</v>
      </c>
      <c r="C48" s="3" t="s">
        <v>312</v>
      </c>
      <c r="D48" t="str">
        <f>_xlfn.CONCAT(Table3[[#This Row],['#]],": ",Table3[[#This Row],[Framework]])</f>
        <v>10.08a.1: Changes in Social Roles &amp; Institutions</v>
      </c>
    </row>
    <row r="49" spans="1:4" ht="22.5" customHeight="1" x14ac:dyDescent="0.15">
      <c r="A49" s="3" t="s">
        <v>313</v>
      </c>
      <c r="B49" s="3" t="s">
        <v>314</v>
      </c>
      <c r="C49" s="3" t="s">
        <v>315</v>
      </c>
      <c r="D49" t="str">
        <f>_xlfn.CONCAT(Table3[[#This Row],['#]],": ",Table3[[#This Row],[Framework]])</f>
        <v>10.08b.1: Comparing Turkey (Kemal Atatürk) &amp; Iran (Pahlavis &amp; the Ayatollahs)</v>
      </c>
    </row>
    <row r="50" spans="1:4" ht="22.5" customHeight="1" x14ac:dyDescent="0.15">
      <c r="A50" s="3" t="s">
        <v>316</v>
      </c>
      <c r="B50" s="3" t="s">
        <v>317</v>
      </c>
      <c r="C50" s="3" t="s">
        <v>318</v>
      </c>
      <c r="D50" t="str">
        <f>_xlfn.CONCAT(Table3[[#This Row],['#]],": ",Table3[[#This Row],[Framework]])</f>
        <v>10.08b.2: Advancements in Communications &amp; Transportation Effect on Authority</v>
      </c>
    </row>
    <row r="51" spans="1:4" ht="22.5" customHeight="1" x14ac:dyDescent="0.15">
      <c r="A51" s="3" t="s">
        <v>319</v>
      </c>
      <c r="B51" s="3" t="s">
        <v>320</v>
      </c>
      <c r="C51" s="3" t="s">
        <v>321</v>
      </c>
      <c r="D51" t="str">
        <f>_xlfn.CONCAT(Table3[[#This Row],['#]],": ",Table3[[#This Row],[Framework]])</f>
        <v>10.09a.1: Information &amp; Business Changes</v>
      </c>
    </row>
    <row r="52" spans="1:4" ht="22.5" customHeight="1" x14ac:dyDescent="0.15">
      <c r="A52" s="3" t="s">
        <v>322</v>
      </c>
      <c r="B52" s="3" t="s">
        <v>323</v>
      </c>
      <c r="C52" s="3" t="s">
        <v>324</v>
      </c>
      <c r="D52" t="str">
        <f>_xlfn.CONCAT(Table3[[#This Row],['#]],": ",Table3[[#This Row],[Framework]])</f>
        <v>10.09a.2: Infectious Diseases Response</v>
      </c>
    </row>
    <row r="53" spans="1:4" ht="22.5" customHeight="1" x14ac:dyDescent="0.15">
      <c r="A53" s="3" t="s">
        <v>325</v>
      </c>
      <c r="B53" s="3" t="s">
        <v>326</v>
      </c>
      <c r="C53" s="3" t="s">
        <v>327</v>
      </c>
      <c r="D53" t="str">
        <f>_xlfn.CONCAT(Table3[[#This Row],['#]],": ",Table3[[#This Row],[Framework]])</f>
        <v>10.09b.1: Globalization Arguments</v>
      </c>
    </row>
    <row r="54" spans="1:4" ht="22.5" customHeight="1" x14ac:dyDescent="0.15">
      <c r="A54" s="3" t="s">
        <v>328</v>
      </c>
      <c r="B54" s="3" t="s">
        <v>329</v>
      </c>
      <c r="C54" s="3" t="s">
        <v>330</v>
      </c>
      <c r="D54" t="str">
        <f>_xlfn.CONCAT(Table3[[#This Row],['#]],": ",Table3[[#This Row],[Framework]])</f>
        <v>10.09c.1: Population Growth &amp; Distribution</v>
      </c>
    </row>
    <row r="55" spans="1:4" ht="22.5" customHeight="1" x14ac:dyDescent="0.15">
      <c r="A55" s="3" t="s">
        <v>331</v>
      </c>
      <c r="B55" s="3" t="s">
        <v>332</v>
      </c>
      <c r="C55" s="3" t="s">
        <v>333</v>
      </c>
      <c r="D55" t="str">
        <f>_xlfn.CONCAT(Table3[[#This Row],['#]],": ",Table3[[#This Row],[Framework]])</f>
        <v>10.09c.2: Industrial Agriculture</v>
      </c>
    </row>
    <row r="56" spans="1:4" ht="22.5" customHeight="1" x14ac:dyDescent="0.15">
      <c r="A56" s="3" t="s">
        <v>334</v>
      </c>
      <c r="B56" s="3" t="s">
        <v>335</v>
      </c>
      <c r="C56" s="3" t="s">
        <v>336</v>
      </c>
      <c r="D56" t="str">
        <f>_xlfn.CONCAT(Table3[[#This Row],['#]],": ",Table3[[#This Row],[Framework]])</f>
        <v>10.09c.3: Environmental Strains</v>
      </c>
    </row>
    <row r="57" spans="1:4" ht="22.5" customHeight="1" x14ac:dyDescent="0.15">
      <c r="A57" s="3" t="s">
        <v>337</v>
      </c>
      <c r="B57" s="3" t="s">
        <v>338</v>
      </c>
      <c r="C57" s="3" t="s">
        <v>339</v>
      </c>
      <c r="D57" t="str">
        <f>_xlfn.CONCAT(Table3[[#This Row],['#]],": ",Table3[[#This Row],[Framework]])</f>
        <v>10.09d.1: Attempts at Cooperation with the UN, NATO, EU, &amp; NGOs</v>
      </c>
    </row>
    <row r="58" spans="1:4" ht="22.5" customHeight="1" x14ac:dyDescent="0.15">
      <c r="A58" s="3" t="s">
        <v>340</v>
      </c>
      <c r="B58" s="3" t="s">
        <v>341</v>
      </c>
      <c r="C58" s="3" t="s">
        <v>342</v>
      </c>
      <c r="D58" t="str">
        <f>_xlfn.CONCAT(Table3[[#This Row],['#]],": ",Table3[[#This Row],[Framework]])</f>
        <v>10.09d.2: Organizations &amp; International Action against Environmental Issues</v>
      </c>
    </row>
    <row r="59" spans="1:4" ht="22.5" customHeight="1" x14ac:dyDescent="0.15">
      <c r="A59" s="3" t="s">
        <v>343</v>
      </c>
      <c r="B59" s="3" t="s">
        <v>344</v>
      </c>
      <c r="C59" s="3" t="s">
        <v>345</v>
      </c>
      <c r="D59" t="str">
        <f>_xlfn.CONCAT(Table3[[#This Row],['#]],": ",Table3[[#This Row],[Framework]])</f>
        <v>10.09d.3: Threats to Global Security</v>
      </c>
    </row>
    <row r="60" spans="1:4" ht="22.5" customHeight="1" x14ac:dyDescent="0.15">
      <c r="A60" s="3" t="s">
        <v>346</v>
      </c>
      <c r="B60" s="3" t="s">
        <v>347</v>
      </c>
      <c r="C60" s="3" t="s">
        <v>348</v>
      </c>
      <c r="D60" t="str">
        <f>_xlfn.CONCAT(Table3[[#This Row],['#]],": ",Table3[[#This Row],[Framework]])</f>
        <v>10.10a.1: Impact of the Holocaust, Nuremberg Trials, &amp; Tokyo Trials</v>
      </c>
    </row>
    <row r="61" spans="1:4" ht="22.5" customHeight="1" x14ac:dyDescent="0.15">
      <c r="A61" s="3" t="s">
        <v>349</v>
      </c>
      <c r="B61" s="3" t="s">
        <v>350</v>
      </c>
      <c r="C61" s="3" t="s">
        <v>351</v>
      </c>
      <c r="D61" t="str">
        <f>_xlfn.CONCAT(Table3[[#This Row],['#]],": ",Table3[[#This Row],[Framework]])</f>
        <v>10.10a.2: The United Nations Universal Declaration of Human Rights (1948)</v>
      </c>
    </row>
    <row r="62" spans="1:4" ht="22.5" customHeight="1" x14ac:dyDescent="0.15">
      <c r="A62" s="3" t="s">
        <v>352</v>
      </c>
      <c r="B62" s="3" t="s">
        <v>353</v>
      </c>
      <c r="C62" s="3" t="s">
        <v>354</v>
      </c>
      <c r="D62" t="str">
        <f>_xlfn.CONCAT(Table3[[#This Row],['#]],": ",Table3[[#This Row],[Framework]])</f>
        <v>10.10b.1: Treaties &amp; International Courts</v>
      </c>
    </row>
    <row r="63" spans="1:4" ht="22.5" customHeight="1" x14ac:dyDescent="0.15">
      <c r="A63" s="3" t="s">
        <v>355</v>
      </c>
      <c r="B63" s="3" t="s">
        <v>356</v>
      </c>
      <c r="C63" s="3" t="s">
        <v>357</v>
      </c>
      <c r="D63" t="str">
        <f>_xlfn.CONCAT(Table3[[#This Row],['#]],": ",Table3[[#This Row],[Framework]])</f>
        <v>10.10b.2: International Organization for Peace, Stability, Prosperity, &amp; Protection from Violence</v>
      </c>
    </row>
    <row r="64" spans="1:4" ht="22.5" customHeight="1" x14ac:dyDescent="0.15">
      <c r="A64" s="3" t="s">
        <v>358</v>
      </c>
      <c r="B64" s="3" t="s">
        <v>359</v>
      </c>
      <c r="C64" s="3" t="s">
        <v>360</v>
      </c>
      <c r="D64" t="str">
        <f>_xlfn.CONCAT(Table3[[#This Row],['#]],": ",Table3[[#This Row],[Framework]])</f>
        <v>10.10c.1: Atrocities of Augusto Pinochet, Deng Xiaoping, &amp; Slobodan Milosevic</v>
      </c>
    </row>
    <row r="65" spans="1:4" ht="22.5" customHeight="1" x14ac:dyDescent="0.15">
      <c r="A65" s="3" t="s">
        <v>361</v>
      </c>
      <c r="B65" s="3" t="s">
        <v>362</v>
      </c>
      <c r="C65" s="3" t="s">
        <v>363</v>
      </c>
      <c r="D65" t="str">
        <f>_xlfn.CONCAT(Table3[[#This Row],['#]],": ",Table3[[#This Row],[Framework]])</f>
        <v>10.10c.2: Perpetrators &amp; Bystanders in Cambodia, Rwanda, &amp; Darfur</v>
      </c>
    </row>
    <row r="66" spans="1:4" ht="22.5" customHeight="1" x14ac:dyDescent="0.15">
      <c r="A66" s="3" t="s">
        <v>364</v>
      </c>
      <c r="B66" s="3" t="s">
        <v>365</v>
      </c>
      <c r="C66" s="3" t="s">
        <v>366</v>
      </c>
      <c r="D66" t="str">
        <f>_xlfn.CONCAT(Table3[[#This Row],['#]],": ",Table3[[#This Row],[Framework]])</f>
        <v>10.10c.3: Anti-Apartheid &amp; Nelson Mandela</v>
      </c>
    </row>
    <row r="67" spans="1:4" ht="22.5" customHeight="1" x14ac:dyDescent="0.15">
      <c r="A67" s="3" t="s">
        <v>367</v>
      </c>
      <c r="B67" s="3" t="s">
        <v>368</v>
      </c>
      <c r="C67" s="3" t="s">
        <v>369</v>
      </c>
      <c r="D67" t="str">
        <f>_xlfn.CONCAT(Table3[[#This Row],['#]],": ",Table3[[#This Row],[Framework]])</f>
        <v>10.10c.4: Efforts to Address Human Rights Violations</v>
      </c>
    </row>
    <row r="68" spans="1:4" ht="22.5" customHeight="1" x14ac:dyDescent="0.15">
      <c r="A68" s="3" t="s">
        <v>370</v>
      </c>
      <c r="B68" s="3" t="s">
        <v>371</v>
      </c>
      <c r="C68" s="3" t="s">
        <v>372</v>
      </c>
      <c r="D68" t="str">
        <f>_xlfn.CONCAT(Table3[[#This Row],['#]],": ",Table3[[#This Row],[Framework]])</f>
        <v>11.01a.1: European Colonizing Nations</v>
      </c>
    </row>
    <row r="69" spans="1:4" ht="22.5" customHeight="1" x14ac:dyDescent="0.15">
      <c r="A69" s="3" t="s">
        <v>373</v>
      </c>
      <c r="B69" s="3" t="s">
        <v>374</v>
      </c>
      <c r="C69" s="3" t="s">
        <v>375</v>
      </c>
      <c r="D69" t="str">
        <f>_xlfn.CONCAT(Table3[[#This Row],['#]],": ",Table3[[#This Row],[Framework]])</f>
        <v>11.01a.2: Colonization Impact on Native Americans</v>
      </c>
    </row>
    <row r="70" spans="1:4" ht="22.5" customHeight="1" x14ac:dyDescent="0.15">
      <c r="A70" s="3" t="s">
        <v>376</v>
      </c>
      <c r="B70" s="3" t="s">
        <v>377</v>
      </c>
      <c r="C70" s="3" t="s">
        <v>378</v>
      </c>
      <c r="D70" t="str">
        <f>_xlfn.CONCAT(Table3[[#This Row],['#]],": ",Table3[[#This Row],[Framework]])</f>
        <v>11.01b.1: Geography &amp; Economic Systems</v>
      </c>
    </row>
    <row r="71" spans="1:4" ht="22.5" customHeight="1" x14ac:dyDescent="0.15">
      <c r="A71" s="3" t="s">
        <v>379</v>
      </c>
      <c r="B71" s="3" t="s">
        <v>380</v>
      </c>
      <c r="C71" s="3" t="s">
        <v>381</v>
      </c>
      <c r="D71" t="str">
        <f>_xlfn.CONCAT(Table3[[#This Row],['#]],": ",Table3[[#This Row],[Framework]])</f>
        <v>11.01b.2: Social Structures &amp; Labor</v>
      </c>
    </row>
    <row r="72" spans="1:4" ht="22.5" customHeight="1" x14ac:dyDescent="0.15">
      <c r="A72" s="3" t="s">
        <v>382</v>
      </c>
      <c r="B72" s="3" t="s">
        <v>383</v>
      </c>
      <c r="C72" s="3" t="s">
        <v>384</v>
      </c>
      <c r="D72" t="str">
        <f>_xlfn.CONCAT(Table3[[#This Row],['#]],": ",Table3[[#This Row],[Framework]])</f>
        <v>11.01b.3: Colonial Slavery</v>
      </c>
    </row>
    <row r="73" spans="1:4" ht="22.5" customHeight="1" x14ac:dyDescent="0.15">
      <c r="A73" s="3" t="s">
        <v>385</v>
      </c>
      <c r="B73" s="3" t="s">
        <v>386</v>
      </c>
      <c r="C73" s="3" t="s">
        <v>387</v>
      </c>
      <c r="D73" t="str">
        <f>_xlfn.CONCAT(Table3[[#This Row],['#]],": ",Table3[[#This Row],[Framework]])</f>
        <v>11.01c.1: Enlightenment &amp; British Traditions</v>
      </c>
    </row>
    <row r="74" spans="1:4" ht="22.5" customHeight="1" x14ac:dyDescent="0.15">
      <c r="A74" s="3" t="s">
        <v>388</v>
      </c>
      <c r="B74" s="3" t="s">
        <v>389</v>
      </c>
      <c r="C74" s="3" t="s">
        <v>390</v>
      </c>
      <c r="D74" t="str">
        <f>_xlfn.CONCAT(Table3[[#This Row],['#]],": ",Table3[[#This Row],[Framework]])</f>
        <v>11.01c.2: Colonial Democracy &amp; Key Documents</v>
      </c>
    </row>
    <row r="75" spans="1:4" ht="22.5" customHeight="1" x14ac:dyDescent="0.15">
      <c r="A75" s="3" t="s">
        <v>391</v>
      </c>
      <c r="B75" s="3" t="s">
        <v>392</v>
      </c>
      <c r="C75" s="3" t="s">
        <v>393</v>
      </c>
      <c r="D75" t="str">
        <f>_xlfn.CONCAT(Table3[[#This Row],['#]],": ",Table3[[#This Row],[Framework]])</f>
        <v>11.02a.1: British Control &amp; Colonial Resistance</v>
      </c>
    </row>
    <row r="76" spans="1:4" ht="22.5" customHeight="1" x14ac:dyDescent="0.15">
      <c r="A76" s="3" t="s">
        <v>394</v>
      </c>
      <c r="B76" s="3" t="s">
        <v>395</v>
      </c>
      <c r="C76" s="3" t="s">
        <v>396</v>
      </c>
      <c r="D76" t="str">
        <f>_xlfn.CONCAT(Table3[[#This Row],['#]],": ",Table3[[#This Row],[Framework]])</f>
        <v>11.02b.1: Declaration of Independence</v>
      </c>
    </row>
    <row r="77" spans="1:4" ht="22.5" customHeight="1" x14ac:dyDescent="0.15">
      <c r="A77" s="3" t="s">
        <v>397</v>
      </c>
      <c r="B77" s="3" t="s">
        <v>398</v>
      </c>
      <c r="C77" s="3" t="s">
        <v>399</v>
      </c>
      <c r="D77" t="str">
        <f>_xlfn.CONCAT(Table3[[#This Row],['#]],": ",Table3[[#This Row],[Framework]])</f>
        <v>11.02b.2: Impact on Marginalized Groups</v>
      </c>
    </row>
    <row r="78" spans="1:4" ht="22.5" customHeight="1" x14ac:dyDescent="0.15">
      <c r="A78" s="3" t="s">
        <v>400</v>
      </c>
      <c r="B78" s="3" t="s">
        <v>401</v>
      </c>
      <c r="C78" s="3" t="s">
        <v>402</v>
      </c>
      <c r="D78" t="str">
        <f>_xlfn.CONCAT(Table3[[#This Row],['#]],": ",Table3[[#This Row],[Framework]])</f>
        <v>11.02c.1: Articles of Confederation</v>
      </c>
    </row>
    <row r="79" spans="1:4" ht="22.5" customHeight="1" x14ac:dyDescent="0.15">
      <c r="A79" s="3" t="s">
        <v>403</v>
      </c>
      <c r="B79" s="3" t="s">
        <v>404</v>
      </c>
      <c r="C79" s="3" t="s">
        <v>405</v>
      </c>
      <c r="D79" t="str">
        <f>_xlfn.CONCAT(Table3[[#This Row],['#]],": ",Table3[[#This Row],[Framework]])</f>
        <v>11.02c.2: Constitution Development &amp; Debates</v>
      </c>
    </row>
    <row r="80" spans="1:4" ht="22.5" customHeight="1" x14ac:dyDescent="0.15">
      <c r="A80" s="3" t="s">
        <v>406</v>
      </c>
      <c r="B80" s="3" t="s">
        <v>407</v>
      </c>
      <c r="C80" s="3" t="s">
        <v>408</v>
      </c>
      <c r="D80" t="str">
        <f>_xlfn.CONCAT(Table3[[#This Row],['#]],": ",Table3[[#This Row],[Framework]])</f>
        <v>11.02c.3: Federal Government Structure &amp; Principles</v>
      </c>
    </row>
    <row r="81" spans="1:4" ht="22.5" customHeight="1" x14ac:dyDescent="0.15">
      <c r="A81" s="3" t="s">
        <v>409</v>
      </c>
      <c r="B81" s="3" t="s">
        <v>410</v>
      </c>
      <c r="C81" s="3" t="s">
        <v>411</v>
      </c>
      <c r="D81" t="str">
        <f>_xlfn.CONCAT(Table3[[#This Row],['#]],": ",Table3[[#This Row],[Framework]])</f>
        <v>11.02c.4: Federalist vs. Antifederalist</v>
      </c>
    </row>
    <row r="82" spans="1:4" ht="22.5" customHeight="1" x14ac:dyDescent="0.15">
      <c r="A82" s="3" t="s">
        <v>412</v>
      </c>
      <c r="B82" s="3" t="s">
        <v>413</v>
      </c>
      <c r="C82" s="3" t="s">
        <v>414</v>
      </c>
      <c r="D82" t="str">
        <f>_xlfn.CONCAT(Table3[[#This Row],['#]],": ",Table3[[#This Row],[Framework]])</f>
        <v>11.02c.5: Bill of Rights</v>
      </c>
    </row>
    <row r="83" spans="1:4" ht="22.5" customHeight="1" x14ac:dyDescent="0.15">
      <c r="A83" s="3" t="s">
        <v>415</v>
      </c>
      <c r="B83" s="3" t="s">
        <v>416</v>
      </c>
      <c r="C83" s="3" t="s">
        <v>417</v>
      </c>
      <c r="D83" t="str">
        <f>_xlfn.CONCAT(Table3[[#This Row],['#]],": ",Table3[[#This Row],[Framework]])</f>
        <v>11.02d.1: President George Washington</v>
      </c>
    </row>
    <row r="84" spans="1:4" ht="22.5" customHeight="1" x14ac:dyDescent="0.15">
      <c r="A84" s="3" t="s">
        <v>418</v>
      </c>
      <c r="B84" s="3" t="s">
        <v>419</v>
      </c>
      <c r="C84" s="3" t="s">
        <v>420</v>
      </c>
      <c r="D84" t="str">
        <f>_xlfn.CONCAT(Table3[[#This Row],['#]],": ",Table3[[#This Row],[Framework]])</f>
        <v>11.02d.2: Hamilton's Economic Plan &amp; Political Parties</v>
      </c>
    </row>
    <row r="85" spans="1:4" ht="22.5" customHeight="1" x14ac:dyDescent="0.15">
      <c r="A85" s="3" t="s">
        <v>421</v>
      </c>
      <c r="B85" s="3" t="s">
        <v>422</v>
      </c>
      <c r="C85" s="3" t="s">
        <v>423</v>
      </c>
      <c r="D85" t="str">
        <f>_xlfn.CONCAT(Table3[[#This Row],['#]],": ",Table3[[#This Row],[Framework]])</f>
        <v>11.02d.3: Peaceful Transfers of Power: 1800 vs. 2000</v>
      </c>
    </row>
    <row r="86" spans="1:4" ht="22.5" customHeight="1" x14ac:dyDescent="0.15">
      <c r="A86" s="3" t="s">
        <v>424</v>
      </c>
      <c r="B86" s="3" t="s">
        <v>425</v>
      </c>
      <c r="C86" s="3" t="s">
        <v>426</v>
      </c>
      <c r="D86" t="str">
        <f>_xlfn.CONCAT(Table3[[#This Row],['#]],": ",Table3[[#This Row],[Framework]])</f>
        <v>11.02d.4: Early Supreme Court Cases</v>
      </c>
    </row>
    <row r="87" spans="1:4" ht="22.5" customHeight="1" x14ac:dyDescent="0.15">
      <c r="A87" s="3" t="s">
        <v>427</v>
      </c>
      <c r="B87" s="3" t="s">
        <v>428</v>
      </c>
      <c r="C87" s="3" t="s">
        <v>429</v>
      </c>
      <c r="D87" t="str">
        <f>_xlfn.CONCAT(Table3[[#This Row],['#]],": ",Table3[[#This Row],[Framework]])</f>
        <v>11.03a.1: American Nationalism</v>
      </c>
    </row>
    <row r="88" spans="1:4" ht="22.5" customHeight="1" x14ac:dyDescent="0.15">
      <c r="A88" s="3" t="s">
        <v>430</v>
      </c>
      <c r="B88" s="3" t="s">
        <v>431</v>
      </c>
      <c r="C88" s="3" t="s">
        <v>432</v>
      </c>
      <c r="D88" t="str">
        <f>_xlfn.CONCAT(Table3[[#This Row],['#]],": ",Table3[[#This Row],[Framework]])</f>
        <v>11.03a.2: Market Revolution</v>
      </c>
    </row>
    <row r="89" spans="1:4" ht="22.5" customHeight="1" x14ac:dyDescent="0.15">
      <c r="A89" s="3" t="s">
        <v>433</v>
      </c>
      <c r="B89" s="3" t="s">
        <v>434</v>
      </c>
      <c r="C89" s="3" t="s">
        <v>435</v>
      </c>
      <c r="D89" t="str">
        <f>_xlfn.CONCAT(Table3[[#This Row],['#]],": ",Table3[[#This Row],[Framework]])</f>
        <v>11.03a.3: President Jackson</v>
      </c>
    </row>
    <row r="90" spans="1:4" ht="22.5" customHeight="1" x14ac:dyDescent="0.15">
      <c r="A90" s="3" t="s">
        <v>436</v>
      </c>
      <c r="B90" s="3" t="s">
        <v>437</v>
      </c>
      <c r="C90" s="3" t="s">
        <v>438</v>
      </c>
      <c r="D90" t="str">
        <f>_xlfn.CONCAT(Table3[[#This Row],['#]],": ",Table3[[#This Row],[Framework]])</f>
        <v>11.03b.1: Resolutions &amp; Nullifications</v>
      </c>
    </row>
    <row r="91" spans="1:4" ht="22.5" customHeight="1" x14ac:dyDescent="0.15">
      <c r="A91" s="3" t="s">
        <v>439</v>
      </c>
      <c r="B91" s="3" t="s">
        <v>440</v>
      </c>
      <c r="C91" s="3" t="s">
        <v>441</v>
      </c>
      <c r="D91" t="str">
        <f>_xlfn.CONCAT(Table3[[#This Row],['#]],": ",Table3[[#This Row],[Framework]])</f>
        <v>11.03b.2: Resistance &amp; Abolitionism</v>
      </c>
    </row>
    <row r="92" spans="1:4" ht="22.5" customHeight="1" x14ac:dyDescent="0.15">
      <c r="A92" s="3" t="s">
        <v>442</v>
      </c>
      <c r="B92" s="3" t="s">
        <v>443</v>
      </c>
      <c r="C92" s="3" t="s">
        <v>444</v>
      </c>
      <c r="D92" t="str">
        <f>_xlfn.CONCAT(Table3[[#This Row],['#]],": ",Table3[[#This Row],[Framework]])</f>
        <v>11.03b.3: Early Women's Rights Movement</v>
      </c>
    </row>
    <row r="93" spans="1:4" ht="22.5" customHeight="1" x14ac:dyDescent="0.15">
      <c r="A93" s="3" t="s">
        <v>445</v>
      </c>
      <c r="B93" s="3" t="s">
        <v>446</v>
      </c>
      <c r="C93" s="3" t="s">
        <v>447</v>
      </c>
      <c r="D93" t="str">
        <f>_xlfn.CONCAT(Table3[[#This Row],['#]],": ",Table3[[#This Row],[Framework]])</f>
        <v>11.03b.4: Expansion of Slavery</v>
      </c>
    </row>
    <row r="94" spans="1:4" ht="22.5" customHeight="1" x14ac:dyDescent="0.15">
      <c r="A94" s="3" t="s">
        <v>448</v>
      </c>
      <c r="B94" s="3" t="s">
        <v>449</v>
      </c>
      <c r="C94" s="3" t="s">
        <v>450</v>
      </c>
      <c r="D94" t="str">
        <f>_xlfn.CONCAT(Table3[[#This Row],['#]],": ",Table3[[#This Row],[Framework]])</f>
        <v>11.03c.1: Union vs. Confederacy</v>
      </c>
    </row>
    <row r="95" spans="1:4" ht="22.5" customHeight="1" x14ac:dyDescent="0.15">
      <c r="A95" s="3" t="s">
        <v>451</v>
      </c>
      <c r="B95" s="3" t="s">
        <v>452</v>
      </c>
      <c r="C95" s="3" t="s">
        <v>453</v>
      </c>
      <c r="D95" t="str">
        <f>_xlfn.CONCAT(Table3[[#This Row],['#]],": ",Table3[[#This Row],[Framework]])</f>
        <v>11.03c.2: Federal Power: Habeas Corpus &amp; Emancipation</v>
      </c>
    </row>
    <row r="96" spans="1:4" ht="22.5" customHeight="1" x14ac:dyDescent="0.15">
      <c r="A96" s="3" t="s">
        <v>454</v>
      </c>
      <c r="B96" s="3" t="s">
        <v>455</v>
      </c>
      <c r="C96" s="3" t="s">
        <v>456</v>
      </c>
      <c r="D96" t="str">
        <f>_xlfn.CONCAT(Table3[[#This Row],['#]],": ",Table3[[#This Row],[Framework]])</f>
        <v>11.03c.3: Gettysburg Address</v>
      </c>
    </row>
    <row r="97" spans="1:4" ht="22.5" customHeight="1" x14ac:dyDescent="0.15">
      <c r="A97" s="3" t="s">
        <v>457</v>
      </c>
      <c r="B97" s="3" t="s">
        <v>458</v>
      </c>
      <c r="C97" s="3" t="s">
        <v>459</v>
      </c>
      <c r="D97" t="str">
        <f>_xlfn.CONCAT(Table3[[#This Row],['#]],": ",Table3[[#This Row],[Framework]])</f>
        <v>11.04a.1: Amendments &amp; Reconstruction</v>
      </c>
    </row>
    <row r="98" spans="1:4" ht="22.5" customHeight="1" x14ac:dyDescent="0.15">
      <c r="A98" s="3" t="s">
        <v>460</v>
      </c>
      <c r="B98" s="3" t="s">
        <v>461</v>
      </c>
      <c r="C98" s="3" t="s">
        <v>462</v>
      </c>
      <c r="D98" t="str">
        <f>_xlfn.CONCAT(Table3[[#This Row],['#]],": ",Table3[[#This Row],[Framework]])</f>
        <v>11.04a.2: Limiting of Black Rights</v>
      </c>
    </row>
    <row r="99" spans="1:4" ht="22.5" customHeight="1" x14ac:dyDescent="0.15">
      <c r="A99" s="3" t="s">
        <v>463</v>
      </c>
      <c r="B99" s="3" t="s">
        <v>464</v>
      </c>
      <c r="C99" s="3" t="s">
        <v>465</v>
      </c>
      <c r="D99" t="str">
        <f>_xlfn.CONCAT(Table3[[#This Row],['#]],": ",Table3[[#This Row],[Framework]])</f>
        <v>11.04a.3: Freedmen's Pursuit of Independence</v>
      </c>
    </row>
    <row r="100" spans="1:4" ht="22.5" customHeight="1" x14ac:dyDescent="0.15">
      <c r="A100" s="3" t="s">
        <v>466</v>
      </c>
      <c r="B100" s="3" t="s">
        <v>467</v>
      </c>
      <c r="C100" s="3" t="s">
        <v>468</v>
      </c>
      <c r="D100" t="str">
        <f>_xlfn.CONCAT(Table3[[#This Row],['#]],": ",Table3[[#This Row],[Framework]])</f>
        <v>11.04a.4: End of Reconstruction</v>
      </c>
    </row>
    <row r="101" spans="1:4" ht="22.5" customHeight="1" x14ac:dyDescent="0.15">
      <c r="A101" s="3" t="s">
        <v>469</v>
      </c>
      <c r="B101" s="3" t="s">
        <v>470</v>
      </c>
      <c r="C101" s="3" t="s">
        <v>471</v>
      </c>
      <c r="D101" t="str">
        <f>_xlfn.CONCAT(Table3[[#This Row],['#]],": ",Table3[[#This Row],[Framework]])</f>
        <v>11.04b.1: Exclusion of Women &amp; Struggle for Rights</v>
      </c>
    </row>
    <row r="102" spans="1:4" ht="22.5" customHeight="1" x14ac:dyDescent="0.15">
      <c r="A102" s="3" t="s">
        <v>472</v>
      </c>
      <c r="B102" s="3" t="s">
        <v>473</v>
      </c>
      <c r="C102" s="3" t="s">
        <v>474</v>
      </c>
      <c r="D102" t="str">
        <f>_xlfn.CONCAT(Table3[[#This Row],['#]],": ",Table3[[#This Row],[Framework]])</f>
        <v>11.04c.1: Federal Policies &amp; Western Expansion</v>
      </c>
    </row>
    <row r="103" spans="1:4" ht="22.5" customHeight="1" x14ac:dyDescent="0.15">
      <c r="A103" s="3" t="s">
        <v>475</v>
      </c>
      <c r="B103" s="3" t="s">
        <v>476</v>
      </c>
      <c r="C103" s="3" t="s">
        <v>477</v>
      </c>
      <c r="D103" t="str">
        <f>_xlfn.CONCAT(Table3[[#This Row],['#]],": ",Table3[[#This Row],[Framework]])</f>
        <v>11.04c.2: Western Expansion &amp; Native American Impact</v>
      </c>
    </row>
    <row r="104" spans="1:4" ht="22.5" customHeight="1" x14ac:dyDescent="0.15">
      <c r="A104" s="3" t="s">
        <v>478</v>
      </c>
      <c r="B104" s="3" t="s">
        <v>479</v>
      </c>
      <c r="C104" s="3" t="s">
        <v>480</v>
      </c>
      <c r="D104" t="str">
        <f>_xlfn.CONCAT(Table3[[#This Row],['#]],": ",Table3[[#This Row],[Framework]])</f>
        <v>11.04d.1: Treatment of Mexicans &amp; Mexican Americans</v>
      </c>
    </row>
    <row r="105" spans="1:4" ht="22.5" customHeight="1" x14ac:dyDescent="0.15">
      <c r="A105" s="3" t="s">
        <v>481</v>
      </c>
      <c r="B105" s="3" t="s">
        <v>482</v>
      </c>
      <c r="C105" s="3" t="s">
        <v>483</v>
      </c>
      <c r="D105" t="str">
        <f>_xlfn.CONCAT(Table3[[#This Row],['#]],": ",Table3[[#This Row],[Framework]])</f>
        <v>11.04d.2: Chinese Immigration &amp; Exclusion</v>
      </c>
    </row>
    <row r="106" spans="1:4" ht="22.5" customHeight="1" x14ac:dyDescent="0.15">
      <c r="A106" s="3" t="s">
        <v>484</v>
      </c>
      <c r="B106" s="3" t="s">
        <v>485</v>
      </c>
      <c r="C106" s="3" t="s">
        <v>486</v>
      </c>
      <c r="D106" t="str">
        <f>_xlfn.CONCAT(Table3[[#This Row],['#]],": ",Table3[[#This Row],[Framework]])</f>
        <v>11.05a.1: Technological Innovations</v>
      </c>
    </row>
    <row r="107" spans="1:4" ht="22.5" customHeight="1" x14ac:dyDescent="0.15">
      <c r="A107" s="3" t="s">
        <v>487</v>
      </c>
      <c r="B107" s="3" t="s">
        <v>488</v>
      </c>
      <c r="C107" s="3" t="s">
        <v>489</v>
      </c>
      <c r="D107" t="str">
        <f>_xlfn.CONCAT(Table3[[#This Row],['#]],": ",Table3[[#This Row],[Framework]])</f>
        <v>11.05a.2: Growth of Industrial Businesses</v>
      </c>
    </row>
    <row r="108" spans="1:4" ht="22.5" customHeight="1" x14ac:dyDescent="0.15">
      <c r="A108" s="3" t="s">
        <v>490</v>
      </c>
      <c r="B108" s="3" t="s">
        <v>491</v>
      </c>
      <c r="C108" s="3" t="s">
        <v>492</v>
      </c>
      <c r="D108" t="str">
        <f>_xlfn.CONCAT(Table3[[#This Row],['#]],": ",Table3[[#This Row],[Framework]])</f>
        <v>11.05a.3: Regulation vs Monopolies</v>
      </c>
    </row>
    <row r="109" spans="1:4" ht="22.5" customHeight="1" x14ac:dyDescent="0.15">
      <c r="A109" s="3" t="s">
        <v>493</v>
      </c>
      <c r="B109" s="3" t="s">
        <v>494</v>
      </c>
      <c r="C109" s="3" t="s">
        <v>495</v>
      </c>
      <c r="D109" t="str">
        <f>_xlfn.CONCAT(Table3[[#This Row],['#]],": ",Table3[[#This Row],[Framework]])</f>
        <v>11.05b.1: Urbanization &amp; Immigration</v>
      </c>
    </row>
    <row r="110" spans="1:4" ht="22.5" customHeight="1" x14ac:dyDescent="0.15">
      <c r="A110" s="3" t="s">
        <v>496</v>
      </c>
      <c r="B110" s="3" t="s">
        <v>497</v>
      </c>
      <c r="C110" s="3" t="s">
        <v>498</v>
      </c>
      <c r="D110" t="str">
        <f>_xlfn.CONCAT(Table3[[#This Row],['#]],": ",Table3[[#This Row],[Framework]])</f>
        <v>11.05b.2: Grange Movement &amp; Populist Party</v>
      </c>
    </row>
    <row r="111" spans="1:4" ht="22.5" customHeight="1" x14ac:dyDescent="0.15">
      <c r="A111" s="3" t="s">
        <v>499</v>
      </c>
      <c r="B111" s="3" t="s">
        <v>500</v>
      </c>
      <c r="C111" s="3" t="s">
        <v>501</v>
      </c>
      <c r="D111" t="str">
        <f>_xlfn.CONCAT(Table3[[#This Row],['#]],": ",Table3[[#This Row],[Framework]])</f>
        <v>11.05b.3: Early Unionization</v>
      </c>
    </row>
    <row r="112" spans="1:4" ht="22.5" customHeight="1" x14ac:dyDescent="0.15">
      <c r="A112" s="3" t="s">
        <v>502</v>
      </c>
      <c r="B112" s="3" t="s">
        <v>503</v>
      </c>
      <c r="C112" s="3" t="s">
        <v>504</v>
      </c>
      <c r="D112" t="str">
        <f>_xlfn.CONCAT(Table3[[#This Row],['#]],": ",Table3[[#This Row],[Framework]])</f>
        <v>11.05b.4: Progressive Era</v>
      </c>
    </row>
    <row r="113" spans="1:4" ht="22.5" customHeight="1" x14ac:dyDescent="0.15">
      <c r="A113" s="3" t="s">
        <v>505</v>
      </c>
      <c r="B113" s="3" t="s">
        <v>506</v>
      </c>
      <c r="C113" s="3" t="s">
        <v>507</v>
      </c>
      <c r="D113" t="str">
        <f>_xlfn.CONCAT(Table3[[#This Row],['#]],": ",Table3[[#This Row],[Framework]])</f>
        <v>11.05b.5: Women's Suffrage</v>
      </c>
    </row>
    <row r="114" spans="1:4" ht="22.5" customHeight="1" x14ac:dyDescent="0.15">
      <c r="A114" s="3" t="s">
        <v>508</v>
      </c>
      <c r="B114" s="3" t="s">
        <v>509</v>
      </c>
      <c r="C114" s="3" t="s">
        <v>510</v>
      </c>
      <c r="D114" t="str">
        <f>_xlfn.CONCAT(Table3[[#This Row],['#]],": ",Table3[[#This Row],[Framework]])</f>
        <v>11.05b.6: Temperance &amp; Prohibition</v>
      </c>
    </row>
    <row r="115" spans="1:4" ht="22.5" customHeight="1" x14ac:dyDescent="0.15">
      <c r="A115" s="3" t="s">
        <v>511</v>
      </c>
      <c r="B115" s="3" t="s">
        <v>512</v>
      </c>
      <c r="C115" s="3" t="s">
        <v>513</v>
      </c>
      <c r="D115" t="str">
        <f>_xlfn.CONCAT(Table3[[#This Row],['#]],": ",Table3[[#This Row],[Framework]])</f>
        <v>11.05b.7: Influential Documents of the Progressive Era</v>
      </c>
    </row>
    <row r="116" spans="1:4" ht="22.5" customHeight="1" x14ac:dyDescent="0.15">
      <c r="A116" s="3" t="s">
        <v>514</v>
      </c>
      <c r="B116" s="3" t="s">
        <v>515</v>
      </c>
      <c r="C116" s="3" t="s">
        <v>516</v>
      </c>
      <c r="D116" t="str">
        <f>_xlfn.CONCAT(Table3[[#This Row],['#]],": ",Table3[[#This Row],[Framework]])</f>
        <v>11.06a.1: Gowing Economic Interests, Foreign Involvement, &amp; Hawaii</v>
      </c>
    </row>
    <row r="117" spans="1:4" ht="22.5" customHeight="1" x14ac:dyDescent="0.15">
      <c r="A117" s="3" t="s">
        <v>517</v>
      </c>
      <c r="B117" s="3" t="s">
        <v>518</v>
      </c>
      <c r="C117" s="3" t="s">
        <v>519</v>
      </c>
      <c r="D117" t="str">
        <f>_xlfn.CONCAT(Table3[[#This Row],['#]],": ",Table3[[#This Row],[Framework]])</f>
        <v>11.06a.2: Spanish American War</v>
      </c>
    </row>
    <row r="118" spans="1:4" ht="22.5" customHeight="1" x14ac:dyDescent="0.15">
      <c r="A118" s="3" t="s">
        <v>520</v>
      </c>
      <c r="B118" s="3" t="s">
        <v>521</v>
      </c>
      <c r="C118" s="3" t="s">
        <v>522</v>
      </c>
      <c r="D118" t="str">
        <f>_xlfn.CONCAT(Table3[[#This Row],['#]],": ",Table3[[#This Row],[Framework]])</f>
        <v>11.06a.3: (Anti) Imperialism &amp; the Philippines</v>
      </c>
    </row>
    <row r="119" spans="1:4" ht="22.5" customHeight="1" x14ac:dyDescent="0.15">
      <c r="A119" s="3" t="s">
        <v>523</v>
      </c>
      <c r="B119" s="3" t="s">
        <v>524</v>
      </c>
      <c r="C119" s="3" t="s">
        <v>525</v>
      </c>
      <c r="D119" t="str">
        <f>_xlfn.CONCAT(Table3[[#This Row],['#]],": ",Table3[[#This Row],[Framework]])</f>
        <v>11.06a.4: Imperialism in the Caribbean &amp; Latin America</v>
      </c>
    </row>
    <row r="120" spans="1:4" ht="22.5" customHeight="1" x14ac:dyDescent="0.15">
      <c r="A120" s="3" t="s">
        <v>526</v>
      </c>
      <c r="B120" s="3" t="s">
        <v>527</v>
      </c>
      <c r="C120" s="3" t="s">
        <v>528</v>
      </c>
      <c r="D120" t="str">
        <f>_xlfn.CONCAT(Table3[[#This Row],['#]],": ",Table3[[#This Row],[Framework]])</f>
        <v>11.06b.1: President Wilson: Neutrality to Involvement</v>
      </c>
    </row>
    <row r="121" spans="1:4" ht="22.5" customHeight="1" x14ac:dyDescent="0.15">
      <c r="A121" s="3" t="s">
        <v>529</v>
      </c>
      <c r="B121" s="3" t="s">
        <v>530</v>
      </c>
      <c r="C121" s="3" t="s">
        <v>531</v>
      </c>
      <c r="D121" t="str">
        <f>_xlfn.CONCAT(Table3[[#This Row],['#]],": ",Table3[[#This Row],[Framework]])</f>
        <v>11.06b.2: Attempts at Peace after WWI</v>
      </c>
    </row>
    <row r="122" spans="1:4" ht="22.5" customHeight="1" x14ac:dyDescent="0.15">
      <c r="A122" s="3" t="s">
        <v>532</v>
      </c>
      <c r="B122" s="3" t="s">
        <v>533</v>
      </c>
      <c r="C122" s="3" t="s">
        <v>534</v>
      </c>
      <c r="D122" t="str">
        <f>_xlfn.CONCAT(Table3[[#This Row],['#]],": ",Table3[[#This Row],[Framework]])</f>
        <v>11.06b.3: Unsuccessful Ratification of the Treaty of Versailles</v>
      </c>
    </row>
    <row r="123" spans="1:4" ht="22.5" customHeight="1" x14ac:dyDescent="0.15">
      <c r="A123" s="3" t="s">
        <v>535</v>
      </c>
      <c r="B123" s="3" t="s">
        <v>536</v>
      </c>
      <c r="C123" s="3" t="s">
        <v>537</v>
      </c>
      <c r="D123" t="str">
        <f>_xlfn.CONCAT(Table3[[#This Row],['#]],": ",Table3[[#This Row],[Framework]])</f>
        <v>11.06c.1: Mobilization Economic Effects</v>
      </c>
    </row>
    <row r="124" spans="1:4" ht="22.5" customHeight="1" x14ac:dyDescent="0.15">
      <c r="A124" s="3" t="s">
        <v>538</v>
      </c>
      <c r="B124" s="3" t="s">
        <v>539</v>
      </c>
      <c r="C124" s="3" t="s">
        <v>540</v>
      </c>
      <c r="D124" t="str">
        <f>_xlfn.CONCAT(Table3[[#This Row],['#]],": ",Table3[[#This Row],[Framework]])</f>
        <v>11.06c.2: Great Migration</v>
      </c>
    </row>
    <row r="125" spans="1:4" ht="22.5" customHeight="1" x14ac:dyDescent="0.15">
      <c r="A125" s="3" t="s">
        <v>541</v>
      </c>
      <c r="B125" s="3" t="s">
        <v>542</v>
      </c>
      <c r="C125" s="3" t="s">
        <v>543</v>
      </c>
      <c r="D125" t="str">
        <f>_xlfn.CONCAT(Table3[[#This Row],['#]],": ",Table3[[#This Row],[Framework]])</f>
        <v>11.06c.3: Schenck v. US (1919)</v>
      </c>
    </row>
    <row r="126" spans="1:4" ht="22.5" customHeight="1" x14ac:dyDescent="0.15">
      <c r="A126" s="3" t="s">
        <v>544</v>
      </c>
      <c r="B126" s="3" t="s">
        <v>545</v>
      </c>
      <c r="C126" s="3" t="s">
        <v>546</v>
      </c>
      <c r="D126" t="str">
        <f>_xlfn.CONCAT(Table3[[#This Row],['#]],": ",Table3[[#This Row],[Framework]])</f>
        <v>11.06c.4: Fear of Radicals, Xenophobia, and the Red Scare</v>
      </c>
    </row>
    <row r="127" spans="1:4" ht="22.5" customHeight="1" x14ac:dyDescent="0.15">
      <c r="A127" s="3" t="s">
        <v>547</v>
      </c>
      <c r="B127" s="3" t="s">
        <v>548</v>
      </c>
      <c r="C127" s="3" t="s">
        <v>549</v>
      </c>
      <c r="D127" t="str">
        <f>_xlfn.CONCAT(Table3[[#This Row],['#]],": ",Table3[[#This Row],[Framework]])</f>
        <v>11.07a.1: Roaring Twenties</v>
      </c>
    </row>
    <row r="128" spans="1:4" ht="22.5" customHeight="1" x14ac:dyDescent="0.15">
      <c r="A128" s="3" t="s">
        <v>550</v>
      </c>
      <c r="B128" s="3" t="s">
        <v>551</v>
      </c>
      <c r="C128" s="3" t="s">
        <v>552</v>
      </c>
      <c r="D128" t="str">
        <f>_xlfn.CONCAT(Table3[[#This Row],['#]],": ",Table3[[#This Row],[Framework]])</f>
        <v>11.07a.2: Prohibition</v>
      </c>
    </row>
    <row r="129" spans="1:4" ht="22.5" customHeight="1" x14ac:dyDescent="0.15">
      <c r="A129" s="3" t="s">
        <v>553</v>
      </c>
      <c r="B129" s="3" t="s">
        <v>554</v>
      </c>
      <c r="C129" s="3" t="s">
        <v>555</v>
      </c>
      <c r="D129" t="str">
        <f>_xlfn.CONCAT(Table3[[#This Row],['#]],": ",Table3[[#This Row],[Framework]])</f>
        <v>11.07a.3: Immigration in the 1920's</v>
      </c>
    </row>
    <row r="130" spans="1:4" ht="22.5" customHeight="1" x14ac:dyDescent="0.15">
      <c r="A130" s="3" t="s">
        <v>556</v>
      </c>
      <c r="B130" s="3" t="s">
        <v>557</v>
      </c>
      <c r="C130" s="3" t="s">
        <v>558</v>
      </c>
      <c r="D130" t="str">
        <f>_xlfn.CONCAT(Table3[[#This Row],['#]],": ",Table3[[#This Row],[Framework]])</f>
        <v>11.07a.4: Resurgence of the KKK</v>
      </c>
    </row>
    <row r="131" spans="1:4" ht="22.5" customHeight="1" x14ac:dyDescent="0.15">
      <c r="A131" s="3" t="s">
        <v>559</v>
      </c>
      <c r="B131" s="3" t="s">
        <v>560</v>
      </c>
      <c r="C131" s="3" t="s">
        <v>561</v>
      </c>
      <c r="D131" t="str">
        <f>_xlfn.CONCAT(Table3[[#This Row],['#]],": ",Table3[[#This Row],[Framework]])</f>
        <v>11.07a.5: Scopes Trial</v>
      </c>
    </row>
    <row r="132" spans="1:4" ht="22.5" customHeight="1" x14ac:dyDescent="0.15">
      <c r="A132" s="3" t="s">
        <v>562</v>
      </c>
      <c r="B132" s="3" t="s">
        <v>563</v>
      </c>
      <c r="C132" s="3" t="s">
        <v>564</v>
      </c>
      <c r="D132" t="str">
        <f>_xlfn.CONCAT(Table3[[#This Row],['#]],": ",Table3[[#This Row],[Framework]])</f>
        <v>11.07b.1: Harlem Renaissance</v>
      </c>
    </row>
    <row r="133" spans="1:4" ht="22.5" customHeight="1" x14ac:dyDescent="0.15">
      <c r="A133" s="3" t="s">
        <v>565</v>
      </c>
      <c r="B133" s="3" t="s">
        <v>566</v>
      </c>
      <c r="C133" s="3" t="s">
        <v>567</v>
      </c>
      <c r="D133" t="str">
        <f>_xlfn.CONCAT(Table3[[#This Row],['#]],": ",Table3[[#This Row],[Framework]])</f>
        <v>11.07b.2: Black Pride, Nationalism &amp; Marcus Garvey</v>
      </c>
    </row>
    <row r="134" spans="1:4" ht="22.5" customHeight="1" x14ac:dyDescent="0.15">
      <c r="A134" s="3" t="s">
        <v>568</v>
      </c>
      <c r="B134" s="3" t="s">
        <v>569</v>
      </c>
      <c r="C134" s="3" t="s">
        <v>570</v>
      </c>
      <c r="D134" t="str">
        <f>_xlfn.CONCAT(Table3[[#This Row],['#]],": ",Table3[[#This Row],[Framework]])</f>
        <v>11.07c.1: Economic Prosperity</v>
      </c>
    </row>
    <row r="135" spans="1:4" ht="22.5" customHeight="1" x14ac:dyDescent="0.15">
      <c r="A135" s="3" t="s">
        <v>571</v>
      </c>
      <c r="B135" s="3" t="s">
        <v>572</v>
      </c>
      <c r="C135" s="3" t="s">
        <v>573</v>
      </c>
      <c r="D135" t="str">
        <f>_xlfn.CONCAT(Table3[[#This Row],['#]],": ",Table3[[#This Row],[Framework]])</f>
        <v>11.07c.2: The Great Depression</v>
      </c>
    </row>
    <row r="136" spans="1:4" ht="22.5" customHeight="1" x14ac:dyDescent="0.15">
      <c r="A136" s="3" t="s">
        <v>574</v>
      </c>
      <c r="B136" s="3" t="s">
        <v>575</v>
      </c>
      <c r="C136" s="3" t="s">
        <v>576</v>
      </c>
      <c r="D136" t="str">
        <f>_xlfn.CONCAT(Table3[[#This Row],['#]],": ",Table3[[#This Row],[Framework]])</f>
        <v>11.07c.3: Hoover vs. FDR</v>
      </c>
    </row>
    <row r="137" spans="1:4" ht="22.5" customHeight="1" x14ac:dyDescent="0.15">
      <c r="A137" s="3" t="s">
        <v>577</v>
      </c>
      <c r="B137" s="3" t="s">
        <v>578</v>
      </c>
      <c r="C137" s="3" t="s">
        <v>579</v>
      </c>
      <c r="D137" t="str">
        <f>_xlfn.CONCAT(Table3[[#This Row],['#]],": ",Table3[[#This Row],[Framework]])</f>
        <v>11.07c.4: Dust Bowl</v>
      </c>
    </row>
    <row r="138" spans="1:4" ht="22.5" customHeight="1" x14ac:dyDescent="0.15">
      <c r="A138" s="3" t="s">
        <v>580</v>
      </c>
      <c r="B138" s="3" t="s">
        <v>581</v>
      </c>
      <c r="C138" s="3" t="s">
        <v>582</v>
      </c>
      <c r="D138" t="str">
        <f>_xlfn.CONCAT(Table3[[#This Row],['#]],": ",Table3[[#This Row],[Framework]])</f>
        <v>11.07c.5: New Deal</v>
      </c>
    </row>
    <row r="139" spans="1:4" ht="22.5" customHeight="1" x14ac:dyDescent="0.15">
      <c r="A139" s="3" t="s">
        <v>583</v>
      </c>
      <c r="B139" s="3" t="s">
        <v>584</v>
      </c>
      <c r="C139" s="3" t="s">
        <v>585</v>
      </c>
      <c r="D139" t="str">
        <f>_xlfn.CONCAT(Table3[[#This Row],['#]],": ",Table3[[#This Row],[Framework]])</f>
        <v>11.08a.1: Neutrality Acts</v>
      </c>
    </row>
    <row r="140" spans="1:4" ht="22.5" customHeight="1" x14ac:dyDescent="0.15">
      <c r="A140" s="3" t="s">
        <v>586</v>
      </c>
      <c r="B140" s="3" t="s">
        <v>587</v>
      </c>
      <c r="C140" s="3" t="s">
        <v>588</v>
      </c>
      <c r="D140" t="str">
        <f>_xlfn.CONCAT(Table3[[#This Row],['#]],": ",Table3[[#This Row],[Framework]])</f>
        <v>11.08a.2: Negotiations with Japan</v>
      </c>
    </row>
    <row r="141" spans="1:4" ht="22.5" customHeight="1" x14ac:dyDescent="0.15">
      <c r="A141" s="3" t="s">
        <v>589</v>
      </c>
      <c r="B141" s="3" t="s">
        <v>590</v>
      </c>
      <c r="C141" s="3" t="s">
        <v>591</v>
      </c>
      <c r="D141" t="str">
        <f>_xlfn.CONCAT(Table3[[#This Row],['#]],": ",Table3[[#This Row],[Framework]])</f>
        <v>11.08a.3: Pearl Harbor</v>
      </c>
    </row>
    <row r="142" spans="1:4" ht="22.5" customHeight="1" x14ac:dyDescent="0.15">
      <c r="A142" s="3" t="s">
        <v>592</v>
      </c>
      <c r="B142" s="3" t="s">
        <v>593</v>
      </c>
      <c r="C142" s="3" t="s">
        <v>594</v>
      </c>
      <c r="D142" t="str">
        <f>_xlfn.CONCAT(Table3[[#This Row],['#]],": ",Table3[[#This Row],[Framework]])</f>
        <v>11.08a.4: FDR &amp; the Grand Alliance</v>
      </c>
    </row>
    <row r="143" spans="1:4" ht="22.5" customHeight="1" x14ac:dyDescent="0.15">
      <c r="A143" s="3" t="s">
        <v>595</v>
      </c>
      <c r="B143" s="3" t="s">
        <v>596</v>
      </c>
      <c r="C143" s="3" t="s">
        <v>597</v>
      </c>
      <c r="D143" t="str">
        <f>_xlfn.CONCAT(Table3[[#This Row],['#]],": ",Table3[[#This Row],[Framework]])</f>
        <v>11.08a.5: Technological Advancements &amp; the Atomic Bomb</v>
      </c>
    </row>
    <row r="144" spans="1:4" ht="22.5" customHeight="1" x14ac:dyDescent="0.15">
      <c r="A144" s="3" t="s">
        <v>598</v>
      </c>
      <c r="B144" s="3" t="s">
        <v>599</v>
      </c>
      <c r="C144" s="3" t="s">
        <v>600</v>
      </c>
      <c r="D144" t="str">
        <f>_xlfn.CONCAT(Table3[[#This Row],['#]],": ",Table3[[#This Row],[Framework]])</f>
        <v>11.08b.1: Mobilizations</v>
      </c>
    </row>
    <row r="145" spans="1:4" ht="22.5" customHeight="1" x14ac:dyDescent="0.15">
      <c r="A145" s="3" t="s">
        <v>601</v>
      </c>
      <c r="B145" s="3" t="s">
        <v>602</v>
      </c>
      <c r="C145" s="3" t="s">
        <v>603</v>
      </c>
      <c r="D145" t="str">
        <f>_xlfn.CONCAT(Table3[[#This Row],['#]],": ",Table3[[#This Row],[Framework]])</f>
        <v>11.08b.2: Japanese Internment</v>
      </c>
    </row>
    <row r="146" spans="1:4" ht="22.5" customHeight="1" x14ac:dyDescent="0.15">
      <c r="A146" s="3" t="s">
        <v>604</v>
      </c>
      <c r="B146" s="3" t="s">
        <v>605</v>
      </c>
      <c r="C146" s="3" t="s">
        <v>606</v>
      </c>
      <c r="D146" t="str">
        <f>_xlfn.CONCAT(Table3[[#This Row],['#]],": ",Table3[[#This Row],[Framework]])</f>
        <v>11.08b.3: Women &amp; BIPOC Contribution to WW2</v>
      </c>
    </row>
    <row r="147" spans="1:4" ht="22.5" customHeight="1" x14ac:dyDescent="0.15">
      <c r="A147" s="3" t="s">
        <v>607</v>
      </c>
      <c r="B147" s="3" t="s">
        <v>608</v>
      </c>
      <c r="C147" s="3" t="s">
        <v>609</v>
      </c>
      <c r="D147" t="str">
        <f>_xlfn.CONCAT(Table3[[#This Row],['#]],": ",Table3[[#This Row],[Framework]])</f>
        <v>11.08c.1: Holocaust</v>
      </c>
    </row>
    <row r="148" spans="1:4" ht="22.5" customHeight="1" x14ac:dyDescent="0.15">
      <c r="A148" s="3" t="s">
        <v>610</v>
      </c>
      <c r="B148" s="3" t="s">
        <v>611</v>
      </c>
      <c r="C148" s="3" t="s">
        <v>612</v>
      </c>
      <c r="D148" t="str">
        <f>_xlfn.CONCAT(Table3[[#This Row],['#]],": ",Table3[[#This Row],[Framework]])</f>
        <v>11.08c.2: Nuremberg War Crime Trials</v>
      </c>
    </row>
    <row r="149" spans="1:4" ht="22.5" customHeight="1" x14ac:dyDescent="0.15">
      <c r="A149" s="3" t="s">
        <v>613</v>
      </c>
      <c r="B149" s="3" t="s">
        <v>614</v>
      </c>
      <c r="C149" s="3" t="s">
        <v>615</v>
      </c>
      <c r="D149" t="str">
        <f>_xlfn.CONCAT(Table3[[#This Row],['#]],": ",Table3[[#This Row],[Framework]])</f>
        <v>11.08c.3: Eleanor Roosevelt &amp; UN's Universal Declaration of Human Rights</v>
      </c>
    </row>
    <row r="150" spans="1:4" ht="22.5" customHeight="1" x14ac:dyDescent="0.15">
      <c r="A150" s="3" t="s">
        <v>616</v>
      </c>
      <c r="B150" s="3" t="s">
        <v>617</v>
      </c>
      <c r="C150" s="3" t="s">
        <v>618</v>
      </c>
      <c r="D150" t="str">
        <f>_xlfn.CONCAT(Table3[[#This Row],['#]],": ",Table3[[#This Row],[Framework]])</f>
        <v>11.09a.1: US Decisions for post-war Europe</v>
      </c>
    </row>
    <row r="151" spans="1:4" ht="22.5" customHeight="1" x14ac:dyDescent="0.15">
      <c r="A151" s="3" t="s">
        <v>619</v>
      </c>
      <c r="B151" s="3" t="s">
        <v>620</v>
      </c>
      <c r="C151" s="3" t="s">
        <v>621</v>
      </c>
      <c r="D151" t="str">
        <f>_xlfn.CONCAT(Table3[[#This Row],['#]],": ",Table3[[#This Row],[Framework]])</f>
        <v>11.09a.2: Containment Policies</v>
      </c>
    </row>
    <row r="152" spans="1:4" ht="22.5" customHeight="1" x14ac:dyDescent="0.15">
      <c r="A152" s="3" t="s">
        <v>622</v>
      </c>
      <c r="B152" s="3" t="s">
        <v>623</v>
      </c>
      <c r="C152" s="3" t="s">
        <v>624</v>
      </c>
      <c r="D152" t="str">
        <f>_xlfn.CONCAT(Table3[[#This Row],['#]],": ",Table3[[#This Row],[Framework]])</f>
        <v>11.09a.3: McCarthyism</v>
      </c>
    </row>
    <row r="153" spans="1:4" ht="22.5" customHeight="1" x14ac:dyDescent="0.15">
      <c r="A153" s="3" t="s">
        <v>625</v>
      </c>
      <c r="B153" s="3" t="s">
        <v>626</v>
      </c>
      <c r="C153" s="3" t="s">
        <v>627</v>
      </c>
      <c r="D153" t="str">
        <f>_xlfn.CONCAT(Table3[[#This Row],['#]],": ",Table3[[#This Row],[Framework]])</f>
        <v>11.09a.4: Korean War</v>
      </c>
    </row>
    <row r="154" spans="1:4" ht="22.5" customHeight="1" x14ac:dyDescent="0.15">
      <c r="A154" s="3" t="s">
        <v>628</v>
      </c>
      <c r="B154" s="3" t="s">
        <v>629</v>
      </c>
      <c r="C154" s="3" t="s">
        <v>630</v>
      </c>
      <c r="D154" t="str">
        <f>_xlfn.CONCAT(Table3[[#This Row],['#]],": ",Table3[[#This Row],[Framework]])</f>
        <v>11.09a.5: Vietnam War</v>
      </c>
    </row>
    <row r="155" spans="1:4" ht="22.5" customHeight="1" x14ac:dyDescent="0.15">
      <c r="A155" s="3" t="s">
        <v>631</v>
      </c>
      <c r="B155" s="3" t="s">
        <v>632</v>
      </c>
      <c r="C155" s="3" t="s">
        <v>633</v>
      </c>
      <c r="D155" t="str">
        <f>_xlfn.CONCAT(Table3[[#This Row],['#]],": ",Table3[[#This Row],[Framework]])</f>
        <v>11.09a.6: Antiwar Movement &amp; Watergate</v>
      </c>
    </row>
    <row r="156" spans="1:4" ht="22.5" customHeight="1" x14ac:dyDescent="0.15">
      <c r="A156" s="3" t="s">
        <v>634</v>
      </c>
      <c r="B156" s="3" t="s">
        <v>635</v>
      </c>
      <c r="C156" s="3" t="s">
        <v>636</v>
      </c>
      <c r="D156" t="str">
        <f>_xlfn.CONCAT(Table3[[#This Row],['#]],": ",Table3[[#This Row],[Framework]])</f>
        <v>11.09a.7: War Powers Act</v>
      </c>
    </row>
    <row r="157" spans="1:4" ht="22.5" customHeight="1" x14ac:dyDescent="0.15">
      <c r="A157" s="3" t="s">
        <v>637</v>
      </c>
      <c r="B157" s="3" t="s">
        <v>638</v>
      </c>
      <c r="C157" s="3" t="s">
        <v>639</v>
      </c>
      <c r="D157" t="str">
        <f>_xlfn.CONCAT(Table3[[#This Row],['#]],": ",Table3[[#This Row],[Framework]])</f>
        <v>11.09b.1: Nuclear Arms Race</v>
      </c>
    </row>
    <row r="158" spans="1:4" ht="22.5" customHeight="1" x14ac:dyDescent="0.15">
      <c r="A158" s="3" t="s">
        <v>640</v>
      </c>
      <c r="B158" s="3" t="s">
        <v>641</v>
      </c>
      <c r="C158" s="3" t="s">
        <v>642</v>
      </c>
      <c r="D158" t="str">
        <f>_xlfn.CONCAT(Table3[[#This Row],['#]],": ",Table3[[#This Row],[Framework]])</f>
        <v>11.09b.2: Cuban Missile Crisis &amp; the Nuclear Test Ban Treaty</v>
      </c>
    </row>
    <row r="159" spans="1:4" ht="22.5" customHeight="1" x14ac:dyDescent="0.15">
      <c r="A159" s="3" t="s">
        <v>643</v>
      </c>
      <c r="B159" s="3" t="s">
        <v>644</v>
      </c>
      <c r="C159" s="3" t="s">
        <v>645</v>
      </c>
      <c r="D159" t="str">
        <f>_xlfn.CONCAT(Table3[[#This Row],['#]],": ",Table3[[#This Row],[Framework]])</f>
        <v>11.09b.3: Détente</v>
      </c>
    </row>
    <row r="160" spans="1:4" ht="22.5" customHeight="1" x14ac:dyDescent="0.15">
      <c r="A160" s="3" t="s">
        <v>646</v>
      </c>
      <c r="B160" s="3" t="s">
        <v>647</v>
      </c>
      <c r="C160" s="3" t="s">
        <v>648</v>
      </c>
      <c r="D160" t="str">
        <f>_xlfn.CONCAT(Table3[[#This Row],['#]],": ",Table3[[#This Row],[Framework]])</f>
        <v>11.09c.1: Israel &amp; the Camp David Accords</v>
      </c>
    </row>
    <row r="161" spans="1:4" ht="22.5" customHeight="1" x14ac:dyDescent="0.15">
      <c r="A161" s="3" t="s">
        <v>649</v>
      </c>
      <c r="B161" s="3" t="s">
        <v>650</v>
      </c>
      <c r="C161" s="3" t="s">
        <v>651</v>
      </c>
      <c r="D161" t="str">
        <f>_xlfn.CONCAT(Table3[[#This Row],['#]],": ",Table3[[#This Row],[Framework]])</f>
        <v>11.09d.1: Berlin Wall &amp; the Soviet Loss of Control</v>
      </c>
    </row>
    <row r="162" spans="1:4" ht="22.5" customHeight="1" x14ac:dyDescent="0.15">
      <c r="A162" s="3" t="s">
        <v>652</v>
      </c>
      <c r="B162" s="3" t="s">
        <v>653</v>
      </c>
      <c r="C162" s="3" t="s">
        <v>654</v>
      </c>
      <c r="D162" t="str">
        <f>_xlfn.CONCAT(Table3[[#This Row],['#]],": ",Table3[[#This Row],[Framework]])</f>
        <v>11.10a.1: Important Civil Rights Individuals</v>
      </c>
    </row>
    <row r="163" spans="1:4" ht="22.5" customHeight="1" x14ac:dyDescent="0.15">
      <c r="A163" s="3" t="s">
        <v>655</v>
      </c>
      <c r="B163" s="3" t="s">
        <v>656</v>
      </c>
      <c r="C163" s="3" t="s">
        <v>657</v>
      </c>
      <c r="D163" t="str">
        <f>_xlfn.CONCAT(Table3[[#This Row],['#]],": ",Table3[[#This Row],[Framework]])</f>
        <v>11.10a.2: Civil Rights Groups &amp; Tactics</v>
      </c>
    </row>
    <row r="164" spans="1:4" ht="22.5" customHeight="1" x14ac:dyDescent="0.15">
      <c r="A164" s="3" t="s">
        <v>658</v>
      </c>
      <c r="B164" s="3" t="s">
        <v>659</v>
      </c>
      <c r="C164" s="3" t="s">
        <v>660</v>
      </c>
      <c r="D164" t="str">
        <f>_xlfn.CONCAT(Table3[[#This Row],['#]],": ",Table3[[#This Row],[Framework]])</f>
        <v>11.10a.3: Civil Rights Judicial &amp; Legislative Achievements</v>
      </c>
    </row>
    <row r="165" spans="1:4" ht="22.5" customHeight="1" x14ac:dyDescent="0.15">
      <c r="A165" s="3" t="s">
        <v>661</v>
      </c>
      <c r="B165" s="3" t="s">
        <v>662</v>
      </c>
      <c r="C165" s="3" t="s">
        <v>663</v>
      </c>
      <c r="D165" t="str">
        <f>_xlfn.CONCAT(Table3[[#This Row],['#]],": ",Table3[[#This Row],[Framework]])</f>
        <v>11.10a.4: Civil Rights Protests &amp; Civil Resistance</v>
      </c>
    </row>
    <row r="166" spans="1:4" ht="22.5" customHeight="1" x14ac:dyDescent="0.15">
      <c r="A166" s="3" t="s">
        <v>664</v>
      </c>
      <c r="B166" s="3" t="s">
        <v>665</v>
      </c>
      <c r="C166" s="3" t="s">
        <v>666</v>
      </c>
      <c r="D166" t="str">
        <f>_xlfn.CONCAT(Table3[[#This Row],['#]],": ",Table3[[#This Row],[Framework]])</f>
        <v>11.10b.1: Individuals &amp; Groups Fight for Equality</v>
      </c>
    </row>
    <row r="167" spans="1:4" ht="22.5" customHeight="1" x14ac:dyDescent="0.15">
      <c r="A167" s="3" t="s">
        <v>667</v>
      </c>
      <c r="B167" s="3" t="s">
        <v>668</v>
      </c>
      <c r="C167" s="3" t="s">
        <v>669</v>
      </c>
      <c r="D167" t="str">
        <f>_xlfn.CONCAT(Table3[[#This Row],['#]],": ",Table3[[#This Row],[Framework]])</f>
        <v>11.10b.2: Civil Rights Case Studies</v>
      </c>
    </row>
    <row r="168" spans="1:4" ht="22.5" customHeight="1" x14ac:dyDescent="0.15">
      <c r="A168" s="3" t="s">
        <v>670</v>
      </c>
      <c r="B168" s="3" t="s">
        <v>671</v>
      </c>
      <c r="C168" s="3" t="s">
        <v>672</v>
      </c>
      <c r="D168" t="str">
        <f>_xlfn.CONCAT(Table3[[#This Row],['#]],": ",Table3[[#This Row],[Framework]])</f>
        <v>11.10c.1: Great Society vs Reaganomics</v>
      </c>
    </row>
    <row r="169" spans="1:4" ht="22.5" customHeight="1" x14ac:dyDescent="0.15">
      <c r="A169" s="3" t="s">
        <v>673</v>
      </c>
      <c r="B169" s="3" t="s">
        <v>674</v>
      </c>
      <c r="C169" s="3" t="s">
        <v>675</v>
      </c>
      <c r="D169" t="str">
        <f>_xlfn.CONCAT(Table3[[#This Row],['#]],": ",Table3[[#This Row],[Framework]])</f>
        <v>11.10c.2: Great Recession</v>
      </c>
    </row>
    <row r="170" spans="1:4" ht="22.5" customHeight="1" x14ac:dyDescent="0.15">
      <c r="A170" s="3" t="s">
        <v>676</v>
      </c>
      <c r="B170" s="3" t="s">
        <v>677</v>
      </c>
      <c r="C170" s="3" t="s">
        <v>678</v>
      </c>
      <c r="D170" t="str">
        <f>_xlfn.CONCAT(Table3[[#This Row],['#]],": ",Table3[[#This Row],[Framework]])</f>
        <v>11.10c.3: Social Safety Nets</v>
      </c>
    </row>
    <row r="171" spans="1:4" ht="22.5" customHeight="1" x14ac:dyDescent="0.15">
      <c r="A171" s="3" t="s">
        <v>679</v>
      </c>
      <c r="B171" s="3" t="s">
        <v>680</v>
      </c>
      <c r="C171" s="3" t="s">
        <v>681</v>
      </c>
      <c r="D171" t="str">
        <f>_xlfn.CONCAT(Table3[[#This Row],['#]],": ",Table3[[#This Row],[Framework]])</f>
        <v>11.11a.1: Persian Gulf War</v>
      </c>
    </row>
    <row r="172" spans="1:4" ht="22.5" customHeight="1" x14ac:dyDescent="0.15">
      <c r="A172" s="3" t="s">
        <v>682</v>
      </c>
      <c r="B172" s="3" t="s">
        <v>683</v>
      </c>
      <c r="C172" s="3" t="s">
        <v>684</v>
      </c>
      <c r="D172" t="str">
        <f>_xlfn.CONCAT(Table3[[#This Row],['#]],": ",Table3[[#This Row],[Framework]])</f>
        <v>11.11a.2: Reluctance to Defend Human Rights</v>
      </c>
    </row>
    <row r="173" spans="1:4" ht="22.5" customHeight="1" x14ac:dyDescent="0.15">
      <c r="A173" s="3" t="s">
        <v>685</v>
      </c>
      <c r="B173" s="3" t="s">
        <v>686</v>
      </c>
      <c r="C173" s="3" t="s">
        <v>687</v>
      </c>
      <c r="D173" t="str">
        <f>_xlfn.CONCAT(Table3[[#This Row],['#]],": ",Table3[[#This Row],[Framework]])</f>
        <v>11.11b.1: 9-11, War on Terror, &amp; PATRIOT Act</v>
      </c>
    </row>
    <row r="174" spans="1:4" ht="22.5" customHeight="1" x14ac:dyDescent="0.15">
      <c r="A174" s="3" t="s">
        <v>688</v>
      </c>
      <c r="B174" s="3" t="s">
        <v>689</v>
      </c>
      <c r="C174" s="3" t="s">
        <v>690</v>
      </c>
      <c r="D174" t="str">
        <f>_xlfn.CONCAT(Table3[[#This Row],['#]],": ",Table3[[#This Row],[Framework]])</f>
        <v>11.11b.2: Invasion of Iraq</v>
      </c>
    </row>
    <row r="175" spans="1:4" ht="22.5" customHeight="1" x14ac:dyDescent="0.15">
      <c r="A175" s="3" t="s">
        <v>691</v>
      </c>
      <c r="B175" s="3" t="s">
        <v>692</v>
      </c>
      <c r="C175" s="3" t="s">
        <v>693</v>
      </c>
      <c r="D175" t="str">
        <f>_xlfn.CONCAT(Table3[[#This Row],['#]],": ",Table3[[#This Row],[Framework]])</f>
        <v>11.11b.3: Violation of Civil Liberties &amp; Surveillance</v>
      </c>
    </row>
    <row r="176" spans="1:4" ht="22.5" customHeight="1" x14ac:dyDescent="0.15">
      <c r="A176" s="3" t="s">
        <v>694</v>
      </c>
      <c r="B176" s="3" t="s">
        <v>695</v>
      </c>
      <c r="C176" s="3" t="s">
        <v>696</v>
      </c>
      <c r="D176" t="str">
        <f>_xlfn.CONCAT(Table3[[#This Row],['#]],": ",Table3[[#This Row],[Framework]])</f>
        <v>11.11c.1: Globalization &amp; the US Economy</v>
      </c>
    </row>
    <row r="177" spans="1:4" ht="22.5" customHeight="1" x14ac:dyDescent="0.15">
      <c r="A177" s="3" t="s">
        <v>697</v>
      </c>
      <c r="B177" s="3" t="s">
        <v>698</v>
      </c>
      <c r="C177" s="3" t="s">
        <v>699</v>
      </c>
      <c r="D177" t="str">
        <f>_xlfn.CONCAT(Table3[[#This Row],['#]],": ",Table3[[#This Row],[Framework]])</f>
        <v>11.11c.2: Multinational Corporations</v>
      </c>
    </row>
    <row r="178" spans="1:4" ht="22.5" customHeight="1" x14ac:dyDescent="0.15">
      <c r="A178" s="3" t="s">
        <v>700</v>
      </c>
      <c r="B178" s="3" t="s">
        <v>701</v>
      </c>
      <c r="C178" s="3" t="s">
        <v>702</v>
      </c>
      <c r="D178" t="str">
        <f>_xlfn.CONCAT(Table3[[#This Row],['#]],": ",Table3[[#This Row],[Framework]])</f>
        <v>11.11c.3: US vs China Rivalry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Scores</vt:lpstr>
      <vt:lpstr>Questions</vt:lpstr>
      <vt:lpstr>Task Models</vt:lpstr>
      <vt:lpstr>Skill Standards</vt:lpstr>
      <vt:lpstr>Content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Cole Dushin</cp:lastModifiedBy>
  <dcterms:created xsi:type="dcterms:W3CDTF">2026-10-10T20:41:39Z</dcterms:created>
  <dcterms:modified xsi:type="dcterms:W3CDTF">2026-10-16T09:32:31Z</dcterms:modified>
</cp:coreProperties>
</file>