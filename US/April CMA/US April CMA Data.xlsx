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160" windowHeight="15320" tabRatio="600" firstSheet="0" activeTab="1" autoFilterDateGrouping="1"/>
  </bookViews>
  <sheets>
    <sheet name="Scores" sheetId="1" state="visible" r:id="rId1"/>
    <sheet name="Questions" sheetId="2" state="visible" r:id="rId2"/>
    <sheet name="Content Standards" sheetId="3" state="visible" r:id="rId3"/>
    <sheet name="Task Models" sheetId="4" state="hidden" r:id="rId4"/>
    <sheet name="Skill Standards" sheetId="5" state="hidden" r:id="rId5"/>
  </sheets>
  <definedNames/>
  <calcPr calcId="191029" fullCalcOnLoad="1"/>
</workbook>
</file>

<file path=xl/styles.xml><?xml version="1.0" encoding="utf-8"?>
<styleSheet xmlns="http://schemas.openxmlformats.org/spreadsheetml/2006/main">
  <numFmts count="1">
    <numFmt numFmtId="164" formatCode="mmmm\ yyyy"/>
  </numFmts>
  <fonts count="13">
    <font>
      <name val="Arial"/>
      <color rgb="FF000000"/>
      <sz val="10"/>
      <scheme val="minor"/>
    </font>
    <font>
      <name val="Roboto"/>
      <color theme="1"/>
      <sz val="10"/>
    </font>
    <font>
      <name val="Roboto"/>
      <color theme="1"/>
      <sz val="11"/>
    </font>
    <font>
      <name val="Arial"/>
      <family val="2"/>
      <color theme="1"/>
      <sz val="10"/>
      <scheme val="minor"/>
    </font>
    <font>
      <name val="Arial"/>
      <family val="2"/>
      <color theme="1"/>
      <sz val="10"/>
    </font>
    <font>
      <name val="Arial"/>
      <family val="2"/>
      <b val="1"/>
      <color theme="1"/>
      <sz val="10"/>
      <scheme val="minor"/>
    </font>
    <font>
      <name val="Arial"/>
      <family val="2"/>
      <color theme="1"/>
      <sz val="10"/>
      <scheme val="minor"/>
    </font>
    <font>
      <name val="Arial"/>
      <family val="2"/>
      <b val="1"/>
      <color theme="1"/>
      <sz val="10"/>
      <scheme val="minor"/>
    </font>
    <font>
      <name val="Arial"/>
      <family val="2"/>
      <i val="1"/>
      <color theme="1"/>
      <sz val="10"/>
      <scheme val="minor"/>
    </font>
    <font>
      <name val="Arial"/>
      <family val="2"/>
      <color rgb="FF434343"/>
      <sz val="10"/>
      <scheme val="minor"/>
    </font>
    <font>
      <name val="Arial"/>
      <family val="2"/>
      <i val="1"/>
      <color theme="1"/>
      <sz val="10"/>
    </font>
    <font>
      <name val="Roboto"/>
      <b val="1"/>
      <color theme="0"/>
      <sz val="10"/>
    </font>
    <font>
      <name val="Arial"/>
      <family val="2"/>
      <b val="1"/>
      <color theme="0"/>
      <sz val="10"/>
      <scheme val="minor"/>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34">
    <xf numFmtId="0" fontId="0" fillId="0" borderId="0" pivotButton="0" quotePrefix="0" xfId="0"/>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3" fillId="0" borderId="0" applyAlignment="1" pivotButton="0" quotePrefix="0" xfId="0">
      <alignment vertical="center"/>
    </xf>
    <xf numFmtId="0" fontId="6" fillId="0" borderId="0" applyAlignment="1" pivotButton="0" quotePrefix="0" xfId="0">
      <alignment horizontal="center" vertical="center"/>
    </xf>
    <xf numFmtId="164" fontId="6"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6" fillId="0" borderId="0" applyAlignment="1" pivotButton="0" quotePrefix="0" xfId="0">
      <alignment vertical="center"/>
    </xf>
    <xf numFmtId="0" fontId="6" fillId="0" borderId="0" applyAlignment="1" pivotButton="0" quotePrefix="0" xfId="0">
      <alignment vertical="center" wrapText="1"/>
    </xf>
    <xf numFmtId="2" fontId="6" fillId="0" borderId="0" applyAlignment="1" pivotButton="0" quotePrefix="0" xfId="0">
      <alignment horizontal="center" vertical="center"/>
    </xf>
    <xf numFmtId="0" fontId="8" fillId="0" borderId="0" applyAlignment="1" pivotButton="0" quotePrefix="0" xfId="0">
      <alignment vertical="center" wrapText="1"/>
    </xf>
    <xf numFmtId="0" fontId="9" fillId="0" borderId="0" applyAlignment="1" pivotButton="0" quotePrefix="0" xfId="0">
      <alignment horizontal="center" vertical="center"/>
    </xf>
    <xf numFmtId="0" fontId="9" fillId="0" borderId="0" applyAlignment="1" pivotButton="0" quotePrefix="0" xfId="0">
      <alignment vertical="center" wrapText="1"/>
    </xf>
    <xf numFmtId="0" fontId="5" fillId="0" borderId="0" applyAlignment="1" pivotButton="0" quotePrefix="0" xfId="0">
      <alignment horizontal="left" vertical="center" wrapText="1"/>
    </xf>
    <xf numFmtId="3" fontId="2" fillId="0" borderId="1" applyAlignment="1" pivotButton="0" quotePrefix="0" xfId="0">
      <alignment horizontal="center" vertical="center"/>
    </xf>
    <xf numFmtId="0" fontId="11" fillId="0" borderId="1" applyAlignment="1" pivotButton="0" quotePrefix="0" xfId="0">
      <alignment horizontal="left" vertical="center"/>
    </xf>
    <xf numFmtId="0" fontId="11" fillId="0" borderId="1" applyAlignment="1" pivotButton="0" quotePrefix="0" xfId="0">
      <alignment horizontal="center" vertical="center"/>
    </xf>
    <xf numFmtId="49" fontId="11" fillId="0" borderId="1" applyAlignment="1" pivotButton="0" quotePrefix="0" xfId="0">
      <alignment horizontal="center" vertical="center"/>
    </xf>
    <xf numFmtId="0" fontId="12" fillId="0" borderId="1" pivotButton="0" quotePrefix="0" xfId="0"/>
    <xf numFmtId="0" fontId="1" fillId="0" borderId="1" applyAlignment="1" pivotButton="0" quotePrefix="0" xfId="0">
      <alignment vertical="center"/>
    </xf>
    <xf numFmtId="0" fontId="1" fillId="0" borderId="1" applyAlignment="1" pivotButton="0" quotePrefix="0" xfId="0">
      <alignment horizontal="center" vertical="center"/>
    </xf>
    <xf numFmtId="9" fontId="1" fillId="0" borderId="1" applyAlignment="1" pivotButton="0" quotePrefix="0" xfId="0">
      <alignment horizontal="center" vertical="center"/>
    </xf>
    <xf numFmtId="0" fontId="0" fillId="0" borderId="1" pivotButton="0" quotePrefix="0" xfId="0"/>
    <xf numFmtId="3" fontId="1" fillId="0" borderId="1" applyAlignment="1" pivotButton="0" quotePrefix="0" xfId="0">
      <alignment horizontal="center" vertical="center"/>
    </xf>
    <xf numFmtId="49" fontId="12" fillId="0" borderId="0" applyAlignment="1" pivotButton="0" quotePrefix="0" xfId="0">
      <alignment horizontal="left" vertical="center" wrapText="1"/>
    </xf>
    <xf numFmtId="49" fontId="12" fillId="0" borderId="0" applyAlignment="1" pivotButton="0" quotePrefix="0" xfId="0">
      <alignment horizontal="center" vertical="center" wrapText="1"/>
    </xf>
    <xf numFmtId="0" fontId="12" fillId="0" borderId="0" applyAlignment="1" pivotButton="0" quotePrefix="0" xfId="0">
      <alignment horizontal="center" vertical="center"/>
    </xf>
    <xf numFmtId="49" fontId="12" fillId="0" borderId="0" applyAlignment="1" pivotButton="0" quotePrefix="0" xfId="0">
      <alignment horizontal="center" vertical="center"/>
    </xf>
    <xf numFmtId="0" fontId="12" fillId="0" borderId="0" applyAlignment="1" pivotButton="0" quotePrefix="0" xfId="0">
      <alignment horizontal="left" vertical="center" wrapText="1"/>
    </xf>
    <xf numFmtId="0" fontId="12" fillId="0" borderId="0" applyAlignment="1" pivotButton="0" quotePrefix="0" xfId="0">
      <alignment horizontal="left" vertical="center"/>
    </xf>
    <xf numFmtId="0" fontId="12" fillId="0" borderId="0" pivotButton="0" quotePrefix="0" xfId="0"/>
  </cellXfs>
  <cellStyles count="1">
    <cellStyle name="Normal" xfId="0" builtinId="0"/>
  </cellStyles>
  <dxfs count="156">
    <dxf>
      <font>
        <color rgb="FF000000"/>
      </font>
      <fill>
        <patternFill patternType="solid">
          <fgColor rgb="FFF4CCCC"/>
          <bgColor rgb="FFF4CCCC"/>
        </patternFill>
      </fill>
    </dxf>
    <dxf>
      <font>
        <name val="Arial"/>
        <b val="1"/>
        <strike val="0"/>
        <outline val="0"/>
        <shadow val="0"/>
        <color theme="0"/>
        <sz val="10"/>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strike val="0"/>
        <outline val="0"/>
        <shadow val="0"/>
        <color theme="0"/>
        <sz val="10"/>
        <vertAlign val="baseline"/>
      </font>
      <fill>
        <patternFill>
          <bgColor auto="1"/>
        </patternFill>
      </fill>
    </dxf>
    <dxf>
      <fill>
        <patternFill>
          <bgColor auto="1"/>
        </patternFill>
      </fill>
    </dxf>
    <dxf>
      <fill>
        <patternFill>
          <bgColor auto="1"/>
        </patternFill>
      </fill>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border outline="0">
        <left style="thick">
          <color rgb="FFCCCCCC"/>
        </left>
        <right/>
        <top/>
        <bottom/>
      </border>
    </dxf>
    <dxf>
      <font>
        <name val="Roboto"/>
        <strike val="0"/>
        <outline val="0"/>
        <shadow val="0"/>
        <condense val="0"/>
        <color theme="1"/>
        <extend val="0"/>
        <sz val="10"/>
        <vertAlign val="baseline"/>
      </font>
      <fill>
        <patternFill>
          <bgColor auto="1"/>
        </patternFill>
      </fill>
      <alignment horizontal="center" vertical="center"/>
      <border outline="0">
        <left/>
        <right style="thick">
          <color rgb="FFCCCCCC"/>
        </right>
        <top/>
        <bottom/>
      </bord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border outline="0">
        <left style="thick">
          <color rgb="FFCCCCCC"/>
        </left>
        <right/>
        <top/>
        <bottom/>
      </bord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numFmt numFmtId="13" formatCode="0%"/>
      <fill>
        <patternFill>
          <bgColor auto="1"/>
        </patternFill>
      </fill>
      <alignment horizontal="center" vertical="center"/>
    </dxf>
    <dxf>
      <font>
        <name val="Roboto"/>
        <strike val="0"/>
        <outline val="0"/>
        <shadow val="0"/>
        <condense val="0"/>
        <color theme="1"/>
        <extend val="0"/>
        <sz val="10"/>
        <vertAlign val="baseline"/>
      </font>
      <numFmt numFmtId="13" formatCode="0%"/>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border outline="0">
        <left style="thick">
          <color rgb="FFD9D9D9"/>
        </left>
        <right/>
        <top/>
        <bottom/>
      </bord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general" vertical="center"/>
      <border outline="0">
        <left style="thick">
          <color rgb="FFD9D9D9"/>
        </left>
        <right/>
        <top/>
        <bottom/>
      </bord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center" vertical="center"/>
    </dxf>
    <dxf>
      <font>
        <name val="Roboto"/>
        <strike val="0"/>
        <outline val="0"/>
        <shadow val="0"/>
        <condense val="0"/>
        <color theme="1"/>
        <extend val="0"/>
        <sz val="10"/>
        <vertAlign val="baseline"/>
      </font>
      <fill>
        <patternFill>
          <bgColor auto="1"/>
        </patternFill>
      </fill>
      <alignment horizontal="general" vertical="cent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5" defaultTableStyle="TableStyleMedium9" defaultPivotStyle="PivotStyleLight16">
    <tableStyle name="Scores-style" pivot="0" count="5">
      <tableStyleElement type="wholeTable" size="0" dxfId="151"/>
      <tableStyleElement type="headerRow" dxfId="155"/>
      <tableStyleElement type="totalRow" dxfId="152"/>
      <tableStyleElement type="firstRowStripe" dxfId="154"/>
      <tableStyleElement type="secondRowStripe" dxfId="153"/>
    </tableStyle>
    <tableStyle name="Scores Analysis-style" pivot="0" count="4">
      <tableStyleElement type="wholeTable" size="0" dxfId="147"/>
      <tableStyleElement type="headerRow" dxfId="150"/>
      <tableStyleElement type="firstRowStripe" dxfId="149"/>
      <tableStyleElement type="secondRowStripe" dxfId="148"/>
    </tableStyle>
    <tableStyle name="Scores Analysis-style 2" pivot="0" count="4">
      <tableStyleElement type="wholeTable" size="0" dxfId="143"/>
      <tableStyleElement type="headerRow" dxfId="146"/>
      <tableStyleElement type="firstRowStripe" dxfId="145"/>
      <tableStyleElement type="secondRowStripe" dxfId="144"/>
    </tableStyle>
    <tableStyle name="Scores Analysis-style 3" pivot="0" count="4">
      <tableStyleElement type="wholeTable" size="0" dxfId="139"/>
      <tableStyleElement type="headerRow" dxfId="142"/>
      <tableStyleElement type="firstRowStripe" dxfId="141"/>
      <tableStyleElement type="secondRowStripe" dxfId="140"/>
    </tableStyle>
    <tableStyle name="Scores Analysis-style 4" pivot="0" count="4">
      <tableStyleElement type="wholeTable" size="0" dxfId="135"/>
      <tableStyleElement type="headerRow" dxfId="138"/>
      <tableStyleElement type="firstRowStripe" dxfId="137"/>
      <tableStyleElement type="secondRowStripe" dxfId="136"/>
    </tableStyle>
    <tableStyle name="Scores Analysis-style 5" pivot="0" count="4">
      <tableStyleElement type="wholeTable" size="0" dxfId="131"/>
      <tableStyleElement type="headerRow" dxfId="134"/>
      <tableStyleElement type="firstRowStripe" dxfId="133"/>
      <tableStyleElement type="secondRowStripe" dxfId="132"/>
    </tableStyle>
    <tableStyle name="Scores Analysis-style 6" pivot="0" count="4">
      <tableStyleElement type="wholeTable" size="0" dxfId="127"/>
      <tableStyleElement type="headerRow" dxfId="130"/>
      <tableStyleElement type="firstRowStripe" dxfId="129"/>
      <tableStyleElement type="secondRowStripe" dxfId="128"/>
    </tableStyle>
    <tableStyle name="Scores Analysis-style 7" pivot="0" count="4">
      <tableStyleElement type="wholeTable" size="0" dxfId="123"/>
      <tableStyleElement type="headerRow" dxfId="126"/>
      <tableStyleElement type="firstRowStripe" dxfId="125"/>
      <tableStyleElement type="secondRowStripe" dxfId="124"/>
    </tableStyle>
    <tableStyle name="Scores Analysis-style 8" pivot="0" count="4">
      <tableStyleElement type="wholeTable" size="0" dxfId="119"/>
      <tableStyleElement type="headerRow" dxfId="122"/>
      <tableStyleElement type="firstRowStripe" dxfId="121"/>
      <tableStyleElement type="secondRowStripe" dxfId="120"/>
    </tableStyle>
    <tableStyle name="Scores Analysis-style 9" pivot="0" count="4">
      <tableStyleElement type="wholeTable" size="0" dxfId="115"/>
      <tableStyleElement type="headerRow" dxfId="118"/>
      <tableStyleElement type="firstRowStripe" dxfId="117"/>
      <tableStyleElement type="secondRowStripe" dxfId="116"/>
    </tableStyle>
    <tableStyle name="Scores Analysis-style 10" pivot="0" count="4">
      <tableStyleElement type="wholeTable" size="0" dxfId="111"/>
      <tableStyleElement type="headerRow" dxfId="114"/>
      <tableStyleElement type="firstRowStripe" dxfId="113"/>
      <tableStyleElement type="secondRowStripe" dxfId="112"/>
    </tableStyle>
    <tableStyle name="Scores Analysis-style 11" pivot="0" count="4">
      <tableStyleElement type="wholeTable" size="0" dxfId="107"/>
      <tableStyleElement type="headerRow" dxfId="110"/>
      <tableStyleElement type="firstRowStripe" dxfId="109"/>
      <tableStyleElement type="secondRowStripe" dxfId="108"/>
    </tableStyle>
    <tableStyle name="Questions-style" pivot="0" count="4">
      <tableStyleElement type="wholeTable" size="0" dxfId="103"/>
      <tableStyleElement type="headerRow" dxfId="106"/>
      <tableStyleElement type="firstRowStripe" dxfId="105"/>
      <tableStyleElement type="secondRowStripe" dxfId="104"/>
    </tableStyle>
    <tableStyle name="Question Analysis-style" pivot="0" count="4">
      <tableStyleElement type="wholeTable" size="0" dxfId="99"/>
      <tableStyleElement type="headerRow" dxfId="102"/>
      <tableStyleElement type="firstRowStripe" dxfId="101"/>
      <tableStyleElement type="secondRowStripe" dxfId="100"/>
    </tableStyle>
    <tableStyle name="Question Analysis-style 2" pivot="0" count="4">
      <tableStyleElement type="wholeTable" size="0" dxfId="95"/>
      <tableStyleElement type="headerRow" dxfId="98"/>
      <tableStyleElement type="firstRowStripe" dxfId="97"/>
      <tableStyleElement type="secondRowStripe" dxfId="96"/>
    </tableStyle>
    <tableStyle name="Question Analysis-style 3" pivot="0" count="4">
      <tableStyleElement type="wholeTable" size="0" dxfId="91"/>
      <tableStyleElement type="headerRow" dxfId="94"/>
      <tableStyleElement type="firstRowStripe" dxfId="93"/>
      <tableStyleElement type="secondRowStripe" dxfId="92"/>
    </tableStyle>
    <tableStyle name="Question Analysis-style 4" pivot="0" count="4">
      <tableStyleElement type="wholeTable" size="0" dxfId="87"/>
      <tableStyleElement type="headerRow" dxfId="90"/>
      <tableStyleElement type="firstRowStripe" dxfId="89"/>
      <tableStyleElement type="secondRowStripe" dxfId="88"/>
    </tableStyle>
    <tableStyle name="Question Analysis-style 5" pivot="0" count="4">
      <tableStyleElement type="wholeTable" size="0" dxfId="83"/>
      <tableStyleElement type="headerRow" dxfId="86"/>
      <tableStyleElement type="firstRowStripe" dxfId="85"/>
      <tableStyleElement type="secondRowStripe" dxfId="84"/>
    </tableStyle>
    <tableStyle name="Question Analysis-style 6" pivot="0" count="4">
      <tableStyleElement type="wholeTable" size="0" dxfId="79"/>
      <tableStyleElement type="headerRow" dxfId="82"/>
      <tableStyleElement type="firstRowStripe" dxfId="81"/>
      <tableStyleElement type="secondRowStripe" dxfId="80"/>
    </tableStyle>
    <tableStyle name="Conversion Chart-style" pivot="0" count="2">
      <tableStyleElement type="firstRowStripe" dxfId="78"/>
      <tableStyleElement type="secondRowStripe" dxfId="77"/>
    </tableStyle>
    <tableStyle name="Conversion Chart-style 2" pivot="0" count="2">
      <tableStyleElement type="firstRowStripe" dxfId="76"/>
      <tableStyleElement type="secondRowStripe" dxfId="75"/>
    </tableStyle>
    <tableStyle name="Conversion Chart-style 3" pivot="0" count="2">
      <tableStyleElement type="firstRowStripe" dxfId="74"/>
      <tableStyleElement type="secondRowStripe" dxfId="73"/>
    </tableStyle>
    <tableStyle name="Content Standards-style" pivot="0" count="4">
      <tableStyleElement type="wholeTable" size="0" dxfId="69"/>
      <tableStyleElement type="headerRow" dxfId="72"/>
      <tableStyleElement type="firstRowStripe" dxfId="71"/>
      <tableStyleElement type="secondRowStripe" dxfId="70"/>
    </tableStyle>
    <tableStyle name="Task Models-style" pivot="0" count="4">
      <tableStyleElement type="wholeTable" size="0" dxfId="65"/>
      <tableStyleElement type="headerRow" dxfId="68"/>
      <tableStyleElement type="firstRowStripe" dxfId="67"/>
      <tableStyleElement type="secondRowStripe" dxfId="66"/>
    </tableStyle>
    <tableStyle name="Skill Standards-style" pivot="0" count="4">
      <tableStyleElement type="wholeTable" size="0" dxfId="61"/>
      <tableStyleElement type="headerRow" dxfId="64"/>
      <tableStyleElement type="firstRowStripe" dxfId="63"/>
      <tableStyleElement type="secondRowStripe" dxfId="6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Scores" displayName="Scores" ref="A1:AB192" headerRowCount="1" totalsRowShown="0" headerRowDxfId="30" dataDxfId="31" totalsRowDxfId="32">
  <tableColumns count="28">
    <tableColumn id="1" name="Class" dataDxfId="29" totalsRowDxfId="60"/>
    <tableColumn id="2" name="Grade" dataDxfId="28" totalsRowDxfId="59"/>
    <tableColumn id="3" name="Period" dataDxfId="27" totalsRowDxfId="58"/>
    <tableColumn id="4" name="Student Name" dataDxfId="26" totalsRowDxfId="57"/>
    <tableColumn id="7" name="ELL?" dataDxfId="25" totalsRowDxfId="56"/>
    <tableColumn id="8" name="IEP?" dataDxfId="24" totalsRowDxfId="55"/>
    <tableColumn id="9" name="MC Score" dataDxfId="23" totalsRowDxfId="54"/>
    <tableColumn id="11" name="MC %" dataDxfId="22" totalsRowDxfId="53"/>
    <tableColumn id="12" name="MC w/ Floor" dataDxfId="21" totalsRowDxfId="52"/>
    <tableColumn id="16" name="MC Blank" dataDxfId="20" totalsRowDxfId="51"/>
    <tableColumn id="18" name="1" dataDxfId="19" totalsRowDxfId="50"/>
    <tableColumn id="19" name="2" dataDxfId="18" totalsRowDxfId="49"/>
    <tableColumn id="20" name="3" dataDxfId="17" totalsRowDxfId="48"/>
    <tableColumn id="21" name="4" dataDxfId="16" totalsRowDxfId="47"/>
    <tableColumn id="22" name="5" dataDxfId="15" totalsRowDxfId="46"/>
    <tableColumn id="23" name="6" dataDxfId="14" totalsRowDxfId="45"/>
    <tableColumn id="24" name="7" dataDxfId="13" totalsRowDxfId="44"/>
    <tableColumn id="25" name="8" dataDxfId="12" totalsRowDxfId="43"/>
    <tableColumn id="26" name="9" dataDxfId="11" totalsRowDxfId="42"/>
    <tableColumn id="31" name="Question 1" dataDxfId="10" totalsRowDxfId="41"/>
    <tableColumn id="32" name="Question 2" dataDxfId="9" totalsRowDxfId="40"/>
    <tableColumn id="33" name="Question 3" dataDxfId="8" totalsRowDxfId="39"/>
    <tableColumn id="34" name="Question 4" dataDxfId="7" totalsRowDxfId="38"/>
    <tableColumn id="35" name="Question 5" dataDxfId="6" totalsRowDxfId="37"/>
    <tableColumn id="36" name="Question 6" dataDxfId="5" totalsRowDxfId="36"/>
    <tableColumn id="37" name="Question 7" dataDxfId="4" totalsRowDxfId="35"/>
    <tableColumn id="38" name="Question 8" dataDxfId="3" totalsRowDxfId="34"/>
    <tableColumn id="39" name="Question 9" dataDxfId="2" totalsRowDxfId="33"/>
  </tableColumns>
  <tableStyleInfo name="Scores Analysis-style 2" showFirstColumn="1" showLastColumn="1" showRowStripes="1" showColumnStripes="0"/>
</table>
</file>

<file path=xl/tables/table2.xml><?xml version="1.0" encoding="utf-8"?>
<table xmlns="http://schemas.openxmlformats.org/spreadsheetml/2006/main" id="2" name="Questions" displayName="Questions" ref="A1:N10" headerRowCount="1" headerRowDxfId="1">
  <tableColumns count="14">
    <tableColumn id="1" name="Source"/>
    <tableColumn id="2" name="Source #"/>
    <tableColumn id="3" name="CMA #"/>
    <tableColumn id="4" name="Part"/>
    <tableColumn id="5" name="Stimulus"/>
    <tableColumn id="6" name="Question"/>
    <tableColumn id="7" name="Answer"/>
    <tableColumn id="8" name="Full Answer"/>
    <tableColumn id="9" name="Stimulus Type"/>
    <tableColumn id="10" name="Source Type"/>
    <tableColumn id="11" name="Task Model"/>
    <tableColumn id="13" name="Content"/>
    <tableColumn id="14" name="Need OI?"/>
    <tableColumn id="16" name="Point Biserial"/>
  </tableColumns>
  <tableStyleInfo name="Questions-style" showFirstColumn="1" showLastColumn="1" showRowStripes="1" showColumnStripes="0"/>
</table>
</file>

<file path=xl/tables/table3.xml><?xml version="1.0" encoding="utf-8"?>
<table xmlns="http://schemas.openxmlformats.org/spreadsheetml/2006/main" id="3" name="Content_Standards" displayName="Content_Standards" ref="A1:D158" headerRowCount="1">
  <autoFilter ref="A1:D158">
    <filterColumn colId="0" hiddenButton="0" showButton="1">
      <filters>
        <filter val="11.01a"/>
        <filter val="11.01a.1"/>
        <filter val="11.01a.2"/>
        <filter val="11.01b"/>
        <filter val="11.01b.1"/>
        <filter val="11.01b.2"/>
        <filter val="11.01b.3"/>
        <filter val="11.01c"/>
        <filter val="11.01c.1"/>
        <filter val="11.01c.2"/>
        <filter val="11.02a"/>
        <filter val="11.02a.1"/>
        <filter val="11.02b"/>
        <filter val="11.02b.1"/>
        <filter val="11.02b.2"/>
        <filter val="11.02c"/>
        <filter val="11.02c.1"/>
        <filter val="11.02c.2"/>
        <filter val="11.02c.3"/>
        <filter val="11.02c.4"/>
        <filter val="11.02c.5"/>
        <filter val="11.02d"/>
        <filter val="11.02d.1"/>
        <filter val="11.02d.2"/>
        <filter val="11.02d.3"/>
        <filter val="11.02d.4"/>
        <filter val="11.03a"/>
        <filter val="11.03a.1"/>
        <filter val="11.03a.2"/>
        <filter val="11.03a.3"/>
        <filter val="11.03b"/>
        <filter val="11.03b.1"/>
        <filter val="11.03b.2"/>
        <filter val="11.03b.3"/>
        <filter val="11.03b.4"/>
        <filter val="11.03c"/>
        <filter val="11.03c.1"/>
        <filter val="11.03c.2"/>
        <filter val="11.03c.3"/>
        <filter val="11.04a"/>
        <filter val="11.04a.1"/>
        <filter val="11.04a.2"/>
        <filter val="11.04a.3"/>
        <filter val="11.04a.4"/>
        <filter val="11.04b"/>
        <filter val="11.04b.1"/>
        <filter val="11.04c"/>
        <filter val="11.04c.1"/>
        <filter val="11.04c.2"/>
        <filter val="11.04d"/>
        <filter val="11.04d.1"/>
        <filter val="11.04d.2"/>
        <filter val="11.05a"/>
        <filter val="11.05a.1"/>
        <filter val="11.05a.2"/>
        <filter val="11.05a.3"/>
        <filter val="11.05b"/>
        <filter val="11.05b.1"/>
        <filter val="11.05b.2"/>
        <filter val="11.05b.3"/>
        <filter val="11.05b.4"/>
        <filter val="11.05b.5"/>
        <filter val="11.05b.6"/>
        <filter val="11.05b.7"/>
        <filter val="11.06a"/>
        <filter val="11.06a.1"/>
        <filter val="11.06a.2"/>
        <filter val="11.06a.3"/>
        <filter val="11.06a.4"/>
        <filter val="11.06b"/>
        <filter val="11.06b.1"/>
        <filter val="11.06b.2"/>
        <filter val="11.06b.3"/>
        <filter val="11.06c"/>
        <filter val="11.06c.1"/>
        <filter val="11.06c.2"/>
        <filter val="11.06c.3"/>
        <filter val="11.06c.4"/>
        <filter val="11.07a"/>
        <filter val="11.07a.1"/>
        <filter val="11.07a.2"/>
        <filter val="11.07a.3"/>
        <filter val="11.07a.4"/>
        <filter val="11.07a.5"/>
        <filter val="11.07b"/>
        <filter val="11.07b.1"/>
        <filter val="11.07b.2"/>
        <filter val="11.07c"/>
        <filter val="11.07c.1"/>
        <filter val="11.07c.2"/>
        <filter val="11.07c.3"/>
        <filter val="11.07c.4"/>
        <filter val="11.07c.5"/>
        <filter val="11.08a"/>
        <filter val="11.08a.1"/>
        <filter val="11.08a.2"/>
        <filter val="11.08a.3"/>
        <filter val="11.08a.4"/>
        <filter val="11.08a.5"/>
        <filter val="11.08b"/>
        <filter val="11.08b.1"/>
        <filter val="11.08b.2"/>
        <filter val="11.08b.3"/>
        <filter val="11.08c"/>
        <filter val="11.08c.1"/>
        <filter val="11.08c.2"/>
        <filter val="11.08c.3"/>
        <filter val="11.09a"/>
        <filter val="11.09a.1"/>
        <filter val="11.09a.2"/>
        <filter val="11.09a.3"/>
        <filter val="11.09a.4"/>
        <filter val="11.09a.5"/>
        <filter val="11.09a.6"/>
        <filter val="11.09a.7"/>
        <filter val="11.09b"/>
        <filter val="11.09b.1"/>
        <filter val="11.09b.2"/>
        <filter val="11.09b.3"/>
        <filter val="11.09c"/>
        <filter val="11.09c.1"/>
        <filter val="11.09d"/>
        <filter val="11.09d.1"/>
        <filter val="11.10a"/>
        <filter val="11.10a.1"/>
        <filter val="11.10a.2"/>
        <filter val="11.10a.3"/>
        <filter val="11.10a.4"/>
        <filter val="11.10b"/>
        <filter val="11.10b.1"/>
        <filter val="11.10b.2"/>
        <filter val="11.10c"/>
        <filter val="11.10c.1"/>
        <filter val="11.10c.2"/>
        <filter val="11.10c.3"/>
        <filter val="11.11a"/>
        <filter val="11.11a.1"/>
        <filter val="11.11a.2"/>
        <filter val="11.11b"/>
        <filter val="11.11b.1"/>
        <filter val="11.11b.2"/>
        <filter val="11.11b.3"/>
        <filter val="11.11c"/>
        <filter val="11.11c.1"/>
        <filter val="11.11c.2"/>
        <filter val="11.11c.3"/>
      </filters>
    </filterColumn>
  </autoFilter>
  <tableColumns count="4">
    <tableColumn id="1" name="#"/>
    <tableColumn id="2" name="Framework"/>
    <tableColumn id="3" name="Conceptual Understanding"/>
    <tableColumn id="4" name="Specifications"/>
  </tableColumns>
  <tableStyleInfo name="Content Standards-style" showFirstColumn="1" showLastColumn="1" showRowStripes="1" showColumnStripes="0"/>
</table>
</file>

<file path=xl/tables/table4.xml><?xml version="1.0" encoding="utf-8"?>
<table xmlns="http://schemas.openxmlformats.org/spreadsheetml/2006/main" id="4" name="Task_Models" displayName="Task_Models" ref="A1:D19" headerRowCount="1">
  <tableColumns count="4">
    <tableColumn id="1" name="Number"/>
    <tableColumn id="2" name="Title"/>
    <tableColumn id="3" name="Details"/>
    <tableColumn id="4" name="Lookup Key"/>
  </tableColumns>
  <tableStyleInfo name="Task Models-style" showFirstColumn="1" showLastColumn="1" showRowStripes="1" showColumnStripes="0"/>
</table>
</file>

<file path=xl/tables/table5.xml><?xml version="1.0" encoding="utf-8"?>
<table xmlns="http://schemas.openxmlformats.org/spreadsheetml/2006/main" id="5" name="Skill_Standards" displayName="Skill_Standards" ref="A1:C42" headerRowCount="1">
  <tableColumns count="3">
    <tableColumn id="1" name="Skill"/>
    <tableColumn id="2" name="Subdivision"/>
    <tableColumn id="3" name="Detail"/>
  </tableColumns>
  <tableStyleInfo name="Skill Standa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0" summaryRight="0"/>
    <pageSetUpPr/>
  </sheetPr>
  <dimension ref="A1:AB192"/>
  <sheetViews>
    <sheetView showGridLines="0" workbookViewId="0">
      <pane ySplit="1" topLeftCell="A2" activePane="bottomLeft" state="frozen"/>
      <selection pane="bottomLeft" activeCell="J167" sqref="J167"/>
    </sheetView>
  </sheetViews>
  <sheetFormatPr baseColWidth="10" defaultColWidth="12.6640625" defaultRowHeight="15.75" customHeight="1"/>
  <cols>
    <col width="12.6640625" customWidth="1" style="25" min="1" max="3"/>
    <col width="25.1640625" customWidth="1" style="25" min="4" max="4"/>
    <col width="12.6640625" customWidth="1" style="25" min="5" max="6"/>
    <col width="12.6640625" customWidth="1" style="25" min="7" max="7"/>
    <col width="13.1640625" customWidth="1" style="25" min="8" max="9"/>
    <col width="12.6640625" customWidth="1" style="25" min="10" max="10"/>
    <col width="6.33203125" customWidth="1" style="25" min="11" max="19"/>
    <col width="12.6640625" customWidth="1" style="25" min="20" max="16384"/>
  </cols>
  <sheetData>
    <row r="1" ht="28.5" customFormat="1" customHeight="1" s="21">
      <c r="A1" s="18" t="inlineStr">
        <is>
          <t>Class</t>
        </is>
      </c>
      <c r="B1" s="19" t="inlineStr">
        <is>
          <t>Grade</t>
        </is>
      </c>
      <c r="C1" s="19" t="inlineStr">
        <is>
          <t>Period</t>
        </is>
      </c>
      <c r="D1" s="18" t="inlineStr">
        <is>
          <t>Student Name</t>
        </is>
      </c>
      <c r="E1" s="19" t="inlineStr">
        <is>
          <t>ELL?</t>
        </is>
      </c>
      <c r="F1" s="19" t="inlineStr">
        <is>
          <t>IEP?</t>
        </is>
      </c>
      <c r="G1" s="19" t="inlineStr">
        <is>
          <t>MC Score</t>
        </is>
      </c>
      <c r="H1" s="20" t="inlineStr">
        <is>
          <t>MC %</t>
        </is>
      </c>
      <c r="I1" s="20" t="inlineStr">
        <is>
          <t>MC w/ Floor</t>
        </is>
      </c>
      <c r="J1" s="19" t="inlineStr">
        <is>
          <t>MC Blank</t>
        </is>
      </c>
      <c r="K1" s="19" t="inlineStr">
        <is>
          <t>1</t>
        </is>
      </c>
      <c r="L1" s="19" t="inlineStr">
        <is>
          <t>2</t>
        </is>
      </c>
      <c r="M1" s="19" t="inlineStr">
        <is>
          <t>3</t>
        </is>
      </c>
      <c r="N1" s="19" t="inlineStr">
        <is>
          <t>4</t>
        </is>
      </c>
      <c r="O1" s="19" t="inlineStr">
        <is>
          <t>5</t>
        </is>
      </c>
      <c r="P1" s="19" t="inlineStr">
        <is>
          <t>6</t>
        </is>
      </c>
      <c r="Q1" s="19" t="inlineStr">
        <is>
          <t>7</t>
        </is>
      </c>
      <c r="R1" s="19" t="inlineStr">
        <is>
          <t>8</t>
        </is>
      </c>
      <c r="S1" s="19" t="inlineStr">
        <is>
          <t>9</t>
        </is>
      </c>
      <c r="T1" s="19" t="inlineStr">
        <is>
          <t>Question 1</t>
        </is>
      </c>
      <c r="U1" s="19" t="inlineStr">
        <is>
          <t>Question 2</t>
        </is>
      </c>
      <c r="V1" s="19" t="inlineStr">
        <is>
          <t>Question 3</t>
        </is>
      </c>
      <c r="W1" s="19" t="inlineStr">
        <is>
          <t>Question 4</t>
        </is>
      </c>
      <c r="X1" s="19" t="inlineStr">
        <is>
          <t>Question 5</t>
        </is>
      </c>
      <c r="Y1" s="19" t="inlineStr">
        <is>
          <t>Question 6</t>
        </is>
      </c>
      <c r="Z1" s="19" t="inlineStr">
        <is>
          <t>Question 7</t>
        </is>
      </c>
      <c r="AA1" s="19" t="inlineStr">
        <is>
          <t>Question 8</t>
        </is>
      </c>
      <c r="AB1" s="19" t="inlineStr">
        <is>
          <t>Question 9</t>
        </is>
      </c>
    </row>
    <row r="2" ht="22.5" customFormat="1" customHeight="1" s="25">
      <c r="A2" s="22" t="inlineStr">
        <is>
          <t>Bermejo</t>
        </is>
      </c>
      <c r="B2" s="23" t="n">
        <v>9</v>
      </c>
      <c r="C2" s="23" t="n">
        <v>3</v>
      </c>
      <c r="D2" s="22" t="n">
        <v>1</v>
      </c>
      <c r="E2" s="23" t="n"/>
      <c r="F2" s="23" t="inlineStr">
        <is>
          <t>YES</t>
        </is>
      </c>
      <c r="G2" s="23">
        <f>SUM(T2:AB2)</f>
        <v/>
      </c>
      <c r="H2" s="24">
        <f>G2/9</f>
        <v/>
      </c>
      <c r="I2" s="24">
        <f>0.5+(SUM(T2:AB2)/18)</f>
        <v/>
      </c>
      <c r="J2" s="23">
        <f>COUNTIF(K2:S2,"")</f>
        <v/>
      </c>
      <c r="K2" s="17" t="n">
        <v>1</v>
      </c>
      <c r="L2" s="17" t="n">
        <v>3</v>
      </c>
      <c r="M2" s="17" t="n">
        <v>4</v>
      </c>
      <c r="N2" s="17" t="n">
        <v>2</v>
      </c>
      <c r="O2" s="17" t="n">
        <v>3</v>
      </c>
      <c r="P2" s="17" t="n">
        <v>4</v>
      </c>
      <c r="Q2" s="17" t="n">
        <v>1</v>
      </c>
      <c r="R2" s="17" t="n">
        <v>2</v>
      </c>
      <c r="S2" s="17" t="n">
        <v>3</v>
      </c>
      <c r="T2" s="23" t="n">
        <v>0</v>
      </c>
      <c r="U2" s="23" t="n">
        <v>0</v>
      </c>
      <c r="V2" s="23" t="n">
        <v>1</v>
      </c>
      <c r="W2" s="23" t="n">
        <v>0</v>
      </c>
      <c r="X2" s="23" t="n">
        <v>1</v>
      </c>
      <c r="Y2" s="23" t="n">
        <v>0</v>
      </c>
      <c r="Z2" s="23" t="n">
        <v>1</v>
      </c>
      <c r="AA2" s="23" t="n">
        <v>1</v>
      </c>
      <c r="AB2" s="23" t="n">
        <v>0</v>
      </c>
    </row>
    <row r="3" ht="22.5" customFormat="1" customHeight="1" s="25">
      <c r="A3" s="22" t="inlineStr">
        <is>
          <t>Bermejo</t>
        </is>
      </c>
      <c r="B3" s="23" t="n">
        <v>9</v>
      </c>
      <c r="C3" s="23" t="n">
        <v>3</v>
      </c>
      <c r="D3" s="22" t="n">
        <v>2</v>
      </c>
      <c r="E3" s="23" t="n"/>
      <c r="F3" s="23" t="n"/>
      <c r="G3" s="23">
        <f>SUM(T3:AB3)</f>
        <v/>
      </c>
      <c r="H3" s="24">
        <f>G3/9</f>
        <v/>
      </c>
      <c r="I3" s="24">
        <f>0.5+(SUM(T3:AB3)/18)</f>
        <v/>
      </c>
      <c r="J3" s="23">
        <f>COUNTIF(K3:S3,"")</f>
        <v/>
      </c>
      <c r="K3" s="17" t="n"/>
      <c r="L3" s="17" t="n"/>
      <c r="M3" s="17" t="n"/>
      <c r="N3" s="17" t="n"/>
      <c r="O3" s="17" t="n"/>
      <c r="P3" s="17" t="n"/>
      <c r="Q3" s="17" t="n"/>
      <c r="R3" s="17" t="n"/>
      <c r="S3" s="17" t="n"/>
      <c r="T3" s="23" t="n">
        <v>0</v>
      </c>
      <c r="U3" s="23" t="n">
        <v>0</v>
      </c>
      <c r="V3" s="23" t="n">
        <v>0</v>
      </c>
      <c r="W3" s="23" t="n">
        <v>0</v>
      </c>
      <c r="X3" s="23" t="n">
        <v>0</v>
      </c>
      <c r="Y3" s="23" t="n">
        <v>0</v>
      </c>
      <c r="Z3" s="23" t="n">
        <v>0</v>
      </c>
      <c r="AA3" s="23" t="n">
        <v>0</v>
      </c>
      <c r="AB3" s="23" t="n">
        <v>0</v>
      </c>
    </row>
    <row r="4" ht="22.5" customFormat="1" customHeight="1" s="25">
      <c r="A4" s="22" t="inlineStr">
        <is>
          <t>Bermejo</t>
        </is>
      </c>
      <c r="B4" s="23" t="n">
        <v>9</v>
      </c>
      <c r="C4" s="23" t="n">
        <v>3</v>
      </c>
      <c r="D4" s="22" t="n">
        <v>3</v>
      </c>
      <c r="E4" s="23" t="n"/>
      <c r="F4" s="23" t="inlineStr">
        <is>
          <t>YES</t>
        </is>
      </c>
      <c r="G4" s="23">
        <f>SUM(T4:AB4)</f>
        <v/>
      </c>
      <c r="H4" s="24">
        <f>G4/9</f>
        <v/>
      </c>
      <c r="I4" s="24">
        <f>0.5+(SUM(T4:AB4)/18)</f>
        <v/>
      </c>
      <c r="J4" s="23">
        <f>COUNTIF(K4:S4,"")</f>
        <v/>
      </c>
      <c r="K4" s="17" t="n">
        <v>3</v>
      </c>
      <c r="L4" s="17" t="n">
        <v>1</v>
      </c>
      <c r="M4" s="17" t="n">
        <v>3</v>
      </c>
      <c r="N4" s="17" t="n">
        <v>3</v>
      </c>
      <c r="O4" s="17" t="n">
        <v>3</v>
      </c>
      <c r="P4" s="17" t="n">
        <v>3</v>
      </c>
      <c r="Q4" s="17" t="n">
        <v>3</v>
      </c>
      <c r="R4" s="17" t="n">
        <v>2</v>
      </c>
      <c r="S4" s="17" t="n">
        <v>2</v>
      </c>
      <c r="T4" s="23" t="n">
        <v>1</v>
      </c>
      <c r="U4" s="23" t="n">
        <v>1</v>
      </c>
      <c r="V4" s="23" t="n">
        <v>0</v>
      </c>
      <c r="W4" s="23" t="n">
        <v>0</v>
      </c>
      <c r="X4" s="23" t="n">
        <v>1</v>
      </c>
      <c r="Y4" s="23" t="n">
        <v>1</v>
      </c>
      <c r="Z4" s="23" t="n">
        <v>0</v>
      </c>
      <c r="AA4" s="23" t="n">
        <v>1</v>
      </c>
      <c r="AB4" s="23" t="n">
        <v>1</v>
      </c>
    </row>
    <row r="5" ht="22.5" customFormat="1" customHeight="1" s="25">
      <c r="A5" s="22" t="inlineStr">
        <is>
          <t>Bermejo</t>
        </is>
      </c>
      <c r="B5" s="23" t="n">
        <v>9</v>
      </c>
      <c r="C5" s="23" t="n">
        <v>3</v>
      </c>
      <c r="D5" s="22" t="n">
        <v>4</v>
      </c>
      <c r="E5" s="23" t="n"/>
      <c r="F5" s="23" t="n"/>
      <c r="G5" s="23">
        <f>SUM(T5:AB5)</f>
        <v/>
      </c>
      <c r="H5" s="24">
        <f>G5/9</f>
        <v/>
      </c>
      <c r="I5" s="24">
        <f>0.5+(SUM(T5:AB5)/18)</f>
        <v/>
      </c>
      <c r="J5" s="23">
        <f>COUNTIF(K5:S5,"")</f>
        <v/>
      </c>
      <c r="K5" s="17" t="n">
        <v>4</v>
      </c>
      <c r="L5" s="17" t="n">
        <v>1</v>
      </c>
      <c r="M5" s="17" t="n">
        <v>2</v>
      </c>
      <c r="N5" s="17" t="n">
        <v>4</v>
      </c>
      <c r="O5" s="17" t="n">
        <v>3</v>
      </c>
      <c r="P5" s="17" t="n">
        <v>3</v>
      </c>
      <c r="Q5" s="17" t="n">
        <v>2</v>
      </c>
      <c r="R5" s="17" t="n">
        <v>2</v>
      </c>
      <c r="S5" s="17" t="n">
        <v>3</v>
      </c>
      <c r="T5" s="23" t="n">
        <v>0</v>
      </c>
      <c r="U5" s="23" t="n">
        <v>1</v>
      </c>
      <c r="V5" s="23" t="n">
        <v>0</v>
      </c>
      <c r="W5" s="23" t="n">
        <v>1</v>
      </c>
      <c r="X5" s="23" t="n">
        <v>1</v>
      </c>
      <c r="Y5" s="23" t="n">
        <v>1</v>
      </c>
      <c r="Z5" s="23" t="n">
        <v>0</v>
      </c>
      <c r="AA5" s="23" t="n">
        <v>1</v>
      </c>
      <c r="AB5" s="23" t="n">
        <v>0</v>
      </c>
    </row>
    <row r="6" ht="22.5" customFormat="1" customHeight="1" s="25">
      <c r="A6" s="22" t="inlineStr">
        <is>
          <t>Bermejo</t>
        </is>
      </c>
      <c r="B6" s="23" t="n">
        <v>9</v>
      </c>
      <c r="C6" s="23" t="n">
        <v>3</v>
      </c>
      <c r="D6" s="22" t="n">
        <v>5</v>
      </c>
      <c r="E6" s="23" t="n"/>
      <c r="F6" s="23" t="n"/>
      <c r="G6" s="23">
        <f>SUM(T6:AB6)</f>
        <v/>
      </c>
      <c r="H6" s="24">
        <f>G6/9</f>
        <v/>
      </c>
      <c r="I6" s="24">
        <f>0.5+(SUM(T6:AB6)/18)</f>
        <v/>
      </c>
      <c r="J6" s="23">
        <f>COUNTIF(K6:S6,"")</f>
        <v/>
      </c>
      <c r="K6" s="17" t="n">
        <v>3</v>
      </c>
      <c r="L6" s="17" t="n">
        <v>1</v>
      </c>
      <c r="M6" s="17" t="n">
        <v>4</v>
      </c>
      <c r="N6" s="17" t="n">
        <v>2</v>
      </c>
      <c r="O6" s="17" t="n">
        <v>3</v>
      </c>
      <c r="P6" s="17" t="n">
        <v>3</v>
      </c>
      <c r="Q6" s="17" t="n">
        <v>1</v>
      </c>
      <c r="R6" s="17" t="n">
        <v>2</v>
      </c>
      <c r="S6" s="17" t="n">
        <v>4</v>
      </c>
      <c r="T6" s="23" t="n">
        <v>1</v>
      </c>
      <c r="U6" s="23" t="n">
        <v>1</v>
      </c>
      <c r="V6" s="23" t="n">
        <v>1</v>
      </c>
      <c r="W6" s="23" t="n">
        <v>0</v>
      </c>
      <c r="X6" s="23" t="n">
        <v>1</v>
      </c>
      <c r="Y6" s="23" t="n">
        <v>1</v>
      </c>
      <c r="Z6" s="23" t="n">
        <v>1</v>
      </c>
      <c r="AA6" s="23" t="n">
        <v>1</v>
      </c>
      <c r="AB6" s="23" t="n">
        <v>0</v>
      </c>
    </row>
    <row r="7" ht="22.5" customFormat="1" customHeight="1" s="25">
      <c r="A7" s="22" t="inlineStr">
        <is>
          <t>Bermejo</t>
        </is>
      </c>
      <c r="B7" s="23" t="n">
        <v>9</v>
      </c>
      <c r="C7" s="23" t="n">
        <v>3</v>
      </c>
      <c r="D7" s="22" t="n">
        <v>6</v>
      </c>
      <c r="E7" s="23" t="n"/>
      <c r="F7" s="23" t="n"/>
      <c r="G7" s="23">
        <f>SUM(T7:AB7)</f>
        <v/>
      </c>
      <c r="H7" s="24">
        <f>G7/9</f>
        <v/>
      </c>
      <c r="I7" s="24">
        <f>0.5+(SUM(T7:AB7)/18)</f>
        <v/>
      </c>
      <c r="J7" s="23">
        <f>COUNTIF(K7:S7,"")</f>
        <v/>
      </c>
      <c r="K7" s="17" t="n">
        <v>2</v>
      </c>
      <c r="L7" s="17" t="n">
        <v>1</v>
      </c>
      <c r="M7" s="17" t="n">
        <v>3</v>
      </c>
      <c r="N7" s="17" t="n">
        <v>4</v>
      </c>
      <c r="O7" s="17" t="n">
        <v>3</v>
      </c>
      <c r="P7" s="17" t="n">
        <v>1</v>
      </c>
      <c r="Q7" s="17" t="n">
        <v>1</v>
      </c>
      <c r="R7" s="17" t="n">
        <v>2</v>
      </c>
      <c r="S7" s="17" t="n">
        <v>2</v>
      </c>
      <c r="T7" s="23" t="n">
        <v>0</v>
      </c>
      <c r="U7" s="23" t="n">
        <v>1</v>
      </c>
      <c r="V7" s="23" t="n">
        <v>0</v>
      </c>
      <c r="W7" s="23" t="n">
        <v>1</v>
      </c>
      <c r="X7" s="23" t="n">
        <v>1</v>
      </c>
      <c r="Y7" s="23" t="n">
        <v>0</v>
      </c>
      <c r="Z7" s="23" t="n">
        <v>1</v>
      </c>
      <c r="AA7" s="23" t="n">
        <v>1</v>
      </c>
      <c r="AB7" s="23" t="n">
        <v>1</v>
      </c>
    </row>
    <row r="8" ht="22.5" customFormat="1" customHeight="1" s="25">
      <c r="A8" s="22" t="inlineStr">
        <is>
          <t>Bermejo</t>
        </is>
      </c>
      <c r="B8" s="23" t="n">
        <v>9</v>
      </c>
      <c r="C8" s="23" t="n">
        <v>3</v>
      </c>
      <c r="D8" s="22" t="n">
        <v>7</v>
      </c>
      <c r="E8" s="23" t="n"/>
      <c r="F8" s="23" t="n"/>
      <c r="G8" s="23">
        <f>SUM(T8:AB8)</f>
        <v/>
      </c>
      <c r="H8" s="24">
        <f>G8/9</f>
        <v/>
      </c>
      <c r="I8" s="24">
        <f>0.5+(SUM(T8:AB8)/18)</f>
        <v/>
      </c>
      <c r="J8" s="23">
        <f>COUNTIF(K8:S8,"")</f>
        <v/>
      </c>
      <c r="K8" s="17" t="n">
        <v>3</v>
      </c>
      <c r="L8" s="17" t="n">
        <v>1</v>
      </c>
      <c r="M8" s="17" t="n">
        <v>2</v>
      </c>
      <c r="N8" s="17" t="n">
        <v>3</v>
      </c>
      <c r="O8" s="17" t="n">
        <v>3</v>
      </c>
      <c r="P8" s="17" t="n">
        <v>3</v>
      </c>
      <c r="Q8" s="17" t="n">
        <v>1</v>
      </c>
      <c r="R8" s="17" t="n">
        <v>2</v>
      </c>
      <c r="S8" s="17" t="n">
        <v>2</v>
      </c>
      <c r="T8" s="23" t="n">
        <v>1</v>
      </c>
      <c r="U8" s="23" t="n">
        <v>1</v>
      </c>
      <c r="V8" s="23" t="n">
        <v>0</v>
      </c>
      <c r="W8" s="23" t="n">
        <v>0</v>
      </c>
      <c r="X8" s="23" t="n">
        <v>1</v>
      </c>
      <c r="Y8" s="23" t="n">
        <v>1</v>
      </c>
      <c r="Z8" s="23" t="n">
        <v>1</v>
      </c>
      <c r="AA8" s="23" t="n">
        <v>1</v>
      </c>
      <c r="AB8" s="23" t="n">
        <v>1</v>
      </c>
    </row>
    <row r="9" ht="22.5" customFormat="1" customHeight="1" s="25">
      <c r="A9" s="22" t="inlineStr">
        <is>
          <t>Bermejo</t>
        </is>
      </c>
      <c r="B9" s="23" t="n">
        <v>9</v>
      </c>
      <c r="C9" s="23" t="n">
        <v>3</v>
      </c>
      <c r="D9" s="22" t="n">
        <v>8</v>
      </c>
      <c r="E9" s="23" t="n"/>
      <c r="F9" s="23" t="n"/>
      <c r="G9" s="23">
        <f>SUM(T9:AB9)</f>
        <v/>
      </c>
      <c r="H9" s="24">
        <f>G9/9</f>
        <v/>
      </c>
      <c r="I9" s="24">
        <f>0.5+(SUM(T9:AB9)/18)</f>
        <v/>
      </c>
      <c r="J9" s="23">
        <f>COUNTIF(K9:S9,"")</f>
        <v/>
      </c>
      <c r="K9" s="17" t="n">
        <v>1</v>
      </c>
      <c r="L9" s="17" t="n">
        <v>1</v>
      </c>
      <c r="M9" s="17" t="n">
        <v>3</v>
      </c>
      <c r="N9" s="17" t="n">
        <v>2</v>
      </c>
      <c r="O9" s="17" t="n">
        <v>3</v>
      </c>
      <c r="P9" s="17" t="n">
        <v>1</v>
      </c>
      <c r="Q9" s="17" t="n">
        <v>1</v>
      </c>
      <c r="R9" s="17" t="n">
        <v>1</v>
      </c>
      <c r="S9" s="17" t="n">
        <v>2</v>
      </c>
      <c r="T9" s="23" t="n">
        <v>0</v>
      </c>
      <c r="U9" s="23" t="n">
        <v>1</v>
      </c>
      <c r="V9" s="23" t="n">
        <v>0</v>
      </c>
      <c r="W9" s="23" t="n">
        <v>0</v>
      </c>
      <c r="X9" s="23" t="n">
        <v>1</v>
      </c>
      <c r="Y9" s="23" t="n">
        <v>0</v>
      </c>
      <c r="Z9" s="23" t="n">
        <v>1</v>
      </c>
      <c r="AA9" s="23" t="n">
        <v>0</v>
      </c>
      <c r="AB9" s="23" t="n">
        <v>1</v>
      </c>
    </row>
    <row r="10" ht="22.5" customFormat="1" customHeight="1" s="25">
      <c r="A10" s="22" t="inlineStr">
        <is>
          <t>Bermejo</t>
        </is>
      </c>
      <c r="B10" s="23" t="n">
        <v>9</v>
      </c>
      <c r="C10" s="23" t="n">
        <v>3</v>
      </c>
      <c r="D10" s="22" t="n">
        <v>9</v>
      </c>
      <c r="E10" s="23" t="n"/>
      <c r="F10" s="23" t="n"/>
      <c r="G10" s="23">
        <f>SUM(T10:AB10)</f>
        <v/>
      </c>
      <c r="H10" s="24">
        <f>G10/9</f>
        <v/>
      </c>
      <c r="I10" s="24">
        <f>0.5+(SUM(T10:AB10)/18)</f>
        <v/>
      </c>
      <c r="J10" s="23">
        <f>COUNTIF(K10:S10,"")</f>
        <v/>
      </c>
      <c r="K10" s="17" t="n">
        <v>1</v>
      </c>
      <c r="L10" s="17" t="n">
        <v>1</v>
      </c>
      <c r="M10" s="17" t="n">
        <v>2</v>
      </c>
      <c r="N10" s="17" t="n">
        <v>2</v>
      </c>
      <c r="O10" s="17" t="n">
        <v>4</v>
      </c>
      <c r="P10" s="17" t="n">
        <v>1</v>
      </c>
      <c r="Q10" s="17" t="n">
        <v>1</v>
      </c>
      <c r="R10" s="17" t="n">
        <v>4</v>
      </c>
      <c r="S10" s="17" t="n">
        <v>1</v>
      </c>
      <c r="T10" s="23" t="n">
        <v>0</v>
      </c>
      <c r="U10" s="23" t="n">
        <v>1</v>
      </c>
      <c r="V10" s="23" t="n">
        <v>0</v>
      </c>
      <c r="W10" s="23" t="n">
        <v>0</v>
      </c>
      <c r="X10" s="23" t="n">
        <v>0</v>
      </c>
      <c r="Y10" s="23" t="n">
        <v>0</v>
      </c>
      <c r="Z10" s="23" t="n">
        <v>1</v>
      </c>
      <c r="AA10" s="23" t="n">
        <v>0</v>
      </c>
      <c r="AB10" s="23" t="n">
        <v>0</v>
      </c>
    </row>
    <row r="11" ht="22.5" customFormat="1" customHeight="1" s="25">
      <c r="A11" s="22" t="inlineStr">
        <is>
          <t>Bermejo</t>
        </is>
      </c>
      <c r="B11" s="23" t="n">
        <v>9</v>
      </c>
      <c r="C11" s="23" t="n">
        <v>3</v>
      </c>
      <c r="D11" s="22" t="n">
        <v>10</v>
      </c>
      <c r="E11" s="23" t="n"/>
      <c r="F11" s="23" t="n"/>
      <c r="G11" s="23">
        <f>SUM(T11:AB11)</f>
        <v/>
      </c>
      <c r="H11" s="24">
        <f>G11/9</f>
        <v/>
      </c>
      <c r="I11" s="24">
        <f>0.5+(SUM(T11:AB11)/18)</f>
        <v/>
      </c>
      <c r="J11" s="23">
        <f>COUNTIF(K11:S11,"")</f>
        <v/>
      </c>
      <c r="K11" s="17" t="n">
        <v>3</v>
      </c>
      <c r="L11" s="17" t="n">
        <v>1</v>
      </c>
      <c r="M11" s="17" t="n">
        <v>4</v>
      </c>
      <c r="N11" s="17" t="n">
        <v>4</v>
      </c>
      <c r="O11" s="17" t="n">
        <v>3</v>
      </c>
      <c r="P11" s="17" t="n">
        <v>3</v>
      </c>
      <c r="Q11" s="17" t="n">
        <v>1</v>
      </c>
      <c r="R11" s="17" t="n">
        <v>2</v>
      </c>
      <c r="S11" s="17" t="n">
        <v>2</v>
      </c>
      <c r="T11" s="23" t="n">
        <v>1</v>
      </c>
      <c r="U11" s="23" t="n">
        <v>1</v>
      </c>
      <c r="V11" s="23" t="n">
        <v>1</v>
      </c>
      <c r="W11" s="23" t="n">
        <v>1</v>
      </c>
      <c r="X11" s="23" t="n">
        <v>1</v>
      </c>
      <c r="Y11" s="23" t="n">
        <v>1</v>
      </c>
      <c r="Z11" s="23" t="n">
        <v>1</v>
      </c>
      <c r="AA11" s="23" t="n">
        <v>1</v>
      </c>
      <c r="AB11" s="23" t="n">
        <v>1</v>
      </c>
    </row>
    <row r="12" ht="22.5" customFormat="1" customHeight="1" s="25">
      <c r="A12" s="22" t="inlineStr">
        <is>
          <t>Bermejo</t>
        </is>
      </c>
      <c r="B12" s="23" t="n">
        <v>9</v>
      </c>
      <c r="C12" s="23" t="n">
        <v>3</v>
      </c>
      <c r="D12" s="22" t="n">
        <v>11</v>
      </c>
      <c r="E12" s="23" t="n"/>
      <c r="F12" s="23" t="n"/>
      <c r="G12" s="23">
        <f>SUM(T12:AB12)</f>
        <v/>
      </c>
      <c r="H12" s="24">
        <f>G12/9</f>
        <v/>
      </c>
      <c r="I12" s="24">
        <f>0.5+(SUM(T12:AB12)/18)</f>
        <v/>
      </c>
      <c r="J12" s="23">
        <f>COUNTIF(K12:S12,"")</f>
        <v/>
      </c>
      <c r="K12" s="17" t="n">
        <v>1</v>
      </c>
      <c r="L12" s="17" t="n">
        <v>1</v>
      </c>
      <c r="M12" s="17" t="n">
        <v>4</v>
      </c>
      <c r="N12" s="17" t="n">
        <v>3</v>
      </c>
      <c r="O12" s="17" t="n">
        <v>4</v>
      </c>
      <c r="P12" s="17" t="n">
        <v>3</v>
      </c>
      <c r="Q12" s="17" t="n">
        <v>1</v>
      </c>
      <c r="R12" s="17" t="n">
        <v>3</v>
      </c>
      <c r="S12" s="17" t="n">
        <v>2</v>
      </c>
      <c r="T12" s="23" t="n">
        <v>0</v>
      </c>
      <c r="U12" s="23" t="n">
        <v>1</v>
      </c>
      <c r="V12" s="23" t="n">
        <v>1</v>
      </c>
      <c r="W12" s="23" t="n">
        <v>0</v>
      </c>
      <c r="X12" s="23" t="n">
        <v>0</v>
      </c>
      <c r="Y12" s="23" t="n">
        <v>1</v>
      </c>
      <c r="Z12" s="23" t="n">
        <v>1</v>
      </c>
      <c r="AA12" s="23" t="n">
        <v>0</v>
      </c>
      <c r="AB12" s="23" t="n">
        <v>1</v>
      </c>
    </row>
    <row r="13" ht="22.5" customFormat="1" customHeight="1" s="25">
      <c r="A13" s="22" t="inlineStr">
        <is>
          <t>Bermejo</t>
        </is>
      </c>
      <c r="B13" s="23" t="n">
        <v>9</v>
      </c>
      <c r="C13" s="23" t="n">
        <v>3</v>
      </c>
      <c r="D13" s="22" t="n">
        <v>12</v>
      </c>
      <c r="E13" s="23" t="n"/>
      <c r="F13" s="23" t="inlineStr">
        <is>
          <t>YES</t>
        </is>
      </c>
      <c r="G13" s="23">
        <f>SUM(T13:AB13)</f>
        <v/>
      </c>
      <c r="H13" s="24">
        <f>G13/9</f>
        <v/>
      </c>
      <c r="I13" s="24">
        <f>0.5+(SUM(T13:AB13)/18)</f>
        <v/>
      </c>
      <c r="J13" s="23">
        <f>COUNTIF(K13:S13,"")</f>
        <v/>
      </c>
      <c r="K13" s="17" t="n">
        <v>3</v>
      </c>
      <c r="L13" s="17" t="n">
        <v>1</v>
      </c>
      <c r="M13" s="17" t="n">
        <v>3</v>
      </c>
      <c r="N13" s="17" t="n">
        <v>4</v>
      </c>
      <c r="O13" s="17" t="n">
        <v>1</v>
      </c>
      <c r="P13" s="17" t="n">
        <v>2</v>
      </c>
      <c r="Q13" s="17" t="n">
        <v>1</v>
      </c>
      <c r="R13" s="17" t="n">
        <v>4</v>
      </c>
      <c r="S13" s="17" t="n">
        <v>1</v>
      </c>
      <c r="T13" s="23" t="n">
        <v>1</v>
      </c>
      <c r="U13" s="23" t="n">
        <v>1</v>
      </c>
      <c r="V13" s="23" t="n">
        <v>0</v>
      </c>
      <c r="W13" s="23" t="n">
        <v>1</v>
      </c>
      <c r="X13" s="23" t="n">
        <v>0</v>
      </c>
      <c r="Y13" s="23" t="n">
        <v>0</v>
      </c>
      <c r="Z13" s="23" t="n">
        <v>1</v>
      </c>
      <c r="AA13" s="23" t="n">
        <v>0</v>
      </c>
      <c r="AB13" s="23" t="n">
        <v>0</v>
      </c>
    </row>
    <row r="14" ht="22.5" customFormat="1" customHeight="1" s="25">
      <c r="A14" s="22" t="inlineStr">
        <is>
          <t>Bermejo</t>
        </is>
      </c>
      <c r="B14" s="23" t="n">
        <v>9</v>
      </c>
      <c r="C14" s="23" t="n">
        <v>3</v>
      </c>
      <c r="D14" s="22" t="n">
        <v>13</v>
      </c>
      <c r="E14" s="23" t="n"/>
      <c r="F14" s="23" t="n"/>
      <c r="G14" s="23">
        <f>SUM(T14:AB14)</f>
        <v/>
      </c>
      <c r="H14" s="24">
        <f>G14/9</f>
        <v/>
      </c>
      <c r="I14" s="24">
        <f>0.5+(SUM(T14:AB14)/18)</f>
        <v/>
      </c>
      <c r="J14" s="23">
        <f>COUNTIF(K14:S14,"")</f>
        <v/>
      </c>
      <c r="K14" s="17" t="n">
        <v>1</v>
      </c>
      <c r="L14" s="17" t="n">
        <v>1</v>
      </c>
      <c r="M14" s="17" t="n">
        <v>3</v>
      </c>
      <c r="N14" s="17" t="n">
        <v>2</v>
      </c>
      <c r="O14" s="17" t="n">
        <v>1</v>
      </c>
      <c r="P14" s="17" t="n">
        <v>2</v>
      </c>
      <c r="Q14" s="17" t="n">
        <v>1</v>
      </c>
      <c r="R14" s="17" t="n">
        <v>1</v>
      </c>
      <c r="S14" s="17" t="n">
        <v>2</v>
      </c>
      <c r="T14" s="23" t="n">
        <v>0</v>
      </c>
      <c r="U14" s="23" t="n">
        <v>1</v>
      </c>
      <c r="V14" s="23" t="n">
        <v>0</v>
      </c>
      <c r="W14" s="23" t="n">
        <v>0</v>
      </c>
      <c r="X14" s="23" t="n">
        <v>0</v>
      </c>
      <c r="Y14" s="23" t="n">
        <v>0</v>
      </c>
      <c r="Z14" s="23" t="n">
        <v>1</v>
      </c>
      <c r="AA14" s="23" t="n">
        <v>0</v>
      </c>
      <c r="AB14" s="23" t="n">
        <v>1</v>
      </c>
    </row>
    <row r="15" ht="22.5" customFormat="1" customHeight="1" s="25">
      <c r="A15" s="22" t="inlineStr">
        <is>
          <t>Bermejo</t>
        </is>
      </c>
      <c r="B15" s="23" t="n">
        <v>9</v>
      </c>
      <c r="C15" s="23" t="n">
        <v>3</v>
      </c>
      <c r="D15" s="22" t="n">
        <v>14</v>
      </c>
      <c r="E15" s="23" t="n"/>
      <c r="F15" s="23" t="n"/>
      <c r="G15" s="23">
        <f>SUM(T15:AB15)</f>
        <v/>
      </c>
      <c r="H15" s="24">
        <f>G15/9</f>
        <v/>
      </c>
      <c r="I15" s="24">
        <f>0.5+(SUM(T15:AB15)/18)</f>
        <v/>
      </c>
      <c r="J15" s="23">
        <f>COUNTIF(K15:S15,"")</f>
        <v/>
      </c>
      <c r="K15" s="17" t="n">
        <v>2</v>
      </c>
      <c r="L15" s="17" t="n">
        <v>1</v>
      </c>
      <c r="M15" s="17" t="n">
        <v>2</v>
      </c>
      <c r="N15" s="17" t="n">
        <v>4</v>
      </c>
      <c r="O15" s="17" t="n">
        <v>3</v>
      </c>
      <c r="P15" s="17" t="n">
        <v>3</v>
      </c>
      <c r="Q15" s="17" t="n">
        <v>1</v>
      </c>
      <c r="R15" s="17" t="n">
        <v>4</v>
      </c>
      <c r="S15" s="17" t="n">
        <v>1</v>
      </c>
      <c r="T15" s="23" t="n">
        <v>0</v>
      </c>
      <c r="U15" s="23" t="n">
        <v>1</v>
      </c>
      <c r="V15" s="23" t="n">
        <v>0</v>
      </c>
      <c r="W15" s="23" t="n">
        <v>1</v>
      </c>
      <c r="X15" s="23" t="n">
        <v>1</v>
      </c>
      <c r="Y15" s="23" t="n">
        <v>1</v>
      </c>
      <c r="Z15" s="23" t="n">
        <v>1</v>
      </c>
      <c r="AA15" s="23" t="n">
        <v>0</v>
      </c>
      <c r="AB15" s="23" t="n">
        <v>0</v>
      </c>
    </row>
    <row r="16" ht="22.5" customFormat="1" customHeight="1" s="25">
      <c r="A16" s="22" t="inlineStr">
        <is>
          <t>Bermejo</t>
        </is>
      </c>
      <c r="B16" s="23" t="n">
        <v>9</v>
      </c>
      <c r="C16" s="23" t="n">
        <v>3</v>
      </c>
      <c r="D16" s="22" t="n">
        <v>15</v>
      </c>
      <c r="E16" s="23" t="n"/>
      <c r="F16" s="23" t="n"/>
      <c r="G16" s="23">
        <f>SUM(T16:AB16)</f>
        <v/>
      </c>
      <c r="H16" s="24">
        <f>G16/9</f>
        <v/>
      </c>
      <c r="I16" s="24">
        <f>0.5+(SUM(T16:AB16)/18)</f>
        <v/>
      </c>
      <c r="J16" s="23">
        <f>COUNTIF(K16:S16,"")</f>
        <v/>
      </c>
      <c r="K16" s="17" t="n">
        <v>3</v>
      </c>
      <c r="L16" s="17" t="n">
        <v>1</v>
      </c>
      <c r="M16" s="17" t="n">
        <v>3</v>
      </c>
      <c r="N16" s="17" t="n">
        <v>4</v>
      </c>
      <c r="O16" s="17" t="n">
        <v>4</v>
      </c>
      <c r="P16" s="17" t="n">
        <v>3</v>
      </c>
      <c r="Q16" s="17" t="n">
        <v>1</v>
      </c>
      <c r="R16" s="17" t="n">
        <v>2</v>
      </c>
      <c r="S16" s="17" t="n">
        <v>2</v>
      </c>
      <c r="T16" s="23" t="n">
        <v>1</v>
      </c>
      <c r="U16" s="23" t="n">
        <v>1</v>
      </c>
      <c r="V16" s="23" t="n">
        <v>0</v>
      </c>
      <c r="W16" s="23" t="n">
        <v>1</v>
      </c>
      <c r="X16" s="23" t="n">
        <v>0</v>
      </c>
      <c r="Y16" s="23" t="n">
        <v>1</v>
      </c>
      <c r="Z16" s="23" t="n">
        <v>1</v>
      </c>
      <c r="AA16" s="23" t="n">
        <v>1</v>
      </c>
      <c r="AB16" s="23" t="n">
        <v>1</v>
      </c>
    </row>
    <row r="17" ht="22.5" customFormat="1" customHeight="1" s="25">
      <c r="A17" s="22" t="inlineStr">
        <is>
          <t>Bermejo</t>
        </is>
      </c>
      <c r="B17" s="23" t="n">
        <v>9</v>
      </c>
      <c r="C17" s="23" t="n">
        <v>3</v>
      </c>
      <c r="D17" s="22" t="n">
        <v>16</v>
      </c>
      <c r="E17" s="23" t="n"/>
      <c r="F17" s="23" t="n"/>
      <c r="G17" s="23">
        <f>SUM(T17:AB17)</f>
        <v/>
      </c>
      <c r="H17" s="24">
        <f>G17/9</f>
        <v/>
      </c>
      <c r="I17" s="24">
        <f>0.5+(SUM(T17:AB17)/18)</f>
        <v/>
      </c>
      <c r="J17" s="23">
        <f>COUNTIF(K17:S17,"")</f>
        <v/>
      </c>
      <c r="K17" s="17" t="n">
        <v>3</v>
      </c>
      <c r="L17" s="17" t="n">
        <v>4</v>
      </c>
      <c r="M17" s="17" t="n">
        <v>1</v>
      </c>
      <c r="N17" s="17" t="n">
        <v>4</v>
      </c>
      <c r="O17" s="17" t="n">
        <v>2</v>
      </c>
      <c r="P17" s="17" t="inlineStr"/>
      <c r="Q17" s="17" t="n">
        <v>1</v>
      </c>
      <c r="R17" s="17" t="n">
        <v>2</v>
      </c>
      <c r="S17" s="17" t="n">
        <v>2</v>
      </c>
      <c r="T17" s="23" t="n">
        <v>1</v>
      </c>
      <c r="U17" s="23" t="n">
        <v>0</v>
      </c>
      <c r="V17" s="23" t="n">
        <v>0</v>
      </c>
      <c r="W17" s="23" t="n">
        <v>1</v>
      </c>
      <c r="X17" s="23" t="n">
        <v>0</v>
      </c>
      <c r="Y17" s="23" t="n">
        <v>0</v>
      </c>
      <c r="Z17" s="23" t="n">
        <v>1</v>
      </c>
      <c r="AA17" s="23" t="n">
        <v>1</v>
      </c>
      <c r="AB17" s="23" t="n">
        <v>1</v>
      </c>
    </row>
    <row r="18" ht="22.5" customFormat="1" customHeight="1" s="25">
      <c r="A18" s="22" t="n"/>
      <c r="B18" s="23" t="n"/>
      <c r="C18" s="23" t="n"/>
      <c r="D18" s="22" t="n"/>
      <c r="E18" s="23" t="n"/>
      <c r="F18" s="23" t="n"/>
      <c r="G18" s="23">
        <f>SUM(T18:AB18)</f>
        <v/>
      </c>
      <c r="H18" s="24">
        <f>G18/9</f>
        <v/>
      </c>
      <c r="I18" s="24">
        <f>0.5+(SUM(T18:AB18)/18)</f>
        <v/>
      </c>
      <c r="J18" s="23">
        <f>COUNTIF(K18:S18,"")</f>
        <v/>
      </c>
      <c r="K18" s="17" t="n"/>
      <c r="L18" s="17" t="n"/>
      <c r="M18" s="17" t="n"/>
      <c r="N18" s="17" t="n"/>
      <c r="O18" s="17" t="n"/>
      <c r="P18" s="17" t="n"/>
      <c r="Q18" s="17" t="n"/>
      <c r="R18" s="17" t="n"/>
      <c r="S18" s="17" t="n"/>
      <c r="T18" s="23" t="n">
        <v>0</v>
      </c>
      <c r="U18" s="23" t="n">
        <v>0</v>
      </c>
      <c r="V18" s="23" t="n">
        <v>0</v>
      </c>
      <c r="W18" s="23" t="n">
        <v>0</v>
      </c>
      <c r="X18" s="23" t="n">
        <v>0</v>
      </c>
      <c r="Y18" s="23" t="n">
        <v>0</v>
      </c>
      <c r="Z18" s="23" t="n">
        <v>0</v>
      </c>
      <c r="AA18" s="23" t="n">
        <v>0</v>
      </c>
      <c r="AB18" s="23" t="n">
        <v>0</v>
      </c>
    </row>
    <row r="19" ht="22.5" customFormat="1" customHeight="1" s="25">
      <c r="A19" s="22" t="inlineStr">
        <is>
          <t>Bermejo</t>
        </is>
      </c>
      <c r="B19" s="23" t="n">
        <v>9</v>
      </c>
      <c r="C19" s="23" t="n">
        <v>3</v>
      </c>
      <c r="D19" s="22" t="n">
        <v>17</v>
      </c>
      <c r="E19" s="23" t="n"/>
      <c r="F19" s="23" t="inlineStr">
        <is>
          <t>YES</t>
        </is>
      </c>
      <c r="G19" s="23">
        <f>SUM(T19:AB19)</f>
        <v/>
      </c>
      <c r="H19" s="24">
        <f>G19/9</f>
        <v/>
      </c>
      <c r="I19" s="24">
        <f>0.5+(SUM(T19:AB19)/18)</f>
        <v/>
      </c>
      <c r="J19" s="23">
        <f>COUNTIF(K19:S19,"")</f>
        <v/>
      </c>
      <c r="K19" s="17" t="n">
        <v>3</v>
      </c>
      <c r="L19" s="17" t="n">
        <v>1</v>
      </c>
      <c r="M19" s="17" t="n">
        <v>2</v>
      </c>
      <c r="N19" s="17" t="n">
        <v>2</v>
      </c>
      <c r="O19" s="17" t="n">
        <v>3</v>
      </c>
      <c r="P19" s="17" t="n">
        <v>3</v>
      </c>
      <c r="Q19" s="17" t="n">
        <v>1</v>
      </c>
      <c r="R19" s="17" t="n">
        <v>1</v>
      </c>
      <c r="S19" s="17" t="n">
        <v>3</v>
      </c>
      <c r="T19" s="23" t="n">
        <v>1</v>
      </c>
      <c r="U19" s="23" t="n">
        <v>1</v>
      </c>
      <c r="V19" s="23" t="n">
        <v>0</v>
      </c>
      <c r="W19" s="23" t="n">
        <v>0</v>
      </c>
      <c r="X19" s="23" t="n">
        <v>1</v>
      </c>
      <c r="Y19" s="23" t="n">
        <v>1</v>
      </c>
      <c r="Z19" s="23" t="n">
        <v>1</v>
      </c>
      <c r="AA19" s="23" t="n">
        <v>0</v>
      </c>
      <c r="AB19" s="23" t="n">
        <v>0</v>
      </c>
    </row>
    <row r="20" ht="22.5" customFormat="1" customHeight="1" s="25">
      <c r="A20" s="22" t="inlineStr">
        <is>
          <t>Bermejo</t>
        </is>
      </c>
      <c r="B20" s="23" t="n">
        <v>9</v>
      </c>
      <c r="C20" s="23" t="n">
        <v>3</v>
      </c>
      <c r="D20" s="22" t="n">
        <v>18</v>
      </c>
      <c r="E20" s="23" t="n"/>
      <c r="F20" s="23" t="n"/>
      <c r="G20" s="23">
        <f>SUM(T20:AB20)</f>
        <v/>
      </c>
      <c r="H20" s="24">
        <f>G20/9</f>
        <v/>
      </c>
      <c r="I20" s="24">
        <f>0.5+(SUM(T20:AB20)/18)</f>
        <v/>
      </c>
      <c r="J20" s="23">
        <f>COUNTIF(K20:S20,"")</f>
        <v/>
      </c>
      <c r="K20" s="17" t="n">
        <v>1</v>
      </c>
      <c r="L20" s="17" t="n">
        <v>1</v>
      </c>
      <c r="M20" s="17" t="n">
        <v>4</v>
      </c>
      <c r="N20" s="17" t="n">
        <v>3</v>
      </c>
      <c r="O20" s="17" t="n">
        <v>3</v>
      </c>
      <c r="P20" s="17" t="n">
        <v>3</v>
      </c>
      <c r="Q20" s="17" t="n">
        <v>1</v>
      </c>
      <c r="R20" s="17" t="n"/>
      <c r="S20" s="17" t="n"/>
      <c r="T20" s="23" t="n">
        <v>0</v>
      </c>
      <c r="U20" s="23" t="n">
        <v>1</v>
      </c>
      <c r="V20" s="23" t="n">
        <v>1</v>
      </c>
      <c r="W20" s="23" t="n">
        <v>0</v>
      </c>
      <c r="X20" s="23" t="n">
        <v>1</v>
      </c>
      <c r="Y20" s="23" t="n">
        <v>1</v>
      </c>
      <c r="Z20" s="23" t="n">
        <v>1</v>
      </c>
      <c r="AA20" s="23" t="n">
        <v>0</v>
      </c>
      <c r="AB20" s="23" t="n">
        <v>0</v>
      </c>
    </row>
    <row r="21" ht="22.5" customFormat="1" customHeight="1" s="25">
      <c r="A21" s="22" t="inlineStr">
        <is>
          <t>Bermejo</t>
        </is>
      </c>
      <c r="B21" s="23" t="n">
        <v>9</v>
      </c>
      <c r="C21" s="23" t="n">
        <v>3</v>
      </c>
      <c r="D21" s="22" t="n">
        <v>19</v>
      </c>
      <c r="E21" s="23" t="n"/>
      <c r="F21" s="23" t="n"/>
      <c r="G21" s="23">
        <f>SUM(T21:AB21)</f>
        <v/>
      </c>
      <c r="H21" s="24">
        <f>G21/9</f>
        <v/>
      </c>
      <c r="I21" s="24">
        <f>0.5+(SUM(T21:AB21)/18)</f>
        <v/>
      </c>
      <c r="J21" s="23">
        <f>COUNTIF(K21:S21,"")</f>
        <v/>
      </c>
      <c r="K21" s="17" t="n">
        <v>3</v>
      </c>
      <c r="L21" s="17" t="n">
        <v>1</v>
      </c>
      <c r="M21" s="17" t="n">
        <v>1</v>
      </c>
      <c r="N21" s="17" t="n">
        <v>4</v>
      </c>
      <c r="O21" s="17" t="n">
        <v>3</v>
      </c>
      <c r="P21" s="17" t="n">
        <v>1</v>
      </c>
      <c r="Q21" s="17" t="n">
        <v>1</v>
      </c>
      <c r="R21" s="17" t="n">
        <v>4</v>
      </c>
      <c r="S21" s="17" t="n">
        <v>2</v>
      </c>
      <c r="T21" s="23" t="n">
        <v>1</v>
      </c>
      <c r="U21" s="23" t="n">
        <v>1</v>
      </c>
      <c r="V21" s="23" t="n">
        <v>0</v>
      </c>
      <c r="W21" s="23" t="n">
        <v>1</v>
      </c>
      <c r="X21" s="23" t="n">
        <v>1</v>
      </c>
      <c r="Y21" s="23" t="n">
        <v>0</v>
      </c>
      <c r="Z21" s="23" t="n">
        <v>1</v>
      </c>
      <c r="AA21" s="23" t="n">
        <v>0</v>
      </c>
      <c r="AB21" s="23" t="n">
        <v>1</v>
      </c>
    </row>
    <row r="22" ht="22.5" customFormat="1" customHeight="1" s="25">
      <c r="A22" s="22" t="inlineStr">
        <is>
          <t>Bermejo</t>
        </is>
      </c>
      <c r="B22" s="23" t="n">
        <v>9</v>
      </c>
      <c r="C22" s="23" t="n">
        <v>3</v>
      </c>
      <c r="D22" s="22" t="n">
        <v>20</v>
      </c>
      <c r="E22" s="23" t="n"/>
      <c r="F22" s="23" t="n"/>
      <c r="G22" s="23">
        <f>SUM(T22:AB22)</f>
        <v/>
      </c>
      <c r="H22" s="24">
        <f>G22/9</f>
        <v/>
      </c>
      <c r="I22" s="24">
        <f>0.5+(SUM(T22:AB22)/18)</f>
        <v/>
      </c>
      <c r="J22" s="23">
        <f>COUNTIF(K22:S22,"")</f>
        <v/>
      </c>
      <c r="K22" s="17" t="n">
        <v>3</v>
      </c>
      <c r="L22" s="17" t="n">
        <v>1</v>
      </c>
      <c r="M22" s="17" t="n">
        <v>4</v>
      </c>
      <c r="N22" s="17" t="n">
        <v>3</v>
      </c>
      <c r="O22" s="17" t="n">
        <v>2</v>
      </c>
      <c r="P22" s="17" t="n">
        <v>3</v>
      </c>
      <c r="Q22" s="17" t="n">
        <v>1</v>
      </c>
      <c r="R22" s="17" t="n">
        <v>4</v>
      </c>
      <c r="S22" s="17" t="n">
        <v>2</v>
      </c>
      <c r="T22" s="23" t="n">
        <v>1</v>
      </c>
      <c r="U22" s="23" t="n">
        <v>1</v>
      </c>
      <c r="V22" s="23" t="n">
        <v>1</v>
      </c>
      <c r="W22" s="23" t="n">
        <v>0</v>
      </c>
      <c r="X22" s="23" t="n">
        <v>0</v>
      </c>
      <c r="Y22" s="23" t="n">
        <v>1</v>
      </c>
      <c r="Z22" s="23" t="n">
        <v>1</v>
      </c>
      <c r="AA22" s="23" t="n">
        <v>0</v>
      </c>
      <c r="AB22" s="23" t="n">
        <v>1</v>
      </c>
    </row>
    <row r="23" ht="22.5" customFormat="1" customHeight="1" s="25">
      <c r="A23" s="22" t="inlineStr">
        <is>
          <t>Bermejo</t>
        </is>
      </c>
      <c r="B23" s="23" t="n">
        <v>9</v>
      </c>
      <c r="C23" s="23" t="n">
        <v>3</v>
      </c>
      <c r="D23" s="22" t="n">
        <v>21</v>
      </c>
      <c r="E23" s="23" t="n"/>
      <c r="F23" s="23" t="inlineStr">
        <is>
          <t>YES</t>
        </is>
      </c>
      <c r="G23" s="23">
        <f>SUM(T23:AB23)</f>
        <v/>
      </c>
      <c r="H23" s="24">
        <f>G23/9</f>
        <v/>
      </c>
      <c r="I23" s="24">
        <f>0.5+(SUM(T23:AB23)/18)</f>
        <v/>
      </c>
      <c r="J23" s="23">
        <f>COUNTIF(K23:S23,"")</f>
        <v/>
      </c>
      <c r="K23" s="17" t="n">
        <v>3</v>
      </c>
      <c r="L23" s="17" t="n">
        <v>1</v>
      </c>
      <c r="M23" s="17" t="n">
        <v>2</v>
      </c>
      <c r="N23" s="17" t="n">
        <v>4</v>
      </c>
      <c r="O23" s="17" t="n">
        <v>2</v>
      </c>
      <c r="P23" s="17" t="n">
        <v>2</v>
      </c>
      <c r="Q23" s="17" t="n">
        <v>1</v>
      </c>
      <c r="R23" s="17" t="n">
        <v>4</v>
      </c>
      <c r="S23" s="17" t="n">
        <v>2</v>
      </c>
      <c r="T23" s="23" t="n">
        <v>1</v>
      </c>
      <c r="U23" s="23" t="n">
        <v>1</v>
      </c>
      <c r="V23" s="23" t="n">
        <v>0</v>
      </c>
      <c r="W23" s="23" t="n">
        <v>1</v>
      </c>
      <c r="X23" s="23" t="n">
        <v>0</v>
      </c>
      <c r="Y23" s="23" t="n">
        <v>0</v>
      </c>
      <c r="Z23" s="23" t="n">
        <v>1</v>
      </c>
      <c r="AA23" s="23" t="n">
        <v>0</v>
      </c>
      <c r="AB23" s="23" t="n">
        <v>1</v>
      </c>
    </row>
    <row r="24" ht="22.5" customFormat="1" customHeight="1" s="25">
      <c r="A24" s="22" t="n"/>
      <c r="B24" s="23" t="n"/>
      <c r="C24" s="23" t="n"/>
      <c r="D24" s="22" t="n"/>
      <c r="E24" s="23" t="n"/>
      <c r="F24" s="23" t="n"/>
      <c r="G24" s="23">
        <f>SUM(T24:AB24)</f>
        <v/>
      </c>
      <c r="H24" s="24">
        <f>G24/9</f>
        <v/>
      </c>
      <c r="I24" s="24">
        <f>0.5+(SUM(T24:AB24)/18)</f>
        <v/>
      </c>
      <c r="J24" s="23">
        <f>COUNTIF(K24:S24,"")</f>
        <v/>
      </c>
      <c r="K24" s="17" t="n"/>
      <c r="L24" s="17" t="n"/>
      <c r="M24" s="17" t="n"/>
      <c r="N24" s="17" t="n"/>
      <c r="O24" s="17" t="n"/>
      <c r="P24" s="17" t="n"/>
      <c r="Q24" s="17" t="n"/>
      <c r="R24" s="17" t="n"/>
      <c r="S24" s="17" t="n"/>
      <c r="T24" s="23" t="n">
        <v>0</v>
      </c>
      <c r="U24" s="23" t="n">
        <v>0</v>
      </c>
      <c r="V24" s="23" t="n">
        <v>0</v>
      </c>
      <c r="W24" s="23" t="n">
        <v>0</v>
      </c>
      <c r="X24" s="23" t="n">
        <v>0</v>
      </c>
      <c r="Y24" s="23" t="n">
        <v>0</v>
      </c>
      <c r="Z24" s="23" t="n">
        <v>0</v>
      </c>
      <c r="AA24" s="23" t="n">
        <v>0</v>
      </c>
      <c r="AB24" s="23" t="n">
        <v>0</v>
      </c>
    </row>
    <row r="25" ht="22.5" customFormat="1" customHeight="1" s="25">
      <c r="A25" s="22" t="inlineStr">
        <is>
          <t>Bermejo</t>
        </is>
      </c>
      <c r="B25" s="23" t="n">
        <v>9</v>
      </c>
      <c r="C25" s="23" t="n">
        <v>3</v>
      </c>
      <c r="D25" s="22" t="n">
        <v>22</v>
      </c>
      <c r="E25" s="23" t="n"/>
      <c r="F25" s="23" t="inlineStr">
        <is>
          <t>YES</t>
        </is>
      </c>
      <c r="G25" s="23">
        <f>SUM(T25:AB25)</f>
        <v/>
      </c>
      <c r="H25" s="24">
        <f>G25/9</f>
        <v/>
      </c>
      <c r="I25" s="24">
        <f>0.5+(SUM(T25:AB25)/18)</f>
        <v/>
      </c>
      <c r="J25" s="23">
        <f>COUNTIF(K25:S25,"")</f>
        <v/>
      </c>
      <c r="K25" s="17" t="n">
        <v>2</v>
      </c>
      <c r="L25" s="17" t="n">
        <v>4</v>
      </c>
      <c r="M25" s="17" t="n">
        <v>2</v>
      </c>
      <c r="N25" s="17" t="n">
        <v>2</v>
      </c>
      <c r="O25" s="17" t="n">
        <v>3</v>
      </c>
      <c r="P25" s="17" t="n">
        <v>1</v>
      </c>
      <c r="Q25" s="17" t="n">
        <v>1</v>
      </c>
      <c r="R25" s="17" t="n">
        <v>1</v>
      </c>
      <c r="S25" s="17" t="n">
        <v>2</v>
      </c>
      <c r="T25" s="23" t="n">
        <v>0</v>
      </c>
      <c r="U25" s="23" t="n">
        <v>0</v>
      </c>
      <c r="V25" s="23" t="n">
        <v>0</v>
      </c>
      <c r="W25" s="23" t="n">
        <v>0</v>
      </c>
      <c r="X25" s="23" t="n">
        <v>1</v>
      </c>
      <c r="Y25" s="23" t="n">
        <v>0</v>
      </c>
      <c r="Z25" s="23" t="n">
        <v>1</v>
      </c>
      <c r="AA25" s="23" t="n">
        <v>0</v>
      </c>
      <c r="AB25" s="23" t="n">
        <v>1</v>
      </c>
    </row>
    <row r="26" ht="22.5" customFormat="1" customHeight="1" s="25">
      <c r="A26" s="22" t="inlineStr">
        <is>
          <t>Bermejo</t>
        </is>
      </c>
      <c r="B26" s="23" t="n">
        <v>9</v>
      </c>
      <c r="C26" s="23" t="n">
        <v>4</v>
      </c>
      <c r="D26" s="22" t="n">
        <v>23</v>
      </c>
      <c r="E26" s="23" t="n"/>
      <c r="F26" s="23" t="n"/>
      <c r="G26" s="23">
        <f>SUM(T26:AB26)</f>
        <v/>
      </c>
      <c r="H26" s="24">
        <f>G26/9</f>
        <v/>
      </c>
      <c r="I26" s="24">
        <f>0.5+(SUM(T26:AB26)/18)</f>
        <v/>
      </c>
      <c r="J26" s="23">
        <f>COUNTIF(K26:S26,"")</f>
        <v/>
      </c>
      <c r="K26" s="26" t="n">
        <v>2</v>
      </c>
      <c r="L26" s="26" t="n">
        <v>1</v>
      </c>
      <c r="M26" s="26" t="n">
        <v>4</v>
      </c>
      <c r="N26" s="26" t="n">
        <v>4</v>
      </c>
      <c r="O26" s="26" t="n">
        <v>3</v>
      </c>
      <c r="P26" s="26" t="n">
        <v>1</v>
      </c>
      <c r="Q26" s="26" t="n"/>
      <c r="R26" s="26" t="n"/>
      <c r="S26" s="26" t="n"/>
      <c r="T26" s="23" t="n">
        <v>0</v>
      </c>
      <c r="U26" s="23" t="n">
        <v>1</v>
      </c>
      <c r="V26" s="23" t="n">
        <v>1</v>
      </c>
      <c r="W26" s="23" t="n">
        <v>1</v>
      </c>
      <c r="X26" s="23" t="n">
        <v>1</v>
      </c>
      <c r="Y26" s="23" t="n">
        <v>0</v>
      </c>
      <c r="Z26" s="23" t="n">
        <v>0</v>
      </c>
      <c r="AA26" s="23" t="n">
        <v>0</v>
      </c>
      <c r="AB26" s="23" t="n">
        <v>0</v>
      </c>
    </row>
    <row r="27" ht="22.5" customFormat="1" customHeight="1" s="25">
      <c r="A27" s="22" t="inlineStr">
        <is>
          <t>Bermejo</t>
        </is>
      </c>
      <c r="B27" s="23" t="n">
        <v>9</v>
      </c>
      <c r="C27" s="23" t="n">
        <v>4</v>
      </c>
      <c r="D27" s="22" t="n">
        <v>24</v>
      </c>
      <c r="E27" s="23" t="n"/>
      <c r="F27" s="23" t="inlineStr">
        <is>
          <t>YES</t>
        </is>
      </c>
      <c r="G27" s="23">
        <f>SUM(T27:AB27)</f>
        <v/>
      </c>
      <c r="H27" s="24">
        <f>G27/9</f>
        <v/>
      </c>
      <c r="I27" s="24">
        <f>0.5+(SUM(T27:AB27)/18)</f>
        <v/>
      </c>
      <c r="J27" s="23">
        <f>COUNTIF(K27:S27,"")</f>
        <v/>
      </c>
      <c r="K27" s="26" t="n">
        <v>1</v>
      </c>
      <c r="L27" s="26" t="n">
        <v>1</v>
      </c>
      <c r="M27" s="26" t="n">
        <v>4</v>
      </c>
      <c r="N27" s="26" t="n">
        <v>3</v>
      </c>
      <c r="O27" s="26" t="n">
        <v>3</v>
      </c>
      <c r="P27" s="26" t="n">
        <v>3</v>
      </c>
      <c r="Q27" s="26" t="n">
        <v>1</v>
      </c>
      <c r="R27" s="26" t="n">
        <v>2</v>
      </c>
      <c r="S27" s="26" t="n">
        <v>2</v>
      </c>
      <c r="T27" s="23" t="n">
        <v>0</v>
      </c>
      <c r="U27" s="23" t="n">
        <v>1</v>
      </c>
      <c r="V27" s="23" t="n">
        <v>1</v>
      </c>
      <c r="W27" s="23" t="n">
        <v>0</v>
      </c>
      <c r="X27" s="23" t="n">
        <v>1</v>
      </c>
      <c r="Y27" s="23" t="n">
        <v>1</v>
      </c>
      <c r="Z27" s="23" t="n">
        <v>1</v>
      </c>
      <c r="AA27" s="23" t="n">
        <v>1</v>
      </c>
      <c r="AB27" s="23" t="n">
        <v>1</v>
      </c>
    </row>
    <row r="28" ht="22.5" customFormat="1" customHeight="1" s="25">
      <c r="A28" s="22" t="inlineStr">
        <is>
          <t>Bermejo</t>
        </is>
      </c>
      <c r="B28" s="23" t="n">
        <v>9</v>
      </c>
      <c r="C28" s="23" t="n">
        <v>4</v>
      </c>
      <c r="D28" s="22" t="n">
        <v>25</v>
      </c>
      <c r="E28" s="23" t="n"/>
      <c r="F28" s="23" t="n"/>
      <c r="G28" s="23" t="n">
        <v>6</v>
      </c>
      <c r="H28" s="24">
        <f>G28/9</f>
        <v/>
      </c>
      <c r="I28" s="24">
        <f>0.5+(SUM(T28:AB28)/18)</f>
        <v/>
      </c>
      <c r="J28" s="23">
        <f>COUNTIF(K28:S28,"")</f>
        <v/>
      </c>
      <c r="K28" s="26" t="n">
        <v>3</v>
      </c>
      <c r="L28" s="26" t="n">
        <v>1</v>
      </c>
      <c r="M28" s="26" t="n">
        <v>4</v>
      </c>
      <c r="N28" s="26" t="n">
        <v>4</v>
      </c>
      <c r="O28" s="26" t="n">
        <v>3</v>
      </c>
      <c r="P28" s="26" t="n">
        <v>2</v>
      </c>
      <c r="Q28" s="26" t="n">
        <v>3</v>
      </c>
      <c r="R28" s="26" t="n">
        <v>1</v>
      </c>
      <c r="S28" s="26" t="n">
        <v>2</v>
      </c>
      <c r="T28" s="23" t="n">
        <v>1</v>
      </c>
      <c r="U28" s="23" t="n">
        <v>1</v>
      </c>
      <c r="V28" s="23" t="n">
        <v>1</v>
      </c>
      <c r="W28" s="23" t="n">
        <v>1</v>
      </c>
      <c r="X28" s="23" t="n">
        <v>1</v>
      </c>
      <c r="Y28" s="23" t="n">
        <v>0</v>
      </c>
      <c r="Z28" s="23" t="n">
        <v>0</v>
      </c>
      <c r="AA28" s="23" t="n">
        <v>0</v>
      </c>
      <c r="AB28" s="23" t="n">
        <v>1</v>
      </c>
    </row>
    <row r="29" ht="22.5" customFormat="1" customHeight="1" s="25">
      <c r="A29" s="22" t="inlineStr">
        <is>
          <t>Bermejo</t>
        </is>
      </c>
      <c r="B29" s="23" t="n">
        <v>9</v>
      </c>
      <c r="C29" s="23" t="n">
        <v>4</v>
      </c>
      <c r="D29" s="22" t="n">
        <v>26</v>
      </c>
      <c r="E29" s="23" t="n"/>
      <c r="F29" s="23" t="n"/>
      <c r="G29" s="23">
        <f>SUM(T29:AB29)</f>
        <v/>
      </c>
      <c r="H29" s="24">
        <f>G29/9</f>
        <v/>
      </c>
      <c r="I29" s="24">
        <f>0.5+(SUM(T29:AB29)/18)</f>
        <v/>
      </c>
      <c r="J29" s="23">
        <f>COUNTIF(K29:S29,"")</f>
        <v/>
      </c>
      <c r="K29" s="26" t="n">
        <v>2</v>
      </c>
      <c r="L29" s="26" t="n">
        <v>13</v>
      </c>
      <c r="M29" s="26" t="n">
        <v>2</v>
      </c>
      <c r="N29" s="26" t="n">
        <v>1</v>
      </c>
      <c r="O29" s="26" t="n">
        <v>1</v>
      </c>
      <c r="P29" s="26" t="n">
        <v>24</v>
      </c>
      <c r="Q29" s="26" t="n">
        <v>4</v>
      </c>
      <c r="R29" s="26" t="n">
        <v>1</v>
      </c>
      <c r="S29" s="26" t="n">
        <v>2</v>
      </c>
      <c r="T29" s="23" t="n">
        <v>0</v>
      </c>
      <c r="U29" s="23" t="n">
        <v>0</v>
      </c>
      <c r="V29" s="23" t="n">
        <v>0</v>
      </c>
      <c r="W29" s="23" t="n">
        <v>0</v>
      </c>
      <c r="X29" s="23" t="n">
        <v>0</v>
      </c>
      <c r="Y29" s="23" t="n">
        <v>0</v>
      </c>
      <c r="Z29" s="23" t="n">
        <v>0</v>
      </c>
      <c r="AA29" s="23" t="n">
        <v>0</v>
      </c>
      <c r="AB29" s="23" t="n">
        <v>1</v>
      </c>
    </row>
    <row r="30" ht="22.5" customFormat="1" customHeight="1" s="25">
      <c r="A30" s="22" t="inlineStr">
        <is>
          <t>Bermejo</t>
        </is>
      </c>
      <c r="B30" s="23" t="n">
        <v>9</v>
      </c>
      <c r="C30" s="23" t="n">
        <v>4</v>
      </c>
      <c r="D30" s="22" t="n">
        <v>27</v>
      </c>
      <c r="E30" s="23" t="n"/>
      <c r="F30" s="23" t="inlineStr">
        <is>
          <t>YES</t>
        </is>
      </c>
      <c r="G30" s="23">
        <f>SUM(T30:AB30)</f>
        <v/>
      </c>
      <c r="H30" s="24">
        <f>G30/9</f>
        <v/>
      </c>
      <c r="I30" s="24">
        <f>0.5+(SUM(T30:AB30)/18)</f>
        <v/>
      </c>
      <c r="J30" s="23">
        <f>COUNTIF(K30:S30,"")</f>
        <v/>
      </c>
      <c r="K30" s="26" t="n">
        <v>3</v>
      </c>
      <c r="L30" s="26" t="n">
        <v>1</v>
      </c>
      <c r="M30" s="26" t="n">
        <v>4</v>
      </c>
      <c r="N30" s="26" t="n">
        <v>4</v>
      </c>
      <c r="O30" s="26" t="n">
        <v>3</v>
      </c>
      <c r="P30" s="26" t="n">
        <v>2</v>
      </c>
      <c r="Q30" s="26" t="n">
        <v>3</v>
      </c>
      <c r="R30" s="26" t="n">
        <v>1</v>
      </c>
      <c r="S30" s="26" t="n">
        <v>2</v>
      </c>
      <c r="T30" s="23" t="n">
        <v>1</v>
      </c>
      <c r="U30" s="23" t="n">
        <v>1</v>
      </c>
      <c r="V30" s="23" t="n">
        <v>1</v>
      </c>
      <c r="W30" s="23" t="n">
        <v>1</v>
      </c>
      <c r="X30" s="23" t="n">
        <v>1</v>
      </c>
      <c r="Y30" s="23" t="n">
        <v>0</v>
      </c>
      <c r="Z30" s="23" t="n">
        <v>0</v>
      </c>
      <c r="AA30" s="23" t="n">
        <v>0</v>
      </c>
      <c r="AB30" s="23" t="n">
        <v>1</v>
      </c>
    </row>
    <row r="31" ht="22.5" customFormat="1" customHeight="1" s="25">
      <c r="A31" s="22" t="inlineStr">
        <is>
          <t>Bermejo</t>
        </is>
      </c>
      <c r="B31" s="23" t="n">
        <v>9</v>
      </c>
      <c r="C31" s="23" t="n">
        <v>4</v>
      </c>
      <c r="D31" s="22" t="n">
        <v>28</v>
      </c>
      <c r="E31" s="23" t="n"/>
      <c r="F31" s="23" t="n"/>
      <c r="G31" s="23">
        <f>SUM(T31:AB31)</f>
        <v/>
      </c>
      <c r="H31" s="24">
        <f>G31/9</f>
        <v/>
      </c>
      <c r="I31" s="24">
        <f>0.5+(SUM(T31:AB31)/18)</f>
        <v/>
      </c>
      <c r="J31" s="23">
        <f>COUNTIF(K31:S31,"")</f>
        <v/>
      </c>
      <c r="K31" s="26" t="n">
        <v>3</v>
      </c>
      <c r="L31" s="26" t="n">
        <v>1</v>
      </c>
      <c r="M31" s="26" t="n">
        <v>2</v>
      </c>
      <c r="N31" s="26" t="n">
        <v>4</v>
      </c>
      <c r="O31" s="26" t="n">
        <v>3</v>
      </c>
      <c r="P31" s="26" t="n">
        <v>1</v>
      </c>
      <c r="Q31" s="26" t="n">
        <v>2</v>
      </c>
      <c r="R31" s="26" t="n">
        <v>3</v>
      </c>
      <c r="S31" s="26" t="n">
        <v>2</v>
      </c>
      <c r="T31" s="23" t="n">
        <v>1</v>
      </c>
      <c r="U31" s="23" t="n">
        <v>1</v>
      </c>
      <c r="V31" s="23" t="n">
        <v>0</v>
      </c>
      <c r="W31" s="23" t="n">
        <v>1</v>
      </c>
      <c r="X31" s="23" t="n">
        <v>1</v>
      </c>
      <c r="Y31" s="23" t="n">
        <v>0</v>
      </c>
      <c r="Z31" s="23" t="n">
        <v>0</v>
      </c>
      <c r="AA31" s="23" t="n">
        <v>0</v>
      </c>
      <c r="AB31" s="23" t="n">
        <v>1</v>
      </c>
    </row>
    <row r="32" ht="22.5" customFormat="1" customHeight="1" s="25">
      <c r="A32" s="22" t="inlineStr">
        <is>
          <t>Bermejo</t>
        </is>
      </c>
      <c r="B32" s="23" t="n">
        <v>9</v>
      </c>
      <c r="C32" s="23" t="n">
        <v>4</v>
      </c>
      <c r="D32" s="22" t="n">
        <v>29</v>
      </c>
      <c r="E32" s="23" t="n"/>
      <c r="F32" s="23" t="inlineStr">
        <is>
          <t>YES</t>
        </is>
      </c>
      <c r="G32" s="23">
        <f>SUM(T32:AB32)</f>
        <v/>
      </c>
      <c r="H32" s="24">
        <f>G32/9</f>
        <v/>
      </c>
      <c r="I32" s="24">
        <f>0.5+(SUM(T32:AB32)/18)</f>
        <v/>
      </c>
      <c r="J32" s="23">
        <f>COUNTIF(K32:S32,"")</f>
        <v/>
      </c>
      <c r="K32" s="26" t="n">
        <v>4</v>
      </c>
      <c r="L32" s="26" t="n">
        <v>2</v>
      </c>
      <c r="M32" s="26" t="n">
        <v>3</v>
      </c>
      <c r="N32" s="26" t="n">
        <v>1</v>
      </c>
      <c r="O32" s="26" t="n">
        <v>4</v>
      </c>
      <c r="P32" s="26" t="n">
        <v>2</v>
      </c>
      <c r="Q32" s="26" t="n">
        <v>1</v>
      </c>
      <c r="R32" s="26" t="n">
        <v>4</v>
      </c>
      <c r="S32" s="26" t="n">
        <v>2</v>
      </c>
      <c r="T32" s="23" t="n">
        <v>0</v>
      </c>
      <c r="U32" s="23" t="n">
        <v>0</v>
      </c>
      <c r="V32" s="23" t="n">
        <v>0</v>
      </c>
      <c r="W32" s="23" t="n">
        <v>0</v>
      </c>
      <c r="X32" s="23" t="n">
        <v>0</v>
      </c>
      <c r="Y32" s="23" t="n">
        <v>0</v>
      </c>
      <c r="Z32" s="23" t="n">
        <v>1</v>
      </c>
      <c r="AA32" s="23" t="n">
        <v>0</v>
      </c>
      <c r="AB32" s="23" t="n">
        <v>1</v>
      </c>
    </row>
    <row r="33" ht="22.5" customFormat="1" customHeight="1" s="25">
      <c r="A33" s="22" t="inlineStr">
        <is>
          <t>Bermejo</t>
        </is>
      </c>
      <c r="B33" s="23" t="n">
        <v>9</v>
      </c>
      <c r="C33" s="23" t="n">
        <v>4</v>
      </c>
      <c r="D33" s="22" t="n">
        <v>30</v>
      </c>
      <c r="E33" s="23" t="n"/>
      <c r="F33" s="23" t="n"/>
      <c r="G33" s="23">
        <f>SUM(T33:AB33)</f>
        <v/>
      </c>
      <c r="H33" s="24">
        <f>G33/9</f>
        <v/>
      </c>
      <c r="I33" s="24">
        <f>0.5+(SUM(T33:AB33)/18)</f>
        <v/>
      </c>
      <c r="J33" s="23">
        <f>COUNTIF(K33:S33,"")</f>
        <v/>
      </c>
      <c r="K33" s="26" t="n">
        <v>2</v>
      </c>
      <c r="L33" s="26" t="n">
        <v>1</v>
      </c>
      <c r="M33" s="26" t="n">
        <v>4</v>
      </c>
      <c r="N33" s="26" t="n">
        <v>4</v>
      </c>
      <c r="O33" s="26" t="n">
        <v>3</v>
      </c>
      <c r="P33" s="26" t="n">
        <v>2</v>
      </c>
      <c r="Q33" s="26" t="n">
        <v>3</v>
      </c>
      <c r="R33" s="26" t="n">
        <v>1</v>
      </c>
      <c r="S33" s="26" t="n">
        <v>2</v>
      </c>
      <c r="T33" s="23" t="n">
        <v>0</v>
      </c>
      <c r="U33" s="23" t="n">
        <v>1</v>
      </c>
      <c r="V33" s="23" t="n">
        <v>1</v>
      </c>
      <c r="W33" s="23" t="n">
        <v>1</v>
      </c>
      <c r="X33" s="23" t="n">
        <v>1</v>
      </c>
      <c r="Y33" s="23" t="n">
        <v>0</v>
      </c>
      <c r="Z33" s="23" t="n">
        <v>0</v>
      </c>
      <c r="AA33" s="23" t="n">
        <v>0</v>
      </c>
      <c r="AB33" s="23" t="n">
        <v>1</v>
      </c>
    </row>
    <row r="34" ht="22.5" customFormat="1" customHeight="1" s="25">
      <c r="A34" s="22" t="inlineStr">
        <is>
          <t>Bermejo</t>
        </is>
      </c>
      <c r="B34" s="23" t="n">
        <v>9</v>
      </c>
      <c r="C34" s="23" t="n">
        <v>4</v>
      </c>
      <c r="D34" s="22" t="n">
        <v>31</v>
      </c>
      <c r="E34" s="23" t="n"/>
      <c r="F34" s="23" t="n"/>
      <c r="G34" s="23">
        <f>SUM(T34:AB34)</f>
        <v/>
      </c>
      <c r="H34" s="24">
        <f>G34/9</f>
        <v/>
      </c>
      <c r="I34" s="24">
        <f>0.5+(SUM(T34:AB34)/18)</f>
        <v/>
      </c>
      <c r="J34" s="23">
        <f>COUNTIF(K34:S34,"")</f>
        <v/>
      </c>
      <c r="K34" s="26" t="n">
        <v>4</v>
      </c>
      <c r="L34" s="26" t="n">
        <v>1</v>
      </c>
      <c r="M34" s="26" t="n">
        <v>3</v>
      </c>
      <c r="N34" s="26" t="n">
        <v>2</v>
      </c>
      <c r="O34" s="26" t="n">
        <v>3</v>
      </c>
      <c r="P34" s="26" t="n">
        <v>2</v>
      </c>
      <c r="Q34" s="26" t="n">
        <v>1</v>
      </c>
      <c r="R34" s="26" t="n">
        <v>2</v>
      </c>
      <c r="S34" s="26" t="n">
        <v>2</v>
      </c>
      <c r="T34" s="23" t="n">
        <v>0</v>
      </c>
      <c r="U34" s="23" t="n">
        <v>1</v>
      </c>
      <c r="V34" s="23" t="n">
        <v>0</v>
      </c>
      <c r="W34" s="23" t="n">
        <v>0</v>
      </c>
      <c r="X34" s="23" t="n">
        <v>1</v>
      </c>
      <c r="Y34" s="23" t="n">
        <v>0</v>
      </c>
      <c r="Z34" s="23" t="n">
        <v>1</v>
      </c>
      <c r="AA34" s="23" t="n">
        <v>1</v>
      </c>
      <c r="AB34" s="23" t="n">
        <v>1</v>
      </c>
    </row>
    <row r="35" ht="22.5" customFormat="1" customHeight="1" s="25">
      <c r="A35" s="22" t="inlineStr">
        <is>
          <t>Bermejo</t>
        </is>
      </c>
      <c r="B35" s="23" t="n">
        <v>9</v>
      </c>
      <c r="C35" s="23" t="n">
        <v>4</v>
      </c>
      <c r="D35" s="22" t="n">
        <v>32</v>
      </c>
      <c r="E35" s="23" t="n"/>
      <c r="F35" s="23" t="n"/>
      <c r="G35" s="23">
        <f>SUM(T35:AB35)</f>
        <v/>
      </c>
      <c r="H35" s="24">
        <f>G35/9</f>
        <v/>
      </c>
      <c r="I35" s="24">
        <f>0.5+(SUM(T35:AB35)/18)</f>
        <v/>
      </c>
      <c r="J35" s="23">
        <f>COUNTIF(K35:S35,"")</f>
        <v/>
      </c>
      <c r="K35" s="26" t="n">
        <v>4</v>
      </c>
      <c r="L35" s="26" t="n">
        <v>1</v>
      </c>
      <c r="M35" s="26" t="n">
        <v>3</v>
      </c>
      <c r="N35" s="26" t="n">
        <v>4</v>
      </c>
      <c r="O35" s="26" t="n">
        <v>3</v>
      </c>
      <c r="P35" s="26" t="n">
        <v>1</v>
      </c>
      <c r="Q35" s="26" t="n">
        <v>1</v>
      </c>
      <c r="R35" s="26" t="n">
        <v>2</v>
      </c>
      <c r="S35" s="26" t="n">
        <v>2</v>
      </c>
      <c r="T35" s="23" t="n">
        <v>0</v>
      </c>
      <c r="U35" s="23" t="n">
        <v>1</v>
      </c>
      <c r="V35" s="23" t="n">
        <v>0</v>
      </c>
      <c r="W35" s="23" t="n">
        <v>1</v>
      </c>
      <c r="X35" s="23" t="n">
        <v>1</v>
      </c>
      <c r="Y35" s="23" t="n">
        <v>0</v>
      </c>
      <c r="Z35" s="23" t="n">
        <v>1</v>
      </c>
      <c r="AA35" s="23" t="n">
        <v>1</v>
      </c>
      <c r="AB35" s="23" t="n">
        <v>1</v>
      </c>
    </row>
    <row r="36" ht="22.5" customFormat="1" customHeight="1" s="25">
      <c r="A36" s="22" t="inlineStr">
        <is>
          <t>Bermejo</t>
        </is>
      </c>
      <c r="B36" s="23" t="n">
        <v>9</v>
      </c>
      <c r="C36" s="23" t="n">
        <v>4</v>
      </c>
      <c r="D36" s="22" t="n">
        <v>33</v>
      </c>
      <c r="E36" s="23" t="n"/>
      <c r="F36" s="23" t="n"/>
      <c r="G36" s="23">
        <f>SUM(T36:AB36)</f>
        <v/>
      </c>
      <c r="H36" s="24">
        <f>G36/9</f>
        <v/>
      </c>
      <c r="I36" s="24">
        <f>0.5+(SUM(T36:AB36)/18)</f>
        <v/>
      </c>
      <c r="J36" s="23">
        <f>COUNTIF(K36:S36,"")</f>
        <v/>
      </c>
      <c r="K36" s="26" t="n">
        <v>3</v>
      </c>
      <c r="L36" s="26" t="n">
        <v>1</v>
      </c>
      <c r="M36" s="26" t="n">
        <v>4</v>
      </c>
      <c r="N36" s="26" t="n">
        <v>4</v>
      </c>
      <c r="O36" s="26" t="n">
        <v>3</v>
      </c>
      <c r="P36" s="26" t="n">
        <v>3</v>
      </c>
      <c r="Q36" s="26" t="n">
        <v>1</v>
      </c>
      <c r="R36" s="26" t="n">
        <v>2</v>
      </c>
      <c r="S36" s="26" t="n">
        <v>2</v>
      </c>
      <c r="T36" s="23" t="n">
        <v>1</v>
      </c>
      <c r="U36" s="23" t="n">
        <v>1</v>
      </c>
      <c r="V36" s="23" t="n">
        <v>1</v>
      </c>
      <c r="W36" s="23" t="n">
        <v>1</v>
      </c>
      <c r="X36" s="23" t="n">
        <v>1</v>
      </c>
      <c r="Y36" s="23" t="n">
        <v>1</v>
      </c>
      <c r="Z36" s="23" t="n">
        <v>1</v>
      </c>
      <c r="AA36" s="23" t="n">
        <v>1</v>
      </c>
      <c r="AB36" s="23" t="n">
        <v>1</v>
      </c>
    </row>
    <row r="37" ht="22.5" customFormat="1" customHeight="1" s="25">
      <c r="A37" s="22" t="inlineStr">
        <is>
          <t>Bermejo</t>
        </is>
      </c>
      <c r="B37" s="23" t="n">
        <v>9</v>
      </c>
      <c r="C37" s="23" t="n">
        <v>4</v>
      </c>
      <c r="D37" s="22" t="n">
        <v>34</v>
      </c>
      <c r="E37" s="23" t="n"/>
      <c r="F37" s="23" t="n"/>
      <c r="G37" s="23">
        <f>SUM(T37:AB37)</f>
        <v/>
      </c>
      <c r="H37" s="24">
        <f>G37/9</f>
        <v/>
      </c>
      <c r="I37" s="24">
        <f>0.5+(SUM(T37:AB37)/18)</f>
        <v/>
      </c>
      <c r="J37" s="23">
        <f>COUNTIF(K37:S37,"")</f>
        <v/>
      </c>
      <c r="K37" s="26" t="n">
        <v>2</v>
      </c>
      <c r="L37" s="26" t="n">
        <v>1</v>
      </c>
      <c r="M37" s="26" t="n">
        <v>3</v>
      </c>
      <c r="N37" s="26" t="n">
        <v>4</v>
      </c>
      <c r="O37" s="26" t="n">
        <v>3</v>
      </c>
      <c r="P37" s="26" t="n">
        <v>2</v>
      </c>
      <c r="Q37" s="26" t="n">
        <v>1</v>
      </c>
      <c r="R37" s="26" t="n">
        <v>3</v>
      </c>
      <c r="S37" s="26" t="n"/>
      <c r="T37" s="23" t="n">
        <v>0</v>
      </c>
      <c r="U37" s="23" t="n">
        <v>1</v>
      </c>
      <c r="V37" s="23" t="n">
        <v>0</v>
      </c>
      <c r="W37" s="23" t="n">
        <v>1</v>
      </c>
      <c r="X37" s="23" t="n">
        <v>1</v>
      </c>
      <c r="Y37" s="23" t="n">
        <v>0</v>
      </c>
      <c r="Z37" s="23" t="n">
        <v>1</v>
      </c>
      <c r="AA37" s="23" t="n">
        <v>0</v>
      </c>
      <c r="AB37" s="23" t="n">
        <v>0</v>
      </c>
    </row>
    <row r="38" ht="22.5" customFormat="1" customHeight="1" s="25">
      <c r="A38" s="22" t="inlineStr">
        <is>
          <t>Bermejo</t>
        </is>
      </c>
      <c r="B38" s="23" t="n">
        <v>9</v>
      </c>
      <c r="C38" s="23" t="n">
        <v>4</v>
      </c>
      <c r="D38" s="22" t="n">
        <v>35</v>
      </c>
      <c r="E38" s="23" t="n"/>
      <c r="F38" s="23" t="n"/>
      <c r="G38" s="23">
        <f>SUM(T38:AB38)</f>
        <v/>
      </c>
      <c r="H38" s="24">
        <f>G38/9</f>
        <v/>
      </c>
      <c r="I38" s="24">
        <f>0.5+(SUM(T38:AB38)/18)</f>
        <v/>
      </c>
      <c r="J38" s="23">
        <f>COUNTIF(K38:S38,"")</f>
        <v/>
      </c>
      <c r="K38" s="26" t="n">
        <v>3</v>
      </c>
      <c r="L38" s="26" t="n">
        <v>1</v>
      </c>
      <c r="M38" s="26" t="n">
        <v>2</v>
      </c>
      <c r="N38" s="26" t="n">
        <v>4</v>
      </c>
      <c r="O38" s="26" t="n">
        <v>3</v>
      </c>
      <c r="P38" s="26" t="n">
        <v>1</v>
      </c>
      <c r="Q38" s="26" t="n">
        <v>1</v>
      </c>
      <c r="R38" s="26" t="n">
        <v>2</v>
      </c>
      <c r="S38" s="26" t="n">
        <v>2</v>
      </c>
      <c r="T38" s="23" t="n">
        <v>1</v>
      </c>
      <c r="U38" s="23" t="n">
        <v>1</v>
      </c>
      <c r="V38" s="23" t="n">
        <v>0</v>
      </c>
      <c r="W38" s="23" t="n">
        <v>1</v>
      </c>
      <c r="X38" s="23" t="n">
        <v>1</v>
      </c>
      <c r="Y38" s="23" t="n">
        <v>0</v>
      </c>
      <c r="Z38" s="23" t="n">
        <v>1</v>
      </c>
      <c r="AA38" s="23" t="n">
        <v>1</v>
      </c>
      <c r="AB38" s="23" t="n">
        <v>1</v>
      </c>
    </row>
    <row r="39" ht="22.5" customFormat="1" customHeight="1" s="25">
      <c r="A39" s="22" t="inlineStr">
        <is>
          <t>Bermejo</t>
        </is>
      </c>
      <c r="B39" s="23" t="n">
        <v>9</v>
      </c>
      <c r="C39" s="23" t="n">
        <v>4</v>
      </c>
      <c r="D39" s="22" t="n">
        <v>36</v>
      </c>
      <c r="E39" s="23" t="n"/>
      <c r="F39" s="23" t="n"/>
      <c r="G39" s="23">
        <f>SUM(T39:AB39)</f>
        <v/>
      </c>
      <c r="H39" s="24">
        <f>G39/9</f>
        <v/>
      </c>
      <c r="I39" s="24">
        <f>0.5+(SUM(T39:AB39)/18)</f>
        <v/>
      </c>
      <c r="J39" s="23">
        <f>COUNTIF(K39:S39,"")</f>
        <v/>
      </c>
      <c r="K39" s="26" t="n">
        <v>3</v>
      </c>
      <c r="L39" s="26" t="n">
        <v>1</v>
      </c>
      <c r="M39" s="26" t="n">
        <v>1</v>
      </c>
      <c r="N39" s="26" t="n">
        <v>4</v>
      </c>
      <c r="O39" s="26" t="n">
        <v>4</v>
      </c>
      <c r="P39" s="26" t="n">
        <v>2</v>
      </c>
      <c r="Q39" s="26" t="n">
        <v>1</v>
      </c>
      <c r="R39" s="26" t="n">
        <v>3</v>
      </c>
      <c r="S39" s="26" t="n">
        <v>1</v>
      </c>
      <c r="T39" s="23" t="n">
        <v>1</v>
      </c>
      <c r="U39" s="23" t="n">
        <v>1</v>
      </c>
      <c r="V39" s="23" t="n">
        <v>0</v>
      </c>
      <c r="W39" s="23" t="n">
        <v>1</v>
      </c>
      <c r="X39" s="23" t="n">
        <v>0</v>
      </c>
      <c r="Y39" s="23" t="n">
        <v>0</v>
      </c>
      <c r="Z39" s="23" t="n">
        <v>1</v>
      </c>
      <c r="AA39" s="23" t="n">
        <v>0</v>
      </c>
      <c r="AB39" s="23" t="n">
        <v>0</v>
      </c>
    </row>
    <row r="40" ht="22.5" customFormat="1" customHeight="1" s="25">
      <c r="A40" s="22" t="inlineStr">
        <is>
          <t>Bermejo</t>
        </is>
      </c>
      <c r="B40" s="23" t="n">
        <v>9</v>
      </c>
      <c r="C40" s="23" t="n">
        <v>4</v>
      </c>
      <c r="D40" s="22" t="n">
        <v>37</v>
      </c>
      <c r="E40" s="23" t="n"/>
      <c r="F40" s="23" t="inlineStr">
        <is>
          <t>YES</t>
        </is>
      </c>
      <c r="G40" s="23">
        <f>SUM(T40:AB40)</f>
        <v/>
      </c>
      <c r="H40" s="24">
        <f>G40/9</f>
        <v/>
      </c>
      <c r="I40" s="24">
        <f>0.5+(SUM(T40:AB40)/18)</f>
        <v/>
      </c>
      <c r="J40" s="23">
        <f>COUNTIF(K40:S40,"")</f>
        <v/>
      </c>
      <c r="K40" s="26" t="n">
        <v>2</v>
      </c>
      <c r="L40" s="26" t="n">
        <v>2</v>
      </c>
      <c r="M40" s="26" t="n">
        <v>3</v>
      </c>
      <c r="N40" s="26" t="n">
        <v>1</v>
      </c>
      <c r="O40" s="26" t="n">
        <v>4</v>
      </c>
      <c r="P40" s="26" t="n">
        <v>3</v>
      </c>
      <c r="Q40" s="26" t="n">
        <v>1</v>
      </c>
      <c r="R40" s="26" t="n">
        <v>4</v>
      </c>
      <c r="S40" s="26" t="n">
        <v>2</v>
      </c>
      <c r="T40" s="23" t="n">
        <v>0</v>
      </c>
      <c r="U40" s="23" t="n">
        <v>0</v>
      </c>
      <c r="V40" s="23" t="n">
        <v>0</v>
      </c>
      <c r="W40" s="23" t="n">
        <v>0</v>
      </c>
      <c r="X40" s="23" t="n">
        <v>0</v>
      </c>
      <c r="Y40" s="23" t="n">
        <v>1</v>
      </c>
      <c r="Z40" s="23" t="n">
        <v>1</v>
      </c>
      <c r="AA40" s="23" t="n">
        <v>0</v>
      </c>
      <c r="AB40" s="23" t="n">
        <v>1</v>
      </c>
    </row>
    <row r="41" ht="22.5" customFormat="1" customHeight="1" s="25">
      <c r="A41" s="22" t="inlineStr">
        <is>
          <t>Bermejo</t>
        </is>
      </c>
      <c r="B41" s="23" t="n">
        <v>9</v>
      </c>
      <c r="C41" s="23" t="n">
        <v>4</v>
      </c>
      <c r="D41" s="22" t="n">
        <v>38</v>
      </c>
      <c r="E41" s="23" t="n"/>
      <c r="F41" s="23" t="n"/>
      <c r="G41" s="23">
        <f>SUM(T41:AB41)</f>
        <v/>
      </c>
      <c r="H41" s="24">
        <f>G41/9</f>
        <v/>
      </c>
      <c r="I41" s="24">
        <f>0.5+(SUM(T41:AB41)/18)</f>
        <v/>
      </c>
      <c r="J41" s="23">
        <f>COUNTIF(K41:S41,"")</f>
        <v/>
      </c>
      <c r="K41" s="26" t="n">
        <v>4</v>
      </c>
      <c r="L41" s="26" t="n">
        <v>1</v>
      </c>
      <c r="M41" s="26" t="n">
        <v>2</v>
      </c>
      <c r="N41" s="26" t="n">
        <v>3</v>
      </c>
      <c r="O41" s="26" t="n">
        <v>3</v>
      </c>
      <c r="P41" s="26" t="n">
        <v>1</v>
      </c>
      <c r="Q41" s="26" t="n">
        <v>1</v>
      </c>
      <c r="R41" s="26" t="n">
        <v>2</v>
      </c>
      <c r="S41" s="26" t="n">
        <v>2</v>
      </c>
      <c r="T41" s="23" t="n">
        <v>0</v>
      </c>
      <c r="U41" s="23" t="n">
        <v>1</v>
      </c>
      <c r="V41" s="23" t="n">
        <v>0</v>
      </c>
      <c r="W41" s="23" t="n">
        <v>0</v>
      </c>
      <c r="X41" s="23" t="n">
        <v>1</v>
      </c>
      <c r="Y41" s="23" t="n">
        <v>0</v>
      </c>
      <c r="Z41" s="23" t="n">
        <v>1</v>
      </c>
      <c r="AA41" s="23" t="n">
        <v>1</v>
      </c>
      <c r="AB41" s="23" t="n">
        <v>1</v>
      </c>
    </row>
    <row r="42" ht="22.5" customFormat="1" customHeight="1" s="25">
      <c r="A42" s="22" t="inlineStr">
        <is>
          <t>Bermejo</t>
        </is>
      </c>
      <c r="B42" s="23" t="n">
        <v>9</v>
      </c>
      <c r="C42" s="23" t="n">
        <v>4</v>
      </c>
      <c r="D42" s="22" t="n">
        <v>39</v>
      </c>
      <c r="E42" s="23" t="n"/>
      <c r="F42" s="23" t="n"/>
      <c r="G42" s="23">
        <f>SUM(T42:AB42)</f>
        <v/>
      </c>
      <c r="H42" s="24">
        <f>G42/9</f>
        <v/>
      </c>
      <c r="I42" s="24">
        <f>0.5+(SUM(T42:AB42)/18)</f>
        <v/>
      </c>
      <c r="J42" s="23">
        <f>COUNTIF(K42:S42,"")</f>
        <v/>
      </c>
      <c r="K42" s="26" t="n">
        <v>3</v>
      </c>
      <c r="L42" s="26" t="n">
        <v>1</v>
      </c>
      <c r="M42" s="26" t="n">
        <v>4</v>
      </c>
      <c r="N42" s="26" t="n">
        <v>4</v>
      </c>
      <c r="O42" s="26" t="n">
        <v>3</v>
      </c>
      <c r="P42" s="26" t="n">
        <v>3</v>
      </c>
      <c r="Q42" s="26" t="n">
        <v>1</v>
      </c>
      <c r="R42" s="26" t="n">
        <v>3</v>
      </c>
      <c r="S42" s="26" t="n">
        <v>3</v>
      </c>
      <c r="T42" s="23" t="n">
        <v>1</v>
      </c>
      <c r="U42" s="23" t="n">
        <v>1</v>
      </c>
      <c r="V42" s="23" t="n">
        <v>1</v>
      </c>
      <c r="W42" s="23" t="n">
        <v>1</v>
      </c>
      <c r="X42" s="23" t="n">
        <v>1</v>
      </c>
      <c r="Y42" s="23" t="n">
        <v>1</v>
      </c>
      <c r="Z42" s="23" t="n">
        <v>1</v>
      </c>
      <c r="AA42" s="23" t="n">
        <v>0</v>
      </c>
      <c r="AB42" s="23" t="n">
        <v>0</v>
      </c>
    </row>
    <row r="43" ht="22.5" customFormat="1" customHeight="1" s="25">
      <c r="A43" s="22" t="inlineStr">
        <is>
          <t>Bermejo</t>
        </is>
      </c>
      <c r="B43" s="23" t="n">
        <v>9</v>
      </c>
      <c r="C43" s="23" t="n">
        <v>4</v>
      </c>
      <c r="D43" s="22" t="n">
        <v>40</v>
      </c>
      <c r="E43" s="23" t="n"/>
      <c r="F43" s="23" t="inlineStr">
        <is>
          <t>YES</t>
        </is>
      </c>
      <c r="G43" s="23">
        <f>SUM(T43:AB43)</f>
        <v/>
      </c>
      <c r="H43" s="24">
        <f>G43/9</f>
        <v/>
      </c>
      <c r="I43" s="24">
        <f>0.5+(SUM(T43:AB43)/18)</f>
        <v/>
      </c>
      <c r="J43" s="23">
        <f>COUNTIF(K43:S43,"")</f>
        <v/>
      </c>
      <c r="K43" s="26" t="n">
        <v>1</v>
      </c>
      <c r="L43" s="26" t="n">
        <v>1</v>
      </c>
      <c r="M43" s="26" t="n">
        <v>2</v>
      </c>
      <c r="N43" s="26" t="n">
        <v>3</v>
      </c>
      <c r="O43" s="26" t="n">
        <v>1</v>
      </c>
      <c r="P43" s="26" t="n">
        <v>2</v>
      </c>
      <c r="Q43" s="26" t="n">
        <v>4</v>
      </c>
      <c r="R43" s="26" t="n">
        <v>3</v>
      </c>
      <c r="S43" s="26" t="n">
        <v>2</v>
      </c>
      <c r="T43" s="23" t="n">
        <v>0</v>
      </c>
      <c r="U43" s="23" t="n">
        <v>1</v>
      </c>
      <c r="V43" s="23" t="n">
        <v>0</v>
      </c>
      <c r="W43" s="23" t="n">
        <v>0</v>
      </c>
      <c r="X43" s="23" t="n">
        <v>0</v>
      </c>
      <c r="Y43" s="23" t="n">
        <v>0</v>
      </c>
      <c r="Z43" s="23" t="n">
        <v>0</v>
      </c>
      <c r="AA43" s="23" t="n">
        <v>0</v>
      </c>
      <c r="AB43" s="23" t="n">
        <v>1</v>
      </c>
    </row>
    <row r="44" ht="22.5" customFormat="1" customHeight="1" s="25">
      <c r="A44" s="22" t="inlineStr">
        <is>
          <t>Bermejo</t>
        </is>
      </c>
      <c r="B44" s="23" t="n">
        <v>9</v>
      </c>
      <c r="C44" s="23" t="n">
        <v>4</v>
      </c>
      <c r="D44" s="22" t="n">
        <v>41</v>
      </c>
      <c r="E44" s="23" t="n"/>
      <c r="F44" s="23" t="n"/>
      <c r="G44" s="23">
        <f>SUM(T44:AB44)</f>
        <v/>
      </c>
      <c r="H44" s="24">
        <f>G44/9</f>
        <v/>
      </c>
      <c r="I44" s="24">
        <f>0.5+(SUM(T44:AB44)/18)</f>
        <v/>
      </c>
      <c r="J44" s="23">
        <f>COUNTIF(K44:S44,"")</f>
        <v/>
      </c>
      <c r="K44" s="26" t="n">
        <v>3</v>
      </c>
      <c r="L44" s="26" t="n">
        <v>1</v>
      </c>
      <c r="M44" s="26" t="n">
        <v>2</v>
      </c>
      <c r="N44" s="26" t="n">
        <v>4</v>
      </c>
      <c r="O44" s="26" t="n">
        <v>3</v>
      </c>
      <c r="P44" s="26" t="n">
        <v>1</v>
      </c>
      <c r="Q44" s="26" t="n">
        <v>1</v>
      </c>
      <c r="R44" s="26" t="n">
        <v>2</v>
      </c>
      <c r="S44" s="26" t="n">
        <v>3</v>
      </c>
      <c r="T44" s="23" t="n">
        <v>1</v>
      </c>
      <c r="U44" s="23" t="n">
        <v>1</v>
      </c>
      <c r="V44" s="23" t="n">
        <v>0</v>
      </c>
      <c r="W44" s="23" t="n">
        <v>1</v>
      </c>
      <c r="X44" s="23" t="n">
        <v>1</v>
      </c>
      <c r="Y44" s="23" t="n">
        <v>0</v>
      </c>
      <c r="Z44" s="23" t="n">
        <v>1</v>
      </c>
      <c r="AA44" s="23" t="n">
        <v>1</v>
      </c>
      <c r="AB44" s="23" t="n">
        <v>0</v>
      </c>
    </row>
    <row r="45" ht="22.5" customFormat="1" customHeight="1" s="25">
      <c r="A45" s="22" t="inlineStr">
        <is>
          <t>Bermejo</t>
        </is>
      </c>
      <c r="B45" s="23" t="n">
        <v>9</v>
      </c>
      <c r="C45" s="23" t="n">
        <v>4</v>
      </c>
      <c r="D45" s="22" t="n">
        <v>42</v>
      </c>
      <c r="E45" s="23" t="n"/>
      <c r="F45" s="23" t="inlineStr">
        <is>
          <t>YES</t>
        </is>
      </c>
      <c r="G45" s="23">
        <f>SUM(T45:AB45)</f>
        <v/>
      </c>
      <c r="H45" s="24">
        <f>G45/9</f>
        <v/>
      </c>
      <c r="I45" s="24">
        <f>0.5+(SUM(T45:AB45)/18)</f>
        <v/>
      </c>
      <c r="J45" s="23">
        <f>COUNTIF(K45:S45,"")</f>
        <v/>
      </c>
      <c r="K45" s="26" t="n">
        <v>3</v>
      </c>
      <c r="L45" s="26" t="n">
        <v>1</v>
      </c>
      <c r="M45" s="26" t="n">
        <v>3</v>
      </c>
      <c r="N45" s="26" t="n">
        <v>1</v>
      </c>
      <c r="O45" s="26" t="n">
        <v>4</v>
      </c>
      <c r="P45" s="26" t="n">
        <v>3</v>
      </c>
      <c r="Q45" s="26" t="n">
        <v>2</v>
      </c>
      <c r="R45" s="26" t="n">
        <v>1</v>
      </c>
      <c r="S45" s="26" t="n">
        <v>4</v>
      </c>
      <c r="T45" s="23" t="n">
        <v>1</v>
      </c>
      <c r="U45" s="23" t="n">
        <v>1</v>
      </c>
      <c r="V45" s="23" t="n">
        <v>0</v>
      </c>
      <c r="W45" s="23" t="n">
        <v>0</v>
      </c>
      <c r="X45" s="23" t="n">
        <v>0</v>
      </c>
      <c r="Y45" s="23" t="n">
        <v>1</v>
      </c>
      <c r="Z45" s="23" t="n">
        <v>0</v>
      </c>
      <c r="AA45" s="23" t="n">
        <v>0</v>
      </c>
      <c r="AB45" s="23" t="n">
        <v>0</v>
      </c>
    </row>
    <row r="46" ht="22.5" customFormat="1" customHeight="1" s="25">
      <c r="A46" s="22" t="inlineStr">
        <is>
          <t>Bermejo</t>
        </is>
      </c>
      <c r="B46" s="23" t="n">
        <v>9</v>
      </c>
      <c r="C46" s="23" t="n">
        <v>4</v>
      </c>
      <c r="D46" s="22" t="n">
        <v>43</v>
      </c>
      <c r="E46" s="23" t="n"/>
      <c r="F46" s="23" t="n"/>
      <c r="G46" s="23">
        <f>SUM(T46:AB46)</f>
        <v/>
      </c>
      <c r="H46" s="24">
        <f>G46/9</f>
        <v/>
      </c>
      <c r="I46" s="24">
        <f>0.5+(SUM(T46:AB46)/18)</f>
        <v/>
      </c>
      <c r="J46" s="23">
        <f>COUNTIF(K46:S46,"")</f>
        <v/>
      </c>
      <c r="K46" s="26" t="n">
        <v>4</v>
      </c>
      <c r="L46" s="26" t="n">
        <v>1</v>
      </c>
      <c r="M46" s="26" t="n">
        <v>3</v>
      </c>
      <c r="N46" s="26" t="n">
        <v>4</v>
      </c>
      <c r="O46" s="26" t="n">
        <v>3</v>
      </c>
      <c r="P46" s="26" t="n">
        <v>1</v>
      </c>
      <c r="Q46" s="26" t="n">
        <v>1</v>
      </c>
      <c r="R46" s="26" t="n">
        <v>2</v>
      </c>
      <c r="S46" s="26" t="n">
        <v>2</v>
      </c>
      <c r="T46" s="23" t="n">
        <v>0</v>
      </c>
      <c r="U46" s="23" t="n">
        <v>1</v>
      </c>
      <c r="V46" s="23" t="n">
        <v>0</v>
      </c>
      <c r="W46" s="23" t="n">
        <v>1</v>
      </c>
      <c r="X46" s="23" t="n">
        <v>1</v>
      </c>
      <c r="Y46" s="23" t="n">
        <v>0</v>
      </c>
      <c r="Z46" s="23" t="n">
        <v>1</v>
      </c>
      <c r="AA46" s="23" t="n">
        <v>1</v>
      </c>
      <c r="AB46" s="23" t="n">
        <v>1</v>
      </c>
    </row>
    <row r="47" ht="22.5" customFormat="1" customHeight="1" s="25">
      <c r="A47" s="22" t="inlineStr">
        <is>
          <t>Bermejo</t>
        </is>
      </c>
      <c r="B47" s="23" t="n">
        <v>9</v>
      </c>
      <c r="C47" s="23" t="n">
        <v>6</v>
      </c>
      <c r="D47" s="22" t="n">
        <v>44</v>
      </c>
      <c r="E47" s="23" t="n"/>
      <c r="F47" s="23" t="n"/>
      <c r="G47" s="23">
        <f>SUM(T47:AB47)</f>
        <v/>
      </c>
      <c r="H47" s="24">
        <f>G47/9</f>
        <v/>
      </c>
      <c r="I47" s="24">
        <f>0.5+(SUM(T47:AB47)/18)</f>
        <v/>
      </c>
      <c r="J47" s="23">
        <f>COUNTIF(K47:S47,"")</f>
        <v/>
      </c>
      <c r="K47" s="26" t="n">
        <v>3</v>
      </c>
      <c r="L47" s="26" t="n">
        <v>1</v>
      </c>
      <c r="M47" s="26" t="n">
        <v>4</v>
      </c>
      <c r="N47" s="26" t="n">
        <v>3</v>
      </c>
      <c r="O47" s="26" t="n">
        <v>4</v>
      </c>
      <c r="P47" s="26" t="n">
        <v>2</v>
      </c>
      <c r="Q47" s="26" t="n">
        <v>1</v>
      </c>
      <c r="R47" s="26" t="n">
        <v>2</v>
      </c>
      <c r="S47" s="26" t="n">
        <v>1</v>
      </c>
      <c r="T47" s="23" t="n">
        <v>1</v>
      </c>
      <c r="U47" s="23" t="n">
        <v>1</v>
      </c>
      <c r="V47" s="23" t="n">
        <v>1</v>
      </c>
      <c r="W47" s="23" t="n">
        <v>0</v>
      </c>
      <c r="X47" s="23" t="n">
        <v>0</v>
      </c>
      <c r="Y47" s="23" t="n">
        <v>0</v>
      </c>
      <c r="Z47" s="23" t="n">
        <v>1</v>
      </c>
      <c r="AA47" s="23" t="n">
        <v>1</v>
      </c>
      <c r="AB47" s="23" t="n">
        <v>0</v>
      </c>
    </row>
    <row r="48" ht="22.5" customFormat="1" customHeight="1" s="25">
      <c r="A48" s="22" t="inlineStr">
        <is>
          <t>Bermejo</t>
        </is>
      </c>
      <c r="B48" s="23" t="n">
        <v>9</v>
      </c>
      <c r="C48" s="23" t="n">
        <v>6</v>
      </c>
      <c r="D48" s="22" t="n">
        <v>45</v>
      </c>
      <c r="E48" s="23" t="n"/>
      <c r="F48" s="23" t="n"/>
      <c r="G48" s="23">
        <f>SUM(T48:AB48)</f>
        <v/>
      </c>
      <c r="H48" s="24">
        <f>G48/9</f>
        <v/>
      </c>
      <c r="I48" s="24">
        <f>0.5+(SUM(T48:AB48)/18)</f>
        <v/>
      </c>
      <c r="J48" s="23">
        <f>COUNTIF(K48:S48,"")</f>
        <v/>
      </c>
      <c r="K48" s="26" t="n">
        <v>3</v>
      </c>
      <c r="L48" s="26" t="n">
        <v>1</v>
      </c>
      <c r="M48" s="26" t="n">
        <v>4</v>
      </c>
      <c r="N48" s="26" t="n">
        <v>4</v>
      </c>
      <c r="O48" s="26" t="n">
        <v>3</v>
      </c>
      <c r="P48" s="26" t="n">
        <v>3</v>
      </c>
      <c r="Q48" s="26" t="n">
        <v>1</v>
      </c>
      <c r="R48" s="26" t="n">
        <v>4</v>
      </c>
      <c r="S48" s="26" t="n">
        <v>2</v>
      </c>
      <c r="T48" s="23" t="n">
        <v>1</v>
      </c>
      <c r="U48" s="23" t="n">
        <v>1</v>
      </c>
      <c r="V48" s="23" t="n">
        <v>1</v>
      </c>
      <c r="W48" s="23" t="n">
        <v>1</v>
      </c>
      <c r="X48" s="23" t="n">
        <v>1</v>
      </c>
      <c r="Y48" s="23" t="n">
        <v>1</v>
      </c>
      <c r="Z48" s="23" t="n">
        <v>1</v>
      </c>
      <c r="AA48" s="23" t="n">
        <v>0</v>
      </c>
      <c r="AB48" s="23" t="n">
        <v>1</v>
      </c>
    </row>
    <row r="49" ht="22.5" customFormat="1" customHeight="1" s="25">
      <c r="A49" s="22" t="inlineStr">
        <is>
          <t>Bermejo</t>
        </is>
      </c>
      <c r="B49" s="23" t="n">
        <v>9</v>
      </c>
      <c r="C49" s="23" t="n">
        <v>6</v>
      </c>
      <c r="D49" s="22" t="n">
        <v>46</v>
      </c>
      <c r="E49" s="23" t="n"/>
      <c r="F49" s="23" t="inlineStr">
        <is>
          <t>YES</t>
        </is>
      </c>
      <c r="G49" s="23">
        <f>SUM(T49:AB49)</f>
        <v/>
      </c>
      <c r="H49" s="24">
        <f>G49/9</f>
        <v/>
      </c>
      <c r="I49" s="24">
        <f>0.5+(SUM(T49:AB49)/18)</f>
        <v/>
      </c>
      <c r="J49" s="23">
        <f>COUNTIF(K49:S49,"")</f>
        <v/>
      </c>
      <c r="K49" s="26" t="n">
        <v>2</v>
      </c>
      <c r="L49" s="26" t="n">
        <v>2</v>
      </c>
      <c r="M49" s="26" t="n">
        <v>1</v>
      </c>
      <c r="N49" s="26" t="n">
        <v>4</v>
      </c>
      <c r="O49" s="26" t="n">
        <v>3</v>
      </c>
      <c r="P49" s="26" t="n">
        <v>3</v>
      </c>
      <c r="Q49" s="26" t="n">
        <v>1</v>
      </c>
      <c r="R49" s="26" t="n">
        <v>4</v>
      </c>
      <c r="S49" s="26" t="n">
        <v>1</v>
      </c>
      <c r="T49" s="23" t="n">
        <v>0</v>
      </c>
      <c r="U49" s="23" t="n">
        <v>0</v>
      </c>
      <c r="V49" s="23" t="n">
        <v>0</v>
      </c>
      <c r="W49" s="23" t="n">
        <v>1</v>
      </c>
      <c r="X49" s="23" t="n">
        <v>1</v>
      </c>
      <c r="Y49" s="23" t="n">
        <v>1</v>
      </c>
      <c r="Z49" s="23" t="n">
        <v>1</v>
      </c>
      <c r="AA49" s="23" t="n">
        <v>0</v>
      </c>
      <c r="AB49" s="23" t="n">
        <v>0</v>
      </c>
    </row>
    <row r="50" ht="22.5" customFormat="1" customHeight="1" s="25">
      <c r="A50" s="22" t="inlineStr">
        <is>
          <t>Bermejo</t>
        </is>
      </c>
      <c r="B50" s="23" t="n">
        <v>9</v>
      </c>
      <c r="C50" s="23" t="n">
        <v>6</v>
      </c>
      <c r="D50" s="22" t="n">
        <v>47</v>
      </c>
      <c r="E50" s="23" t="n"/>
      <c r="F50" s="23" t="n"/>
      <c r="G50" s="23">
        <f>SUM(T50:AB50)</f>
        <v/>
      </c>
      <c r="H50" s="24">
        <f>G50/9</f>
        <v/>
      </c>
      <c r="I50" s="24">
        <f>0.5+(SUM(T50:AB50)/18)</f>
        <v/>
      </c>
      <c r="J50" s="23">
        <f>COUNTIF(K50:S50,"")</f>
        <v/>
      </c>
      <c r="K50" s="26" t="n">
        <v>3</v>
      </c>
      <c r="L50" s="26" t="n">
        <v>3</v>
      </c>
      <c r="M50" s="26" t="n">
        <v>1</v>
      </c>
      <c r="N50" s="26" t="n">
        <v>3</v>
      </c>
      <c r="O50" s="26" t="n">
        <v>2</v>
      </c>
      <c r="P50" s="26" t="n">
        <v>1</v>
      </c>
      <c r="Q50" s="26" t="n">
        <v>1</v>
      </c>
      <c r="R50" s="26" t="n">
        <v>3</v>
      </c>
      <c r="S50" s="26" t="n">
        <v>2</v>
      </c>
      <c r="T50" s="23" t="n">
        <v>1</v>
      </c>
      <c r="U50" s="23" t="n">
        <v>0</v>
      </c>
      <c r="V50" s="23" t="n">
        <v>0</v>
      </c>
      <c r="W50" s="23" t="n">
        <v>0</v>
      </c>
      <c r="X50" s="23" t="n">
        <v>0</v>
      </c>
      <c r="Y50" s="23" t="n">
        <v>0</v>
      </c>
      <c r="Z50" s="23" t="n">
        <v>1</v>
      </c>
      <c r="AA50" s="23" t="n">
        <v>0</v>
      </c>
      <c r="AB50" s="23" t="n">
        <v>1</v>
      </c>
    </row>
    <row r="51" ht="22.5" customFormat="1" customHeight="1" s="25">
      <c r="A51" s="22" t="inlineStr">
        <is>
          <t>Bermejo</t>
        </is>
      </c>
      <c r="B51" s="23" t="n">
        <v>9</v>
      </c>
      <c r="C51" s="23" t="n">
        <v>6</v>
      </c>
      <c r="D51" s="22" t="n">
        <v>48</v>
      </c>
      <c r="E51" s="23" t="inlineStr">
        <is>
          <t>YES</t>
        </is>
      </c>
      <c r="F51" s="23" t="n"/>
      <c r="G51" s="23">
        <f>SUM(T51:AB51)</f>
        <v/>
      </c>
      <c r="H51" s="24">
        <f>G51/9</f>
        <v/>
      </c>
      <c r="I51" s="24">
        <f>0.5+(SUM(T51:AB51)/18)</f>
        <v/>
      </c>
      <c r="J51" s="23">
        <f>COUNTIF(K51:S51,"")</f>
        <v/>
      </c>
      <c r="K51" s="26" t="n">
        <v>1</v>
      </c>
      <c r="L51" s="26" t="n">
        <v>3</v>
      </c>
      <c r="M51" s="26" t="n">
        <v>3</v>
      </c>
      <c r="N51" s="26" t="n">
        <v>3</v>
      </c>
      <c r="O51" s="26" t="n">
        <v>1</v>
      </c>
      <c r="P51" s="26" t="n">
        <v>1</v>
      </c>
      <c r="Q51" s="26" t="n">
        <v>1</v>
      </c>
      <c r="R51" s="26" t="n">
        <v>1</v>
      </c>
      <c r="S51" s="26" t="n">
        <v>2</v>
      </c>
      <c r="T51" s="23" t="n">
        <v>0</v>
      </c>
      <c r="U51" s="23" t="n">
        <v>0</v>
      </c>
      <c r="V51" s="23" t="n">
        <v>0</v>
      </c>
      <c r="W51" s="23" t="n">
        <v>0</v>
      </c>
      <c r="X51" s="23" t="n">
        <v>0</v>
      </c>
      <c r="Y51" s="23" t="n">
        <v>0</v>
      </c>
      <c r="Z51" s="23" t="n">
        <v>1</v>
      </c>
      <c r="AA51" s="23" t="n">
        <v>0</v>
      </c>
      <c r="AB51" s="23" t="n">
        <v>1</v>
      </c>
    </row>
    <row r="52" ht="22.5" customFormat="1" customHeight="1" s="25">
      <c r="A52" s="22" t="inlineStr">
        <is>
          <t>Bermejo</t>
        </is>
      </c>
      <c r="B52" s="23" t="n">
        <v>9</v>
      </c>
      <c r="C52" s="23" t="n">
        <v>6</v>
      </c>
      <c r="D52" s="22" t="n">
        <v>49</v>
      </c>
      <c r="E52" s="23" t="n"/>
      <c r="F52" s="23" t="inlineStr">
        <is>
          <t>YES</t>
        </is>
      </c>
      <c r="G52" s="23">
        <f>SUM(T52:AB52)</f>
        <v/>
      </c>
      <c r="H52" s="24">
        <f>G52/9</f>
        <v/>
      </c>
      <c r="I52" s="24">
        <f>0.5+(SUM(T52:AB52)/18)</f>
        <v/>
      </c>
      <c r="J52" s="23">
        <f>COUNTIF(K52:S52,"")</f>
        <v/>
      </c>
      <c r="K52" s="26" t="n">
        <v>3</v>
      </c>
      <c r="L52" s="26" t="n">
        <v>1</v>
      </c>
      <c r="M52" s="26" t="n">
        <v>1</v>
      </c>
      <c r="N52" s="26" t="n">
        <v>2</v>
      </c>
      <c r="O52" s="26" t="n">
        <v>4</v>
      </c>
      <c r="P52" s="26" t="n">
        <v>2</v>
      </c>
      <c r="Q52" s="26" t="n">
        <v>1</v>
      </c>
      <c r="R52" s="26" t="n">
        <v>2</v>
      </c>
      <c r="S52" s="26" t="n">
        <v>1</v>
      </c>
      <c r="T52" s="23" t="n">
        <v>1</v>
      </c>
      <c r="U52" s="23" t="n">
        <v>1</v>
      </c>
      <c r="V52" s="23" t="n">
        <v>0</v>
      </c>
      <c r="W52" s="23" t="n">
        <v>0</v>
      </c>
      <c r="X52" s="23" t="n">
        <v>0</v>
      </c>
      <c r="Y52" s="23" t="n">
        <v>0</v>
      </c>
      <c r="Z52" s="23" t="n">
        <v>1</v>
      </c>
      <c r="AA52" s="23" t="n">
        <v>1</v>
      </c>
      <c r="AB52" s="23" t="n">
        <v>0</v>
      </c>
    </row>
    <row r="53" ht="22.5" customFormat="1" customHeight="1" s="25">
      <c r="A53" s="22" t="inlineStr">
        <is>
          <t>Bermejo</t>
        </is>
      </c>
      <c r="B53" s="23" t="n">
        <v>9</v>
      </c>
      <c r="C53" s="23" t="n">
        <v>6</v>
      </c>
      <c r="D53" s="22" t="n">
        <v>50</v>
      </c>
      <c r="E53" s="23" t="n"/>
      <c r="F53" s="23" t="n"/>
      <c r="G53" s="23">
        <f>SUM(T53:AB53)</f>
        <v/>
      </c>
      <c r="H53" s="24">
        <f>G53/9</f>
        <v/>
      </c>
      <c r="I53" s="24">
        <f>0.5+(SUM(T53:AB53)/18)</f>
        <v/>
      </c>
      <c r="J53" s="23">
        <f>COUNTIF(K53:S53,"")</f>
        <v/>
      </c>
      <c r="K53" s="26" t="n">
        <v>1</v>
      </c>
      <c r="L53" s="26" t="n">
        <v>1</v>
      </c>
      <c r="M53" s="26" t="n">
        <v>3</v>
      </c>
      <c r="N53" s="26" t="n">
        <v>2</v>
      </c>
      <c r="O53" s="26" t="n">
        <v>3</v>
      </c>
      <c r="P53" s="26" t="n">
        <v>3</v>
      </c>
      <c r="Q53" s="26" t="n">
        <v>1</v>
      </c>
      <c r="R53" s="26" t="n">
        <v>4</v>
      </c>
      <c r="S53" s="26" t="n">
        <v>2</v>
      </c>
      <c r="T53" s="23" t="n">
        <v>0</v>
      </c>
      <c r="U53" s="23" t="n">
        <v>1</v>
      </c>
      <c r="V53" s="23" t="n">
        <v>0</v>
      </c>
      <c r="W53" s="23" t="n">
        <v>0</v>
      </c>
      <c r="X53" s="23" t="n">
        <v>1</v>
      </c>
      <c r="Y53" s="23" t="n">
        <v>1</v>
      </c>
      <c r="Z53" s="23" t="n">
        <v>1</v>
      </c>
      <c r="AA53" s="23" t="n">
        <v>0</v>
      </c>
      <c r="AB53" s="23" t="n">
        <v>1</v>
      </c>
    </row>
    <row r="54" ht="22.5" customFormat="1" customHeight="1" s="25">
      <c r="A54" s="22" t="inlineStr">
        <is>
          <t>Bermejo</t>
        </is>
      </c>
      <c r="B54" s="23" t="n">
        <v>9</v>
      </c>
      <c r="C54" s="23" t="n">
        <v>6</v>
      </c>
      <c r="D54" s="22" t="n">
        <v>51</v>
      </c>
      <c r="E54" s="23" t="n"/>
      <c r="F54" s="23" t="n"/>
      <c r="G54" s="23">
        <f>SUM(T54:AB54)</f>
        <v/>
      </c>
      <c r="H54" s="24">
        <f>G54/9</f>
        <v/>
      </c>
      <c r="I54" s="24">
        <f>0.5+(SUM(T54:AB54)/18)</f>
        <v/>
      </c>
      <c r="J54" s="23">
        <f>COUNTIF(K54:S54,"")</f>
        <v/>
      </c>
      <c r="K54" s="26" t="n">
        <v>3</v>
      </c>
      <c r="L54" s="26" t="n">
        <v>1</v>
      </c>
      <c r="M54" s="26" t="n">
        <v>4</v>
      </c>
      <c r="N54" s="26" t="n">
        <v>4</v>
      </c>
      <c r="O54" s="26" t="n">
        <v>3</v>
      </c>
      <c r="P54" s="26" t="n">
        <v>3</v>
      </c>
      <c r="Q54" s="26" t="n">
        <v>1</v>
      </c>
      <c r="R54" s="26" t="n">
        <v>2</v>
      </c>
      <c r="S54" s="26" t="n">
        <v>2</v>
      </c>
      <c r="T54" s="23" t="n">
        <v>1</v>
      </c>
      <c r="U54" s="23" t="n">
        <v>1</v>
      </c>
      <c r="V54" s="23" t="n">
        <v>1</v>
      </c>
      <c r="W54" s="23" t="n">
        <v>1</v>
      </c>
      <c r="X54" s="23" t="n">
        <v>1</v>
      </c>
      <c r="Y54" s="23" t="n">
        <v>1</v>
      </c>
      <c r="Z54" s="23" t="n">
        <v>1</v>
      </c>
      <c r="AA54" s="23" t="n">
        <v>1</v>
      </c>
      <c r="AB54" s="23" t="n">
        <v>1</v>
      </c>
    </row>
    <row r="55" ht="22.5" customFormat="1" customHeight="1" s="25">
      <c r="A55" s="22" t="inlineStr">
        <is>
          <t>Bermejo</t>
        </is>
      </c>
      <c r="B55" s="23" t="n">
        <v>9</v>
      </c>
      <c r="C55" s="23" t="n">
        <v>6</v>
      </c>
      <c r="D55" s="22" t="n">
        <v>52</v>
      </c>
      <c r="E55" s="23" t="n"/>
      <c r="F55" s="23" t="n"/>
      <c r="G55" s="23">
        <f>SUM(T55:AB55)</f>
        <v/>
      </c>
      <c r="H55" s="24">
        <f>G55/9</f>
        <v/>
      </c>
      <c r="I55" s="24">
        <f>0.5+(SUM(T55:AB55)/18)</f>
        <v/>
      </c>
      <c r="J55" s="23">
        <f>COUNTIF(K55:S55,"")</f>
        <v/>
      </c>
      <c r="K55" s="26" t="n">
        <v>3</v>
      </c>
      <c r="L55" s="26" t="n">
        <v>1</v>
      </c>
      <c r="M55" s="26" t="n">
        <v>4</v>
      </c>
      <c r="N55" s="26" t="n">
        <v>4</v>
      </c>
      <c r="O55" s="26" t="n">
        <v>1</v>
      </c>
      <c r="P55" s="26" t="n">
        <v>3</v>
      </c>
      <c r="Q55" s="26" t="n">
        <v>1</v>
      </c>
      <c r="R55" s="26" t="n">
        <v>2</v>
      </c>
      <c r="S55" s="26" t="n">
        <v>2</v>
      </c>
      <c r="T55" s="23" t="n">
        <v>1</v>
      </c>
      <c r="U55" s="23" t="n">
        <v>1</v>
      </c>
      <c r="V55" s="23" t="n">
        <v>1</v>
      </c>
      <c r="W55" s="23" t="n">
        <v>1</v>
      </c>
      <c r="X55" s="23" t="n">
        <v>0</v>
      </c>
      <c r="Y55" s="23" t="n">
        <v>1</v>
      </c>
      <c r="Z55" s="23" t="n">
        <v>1</v>
      </c>
      <c r="AA55" s="23" t="n">
        <v>1</v>
      </c>
      <c r="AB55" s="23" t="n">
        <v>1</v>
      </c>
    </row>
    <row r="56" ht="22.5" customFormat="1" customHeight="1" s="25">
      <c r="A56" s="22" t="inlineStr">
        <is>
          <t>Bermejo</t>
        </is>
      </c>
      <c r="B56" s="23" t="n">
        <v>9</v>
      </c>
      <c r="C56" s="23" t="n">
        <v>6</v>
      </c>
      <c r="D56" s="22" t="n">
        <v>53</v>
      </c>
      <c r="E56" s="23" t="inlineStr">
        <is>
          <t>YES</t>
        </is>
      </c>
      <c r="F56" s="23" t="n"/>
      <c r="G56" s="23">
        <f>SUM(T56:AB56)</f>
        <v/>
      </c>
      <c r="H56" s="24">
        <f>G56/9</f>
        <v/>
      </c>
      <c r="I56" s="24">
        <f>0.5+(SUM(T56:AB56)/18)</f>
        <v/>
      </c>
      <c r="J56" s="23">
        <f>COUNTIF(K56:S56,"")</f>
        <v/>
      </c>
      <c r="K56" s="26" t="n">
        <v>2</v>
      </c>
      <c r="L56" s="26" t="n">
        <v>2</v>
      </c>
      <c r="M56" s="26" t="n">
        <v>2</v>
      </c>
      <c r="N56" s="26" t="n">
        <v>4</v>
      </c>
      <c r="O56" s="26" t="n">
        <v>2</v>
      </c>
      <c r="P56" s="26" t="n">
        <v>3</v>
      </c>
      <c r="Q56" s="26" t="n">
        <v>2</v>
      </c>
      <c r="R56" s="26" t="n">
        <v>2</v>
      </c>
      <c r="S56" s="26" t="n">
        <v>2</v>
      </c>
      <c r="T56" s="23" t="n">
        <v>0</v>
      </c>
      <c r="U56" s="23" t="n">
        <v>0</v>
      </c>
      <c r="V56" s="23" t="n">
        <v>0</v>
      </c>
      <c r="W56" s="23" t="n">
        <v>1</v>
      </c>
      <c r="X56" s="23" t="n">
        <v>0</v>
      </c>
      <c r="Y56" s="23" t="n">
        <v>1</v>
      </c>
      <c r="Z56" s="23" t="n">
        <v>0</v>
      </c>
      <c r="AA56" s="23" t="n">
        <v>1</v>
      </c>
      <c r="AB56" s="23" t="n">
        <v>1</v>
      </c>
    </row>
    <row r="57" ht="22.5" customFormat="1" customHeight="1" s="25">
      <c r="A57" s="22" t="inlineStr">
        <is>
          <t>Bermejo</t>
        </is>
      </c>
      <c r="B57" s="23" t="n">
        <v>9</v>
      </c>
      <c r="C57" s="23" t="n">
        <v>6</v>
      </c>
      <c r="D57" s="22" t="n">
        <v>54</v>
      </c>
      <c r="E57" s="23" t="n"/>
      <c r="F57" s="23" t="n"/>
      <c r="G57" s="23">
        <f>SUM(T57:AB57)</f>
        <v/>
      </c>
      <c r="H57" s="24">
        <f>G57/9</f>
        <v/>
      </c>
      <c r="I57" s="24">
        <f>0.5+(SUM(T57:AB57)/18)</f>
        <v/>
      </c>
      <c r="J57" s="23">
        <f>COUNTIF(K57:S57,"")</f>
        <v/>
      </c>
      <c r="K57" s="26" t="n">
        <v>1</v>
      </c>
      <c r="L57" s="26" t="n">
        <v>1</v>
      </c>
      <c r="M57" s="26" t="n">
        <v>2</v>
      </c>
      <c r="N57" s="26" t="n">
        <v>4</v>
      </c>
      <c r="O57" s="26" t="n">
        <v>3</v>
      </c>
      <c r="P57" s="26" t="n">
        <v>3</v>
      </c>
      <c r="Q57" s="26" t="n">
        <v>1</v>
      </c>
      <c r="R57" s="26" t="n">
        <v>2</v>
      </c>
      <c r="S57" s="26" t="n">
        <v>2</v>
      </c>
      <c r="T57" s="23" t="n">
        <v>0</v>
      </c>
      <c r="U57" s="23" t="n">
        <v>1</v>
      </c>
      <c r="V57" s="23" t="n">
        <v>0</v>
      </c>
      <c r="W57" s="23" t="n">
        <v>1</v>
      </c>
      <c r="X57" s="23" t="n">
        <v>1</v>
      </c>
      <c r="Y57" s="23" t="n">
        <v>1</v>
      </c>
      <c r="Z57" s="23" t="n">
        <v>1</v>
      </c>
      <c r="AA57" s="23" t="n">
        <v>1</v>
      </c>
      <c r="AB57" s="23" t="n">
        <v>1</v>
      </c>
    </row>
    <row r="58" ht="22.5" customFormat="1" customHeight="1" s="25">
      <c r="A58" s="22" t="inlineStr">
        <is>
          <t>Bermejo</t>
        </is>
      </c>
      <c r="B58" s="23" t="n">
        <v>9</v>
      </c>
      <c r="C58" s="23" t="n">
        <v>6</v>
      </c>
      <c r="D58" s="22" t="n">
        <v>55</v>
      </c>
      <c r="E58" s="23" t="n"/>
      <c r="F58" s="23" t="n"/>
      <c r="G58" s="23">
        <f>SUM(T58:AB58)</f>
        <v/>
      </c>
      <c r="H58" s="24">
        <f>G58/9</f>
        <v/>
      </c>
      <c r="I58" s="24">
        <f>0.5+(SUM(T58:AB58)/18)</f>
        <v/>
      </c>
      <c r="J58" s="23">
        <f>COUNTIF(K58:S58,"")</f>
        <v/>
      </c>
      <c r="K58" s="26" t="n">
        <v>4</v>
      </c>
      <c r="L58" s="26" t="n">
        <v>1</v>
      </c>
      <c r="M58" s="26" t="n">
        <v>2</v>
      </c>
      <c r="N58" s="26" t="n">
        <v>4</v>
      </c>
      <c r="O58" s="26" t="n">
        <v>3</v>
      </c>
      <c r="P58" s="26" t="n">
        <v>3</v>
      </c>
      <c r="Q58" s="26" t="n">
        <v>1</v>
      </c>
      <c r="R58" s="26" t="n">
        <v>3</v>
      </c>
      <c r="S58" s="26" t="n">
        <v>2</v>
      </c>
      <c r="T58" s="23" t="n">
        <v>0</v>
      </c>
      <c r="U58" s="23" t="n">
        <v>1</v>
      </c>
      <c r="V58" s="23" t="n">
        <v>0</v>
      </c>
      <c r="W58" s="23" t="n">
        <v>1</v>
      </c>
      <c r="X58" s="23" t="n">
        <v>1</v>
      </c>
      <c r="Y58" s="23" t="n">
        <v>1</v>
      </c>
      <c r="Z58" s="23" t="n">
        <v>1</v>
      </c>
      <c r="AA58" s="23" t="n">
        <v>0</v>
      </c>
      <c r="AB58" s="23" t="n">
        <v>1</v>
      </c>
    </row>
    <row r="59" ht="22.5" customFormat="1" customHeight="1" s="25">
      <c r="A59" s="22" t="inlineStr">
        <is>
          <t>Bermejo</t>
        </is>
      </c>
      <c r="B59" s="23" t="n">
        <v>9</v>
      </c>
      <c r="C59" s="23" t="n">
        <v>6</v>
      </c>
      <c r="D59" s="22" t="n">
        <v>56</v>
      </c>
      <c r="E59" s="23" t="n"/>
      <c r="F59" s="23" t="n"/>
      <c r="G59" s="23">
        <f>SUM(T59:AB59)</f>
        <v/>
      </c>
      <c r="H59" s="24">
        <f>G59/9</f>
        <v/>
      </c>
      <c r="I59" s="24">
        <f>0.5+(SUM(T59:AB59)/18)</f>
        <v/>
      </c>
      <c r="J59" s="23">
        <f>COUNTIF(K59:S59,"")</f>
        <v/>
      </c>
      <c r="K59" s="26" t="n">
        <v>3</v>
      </c>
      <c r="L59" s="26" t="n">
        <v>1</v>
      </c>
      <c r="M59" s="26" t="n">
        <v>2</v>
      </c>
      <c r="N59" s="26" t="n">
        <v>4</v>
      </c>
      <c r="O59" s="26" t="n">
        <v>3</v>
      </c>
      <c r="P59" s="26" t="n">
        <v>3</v>
      </c>
      <c r="Q59" s="26" t="n">
        <v>1</v>
      </c>
      <c r="R59" s="26" t="n">
        <v>4</v>
      </c>
      <c r="S59" s="26" t="n">
        <v>2</v>
      </c>
      <c r="T59" s="23" t="n">
        <v>1</v>
      </c>
      <c r="U59" s="23" t="n">
        <v>1</v>
      </c>
      <c r="V59" s="23" t="n">
        <v>0</v>
      </c>
      <c r="W59" s="23" t="n">
        <v>1</v>
      </c>
      <c r="X59" s="23" t="n">
        <v>1</v>
      </c>
      <c r="Y59" s="23" t="n">
        <v>1</v>
      </c>
      <c r="Z59" s="23" t="n">
        <v>1</v>
      </c>
      <c r="AA59" s="23" t="n">
        <v>0</v>
      </c>
      <c r="AB59" s="23" t="n">
        <v>1</v>
      </c>
    </row>
    <row r="60" ht="22.5" customFormat="1" customHeight="1" s="25">
      <c r="A60" s="22" t="inlineStr">
        <is>
          <t>Bermejo</t>
        </is>
      </c>
      <c r="B60" s="23" t="n">
        <v>9</v>
      </c>
      <c r="C60" s="23" t="n">
        <v>6</v>
      </c>
      <c r="D60" s="22" t="n">
        <v>57</v>
      </c>
      <c r="E60" s="23" t="n"/>
      <c r="F60" s="23" t="n"/>
      <c r="G60" s="23">
        <f>SUM(T60:AB60)</f>
        <v/>
      </c>
      <c r="H60" s="24">
        <f>G60/9</f>
        <v/>
      </c>
      <c r="I60" s="24">
        <f>0.5+(SUM(T60:AB60)/18)</f>
        <v/>
      </c>
      <c r="J60" s="23">
        <f>COUNTIF(K60:S60,"")</f>
        <v/>
      </c>
      <c r="K60" s="26" t="n">
        <v>4</v>
      </c>
      <c r="L60" s="26" t="n">
        <v>1</v>
      </c>
      <c r="M60" s="26" t="n"/>
      <c r="N60" s="26" t="n">
        <v>4</v>
      </c>
      <c r="O60" s="26" t="n">
        <v>4</v>
      </c>
      <c r="P60" s="26" t="n">
        <v>3</v>
      </c>
      <c r="Q60" s="26" t="n">
        <v>1</v>
      </c>
      <c r="R60" s="26" t="n">
        <v>4</v>
      </c>
      <c r="S60" s="26" t="n">
        <v>2</v>
      </c>
      <c r="T60" s="23" t="n">
        <v>0</v>
      </c>
      <c r="U60" s="23" t="n">
        <v>1</v>
      </c>
      <c r="V60" s="23" t="n">
        <v>0</v>
      </c>
      <c r="W60" s="23" t="n">
        <v>1</v>
      </c>
      <c r="X60" s="23" t="n">
        <v>0</v>
      </c>
      <c r="Y60" s="23" t="n">
        <v>1</v>
      </c>
      <c r="Z60" s="23" t="n">
        <v>1</v>
      </c>
      <c r="AA60" s="23" t="n">
        <v>0</v>
      </c>
      <c r="AB60" s="23" t="n">
        <v>1</v>
      </c>
    </row>
    <row r="61" ht="22.5" customFormat="1" customHeight="1" s="25">
      <c r="A61" s="22" t="inlineStr">
        <is>
          <t>Bermejo</t>
        </is>
      </c>
      <c r="B61" s="23" t="n">
        <v>9</v>
      </c>
      <c r="C61" s="23" t="n">
        <v>6</v>
      </c>
      <c r="D61" s="22" t="n">
        <v>58</v>
      </c>
      <c r="E61" s="23" t="n"/>
      <c r="F61" s="23" t="n"/>
      <c r="G61" s="23">
        <f>SUM(T61:AB61)</f>
        <v/>
      </c>
      <c r="H61" s="24">
        <f>G61/9</f>
        <v/>
      </c>
      <c r="I61" s="24">
        <f>0.5+(SUM(T61:AB61)/18)</f>
        <v/>
      </c>
      <c r="J61" s="23">
        <f>COUNTIF(K61:S61,"")</f>
        <v/>
      </c>
      <c r="K61" s="26" t="n">
        <v>3</v>
      </c>
      <c r="L61" s="26" t="n">
        <v>1</v>
      </c>
      <c r="M61" s="26" t="n">
        <v>3</v>
      </c>
      <c r="N61" s="26" t="n">
        <v>4</v>
      </c>
      <c r="O61" s="26" t="n">
        <v>3</v>
      </c>
      <c r="P61" s="26" t="n">
        <v>3</v>
      </c>
      <c r="Q61" s="26" t="n">
        <v>1</v>
      </c>
      <c r="R61" s="26" t="n">
        <v>2</v>
      </c>
      <c r="S61" s="26" t="n">
        <v>2</v>
      </c>
      <c r="T61" s="23" t="n">
        <v>1</v>
      </c>
      <c r="U61" s="23" t="n">
        <v>1</v>
      </c>
      <c r="V61" s="23" t="n">
        <v>0</v>
      </c>
      <c r="W61" s="23" t="n">
        <v>1</v>
      </c>
      <c r="X61" s="23" t="n">
        <v>1</v>
      </c>
      <c r="Y61" s="23" t="n">
        <v>1</v>
      </c>
      <c r="Z61" s="23" t="n">
        <v>1</v>
      </c>
      <c r="AA61" s="23" t="n">
        <v>1</v>
      </c>
      <c r="AB61" s="23" t="n">
        <v>1</v>
      </c>
    </row>
    <row r="62" ht="22.5" customFormat="1" customHeight="1" s="25">
      <c r="A62" s="22" t="inlineStr">
        <is>
          <t>Bermejo</t>
        </is>
      </c>
      <c r="B62" s="23" t="n">
        <v>9</v>
      </c>
      <c r="C62" s="23" t="n">
        <v>6</v>
      </c>
      <c r="D62" s="22" t="n">
        <v>59</v>
      </c>
      <c r="E62" s="23" t="inlineStr">
        <is>
          <t>YES</t>
        </is>
      </c>
      <c r="F62" s="23" t="inlineStr">
        <is>
          <t>YES</t>
        </is>
      </c>
      <c r="G62" s="23">
        <f>SUM(T62:AB62)</f>
        <v/>
      </c>
      <c r="H62" s="24">
        <f>G62/9</f>
        <v/>
      </c>
      <c r="I62" s="24">
        <f>0.5+(SUM(T62:AB62)/18)</f>
        <v/>
      </c>
      <c r="J62" s="23">
        <f>COUNTIF(K62:S62,"")</f>
        <v/>
      </c>
      <c r="K62" s="26" t="n">
        <v>4</v>
      </c>
      <c r="L62" s="26" t="n">
        <v>1</v>
      </c>
      <c r="M62" s="26" t="n">
        <v>3</v>
      </c>
      <c r="N62" s="26" t="n">
        <v>4</v>
      </c>
      <c r="O62" s="26" t="n">
        <v>2</v>
      </c>
      <c r="P62" s="26" t="n">
        <v>3</v>
      </c>
      <c r="Q62" s="26" t="n">
        <v>4</v>
      </c>
      <c r="R62" s="26" t="n">
        <v>4</v>
      </c>
      <c r="S62" s="26" t="n">
        <v>2</v>
      </c>
      <c r="T62" s="23" t="n">
        <v>0</v>
      </c>
      <c r="U62" s="23" t="n">
        <v>1</v>
      </c>
      <c r="V62" s="23" t="n">
        <v>0</v>
      </c>
      <c r="W62" s="23" t="n">
        <v>1</v>
      </c>
      <c r="X62" s="23" t="n">
        <v>0</v>
      </c>
      <c r="Y62" s="23" t="n">
        <v>1</v>
      </c>
      <c r="Z62" s="23" t="n">
        <v>0</v>
      </c>
      <c r="AA62" s="23" t="n">
        <v>0</v>
      </c>
      <c r="AB62" s="23" t="n">
        <v>1</v>
      </c>
    </row>
    <row r="63" ht="22.5" customFormat="1" customHeight="1" s="25">
      <c r="A63" s="22" t="inlineStr">
        <is>
          <t>Bermejo</t>
        </is>
      </c>
      <c r="B63" s="23" t="n">
        <v>9</v>
      </c>
      <c r="C63" s="23" t="n">
        <v>6</v>
      </c>
      <c r="D63" s="22" t="n">
        <v>60</v>
      </c>
      <c r="E63" s="23" t="n"/>
      <c r="F63" s="23" t="n"/>
      <c r="G63" s="23">
        <f>SUM(T63:AB63)</f>
        <v/>
      </c>
      <c r="H63" s="24">
        <f>G63/9</f>
        <v/>
      </c>
      <c r="I63" s="24">
        <f>0.5+(SUM(T63:AB63)/18)</f>
        <v/>
      </c>
      <c r="J63" s="23">
        <f>COUNTIF(K63:S63,"")</f>
        <v/>
      </c>
      <c r="K63" s="26" t="n">
        <v>3</v>
      </c>
      <c r="L63" s="26" t="n">
        <v>1</v>
      </c>
      <c r="M63" s="26" t="n">
        <v>1</v>
      </c>
      <c r="N63" s="26" t="n">
        <v>4</v>
      </c>
      <c r="O63" s="26" t="n">
        <v>1</v>
      </c>
      <c r="P63" s="26" t="n">
        <v>3</v>
      </c>
      <c r="Q63" s="26" t="n">
        <v>1</v>
      </c>
      <c r="R63" s="26" t="n">
        <v>3</v>
      </c>
      <c r="S63" s="26" t="n">
        <v>2</v>
      </c>
      <c r="T63" s="23" t="n">
        <v>1</v>
      </c>
      <c r="U63" s="23" t="n">
        <v>1</v>
      </c>
      <c r="V63" s="23" t="n">
        <v>0</v>
      </c>
      <c r="W63" s="23" t="n">
        <v>1</v>
      </c>
      <c r="X63" s="23" t="n">
        <v>0</v>
      </c>
      <c r="Y63" s="23" t="n">
        <v>1</v>
      </c>
      <c r="Z63" s="23" t="n">
        <v>1</v>
      </c>
      <c r="AA63" s="23" t="n">
        <v>0</v>
      </c>
      <c r="AB63" s="23" t="n">
        <v>1</v>
      </c>
    </row>
    <row r="64" ht="22.5" customFormat="1" customHeight="1" s="25">
      <c r="A64" s="22" t="inlineStr">
        <is>
          <t>Bermejo</t>
        </is>
      </c>
      <c r="B64" s="23" t="n">
        <v>9</v>
      </c>
      <c r="C64" s="23" t="n">
        <v>6</v>
      </c>
      <c r="D64" s="22" t="n">
        <v>61</v>
      </c>
      <c r="E64" s="23" t="n"/>
      <c r="F64" s="23" t="n"/>
      <c r="G64" s="23">
        <f>SUM(T64:AB64)</f>
        <v/>
      </c>
      <c r="H64" s="24">
        <f>G64/9</f>
        <v/>
      </c>
      <c r="I64" s="24">
        <f>0.5+(SUM(T64:AB64)/18)</f>
        <v/>
      </c>
      <c r="J64" s="23">
        <f>COUNTIF(K64:S64,"")</f>
        <v/>
      </c>
      <c r="K64" s="26" t="n">
        <v>1</v>
      </c>
      <c r="L64" s="26" t="n">
        <v>1</v>
      </c>
      <c r="M64" s="26" t="n">
        <v>4</v>
      </c>
      <c r="N64" s="26" t="n">
        <v>4</v>
      </c>
      <c r="O64" s="26" t="n">
        <v>1</v>
      </c>
      <c r="P64" s="26" t="n">
        <v>3</v>
      </c>
      <c r="Q64" s="26" t="n">
        <v>1</v>
      </c>
      <c r="R64" s="26" t="n">
        <v>1</v>
      </c>
      <c r="S64" s="26" t="n">
        <v>2</v>
      </c>
      <c r="T64" s="23" t="n">
        <v>0</v>
      </c>
      <c r="U64" s="23" t="n">
        <v>1</v>
      </c>
      <c r="V64" s="23" t="n">
        <v>1</v>
      </c>
      <c r="W64" s="23" t="n">
        <v>1</v>
      </c>
      <c r="X64" s="23" t="n">
        <v>0</v>
      </c>
      <c r="Y64" s="23" t="n">
        <v>1</v>
      </c>
      <c r="Z64" s="23" t="n">
        <v>1</v>
      </c>
      <c r="AA64" s="23" t="n">
        <v>0</v>
      </c>
      <c r="AB64" s="23" t="n">
        <v>1</v>
      </c>
    </row>
    <row r="65" ht="22.5" customFormat="1" customHeight="1" s="25">
      <c r="A65" s="22" t="inlineStr">
        <is>
          <t>Bermejo</t>
        </is>
      </c>
      <c r="B65" s="23" t="n">
        <v>9</v>
      </c>
      <c r="C65" s="23" t="n">
        <v>6</v>
      </c>
      <c r="D65" s="22" t="n">
        <v>62</v>
      </c>
      <c r="E65" s="23" t="inlineStr">
        <is>
          <t>YES</t>
        </is>
      </c>
      <c r="F65" s="23" t="n"/>
      <c r="G65" s="23">
        <f>SUM(T65:AB65)</f>
        <v/>
      </c>
      <c r="H65" s="24">
        <f>G65/9</f>
        <v/>
      </c>
      <c r="I65" s="24">
        <f>0.5+(SUM(T65:AB65)/18)</f>
        <v/>
      </c>
      <c r="J65" s="23">
        <f>COUNTIF(K65:S65,"")</f>
        <v/>
      </c>
      <c r="K65" s="26" t="n">
        <v>1</v>
      </c>
      <c r="L65" s="26" t="n">
        <v>3</v>
      </c>
      <c r="M65" s="26" t="n">
        <v>3</v>
      </c>
      <c r="N65" s="26" t="n">
        <v>4</v>
      </c>
      <c r="O65" s="26" t="n">
        <v>2</v>
      </c>
      <c r="P65" s="26" t="n">
        <v>1</v>
      </c>
      <c r="Q65" s="26" t="n">
        <v>1</v>
      </c>
      <c r="R65" s="26" t="n">
        <v>2</v>
      </c>
      <c r="S65" s="26" t="n">
        <v>2</v>
      </c>
      <c r="T65" s="23" t="n">
        <v>0</v>
      </c>
      <c r="U65" s="23" t="n">
        <v>0</v>
      </c>
      <c r="V65" s="23" t="n">
        <v>0</v>
      </c>
      <c r="W65" s="23" t="n">
        <v>1</v>
      </c>
      <c r="X65" s="23" t="n">
        <v>0</v>
      </c>
      <c r="Y65" s="23" t="n">
        <v>0</v>
      </c>
      <c r="Z65" s="23" t="n">
        <v>1</v>
      </c>
      <c r="AA65" s="23" t="n">
        <v>1</v>
      </c>
      <c r="AB65" s="23" t="n">
        <v>1</v>
      </c>
    </row>
    <row r="66" ht="22.5" customFormat="1" customHeight="1" s="25">
      <c r="A66" s="22" t="inlineStr">
        <is>
          <t>Bermejo</t>
        </is>
      </c>
      <c r="B66" s="23" t="n">
        <v>9</v>
      </c>
      <c r="C66" s="23" t="n">
        <v>6</v>
      </c>
      <c r="D66" s="22" t="n">
        <v>63</v>
      </c>
      <c r="E66" s="23" t="n"/>
      <c r="F66" s="23" t="n"/>
      <c r="G66" s="23">
        <f>SUM(T66:AB66)</f>
        <v/>
      </c>
      <c r="H66" s="24">
        <f>G66/9</f>
        <v/>
      </c>
      <c r="I66" s="24">
        <f>0.5+(SUM(T66:AB66)/18)</f>
        <v/>
      </c>
      <c r="J66" s="23">
        <f>COUNTIF(K66:S66,"")</f>
        <v/>
      </c>
      <c r="K66" s="26" t="n">
        <v>3</v>
      </c>
      <c r="L66" s="26" t="n">
        <v>1</v>
      </c>
      <c r="M66" s="26" t="n">
        <v>3</v>
      </c>
      <c r="N66" s="26" t="n">
        <v>2</v>
      </c>
      <c r="O66" s="26" t="n">
        <v>3</v>
      </c>
      <c r="P66" s="26" t="n">
        <v>1</v>
      </c>
      <c r="Q66" s="26" t="n">
        <v>3</v>
      </c>
      <c r="R66" s="26" t="n">
        <v>2</v>
      </c>
      <c r="S66" s="26" t="n">
        <v>1</v>
      </c>
      <c r="T66" s="23" t="n">
        <v>1</v>
      </c>
      <c r="U66" s="23" t="n">
        <v>1</v>
      </c>
      <c r="V66" s="23" t="n">
        <v>0</v>
      </c>
      <c r="W66" s="23" t="n">
        <v>0</v>
      </c>
      <c r="X66" s="23" t="n">
        <v>1</v>
      </c>
      <c r="Y66" s="23" t="n">
        <v>0</v>
      </c>
      <c r="Z66" s="23" t="n">
        <v>0</v>
      </c>
      <c r="AA66" s="23" t="n">
        <v>1</v>
      </c>
      <c r="AB66" s="23" t="n">
        <v>0</v>
      </c>
    </row>
    <row r="67" ht="22.5" customFormat="1" customHeight="1" s="25">
      <c r="A67" s="22" t="inlineStr">
        <is>
          <t>Bermejo</t>
        </is>
      </c>
      <c r="B67" s="23" t="n">
        <v>9</v>
      </c>
      <c r="C67" s="23" t="n">
        <v>6</v>
      </c>
      <c r="D67" s="22" t="n">
        <v>64</v>
      </c>
      <c r="E67" s="23" t="n"/>
      <c r="F67" s="23" t="inlineStr">
        <is>
          <t>YES</t>
        </is>
      </c>
      <c r="G67" s="23">
        <f>SUM(T67:AB67)</f>
        <v/>
      </c>
      <c r="H67" s="24">
        <f>G67/9</f>
        <v/>
      </c>
      <c r="I67" s="24">
        <f>0.5+(SUM(T67:AB67)/18)</f>
        <v/>
      </c>
      <c r="J67" s="23">
        <f>COUNTIF(K67:S67,"")</f>
        <v/>
      </c>
      <c r="K67" s="26" t="n">
        <v>4</v>
      </c>
      <c r="L67" s="26" t="n">
        <v>4</v>
      </c>
      <c r="M67" s="26" t="n">
        <v>1</v>
      </c>
      <c r="N67" s="26" t="n">
        <v>4</v>
      </c>
      <c r="O67" s="26" t="n">
        <v>3</v>
      </c>
      <c r="P67" s="26" t="n">
        <v>2</v>
      </c>
      <c r="Q67" s="26" t="n">
        <v>3</v>
      </c>
      <c r="R67" s="26" t="n">
        <v>2</v>
      </c>
      <c r="S67" s="26" t="n">
        <v>2</v>
      </c>
      <c r="T67" s="23" t="n">
        <v>0</v>
      </c>
      <c r="U67" s="23" t="n">
        <v>0</v>
      </c>
      <c r="V67" s="23" t="n">
        <v>0</v>
      </c>
      <c r="W67" s="23" t="n">
        <v>1</v>
      </c>
      <c r="X67" s="23" t="n">
        <v>1</v>
      </c>
      <c r="Y67" s="23" t="n">
        <v>0</v>
      </c>
      <c r="Z67" s="23" t="n">
        <v>0</v>
      </c>
      <c r="AA67" s="23" t="n">
        <v>1</v>
      </c>
      <c r="AB67" s="23" t="n">
        <v>1</v>
      </c>
    </row>
    <row r="68" ht="22.5" customFormat="1" customHeight="1" s="25">
      <c r="A68" s="22" t="inlineStr">
        <is>
          <t>Bermejo</t>
        </is>
      </c>
      <c r="B68" s="23" t="n">
        <v>9</v>
      </c>
      <c r="C68" s="23" t="n">
        <v>6</v>
      </c>
      <c r="D68" s="22" t="n">
        <v>65</v>
      </c>
      <c r="E68" s="23" t="n"/>
      <c r="F68" s="23" t="inlineStr">
        <is>
          <t>YES</t>
        </is>
      </c>
      <c r="G68" s="23">
        <f>SUM(T68:AB68)</f>
        <v/>
      </c>
      <c r="H68" s="24">
        <f>G68/9</f>
        <v/>
      </c>
      <c r="I68" s="24">
        <f>0.5+(SUM(T68:AB68)/18)</f>
        <v/>
      </c>
      <c r="J68" s="23">
        <f>COUNTIF(K68:S68,"")</f>
        <v/>
      </c>
      <c r="K68" s="26" t="n">
        <v>1</v>
      </c>
      <c r="L68" s="26" t="n">
        <v>1</v>
      </c>
      <c r="M68" s="26" t="n">
        <v>2</v>
      </c>
      <c r="N68" s="26" t="n">
        <v>4</v>
      </c>
      <c r="O68" s="26" t="n">
        <v>1</v>
      </c>
      <c r="P68" s="26" t="n">
        <v>3</v>
      </c>
      <c r="Q68" s="26" t="n">
        <v>4</v>
      </c>
      <c r="R68" s="26" t="n">
        <v>4</v>
      </c>
      <c r="S68" s="26" t="n">
        <v>3</v>
      </c>
      <c r="T68" s="23" t="n">
        <v>0</v>
      </c>
      <c r="U68" s="23" t="n">
        <v>1</v>
      </c>
      <c r="V68" s="23" t="n">
        <v>0</v>
      </c>
      <c r="W68" s="23" t="n">
        <v>1</v>
      </c>
      <c r="X68" s="23" t="n">
        <v>0</v>
      </c>
      <c r="Y68" s="23" t="n">
        <v>1</v>
      </c>
      <c r="Z68" s="23" t="n">
        <v>0</v>
      </c>
      <c r="AA68" s="23" t="n">
        <v>0</v>
      </c>
      <c r="AB68" s="23" t="n">
        <v>0</v>
      </c>
    </row>
    <row r="69" ht="22.5" customFormat="1" customHeight="1" s="25">
      <c r="A69" s="22" t="inlineStr">
        <is>
          <t>Bermejo</t>
        </is>
      </c>
      <c r="B69" s="23" t="n">
        <v>9</v>
      </c>
      <c r="C69" s="23" t="n">
        <v>6</v>
      </c>
      <c r="D69" s="22" t="n">
        <v>66</v>
      </c>
      <c r="E69" s="23" t="n"/>
      <c r="F69" s="23" t="n"/>
      <c r="G69" s="23">
        <f>SUM(T69:AB69)</f>
        <v/>
      </c>
      <c r="H69" s="24">
        <f>G69/9</f>
        <v/>
      </c>
      <c r="I69" s="24">
        <f>0.5+(SUM(T69:AB69)/18)</f>
        <v/>
      </c>
      <c r="J69" s="23">
        <f>COUNTIF(K69:S69,"")</f>
        <v/>
      </c>
      <c r="K69" s="26" t="n">
        <v>3</v>
      </c>
      <c r="L69" s="26" t="n">
        <v>1</v>
      </c>
      <c r="M69" s="26" t="n">
        <v>3</v>
      </c>
      <c r="N69" s="26" t="n">
        <v>4</v>
      </c>
      <c r="O69" s="26" t="n">
        <v>2</v>
      </c>
      <c r="P69" s="26" t="n">
        <v>3</v>
      </c>
      <c r="Q69" s="26" t="n">
        <v>1</v>
      </c>
      <c r="R69" s="26" t="n">
        <v>2</v>
      </c>
      <c r="S69" s="26" t="n">
        <v>2</v>
      </c>
      <c r="T69" s="23" t="n">
        <v>1</v>
      </c>
      <c r="U69" s="23" t="n">
        <v>1</v>
      </c>
      <c r="V69" s="23" t="n">
        <v>0</v>
      </c>
      <c r="W69" s="23" t="n">
        <v>1</v>
      </c>
      <c r="X69" s="23" t="n">
        <v>0</v>
      </c>
      <c r="Y69" s="23" t="n">
        <v>1</v>
      </c>
      <c r="Z69" s="23" t="n">
        <v>1</v>
      </c>
      <c r="AA69" s="23" t="n">
        <v>1</v>
      </c>
      <c r="AB69" s="23" t="n">
        <v>1</v>
      </c>
    </row>
    <row r="70" ht="22.5" customFormat="1" customHeight="1" s="25">
      <c r="A70" s="22" t="inlineStr">
        <is>
          <t>Dushin</t>
        </is>
      </c>
      <c r="B70" s="23" t="n">
        <v>11</v>
      </c>
      <c r="C70" s="23" t="n">
        <v>2</v>
      </c>
      <c r="D70" s="22" t="n">
        <v>67</v>
      </c>
      <c r="E70" s="23" t="n"/>
      <c r="F70" s="23" t="n"/>
      <c r="G70" s="23">
        <f>SUM(T70:AB70)</f>
        <v/>
      </c>
      <c r="H70" s="24">
        <f>G70/9</f>
        <v/>
      </c>
      <c r="I70" s="24">
        <f>0.5+(SUM(T70:AB70)/18)</f>
        <v/>
      </c>
      <c r="J70" s="23">
        <f>COUNTIF(K70:S70,"")</f>
        <v/>
      </c>
      <c r="K70" s="26" t="n">
        <v>1</v>
      </c>
      <c r="L70" s="26" t="n">
        <v>1</v>
      </c>
      <c r="M70" s="26" t="n">
        <v>2</v>
      </c>
      <c r="N70" s="26" t="n">
        <v>1</v>
      </c>
      <c r="O70" s="26" t="n">
        <v>3</v>
      </c>
      <c r="P70" s="26" t="n">
        <v>3</v>
      </c>
      <c r="Q70" s="26" t="n">
        <v>1</v>
      </c>
      <c r="R70" s="26" t="n">
        <v>2</v>
      </c>
      <c r="S70" s="26" t="n">
        <v>2</v>
      </c>
      <c r="T70" s="23" t="n">
        <v>0</v>
      </c>
      <c r="U70" s="23" t="n">
        <v>1</v>
      </c>
      <c r="V70" s="23" t="n">
        <v>0</v>
      </c>
      <c r="W70" s="23" t="n">
        <v>0</v>
      </c>
      <c r="X70" s="23" t="n">
        <v>1</v>
      </c>
      <c r="Y70" s="23" t="n">
        <v>1</v>
      </c>
      <c r="Z70" s="23" t="n">
        <v>1</v>
      </c>
      <c r="AA70" s="23" t="n">
        <v>1</v>
      </c>
      <c r="AB70" s="23" t="n">
        <v>1</v>
      </c>
    </row>
    <row r="71" ht="22.5" customFormat="1" customHeight="1" s="25">
      <c r="A71" s="22" t="inlineStr">
        <is>
          <t>Dushin</t>
        </is>
      </c>
      <c r="B71" s="23" t="n">
        <v>11</v>
      </c>
      <c r="C71" s="23" t="n">
        <v>2</v>
      </c>
      <c r="D71" s="22" t="n">
        <v>68</v>
      </c>
      <c r="E71" s="23" t="n"/>
      <c r="F71" s="23" t="n"/>
      <c r="G71" s="23">
        <f>SUM(T71:AB71)</f>
        <v/>
      </c>
      <c r="H71" s="24">
        <f>G71/9</f>
        <v/>
      </c>
      <c r="I71" s="24">
        <f>0.5+(SUM(T71:AB71)/18)</f>
        <v/>
      </c>
      <c r="J71" s="23">
        <f>COUNTIF(K71:S71,"")</f>
        <v/>
      </c>
      <c r="K71" s="26" t="n">
        <v>3</v>
      </c>
      <c r="L71" s="26" t="n">
        <v>1</v>
      </c>
      <c r="M71" s="26" t="n">
        <v>4</v>
      </c>
      <c r="N71" s="26" t="n">
        <v>4</v>
      </c>
      <c r="O71" s="26" t="n">
        <v>3</v>
      </c>
      <c r="P71" s="26" t="n">
        <v>3</v>
      </c>
      <c r="Q71" s="26" t="n">
        <v>1</v>
      </c>
      <c r="R71" s="26" t="n">
        <v>2</v>
      </c>
      <c r="S71" s="26" t="n">
        <v>2</v>
      </c>
      <c r="T71" s="23" t="n">
        <v>1</v>
      </c>
      <c r="U71" s="23" t="n">
        <v>1</v>
      </c>
      <c r="V71" s="23" t="n">
        <v>1</v>
      </c>
      <c r="W71" s="23" t="n">
        <v>1</v>
      </c>
      <c r="X71" s="23" t="n">
        <v>1</v>
      </c>
      <c r="Y71" s="23" t="n">
        <v>1</v>
      </c>
      <c r="Z71" s="23" t="n">
        <v>1</v>
      </c>
      <c r="AA71" s="23" t="n">
        <v>1</v>
      </c>
      <c r="AB71" s="23" t="n">
        <v>1</v>
      </c>
    </row>
    <row r="72" ht="22.5" customFormat="1" customHeight="1" s="25">
      <c r="A72" s="22" t="inlineStr">
        <is>
          <t>Dushin</t>
        </is>
      </c>
      <c r="B72" s="23" t="n">
        <v>11</v>
      </c>
      <c r="C72" s="23" t="n">
        <v>2</v>
      </c>
      <c r="D72" s="22" t="n">
        <v>69</v>
      </c>
      <c r="E72" s="23" t="n"/>
      <c r="F72" s="23" t="n"/>
      <c r="G72" s="23">
        <f>SUM(T72:AB72)</f>
        <v/>
      </c>
      <c r="H72" s="24">
        <f>G72/9</f>
        <v/>
      </c>
      <c r="I72" s="24">
        <f>0.5+(SUM(T72:AB72)/18)</f>
        <v/>
      </c>
      <c r="J72" s="23">
        <f>COUNTIF(K72:S72,"")</f>
        <v/>
      </c>
      <c r="K72" s="26" t="n">
        <v>1</v>
      </c>
      <c r="L72" s="26" t="n">
        <v>1</v>
      </c>
      <c r="M72" s="26" t="n">
        <v>2</v>
      </c>
      <c r="N72" s="26" t="n">
        <v>2</v>
      </c>
      <c r="O72" s="26" t="n">
        <v>1</v>
      </c>
      <c r="P72" s="26" t="n">
        <v>3</v>
      </c>
      <c r="Q72" s="26" t="n">
        <v>4</v>
      </c>
      <c r="R72" s="26" t="n">
        <v>3</v>
      </c>
      <c r="S72" s="26" t="n">
        <v>1</v>
      </c>
      <c r="T72" s="23" t="n">
        <v>0</v>
      </c>
      <c r="U72" s="23" t="n">
        <v>1</v>
      </c>
      <c r="V72" s="23" t="n">
        <v>0</v>
      </c>
      <c r="W72" s="23" t="n">
        <v>0</v>
      </c>
      <c r="X72" s="23" t="n">
        <v>0</v>
      </c>
      <c r="Y72" s="23" t="n">
        <v>1</v>
      </c>
      <c r="Z72" s="23" t="n">
        <v>0</v>
      </c>
      <c r="AA72" s="23" t="n">
        <v>0</v>
      </c>
      <c r="AB72" s="23" t="n">
        <v>0</v>
      </c>
    </row>
    <row r="73" ht="22.5" customFormat="1" customHeight="1" s="25">
      <c r="A73" s="22" t="inlineStr">
        <is>
          <t>Dushin</t>
        </is>
      </c>
      <c r="B73" s="23" t="n">
        <v>11</v>
      </c>
      <c r="C73" s="23" t="n">
        <v>2</v>
      </c>
      <c r="D73" s="22" t="n">
        <v>70</v>
      </c>
      <c r="E73" s="23" t="n"/>
      <c r="F73" s="23" t="n"/>
      <c r="G73" s="23">
        <f>SUM(T73:AB73)</f>
        <v/>
      </c>
      <c r="H73" s="24">
        <f>G73/9</f>
        <v/>
      </c>
      <c r="I73" s="24">
        <f>0.5+(SUM(T73:AB73)/18)</f>
        <v/>
      </c>
      <c r="J73" s="23">
        <f>COUNTIF(K73:S73,"")</f>
        <v/>
      </c>
      <c r="K73" s="26" t="n">
        <v>1</v>
      </c>
      <c r="L73" s="26" t="n">
        <v>1</v>
      </c>
      <c r="M73" s="26" t="n">
        <v>4</v>
      </c>
      <c r="N73" s="26" t="n">
        <v>4</v>
      </c>
      <c r="O73" s="26" t="n">
        <v>3</v>
      </c>
      <c r="P73" s="26" t="n">
        <v>3</v>
      </c>
      <c r="Q73" s="26" t="n">
        <v>1</v>
      </c>
      <c r="R73" s="26" t="n">
        <v>2</v>
      </c>
      <c r="S73" s="26" t="n">
        <v>2</v>
      </c>
      <c r="T73" s="23" t="n">
        <v>0</v>
      </c>
      <c r="U73" s="23" t="n">
        <v>1</v>
      </c>
      <c r="V73" s="23" t="n">
        <v>1</v>
      </c>
      <c r="W73" s="23" t="n">
        <v>1</v>
      </c>
      <c r="X73" s="23" t="n">
        <v>1</v>
      </c>
      <c r="Y73" s="23" t="n">
        <v>1</v>
      </c>
      <c r="Z73" s="23" t="n">
        <v>1</v>
      </c>
      <c r="AA73" s="23" t="n">
        <v>1</v>
      </c>
      <c r="AB73" s="23" t="n">
        <v>1</v>
      </c>
    </row>
    <row r="74" ht="22.5" customFormat="1" customHeight="1" s="25">
      <c r="A74" s="22" t="inlineStr">
        <is>
          <t>Dushin</t>
        </is>
      </c>
      <c r="B74" s="23" t="n">
        <v>11</v>
      </c>
      <c r="C74" s="23" t="n">
        <v>2</v>
      </c>
      <c r="D74" s="22" t="n">
        <v>71</v>
      </c>
      <c r="E74" s="23" t="n"/>
      <c r="F74" s="23" t="n"/>
      <c r="G74" s="23">
        <f>SUM(T74:AB74)</f>
        <v/>
      </c>
      <c r="H74" s="24">
        <f>G74/9</f>
        <v/>
      </c>
      <c r="I74" s="24">
        <f>0.5+(SUM(T74:AB74)/18)</f>
        <v/>
      </c>
      <c r="J74" s="23">
        <f>COUNTIF(K74:S74,"")</f>
        <v/>
      </c>
      <c r="K74" s="26" t="n">
        <v>2</v>
      </c>
      <c r="L74" s="26" t="n">
        <v>1</v>
      </c>
      <c r="M74" s="26" t="n">
        <v>4</v>
      </c>
      <c r="N74" s="26" t="n">
        <v>3</v>
      </c>
      <c r="O74" s="26" t="n">
        <v>3</v>
      </c>
      <c r="P74" s="26" t="n">
        <v>1</v>
      </c>
      <c r="Q74" s="26" t="n">
        <v>2</v>
      </c>
      <c r="R74" s="26" t="n">
        <v>2</v>
      </c>
      <c r="S74" s="26" t="n"/>
      <c r="T74" s="23" t="n">
        <v>0</v>
      </c>
      <c r="U74" s="23" t="n">
        <v>1</v>
      </c>
      <c r="V74" s="23" t="n">
        <v>1</v>
      </c>
      <c r="W74" s="23" t="n">
        <v>0</v>
      </c>
      <c r="X74" s="23" t="n">
        <v>1</v>
      </c>
      <c r="Y74" s="23" t="n">
        <v>0</v>
      </c>
      <c r="Z74" s="23" t="n">
        <v>0</v>
      </c>
      <c r="AA74" s="23" t="n">
        <v>1</v>
      </c>
      <c r="AB74" s="23" t="n">
        <v>0</v>
      </c>
    </row>
    <row r="75" ht="22.5" customFormat="1" customHeight="1" s="25">
      <c r="A75" s="22" t="inlineStr">
        <is>
          <t>Dushin</t>
        </is>
      </c>
      <c r="B75" s="23" t="n">
        <v>11</v>
      </c>
      <c r="C75" s="23" t="n">
        <v>2</v>
      </c>
      <c r="D75" s="22" t="n">
        <v>72</v>
      </c>
      <c r="E75" s="23" t="n"/>
      <c r="F75" s="23" t="n"/>
      <c r="G75" s="23">
        <f>SUM(T75:AB75)</f>
        <v/>
      </c>
      <c r="H75" s="24">
        <f>G75/9</f>
        <v/>
      </c>
      <c r="I75" s="24">
        <f>0.5+(SUM(T75:AB75)/18)</f>
        <v/>
      </c>
      <c r="J75" s="23">
        <f>COUNTIF(K75:S75,"")</f>
        <v/>
      </c>
      <c r="K75" s="26" t="n">
        <v>4</v>
      </c>
      <c r="L75" s="26" t="n">
        <v>1</v>
      </c>
      <c r="M75" s="26" t="n">
        <v>4</v>
      </c>
      <c r="N75" s="26" t="n">
        <v>4</v>
      </c>
      <c r="O75" s="26" t="n">
        <v>3</v>
      </c>
      <c r="P75" s="26" t="n">
        <v>3</v>
      </c>
      <c r="Q75" s="26" t="n">
        <v>1</v>
      </c>
      <c r="R75" s="26" t="n">
        <v>2</v>
      </c>
      <c r="S75" s="26" t="n">
        <v>2</v>
      </c>
      <c r="T75" s="23" t="n">
        <v>0</v>
      </c>
      <c r="U75" s="23" t="n">
        <v>1</v>
      </c>
      <c r="V75" s="23" t="n">
        <v>1</v>
      </c>
      <c r="W75" s="23" t="n">
        <v>1</v>
      </c>
      <c r="X75" s="23" t="n">
        <v>1</v>
      </c>
      <c r="Y75" s="23" t="n">
        <v>1</v>
      </c>
      <c r="Z75" s="23" t="n">
        <v>1</v>
      </c>
      <c r="AA75" s="23" t="n">
        <v>1</v>
      </c>
      <c r="AB75" s="23" t="n">
        <v>1</v>
      </c>
    </row>
    <row r="76" ht="22.5" customFormat="1" customHeight="1" s="25">
      <c r="A76" s="22" t="inlineStr">
        <is>
          <t>Dushin</t>
        </is>
      </c>
      <c r="B76" s="23" t="n">
        <v>11</v>
      </c>
      <c r="C76" s="23" t="n">
        <v>2</v>
      </c>
      <c r="D76" s="22" t="n">
        <v>73</v>
      </c>
      <c r="E76" s="23" t="n"/>
      <c r="F76" s="23" t="inlineStr">
        <is>
          <t>YES</t>
        </is>
      </c>
      <c r="G76" s="23">
        <f>SUM(T76:AB76)</f>
        <v/>
      </c>
      <c r="H76" s="24">
        <f>G76/9</f>
        <v/>
      </c>
      <c r="I76" s="24">
        <f>0.5+(SUM(T76:AB76)/18)</f>
        <v/>
      </c>
      <c r="J76" s="23">
        <f>COUNTIF(K76:S76,"")</f>
        <v/>
      </c>
      <c r="K76" s="26" t="n">
        <v>4</v>
      </c>
      <c r="L76" s="26" t="n">
        <v>1</v>
      </c>
      <c r="M76" s="26" t="n">
        <v>4</v>
      </c>
      <c r="N76" s="26" t="n">
        <v>1</v>
      </c>
      <c r="O76" s="26" t="n">
        <v>3</v>
      </c>
      <c r="P76" s="26" t="n"/>
      <c r="Q76" s="26" t="n">
        <v>1</v>
      </c>
      <c r="R76" s="26" t="n">
        <v>1</v>
      </c>
      <c r="S76" s="26" t="n">
        <v>2</v>
      </c>
      <c r="T76" s="23" t="n">
        <v>0</v>
      </c>
      <c r="U76" s="23" t="n">
        <v>1</v>
      </c>
      <c r="V76" s="23" t="n">
        <v>1</v>
      </c>
      <c r="W76" s="23" t="n">
        <v>0</v>
      </c>
      <c r="X76" s="23" t="n">
        <v>1</v>
      </c>
      <c r="Y76" s="23" t="n">
        <v>0</v>
      </c>
      <c r="Z76" s="23" t="n">
        <v>1</v>
      </c>
      <c r="AA76" s="23" t="n">
        <v>0</v>
      </c>
      <c r="AB76" s="23" t="n">
        <v>1</v>
      </c>
    </row>
    <row r="77" ht="22.5" customFormat="1" customHeight="1" s="25">
      <c r="A77" s="22" t="inlineStr">
        <is>
          <t>Dushin</t>
        </is>
      </c>
      <c r="B77" s="23" t="n">
        <v>11</v>
      </c>
      <c r="C77" s="23" t="n">
        <v>2</v>
      </c>
      <c r="D77" s="22" t="n">
        <v>74</v>
      </c>
      <c r="E77" s="23" t="n"/>
      <c r="F77" s="23" t="inlineStr">
        <is>
          <t>YES</t>
        </is>
      </c>
      <c r="G77" s="23">
        <f>SUM(T77:AB77)</f>
        <v/>
      </c>
      <c r="H77" s="24">
        <f>G77/9</f>
        <v/>
      </c>
      <c r="I77" s="24">
        <f>0.5+(SUM(T77:AB77)/18)</f>
        <v/>
      </c>
      <c r="J77" s="23">
        <f>COUNTIF(K77:S77,"")</f>
        <v/>
      </c>
      <c r="K77" s="26" t="n">
        <v>1</v>
      </c>
      <c r="L77" s="26" t="n">
        <v>1</v>
      </c>
      <c r="M77" s="26" t="n">
        <v>3</v>
      </c>
      <c r="N77" s="26" t="n">
        <v>3</v>
      </c>
      <c r="O77" s="26" t="n">
        <v>1</v>
      </c>
      <c r="P77" s="26" t="n">
        <v>2</v>
      </c>
      <c r="Q77" s="26" t="n">
        <v>1</v>
      </c>
      <c r="R77" s="26" t="n">
        <v>3</v>
      </c>
      <c r="S77" s="26" t="n">
        <v>2</v>
      </c>
      <c r="T77" s="23" t="n">
        <v>0</v>
      </c>
      <c r="U77" s="23" t="n">
        <v>1</v>
      </c>
      <c r="V77" s="23" t="n">
        <v>0</v>
      </c>
      <c r="W77" s="23" t="n">
        <v>0</v>
      </c>
      <c r="X77" s="23" t="n">
        <v>0</v>
      </c>
      <c r="Y77" s="23" t="n">
        <v>0</v>
      </c>
      <c r="Z77" s="23" t="n">
        <v>1</v>
      </c>
      <c r="AA77" s="23" t="n">
        <v>0</v>
      </c>
      <c r="AB77" s="23" t="n">
        <v>1</v>
      </c>
    </row>
    <row r="78" ht="22.5" customFormat="1" customHeight="1" s="25">
      <c r="A78" s="22" t="inlineStr">
        <is>
          <t>Dushin</t>
        </is>
      </c>
      <c r="B78" s="23" t="n">
        <v>11</v>
      </c>
      <c r="C78" s="23" t="n">
        <v>2</v>
      </c>
      <c r="D78" s="22" t="n">
        <v>75</v>
      </c>
      <c r="E78" s="23" t="n"/>
      <c r="F78" s="23" t="inlineStr">
        <is>
          <t>YES</t>
        </is>
      </c>
      <c r="G78" s="23">
        <f>SUM(T78:AB78)</f>
        <v/>
      </c>
      <c r="H78" s="24">
        <f>G78/9</f>
        <v/>
      </c>
      <c r="I78" s="24">
        <f>0.5+(SUM(T78:AB78)/18)</f>
        <v/>
      </c>
      <c r="J78" s="23">
        <f>COUNTIF(K78:S78,"")</f>
        <v/>
      </c>
      <c r="K78" s="26" t="n">
        <v>1</v>
      </c>
      <c r="L78" s="26" t="n">
        <v>2</v>
      </c>
      <c r="M78" s="26" t="n">
        <v>2</v>
      </c>
      <c r="N78" s="26" t="n">
        <v>3</v>
      </c>
      <c r="O78" s="26" t="n">
        <v>3</v>
      </c>
      <c r="P78" s="26" t="n">
        <v>4</v>
      </c>
      <c r="Q78" s="26" t="n">
        <v>1</v>
      </c>
      <c r="R78" s="26" t="n">
        <v>3</v>
      </c>
      <c r="S78" s="26" t="n">
        <v>3</v>
      </c>
      <c r="T78" s="23" t="n">
        <v>0</v>
      </c>
      <c r="U78" s="23" t="n">
        <v>0</v>
      </c>
      <c r="V78" s="23" t="n">
        <v>0</v>
      </c>
      <c r="W78" s="23" t="n">
        <v>0</v>
      </c>
      <c r="X78" s="23" t="n">
        <v>1</v>
      </c>
      <c r="Y78" s="23" t="n">
        <v>0</v>
      </c>
      <c r="Z78" s="23" t="n">
        <v>1</v>
      </c>
      <c r="AA78" s="23" t="n">
        <v>0</v>
      </c>
      <c r="AB78" s="23" t="n">
        <v>0</v>
      </c>
    </row>
    <row r="79" ht="22.5" customFormat="1" customHeight="1" s="25">
      <c r="A79" s="22" t="inlineStr">
        <is>
          <t>Dushin</t>
        </is>
      </c>
      <c r="B79" s="23" t="n">
        <v>11</v>
      </c>
      <c r="C79" s="23" t="n">
        <v>2</v>
      </c>
      <c r="D79" s="22" t="n">
        <v>76</v>
      </c>
      <c r="E79" s="23" t="inlineStr">
        <is>
          <t>YES</t>
        </is>
      </c>
      <c r="F79" s="23" t="n"/>
      <c r="G79" s="23">
        <f>SUM(T79:AB79)</f>
        <v/>
      </c>
      <c r="H79" s="24">
        <f>G79/9</f>
        <v/>
      </c>
      <c r="I79" s="24">
        <f>0.5+(SUM(T79:AB79)/18)</f>
        <v/>
      </c>
      <c r="J79" s="23">
        <f>COUNTIF(K79:S79,"")</f>
        <v/>
      </c>
      <c r="K79" s="26" t="n">
        <v>4</v>
      </c>
      <c r="L79" s="26" t="n">
        <v>1</v>
      </c>
      <c r="M79" s="26" t="n">
        <v>3</v>
      </c>
      <c r="N79" s="26" t="n">
        <v>2</v>
      </c>
      <c r="O79" s="26" t="n">
        <v>3</v>
      </c>
      <c r="P79" s="26" t="n">
        <v>3</v>
      </c>
      <c r="Q79" s="26" t="n">
        <v>1</v>
      </c>
      <c r="R79" s="26" t="n">
        <v>4</v>
      </c>
      <c r="S79" s="26" t="n">
        <v>2</v>
      </c>
      <c r="T79" s="23" t="n">
        <v>0</v>
      </c>
      <c r="U79" s="23" t="n">
        <v>1</v>
      </c>
      <c r="V79" s="23" t="n">
        <v>0</v>
      </c>
      <c r="W79" s="23" t="n">
        <v>0</v>
      </c>
      <c r="X79" s="23" t="n">
        <v>1</v>
      </c>
      <c r="Y79" s="23" t="n">
        <v>1</v>
      </c>
      <c r="Z79" s="23" t="n">
        <v>1</v>
      </c>
      <c r="AA79" s="23" t="n">
        <v>0</v>
      </c>
      <c r="AB79" s="23" t="n">
        <v>1</v>
      </c>
    </row>
    <row r="80" ht="22.5" customFormat="1" customHeight="1" s="25">
      <c r="A80" s="22" t="inlineStr">
        <is>
          <t>Dushin</t>
        </is>
      </c>
      <c r="B80" s="23" t="n">
        <v>11</v>
      </c>
      <c r="C80" s="23" t="n">
        <v>2</v>
      </c>
      <c r="D80" s="22" t="n">
        <v>77</v>
      </c>
      <c r="E80" s="23" t="n"/>
      <c r="F80" s="23" t="inlineStr">
        <is>
          <t>YES</t>
        </is>
      </c>
      <c r="G80" s="23">
        <f>SUM(T80:AB80)</f>
        <v/>
      </c>
      <c r="H80" s="24">
        <f>G80/9</f>
        <v/>
      </c>
      <c r="I80" s="24">
        <f>0.5+(SUM(T80:AB80)/18)</f>
        <v/>
      </c>
      <c r="J80" s="23">
        <f>COUNTIF(K80:S80,"")</f>
        <v/>
      </c>
      <c r="K80" s="26" t="n">
        <v>3</v>
      </c>
      <c r="L80" s="26" t="n">
        <v>1</v>
      </c>
      <c r="M80" s="26" t="n">
        <v>2</v>
      </c>
      <c r="N80" s="26" t="n">
        <v>4</v>
      </c>
      <c r="O80" s="26" t="n">
        <v>3</v>
      </c>
      <c r="P80" s="26" t="n">
        <v>4</v>
      </c>
      <c r="Q80" s="26" t="n">
        <v>1</v>
      </c>
      <c r="R80" s="26" t="n">
        <v>2</v>
      </c>
      <c r="S80" s="26" t="n">
        <v>3</v>
      </c>
      <c r="T80" s="23" t="n">
        <v>1</v>
      </c>
      <c r="U80" s="23" t="n">
        <v>1</v>
      </c>
      <c r="V80" s="23" t="n">
        <v>0</v>
      </c>
      <c r="W80" s="23" t="n">
        <v>1</v>
      </c>
      <c r="X80" s="23" t="n">
        <v>1</v>
      </c>
      <c r="Y80" s="23" t="n">
        <v>0</v>
      </c>
      <c r="Z80" s="23" t="n">
        <v>1</v>
      </c>
      <c r="AA80" s="23" t="n">
        <v>1</v>
      </c>
      <c r="AB80" s="23" t="n">
        <v>0</v>
      </c>
    </row>
    <row r="81" ht="22.5" customFormat="1" customHeight="1" s="25">
      <c r="A81" s="22" t="inlineStr">
        <is>
          <t>Dushin</t>
        </is>
      </c>
      <c r="B81" s="23" t="n">
        <v>11</v>
      </c>
      <c r="C81" s="23" t="n">
        <v>2</v>
      </c>
      <c r="D81" s="22" t="n">
        <v>78</v>
      </c>
      <c r="E81" s="23" t="n"/>
      <c r="F81" s="23" t="n"/>
      <c r="G81" s="23">
        <f>SUM(T81:AB81)</f>
        <v/>
      </c>
      <c r="H81" s="24">
        <f>G81/9</f>
        <v/>
      </c>
      <c r="I81" s="24">
        <f>0.5+(SUM(T81:AB81)/18)</f>
        <v/>
      </c>
      <c r="J81" s="23">
        <f>COUNTIF(K81:S81,"")</f>
        <v/>
      </c>
      <c r="K81" s="26" t="n">
        <v>3</v>
      </c>
      <c r="L81" s="26" t="n">
        <v>1</v>
      </c>
      <c r="M81" s="26" t="n">
        <v>4</v>
      </c>
      <c r="N81" s="26" t="n">
        <v>4</v>
      </c>
      <c r="O81" s="26" t="n">
        <v>3</v>
      </c>
      <c r="P81" s="26" t="n">
        <v>3</v>
      </c>
      <c r="Q81" s="26" t="n">
        <v>1</v>
      </c>
      <c r="R81" s="26" t="n">
        <v>2</v>
      </c>
      <c r="S81" s="26" t="n">
        <v>2</v>
      </c>
      <c r="T81" s="23" t="n">
        <v>1</v>
      </c>
      <c r="U81" s="23" t="n">
        <v>1</v>
      </c>
      <c r="V81" s="23" t="n">
        <v>1</v>
      </c>
      <c r="W81" s="23" t="n">
        <v>1</v>
      </c>
      <c r="X81" s="23" t="n">
        <v>1</v>
      </c>
      <c r="Y81" s="23" t="n">
        <v>1</v>
      </c>
      <c r="Z81" s="23" t="n">
        <v>1</v>
      </c>
      <c r="AA81" s="23" t="n">
        <v>1</v>
      </c>
      <c r="AB81" s="23" t="n">
        <v>1</v>
      </c>
    </row>
    <row r="82" ht="22.5" customFormat="1" customHeight="1" s="25">
      <c r="A82" s="22" t="inlineStr">
        <is>
          <t>Dushin</t>
        </is>
      </c>
      <c r="B82" s="23" t="n">
        <v>11</v>
      </c>
      <c r="C82" s="23" t="n">
        <v>2</v>
      </c>
      <c r="D82" s="22" t="n">
        <v>79</v>
      </c>
      <c r="E82" s="23" t="inlineStr">
        <is>
          <t>YES</t>
        </is>
      </c>
      <c r="F82" s="23" t="inlineStr">
        <is>
          <t>YES</t>
        </is>
      </c>
      <c r="G82" s="23">
        <f>SUM(T82:AB82)</f>
        <v/>
      </c>
      <c r="H82" s="24">
        <f>G82/9</f>
        <v/>
      </c>
      <c r="I82" s="24">
        <f>0.5+(SUM(T82:AB82)/18)</f>
        <v/>
      </c>
      <c r="J82" s="23">
        <f>COUNTIF(K82:S82,"")</f>
        <v/>
      </c>
      <c r="K82" s="26" t="n">
        <v>4</v>
      </c>
      <c r="L82" s="26" t="n">
        <v>1</v>
      </c>
      <c r="M82" s="26" t="n">
        <v>2</v>
      </c>
      <c r="N82" s="26" t="n">
        <v>4</v>
      </c>
      <c r="O82" s="26" t="n">
        <v>3</v>
      </c>
      <c r="P82" s="26" t="n">
        <v>3</v>
      </c>
      <c r="Q82" s="26" t="n">
        <v>1</v>
      </c>
      <c r="R82" s="26" t="n">
        <v>2</v>
      </c>
      <c r="S82" s="26" t="n">
        <v>2</v>
      </c>
      <c r="T82" s="23" t="n">
        <v>0</v>
      </c>
      <c r="U82" s="23" t="n">
        <v>1</v>
      </c>
      <c r="V82" s="23" t="n">
        <v>0</v>
      </c>
      <c r="W82" s="23" t="n">
        <v>1</v>
      </c>
      <c r="X82" s="23" t="n">
        <v>1</v>
      </c>
      <c r="Y82" s="23" t="n">
        <v>1</v>
      </c>
      <c r="Z82" s="23" t="n">
        <v>1</v>
      </c>
      <c r="AA82" s="23" t="n">
        <v>1</v>
      </c>
      <c r="AB82" s="23" t="n">
        <v>1</v>
      </c>
    </row>
    <row r="83" ht="22.5" customFormat="1" customHeight="1" s="25">
      <c r="A83" s="22" t="inlineStr">
        <is>
          <t>Dushin</t>
        </is>
      </c>
      <c r="B83" s="23" t="n">
        <v>11</v>
      </c>
      <c r="C83" s="23" t="n">
        <v>2</v>
      </c>
      <c r="D83" s="22" t="n">
        <v>80</v>
      </c>
      <c r="E83" s="23" t="n"/>
      <c r="F83" s="23" t="n"/>
      <c r="G83" s="23">
        <f>SUM(T83:AB83)</f>
        <v/>
      </c>
      <c r="H83" s="24">
        <f>G83/9</f>
        <v/>
      </c>
      <c r="I83" s="24">
        <f>0.5+(SUM(T83:AB83)/18)</f>
        <v/>
      </c>
      <c r="J83" s="23">
        <f>COUNTIF(K83:S83,"")</f>
        <v/>
      </c>
      <c r="K83" s="26" t="n">
        <v>3</v>
      </c>
      <c r="L83" s="26" t="n">
        <v>1</v>
      </c>
      <c r="M83" s="26" t="n">
        <v>4</v>
      </c>
      <c r="N83" s="26" t="n">
        <v>4</v>
      </c>
      <c r="O83" s="26" t="n">
        <v>3</v>
      </c>
      <c r="P83" s="26" t="n">
        <v>3</v>
      </c>
      <c r="Q83" s="26" t="n">
        <v>1</v>
      </c>
      <c r="R83" s="26" t="n">
        <v>2</v>
      </c>
      <c r="S83" s="26" t="n">
        <v>2</v>
      </c>
      <c r="T83" s="23" t="n">
        <v>1</v>
      </c>
      <c r="U83" s="23" t="n">
        <v>1</v>
      </c>
      <c r="V83" s="23" t="n">
        <v>1</v>
      </c>
      <c r="W83" s="23" t="n">
        <v>1</v>
      </c>
      <c r="X83" s="23" t="n">
        <v>1</v>
      </c>
      <c r="Y83" s="23" t="n">
        <v>1</v>
      </c>
      <c r="Z83" s="23" t="n">
        <v>1</v>
      </c>
      <c r="AA83" s="23" t="n">
        <v>1</v>
      </c>
      <c r="AB83" s="23" t="n">
        <v>1</v>
      </c>
    </row>
    <row r="84" ht="22.5" customFormat="1" customHeight="1" s="25">
      <c r="A84" s="22" t="inlineStr">
        <is>
          <t>Dushin</t>
        </is>
      </c>
      <c r="B84" s="23" t="n">
        <v>11</v>
      </c>
      <c r="C84" s="23" t="n">
        <v>2</v>
      </c>
      <c r="D84" s="22" t="n">
        <v>81</v>
      </c>
      <c r="E84" s="23" t="n"/>
      <c r="F84" s="23" t="n"/>
      <c r="G84" s="23">
        <f>SUM(T84:AB84)</f>
        <v/>
      </c>
      <c r="H84" s="24">
        <f>G84/9</f>
        <v/>
      </c>
      <c r="I84" s="24">
        <f>0.5+(SUM(T84:AB84)/18)</f>
        <v/>
      </c>
      <c r="J84" s="23">
        <f>COUNTIF(K84:S84,"")</f>
        <v/>
      </c>
      <c r="K84" s="26" t="n">
        <v>3</v>
      </c>
      <c r="L84" s="26" t="n">
        <v>1</v>
      </c>
      <c r="M84" s="26" t="n">
        <v>4</v>
      </c>
      <c r="N84" s="26" t="n">
        <v>4</v>
      </c>
      <c r="O84" s="26" t="n">
        <v>3</v>
      </c>
      <c r="P84" s="26" t="n">
        <v>3</v>
      </c>
      <c r="Q84" s="26" t="n">
        <v>1</v>
      </c>
      <c r="R84" s="26" t="n">
        <v>2</v>
      </c>
      <c r="S84" s="26" t="n">
        <v>2</v>
      </c>
      <c r="T84" s="23" t="n">
        <v>1</v>
      </c>
      <c r="U84" s="23" t="n">
        <v>1</v>
      </c>
      <c r="V84" s="23" t="n">
        <v>1</v>
      </c>
      <c r="W84" s="23" t="n">
        <v>1</v>
      </c>
      <c r="X84" s="23" t="n">
        <v>1</v>
      </c>
      <c r="Y84" s="23" t="n">
        <v>1</v>
      </c>
      <c r="Z84" s="23" t="n">
        <v>1</v>
      </c>
      <c r="AA84" s="23" t="n">
        <v>1</v>
      </c>
      <c r="AB84" s="23" t="n">
        <v>1</v>
      </c>
    </row>
    <row r="85" ht="22.5" customFormat="1" customHeight="1" s="25">
      <c r="A85" s="22" t="inlineStr">
        <is>
          <t>Dushin</t>
        </is>
      </c>
      <c r="B85" s="23" t="n">
        <v>11</v>
      </c>
      <c r="C85" s="23" t="n">
        <v>2</v>
      </c>
      <c r="D85" s="22" t="n">
        <v>82</v>
      </c>
      <c r="E85" s="23" t="inlineStr">
        <is>
          <t>YES</t>
        </is>
      </c>
      <c r="F85" s="23" t="n"/>
      <c r="G85" s="23">
        <f>SUM(T85:AB85)</f>
        <v/>
      </c>
      <c r="H85" s="24">
        <f>G85/9</f>
        <v/>
      </c>
      <c r="I85" s="24">
        <f>0.5+(SUM(T85:AB85)/18)</f>
        <v/>
      </c>
      <c r="J85" s="23">
        <f>COUNTIF(K85:S85,"")</f>
        <v/>
      </c>
      <c r="K85" s="26" t="n">
        <v>3</v>
      </c>
      <c r="L85" s="26" t="n">
        <v>1</v>
      </c>
      <c r="M85" s="26" t="n">
        <v>2</v>
      </c>
      <c r="N85" s="26" t="n">
        <v>1</v>
      </c>
      <c r="O85" s="26" t="n">
        <v>2</v>
      </c>
      <c r="P85" s="26" t="n">
        <v>4</v>
      </c>
      <c r="Q85" s="26" t="n">
        <v>2</v>
      </c>
      <c r="R85" s="26" t="n">
        <v>3</v>
      </c>
      <c r="S85" s="26" t="n">
        <v>2</v>
      </c>
      <c r="T85" s="23" t="n">
        <v>1</v>
      </c>
      <c r="U85" s="23" t="n">
        <v>1</v>
      </c>
      <c r="V85" s="23" t="n">
        <v>0</v>
      </c>
      <c r="W85" s="23" t="n">
        <v>0</v>
      </c>
      <c r="X85" s="23" t="n">
        <v>0</v>
      </c>
      <c r="Y85" s="23" t="n">
        <v>0</v>
      </c>
      <c r="Z85" s="23" t="n">
        <v>0</v>
      </c>
      <c r="AA85" s="23" t="n">
        <v>0</v>
      </c>
      <c r="AB85" s="23" t="n">
        <v>1</v>
      </c>
    </row>
    <row r="86" ht="22.5" customFormat="1" customHeight="1" s="25">
      <c r="A86" s="22" t="inlineStr">
        <is>
          <t>Dushin</t>
        </is>
      </c>
      <c r="B86" s="23" t="n">
        <v>11</v>
      </c>
      <c r="C86" s="23" t="n">
        <v>2</v>
      </c>
      <c r="D86" s="22" t="n">
        <v>83</v>
      </c>
      <c r="E86" s="23" t="inlineStr">
        <is>
          <t>YES</t>
        </is>
      </c>
      <c r="F86" s="23" t="n"/>
      <c r="G86" s="23">
        <f>SUM(T86:AB86)</f>
        <v/>
      </c>
      <c r="H86" s="24">
        <f>G86/9</f>
        <v/>
      </c>
      <c r="I86" s="24">
        <f>0.5+(SUM(T86:AB86)/18)</f>
        <v/>
      </c>
      <c r="J86" s="23">
        <f>COUNTIF(K86:S86,"")</f>
        <v/>
      </c>
      <c r="K86" s="26" t="n">
        <v>1</v>
      </c>
      <c r="L86" s="26" t="n">
        <v>1</v>
      </c>
      <c r="M86" s="26" t="n">
        <v>3</v>
      </c>
      <c r="N86" s="26" t="n">
        <v>4</v>
      </c>
      <c r="O86" s="26" t="n">
        <v>4</v>
      </c>
      <c r="P86" s="26" t="n">
        <v>1</v>
      </c>
      <c r="Q86" s="26" t="n">
        <v>1</v>
      </c>
      <c r="R86" s="26" t="n">
        <v>2</v>
      </c>
      <c r="S86" s="26" t="n">
        <v>2</v>
      </c>
      <c r="T86" s="23" t="n">
        <v>0</v>
      </c>
      <c r="U86" s="23" t="n">
        <v>1</v>
      </c>
      <c r="V86" s="23" t="n">
        <v>0</v>
      </c>
      <c r="W86" s="23" t="n">
        <v>1</v>
      </c>
      <c r="X86" s="23" t="n">
        <v>0</v>
      </c>
      <c r="Y86" s="23" t="n">
        <v>0</v>
      </c>
      <c r="Z86" s="23" t="n">
        <v>1</v>
      </c>
      <c r="AA86" s="23" t="n">
        <v>1</v>
      </c>
      <c r="AB86" s="23" t="n">
        <v>1</v>
      </c>
    </row>
    <row r="87" ht="22.5" customFormat="1" customHeight="1" s="25">
      <c r="A87" s="22" t="inlineStr">
        <is>
          <t>Dushin</t>
        </is>
      </c>
      <c r="B87" s="23" t="n">
        <v>11</v>
      </c>
      <c r="C87" s="23" t="n">
        <v>4</v>
      </c>
      <c r="D87" s="22" t="n">
        <v>84</v>
      </c>
      <c r="E87" s="23" t="n"/>
      <c r="F87" s="23" t="n"/>
      <c r="G87" s="23">
        <f>SUM(T87:AB87)</f>
        <v/>
      </c>
      <c r="H87" s="24">
        <f>G87/9</f>
        <v/>
      </c>
      <c r="I87" s="24">
        <f>0.5+(SUM(T87:AB87)/18)</f>
        <v/>
      </c>
      <c r="J87" s="23">
        <f>COUNTIF(K87:S87,"")</f>
        <v/>
      </c>
      <c r="K87" s="26" t="n">
        <v>3</v>
      </c>
      <c r="L87" s="26" t="n">
        <v>1</v>
      </c>
      <c r="M87" s="26" t="n">
        <v>4</v>
      </c>
      <c r="N87" s="26" t="n">
        <v>3</v>
      </c>
      <c r="O87" s="26" t="n">
        <v>3</v>
      </c>
      <c r="P87" s="26" t="n">
        <v>3</v>
      </c>
      <c r="Q87" s="26" t="n">
        <v>1</v>
      </c>
      <c r="R87" s="26" t="n">
        <v>2</v>
      </c>
      <c r="S87" s="26" t="n">
        <v>4</v>
      </c>
      <c r="T87" s="23" t="n">
        <v>1</v>
      </c>
      <c r="U87" s="23" t="n">
        <v>1</v>
      </c>
      <c r="V87" s="23" t="n">
        <v>1</v>
      </c>
      <c r="W87" s="23" t="n">
        <v>0</v>
      </c>
      <c r="X87" s="23" t="n">
        <v>1</v>
      </c>
      <c r="Y87" s="23" t="n">
        <v>1</v>
      </c>
      <c r="Z87" s="23" t="n">
        <v>1</v>
      </c>
      <c r="AA87" s="23" t="n">
        <v>1</v>
      </c>
      <c r="AB87" s="23" t="n">
        <v>0</v>
      </c>
    </row>
    <row r="88" ht="22.5" customFormat="1" customHeight="1" s="25">
      <c r="A88" s="22" t="inlineStr">
        <is>
          <t>Dushin</t>
        </is>
      </c>
      <c r="B88" s="23" t="n">
        <v>11</v>
      </c>
      <c r="C88" s="23" t="n">
        <v>4</v>
      </c>
      <c r="D88" s="22" t="n">
        <v>85</v>
      </c>
      <c r="E88" s="23" t="n"/>
      <c r="F88" s="23" t="inlineStr">
        <is>
          <t>YES</t>
        </is>
      </c>
      <c r="G88" s="23">
        <f>SUM(T88:AB88)</f>
        <v/>
      </c>
      <c r="H88" s="24">
        <f>G88/9</f>
        <v/>
      </c>
      <c r="I88" s="24">
        <f>0.5+(SUM(T88:AB88)/18)</f>
        <v/>
      </c>
      <c r="J88" s="23">
        <f>COUNTIF(K88:S88,"")</f>
        <v/>
      </c>
      <c r="K88" s="26" t="n">
        <v>4</v>
      </c>
      <c r="L88" s="26" t="n">
        <v>1</v>
      </c>
      <c r="M88" s="26" t="n">
        <v>4</v>
      </c>
      <c r="N88" s="26" t="n">
        <v>2</v>
      </c>
      <c r="O88" s="26" t="n">
        <v>3</v>
      </c>
      <c r="P88" s="26" t="n">
        <v>3</v>
      </c>
      <c r="Q88" s="26" t="n">
        <v>1</v>
      </c>
      <c r="R88" s="26" t="n">
        <v>2</v>
      </c>
      <c r="S88" s="26" t="n">
        <v>2</v>
      </c>
      <c r="T88" s="23" t="n">
        <v>0</v>
      </c>
      <c r="U88" s="23" t="n">
        <v>1</v>
      </c>
      <c r="V88" s="23" t="n">
        <v>1</v>
      </c>
      <c r="W88" s="23" t="n">
        <v>0</v>
      </c>
      <c r="X88" s="23" t="n">
        <v>1</v>
      </c>
      <c r="Y88" s="23" t="n">
        <v>1</v>
      </c>
      <c r="Z88" s="23" t="n">
        <v>1</v>
      </c>
      <c r="AA88" s="23" t="n">
        <v>1</v>
      </c>
      <c r="AB88" s="23" t="n">
        <v>1</v>
      </c>
    </row>
    <row r="89" ht="22.5" customFormat="1" customHeight="1" s="25">
      <c r="A89" s="22" t="inlineStr">
        <is>
          <t>Dushin</t>
        </is>
      </c>
      <c r="B89" s="23" t="n">
        <v>11</v>
      </c>
      <c r="C89" s="23" t="n">
        <v>4</v>
      </c>
      <c r="D89" s="22" t="n">
        <v>86</v>
      </c>
      <c r="E89" s="23" t="n"/>
      <c r="F89" s="23" t="n"/>
      <c r="G89" s="23">
        <f>SUM(T89:AB89)</f>
        <v/>
      </c>
      <c r="H89" s="24">
        <f>G89/9</f>
        <v/>
      </c>
      <c r="I89" s="24">
        <f>0.5+(SUM(T89:AB89)/18)</f>
        <v/>
      </c>
      <c r="J89" s="23">
        <f>COUNTIF(K89:S89,"")</f>
        <v/>
      </c>
      <c r="K89" s="26" t="n">
        <v>3</v>
      </c>
      <c r="L89" s="26" t="n">
        <v>1</v>
      </c>
      <c r="M89" s="26" t="n">
        <v>4</v>
      </c>
      <c r="N89" s="26" t="n">
        <v>4</v>
      </c>
      <c r="O89" s="26" t="n">
        <v>3</v>
      </c>
      <c r="P89" s="26" t="n">
        <v>3</v>
      </c>
      <c r="Q89" s="26" t="n">
        <v>1</v>
      </c>
      <c r="R89" s="26" t="n">
        <v>2</v>
      </c>
      <c r="S89" s="26" t="n">
        <v>2</v>
      </c>
      <c r="T89" s="23" t="n">
        <v>1</v>
      </c>
      <c r="U89" s="23" t="n">
        <v>1</v>
      </c>
      <c r="V89" s="23" t="n">
        <v>1</v>
      </c>
      <c r="W89" s="23" t="n">
        <v>1</v>
      </c>
      <c r="X89" s="23" t="n">
        <v>1</v>
      </c>
      <c r="Y89" s="23" t="n">
        <v>1</v>
      </c>
      <c r="Z89" s="23" t="n">
        <v>1</v>
      </c>
      <c r="AA89" s="23" t="n">
        <v>1</v>
      </c>
      <c r="AB89" s="23" t="n">
        <v>1</v>
      </c>
    </row>
    <row r="90" ht="22.5" customFormat="1" customHeight="1" s="25">
      <c r="A90" s="22" t="inlineStr">
        <is>
          <t>Dushin</t>
        </is>
      </c>
      <c r="B90" s="23" t="n">
        <v>11</v>
      </c>
      <c r="C90" s="23" t="n">
        <v>4</v>
      </c>
      <c r="D90" s="22" t="n">
        <v>87</v>
      </c>
      <c r="E90" s="23" t="n"/>
      <c r="F90" s="23" t="n"/>
      <c r="G90" s="23">
        <f>SUM(T90:AB90)</f>
        <v/>
      </c>
      <c r="H90" s="24">
        <f>G90/9</f>
        <v/>
      </c>
      <c r="I90" s="24">
        <f>0.5+(SUM(T90:AB90)/18)</f>
        <v/>
      </c>
      <c r="J90" s="23">
        <f>COUNTIF(K90:S90,"")</f>
        <v/>
      </c>
      <c r="K90" s="26" t="n">
        <v>3</v>
      </c>
      <c r="L90" s="26" t="n">
        <v>1</v>
      </c>
      <c r="M90" s="26" t="n">
        <v>4</v>
      </c>
      <c r="N90" s="26" t="n">
        <v>4</v>
      </c>
      <c r="O90" s="26" t="n">
        <v>3</v>
      </c>
      <c r="P90" s="26" t="n">
        <v>3</v>
      </c>
      <c r="Q90" s="26" t="n">
        <v>1</v>
      </c>
      <c r="R90" s="26" t="n">
        <v>2</v>
      </c>
      <c r="S90" s="26" t="n">
        <v>2</v>
      </c>
      <c r="T90" s="23" t="n">
        <v>1</v>
      </c>
      <c r="U90" s="23" t="n">
        <v>1</v>
      </c>
      <c r="V90" s="23" t="n">
        <v>1</v>
      </c>
      <c r="W90" s="23" t="n">
        <v>1</v>
      </c>
      <c r="X90" s="23" t="n">
        <v>1</v>
      </c>
      <c r="Y90" s="23" t="n">
        <v>1</v>
      </c>
      <c r="Z90" s="23" t="n">
        <v>1</v>
      </c>
      <c r="AA90" s="23" t="n">
        <v>1</v>
      </c>
      <c r="AB90" s="23" t="n">
        <v>1</v>
      </c>
    </row>
    <row r="91" ht="22.5" customFormat="1" customHeight="1" s="25">
      <c r="A91" s="22" t="inlineStr">
        <is>
          <t>Dushin</t>
        </is>
      </c>
      <c r="B91" s="23" t="n">
        <v>11</v>
      </c>
      <c r="C91" s="23" t="n">
        <v>4</v>
      </c>
      <c r="D91" s="22" t="n">
        <v>88</v>
      </c>
      <c r="E91" s="23" t="n"/>
      <c r="F91" s="23" t="n"/>
      <c r="G91" s="23">
        <f>SUM(T91:AB91)</f>
        <v/>
      </c>
      <c r="H91" s="24">
        <f>G91/9</f>
        <v/>
      </c>
      <c r="I91" s="24">
        <f>0.5+(SUM(T91:AB91)/18)</f>
        <v/>
      </c>
      <c r="J91" s="23">
        <f>COUNTIF(K91:S91,"")</f>
        <v/>
      </c>
      <c r="K91" s="26" t="n">
        <v>1</v>
      </c>
      <c r="L91" s="26" t="n">
        <v>1</v>
      </c>
      <c r="M91" s="26" t="n">
        <v>3</v>
      </c>
      <c r="N91" s="26" t="n">
        <v>3</v>
      </c>
      <c r="O91" s="26" t="n">
        <v>2</v>
      </c>
      <c r="P91" s="26" t="n">
        <v>2</v>
      </c>
      <c r="Q91" s="26" t="n">
        <v>1</v>
      </c>
      <c r="R91" s="26" t="n">
        <v>3</v>
      </c>
      <c r="S91" s="26" t="n">
        <v>1</v>
      </c>
      <c r="T91" s="23" t="n">
        <v>0</v>
      </c>
      <c r="U91" s="23" t="n">
        <v>1</v>
      </c>
      <c r="V91" s="23" t="n">
        <v>0</v>
      </c>
      <c r="W91" s="23" t="n">
        <v>0</v>
      </c>
      <c r="X91" s="23" t="n">
        <v>0</v>
      </c>
      <c r="Y91" s="23" t="n">
        <v>0</v>
      </c>
      <c r="Z91" s="23" t="n">
        <v>1</v>
      </c>
      <c r="AA91" s="23" t="n">
        <v>0</v>
      </c>
      <c r="AB91" s="23" t="n">
        <v>0</v>
      </c>
    </row>
    <row r="92" ht="22.5" customFormat="1" customHeight="1" s="25">
      <c r="A92" s="22" t="inlineStr">
        <is>
          <t>Dushin</t>
        </is>
      </c>
      <c r="B92" s="23" t="n">
        <v>11</v>
      </c>
      <c r="C92" s="23" t="n">
        <v>4</v>
      </c>
      <c r="D92" s="22" t="n">
        <v>89</v>
      </c>
      <c r="E92" s="23" t="n"/>
      <c r="F92" s="23" t="n"/>
      <c r="G92" s="23">
        <f>SUM(T92:AB92)</f>
        <v/>
      </c>
      <c r="H92" s="24">
        <f>G92/9</f>
        <v/>
      </c>
      <c r="I92" s="24">
        <f>0.5+(SUM(T92:AB92)/18)</f>
        <v/>
      </c>
      <c r="J92" s="23">
        <f>COUNTIF(K92:S92,"")</f>
        <v/>
      </c>
      <c r="K92" s="26" t="n">
        <v>3</v>
      </c>
      <c r="L92" s="26" t="n">
        <v>1</v>
      </c>
      <c r="M92" s="26" t="n">
        <v>4</v>
      </c>
      <c r="N92" s="26" t="n">
        <v>4</v>
      </c>
      <c r="O92" s="26" t="n">
        <v>3</v>
      </c>
      <c r="P92" s="26" t="n">
        <v>3</v>
      </c>
      <c r="Q92" s="26" t="n">
        <v>1</v>
      </c>
      <c r="R92" s="26" t="n">
        <v>2</v>
      </c>
      <c r="S92" s="26" t="n">
        <v>2</v>
      </c>
      <c r="T92" s="23" t="n">
        <v>1</v>
      </c>
      <c r="U92" s="23" t="n">
        <v>1</v>
      </c>
      <c r="V92" s="23" t="n">
        <v>1</v>
      </c>
      <c r="W92" s="23" t="n">
        <v>1</v>
      </c>
      <c r="X92" s="23" t="n">
        <v>1</v>
      </c>
      <c r="Y92" s="23" t="n">
        <v>1</v>
      </c>
      <c r="Z92" s="23" t="n">
        <v>1</v>
      </c>
      <c r="AA92" s="23" t="n">
        <v>1</v>
      </c>
      <c r="AB92" s="23" t="n">
        <v>1</v>
      </c>
    </row>
    <row r="93" ht="22.5" customFormat="1" customHeight="1" s="25">
      <c r="A93" s="22" t="inlineStr">
        <is>
          <t>Dushin</t>
        </is>
      </c>
      <c r="B93" s="23" t="n">
        <v>11</v>
      </c>
      <c r="C93" s="23" t="n">
        <v>4</v>
      </c>
      <c r="D93" s="22" t="n">
        <v>90</v>
      </c>
      <c r="E93" s="23" t="n"/>
      <c r="F93" s="23" t="n"/>
      <c r="G93" s="23">
        <f>SUM(T93:AB93)</f>
        <v/>
      </c>
      <c r="H93" s="24">
        <f>G93/9</f>
        <v/>
      </c>
      <c r="I93" s="24">
        <f>0.5+(SUM(T93:AB93)/18)</f>
        <v/>
      </c>
      <c r="J93" s="23">
        <f>COUNTIF(K93:S93,"")</f>
        <v/>
      </c>
      <c r="K93" s="26" t="n">
        <v>3</v>
      </c>
      <c r="L93" s="26" t="n">
        <v>1</v>
      </c>
      <c r="M93" s="26" t="n">
        <v>4</v>
      </c>
      <c r="N93" s="26" t="n">
        <v>4</v>
      </c>
      <c r="O93" s="26" t="n">
        <v>3</v>
      </c>
      <c r="P93" s="26" t="n">
        <v>3</v>
      </c>
      <c r="Q93" s="26" t="n">
        <v>1</v>
      </c>
      <c r="R93" s="26" t="n">
        <v>2</v>
      </c>
      <c r="S93" s="26" t="n">
        <v>2</v>
      </c>
      <c r="T93" s="23" t="n">
        <v>1</v>
      </c>
      <c r="U93" s="23" t="n">
        <v>1</v>
      </c>
      <c r="V93" s="23" t="n">
        <v>1</v>
      </c>
      <c r="W93" s="23" t="n">
        <v>1</v>
      </c>
      <c r="X93" s="23" t="n">
        <v>1</v>
      </c>
      <c r="Y93" s="23" t="n">
        <v>1</v>
      </c>
      <c r="Z93" s="23" t="n">
        <v>1</v>
      </c>
      <c r="AA93" s="23" t="n">
        <v>1</v>
      </c>
      <c r="AB93" s="23" t="n">
        <v>1</v>
      </c>
    </row>
    <row r="94" ht="22.5" customFormat="1" customHeight="1" s="25">
      <c r="A94" s="22" t="inlineStr">
        <is>
          <t>Dushin</t>
        </is>
      </c>
      <c r="B94" s="23" t="n">
        <v>11</v>
      </c>
      <c r="C94" s="23" t="n">
        <v>4</v>
      </c>
      <c r="D94" s="22" t="n">
        <v>91</v>
      </c>
      <c r="E94" s="23" t="n"/>
      <c r="F94" s="23" t="n"/>
      <c r="G94" s="23">
        <f>SUM(T94:AB94)</f>
        <v/>
      </c>
      <c r="H94" s="24">
        <f>G94/9</f>
        <v/>
      </c>
      <c r="I94" s="24">
        <f>0.5+(SUM(T94:AB94)/18)</f>
        <v/>
      </c>
      <c r="J94" s="23">
        <f>COUNTIF(K94:S94,"")</f>
        <v/>
      </c>
      <c r="K94" s="26" t="n">
        <v>4</v>
      </c>
      <c r="L94" s="26" t="n">
        <v>1</v>
      </c>
      <c r="M94" s="26" t="n">
        <v>4</v>
      </c>
      <c r="N94" s="26" t="n">
        <v>4</v>
      </c>
      <c r="O94" s="26" t="n">
        <v>3</v>
      </c>
      <c r="P94" s="26" t="n">
        <v>3</v>
      </c>
      <c r="Q94" s="26" t="n">
        <v>1</v>
      </c>
      <c r="R94" s="26" t="n">
        <v>3</v>
      </c>
      <c r="S94" s="26" t="n">
        <v>2</v>
      </c>
      <c r="T94" s="23" t="n">
        <v>0</v>
      </c>
      <c r="U94" s="23" t="n">
        <v>1</v>
      </c>
      <c r="V94" s="23" t="n">
        <v>1</v>
      </c>
      <c r="W94" s="23" t="n">
        <v>1</v>
      </c>
      <c r="X94" s="23" t="n">
        <v>1</v>
      </c>
      <c r="Y94" s="23" t="n">
        <v>1</v>
      </c>
      <c r="Z94" s="23" t="n">
        <v>1</v>
      </c>
      <c r="AA94" s="23" t="n">
        <v>0</v>
      </c>
      <c r="AB94" s="23" t="n">
        <v>1</v>
      </c>
    </row>
    <row r="95" ht="22.5" customFormat="1" customHeight="1" s="25">
      <c r="A95" s="22" t="inlineStr">
        <is>
          <t>Dushin</t>
        </is>
      </c>
      <c r="B95" s="23" t="n">
        <v>11</v>
      </c>
      <c r="C95" s="23" t="n">
        <v>4</v>
      </c>
      <c r="D95" s="22" t="n">
        <v>92</v>
      </c>
      <c r="E95" s="23" t="n"/>
      <c r="F95" s="23" t="inlineStr">
        <is>
          <t>YES</t>
        </is>
      </c>
      <c r="G95" s="23">
        <f>SUM(T95:AB95)</f>
        <v/>
      </c>
      <c r="H95" s="24">
        <f>G95/9</f>
        <v/>
      </c>
      <c r="I95" s="24">
        <f>0.5+(SUM(T95:AB95)/18)</f>
        <v/>
      </c>
      <c r="J95" s="23">
        <f>COUNTIF(K95:S95,"")</f>
        <v/>
      </c>
      <c r="K95" s="26" t="n"/>
      <c r="L95" s="26" t="n">
        <v>1</v>
      </c>
      <c r="M95" s="26" t="n">
        <v>3</v>
      </c>
      <c r="N95" s="26" t="n">
        <v>3</v>
      </c>
      <c r="O95" s="26" t="n">
        <v>2</v>
      </c>
      <c r="P95" s="26" t="n"/>
      <c r="Q95" s="26" t="n"/>
      <c r="R95" s="26" t="n"/>
      <c r="S95" s="26" t="n"/>
      <c r="T95" s="23" t="n">
        <v>0</v>
      </c>
      <c r="U95" s="23" t="n">
        <v>1</v>
      </c>
      <c r="V95" s="23" t="n">
        <v>0</v>
      </c>
      <c r="W95" s="23" t="n">
        <v>0</v>
      </c>
      <c r="X95" s="23" t="n">
        <v>0</v>
      </c>
      <c r="Y95" s="23" t="n">
        <v>0</v>
      </c>
      <c r="Z95" s="23" t="n">
        <v>0</v>
      </c>
      <c r="AA95" s="23" t="n">
        <v>0</v>
      </c>
      <c r="AB95" s="23" t="n">
        <v>0</v>
      </c>
    </row>
    <row r="96" ht="22.5" customFormat="1" customHeight="1" s="25">
      <c r="A96" s="22" t="inlineStr">
        <is>
          <t>Dushin</t>
        </is>
      </c>
      <c r="B96" s="23" t="n">
        <v>11</v>
      </c>
      <c r="C96" s="23" t="n">
        <v>4</v>
      </c>
      <c r="D96" s="22" t="n">
        <v>93</v>
      </c>
      <c r="E96" s="23" t="n"/>
      <c r="F96" s="23" t="inlineStr">
        <is>
          <t>YES</t>
        </is>
      </c>
      <c r="G96" s="23">
        <f>SUM(T96:AB96)</f>
        <v/>
      </c>
      <c r="H96" s="24">
        <f>G96/9</f>
        <v/>
      </c>
      <c r="I96" s="24">
        <f>0.5+(SUM(T96:AB96)/18)</f>
        <v/>
      </c>
      <c r="J96" s="23">
        <f>COUNTIF(K96:S96,"")</f>
        <v/>
      </c>
      <c r="K96" s="26" t="n">
        <v>4</v>
      </c>
      <c r="L96" s="26" t="n">
        <v>1</v>
      </c>
      <c r="M96" s="26" t="n">
        <v>3</v>
      </c>
      <c r="N96" s="26" t="n">
        <v>4</v>
      </c>
      <c r="O96" s="26" t="n">
        <v>2</v>
      </c>
      <c r="P96" s="26" t="n">
        <v>1</v>
      </c>
      <c r="Q96" s="26" t="n">
        <v>1</v>
      </c>
      <c r="R96" s="26" t="n">
        <v>2</v>
      </c>
      <c r="S96" s="26" t="n">
        <v>1</v>
      </c>
      <c r="T96" s="23" t="n">
        <v>0</v>
      </c>
      <c r="U96" s="23" t="n">
        <v>1</v>
      </c>
      <c r="V96" s="23" t="n">
        <v>0</v>
      </c>
      <c r="W96" s="23" t="n">
        <v>1</v>
      </c>
      <c r="X96" s="23" t="n">
        <v>0</v>
      </c>
      <c r="Y96" s="23" t="n">
        <v>0</v>
      </c>
      <c r="Z96" s="23" t="n">
        <v>1</v>
      </c>
      <c r="AA96" s="23" t="n">
        <v>1</v>
      </c>
      <c r="AB96" s="23" t="n">
        <v>0</v>
      </c>
    </row>
    <row r="97" ht="22.5" customFormat="1" customHeight="1" s="25">
      <c r="A97" s="22" t="inlineStr">
        <is>
          <t>Dushin</t>
        </is>
      </c>
      <c r="B97" s="23" t="n">
        <v>11</v>
      </c>
      <c r="C97" s="23" t="n">
        <v>4</v>
      </c>
      <c r="D97" s="22" t="n">
        <v>94</v>
      </c>
      <c r="E97" s="23" t="n"/>
      <c r="F97" s="23" t="n"/>
      <c r="G97" s="23">
        <f>SUM(T97:AB97)</f>
        <v/>
      </c>
      <c r="H97" s="24">
        <f>G97/9</f>
        <v/>
      </c>
      <c r="I97" s="24">
        <f>0.5+(SUM(T97:AB97)/18)</f>
        <v/>
      </c>
      <c r="J97" s="23">
        <f>COUNTIF(K97:S97,"")</f>
        <v/>
      </c>
      <c r="K97" s="26" t="n">
        <v>1</v>
      </c>
      <c r="L97" s="26" t="n">
        <v>1</v>
      </c>
      <c r="M97" s="26" t="n">
        <v>3</v>
      </c>
      <c r="N97" s="26" t="n">
        <v>4</v>
      </c>
      <c r="O97" s="26" t="n">
        <v>4</v>
      </c>
      <c r="P97" s="26" t="n">
        <v>2</v>
      </c>
      <c r="Q97" s="26" t="n">
        <v>1</v>
      </c>
      <c r="R97" s="26" t="n">
        <v>2</v>
      </c>
      <c r="S97" s="26" t="n">
        <v>2</v>
      </c>
      <c r="T97" s="23" t="n">
        <v>0</v>
      </c>
      <c r="U97" s="23" t="n">
        <v>1</v>
      </c>
      <c r="V97" s="23" t="n">
        <v>0</v>
      </c>
      <c r="W97" s="23" t="n">
        <v>1</v>
      </c>
      <c r="X97" s="23" t="n">
        <v>0</v>
      </c>
      <c r="Y97" s="23" t="n">
        <v>0</v>
      </c>
      <c r="Z97" s="23" t="n">
        <v>1</v>
      </c>
      <c r="AA97" s="23" t="n">
        <v>1</v>
      </c>
      <c r="AB97" s="23" t="n">
        <v>1</v>
      </c>
    </row>
    <row r="98" ht="22.5" customFormat="1" customHeight="1" s="25">
      <c r="A98" s="22" t="inlineStr">
        <is>
          <t>Dushin</t>
        </is>
      </c>
      <c r="B98" s="23" t="n">
        <v>11</v>
      </c>
      <c r="C98" s="23" t="n">
        <v>4</v>
      </c>
      <c r="D98" s="22" t="n">
        <v>95</v>
      </c>
      <c r="E98" s="23" t="n"/>
      <c r="F98" s="23" t="inlineStr">
        <is>
          <t>YES</t>
        </is>
      </c>
      <c r="G98" s="23">
        <f>SUM(T98:AB98)</f>
        <v/>
      </c>
      <c r="H98" s="24">
        <f>G98/9</f>
        <v/>
      </c>
      <c r="I98" s="24">
        <f>0.5+(SUM(T98:AB98)/18)</f>
        <v/>
      </c>
      <c r="J98" s="23">
        <f>COUNTIF(K98:S98,"")</f>
        <v/>
      </c>
      <c r="K98" s="26" t="n">
        <v>3</v>
      </c>
      <c r="L98" s="26" t="n">
        <v>1</v>
      </c>
      <c r="M98" s="26" t="n">
        <v>4</v>
      </c>
      <c r="N98" s="26" t="n">
        <v>4</v>
      </c>
      <c r="O98" s="26" t="n">
        <v>3</v>
      </c>
      <c r="P98" s="26" t="n">
        <v>3</v>
      </c>
      <c r="Q98" s="26" t="n">
        <v>1</v>
      </c>
      <c r="R98" s="26" t="n">
        <v>2</v>
      </c>
      <c r="S98" s="26" t="n">
        <v>2</v>
      </c>
      <c r="T98" s="23" t="n">
        <v>1</v>
      </c>
      <c r="U98" s="23" t="n">
        <v>1</v>
      </c>
      <c r="V98" s="23" t="n">
        <v>1</v>
      </c>
      <c r="W98" s="23" t="n">
        <v>1</v>
      </c>
      <c r="X98" s="23" t="n">
        <v>1</v>
      </c>
      <c r="Y98" s="23" t="n">
        <v>1</v>
      </c>
      <c r="Z98" s="23" t="n">
        <v>1</v>
      </c>
      <c r="AA98" s="23" t="n">
        <v>1</v>
      </c>
      <c r="AB98" s="23" t="n">
        <v>1</v>
      </c>
    </row>
    <row r="99" ht="22.5" customFormat="1" customHeight="1" s="25">
      <c r="A99" s="22" t="inlineStr">
        <is>
          <t>Dushin</t>
        </is>
      </c>
      <c r="B99" s="23" t="n">
        <v>11</v>
      </c>
      <c r="C99" s="23" t="n">
        <v>4</v>
      </c>
      <c r="D99" s="22" t="n">
        <v>96</v>
      </c>
      <c r="E99" s="23" t="n"/>
      <c r="F99" s="23" t="n"/>
      <c r="G99" s="23">
        <f>SUM(T99:AB99)</f>
        <v/>
      </c>
      <c r="H99" s="24">
        <f>G99/9</f>
        <v/>
      </c>
      <c r="I99" s="24">
        <f>0.5+(SUM(T99:AB99)/18)</f>
        <v/>
      </c>
      <c r="J99" s="23">
        <f>COUNTIF(K99:S99,"")</f>
        <v/>
      </c>
      <c r="K99" s="26" t="n">
        <v>3</v>
      </c>
      <c r="L99" s="26" t="n">
        <v>1</v>
      </c>
      <c r="M99" s="26" t="n">
        <v>4</v>
      </c>
      <c r="N99" s="26" t="n">
        <v>4</v>
      </c>
      <c r="O99" s="26" t="n">
        <v>3</v>
      </c>
      <c r="P99" s="26" t="n">
        <v>3</v>
      </c>
      <c r="Q99" s="26" t="n">
        <v>1</v>
      </c>
      <c r="R99" s="26" t="n">
        <v>2</v>
      </c>
      <c r="S99" s="26" t="n">
        <v>2</v>
      </c>
      <c r="T99" s="23" t="n">
        <v>1</v>
      </c>
      <c r="U99" s="23" t="n">
        <v>1</v>
      </c>
      <c r="V99" s="23" t="n">
        <v>1</v>
      </c>
      <c r="W99" s="23" t="n">
        <v>1</v>
      </c>
      <c r="X99" s="23" t="n">
        <v>1</v>
      </c>
      <c r="Y99" s="23" t="n">
        <v>1</v>
      </c>
      <c r="Z99" s="23" t="n">
        <v>1</v>
      </c>
      <c r="AA99" s="23" t="n">
        <v>1</v>
      </c>
      <c r="AB99" s="23" t="n">
        <v>1</v>
      </c>
    </row>
    <row r="100" ht="22.5" customFormat="1" customHeight="1" s="25">
      <c r="A100" s="22" t="inlineStr">
        <is>
          <t>Dushin</t>
        </is>
      </c>
      <c r="B100" s="23" t="n">
        <v>11</v>
      </c>
      <c r="C100" s="23" t="n">
        <v>4</v>
      </c>
      <c r="D100" s="22" t="n">
        <v>97</v>
      </c>
      <c r="E100" s="23" t="n"/>
      <c r="F100" s="23" t="inlineStr">
        <is>
          <t>YES</t>
        </is>
      </c>
      <c r="G100" s="23">
        <f>SUM(T100:AB100)</f>
        <v/>
      </c>
      <c r="H100" s="24">
        <f>G100/9</f>
        <v/>
      </c>
      <c r="I100" s="24">
        <f>0.5+(SUM(T100:AB100)/18)</f>
        <v/>
      </c>
      <c r="J100" s="23">
        <f>COUNTIF(K100:S100,"")</f>
        <v/>
      </c>
      <c r="K100" s="26" t="n">
        <v>3</v>
      </c>
      <c r="L100" s="26" t="n">
        <v>1</v>
      </c>
      <c r="M100" s="26" t="n">
        <v>3</v>
      </c>
      <c r="N100" s="26" t="n">
        <v>4</v>
      </c>
      <c r="O100" s="26" t="n">
        <v>3</v>
      </c>
      <c r="P100" s="26" t="n">
        <v>3</v>
      </c>
      <c r="Q100" s="26" t="n">
        <v>1</v>
      </c>
      <c r="R100" s="26" t="n">
        <v>2</v>
      </c>
      <c r="S100" s="26" t="n">
        <v>2</v>
      </c>
      <c r="T100" s="23" t="n">
        <v>1</v>
      </c>
      <c r="U100" s="23" t="n">
        <v>1</v>
      </c>
      <c r="V100" s="23" t="n">
        <v>0</v>
      </c>
      <c r="W100" s="23" t="n">
        <v>1</v>
      </c>
      <c r="X100" s="23" t="n">
        <v>1</v>
      </c>
      <c r="Y100" s="23" t="n">
        <v>1</v>
      </c>
      <c r="Z100" s="23" t="n">
        <v>1</v>
      </c>
      <c r="AA100" s="23" t="n">
        <v>1</v>
      </c>
      <c r="AB100" s="23" t="n">
        <v>1</v>
      </c>
    </row>
    <row r="101" ht="22.5" customFormat="1" customHeight="1" s="25">
      <c r="A101" s="22" t="inlineStr">
        <is>
          <t>Dushin</t>
        </is>
      </c>
      <c r="B101" s="23" t="n">
        <v>11</v>
      </c>
      <c r="C101" s="23" t="n">
        <v>4</v>
      </c>
      <c r="D101" s="22" t="n">
        <v>98</v>
      </c>
      <c r="E101" s="23" t="n"/>
      <c r="F101" s="23" t="n"/>
      <c r="G101" s="23">
        <f>SUM(T101:AB101)</f>
        <v/>
      </c>
      <c r="H101" s="24">
        <f>G101/9</f>
        <v/>
      </c>
      <c r="I101" s="24">
        <f>0.5+(SUM(T101:AB101)/18)</f>
        <v/>
      </c>
      <c r="J101" s="23">
        <f>COUNTIF(K101:S101,"")</f>
        <v/>
      </c>
      <c r="K101" s="26" t="n">
        <v>1</v>
      </c>
      <c r="L101" s="26" t="n">
        <v>1</v>
      </c>
      <c r="M101" s="26" t="n">
        <v>3</v>
      </c>
      <c r="N101" s="26" t="n">
        <v>4</v>
      </c>
      <c r="O101" s="26" t="n">
        <v>3</v>
      </c>
      <c r="P101" s="26" t="n">
        <v>1</v>
      </c>
      <c r="Q101" s="26" t="n">
        <v>1</v>
      </c>
      <c r="R101" s="26" t="n">
        <v>2</v>
      </c>
      <c r="S101" s="26" t="n">
        <v>2</v>
      </c>
      <c r="T101" s="23" t="n">
        <v>0</v>
      </c>
      <c r="U101" s="23" t="n">
        <v>1</v>
      </c>
      <c r="V101" s="23" t="n">
        <v>0</v>
      </c>
      <c r="W101" s="23" t="n">
        <v>1</v>
      </c>
      <c r="X101" s="23" t="n">
        <v>1</v>
      </c>
      <c r="Y101" s="23" t="n">
        <v>0</v>
      </c>
      <c r="Z101" s="23" t="n">
        <v>1</v>
      </c>
      <c r="AA101" s="23" t="n">
        <v>1</v>
      </c>
      <c r="AB101" s="23" t="n">
        <v>1</v>
      </c>
    </row>
    <row r="102" ht="22.5" customFormat="1" customHeight="1" s="25">
      <c r="A102" s="22" t="inlineStr">
        <is>
          <t>Dushin</t>
        </is>
      </c>
      <c r="B102" s="23" t="n">
        <v>11</v>
      </c>
      <c r="C102" s="23" t="n">
        <v>4</v>
      </c>
      <c r="D102" s="22" t="n">
        <v>99</v>
      </c>
      <c r="E102" s="23" t="n"/>
      <c r="F102" s="23" t="n"/>
      <c r="G102" s="23">
        <f>SUM(T102:AB102)</f>
        <v/>
      </c>
      <c r="H102" s="24">
        <f>G102/9</f>
        <v/>
      </c>
      <c r="I102" s="24">
        <f>0.5+(SUM(T102:AB102)/18)</f>
        <v/>
      </c>
      <c r="J102" s="23">
        <f>COUNTIF(K102:S102,"")</f>
        <v/>
      </c>
      <c r="K102" s="26" t="n">
        <v>4</v>
      </c>
      <c r="L102" s="26" t="n">
        <v>1</v>
      </c>
      <c r="M102" s="26" t="n">
        <v>3</v>
      </c>
      <c r="N102" s="26" t="n">
        <v>4</v>
      </c>
      <c r="O102" s="26" t="n">
        <v>3</v>
      </c>
      <c r="P102" s="26" t="n">
        <v>1</v>
      </c>
      <c r="Q102" s="26" t="n">
        <v>1</v>
      </c>
      <c r="R102" s="26" t="n">
        <v>2</v>
      </c>
      <c r="S102" s="26" t="n">
        <v>3</v>
      </c>
      <c r="T102" s="23" t="n">
        <v>0</v>
      </c>
      <c r="U102" s="23" t="n">
        <v>1</v>
      </c>
      <c r="V102" s="23" t="n">
        <v>0</v>
      </c>
      <c r="W102" s="23" t="n">
        <v>1</v>
      </c>
      <c r="X102" s="23" t="n">
        <v>1</v>
      </c>
      <c r="Y102" s="23" t="n">
        <v>0</v>
      </c>
      <c r="Z102" s="23" t="n">
        <v>1</v>
      </c>
      <c r="AA102" s="23" t="n">
        <v>1</v>
      </c>
      <c r="AB102" s="23" t="n">
        <v>0</v>
      </c>
    </row>
    <row r="103" ht="22.5" customFormat="1" customHeight="1" s="25">
      <c r="A103" s="22" t="inlineStr">
        <is>
          <t>Dushin</t>
        </is>
      </c>
      <c r="B103" s="23" t="n">
        <v>11</v>
      </c>
      <c r="C103" s="23" t="n">
        <v>4</v>
      </c>
      <c r="D103" s="22" t="n">
        <v>100</v>
      </c>
      <c r="E103" s="23" t="n"/>
      <c r="F103" s="23" t="inlineStr">
        <is>
          <t>YES</t>
        </is>
      </c>
      <c r="G103" s="23">
        <f>SUM(T103:AB103)</f>
        <v/>
      </c>
      <c r="H103" s="24">
        <f>G103/9</f>
        <v/>
      </c>
      <c r="I103" s="24">
        <f>0.5+(SUM(T103:AB103)/18)</f>
        <v/>
      </c>
      <c r="J103" s="23">
        <f>COUNTIF(K103:S103,"")</f>
        <v/>
      </c>
      <c r="K103" s="26" t="n">
        <v>1</v>
      </c>
      <c r="L103" s="26" t="n">
        <v>1</v>
      </c>
      <c r="M103" s="26" t="n">
        <v>1</v>
      </c>
      <c r="N103" s="26" t="n">
        <v>3</v>
      </c>
      <c r="O103" s="26" t="n">
        <v>3</v>
      </c>
      <c r="P103" s="26" t="n">
        <v>4</v>
      </c>
      <c r="Q103" s="26" t="n">
        <v>1</v>
      </c>
      <c r="R103" s="26" t="n">
        <v>1</v>
      </c>
      <c r="S103" s="26" t="n">
        <v>4</v>
      </c>
      <c r="T103" s="23" t="n">
        <v>0</v>
      </c>
      <c r="U103" s="23" t="n">
        <v>1</v>
      </c>
      <c r="V103" s="23" t="n">
        <v>0</v>
      </c>
      <c r="W103" s="23" t="n">
        <v>0</v>
      </c>
      <c r="X103" s="23" t="n">
        <v>1</v>
      </c>
      <c r="Y103" s="23" t="n">
        <v>0</v>
      </c>
      <c r="Z103" s="23" t="n">
        <v>1</v>
      </c>
      <c r="AA103" s="23" t="n">
        <v>0</v>
      </c>
      <c r="AB103" s="23" t="n">
        <v>0</v>
      </c>
    </row>
    <row r="104" ht="22.5" customFormat="1" customHeight="1" s="25">
      <c r="A104" s="22" t="inlineStr">
        <is>
          <t>Dushin</t>
        </is>
      </c>
      <c r="B104" s="23" t="n">
        <v>11</v>
      </c>
      <c r="C104" s="23" t="n">
        <v>4</v>
      </c>
      <c r="D104" s="22" t="n">
        <v>101</v>
      </c>
      <c r="E104" s="23" t="n"/>
      <c r="F104" s="23" t="n"/>
      <c r="G104" s="23">
        <f>SUM(T104:AB104)</f>
        <v/>
      </c>
      <c r="H104" s="24">
        <f>G104/9</f>
        <v/>
      </c>
      <c r="I104" s="24">
        <f>0.5+(SUM(T104:AB104)/18)</f>
        <v/>
      </c>
      <c r="J104" s="23">
        <f>COUNTIF(K104:S104,"")</f>
        <v/>
      </c>
      <c r="K104" s="26" t="n">
        <v>1</v>
      </c>
      <c r="L104" s="26" t="n">
        <v>1</v>
      </c>
      <c r="M104" s="26" t="n">
        <v>4</v>
      </c>
      <c r="N104" s="26" t="n">
        <v>4</v>
      </c>
      <c r="O104" s="26" t="n">
        <v>3</v>
      </c>
      <c r="P104" s="26" t="n">
        <v>3</v>
      </c>
      <c r="Q104" s="26" t="n">
        <v>1</v>
      </c>
      <c r="R104" s="26" t="n">
        <v>3</v>
      </c>
      <c r="S104" s="26" t="n">
        <v>1</v>
      </c>
      <c r="T104" s="23" t="n">
        <v>0</v>
      </c>
      <c r="U104" s="23" t="n">
        <v>1</v>
      </c>
      <c r="V104" s="23" t="n">
        <v>1</v>
      </c>
      <c r="W104" s="23" t="n">
        <v>1</v>
      </c>
      <c r="X104" s="23" t="n">
        <v>1</v>
      </c>
      <c r="Y104" s="23" t="n">
        <v>1</v>
      </c>
      <c r="Z104" s="23" t="n">
        <v>1</v>
      </c>
      <c r="AA104" s="23" t="n">
        <v>0</v>
      </c>
      <c r="AB104" s="23" t="n">
        <v>0</v>
      </c>
    </row>
    <row r="105" ht="22.5" customFormat="1" customHeight="1" s="25">
      <c r="A105" s="22" t="inlineStr">
        <is>
          <t>Dushin</t>
        </is>
      </c>
      <c r="B105" s="23" t="n">
        <v>11</v>
      </c>
      <c r="C105" s="23" t="n">
        <v>4</v>
      </c>
      <c r="D105" s="22" t="n">
        <v>102</v>
      </c>
      <c r="E105" s="23" t="n"/>
      <c r="F105" s="23" t="n"/>
      <c r="G105" s="23">
        <f>SUM(T105:AB105)</f>
        <v/>
      </c>
      <c r="H105" s="24">
        <f>G105/9</f>
        <v/>
      </c>
      <c r="I105" s="24">
        <f>0.5+(SUM(T105:AB105)/18)</f>
        <v/>
      </c>
      <c r="J105" s="23">
        <f>COUNTIF(K105:S105,"")</f>
        <v/>
      </c>
      <c r="K105" s="26" t="n">
        <v>3</v>
      </c>
      <c r="L105" s="26" t="n">
        <v>1</v>
      </c>
      <c r="M105" s="26" t="n">
        <v>4</v>
      </c>
      <c r="N105" s="26" t="n">
        <v>4</v>
      </c>
      <c r="O105" s="26" t="n">
        <v>3</v>
      </c>
      <c r="P105" s="26" t="n">
        <v>3</v>
      </c>
      <c r="Q105" s="26" t="n">
        <v>1</v>
      </c>
      <c r="R105" s="26" t="n">
        <v>2</v>
      </c>
      <c r="S105" s="26" t="n">
        <v>2</v>
      </c>
      <c r="T105" s="23" t="n">
        <v>1</v>
      </c>
      <c r="U105" s="23" t="n">
        <v>1</v>
      </c>
      <c r="V105" s="23" t="n">
        <v>1</v>
      </c>
      <c r="W105" s="23" t="n">
        <v>1</v>
      </c>
      <c r="X105" s="23" t="n">
        <v>1</v>
      </c>
      <c r="Y105" s="23" t="n">
        <v>1</v>
      </c>
      <c r="Z105" s="23" t="n">
        <v>1</v>
      </c>
      <c r="AA105" s="23" t="n">
        <v>1</v>
      </c>
      <c r="AB105" s="23" t="n">
        <v>1</v>
      </c>
    </row>
    <row r="106" ht="22.5" customFormat="1" customHeight="1" s="25">
      <c r="A106" s="22" t="inlineStr">
        <is>
          <t>Dushin</t>
        </is>
      </c>
      <c r="B106" s="23" t="n">
        <v>11</v>
      </c>
      <c r="C106" s="23" t="n">
        <v>4</v>
      </c>
      <c r="D106" s="22" t="n">
        <v>103</v>
      </c>
      <c r="E106" s="23" t="n"/>
      <c r="F106" s="23" t="n"/>
      <c r="G106" s="23">
        <f>SUM(T106:AB106)</f>
        <v/>
      </c>
      <c r="H106" s="24">
        <f>G106/9</f>
        <v/>
      </c>
      <c r="I106" s="24">
        <f>0.5+(SUM(T106:AB106)/18)</f>
        <v/>
      </c>
      <c r="J106" s="23">
        <f>COUNTIF(K106:S106,"")</f>
        <v/>
      </c>
      <c r="K106" s="26" t="n">
        <v>3</v>
      </c>
      <c r="L106" s="26" t="n">
        <v>1</v>
      </c>
      <c r="M106" s="26" t="n">
        <v>4</v>
      </c>
      <c r="N106" s="26" t="n">
        <v>4</v>
      </c>
      <c r="O106" s="26" t="n">
        <v>3</v>
      </c>
      <c r="P106" s="26" t="n">
        <v>3</v>
      </c>
      <c r="Q106" s="26" t="n">
        <v>1</v>
      </c>
      <c r="R106" s="26" t="n">
        <v>2</v>
      </c>
      <c r="S106" s="26" t="n">
        <v>2</v>
      </c>
      <c r="T106" s="23" t="n">
        <v>1</v>
      </c>
      <c r="U106" s="23" t="n">
        <v>1</v>
      </c>
      <c r="V106" s="23" t="n">
        <v>1</v>
      </c>
      <c r="W106" s="23" t="n">
        <v>1</v>
      </c>
      <c r="X106" s="23" t="n">
        <v>1</v>
      </c>
      <c r="Y106" s="23" t="n">
        <v>1</v>
      </c>
      <c r="Z106" s="23" t="n">
        <v>1</v>
      </c>
      <c r="AA106" s="23" t="n">
        <v>1</v>
      </c>
      <c r="AB106" s="23" t="n">
        <v>1</v>
      </c>
    </row>
    <row r="107" ht="22.5" customFormat="1" customHeight="1" s="25">
      <c r="A107" s="22" t="inlineStr">
        <is>
          <t>Dushin</t>
        </is>
      </c>
      <c r="B107" s="23" t="n">
        <v>11</v>
      </c>
      <c r="C107" s="23" t="n">
        <v>4</v>
      </c>
      <c r="D107" s="22" t="n">
        <v>104</v>
      </c>
      <c r="E107" s="23" t="n"/>
      <c r="F107" s="23" t="n"/>
      <c r="G107" s="23">
        <f>SUM(T107:AB107)</f>
        <v/>
      </c>
      <c r="H107" s="24">
        <f>G107/9</f>
        <v/>
      </c>
      <c r="I107" s="24">
        <f>0.5+(SUM(T107:AB107)/18)</f>
        <v/>
      </c>
      <c r="J107" s="23">
        <f>COUNTIF(K107:S107,"")</f>
        <v/>
      </c>
      <c r="K107" s="26" t="n">
        <v>3</v>
      </c>
      <c r="L107" s="26" t="n">
        <v>1</v>
      </c>
      <c r="M107" s="26" t="n">
        <v>4</v>
      </c>
      <c r="N107" s="26" t="n">
        <v>4</v>
      </c>
      <c r="O107" s="26" t="n">
        <v>3</v>
      </c>
      <c r="P107" s="26" t="n">
        <v>3</v>
      </c>
      <c r="Q107" s="26" t="n">
        <v>1</v>
      </c>
      <c r="R107" s="26" t="n">
        <v>2</v>
      </c>
      <c r="S107" s="26" t="n">
        <v>2</v>
      </c>
      <c r="T107" s="23" t="n">
        <v>1</v>
      </c>
      <c r="U107" s="23" t="n">
        <v>1</v>
      </c>
      <c r="V107" s="23" t="n">
        <v>1</v>
      </c>
      <c r="W107" s="23" t="n">
        <v>1</v>
      </c>
      <c r="X107" s="23" t="n">
        <v>1</v>
      </c>
      <c r="Y107" s="23" t="n">
        <v>1</v>
      </c>
      <c r="Z107" s="23" t="n">
        <v>1</v>
      </c>
      <c r="AA107" s="23" t="n">
        <v>1</v>
      </c>
      <c r="AB107" s="23" t="n">
        <v>1</v>
      </c>
    </row>
    <row r="108" ht="22.5" customFormat="1" customHeight="1" s="25">
      <c r="A108" s="22" t="inlineStr">
        <is>
          <t>Dushin</t>
        </is>
      </c>
      <c r="B108" s="23" t="n">
        <v>11</v>
      </c>
      <c r="C108" s="23" t="n">
        <v>4</v>
      </c>
      <c r="D108" s="22" t="n">
        <v>105</v>
      </c>
      <c r="E108" s="23" t="n"/>
      <c r="F108" s="23" t="inlineStr">
        <is>
          <t>YES</t>
        </is>
      </c>
      <c r="G108" s="23">
        <f>SUM(T108:AB108)</f>
        <v/>
      </c>
      <c r="H108" s="24">
        <f>G108/9</f>
        <v/>
      </c>
      <c r="I108" s="24">
        <f>0.5+(SUM(T108:AB108)/18)</f>
        <v/>
      </c>
      <c r="J108" s="23">
        <f>COUNTIF(K108:S108,"")</f>
        <v/>
      </c>
      <c r="K108" s="26" t="n">
        <v>3</v>
      </c>
      <c r="L108" s="26" t="n">
        <v>1</v>
      </c>
      <c r="M108" s="26" t="n">
        <v>4</v>
      </c>
      <c r="N108" s="26" t="n">
        <v>4</v>
      </c>
      <c r="O108" s="26" t="n">
        <v>2</v>
      </c>
      <c r="P108" s="26" t="n">
        <v>1</v>
      </c>
      <c r="Q108" s="26" t="n">
        <v>1</v>
      </c>
      <c r="R108" s="26" t="n">
        <v>2</v>
      </c>
      <c r="S108" s="26" t="n">
        <v>2</v>
      </c>
      <c r="T108" s="23" t="n">
        <v>1</v>
      </c>
      <c r="U108" s="23" t="n">
        <v>1</v>
      </c>
      <c r="V108" s="23" t="n">
        <v>1</v>
      </c>
      <c r="W108" s="23" t="n">
        <v>1</v>
      </c>
      <c r="X108" s="23" t="n">
        <v>0</v>
      </c>
      <c r="Y108" s="23" t="n">
        <v>0</v>
      </c>
      <c r="Z108" s="23" t="n">
        <v>1</v>
      </c>
      <c r="AA108" s="23" t="n">
        <v>1</v>
      </c>
      <c r="AB108" s="23" t="n">
        <v>1</v>
      </c>
    </row>
    <row r="109" ht="22.5" customFormat="1" customHeight="1" s="25">
      <c r="A109" s="22" t="inlineStr">
        <is>
          <t>Dushin</t>
        </is>
      </c>
      <c r="B109" s="23" t="n">
        <v>11</v>
      </c>
      <c r="C109" s="23" t="n">
        <v>4</v>
      </c>
      <c r="D109" s="22" t="n">
        <v>106</v>
      </c>
      <c r="E109" s="23" t="n"/>
      <c r="F109" s="23" t="inlineStr">
        <is>
          <t>YES</t>
        </is>
      </c>
      <c r="G109" s="23">
        <f>SUM(T109:AB109)</f>
        <v/>
      </c>
      <c r="H109" s="24">
        <f>G109/9</f>
        <v/>
      </c>
      <c r="I109" s="24">
        <f>0.5+(SUM(T109:AB109)/18)</f>
        <v/>
      </c>
      <c r="J109" s="23">
        <f>COUNTIF(K109:S109,"")</f>
        <v/>
      </c>
      <c r="K109" s="26" t="n">
        <v>3</v>
      </c>
      <c r="L109" s="26" t="n">
        <v>1</v>
      </c>
      <c r="M109" s="26" t="n">
        <v>4</v>
      </c>
      <c r="N109" s="26" t="n">
        <v>4</v>
      </c>
      <c r="O109" s="26" t="n">
        <v>3</v>
      </c>
      <c r="P109" s="26" t="n">
        <v>3</v>
      </c>
      <c r="Q109" s="26" t="n">
        <v>1</v>
      </c>
      <c r="R109" s="26" t="n">
        <v>2</v>
      </c>
      <c r="S109" s="26" t="n">
        <v>2</v>
      </c>
      <c r="T109" s="23" t="n">
        <v>1</v>
      </c>
      <c r="U109" s="23" t="n">
        <v>1</v>
      </c>
      <c r="V109" s="23" t="n">
        <v>1</v>
      </c>
      <c r="W109" s="23" t="n">
        <v>1</v>
      </c>
      <c r="X109" s="23" t="n">
        <v>1</v>
      </c>
      <c r="Y109" s="23" t="n">
        <v>1</v>
      </c>
      <c r="Z109" s="23" t="n">
        <v>1</v>
      </c>
      <c r="AA109" s="23" t="n">
        <v>1</v>
      </c>
      <c r="AB109" s="23" t="n">
        <v>1</v>
      </c>
    </row>
    <row r="110" ht="22.5" customFormat="1" customHeight="1" s="25">
      <c r="A110" s="22" t="inlineStr">
        <is>
          <t>Dushin</t>
        </is>
      </c>
      <c r="B110" s="23" t="n">
        <v>9</v>
      </c>
      <c r="C110" s="23" t="n">
        <v>4</v>
      </c>
      <c r="D110" s="22" t="n">
        <v>107</v>
      </c>
      <c r="E110" s="23" t="n"/>
      <c r="F110" s="23" t="n"/>
      <c r="G110" s="23">
        <f>SUM(T110:AB110)</f>
        <v/>
      </c>
      <c r="H110" s="24">
        <f>G110/9</f>
        <v/>
      </c>
      <c r="I110" s="24">
        <f>0.5+(SUM(T110:AB110)/18)</f>
        <v/>
      </c>
      <c r="J110" s="23">
        <f>COUNTIF(K110:S110,"")</f>
        <v/>
      </c>
      <c r="K110" s="26" t="n">
        <v>4</v>
      </c>
      <c r="L110" s="26" t="n">
        <v>3</v>
      </c>
      <c r="M110" s="26" t="n">
        <v>4</v>
      </c>
      <c r="N110" s="26" t="n">
        <v>4</v>
      </c>
      <c r="O110" s="26" t="n">
        <v>1</v>
      </c>
      <c r="P110" s="26" t="n">
        <v>2</v>
      </c>
      <c r="Q110" s="26" t="n">
        <v>1</v>
      </c>
      <c r="R110" s="26" t="n">
        <v>2</v>
      </c>
      <c r="S110" s="26" t="n">
        <v>2</v>
      </c>
      <c r="T110" s="23" t="n">
        <v>0</v>
      </c>
      <c r="U110" s="23" t="n">
        <v>0</v>
      </c>
      <c r="V110" s="23" t="n">
        <v>1</v>
      </c>
      <c r="W110" s="23" t="n">
        <v>1</v>
      </c>
      <c r="X110" s="23" t="n">
        <v>0</v>
      </c>
      <c r="Y110" s="23" t="n">
        <v>0</v>
      </c>
      <c r="Z110" s="23" t="n">
        <v>1</v>
      </c>
      <c r="AA110" s="23" t="n">
        <v>1</v>
      </c>
      <c r="AB110" s="23" t="n">
        <v>1</v>
      </c>
    </row>
    <row r="111" ht="22.5" customFormat="1" customHeight="1" s="25">
      <c r="A111" s="22" t="inlineStr">
        <is>
          <t>Dushin</t>
        </is>
      </c>
      <c r="B111" s="23" t="n">
        <v>11</v>
      </c>
      <c r="C111" s="23" t="n">
        <v>4</v>
      </c>
      <c r="D111" s="22" t="n">
        <v>108</v>
      </c>
      <c r="E111" s="23" t="n"/>
      <c r="F111" s="23" t="inlineStr">
        <is>
          <t>YES</t>
        </is>
      </c>
      <c r="G111" s="23">
        <f>SUM(T111:AB111)</f>
        <v/>
      </c>
      <c r="H111" s="24">
        <f>G111/9</f>
        <v/>
      </c>
      <c r="I111" s="24">
        <f>0.5+(SUM(T111:AB111)/18)</f>
        <v/>
      </c>
      <c r="J111" s="23">
        <f>COUNTIF(K111:S111,"")</f>
        <v/>
      </c>
      <c r="K111" s="26" t="n">
        <v>4</v>
      </c>
      <c r="L111" s="26" t="n">
        <v>1</v>
      </c>
      <c r="M111" s="26" t="n">
        <v>4</v>
      </c>
      <c r="N111" s="26" t="n">
        <v>2</v>
      </c>
      <c r="O111" s="26" t="n">
        <v>4</v>
      </c>
      <c r="P111" s="26" t="n">
        <v>3</v>
      </c>
      <c r="Q111" s="26" t="n">
        <v>1</v>
      </c>
      <c r="R111" s="26" t="n">
        <v>3</v>
      </c>
      <c r="S111" s="26" t="n">
        <v>1</v>
      </c>
      <c r="T111" s="23" t="n">
        <v>0</v>
      </c>
      <c r="U111" s="23" t="n">
        <v>1</v>
      </c>
      <c r="V111" s="23" t="n">
        <v>1</v>
      </c>
      <c r="W111" s="23" t="n">
        <v>0</v>
      </c>
      <c r="X111" s="23" t="n">
        <v>0</v>
      </c>
      <c r="Y111" s="23" t="n">
        <v>1</v>
      </c>
      <c r="Z111" s="23" t="n">
        <v>1</v>
      </c>
      <c r="AA111" s="23" t="n">
        <v>0</v>
      </c>
      <c r="AB111" s="23" t="n">
        <v>0</v>
      </c>
    </row>
    <row r="112" ht="22.5" customFormat="1" customHeight="1" s="25">
      <c r="A112" s="22" t="inlineStr">
        <is>
          <t>Dushin</t>
        </is>
      </c>
      <c r="B112" s="23" t="n">
        <v>11</v>
      </c>
      <c r="C112" s="23" t="n">
        <v>4</v>
      </c>
      <c r="D112" s="22" t="n">
        <v>109</v>
      </c>
      <c r="E112" s="23" t="n"/>
      <c r="F112" s="23" t="n"/>
      <c r="G112" s="23">
        <f>SUM(T112:AB112)</f>
        <v/>
      </c>
      <c r="H112" s="24">
        <f>G112/9</f>
        <v/>
      </c>
      <c r="I112" s="24">
        <f>0.5+(SUM(T112:AB112)/18)</f>
        <v/>
      </c>
      <c r="J112" s="23">
        <f>COUNTIF(K112:S112,"")</f>
        <v/>
      </c>
      <c r="K112" s="26" t="n">
        <v>4</v>
      </c>
      <c r="L112" s="26" t="n">
        <v>2</v>
      </c>
      <c r="M112" s="26" t="n">
        <v>4</v>
      </c>
      <c r="N112" s="26" t="n">
        <v>2</v>
      </c>
      <c r="O112" s="26" t="n">
        <v>4</v>
      </c>
      <c r="P112" s="26" t="n">
        <v>3</v>
      </c>
      <c r="Q112" s="26" t="n">
        <v>1</v>
      </c>
      <c r="R112" s="26" t="n">
        <v>2</v>
      </c>
      <c r="S112" s="26" t="n">
        <v>2</v>
      </c>
      <c r="T112" s="23" t="n">
        <v>0</v>
      </c>
      <c r="U112" s="23" t="n">
        <v>0</v>
      </c>
      <c r="V112" s="23" t="n">
        <v>1</v>
      </c>
      <c r="W112" s="23" t="n">
        <v>0</v>
      </c>
      <c r="X112" s="23" t="n">
        <v>0</v>
      </c>
      <c r="Y112" s="23" t="n">
        <v>1</v>
      </c>
      <c r="Z112" s="23" t="n">
        <v>1</v>
      </c>
      <c r="AA112" s="23" t="n">
        <v>1</v>
      </c>
      <c r="AB112" s="23" t="n">
        <v>1</v>
      </c>
    </row>
    <row r="113" ht="22.5" customFormat="1" customHeight="1" s="25">
      <c r="A113" s="22" t="inlineStr">
        <is>
          <t>Dushin</t>
        </is>
      </c>
      <c r="B113" s="23" t="n">
        <v>11</v>
      </c>
      <c r="C113" s="23" t="n">
        <v>4</v>
      </c>
      <c r="D113" s="22" t="n">
        <v>110</v>
      </c>
      <c r="E113" s="23" t="n"/>
      <c r="F113" s="23" t="n"/>
      <c r="G113" s="23">
        <f>SUM(T113:AB113)</f>
        <v/>
      </c>
      <c r="H113" s="24">
        <f>G113/9</f>
        <v/>
      </c>
      <c r="I113" s="24">
        <f>0.5+(SUM(T113:AB113)/18)</f>
        <v/>
      </c>
      <c r="J113" s="23">
        <f>COUNTIF(K113:S113,"")</f>
        <v/>
      </c>
      <c r="K113" s="26" t="n">
        <v>3</v>
      </c>
      <c r="L113" s="26" t="n">
        <v>1</v>
      </c>
      <c r="M113" s="26" t="n">
        <v>4</v>
      </c>
      <c r="N113" s="26" t="n">
        <v>4</v>
      </c>
      <c r="O113" s="26" t="n">
        <v>3</v>
      </c>
      <c r="P113" s="26" t="n">
        <v>3</v>
      </c>
      <c r="Q113" s="26" t="n">
        <v>1</v>
      </c>
      <c r="R113" s="26" t="n">
        <v>2</v>
      </c>
      <c r="S113" s="26" t="n">
        <v>2</v>
      </c>
      <c r="T113" s="23" t="n">
        <v>1</v>
      </c>
      <c r="U113" s="23" t="n">
        <v>1</v>
      </c>
      <c r="V113" s="23" t="n">
        <v>1</v>
      </c>
      <c r="W113" s="23" t="n">
        <v>1</v>
      </c>
      <c r="X113" s="23" t="n">
        <v>1</v>
      </c>
      <c r="Y113" s="23" t="n">
        <v>1</v>
      </c>
      <c r="Z113" s="23" t="n">
        <v>1</v>
      </c>
      <c r="AA113" s="23" t="n">
        <v>1</v>
      </c>
      <c r="AB113" s="23" t="n">
        <v>1</v>
      </c>
    </row>
    <row r="114" ht="22.5" customFormat="1" customHeight="1" s="25">
      <c r="A114" s="22" t="inlineStr">
        <is>
          <t>Dushin</t>
        </is>
      </c>
      <c r="B114" s="23" t="n">
        <v>11</v>
      </c>
      <c r="C114" s="23" t="n">
        <v>5</v>
      </c>
      <c r="D114" s="22" t="n">
        <v>111</v>
      </c>
      <c r="E114" s="23" t="n"/>
      <c r="F114" s="23" t="n"/>
      <c r="G114" s="23">
        <f>SUM(T114:AB114)</f>
        <v/>
      </c>
      <c r="H114" s="24">
        <f>G114/9</f>
        <v/>
      </c>
      <c r="I114" s="24">
        <f>0.5+(SUM(T114:AB114)/18)</f>
        <v/>
      </c>
      <c r="J114" s="23">
        <f>COUNTIF(K114:S114,"")</f>
        <v/>
      </c>
      <c r="K114" s="26" t="n">
        <v>3</v>
      </c>
      <c r="L114" s="26" t="n">
        <v>1</v>
      </c>
      <c r="M114" s="26" t="n">
        <v>3</v>
      </c>
      <c r="N114" s="26" t="n">
        <v>4</v>
      </c>
      <c r="O114" s="26" t="n">
        <v>1</v>
      </c>
      <c r="P114" s="26" t="n">
        <v>3</v>
      </c>
      <c r="Q114" s="26" t="n">
        <v>1</v>
      </c>
      <c r="R114" s="26" t="n">
        <v>2</v>
      </c>
      <c r="S114" s="26" t="n">
        <v>1</v>
      </c>
      <c r="T114" s="23" t="n">
        <v>1</v>
      </c>
      <c r="U114" s="23" t="n">
        <v>1</v>
      </c>
      <c r="V114" s="23" t="n">
        <v>0</v>
      </c>
      <c r="W114" s="23" t="n">
        <v>1</v>
      </c>
      <c r="X114" s="23" t="n">
        <v>0</v>
      </c>
      <c r="Y114" s="23" t="n">
        <v>1</v>
      </c>
      <c r="Z114" s="23" t="n">
        <v>1</v>
      </c>
      <c r="AA114" s="23" t="n">
        <v>1</v>
      </c>
      <c r="AB114" s="23" t="n">
        <v>0</v>
      </c>
    </row>
    <row r="115" ht="22.5" customFormat="1" customHeight="1" s="25">
      <c r="A115" s="22" t="inlineStr">
        <is>
          <t>Dushin</t>
        </is>
      </c>
      <c r="B115" s="23" t="n">
        <v>11</v>
      </c>
      <c r="C115" s="23" t="n">
        <v>5</v>
      </c>
      <c r="D115" s="22" t="n">
        <v>112</v>
      </c>
      <c r="E115" s="23" t="n"/>
      <c r="F115" s="23" t="n"/>
      <c r="G115" s="23">
        <f>SUM(T115:AB115)</f>
        <v/>
      </c>
      <c r="H115" s="24">
        <f>G115/9</f>
        <v/>
      </c>
      <c r="I115" s="24">
        <f>0.5+(SUM(T115:AB115)/18)</f>
        <v/>
      </c>
      <c r="J115" s="23">
        <f>COUNTIF(K115:S115,"")</f>
        <v/>
      </c>
      <c r="K115" s="26" t="n">
        <v>3</v>
      </c>
      <c r="L115" s="26" t="n">
        <v>1</v>
      </c>
      <c r="M115" s="26" t="n">
        <v>4</v>
      </c>
      <c r="N115" s="26" t="n">
        <v>4</v>
      </c>
      <c r="O115" s="26" t="n">
        <v>4</v>
      </c>
      <c r="P115" s="26" t="n">
        <v>3</v>
      </c>
      <c r="Q115" s="26" t="n">
        <v>1</v>
      </c>
      <c r="R115" s="26" t="n">
        <v>2</v>
      </c>
      <c r="S115" s="26" t="n">
        <v>2</v>
      </c>
      <c r="T115" s="23" t="n">
        <v>1</v>
      </c>
      <c r="U115" s="23" t="n">
        <v>1</v>
      </c>
      <c r="V115" s="23" t="n">
        <v>1</v>
      </c>
      <c r="W115" s="23" t="n">
        <v>1</v>
      </c>
      <c r="X115" s="23" t="n">
        <v>0</v>
      </c>
      <c r="Y115" s="23" t="n">
        <v>1</v>
      </c>
      <c r="Z115" s="23" t="n">
        <v>1</v>
      </c>
      <c r="AA115" s="23" t="n">
        <v>1</v>
      </c>
      <c r="AB115" s="23" t="n">
        <v>1</v>
      </c>
    </row>
    <row r="116" ht="22.5" customFormat="1" customHeight="1" s="25">
      <c r="A116" s="22" t="inlineStr">
        <is>
          <t>Dushin</t>
        </is>
      </c>
      <c r="B116" s="23" t="n">
        <v>11</v>
      </c>
      <c r="C116" s="23" t="n">
        <v>5</v>
      </c>
      <c r="D116" s="22" t="n">
        <v>113</v>
      </c>
      <c r="E116" s="23" t="n"/>
      <c r="F116" s="23" t="inlineStr">
        <is>
          <t>YES</t>
        </is>
      </c>
      <c r="G116" s="23">
        <f>SUM(T116:AB116)</f>
        <v/>
      </c>
      <c r="H116" s="24">
        <f>G116/9</f>
        <v/>
      </c>
      <c r="I116" s="24">
        <f>0.5+(SUM(T116:AB116)/18)</f>
        <v/>
      </c>
      <c r="J116" s="23">
        <f>COUNTIF(K116:S116,"")</f>
        <v/>
      </c>
      <c r="K116" s="26" t="n">
        <v>1</v>
      </c>
      <c r="L116" s="26" t="n">
        <v>1</v>
      </c>
      <c r="M116" s="26" t="n">
        <v>2</v>
      </c>
      <c r="N116" s="26" t="n">
        <v>2</v>
      </c>
      <c r="O116" s="26" t="n">
        <v>3</v>
      </c>
      <c r="P116" s="26" t="n">
        <v>1</v>
      </c>
      <c r="Q116" s="26" t="n">
        <v>1</v>
      </c>
      <c r="R116" s="26" t="n">
        <v>2</v>
      </c>
      <c r="S116" s="26" t="n">
        <v>1</v>
      </c>
      <c r="T116" s="23" t="n">
        <v>0</v>
      </c>
      <c r="U116" s="23" t="n">
        <v>1</v>
      </c>
      <c r="V116" s="23" t="n">
        <v>0</v>
      </c>
      <c r="W116" s="23" t="n">
        <v>0</v>
      </c>
      <c r="X116" s="23" t="n">
        <v>1</v>
      </c>
      <c r="Y116" s="23" t="n">
        <v>0</v>
      </c>
      <c r="Z116" s="23" t="n">
        <v>1</v>
      </c>
      <c r="AA116" s="23" t="n">
        <v>1</v>
      </c>
      <c r="AB116" s="23" t="n">
        <v>0</v>
      </c>
    </row>
    <row r="117" ht="22.5" customFormat="1" customHeight="1" s="25">
      <c r="A117" s="22" t="inlineStr">
        <is>
          <t>Dushin</t>
        </is>
      </c>
      <c r="B117" s="23" t="n">
        <v>11</v>
      </c>
      <c r="C117" s="23" t="n">
        <v>5</v>
      </c>
      <c r="D117" s="22" t="n">
        <v>114</v>
      </c>
      <c r="E117" s="23" t="n"/>
      <c r="F117" s="23" t="n"/>
      <c r="G117" s="23">
        <f>SUM(T117:AB117)</f>
        <v/>
      </c>
      <c r="H117" s="24">
        <f>G117/9</f>
        <v/>
      </c>
      <c r="I117" s="24">
        <f>0.5+(SUM(T117:AB117)/18)</f>
        <v/>
      </c>
      <c r="J117" s="23">
        <f>COUNTIF(K117:S117,"")</f>
        <v/>
      </c>
      <c r="K117" s="26" t="n">
        <v>3</v>
      </c>
      <c r="L117" s="26" t="n">
        <v>1</v>
      </c>
      <c r="M117" s="26" t="n">
        <v>4</v>
      </c>
      <c r="N117" s="26" t="n">
        <v>4</v>
      </c>
      <c r="O117" s="26" t="n">
        <v>1</v>
      </c>
      <c r="P117" s="26" t="n">
        <v>4</v>
      </c>
      <c r="Q117" s="26" t="n">
        <v>1</v>
      </c>
      <c r="R117" s="26" t="n">
        <v>2</v>
      </c>
      <c r="S117" s="26" t="n">
        <v>4</v>
      </c>
      <c r="T117" s="23" t="n">
        <v>1</v>
      </c>
      <c r="U117" s="23" t="n">
        <v>1</v>
      </c>
      <c r="V117" s="23" t="n">
        <v>1</v>
      </c>
      <c r="W117" s="23" t="n">
        <v>1</v>
      </c>
      <c r="X117" s="23" t="n">
        <v>0</v>
      </c>
      <c r="Y117" s="23" t="n">
        <v>0</v>
      </c>
      <c r="Z117" s="23" t="n">
        <v>1</v>
      </c>
      <c r="AA117" s="23" t="n">
        <v>1</v>
      </c>
      <c r="AB117" s="23" t="n">
        <v>0</v>
      </c>
    </row>
    <row r="118" ht="22.5" customFormat="1" customHeight="1" s="25">
      <c r="A118" s="22" t="inlineStr">
        <is>
          <t>Dushin</t>
        </is>
      </c>
      <c r="B118" s="23" t="n">
        <v>11</v>
      </c>
      <c r="C118" s="23" t="n">
        <v>5</v>
      </c>
      <c r="D118" s="22" t="n">
        <v>115</v>
      </c>
      <c r="E118" s="23" t="n"/>
      <c r="F118" s="23" t="n"/>
      <c r="G118" s="23">
        <f>SUM(T118:AB118)</f>
        <v/>
      </c>
      <c r="H118" s="24">
        <f>G118/9</f>
        <v/>
      </c>
      <c r="I118" s="24">
        <f>0.5+(SUM(T118:AB118)/18)</f>
        <v/>
      </c>
      <c r="J118" s="23">
        <f>COUNTIF(K118:S118,"")</f>
        <v/>
      </c>
      <c r="K118" s="26" t="n">
        <v>4</v>
      </c>
      <c r="L118" s="26" t="n">
        <v>1</v>
      </c>
      <c r="M118" s="26" t="n">
        <v>4</v>
      </c>
      <c r="N118" s="26" t="n">
        <v>4</v>
      </c>
      <c r="O118" s="26" t="n">
        <v>3</v>
      </c>
      <c r="P118" s="26" t="n">
        <v>3</v>
      </c>
      <c r="Q118" s="26" t="n">
        <v>1</v>
      </c>
      <c r="R118" s="26" t="n">
        <v>2</v>
      </c>
      <c r="S118" s="26" t="n">
        <v>2</v>
      </c>
      <c r="T118" s="23" t="n">
        <v>0</v>
      </c>
      <c r="U118" s="23" t="n">
        <v>1</v>
      </c>
      <c r="V118" s="23" t="n">
        <v>1</v>
      </c>
      <c r="W118" s="23" t="n">
        <v>1</v>
      </c>
      <c r="X118" s="23" t="n">
        <v>1</v>
      </c>
      <c r="Y118" s="23" t="n">
        <v>1</v>
      </c>
      <c r="Z118" s="23" t="n">
        <v>1</v>
      </c>
      <c r="AA118" s="23" t="n">
        <v>1</v>
      </c>
      <c r="AB118" s="23" t="n">
        <v>1</v>
      </c>
    </row>
    <row r="119" ht="22.5" customFormat="1" customHeight="1" s="25">
      <c r="A119" s="22" t="inlineStr">
        <is>
          <t>Dushin</t>
        </is>
      </c>
      <c r="B119" s="23" t="n">
        <v>11</v>
      </c>
      <c r="C119" s="23" t="n">
        <v>5</v>
      </c>
      <c r="D119" s="22" t="n">
        <v>116</v>
      </c>
      <c r="E119" s="23" t="n"/>
      <c r="F119" s="23" t="inlineStr">
        <is>
          <t>YES</t>
        </is>
      </c>
      <c r="G119" s="23">
        <f>SUM(T119:AB119)</f>
        <v/>
      </c>
      <c r="H119" s="24">
        <f>G119/9</f>
        <v/>
      </c>
      <c r="I119" s="24">
        <f>0.5+(SUM(T119:AB119)/18)</f>
        <v/>
      </c>
      <c r="J119" s="23">
        <f>COUNTIF(K119:S119,"")</f>
        <v/>
      </c>
      <c r="K119" s="26" t="n">
        <v>3</v>
      </c>
      <c r="L119" s="26" t="n">
        <v>1</v>
      </c>
      <c r="M119" s="26" t="n">
        <v>4</v>
      </c>
      <c r="N119" s="26" t="n">
        <v>3</v>
      </c>
      <c r="O119" s="26" t="n">
        <v>3</v>
      </c>
      <c r="P119" s="26" t="n">
        <v>2</v>
      </c>
      <c r="Q119" s="26" t="n">
        <v>1</v>
      </c>
      <c r="R119" s="26" t="n">
        <v>2</v>
      </c>
      <c r="S119" s="26" t="n">
        <v>2</v>
      </c>
      <c r="T119" s="23" t="n">
        <v>1</v>
      </c>
      <c r="U119" s="23" t="n">
        <v>1</v>
      </c>
      <c r="V119" s="23" t="n">
        <v>1</v>
      </c>
      <c r="W119" s="23" t="n">
        <v>0</v>
      </c>
      <c r="X119" s="23" t="n">
        <v>1</v>
      </c>
      <c r="Y119" s="23" t="n">
        <v>0</v>
      </c>
      <c r="Z119" s="23" t="n">
        <v>1</v>
      </c>
      <c r="AA119" s="23" t="n">
        <v>1</v>
      </c>
      <c r="AB119" s="23" t="n">
        <v>1</v>
      </c>
    </row>
    <row r="120" ht="22.5" customFormat="1" customHeight="1" s="25">
      <c r="A120" s="22" t="inlineStr">
        <is>
          <t>Dushin</t>
        </is>
      </c>
      <c r="B120" s="23" t="n">
        <v>11</v>
      </c>
      <c r="C120" s="23" t="n">
        <v>5</v>
      </c>
      <c r="D120" s="22" t="n">
        <v>117</v>
      </c>
      <c r="E120" s="23" t="n"/>
      <c r="F120" s="23" t="n"/>
      <c r="G120" s="23">
        <f>SUM(T120:AB120)</f>
        <v/>
      </c>
      <c r="H120" s="24">
        <f>G120/9</f>
        <v/>
      </c>
      <c r="I120" s="24">
        <f>0.5+(SUM(T120:AB120)/18)</f>
        <v/>
      </c>
      <c r="J120" s="23">
        <f>COUNTIF(K120:S120,"")</f>
        <v/>
      </c>
      <c r="K120" s="26" t="n">
        <v>1</v>
      </c>
      <c r="L120" s="26" t="n">
        <v>1</v>
      </c>
      <c r="M120" s="26" t="n">
        <v>3</v>
      </c>
      <c r="N120" s="26" t="n">
        <v>4</v>
      </c>
      <c r="O120" s="26" t="n">
        <v>3</v>
      </c>
      <c r="P120" s="26" t="n">
        <v>2</v>
      </c>
      <c r="Q120" s="26" t="n">
        <v>1</v>
      </c>
      <c r="R120" s="26" t="n">
        <v>4</v>
      </c>
      <c r="S120" s="26" t="n">
        <v>2</v>
      </c>
      <c r="T120" s="23" t="n">
        <v>0</v>
      </c>
      <c r="U120" s="23" t="n">
        <v>1</v>
      </c>
      <c r="V120" s="23" t="n">
        <v>0</v>
      </c>
      <c r="W120" s="23" t="n">
        <v>1</v>
      </c>
      <c r="X120" s="23" t="n">
        <v>1</v>
      </c>
      <c r="Y120" s="23" t="n">
        <v>0</v>
      </c>
      <c r="Z120" s="23" t="n">
        <v>1</v>
      </c>
      <c r="AA120" s="23" t="n">
        <v>0</v>
      </c>
      <c r="AB120" s="23" t="n">
        <v>1</v>
      </c>
    </row>
    <row r="121" ht="22.5" customFormat="1" customHeight="1" s="25">
      <c r="A121" s="22" t="inlineStr">
        <is>
          <t>Dushin</t>
        </is>
      </c>
      <c r="B121" s="23" t="n">
        <v>11</v>
      </c>
      <c r="C121" s="23" t="n">
        <v>5</v>
      </c>
      <c r="D121" s="22" t="n">
        <v>118</v>
      </c>
      <c r="E121" s="23" t="n"/>
      <c r="F121" s="23" t="n"/>
      <c r="G121" s="23">
        <f>SUM(T121:AB121)</f>
        <v/>
      </c>
      <c r="H121" s="24">
        <f>G121/9</f>
        <v/>
      </c>
      <c r="I121" s="24">
        <f>0.5+(SUM(T121:AB121)/18)</f>
        <v/>
      </c>
      <c r="J121" s="23">
        <f>COUNTIF(K121:S121,"")</f>
        <v/>
      </c>
      <c r="K121" s="26" t="n">
        <v>3</v>
      </c>
      <c r="L121" s="26" t="n">
        <v>1</v>
      </c>
      <c r="M121" s="26" t="n">
        <v>4</v>
      </c>
      <c r="N121" s="26" t="n">
        <v>4</v>
      </c>
      <c r="O121" s="26" t="n">
        <v>3</v>
      </c>
      <c r="P121" s="26" t="n">
        <v>3</v>
      </c>
      <c r="Q121" s="26" t="n">
        <v>1</v>
      </c>
      <c r="R121" s="26" t="n">
        <v>2</v>
      </c>
      <c r="S121" s="26" t="n">
        <v>1</v>
      </c>
      <c r="T121" s="23" t="n">
        <v>1</v>
      </c>
      <c r="U121" s="23" t="n">
        <v>1</v>
      </c>
      <c r="V121" s="23" t="n">
        <v>1</v>
      </c>
      <c r="W121" s="23" t="n">
        <v>1</v>
      </c>
      <c r="X121" s="23" t="n">
        <v>1</v>
      </c>
      <c r="Y121" s="23" t="n">
        <v>1</v>
      </c>
      <c r="Z121" s="23" t="n">
        <v>1</v>
      </c>
      <c r="AA121" s="23" t="n">
        <v>1</v>
      </c>
      <c r="AB121" s="23" t="n">
        <v>0</v>
      </c>
    </row>
    <row r="122" ht="22.5" customFormat="1" customHeight="1" s="25">
      <c r="A122" s="22" t="inlineStr">
        <is>
          <t>Dushin</t>
        </is>
      </c>
      <c r="B122" s="23" t="n">
        <v>11</v>
      </c>
      <c r="C122" s="23" t="n">
        <v>5</v>
      </c>
      <c r="D122" s="22" t="n">
        <v>119</v>
      </c>
      <c r="E122" s="23" t="n"/>
      <c r="F122" s="23" t="n"/>
      <c r="G122" s="23">
        <f>SUM(T122:AB122)</f>
        <v/>
      </c>
      <c r="H122" s="24">
        <f>G122/9</f>
        <v/>
      </c>
      <c r="I122" s="24">
        <f>0.5+(SUM(T122:AB122)/18)</f>
        <v/>
      </c>
      <c r="J122" s="23">
        <f>COUNTIF(K122:S122,"")</f>
        <v/>
      </c>
      <c r="K122" s="26" t="n">
        <v>4</v>
      </c>
      <c r="L122" s="26" t="n">
        <v>1</v>
      </c>
      <c r="M122" s="26" t="n">
        <v>4</v>
      </c>
      <c r="N122" s="26" t="n">
        <v>4</v>
      </c>
      <c r="O122" s="26" t="n">
        <v>3</v>
      </c>
      <c r="P122" s="26" t="n">
        <v>3</v>
      </c>
      <c r="Q122" s="26" t="n">
        <v>1</v>
      </c>
      <c r="R122" s="26" t="n">
        <v>2</v>
      </c>
      <c r="S122" s="26" t="n">
        <v>2</v>
      </c>
      <c r="T122" s="23" t="n">
        <v>0</v>
      </c>
      <c r="U122" s="23" t="n">
        <v>1</v>
      </c>
      <c r="V122" s="23" t="n">
        <v>1</v>
      </c>
      <c r="W122" s="23" t="n">
        <v>1</v>
      </c>
      <c r="X122" s="23" t="n">
        <v>1</v>
      </c>
      <c r="Y122" s="23" t="n">
        <v>1</v>
      </c>
      <c r="Z122" s="23" t="n">
        <v>1</v>
      </c>
      <c r="AA122" s="23" t="n">
        <v>1</v>
      </c>
      <c r="AB122" s="23" t="n">
        <v>1</v>
      </c>
    </row>
    <row r="123" ht="22.5" customFormat="1" customHeight="1" s="25">
      <c r="A123" s="22" t="inlineStr">
        <is>
          <t>Dushin</t>
        </is>
      </c>
      <c r="B123" s="23" t="n">
        <v>11</v>
      </c>
      <c r="C123" s="23" t="n">
        <v>5</v>
      </c>
      <c r="D123" s="22" t="n">
        <v>120</v>
      </c>
      <c r="E123" s="23" t="n"/>
      <c r="F123" s="23" t="inlineStr">
        <is>
          <t>YES</t>
        </is>
      </c>
      <c r="G123" s="23">
        <f>SUM(T123:AB123)</f>
        <v/>
      </c>
      <c r="H123" s="24">
        <f>G123/9</f>
        <v/>
      </c>
      <c r="I123" s="24">
        <f>0.5+(SUM(T123:AB123)/18)</f>
        <v/>
      </c>
      <c r="J123" s="23">
        <f>COUNTIF(K123:S123,"")</f>
        <v/>
      </c>
      <c r="K123" s="26" t="n">
        <v>4</v>
      </c>
      <c r="L123" s="26" t="n">
        <v>2</v>
      </c>
      <c r="M123" s="26" t="n">
        <v>3</v>
      </c>
      <c r="N123" s="26" t="n">
        <v>4</v>
      </c>
      <c r="O123" s="26" t="n">
        <v>3</v>
      </c>
      <c r="P123" s="26" t="n">
        <v>1</v>
      </c>
      <c r="Q123" s="26" t="n">
        <v>1</v>
      </c>
      <c r="R123" s="26" t="n">
        <v>4</v>
      </c>
      <c r="S123" s="26" t="n">
        <v>1</v>
      </c>
      <c r="T123" s="23" t="n">
        <v>0</v>
      </c>
      <c r="U123" s="23" t="n">
        <v>0</v>
      </c>
      <c r="V123" s="23" t="n">
        <v>0</v>
      </c>
      <c r="W123" s="23" t="n">
        <v>1</v>
      </c>
      <c r="X123" s="23" t="n">
        <v>1</v>
      </c>
      <c r="Y123" s="23" t="n">
        <v>0</v>
      </c>
      <c r="Z123" s="23" t="n">
        <v>1</v>
      </c>
      <c r="AA123" s="23" t="n">
        <v>0</v>
      </c>
      <c r="AB123" s="23" t="n">
        <v>0</v>
      </c>
    </row>
    <row r="124" ht="22.5" customFormat="1" customHeight="1" s="25">
      <c r="A124" s="22" t="inlineStr">
        <is>
          <t>Dushin</t>
        </is>
      </c>
      <c r="B124" s="23" t="n">
        <v>11</v>
      </c>
      <c r="C124" s="23" t="n">
        <v>5</v>
      </c>
      <c r="D124" s="22" t="n">
        <v>121</v>
      </c>
      <c r="E124" s="23" t="n"/>
      <c r="F124" s="23" t="n"/>
      <c r="G124" s="23">
        <f>SUM(T124:AB124)</f>
        <v/>
      </c>
      <c r="H124" s="24">
        <f>G124/9</f>
        <v/>
      </c>
      <c r="I124" s="24">
        <f>0.5+(SUM(T124:AB124)/18)</f>
        <v/>
      </c>
      <c r="J124" s="23">
        <f>COUNTIF(K124:S124,"")</f>
        <v/>
      </c>
      <c r="K124" s="26" t="n">
        <v>1</v>
      </c>
      <c r="L124" s="26" t="n">
        <v>1</v>
      </c>
      <c r="M124" s="26" t="n">
        <v>2</v>
      </c>
      <c r="N124" s="26" t="n"/>
      <c r="O124" s="26" t="n"/>
      <c r="P124" s="26" t="n"/>
      <c r="Q124" s="26" t="n"/>
      <c r="R124" s="26" t="n"/>
      <c r="S124" s="26" t="n"/>
      <c r="T124" s="23" t="n">
        <v>0</v>
      </c>
      <c r="U124" s="23" t="n">
        <v>1</v>
      </c>
      <c r="V124" s="23" t="n">
        <v>0</v>
      </c>
      <c r="W124" s="23" t="n">
        <v>0</v>
      </c>
      <c r="X124" s="23" t="n">
        <v>0</v>
      </c>
      <c r="Y124" s="23" t="n">
        <v>0</v>
      </c>
      <c r="Z124" s="23" t="n">
        <v>0</v>
      </c>
      <c r="AA124" s="23" t="n">
        <v>0</v>
      </c>
      <c r="AB124" s="23" t="n">
        <v>0</v>
      </c>
    </row>
    <row r="125" ht="22.5" customFormat="1" customHeight="1" s="25">
      <c r="A125" s="22" t="inlineStr">
        <is>
          <t>Dushin</t>
        </is>
      </c>
      <c r="B125" s="23" t="n">
        <v>11</v>
      </c>
      <c r="C125" s="23" t="n">
        <v>5</v>
      </c>
      <c r="D125" s="22" t="n">
        <v>122</v>
      </c>
      <c r="E125" s="23" t="n"/>
      <c r="F125" s="23" t="n"/>
      <c r="G125" s="23">
        <f>SUM(T125:AB125)</f>
        <v/>
      </c>
      <c r="H125" s="24">
        <f>G125/9</f>
        <v/>
      </c>
      <c r="I125" s="24">
        <f>0.5+(SUM(T125:AB125)/18)</f>
        <v/>
      </c>
      <c r="J125" s="23">
        <f>COUNTIF(K125:S125,"")</f>
        <v/>
      </c>
      <c r="K125" s="26" t="n">
        <v>3</v>
      </c>
      <c r="L125" s="26" t="n">
        <v>1</v>
      </c>
      <c r="M125" s="26" t="n">
        <v>4</v>
      </c>
      <c r="N125" s="26" t="n">
        <v>4</v>
      </c>
      <c r="O125" s="26" t="n">
        <v>3</v>
      </c>
      <c r="P125" s="26" t="n">
        <v>3</v>
      </c>
      <c r="Q125" s="26" t="n">
        <v>1</v>
      </c>
      <c r="R125" s="26" t="n">
        <v>2</v>
      </c>
      <c r="S125" s="26" t="n">
        <v>2</v>
      </c>
      <c r="T125" s="23" t="n">
        <v>1</v>
      </c>
      <c r="U125" s="23" t="n">
        <v>1</v>
      </c>
      <c r="V125" s="23" t="n">
        <v>1</v>
      </c>
      <c r="W125" s="23" t="n">
        <v>1</v>
      </c>
      <c r="X125" s="23" t="n">
        <v>1</v>
      </c>
      <c r="Y125" s="23" t="n">
        <v>1</v>
      </c>
      <c r="Z125" s="23" t="n">
        <v>1</v>
      </c>
      <c r="AA125" s="23" t="n">
        <v>1</v>
      </c>
      <c r="AB125" s="23" t="n">
        <v>1</v>
      </c>
    </row>
    <row r="126" ht="22.5" customFormat="1" customHeight="1" s="25">
      <c r="A126" s="22" t="inlineStr">
        <is>
          <t>Dushin</t>
        </is>
      </c>
      <c r="B126" s="23" t="n">
        <v>11</v>
      </c>
      <c r="C126" s="23" t="n">
        <v>5</v>
      </c>
      <c r="D126" s="22" t="n">
        <v>123</v>
      </c>
      <c r="E126" s="23" t="n"/>
      <c r="F126" s="23" t="n"/>
      <c r="G126" s="23">
        <f>SUM(T126:AB126)</f>
        <v/>
      </c>
      <c r="H126" s="24">
        <f>G126/9</f>
        <v/>
      </c>
      <c r="I126" s="24">
        <f>0.5+(SUM(T126:AB126)/18)</f>
        <v/>
      </c>
      <c r="J126" s="23">
        <f>COUNTIF(K126:S126,"")</f>
        <v/>
      </c>
      <c r="K126" s="26" t="n">
        <v>3</v>
      </c>
      <c r="L126" s="26" t="n">
        <v>1</v>
      </c>
      <c r="M126" s="26" t="n">
        <v>4</v>
      </c>
      <c r="N126" s="26" t="n">
        <v>4</v>
      </c>
      <c r="O126" s="26" t="n">
        <v>3</v>
      </c>
      <c r="P126" s="26" t="n">
        <v>2</v>
      </c>
      <c r="Q126" s="26" t="n">
        <v>1</v>
      </c>
      <c r="R126" s="26" t="n">
        <v>3</v>
      </c>
      <c r="S126" s="26" t="n">
        <v>4</v>
      </c>
      <c r="T126" s="23" t="n">
        <v>1</v>
      </c>
      <c r="U126" s="23" t="n">
        <v>1</v>
      </c>
      <c r="V126" s="23" t="n">
        <v>1</v>
      </c>
      <c r="W126" s="23" t="n">
        <v>1</v>
      </c>
      <c r="X126" s="23" t="n">
        <v>1</v>
      </c>
      <c r="Y126" s="23" t="n">
        <v>0</v>
      </c>
      <c r="Z126" s="23" t="n">
        <v>1</v>
      </c>
      <c r="AA126" s="23" t="n">
        <v>0</v>
      </c>
      <c r="AB126" s="23" t="n">
        <v>0</v>
      </c>
    </row>
    <row r="127" ht="22.5" customFormat="1" customHeight="1" s="25">
      <c r="A127" s="22" t="inlineStr">
        <is>
          <t>Dushin</t>
        </is>
      </c>
      <c r="B127" s="23" t="n">
        <v>11</v>
      </c>
      <c r="C127" s="23" t="n">
        <v>5</v>
      </c>
      <c r="D127" s="22" t="n">
        <v>124</v>
      </c>
      <c r="E127" s="23" t="n"/>
      <c r="F127" s="23" t="n"/>
      <c r="G127" s="23">
        <f>SUM(T127:AB127)</f>
        <v/>
      </c>
      <c r="H127" s="24">
        <f>G127/9</f>
        <v/>
      </c>
      <c r="I127" s="24">
        <f>0.5+(SUM(T127:AB127)/18)</f>
        <v/>
      </c>
      <c r="J127" s="23">
        <f>COUNTIF(K127:S127,"")</f>
        <v/>
      </c>
      <c r="K127" s="26" t="n">
        <v>3</v>
      </c>
      <c r="L127" s="26" t="n">
        <v>1</v>
      </c>
      <c r="M127" s="26" t="n">
        <v>4</v>
      </c>
      <c r="N127" s="26" t="n">
        <v>4</v>
      </c>
      <c r="O127" s="26" t="n">
        <v>3</v>
      </c>
      <c r="P127" s="26" t="n">
        <v>3</v>
      </c>
      <c r="Q127" s="26" t="n">
        <v>1</v>
      </c>
      <c r="R127" s="26" t="n">
        <v>2</v>
      </c>
      <c r="S127" s="26" t="n">
        <v>2</v>
      </c>
      <c r="T127" s="23" t="n">
        <v>1</v>
      </c>
      <c r="U127" s="23" t="n">
        <v>1</v>
      </c>
      <c r="V127" s="23" t="n">
        <v>1</v>
      </c>
      <c r="W127" s="23" t="n">
        <v>1</v>
      </c>
      <c r="X127" s="23" t="n">
        <v>1</v>
      </c>
      <c r="Y127" s="23" t="n">
        <v>1</v>
      </c>
      <c r="Z127" s="23" t="n">
        <v>1</v>
      </c>
      <c r="AA127" s="23" t="n">
        <v>1</v>
      </c>
      <c r="AB127" s="23" t="n">
        <v>1</v>
      </c>
    </row>
    <row r="128" ht="22.5" customFormat="1" customHeight="1" s="25">
      <c r="A128" s="22" t="inlineStr">
        <is>
          <t>Dushin</t>
        </is>
      </c>
      <c r="B128" s="23" t="n">
        <v>11</v>
      </c>
      <c r="C128" s="23" t="n">
        <v>5</v>
      </c>
      <c r="D128" s="22" t="n">
        <v>125</v>
      </c>
      <c r="E128" s="23" t="n"/>
      <c r="F128" s="23" t="n"/>
      <c r="G128" s="23">
        <f>SUM(T128:AB128)</f>
        <v/>
      </c>
      <c r="H128" s="24">
        <f>G128/9</f>
        <v/>
      </c>
      <c r="I128" s="24">
        <f>0.5+(SUM(T128:AB128)/18)</f>
        <v/>
      </c>
      <c r="J128" s="23">
        <f>COUNTIF(K128:S128,"")</f>
        <v/>
      </c>
      <c r="K128" s="26" t="n">
        <v>3</v>
      </c>
      <c r="L128" s="26" t="n">
        <v>1</v>
      </c>
      <c r="M128" s="26" t="n">
        <v>4</v>
      </c>
      <c r="N128" s="26" t="n">
        <v>3</v>
      </c>
      <c r="O128" s="26" t="n">
        <v>3</v>
      </c>
      <c r="P128" s="26" t="n">
        <v>3</v>
      </c>
      <c r="Q128" s="26" t="n">
        <v>1</v>
      </c>
      <c r="R128" s="26" t="n">
        <v>2</v>
      </c>
      <c r="S128" s="26" t="n">
        <v>2</v>
      </c>
      <c r="T128" s="23" t="n">
        <v>1</v>
      </c>
      <c r="U128" s="23" t="n">
        <v>1</v>
      </c>
      <c r="V128" s="23" t="n">
        <v>1</v>
      </c>
      <c r="W128" s="23" t="n">
        <v>0</v>
      </c>
      <c r="X128" s="23" t="n">
        <v>1</v>
      </c>
      <c r="Y128" s="23" t="n">
        <v>1</v>
      </c>
      <c r="Z128" s="23" t="n">
        <v>1</v>
      </c>
      <c r="AA128" s="23" t="n">
        <v>1</v>
      </c>
      <c r="AB128" s="23" t="n">
        <v>1</v>
      </c>
    </row>
    <row r="129" ht="22.5" customFormat="1" customHeight="1" s="25">
      <c r="A129" s="22" t="inlineStr">
        <is>
          <t>Dushin</t>
        </is>
      </c>
      <c r="B129" s="23" t="n">
        <v>11</v>
      </c>
      <c r="C129" s="23" t="n">
        <v>5</v>
      </c>
      <c r="D129" s="22" t="n">
        <v>126</v>
      </c>
      <c r="E129" s="23" t="n"/>
      <c r="F129" s="23" t="n"/>
      <c r="G129" s="23">
        <f>SUM(T129:AB129)</f>
        <v/>
      </c>
      <c r="H129" s="24">
        <f>G129/9</f>
        <v/>
      </c>
      <c r="I129" s="24">
        <f>0.5+(SUM(T129:AB129)/18)</f>
        <v/>
      </c>
      <c r="J129" s="23">
        <f>COUNTIF(K129:S129,"")</f>
        <v/>
      </c>
      <c r="K129" s="26" t="n">
        <v>3</v>
      </c>
      <c r="L129" s="26" t="n">
        <v>1</v>
      </c>
      <c r="M129" s="26" t="n">
        <v>4</v>
      </c>
      <c r="N129" s="26" t="n">
        <v>3</v>
      </c>
      <c r="O129" s="26" t="n">
        <v>2</v>
      </c>
      <c r="P129" s="26" t="n">
        <v>3</v>
      </c>
      <c r="Q129" s="26" t="n">
        <v>1</v>
      </c>
      <c r="R129" s="26" t="n">
        <v>2</v>
      </c>
      <c r="S129" s="26" t="n">
        <v>2</v>
      </c>
      <c r="T129" s="23" t="n">
        <v>1</v>
      </c>
      <c r="U129" s="23" t="n">
        <v>1</v>
      </c>
      <c r="V129" s="23" t="n">
        <v>1</v>
      </c>
      <c r="W129" s="23" t="n">
        <v>0</v>
      </c>
      <c r="X129" s="23" t="n">
        <v>0</v>
      </c>
      <c r="Y129" s="23" t="n">
        <v>1</v>
      </c>
      <c r="Z129" s="23" t="n">
        <v>1</v>
      </c>
      <c r="AA129" s="23" t="n">
        <v>1</v>
      </c>
      <c r="AB129" s="23" t="n">
        <v>1</v>
      </c>
    </row>
    <row r="130" ht="22.5" customFormat="1" customHeight="1" s="25">
      <c r="A130" s="22" t="inlineStr">
        <is>
          <t>Dushin</t>
        </is>
      </c>
      <c r="B130" s="23" t="n">
        <v>11</v>
      </c>
      <c r="C130" s="23" t="n">
        <v>5</v>
      </c>
      <c r="D130" s="22" t="n">
        <v>127</v>
      </c>
      <c r="E130" s="23" t="n"/>
      <c r="F130" s="23" t="inlineStr">
        <is>
          <t>YES</t>
        </is>
      </c>
      <c r="G130" s="23">
        <f>SUM(T130:AB130)</f>
        <v/>
      </c>
      <c r="H130" s="24">
        <f>G130/9</f>
        <v/>
      </c>
      <c r="I130" s="24">
        <f>0.5+(SUM(T130:AB130)/18)</f>
        <v/>
      </c>
      <c r="J130" s="23">
        <f>COUNTIF(K130:S130,"")</f>
        <v/>
      </c>
      <c r="K130" s="26" t="n">
        <v>4</v>
      </c>
      <c r="L130" s="26" t="n">
        <v>1</v>
      </c>
      <c r="M130" s="26" t="n">
        <v>4</v>
      </c>
      <c r="N130" s="26" t="n">
        <v>3</v>
      </c>
      <c r="O130" s="26" t="n">
        <v>2</v>
      </c>
      <c r="P130" s="26" t="n">
        <v>3</v>
      </c>
      <c r="Q130" s="26" t="n">
        <v>2</v>
      </c>
      <c r="R130" s="26" t="n">
        <v>2</v>
      </c>
      <c r="S130" s="26" t="n">
        <v>2</v>
      </c>
      <c r="T130" s="23" t="n">
        <v>0</v>
      </c>
      <c r="U130" s="23" t="n">
        <v>1</v>
      </c>
      <c r="V130" s="23" t="n">
        <v>1</v>
      </c>
      <c r="W130" s="23" t="n">
        <v>0</v>
      </c>
      <c r="X130" s="23" t="n">
        <v>0</v>
      </c>
      <c r="Y130" s="23" t="n">
        <v>1</v>
      </c>
      <c r="Z130" s="23" t="n">
        <v>0</v>
      </c>
      <c r="AA130" s="23" t="n">
        <v>1</v>
      </c>
      <c r="AB130" s="23" t="n">
        <v>1</v>
      </c>
    </row>
    <row r="131" ht="22.5" customFormat="1" customHeight="1" s="25">
      <c r="A131" s="22" t="inlineStr">
        <is>
          <t>Dushin</t>
        </is>
      </c>
      <c r="B131" s="23" t="n">
        <v>11</v>
      </c>
      <c r="C131" s="23" t="n">
        <v>5</v>
      </c>
      <c r="D131" s="22" t="n">
        <v>128</v>
      </c>
      <c r="E131" s="23" t="n"/>
      <c r="F131" s="23" t="inlineStr">
        <is>
          <t>YES</t>
        </is>
      </c>
      <c r="G131" s="23">
        <f>SUM(T131:AB131)</f>
        <v/>
      </c>
      <c r="H131" s="24">
        <f>G131/9</f>
        <v/>
      </c>
      <c r="I131" s="24">
        <f>0.5+(SUM(T131:AB131)/18)</f>
        <v/>
      </c>
      <c r="J131" s="23">
        <f>COUNTIF(K131:S131,"")</f>
        <v/>
      </c>
      <c r="K131" s="26" t="n">
        <v>3</v>
      </c>
      <c r="L131" s="26" t="n">
        <v>1</v>
      </c>
      <c r="M131" s="26" t="n">
        <v>4</v>
      </c>
      <c r="N131" s="26" t="n">
        <v>4</v>
      </c>
      <c r="O131" s="26" t="n">
        <v>2</v>
      </c>
      <c r="P131" s="26" t="n">
        <v>3</v>
      </c>
      <c r="Q131" s="26" t="n">
        <v>1</v>
      </c>
      <c r="R131" s="26" t="n">
        <v>2</v>
      </c>
      <c r="S131" s="26" t="n">
        <v>4</v>
      </c>
      <c r="T131" s="23" t="n">
        <v>1</v>
      </c>
      <c r="U131" s="23" t="n">
        <v>1</v>
      </c>
      <c r="V131" s="23" t="n">
        <v>1</v>
      </c>
      <c r="W131" s="23" t="n">
        <v>1</v>
      </c>
      <c r="X131" s="23" t="n">
        <v>0</v>
      </c>
      <c r="Y131" s="23" t="n">
        <v>1</v>
      </c>
      <c r="Z131" s="23" t="n">
        <v>1</v>
      </c>
      <c r="AA131" s="23" t="n">
        <v>1</v>
      </c>
      <c r="AB131" s="23" t="n">
        <v>0</v>
      </c>
    </row>
    <row r="132" ht="22.5" customFormat="1" customHeight="1" s="25">
      <c r="A132" s="22" t="inlineStr">
        <is>
          <t>Dushin</t>
        </is>
      </c>
      <c r="B132" s="23" t="n">
        <v>11</v>
      </c>
      <c r="C132" s="23" t="n">
        <v>5</v>
      </c>
      <c r="D132" s="22" t="n">
        <v>129</v>
      </c>
      <c r="E132" s="23" t="n"/>
      <c r="F132" s="23" t="n"/>
      <c r="G132" s="23">
        <f>SUM(T132:AB132)</f>
        <v/>
      </c>
      <c r="H132" s="24">
        <f>G132/9</f>
        <v/>
      </c>
      <c r="I132" s="24">
        <f>0.5+(SUM(T132:AB132)/18)</f>
        <v/>
      </c>
      <c r="J132" s="23">
        <f>COUNTIF(K132:S132,"")</f>
        <v/>
      </c>
      <c r="K132" s="26" t="n">
        <v>1</v>
      </c>
      <c r="L132" s="26" t="n">
        <v>1</v>
      </c>
      <c r="M132" s="26" t="n">
        <v>2</v>
      </c>
      <c r="N132" s="26" t="n">
        <v>3</v>
      </c>
      <c r="O132" s="26" t="n">
        <v>2</v>
      </c>
      <c r="P132" s="26" t="n">
        <v>1</v>
      </c>
      <c r="Q132" s="26" t="n">
        <v>1</v>
      </c>
      <c r="R132" s="26" t="n">
        <v>3</v>
      </c>
      <c r="S132" s="26" t="n">
        <v>3</v>
      </c>
      <c r="T132" s="23" t="n">
        <v>0</v>
      </c>
      <c r="U132" s="23" t="n">
        <v>1</v>
      </c>
      <c r="V132" s="23" t="n">
        <v>0</v>
      </c>
      <c r="W132" s="23" t="n">
        <v>0</v>
      </c>
      <c r="X132" s="23" t="n">
        <v>0</v>
      </c>
      <c r="Y132" s="23" t="n">
        <v>0</v>
      </c>
      <c r="Z132" s="23" t="n">
        <v>1</v>
      </c>
      <c r="AA132" s="23" t="n">
        <v>0</v>
      </c>
      <c r="AB132" s="23" t="n">
        <v>0</v>
      </c>
    </row>
    <row r="133" ht="22.5" customFormat="1" customHeight="1" s="25">
      <c r="A133" s="22" t="inlineStr">
        <is>
          <t>Dushin</t>
        </is>
      </c>
      <c r="B133" s="23" t="n">
        <v>11</v>
      </c>
      <c r="C133" s="23" t="n">
        <v>5</v>
      </c>
      <c r="D133" s="22" t="n">
        <v>130</v>
      </c>
      <c r="E133" s="23" t="n"/>
      <c r="F133" s="23" t="n"/>
      <c r="G133" s="23">
        <f>SUM(T133:AB133)</f>
        <v/>
      </c>
      <c r="H133" s="24">
        <f>G133/9</f>
        <v/>
      </c>
      <c r="I133" s="24">
        <f>0.5+(SUM(T133:AB133)/18)</f>
        <v/>
      </c>
      <c r="J133" s="23">
        <f>COUNTIF(K133:S133,"")</f>
        <v/>
      </c>
      <c r="K133" s="26" t="n">
        <v>3</v>
      </c>
      <c r="L133" s="26" t="n">
        <v>1</v>
      </c>
      <c r="M133" s="26" t="n">
        <v>4</v>
      </c>
      <c r="N133" s="26" t="n">
        <v>4</v>
      </c>
      <c r="O133" s="26" t="n">
        <v>4</v>
      </c>
      <c r="P133" s="26" t="n">
        <v>3</v>
      </c>
      <c r="Q133" s="26" t="n">
        <v>1</v>
      </c>
      <c r="R133" s="26" t="n">
        <v>2</v>
      </c>
      <c r="S133" s="26" t="n">
        <v>2</v>
      </c>
      <c r="T133" s="23" t="n">
        <v>1</v>
      </c>
      <c r="U133" s="23" t="n">
        <v>1</v>
      </c>
      <c r="V133" s="23" t="n">
        <v>1</v>
      </c>
      <c r="W133" s="23" t="n">
        <v>1</v>
      </c>
      <c r="X133" s="23" t="n">
        <v>0</v>
      </c>
      <c r="Y133" s="23" t="n">
        <v>1</v>
      </c>
      <c r="Z133" s="23" t="n">
        <v>1</v>
      </c>
      <c r="AA133" s="23" t="n">
        <v>1</v>
      </c>
      <c r="AB133" s="23" t="n">
        <v>1</v>
      </c>
    </row>
    <row r="134" ht="22.5" customFormat="1" customHeight="1" s="25">
      <c r="A134" s="22" t="inlineStr">
        <is>
          <t>Dushin</t>
        </is>
      </c>
      <c r="B134" s="23" t="n">
        <v>11</v>
      </c>
      <c r="C134" s="23" t="n">
        <v>5</v>
      </c>
      <c r="D134" s="22" t="n">
        <v>131</v>
      </c>
      <c r="E134" s="23" t="n"/>
      <c r="F134" s="23" t="inlineStr">
        <is>
          <t>YES</t>
        </is>
      </c>
      <c r="G134" s="23">
        <f>SUM(T134:AB134)</f>
        <v/>
      </c>
      <c r="H134" s="24">
        <f>G134/9</f>
        <v/>
      </c>
      <c r="I134" s="24">
        <f>0.5+(SUM(T134:AB134)/18)</f>
        <v/>
      </c>
      <c r="J134" s="23">
        <f>COUNTIF(K134:S134,"")</f>
        <v/>
      </c>
      <c r="K134" s="26" t="n">
        <v>3</v>
      </c>
      <c r="L134" s="26" t="n">
        <v>1</v>
      </c>
      <c r="M134" s="26" t="n">
        <v>3</v>
      </c>
      <c r="N134" s="26" t="n">
        <v>4</v>
      </c>
      <c r="O134" s="26" t="n">
        <v>3</v>
      </c>
      <c r="P134" s="26" t="n">
        <v>3</v>
      </c>
      <c r="Q134" s="26" t="n">
        <v>1</v>
      </c>
      <c r="R134" s="26" t="n">
        <v>2</v>
      </c>
      <c r="S134" s="26" t="n">
        <v>2</v>
      </c>
      <c r="T134" s="23" t="n">
        <v>1</v>
      </c>
      <c r="U134" s="23" t="n">
        <v>1</v>
      </c>
      <c r="V134" s="23" t="n">
        <v>0</v>
      </c>
      <c r="W134" s="23" t="n">
        <v>1</v>
      </c>
      <c r="X134" s="23" t="n">
        <v>1</v>
      </c>
      <c r="Y134" s="23" t="n">
        <v>1</v>
      </c>
      <c r="Z134" s="23" t="n">
        <v>1</v>
      </c>
      <c r="AA134" s="23" t="n">
        <v>1</v>
      </c>
      <c r="AB134" s="23" t="n">
        <v>1</v>
      </c>
    </row>
    <row r="135" ht="22.5" customFormat="1" customHeight="1" s="25">
      <c r="A135" s="22" t="inlineStr">
        <is>
          <t>Dushin</t>
        </is>
      </c>
      <c r="B135" s="23" t="n">
        <v>11</v>
      </c>
      <c r="C135" s="23" t="n">
        <v>5</v>
      </c>
      <c r="D135" s="22" t="n">
        <v>132</v>
      </c>
      <c r="E135" s="23" t="n"/>
      <c r="F135" s="23" t="n"/>
      <c r="G135" s="23">
        <f>SUM(T135:AB135)</f>
        <v/>
      </c>
      <c r="H135" s="24">
        <f>G135/9</f>
        <v/>
      </c>
      <c r="I135" s="24">
        <f>0.5+(SUM(T135:AB135)/18)</f>
        <v/>
      </c>
      <c r="J135" s="23">
        <f>COUNTIF(K135:S135,"")</f>
        <v/>
      </c>
      <c r="K135" s="26" t="n">
        <v>4</v>
      </c>
      <c r="L135" s="26" t="n">
        <v>1</v>
      </c>
      <c r="M135" s="26" t="n">
        <v>3</v>
      </c>
      <c r="N135" s="26" t="n">
        <v>4</v>
      </c>
      <c r="O135" s="26" t="n">
        <v>1</v>
      </c>
      <c r="P135" s="26" t="n">
        <v>3</v>
      </c>
      <c r="Q135" s="26" t="n">
        <v>1</v>
      </c>
      <c r="R135" s="26" t="n">
        <v>2</v>
      </c>
      <c r="S135" s="26" t="n">
        <v>2</v>
      </c>
      <c r="T135" s="23" t="n">
        <v>0</v>
      </c>
      <c r="U135" s="23" t="n">
        <v>1</v>
      </c>
      <c r="V135" s="23" t="n">
        <v>0</v>
      </c>
      <c r="W135" s="23" t="n">
        <v>1</v>
      </c>
      <c r="X135" s="23" t="n">
        <v>0</v>
      </c>
      <c r="Y135" s="23" t="n">
        <v>1</v>
      </c>
      <c r="Z135" s="23" t="n">
        <v>1</v>
      </c>
      <c r="AA135" s="23" t="n">
        <v>1</v>
      </c>
      <c r="AB135" s="23" t="n">
        <v>1</v>
      </c>
    </row>
    <row r="136" ht="22.5" customFormat="1" customHeight="1" s="25">
      <c r="A136" s="22" t="inlineStr">
        <is>
          <t>Dushin</t>
        </is>
      </c>
      <c r="B136" s="23" t="n">
        <v>11</v>
      </c>
      <c r="C136" s="23" t="n">
        <v>5</v>
      </c>
      <c r="D136" s="22" t="n">
        <v>133</v>
      </c>
      <c r="E136" s="23" t="n"/>
      <c r="F136" s="23" t="n"/>
      <c r="G136" s="23">
        <f>SUM(T136:AB136)</f>
        <v/>
      </c>
      <c r="H136" s="24">
        <f>G136/9</f>
        <v/>
      </c>
      <c r="I136" s="24">
        <f>0.5+(SUM(T136:AB136)/18)</f>
        <v/>
      </c>
      <c r="J136" s="23">
        <f>COUNTIF(K136:S136,"")</f>
        <v/>
      </c>
      <c r="K136" s="26" t="n">
        <v>4</v>
      </c>
      <c r="L136" s="26" t="n">
        <v>1</v>
      </c>
      <c r="M136" s="26" t="n">
        <v>3</v>
      </c>
      <c r="N136" s="26" t="n">
        <v>1</v>
      </c>
      <c r="O136" s="26" t="n">
        <v>2</v>
      </c>
      <c r="P136" s="26" t="n">
        <v>3</v>
      </c>
      <c r="Q136" s="26" t="n">
        <v>1</v>
      </c>
      <c r="R136" s="26" t="n">
        <v>3</v>
      </c>
      <c r="S136" s="26" t="n">
        <v>2</v>
      </c>
      <c r="T136" s="23" t="n">
        <v>0</v>
      </c>
      <c r="U136" s="23" t="n">
        <v>1</v>
      </c>
      <c r="V136" s="23" t="n">
        <v>0</v>
      </c>
      <c r="W136" s="23" t="n">
        <v>0</v>
      </c>
      <c r="X136" s="23" t="n">
        <v>0</v>
      </c>
      <c r="Y136" s="23" t="n">
        <v>1</v>
      </c>
      <c r="Z136" s="23" t="n">
        <v>1</v>
      </c>
      <c r="AA136" s="23" t="n">
        <v>0</v>
      </c>
      <c r="AB136" s="23" t="n">
        <v>1</v>
      </c>
    </row>
    <row r="137" ht="22.5" customFormat="1" customHeight="1" s="25">
      <c r="A137" s="22" t="inlineStr">
        <is>
          <t>Kovelsky</t>
        </is>
      </c>
      <c r="B137" s="23" t="n">
        <v>11</v>
      </c>
      <c r="C137" s="23" t="n">
        <v>1</v>
      </c>
      <c r="D137" s="22" t="n">
        <v>134</v>
      </c>
      <c r="E137" s="23" t="n"/>
      <c r="F137" s="23" t="inlineStr">
        <is>
          <t>YES</t>
        </is>
      </c>
      <c r="G137" s="23">
        <f>SUM(T137:AB137)</f>
        <v/>
      </c>
      <c r="H137" s="24">
        <f>G137/9</f>
        <v/>
      </c>
      <c r="I137" s="24">
        <f>0.5+(SUM(T137:AB137)/18)</f>
        <v/>
      </c>
      <c r="J137" s="23">
        <f>COUNTIF(K137:S137,"")</f>
        <v/>
      </c>
      <c r="K137" s="26" t="n">
        <v>3</v>
      </c>
      <c r="L137" s="26" t="n">
        <v>1</v>
      </c>
      <c r="M137" s="26" t="n">
        <v>2</v>
      </c>
      <c r="N137" s="26" t="n">
        <v>2</v>
      </c>
      <c r="O137" s="26" t="n">
        <v>2</v>
      </c>
      <c r="P137" s="26" t="n">
        <v>3</v>
      </c>
      <c r="Q137" s="26" t="n">
        <v>1</v>
      </c>
      <c r="R137" s="26" t="n">
        <v>2</v>
      </c>
      <c r="S137" s="26" t="n">
        <v>3</v>
      </c>
      <c r="T137" s="23" t="n">
        <v>1</v>
      </c>
      <c r="U137" s="23" t="n">
        <v>1</v>
      </c>
      <c r="V137" s="23" t="n">
        <v>0</v>
      </c>
      <c r="W137" s="23" t="n">
        <v>0</v>
      </c>
      <c r="X137" s="23" t="n">
        <v>0</v>
      </c>
      <c r="Y137" s="23" t="n">
        <v>1</v>
      </c>
      <c r="Z137" s="23" t="n">
        <v>1</v>
      </c>
      <c r="AA137" s="23" t="n">
        <v>1</v>
      </c>
      <c r="AB137" s="23" t="n">
        <v>0</v>
      </c>
    </row>
    <row r="138" ht="22.5" customFormat="1" customHeight="1" s="25">
      <c r="A138" s="22" t="inlineStr">
        <is>
          <t>Kovelsky</t>
        </is>
      </c>
      <c r="B138" s="23" t="n">
        <v>11</v>
      </c>
      <c r="C138" s="23" t="n">
        <v>1</v>
      </c>
      <c r="D138" s="22" t="n">
        <v>135</v>
      </c>
      <c r="E138" s="23" t="n"/>
      <c r="F138" s="23" t="n"/>
      <c r="G138" s="23">
        <f>SUM(T138:AB138)</f>
        <v/>
      </c>
      <c r="H138" s="24">
        <f>G138/9</f>
        <v/>
      </c>
      <c r="I138" s="24">
        <f>0.5+(SUM(T138:AB138)/18)</f>
        <v/>
      </c>
      <c r="J138" s="23">
        <f>COUNTIF(K138:S138,"")</f>
        <v/>
      </c>
      <c r="K138" s="26" t="n">
        <v>3</v>
      </c>
      <c r="L138" s="26" t="n">
        <v>1</v>
      </c>
      <c r="M138" s="26" t="n">
        <v>3</v>
      </c>
      <c r="N138" s="26" t="n">
        <v>4</v>
      </c>
      <c r="O138" s="26" t="n">
        <v>4</v>
      </c>
      <c r="P138" s="26" t="n">
        <v>4</v>
      </c>
      <c r="Q138" s="26" t="n">
        <v>2</v>
      </c>
      <c r="R138" s="26" t="n">
        <v>2</v>
      </c>
      <c r="S138" s="26" t="n">
        <v>2</v>
      </c>
      <c r="T138" s="23" t="n">
        <v>1</v>
      </c>
      <c r="U138" s="23" t="n">
        <v>1</v>
      </c>
      <c r="V138" s="23" t="n">
        <v>0</v>
      </c>
      <c r="W138" s="23" t="n">
        <v>1</v>
      </c>
      <c r="X138" s="23" t="n">
        <v>0</v>
      </c>
      <c r="Y138" s="23" t="n">
        <v>0</v>
      </c>
      <c r="Z138" s="23" t="n">
        <v>0</v>
      </c>
      <c r="AA138" s="23" t="n">
        <v>1</v>
      </c>
      <c r="AB138" s="23" t="n">
        <v>1</v>
      </c>
    </row>
    <row r="139" ht="22.5" customFormat="1" customHeight="1" s="25">
      <c r="A139" s="22" t="inlineStr">
        <is>
          <t>Kovelsky</t>
        </is>
      </c>
      <c r="B139" s="23" t="n">
        <v>11</v>
      </c>
      <c r="C139" s="23" t="n">
        <v>1</v>
      </c>
      <c r="D139" s="22" t="n">
        <v>136</v>
      </c>
      <c r="E139" s="23" t="n"/>
      <c r="F139" s="23" t="n"/>
      <c r="G139" s="23">
        <f>SUM(T139:AB139)</f>
        <v/>
      </c>
      <c r="H139" s="24">
        <f>G139/9</f>
        <v/>
      </c>
      <c r="I139" s="24">
        <f>0.5+(SUM(T139:AB139)/18)</f>
        <v/>
      </c>
      <c r="J139" s="23">
        <f>COUNTIF(K139:S139,"")</f>
        <v/>
      </c>
      <c r="K139" s="26" t="n">
        <v>3</v>
      </c>
      <c r="L139" s="26" t="n">
        <v>1</v>
      </c>
      <c r="M139" s="26" t="n">
        <v>4</v>
      </c>
      <c r="N139" s="26" t="n">
        <v>4</v>
      </c>
      <c r="O139" s="26" t="n">
        <v>3</v>
      </c>
      <c r="P139" s="26" t="n">
        <v>3</v>
      </c>
      <c r="Q139" s="26" t="n">
        <v>1</v>
      </c>
      <c r="R139" s="26" t="n">
        <v>2</v>
      </c>
      <c r="S139" s="26" t="n">
        <v>2</v>
      </c>
      <c r="T139" s="23" t="n">
        <v>1</v>
      </c>
      <c r="U139" s="23" t="n">
        <v>1</v>
      </c>
      <c r="V139" s="23" t="n">
        <v>1</v>
      </c>
      <c r="W139" s="23" t="n">
        <v>1</v>
      </c>
      <c r="X139" s="23" t="n">
        <v>1</v>
      </c>
      <c r="Y139" s="23" t="n">
        <v>1</v>
      </c>
      <c r="Z139" s="23" t="n">
        <v>1</v>
      </c>
      <c r="AA139" s="23" t="n">
        <v>1</v>
      </c>
      <c r="AB139" s="23" t="n">
        <v>1</v>
      </c>
    </row>
    <row r="140" ht="22.5" customFormat="1" customHeight="1" s="25">
      <c r="A140" s="22" t="inlineStr">
        <is>
          <t>Kovelsky</t>
        </is>
      </c>
      <c r="B140" s="23" t="n">
        <v>11</v>
      </c>
      <c r="C140" s="23" t="n">
        <v>1</v>
      </c>
      <c r="D140" s="22" t="n">
        <v>137</v>
      </c>
      <c r="E140" s="23" t="n"/>
      <c r="F140" s="23" t="n"/>
      <c r="G140" s="23">
        <f>SUM(T140:AB140)</f>
        <v/>
      </c>
      <c r="H140" s="24">
        <f>G140/9</f>
        <v/>
      </c>
      <c r="I140" s="24">
        <f>0.5+(SUM(T140:AB140)/18)</f>
        <v/>
      </c>
      <c r="J140" s="23">
        <f>COUNTIF(K140:S140,"")</f>
        <v/>
      </c>
      <c r="K140" s="26" t="n">
        <v>1</v>
      </c>
      <c r="L140" s="26" t="n">
        <v>1</v>
      </c>
      <c r="M140" s="26" t="n">
        <v>3</v>
      </c>
      <c r="N140" s="26" t="n">
        <v>4</v>
      </c>
      <c r="O140" s="26" t="n">
        <v>3</v>
      </c>
      <c r="P140" s="26" t="n">
        <v>3</v>
      </c>
      <c r="Q140" s="26" t="n">
        <v>1</v>
      </c>
      <c r="R140" s="26" t="n">
        <v>1</v>
      </c>
      <c r="S140" s="26" t="n">
        <v>3</v>
      </c>
      <c r="T140" s="23" t="n">
        <v>0</v>
      </c>
      <c r="U140" s="23" t="n">
        <v>1</v>
      </c>
      <c r="V140" s="23" t="n">
        <v>0</v>
      </c>
      <c r="W140" s="23" t="n">
        <v>1</v>
      </c>
      <c r="X140" s="23" t="n">
        <v>1</v>
      </c>
      <c r="Y140" s="23" t="n">
        <v>1</v>
      </c>
      <c r="Z140" s="23" t="n">
        <v>1</v>
      </c>
      <c r="AA140" s="23" t="n">
        <v>0</v>
      </c>
      <c r="AB140" s="23" t="n">
        <v>0</v>
      </c>
    </row>
    <row r="141" ht="22.5" customFormat="1" customHeight="1" s="25">
      <c r="A141" s="22" t="inlineStr">
        <is>
          <t>Kovelsky</t>
        </is>
      </c>
      <c r="B141" s="23" t="n">
        <v>11</v>
      </c>
      <c r="C141" s="23" t="n">
        <v>1</v>
      </c>
      <c r="D141" s="22" t="n">
        <v>138</v>
      </c>
      <c r="E141" s="23" t="n"/>
      <c r="F141" s="23" t="n"/>
      <c r="G141" s="23">
        <f>SUM(T141:AB141)</f>
        <v/>
      </c>
      <c r="H141" s="24">
        <f>G141/9</f>
        <v/>
      </c>
      <c r="I141" s="24">
        <f>0.5+(SUM(T141:AB141)/18)</f>
        <v/>
      </c>
      <c r="J141" s="23">
        <f>COUNTIF(K141:S141,"")</f>
        <v/>
      </c>
      <c r="K141" s="26" t="n">
        <v>3</v>
      </c>
      <c r="L141" s="26" t="n">
        <v>1</v>
      </c>
      <c r="M141" s="26" t="n">
        <v>3</v>
      </c>
      <c r="N141" s="26" t="n">
        <v>4</v>
      </c>
      <c r="O141" s="26" t="n">
        <v>3</v>
      </c>
      <c r="P141" s="26" t="n">
        <v>2</v>
      </c>
      <c r="Q141" s="26" t="n">
        <v>1</v>
      </c>
      <c r="R141" s="26" t="n">
        <v>2</v>
      </c>
      <c r="S141" s="26" t="n">
        <v>2</v>
      </c>
      <c r="T141" s="23" t="n">
        <v>1</v>
      </c>
      <c r="U141" s="23" t="n">
        <v>1</v>
      </c>
      <c r="V141" s="23" t="n">
        <v>0</v>
      </c>
      <c r="W141" s="23" t="n">
        <v>1</v>
      </c>
      <c r="X141" s="23" t="n">
        <v>1</v>
      </c>
      <c r="Y141" s="23" t="n">
        <v>0</v>
      </c>
      <c r="Z141" s="23" t="n">
        <v>1</v>
      </c>
      <c r="AA141" s="23" t="n">
        <v>1</v>
      </c>
      <c r="AB141" s="23" t="n">
        <v>1</v>
      </c>
    </row>
    <row r="142" ht="22.5" customFormat="1" customHeight="1" s="25">
      <c r="A142" s="22" t="inlineStr">
        <is>
          <t>Kovelsky</t>
        </is>
      </c>
      <c r="B142" s="23" t="n">
        <v>11</v>
      </c>
      <c r="C142" s="23" t="n">
        <v>1</v>
      </c>
      <c r="D142" s="22" t="n">
        <v>139</v>
      </c>
      <c r="E142" s="23" t="n"/>
      <c r="F142" s="23" t="inlineStr">
        <is>
          <t>YES</t>
        </is>
      </c>
      <c r="G142" s="23">
        <f>SUM(T142:AB142)</f>
        <v/>
      </c>
      <c r="H142" s="24">
        <f>G142/9</f>
        <v/>
      </c>
      <c r="I142" s="24">
        <f>0.5+(SUM(T142:AB142)/18)</f>
        <v/>
      </c>
      <c r="J142" s="23">
        <f>COUNTIF(K142:S142,"")</f>
        <v/>
      </c>
      <c r="K142" s="26" t="n">
        <v>2</v>
      </c>
      <c r="L142" s="26" t="n">
        <v>1</v>
      </c>
      <c r="M142" s="26" t="n">
        <v>2</v>
      </c>
      <c r="N142" s="26" t="n">
        <v>4</v>
      </c>
      <c r="O142" s="26" t="n">
        <v>3</v>
      </c>
      <c r="P142" s="26" t="n">
        <v>3</v>
      </c>
      <c r="Q142" s="26" t="n">
        <v>1</v>
      </c>
      <c r="R142" s="26" t="n">
        <v>2</v>
      </c>
      <c r="S142" s="26" t="n">
        <v>2</v>
      </c>
      <c r="T142" s="23" t="n">
        <v>0</v>
      </c>
      <c r="U142" s="23" t="n">
        <v>1</v>
      </c>
      <c r="V142" s="23" t="n">
        <v>0</v>
      </c>
      <c r="W142" s="23" t="n">
        <v>1</v>
      </c>
      <c r="X142" s="23" t="n">
        <v>1</v>
      </c>
      <c r="Y142" s="23" t="n">
        <v>1</v>
      </c>
      <c r="Z142" s="23" t="n">
        <v>1</v>
      </c>
      <c r="AA142" s="23" t="n">
        <v>1</v>
      </c>
      <c r="AB142" s="23" t="n">
        <v>1</v>
      </c>
    </row>
    <row r="143" ht="22.5" customFormat="1" customHeight="1" s="25">
      <c r="A143" s="22" t="inlineStr">
        <is>
          <t>Kovelsky</t>
        </is>
      </c>
      <c r="B143" s="23" t="n">
        <v>11</v>
      </c>
      <c r="C143" s="23" t="n">
        <v>1</v>
      </c>
      <c r="D143" s="22" t="n">
        <v>140</v>
      </c>
      <c r="E143" s="23" t="n"/>
      <c r="F143" s="23" t="n"/>
      <c r="G143" s="23">
        <f>SUM(T143:AB143)</f>
        <v/>
      </c>
      <c r="H143" s="24">
        <f>G143/9</f>
        <v/>
      </c>
      <c r="I143" s="24">
        <f>0.5+(SUM(T143:AB143)/18)</f>
        <v/>
      </c>
      <c r="J143" s="23">
        <f>COUNTIF(K143:S143,"")</f>
        <v/>
      </c>
      <c r="K143" s="26" t="n">
        <v>1</v>
      </c>
      <c r="L143" s="26" t="n">
        <v>1</v>
      </c>
      <c r="M143" s="26" t="n">
        <v>2</v>
      </c>
      <c r="N143" s="26" t="n">
        <v>4</v>
      </c>
      <c r="O143" s="26" t="n">
        <v>3</v>
      </c>
      <c r="P143" s="26" t="n">
        <v>2</v>
      </c>
      <c r="Q143" s="26" t="n">
        <v>3</v>
      </c>
      <c r="R143" s="26" t="n">
        <v>2</v>
      </c>
      <c r="S143" s="26" t="n">
        <v>2</v>
      </c>
      <c r="T143" s="23" t="n">
        <v>0</v>
      </c>
      <c r="U143" s="23" t="n">
        <v>1</v>
      </c>
      <c r="V143" s="23" t="n">
        <v>0</v>
      </c>
      <c r="W143" s="23" t="n">
        <v>1</v>
      </c>
      <c r="X143" s="23" t="n">
        <v>1</v>
      </c>
      <c r="Y143" s="23" t="n">
        <v>0</v>
      </c>
      <c r="Z143" s="23" t="n">
        <v>0</v>
      </c>
      <c r="AA143" s="23" t="n">
        <v>1</v>
      </c>
      <c r="AB143" s="23" t="n">
        <v>1</v>
      </c>
    </row>
    <row r="144" ht="22.5" customFormat="1" customHeight="1" s="25">
      <c r="A144" s="22" t="inlineStr">
        <is>
          <t>Kovelsky</t>
        </is>
      </c>
      <c r="B144" s="23" t="n">
        <v>11</v>
      </c>
      <c r="C144" s="23" t="n">
        <v>1</v>
      </c>
      <c r="D144" s="22" t="n">
        <v>141</v>
      </c>
      <c r="E144" s="23" t="n"/>
      <c r="F144" s="23" t="n"/>
      <c r="G144" s="23">
        <f>SUM(T144:AB144)</f>
        <v/>
      </c>
      <c r="H144" s="24">
        <f>G144/9</f>
        <v/>
      </c>
      <c r="I144" s="24">
        <f>0.5+(SUM(T144:AB144)/18)</f>
        <v/>
      </c>
      <c r="J144" s="23">
        <f>COUNTIF(K144:S144,"")</f>
        <v/>
      </c>
      <c r="K144" s="26" t="n">
        <v>4</v>
      </c>
      <c r="L144" s="26" t="n">
        <v>1</v>
      </c>
      <c r="M144" s="26" t="n">
        <v>3</v>
      </c>
      <c r="N144" s="26" t="n">
        <v>3</v>
      </c>
      <c r="O144" s="26" t="n">
        <v>3</v>
      </c>
      <c r="P144" s="26" t="n">
        <v>1</v>
      </c>
      <c r="Q144" s="26" t="n">
        <v>1</v>
      </c>
      <c r="R144" s="26" t="n">
        <v>1</v>
      </c>
      <c r="S144" s="26" t="n">
        <v>3</v>
      </c>
      <c r="T144" s="23" t="n">
        <v>0</v>
      </c>
      <c r="U144" s="23" t="n">
        <v>1</v>
      </c>
      <c r="V144" s="23" t="n">
        <v>0</v>
      </c>
      <c r="W144" s="23" t="n">
        <v>0</v>
      </c>
      <c r="X144" s="23" t="n">
        <v>1</v>
      </c>
      <c r="Y144" s="23" t="n">
        <v>0</v>
      </c>
      <c r="Z144" s="23" t="n">
        <v>1</v>
      </c>
      <c r="AA144" s="23" t="n">
        <v>0</v>
      </c>
      <c r="AB144" s="23" t="n">
        <v>0</v>
      </c>
    </row>
    <row r="145" ht="22.5" customFormat="1" customHeight="1" s="25">
      <c r="A145" s="22" t="inlineStr">
        <is>
          <t>Kovelsky</t>
        </is>
      </c>
      <c r="B145" s="23" t="n">
        <v>11</v>
      </c>
      <c r="C145" s="23" t="n">
        <v>1</v>
      </c>
      <c r="D145" s="22" t="n">
        <v>142</v>
      </c>
      <c r="E145" s="23" t="n"/>
      <c r="F145" s="23" t="n"/>
      <c r="G145" s="23">
        <f>SUM(T145:AB145)</f>
        <v/>
      </c>
      <c r="H145" s="24">
        <f>G145/9</f>
        <v/>
      </c>
      <c r="I145" s="24">
        <f>0.5+(SUM(T145:AB145)/18)</f>
        <v/>
      </c>
      <c r="J145" s="23">
        <f>COUNTIF(K145:S145,"")</f>
        <v/>
      </c>
      <c r="K145" s="26" t="n">
        <v>3</v>
      </c>
      <c r="L145" s="26" t="n">
        <v>1</v>
      </c>
      <c r="M145" s="26" t="n">
        <v>3</v>
      </c>
      <c r="N145" s="26" t="n">
        <v>4</v>
      </c>
      <c r="O145" s="26" t="n">
        <v>4</v>
      </c>
      <c r="P145" s="26" t="n">
        <v>3</v>
      </c>
      <c r="Q145" s="26" t="n">
        <v>1</v>
      </c>
      <c r="R145" s="26" t="n">
        <v>2</v>
      </c>
      <c r="S145" s="26" t="n">
        <v>2</v>
      </c>
      <c r="T145" s="23" t="n">
        <v>1</v>
      </c>
      <c r="U145" s="23" t="n">
        <v>1</v>
      </c>
      <c r="V145" s="23" t="n">
        <v>0</v>
      </c>
      <c r="W145" s="23" t="n">
        <v>1</v>
      </c>
      <c r="X145" s="23" t="n">
        <v>0</v>
      </c>
      <c r="Y145" s="23" t="n">
        <v>1</v>
      </c>
      <c r="Z145" s="23" t="n">
        <v>1</v>
      </c>
      <c r="AA145" s="23" t="n">
        <v>1</v>
      </c>
      <c r="AB145" s="23" t="n">
        <v>1</v>
      </c>
    </row>
    <row r="146" ht="22.5" customFormat="1" customHeight="1" s="25">
      <c r="A146" s="22" t="inlineStr">
        <is>
          <t>Kovelsky</t>
        </is>
      </c>
      <c r="B146" s="23" t="n">
        <v>11</v>
      </c>
      <c r="C146" s="23" t="n">
        <v>1</v>
      </c>
      <c r="D146" s="22" t="n">
        <v>143</v>
      </c>
      <c r="E146" s="23" t="n"/>
      <c r="F146" s="23" t="n"/>
      <c r="G146" s="23">
        <f>SUM(T146:AB146)</f>
        <v/>
      </c>
      <c r="H146" s="24">
        <f>G146/9</f>
        <v/>
      </c>
      <c r="I146" s="24">
        <f>0.5+(SUM(T146:AB146)/18)</f>
        <v/>
      </c>
      <c r="J146" s="23">
        <f>COUNTIF(K146:S146,"")</f>
        <v/>
      </c>
      <c r="K146" s="26" t="n">
        <v>3</v>
      </c>
      <c r="L146" s="26" t="n">
        <v>1</v>
      </c>
      <c r="M146" s="26" t="n">
        <v>3</v>
      </c>
      <c r="N146" s="26" t="n">
        <v>4</v>
      </c>
      <c r="O146" s="26" t="n">
        <v>4</v>
      </c>
      <c r="P146" s="26" t="n">
        <v>4</v>
      </c>
      <c r="Q146" s="26" t="n">
        <v>1</v>
      </c>
      <c r="R146" s="26" t="n">
        <v>2</v>
      </c>
      <c r="S146" s="26" t="n">
        <v>2</v>
      </c>
      <c r="T146" s="23" t="n">
        <v>1</v>
      </c>
      <c r="U146" s="23" t="n">
        <v>1</v>
      </c>
      <c r="V146" s="23" t="n">
        <v>0</v>
      </c>
      <c r="W146" s="23" t="n">
        <v>1</v>
      </c>
      <c r="X146" s="23" t="n">
        <v>0</v>
      </c>
      <c r="Y146" s="23" t="n">
        <v>0</v>
      </c>
      <c r="Z146" s="23" t="n">
        <v>1</v>
      </c>
      <c r="AA146" s="23" t="n">
        <v>1</v>
      </c>
      <c r="AB146" s="23" t="n">
        <v>1</v>
      </c>
    </row>
    <row r="147" ht="22.5" customFormat="1" customHeight="1" s="25">
      <c r="A147" s="22" t="inlineStr">
        <is>
          <t>Kovelsky</t>
        </is>
      </c>
      <c r="B147" s="23" t="n">
        <v>11</v>
      </c>
      <c r="C147" s="23" t="n">
        <v>1</v>
      </c>
      <c r="D147" s="22" t="n">
        <v>144</v>
      </c>
      <c r="E147" s="23" t="n"/>
      <c r="F147" s="23" t="inlineStr">
        <is>
          <t>YES</t>
        </is>
      </c>
      <c r="G147" s="23">
        <f>SUM(T147:AB147)</f>
        <v/>
      </c>
      <c r="H147" s="24">
        <f>G147/9</f>
        <v/>
      </c>
      <c r="I147" s="24">
        <f>0.5+(SUM(T147:AB147)/18)</f>
        <v/>
      </c>
      <c r="J147" s="23">
        <f>COUNTIF(K147:S147,"")</f>
        <v/>
      </c>
      <c r="K147" s="26" t="n">
        <v>1</v>
      </c>
      <c r="L147" s="26" t="n">
        <v>1</v>
      </c>
      <c r="M147" s="26" t="n">
        <v>4</v>
      </c>
      <c r="N147" s="26" t="n">
        <v>3</v>
      </c>
      <c r="O147" s="26" t="n">
        <v>4</v>
      </c>
      <c r="P147" s="26" t="n">
        <v>3</v>
      </c>
      <c r="Q147" s="26" t="n">
        <v>1</v>
      </c>
      <c r="R147" s="26" t="n">
        <v>2</v>
      </c>
      <c r="S147" s="26" t="n">
        <v>1</v>
      </c>
      <c r="T147" s="23" t="n">
        <v>0</v>
      </c>
      <c r="U147" s="23" t="n">
        <v>1</v>
      </c>
      <c r="V147" s="23" t="n">
        <v>1</v>
      </c>
      <c r="W147" s="23" t="n">
        <v>0</v>
      </c>
      <c r="X147" s="23" t="n">
        <v>0</v>
      </c>
      <c r="Y147" s="23" t="n">
        <v>1</v>
      </c>
      <c r="Z147" s="23" t="n">
        <v>1</v>
      </c>
      <c r="AA147" s="23" t="n">
        <v>1</v>
      </c>
      <c r="AB147" s="23" t="n">
        <v>0</v>
      </c>
    </row>
    <row r="148" ht="22.5" customFormat="1" customHeight="1" s="25">
      <c r="A148" s="22" t="inlineStr">
        <is>
          <t>Kovelsky</t>
        </is>
      </c>
      <c r="B148" s="23" t="n">
        <v>11</v>
      </c>
      <c r="C148" s="23" t="n">
        <v>1</v>
      </c>
      <c r="D148" s="22" t="n">
        <v>145</v>
      </c>
      <c r="E148" s="23" t="n"/>
      <c r="F148" s="23" t="n"/>
      <c r="G148" s="23">
        <f>SUM(T148:AB148)</f>
        <v/>
      </c>
      <c r="H148" s="24">
        <f>G148/9</f>
        <v/>
      </c>
      <c r="I148" s="24">
        <f>0.5+(SUM(T148:AB148)/18)</f>
        <v/>
      </c>
      <c r="J148" s="23">
        <f>COUNTIF(K148:S148,"")</f>
        <v/>
      </c>
      <c r="K148" s="26" t="n">
        <v>4</v>
      </c>
      <c r="L148" s="26" t="n">
        <v>1</v>
      </c>
      <c r="M148" s="26" t="n">
        <v>3</v>
      </c>
      <c r="N148" s="26" t="n">
        <v>2</v>
      </c>
      <c r="O148" s="26" t="n">
        <v>1</v>
      </c>
      <c r="P148" s="26" t="n">
        <v>1</v>
      </c>
      <c r="Q148" s="26" t="n">
        <v>4</v>
      </c>
      <c r="R148" s="26" t="n">
        <v>1</v>
      </c>
      <c r="S148" s="26" t="n">
        <v>2</v>
      </c>
      <c r="T148" s="23" t="n">
        <v>0</v>
      </c>
      <c r="U148" s="23" t="n">
        <v>1</v>
      </c>
      <c r="V148" s="23" t="n">
        <v>0</v>
      </c>
      <c r="W148" s="23" t="n">
        <v>0</v>
      </c>
      <c r="X148" s="23" t="n">
        <v>0</v>
      </c>
      <c r="Y148" s="23" t="n">
        <v>0</v>
      </c>
      <c r="Z148" s="23" t="n">
        <v>0</v>
      </c>
      <c r="AA148" s="23" t="n">
        <v>0</v>
      </c>
      <c r="AB148" s="23" t="n">
        <v>1</v>
      </c>
    </row>
    <row r="149" ht="22.5" customFormat="1" customHeight="1" s="25">
      <c r="A149" s="22" t="inlineStr">
        <is>
          <t>Kovelsky</t>
        </is>
      </c>
      <c r="B149" s="23" t="n">
        <v>11</v>
      </c>
      <c r="C149" s="23" t="n">
        <v>1</v>
      </c>
      <c r="D149" s="22" t="n">
        <v>146</v>
      </c>
      <c r="E149" s="23" t="n"/>
      <c r="F149" s="23" t="n"/>
      <c r="G149" s="23">
        <f>SUM(T149:AB149)</f>
        <v/>
      </c>
      <c r="H149" s="24">
        <f>G149/9</f>
        <v/>
      </c>
      <c r="I149" s="24">
        <f>0.5+(SUM(T149:AB149)/18)</f>
        <v/>
      </c>
      <c r="J149" s="23">
        <f>COUNTIF(K149:S149,"")</f>
        <v/>
      </c>
      <c r="K149" s="26" t="n">
        <v>4</v>
      </c>
      <c r="L149" s="26" t="n">
        <v>1</v>
      </c>
      <c r="M149" s="26" t="n">
        <v>2</v>
      </c>
      <c r="N149" s="26" t="n">
        <v>2</v>
      </c>
      <c r="O149" s="26" t="n">
        <v>2</v>
      </c>
      <c r="P149" s="26" t="n">
        <v>3</v>
      </c>
      <c r="Q149" s="26" t="n">
        <v>1</v>
      </c>
      <c r="R149" s="26" t="n">
        <v>2</v>
      </c>
      <c r="S149" s="26" t="n">
        <v>2</v>
      </c>
      <c r="T149" s="23" t="n">
        <v>0</v>
      </c>
      <c r="U149" s="23" t="n">
        <v>1</v>
      </c>
      <c r="V149" s="23" t="n">
        <v>0</v>
      </c>
      <c r="W149" s="23" t="n">
        <v>0</v>
      </c>
      <c r="X149" s="23" t="n">
        <v>0</v>
      </c>
      <c r="Y149" s="23" t="n">
        <v>1</v>
      </c>
      <c r="Z149" s="23" t="n">
        <v>1</v>
      </c>
      <c r="AA149" s="23" t="n">
        <v>1</v>
      </c>
      <c r="AB149" s="23" t="n">
        <v>1</v>
      </c>
    </row>
    <row r="150" ht="22.5" customFormat="1" customHeight="1" s="25">
      <c r="A150" s="22" t="inlineStr">
        <is>
          <t>Kovelsky</t>
        </is>
      </c>
      <c r="B150" s="23" t="n">
        <v>11</v>
      </c>
      <c r="C150" s="23" t="n">
        <v>1</v>
      </c>
      <c r="D150" s="22" t="n">
        <v>147</v>
      </c>
      <c r="E150" s="23" t="n"/>
      <c r="F150" s="23" t="n"/>
      <c r="G150" s="23">
        <f>SUM(T150:AB150)</f>
        <v/>
      </c>
      <c r="H150" s="24">
        <f>G150/9</f>
        <v/>
      </c>
      <c r="I150" s="24">
        <f>0.5+(SUM(T150:AB150)/18)</f>
        <v/>
      </c>
      <c r="J150" s="23">
        <f>COUNTIF(K150:S150,"")</f>
        <v/>
      </c>
      <c r="K150" s="26" t="n">
        <v>1</v>
      </c>
      <c r="L150" s="26" t="n">
        <v>1</v>
      </c>
      <c r="M150" s="26" t="n">
        <v>3</v>
      </c>
      <c r="N150" s="26" t="n">
        <v>2</v>
      </c>
      <c r="O150" s="26" t="n">
        <v>4</v>
      </c>
      <c r="P150" s="26" t="n">
        <v>1</v>
      </c>
      <c r="Q150" s="26" t="n">
        <v>1</v>
      </c>
      <c r="R150" s="26" t="n">
        <v>1</v>
      </c>
      <c r="S150" s="26" t="n">
        <v>2</v>
      </c>
      <c r="T150" s="23" t="n">
        <v>0</v>
      </c>
      <c r="U150" s="23" t="n">
        <v>1</v>
      </c>
      <c r="V150" s="23" t="n">
        <v>0</v>
      </c>
      <c r="W150" s="23" t="n">
        <v>0</v>
      </c>
      <c r="X150" s="23" t="n">
        <v>0</v>
      </c>
      <c r="Y150" s="23" t="n">
        <v>0</v>
      </c>
      <c r="Z150" s="23" t="n">
        <v>1</v>
      </c>
      <c r="AA150" s="23" t="n">
        <v>0</v>
      </c>
      <c r="AB150" s="23" t="n">
        <v>1</v>
      </c>
    </row>
    <row r="151" ht="22.5" customFormat="1" customHeight="1" s="25">
      <c r="A151" s="22" t="inlineStr">
        <is>
          <t>Kovelsky</t>
        </is>
      </c>
      <c r="B151" s="23" t="n">
        <v>11</v>
      </c>
      <c r="C151" s="23" t="n">
        <v>1</v>
      </c>
      <c r="D151" s="22" t="n">
        <v>148</v>
      </c>
      <c r="E151" s="23" t="n"/>
      <c r="F151" s="23" t="inlineStr">
        <is>
          <t>YES</t>
        </is>
      </c>
      <c r="G151" s="23">
        <f>SUM(T151:AB151)</f>
        <v/>
      </c>
      <c r="H151" s="24">
        <f>G151/9</f>
        <v/>
      </c>
      <c r="I151" s="24">
        <f>0.5+(SUM(T151:AB151)/18)</f>
        <v/>
      </c>
      <c r="J151" s="23">
        <f>COUNTIF(K151:S151,"")</f>
        <v/>
      </c>
      <c r="K151" s="26" t="n">
        <v>4</v>
      </c>
      <c r="L151" s="26" t="n">
        <v>1</v>
      </c>
      <c r="M151" s="26" t="n">
        <v>4</v>
      </c>
      <c r="N151" s="26" t="n">
        <v>4</v>
      </c>
      <c r="O151" s="26" t="n">
        <v>3</v>
      </c>
      <c r="P151" s="26" t="n">
        <v>3</v>
      </c>
      <c r="Q151" s="26" t="n">
        <v>1</v>
      </c>
      <c r="R151" s="26" t="n">
        <v>2</v>
      </c>
      <c r="S151" s="26" t="n">
        <v>2</v>
      </c>
      <c r="T151" s="23" t="n">
        <v>0</v>
      </c>
      <c r="U151" s="23" t="n">
        <v>1</v>
      </c>
      <c r="V151" s="23" t="n">
        <v>1</v>
      </c>
      <c r="W151" s="23" t="n">
        <v>1</v>
      </c>
      <c r="X151" s="23" t="n">
        <v>1</v>
      </c>
      <c r="Y151" s="23" t="n">
        <v>1</v>
      </c>
      <c r="Z151" s="23" t="n">
        <v>1</v>
      </c>
      <c r="AA151" s="23" t="n">
        <v>1</v>
      </c>
      <c r="AB151" s="23" t="n">
        <v>1</v>
      </c>
    </row>
    <row r="152" ht="22.5" customFormat="1" customHeight="1" s="25">
      <c r="A152" s="22" t="inlineStr">
        <is>
          <t>Kovelsky</t>
        </is>
      </c>
      <c r="B152" s="23" t="n">
        <v>11</v>
      </c>
      <c r="C152" s="23" t="n">
        <v>1</v>
      </c>
      <c r="D152" s="22" t="n">
        <v>149</v>
      </c>
      <c r="E152" s="23" t="n"/>
      <c r="F152" s="23" t="n"/>
      <c r="G152" s="23">
        <f>SUM(T152:AB152)</f>
        <v/>
      </c>
      <c r="H152" s="24">
        <f>G152/9</f>
        <v/>
      </c>
      <c r="I152" s="24">
        <f>0.5+(SUM(T152:AB152)/18)</f>
        <v/>
      </c>
      <c r="J152" s="23">
        <f>COUNTIF(K152:S152,"")</f>
        <v/>
      </c>
      <c r="K152" s="26" t="n">
        <v>4</v>
      </c>
      <c r="L152" s="26" t="n">
        <v>1</v>
      </c>
      <c r="M152" s="26" t="n">
        <v>3</v>
      </c>
      <c r="N152" s="26" t="n">
        <v>4</v>
      </c>
      <c r="O152" s="26" t="n">
        <v>1</v>
      </c>
      <c r="P152" s="26" t="n">
        <v>2</v>
      </c>
      <c r="Q152" s="26" t="n">
        <v>1</v>
      </c>
      <c r="R152" s="26" t="n">
        <v>1</v>
      </c>
      <c r="S152" s="26" t="n">
        <v>2</v>
      </c>
      <c r="T152" s="23" t="n">
        <v>0</v>
      </c>
      <c r="U152" s="23" t="n">
        <v>1</v>
      </c>
      <c r="V152" s="23" t="n">
        <v>0</v>
      </c>
      <c r="W152" s="23" t="n">
        <v>1</v>
      </c>
      <c r="X152" s="23" t="n">
        <v>0</v>
      </c>
      <c r="Y152" s="23" t="n">
        <v>0</v>
      </c>
      <c r="Z152" s="23" t="n">
        <v>1</v>
      </c>
      <c r="AA152" s="23" t="n">
        <v>0</v>
      </c>
      <c r="AB152" s="23" t="n">
        <v>1</v>
      </c>
    </row>
    <row r="153" ht="22.5" customFormat="1" customHeight="1" s="25">
      <c r="A153" s="22" t="inlineStr">
        <is>
          <t>Kovelsky</t>
        </is>
      </c>
      <c r="B153" s="23" t="n">
        <v>11</v>
      </c>
      <c r="C153" s="23" t="n">
        <v>1</v>
      </c>
      <c r="D153" s="22" t="n">
        <v>150</v>
      </c>
      <c r="E153" s="23" t="n"/>
      <c r="F153" s="23" t="n"/>
      <c r="G153" s="23">
        <f>SUM(T153:AB153)</f>
        <v/>
      </c>
      <c r="H153" s="24">
        <f>G153/9</f>
        <v/>
      </c>
      <c r="I153" s="24">
        <f>0.5+(SUM(T153:AB153)/18)</f>
        <v/>
      </c>
      <c r="J153" s="23">
        <f>COUNTIF(K153:S153,"")</f>
        <v/>
      </c>
      <c r="K153" s="26" t="n">
        <v>3</v>
      </c>
      <c r="L153" s="26" t="n">
        <v>1</v>
      </c>
      <c r="M153" s="26" t="n">
        <v>4</v>
      </c>
      <c r="N153" s="26" t="n">
        <v>4</v>
      </c>
      <c r="O153" s="26" t="n">
        <v>1</v>
      </c>
      <c r="P153" s="26" t="n">
        <v>3</v>
      </c>
      <c r="Q153" s="26" t="n">
        <v>1</v>
      </c>
      <c r="R153" s="26" t="n">
        <v>2</v>
      </c>
      <c r="S153" s="26" t="n">
        <v>2</v>
      </c>
      <c r="T153" s="23" t="n"/>
      <c r="U153" s="23" t="n"/>
      <c r="V153" s="23" t="n"/>
      <c r="W153" s="23" t="n"/>
      <c r="X153" s="23" t="n"/>
      <c r="Y153" s="23" t="n"/>
      <c r="Z153" s="23" t="n"/>
      <c r="AA153" s="23" t="n">
        <v>1</v>
      </c>
      <c r="AB153" s="23" t="n">
        <v>1</v>
      </c>
    </row>
    <row r="154" ht="22.5" customFormat="1" customHeight="1" s="25">
      <c r="A154" s="22" t="inlineStr">
        <is>
          <t>Kovelsky</t>
        </is>
      </c>
      <c r="B154" s="23" t="n">
        <v>11</v>
      </c>
      <c r="C154" s="23" t="n">
        <v>1</v>
      </c>
      <c r="D154" s="22" t="n">
        <v>151</v>
      </c>
      <c r="E154" s="23" t="n"/>
      <c r="F154" s="23" t="n"/>
      <c r="G154" s="23">
        <f>SUM(T154:AB154)</f>
        <v/>
      </c>
      <c r="H154" s="24">
        <f>G154/9</f>
        <v/>
      </c>
      <c r="I154" s="24">
        <f>0.5+(SUM(T154:AB154)/18)</f>
        <v/>
      </c>
      <c r="J154" s="23">
        <f>COUNTIF(K154:S154,"")</f>
        <v/>
      </c>
      <c r="K154" s="26" t="n"/>
      <c r="L154" s="26" t="n"/>
      <c r="M154" s="26" t="n"/>
      <c r="N154" s="26" t="n"/>
      <c r="O154" s="26" t="n"/>
      <c r="P154" s="26" t="n"/>
      <c r="Q154" s="26" t="n"/>
      <c r="R154" s="26" t="n"/>
      <c r="S154" s="26" t="n"/>
      <c r="T154" s="23" t="n">
        <v>0</v>
      </c>
      <c r="U154" s="23" t="n">
        <v>1</v>
      </c>
      <c r="V154" s="23" t="n">
        <v>0</v>
      </c>
      <c r="W154" s="23" t="n">
        <v>1</v>
      </c>
      <c r="X154" s="23" t="n">
        <v>1</v>
      </c>
      <c r="Y154" s="23" t="n">
        <v>1</v>
      </c>
      <c r="Z154" s="23" t="n">
        <v>1</v>
      </c>
      <c r="AA154" s="23" t="n">
        <v>0</v>
      </c>
      <c r="AB154" s="23" t="n">
        <v>0</v>
      </c>
    </row>
    <row r="155" ht="22.5" customFormat="1" customHeight="1" s="25">
      <c r="A155" s="22" t="inlineStr">
        <is>
          <t>Kovelsky</t>
        </is>
      </c>
      <c r="B155" s="23" t="n">
        <v>11</v>
      </c>
      <c r="C155" s="23" t="n">
        <v>1</v>
      </c>
      <c r="D155" s="22" t="n">
        <v>152</v>
      </c>
      <c r="E155" s="23" t="n"/>
      <c r="F155" s="23" t="n"/>
      <c r="G155" s="23">
        <f>SUM(T155:AB155)</f>
        <v/>
      </c>
      <c r="H155" s="24">
        <f>G155/9</f>
        <v/>
      </c>
      <c r="I155" s="24">
        <f>0.5+(SUM(T155:AB155)/18)</f>
        <v/>
      </c>
      <c r="J155" s="23">
        <f>COUNTIF(K155:S155,"")</f>
        <v/>
      </c>
      <c r="K155" s="26" t="n">
        <v>2</v>
      </c>
      <c r="L155" s="26" t="n">
        <v>3</v>
      </c>
      <c r="M155" s="26" t="n">
        <v>2</v>
      </c>
      <c r="N155" s="26" t="n">
        <v>3</v>
      </c>
      <c r="O155" s="26" t="n">
        <v>4</v>
      </c>
      <c r="P155" s="26" t="n">
        <v>2</v>
      </c>
      <c r="Q155" s="26" t="n">
        <v>1</v>
      </c>
      <c r="R155" s="26" t="n">
        <v>1</v>
      </c>
      <c r="S155" s="26" t="n">
        <v>2</v>
      </c>
      <c r="T155" s="23" t="n">
        <v>0</v>
      </c>
      <c r="U155" s="23" t="n">
        <v>0</v>
      </c>
      <c r="V155" s="23" t="n">
        <v>0</v>
      </c>
      <c r="W155" s="23" t="n">
        <v>0</v>
      </c>
      <c r="X155" s="23" t="n">
        <v>0</v>
      </c>
      <c r="Y155" s="23" t="n">
        <v>0</v>
      </c>
      <c r="Z155" s="23" t="n">
        <v>1</v>
      </c>
      <c r="AA155" s="23" t="n">
        <v>0</v>
      </c>
      <c r="AB155" s="23" t="n">
        <v>1</v>
      </c>
    </row>
    <row r="156" ht="22.5" customFormat="1" customHeight="1" s="25">
      <c r="A156" s="22" t="inlineStr">
        <is>
          <t>Kovelsky</t>
        </is>
      </c>
      <c r="B156" s="23" t="n">
        <v>11</v>
      </c>
      <c r="C156" s="23" t="n">
        <v>1</v>
      </c>
      <c r="D156" s="22" t="n">
        <v>153</v>
      </c>
      <c r="E156" s="23" t="n"/>
      <c r="F156" s="23" t="n"/>
      <c r="G156" s="23">
        <f>SUM(T156:AB156)</f>
        <v/>
      </c>
      <c r="H156" s="24">
        <f>G156/9</f>
        <v/>
      </c>
      <c r="I156" s="24">
        <f>0.5+(SUM(T156:AB156)/18)</f>
        <v/>
      </c>
      <c r="J156" s="23">
        <f>COUNTIF(K156:S156,"")</f>
        <v/>
      </c>
      <c r="K156" s="26" t="n">
        <v>3</v>
      </c>
      <c r="L156" s="26" t="n">
        <v>1</v>
      </c>
      <c r="M156" s="26" t="n">
        <v>3</v>
      </c>
      <c r="N156" s="26" t="n">
        <v>4</v>
      </c>
      <c r="O156" s="26" t="n">
        <v>3</v>
      </c>
      <c r="P156" s="26" t="n">
        <v>3</v>
      </c>
      <c r="Q156" s="26" t="n">
        <v>4</v>
      </c>
      <c r="R156" s="26" t="n">
        <v>2</v>
      </c>
      <c r="S156" s="26" t="n">
        <v>2</v>
      </c>
      <c r="T156" s="23" t="n">
        <v>1</v>
      </c>
      <c r="U156" s="23" t="n">
        <v>1</v>
      </c>
      <c r="V156" s="23" t="n">
        <v>0</v>
      </c>
      <c r="W156" s="23" t="n">
        <v>1</v>
      </c>
      <c r="X156" s="23" t="n">
        <v>1</v>
      </c>
      <c r="Y156" s="23" t="n">
        <v>1</v>
      </c>
      <c r="Z156" s="23" t="n">
        <v>0</v>
      </c>
      <c r="AA156" s="23" t="n">
        <v>1</v>
      </c>
      <c r="AB156" s="23" t="n">
        <v>1</v>
      </c>
    </row>
    <row r="157" ht="22.5" customFormat="1" customHeight="1" s="25">
      <c r="A157" s="22" t="inlineStr">
        <is>
          <t>Kovelsky</t>
        </is>
      </c>
      <c r="B157" s="23" t="n">
        <v>9</v>
      </c>
      <c r="C157" s="23" t="n">
        <v>6</v>
      </c>
      <c r="D157" s="22" t="n">
        <v>154</v>
      </c>
      <c r="E157" s="23" t="n"/>
      <c r="F157" s="23" t="n"/>
      <c r="G157" s="23">
        <f>SUM(T157:AB157)</f>
        <v/>
      </c>
      <c r="H157" s="24">
        <f>G157/9</f>
        <v/>
      </c>
      <c r="I157" s="24">
        <f>0.5+(SUM(T157:AB157)/18)</f>
        <v/>
      </c>
      <c r="J157" s="23">
        <f>COUNTIF(K157:S157,"")</f>
        <v/>
      </c>
      <c r="K157" s="26" t="n">
        <v>3</v>
      </c>
      <c r="L157" s="26" t="n">
        <v>1</v>
      </c>
      <c r="M157" s="26" t="n">
        <v>3</v>
      </c>
      <c r="N157" s="26" t="n">
        <v>4</v>
      </c>
      <c r="O157" s="26" t="n">
        <v>3</v>
      </c>
      <c r="P157" s="26" t="n">
        <v>3</v>
      </c>
      <c r="Q157" s="26" t="n">
        <v>1</v>
      </c>
      <c r="R157" s="26" t="n">
        <v>2</v>
      </c>
      <c r="S157" s="26" t="n">
        <v>2</v>
      </c>
      <c r="T157" s="23" t="n">
        <v>1</v>
      </c>
      <c r="U157" s="23" t="n">
        <v>1</v>
      </c>
      <c r="V157" s="23" t="n">
        <v>0</v>
      </c>
      <c r="W157" s="23" t="n">
        <v>1</v>
      </c>
      <c r="X157" s="23" t="n">
        <v>1</v>
      </c>
      <c r="Y157" s="23" t="n">
        <v>1</v>
      </c>
      <c r="Z157" s="23" t="n">
        <v>1</v>
      </c>
      <c r="AA157" s="23" t="n">
        <v>1</v>
      </c>
      <c r="AB157" s="23" t="n">
        <v>1</v>
      </c>
    </row>
    <row r="158" ht="22.5" customFormat="1" customHeight="1" s="25">
      <c r="A158" s="22" t="inlineStr">
        <is>
          <t>Kovelsky</t>
        </is>
      </c>
      <c r="B158" s="23" t="n">
        <v>9</v>
      </c>
      <c r="C158" s="23" t="n">
        <v>6</v>
      </c>
      <c r="D158" s="22" t="n">
        <v>155</v>
      </c>
      <c r="E158" s="23" t="n"/>
      <c r="F158" s="23" t="n"/>
      <c r="G158" s="23">
        <f>SUM(T158:AB158)</f>
        <v/>
      </c>
      <c r="H158" s="24">
        <f>G158/9</f>
        <v/>
      </c>
      <c r="I158" s="24">
        <f>0.5+(SUM(T158:AB158)/18)</f>
        <v/>
      </c>
      <c r="J158" s="23">
        <f>COUNTIF(K158:S158,"")</f>
        <v/>
      </c>
      <c r="K158" s="26" t="n">
        <v>2</v>
      </c>
      <c r="L158" s="26" t="n">
        <v>1</v>
      </c>
      <c r="M158" s="26" t="n">
        <v>2</v>
      </c>
      <c r="N158" s="26" t="n">
        <v>3</v>
      </c>
      <c r="O158" s="26" t="n">
        <v>4</v>
      </c>
      <c r="P158" s="26" t="n">
        <v>4</v>
      </c>
      <c r="Q158" s="26" t="n">
        <v>4</v>
      </c>
      <c r="R158" s="26" t="n">
        <v>2</v>
      </c>
      <c r="S158" s="26" t="n">
        <v>1</v>
      </c>
      <c r="T158" s="23" t="n">
        <v>0</v>
      </c>
      <c r="U158" s="23" t="n">
        <v>1</v>
      </c>
      <c r="V158" s="23" t="n">
        <v>0</v>
      </c>
      <c r="W158" s="23" t="n">
        <v>0</v>
      </c>
      <c r="X158" s="23" t="n">
        <v>0</v>
      </c>
      <c r="Y158" s="23" t="n">
        <v>0</v>
      </c>
      <c r="Z158" s="23" t="n">
        <v>0</v>
      </c>
      <c r="AA158" s="23" t="n">
        <v>1</v>
      </c>
      <c r="AB158" s="23" t="n">
        <v>0</v>
      </c>
    </row>
    <row r="159" ht="22.5" customFormat="1" customHeight="1" s="25">
      <c r="A159" s="22" t="inlineStr">
        <is>
          <t>Kovelsky</t>
        </is>
      </c>
      <c r="B159" s="23" t="n">
        <v>9</v>
      </c>
      <c r="C159" s="23" t="n">
        <v>6</v>
      </c>
      <c r="D159" s="22" t="n">
        <v>156</v>
      </c>
      <c r="E159" s="23" t="n"/>
      <c r="F159" s="23" t="n"/>
      <c r="G159" s="23">
        <f>SUM(T159:AB159)</f>
        <v/>
      </c>
      <c r="H159" s="24">
        <f>G159/9</f>
        <v/>
      </c>
      <c r="I159" s="24">
        <f>0.5+(SUM(T159:AB159)/18)</f>
        <v/>
      </c>
      <c r="J159" s="23">
        <f>COUNTIF(K159:S159,"")</f>
        <v/>
      </c>
      <c r="K159" s="26" t="n">
        <v>4</v>
      </c>
      <c r="L159" s="26" t="n">
        <v>1</v>
      </c>
      <c r="M159" s="26" t="n">
        <v>3</v>
      </c>
      <c r="N159" s="26" t="n">
        <v>4</v>
      </c>
      <c r="O159" s="26" t="n">
        <v>4</v>
      </c>
      <c r="P159" s="26" t="n">
        <v>2</v>
      </c>
      <c r="Q159" s="26" t="n">
        <v>1</v>
      </c>
      <c r="R159" s="26" t="n">
        <v>2</v>
      </c>
      <c r="S159" s="26" t="n">
        <v>2</v>
      </c>
      <c r="T159" s="23" t="n">
        <v>0</v>
      </c>
      <c r="U159" s="23" t="n">
        <v>1</v>
      </c>
      <c r="V159" s="23" t="n">
        <v>0</v>
      </c>
      <c r="W159" s="23" t="n">
        <v>1</v>
      </c>
      <c r="X159" s="23" t="n">
        <v>0</v>
      </c>
      <c r="Y159" s="23" t="n">
        <v>0</v>
      </c>
      <c r="Z159" s="23" t="n">
        <v>1</v>
      </c>
      <c r="AA159" s="23" t="n">
        <v>1</v>
      </c>
      <c r="AB159" s="23" t="n">
        <v>1</v>
      </c>
    </row>
    <row r="160" ht="22.5" customFormat="1" customHeight="1" s="25">
      <c r="A160" s="22" t="inlineStr">
        <is>
          <t>Kovelsky</t>
        </is>
      </c>
      <c r="B160" s="23" t="n">
        <v>9</v>
      </c>
      <c r="C160" s="23" t="n">
        <v>6</v>
      </c>
      <c r="D160" s="22" t="n">
        <v>157</v>
      </c>
      <c r="E160" s="23" t="n"/>
      <c r="F160" s="23" t="n"/>
      <c r="G160" s="23">
        <f>SUM(T160:AB160)</f>
        <v/>
      </c>
      <c r="H160" s="24">
        <f>G160/9</f>
        <v/>
      </c>
      <c r="I160" s="24">
        <f>0.5+(SUM(T160:AB160)/18)</f>
        <v/>
      </c>
      <c r="J160" s="23">
        <f>COUNTIF(K160:S160,"")</f>
        <v/>
      </c>
      <c r="K160" s="26" t="n">
        <v>4</v>
      </c>
      <c r="L160" s="26" t="n">
        <v>1</v>
      </c>
      <c r="M160" s="26" t="n">
        <v>4</v>
      </c>
      <c r="N160" s="26" t="n">
        <v>4</v>
      </c>
      <c r="O160" s="26" t="n">
        <v>3</v>
      </c>
      <c r="P160" s="26" t="n">
        <v>3</v>
      </c>
      <c r="Q160" s="26" t="n">
        <v>1</v>
      </c>
      <c r="R160" s="26" t="n">
        <v>1</v>
      </c>
      <c r="S160" s="26" t="n">
        <v>2</v>
      </c>
      <c r="T160" s="23" t="n">
        <v>0</v>
      </c>
      <c r="U160" s="23" t="n">
        <v>1</v>
      </c>
      <c r="V160" s="23" t="n">
        <v>1</v>
      </c>
      <c r="W160" s="23" t="n">
        <v>1</v>
      </c>
      <c r="X160" s="23" t="n">
        <v>1</v>
      </c>
      <c r="Y160" s="23" t="n">
        <v>1</v>
      </c>
      <c r="Z160" s="23" t="n">
        <v>1</v>
      </c>
      <c r="AA160" s="23" t="n">
        <v>0</v>
      </c>
      <c r="AB160" s="23" t="n">
        <v>1</v>
      </c>
    </row>
    <row r="161" ht="22.5" customFormat="1" customHeight="1" s="25">
      <c r="A161" s="22" t="inlineStr">
        <is>
          <t>Kovelsky</t>
        </is>
      </c>
      <c r="B161" s="23" t="n">
        <v>9</v>
      </c>
      <c r="C161" s="23" t="n">
        <v>6</v>
      </c>
      <c r="D161" s="22" t="n">
        <v>158</v>
      </c>
      <c r="E161" s="23" t="n"/>
      <c r="F161" s="23" t="n"/>
      <c r="G161" s="23">
        <f>SUM(T161:AB161)</f>
        <v/>
      </c>
      <c r="H161" s="24">
        <f>G161/9</f>
        <v/>
      </c>
      <c r="I161" s="24">
        <f>0.5+(SUM(T161:AB161)/18)</f>
        <v/>
      </c>
      <c r="J161" s="23">
        <f>COUNTIF(K161:S161,"")</f>
        <v/>
      </c>
      <c r="K161" s="26" t="n">
        <v>2</v>
      </c>
      <c r="L161" s="26" t="n">
        <v>2</v>
      </c>
      <c r="M161" s="26" t="n">
        <v>3</v>
      </c>
      <c r="N161" s="26" t="n">
        <v>4</v>
      </c>
      <c r="O161" s="26" t="n">
        <v>3</v>
      </c>
      <c r="P161" s="26" t="n">
        <v>3</v>
      </c>
      <c r="Q161" s="26" t="n">
        <v>1</v>
      </c>
      <c r="R161" s="26" t="n">
        <v>4</v>
      </c>
      <c r="S161" s="26" t="n">
        <v>4</v>
      </c>
      <c r="T161" s="23" t="n">
        <v>0</v>
      </c>
      <c r="U161" s="23" t="n">
        <v>0</v>
      </c>
      <c r="V161" s="23" t="n">
        <v>0</v>
      </c>
      <c r="W161" s="23" t="n">
        <v>1</v>
      </c>
      <c r="X161" s="23" t="n">
        <v>1</v>
      </c>
      <c r="Y161" s="23" t="n">
        <v>1</v>
      </c>
      <c r="Z161" s="23" t="n">
        <v>1</v>
      </c>
      <c r="AA161" s="23" t="n">
        <v>0</v>
      </c>
      <c r="AB161" s="23" t="n">
        <v>0</v>
      </c>
    </row>
    <row r="162" ht="22.5" customFormat="1" customHeight="1" s="25">
      <c r="A162" s="22" t="inlineStr">
        <is>
          <t>Kovelsky</t>
        </is>
      </c>
      <c r="B162" s="23" t="n">
        <v>9</v>
      </c>
      <c r="C162" s="23" t="n">
        <v>6</v>
      </c>
      <c r="D162" s="22" t="n">
        <v>159</v>
      </c>
      <c r="E162" s="23" t="n"/>
      <c r="F162" s="23" t="n"/>
      <c r="G162" s="23">
        <f>SUM(T162:AB162)</f>
        <v/>
      </c>
      <c r="H162" s="24">
        <f>G162/9</f>
        <v/>
      </c>
      <c r="I162" s="24">
        <f>0.5+(SUM(T162:AB162)/18)</f>
        <v/>
      </c>
      <c r="J162" s="23">
        <f>COUNTIF(K162:S162,"")</f>
        <v/>
      </c>
      <c r="K162" s="26" t="n">
        <v>3</v>
      </c>
      <c r="L162" s="26" t="n">
        <v>1</v>
      </c>
      <c r="M162" s="26" t="n">
        <v>4</v>
      </c>
      <c r="N162" s="26" t="n">
        <v>4</v>
      </c>
      <c r="O162" s="26" t="n">
        <v>3</v>
      </c>
      <c r="P162" s="26" t="n">
        <v>3</v>
      </c>
      <c r="Q162" s="26" t="n">
        <v>1</v>
      </c>
      <c r="R162" s="26" t="n">
        <v>2</v>
      </c>
      <c r="S162" s="26" t="n">
        <v>2</v>
      </c>
      <c r="T162" s="23" t="n">
        <v>1</v>
      </c>
      <c r="U162" s="23" t="n">
        <v>1</v>
      </c>
      <c r="V162" s="23" t="n">
        <v>1</v>
      </c>
      <c r="W162" s="23" t="n">
        <v>1</v>
      </c>
      <c r="X162" s="23" t="n">
        <v>1</v>
      </c>
      <c r="Y162" s="23" t="n">
        <v>1</v>
      </c>
      <c r="Z162" s="23" t="n">
        <v>1</v>
      </c>
      <c r="AA162" s="23" t="n">
        <v>1</v>
      </c>
      <c r="AB162" s="23" t="n">
        <v>1</v>
      </c>
    </row>
    <row r="163" ht="22.5" customFormat="1" customHeight="1" s="25">
      <c r="A163" s="22" t="inlineStr">
        <is>
          <t>Kovelsky</t>
        </is>
      </c>
      <c r="B163" s="23" t="n">
        <v>9</v>
      </c>
      <c r="C163" s="23" t="n">
        <v>6</v>
      </c>
      <c r="D163" s="22" t="n">
        <v>160</v>
      </c>
      <c r="E163" s="23" t="n"/>
      <c r="F163" s="23" t="n"/>
      <c r="G163" s="23">
        <f>SUM(T163:AB163)</f>
        <v/>
      </c>
      <c r="H163" s="24">
        <f>G163/9</f>
        <v/>
      </c>
      <c r="I163" s="24">
        <f>0.5+(SUM(T163:AB163)/18)</f>
        <v/>
      </c>
      <c r="J163" s="23">
        <f>COUNTIF(K163:S163,"")</f>
        <v/>
      </c>
      <c r="K163" s="26" t="n">
        <v>3</v>
      </c>
      <c r="L163" s="26" t="n">
        <v>1</v>
      </c>
      <c r="M163" s="26" t="n">
        <v>4</v>
      </c>
      <c r="N163" s="26" t="n">
        <v>3</v>
      </c>
      <c r="O163" s="26" t="n">
        <v>3</v>
      </c>
      <c r="P163" s="26" t="n">
        <v>1</v>
      </c>
      <c r="Q163" s="26" t="n">
        <v>1</v>
      </c>
      <c r="R163" s="26" t="n">
        <v>1</v>
      </c>
      <c r="S163" s="26" t="n">
        <v>3</v>
      </c>
      <c r="T163" s="23" t="n">
        <v>1</v>
      </c>
      <c r="U163" s="23" t="n">
        <v>1</v>
      </c>
      <c r="V163" s="23" t="n">
        <v>1</v>
      </c>
      <c r="W163" s="23" t="n">
        <v>0</v>
      </c>
      <c r="X163" s="23" t="n">
        <v>1</v>
      </c>
      <c r="Y163" s="23" t="n">
        <v>0</v>
      </c>
      <c r="Z163" s="23" t="n">
        <v>1</v>
      </c>
      <c r="AA163" s="23" t="n">
        <v>0</v>
      </c>
      <c r="AB163" s="23" t="n">
        <v>0</v>
      </c>
    </row>
    <row r="164" ht="22.5" customFormat="1" customHeight="1" s="25">
      <c r="A164" s="22" t="inlineStr">
        <is>
          <t>Kovelsky</t>
        </is>
      </c>
      <c r="B164" s="23" t="n">
        <v>9</v>
      </c>
      <c r="C164" s="23" t="n">
        <v>6</v>
      </c>
      <c r="D164" s="22" t="n">
        <v>161</v>
      </c>
      <c r="E164" s="23" t="n"/>
      <c r="F164" s="23" t="n"/>
      <c r="G164" s="23">
        <f>SUM(T164:AB164)</f>
        <v/>
      </c>
      <c r="H164" s="24">
        <f>G164/9</f>
        <v/>
      </c>
      <c r="I164" s="24">
        <f>0.5+(SUM(T164:AB164)/18)</f>
        <v/>
      </c>
      <c r="J164" s="23">
        <f>COUNTIF(K164:S164,"")</f>
        <v/>
      </c>
      <c r="K164" s="26" t="n">
        <v>3</v>
      </c>
      <c r="L164" s="26" t="n">
        <v>1</v>
      </c>
      <c r="M164" s="26" t="n">
        <v>4</v>
      </c>
      <c r="N164" s="26" t="n">
        <v>4</v>
      </c>
      <c r="O164" s="26" t="n">
        <v>3</v>
      </c>
      <c r="P164" s="26" t="n">
        <v>3</v>
      </c>
      <c r="Q164" s="26" t="n">
        <v>1</v>
      </c>
      <c r="R164" s="26" t="n">
        <v>2</v>
      </c>
      <c r="S164" s="26" t="n">
        <v>2</v>
      </c>
      <c r="T164" s="23" t="n">
        <v>1</v>
      </c>
      <c r="U164" s="23" t="n">
        <v>1</v>
      </c>
      <c r="V164" s="23" t="n">
        <v>1</v>
      </c>
      <c r="W164" s="23" t="n">
        <v>1</v>
      </c>
      <c r="X164" s="23" t="n">
        <v>1</v>
      </c>
      <c r="Y164" s="23" t="n">
        <v>1</v>
      </c>
      <c r="Z164" s="23" t="n">
        <v>1</v>
      </c>
      <c r="AA164" s="23" t="n">
        <v>1</v>
      </c>
      <c r="AB164" s="23" t="n">
        <v>1</v>
      </c>
    </row>
    <row r="165" ht="22.5" customFormat="1" customHeight="1" s="25">
      <c r="A165" s="22" t="inlineStr">
        <is>
          <t>Kovelsky</t>
        </is>
      </c>
      <c r="B165" s="23" t="n">
        <v>9</v>
      </c>
      <c r="C165" s="23" t="n">
        <v>6</v>
      </c>
      <c r="D165" s="22" t="n">
        <v>162</v>
      </c>
      <c r="E165" s="23" t="n"/>
      <c r="F165" s="23" t="n"/>
      <c r="G165" s="23">
        <f>SUM(T165:AB165)</f>
        <v/>
      </c>
      <c r="H165" s="24">
        <f>G165/9</f>
        <v/>
      </c>
      <c r="I165" s="24">
        <f>0.5+(SUM(T165:AB165)/18)</f>
        <v/>
      </c>
      <c r="J165" s="23">
        <f>COUNTIF(K165:S165,"")</f>
        <v/>
      </c>
      <c r="K165" s="26" t="n">
        <v>4</v>
      </c>
      <c r="L165" s="26" t="n">
        <v>1</v>
      </c>
      <c r="M165" s="26" t="n">
        <v>3</v>
      </c>
      <c r="N165" s="26" t="n">
        <v>4</v>
      </c>
      <c r="O165" s="26" t="n">
        <v>23</v>
      </c>
      <c r="P165" s="26" t="n"/>
      <c r="Q165" s="26" t="n">
        <v>1</v>
      </c>
      <c r="R165" s="26" t="n">
        <v>2</v>
      </c>
      <c r="S165" s="26" t="n">
        <v>3</v>
      </c>
      <c r="T165" s="23" t="n">
        <v>0</v>
      </c>
      <c r="U165" s="23" t="n">
        <v>1</v>
      </c>
      <c r="V165" s="23" t="n">
        <v>0</v>
      </c>
      <c r="W165" s="23" t="n">
        <v>1</v>
      </c>
      <c r="X165" s="23" t="n">
        <v>0</v>
      </c>
      <c r="Y165" s="23" t="n">
        <v>0</v>
      </c>
      <c r="Z165" s="23" t="n">
        <v>1</v>
      </c>
      <c r="AA165" s="23" t="n">
        <v>1</v>
      </c>
      <c r="AB165" s="23" t="n">
        <v>0</v>
      </c>
    </row>
    <row r="166" ht="22.5" customFormat="1" customHeight="1" s="25">
      <c r="A166" s="22" t="inlineStr">
        <is>
          <t>Kovelsky</t>
        </is>
      </c>
      <c r="B166" s="23" t="n">
        <v>9</v>
      </c>
      <c r="C166" s="23" t="n">
        <v>6</v>
      </c>
      <c r="D166" s="22" t="n">
        <v>163</v>
      </c>
      <c r="E166" s="23" t="n"/>
      <c r="F166" s="23" t="n"/>
      <c r="G166" s="23">
        <f>SUM(T166:AB166)</f>
        <v/>
      </c>
      <c r="H166" s="24">
        <f>G166/9</f>
        <v/>
      </c>
      <c r="I166" s="24">
        <f>0.5+(SUM(T166:AB166)/18)</f>
        <v/>
      </c>
      <c r="J166" s="23">
        <f>COUNTIF(K166:S166,"")</f>
        <v/>
      </c>
      <c r="K166" s="26" t="n">
        <v>1</v>
      </c>
      <c r="L166" s="26" t="n">
        <v>1</v>
      </c>
      <c r="M166" s="26" t="n">
        <v>3</v>
      </c>
      <c r="N166" s="26" t="n">
        <v>4</v>
      </c>
      <c r="O166" s="26" t="n">
        <v>1</v>
      </c>
      <c r="P166" s="26" t="n">
        <v>2</v>
      </c>
      <c r="Q166" s="26" t="n">
        <v>1</v>
      </c>
      <c r="R166" s="26" t="n">
        <v>2</v>
      </c>
      <c r="S166" s="26" t="n">
        <v>2</v>
      </c>
      <c r="T166" s="23" t="n">
        <v>0</v>
      </c>
      <c r="U166" s="23" t="n">
        <v>1</v>
      </c>
      <c r="V166" s="23" t="n">
        <v>0</v>
      </c>
      <c r="W166" s="23" t="n">
        <v>1</v>
      </c>
      <c r="X166" s="23" t="n">
        <v>0</v>
      </c>
      <c r="Y166" s="23" t="n">
        <v>0</v>
      </c>
      <c r="Z166" s="23" t="n">
        <v>1</v>
      </c>
      <c r="AA166" s="23" t="n">
        <v>1</v>
      </c>
      <c r="AB166" s="23" t="n">
        <v>1</v>
      </c>
    </row>
    <row r="167" ht="22.5" customFormat="1" customHeight="1" s="25">
      <c r="A167" s="22" t="inlineStr">
        <is>
          <t>Kovelsky</t>
        </is>
      </c>
      <c r="B167" s="23" t="n">
        <v>9</v>
      </c>
      <c r="C167" s="23" t="n">
        <v>6</v>
      </c>
      <c r="D167" s="22" t="n">
        <v>164</v>
      </c>
      <c r="E167" s="23" t="n"/>
      <c r="F167" s="23" t="n"/>
      <c r="G167" s="23">
        <f>SUM(T167:AB167)</f>
        <v/>
      </c>
      <c r="H167" s="24">
        <f>G167/9</f>
        <v/>
      </c>
      <c r="I167" s="24">
        <f>0.5+(SUM(T167:AB167)/18)</f>
        <v/>
      </c>
      <c r="J167" s="23">
        <f>COUNTIF(K167:S167,"")</f>
        <v/>
      </c>
      <c r="K167" s="26" t="n">
        <v>3</v>
      </c>
      <c r="L167" s="26" t="n">
        <v>1</v>
      </c>
      <c r="M167" s="26" t="n">
        <v>3</v>
      </c>
      <c r="N167" s="26" t="n">
        <v>4</v>
      </c>
      <c r="O167" s="26" t="n">
        <v>3</v>
      </c>
      <c r="P167" s="26" t="n">
        <v>1</v>
      </c>
      <c r="Q167" s="26" t="n">
        <v>1</v>
      </c>
      <c r="R167" s="26" t="n">
        <v>2</v>
      </c>
      <c r="S167" s="26" t="n">
        <v>2</v>
      </c>
      <c r="T167" s="23" t="n">
        <v>1</v>
      </c>
      <c r="U167" s="23" t="n">
        <v>1</v>
      </c>
      <c r="V167" s="23" t="n">
        <v>0</v>
      </c>
      <c r="W167" s="23" t="n">
        <v>1</v>
      </c>
      <c r="X167" s="23" t="n">
        <v>1</v>
      </c>
      <c r="Y167" s="23" t="n">
        <v>0</v>
      </c>
      <c r="Z167" s="23" t="n">
        <v>1</v>
      </c>
      <c r="AA167" s="23" t="n">
        <v>1</v>
      </c>
      <c r="AB167" s="23" t="n">
        <v>1</v>
      </c>
    </row>
    <row r="168" ht="22.5" customFormat="1" customHeight="1" s="25">
      <c r="A168" s="22" t="inlineStr">
        <is>
          <t>Kovelsky</t>
        </is>
      </c>
      <c r="B168" s="23" t="n">
        <v>9</v>
      </c>
      <c r="C168" s="23" t="n">
        <v>6</v>
      </c>
      <c r="D168" s="22" t="n">
        <v>165</v>
      </c>
      <c r="E168" s="23" t="n"/>
      <c r="F168" s="23" t="n"/>
      <c r="G168" s="23">
        <f>SUM(T168:AB168)</f>
        <v/>
      </c>
      <c r="H168" s="24">
        <f>G168/9</f>
        <v/>
      </c>
      <c r="I168" s="24">
        <f>0.5+(SUM(T168:AB168)/18)</f>
        <v/>
      </c>
      <c r="J168" s="23">
        <f>COUNTIF(K168:S168,"")</f>
        <v/>
      </c>
      <c r="K168" s="26" t="n">
        <v>2</v>
      </c>
      <c r="L168" s="26" t="n">
        <v>1</v>
      </c>
      <c r="M168" s="26" t="n">
        <v>2</v>
      </c>
      <c r="N168" s="26" t="n">
        <v>2</v>
      </c>
      <c r="O168" s="26" t="n">
        <v>4</v>
      </c>
      <c r="P168" s="26" t="n">
        <v>3</v>
      </c>
      <c r="Q168" s="26" t="n">
        <v>1</v>
      </c>
      <c r="R168" s="26" t="n">
        <v>2</v>
      </c>
      <c r="S168" s="26" t="n">
        <v>2</v>
      </c>
      <c r="T168" s="23" t="n">
        <v>0</v>
      </c>
      <c r="U168" s="23" t="n">
        <v>1</v>
      </c>
      <c r="V168" s="23" t="n">
        <v>0</v>
      </c>
      <c r="W168" s="23" t="n">
        <v>0</v>
      </c>
      <c r="X168" s="23" t="n">
        <v>0</v>
      </c>
      <c r="Y168" s="23" t="n">
        <v>1</v>
      </c>
      <c r="Z168" s="23" t="n">
        <v>1</v>
      </c>
      <c r="AA168" s="23" t="n">
        <v>1</v>
      </c>
      <c r="AB168" s="23" t="n">
        <v>1</v>
      </c>
    </row>
    <row r="169" ht="22.5" customFormat="1" customHeight="1" s="25">
      <c r="A169" s="22" t="inlineStr">
        <is>
          <t>Kovelsky</t>
        </is>
      </c>
      <c r="B169" s="23" t="n">
        <v>9</v>
      </c>
      <c r="C169" s="23" t="n">
        <v>6</v>
      </c>
      <c r="D169" s="22" t="n">
        <v>166</v>
      </c>
      <c r="E169" s="23" t="n"/>
      <c r="F169" s="23" t="n"/>
      <c r="G169" s="23">
        <f>SUM(T169:AB169)</f>
        <v/>
      </c>
      <c r="H169" s="24">
        <f>G169/9</f>
        <v/>
      </c>
      <c r="I169" s="24">
        <f>0.5+(SUM(T169:AB169)/18)</f>
        <v/>
      </c>
      <c r="J169" s="23">
        <f>COUNTIF(K169:S169,"")</f>
        <v/>
      </c>
      <c r="K169" s="26" t="n">
        <v>1</v>
      </c>
      <c r="L169" s="26" t="n">
        <v>1</v>
      </c>
      <c r="M169" s="26" t="n">
        <v>1</v>
      </c>
      <c r="N169" s="26" t="n">
        <v>4</v>
      </c>
      <c r="O169" s="26" t="n">
        <v>3</v>
      </c>
      <c r="P169" s="26" t="n">
        <v>1</v>
      </c>
      <c r="Q169" s="26" t="n">
        <v>1</v>
      </c>
      <c r="R169" s="26" t="n">
        <v>2</v>
      </c>
      <c r="S169" s="26" t="n">
        <v>2</v>
      </c>
      <c r="T169" s="23" t="n">
        <v>0</v>
      </c>
      <c r="U169" s="23" t="n">
        <v>1</v>
      </c>
      <c r="V169" s="23" t="n">
        <v>0</v>
      </c>
      <c r="W169" s="23" t="n">
        <v>1</v>
      </c>
      <c r="X169" s="23" t="n">
        <v>1</v>
      </c>
      <c r="Y169" s="23" t="n">
        <v>0</v>
      </c>
      <c r="Z169" s="23" t="n">
        <v>1</v>
      </c>
      <c r="AA169" s="23" t="n">
        <v>1</v>
      </c>
      <c r="AB169" s="23" t="n">
        <v>1</v>
      </c>
    </row>
    <row r="170" ht="22.5" customFormat="1" customHeight="1" s="25">
      <c r="A170" s="22" t="inlineStr">
        <is>
          <t>Kovelsky</t>
        </is>
      </c>
      <c r="B170" s="23" t="n">
        <v>9</v>
      </c>
      <c r="C170" s="23" t="n">
        <v>6</v>
      </c>
      <c r="D170" s="22" t="n">
        <v>167</v>
      </c>
      <c r="E170" s="23" t="n"/>
      <c r="F170" s="23" t="n"/>
      <c r="G170" s="23">
        <f>SUM(T170:AB170)</f>
        <v/>
      </c>
      <c r="H170" s="24">
        <f>G170/9</f>
        <v/>
      </c>
      <c r="I170" s="24">
        <f>0.5+(SUM(T170:AB170)/18)</f>
        <v/>
      </c>
      <c r="J170" s="23">
        <f>COUNTIF(K170:S170,"")</f>
        <v/>
      </c>
      <c r="K170" s="26" t="n">
        <v>3</v>
      </c>
      <c r="L170" s="26" t="n">
        <v>1</v>
      </c>
      <c r="M170" s="26" t="n">
        <v>3</v>
      </c>
      <c r="N170" s="26" t="n">
        <v>4</v>
      </c>
      <c r="O170" s="26" t="n">
        <v>3</v>
      </c>
      <c r="P170" s="26" t="n">
        <v>3</v>
      </c>
      <c r="Q170" s="26" t="n">
        <v>1</v>
      </c>
      <c r="R170" s="26" t="n">
        <v>2</v>
      </c>
      <c r="S170" s="26" t="n">
        <v>2</v>
      </c>
      <c r="T170" s="23" t="n">
        <v>1</v>
      </c>
      <c r="U170" s="23" t="n">
        <v>1</v>
      </c>
      <c r="V170" s="23" t="n">
        <v>0</v>
      </c>
      <c r="W170" s="23" t="n">
        <v>1</v>
      </c>
      <c r="X170" s="23" t="n">
        <v>1</v>
      </c>
      <c r="Y170" s="23" t="n">
        <v>1</v>
      </c>
      <c r="Z170" s="23" t="n">
        <v>1</v>
      </c>
      <c r="AA170" s="23" t="n">
        <v>1</v>
      </c>
      <c r="AB170" s="23" t="n">
        <v>1</v>
      </c>
    </row>
    <row r="171" ht="22.5" customFormat="1" customHeight="1" s="25">
      <c r="A171" s="22" t="inlineStr">
        <is>
          <t>Kovelsky</t>
        </is>
      </c>
      <c r="B171" s="23" t="n">
        <v>9</v>
      </c>
      <c r="C171" s="23" t="n">
        <v>6</v>
      </c>
      <c r="D171" s="22" t="n">
        <v>168</v>
      </c>
      <c r="E171" s="23" t="n"/>
      <c r="F171" s="23" t="n"/>
      <c r="G171" s="23">
        <f>SUM(T171:AB171)</f>
        <v/>
      </c>
      <c r="H171" s="24">
        <f>G171/9</f>
        <v/>
      </c>
      <c r="I171" s="24">
        <f>0.5+(SUM(T171:AB171)/18)</f>
        <v/>
      </c>
      <c r="J171" s="23">
        <f>COUNTIF(K171:S171,"")</f>
        <v/>
      </c>
      <c r="K171" s="26" t="n">
        <v>3</v>
      </c>
      <c r="L171" s="26" t="n">
        <v>1</v>
      </c>
      <c r="M171" s="26" t="n">
        <v>4</v>
      </c>
      <c r="N171" s="26" t="n">
        <v>3</v>
      </c>
      <c r="O171" s="26" t="n">
        <v>3</v>
      </c>
      <c r="P171" s="26" t="n">
        <v>3</v>
      </c>
      <c r="Q171" s="26" t="n">
        <v>1</v>
      </c>
      <c r="R171" s="26" t="n">
        <v>2</v>
      </c>
      <c r="S171" s="26" t="n">
        <v>3</v>
      </c>
      <c r="T171" s="23" t="n">
        <v>1</v>
      </c>
      <c r="U171" s="23" t="n">
        <v>1</v>
      </c>
      <c r="V171" s="23" t="n">
        <v>1</v>
      </c>
      <c r="W171" s="23" t="n">
        <v>0</v>
      </c>
      <c r="X171" s="23" t="n">
        <v>1</v>
      </c>
      <c r="Y171" s="23" t="n">
        <v>1</v>
      </c>
      <c r="Z171" s="23" t="n">
        <v>1</v>
      </c>
      <c r="AA171" s="23" t="n">
        <v>1</v>
      </c>
      <c r="AB171" s="23" t="n">
        <v>0</v>
      </c>
    </row>
    <row r="172" ht="22.5" customFormat="1" customHeight="1" s="25">
      <c r="A172" s="22" t="inlineStr">
        <is>
          <t>Kovelsky</t>
        </is>
      </c>
      <c r="B172" s="23" t="n">
        <v>9</v>
      </c>
      <c r="C172" s="23" t="n">
        <v>6</v>
      </c>
      <c r="D172" s="22" t="n">
        <v>169</v>
      </c>
      <c r="E172" s="23" t="n"/>
      <c r="F172" s="23" t="n"/>
      <c r="G172" s="23">
        <f>SUM(T172:AB172)</f>
        <v/>
      </c>
      <c r="H172" s="24">
        <f>G172/9</f>
        <v/>
      </c>
      <c r="I172" s="24">
        <f>0.5+(SUM(T172:AB172)/18)</f>
        <v/>
      </c>
      <c r="J172" s="23">
        <f>COUNTIF(K172:S172,"")</f>
        <v/>
      </c>
      <c r="K172" s="26" t="n">
        <v>4</v>
      </c>
      <c r="L172" s="26" t="n">
        <v>1</v>
      </c>
      <c r="M172" s="26" t="n">
        <v>4</v>
      </c>
      <c r="N172" s="26" t="n">
        <v>4</v>
      </c>
      <c r="O172" s="26" t="n">
        <v>3</v>
      </c>
      <c r="P172" s="26" t="n">
        <v>3</v>
      </c>
      <c r="Q172" s="26" t="n">
        <v>1</v>
      </c>
      <c r="R172" s="26" t="n">
        <v>2</v>
      </c>
      <c r="S172" s="26" t="n">
        <v>3</v>
      </c>
      <c r="T172" s="23" t="n">
        <v>0</v>
      </c>
      <c r="U172" s="23" t="n">
        <v>1</v>
      </c>
      <c r="V172" s="23" t="n">
        <v>1</v>
      </c>
      <c r="W172" s="23" t="n">
        <v>1</v>
      </c>
      <c r="X172" s="23" t="n">
        <v>1</v>
      </c>
      <c r="Y172" s="23" t="n">
        <v>1</v>
      </c>
      <c r="Z172" s="23" t="n">
        <v>1</v>
      </c>
      <c r="AA172" s="23" t="n">
        <v>1</v>
      </c>
      <c r="AB172" s="23" t="n">
        <v>0</v>
      </c>
    </row>
    <row r="173" ht="22.5" customFormat="1" customHeight="1" s="25">
      <c r="A173" s="22" t="inlineStr">
        <is>
          <t>Kovelsky</t>
        </is>
      </c>
      <c r="B173" s="23" t="n">
        <v>9</v>
      </c>
      <c r="C173" s="23" t="n">
        <v>6</v>
      </c>
      <c r="D173" s="22" t="n">
        <v>170</v>
      </c>
      <c r="E173" s="23" t="n"/>
      <c r="F173" s="23" t="n"/>
      <c r="G173" s="23">
        <f>SUM(T173:AB173)</f>
        <v/>
      </c>
      <c r="H173" s="24">
        <f>G173/9</f>
        <v/>
      </c>
      <c r="I173" s="24">
        <f>0.5+(SUM(T173:AB173)/18)</f>
        <v/>
      </c>
      <c r="J173" s="23">
        <f>COUNTIF(K173:S173,"")</f>
        <v/>
      </c>
      <c r="K173" s="26" t="n">
        <v>3</v>
      </c>
      <c r="L173" s="26" t="n">
        <v>1</v>
      </c>
      <c r="M173" s="26" t="n">
        <v>4</v>
      </c>
      <c r="N173" s="26" t="n">
        <v>4</v>
      </c>
      <c r="O173" s="26" t="n">
        <v>3</v>
      </c>
      <c r="P173" s="26" t="n">
        <v>3</v>
      </c>
      <c r="Q173" s="26" t="n">
        <v>1</v>
      </c>
      <c r="R173" s="26" t="n">
        <v>3</v>
      </c>
      <c r="S173" s="26" t="n">
        <v>2</v>
      </c>
      <c r="T173" s="23" t="n">
        <v>1</v>
      </c>
      <c r="U173" s="23" t="n">
        <v>1</v>
      </c>
      <c r="V173" s="23" t="n">
        <v>1</v>
      </c>
      <c r="W173" s="23" t="n">
        <v>1</v>
      </c>
      <c r="X173" s="23" t="n">
        <v>1</v>
      </c>
      <c r="Y173" s="23" t="n">
        <v>1</v>
      </c>
      <c r="Z173" s="23" t="n">
        <v>1</v>
      </c>
      <c r="AA173" s="23" t="n">
        <v>0</v>
      </c>
      <c r="AB173" s="23" t="n">
        <v>1</v>
      </c>
    </row>
    <row r="174" ht="22.5" customFormat="1" customHeight="1" s="25">
      <c r="A174" s="22" t="inlineStr">
        <is>
          <t>Kovelsky</t>
        </is>
      </c>
      <c r="B174" s="23" t="n">
        <v>9</v>
      </c>
      <c r="C174" s="23" t="n">
        <v>6</v>
      </c>
      <c r="D174" s="22" t="n">
        <v>171</v>
      </c>
      <c r="E174" s="23" t="n"/>
      <c r="F174" s="23" t="n"/>
      <c r="G174" s="23">
        <f>SUM(T174:AB174)</f>
        <v/>
      </c>
      <c r="H174" s="24">
        <f>G174/9</f>
        <v/>
      </c>
      <c r="I174" s="24">
        <f>0.5+(SUM(T174:AB174)/18)</f>
        <v/>
      </c>
      <c r="J174" s="23">
        <f>COUNTIF(K174:S174,"")</f>
        <v/>
      </c>
      <c r="K174" s="26" t="n">
        <v>3</v>
      </c>
      <c r="L174" s="26" t="n">
        <v>1</v>
      </c>
      <c r="M174" s="26" t="n">
        <v>3</v>
      </c>
      <c r="N174" s="26" t="n">
        <v>4</v>
      </c>
      <c r="O174" s="26" t="n">
        <v>3</v>
      </c>
      <c r="P174" s="26" t="n">
        <v>3</v>
      </c>
      <c r="Q174" s="26" t="n">
        <v>1</v>
      </c>
      <c r="R174" s="26" t="n">
        <v>2</v>
      </c>
      <c r="S174" s="26" t="n">
        <v>2</v>
      </c>
      <c r="T174" s="23" t="n">
        <v>1</v>
      </c>
      <c r="U174" s="23" t="n">
        <v>1</v>
      </c>
      <c r="V174" s="23" t="n">
        <v>0</v>
      </c>
      <c r="W174" s="23" t="n">
        <v>1</v>
      </c>
      <c r="X174" s="23" t="n">
        <v>1</v>
      </c>
      <c r="Y174" s="23" t="n">
        <v>1</v>
      </c>
      <c r="Z174" s="23" t="n">
        <v>1</v>
      </c>
      <c r="AA174" s="23" t="n">
        <v>1</v>
      </c>
      <c r="AB174" s="23" t="n">
        <v>1</v>
      </c>
    </row>
    <row r="175" ht="22.5" customFormat="1" customHeight="1" s="25">
      <c r="A175" s="22" t="inlineStr">
        <is>
          <t>Kovelsky</t>
        </is>
      </c>
      <c r="B175" s="23" t="n">
        <v>9</v>
      </c>
      <c r="C175" s="23" t="n">
        <v>6</v>
      </c>
      <c r="D175" s="22" t="n">
        <v>172</v>
      </c>
      <c r="E175" s="23" t="n"/>
      <c r="F175" s="23" t="n"/>
      <c r="G175" s="23">
        <f>SUM(T175:AB175)</f>
        <v/>
      </c>
      <c r="H175" s="24">
        <f>G175/9</f>
        <v/>
      </c>
      <c r="I175" s="24">
        <f>0.5+(SUM(T175:AB175)/18)</f>
        <v/>
      </c>
      <c r="J175" s="23">
        <f>COUNTIF(K175:S175,"")</f>
        <v/>
      </c>
      <c r="K175" s="26" t="n">
        <v>3</v>
      </c>
      <c r="L175" s="26" t="n">
        <v>1</v>
      </c>
      <c r="M175" s="26" t="n">
        <v>3</v>
      </c>
      <c r="N175" s="26" t="n">
        <v>4</v>
      </c>
      <c r="O175" s="26" t="n">
        <v>3</v>
      </c>
      <c r="P175" s="26" t="n">
        <v>3</v>
      </c>
      <c r="Q175" s="26" t="n">
        <v>1</v>
      </c>
      <c r="R175" s="26" t="n">
        <v>2</v>
      </c>
      <c r="S175" s="26" t="n">
        <v>2</v>
      </c>
      <c r="T175" s="23" t="n">
        <v>1</v>
      </c>
      <c r="U175" s="23" t="n">
        <v>1</v>
      </c>
      <c r="V175" s="23" t="n">
        <v>0</v>
      </c>
      <c r="W175" s="23" t="n">
        <v>1</v>
      </c>
      <c r="X175" s="23" t="n">
        <v>1</v>
      </c>
      <c r="Y175" s="23" t="n">
        <v>1</v>
      </c>
      <c r="Z175" s="23" t="n">
        <v>1</v>
      </c>
      <c r="AA175" s="23" t="n">
        <v>1</v>
      </c>
      <c r="AB175" s="23" t="n">
        <v>1</v>
      </c>
    </row>
    <row r="176" ht="22.5" customFormat="1" customHeight="1" s="25">
      <c r="A176" s="22" t="inlineStr">
        <is>
          <t>Kovelsky</t>
        </is>
      </c>
      <c r="B176" s="23" t="n">
        <v>9</v>
      </c>
      <c r="C176" s="23" t="n">
        <v>6</v>
      </c>
      <c r="D176" s="22" t="n">
        <v>173</v>
      </c>
      <c r="E176" s="23" t="n"/>
      <c r="F176" s="23" t="n"/>
      <c r="G176" s="23">
        <f>SUM(T176:AB176)</f>
        <v/>
      </c>
      <c r="H176" s="24">
        <f>G176/9</f>
        <v/>
      </c>
      <c r="I176" s="24">
        <f>0.5+(SUM(T176:AB176)/18)</f>
        <v/>
      </c>
      <c r="J176" s="23">
        <f>COUNTIF(K176:S176,"")</f>
        <v/>
      </c>
      <c r="K176" s="26" t="n">
        <v>1</v>
      </c>
      <c r="L176" s="26" t="n">
        <v>2</v>
      </c>
      <c r="M176" s="26" t="n">
        <v>3</v>
      </c>
      <c r="N176" s="26" t="n">
        <v>4</v>
      </c>
      <c r="O176" s="26" t="n">
        <v>3</v>
      </c>
      <c r="P176" s="26" t="n">
        <v>3</v>
      </c>
      <c r="Q176" s="26" t="n">
        <v>1</v>
      </c>
      <c r="R176" s="26" t="n">
        <v>2</v>
      </c>
      <c r="S176" s="26" t="n">
        <v>2</v>
      </c>
      <c r="T176" s="23" t="n">
        <v>0</v>
      </c>
      <c r="U176" s="23" t="n">
        <v>0</v>
      </c>
      <c r="V176" s="23" t="n">
        <v>0</v>
      </c>
      <c r="W176" s="23" t="n">
        <v>1</v>
      </c>
      <c r="X176" s="23" t="n">
        <v>1</v>
      </c>
      <c r="Y176" s="23" t="n">
        <v>1</v>
      </c>
      <c r="Z176" s="23" t="n">
        <v>1</v>
      </c>
      <c r="AA176" s="23" t="n">
        <v>1</v>
      </c>
      <c r="AB176" s="23" t="n">
        <v>1</v>
      </c>
    </row>
    <row r="177" ht="22.5" customFormat="1" customHeight="1" s="25">
      <c r="A177" s="22" t="inlineStr">
        <is>
          <t>Kovelsky</t>
        </is>
      </c>
      <c r="B177" s="23" t="n">
        <v>9</v>
      </c>
      <c r="C177" s="23" t="n">
        <v>6</v>
      </c>
      <c r="D177" s="22" t="n">
        <v>174</v>
      </c>
      <c r="E177" s="23" t="n"/>
      <c r="F177" s="23" t="n"/>
      <c r="G177" s="23">
        <f>SUM(T177:AB177)</f>
        <v/>
      </c>
      <c r="H177" s="24">
        <f>G177/9</f>
        <v/>
      </c>
      <c r="I177" s="24">
        <f>0.5+(SUM(T177:AB177)/18)</f>
        <v/>
      </c>
      <c r="J177" s="23">
        <f>COUNTIF(K177:S177,"")</f>
        <v/>
      </c>
      <c r="K177" s="26" t="n">
        <v>3</v>
      </c>
      <c r="L177" s="26" t="n">
        <v>2</v>
      </c>
      <c r="M177" s="26" t="n">
        <v>2</v>
      </c>
      <c r="N177" s="26" t="n">
        <v>2</v>
      </c>
      <c r="O177" s="26" t="n">
        <v>3</v>
      </c>
      <c r="P177" s="26" t="n">
        <v>2</v>
      </c>
      <c r="Q177" s="26" t="n">
        <v>1</v>
      </c>
      <c r="R177" s="26" t="n">
        <v>4</v>
      </c>
      <c r="S177" s="26" t="n">
        <v>1</v>
      </c>
      <c r="T177" s="23" t="n">
        <v>1</v>
      </c>
      <c r="U177" s="23" t="n">
        <v>0</v>
      </c>
      <c r="V177" s="23" t="n">
        <v>0</v>
      </c>
      <c r="W177" s="23" t="n">
        <v>0</v>
      </c>
      <c r="X177" s="23" t="n">
        <v>1</v>
      </c>
      <c r="Y177" s="23" t="n">
        <v>0</v>
      </c>
      <c r="Z177" s="23" t="n">
        <v>1</v>
      </c>
      <c r="AA177" s="23" t="n">
        <v>0</v>
      </c>
      <c r="AB177" s="23" t="n">
        <v>0</v>
      </c>
    </row>
    <row r="178" ht="22.5" customFormat="1" customHeight="1" s="25">
      <c r="A178" s="22" t="inlineStr">
        <is>
          <t>Kovelsky</t>
        </is>
      </c>
      <c r="B178" s="23" t="n">
        <v>9</v>
      </c>
      <c r="C178" s="23" t="n">
        <v>8</v>
      </c>
      <c r="D178" s="22" t="n">
        <v>175</v>
      </c>
      <c r="E178" s="23" t="n"/>
      <c r="F178" s="23" t="n"/>
      <c r="G178" s="23">
        <f>SUM(T178:AB178)</f>
        <v/>
      </c>
      <c r="H178" s="24">
        <f>G178/9</f>
        <v/>
      </c>
      <c r="I178" s="24">
        <f>0.5+(SUM(T178:AB178)/18)</f>
        <v/>
      </c>
      <c r="J178" s="23">
        <f>COUNTIF(K178:S178,"")</f>
        <v/>
      </c>
      <c r="K178" s="26" t="n">
        <v>2</v>
      </c>
      <c r="L178" s="26" t="n">
        <v>3</v>
      </c>
      <c r="M178" s="26" t="n">
        <v>1</v>
      </c>
      <c r="N178" s="26" t="n">
        <v>2</v>
      </c>
      <c r="O178" s="26" t="n">
        <v>4</v>
      </c>
      <c r="P178" s="26" t="n"/>
      <c r="Q178" s="26" t="n"/>
      <c r="R178" s="26" t="n"/>
      <c r="S178" s="26" t="n"/>
      <c r="T178" s="23" t="n">
        <v>0</v>
      </c>
      <c r="U178" s="23" t="n">
        <v>0</v>
      </c>
      <c r="V178" s="23" t="n">
        <v>0</v>
      </c>
      <c r="W178" s="23" t="n">
        <v>0</v>
      </c>
      <c r="X178" s="23" t="n">
        <v>0</v>
      </c>
      <c r="Y178" s="23" t="n">
        <v>0</v>
      </c>
      <c r="Z178" s="23" t="n">
        <v>0</v>
      </c>
      <c r="AA178" s="23" t="n">
        <v>0</v>
      </c>
      <c r="AB178" s="23" t="n">
        <v>0</v>
      </c>
    </row>
    <row r="179" ht="22.5" customFormat="1" customHeight="1" s="25">
      <c r="A179" s="22" t="inlineStr">
        <is>
          <t>Kovelsky</t>
        </is>
      </c>
      <c r="B179" s="23" t="n">
        <v>9</v>
      </c>
      <c r="C179" s="23" t="n">
        <v>8</v>
      </c>
      <c r="D179" s="22" t="n">
        <v>176</v>
      </c>
      <c r="E179" s="23" t="n"/>
      <c r="F179" s="23" t="n"/>
      <c r="G179" s="23">
        <f>SUM(T179:AB179)</f>
        <v/>
      </c>
      <c r="H179" s="24">
        <f>G179/9</f>
        <v/>
      </c>
      <c r="I179" s="24">
        <f>0.5+(SUM(T179:AB179)/18)</f>
        <v/>
      </c>
      <c r="J179" s="23">
        <f>COUNTIF(K179:S179,"")</f>
        <v/>
      </c>
      <c r="K179" s="26" t="n">
        <v>3</v>
      </c>
      <c r="L179" s="26" t="n">
        <v>1</v>
      </c>
      <c r="M179" s="26" t="n">
        <v>2</v>
      </c>
      <c r="N179" s="26" t="n">
        <v>4</v>
      </c>
      <c r="O179" s="26" t="n">
        <v>3</v>
      </c>
      <c r="P179" s="26" t="n">
        <v>3</v>
      </c>
      <c r="Q179" s="26" t="n">
        <v>1</v>
      </c>
      <c r="R179" s="26" t="n">
        <v>1</v>
      </c>
      <c r="S179" s="26" t="n">
        <v>2</v>
      </c>
      <c r="T179" s="23" t="n">
        <v>1</v>
      </c>
      <c r="U179" s="23" t="n">
        <v>1</v>
      </c>
      <c r="V179" s="23" t="n">
        <v>0</v>
      </c>
      <c r="W179" s="23" t="n">
        <v>1</v>
      </c>
      <c r="X179" s="23" t="n">
        <v>1</v>
      </c>
      <c r="Y179" s="23" t="n">
        <v>1</v>
      </c>
      <c r="Z179" s="23" t="n">
        <v>1</v>
      </c>
      <c r="AA179" s="23" t="n">
        <v>0</v>
      </c>
      <c r="AB179" s="23" t="n">
        <v>1</v>
      </c>
    </row>
    <row r="180" ht="22.5" customFormat="1" customHeight="1" s="25">
      <c r="A180" s="22" t="inlineStr">
        <is>
          <t>Kovelsky</t>
        </is>
      </c>
      <c r="B180" s="23" t="n">
        <v>9</v>
      </c>
      <c r="C180" s="23" t="n">
        <v>8</v>
      </c>
      <c r="D180" s="22" t="n">
        <v>177</v>
      </c>
      <c r="E180" s="23" t="n"/>
      <c r="F180" s="23" t="n"/>
      <c r="G180" s="23">
        <f>SUM(T180:AB180)</f>
        <v/>
      </c>
      <c r="H180" s="24">
        <f>G180/9</f>
        <v/>
      </c>
      <c r="I180" s="24">
        <f>0.5+(SUM(T180:AB180)/18)</f>
        <v/>
      </c>
      <c r="J180" s="23">
        <f>COUNTIF(K180:S180,"")</f>
        <v/>
      </c>
      <c r="K180" s="26" t="n">
        <v>2</v>
      </c>
      <c r="L180" s="26" t="n">
        <v>1</v>
      </c>
      <c r="M180" s="26" t="n">
        <v>3</v>
      </c>
      <c r="N180" s="26" t="n">
        <v>4</v>
      </c>
      <c r="O180" s="26" t="n">
        <v>1</v>
      </c>
      <c r="P180" s="26" t="n">
        <v>3</v>
      </c>
      <c r="Q180" s="26" t="n">
        <v>1</v>
      </c>
      <c r="R180" s="26" t="n">
        <v>2</v>
      </c>
      <c r="S180" s="26" t="n">
        <v>2</v>
      </c>
      <c r="T180" s="23" t="n">
        <v>0</v>
      </c>
      <c r="U180" s="23" t="n">
        <v>1</v>
      </c>
      <c r="V180" s="23" t="n">
        <v>0</v>
      </c>
      <c r="W180" s="23" t="n">
        <v>1</v>
      </c>
      <c r="X180" s="23" t="n">
        <v>0</v>
      </c>
      <c r="Y180" s="23" t="n">
        <v>1</v>
      </c>
      <c r="Z180" s="23" t="n">
        <v>1</v>
      </c>
      <c r="AA180" s="23" t="n">
        <v>1</v>
      </c>
      <c r="AB180" s="23" t="n">
        <v>1</v>
      </c>
    </row>
    <row r="181" ht="22.5" customFormat="1" customHeight="1" s="25">
      <c r="A181" s="22" t="inlineStr">
        <is>
          <t>Kovelsky</t>
        </is>
      </c>
      <c r="B181" s="23" t="n">
        <v>9</v>
      </c>
      <c r="C181" s="23" t="n">
        <v>8</v>
      </c>
      <c r="D181" s="22" t="n">
        <v>178</v>
      </c>
      <c r="E181" s="23" t="n"/>
      <c r="F181" s="23" t="n"/>
      <c r="G181" s="23">
        <f>SUM(T181:AB181)</f>
        <v/>
      </c>
      <c r="H181" s="24">
        <f>G181/9</f>
        <v/>
      </c>
      <c r="I181" s="24">
        <f>0.5+(SUM(T181:AB181)/18)</f>
        <v/>
      </c>
      <c r="J181" s="23">
        <f>COUNTIF(K181:S181,"")</f>
        <v/>
      </c>
      <c r="K181" s="26" t="n">
        <v>4</v>
      </c>
      <c r="L181" s="26" t="n">
        <v>1</v>
      </c>
      <c r="M181" s="26" t="n">
        <v>1</v>
      </c>
      <c r="N181" s="26" t="n">
        <v>4</v>
      </c>
      <c r="O181" s="26" t="n">
        <v>3</v>
      </c>
      <c r="P181" s="26" t="n">
        <v>3</v>
      </c>
      <c r="Q181" s="26" t="n">
        <v>1</v>
      </c>
      <c r="R181" s="26" t="n">
        <v>2</v>
      </c>
      <c r="S181" s="26" t="n">
        <v>2</v>
      </c>
      <c r="T181" s="23" t="n">
        <v>0</v>
      </c>
      <c r="U181" s="23" t="n">
        <v>1</v>
      </c>
      <c r="V181" s="23" t="n">
        <v>0</v>
      </c>
      <c r="W181" s="23" t="n">
        <v>1</v>
      </c>
      <c r="X181" s="23" t="n">
        <v>1</v>
      </c>
      <c r="Y181" s="23" t="n">
        <v>1</v>
      </c>
      <c r="Z181" s="23" t="n">
        <v>1</v>
      </c>
      <c r="AA181" s="23" t="n">
        <v>1</v>
      </c>
      <c r="AB181" s="23" t="n">
        <v>1</v>
      </c>
    </row>
    <row r="182" ht="22.5" customFormat="1" customHeight="1" s="25">
      <c r="A182" s="22" t="inlineStr">
        <is>
          <t>Kovelsky</t>
        </is>
      </c>
      <c r="B182" s="23" t="n">
        <v>9</v>
      </c>
      <c r="C182" s="23" t="n">
        <v>8</v>
      </c>
      <c r="D182" s="22" t="n">
        <v>179</v>
      </c>
      <c r="E182" s="23" t="n"/>
      <c r="F182" s="23" t="n"/>
      <c r="G182" s="23">
        <f>SUM(T182:AB182)</f>
        <v/>
      </c>
      <c r="H182" s="24">
        <f>G182/9</f>
        <v/>
      </c>
      <c r="I182" s="24">
        <f>0.5+(SUM(T182:AB182)/18)</f>
        <v/>
      </c>
      <c r="J182" s="23">
        <f>COUNTIF(K182:S182,"")</f>
        <v/>
      </c>
      <c r="K182" s="26" t="n">
        <v>2</v>
      </c>
      <c r="L182" s="26" t="n">
        <v>1</v>
      </c>
      <c r="M182" s="26" t="n">
        <v>3</v>
      </c>
      <c r="N182" s="26" t="n">
        <v>4</v>
      </c>
      <c r="O182" s="26" t="n">
        <v>1</v>
      </c>
      <c r="P182" s="26" t="n">
        <v>3</v>
      </c>
      <c r="Q182" s="26" t="n">
        <v>1</v>
      </c>
      <c r="R182" s="26" t="n">
        <v>2</v>
      </c>
      <c r="S182" s="26" t="n">
        <v>2</v>
      </c>
      <c r="T182" s="23" t="n">
        <v>0</v>
      </c>
      <c r="U182" s="23" t="n">
        <v>1</v>
      </c>
      <c r="V182" s="23" t="n">
        <v>0</v>
      </c>
      <c r="W182" s="23" t="n">
        <v>1</v>
      </c>
      <c r="X182" s="23" t="n">
        <v>0</v>
      </c>
      <c r="Y182" s="23" t="n">
        <v>1</v>
      </c>
      <c r="Z182" s="23" t="n">
        <v>1</v>
      </c>
      <c r="AA182" s="23" t="n">
        <v>1</v>
      </c>
      <c r="AB182" s="23" t="n">
        <v>1</v>
      </c>
    </row>
    <row r="183" ht="22.5" customFormat="1" customHeight="1" s="25">
      <c r="A183" s="22" t="inlineStr">
        <is>
          <t>Kovelsky</t>
        </is>
      </c>
      <c r="B183" s="23" t="n">
        <v>9</v>
      </c>
      <c r="C183" s="23" t="n">
        <v>8</v>
      </c>
      <c r="D183" s="22" t="n">
        <v>180</v>
      </c>
      <c r="E183" s="23" t="n"/>
      <c r="F183" s="23" t="n"/>
      <c r="G183" s="23">
        <f>SUM(T183:AB183)</f>
        <v/>
      </c>
      <c r="H183" s="24">
        <f>G183/9</f>
        <v/>
      </c>
      <c r="I183" s="24">
        <f>0.5+(SUM(T183:AB183)/18)</f>
        <v/>
      </c>
      <c r="J183" s="23">
        <f>COUNTIF(K183:S183,"")</f>
        <v/>
      </c>
      <c r="K183" s="26" t="n">
        <v>1</v>
      </c>
      <c r="L183" s="26" t="n">
        <v>1</v>
      </c>
      <c r="M183" s="26" t="n">
        <v>3</v>
      </c>
      <c r="N183" s="26" t="n">
        <v>2</v>
      </c>
      <c r="O183" s="26" t="n">
        <v>4</v>
      </c>
      <c r="P183" s="26" t="n">
        <v>3</v>
      </c>
      <c r="Q183" s="26" t="n">
        <v>1</v>
      </c>
      <c r="R183" s="26" t="n">
        <v>2</v>
      </c>
      <c r="S183" s="26" t="n">
        <v>2</v>
      </c>
      <c r="T183" s="23" t="n">
        <v>0</v>
      </c>
      <c r="U183" s="23" t="n">
        <v>1</v>
      </c>
      <c r="V183" s="23" t="n">
        <v>0</v>
      </c>
      <c r="W183" s="23" t="n">
        <v>0</v>
      </c>
      <c r="X183" s="23" t="n">
        <v>0</v>
      </c>
      <c r="Y183" s="23" t="n">
        <v>1</v>
      </c>
      <c r="Z183" s="23" t="n">
        <v>1</v>
      </c>
      <c r="AA183" s="23" t="n">
        <v>1</v>
      </c>
      <c r="AB183" s="23" t="n">
        <v>1</v>
      </c>
    </row>
    <row r="184" ht="22.5" customFormat="1" customHeight="1" s="25">
      <c r="A184" s="22" t="inlineStr">
        <is>
          <t>Kovelsky</t>
        </is>
      </c>
      <c r="B184" s="23" t="n">
        <v>9</v>
      </c>
      <c r="C184" s="23" t="n">
        <v>8</v>
      </c>
      <c r="D184" s="22" t="n">
        <v>181</v>
      </c>
      <c r="E184" s="23" t="n"/>
      <c r="F184" s="23" t="n"/>
      <c r="G184" s="23">
        <f>SUM(T184:AB184)</f>
        <v/>
      </c>
      <c r="H184" s="24">
        <f>G184/9</f>
        <v/>
      </c>
      <c r="I184" s="24">
        <f>0.5+(SUM(T184:AB184)/18)</f>
        <v/>
      </c>
      <c r="J184" s="23">
        <f>COUNTIF(K184:S184,"")</f>
        <v/>
      </c>
      <c r="K184" s="26" t="n">
        <v>3</v>
      </c>
      <c r="L184" s="26" t="n">
        <v>1</v>
      </c>
      <c r="M184" s="26" t="n">
        <v>4</v>
      </c>
      <c r="N184" s="26" t="n">
        <v>4</v>
      </c>
      <c r="O184" s="26" t="n">
        <v>3</v>
      </c>
      <c r="P184" s="26" t="n">
        <v>3</v>
      </c>
      <c r="Q184" s="26" t="n">
        <v>1</v>
      </c>
      <c r="R184" s="26" t="n">
        <v>1</v>
      </c>
      <c r="S184" s="26" t="n">
        <v>2</v>
      </c>
      <c r="T184" s="23" t="n">
        <v>1</v>
      </c>
      <c r="U184" s="23" t="n">
        <v>1</v>
      </c>
      <c r="V184" s="23" t="n">
        <v>1</v>
      </c>
      <c r="W184" s="23" t="n">
        <v>1</v>
      </c>
      <c r="X184" s="23" t="n">
        <v>1</v>
      </c>
      <c r="Y184" s="23" t="n">
        <v>1</v>
      </c>
      <c r="Z184" s="23" t="n">
        <v>1</v>
      </c>
      <c r="AA184" s="23" t="n">
        <v>0</v>
      </c>
      <c r="AB184" s="23" t="n">
        <v>1</v>
      </c>
    </row>
    <row r="185" ht="22.5" customFormat="1" customHeight="1" s="25">
      <c r="A185" s="22" t="inlineStr">
        <is>
          <t>Kovelsky</t>
        </is>
      </c>
      <c r="B185" s="23" t="n">
        <v>9</v>
      </c>
      <c r="C185" s="23" t="n">
        <v>8</v>
      </c>
      <c r="D185" s="22" t="n">
        <v>182</v>
      </c>
      <c r="E185" s="23" t="n"/>
      <c r="F185" s="23" t="n"/>
      <c r="G185" s="23">
        <f>SUM(T185:AB185)</f>
        <v/>
      </c>
      <c r="H185" s="24">
        <f>G185/9</f>
        <v/>
      </c>
      <c r="I185" s="24">
        <f>0.5+(SUM(T185:AB185)/18)</f>
        <v/>
      </c>
      <c r="J185" s="23">
        <f>COUNTIF(K185:S185,"")</f>
        <v/>
      </c>
      <c r="K185" s="26" t="n">
        <v>2</v>
      </c>
      <c r="L185" s="26" t="n">
        <v>1</v>
      </c>
      <c r="M185" s="26" t="n">
        <v>3</v>
      </c>
      <c r="N185" s="26" t="n">
        <v>4</v>
      </c>
      <c r="O185" s="26" t="n">
        <v>4</v>
      </c>
      <c r="P185" s="26" t="n">
        <v>3</v>
      </c>
      <c r="Q185" s="26" t="n">
        <v>1</v>
      </c>
      <c r="R185" s="26" t="n">
        <v>2</v>
      </c>
      <c r="S185" s="26" t="n">
        <v>2</v>
      </c>
      <c r="T185" s="23" t="n">
        <v>0</v>
      </c>
      <c r="U185" s="23" t="n">
        <v>1</v>
      </c>
      <c r="V185" s="23" t="n">
        <v>0</v>
      </c>
      <c r="W185" s="23" t="n">
        <v>1</v>
      </c>
      <c r="X185" s="23" t="n">
        <v>0</v>
      </c>
      <c r="Y185" s="23" t="n">
        <v>1</v>
      </c>
      <c r="Z185" s="23" t="n">
        <v>1</v>
      </c>
      <c r="AA185" s="23" t="n">
        <v>1</v>
      </c>
      <c r="AB185" s="23" t="n">
        <v>1</v>
      </c>
    </row>
    <row r="186" ht="22.5" customFormat="1" customHeight="1" s="25">
      <c r="A186" s="22" t="inlineStr">
        <is>
          <t>Kovelsky</t>
        </is>
      </c>
      <c r="B186" s="23" t="n">
        <v>9</v>
      </c>
      <c r="C186" s="23" t="n">
        <v>8</v>
      </c>
      <c r="D186" s="22" t="n">
        <v>183</v>
      </c>
      <c r="E186" s="23" t="n"/>
      <c r="F186" s="23" t="n"/>
      <c r="G186" s="23">
        <f>SUM(T186:AB186)</f>
        <v/>
      </c>
      <c r="H186" s="24">
        <f>G186/9</f>
        <v/>
      </c>
      <c r="I186" s="24">
        <f>0.5+(SUM(T186:AB186)/18)</f>
        <v/>
      </c>
      <c r="J186" s="23">
        <f>COUNTIF(K186:S186,"")</f>
        <v/>
      </c>
      <c r="K186" s="26" t="n"/>
      <c r="L186" s="26" t="n"/>
      <c r="M186" s="26" t="n"/>
      <c r="N186" s="26" t="n"/>
      <c r="O186" s="26" t="n"/>
      <c r="P186" s="26" t="n"/>
      <c r="Q186" s="26" t="n"/>
      <c r="R186" s="26" t="n"/>
      <c r="S186" s="26" t="n"/>
      <c r="T186" s="23" t="n">
        <v>1</v>
      </c>
      <c r="U186" s="23" t="n">
        <v>1</v>
      </c>
      <c r="V186" s="23" t="n">
        <v>1</v>
      </c>
      <c r="W186" s="23" t="n">
        <v>1</v>
      </c>
      <c r="X186" s="23" t="n">
        <v>1</v>
      </c>
      <c r="Y186" s="23" t="n">
        <v>0</v>
      </c>
      <c r="Z186" s="23" t="n">
        <v>1</v>
      </c>
      <c r="AA186" s="23" t="n">
        <v>1</v>
      </c>
      <c r="AB186" s="23" t="n">
        <v>1</v>
      </c>
    </row>
    <row r="187" ht="22.5" customFormat="1" customHeight="1" s="25">
      <c r="A187" s="22" t="inlineStr">
        <is>
          <t>Kovelsky</t>
        </is>
      </c>
      <c r="B187" s="23" t="n">
        <v>9</v>
      </c>
      <c r="C187" s="23" t="n">
        <v>8</v>
      </c>
      <c r="D187" s="22" t="n">
        <v>184</v>
      </c>
      <c r="E187" s="23" t="n"/>
      <c r="F187" s="23" t="n"/>
      <c r="G187" s="23">
        <f>SUM(T187:AB187)</f>
        <v/>
      </c>
      <c r="H187" s="24">
        <f>G187/9</f>
        <v/>
      </c>
      <c r="I187" s="24">
        <f>0.5+(SUM(T187:AB187)/18)</f>
        <v/>
      </c>
      <c r="J187" s="23">
        <f>COUNTIF(K187:S187,"")</f>
        <v/>
      </c>
      <c r="K187" s="26" t="n">
        <v>3</v>
      </c>
      <c r="L187" s="26" t="n">
        <v>1</v>
      </c>
      <c r="M187" s="26" t="n">
        <v>4</v>
      </c>
      <c r="N187" s="26" t="n">
        <v>3</v>
      </c>
      <c r="O187" s="26" t="n">
        <v>3</v>
      </c>
      <c r="P187" s="26" t="n">
        <v>3</v>
      </c>
      <c r="Q187" s="26" t="n">
        <v>1</v>
      </c>
      <c r="R187" s="26" t="n">
        <v>1</v>
      </c>
      <c r="S187" s="26" t="n">
        <v>3</v>
      </c>
      <c r="T187" s="23" t="n">
        <v>1</v>
      </c>
      <c r="U187" s="23" t="n">
        <v>1</v>
      </c>
      <c r="V187" s="23" t="n">
        <v>1</v>
      </c>
      <c r="W187" s="23" t="n">
        <v>0</v>
      </c>
      <c r="X187" s="23" t="n">
        <v>1</v>
      </c>
      <c r="Y187" s="23" t="n">
        <v>1</v>
      </c>
      <c r="Z187" s="23" t="n">
        <v>1</v>
      </c>
      <c r="AA187" s="23" t="n">
        <v>0</v>
      </c>
      <c r="AB187" s="23" t="n">
        <v>0</v>
      </c>
    </row>
    <row r="188" ht="22.5" customFormat="1" customHeight="1" s="25">
      <c r="A188" s="22" t="inlineStr">
        <is>
          <t>Kovelsky</t>
        </is>
      </c>
      <c r="B188" s="23" t="n">
        <v>9</v>
      </c>
      <c r="C188" s="23" t="n">
        <v>8</v>
      </c>
      <c r="D188" s="22" t="n">
        <v>185</v>
      </c>
      <c r="E188" s="23" t="n"/>
      <c r="F188" s="23" t="n"/>
      <c r="G188" s="23">
        <f>SUM(T188:AB188)</f>
        <v/>
      </c>
      <c r="H188" s="24">
        <f>G188/9</f>
        <v/>
      </c>
      <c r="I188" s="24">
        <f>0.5+(SUM(T188:AB188)/18)</f>
        <v/>
      </c>
      <c r="J188" s="23">
        <f>COUNTIF(K188:S188,"")</f>
        <v/>
      </c>
      <c r="K188" s="26" t="n">
        <v>3</v>
      </c>
      <c r="L188" s="26" t="n">
        <v>1</v>
      </c>
      <c r="M188" s="26" t="n">
        <v>3</v>
      </c>
      <c r="N188" s="26" t="n">
        <v>4</v>
      </c>
      <c r="O188" s="26" t="n">
        <v>3</v>
      </c>
      <c r="P188" s="26" t="n">
        <v>1</v>
      </c>
      <c r="Q188" s="26" t="n">
        <v>1</v>
      </c>
      <c r="R188" s="26" t="n">
        <v>2</v>
      </c>
      <c r="S188" s="26" t="n">
        <v>2</v>
      </c>
      <c r="T188" s="23" t="n">
        <v>1</v>
      </c>
      <c r="U188" s="23" t="n">
        <v>1</v>
      </c>
      <c r="V188" s="23" t="n">
        <v>0</v>
      </c>
      <c r="W188" s="23" t="n">
        <v>1</v>
      </c>
      <c r="X188" s="23" t="n">
        <v>1</v>
      </c>
      <c r="Y188" s="23" t="n">
        <v>0</v>
      </c>
      <c r="Z188" s="23" t="n">
        <v>1</v>
      </c>
      <c r="AA188" s="23" t="n">
        <v>1</v>
      </c>
      <c r="AB188" s="23" t="n">
        <v>1</v>
      </c>
    </row>
    <row r="189" ht="22.5" customFormat="1" customHeight="1" s="25">
      <c r="A189" s="22" t="inlineStr">
        <is>
          <t>Kovelsky</t>
        </is>
      </c>
      <c r="B189" s="23" t="n">
        <v>9</v>
      </c>
      <c r="C189" s="23" t="n">
        <v>8</v>
      </c>
      <c r="D189" s="22" t="n">
        <v>186</v>
      </c>
      <c r="E189" s="23" t="n"/>
      <c r="F189" s="23" t="n"/>
      <c r="G189" s="23">
        <f>SUM(T189:AB189)</f>
        <v/>
      </c>
      <c r="H189" s="24">
        <f>G189/9</f>
        <v/>
      </c>
      <c r="I189" s="24">
        <f>0.5+(SUM(T189:AB189)/18)</f>
        <v/>
      </c>
      <c r="J189" s="23">
        <f>COUNTIF(K189:S189,"")</f>
        <v/>
      </c>
      <c r="K189" s="26" t="n">
        <v>3</v>
      </c>
      <c r="L189" s="26" t="n">
        <v>1</v>
      </c>
      <c r="M189" s="26" t="n">
        <v>3</v>
      </c>
      <c r="N189" s="26" t="n">
        <v>4</v>
      </c>
      <c r="O189" s="26" t="n">
        <v>4</v>
      </c>
      <c r="P189" s="26" t="n">
        <v>3</v>
      </c>
      <c r="Q189" s="26" t="n">
        <v>1</v>
      </c>
      <c r="R189" s="26" t="n">
        <v>2</v>
      </c>
      <c r="S189" s="26" t="n">
        <v>2</v>
      </c>
      <c r="T189" s="23" t="n">
        <v>1</v>
      </c>
      <c r="U189" s="23" t="n">
        <v>1</v>
      </c>
      <c r="V189" s="23" t="n">
        <v>0</v>
      </c>
      <c r="W189" s="23" t="n">
        <v>1</v>
      </c>
      <c r="X189" s="23" t="n">
        <v>0</v>
      </c>
      <c r="Y189" s="23" t="n">
        <v>1</v>
      </c>
      <c r="Z189" s="23" t="n">
        <v>1</v>
      </c>
      <c r="AA189" s="23" t="n">
        <v>1</v>
      </c>
      <c r="AB189" s="23" t="n">
        <v>1</v>
      </c>
    </row>
    <row r="190" ht="22.5" customFormat="1" customHeight="1" s="25">
      <c r="A190" s="22" t="inlineStr">
        <is>
          <t>Kovelsky</t>
        </is>
      </c>
      <c r="B190" s="23" t="n">
        <v>9</v>
      </c>
      <c r="C190" s="23" t="n">
        <v>8</v>
      </c>
      <c r="D190" s="22" t="n">
        <v>187</v>
      </c>
      <c r="E190" s="23" t="n"/>
      <c r="F190" s="23" t="n"/>
      <c r="G190" s="23">
        <f>SUM(T190:AB190)</f>
        <v/>
      </c>
      <c r="H190" s="24">
        <f>G190/9</f>
        <v/>
      </c>
      <c r="I190" s="24">
        <f>0.5+(SUM(T190:AB190)/18)</f>
        <v/>
      </c>
      <c r="J190" s="23">
        <f>COUNTIF(K190:S190,"")</f>
        <v/>
      </c>
      <c r="K190" s="26" t="n">
        <v>2</v>
      </c>
      <c r="L190" s="26" t="n">
        <v>1</v>
      </c>
      <c r="M190" s="26" t="n">
        <v>3</v>
      </c>
      <c r="N190" s="26" t="n">
        <v>4</v>
      </c>
      <c r="O190" s="26" t="n">
        <v>3</v>
      </c>
      <c r="P190" s="26" t="n">
        <v>1</v>
      </c>
      <c r="Q190" s="26" t="n">
        <v>1</v>
      </c>
      <c r="R190" s="26" t="n">
        <v>3</v>
      </c>
      <c r="S190" s="26" t="n">
        <v>2</v>
      </c>
      <c r="T190" s="23" t="n">
        <v>0</v>
      </c>
      <c r="U190" s="23" t="n">
        <v>1</v>
      </c>
      <c r="V190" s="23" t="n">
        <v>0</v>
      </c>
      <c r="W190" s="23" t="n">
        <v>1</v>
      </c>
      <c r="X190" s="23" t="n">
        <v>1</v>
      </c>
      <c r="Y190" s="23" t="n">
        <v>0</v>
      </c>
      <c r="Z190" s="23" t="n">
        <v>1</v>
      </c>
      <c r="AA190" s="23" t="n">
        <v>0</v>
      </c>
      <c r="AB190" s="23" t="n">
        <v>1</v>
      </c>
    </row>
    <row r="191" ht="22.5" customFormat="1" customHeight="1" s="25">
      <c r="A191" s="22" t="inlineStr">
        <is>
          <t>Kovelsky</t>
        </is>
      </c>
      <c r="B191" s="23" t="n">
        <v>9</v>
      </c>
      <c r="C191" s="23" t="n">
        <v>8</v>
      </c>
      <c r="D191" s="22" t="n">
        <v>188</v>
      </c>
      <c r="E191" s="23" t="n"/>
      <c r="F191" s="23" t="n"/>
      <c r="G191" s="23">
        <f>SUM(T191:AB191)</f>
        <v/>
      </c>
      <c r="H191" s="24">
        <f>G191/9</f>
        <v/>
      </c>
      <c r="I191" s="24">
        <f>0.5+(SUM(T191:AB191)/18)</f>
        <v/>
      </c>
      <c r="J191" s="23">
        <f>COUNTIF(K191:S191,"")</f>
        <v/>
      </c>
      <c r="K191" s="26" t="n">
        <v>1</v>
      </c>
      <c r="L191" s="26" t="n">
        <v>1</v>
      </c>
      <c r="M191" s="26" t="n">
        <v>3</v>
      </c>
      <c r="N191" s="26" t="n">
        <v>4</v>
      </c>
      <c r="O191" s="26" t="n">
        <v>3</v>
      </c>
      <c r="P191" s="26" t="n">
        <v>1</v>
      </c>
      <c r="Q191" s="26" t="n">
        <v>2</v>
      </c>
      <c r="R191" s="26" t="n">
        <v>2</v>
      </c>
      <c r="S191" s="26" t="n">
        <v>3</v>
      </c>
      <c r="T191" s="23" t="n">
        <v>0</v>
      </c>
      <c r="U191" s="23" t="n">
        <v>1</v>
      </c>
      <c r="V191" s="23" t="n">
        <v>0</v>
      </c>
      <c r="W191" s="23" t="n">
        <v>1</v>
      </c>
      <c r="X191" s="23" t="n">
        <v>1</v>
      </c>
      <c r="Y191" s="23" t="n">
        <v>0</v>
      </c>
      <c r="Z191" s="23" t="n">
        <v>0</v>
      </c>
      <c r="AA191" s="23" t="n">
        <v>1</v>
      </c>
      <c r="AB191" s="23" t="n">
        <v>0</v>
      </c>
    </row>
    <row r="192" ht="22.5" customFormat="1" customHeight="1" s="25">
      <c r="A192" s="22" t="inlineStr">
        <is>
          <t>Kovelsky</t>
        </is>
      </c>
      <c r="B192" s="23" t="n">
        <v>9</v>
      </c>
      <c r="C192" s="23" t="n">
        <v>8</v>
      </c>
      <c r="D192" s="22" t="n">
        <v>189</v>
      </c>
      <c r="E192" s="23" t="n"/>
      <c r="F192" s="23" t="n"/>
      <c r="G192" s="23">
        <f>SUM(T192:AB192)</f>
        <v/>
      </c>
      <c r="H192" s="24">
        <f>G192/9</f>
        <v/>
      </c>
      <c r="I192" s="24">
        <f>0.5+(SUM(T192:AB192)/18)</f>
        <v/>
      </c>
      <c r="J192" s="23">
        <f>COUNTIF(K192:S192,"")</f>
        <v/>
      </c>
      <c r="K192" s="26" t="n">
        <v>3</v>
      </c>
      <c r="L192" s="26" t="n">
        <v>1</v>
      </c>
      <c r="M192" s="26" t="n">
        <v>3</v>
      </c>
      <c r="N192" s="26" t="n">
        <v>4</v>
      </c>
      <c r="O192" s="26" t="n">
        <v>3</v>
      </c>
      <c r="P192" s="26" t="n">
        <v>3</v>
      </c>
      <c r="Q192" s="26" t="n">
        <v>1</v>
      </c>
      <c r="R192" s="26" t="n">
        <v>2</v>
      </c>
      <c r="S192" s="26" t="n">
        <v>2</v>
      </c>
      <c r="T192" s="23" t="n">
        <v>1</v>
      </c>
      <c r="U192" s="23" t="n">
        <v>1</v>
      </c>
      <c r="V192" s="23" t="n">
        <v>0</v>
      </c>
      <c r="W192" s="23" t="n">
        <v>1</v>
      </c>
      <c r="X192" s="23" t="n">
        <v>1</v>
      </c>
      <c r="Y192" s="23" t="n">
        <v>1</v>
      </c>
      <c r="Z192" s="23" t="n">
        <v>1</v>
      </c>
      <c r="AA192" s="23" t="n">
        <v>1</v>
      </c>
      <c r="AB192" s="23" t="n">
        <v>1</v>
      </c>
    </row>
  </sheetData>
  <conditionalFormatting sqref="K2:S192">
    <cfRule type="expression" priority="1" dxfId="0">
      <formula>T2=0</formula>
    </cfRule>
  </conditionalFormatting>
  <dataValidations count="2">
    <dataValidation sqref="E2:F192" showDropDown="0" showInputMessage="0" showErrorMessage="0" allowBlank="1" type="list">
      <formula1>"YES"</formula1>
    </dataValidation>
    <dataValidation sqref="I2:I192 K2:Q192 S2:S192" showDropDown="1" showInputMessage="0" showErrorMessage="0" allowBlank="1" type="custom">
      <formula1>AND(ISNUMBER(I2),(NOT(OR(NOT(ISERROR(DATEVALUE(I2))), AND(ISNUMBER(I2), LEFT(CELL("format", I2))="D")))))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S10"/>
  <sheetViews>
    <sheetView tabSelected="1" topLeftCell="F1" workbookViewId="0">
      <pane ySplit="1" topLeftCell="A2" activePane="bottomLeft" state="frozen"/>
      <selection pane="bottomLeft" activeCell="N10" sqref="N10"/>
    </sheetView>
  </sheetViews>
  <sheetFormatPr baseColWidth="10" defaultColWidth="12.6640625" defaultRowHeight="15.75" customHeight="1"/>
  <cols>
    <col width="12.6640625" customWidth="1" min="1" max="2"/>
    <col width="14.6640625" customWidth="1" min="3" max="3"/>
    <col width="12.6640625" customWidth="1" min="4" max="4"/>
    <col width="37.6640625" customWidth="1" min="5" max="6"/>
    <col width="11.33203125" customWidth="1" min="7" max="7"/>
    <col width="37.6640625" customWidth="1" min="8" max="8"/>
    <col width="20.1640625" customWidth="1" min="9" max="9"/>
    <col width="17.83203125" customWidth="1" min="10" max="10"/>
    <col width="25.1640625" customWidth="1" min="11" max="11"/>
    <col width="14.6640625" customWidth="1" min="12" max="12"/>
    <col width="15.5" customWidth="1" min="13" max="14"/>
  </cols>
  <sheetData>
    <row r="1" ht="22.5" customFormat="1" customHeight="1" s="33">
      <c r="A1" s="27" t="inlineStr">
        <is>
          <t>Source</t>
        </is>
      </c>
      <c r="B1" s="28" t="inlineStr">
        <is>
          <t>Source #</t>
        </is>
      </c>
      <c r="C1" s="29" t="inlineStr">
        <is>
          <t>CMA #</t>
        </is>
      </c>
      <c r="D1" s="30" t="inlineStr">
        <is>
          <t>Part</t>
        </is>
      </c>
      <c r="E1" s="31" t="inlineStr">
        <is>
          <t>Stimulus</t>
        </is>
      </c>
      <c r="F1" s="31" t="inlineStr">
        <is>
          <t>Question</t>
        </is>
      </c>
      <c r="G1" s="28" t="inlineStr">
        <is>
          <t>Answer</t>
        </is>
      </c>
      <c r="H1" s="27" t="inlineStr">
        <is>
          <t>Full Answer</t>
        </is>
      </c>
      <c r="I1" s="28" t="inlineStr">
        <is>
          <t>Stimulus Type</t>
        </is>
      </c>
      <c r="J1" s="27" t="inlineStr">
        <is>
          <t>Source Type</t>
        </is>
      </c>
      <c r="K1" s="31" t="inlineStr">
        <is>
          <t>Task Model</t>
        </is>
      </c>
      <c r="L1" t="inlineStr">
        <is>
          <t>Skill</t>
        </is>
      </c>
      <c r="M1" s="32" t="inlineStr">
        <is>
          <t>Content</t>
        </is>
      </c>
      <c r="N1" s="30" t="inlineStr">
        <is>
          <t>Need OI?</t>
        </is>
      </c>
      <c r="O1" s="30" t="inlineStr">
        <is>
          <t>Point Biserial</t>
        </is>
      </c>
      <c r="P1" t="inlineStr">
        <is>
          <t>Option 1</t>
        </is>
      </c>
      <c r="Q1" t="inlineStr">
        <is>
          <t>Option 2</t>
        </is>
      </c>
      <c r="R1" t="inlineStr">
        <is>
          <t>Option 3</t>
        </is>
      </c>
      <c r="S1" t="inlineStr">
        <is>
          <t>Option 4</t>
        </is>
      </c>
    </row>
    <row r="2" ht="22.5" customHeight="1">
      <c r="A2" s="7" t="n">
        <v>45139</v>
      </c>
      <c r="B2" s="8" t="n">
        <v>16</v>
      </c>
      <c r="C2" s="9" t="n">
        <v>1</v>
      </c>
      <c r="D2" s="10" t="inlineStr">
        <is>
          <t>Part I</t>
        </is>
      </c>
      <c r="E2" s="5" t="inlineStr">
        <is>
          <t>"The Big Stick in the Caribbean Sea" Cartoon</t>
        </is>
      </c>
      <c r="F2" s="5" t="inlineStr">
        <is>
          <t>This cartoon reflects the foreign policy belief that the United States should</t>
        </is>
      </c>
      <c r="G2" s="1" t="n">
        <v>3</v>
      </c>
      <c r="H2" s="11" t="inlineStr">
        <is>
          <t>become the protector of the Western Hemisphere</t>
        </is>
      </c>
      <c r="I2" s="11" t="inlineStr">
        <is>
          <t>Visual-based</t>
        </is>
      </c>
      <c r="J2" s="11" t="inlineStr">
        <is>
          <t>Primary</t>
        </is>
      </c>
      <c r="K2" s="11" t="inlineStr">
        <is>
          <t>1. Best Use</t>
        </is>
      </c>
      <c r="L2" t="inlineStr">
        <is>
          <t>A. Gathering, Interpreting, and Using Evidence</t>
        </is>
      </c>
      <c r="M2" s="10" t="inlineStr">
        <is>
          <t>11.06a.4</t>
        </is>
      </c>
      <c r="N2" s="6" t="inlineStr">
        <is>
          <t>Yes</t>
        </is>
      </c>
      <c r="O2" s="12">
        <f>IFERROR(PEARSON(Scores[MC Score],Scores[Question 1]),"")</f>
        <v/>
      </c>
      <c r="P2" t="inlineStr">
        <is>
          <t>oppose independence movements in Latin America</t>
        </is>
      </c>
      <c r="Q2" t="inlineStr">
        <is>
          <t>remain neutral in the affairs of Latin America</t>
        </is>
      </c>
      <c r="R2" t="inlineStr">
        <is>
          <t>become the protector of the Western Hemisphere</t>
        </is>
      </c>
      <c r="S2" t="inlineStr">
        <is>
          <t>annex the countries of the Western Hemisphere</t>
        </is>
      </c>
    </row>
    <row r="3" ht="22.5" customHeight="1">
      <c r="A3" s="7" t="n">
        <v>45292</v>
      </c>
      <c r="B3" s="8" t="n">
        <v>11</v>
      </c>
      <c r="C3" s="9" t="n">
        <v>2</v>
      </c>
      <c r="D3" s="10" t="inlineStr">
        <is>
          <t>Part I</t>
        </is>
      </c>
      <c r="E3" s="11" t="inlineStr">
        <is>
          <t>Image of Suffragette Picketers</t>
        </is>
      </c>
      <c r="F3" s="11" t="inlineStr">
        <is>
          <t>The main goal of the women’s rights movement in the early 20th century was to achieve</t>
        </is>
      </c>
      <c r="G3" s="8" t="n">
        <v>1</v>
      </c>
      <c r="H3" s="11" t="inlineStr">
        <is>
          <t>political equality</t>
        </is>
      </c>
      <c r="I3" s="11" t="inlineStr">
        <is>
          <t>Visual-based</t>
        </is>
      </c>
      <c r="J3" s="11" t="inlineStr">
        <is>
          <t>Primary</t>
        </is>
      </c>
      <c r="K3" s="11" t="inlineStr">
        <is>
          <t>14. Stakeholder Issue</t>
        </is>
      </c>
      <c r="L3" t="inlineStr">
        <is>
          <t>C. Comparison and Contextualization</t>
        </is>
      </c>
      <c r="M3" s="10" t="inlineStr">
        <is>
          <t>11.05b.5</t>
        </is>
      </c>
      <c r="N3" s="6" t="inlineStr">
        <is>
          <t>Yes</t>
        </is>
      </c>
      <c r="O3" s="12">
        <f>IFERROR(PEARSON(Scores[MC Score],Scores[Question 2]),"")</f>
        <v/>
      </c>
      <c r="P3" t="inlineStr">
        <is>
          <t>political equality</t>
        </is>
      </c>
      <c r="Q3" t="inlineStr">
        <is>
          <t>equal pay for equal work</t>
        </is>
      </c>
      <c r="R3" t="inlineStr">
        <is>
          <t>improvements in living conditions</t>
        </is>
      </c>
      <c r="S3" t="inlineStr">
        <is>
          <t>better job opportunities</t>
        </is>
      </c>
    </row>
    <row r="4" ht="22.5" customHeight="1">
      <c r="A4" s="7" t="n">
        <v>45292</v>
      </c>
      <c r="B4" s="8" t="n">
        <v>12</v>
      </c>
      <c r="C4" s="9" t="n">
        <v>3</v>
      </c>
      <c r="D4" s="10" t="inlineStr">
        <is>
          <t>Part I</t>
        </is>
      </c>
      <c r="E4" s="11" t="inlineStr">
        <is>
          <t>Image of Suffragette Picketers</t>
        </is>
      </c>
      <c r="F4" s="11" t="inlineStr">
        <is>
          <t>Which statement best represents a reason why this protest was considered controversial?</t>
        </is>
      </c>
      <c r="G4" s="8" t="n">
        <v>4</v>
      </c>
      <c r="H4" s="11" t="inlineStr">
        <is>
          <t>Suffragists were picketing while German submarines were attacking American ships.</t>
        </is>
      </c>
      <c r="I4" s="11" t="inlineStr">
        <is>
          <t>Visual-based</t>
        </is>
      </c>
      <c r="J4" s="11" t="inlineStr">
        <is>
          <t>Primary</t>
        </is>
      </c>
      <c r="K4" s="11" t="inlineStr">
        <is>
          <t>9. Impact of Setting</t>
        </is>
      </c>
      <c r="L4" t="inlineStr">
        <is>
          <t>C. Comparison and Contextualization</t>
        </is>
      </c>
      <c r="M4" s="10" t="inlineStr">
        <is>
          <t>11.06b.1</t>
        </is>
      </c>
      <c r="N4" s="6" t="inlineStr">
        <is>
          <t>Yes</t>
        </is>
      </c>
      <c r="O4" s="12">
        <f>IFERROR(PEARSON(Scores[MC Score],Scores[Question 3]),"")</f>
        <v/>
      </c>
      <c r="P4" t="inlineStr">
        <is>
          <t>The Senate had already repealed the Prohibition amendment.</t>
        </is>
      </c>
      <c r="Q4" t="inlineStr">
        <is>
          <t>The country was dealing with public outrage over government corruption.</t>
        </is>
      </c>
      <c r="R4" t="inlineStr">
        <is>
          <t>President Wilson did not include women's demands in his Fourteen Points.</t>
        </is>
      </c>
      <c r="S4" t="inlineStr">
        <is>
          <t>Suffragists were picketing while German submarines were attacking American ships.</t>
        </is>
      </c>
    </row>
    <row r="5" ht="22.5" customHeight="1">
      <c r="A5" s="7" t="n">
        <v>45078</v>
      </c>
      <c r="B5" s="8" t="n">
        <v>15</v>
      </c>
      <c r="C5" s="9" t="n">
        <v>4</v>
      </c>
      <c r="D5" s="10" t="inlineStr">
        <is>
          <t>Part I</t>
        </is>
      </c>
      <c r="E5" s="11" t="inlineStr">
        <is>
          <t>Patterns of African American Migration from the South Map</t>
        </is>
      </c>
      <c r="F5" s="11" t="inlineStr">
        <is>
          <t>What was a main reason for the movement of people as shown on this map?</t>
        </is>
      </c>
      <c r="G5" s="8" t="n">
        <v>4</v>
      </c>
      <c r="H5" s="11" t="inlineStr">
        <is>
          <t>Industrialization provided more employment opportunities</t>
        </is>
      </c>
      <c r="I5" s="11" t="inlineStr">
        <is>
          <t>Map-based</t>
        </is>
      </c>
      <c r="J5" s="11" t="inlineStr">
        <is>
          <t>Secondary</t>
        </is>
      </c>
      <c r="K5" s="11" t="inlineStr">
        <is>
          <t>9. Impact of Setting</t>
        </is>
      </c>
      <c r="L5" t="inlineStr">
        <is>
          <t>B. Chronological Reasoning and Causation</t>
        </is>
      </c>
      <c r="M5" s="10" t="inlineStr">
        <is>
          <t>11.06c.2</t>
        </is>
      </c>
      <c r="N5" s="6" t="inlineStr">
        <is>
          <t>Yes</t>
        </is>
      </c>
      <c r="O5" s="12">
        <f>IFERROR(PEARSON(Scores[MC Score],Scores[Question 6]),"")</f>
        <v/>
      </c>
      <c r="P5" t="inlineStr">
        <is>
          <t>Foreign food imports replaced domestic production of crops.</t>
        </is>
      </c>
      <c r="Q5" t="inlineStr">
        <is>
          <t>Northern states banned all forms of racial discrimination.</t>
        </is>
      </c>
      <c r="R5" t="inlineStr">
        <is>
          <t>Abolitionists promised a means of escape from slavery.</t>
        </is>
      </c>
      <c r="S5" t="inlineStr">
        <is>
          <t>Industrialization provided more employment opportunities.</t>
        </is>
      </c>
    </row>
    <row r="6" ht="22.5" customHeight="1">
      <c r="A6" s="7" t="n">
        <v>45078</v>
      </c>
      <c r="B6" s="8" t="n">
        <v>16</v>
      </c>
      <c r="C6" s="9" t="n">
        <v>5</v>
      </c>
      <c r="D6" s="10" t="inlineStr">
        <is>
          <t>Part I</t>
        </is>
      </c>
      <c r="E6" s="11" t="inlineStr">
        <is>
          <t>Patterns of African American Migration from the South Map</t>
        </is>
      </c>
      <c r="F6" s="11" t="inlineStr">
        <is>
          <t>What was one result of the migration shown on the map?</t>
        </is>
      </c>
      <c r="G6" s="8" t="n">
        <v>3</v>
      </c>
      <c r="H6" s="11" t="inlineStr">
        <is>
          <t>American culture was enriched by new forms of music and literature.</t>
        </is>
      </c>
      <c r="I6" s="11" t="inlineStr">
        <is>
          <t>Map-based</t>
        </is>
      </c>
      <c r="J6" s="11" t="inlineStr">
        <is>
          <t>Secondary</t>
        </is>
      </c>
      <c r="K6" s="11" t="inlineStr">
        <is>
          <t>8. Effect</t>
        </is>
      </c>
      <c r="L6" t="inlineStr">
        <is>
          <t>B. Chronological Reasoning and Causation</t>
        </is>
      </c>
      <c r="M6" s="10" t="inlineStr">
        <is>
          <t>11.07b.1</t>
        </is>
      </c>
      <c r="N6" s="6" t="inlineStr">
        <is>
          <t>Yes</t>
        </is>
      </c>
      <c r="O6" s="12">
        <f>IFERROR(PEARSON(Scores[MC Score],Scores[Question 8]),"")</f>
        <v/>
      </c>
      <c r="P6" t="inlineStr">
        <is>
          <t>The South became the new destination for most European immigrants.</t>
        </is>
      </c>
      <c r="Q6" t="inlineStr">
        <is>
          <t>The Democratic Party declined in the northern half of the country.</t>
        </is>
      </c>
      <c r="R6" t="inlineStr">
        <is>
          <t>American culture was enriched by new forms of music and literature.</t>
        </is>
      </c>
      <c r="S6" t="inlineStr">
        <is>
          <t>Segregated communities throughout the nation came to an end.</t>
        </is>
      </c>
    </row>
    <row r="7" ht="22.5" customHeight="1">
      <c r="A7" s="7" t="n">
        <v>45809</v>
      </c>
      <c r="B7" s="8" t="n">
        <v>19</v>
      </c>
      <c r="C7" s="9" t="n">
        <v>6</v>
      </c>
      <c r="D7" s="10" t="inlineStr">
        <is>
          <t>Part I</t>
        </is>
      </c>
      <c r="E7" s="13" t="inlineStr">
        <is>
          <t>Schenck v. United States Majority Opinion</t>
        </is>
      </c>
      <c r="F7" s="11" t="inlineStr">
        <is>
          <t>In this decision, the actions of Charles Schenck were labeled as a “clear and present danger” because the United States was</t>
        </is>
      </c>
      <c r="G7" s="8" t="n">
        <v>3</v>
      </c>
      <c r="H7" s="11" t="inlineStr">
        <is>
          <t>involved in fighting a world war</t>
        </is>
      </c>
      <c r="I7" s="11" t="inlineStr">
        <is>
          <t>Text-based</t>
        </is>
      </c>
      <c r="J7" s="11" t="inlineStr">
        <is>
          <t>Primary</t>
        </is>
      </c>
      <c r="K7" s="11" t="inlineStr">
        <is>
          <t>9. Impact of Setting</t>
        </is>
      </c>
      <c r="L7" t="inlineStr">
        <is>
          <t>C. Comparison and Contextualization</t>
        </is>
      </c>
      <c r="M7" s="10" t="inlineStr">
        <is>
          <t>11.06c.3</t>
        </is>
      </c>
      <c r="N7" s="6" t="inlineStr">
        <is>
          <t>Yes</t>
        </is>
      </c>
      <c r="O7" s="12">
        <f>IFERROR(PEARSON(Scores[MC Score],Scores[Question 4]),"")</f>
        <v/>
      </c>
      <c r="P7" t="inlineStr">
        <is>
          <t>responding to strikes by organized labor</t>
        </is>
      </c>
      <c r="Q7" t="inlineStr">
        <is>
          <t>implementing a new immigration system</t>
        </is>
      </c>
      <c r="R7" t="inlineStr">
        <is>
          <t>involved in fighting a world war</t>
        </is>
      </c>
      <c r="S7" t="inlineStr">
        <is>
          <t>concerned about a revolution in Russia</t>
        </is>
      </c>
    </row>
    <row r="8" ht="22.5" customHeight="1">
      <c r="A8" s="7" t="n">
        <v>45809</v>
      </c>
      <c r="B8" s="8" t="n">
        <v>20</v>
      </c>
      <c r="C8" s="9" t="n">
        <v>7</v>
      </c>
      <c r="D8" s="10" t="inlineStr">
        <is>
          <t>Part I</t>
        </is>
      </c>
      <c r="E8" s="13" t="inlineStr">
        <is>
          <t>Schenck v. United States Majority Opinion</t>
        </is>
      </c>
      <c r="F8" s="11" t="inlineStr">
        <is>
          <t>Which constitutional right was limited by this Supreme Court decision?</t>
        </is>
      </c>
      <c r="G8" s="8" t="n">
        <v>1</v>
      </c>
      <c r="H8" s="11" t="inlineStr">
        <is>
          <t>freedom of expression</t>
        </is>
      </c>
      <c r="I8" s="11" t="inlineStr">
        <is>
          <t>Text-based</t>
        </is>
      </c>
      <c r="J8" s="11" t="inlineStr">
        <is>
          <t>Primary</t>
        </is>
      </c>
      <c r="K8" s="11" t="inlineStr">
        <is>
          <t>8. Effect</t>
        </is>
      </c>
      <c r="L8" t="inlineStr">
        <is>
          <t>B. Chronological Reasoning and Causation</t>
        </is>
      </c>
      <c r="M8" s="10" t="inlineStr">
        <is>
          <t>11.06c.3</t>
        </is>
      </c>
      <c r="N8" s="6" t="inlineStr">
        <is>
          <t>Yes</t>
        </is>
      </c>
      <c r="O8" s="12">
        <f>IFERROR(PEARSON(Scores[MC Score],Scores[Question 5]),"")</f>
        <v/>
      </c>
      <c r="P8" t="inlineStr">
        <is>
          <t>freedom of expression</t>
        </is>
      </c>
      <c r="Q8" t="inlineStr">
        <is>
          <t>right to bear arms</t>
        </is>
      </c>
      <c r="R8" t="inlineStr">
        <is>
          <t>right to counsel</t>
        </is>
      </c>
      <c r="S8" t="inlineStr">
        <is>
          <t>trial by jury</t>
        </is>
      </c>
    </row>
    <row r="9" ht="22.5" customHeight="1">
      <c r="A9" s="7" t="n">
        <v>45809</v>
      </c>
      <c r="B9" s="8" t="n">
        <v>22</v>
      </c>
      <c r="C9" s="9" t="n">
        <v>8</v>
      </c>
      <c r="D9" s="10" t="inlineStr">
        <is>
          <t>Part I</t>
        </is>
      </c>
      <c r="E9" s="11" t="inlineStr">
        <is>
          <t>Franklin D. Roosevelt First Inaugural Address</t>
        </is>
      </c>
      <c r="F9" s="11" t="inlineStr">
        <is>
          <t>Which program was created in response to the situation described in this speech?</t>
        </is>
      </c>
      <c r="G9" s="14" t="n">
        <v>2</v>
      </c>
      <c r="H9" s="15" t="inlineStr">
        <is>
          <t>New Deal</t>
        </is>
      </c>
      <c r="I9" s="10" t="inlineStr">
        <is>
          <t>Text-based</t>
        </is>
      </c>
      <c r="J9" s="11" t="inlineStr">
        <is>
          <t>Primary</t>
        </is>
      </c>
      <c r="K9" s="11" t="inlineStr">
        <is>
          <t>18. Response to Problem</t>
        </is>
      </c>
      <c r="L9" t="inlineStr">
        <is>
          <t>B. Chronological Reasoning and Causation</t>
        </is>
      </c>
      <c r="M9" s="10" t="inlineStr">
        <is>
          <t>11.07c.5</t>
        </is>
      </c>
      <c r="N9" s="6" t="inlineStr">
        <is>
          <t>Yes</t>
        </is>
      </c>
      <c r="O9" s="12">
        <f>IFERROR(PEARSON(Scores[MC Score],Scores[Question 8]),"")</f>
        <v/>
      </c>
      <c r="P9" t="inlineStr">
        <is>
          <t>Fourteen Points</t>
        </is>
      </c>
      <c r="Q9" t="inlineStr">
        <is>
          <t>New Deal</t>
        </is>
      </c>
      <c r="R9" t="inlineStr">
        <is>
          <t>Manifest Destiny</t>
        </is>
      </c>
      <c r="S9" t="inlineStr">
        <is>
          <t>Great Society</t>
        </is>
      </c>
    </row>
    <row r="10" ht="22.5" customHeight="1">
      <c r="A10" s="7" t="n">
        <v>45809</v>
      </c>
      <c r="B10" s="8" t="n">
        <v>21</v>
      </c>
      <c r="C10" s="9" t="n">
        <v>9</v>
      </c>
      <c r="D10" s="10" t="inlineStr">
        <is>
          <t>Part I</t>
        </is>
      </c>
      <c r="E10" s="11" t="inlineStr">
        <is>
          <t>Franklin D. Roosevelt First Inaugural Address</t>
        </is>
      </c>
      <c r="F10" s="11" t="inlineStr">
        <is>
          <t xml:space="preserve">What issue is being addressed by President Franklin D. Roosevelt in this speech? 
</t>
        </is>
      </c>
      <c r="G10" s="14" t="n">
        <v>2</v>
      </c>
      <c r="H10" s="15" t="inlineStr">
        <is>
          <t>the economic problems caused by the Great Depression</t>
        </is>
      </c>
      <c r="I10" s="10" t="inlineStr">
        <is>
          <t>Text-based</t>
        </is>
      </c>
      <c r="J10" s="11" t="inlineStr">
        <is>
          <t>Primary</t>
        </is>
      </c>
      <c r="K10" s="11" t="inlineStr">
        <is>
          <t>17. Problem</t>
        </is>
      </c>
      <c r="L10" t="inlineStr">
        <is>
          <t>A. Gathering, Interpreting, and Using Evidence</t>
        </is>
      </c>
      <c r="M10" s="10" t="inlineStr">
        <is>
          <t>11.07c.2</t>
        </is>
      </c>
      <c r="N10" s="6" t="inlineStr">
        <is>
          <t>Yes</t>
        </is>
      </c>
      <c r="O10" s="12">
        <f>IFERROR(PEARSON(Scores[MC Score],Scores[Question 9]),"")</f>
        <v/>
      </c>
      <c r="P10" t="inlineStr">
        <is>
          <t>the failure of Prohibition</t>
        </is>
      </c>
      <c r="Q10" t="inlineStr">
        <is>
          <t>the economic problems caused by the Great Depression</t>
        </is>
      </c>
      <c r="R10" t="inlineStr">
        <is>
          <t>the destruction caused by the attack on Pearl Harbor</t>
        </is>
      </c>
      <c r="S10" t="inlineStr">
        <is>
          <t>the possibility of a military alliance with Great Britain</t>
        </is>
      </c>
    </row>
  </sheetData>
  <dataValidations count="7">
    <dataValidation sqref="D2:D10" showDropDown="0" showInputMessage="0" showErrorMessage="0" allowBlank="1" type="list">
      <formula1>"Part I,Part II,Part IIIA,Part IIIB"</formula1>
    </dataValidation>
    <dataValidation sqref="C2:C10 N2:N10" showDropDown="1" showInputMessage="0" showErrorMessage="0" allowBlank="1" type="custom">
      <formula1>AND(ISNUMBER(C2),(NOT(OR(NOT(ISERROR(DATEVALUE(C2))), AND(ISNUMBER(C2), LEFT(CELL("format", C2))="D")))))</formula1>
    </dataValidation>
    <dataValidation sqref="M2:M10" showDropDown="0" showInputMessage="0" showErrorMessage="0" allowBlank="1" type="list">
      <formula1>"Yes,No"</formula1>
    </dataValidation>
    <dataValidation sqref="K2:K10" showDropDown="0" showInputMessage="0" showErrorMessage="0" allowBlank="1" type="list">
      <formula1>"1. Best Use,2. POV,3. Claim Validity (With Outside Information),4. Claim Validity (Without Outside Information),5. Turning Point,6. Change Over Time,7. Cause,8. Effect,9. Impact of Setting,10. Compare,11. Contrast,12. Informed Civic Action,13. Interpret V"&amp;"isual Data,14. Stakeholder Issue,15. Recommended Action,16. Sequence of Events,17. Problem,18. Response to Problem"</formula1>
    </dataValidation>
    <dataValidation sqref="I2:I10" showDropDown="0" showInputMessage="0" showErrorMessage="0" allowBlank="1" type="list">
      <formula1>"Text-based,Map-based,Data-based,Visual-based"</formula1>
    </dataValidation>
    <dataValidation sqref="J2:J10" showDropDown="0" showInputMessage="0" showErrorMessage="0" allowBlank="1" type="list">
      <formula1>"Primary,Secondary,Both"</formula1>
    </dataValidation>
    <dataValidation sqref="L2:L10" showDropDown="0" showInputMessage="0" showErrorMessage="0" allowBlank="1" type="list">
      <formula1>#REF!</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D158"/>
  <sheetViews>
    <sheetView workbookViewId="0">
      <pane ySplit="1" topLeftCell="A2" activePane="bottomLeft" state="frozen"/>
      <selection pane="bottomLeft" activeCell="D25" sqref="D25"/>
    </sheetView>
  </sheetViews>
  <sheetFormatPr baseColWidth="10" defaultColWidth="12.6640625" defaultRowHeight="15.75" customHeight="1"/>
  <cols>
    <col width="8.6640625" customWidth="1" min="1" max="1"/>
    <col width="25.1640625" customWidth="1" min="2" max="2"/>
    <col hidden="1" width="50.1640625" customWidth="1" min="3" max="3"/>
    <col width="50.1640625" customWidth="1" min="4" max="4"/>
  </cols>
  <sheetData>
    <row r="1" ht="22.5" customHeight="1">
      <c r="A1" s="1" t="inlineStr">
        <is>
          <t>#</t>
        </is>
      </c>
      <c r="B1" s="3" t="inlineStr">
        <is>
          <t>Framework</t>
        </is>
      </c>
      <c r="C1" s="3" t="inlineStr">
        <is>
          <t>Conceptual Understanding</t>
        </is>
      </c>
      <c r="D1" s="3" t="inlineStr">
        <is>
          <t>Specifications</t>
        </is>
      </c>
    </row>
    <row r="2" hidden="1" ht="22.5" customHeight="1">
      <c r="A2" s="1" t="n">
        <v>11.01</v>
      </c>
      <c r="B2" s="16" t="inlineStr">
        <is>
          <t>Colonial Foundations (1607-1763)</t>
        </is>
      </c>
      <c r="C2" s="4" t="inlineStr">
        <is>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is>
      </c>
      <c r="D2" s="4" t="inlineStr">
        <is>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is>
      </c>
    </row>
    <row r="3" ht="22.5" customHeight="1">
      <c r="A3" s="1" t="inlineStr">
        <is>
          <t>11.01a</t>
        </is>
      </c>
      <c r="B3" s="3" t="inlineStr">
        <is>
          <t>Native American Groups and European Arrival</t>
        </is>
      </c>
      <c r="C3" s="4" t="inlineStr">
        <is>
          <t>Contact between Native American∗ groups and Europeans occurred through cultural exchanges, resistance efforts, and conflict</t>
        </is>
      </c>
      <c r="D3" s="4" t="inlineStr">
        <is>
          <t>Contact between Native American groups and Europeans occurred through cultural exchanges, resistance efforts, and conflict</t>
        </is>
      </c>
    </row>
    <row r="4" ht="22.5" customHeight="1">
      <c r="A4" s="1" t="inlineStr">
        <is>
          <t>11.01a.1</t>
        </is>
      </c>
      <c r="B4" s="3" t="inlineStr">
        <is>
          <t>European Colonizing Nations</t>
        </is>
      </c>
      <c r="C4" s="4" t="inlineStr">
        <is>
          <t>Contact between Native American∗ groups and Europeans occurred through cultural exchanges, resistance efforts, and conflict</t>
        </is>
      </c>
      <c r="D4" s="4" t="inlineStr">
        <is>
          <t>Students will trace European contact with Native Americans, including the Dutch, the English, the French and the Spanish.</t>
        </is>
      </c>
    </row>
    <row r="5" ht="22.5" customHeight="1">
      <c r="A5" s="1" t="inlineStr">
        <is>
          <t>11.01a.2</t>
        </is>
      </c>
      <c r="B5" s="3" t="inlineStr">
        <is>
          <t>Colonization Impact on Native Americans</t>
        </is>
      </c>
      <c r="C5" s="4" t="inlineStr">
        <is>
          <t>Contact between Native American∗ groups and Europeans occurred through cultural exchanges, resistance efforts, and conflict</t>
        </is>
      </c>
      <c r="D5" s="4" t="inlineStr">
        <is>
          <t>Students will examine the impacts of European colonization on Native Americans, who eventually lost much of their land and experienced a drastic decline in population through diseases and armed conflict.</t>
        </is>
      </c>
    </row>
    <row r="6" ht="22.5" customHeight="1">
      <c r="A6" s="1" t="inlineStr">
        <is>
          <t>11.01b</t>
        </is>
      </c>
      <c r="B6" s="3" t="inlineStr">
        <is>
          <t>Colonial Economic Development, Social Structures, and Labor Systems</t>
        </is>
      </c>
      <c r="C6" s="4" t="inlineStr">
        <is>
          <t>A number of factors influenced colonial economic development, social structures,and labor systems, causing variation by region.</t>
        </is>
      </c>
      <c r="D6" s="4" t="inlineStr">
        <is>
          <t>A number of factors influenced colonial economic development, social structures,and labor systems, causing variation by region.</t>
        </is>
      </c>
    </row>
    <row r="7" ht="22.5" customHeight="1">
      <c r="A7" s="1" t="inlineStr">
        <is>
          <t>11.01b.1</t>
        </is>
      </c>
      <c r="B7" s="3" t="inlineStr">
        <is>
          <t>Geography &amp; Economic Systems</t>
        </is>
      </c>
      <c r="C7" s="4" t="inlineStr">
        <is>
          <t>A number of factors influenced colonial economic development, social structures,and labor systems, causing variation by region.</t>
        </is>
      </c>
      <c r="D7" s="4" t="inlineStr">
        <is>
          <t>Students will examine the impacts of geographic factors on patterns of settlement and the development of colonial economic systems.</t>
        </is>
      </c>
    </row>
    <row r="8" ht="22.5" customHeight="1">
      <c r="A8" s="1" t="inlineStr">
        <is>
          <t>11.01b.2</t>
        </is>
      </c>
      <c r="B8" s="3" t="inlineStr">
        <is>
          <t>Social Structures &amp; Labor</t>
        </is>
      </c>
      <c r="C8" s="4" t="inlineStr">
        <is>
          <t>A number of factors influenced colonial economic development, social structures,and labor systems, causing variation by region.</t>
        </is>
      </c>
      <c r="D8" s="4" t="inlineStr">
        <is>
          <t>Students will examine the factors influencing variations in colonial social structures and labor systems.</t>
        </is>
      </c>
    </row>
    <row r="9" ht="22.5" customHeight="1">
      <c r="A9" s="1" t="inlineStr">
        <is>
          <t>11.01b.3</t>
        </is>
      </c>
      <c r="B9" s="3" t="inlineStr">
        <is>
          <t>Colonial Slavery</t>
        </is>
      </c>
      <c r="C9" s="4" t="inlineStr">
        <is>
          <t>A number of factors influenced colonial economic development, social structures,and labor systems, causing variation by region.</t>
        </is>
      </c>
      <c r="D9" s="4" t="inlineStr">
        <is>
          <t>Students will analyze slavery as a deeply established component of the colonial economic system and social structure, indentured servitude vs. slavery, the increased concentration of slaves in the South, and the development of slavery asa racial institution.</t>
        </is>
      </c>
    </row>
    <row r="10" ht="22.5" customHeight="1">
      <c r="A10" s="1" t="inlineStr">
        <is>
          <t>11.01c</t>
        </is>
      </c>
      <c r="B10" s="3" t="inlineStr">
        <is>
          <t>Political Developments (British Political Traditions, Enlightenment Ideas, and
the Colonial Experience)</t>
        </is>
      </c>
      <c r="C10" s="4" t="inlineStr">
        <is>
          <t>Colonial political developments were influenced by British political traditions, Enlightenment ideas, and the colonial experience. Self-governing structures were common, and yet varied across the colonies.</t>
        </is>
      </c>
      <c r="D10" s="4" t="inlineStr">
        <is>
          <t>Colonial political developments were influenced by British political traditions, Enlightenment ideas, and the colonial experience. Self-governing structures were common, and yet varied across the colonies.</t>
        </is>
      </c>
    </row>
    <row r="11" ht="22.5" customHeight="1">
      <c r="A11" s="1" t="inlineStr">
        <is>
          <t>11.01c.1</t>
        </is>
      </c>
      <c r="B11" s="3" t="inlineStr">
        <is>
          <t>Enlightenment &amp; British Traditions</t>
        </is>
      </c>
      <c r="C11" s="4" t="inlineStr">
        <is>
          <t>Colonial political developments were influenced by British political traditions, Enlightenment ideas, and the colonial experience. Self-governing structures were common, and yet varied across the colonies.</t>
        </is>
      </c>
      <c r="D11" s="4" t="inlineStr">
        <is>
          <t>Students will examine colonial political institutions to determine how they were influenced by Enlightenment ideas, British traditions such as the Magna Carta, and the colonial experience.</t>
        </is>
      </c>
    </row>
    <row r="12" ht="22.5" customHeight="1">
      <c r="A12" s="1" t="inlineStr">
        <is>
          <t>11.01c.2</t>
        </is>
      </c>
      <c r="B12" s="3" t="inlineStr">
        <is>
          <t>Colonial Democracy &amp; Key Documents</t>
        </is>
      </c>
      <c r="C12" s="4" t="inlineStr">
        <is>
          <t>Colonial political developments were influenced by British political traditions, Enlightenment ideas, and the colonial experience. Self-governing structures were common, and yet varied across the colonies.</t>
        </is>
      </c>
      <c r="D12" s="4" t="inlineStr">
        <is>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is>
      </c>
    </row>
    <row r="13" hidden="1" ht="22.5" customHeight="1">
      <c r="A13" s="1" t="n">
        <v>11.02</v>
      </c>
      <c r="B13" s="16" t="inlineStr">
        <is>
          <t>Constitutional Foundations (1763–1824)</t>
        </is>
      </c>
      <c r="C13" s="4" t="inlineStr">
        <is>
          <t>Growing political and economic tensions led the American colonists to declare their independence from Great Britain. Once independent, the new nation confronted the challenge of creating a stable federal republic.</t>
        </is>
      </c>
      <c r="D13" s="4" t="inlineStr">
        <is>
          <t>Growing political and economic tensions led the American colonists to declare their independence from Great Britain. Once independent, the new nation confronted the challenge of creating a stable federal republic.</t>
        </is>
      </c>
    </row>
    <row r="14" ht="22.5" customHeight="1">
      <c r="A14" s="1" t="inlineStr">
        <is>
          <t>11.02a</t>
        </is>
      </c>
      <c r="B14" s="3" t="inlineStr">
        <is>
          <t>Britain and the Colonies Following the French and Indian War</t>
        </is>
      </c>
      <c r="C14" s="4" t="inlineStr">
        <is>
          <t>Following the French and Indian War, the British government attempted to gain greater political and economic control over the colonies. Colonists resisted these efforts, leading to increasing tensions between the colonists and the British government.</t>
        </is>
      </c>
      <c r="D14" s="4" t="inlineStr">
        <is>
          <t>Following the French and Indian War, the British government attempted to gain greater political and economic control over the colonies. Colonists resisted these efforts, leading to increasing tensions between the colonists and the British government.</t>
        </is>
      </c>
    </row>
    <row r="15" ht="22.5" customHeight="1">
      <c r="A15" s="1" t="inlineStr">
        <is>
          <t>11.02a.1</t>
        </is>
      </c>
      <c r="B15" s="3" t="inlineStr">
        <is>
          <t>British Control &amp; Colonial Resistance</t>
        </is>
      </c>
      <c r="C15" s="4" t="inlineStr">
        <is>
          <t>Students will examine British efforts to gain greater political and economic control, such as the Proclamation of 1763, the Stamp Act, the Townsend Acts, the Tea Act, the Boston Massacre, and the Coercive Acts, and colonial reactions to these efforts.</t>
        </is>
      </c>
      <c r="D15" s="4" t="inlineStr">
        <is>
          <t>Students will examine British efforts to gain greater political and economic control, such as the Proclamation of 1763, the Stamp Act, the Townsend Acts, the Tea Act, the Boston Massacre, and the Coercive Acts, and colonial reactions to these efforts.</t>
        </is>
      </c>
    </row>
    <row r="16" ht="22.5" customHeight="1">
      <c r="A16" s="1" t="inlineStr">
        <is>
          <t>11.02b</t>
        </is>
      </c>
      <c r="B16" s="3" t="inlineStr">
        <is>
          <t>Declaration of Independence</t>
        </is>
      </c>
      <c r="C16" s="4" t="inlineStr">
        <is>
          <t>Failed attempts to mitigate the conflicts between the British government and the colonists led the colonists to declare independence, which they eventually won through the Revolutionary War, which affected individuals in different ways.</t>
        </is>
      </c>
      <c r="D16" s="4" t="inlineStr">
        <is>
          <t>Failed attempts to mitigate the conflicts between the British government and the colonists led the colonists to declare independence, which they eventually won through the Revolutionary War, which affected individuals in different ways.</t>
        </is>
      </c>
    </row>
    <row r="17" ht="22.5" customHeight="1">
      <c r="A17" s="1" t="inlineStr">
        <is>
          <t>11.02b.1</t>
        </is>
      </c>
      <c r="B17" s="3" t="inlineStr">
        <is>
          <t>Declaration of Independence</t>
        </is>
      </c>
      <c r="C17" s="4" t="inlineStr">
        <is>
          <t>Failed attempts to mitigate the conflicts between the British government and the colonists led the colonists to declare independence, which they eventually won through the Revolutionary War, which affected individuals in different ways.</t>
        </is>
      </c>
      <c r="D17" s="4" t="inlineStr">
        <is>
          <t>Students will examine the purpose of and the ideas contained in the Declaration of Independence and consider its long term impacts.</t>
        </is>
      </c>
    </row>
    <row r="18" ht="22.5" customHeight="1">
      <c r="A18" s="1" t="inlineStr">
        <is>
          <t>11.02b.2</t>
        </is>
      </c>
      <c r="B18" s="3" t="inlineStr">
        <is>
          <t>Impact on Marginalized Groups</t>
        </is>
      </c>
      <c r="C18" s="4" t="inlineStr">
        <is>
          <t>Failed attempts to mitigate the conflicts between the British government and the colonists led the colonists to declare independence, which they eventually won through the Revolutionary War, which affected individuals in different ways.</t>
        </is>
      </c>
      <c r="D18" s="4" t="inlineStr">
        <is>
          <t>Students will examine the impacts of the Revolutionary War on workers, African Americans, women, and Native Americans.</t>
        </is>
      </c>
    </row>
    <row r="19" ht="22.5" customHeight="1">
      <c r="A19" s="1" t="inlineStr">
        <is>
          <t>11.02c</t>
        </is>
      </c>
      <c r="B19" s="3" t="inlineStr">
        <is>
          <t>Constitutional Convention (1787-1788)</t>
        </is>
      </c>
      <c r="C19"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c r="D19"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row>
    <row r="20" ht="22.5" customHeight="1">
      <c r="A20" s="1" t="inlineStr">
        <is>
          <t>11.02c.1</t>
        </is>
      </c>
      <c r="B20" s="3" t="inlineStr">
        <is>
          <t>Articles of Confederation</t>
        </is>
      </c>
      <c r="C20"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c r="D20" s="4" t="inlineStr">
        <is>
          <t>Students will examine the weaknesses and successes of government under the Articles of Confederation.</t>
        </is>
      </c>
    </row>
    <row r="21" ht="22.5" customHeight="1">
      <c r="A21" s="1" t="inlineStr">
        <is>
          <t>11.02c.2</t>
        </is>
      </c>
      <c r="B21" s="3" t="inlineStr">
        <is>
          <t>Constitution Development &amp; Debates</t>
        </is>
      </c>
      <c r="C21"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c r="D21" s="4" t="inlineStr">
        <is>
          <t>Students will explore the development of the Constitution, including the major debates and their resolutions, which included compromises over representation, taxation, and slavery.</t>
        </is>
      </c>
    </row>
    <row r="22" ht="22.5" customHeight="1">
      <c r="A22" s="1" t="inlineStr">
        <is>
          <t>11.02c.3</t>
        </is>
      </c>
      <c r="B22" s="3" t="inlineStr">
        <is>
          <t>Federal Government Structure &amp; Principles</t>
        </is>
      </c>
      <c r="C22"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c r="D22" s="4" t="inlineStr">
        <is>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is>
      </c>
    </row>
    <row r="23" ht="22.5" customHeight="1">
      <c r="A23" s="1" t="inlineStr">
        <is>
          <t>11.02c.4</t>
        </is>
      </c>
      <c r="B23" s="3" t="inlineStr">
        <is>
          <t>Federalist vs. Antifederalist</t>
        </is>
      </c>
      <c r="C23"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c r="D23" s="4" t="inlineStr">
        <is>
          <t>Students will examine the key points of debate expressed in the Federalist Papers and the Antifederalist Papers, focusing on the protection of individual rights and the proper size for a republic.</t>
        </is>
      </c>
    </row>
    <row r="24" ht="22.5" customHeight="1">
      <c r="A24" s="1" t="inlineStr">
        <is>
          <t>11.02c.5</t>
        </is>
      </c>
      <c r="B24" s="3" t="inlineStr">
        <is>
          <t>Bill of Rights</t>
        </is>
      </c>
      <c r="C24" s="4" t="inlineStr">
        <is>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is>
      </c>
      <c r="D24" s="4" t="inlineStr">
        <is>
          <t>Students will examine the rights and protections provided by the Bill of Rights and to whom they initially applied.</t>
        </is>
      </c>
    </row>
    <row r="25" ht="22.5" customHeight="1">
      <c r="A25" s="1" t="inlineStr">
        <is>
          <t>11.02d</t>
        </is>
      </c>
      <c r="B25" s="3" t="inlineStr">
        <is>
          <t>Nation-Building &amp; Government Stability</t>
        </is>
      </c>
      <c r="C25" s="4" t="inlineStr">
        <is>
          <t>Under the new Constitution, the young nation sought to achieve national security and political stability, as the three branches of government established their relationships with each other and the states.</t>
        </is>
      </c>
      <c r="D25" s="4" t="inlineStr">
        <is>
          <t>Under the new Constitution, the young nation sought to achieve national security and political stability, as the three branches of government established their relationships with each other and the states.</t>
        </is>
      </c>
    </row>
    <row r="26" ht="22.5" customHeight="1">
      <c r="A26" s="1" t="inlineStr">
        <is>
          <t>11.02d.1</t>
        </is>
      </c>
      <c r="B26" s="3" t="inlineStr">
        <is>
          <t>President George Washington</t>
        </is>
      </c>
      <c r="C26" s="4" t="inlineStr">
        <is>
          <t>Under the new Constitution, the young nation sought to achieve national security and political stability, as the three branches of government established their relationships with each other and the states.</t>
        </is>
      </c>
      <c r="D26" s="4" t="inlineStr">
        <is>
          <t>Students will identify presidential actions and precedents established by George Washington, including those articulated in his Farewell Address.</t>
        </is>
      </c>
    </row>
    <row r="27" ht="22.5" customHeight="1">
      <c r="A27" s="1" t="inlineStr">
        <is>
          <t>11.02d.2</t>
        </is>
      </c>
      <c r="B27" s="3" t="inlineStr">
        <is>
          <t>Hamilton's Economic Plan &amp; Political Parties</t>
        </is>
      </c>
      <c r="C27" s="4" t="inlineStr">
        <is>
          <t>Under the new Constitution, the young nation sought to achieve national security and political stability, as the three branches of government established their relationships with each other and the states.</t>
        </is>
      </c>
      <c r="D27" s="4" t="inlineStr">
        <is>
          <t>Students will examine Hamilton’s economic plan, the debate surrounding the plan, and its impacts on the development of political parties.</t>
        </is>
      </c>
    </row>
    <row r="28" ht="22.5" customHeight="1">
      <c r="A28" s="1" t="inlineStr">
        <is>
          <t>11.02d.3</t>
        </is>
      </c>
      <c r="B28" s="3" t="inlineStr">
        <is>
          <t>Peaceful Transfers of Power: 1800 vs. 2000</t>
        </is>
      </c>
      <c r="C28" s="4" t="inlineStr">
        <is>
          <t>Under the new Constitution, the young nation sought to achieve national security and political stability, as the three branches of government established their relationships with each other and the states.</t>
        </is>
      </c>
      <c r="D28" s="4" t="inlineStr">
        <is>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is>
      </c>
    </row>
    <row r="29" ht="22.5" customHeight="1">
      <c r="A29" s="1" t="inlineStr">
        <is>
          <t>11.02d.4</t>
        </is>
      </c>
      <c r="B29" s="3" t="inlineStr">
        <is>
          <t>Early Supreme Court Cases</t>
        </is>
      </c>
      <c r="C29" s="4" t="inlineStr">
        <is>
          <t>Under the new Constitution, the young nation sought to achieve national security and political stability, as the three branches of government established their relationships with each other and the states.</t>
        </is>
      </c>
      <c r="D29" s="4" t="inlineStr">
        <is>
          <t>Students will examine Supreme Court cases, including Marbury v. Madison, McCulloch v. Maryland, and Gibbons v. Ogden, and analyze how these decisions strengthened the powers of the federal government.</t>
        </is>
      </c>
    </row>
    <row r="30" hidden="1" ht="22.5" customHeight="1">
      <c r="A30" s="1" t="n">
        <v>11.03</v>
      </c>
      <c r="B30" s="16" t="inlineStr">
        <is>
          <t>Expansion, Nationalism, and Sectionalism (1800-1865)</t>
        </is>
      </c>
      <c r="C30" s="4" t="inlineStr">
        <is>
          <t>As the nation expanded, growing sectional tensions, especially over slavery, resulted in political and constitutional crises that culminated in the Civil War.</t>
        </is>
      </c>
      <c r="D30" s="4" t="inlineStr">
        <is>
          <t>As the nation expanded, growing sectional tensions, especially over slavery, resulted in political and constitutional crises that culminated in the Civil War.</t>
        </is>
      </c>
    </row>
    <row r="31" ht="22.5" customHeight="1">
      <c r="A31" s="1" t="inlineStr">
        <is>
          <t>11.03a</t>
        </is>
      </c>
      <c r="B31" s="3" t="inlineStr">
        <is>
          <t>American Nationalism, Expansion, and Economic Growth</t>
        </is>
      </c>
      <c r="C31" s="4" t="inlineStr">
        <is>
          <t>American nationalism was both strengthened and challenged by territorial expansion and economic growth.</t>
        </is>
      </c>
      <c r="D31" s="4" t="inlineStr">
        <is>
          <t>American nationalism was both strengthened and challenged by territorial expansion and economic growth.</t>
        </is>
      </c>
    </row>
    <row r="32" ht="22.5" customHeight="1">
      <c r="A32" s="1" t="inlineStr">
        <is>
          <t>11.03a.1</t>
        </is>
      </c>
      <c r="B32" s="3" t="inlineStr">
        <is>
          <t>American Nationalism</t>
        </is>
      </c>
      <c r="C32" s="4" t="inlineStr">
        <is>
          <t>American nationalism was both strengthened and challenged by territorial expansion and economic growth.</t>
        </is>
      </c>
      <c r="D32" s="4" t="inlineStr">
        <is>
          <t>Students will examine how the Louisiana Purchase, the War of 1812, and the Monroe Doctrine strengthened nationalism.</t>
        </is>
      </c>
    </row>
    <row r="33" ht="22.5" customHeight="1">
      <c r="A33" s="1" t="inlineStr">
        <is>
          <t>11.03a.2</t>
        </is>
      </c>
      <c r="B33" s="3" t="inlineStr">
        <is>
          <t>Market Revolution</t>
        </is>
      </c>
      <c r="C33" s="4" t="inlineStr">
        <is>
          <t>American nationalism was both strengthened and challenged by territorial expansion and economic growth.</t>
        </is>
      </c>
      <c r="D33" s="4" t="inlineStr">
        <is>
          <t>Students will examine the market revolution, including technological developments, the development of transportation networks, the growth of domestic industries, the increased demands for free and enslaved labor, the changing role of women, and the rise of political democracy</t>
        </is>
      </c>
    </row>
    <row r="34" ht="22.5" customHeight="1">
      <c r="A34" s="1" t="inlineStr">
        <is>
          <t>11.03a.3</t>
        </is>
      </c>
      <c r="B34" s="3" t="inlineStr">
        <is>
          <t>President Jackson</t>
        </is>
      </c>
      <c r="C34" s="4" t="inlineStr">
        <is>
          <t>American nationalism was both strengthened and challenged by territorial expansion and economic growth.</t>
        </is>
      </c>
      <c r="D34" s="4" t="inlineStr">
        <is>
          <t>Students will examine Jackson’s presidency, noting the ways it strengthened presidential power yet challenged constitutional principles in the case of Worcester v. Georgia (1832), including the controversy concerning the Indian Removal Act and its implementation.</t>
        </is>
      </c>
    </row>
    <row r="35" ht="22.5" customHeight="1">
      <c r="A35" s="1" t="inlineStr">
        <is>
          <t>11.03b</t>
        </is>
      </c>
      <c r="B35" s="3" t="inlineStr">
        <is>
          <t>Sectionalism: The Constitution in Jeopardy</t>
        </is>
      </c>
      <c r="C35" s="4" t="inlineStr">
        <is>
          <t>Different perspectives concerning constitutional, political, economic, and social issues contributed to the growth of sectionalism.</t>
        </is>
      </c>
      <c r="D35" s="4" t="inlineStr">
        <is>
          <t>Different perspectives concerning constitutional, political, economic, and social issues contributed to the growth of sectionalism.</t>
        </is>
      </c>
    </row>
    <row r="36" ht="22.5" customHeight="1">
      <c r="A36" s="1" t="inlineStr">
        <is>
          <t>11.03b.1</t>
        </is>
      </c>
      <c r="B36" s="3" t="inlineStr">
        <is>
          <t>Resolutions &amp; Nullifications</t>
        </is>
      </c>
      <c r="C36" s="4" t="inlineStr">
        <is>
          <t>Different perspectives concerning constitutional, political, economic, and social issues contributed to the growth of sectionalism.</t>
        </is>
      </c>
      <c r="D36" s="4" t="inlineStr">
        <is>
          <t>Students will compare different perspectives on States rights by examining the Kentucky and Virginia Resolutions and the nullification crisis</t>
        </is>
      </c>
    </row>
    <row r="37" ht="22.5" customHeight="1">
      <c r="A37" s="1" t="inlineStr">
        <is>
          <t>11.03b.2</t>
        </is>
      </c>
      <c r="B37" s="3" t="inlineStr">
        <is>
          <t>Resistance &amp; Abolitionism</t>
        </is>
      </c>
      <c r="C37" s="4" t="inlineStr">
        <is>
          <t>Different perspectives concerning constitutional, political, economic, and social issues contributed to the growth of sectionalism.</t>
        </is>
      </c>
      <c r="D37" s="4" t="inlineStr">
        <is>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is>
      </c>
    </row>
    <row r="38" ht="22.5" customHeight="1">
      <c r="A38" s="1" t="inlineStr">
        <is>
          <t>11.03b.3</t>
        </is>
      </c>
      <c r="B38" s="3" t="inlineStr">
        <is>
          <t>Early Women's Rights Movement</t>
        </is>
      </c>
      <c r="C38" s="4" t="inlineStr">
        <is>
          <t>Different perspectives concerning constitutional, political, economic, and social issues contributed to the growth of sectionalism.</t>
        </is>
      </c>
      <c r="D38" s="4" t="inlineStr">
        <is>
          <t>Students will examine the emergence of the women’s rights movement out of the abolitionist movement, including the role of the Grimké sisters, Lucretia Mott,and Elizabeth Cady Stanton, and evaluate the demands made at the Seneca Falls Convention (1848).</t>
        </is>
      </c>
    </row>
    <row r="39" ht="22.5" customHeight="1">
      <c r="A39" s="1" t="inlineStr">
        <is>
          <t>11.03b.4</t>
        </is>
      </c>
      <c r="B39" s="3" t="inlineStr">
        <is>
          <t>Expansion of Slavery</t>
        </is>
      </c>
      <c r="C39" s="4" t="inlineStr">
        <is>
          <t>Different perspectives concerning constitutional, political, economic, and social issues contributed to the growth of sectionalism.</t>
        </is>
      </c>
      <c r="D39" s="4" t="inlineStr">
        <is>
          <t>Students will examine the issues surrounding the expansion of slavery into new territories, by exploring the Missouri Compromise, Manifest Destiny, Texas and the Mexican-American war, the Compromise of 1850, the Kansas-Nebraska Act, the Dred Scott decision, and John Brown’s raid.</t>
        </is>
      </c>
    </row>
    <row r="40" ht="22.5" customHeight="1">
      <c r="A40" s="1" t="inlineStr">
        <is>
          <t>11.03c</t>
        </is>
      </c>
      <c r="B40" s="3" t="inlineStr">
        <is>
          <t>American Civil War (1861-1865)</t>
        </is>
      </c>
      <c r="C40" s="4" t="inlineStr">
        <is>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is>
      </c>
      <c r="D40" s="4" t="inlineStr">
        <is>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is>
      </c>
    </row>
    <row r="41" ht="22.5" customHeight="1">
      <c r="A41" s="1" t="inlineStr">
        <is>
          <t>11.03c.1</t>
        </is>
      </c>
      <c r="B41" s="3" t="inlineStr">
        <is>
          <t>Union vs. Confederacy</t>
        </is>
      </c>
      <c r="C41" s="4" t="inlineStr">
        <is>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is>
      </c>
      <c r="D41" s="4" t="inlineStr">
        <is>
          <t>Students will compare the relative strengths of the Union and the Confederacy in terms of industrial capacity, transportation facilities, and military leadership, and evaluate the reasons why the North prevailed over the South and the impacts of the war.</t>
        </is>
      </c>
    </row>
    <row r="42" ht="22.5" customHeight="1">
      <c r="A42" s="1" t="inlineStr">
        <is>
          <t>11.03c.2</t>
        </is>
      </c>
      <c r="B42" s="3" t="inlineStr">
        <is>
          <t>Federal Power: Habeas Corpus &amp; Emancipation</t>
        </is>
      </c>
      <c r="C42" s="4" t="inlineStr">
        <is>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is>
      </c>
      <c r="D42" s="4" t="inlineStr">
        <is>
          <t>Students will examine the expansion of executive and federal power as they relate to the suspension of habeas corpus within the Union and the issuance of the Emancipation Proclamation.</t>
        </is>
      </c>
    </row>
    <row r="43" ht="22.5" customHeight="1">
      <c r="A43" s="1" t="inlineStr">
        <is>
          <t>11.03c.3</t>
        </is>
      </c>
      <c r="B43" s="3" t="inlineStr">
        <is>
          <t>Gettysburg Address</t>
        </is>
      </c>
      <c r="C43" s="4" t="inlineStr">
        <is>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is>
      </c>
      <c r="D43" s="4" t="inlineStr">
        <is>
          <t>Students will analyze the ideas expressed in the Gettysburg Address, considering its long-term effects.</t>
        </is>
      </c>
    </row>
    <row r="44" hidden="1" ht="22.5" customHeight="1">
      <c r="A44" s="1" t="n">
        <v>11.04</v>
      </c>
      <c r="B44" s="16" t="inlineStr">
        <is>
          <t>Post-Civil War Era (1865-1900)</t>
        </is>
      </c>
      <c r="C44" s="4" t="inlineStr">
        <is>
          <t>Reconstruction resulted in political reunion and expanded constitutional rights. However, those rights were undermined, and issues of inequality continued for African Americans, women, Native Americans, Mexican Americans, and Chinese immigrants.</t>
        </is>
      </c>
      <c r="D44" s="4" t="inlineStr">
        <is>
          <t>Reconstruction resulted in political reunion and expanded constitutional rights. However, those rights were undermined, and issues of inequality continued for African Americans, women, Native Americans, Mexican Americans, and Chinese immigrants.</t>
        </is>
      </c>
    </row>
    <row r="45" ht="22.5" customHeight="1">
      <c r="A45" s="1" t="inlineStr">
        <is>
          <t>11.04a</t>
        </is>
      </c>
      <c r="B45" s="3" t="inlineStr">
        <is>
          <t>Civil War Amendments and the Southern Response</t>
        </is>
      </c>
      <c r="C45" s="4" t="inlineStr">
        <is>
          <t>Between 1865 and 1900, constitutional rights were extended to African Americans. However, their ability to exercise these rights was undermined by individuals, groups, and government institutions.</t>
        </is>
      </c>
      <c r="D45" s="4" t="inlineStr">
        <is>
          <t>Between 1865 and 1900, constitutional rights were extended to African Americans. However, their ability to exercise these rights was undermined by individuals, groups, and government institutions.</t>
        </is>
      </c>
    </row>
    <row r="46" ht="22.5" customHeight="1">
      <c r="A46" s="1" t="inlineStr">
        <is>
          <t>11.04a.1</t>
        </is>
      </c>
      <c r="B46" s="3" t="inlineStr">
        <is>
          <t>Amendments &amp; Reconstruction</t>
        </is>
      </c>
      <c r="C46" s="4" t="inlineStr">
        <is>
          <t>Between 1865 and 1900, constitutional rights were extended to African Americans. However, their ability to exercise these rights was undermined by individuals, groups, and government institutions.</t>
        </is>
      </c>
      <c r="D46" s="4" t="inlineStr">
        <is>
          <t>Students will examine the 13th, 14th, and 15th amendments and consider the role of Radical Republicans in Reconstruction</t>
        </is>
      </c>
    </row>
    <row r="47" ht="22.5" customHeight="1">
      <c r="A47" s="1" t="inlineStr">
        <is>
          <t>11.04a.2</t>
        </is>
      </c>
      <c r="B47" s="3" t="inlineStr">
        <is>
          <t>Limiting of Black Rights</t>
        </is>
      </c>
      <c r="C47" s="4" t="inlineStr">
        <is>
          <t>Between 1865 and 1900, constitutional rights were extended to African Americans. However, their ability to exercise these rights was undermined by individuals, groups, and government institutions.</t>
        </is>
      </c>
      <c r="D47" s="4" t="inlineStr">
        <is>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is>
      </c>
    </row>
    <row r="48" ht="22.5" customHeight="1">
      <c r="A48" s="1" t="inlineStr">
        <is>
          <t>11.04a.3</t>
        </is>
      </c>
      <c r="B48" s="3" t="inlineStr">
        <is>
          <t>Freedmen's Pursuit of Independence</t>
        </is>
      </c>
      <c r="C48" s="4" t="inlineStr">
        <is>
          <t>Between 1865 and 1900, constitutional rights were extended to African Americans. However, their ability to exercise these rights was undermined by individuals, groups, and government institutions.</t>
        </is>
      </c>
      <c r="D48" s="4" t="inlineStr">
        <is>
          <t>Students will examine the ways in which freedmen attempted to build independent lives, including the activities of the Freedmen’s Bureau, the creation of educational institutions, and political participation.</t>
        </is>
      </c>
    </row>
    <row r="49" ht="22.5" customHeight="1">
      <c r="A49" s="1" t="inlineStr">
        <is>
          <t>11.04a.4</t>
        </is>
      </c>
      <c r="B49" s="3" t="inlineStr">
        <is>
          <t>End of Reconstruction</t>
        </is>
      </c>
      <c r="C49" s="4" t="inlineStr">
        <is>
          <t>Between 1865 and 1900, constitutional rights were extended to African Americans. However, their ability to exercise these rights was undermined by individuals, groups, and government institutions.</t>
        </is>
      </c>
      <c r="D49" s="4" t="inlineStr">
        <is>
          <t>Students will examine the impacts of the election of 1876 and the compromise of 1877 on African Americans.</t>
        </is>
      </c>
    </row>
    <row r="50" ht="22.5" customHeight="1">
      <c r="A50" s="1" t="inlineStr">
        <is>
          <t>11.04b</t>
        </is>
      </c>
      <c r="B50" s="3" t="inlineStr">
        <is>
          <t>Women and Equality</t>
        </is>
      </c>
      <c r="C50" s="4" t="inlineStr">
        <is>
          <t>The 14th and 15th amendments failed to address the rights of women.</t>
        </is>
      </c>
      <c r="D50" s="4" t="inlineStr">
        <is>
          <t>The 14th and 15th amendments failed to address the rights of women.</t>
        </is>
      </c>
    </row>
    <row r="51" ht="22.5" customHeight="1">
      <c r="A51" s="1" t="inlineStr">
        <is>
          <t>11.04b.1</t>
        </is>
      </c>
      <c r="B51" s="3" t="inlineStr">
        <is>
          <t>Exclusion of Women &amp; Struggle for Rights</t>
        </is>
      </c>
      <c r="C51" s="4" t="inlineStr">
        <is>
          <t>The 14th and 15th amendments failed to address the rights of women.</t>
        </is>
      </c>
      <c r="D51" s="4" t="inlineStr">
        <is>
          <t>Students will examine the exclusion of women from the 14th and 15th amendments and the subsequent struggle for voting and increased property rights in the late 19th century. The students will examine the work of Susan B.Anthony.</t>
        </is>
      </c>
    </row>
    <row r="52" ht="22.5" customHeight="1">
      <c r="A52" s="1" t="inlineStr">
        <is>
          <t>11.04c</t>
        </is>
      </c>
      <c r="B52" s="3" t="inlineStr">
        <is>
          <t>New American Frontier (1850-1890)</t>
        </is>
      </c>
      <c r="C52" s="4" t="inlineStr">
        <is>
          <t>Federal policies regarding westward expansion had positive effects on the national economy but negative consequences for Native Americans</t>
        </is>
      </c>
      <c r="D52" s="4" t="inlineStr">
        <is>
          <t>Federal policies regarding westward expansion had positive effects on the national economy but negative consequences for Native Americans</t>
        </is>
      </c>
    </row>
    <row r="53" ht="22.5" customHeight="1">
      <c r="A53" s="1" t="inlineStr">
        <is>
          <t>11.04c.1</t>
        </is>
      </c>
      <c r="B53" s="3" t="inlineStr">
        <is>
          <t>Federal Policies &amp; Western Expansion</t>
        </is>
      </c>
      <c r="C53" s="4" t="inlineStr">
        <is>
          <t>Federal policies regarding westward expansion had positive effects on the national economy but negative consequences for Native Americans</t>
        </is>
      </c>
      <c r="D53" s="4" t="inlineStr">
        <is>
          <t>Students will examine the economic effects of the Homestead Act (1862) and the Pacific Railway Act (1862) on westward expansion.</t>
        </is>
      </c>
    </row>
    <row r="54" ht="22.5" customHeight="1">
      <c r="A54" s="1" t="inlineStr">
        <is>
          <t>11.04c.2</t>
        </is>
      </c>
      <c r="B54" s="3" t="inlineStr">
        <is>
          <t>Western Expansion &amp; Native American Impact</t>
        </is>
      </c>
      <c r="C54" s="4" t="inlineStr">
        <is>
          <t>Federal policies regarding westward expansion had positive effects on the national economy but negative consequences for Native Americans</t>
        </is>
      </c>
      <c r="D54" s="4" t="inlineStr">
        <is>
          <t>Students will examine the effect of federal policies on Native Americans, including reservation policies, the Dawes Act (1887), and forced assimilation efforts (Carlisle Indian School).</t>
        </is>
      </c>
    </row>
    <row r="55" ht="22.5" customHeight="1">
      <c r="A55" s="1" t="inlineStr">
        <is>
          <t>11.04d</t>
        </is>
      </c>
      <c r="B55" s="3" t="inlineStr">
        <is>
          <t>Hostility Towards Immigrants</t>
        </is>
      </c>
      <c r="C55" s="4" t="inlineStr">
        <is>
          <t>Racial and economic motives contributed to long-standing discrimination against Mexican Americans and opposition to Chinese immigration.</t>
        </is>
      </c>
      <c r="D55" s="4" t="inlineStr">
        <is>
          <t>Racial and economic motives contributed to long-standing discrimination against Mexican Americans and opposition to Chinese immigration.</t>
        </is>
      </c>
    </row>
    <row r="56" ht="22.5" customHeight="1">
      <c r="A56" s="1" t="inlineStr">
        <is>
          <t>11.04d.1</t>
        </is>
      </c>
      <c r="B56" s="3" t="inlineStr">
        <is>
          <t>Treatment of Mexicans &amp; Mexican Americans</t>
        </is>
      </c>
      <c r="C56" s="4" t="inlineStr">
        <is>
          <t>Racial and economic motives contributed to long-standing discrimination against Mexican Americans and opposition to Chinese immigration.</t>
        </is>
      </c>
      <c r="D56" s="4" t="inlineStr">
        <is>
          <t>Students will analyze relevant provisions of the Treaty of Guadalupe Hidalgo as compared with the actual treatment of Mexicans and Mexican Americans in the Southwest, including California, from 1848 to 1900.</t>
        </is>
      </c>
    </row>
    <row r="57" ht="22.5" customHeight="1">
      <c r="A57" s="1" t="inlineStr">
        <is>
          <t>11.04d.2</t>
        </is>
      </c>
      <c r="B57" s="3" t="inlineStr">
        <is>
          <t>Chinese Immigration &amp; Exclusion</t>
        </is>
      </c>
      <c r="C57" s="4" t="inlineStr">
        <is>
          <t>Racial and economic motives contributed to long-standing discrimination against Mexican Americans and opposition to Chinese immigration.</t>
        </is>
      </c>
      <c r="D57" s="4" t="inlineStr">
        <is>
          <t>Students will examine the contributions of Chinese to the national economy and reasons for nativist opposition to their continued immigration (Chinese Exclusion Act of 1882).</t>
        </is>
      </c>
    </row>
    <row r="58" hidden="1" ht="22.5" customHeight="1">
      <c r="A58" s="1" t="n">
        <v>11.05</v>
      </c>
      <c r="B58" s="16" t="inlineStr">
        <is>
          <t>Industrialization and Urbanization (1870-1920)</t>
        </is>
      </c>
      <c r="C58" s="4" t="inlineStr">
        <is>
          <t>The United States was transformed from an agrarian to an increasingly industrial and urbanized society. Although this transformation created new economic opportunities, it also created societal problems that were addressed by a variety of reform efforts.</t>
        </is>
      </c>
      <c r="D58" s="4" t="inlineStr">
        <is>
          <t>The United States was transformed from an agrarian to an increasingly industrial and urbanized society. Although this transformation created new economic opportunities, it also created societal problems that were addressed by a variety of reform efforts.</t>
        </is>
      </c>
    </row>
    <row r="59" ht="22.5" customHeight="1">
      <c r="A59" s="1" t="inlineStr">
        <is>
          <t>11.05a</t>
        </is>
      </c>
      <c r="B59" s="3" t="inlineStr">
        <is>
          <t>New Technologies Transform the United States</t>
        </is>
      </c>
      <c r="C59" s="4" t="inlineStr">
        <is>
          <t>New technologies and economic models created rapid industrial growth and transformed the United States.</t>
        </is>
      </c>
      <c r="D59" s="4" t="inlineStr">
        <is>
          <t>New technologies and economic models created rapid industrial growth and transformed the United States.</t>
        </is>
      </c>
    </row>
    <row r="60" ht="22.5" customHeight="1">
      <c r="A60" s="1" t="inlineStr">
        <is>
          <t>11.05a.1</t>
        </is>
      </c>
      <c r="B60" s="3" t="inlineStr">
        <is>
          <t>Technological Innovations</t>
        </is>
      </c>
      <c r="C60" s="4" t="inlineStr">
        <is>
          <t>New technologies and economic models created rapid industrial growth and transformed the United States.</t>
        </is>
      </c>
      <c r="D60" s="4" t="inlineStr">
        <is>
          <t>Students will examine the technological innovations that facilitated industrialization, considering energy sources, natural resources, transportation, and communication.</t>
        </is>
      </c>
    </row>
    <row r="61" ht="22.5" customHeight="1">
      <c r="A61" s="1" t="inlineStr">
        <is>
          <t>11.05a.2</t>
        </is>
      </c>
      <c r="B61" s="3" t="inlineStr">
        <is>
          <t>Growth of Industrial Businesses</t>
        </is>
      </c>
      <c r="C61" s="4" t="inlineStr">
        <is>
          <t>New technologies and economic models created rapid industrial growth and transformed the United States.</t>
        </is>
      </c>
      <c r="D61" s="4" t="inlineStr">
        <is>
          <t>Students will examine the growth of industries under the leadership of businessmen such as John D. Rockefeller, Andrew Carnegie, J.P. Morgan, and Henry Ford and analyze their business practices and organizational structures.</t>
        </is>
      </c>
    </row>
    <row r="62" ht="22.5" customHeight="1">
      <c r="A62" s="1" t="inlineStr">
        <is>
          <t>11.05a.3</t>
        </is>
      </c>
      <c r="B62" s="3" t="inlineStr">
        <is>
          <t>Regulation vs Monopolies</t>
        </is>
      </c>
      <c r="C62" s="4" t="inlineStr">
        <is>
          <t>New technologies and economic models created rapid industrial growth and transformed the United States.</t>
        </is>
      </c>
      <c r="D62" s="4" t="inlineStr">
        <is>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is>
      </c>
    </row>
    <row r="63" ht="22.5" customHeight="1">
      <c r="A63" s="1" t="inlineStr">
        <is>
          <t>11.05b</t>
        </is>
      </c>
      <c r="B63" s="3" t="inlineStr">
        <is>
          <t>Rapid Industrialization and Urbanization Leads to New Reforms</t>
        </is>
      </c>
      <c r="C63" s="4" t="inlineStr">
        <is>
          <t>Rapid industrialization and urbanization created significant challenges and societal problems that were addressed by a variety of reform efforts.</t>
        </is>
      </c>
      <c r="D63" s="4" t="inlineStr">
        <is>
          <t>Rapid industrialization and urbanization created significant challenges and societal problems that were addressed by a variety of reform efforts.</t>
        </is>
      </c>
    </row>
    <row r="64" ht="22.5" customHeight="1">
      <c r="A64" s="1" t="inlineStr">
        <is>
          <t>11.05b.1</t>
        </is>
      </c>
      <c r="B64" s="3" t="inlineStr">
        <is>
          <t>Urbanization &amp; Immigration</t>
        </is>
      </c>
      <c r="C64" s="4" t="inlineStr">
        <is>
          <t>Rapid industrialization and urbanization created significant challenges and societal problems that were addressed by a variety of reform efforts.</t>
        </is>
      </c>
      <c r="D64" s="4" t="inlineStr">
        <is>
          <t>Students will examine demographic trends associated with urbanization and immigration between 1840 and 1920, including push-pull factors regarding Irish immigration and immigration from southern and eastern Europe.</t>
        </is>
      </c>
    </row>
    <row r="65" ht="22.5" customHeight="1">
      <c r="A65" s="1" t="inlineStr">
        <is>
          <t>11.05b.2</t>
        </is>
      </c>
      <c r="B65" s="3" t="inlineStr">
        <is>
          <t>Grange Movement &amp; Populist Party</t>
        </is>
      </c>
      <c r="C65" s="4" t="inlineStr">
        <is>
          <t>Rapid industrialization and urbanization created significant challenges and societal problems that were addressed by a variety of reform efforts.</t>
        </is>
      </c>
      <c r="D65" s="4" t="inlineStr">
        <is>
          <t>Students will examine problems faced by farmers between 1870 and 1900 and examine the goals and achievements of the Grange Movement and the Populist Party.</t>
        </is>
      </c>
    </row>
    <row r="66" ht="22.5" customHeight="1">
      <c r="A66" s="1" t="inlineStr">
        <is>
          <t>11.05b.3</t>
        </is>
      </c>
      <c r="B66" s="3" t="inlineStr">
        <is>
          <t>Early Unionization</t>
        </is>
      </c>
      <c r="C66" s="4" t="inlineStr">
        <is>
          <t>Rapid industrialization and urbanization created significant challenges and societal problems that were addressed by a variety of reform efforts.</t>
        </is>
      </c>
      <c r="D66" s="4" t="inlineStr">
        <is>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is>
      </c>
    </row>
    <row r="67" ht="22.5" customHeight="1">
      <c r="A67" s="1" t="inlineStr">
        <is>
          <t>11.05b.4</t>
        </is>
      </c>
      <c r="B67" s="3" t="inlineStr">
        <is>
          <t>Progressive Era</t>
        </is>
      </c>
      <c r="C67" s="4" t="inlineStr">
        <is>
          <t>Rapid industrialization and urbanization created significant challenges and societal problems that were addressed by a variety of reform efforts.</t>
        </is>
      </c>
      <c r="D67" s="4" t="inlineStr">
        <is>
          <t>Students will examine Progressive Era reforms, such as the 16th and 17th amendments (1913) and the establishment of the Federal Reserve System (1913).</t>
        </is>
      </c>
    </row>
    <row r="68" ht="22.5" customHeight="1">
      <c r="A68" s="1" t="inlineStr">
        <is>
          <t>11.05b.5</t>
        </is>
      </c>
      <c r="B68" s="3" t="inlineStr">
        <is>
          <t>Women's Suffrage</t>
        </is>
      </c>
      <c r="C68" s="4" t="inlineStr">
        <is>
          <t>Rapid industrialization and urbanization created significant challenges and societal problems that were addressed by a variety of reform efforts.</t>
        </is>
      </c>
      <c r="D68" s="4" t="inlineStr">
        <is>
          <t>Students will examine the efforts of the women’s suffrage movement after 1900, leading to ratification of the 19th amendment(1920).</t>
        </is>
      </c>
    </row>
    <row r="69" ht="22.5" customHeight="1">
      <c r="A69" s="1" t="inlineStr">
        <is>
          <t>11.05b.6</t>
        </is>
      </c>
      <c r="B69" s="3" t="inlineStr">
        <is>
          <t>Temperance &amp; Prohibition</t>
        </is>
      </c>
      <c r="C69" s="4" t="inlineStr">
        <is>
          <t>Rapid industrialization and urbanization created significant challenges and societal problems that were addressed by a variety of reform efforts.</t>
        </is>
      </c>
      <c r="D69" s="4" t="inlineStr">
        <is>
          <t>Students will trace the temperance and prohibition movements leading to the ratification of the 18th amendment (1919).</t>
        </is>
      </c>
    </row>
    <row r="70" ht="22.5" customHeight="1">
      <c r="A70" s="1" t="inlineStr">
        <is>
          <t>11.05b.7</t>
        </is>
      </c>
      <c r="B70" s="3" t="inlineStr">
        <is>
          <t>Influential Documents of the Progressive Era</t>
        </is>
      </c>
      <c r="C70" s="4" t="inlineStr">
        <is>
          <t>Rapid industrialization and urbanization created significant challenges and societal problems that were addressed by a variety of reform efforts.</t>
        </is>
      </c>
      <c r="D70" s="4" t="inlineStr">
        <is>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is>
      </c>
    </row>
    <row r="71" hidden="1" ht="22.5" customHeight="1">
      <c r="A71" s="1" t="n">
        <v>11.06</v>
      </c>
      <c r="B71" s="16" t="inlineStr">
        <is>
          <t>Rise of American Power (1890-1920)</t>
        </is>
      </c>
      <c r="C71" s="4" t="inlineStr">
        <is>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is>
      </c>
      <c r="D71" s="4" t="inlineStr">
        <is>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is>
      </c>
    </row>
    <row r="72" ht="22.5" customHeight="1">
      <c r="A72" s="1" t="inlineStr">
        <is>
          <t>11.06a</t>
        </is>
      </c>
      <c r="B72" s="3" t="inlineStr">
        <is>
          <t>United States Emerges as a Global Power</t>
        </is>
      </c>
      <c r="C72" s="4" t="inlineStr">
        <is>
          <t>In the late 1800s, various strategic and economic factors led to a greater focus on foreign affairs and debates over the United States’ role in the world.</t>
        </is>
      </c>
      <c r="D72" s="4" t="inlineStr">
        <is>
          <t>In the late 1800s, various strategic and economic factors led to a greater focus on foreign affairs and debates over the United States’ role in the world.</t>
        </is>
      </c>
    </row>
    <row r="73" ht="22.5" customHeight="1">
      <c r="A73" s="1" t="inlineStr">
        <is>
          <t>11.06a.1</t>
        </is>
      </c>
      <c r="B73" s="3" t="inlineStr">
        <is>
          <t>Gowing Economic Interests, Foreign Involvement, &amp; Hawaii</t>
        </is>
      </c>
      <c r="C73" s="4" t="inlineStr">
        <is>
          <t>In the late 1800s, various strategic and economic factors led to a greater focus on foreign affairs and debates over the United States’ role in the world.</t>
        </is>
      </c>
      <c r="D73" s="4" t="inlineStr">
        <is>
          <t>Students will examine factors such as the economic and strategic interests that led the United States to seek foreign markets, resources, and coaling stations, including interest in Hawaii.</t>
        </is>
      </c>
    </row>
    <row r="74" ht="22.5" customHeight="1">
      <c r="A74" s="1" t="inlineStr">
        <is>
          <t>11.06a.2</t>
        </is>
      </c>
      <c r="B74" s="3" t="inlineStr">
        <is>
          <t>Spanish American War</t>
        </is>
      </c>
      <c r="C74" s="4" t="inlineStr">
        <is>
          <t>In the late 1800s, various strategic and economic factors led to a greater focus on foreign affairs and debates over the United States’ role in the world.</t>
        </is>
      </c>
      <c r="D74" s="4" t="inlineStr">
        <is>
          <t>Students will investigate the causes and effects of the Spanish-American War, evaluating Spanish, Cuban, and United States interests and actions.</t>
        </is>
      </c>
    </row>
    <row r="75" ht="22.5" customHeight="1">
      <c r="A75" s="1" t="inlineStr">
        <is>
          <t>11.06a.3</t>
        </is>
      </c>
      <c r="B75" s="3" t="inlineStr">
        <is>
          <t>Imperialism &amp; the Philippines</t>
        </is>
      </c>
      <c r="C75" s="4" t="inlineStr">
        <is>
          <t>In the late 1800s, various strategic and economic factors led to a greater focus on foreign affairs and debates over the United States’ role in the world.</t>
        </is>
      </c>
      <c r="D75" s="4" t="inlineStr">
        <is>
          <t>Students will examine debates between anti-imperialists and imperialists surrounding ratification of the Treaty of Paris of 1898 and annexation of the Philippines.</t>
        </is>
      </c>
    </row>
    <row r="76" ht="22.5" customHeight="1">
      <c r="A76" s="1" t="inlineStr">
        <is>
          <t>11.06a.4</t>
        </is>
      </c>
      <c r="B76" s="3" t="inlineStr">
        <is>
          <t>Imperialism in the Caribbean &amp; Latin America</t>
        </is>
      </c>
      <c r="C76" s="4" t="inlineStr">
        <is>
          <t>In the late 1800s, various strategic and economic factors led to a greater focus on foreign affairs and debates over the United States’ role in the world.</t>
        </is>
      </c>
      <c r="D76" s="4" t="inlineStr">
        <is>
          <t>Students will investigate expanding American influence in the Caribbean and Latin America through the creation of the Panama Canal and the Roosevelt Corollary.</t>
        </is>
      </c>
    </row>
    <row r="77" ht="22.5" customHeight="1">
      <c r="A77" s="1" t="inlineStr">
        <is>
          <t>11.06b</t>
        </is>
      </c>
      <c r="B77" s="3" t="inlineStr">
        <is>
          <t>American Neutrality Turns to Involvement in WWI (1914-1918)</t>
        </is>
      </c>
      <c r="C77" s="4" t="inlineStr">
        <is>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is>
      </c>
      <c r="D77" s="4" t="inlineStr">
        <is>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is>
      </c>
    </row>
    <row r="78" ht="22.5" customHeight="1">
      <c r="A78" s="1" t="inlineStr">
        <is>
          <t>11.06b.1</t>
        </is>
      </c>
      <c r="B78" s="3" t="inlineStr">
        <is>
          <t>President Wilson: Neutrality to Involvement</t>
        </is>
      </c>
      <c r="C78" s="4" t="inlineStr">
        <is>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is>
      </c>
      <c r="D78" s="4" t="inlineStr">
        <is>
          <t>Students will investigate the reasons for President Wilson’s shift from neutrality to involvement in World War I.</t>
        </is>
      </c>
    </row>
    <row r="79" ht="22.5" customHeight="1">
      <c r="A79" s="1" t="inlineStr">
        <is>
          <t>11.06b.2</t>
        </is>
      </c>
      <c r="B79" s="3" t="inlineStr">
        <is>
          <t>Attempts at Peace after WWI</t>
        </is>
      </c>
      <c r="C79" s="4" t="inlineStr">
        <is>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is>
      </c>
      <c r="D79" s="4" t="inlineStr">
        <is>
          <t>Students will examine Wilson’s goals as expressed in the Fourteen Points, his role at the Versailles Peace Conference, and the compromises he was forced to make to gain approval for the League of Nations.</t>
        </is>
      </c>
    </row>
    <row r="80" ht="22.5" customHeight="1">
      <c r="A80" s="1" t="inlineStr">
        <is>
          <t>11.06b.3</t>
        </is>
      </c>
      <c r="B80" s="3" t="inlineStr">
        <is>
          <t>Unsuccessful Ratification of the Treaty of Versailles</t>
        </is>
      </c>
      <c r="C80" s="4" t="inlineStr">
        <is>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is>
      </c>
      <c r="D80" s="4" t="inlineStr">
        <is>
          <t>Students will examine the reasons why President Wilson was unsuccessful in gaining support for Senate ratification of the Treaty of Versailles.</t>
        </is>
      </c>
    </row>
    <row r="81" ht="22.5" customHeight="1">
      <c r="A81" s="1" t="inlineStr">
        <is>
          <t>11.06c</t>
        </is>
      </c>
      <c r="B81" s="3" t="inlineStr">
        <is>
          <t>War and Prosperity (1917 – 1929)</t>
        </is>
      </c>
      <c r="C81" s="4" t="inlineStr">
        <is>
          <t>World War I had important social, political, and economic effects on American Society.</t>
        </is>
      </c>
      <c r="D81" s="4" t="inlineStr">
        <is>
          <t>World War I had important social, political, and economic effects on American Society.</t>
        </is>
      </c>
    </row>
    <row r="82" ht="22.5" customHeight="1">
      <c r="A82" s="1" t="inlineStr">
        <is>
          <t>11.06c.1</t>
        </is>
      </c>
      <c r="B82" s="3" t="inlineStr">
        <is>
          <t>Mobilization Economic Effects</t>
        </is>
      </c>
      <c r="C82" s="4" t="inlineStr">
        <is>
          <t>World War I had important social, political, and economic effects on American Society.</t>
        </is>
      </c>
      <c r="D82" s="4" t="inlineStr">
        <is>
          <t>Students will investigate the effects of mobilization on the United States economy, including the role and contributions of women and African Americans in the war effort.</t>
        </is>
      </c>
    </row>
    <row r="83" ht="22.5" customHeight="1">
      <c r="A83" s="1" t="inlineStr">
        <is>
          <t>11.06c.2</t>
        </is>
      </c>
      <c r="B83" s="3" t="inlineStr">
        <is>
          <t>Great Migration</t>
        </is>
      </c>
      <c r="C83" s="4" t="inlineStr">
        <is>
          <t>World War I had important social, political, and economic effects on American Society.</t>
        </is>
      </c>
      <c r="D83" s="4" t="inlineStr">
        <is>
          <t>Students will investigate the causes and effects of the Great Migration on American society.</t>
        </is>
      </c>
    </row>
    <row r="84" ht="22.5" customHeight="1">
      <c r="A84" s="1" t="inlineStr">
        <is>
          <t>11.06c.3</t>
        </is>
      </c>
      <c r="B84" s="3" t="inlineStr">
        <is>
          <t>Schenck v. US (1919)</t>
        </is>
      </c>
      <c r="C84" s="4" t="inlineStr">
        <is>
          <t>World War I had important social, political, and economic effects on American Society.</t>
        </is>
      </c>
      <c r="D84" s="4" t="inlineStr">
        <is>
          <t>Students will examine the Supreme Court decision concerning civil liberties in Schenck v. United States (1919).</t>
        </is>
      </c>
    </row>
    <row r="85" ht="22.5" customHeight="1">
      <c r="A85" s="1" t="inlineStr">
        <is>
          <t>11.06c.4</t>
        </is>
      </c>
      <c r="B85" s="3" t="inlineStr">
        <is>
          <t>Fear of Radicals, Xenophobia, and the Red Scare</t>
        </is>
      </c>
      <c r="C85" s="4" t="inlineStr">
        <is>
          <t>World War I had important social, political, and economic effects on American Society.</t>
        </is>
      </c>
      <c r="D85" s="4" t="inlineStr">
        <is>
          <t>Students will examine the relationship between postwar recession, fear of radicals, xenophobia, and the Red Scare (1919–1921).</t>
        </is>
      </c>
    </row>
    <row r="86" hidden="1" ht="22.5" customHeight="1">
      <c r="A86" s="1" t="n">
        <v>11.07</v>
      </c>
      <c r="B86" s="16" t="inlineStr">
        <is>
          <t>Prosperity and Depression (1920-1939)</t>
        </is>
      </c>
      <c r="C86" s="4" t="inlineStr">
        <is>
          <t>The 1920s and 1930s were a time of cultural and economic changes in the nation. During this period, the nation faced significant domestic challenges, including the Great Depression</t>
        </is>
      </c>
      <c r="D86" s="4" t="inlineStr">
        <is>
          <t>The 1920s and 1930s were a time of cultural and economic changes in the nation. During this period, the nation faced significant domestic challenges, including the Great Depression</t>
        </is>
      </c>
    </row>
    <row r="87" ht="22.5" customHeight="1">
      <c r="A87" s="1" t="inlineStr">
        <is>
          <t>11.07a</t>
        </is>
      </c>
      <c r="B87" s="3" t="inlineStr">
        <is>
          <t>1920s and Cultural Changes</t>
        </is>
      </c>
      <c r="C87" s="4" t="inlineStr">
        <is>
          <t>The 1920s was a time of cultural change in the country, characterized by clashes between modern and traditional values.</t>
        </is>
      </c>
      <c r="D87" s="4" t="inlineStr">
        <is>
          <t>The 1920s was a time of cultural change in the country, characterized by clashes between modern and traditional values.</t>
        </is>
      </c>
    </row>
    <row r="88" ht="22.5" customHeight="1">
      <c r="A88" s="1" t="inlineStr">
        <is>
          <t>11.07a.1</t>
        </is>
      </c>
      <c r="B88" s="3" t="inlineStr">
        <is>
          <t>Roaring Twenties</t>
        </is>
      </c>
      <c r="C88" s="4" t="inlineStr">
        <is>
          <t>The 1920s was a time of cultural change in the country, characterized by clashes between modern and traditional values.</t>
        </is>
      </c>
      <c r="D88" s="4" t="inlineStr">
        <is>
          <t>Students will examine the cultural trends associated with the Roaring Twenties, including women’s efforts at self-expression and their changing roles.</t>
        </is>
      </c>
    </row>
    <row r="89" ht="22.5" customHeight="1">
      <c r="A89" s="1" t="inlineStr">
        <is>
          <t>11.07a.2</t>
        </is>
      </c>
      <c r="B89" s="3" t="inlineStr">
        <is>
          <t>Prohibition</t>
        </is>
      </c>
      <c r="C89" s="4" t="inlineStr">
        <is>
          <t>The 1920s was a time of cultural change in the country, characterized by clashes between modern and traditional values.</t>
        </is>
      </c>
      <c r="D89" s="4" t="inlineStr">
        <is>
          <t>Students will examine the impact of Prohibition on American society.</t>
        </is>
      </c>
    </row>
    <row r="90" ht="22.5" customHeight="1">
      <c r="A90" s="1" t="inlineStr">
        <is>
          <t>11.07a.3</t>
        </is>
      </c>
      <c r="B90" s="3" t="inlineStr">
        <is>
          <t>Immigration in the 1920's</t>
        </is>
      </c>
      <c r="C90" s="4" t="inlineStr">
        <is>
          <t>The 1920s was a time of cultural change in the country, characterized by clashes between modern and traditional values.</t>
        </is>
      </c>
      <c r="D90" s="4" t="inlineStr">
        <is>
          <t>Students will examine change in immigration policy as reflected by the passage of the Quota Acts of the 1920s.</t>
        </is>
      </c>
    </row>
    <row r="91" ht="22.5" customHeight="1">
      <c r="A91" s="1" t="inlineStr">
        <is>
          <t>11.07a.4</t>
        </is>
      </c>
      <c r="B91" s="3" t="inlineStr">
        <is>
          <t>Resurgence of the KKK</t>
        </is>
      </c>
      <c r="C91" s="4" t="inlineStr">
        <is>
          <t>The 1920s was a time of cultural change in the country, characterized by clashes between modern and traditional values.</t>
        </is>
      </c>
      <c r="D91" s="4" t="inlineStr">
        <is>
          <t>Students will examine the reasons for the resurgence of the Ku Klux Klan.</t>
        </is>
      </c>
    </row>
    <row r="92" ht="22.5" customHeight="1">
      <c r="A92" s="1" t="inlineStr">
        <is>
          <t>11.07a.5</t>
        </is>
      </c>
      <c r="B92" s="3" t="inlineStr">
        <is>
          <t>Scopes Trial</t>
        </is>
      </c>
      <c r="C92" s="4" t="inlineStr">
        <is>
          <t>The 1920s was a time of cultural change in the country, characterized by clashes between modern and traditional values.</t>
        </is>
      </c>
      <c r="D92" s="4" t="inlineStr">
        <is>
          <t>Students will examine the key issues related to the Scopes trial.</t>
        </is>
      </c>
    </row>
    <row r="93" ht="22.5" customHeight="1">
      <c r="A93" s="1" t="inlineStr">
        <is>
          <t>11.07b</t>
        </is>
      </c>
      <c r="B93" s="3" t="inlineStr">
        <is>
          <t>Black American Struggles and Thriving Culture</t>
        </is>
      </c>
      <c r="C93" s="4" t="inlineStr">
        <is>
          <t>African Americans continued to struggle for social and economic equality while expanding their own thriving and unique culture. African American cultural achievements were increasingly integrated into national culture.</t>
        </is>
      </c>
      <c r="D93" s="4" t="inlineStr">
        <is>
          <t>African Americans continued to struggle for social and economic equality while expanding their own thriving and unique culture. African American cultural achievements were increasingly integrated into national culture.</t>
        </is>
      </c>
    </row>
    <row r="94" ht="22.5" customHeight="1">
      <c r="A94" s="1" t="inlineStr">
        <is>
          <t>11.07b.1</t>
        </is>
      </c>
      <c r="B94" s="3" t="inlineStr">
        <is>
          <t>Harlem Renaissance</t>
        </is>
      </c>
      <c r="C94" s="4" t="inlineStr">
        <is>
          <t>African Americans continued to struggle for social and economic equality while expanding their own thriving and unique culture. African American cultural achievements were increasingly integrated into national culture.</t>
        </is>
      </c>
      <c r="D94" s="4" t="inlineStr">
        <is>
          <t>Students will examine literary and artistic contributions associated with the Harlem Renaissance and its impact on national culture.</t>
        </is>
      </c>
    </row>
    <row r="95" ht="22.5" customHeight="1">
      <c r="A95" s="1" t="inlineStr">
        <is>
          <t>11.07b.2</t>
        </is>
      </c>
      <c r="B95" s="3" t="inlineStr">
        <is>
          <t>Black Pride, Nationalism &amp; Marcus Garvey</t>
        </is>
      </c>
      <c r="C95" s="4" t="inlineStr">
        <is>
          <t>African Americans continued to struggle for social and economic equality while expanding their own thriving and unique culture. African American cultural achievements were increasingly integrated into national culture.</t>
        </is>
      </c>
      <c r="D95" s="4" t="inlineStr">
        <is>
          <t>Students will examine the rise of African American racial pride and Black Nationalism, including the role of Marcus Garvey.</t>
        </is>
      </c>
    </row>
    <row r="96" ht="22.5" customHeight="1">
      <c r="A96" s="1" t="inlineStr">
        <is>
          <t>11.07c</t>
        </is>
      </c>
      <c r="B96" s="3" t="inlineStr">
        <is>
          <t>Economic Prosperity to Economic Depression</t>
        </is>
      </c>
      <c r="C96"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c r="D96"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row>
    <row r="97" ht="22.5" customHeight="1">
      <c r="A97" s="1" t="inlineStr">
        <is>
          <t>11.07c.1</t>
        </is>
      </c>
      <c r="B97" s="3" t="inlineStr">
        <is>
          <t>Economic Prosperity</t>
        </is>
      </c>
      <c r="C97"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c r="D97" s="4" t="inlineStr">
        <is>
          <t>Students will examine the reasons for economic prosperity during the 1920s.</t>
        </is>
      </c>
    </row>
    <row r="98" ht="22.5" customHeight="1">
      <c r="A98" s="1" t="inlineStr">
        <is>
          <t>11.07c.2</t>
        </is>
      </c>
      <c r="B98" s="3" t="inlineStr">
        <is>
          <t>The Great Depression</t>
        </is>
      </c>
      <c r="C98"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c r="D98" s="4" t="inlineStr">
        <is>
          <t>Students will examine the underlying weaknesses of the economy that led to the stock market crash of 1929 and the Great Depression.</t>
        </is>
      </c>
    </row>
    <row r="99" ht="22.5" customHeight="1">
      <c r="A99" s="1" t="inlineStr">
        <is>
          <t>11.07c.3</t>
        </is>
      </c>
      <c r="B99" s="3" t="inlineStr">
        <is>
          <t>Hoover vs. FDR</t>
        </is>
      </c>
      <c r="C99"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c r="D99" s="4" t="inlineStr">
        <is>
          <t>Students will compare and contrast the responses of Presidents Herbert Hoover and Franklin D. Roosevelt to the Great Depression.</t>
        </is>
      </c>
    </row>
    <row r="100" ht="22.5" customHeight="1">
      <c r="A100" s="1" t="inlineStr">
        <is>
          <t>11.07c.4</t>
        </is>
      </c>
      <c r="B100" s="3" t="inlineStr">
        <is>
          <t>Dust Bowl</t>
        </is>
      </c>
      <c r="C100"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c r="D100" s="4" t="inlineStr">
        <is>
          <t>Students will examine the human and environmental causes of the Dust Bowl and its effects.</t>
        </is>
      </c>
    </row>
    <row r="101" ht="22.5" customHeight="1">
      <c r="A101" s="1" t="inlineStr">
        <is>
          <t>11.07c.5</t>
        </is>
      </c>
      <c r="B101" s="3" t="inlineStr">
        <is>
          <t>New Deal</t>
        </is>
      </c>
      <c r="C101" s="4" t="inlineStr">
        <is>
          <t>For many Americans, the 1920s was a time of prosperity. However, underlying economic problems, reflected in the stock market crash of 1929, led to the Great Depression.President Franklin D. Roosevelt’s responses to the Great Depression increased the role of the federal government.</t>
        </is>
      </c>
      <c r="D101" s="4" t="inlineStr">
        <is>
          <t>Students will evaluate President Roosevelt’s leadership during the Depression, including key legislative initiatives of the New Deal, expansion of federal government power, and the constitutional challenge represented by his court packing effort.</t>
        </is>
      </c>
    </row>
    <row r="102" hidden="1" ht="22.5" customHeight="1">
      <c r="A102" s="1" t="n">
        <v>11.08</v>
      </c>
      <c r="B102" s="16" t="inlineStr">
        <is>
          <t>World War II (1935-1945)</t>
        </is>
      </c>
      <c r="C102" s="4" t="inlineStr">
        <is>
          <t>The participation of the United States in World War II was a transformative event for the nation and its role in the world.</t>
        </is>
      </c>
      <c r="D102" s="4" t="inlineStr">
        <is>
          <t>The participation of the United States in World War II was a transformative event for the nation and its role in the world.</t>
        </is>
      </c>
    </row>
    <row r="103" ht="22.5" customHeight="1">
      <c r="A103" s="1" t="inlineStr">
        <is>
          <t>11.08a</t>
        </is>
      </c>
      <c r="B103" s="3" t="inlineStr">
        <is>
          <t>U.S. Returns to War</t>
        </is>
      </c>
      <c r="C103" s="4" t="inlineStr">
        <is>
          <t>As situations overseas deteriorated, President Roosevelt’s leadership helped to move the nation from a policy of neutrality to a pro-Allied position and, ultimately, direct involvement in the war.</t>
        </is>
      </c>
      <c r="D103" s="4" t="inlineStr">
        <is>
          <t>As situations overseas deteriorated, President Roosevelt’s leadership helped to move the nation from a policy of neutrality to a pro-Allied position and, ultimately, direct involvement in the war.</t>
        </is>
      </c>
    </row>
    <row r="104" ht="22.5" customHeight="1">
      <c r="A104" s="1" t="inlineStr">
        <is>
          <t>11.08a.1</t>
        </is>
      </c>
      <c r="B104" s="3" t="inlineStr">
        <is>
          <t>Neutrality Acts</t>
        </is>
      </c>
      <c r="C104" s="4" t="inlineStr">
        <is>
          <t>As situations overseas deteriorated, President Roosevelt’s leadership helped to move the nation from a policy of neutrality to a pro-Allied position and, ultimately, direct involvement in the war.</t>
        </is>
      </c>
      <c r="D104" s="4" t="inlineStr">
        <is>
          <t>Students will examine reasons for the passage of the Neutrality Acts (1935–1937) and consider the national debate as a shift to pro-Allied policies, including “cash and carry” and Lend-Lease.</t>
        </is>
      </c>
    </row>
    <row r="105" ht="22.5" customHeight="1">
      <c r="A105" s="1" t="inlineStr">
        <is>
          <t>11.08a.2</t>
        </is>
      </c>
      <c r="B105" s="3" t="inlineStr">
        <is>
          <t>Negotiations with Japan</t>
        </is>
      </c>
      <c r="C105" s="4" t="inlineStr">
        <is>
          <t>As situations overseas deteriorated, President Roosevelt’s leadership helped to move the nation from a policy of neutrality to a pro-Allied position and, ultimately, direct involvement in the war.</t>
        </is>
      </c>
      <c r="D105" s="4" t="inlineStr">
        <is>
          <t>Students will trace ongoing negotiations with Japan and United States efforts to stop Japanese aggression without resorting to war and without appeasing Japanese demands.</t>
        </is>
      </c>
    </row>
    <row r="106" ht="22.5" customHeight="1">
      <c r="A106" s="1" t="inlineStr">
        <is>
          <t>11.08a.3</t>
        </is>
      </c>
      <c r="B106" s="3" t="inlineStr">
        <is>
          <t>Pearl Harbor</t>
        </is>
      </c>
      <c r="C106" s="4" t="inlineStr">
        <is>
          <t>As situations overseas deteriorated, President Roosevelt’s leadership helped to move the nation from a policy of neutrality to a pro-Allied position and, ultimately, direct involvement in the war.</t>
        </is>
      </c>
      <c r="D106" s="4" t="inlineStr">
        <is>
          <t>Students will examine the impact of the Japanese attack on Pearl Harbor.</t>
        </is>
      </c>
    </row>
    <row r="107" ht="22.5" customHeight="1">
      <c r="A107" s="1" t="inlineStr">
        <is>
          <t>11.08a.4</t>
        </is>
      </c>
      <c r="B107" s="3" t="inlineStr">
        <is>
          <t>FDR &amp; the Grand Alliance</t>
        </is>
      </c>
      <c r="C107" s="4" t="inlineStr">
        <is>
          <t>As situations overseas deteriorated, President Roosevelt’s leadership helped to move the nation from a policy of neutrality to a pro-Allied position and, ultimately, direct involvement in the war.</t>
        </is>
      </c>
      <c r="D107" s="4" t="inlineStr">
        <is>
          <t>Students will examine President Roosevelt’s leadership during World War II, including his role as commander in chief and his diplomatic efforts to maintain the Grand Alliance.</t>
        </is>
      </c>
    </row>
    <row r="108" ht="22.5" customHeight="1">
      <c r="A108" s="1" t="inlineStr">
        <is>
          <t>11.08a.5</t>
        </is>
      </c>
      <c r="B108" s="3" t="inlineStr">
        <is>
          <t>Technological Advancements &amp; the Atomic Bomb</t>
        </is>
      </c>
      <c r="C108" s="4" t="inlineStr">
        <is>
          <t>As situations overseas deteriorated, President Roosevelt’s leadership helped to move the nation from a policy of neutrality to a pro-Allied position and, ultimately, direct involvement in the war.</t>
        </is>
      </c>
      <c r="D108" s="4" t="inlineStr">
        <is>
          <t>Students will examine how technological advancements altered the nature of war and the extent of its devastation, including the use of airpower over civilian targets and President Truman’s decision to use the atomic bomb against the Japanese cities of Hiroshima and Nagasaki.</t>
        </is>
      </c>
    </row>
    <row r="109" ht="22.5" customHeight="1">
      <c r="A109" s="1" t="inlineStr">
        <is>
          <t>11.08b</t>
        </is>
      </c>
      <c r="B109" s="3" t="inlineStr">
        <is>
          <t>U.S. in World War II</t>
        </is>
      </c>
      <c r="C109" s="4" t="inlineStr">
        <is>
          <t>United States entry into World War II had a significant impact on American Society.</t>
        </is>
      </c>
      <c r="D109" s="4" t="inlineStr">
        <is>
          <t>United States entry into World War II had a significant impact on American Society.</t>
        </is>
      </c>
    </row>
    <row r="110" ht="22.5" customHeight="1">
      <c r="A110" s="1" t="inlineStr">
        <is>
          <t>11.08b.1</t>
        </is>
      </c>
      <c r="B110" s="3" t="inlineStr">
        <is>
          <t>Mobilizations</t>
        </is>
      </c>
      <c r="C110" s="4" t="inlineStr">
        <is>
          <t>United States entry into World War II had a significant impact on American Society.</t>
        </is>
      </c>
      <c r="D110" s="4" t="inlineStr">
        <is>
          <t>Students will examine United States mobilization efforts and wartime production and their effects on unemployment rates.</t>
        </is>
      </c>
    </row>
    <row r="111" ht="22.5" customHeight="1">
      <c r="A111" s="1" t="inlineStr">
        <is>
          <t>11.08b.2</t>
        </is>
      </c>
      <c r="B111" s="3" t="inlineStr">
        <is>
          <t>Japanese Internment</t>
        </is>
      </c>
      <c r="C111" s="4" t="inlineStr">
        <is>
          <t>United States entry into World War II had a significant impact on American Society.</t>
        </is>
      </c>
      <c r="D111" s="4" t="inlineStr">
        <is>
          <t>Students will examine the reasons for President Roosevelt’s executive order for Japanese removal, the impact of removal on Japanese people living in the United States, and the Supreme Court’s decision in Korematsu v. United States(1944).</t>
        </is>
      </c>
    </row>
    <row r="112" ht="22.5" customHeight="1">
      <c r="A112" s="1" t="inlineStr">
        <is>
          <t>11.08b.3</t>
        </is>
      </c>
      <c r="B112" s="3" t="inlineStr">
        <is>
          <t>Women &amp; BIPOC Contribution to WW2</t>
        </is>
      </c>
      <c r="C112" s="4" t="inlineStr">
        <is>
          <t>United States entry into World War II had a significant impact on American Society.</t>
        </is>
      </c>
      <c r="D112" s="4" t="inlineStr">
        <is>
          <t>Students will examine the contributions of women, African Americans, Native Americans, Asian Americans, Mexican workers, and Mexican Americans to the war effort, as well as the discrimination that they experienced in the military and workforce.</t>
        </is>
      </c>
    </row>
    <row r="113" ht="22.5" customHeight="1">
      <c r="A113" s="1" t="inlineStr">
        <is>
          <t>11.08c</t>
        </is>
      </c>
      <c r="B113" s="3" t="inlineStr">
        <is>
          <t>United States’ Role in Preventing Human Suffering in the Future</t>
        </is>
      </c>
      <c r="C113" s="4" t="inlineStr">
        <is>
          <t>In response to World War II and the Holocaust, the United States played a major role in efforts to prevent such human suffering in the future.</t>
        </is>
      </c>
      <c r="D113" s="4" t="inlineStr">
        <is>
          <t>In response to World War II and the Holocaust, the United States played a major role in efforts to prevent such human suffering in the future.</t>
        </is>
      </c>
    </row>
    <row r="114" ht="22.5" customHeight="1">
      <c r="A114" s="1" t="inlineStr">
        <is>
          <t>11.08c.1</t>
        </is>
      </c>
      <c r="B114" s="3" t="inlineStr">
        <is>
          <t>Holocaust</t>
        </is>
      </c>
      <c r="C114" s="4" t="inlineStr">
        <is>
          <t>In response to World War II and the Holocaust, the United States played a major role in efforts to prevent such human suffering in the future.</t>
        </is>
      </c>
      <c r="D114" s="4" t="inlineStr">
        <is>
          <t>Students will investigate American officials' knowledge of the Holocaust, evaluating the degree to which intervention may have been possible.</t>
        </is>
      </c>
    </row>
    <row r="115" ht="22.5" customHeight="1">
      <c r="A115" s="1" t="inlineStr">
        <is>
          <t>11.08c.2</t>
        </is>
      </c>
      <c r="B115" s="3" t="inlineStr">
        <is>
          <t>Nuremberg War Crime Trials</t>
        </is>
      </c>
      <c r="C115" s="4" t="inlineStr">
        <is>
          <t>In response to World War II and the Holocaust, the United States played a major role in efforts to prevent such human suffering in the future.</t>
        </is>
      </c>
      <c r="D115" s="4" t="inlineStr">
        <is>
          <t>Students will examine the contributions of Supreme Court Justice Robert Jackson and his arguments made as Chief Prosecutor for the United States at the Nuremberg War Crimes trials.</t>
        </is>
      </c>
    </row>
    <row r="116" ht="22.5" customHeight="1">
      <c r="A116" s="1" t="inlineStr">
        <is>
          <t>11.08c.3</t>
        </is>
      </c>
      <c r="B116" s="3" t="inlineStr">
        <is>
          <t>Eleanor Roosevelt &amp; UN's Universal Declaration of Human Rights</t>
        </is>
      </c>
      <c r="C116" s="4" t="inlineStr">
        <is>
          <t>In response to World War II and the Holocaust, the United States played a major role in efforts to prevent such human suffering in the future.</t>
        </is>
      </c>
      <c r="D116" s="4" t="inlineStr">
        <is>
          <t>Students will investigate the role of Eleanor Roosevelt in creating the United Nations Universal Declaration of Human Rights.</t>
        </is>
      </c>
    </row>
    <row r="117" hidden="1" ht="22.5" customHeight="1">
      <c r="A117" s="1" t="n">
        <v>11.09</v>
      </c>
      <c r="B117" s="16" t="inlineStr">
        <is>
          <t>Cold War (1945-1990)</t>
        </is>
      </c>
      <c r="C117" s="4" t="inlineStr">
        <is>
          <t>In the period following World War II, the United States entered into an extended era of international conflict called the Cold War which influenced foreign and domestic policy for more than 40 years.</t>
        </is>
      </c>
      <c r="D117" s="4" t="inlineStr">
        <is>
          <t>In the period following World War II, the United States entered into an extended era of international conflict called the Cold War which influenced foreign and domestic policy for more than 40 years.</t>
        </is>
      </c>
    </row>
    <row r="118" ht="22.5" customHeight="1">
      <c r="A118" s="1" t="inlineStr">
        <is>
          <t>11.09a</t>
        </is>
      </c>
      <c r="B118" s="3" t="inlineStr">
        <is>
          <t>Ideological Differences Between the United States and the Soviet Union</t>
        </is>
      </c>
      <c r="C118" s="4" t="inlineStr">
        <is>
          <t>After World War II, ideological differences led to political tensions between the United States and the Soviet Union. In an attempt to halt the spread of Soviet influence, the United States pursued a policy of containment.</t>
        </is>
      </c>
      <c r="D118" s="4" t="inlineStr">
        <is>
          <t>After World War II, ideological differences led to political tensions between the United States and the Soviet Union. In an attempt to halt the spread of Soviet influence, the United States pursued a policy of containment.</t>
        </is>
      </c>
    </row>
    <row r="119" ht="22.5" customHeight="1">
      <c r="A119" s="1" t="inlineStr">
        <is>
          <t>11.09a.1</t>
        </is>
      </c>
      <c r="B119" s="3" t="inlineStr">
        <is>
          <t>US Decisions for post-war Europe</t>
        </is>
      </c>
      <c r="C119" s="4" t="inlineStr">
        <is>
          <t>After World War II, ideological differences led to political tensions between the United States and the Soviet Union. In an attempt to halt the spread of Soviet influence, the United States pursued a policy of containment.</t>
        </is>
      </c>
      <c r="D119" s="4" t="inlineStr">
        <is>
          <t>Students will trace key decisions made at wartime conferences as they applied to Poland, Eastern Europe, and postwar Germany, and note how continuing disagreements over these decisions helped bring about the start of the Cold War.</t>
        </is>
      </c>
    </row>
    <row r="120" ht="22.5" customHeight="1">
      <c r="A120" s="1" t="inlineStr">
        <is>
          <t>11.09a.2</t>
        </is>
      </c>
      <c r="B120" s="3" t="inlineStr">
        <is>
          <t>Containment Policies</t>
        </is>
      </c>
      <c r="C120" s="4" t="inlineStr">
        <is>
          <t>After World War II, ideological differences led to political tensions between the United States and the Soviet Union. In an attempt to halt the spread of Soviet influence, the United States pursued a policy of containment.</t>
        </is>
      </c>
      <c r="D120" s="4" t="inlineStr">
        <is>
          <t>Students will trace United States containment policies, including the Truman Doctrine (1947), the Marshall Plan (1948), and the North Atlantic Treaty Organization (1949), and actions taken during the Berlin blockade, and consider how they represent a shift in American foreign policy.</t>
        </is>
      </c>
    </row>
    <row r="121" ht="22.5" customHeight="1">
      <c r="A121" s="1" t="inlineStr">
        <is>
          <t>11.09a.3</t>
        </is>
      </c>
      <c r="B121" s="3" t="inlineStr">
        <is>
          <t>McCarthyism</t>
        </is>
      </c>
      <c r="C121" s="4" t="inlineStr">
        <is>
          <t>After World War II, ideological differences led to political tensions between the United States and the Soviet Union. In an attempt to halt the spread of Soviet influence, the United States pursued a policy of containment.</t>
        </is>
      </c>
      <c r="D121" s="4" t="inlineStr">
        <is>
          <t>Students will examine domestic concerns about the spread of communism and the rise of McCarthyism.</t>
        </is>
      </c>
    </row>
    <row r="122" ht="22.5" customHeight="1">
      <c r="A122" s="1" t="inlineStr">
        <is>
          <t>11.09a.4</t>
        </is>
      </c>
      <c r="B122" s="3" t="inlineStr">
        <is>
          <t>Korean War</t>
        </is>
      </c>
      <c r="C122" s="4" t="inlineStr">
        <is>
          <t>After World War II, ideological differences led to political tensions between the United States and the Soviet Union. In an attempt to halt the spread of Soviet influence, the United States pursued a policy of containment.</t>
        </is>
      </c>
      <c r="D122" s="4" t="inlineStr">
        <is>
          <t>Students will examine the consequences of Truman’s decision to fight a limited war in defense of South Korea.</t>
        </is>
      </c>
    </row>
    <row r="123" ht="22.5" customHeight="1">
      <c r="A123" s="1" t="inlineStr">
        <is>
          <t>11.09a.5</t>
        </is>
      </c>
      <c r="B123" s="3" t="inlineStr">
        <is>
          <t>Vietnam War</t>
        </is>
      </c>
      <c r="C123" s="4" t="inlineStr">
        <is>
          <t>After World War II, ideological differences led to political tensions between the United States and the Soviet Union. In an attempt to halt the spread of Soviet influence, the United States pursued a policy of containment.</t>
        </is>
      </c>
      <c r="D123" s="4" t="inlineStr">
        <is>
          <t>Students will trace the United States involvement in Vietnam, including President Johnson’s decision to escalate the fighting in Vietnam.</t>
        </is>
      </c>
    </row>
    <row r="124" ht="22.5" customHeight="1">
      <c r="A124" s="1" t="inlineStr">
        <is>
          <t>11.09a.6</t>
        </is>
      </c>
      <c r="B124" s="3" t="inlineStr">
        <is>
          <t>Antiwar Movement &amp; Watergate</t>
        </is>
      </c>
      <c r="C124" s="4" t="inlineStr">
        <is>
          <t>After World War II, ideological differences led to political tensions between the United States and the Soviet Union. In an attempt to halt the spread of Soviet influence, the United States pursued a policy of containment.</t>
        </is>
      </c>
      <c r="D124" s="4" t="inlineStr">
        <is>
          <t>Students will examine reasons for declining public confidence in government, including America’s involvement in Vietnam, student protests, the growing antiwar movement, and the Watergate affair.</t>
        </is>
      </c>
    </row>
    <row r="125" ht="22.5" customHeight="1">
      <c r="A125" s="1" t="inlineStr">
        <is>
          <t>11.09a.7</t>
        </is>
      </c>
      <c r="B125" s="3" t="inlineStr">
        <is>
          <t>War Powers Act</t>
        </is>
      </c>
      <c r="C125" s="4" t="inlineStr">
        <is>
          <t>After World War II, ideological differences led to political tensions between the United States and the Soviet Union. In an attempt to halt the spread of Soviet influence, the United States pursued a policy of containment.</t>
        </is>
      </c>
      <c r="D125" s="4" t="inlineStr">
        <is>
          <t>Students will examine the congressional effort to limit presidential power through the War Powers Act.</t>
        </is>
      </c>
    </row>
    <row r="126" ht="22.5" customHeight="1">
      <c r="A126" s="1" t="inlineStr">
        <is>
          <t>11.09b</t>
        </is>
      </c>
      <c r="B126" s="3" t="inlineStr">
        <is>
          <t>Nuclear Arms Race</t>
        </is>
      </c>
      <c r="C126" s="4" t="inlineStr">
        <is>
          <t>The United States and the Soviet Union engaged in a nuclear arms race that eventually led to agreements that limited the arms buildup and improved United States-Soviet relations.</t>
        </is>
      </c>
      <c r="D126" s="4" t="inlineStr">
        <is>
          <t>The United States and the Soviet Union engaged in a nuclear arms race that eventually led to agreements that limited the arms buildup and improved United States-Soviet relations.</t>
        </is>
      </c>
    </row>
    <row r="127" ht="22.5" customHeight="1">
      <c r="A127" s="1" t="inlineStr">
        <is>
          <t>11.09b.1</t>
        </is>
      </c>
      <c r="B127" s="3" t="inlineStr">
        <is>
          <t>Nuclear Arms Race</t>
        </is>
      </c>
      <c r="C127" s="4" t="inlineStr">
        <is>
          <t>The United States and the Soviet Union engaged in a nuclear arms race that eventually led to agreements that limited the arms buildup and improved United States-Soviet relations.</t>
        </is>
      </c>
      <c r="D127" s="4" t="inlineStr">
        <is>
          <t>Students will trace the acceleration of the nuclear arms race, beginning with the detonation of an atomic bomb by the Soviet Union in 1949, through 1969, including the effects of Sputnik and the Space Race.</t>
        </is>
      </c>
    </row>
    <row r="128" ht="22.5" customHeight="1">
      <c r="A128" s="1" t="inlineStr">
        <is>
          <t>11.09b.2</t>
        </is>
      </c>
      <c r="B128" s="3" t="inlineStr">
        <is>
          <t>Cuban Missile Crisis &amp; the Nuclear Test Ban Treaty</t>
        </is>
      </c>
      <c r="C128" s="4" t="inlineStr">
        <is>
          <t>The United States and the Soviet Union engaged in a nuclear arms race that eventually led to agreements that limited the arms buildup and improved United States-Soviet relations.</t>
        </is>
      </c>
      <c r="D128" s="4" t="inlineStr">
        <is>
          <t>Students will examine Soviet motives for placing missiles in Cuba and the impact of the Cuban missile crisis on Soviet-American relations, leading to the adoption of the Nuclear Test Ban Treaty.</t>
        </is>
      </c>
    </row>
    <row r="129" ht="22.5" customHeight="1">
      <c r="A129" s="1" t="inlineStr">
        <is>
          <t>11.09b.3</t>
        </is>
      </c>
      <c r="B129" s="3" t="inlineStr">
        <is>
          <t>Détente</t>
        </is>
      </c>
      <c r="C129" s="4" t="inlineStr">
        <is>
          <t>The United States and the Soviet Union engaged in a nuclear arms race that eventually led to agreements that limited the arms buildup and improved United States-Soviet relations.</t>
        </is>
      </c>
      <c r="D129" s="4" t="inlineStr">
        <is>
          <t>Students will examine the policy of détente and its effect on the nuclear arms race.</t>
        </is>
      </c>
    </row>
    <row r="130" ht="22.5" customHeight="1">
      <c r="A130" s="1" t="inlineStr">
        <is>
          <t>11.09c</t>
        </is>
      </c>
      <c r="B130" s="3" t="inlineStr">
        <is>
          <t>Foreign Policy</t>
        </is>
      </c>
      <c r="C130" s="4" t="inlineStr">
        <is>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is>
      </c>
      <c r="D130" s="4" t="inlineStr">
        <is>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is>
      </c>
    </row>
    <row r="131" ht="22.5" customHeight="1">
      <c r="A131" s="1" t="inlineStr">
        <is>
          <t>11.09c.1</t>
        </is>
      </c>
      <c r="B131" s="3" t="inlineStr">
        <is>
          <t>Israel &amp; the Camp David Accords</t>
        </is>
      </c>
      <c r="C131" s="4" t="inlineStr">
        <is>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is>
      </c>
      <c r="D131" s="4" t="inlineStr">
        <is>
          <t>Students will examine United States foreign policy toward the Middle East, including the recognition of and support for the State of Israel, the Camp David Accords, and the interaction with radical groups in the region.</t>
        </is>
      </c>
    </row>
    <row r="132" ht="22.5" customHeight="1">
      <c r="A132" s="1" t="inlineStr">
        <is>
          <t>11.09d</t>
        </is>
      </c>
      <c r="B132" s="3" t="inlineStr">
        <is>
          <t>Cold War Ends</t>
        </is>
      </c>
      <c r="C132" s="4" t="inlineStr">
        <is>
          <t>A combination of factors contributed to the end of the Cold War, including American policies and Soviet economic and political problems that led to the loss of Soviet control over Eastern Europe</t>
        </is>
      </c>
      <c r="D132" s="4" t="inlineStr">
        <is>
          <t>A combination of factors contributed to the end of the Cold War, including American policies and Soviet economic and political problems that led to the loss of Soviet control over Eastern Europe</t>
        </is>
      </c>
    </row>
    <row r="133" ht="22.5" customHeight="1">
      <c r="A133" s="1" t="inlineStr">
        <is>
          <t>11.09d.1</t>
        </is>
      </c>
      <c r="B133" s="3" t="inlineStr">
        <is>
          <t>Berlin Wall &amp; the Soviet Loss of Control</t>
        </is>
      </c>
      <c r="C133" s="4" t="inlineStr">
        <is>
          <t>A combination of factors contributed to the end of the Cold War, including American policies and Soviet economic and political problems that led to the loss of Soviet control over Eastern Europe</t>
        </is>
      </c>
      <c r="D133" s="4" t="inlineStr">
        <is>
          <t>Students will trace factors that led to the fall of the Berlin Wall and the end of the Cold War, including American policies, Soviet economic problems, Soviet efforts at reform, and the loss of Soviet control over Eastern Europe.</t>
        </is>
      </c>
    </row>
    <row r="134" hidden="1" ht="22.5" customHeight="1">
      <c r="A134" s="1" t="n">
        <v>11.1</v>
      </c>
      <c r="B134" s="16" t="inlineStr">
        <is>
          <t>Social and Economic Change/ Domestic Issues (1945-present)</t>
        </is>
      </c>
      <c r="C134" s="4" t="inlineStr">
        <is>
          <t>Racial, gender, and socioeconomic inequalities were addressed by individuals, groups, and organizations. Varying political philosophies prompted debates over the role of the federal government in regulating the economy and providing a social safety net.</t>
        </is>
      </c>
      <c r="D134" s="4" t="inlineStr">
        <is>
          <t>Racial, gender, and socioeconomic inequalities were addressed by individuals, groups, and organizations. Varying political philosophies prompted debates over the role of the federal government in regulating the economy and providing a social safety net.</t>
        </is>
      </c>
    </row>
    <row r="135" ht="22.5" customHeight="1">
      <c r="A135" s="1" t="inlineStr">
        <is>
          <t>11.10a</t>
        </is>
      </c>
      <c r="B135" s="3" t="inlineStr">
        <is>
          <t>Civil Rights Movement</t>
        </is>
      </c>
      <c r="C135" s="4" t="inlineStr">
        <is>
          <t>After World War II, long-term demands for equality by African Americans led to the civil rights movement. The efforts of individuals, groups, and institutions helped to redefine African American civil rights, though numerous issues remain unresolved.</t>
        </is>
      </c>
      <c r="D135" s="4" t="inlineStr">
        <is>
          <t>After World War II, long-term demands for equality by African Americans led to the civil rights movement. The efforts of individuals, groups, and institutions helped to redefine African American civil rights, though numerous issues remain unresolved.</t>
        </is>
      </c>
    </row>
    <row r="136" ht="22.5" customHeight="1">
      <c r="A136" s="1" t="inlineStr">
        <is>
          <t>11.10a.1</t>
        </is>
      </c>
      <c r="B136" s="3" t="inlineStr">
        <is>
          <t>Important Civil Rights Individuals</t>
        </is>
      </c>
      <c r="C136" s="4" t="inlineStr">
        <is>
          <t>After World War II, long-term demands for equality by African Americans led to the civil rights movement. The efforts of individuals, groups, and institutions helped to redefine African American civil rights, though numerous issues remain unresolved.</t>
        </is>
      </c>
      <c r="D136" s="4" t="inlineStr">
        <is>
          <t>Students will examine the roles and impact of individuals such as Rev. Martin Luther King Jr., Stokely Carmichael, Fannie Lou Hamer, and Malcolm X on the movement and their perspectives on change.</t>
        </is>
      </c>
    </row>
    <row r="137" ht="22.5" customHeight="1">
      <c r="A137" s="1" t="inlineStr">
        <is>
          <t>11.10a.2</t>
        </is>
      </c>
      <c r="B137" s="3" t="inlineStr">
        <is>
          <t>Civil Rights Groups &amp; Tactics</t>
        </is>
      </c>
      <c r="C137" s="4" t="inlineStr">
        <is>
          <t>After World War II, long-term demands for equality by African Americans led to the civil rights movement. The efforts of individuals, groups, and institutions helped to redefine African American civil rights, though numerous issues remain unresolved.</t>
        </is>
      </c>
      <c r="D137" s="4" t="inlineStr">
        <is>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is>
      </c>
    </row>
    <row r="138" ht="22.5" customHeight="1">
      <c r="A138" s="1" t="inlineStr">
        <is>
          <t>11.10a.3</t>
        </is>
      </c>
      <c r="B138" s="3" t="inlineStr">
        <is>
          <t>Civil Rights Judicial &amp; Legislative Achievements</t>
        </is>
      </c>
      <c r="C138" s="4" t="inlineStr">
        <is>
          <t>After World War II, long-term demands for equality by African Americans led to the civil rights movement. The efforts of individuals, groups, and institutions helped to redefine African American civil rights, though numerous issues remain unresolved.</t>
        </is>
      </c>
      <c r="D138" s="4" t="inlineStr">
        <is>
          <t>Students will examine judicial actions and legislative achievements during the movement, such as Brown v. Board of Education of Topeka (1954), the Civil Rights Act of 1964, Heart of Atlanta Motel, Inc. v. United States (1964) and the Voting Rights Act of 1965.</t>
        </is>
      </c>
    </row>
    <row r="139" ht="22.5" customHeight="1">
      <c r="A139" s="1" t="inlineStr">
        <is>
          <t>11.10a.4</t>
        </is>
      </c>
      <c r="B139" s="3" t="inlineStr">
        <is>
          <t>Civil Rights Protests &amp; Civil Resistance</t>
        </is>
      </c>
      <c r="C139" s="4" t="inlineStr">
        <is>
          <t>After World War II, long-term demands for equality by African Americans led to the civil rights movement. The efforts of individuals, groups, and institutions helped to redefine African American civil rights, though numerous issues remain unresolved.</t>
        </is>
      </c>
      <c r="D139" s="4" t="inlineStr">
        <is>
          <t>Students will analyze the significance of key events in the movement, including the Montgomery bus boycott, federal intervention at Little Rock, Arkansas; the Birmingham protest; and the March on Washington.</t>
        </is>
      </c>
    </row>
    <row r="140" ht="22.5" customHeight="1">
      <c r="A140" s="1" t="inlineStr">
        <is>
          <t>11.10b</t>
        </is>
      </c>
      <c r="B140" s="3" t="inlineStr">
        <is>
          <t>Individuals, Diverse Groups, and Organizations That Have Changed America</t>
        </is>
      </c>
      <c r="C140" s="4" t="inlineStr">
        <is>
          <t>Individuals, diverse groups, and organizations have sought to bring about change in American society through a variety of methods.</t>
        </is>
      </c>
      <c r="D140" s="4" t="inlineStr">
        <is>
          <t>Individuals, diverse groups, and organizations have sought to bring about change in American society through a variety of methods.</t>
        </is>
      </c>
    </row>
    <row r="141" ht="22.5" customHeight="1">
      <c r="A141" s="1" t="inlineStr">
        <is>
          <t>11.10b.1</t>
        </is>
      </c>
      <c r="B141" s="3" t="inlineStr">
        <is>
          <t>Individuals &amp; Groups Fight for Equality</t>
        </is>
      </c>
      <c r="C141" s="4" t="inlineStr">
        <is>
          <t>Individuals, diverse groups, and organizations have sought to bring about change in American society through a variety of methods.</t>
        </is>
      </c>
      <c r="D141" s="4" t="inlineStr">
        <is>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is>
      </c>
    </row>
    <row r="142" ht="22.5" customHeight="1">
      <c r="A142" s="1" t="inlineStr">
        <is>
          <t>11.10b.2</t>
        </is>
      </c>
      <c r="B142" s="3" t="inlineStr">
        <is>
          <t>Civil Rights Case Studies</t>
        </is>
      </c>
      <c r="C142" s="4" t="inlineStr">
        <is>
          <t>Individuals, diverse groups, and organizations have sought to bring about change in American society through a variety of methods.</t>
        </is>
      </c>
      <c r="D142" s="4" t="inlineStr">
        <is>
          <t>Students will thoroughly investigate at least one of the efforts above.</t>
        </is>
      </c>
    </row>
    <row r="143" ht="22.5" customHeight="1">
      <c r="A143" s="1" t="inlineStr">
        <is>
          <t>11.10c</t>
        </is>
      </c>
      <c r="B143" s="3" t="inlineStr">
        <is>
          <t>Domestic Policies and Problems and the Role of Government</t>
        </is>
      </c>
      <c r="C143" s="4" t="inlineStr">
        <is>
          <t>Varying political philosophies prompted debates over the role of the federal government in regulating the economy and providing a social safety net.</t>
        </is>
      </c>
      <c r="D143" s="4" t="inlineStr">
        <is>
          <t>Varying political philosophies prompted debates over the role of the federal government in regulating the economy and providing a social safety net.</t>
        </is>
      </c>
    </row>
    <row r="144" ht="22.5" customHeight="1">
      <c r="A144" s="1" t="inlineStr">
        <is>
          <t>11.10c.1</t>
        </is>
      </c>
      <c r="B144" s="3" t="inlineStr">
        <is>
          <t>Great Society vs Reaganomics</t>
        </is>
      </c>
      <c r="C144" s="4" t="inlineStr">
        <is>
          <t>Varying political philosophies prompted debates over the role of the federal government in regulating the economy and providing a social safety net.</t>
        </is>
      </c>
      <c r="D144" s="4" t="inlineStr">
        <is>
          <t>Students will compare and contrast the economic policies of President Johnson (Great Society) and President Reagan (Reaganomics) regarding the size and role of the federal government.</t>
        </is>
      </c>
    </row>
    <row r="145" ht="22.5" customHeight="1">
      <c r="A145" s="1" t="inlineStr">
        <is>
          <t>11.10c.2</t>
        </is>
      </c>
      <c r="B145" s="3" t="inlineStr">
        <is>
          <t>Great Recession</t>
        </is>
      </c>
      <c r="C145" s="4" t="inlineStr">
        <is>
          <t>Varying political philosophies prompted debates over the role of the federal government in regulating the economy and providing a social safety net.</t>
        </is>
      </c>
      <c r="D145" s="4" t="inlineStr">
        <is>
          <t>Students will examine the causes of the financial panic of 2008 and the federal government's response to the Great Recession.</t>
        </is>
      </c>
    </row>
    <row r="146" ht="22.5" customHeight="1">
      <c r="A146" s="1" t="inlineStr">
        <is>
          <t>11.10c.3</t>
        </is>
      </c>
      <c r="B146" s="3" t="inlineStr">
        <is>
          <t>Social Safety Nets</t>
        </is>
      </c>
      <c r="C146" s="4" t="inlineStr">
        <is>
          <t>Varying political philosophies prompted debates over the role of the federal government in regulating the economy and providing a social safety net.</t>
        </is>
      </c>
      <c r="D146" s="4" t="inlineStr">
        <is>
          <t>Students will examine the debates over the role of the government in providing a social safety net, including the stability of the Social Security Trust Fund and Medicare Trust Fund, as well as changes under the Affordable Care Act.</t>
        </is>
      </c>
    </row>
    <row r="147" hidden="1" ht="22.5" customHeight="1">
      <c r="A147" s="1" t="n">
        <v>11.11</v>
      </c>
      <c r="B147" s="16" t="inlineStr">
        <is>
          <t>United States in a Changing World (1990-present)</t>
        </is>
      </c>
      <c r="C147" s="4" t="inlineStr">
        <is>
          <t>The United States’ political and economic status in the world has faced external and internal challenges related to international conflicts, economic competition, and globalization. Throughout this time period, the nation has continued to debate and define its role in the world.</t>
        </is>
      </c>
      <c r="D147" s="4" t="inlineStr">
        <is>
          <t>The United States’ political and economic status in the world has faced external and internal challenges related to international conflicts, economic competition, and globalization. Throughout this time period, the nation has continued to debate and define its role in the world.</t>
        </is>
      </c>
    </row>
    <row r="148" ht="22.5" customHeight="1">
      <c r="A148" s="1" t="inlineStr">
        <is>
          <t>11.11a</t>
        </is>
      </c>
      <c r="B148" s="3" t="inlineStr">
        <is>
          <t>United States: Political and Economic Status</t>
        </is>
      </c>
      <c r="C148" s="4" t="inlineStr">
        <is>
          <t>The United States created a coalition to defeat Iraq in the Persian Gulf War (1991), but was reluctant to commit American military power through the rest of the decade.</t>
        </is>
      </c>
      <c r="D148" s="4" t="inlineStr">
        <is>
          <t>The United States created a coalition to defeat Iraq in the Persian Gulf War (1991), but was reluctant to commit American military power through the rest of the decade.</t>
        </is>
      </c>
    </row>
    <row r="149" ht="22.5" customHeight="1">
      <c r="A149" s="1" t="inlineStr">
        <is>
          <t>11.11a.1</t>
        </is>
      </c>
      <c r="B149" s="3" t="inlineStr">
        <is>
          <t>Persian Gulf War</t>
        </is>
      </c>
      <c r="C149" s="4" t="inlineStr">
        <is>
          <t>The United States created a coalition to defeat Iraq in the Persian Gulf War (1991), but was reluctant to commit American military power through the rest of the decade.</t>
        </is>
      </c>
      <c r="D149" s="4" t="inlineStr">
        <is>
          <t>Students will examine the decision of President George H. W. Bush to oppose Iraq’s invasion of Kuwait. Students will evaluate the positive and negative consequences of the Persian Gulf War.</t>
        </is>
      </c>
    </row>
    <row r="150" ht="22.5" customHeight="1">
      <c r="A150" s="1" t="inlineStr">
        <is>
          <t>11.11a.2</t>
        </is>
      </c>
      <c r="B150" s="3" t="inlineStr">
        <is>
          <t>Reluctance to Defend Human Rights</t>
        </is>
      </c>
      <c r="C150" s="4" t="inlineStr">
        <is>
          <t>The United States created a coalition to defeat Iraq in the Persian Gulf War (1991), but was reluctant to commit American military power through the rest of the decade.</t>
        </is>
      </c>
      <c r="D150" s="4" t="inlineStr">
        <is>
          <t>Students will trace United States foreign policy regarding Bosnia, Rwanda, and Kosovo, exploring the tension between defending human rights and the reluctance to intervene stemming from the Vietnam syndrome.</t>
        </is>
      </c>
    </row>
    <row r="151" ht="22.5" customHeight="1">
      <c r="A151" s="1" t="inlineStr">
        <is>
          <t>11.11b</t>
        </is>
      </c>
      <c r="B151" s="3" t="inlineStr">
        <is>
          <t>War on Terror</t>
        </is>
      </c>
      <c r="C151" s="4" t="inlineStr">
        <is>
          <t>In response to the terrorist attacks of September 11, 2001, the United States launched the War on Terror, which involved controversial foreign and domestic policies.</t>
        </is>
      </c>
      <c r="D151" s="4" t="inlineStr">
        <is>
          <t>In response to the terrorist attacks of September 11, 2001, the United States launched the War on Terror, which involved controversial foreign and domestic policies.</t>
        </is>
      </c>
    </row>
    <row r="152" ht="22.5" customHeight="1">
      <c r="A152" s="1" t="inlineStr">
        <is>
          <t>11.11b.1</t>
        </is>
      </c>
      <c r="B152" s="3" t="inlineStr">
        <is>
          <t>9-11, War on Terror, &amp; PATRIOT Act</t>
        </is>
      </c>
      <c r="C152" s="4" t="inlineStr">
        <is>
          <t>In response to the terrorist attacks of September 11, 2001, the United States launched the War on Terror, which involved controversial foreign and domestic policies.</t>
        </is>
      </c>
      <c r="D152" s="4" t="inlineStr">
        <is>
          <t>Students will trace the reactions to the September 11, 2001, attacks, including responses of the American public, the authorization of the War on Terror, the invasion of Afghanistan, and the passage of the USA PATRIOT Act.</t>
        </is>
      </c>
    </row>
    <row r="153" ht="22.5" customHeight="1">
      <c r="A153" s="1" t="inlineStr">
        <is>
          <t>11.11b.2</t>
        </is>
      </c>
      <c r="B153" s="3" t="inlineStr">
        <is>
          <t>Invasion of Iraq</t>
        </is>
      </c>
      <c r="C153" s="4" t="inlineStr">
        <is>
          <t>In response to the terrorist attacks of September 11, 2001, the United States launched the War on Terror, which involved controversial foreign and domestic policies.</t>
        </is>
      </c>
      <c r="D153" s="4" t="inlineStr">
        <is>
          <t>Students will examine the decision to invade Iraq, which was based on allegations concerning weapons of mass destruction, and trace the course of the war.</t>
        </is>
      </c>
    </row>
    <row r="154" ht="22.5" customHeight="1">
      <c r="A154" s="1" t="inlineStr">
        <is>
          <t>11.11b.3</t>
        </is>
      </c>
      <c r="B154" s="3" t="inlineStr">
        <is>
          <t>Violation of Civil Liberties &amp; Surveillance</t>
        </is>
      </c>
      <c r="C154" s="4" t="inlineStr">
        <is>
          <t>In response to the terrorist attacks of September 11, 2001, the United States launched the War on Terror, which involved controversial foreign and domestic policies.</t>
        </is>
      </c>
      <c r="D154" s="4" t="inlineStr">
        <is>
          <t>Students will evaluate the USA PATRIOT Act, including constitutional issues raised about the violation of civil liberties by the federal government’s electronic surveillance programs.</t>
        </is>
      </c>
    </row>
    <row r="155" ht="22.5" customHeight="1">
      <c r="A155" s="1" t="inlineStr">
        <is>
          <t>11.11c</t>
        </is>
      </c>
      <c r="B155" s="3" t="inlineStr">
        <is>
          <t>Globalization and Advances in Technology</t>
        </is>
      </c>
      <c r="C155" s="4" t="inlineStr">
        <is>
          <t>Globalization and advances in technology have affected the United States economy and society.</t>
        </is>
      </c>
      <c r="D155" s="4" t="inlineStr">
        <is>
          <t>Globalization and advances in technology have affected the United States economy and society.</t>
        </is>
      </c>
    </row>
    <row r="156" ht="22.5" customHeight="1">
      <c r="A156" s="1" t="inlineStr">
        <is>
          <t>11.11c.1</t>
        </is>
      </c>
      <c r="B156" s="3" t="inlineStr">
        <is>
          <t>Globalization &amp; the US Economy</t>
        </is>
      </c>
      <c r="C156" s="4" t="inlineStr">
        <is>
          <t>Globalization and advances in technology have affected the United States economy and society.</t>
        </is>
      </c>
      <c r="D156" s="4" t="inlineStr">
        <is>
          <t>Students will examine the positive and negative consequences of globalization in relation to the United States economy.</t>
        </is>
      </c>
    </row>
    <row r="157" ht="22.5" customHeight="1">
      <c r="A157" s="1" t="inlineStr">
        <is>
          <t>11.11c.2</t>
        </is>
      </c>
      <c r="B157" s="3" t="inlineStr">
        <is>
          <t>Multinational Corporations</t>
        </is>
      </c>
      <c r="C157" s="4" t="inlineStr">
        <is>
          <t>Globalization and advances in technology have affected the United States economy and society.</t>
        </is>
      </c>
      <c r="D157" s="4" t="inlineStr">
        <is>
          <t>Students will investigate the role of multinational corporations and their influence on both the United States economy and on other countries around the world.</t>
        </is>
      </c>
    </row>
    <row r="158" ht="22.5" customHeight="1">
      <c r="A158" s="1" t="inlineStr">
        <is>
          <t>11.11c.3</t>
        </is>
      </c>
      <c r="B158" s="3" t="inlineStr">
        <is>
          <t>US vs China Rivalry</t>
        </is>
      </c>
      <c r="C158" s="4" t="inlineStr">
        <is>
          <t>Globalization and advances in technology have affected the United States economy and society.</t>
        </is>
      </c>
      <c r="D158" s="4" t="inlineStr">
        <is>
          <t>Students will examine the economic relationship and the strategic rivalry between the United States and China.</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D19"/>
  <sheetViews>
    <sheetView workbookViewId="0">
      <pane ySplit="1" topLeftCell="A2" activePane="bottomLeft" state="frozen"/>
      <selection pane="bottomLeft" activeCell="B3" sqref="B3"/>
    </sheetView>
  </sheetViews>
  <sheetFormatPr baseColWidth="10" defaultColWidth="12.6640625" defaultRowHeight="15.75" customHeight="1"/>
  <cols>
    <col width="12.6640625" customWidth="1" min="1" max="1"/>
    <col width="25.1640625" customWidth="1" min="2" max="2"/>
    <col width="62.6640625" customWidth="1" min="3" max="3"/>
    <col width="25.1640625" customWidth="1" min="4" max="4"/>
  </cols>
  <sheetData>
    <row r="1" ht="22.5" customHeight="1">
      <c r="A1" s="1" t="inlineStr">
        <is>
          <t>Number</t>
        </is>
      </c>
      <c r="B1" s="3" t="inlineStr">
        <is>
          <t>Title</t>
        </is>
      </c>
      <c r="C1" s="3" t="inlineStr">
        <is>
          <t>Details</t>
        </is>
      </c>
      <c r="D1" s="3" t="inlineStr">
        <is>
          <t>Lookup Key</t>
        </is>
      </c>
    </row>
    <row r="2" ht="22.5" customHeight="1">
      <c r="A2" s="1" t="n">
        <v>1</v>
      </c>
      <c r="B2" s="4" t="inlineStr">
        <is>
          <t>Best Use</t>
        </is>
      </c>
      <c r="C2" s="4" t="inlineStr">
        <is>
          <t>Students are given a stimulus and asked to evaluate and classify (identify) best use.</t>
        </is>
      </c>
      <c r="D2" s="4">
        <f>CONCATENATE(A2,". ",B2)</f>
        <v/>
      </c>
    </row>
    <row r="3" ht="22.5" customHeight="1">
      <c r="A3" s="1" t="n">
        <v>2</v>
      </c>
      <c r="B3" s="4" t="inlineStr">
        <is>
          <t>POV</t>
        </is>
      </c>
      <c r="C3" s="4" t="inlineStr">
        <is>
          <t>Students are given a stimulus and asked to identify point of view, purpose, context, bias, format of source, location of source in time and/or place, and/or intended audience of sources using background knowledge.</t>
        </is>
      </c>
      <c r="D3" s="4">
        <f>CONCATENATE(A3,". ",B3)</f>
        <v/>
      </c>
    </row>
    <row r="4" ht="22.5" customHeight="1">
      <c r="A4" s="1" t="n">
        <v>3</v>
      </c>
      <c r="B4" s="4" t="inlineStr">
        <is>
          <t>Claim Validity (With Outside Information)</t>
        </is>
      </c>
      <c r="C4" s="4" t="inlineStr">
        <is>
          <t>Students are given a stimulus and asked to identify support for a claim found in the stimulus (bound in the same timeframe/event/space). It must require students to draw on their knowledge rather than on straight comprehension of text.</t>
        </is>
      </c>
      <c r="D4" s="4">
        <f>CONCATENATE(A4,". ",B4)</f>
        <v/>
      </c>
    </row>
    <row r="5" ht="22.5" customHeight="1">
      <c r="A5" s="1" t="n">
        <v>4</v>
      </c>
      <c r="B5" s="4" t="inlineStr">
        <is>
          <t>Claim Validity (Without Outside Information)</t>
        </is>
      </c>
      <c r="C5" s="4" t="inlineStr">
        <is>
          <t>Students are given a stimulus and asked to select a plausible claim that logically follows from evidence presented.</t>
        </is>
      </c>
      <c r="D5" s="4">
        <f>CONCATENATE(A5,". ",B5)</f>
        <v/>
      </c>
    </row>
    <row r="6" ht="22.5" customHeight="1">
      <c r="A6" s="1" t="n">
        <v>5</v>
      </c>
      <c r="B6" s="4" t="inlineStr">
        <is>
          <t>Turning Point</t>
        </is>
      </c>
      <c r="C6" s="4" t="inlineStr">
        <is>
          <t>Students are given a stimulus and asked to identify the significance of a turning point in history.</t>
        </is>
      </c>
      <c r="D6" s="4">
        <f>CONCATENATE(A6,". ",B6)</f>
        <v/>
      </c>
    </row>
    <row r="7" ht="22.5" customHeight="1">
      <c r="A7" s="1" t="n">
        <v>6</v>
      </c>
      <c r="B7" s="4" t="inlineStr">
        <is>
          <t>Change Over Time</t>
        </is>
      </c>
      <c r="C7" s="4" t="inlineStr">
        <is>
          <t>Students are given a stimulus and asked to identify significance of an event, action, idea, or development as part of change or part of continuity in history.</t>
        </is>
      </c>
      <c r="D7" s="4">
        <f>CONCATENATE(A7,". ",B7)</f>
        <v/>
      </c>
    </row>
    <row r="8" ht="22.5" customHeight="1">
      <c r="A8" s="1" t="n">
        <v>7</v>
      </c>
      <c r="B8" s="4" t="inlineStr">
        <is>
          <t>Cause</t>
        </is>
      </c>
      <c r="C8" s="4" t="inlineStr">
        <is>
          <t>Students are given a stimulus and asked to identify a central cause of the described phenomenon.</t>
        </is>
      </c>
      <c r="D8" s="4">
        <f>CONCATENATE(A8,". ",B8)</f>
        <v/>
      </c>
    </row>
    <row r="9" ht="22.5" customHeight="1">
      <c r="A9" s="1" t="n">
        <v>8</v>
      </c>
      <c r="B9" s="4" t="inlineStr">
        <is>
          <t>Effect</t>
        </is>
      </c>
      <c r="C9" s="4" t="inlineStr">
        <is>
          <t>Students are given a stimulus and asked to identify a central effect of the described phenomenon.</t>
        </is>
      </c>
      <c r="D9" s="4">
        <f>CONCATENATE(A9,". ",B9)</f>
        <v/>
      </c>
    </row>
    <row r="10" ht="22.5" customHeight="1">
      <c r="A10" s="1" t="n">
        <v>9</v>
      </c>
      <c r="B10" s="4" t="inlineStr">
        <is>
          <t>Impact of Setting</t>
        </is>
      </c>
      <c r="C10" s="4" t="inlineStr">
        <is>
          <t>Students are given a stimulus and asked to identify the impact of time and place on an issue or event linked to that stimulus.</t>
        </is>
      </c>
      <c r="D10" s="4">
        <f>CONCATENATE(A10,". ",B10)</f>
        <v/>
      </c>
    </row>
    <row r="11" ht="22.5" customHeight="1">
      <c r="A11" s="1" t="n">
        <v>10</v>
      </c>
      <c r="B11" s="4" t="inlineStr">
        <is>
          <t>Compare</t>
        </is>
      </c>
      <c r="C11" s="4" t="inlineStr">
        <is>
          <t>Students are given one stimulus or two stimuli and asked to identify a similarity in the described phenomenon (historical development, historical event, geographic setting, economic situation, individual’s action/belief) (implicit comparison).</t>
        </is>
      </c>
      <c r="D11" s="4">
        <f>CONCATENATE(A11,". ",B11)</f>
        <v/>
      </c>
    </row>
    <row r="12" ht="22.5" customHeight="1">
      <c r="A12" s="1" t="n">
        <v>11</v>
      </c>
      <c r="B12" s="4" t="inlineStr">
        <is>
          <t>Contrast</t>
        </is>
      </c>
      <c r="C12" s="4" t="inlineStr">
        <is>
          <t>Students are given one/two stimuli and asked to identify a difference in the described phenomenon (historical development, historical event, geographic setting, economic situation, individual’s action/belief) (implicit comparison).</t>
        </is>
      </c>
      <c r="D12" s="4">
        <f>CONCATENATE(A12,". ",B12)</f>
        <v/>
      </c>
    </row>
    <row r="13" ht="22.5" customHeight="1">
      <c r="A13" s="1" t="n">
        <v>12</v>
      </c>
      <c r="B13" s="4" t="inlineStr">
        <is>
          <t>Informed Civic Action</t>
        </is>
      </c>
      <c r="C13" s="4" t="inlineStr">
        <is>
          <t>Students are given a stimulus and asked to identify an informed action taken by an individual, group, or government connected to civic activism.</t>
        </is>
      </c>
      <c r="D13" s="4">
        <f>CONCATENATE(A13,". ",B13)</f>
        <v/>
      </c>
    </row>
    <row r="14" ht="22.5" customHeight="1">
      <c r="A14" s="1" t="n">
        <v>13</v>
      </c>
      <c r="B14" s="4" t="inlineStr">
        <is>
          <t>Interpret Visual Data</t>
        </is>
      </c>
      <c r="C14" s="4" t="inlineStr">
        <is>
          <t>Students are given a visual stimulus such as a map, graph, chart, timeline, cartoon, or photograph and asked to extract and interpret relevant information to answer a question.</t>
        </is>
      </c>
      <c r="D14" s="4">
        <f>CONCATENATE(A14,". ",B14)</f>
        <v/>
      </c>
    </row>
    <row r="15" ht="22.5" customHeight="1">
      <c r="A15" s="1" t="n">
        <v>14</v>
      </c>
      <c r="B15" s="4" t="inlineStr">
        <is>
          <t>Stakeholder Issue</t>
        </is>
      </c>
      <c r="C15" s="4" t="inlineStr">
        <is>
          <t>Students are given one stimulus or two stimuli and asked to identify a stakeholder or a stakeholder’s issue.</t>
        </is>
      </c>
      <c r="D15" s="4">
        <f>CONCATENATE(A15,". ",B15)</f>
        <v/>
      </c>
    </row>
    <row r="16" ht="22.5" customHeight="1">
      <c r="A16" s="1" t="n">
        <v>15</v>
      </c>
      <c r="B16" s="4" t="inlineStr">
        <is>
          <t>Recommended Action</t>
        </is>
      </c>
      <c r="C16" s="4" t="inlineStr">
        <is>
          <t>Students are given a stimulus and asked to identify a course of action recommended by a historical figure, a group, or a government.</t>
        </is>
      </c>
      <c r="D16" s="4">
        <f>CONCATENATE(A16,". ",B16)</f>
        <v/>
      </c>
    </row>
    <row r="17" ht="22.5" customHeight="1">
      <c r="A17" s="1" t="n">
        <v>16</v>
      </c>
      <c r="B17" s="4" t="inlineStr">
        <is>
          <t>Sequence of Events</t>
        </is>
      </c>
      <c r="C17" s="4" t="inlineStr">
        <is>
          <t>Students are given a stimulus and asked to identify how historical events are related chronologically.</t>
        </is>
      </c>
      <c r="D17" s="4">
        <f>CONCATENATE(A17,". ",B17)</f>
        <v/>
      </c>
    </row>
    <row r="18" ht="22.5" customHeight="1">
      <c r="A18" s="1" t="n">
        <v>17</v>
      </c>
      <c r="B18" s="4" t="inlineStr">
        <is>
          <t>Problem</t>
        </is>
      </c>
      <c r="C18" s="4" t="inlineStr">
        <is>
          <t>Students are given one stimulus or two stimuli and asked to identify a problem (issue).</t>
        </is>
      </c>
      <c r="D18" s="4">
        <f>CONCATENATE(A18,". ",B18)</f>
        <v/>
      </c>
    </row>
    <row r="19" ht="22.5" customHeight="1">
      <c r="A19" s="1" t="n">
        <v>18</v>
      </c>
      <c r="B19" s="4" t="inlineStr">
        <is>
          <t>Response to Problem</t>
        </is>
      </c>
      <c r="C19" s="4" t="inlineStr">
        <is>
          <t>Students are given one stimulus or two stimuli and asked to identify a response to a problem (issue).</t>
        </is>
      </c>
      <c r="D19" s="4">
        <f>CONCATENATE(A19,". ",B19)</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C42"/>
  <sheetViews>
    <sheetView workbookViewId="0">
      <pane ySplit="1" topLeftCell="A2" activePane="bottomLeft" state="frozen"/>
      <selection pane="bottomLeft" activeCell="B3" sqref="B3"/>
    </sheetView>
  </sheetViews>
  <sheetFormatPr baseColWidth="10" defaultColWidth="12.6640625" defaultRowHeight="15.75" customHeight="1"/>
  <cols>
    <col width="35.83203125" customWidth="1" min="1" max="1"/>
    <col width="14" customWidth="1" min="2" max="2"/>
    <col width="50.1640625" customWidth="1" min="3" max="3"/>
  </cols>
  <sheetData>
    <row r="1" ht="22.5" customHeight="1">
      <c r="A1" s="2" t="inlineStr">
        <is>
          <t>Skill</t>
        </is>
      </c>
      <c r="B1" s="1" t="inlineStr">
        <is>
          <t>Subdivision</t>
        </is>
      </c>
      <c r="C1" s="3" t="inlineStr">
        <is>
          <t>Detail</t>
        </is>
      </c>
    </row>
    <row r="2" ht="22.5" customHeight="1">
      <c r="A2" s="5" t="inlineStr">
        <is>
          <t>A. Gathering, Interpreting, and Using Evidence</t>
        </is>
      </c>
      <c r="B2" s="1" t="n">
        <v>1</v>
      </c>
      <c r="C2" s="4" t="inlineStr">
        <is>
          <t>Define and frame questions about events and the world in which we live, form hypotheses as potential answers to these questions, use evidence to answer these questions, and consider and analyze counter-hypotheses.</t>
        </is>
      </c>
    </row>
    <row r="3" ht="22.5" customHeight="1">
      <c r="A3" s="5" t="inlineStr">
        <is>
          <t>A. Gathering, Interpreting, and Using Evidence</t>
        </is>
      </c>
      <c r="B3" s="1" t="n">
        <v>2</v>
      </c>
      <c r="C3" s="4" t="inlineStr">
        <is>
          <t>Identify, describe, and evaluate evidence about events from diverse sources (including written documents, works of art, photographs, charts and graphs, artifacts, oral traditions, and other primary and secondary sources).</t>
        </is>
      </c>
    </row>
    <row r="4" ht="22.5" customHeight="1">
      <c r="A4" s="5" t="inlineStr">
        <is>
          <t>A. Gathering, Interpreting, and Using Evidence</t>
        </is>
      </c>
      <c r="B4" s="1" t="n">
        <v>3</v>
      </c>
      <c r="C4" s="4" t="inlineStr">
        <is>
          <t>Analyze evidence in terms of content, authorship, point of view, bias, purpose, format, and audience.</t>
        </is>
      </c>
    </row>
    <row r="5" ht="22.5" customHeight="1">
      <c r="A5" s="5" t="inlineStr">
        <is>
          <t>A. Gathering, Interpreting, and Using Evidence</t>
        </is>
      </c>
      <c r="B5" s="1" t="n">
        <v>4</v>
      </c>
      <c r="C5" s="4" t="inlineStr">
        <is>
          <t>Describe, analyze, and evaluate arguments of others.</t>
        </is>
      </c>
    </row>
    <row r="6" ht="22.5" customHeight="1">
      <c r="A6" s="5" t="inlineStr">
        <is>
          <t>A. Gathering, Interpreting, and Using Evidence</t>
        </is>
      </c>
      <c r="B6" s="1" t="n">
        <v>5</v>
      </c>
      <c r="C6" s="4" t="inlineStr">
        <is>
          <t>Make inferences and draw conclusions from evidence.</t>
        </is>
      </c>
    </row>
    <row r="7" ht="22.5" customHeight="1">
      <c r="A7" s="5" t="inlineStr">
        <is>
          <t>A. Gathering, Interpreting, and Using Evidence</t>
        </is>
      </c>
      <c r="B7" s="1" t="n">
        <v>6</v>
      </c>
      <c r="C7" s="4" t="inlineStr">
        <is>
          <t>Deconstruct and construct plausible and persuasive arguments, using evidence.</t>
        </is>
      </c>
    </row>
    <row r="8" ht="22.5" customHeight="1">
      <c r="A8" s="5" t="inlineStr">
        <is>
          <t>A. Gathering, Interpreting, and Using Evidence</t>
        </is>
      </c>
      <c r="B8" s="1" t="n">
        <v>7</v>
      </c>
      <c r="C8" s="4" t="inlineStr">
        <is>
          <t>Create meaningful and persuasive understandings of the past by fusing disparate and relevant evidence from primary and secondary sources and drawing connections to the present.</t>
        </is>
      </c>
    </row>
    <row r="9" ht="22.5" customHeight="1">
      <c r="A9" s="5" t="inlineStr">
        <is>
          <t>B. Chronological Reasoning and Causation</t>
        </is>
      </c>
      <c r="B9" s="1" t="n">
        <v>1</v>
      </c>
      <c r="C9" s="4" t="inlineStr">
        <is>
          <t>Articulate how events are related chronologically to one another in time and explain the ways in which earlier ideas and events may influence subsequent ideas and events.</t>
        </is>
      </c>
    </row>
    <row r="10" ht="22.5" customHeight="1">
      <c r="A10" s="5" t="inlineStr">
        <is>
          <t>B. Chronological Reasoning and Causation</t>
        </is>
      </c>
      <c r="B10" s="1" t="n">
        <v>2</v>
      </c>
      <c r="C10" s="4" t="inlineStr">
        <is>
          <t>Identify causes and effects using examples from different time periods and courses of study across several grade levels.</t>
        </is>
      </c>
    </row>
    <row r="11" ht="22.5" customHeight="1">
      <c r="A11" s="5" t="inlineStr">
        <is>
          <t>B. Chronological Reasoning and Causation</t>
        </is>
      </c>
      <c r="B11" s="1" t="n">
        <v>3</v>
      </c>
      <c r="C11" s="4" t="inlineStr">
        <is>
          <t>Identify, analyze, and evaluate the relationship between multiple causes and effects.</t>
        </is>
      </c>
    </row>
    <row r="12" ht="22.5" customHeight="1">
      <c r="A12" s="5" t="inlineStr">
        <is>
          <t>B. Chronological Reasoning and Causation</t>
        </is>
      </c>
      <c r="B12" s="1" t="n">
        <v>4</v>
      </c>
      <c r="C12" s="4" t="inlineStr">
        <is>
          <t>Distinguish between long-term and immediate causes and multiple effects (time, continuity, and change).</t>
        </is>
      </c>
    </row>
    <row r="13" ht="22.5" customHeight="1">
      <c r="A13" s="5" t="inlineStr">
        <is>
          <t>B. Chronological Reasoning and Causation</t>
        </is>
      </c>
      <c r="B13" s="1" t="n">
        <v>5</v>
      </c>
      <c r="C13" s="4" t="inlineStr">
        <is>
          <t>Recognize, analyze, and evaluate dynamics of historical continuity and change over periods of time and investigate factors that caused those changes over time.</t>
        </is>
      </c>
    </row>
    <row r="14" ht="22.5" customHeight="1">
      <c r="A14" s="5" t="inlineStr">
        <is>
          <t>B. Chronological Reasoning and Causation</t>
        </is>
      </c>
      <c r="B14" s="1" t="n">
        <v>6</v>
      </c>
      <c r="C14" s="4" t="inlineStr">
        <is>
          <t>Recognize that choice of specific periodization favors or advantages one narrative, region, or group over another narrative, region, or group.</t>
        </is>
      </c>
    </row>
    <row r="15" ht="22.5" customHeight="1">
      <c r="A15" s="5" t="inlineStr">
        <is>
          <t>B. Chronological Reasoning and Causation</t>
        </is>
      </c>
      <c r="B15" s="1" t="n">
        <v>7</v>
      </c>
      <c r="C15" s="4" t="inlineStr">
        <is>
          <t>Relate patterns of continuity and change to larger historical processes and themes.</t>
        </is>
      </c>
    </row>
    <row r="16" ht="22.5" customHeight="1">
      <c r="A16" s="5" t="inlineStr">
        <is>
          <t>B. Chronological Reasoning and Causation</t>
        </is>
      </c>
      <c r="B16" s="1" t="n">
        <v>8</v>
      </c>
      <c r="C16" s="4" t="inlineStr">
        <is>
          <t>Describe, analyze, evaluate, and construct models of historical periodization that historians use to categorize events.</t>
        </is>
      </c>
    </row>
    <row r="17" ht="22.5" customHeight="1">
      <c r="A17" s="5" t="inlineStr">
        <is>
          <t>C. Comparison and Contextualization</t>
        </is>
      </c>
      <c r="B17" s="1" t="n">
        <v>1</v>
      </c>
      <c r="C17" s="4" t="inlineStr">
        <is>
          <t>Identify similarities and differences between geographic regions across historical time periods, and relate differences in geography to different historical events andoutcomes.</t>
        </is>
      </c>
    </row>
    <row r="18" ht="22.5" customHeight="1">
      <c r="A18" s="5" t="inlineStr">
        <is>
          <t>C. Comparison and Contextualization</t>
        </is>
      </c>
      <c r="B18" s="1" t="n">
        <v>2</v>
      </c>
      <c r="C18" s="4" t="inlineStr">
        <is>
          <t>Identify, compare, and evaluate multiple perspectives on a given historical experience.</t>
        </is>
      </c>
    </row>
    <row r="19" ht="22.5" customHeight="1">
      <c r="A19" s="5" t="inlineStr">
        <is>
          <t>C. Comparison and Contextualization</t>
        </is>
      </c>
      <c r="B19" s="1" t="n">
        <v>3</v>
      </c>
      <c r="C19" s="4" t="inlineStr">
        <is>
          <t>Identify and compare similarities and differences between historical developments over time and in different geographical and cultural contexts.</t>
        </is>
      </c>
    </row>
    <row r="20" ht="22.5" customHeight="1">
      <c r="A20" s="5" t="inlineStr">
        <is>
          <t>C. Comparison and Contextualization</t>
        </is>
      </c>
      <c r="B20" s="1" t="n">
        <v>4</v>
      </c>
      <c r="C20" s="4" t="inlineStr">
        <is>
          <t>Describe, compare, and evaluate multiple historical developments (within societies; across and between societies; in various chronological and geographical contexts).</t>
        </is>
      </c>
    </row>
    <row r="21" ht="22.5" customHeight="1">
      <c r="A21" s="5" t="inlineStr">
        <is>
          <t>C. Comparison and Contextualization</t>
        </is>
      </c>
      <c r="B21" s="1" t="n">
        <v>5</v>
      </c>
      <c r="C21" s="4" t="inlineStr">
        <is>
          <t>Recognize the relationship between geography, economics, and history as a context for events and movements and as a matrix of time and place.</t>
        </is>
      </c>
    </row>
    <row r="22" ht="22.5" customHeight="1">
      <c r="A22" s="5" t="inlineStr">
        <is>
          <t>C. Comparison and Contextualization</t>
        </is>
      </c>
      <c r="B22" s="1" t="n">
        <v>6</v>
      </c>
      <c r="C22" s="4" t="inlineStr">
        <is>
          <t>Connect historical developments to specific circumstances of time and place and to broader regional, national, or global processes and draw connections to the present (where appropriate).</t>
        </is>
      </c>
    </row>
    <row r="23" ht="22.5" customHeight="1">
      <c r="A23" s="5" t="inlineStr">
        <is>
          <t>D. Geographic Reasoning</t>
        </is>
      </c>
      <c r="B23" s="1" t="n">
        <v>1</v>
      </c>
      <c r="C23" s="4" t="inlineStr">
        <is>
          <t>Ask geographic questions about where places are located, why their locations are important, and how their locations are related to the locations of other places and people.</t>
        </is>
      </c>
    </row>
    <row r="24" ht="22.5" customHeight="1">
      <c r="A24" s="5" t="inlineStr">
        <is>
          <t>D. Geographic Reasoning</t>
        </is>
      </c>
      <c r="B24" s="1" t="n">
        <v>2</v>
      </c>
      <c r="C24" s="4" t="inlineStr">
        <is>
          <t>Identify, describe, and evaluate the relationships between people, places, regions, and environments by using geographic tools to place them in a spatial context.</t>
        </is>
      </c>
    </row>
    <row r="25" ht="22.5" customHeight="1">
      <c r="A25" s="5" t="inlineStr">
        <is>
          <t>D. Geographic Reasoning</t>
        </is>
      </c>
      <c r="B25" s="1" t="n">
        <v>3</v>
      </c>
      <c r="C25" s="4" t="inlineStr">
        <is>
          <t>Identify, analyze, and evaluate the relationship between the environment and human activities, how the physical environment is modified by human activities, and how human activities are also influenced by Earth’s physical features and processes.</t>
        </is>
      </c>
    </row>
    <row r="26" ht="22.5" customHeight="1">
      <c r="A26" s="5" t="inlineStr">
        <is>
          <t>D. Geographic Reasoning</t>
        </is>
      </c>
      <c r="B26" s="1" t="n">
        <v>4</v>
      </c>
      <c r="C26" s="4" t="inlineStr">
        <is>
          <t>Recognize and interpret (at different scales) the relationships between patterns and processes.</t>
        </is>
      </c>
    </row>
    <row r="27" ht="22.5" customHeight="1">
      <c r="A27" s="5" t="inlineStr">
        <is>
          <t>D. Geographic Reasoning</t>
        </is>
      </c>
      <c r="B27" s="1" t="n">
        <v>5</v>
      </c>
      <c r="C27" s="4" t="inlineStr">
        <is>
          <t>Recognize and analyze how place and region influence the social, cultural, and economic characteristics of civilizations.</t>
        </is>
      </c>
    </row>
    <row r="28" ht="22.5" customHeight="1">
      <c r="A28" s="5" t="inlineStr">
        <is>
          <t>D. Geographic Reasoning</t>
        </is>
      </c>
      <c r="B28" s="1" t="n">
        <v>6</v>
      </c>
      <c r="C28" s="4" t="inlineStr">
        <is>
          <t>Characterize and analyze changing connections between places and regions.</t>
        </is>
      </c>
    </row>
    <row r="29" ht="22.5" customHeight="1">
      <c r="A29" s="5" t="inlineStr">
        <is>
          <t>E. Economics and Economics Systems</t>
        </is>
      </c>
      <c r="B29" s="1" t="n">
        <v>1</v>
      </c>
      <c r="C29" s="4" t="inlineStr">
        <is>
          <t xml:space="preserve">Use marginal benefits and marginal costs to construct an argument for or against an approach or solution to an economic issue. 
</t>
        </is>
      </c>
    </row>
    <row r="30" ht="22.5" customHeight="1">
      <c r="A30" s="5" t="inlineStr">
        <is>
          <t>E. Economics and Economics Systems</t>
        </is>
      </c>
      <c r="B30" s="1" t="n">
        <v>2</v>
      </c>
      <c r="C30" s="4" t="inlineStr">
        <is>
          <t>Analyze the ways in which incentives influence what is produced and distributed ina market system.</t>
        </is>
      </c>
    </row>
    <row r="31" ht="22.5" customHeight="1">
      <c r="A31" s="5" t="inlineStr">
        <is>
          <t>E. Economics and Economics Systems</t>
        </is>
      </c>
      <c r="B31" s="1" t="n">
        <v>3</v>
      </c>
      <c r="C31" s="4" t="inlineStr">
        <is>
          <t>Evaluate the extent to which competition between sellers and between buyers exists in specific markets.</t>
        </is>
      </c>
    </row>
    <row r="32" ht="22.5" customHeight="1">
      <c r="A32" s="5" t="inlineStr">
        <is>
          <t>E. Economics and Economics Systems</t>
        </is>
      </c>
      <c r="B32" s="1" t="n">
        <v>4</v>
      </c>
      <c r="C32" s="4" t="inlineStr">
        <is>
          <t>Describe concepts of property rights and rule of law as they apply to a market economy.</t>
        </is>
      </c>
    </row>
    <row r="33" ht="22.5" customHeight="1">
      <c r="A33" s="5" t="inlineStr">
        <is>
          <t>E. Economics and Economics Systems</t>
        </is>
      </c>
      <c r="B33" s="1" t="n">
        <v>5</v>
      </c>
      <c r="C33" s="4" t="inlineStr">
        <is>
          <t>Use economic indicators to analyze the current and future state of the economy.</t>
        </is>
      </c>
    </row>
    <row r="34" ht="22.5" customHeight="1">
      <c r="A34" s="5" t="inlineStr">
        <is>
          <t>E. Economics and Economics Systems</t>
        </is>
      </c>
      <c r="B34" s="1" t="n">
        <v>6</v>
      </c>
      <c r="C34" s="4" t="inlineStr">
        <is>
          <t>Analyze government economic policies and the effects on the national and global economy.</t>
        </is>
      </c>
    </row>
    <row r="35" ht="22.5" customHeight="1">
      <c r="A35" s="5" t="inlineStr">
        <is>
          <t>F. Civic Participation</t>
        </is>
      </c>
      <c r="B35" s="1" t="n">
        <v>1</v>
      </c>
      <c r="C35" s="4" t="inlineStr">
        <is>
          <t>Demonstrate respect for the rights of others in discussions and classroom debates; respectfully disagree with other viewpoints and provide evidence for a counter-argument.</t>
        </is>
      </c>
    </row>
    <row r="36" ht="22.5" customHeight="1">
      <c r="A36" s="5" t="inlineStr">
        <is>
          <t>F. Civic Participation</t>
        </is>
      </c>
      <c r="B36" s="1" t="n">
        <v>2</v>
      </c>
      <c r="C36" s="4" t="inlineStr">
        <is>
          <t>Participate in activities that focus on a classroom, school, community, state, or national issue or problem.</t>
        </is>
      </c>
    </row>
    <row r="37" ht="22.5" customHeight="1">
      <c r="A37" s="5" t="inlineStr">
        <is>
          <t>F. Civic Participation</t>
        </is>
      </c>
      <c r="B37" s="1" t="n">
        <v>3</v>
      </c>
      <c r="C37" s="4" t="inlineStr">
        <is>
          <t>Explain differing philosophies of social and political participation and the role of the individual leading to group-driven philosophies.</t>
        </is>
      </c>
    </row>
    <row r="38" ht="22.5" customHeight="1">
      <c r="A38" s="5" t="inlineStr">
        <is>
          <t>F. Civic Participation</t>
        </is>
      </c>
      <c r="B38" s="1" t="n">
        <v>4</v>
      </c>
      <c r="C38" s="4" t="inlineStr">
        <is>
          <t>Identify, describe, and contrast the roles of the individual in opportunities for social and political participation in different societies.</t>
        </is>
      </c>
    </row>
    <row r="39" ht="22.5" customHeight="1">
      <c r="A39" s="5" t="inlineStr">
        <is>
          <t>F. Civic Participation</t>
        </is>
      </c>
      <c r="B39" s="1" t="n">
        <v>5</v>
      </c>
      <c r="C39" s="4" t="inlineStr">
        <is>
          <t>Participate in persuading, debating, negotiating, and compromising in the resolution of conflicts and differences.</t>
        </is>
      </c>
    </row>
    <row r="40" ht="22.5" customHeight="1">
      <c r="A40" s="5" t="inlineStr">
        <is>
          <t>F. Civic Participation</t>
        </is>
      </c>
      <c r="B40" s="1" t="n">
        <v>6</v>
      </c>
      <c r="C40" s="4" t="inlineStr">
        <is>
          <t>Identify situations in which social actions are required and determine an appropriate course of action.</t>
        </is>
      </c>
    </row>
    <row r="41" ht="22.5" customHeight="1">
      <c r="A41" s="5" t="inlineStr">
        <is>
          <t>F. Civic Participation</t>
        </is>
      </c>
      <c r="B41" s="1" t="n">
        <v>7</v>
      </c>
      <c r="C41" s="4" t="inlineStr">
        <is>
          <t>Work to influence those in positions of power to strive for extensions of freedom, social justice, and human rights.</t>
        </is>
      </c>
    </row>
    <row r="42" ht="22.5" customHeight="1">
      <c r="A42" s="5" t="inlineStr">
        <is>
          <t>F. Civic Participation</t>
        </is>
      </c>
      <c r="B42" s="1" t="n">
        <v>8</v>
      </c>
      <c r="C42" s="4" t="inlineStr">
        <is>
          <t>Fulfill social and political responsibilities associated with citizenship in a democratic society and interdependent global community by developing awareness of and/or engaging in the political process.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2026-05-28T15:06:30Z</dcterms:created>
  <dcterms:modified xsi:type="dcterms:W3CDTF">2026-05-29T13:46:14Z</dcterms:modified>
  <cp:lastModifiedBy>Cole Dushin</cp:lastModifiedBy>
</cp:coreProperties>
</file>