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codeName="ThisWorkbook" hidePivotFieldList="1" defaultThemeVersion="202300"/>
  <mc:AlternateContent xmlns:mc="http://schemas.openxmlformats.org/markup-compatibility/2006">
    <mc:Choice Requires="x15">
      <x15ac:absPath xmlns:x15ac="http://schemas.microsoft.com/office/spreadsheetml/2010/11/ac" url="/Users/coledushin/Documents/GWHS/US/June Regents/"/>
    </mc:Choice>
  </mc:AlternateContent>
  <xr:revisionPtr revIDLastSave="0" documentId="13_ncr:1_{A6352679-4D01-824E-B99F-DAF2D0F5ADE4}" xr6:coauthVersionLast="47" xr6:coauthVersionMax="47" xr10:uidLastSave="{00000000-0000-0000-0000-000000000000}"/>
  <bookViews>
    <workbookView xWindow="0" yWindow="600" windowWidth="28160" windowHeight="15220" activeTab="1" xr2:uid="{92930205-DDD3-5F4C-BB6B-45BF200B3E9A}"/>
  </bookViews>
  <sheets>
    <sheet name="Scores" sheetId="1" r:id="rId1"/>
    <sheet name="Questions" sheetId="2" r:id="rId2"/>
    <sheet name="Scores Breakdown" sheetId="9" r:id="rId3"/>
    <sheet name="Question Breakdown" sheetId="10" r:id="rId4"/>
    <sheet name="Task Models" sheetId="5" state="hidden" r:id="rId5"/>
    <sheet name="Skill Standards" sheetId="7" state="hidden" r:id="rId6"/>
    <sheet name="Content Standards" sheetId="6" state="hidden" r:id="rId7"/>
    <sheet name="Score Distribution" sheetId="13" r:id="rId8"/>
    <sheet name="Box &amp; Whisker" sheetId="14" r:id="rId9"/>
    <sheet name="% Correct vs. Point Biserial" sheetId="11" r:id="rId10"/>
    <sheet name="Conversion Chart" sheetId="3" r:id="rId11"/>
  </sheets>
  <externalReferences>
    <externalReference r:id="rId12"/>
  </externalReferences>
  <definedNames>
    <definedName name="_xlchart.v1.0" hidden="1">Scores!$C$2:$C$249</definedName>
    <definedName name="_xlchart.v1.1" hidden="1">Scores!$J$1</definedName>
    <definedName name="_xlchart.v1.2" hidden="1">Scores!$J$2:$J$249</definedName>
  </definedNames>
  <calcPr calcId="191029"/>
  <pivotCaches>
    <pivotCache cacheId="9" r:id="rId13"/>
    <pivotCache cacheId="10" r:id="rId14"/>
    <pivotCache cacheId="1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9" i="2" l="1"/>
  <c r="P39" i="2"/>
  <c r="Q38" i="2"/>
  <c r="P38" i="2"/>
  <c r="Q37" i="2"/>
  <c r="P37" i="2"/>
  <c r="Q36" i="2"/>
  <c r="P36" i="2"/>
  <c r="Q35" i="2"/>
  <c r="P35" i="2"/>
  <c r="Q34" i="2"/>
  <c r="P34" i="2"/>
  <c r="Q33" i="2"/>
  <c r="P33" i="2"/>
  <c r="Q32" i="2"/>
  <c r="P32" i="2"/>
  <c r="Q31" i="2"/>
  <c r="P31" i="2"/>
  <c r="S30" i="2" a="1"/>
  <c r="R30" i="2"/>
  <c r="Q30" i="2"/>
  <c r="P30" i="2"/>
  <c r="S29" i="2" a="1"/>
  <c r="R29" i="2"/>
  <c r="Q29" i="2"/>
  <c r="P29" i="2"/>
  <c r="S28" i="2" a="1"/>
  <c r="R28" i="2"/>
  <c r="Q28" i="2"/>
  <c r="P28" i="2"/>
  <c r="S27" i="2" a="1"/>
  <c r="R27" i="2"/>
  <c r="Q27" i="2"/>
  <c r="P27" i="2"/>
  <c r="S26" i="2" a="1"/>
  <c r="R26" i="2"/>
  <c r="Q26" i="2"/>
  <c r="P26" i="2"/>
  <c r="S25" i="2" a="1"/>
  <c r="R25" i="2"/>
  <c r="Q25" i="2"/>
  <c r="P25" i="2"/>
  <c r="S24" i="2" a="1"/>
  <c r="R24" i="2"/>
  <c r="Q24" i="2"/>
  <c r="P24" i="2"/>
  <c r="S23" i="2" a="1"/>
  <c r="R23" i="2"/>
  <c r="Q23" i="2"/>
  <c r="P23" i="2"/>
  <c r="S22" i="2" a="1"/>
  <c r="R22" i="2"/>
  <c r="Q22" i="2"/>
  <c r="P22" i="2"/>
  <c r="S21" i="2" a="1"/>
  <c r="R21" i="2"/>
  <c r="Q21" i="2"/>
  <c r="P21" i="2"/>
  <c r="S20" i="2" a="1"/>
  <c r="R20" i="2"/>
  <c r="Q20" i="2"/>
  <c r="P20" i="2"/>
  <c r="S19" i="2" a="1"/>
  <c r="R19" i="2"/>
  <c r="Q19" i="2"/>
  <c r="P19" i="2"/>
  <c r="S18" i="2" a="1"/>
  <c r="R18" i="2"/>
  <c r="Q18" i="2"/>
  <c r="P18" i="2"/>
  <c r="S17" i="2" a="1"/>
  <c r="R17" i="2"/>
  <c r="Q17" i="2"/>
  <c r="P17" i="2"/>
  <c r="S16" i="2" a="1"/>
  <c r="R16" i="2"/>
  <c r="Q16" i="2"/>
  <c r="P16" i="2"/>
  <c r="S15" i="2" a="1"/>
  <c r="R15" i="2"/>
  <c r="Q15" i="2"/>
  <c r="P15" i="2"/>
  <c r="S14" i="2" a="1"/>
  <c r="R14" i="2"/>
  <c r="Q14" i="2"/>
  <c r="P14" i="2"/>
  <c r="S13" i="2" a="1"/>
  <c r="R13" i="2"/>
  <c r="Q13" i="2"/>
  <c r="P13" i="2"/>
  <c r="S12" i="2" a="1"/>
  <c r="R12" i="2"/>
  <c r="Q12" i="2"/>
  <c r="P12" i="2"/>
  <c r="S11" i="2" a="1"/>
  <c r="R11" i="2"/>
  <c r="Q11" i="2"/>
  <c r="P11" i="2"/>
  <c r="S10" i="2" a="1"/>
  <c r="R10" i="2"/>
  <c r="Q10" i="2"/>
  <c r="P10" i="2"/>
  <c r="S9" i="2" a="1"/>
  <c r="R9" i="2"/>
  <c r="Q9" i="2"/>
  <c r="P9" i="2"/>
  <c r="S8" i="2" a="1"/>
  <c r="R8" i="2"/>
  <c r="Q8" i="2"/>
  <c r="P8" i="2"/>
  <c r="S7" i="2" a="1"/>
  <c r="R7" i="2"/>
  <c r="Q7" i="2"/>
  <c r="P7" i="2"/>
  <c r="S6" i="2" a="1"/>
  <c r="R6" i="2"/>
  <c r="Q6" i="2"/>
  <c r="P6" i="2"/>
  <c r="S5" i="2" a="1"/>
  <c r="R5" i="2"/>
  <c r="Q5" i="2"/>
  <c r="P5" i="2"/>
  <c r="S4" i="2" a="1"/>
  <c r="R4" i="2"/>
  <c r="Q4" i="2"/>
  <c r="P4" i="2"/>
  <c r="S3" i="2" a="1"/>
  <c r="R3" i="2"/>
  <c r="Q3" i="2"/>
  <c r="P3" i="2"/>
  <c r="L45" i="9"/>
  <c r="L44" i="9"/>
  <c r="L43" i="9"/>
  <c r="L46" i="9" s="1"/>
  <c r="H2" i="1" l="1"/>
  <c r="G2" i="1"/>
  <c r="G25" i="1"/>
  <c r="G26" i="1"/>
  <c r="G27" i="1"/>
  <c r="G28" i="1"/>
  <c r="G29" i="1"/>
  <c r="G30" i="1"/>
  <c r="G32" i="1"/>
  <c r="G33" i="1"/>
  <c r="G34" i="1"/>
  <c r="G35" i="1"/>
  <c r="G36" i="1"/>
  <c r="G37" i="1"/>
  <c r="G201" i="1"/>
  <c r="G236" i="1"/>
  <c r="G237" i="1"/>
  <c r="G246" i="1"/>
  <c r="G248" i="1"/>
  <c r="G38" i="1"/>
  <c r="G40" i="1"/>
  <c r="G42" i="1"/>
  <c r="G43" i="1"/>
  <c r="G44" i="1"/>
  <c r="G45" i="1"/>
  <c r="G46" i="1"/>
  <c r="G47" i="1"/>
  <c r="G48" i="1"/>
  <c r="G49" i="1"/>
  <c r="G50" i="1"/>
  <c r="G51" i="1"/>
  <c r="G52" i="1"/>
  <c r="G54" i="1"/>
  <c r="G55" i="1"/>
  <c r="G57" i="1"/>
  <c r="G58" i="1"/>
  <c r="G61" i="1"/>
  <c r="G62" i="1"/>
  <c r="G64" i="1"/>
  <c r="G71" i="1"/>
  <c r="G72" i="1"/>
  <c r="G73" i="1"/>
  <c r="G76" i="1"/>
  <c r="G78" i="1"/>
  <c r="G79" i="1"/>
  <c r="G80" i="1"/>
  <c r="G85" i="1"/>
  <c r="G243" i="1"/>
  <c r="G244" i="1"/>
  <c r="G245" i="1"/>
  <c r="G81" i="1"/>
  <c r="G82" i="1"/>
  <c r="G84" i="1"/>
  <c r="G88" i="1"/>
  <c r="G89" i="1"/>
  <c r="G92" i="1"/>
  <c r="G94" i="1"/>
  <c r="G95" i="1"/>
  <c r="G96" i="1"/>
  <c r="G98" i="1"/>
  <c r="G99" i="1"/>
  <c r="G100" i="1"/>
  <c r="G101" i="1"/>
  <c r="G102" i="1"/>
  <c r="G103" i="1"/>
  <c r="G104" i="1"/>
  <c r="G105" i="1"/>
  <c r="G108" i="1"/>
  <c r="G109" i="1"/>
  <c r="G111" i="1"/>
  <c r="G112" i="1"/>
  <c r="G113" i="1"/>
  <c r="G115" i="1"/>
  <c r="G117" i="1"/>
  <c r="G119" i="1"/>
  <c r="G120" i="1"/>
  <c r="G122" i="1"/>
  <c r="G200" i="1"/>
  <c r="G240" i="1"/>
  <c r="G241" i="1"/>
  <c r="G242" i="1"/>
  <c r="G69" i="1"/>
  <c r="G123" i="1"/>
  <c r="G125" i="1"/>
  <c r="G127" i="1"/>
  <c r="G129" i="1"/>
  <c r="G131" i="1"/>
  <c r="G132" i="1"/>
  <c r="G133" i="1"/>
  <c r="G134" i="1"/>
  <c r="G135" i="1"/>
  <c r="G136" i="1"/>
  <c r="G137" i="1"/>
  <c r="G139" i="1"/>
  <c r="G140" i="1"/>
  <c r="G142" i="1"/>
  <c r="G143" i="1"/>
  <c r="G144" i="1"/>
  <c r="G145" i="1"/>
  <c r="G147" i="1"/>
  <c r="G148" i="1"/>
  <c r="G149" i="1"/>
  <c r="G150" i="1"/>
  <c r="G151" i="1"/>
  <c r="G152" i="1"/>
  <c r="G154" i="1"/>
  <c r="G156" i="1"/>
  <c r="G157" i="1"/>
  <c r="G230" i="1"/>
  <c r="G231" i="1"/>
  <c r="G233" i="1"/>
  <c r="G238" i="1"/>
  <c r="G5" i="1"/>
  <c r="G158" i="1"/>
  <c r="G160" i="1"/>
  <c r="G161" i="1"/>
  <c r="G162" i="1"/>
  <c r="G163" i="1"/>
  <c r="G164" i="1"/>
  <c r="G165" i="1"/>
  <c r="G167" i="1"/>
  <c r="G170" i="1"/>
  <c r="G171" i="1"/>
  <c r="G172" i="1"/>
  <c r="G176" i="1"/>
  <c r="G177" i="1"/>
  <c r="G178" i="1"/>
  <c r="G179" i="1"/>
  <c r="G180" i="1"/>
  <c r="G183" i="1"/>
  <c r="G184" i="1"/>
  <c r="G186" i="1"/>
  <c r="G189" i="1"/>
  <c r="G191" i="1"/>
  <c r="G194" i="1"/>
  <c r="G195" i="1"/>
  <c r="G196" i="1"/>
  <c r="G197" i="1"/>
  <c r="G198" i="1"/>
  <c r="G130" i="1"/>
  <c r="G202" i="1"/>
  <c r="G204" i="1"/>
  <c r="G205" i="1"/>
  <c r="G206" i="1"/>
  <c r="G207" i="1"/>
  <c r="G208" i="1"/>
  <c r="G212" i="1"/>
  <c r="G213" i="1"/>
  <c r="G214" i="1"/>
  <c r="G216" i="1"/>
  <c r="G217" i="1"/>
  <c r="G219" i="1"/>
  <c r="G221" i="1"/>
  <c r="G222" i="1"/>
  <c r="G225" i="1"/>
  <c r="G226" i="1"/>
  <c r="G121" i="1"/>
  <c r="G3" i="1"/>
  <c r="G13" i="1"/>
  <c r="G18" i="1"/>
  <c r="G24" i="1"/>
  <c r="G31" i="1"/>
  <c r="G53" i="1"/>
  <c r="G63" i="1"/>
  <c r="G67" i="1"/>
  <c r="G68" i="1"/>
  <c r="G75" i="1"/>
  <c r="G77" i="1"/>
  <c r="G91" i="1"/>
  <c r="G106" i="1"/>
  <c r="G114" i="1"/>
  <c r="G118" i="1"/>
  <c r="G141" i="1"/>
  <c r="G146" i="1"/>
  <c r="G153" i="1"/>
  <c r="G159" i="1"/>
  <c r="G173" i="1"/>
  <c r="G220" i="1"/>
  <c r="G232" i="1"/>
  <c r="G235" i="1"/>
  <c r="G175" i="1"/>
  <c r="G190" i="1"/>
  <c r="G192" i="1"/>
  <c r="G193" i="1"/>
  <c r="G209" i="1"/>
  <c r="G210" i="1"/>
  <c r="G224" i="1"/>
  <c r="G228" i="1"/>
  <c r="G229" i="1"/>
  <c r="G239" i="1"/>
  <c r="G11" i="1"/>
  <c r="G14" i="1"/>
  <c r="G41" i="1"/>
  <c r="G59" i="1"/>
  <c r="G60" i="1"/>
  <c r="G65" i="1"/>
  <c r="G66" i="1"/>
  <c r="G83" i="1"/>
  <c r="G87" i="1"/>
  <c r="G124" i="1"/>
  <c r="G128" i="1"/>
  <c r="G138" i="1"/>
  <c r="G185" i="1"/>
  <c r="G203" i="1"/>
  <c r="G218" i="1"/>
  <c r="G249" i="1"/>
  <c r="G56" i="1"/>
  <c r="G74" i="1"/>
  <c r="G97" i="1"/>
  <c r="G126" i="1"/>
  <c r="G155" i="1"/>
  <c r="G187" i="1"/>
  <c r="G211" i="1"/>
  <c r="G234" i="1"/>
  <c r="G12" i="1"/>
  <c r="G86" i="1"/>
  <c r="G227" i="1"/>
  <c r="G110" i="1"/>
  <c r="G247" i="1"/>
  <c r="G182" i="1"/>
  <c r="G39" i="1"/>
  <c r="G70" i="1"/>
  <c r="G90" i="1"/>
  <c r="G93" i="1"/>
  <c r="G107" i="1"/>
  <c r="G116" i="1"/>
  <c r="G166" i="1"/>
  <c r="G168" i="1"/>
  <c r="G169" i="1"/>
  <c r="G174" i="1"/>
  <c r="G181" i="1"/>
  <c r="G188" i="1"/>
  <c r="G199" i="1"/>
  <c r="G215" i="1"/>
  <c r="G223" i="1"/>
  <c r="H25" i="1"/>
  <c r="H26" i="1"/>
  <c r="H27" i="1"/>
  <c r="H28" i="1"/>
  <c r="H29" i="1"/>
  <c r="H30" i="1"/>
  <c r="H32" i="1"/>
  <c r="H33" i="1"/>
  <c r="H34" i="1"/>
  <c r="H35" i="1"/>
  <c r="H36" i="1"/>
  <c r="H37" i="1"/>
  <c r="H201" i="1"/>
  <c r="H236" i="1"/>
  <c r="H237" i="1"/>
  <c r="H246" i="1"/>
  <c r="H248" i="1"/>
  <c r="H38" i="1"/>
  <c r="H40" i="1"/>
  <c r="H42" i="1"/>
  <c r="H43" i="1"/>
  <c r="H44" i="1"/>
  <c r="H45" i="1"/>
  <c r="H46" i="1"/>
  <c r="H47" i="1"/>
  <c r="H48" i="1"/>
  <c r="H49" i="1"/>
  <c r="H50" i="1"/>
  <c r="H51" i="1"/>
  <c r="H52" i="1"/>
  <c r="H54" i="1"/>
  <c r="H55" i="1"/>
  <c r="H57" i="1"/>
  <c r="H58" i="1"/>
  <c r="H61" i="1"/>
  <c r="H62" i="1"/>
  <c r="H64" i="1"/>
  <c r="H71" i="1"/>
  <c r="H72" i="1"/>
  <c r="H73" i="1"/>
  <c r="H76" i="1"/>
  <c r="H78" i="1"/>
  <c r="H79" i="1"/>
  <c r="H80" i="1"/>
  <c r="H85" i="1"/>
  <c r="H243" i="1"/>
  <c r="H244" i="1"/>
  <c r="H245" i="1"/>
  <c r="H81" i="1"/>
  <c r="H82" i="1"/>
  <c r="H84" i="1"/>
  <c r="H88" i="1"/>
  <c r="H89" i="1"/>
  <c r="H92" i="1"/>
  <c r="H94" i="1"/>
  <c r="H95" i="1"/>
  <c r="H96" i="1"/>
  <c r="H98" i="1"/>
  <c r="H99" i="1"/>
  <c r="H100" i="1"/>
  <c r="H101" i="1"/>
  <c r="H102" i="1"/>
  <c r="H103" i="1"/>
  <c r="H104" i="1"/>
  <c r="H105" i="1"/>
  <c r="H108" i="1"/>
  <c r="H109" i="1"/>
  <c r="H111" i="1"/>
  <c r="H112" i="1"/>
  <c r="H113" i="1"/>
  <c r="H115" i="1"/>
  <c r="H117" i="1"/>
  <c r="H119" i="1"/>
  <c r="H120" i="1"/>
  <c r="H122" i="1"/>
  <c r="H200" i="1"/>
  <c r="H240" i="1"/>
  <c r="H241" i="1"/>
  <c r="H242" i="1"/>
  <c r="H69" i="1"/>
  <c r="H123" i="1"/>
  <c r="H125" i="1"/>
  <c r="H127" i="1"/>
  <c r="H129" i="1"/>
  <c r="H131" i="1"/>
  <c r="H132" i="1"/>
  <c r="H133" i="1"/>
  <c r="H134" i="1"/>
  <c r="H135" i="1"/>
  <c r="H136" i="1"/>
  <c r="H137" i="1"/>
  <c r="H139" i="1"/>
  <c r="H140" i="1"/>
  <c r="H142" i="1"/>
  <c r="H143" i="1"/>
  <c r="H144" i="1"/>
  <c r="H145" i="1"/>
  <c r="H147" i="1"/>
  <c r="H148" i="1"/>
  <c r="H149" i="1"/>
  <c r="H150" i="1"/>
  <c r="H151" i="1"/>
  <c r="H152" i="1"/>
  <c r="H154" i="1"/>
  <c r="H156" i="1"/>
  <c r="H157" i="1"/>
  <c r="H230" i="1"/>
  <c r="H231" i="1"/>
  <c r="H233" i="1"/>
  <c r="H238" i="1"/>
  <c r="H5" i="1"/>
  <c r="H158" i="1"/>
  <c r="H160" i="1"/>
  <c r="H161" i="1"/>
  <c r="H162" i="1"/>
  <c r="H163" i="1"/>
  <c r="H164" i="1"/>
  <c r="H165" i="1"/>
  <c r="H167" i="1"/>
  <c r="H170" i="1"/>
  <c r="H171" i="1"/>
  <c r="H172" i="1"/>
  <c r="H176" i="1"/>
  <c r="H177" i="1"/>
  <c r="H178" i="1"/>
  <c r="H179" i="1"/>
  <c r="H180" i="1"/>
  <c r="H183" i="1"/>
  <c r="H184" i="1"/>
  <c r="H186" i="1"/>
  <c r="H189" i="1"/>
  <c r="H191" i="1"/>
  <c r="H194" i="1"/>
  <c r="H195" i="1"/>
  <c r="H196" i="1"/>
  <c r="H197" i="1"/>
  <c r="H198" i="1"/>
  <c r="H130" i="1"/>
  <c r="H202" i="1"/>
  <c r="H204" i="1"/>
  <c r="H205" i="1"/>
  <c r="H206" i="1"/>
  <c r="H207" i="1"/>
  <c r="H208" i="1"/>
  <c r="H212" i="1"/>
  <c r="H213" i="1"/>
  <c r="H214" i="1"/>
  <c r="H216" i="1"/>
  <c r="H217" i="1"/>
  <c r="H219" i="1"/>
  <c r="H221" i="1"/>
  <c r="H222" i="1"/>
  <c r="H225" i="1"/>
  <c r="H226" i="1"/>
  <c r="H121" i="1"/>
  <c r="H3" i="1"/>
  <c r="H13" i="1"/>
  <c r="H18" i="1"/>
  <c r="H24" i="1"/>
  <c r="H31" i="1"/>
  <c r="H53" i="1"/>
  <c r="H63" i="1"/>
  <c r="H67" i="1"/>
  <c r="H68" i="1"/>
  <c r="H75" i="1"/>
  <c r="H77" i="1"/>
  <c r="H91" i="1"/>
  <c r="H106" i="1"/>
  <c r="H114" i="1"/>
  <c r="H118" i="1"/>
  <c r="H141" i="1"/>
  <c r="H146" i="1"/>
  <c r="H153" i="1"/>
  <c r="H159" i="1"/>
  <c r="H173" i="1"/>
  <c r="H220" i="1"/>
  <c r="H232" i="1"/>
  <c r="H235" i="1"/>
  <c r="H175" i="1"/>
  <c r="H190" i="1"/>
  <c r="H192" i="1"/>
  <c r="H193" i="1"/>
  <c r="H209" i="1"/>
  <c r="H210" i="1"/>
  <c r="H224" i="1"/>
  <c r="H228" i="1"/>
  <c r="H229" i="1"/>
  <c r="H239" i="1"/>
  <c r="H11" i="1"/>
  <c r="H14" i="1"/>
  <c r="H41" i="1"/>
  <c r="H59" i="1"/>
  <c r="H60" i="1"/>
  <c r="H65" i="1"/>
  <c r="H66" i="1"/>
  <c r="H83" i="1"/>
  <c r="H87" i="1"/>
  <c r="H124" i="1"/>
  <c r="H128" i="1"/>
  <c r="H138" i="1"/>
  <c r="H185" i="1"/>
  <c r="H203" i="1"/>
  <c r="H218" i="1"/>
  <c r="H249" i="1"/>
  <c r="H56" i="1"/>
  <c r="H74" i="1"/>
  <c r="H97" i="1"/>
  <c r="H126" i="1"/>
  <c r="H155" i="1"/>
  <c r="H187" i="1"/>
  <c r="H211" i="1"/>
  <c r="H234" i="1"/>
  <c r="H12" i="1"/>
  <c r="H86" i="1"/>
  <c r="H227" i="1"/>
  <c r="H110" i="1"/>
  <c r="H247" i="1"/>
  <c r="H182" i="1"/>
  <c r="H39" i="1"/>
  <c r="H70" i="1"/>
  <c r="H90" i="1"/>
  <c r="H93" i="1"/>
  <c r="H107" i="1"/>
  <c r="H116" i="1"/>
  <c r="H166" i="1"/>
  <c r="H168" i="1"/>
  <c r="H169" i="1"/>
  <c r="H174" i="1"/>
  <c r="H181" i="1"/>
  <c r="H188" i="1"/>
  <c r="H199" i="1"/>
  <c r="H215" i="1"/>
  <c r="H223" i="1"/>
  <c r="I25" i="1"/>
  <c r="I26" i="1"/>
  <c r="I27" i="1"/>
  <c r="I28" i="1"/>
  <c r="I29" i="1"/>
  <c r="I30" i="1"/>
  <c r="I32" i="1"/>
  <c r="I33" i="1"/>
  <c r="I34" i="1"/>
  <c r="I35" i="1"/>
  <c r="I36" i="1"/>
  <c r="I37" i="1"/>
  <c r="I201" i="1"/>
  <c r="I236" i="1"/>
  <c r="I237" i="1"/>
  <c r="I246" i="1"/>
  <c r="I248" i="1"/>
  <c r="I38" i="1"/>
  <c r="I40" i="1"/>
  <c r="I42" i="1"/>
  <c r="I43" i="1"/>
  <c r="I44" i="1"/>
  <c r="I45" i="1"/>
  <c r="I46" i="1"/>
  <c r="I47" i="1"/>
  <c r="I48" i="1"/>
  <c r="I49" i="1"/>
  <c r="I50" i="1"/>
  <c r="I51" i="1"/>
  <c r="I52" i="1"/>
  <c r="I54" i="1"/>
  <c r="I55" i="1"/>
  <c r="I57" i="1"/>
  <c r="I58" i="1"/>
  <c r="I61" i="1"/>
  <c r="I62" i="1"/>
  <c r="I64" i="1"/>
  <c r="I71" i="1"/>
  <c r="I72" i="1"/>
  <c r="I73" i="1"/>
  <c r="I76" i="1"/>
  <c r="I78" i="1"/>
  <c r="I79" i="1"/>
  <c r="I80" i="1"/>
  <c r="I85" i="1"/>
  <c r="I243" i="1"/>
  <c r="I244" i="1"/>
  <c r="I245" i="1"/>
  <c r="I81" i="1"/>
  <c r="I82" i="1"/>
  <c r="I84" i="1"/>
  <c r="I88" i="1"/>
  <c r="I89" i="1"/>
  <c r="I92" i="1"/>
  <c r="I94" i="1"/>
  <c r="I95" i="1"/>
  <c r="I96" i="1"/>
  <c r="I98" i="1"/>
  <c r="I99" i="1"/>
  <c r="I100" i="1"/>
  <c r="I101" i="1"/>
  <c r="I102" i="1"/>
  <c r="I103" i="1"/>
  <c r="I104" i="1"/>
  <c r="I105" i="1"/>
  <c r="I108" i="1"/>
  <c r="I109" i="1"/>
  <c r="I111" i="1"/>
  <c r="I112" i="1"/>
  <c r="I113" i="1"/>
  <c r="I115" i="1"/>
  <c r="I117" i="1"/>
  <c r="I119" i="1"/>
  <c r="I120" i="1"/>
  <c r="I122" i="1"/>
  <c r="I200" i="1"/>
  <c r="I240" i="1"/>
  <c r="I241" i="1"/>
  <c r="I242" i="1"/>
  <c r="I69" i="1"/>
  <c r="I123" i="1"/>
  <c r="I125" i="1"/>
  <c r="I127" i="1"/>
  <c r="I129" i="1"/>
  <c r="I131" i="1"/>
  <c r="I132" i="1"/>
  <c r="I133" i="1"/>
  <c r="I134" i="1"/>
  <c r="I135" i="1"/>
  <c r="I136" i="1"/>
  <c r="I137" i="1"/>
  <c r="I139" i="1"/>
  <c r="I140" i="1"/>
  <c r="I142" i="1"/>
  <c r="I143" i="1"/>
  <c r="I144" i="1"/>
  <c r="I145" i="1"/>
  <c r="I147" i="1"/>
  <c r="I148" i="1"/>
  <c r="I149" i="1"/>
  <c r="I150" i="1"/>
  <c r="I151" i="1"/>
  <c r="I152" i="1"/>
  <c r="I154" i="1"/>
  <c r="I156" i="1"/>
  <c r="I157" i="1"/>
  <c r="I230" i="1"/>
  <c r="I231" i="1"/>
  <c r="I233" i="1"/>
  <c r="I238" i="1"/>
  <c r="I5" i="1"/>
  <c r="I158" i="1"/>
  <c r="I160" i="1"/>
  <c r="I161" i="1"/>
  <c r="I162" i="1"/>
  <c r="I163" i="1"/>
  <c r="I164" i="1"/>
  <c r="I165" i="1"/>
  <c r="I167" i="1"/>
  <c r="I170" i="1"/>
  <c r="I171" i="1"/>
  <c r="I172" i="1"/>
  <c r="I176" i="1"/>
  <c r="I177" i="1"/>
  <c r="I178" i="1"/>
  <c r="I179" i="1"/>
  <c r="I180" i="1"/>
  <c r="I183" i="1"/>
  <c r="I184" i="1"/>
  <c r="I186" i="1"/>
  <c r="I189" i="1"/>
  <c r="I191" i="1"/>
  <c r="I194" i="1"/>
  <c r="I195" i="1"/>
  <c r="I196" i="1"/>
  <c r="I197" i="1"/>
  <c r="I198" i="1"/>
  <c r="I130" i="1"/>
  <c r="I202" i="1"/>
  <c r="I204" i="1"/>
  <c r="I205" i="1"/>
  <c r="I206" i="1"/>
  <c r="I207" i="1"/>
  <c r="I208" i="1"/>
  <c r="I212" i="1"/>
  <c r="I213" i="1"/>
  <c r="I214" i="1"/>
  <c r="I216" i="1"/>
  <c r="I217" i="1"/>
  <c r="I219" i="1"/>
  <c r="I221" i="1"/>
  <c r="I222" i="1"/>
  <c r="I225" i="1"/>
  <c r="I226" i="1"/>
  <c r="I121" i="1"/>
  <c r="I3" i="1"/>
  <c r="I13" i="1"/>
  <c r="I18" i="1"/>
  <c r="I24" i="1"/>
  <c r="I31" i="1"/>
  <c r="I53" i="1"/>
  <c r="I63" i="1"/>
  <c r="I67" i="1"/>
  <c r="I68" i="1"/>
  <c r="I75" i="1"/>
  <c r="I77" i="1"/>
  <c r="I91" i="1"/>
  <c r="I106" i="1"/>
  <c r="I114" i="1"/>
  <c r="I118" i="1"/>
  <c r="I141" i="1"/>
  <c r="I146" i="1"/>
  <c r="I153" i="1"/>
  <c r="I159" i="1"/>
  <c r="I173" i="1"/>
  <c r="I220" i="1"/>
  <c r="I232" i="1"/>
  <c r="I235" i="1"/>
  <c r="I175" i="1"/>
  <c r="I190" i="1"/>
  <c r="I192" i="1"/>
  <c r="I193" i="1"/>
  <c r="I209" i="1"/>
  <c r="I210" i="1"/>
  <c r="I224" i="1"/>
  <c r="I228" i="1"/>
  <c r="I229" i="1"/>
  <c r="I239" i="1"/>
  <c r="I11" i="1"/>
  <c r="I14" i="1"/>
  <c r="I41" i="1"/>
  <c r="I59" i="1"/>
  <c r="I60" i="1"/>
  <c r="I65" i="1"/>
  <c r="I66" i="1"/>
  <c r="I83" i="1"/>
  <c r="I87" i="1"/>
  <c r="I124" i="1"/>
  <c r="I128" i="1"/>
  <c r="I138" i="1"/>
  <c r="I185" i="1"/>
  <c r="I203" i="1"/>
  <c r="I218" i="1"/>
  <c r="I249" i="1"/>
  <c r="I56" i="1"/>
  <c r="I74" i="1"/>
  <c r="I97" i="1"/>
  <c r="I126" i="1"/>
  <c r="I155" i="1"/>
  <c r="I187" i="1"/>
  <c r="I211" i="1"/>
  <c r="I234" i="1"/>
  <c r="I12" i="1"/>
  <c r="I86" i="1"/>
  <c r="I227" i="1"/>
  <c r="I110" i="1"/>
  <c r="I247" i="1"/>
  <c r="I182" i="1"/>
  <c r="I39" i="1"/>
  <c r="I70" i="1"/>
  <c r="I90" i="1"/>
  <c r="I93" i="1"/>
  <c r="I107" i="1"/>
  <c r="I116" i="1"/>
  <c r="I166" i="1"/>
  <c r="I168" i="1"/>
  <c r="I169" i="1"/>
  <c r="I174" i="1"/>
  <c r="I181" i="1"/>
  <c r="I188" i="1"/>
  <c r="I199" i="1"/>
  <c r="I215" i="1"/>
  <c r="I223" i="1"/>
  <c r="AV25" i="1"/>
  <c r="AV26" i="1"/>
  <c r="AV27" i="1"/>
  <c r="AV28" i="1"/>
  <c r="AV29" i="1"/>
  <c r="AV30" i="1"/>
  <c r="AV32" i="1"/>
  <c r="AV33" i="1"/>
  <c r="AV34" i="1"/>
  <c r="AV35" i="1"/>
  <c r="AV36" i="1"/>
  <c r="AV37" i="1"/>
  <c r="AV201" i="1"/>
  <c r="AV236" i="1"/>
  <c r="AV237" i="1"/>
  <c r="AV246" i="1"/>
  <c r="AV248" i="1"/>
  <c r="AV38" i="1"/>
  <c r="AV40" i="1"/>
  <c r="AV42" i="1"/>
  <c r="AV43" i="1"/>
  <c r="AV44" i="1"/>
  <c r="AV45" i="1"/>
  <c r="AV46" i="1"/>
  <c r="AV47" i="1"/>
  <c r="AV48" i="1"/>
  <c r="AV49" i="1"/>
  <c r="AV50" i="1"/>
  <c r="AV51" i="1"/>
  <c r="AV52" i="1"/>
  <c r="AV54" i="1"/>
  <c r="AV55" i="1"/>
  <c r="AV57" i="1"/>
  <c r="AV58" i="1"/>
  <c r="AV61" i="1"/>
  <c r="AV62" i="1"/>
  <c r="AV64" i="1"/>
  <c r="AV71" i="1"/>
  <c r="AV72" i="1"/>
  <c r="AV73" i="1"/>
  <c r="AV76" i="1"/>
  <c r="AV78" i="1"/>
  <c r="AV79" i="1"/>
  <c r="AV80" i="1"/>
  <c r="AV85" i="1"/>
  <c r="AV243" i="1"/>
  <c r="AV244" i="1"/>
  <c r="AV245" i="1"/>
  <c r="AV81" i="1"/>
  <c r="AV82" i="1"/>
  <c r="AV84" i="1"/>
  <c r="AV88" i="1"/>
  <c r="AV89" i="1"/>
  <c r="AV92" i="1"/>
  <c r="AV94" i="1"/>
  <c r="AV95" i="1"/>
  <c r="AV96" i="1"/>
  <c r="AV98" i="1"/>
  <c r="AV99" i="1"/>
  <c r="AV100" i="1"/>
  <c r="AV101" i="1"/>
  <c r="AV102" i="1"/>
  <c r="AV103" i="1"/>
  <c r="AV104" i="1"/>
  <c r="AV105" i="1"/>
  <c r="AV108" i="1"/>
  <c r="AV109" i="1"/>
  <c r="AV111" i="1"/>
  <c r="AV112" i="1"/>
  <c r="AV113" i="1"/>
  <c r="AV115" i="1"/>
  <c r="AV117" i="1"/>
  <c r="AV119" i="1"/>
  <c r="AV120" i="1"/>
  <c r="AV122" i="1"/>
  <c r="AV200" i="1"/>
  <c r="AV240" i="1"/>
  <c r="AV241" i="1"/>
  <c r="AV242" i="1"/>
  <c r="AV69" i="1"/>
  <c r="AV123" i="1"/>
  <c r="AV125" i="1"/>
  <c r="AV127" i="1"/>
  <c r="AV129" i="1"/>
  <c r="AV131" i="1"/>
  <c r="AV132" i="1"/>
  <c r="AV133" i="1"/>
  <c r="AV134" i="1"/>
  <c r="AV135" i="1"/>
  <c r="AV136" i="1"/>
  <c r="AV137" i="1"/>
  <c r="AV139" i="1"/>
  <c r="AV140" i="1"/>
  <c r="AV142" i="1"/>
  <c r="AV143" i="1"/>
  <c r="AV144" i="1"/>
  <c r="AV145" i="1"/>
  <c r="AV147" i="1"/>
  <c r="AV148" i="1"/>
  <c r="AV149" i="1"/>
  <c r="AV150" i="1"/>
  <c r="AV151" i="1"/>
  <c r="AV152" i="1"/>
  <c r="AV154" i="1"/>
  <c r="AV156" i="1"/>
  <c r="AV157" i="1"/>
  <c r="AV230" i="1"/>
  <c r="AV231" i="1"/>
  <c r="AV233" i="1"/>
  <c r="AV238" i="1"/>
  <c r="AV5" i="1"/>
  <c r="AV158" i="1"/>
  <c r="AV160" i="1"/>
  <c r="AV161" i="1"/>
  <c r="AV162" i="1"/>
  <c r="AV163" i="1"/>
  <c r="AV164" i="1"/>
  <c r="AV165" i="1"/>
  <c r="AV167" i="1"/>
  <c r="AV170" i="1"/>
  <c r="AV171" i="1"/>
  <c r="AV172" i="1"/>
  <c r="AV176" i="1"/>
  <c r="AV177" i="1"/>
  <c r="AV178" i="1"/>
  <c r="AV179" i="1"/>
  <c r="AV180" i="1"/>
  <c r="AV183" i="1"/>
  <c r="AV184" i="1"/>
  <c r="AV186" i="1"/>
  <c r="AV189" i="1"/>
  <c r="AV191" i="1"/>
  <c r="AV194" i="1"/>
  <c r="AV195" i="1"/>
  <c r="AV196" i="1"/>
  <c r="AV197" i="1"/>
  <c r="AV198" i="1"/>
  <c r="AV130" i="1"/>
  <c r="AV202" i="1"/>
  <c r="AV204" i="1"/>
  <c r="AV205" i="1"/>
  <c r="AV206" i="1"/>
  <c r="AV207" i="1"/>
  <c r="AV208" i="1"/>
  <c r="AV212" i="1"/>
  <c r="AV213" i="1"/>
  <c r="AV214" i="1"/>
  <c r="AV216" i="1"/>
  <c r="AV217" i="1"/>
  <c r="AV219" i="1"/>
  <c r="AV221" i="1"/>
  <c r="AV222" i="1"/>
  <c r="AV225" i="1"/>
  <c r="AV226" i="1"/>
  <c r="AV121" i="1"/>
  <c r="AV3" i="1"/>
  <c r="AV13" i="1"/>
  <c r="AV18" i="1"/>
  <c r="AV24" i="1"/>
  <c r="AV31" i="1"/>
  <c r="AV53" i="1"/>
  <c r="AV63" i="1"/>
  <c r="AV67" i="1"/>
  <c r="AV68" i="1"/>
  <c r="AV75" i="1"/>
  <c r="AV77" i="1"/>
  <c r="AV91" i="1"/>
  <c r="AV106" i="1"/>
  <c r="AV114" i="1"/>
  <c r="AV118" i="1"/>
  <c r="AV141" i="1"/>
  <c r="AV146" i="1"/>
  <c r="AV153" i="1"/>
  <c r="AV159" i="1"/>
  <c r="AV173" i="1"/>
  <c r="AV220" i="1"/>
  <c r="AV232" i="1"/>
  <c r="AV235" i="1"/>
  <c r="AV175" i="1"/>
  <c r="AV190" i="1"/>
  <c r="AV192" i="1"/>
  <c r="AV193" i="1"/>
  <c r="AV209" i="1"/>
  <c r="AV210" i="1"/>
  <c r="AV224" i="1"/>
  <c r="AV228" i="1"/>
  <c r="AV229" i="1"/>
  <c r="AV239" i="1"/>
  <c r="AV11" i="1"/>
  <c r="AV14" i="1"/>
  <c r="AV41" i="1"/>
  <c r="AV59" i="1"/>
  <c r="AV60" i="1"/>
  <c r="AV65" i="1"/>
  <c r="AV66" i="1"/>
  <c r="AV83" i="1"/>
  <c r="AV87" i="1"/>
  <c r="AV124" i="1"/>
  <c r="AV128" i="1"/>
  <c r="AV138" i="1"/>
  <c r="AV185" i="1"/>
  <c r="AV203" i="1"/>
  <c r="AV218" i="1"/>
  <c r="AV249" i="1"/>
  <c r="AV56" i="1"/>
  <c r="AV74" i="1"/>
  <c r="AV97" i="1"/>
  <c r="AV126" i="1"/>
  <c r="AV155" i="1"/>
  <c r="AV187" i="1"/>
  <c r="AV211" i="1"/>
  <c r="AV234" i="1"/>
  <c r="AV12" i="1"/>
  <c r="AV86" i="1"/>
  <c r="AV227" i="1"/>
  <c r="AV110" i="1"/>
  <c r="AV247" i="1"/>
  <c r="AV182" i="1"/>
  <c r="AV39" i="1"/>
  <c r="AV70" i="1"/>
  <c r="AV90" i="1"/>
  <c r="AV93" i="1"/>
  <c r="AV107" i="1"/>
  <c r="AV116" i="1"/>
  <c r="AV166" i="1"/>
  <c r="AV168" i="1"/>
  <c r="AV169" i="1"/>
  <c r="AV174" i="1"/>
  <c r="AV181" i="1"/>
  <c r="AV188" i="1"/>
  <c r="AV199" i="1"/>
  <c r="AV215" i="1"/>
  <c r="AV223" i="1"/>
  <c r="AW25" i="1"/>
  <c r="AW26" i="1"/>
  <c r="AW27" i="1"/>
  <c r="AW28" i="1"/>
  <c r="AW29" i="1"/>
  <c r="AW30" i="1"/>
  <c r="AW32" i="1"/>
  <c r="AW33" i="1"/>
  <c r="AW34" i="1"/>
  <c r="AW35" i="1"/>
  <c r="AW36" i="1"/>
  <c r="AW37" i="1"/>
  <c r="AW201" i="1"/>
  <c r="AW236" i="1"/>
  <c r="AW237" i="1"/>
  <c r="AW246" i="1"/>
  <c r="AW248" i="1"/>
  <c r="AW38" i="1"/>
  <c r="AW40" i="1"/>
  <c r="AW42" i="1"/>
  <c r="AW43" i="1"/>
  <c r="AW44" i="1"/>
  <c r="AW45" i="1"/>
  <c r="AW46" i="1"/>
  <c r="AW47" i="1"/>
  <c r="AW48" i="1"/>
  <c r="AW49" i="1"/>
  <c r="AW50" i="1"/>
  <c r="AW51" i="1"/>
  <c r="AW52" i="1"/>
  <c r="AW54" i="1"/>
  <c r="AW55" i="1"/>
  <c r="AW57" i="1"/>
  <c r="AW58" i="1"/>
  <c r="AW61" i="1"/>
  <c r="AW62" i="1"/>
  <c r="AW64" i="1"/>
  <c r="AW71" i="1"/>
  <c r="AW72" i="1"/>
  <c r="AW73" i="1"/>
  <c r="AW76" i="1"/>
  <c r="AW78" i="1"/>
  <c r="AW79" i="1"/>
  <c r="AW80" i="1"/>
  <c r="AW85" i="1"/>
  <c r="AW243" i="1"/>
  <c r="AW244" i="1"/>
  <c r="AW245" i="1"/>
  <c r="AW81" i="1"/>
  <c r="AW82" i="1"/>
  <c r="AW84" i="1"/>
  <c r="AW88" i="1"/>
  <c r="AW89" i="1"/>
  <c r="AW92" i="1"/>
  <c r="AW94" i="1"/>
  <c r="AW95" i="1"/>
  <c r="AW96" i="1"/>
  <c r="AW98" i="1"/>
  <c r="AW99" i="1"/>
  <c r="AW100" i="1"/>
  <c r="AW101" i="1"/>
  <c r="AW102" i="1"/>
  <c r="AW103" i="1"/>
  <c r="AW104" i="1"/>
  <c r="AW105" i="1"/>
  <c r="AW108" i="1"/>
  <c r="AW109" i="1"/>
  <c r="AW111" i="1"/>
  <c r="AW112" i="1"/>
  <c r="AW113" i="1"/>
  <c r="AW115" i="1"/>
  <c r="AW117" i="1"/>
  <c r="AW119" i="1"/>
  <c r="AW120" i="1"/>
  <c r="AW122" i="1"/>
  <c r="AW200" i="1"/>
  <c r="AW240" i="1"/>
  <c r="AW241" i="1"/>
  <c r="AW242" i="1"/>
  <c r="AW69" i="1"/>
  <c r="AW123" i="1"/>
  <c r="AW125" i="1"/>
  <c r="AW127" i="1"/>
  <c r="AW129" i="1"/>
  <c r="AW131" i="1"/>
  <c r="AW132" i="1"/>
  <c r="AW133" i="1"/>
  <c r="AW134" i="1"/>
  <c r="AW135" i="1"/>
  <c r="AW136" i="1"/>
  <c r="AW137" i="1"/>
  <c r="AW139" i="1"/>
  <c r="AW140" i="1"/>
  <c r="AW142" i="1"/>
  <c r="AW143" i="1"/>
  <c r="AW144" i="1"/>
  <c r="AW145" i="1"/>
  <c r="AW147" i="1"/>
  <c r="AW148" i="1"/>
  <c r="AW149" i="1"/>
  <c r="AW150" i="1"/>
  <c r="AW151" i="1"/>
  <c r="AW152" i="1"/>
  <c r="AW154" i="1"/>
  <c r="AW156" i="1"/>
  <c r="AW157" i="1"/>
  <c r="AW230" i="1"/>
  <c r="AW231" i="1"/>
  <c r="AW233" i="1"/>
  <c r="AW238" i="1"/>
  <c r="AW5" i="1"/>
  <c r="AW158" i="1"/>
  <c r="AW160" i="1"/>
  <c r="AW161" i="1"/>
  <c r="AW162" i="1"/>
  <c r="AW163" i="1"/>
  <c r="AW164" i="1"/>
  <c r="AW165" i="1"/>
  <c r="AW167" i="1"/>
  <c r="AW170" i="1"/>
  <c r="AW171" i="1"/>
  <c r="AW172" i="1"/>
  <c r="AW176" i="1"/>
  <c r="AW177" i="1"/>
  <c r="AW178" i="1"/>
  <c r="AW179" i="1"/>
  <c r="AW180" i="1"/>
  <c r="AW183" i="1"/>
  <c r="AW184" i="1"/>
  <c r="AW186" i="1"/>
  <c r="AW189" i="1"/>
  <c r="AW191" i="1"/>
  <c r="AW194" i="1"/>
  <c r="AW195" i="1"/>
  <c r="AW196" i="1"/>
  <c r="AW197" i="1"/>
  <c r="AW198" i="1"/>
  <c r="AW130" i="1"/>
  <c r="AW202" i="1"/>
  <c r="AW204" i="1"/>
  <c r="AW205" i="1"/>
  <c r="AW206" i="1"/>
  <c r="AW207" i="1"/>
  <c r="AW208" i="1"/>
  <c r="AW212" i="1"/>
  <c r="AW213" i="1"/>
  <c r="AW214" i="1"/>
  <c r="AW216" i="1"/>
  <c r="AW217" i="1"/>
  <c r="AW219" i="1"/>
  <c r="AW221" i="1"/>
  <c r="AW222" i="1"/>
  <c r="AW225" i="1"/>
  <c r="AW226" i="1"/>
  <c r="AW121" i="1"/>
  <c r="AW3" i="1"/>
  <c r="AW13" i="1"/>
  <c r="AW18" i="1"/>
  <c r="AW24" i="1"/>
  <c r="AW31" i="1"/>
  <c r="AW53" i="1"/>
  <c r="AW63" i="1"/>
  <c r="AW67" i="1"/>
  <c r="AW68" i="1"/>
  <c r="AW75" i="1"/>
  <c r="AW77" i="1"/>
  <c r="AW91" i="1"/>
  <c r="AW106" i="1"/>
  <c r="AW114" i="1"/>
  <c r="AW118" i="1"/>
  <c r="AW141" i="1"/>
  <c r="AW146" i="1"/>
  <c r="AW153" i="1"/>
  <c r="AW159" i="1"/>
  <c r="AW173" i="1"/>
  <c r="AW220" i="1"/>
  <c r="AW232" i="1"/>
  <c r="AW235" i="1"/>
  <c r="AW175" i="1"/>
  <c r="AW190" i="1"/>
  <c r="AW192" i="1"/>
  <c r="AW193" i="1"/>
  <c r="AW209" i="1"/>
  <c r="AW210" i="1"/>
  <c r="AW224" i="1"/>
  <c r="AW228" i="1"/>
  <c r="AW229" i="1"/>
  <c r="AW239" i="1"/>
  <c r="AW11" i="1"/>
  <c r="AW14" i="1"/>
  <c r="AW41" i="1"/>
  <c r="AW59" i="1"/>
  <c r="AW60" i="1"/>
  <c r="AW65" i="1"/>
  <c r="AW66" i="1"/>
  <c r="AW83" i="1"/>
  <c r="AW87" i="1"/>
  <c r="AW124" i="1"/>
  <c r="AW128" i="1"/>
  <c r="AW138" i="1"/>
  <c r="AW185" i="1"/>
  <c r="AW203" i="1"/>
  <c r="AW218" i="1"/>
  <c r="AW249" i="1"/>
  <c r="AW56" i="1"/>
  <c r="AW74" i="1"/>
  <c r="AW97" i="1"/>
  <c r="AW126" i="1"/>
  <c r="AW155" i="1"/>
  <c r="AW187" i="1"/>
  <c r="AW211" i="1"/>
  <c r="AW234" i="1"/>
  <c r="AW12" i="1"/>
  <c r="AW86" i="1"/>
  <c r="AW227" i="1"/>
  <c r="AW110" i="1"/>
  <c r="AW247" i="1"/>
  <c r="AW182" i="1"/>
  <c r="AW39" i="1"/>
  <c r="AW70" i="1"/>
  <c r="AW90" i="1"/>
  <c r="AW93" i="1"/>
  <c r="AW107" i="1"/>
  <c r="AW116" i="1"/>
  <c r="AW166" i="1"/>
  <c r="AW168" i="1"/>
  <c r="AW169" i="1"/>
  <c r="AW174" i="1"/>
  <c r="AW181" i="1"/>
  <c r="AW188" i="1"/>
  <c r="AW199" i="1"/>
  <c r="AW215" i="1"/>
  <c r="AW223" i="1"/>
  <c r="AX25" i="1"/>
  <c r="AX26" i="1"/>
  <c r="AX27" i="1"/>
  <c r="AX28" i="1"/>
  <c r="AX29" i="1"/>
  <c r="AX30" i="1"/>
  <c r="AX32" i="1"/>
  <c r="AX33" i="1"/>
  <c r="AX34" i="1"/>
  <c r="AX35" i="1"/>
  <c r="AX36" i="1"/>
  <c r="AX37" i="1"/>
  <c r="AX201" i="1"/>
  <c r="AX236" i="1"/>
  <c r="AX237" i="1"/>
  <c r="AX246" i="1"/>
  <c r="AX248" i="1"/>
  <c r="AX38" i="1"/>
  <c r="AX40" i="1"/>
  <c r="AX42" i="1"/>
  <c r="AX43" i="1"/>
  <c r="AX44" i="1"/>
  <c r="AX45" i="1"/>
  <c r="AX46" i="1"/>
  <c r="AX47" i="1"/>
  <c r="AX48" i="1"/>
  <c r="AX49" i="1"/>
  <c r="AX50" i="1"/>
  <c r="AX51" i="1"/>
  <c r="AX52" i="1"/>
  <c r="AX54" i="1"/>
  <c r="AX55" i="1"/>
  <c r="AX57" i="1"/>
  <c r="AX58" i="1"/>
  <c r="AX61" i="1"/>
  <c r="AX62" i="1"/>
  <c r="AX64" i="1"/>
  <c r="AX71" i="1"/>
  <c r="AX72" i="1"/>
  <c r="AX73" i="1"/>
  <c r="AX76" i="1"/>
  <c r="AX78" i="1"/>
  <c r="AX79" i="1"/>
  <c r="AX80" i="1"/>
  <c r="AX85" i="1"/>
  <c r="AX243" i="1"/>
  <c r="AX244" i="1"/>
  <c r="AX245" i="1"/>
  <c r="AX81" i="1"/>
  <c r="AX82" i="1"/>
  <c r="AX84" i="1"/>
  <c r="AX88" i="1"/>
  <c r="AX89" i="1"/>
  <c r="AX92" i="1"/>
  <c r="AX94" i="1"/>
  <c r="AX95" i="1"/>
  <c r="AX96" i="1"/>
  <c r="AX98" i="1"/>
  <c r="AX99" i="1"/>
  <c r="AX100" i="1"/>
  <c r="AX101" i="1"/>
  <c r="AX102" i="1"/>
  <c r="AX103" i="1"/>
  <c r="AX104" i="1"/>
  <c r="AX105" i="1"/>
  <c r="AX108" i="1"/>
  <c r="AX109" i="1"/>
  <c r="AX111" i="1"/>
  <c r="AX112" i="1"/>
  <c r="AX113" i="1"/>
  <c r="AX115" i="1"/>
  <c r="AX117" i="1"/>
  <c r="AX119" i="1"/>
  <c r="AX120" i="1"/>
  <c r="AX122" i="1"/>
  <c r="AX200" i="1"/>
  <c r="AX240" i="1"/>
  <c r="AX241" i="1"/>
  <c r="AX242" i="1"/>
  <c r="AX69" i="1"/>
  <c r="AX123" i="1"/>
  <c r="AX125" i="1"/>
  <c r="AX127" i="1"/>
  <c r="AX129" i="1"/>
  <c r="AX131" i="1"/>
  <c r="AX132" i="1"/>
  <c r="AX133" i="1"/>
  <c r="AX134" i="1"/>
  <c r="AX135" i="1"/>
  <c r="AX136" i="1"/>
  <c r="AX137" i="1"/>
  <c r="AX139" i="1"/>
  <c r="AX140" i="1"/>
  <c r="AX142" i="1"/>
  <c r="AX143" i="1"/>
  <c r="AX144" i="1"/>
  <c r="AX145" i="1"/>
  <c r="AX147" i="1"/>
  <c r="AX148" i="1"/>
  <c r="AX149" i="1"/>
  <c r="AX150" i="1"/>
  <c r="AX151" i="1"/>
  <c r="AX152" i="1"/>
  <c r="AX154" i="1"/>
  <c r="AX156" i="1"/>
  <c r="AX157" i="1"/>
  <c r="AX230" i="1"/>
  <c r="AX231" i="1"/>
  <c r="AX233" i="1"/>
  <c r="AX238" i="1"/>
  <c r="AX5" i="1"/>
  <c r="AX158" i="1"/>
  <c r="AX160" i="1"/>
  <c r="AX161" i="1"/>
  <c r="AX162" i="1"/>
  <c r="AX163" i="1"/>
  <c r="AX164" i="1"/>
  <c r="AX165" i="1"/>
  <c r="AX167" i="1"/>
  <c r="AX170" i="1"/>
  <c r="AX171" i="1"/>
  <c r="AX172" i="1"/>
  <c r="AX176" i="1"/>
  <c r="AX177" i="1"/>
  <c r="AX178" i="1"/>
  <c r="AX179" i="1"/>
  <c r="AX180" i="1"/>
  <c r="AX183" i="1"/>
  <c r="AX184" i="1"/>
  <c r="AX186" i="1"/>
  <c r="AX189" i="1"/>
  <c r="AX191" i="1"/>
  <c r="AX194" i="1"/>
  <c r="AX195" i="1"/>
  <c r="AX196" i="1"/>
  <c r="AX197" i="1"/>
  <c r="AX198" i="1"/>
  <c r="AX130" i="1"/>
  <c r="AX202" i="1"/>
  <c r="AX204" i="1"/>
  <c r="AX205" i="1"/>
  <c r="AX206" i="1"/>
  <c r="AX207" i="1"/>
  <c r="AX208" i="1"/>
  <c r="AX212" i="1"/>
  <c r="AX213" i="1"/>
  <c r="AX214" i="1"/>
  <c r="AX216" i="1"/>
  <c r="AX217" i="1"/>
  <c r="AX219" i="1"/>
  <c r="AX221" i="1"/>
  <c r="AX222" i="1"/>
  <c r="AX225" i="1"/>
  <c r="AX226" i="1"/>
  <c r="AX121" i="1"/>
  <c r="AX3" i="1"/>
  <c r="AX13" i="1"/>
  <c r="AX18" i="1"/>
  <c r="AX24" i="1"/>
  <c r="AX31" i="1"/>
  <c r="AX53" i="1"/>
  <c r="AX63" i="1"/>
  <c r="AX67" i="1"/>
  <c r="AX68" i="1"/>
  <c r="AX75" i="1"/>
  <c r="AX77" i="1"/>
  <c r="AX91" i="1"/>
  <c r="AX106" i="1"/>
  <c r="AX114" i="1"/>
  <c r="AX118" i="1"/>
  <c r="AX141" i="1"/>
  <c r="AX146" i="1"/>
  <c r="AX153" i="1"/>
  <c r="AX159" i="1"/>
  <c r="AX173" i="1"/>
  <c r="AX220" i="1"/>
  <c r="AX232" i="1"/>
  <c r="AX235" i="1"/>
  <c r="AX175" i="1"/>
  <c r="AX190" i="1"/>
  <c r="AX192" i="1"/>
  <c r="AX193" i="1"/>
  <c r="AX209" i="1"/>
  <c r="AX210" i="1"/>
  <c r="AX224" i="1"/>
  <c r="AX228" i="1"/>
  <c r="AX229" i="1"/>
  <c r="AX239" i="1"/>
  <c r="AX11" i="1"/>
  <c r="AX14" i="1"/>
  <c r="AX41" i="1"/>
  <c r="AX59" i="1"/>
  <c r="AX60" i="1"/>
  <c r="AX65" i="1"/>
  <c r="AX66" i="1"/>
  <c r="AX83" i="1"/>
  <c r="AX87" i="1"/>
  <c r="AX124" i="1"/>
  <c r="AX128" i="1"/>
  <c r="AX138" i="1"/>
  <c r="AX185" i="1"/>
  <c r="AX203" i="1"/>
  <c r="AX218" i="1"/>
  <c r="AX249" i="1"/>
  <c r="AX56" i="1"/>
  <c r="AX74" i="1"/>
  <c r="AX97" i="1"/>
  <c r="AX126" i="1"/>
  <c r="AX155" i="1"/>
  <c r="AX187" i="1"/>
  <c r="AX211" i="1"/>
  <c r="AX234" i="1"/>
  <c r="AX12" i="1"/>
  <c r="AX86" i="1"/>
  <c r="AX227" i="1"/>
  <c r="AX110" i="1"/>
  <c r="AX247" i="1"/>
  <c r="AX182" i="1"/>
  <c r="AX39" i="1"/>
  <c r="AX70" i="1"/>
  <c r="AX90" i="1"/>
  <c r="AX93" i="1"/>
  <c r="AX107" i="1"/>
  <c r="AX116" i="1"/>
  <c r="AX166" i="1"/>
  <c r="AX168" i="1"/>
  <c r="AX169" i="1"/>
  <c r="AX174" i="1"/>
  <c r="AX181" i="1"/>
  <c r="AX188" i="1"/>
  <c r="AX199" i="1"/>
  <c r="AX215" i="1"/>
  <c r="AX223" i="1"/>
  <c r="AY25" i="1"/>
  <c r="AY26" i="1"/>
  <c r="AY27" i="1"/>
  <c r="AY28" i="1"/>
  <c r="AY29" i="1"/>
  <c r="AY30" i="1"/>
  <c r="AY32" i="1"/>
  <c r="AY33" i="1"/>
  <c r="AY34" i="1"/>
  <c r="AY35" i="1"/>
  <c r="AY36" i="1"/>
  <c r="AY37" i="1"/>
  <c r="AY201" i="1"/>
  <c r="AY236" i="1"/>
  <c r="AY237" i="1"/>
  <c r="AY246" i="1"/>
  <c r="AY248" i="1"/>
  <c r="AY38" i="1"/>
  <c r="AY40" i="1"/>
  <c r="AY42" i="1"/>
  <c r="AY43" i="1"/>
  <c r="AY44" i="1"/>
  <c r="AY45" i="1"/>
  <c r="AY46" i="1"/>
  <c r="AY47" i="1"/>
  <c r="AY48" i="1"/>
  <c r="AY49" i="1"/>
  <c r="AY50" i="1"/>
  <c r="AY51" i="1"/>
  <c r="AY52" i="1"/>
  <c r="AY54" i="1"/>
  <c r="AY55" i="1"/>
  <c r="AY57" i="1"/>
  <c r="AY58" i="1"/>
  <c r="AY61" i="1"/>
  <c r="AY62" i="1"/>
  <c r="AY64" i="1"/>
  <c r="AY71" i="1"/>
  <c r="AY72" i="1"/>
  <c r="AY73" i="1"/>
  <c r="AY76" i="1"/>
  <c r="AY78" i="1"/>
  <c r="AY79" i="1"/>
  <c r="AY80" i="1"/>
  <c r="AY85" i="1"/>
  <c r="AY243" i="1"/>
  <c r="AY244" i="1"/>
  <c r="AY245" i="1"/>
  <c r="AY81" i="1"/>
  <c r="AY82" i="1"/>
  <c r="AY84" i="1"/>
  <c r="AY88" i="1"/>
  <c r="AY89" i="1"/>
  <c r="AY92" i="1"/>
  <c r="AY94" i="1"/>
  <c r="AY95" i="1"/>
  <c r="AY96" i="1"/>
  <c r="AY98" i="1"/>
  <c r="AY99" i="1"/>
  <c r="AY100" i="1"/>
  <c r="AY101" i="1"/>
  <c r="AY102" i="1"/>
  <c r="AY103" i="1"/>
  <c r="AY104" i="1"/>
  <c r="AY105" i="1"/>
  <c r="AY108" i="1"/>
  <c r="AY109" i="1"/>
  <c r="AY111" i="1"/>
  <c r="AY112" i="1"/>
  <c r="AY113" i="1"/>
  <c r="AY115" i="1"/>
  <c r="AY117" i="1"/>
  <c r="AY119" i="1"/>
  <c r="AY120" i="1"/>
  <c r="AY122" i="1"/>
  <c r="AY200" i="1"/>
  <c r="AY240" i="1"/>
  <c r="AY241" i="1"/>
  <c r="AY242" i="1"/>
  <c r="AY69" i="1"/>
  <c r="AY123" i="1"/>
  <c r="AY125" i="1"/>
  <c r="AY127" i="1"/>
  <c r="AY129" i="1"/>
  <c r="AY131" i="1"/>
  <c r="AY132" i="1"/>
  <c r="AY133" i="1"/>
  <c r="AY134" i="1"/>
  <c r="AY135" i="1"/>
  <c r="AY136" i="1"/>
  <c r="AY137" i="1"/>
  <c r="AY139" i="1"/>
  <c r="AY140" i="1"/>
  <c r="AY142" i="1"/>
  <c r="AY143" i="1"/>
  <c r="AY144" i="1"/>
  <c r="AY145" i="1"/>
  <c r="AY147" i="1"/>
  <c r="AY148" i="1"/>
  <c r="AY149" i="1"/>
  <c r="AY150" i="1"/>
  <c r="AY151" i="1"/>
  <c r="AY152" i="1"/>
  <c r="AY154" i="1"/>
  <c r="AY156" i="1"/>
  <c r="AY157" i="1"/>
  <c r="AY230" i="1"/>
  <c r="AY231" i="1"/>
  <c r="AY233" i="1"/>
  <c r="AY238" i="1"/>
  <c r="AY5" i="1"/>
  <c r="AY158" i="1"/>
  <c r="AY160" i="1"/>
  <c r="AY161" i="1"/>
  <c r="AY162" i="1"/>
  <c r="AY163" i="1"/>
  <c r="AY164" i="1"/>
  <c r="AY165" i="1"/>
  <c r="AY167" i="1"/>
  <c r="AY170" i="1"/>
  <c r="AY171" i="1"/>
  <c r="AY172" i="1"/>
  <c r="AY176" i="1"/>
  <c r="AY177" i="1"/>
  <c r="AY178" i="1"/>
  <c r="AY179" i="1"/>
  <c r="AY180" i="1"/>
  <c r="AY183" i="1"/>
  <c r="AY184" i="1"/>
  <c r="AY186" i="1"/>
  <c r="AY189" i="1"/>
  <c r="AY191" i="1"/>
  <c r="AY194" i="1"/>
  <c r="AY195" i="1"/>
  <c r="AY196" i="1"/>
  <c r="AY197" i="1"/>
  <c r="AY198" i="1"/>
  <c r="AY130" i="1"/>
  <c r="AY202" i="1"/>
  <c r="AY204" i="1"/>
  <c r="AY205" i="1"/>
  <c r="AY206" i="1"/>
  <c r="AY207" i="1"/>
  <c r="AY208" i="1"/>
  <c r="AY212" i="1"/>
  <c r="AY213" i="1"/>
  <c r="AY214" i="1"/>
  <c r="AY216" i="1"/>
  <c r="AY217" i="1"/>
  <c r="AY219" i="1"/>
  <c r="AY221" i="1"/>
  <c r="AY222" i="1"/>
  <c r="AY225" i="1"/>
  <c r="AY226" i="1"/>
  <c r="AY121" i="1"/>
  <c r="AY3" i="1"/>
  <c r="AY13" i="1"/>
  <c r="AY18" i="1"/>
  <c r="AY24" i="1"/>
  <c r="AY31" i="1"/>
  <c r="AY53" i="1"/>
  <c r="AY63" i="1"/>
  <c r="AY67" i="1"/>
  <c r="AY68" i="1"/>
  <c r="AY75" i="1"/>
  <c r="AY77" i="1"/>
  <c r="AY91" i="1"/>
  <c r="AY106" i="1"/>
  <c r="AY114" i="1"/>
  <c r="AY118" i="1"/>
  <c r="AY141" i="1"/>
  <c r="AY146" i="1"/>
  <c r="AY153" i="1"/>
  <c r="AY159" i="1"/>
  <c r="AY173" i="1"/>
  <c r="AY220" i="1"/>
  <c r="AY232" i="1"/>
  <c r="AY235" i="1"/>
  <c r="AY175" i="1"/>
  <c r="AY190" i="1"/>
  <c r="AY192" i="1"/>
  <c r="AY193" i="1"/>
  <c r="AY209" i="1"/>
  <c r="AY210" i="1"/>
  <c r="AY224" i="1"/>
  <c r="AY228" i="1"/>
  <c r="AY229" i="1"/>
  <c r="AY239" i="1"/>
  <c r="AY11" i="1"/>
  <c r="AY14" i="1"/>
  <c r="AY41" i="1"/>
  <c r="AY59" i="1"/>
  <c r="AY60" i="1"/>
  <c r="AY65" i="1"/>
  <c r="AY66" i="1"/>
  <c r="AY83" i="1"/>
  <c r="AY87" i="1"/>
  <c r="AY124" i="1"/>
  <c r="AY128" i="1"/>
  <c r="AY138" i="1"/>
  <c r="AY185" i="1"/>
  <c r="AY203" i="1"/>
  <c r="AY218" i="1"/>
  <c r="AY249" i="1"/>
  <c r="AY56" i="1"/>
  <c r="AY74" i="1"/>
  <c r="AY97" i="1"/>
  <c r="AY126" i="1"/>
  <c r="AY155" i="1"/>
  <c r="AY187" i="1"/>
  <c r="AY211" i="1"/>
  <c r="AY234" i="1"/>
  <c r="AY12" i="1"/>
  <c r="AY86" i="1"/>
  <c r="AY227" i="1"/>
  <c r="AY110" i="1"/>
  <c r="AY247" i="1"/>
  <c r="AY182" i="1"/>
  <c r="AY39" i="1"/>
  <c r="AY70" i="1"/>
  <c r="AY90" i="1"/>
  <c r="AY93" i="1"/>
  <c r="AY107" i="1"/>
  <c r="AY116" i="1"/>
  <c r="AY166" i="1"/>
  <c r="AY168" i="1"/>
  <c r="AY169" i="1"/>
  <c r="AY174" i="1"/>
  <c r="AY181" i="1"/>
  <c r="AY188" i="1"/>
  <c r="AY199" i="1"/>
  <c r="AY215" i="1"/>
  <c r="AY223" i="1"/>
  <c r="AZ25" i="1"/>
  <c r="AZ26" i="1"/>
  <c r="AZ27" i="1"/>
  <c r="AZ28" i="1"/>
  <c r="AZ29" i="1"/>
  <c r="AZ30" i="1"/>
  <c r="AZ32" i="1"/>
  <c r="AZ33" i="1"/>
  <c r="AZ34" i="1"/>
  <c r="AZ35" i="1"/>
  <c r="AZ36" i="1"/>
  <c r="AZ37" i="1"/>
  <c r="AZ201" i="1"/>
  <c r="AZ236" i="1"/>
  <c r="AZ237" i="1"/>
  <c r="AZ246" i="1"/>
  <c r="AZ248" i="1"/>
  <c r="AZ38" i="1"/>
  <c r="AZ40" i="1"/>
  <c r="AZ42" i="1"/>
  <c r="AZ43" i="1"/>
  <c r="AZ44" i="1"/>
  <c r="AZ45" i="1"/>
  <c r="AZ46" i="1"/>
  <c r="AZ47" i="1"/>
  <c r="AZ48" i="1"/>
  <c r="AZ49" i="1"/>
  <c r="AZ50" i="1"/>
  <c r="AZ51" i="1"/>
  <c r="AZ52" i="1"/>
  <c r="AZ54" i="1"/>
  <c r="AZ55" i="1"/>
  <c r="AZ57" i="1"/>
  <c r="AZ58" i="1"/>
  <c r="AZ61" i="1"/>
  <c r="AZ62" i="1"/>
  <c r="AZ64" i="1"/>
  <c r="AZ71" i="1"/>
  <c r="AZ72" i="1"/>
  <c r="AZ73" i="1"/>
  <c r="AZ76" i="1"/>
  <c r="AZ78" i="1"/>
  <c r="AZ79" i="1"/>
  <c r="AZ80" i="1"/>
  <c r="AZ85" i="1"/>
  <c r="AZ243" i="1"/>
  <c r="AZ244" i="1"/>
  <c r="AZ245" i="1"/>
  <c r="AZ81" i="1"/>
  <c r="AZ82" i="1"/>
  <c r="AZ84" i="1"/>
  <c r="AZ88" i="1"/>
  <c r="AZ89" i="1"/>
  <c r="AZ92" i="1"/>
  <c r="AZ94" i="1"/>
  <c r="AZ95" i="1"/>
  <c r="AZ96" i="1"/>
  <c r="AZ98" i="1"/>
  <c r="AZ99" i="1"/>
  <c r="AZ100" i="1"/>
  <c r="AZ101" i="1"/>
  <c r="AZ102" i="1"/>
  <c r="AZ103" i="1"/>
  <c r="AZ104" i="1"/>
  <c r="AZ105" i="1"/>
  <c r="AZ108" i="1"/>
  <c r="AZ109" i="1"/>
  <c r="AZ111" i="1"/>
  <c r="AZ112" i="1"/>
  <c r="AZ113" i="1"/>
  <c r="AZ115" i="1"/>
  <c r="AZ117" i="1"/>
  <c r="AZ119" i="1"/>
  <c r="AZ120" i="1"/>
  <c r="AZ122" i="1"/>
  <c r="AZ200" i="1"/>
  <c r="AZ240" i="1"/>
  <c r="AZ241" i="1"/>
  <c r="AZ242" i="1"/>
  <c r="AZ69" i="1"/>
  <c r="AZ123" i="1"/>
  <c r="AZ125" i="1"/>
  <c r="AZ127" i="1"/>
  <c r="AZ129" i="1"/>
  <c r="AZ131" i="1"/>
  <c r="AZ132" i="1"/>
  <c r="AZ133" i="1"/>
  <c r="AZ134" i="1"/>
  <c r="AZ135" i="1"/>
  <c r="AZ136" i="1"/>
  <c r="AZ137" i="1"/>
  <c r="AZ139" i="1"/>
  <c r="AZ140" i="1"/>
  <c r="AZ142" i="1"/>
  <c r="AZ143" i="1"/>
  <c r="AZ144" i="1"/>
  <c r="AZ145" i="1"/>
  <c r="AZ147" i="1"/>
  <c r="AZ148" i="1"/>
  <c r="AZ149" i="1"/>
  <c r="AZ150" i="1"/>
  <c r="AZ151" i="1"/>
  <c r="AZ152" i="1"/>
  <c r="AZ154" i="1"/>
  <c r="AZ156" i="1"/>
  <c r="AZ157" i="1"/>
  <c r="AZ230" i="1"/>
  <c r="AZ231" i="1"/>
  <c r="AZ233" i="1"/>
  <c r="AZ238" i="1"/>
  <c r="AZ5" i="1"/>
  <c r="AZ158" i="1"/>
  <c r="AZ160" i="1"/>
  <c r="AZ161" i="1"/>
  <c r="AZ162" i="1"/>
  <c r="AZ163" i="1"/>
  <c r="AZ164" i="1"/>
  <c r="AZ165" i="1"/>
  <c r="AZ167" i="1"/>
  <c r="AZ170" i="1"/>
  <c r="AZ171" i="1"/>
  <c r="AZ172" i="1"/>
  <c r="AZ176" i="1"/>
  <c r="AZ177" i="1"/>
  <c r="AZ178" i="1"/>
  <c r="AZ179" i="1"/>
  <c r="AZ180" i="1"/>
  <c r="AZ183" i="1"/>
  <c r="AZ184" i="1"/>
  <c r="AZ186" i="1"/>
  <c r="AZ189" i="1"/>
  <c r="AZ191" i="1"/>
  <c r="AZ194" i="1"/>
  <c r="AZ195" i="1"/>
  <c r="AZ196" i="1"/>
  <c r="AZ197" i="1"/>
  <c r="AZ198" i="1"/>
  <c r="AZ130" i="1"/>
  <c r="AZ202" i="1"/>
  <c r="AZ204" i="1"/>
  <c r="AZ205" i="1"/>
  <c r="AZ206" i="1"/>
  <c r="AZ207" i="1"/>
  <c r="AZ208" i="1"/>
  <c r="AZ212" i="1"/>
  <c r="AZ213" i="1"/>
  <c r="AZ214" i="1"/>
  <c r="AZ216" i="1"/>
  <c r="AZ217" i="1"/>
  <c r="AZ219" i="1"/>
  <c r="AZ221" i="1"/>
  <c r="AZ222" i="1"/>
  <c r="AZ225" i="1"/>
  <c r="AZ226" i="1"/>
  <c r="AZ121" i="1"/>
  <c r="AZ3" i="1"/>
  <c r="AZ13" i="1"/>
  <c r="AZ18" i="1"/>
  <c r="AZ24" i="1"/>
  <c r="AZ31" i="1"/>
  <c r="AZ53" i="1"/>
  <c r="AZ63" i="1"/>
  <c r="AZ67" i="1"/>
  <c r="AZ68" i="1"/>
  <c r="AZ75" i="1"/>
  <c r="AZ77" i="1"/>
  <c r="AZ91" i="1"/>
  <c r="AZ106" i="1"/>
  <c r="AZ114" i="1"/>
  <c r="AZ118" i="1"/>
  <c r="AZ141" i="1"/>
  <c r="AZ146" i="1"/>
  <c r="AZ153" i="1"/>
  <c r="AZ159" i="1"/>
  <c r="AZ173" i="1"/>
  <c r="AZ220" i="1"/>
  <c r="AZ232" i="1"/>
  <c r="AZ235" i="1"/>
  <c r="AZ175" i="1"/>
  <c r="AZ190" i="1"/>
  <c r="AZ192" i="1"/>
  <c r="AZ193" i="1"/>
  <c r="AZ209" i="1"/>
  <c r="AZ210" i="1"/>
  <c r="AZ224" i="1"/>
  <c r="AZ228" i="1"/>
  <c r="AZ229" i="1"/>
  <c r="AZ239" i="1"/>
  <c r="AZ11" i="1"/>
  <c r="AZ14" i="1"/>
  <c r="AZ41" i="1"/>
  <c r="AZ59" i="1"/>
  <c r="AZ60" i="1"/>
  <c r="AZ65" i="1"/>
  <c r="AZ66" i="1"/>
  <c r="AZ83" i="1"/>
  <c r="AZ87" i="1"/>
  <c r="AZ124" i="1"/>
  <c r="AZ128" i="1"/>
  <c r="AZ138" i="1"/>
  <c r="AZ185" i="1"/>
  <c r="AZ203" i="1"/>
  <c r="AZ218" i="1"/>
  <c r="AZ249" i="1"/>
  <c r="AZ56" i="1"/>
  <c r="AZ74" i="1"/>
  <c r="AZ97" i="1"/>
  <c r="AZ126" i="1"/>
  <c r="AZ155" i="1"/>
  <c r="AZ187" i="1"/>
  <c r="AZ211" i="1"/>
  <c r="AZ234" i="1"/>
  <c r="AZ12" i="1"/>
  <c r="AZ86" i="1"/>
  <c r="AZ227" i="1"/>
  <c r="AZ110" i="1"/>
  <c r="AZ247" i="1"/>
  <c r="AZ182" i="1"/>
  <c r="AZ39" i="1"/>
  <c r="AZ70" i="1"/>
  <c r="AZ90" i="1"/>
  <c r="AZ93" i="1"/>
  <c r="AZ107" i="1"/>
  <c r="AZ116" i="1"/>
  <c r="AZ166" i="1"/>
  <c r="AZ168" i="1"/>
  <c r="AZ169" i="1"/>
  <c r="AZ174" i="1"/>
  <c r="AZ181" i="1"/>
  <c r="AZ188" i="1"/>
  <c r="AZ199" i="1"/>
  <c r="AZ215" i="1"/>
  <c r="AZ223" i="1"/>
  <c r="BA25" i="1"/>
  <c r="BA26" i="1"/>
  <c r="BA27" i="1"/>
  <c r="BA28" i="1"/>
  <c r="BA29" i="1"/>
  <c r="BA30" i="1"/>
  <c r="BA32" i="1"/>
  <c r="BA33" i="1"/>
  <c r="BA34" i="1"/>
  <c r="BA35" i="1"/>
  <c r="BA36" i="1"/>
  <c r="BA37" i="1"/>
  <c r="BA201" i="1"/>
  <c r="BA236" i="1"/>
  <c r="BA237" i="1"/>
  <c r="BA246" i="1"/>
  <c r="BA248" i="1"/>
  <c r="BA38" i="1"/>
  <c r="BA40" i="1"/>
  <c r="BA42" i="1"/>
  <c r="BA43" i="1"/>
  <c r="BA44" i="1"/>
  <c r="BA45" i="1"/>
  <c r="BA46" i="1"/>
  <c r="BA47" i="1"/>
  <c r="BA48" i="1"/>
  <c r="BA49" i="1"/>
  <c r="BA50" i="1"/>
  <c r="BA51" i="1"/>
  <c r="BA52" i="1"/>
  <c r="BA54" i="1"/>
  <c r="BA55" i="1"/>
  <c r="BA57" i="1"/>
  <c r="BA58" i="1"/>
  <c r="BA61" i="1"/>
  <c r="BA62" i="1"/>
  <c r="BA64" i="1"/>
  <c r="BA71" i="1"/>
  <c r="BA72" i="1"/>
  <c r="BA73" i="1"/>
  <c r="BA76" i="1"/>
  <c r="BA78" i="1"/>
  <c r="BA79" i="1"/>
  <c r="BA80" i="1"/>
  <c r="BA85" i="1"/>
  <c r="BA243" i="1"/>
  <c r="BA244" i="1"/>
  <c r="BA245" i="1"/>
  <c r="BA81" i="1"/>
  <c r="BA82" i="1"/>
  <c r="BA84" i="1"/>
  <c r="BA88" i="1"/>
  <c r="BA89" i="1"/>
  <c r="BA92" i="1"/>
  <c r="BA94" i="1"/>
  <c r="BA95" i="1"/>
  <c r="BA96" i="1"/>
  <c r="BA98" i="1"/>
  <c r="BA99" i="1"/>
  <c r="BA100" i="1"/>
  <c r="BA101" i="1"/>
  <c r="BA102" i="1"/>
  <c r="BA103" i="1"/>
  <c r="BA104" i="1"/>
  <c r="BA105" i="1"/>
  <c r="BA108" i="1"/>
  <c r="BA109" i="1"/>
  <c r="BA111" i="1"/>
  <c r="BA112" i="1"/>
  <c r="BA113" i="1"/>
  <c r="BA115" i="1"/>
  <c r="BA117" i="1"/>
  <c r="BA119" i="1"/>
  <c r="BA120" i="1"/>
  <c r="BA122" i="1"/>
  <c r="BA200" i="1"/>
  <c r="BA240" i="1"/>
  <c r="BA241" i="1"/>
  <c r="BA242" i="1"/>
  <c r="BA69" i="1"/>
  <c r="BA123" i="1"/>
  <c r="BA125" i="1"/>
  <c r="BA127" i="1"/>
  <c r="BA129" i="1"/>
  <c r="BA131" i="1"/>
  <c r="BA132" i="1"/>
  <c r="BA133" i="1"/>
  <c r="BA134" i="1"/>
  <c r="BA135" i="1"/>
  <c r="BA136" i="1"/>
  <c r="BA137" i="1"/>
  <c r="BA139" i="1"/>
  <c r="BA140" i="1"/>
  <c r="BA142" i="1"/>
  <c r="BA143" i="1"/>
  <c r="BA144" i="1"/>
  <c r="BA145" i="1"/>
  <c r="BA147" i="1"/>
  <c r="BA148" i="1"/>
  <c r="BA149" i="1"/>
  <c r="BA150" i="1"/>
  <c r="BA151" i="1"/>
  <c r="BA152" i="1"/>
  <c r="BA154" i="1"/>
  <c r="BA156" i="1"/>
  <c r="BA157" i="1"/>
  <c r="BA230" i="1"/>
  <c r="BA231" i="1"/>
  <c r="BA233" i="1"/>
  <c r="BA238" i="1"/>
  <c r="BA5" i="1"/>
  <c r="BA158" i="1"/>
  <c r="BA160" i="1"/>
  <c r="BA161" i="1"/>
  <c r="BA162" i="1"/>
  <c r="BA163" i="1"/>
  <c r="BA164" i="1"/>
  <c r="BA165" i="1"/>
  <c r="BA167" i="1"/>
  <c r="BA170" i="1"/>
  <c r="BA171" i="1"/>
  <c r="BA172" i="1"/>
  <c r="BA176" i="1"/>
  <c r="BA177" i="1"/>
  <c r="BA178" i="1"/>
  <c r="BA179" i="1"/>
  <c r="BA180" i="1"/>
  <c r="BA183" i="1"/>
  <c r="BA184" i="1"/>
  <c r="BA186" i="1"/>
  <c r="BA189" i="1"/>
  <c r="BA191" i="1"/>
  <c r="BA194" i="1"/>
  <c r="BA195" i="1"/>
  <c r="BA196" i="1"/>
  <c r="BA197" i="1"/>
  <c r="BA198" i="1"/>
  <c r="BA130" i="1"/>
  <c r="BA202" i="1"/>
  <c r="BA204" i="1"/>
  <c r="BA205" i="1"/>
  <c r="BA206" i="1"/>
  <c r="BA207" i="1"/>
  <c r="BA208" i="1"/>
  <c r="BA212" i="1"/>
  <c r="BA213" i="1"/>
  <c r="BA214" i="1"/>
  <c r="BA216" i="1"/>
  <c r="BA217" i="1"/>
  <c r="BA219" i="1"/>
  <c r="BA221" i="1"/>
  <c r="BA222" i="1"/>
  <c r="BA225" i="1"/>
  <c r="BA226" i="1"/>
  <c r="BA121" i="1"/>
  <c r="BA3" i="1"/>
  <c r="BA13" i="1"/>
  <c r="BA18" i="1"/>
  <c r="BA24" i="1"/>
  <c r="BA31" i="1"/>
  <c r="BA53" i="1"/>
  <c r="BA63" i="1"/>
  <c r="BA67" i="1"/>
  <c r="BA68" i="1"/>
  <c r="BA75" i="1"/>
  <c r="BA77" i="1"/>
  <c r="BA91" i="1"/>
  <c r="BA106" i="1"/>
  <c r="BA114" i="1"/>
  <c r="BA118" i="1"/>
  <c r="BA141" i="1"/>
  <c r="BA146" i="1"/>
  <c r="BA153" i="1"/>
  <c r="BA159" i="1"/>
  <c r="BA173" i="1"/>
  <c r="BA220" i="1"/>
  <c r="BA232" i="1"/>
  <c r="BA235" i="1"/>
  <c r="BA175" i="1"/>
  <c r="BA190" i="1"/>
  <c r="BA192" i="1"/>
  <c r="BA193" i="1"/>
  <c r="BA209" i="1"/>
  <c r="BA210" i="1"/>
  <c r="BA224" i="1"/>
  <c r="BA228" i="1"/>
  <c r="BA229" i="1"/>
  <c r="BA239" i="1"/>
  <c r="BA11" i="1"/>
  <c r="BA14" i="1"/>
  <c r="BA41" i="1"/>
  <c r="BA59" i="1"/>
  <c r="BA60" i="1"/>
  <c r="BA65" i="1"/>
  <c r="BA66" i="1"/>
  <c r="BA83" i="1"/>
  <c r="BA87" i="1"/>
  <c r="BA124" i="1"/>
  <c r="BA128" i="1"/>
  <c r="BA138" i="1"/>
  <c r="BA185" i="1"/>
  <c r="BA203" i="1"/>
  <c r="BA218" i="1"/>
  <c r="BA249" i="1"/>
  <c r="BA56" i="1"/>
  <c r="BA74" i="1"/>
  <c r="BA97" i="1"/>
  <c r="BA126" i="1"/>
  <c r="BA155" i="1"/>
  <c r="BA187" i="1"/>
  <c r="BA211" i="1"/>
  <c r="BA234" i="1"/>
  <c r="BA12" i="1"/>
  <c r="BA86" i="1"/>
  <c r="BA227" i="1"/>
  <c r="BA110" i="1"/>
  <c r="BA247" i="1"/>
  <c r="BA182" i="1"/>
  <c r="BA39" i="1"/>
  <c r="BA70" i="1"/>
  <c r="BA90" i="1"/>
  <c r="BA93" i="1"/>
  <c r="BA107" i="1"/>
  <c r="BA116" i="1"/>
  <c r="BA166" i="1"/>
  <c r="BA168" i="1"/>
  <c r="BA169" i="1"/>
  <c r="BA174" i="1"/>
  <c r="BA181" i="1"/>
  <c r="BA188" i="1"/>
  <c r="BA199" i="1"/>
  <c r="BA215" i="1"/>
  <c r="BA223" i="1"/>
  <c r="BB25" i="1"/>
  <c r="BB26" i="1"/>
  <c r="BB27" i="1"/>
  <c r="BB28" i="1"/>
  <c r="BB29" i="1"/>
  <c r="BB30" i="1"/>
  <c r="BB32" i="1"/>
  <c r="BB33" i="1"/>
  <c r="BB34" i="1"/>
  <c r="BB35" i="1"/>
  <c r="BB36" i="1"/>
  <c r="BB37" i="1"/>
  <c r="BB201" i="1"/>
  <c r="BB236" i="1"/>
  <c r="BB237" i="1"/>
  <c r="BB246" i="1"/>
  <c r="BB248" i="1"/>
  <c r="BB38" i="1"/>
  <c r="BB40" i="1"/>
  <c r="BB42" i="1"/>
  <c r="BB43" i="1"/>
  <c r="BB44" i="1"/>
  <c r="BB45" i="1"/>
  <c r="BB46" i="1"/>
  <c r="BB47" i="1"/>
  <c r="BB48" i="1"/>
  <c r="BB49" i="1"/>
  <c r="BB50" i="1"/>
  <c r="BB51" i="1"/>
  <c r="BB52" i="1"/>
  <c r="BB54" i="1"/>
  <c r="BB55" i="1"/>
  <c r="BB57" i="1"/>
  <c r="BB58" i="1"/>
  <c r="BB61" i="1"/>
  <c r="BB62" i="1"/>
  <c r="BB64" i="1"/>
  <c r="BB71" i="1"/>
  <c r="BB72" i="1"/>
  <c r="BB73" i="1"/>
  <c r="BB76" i="1"/>
  <c r="BB78" i="1"/>
  <c r="BB79" i="1"/>
  <c r="BB80" i="1"/>
  <c r="BB85" i="1"/>
  <c r="BB243" i="1"/>
  <c r="BB244" i="1"/>
  <c r="BB245" i="1"/>
  <c r="BB81" i="1"/>
  <c r="BB82" i="1"/>
  <c r="BB84" i="1"/>
  <c r="BB88" i="1"/>
  <c r="BB89" i="1"/>
  <c r="BB92" i="1"/>
  <c r="BB94" i="1"/>
  <c r="BB95" i="1"/>
  <c r="BB96" i="1"/>
  <c r="BB98" i="1"/>
  <c r="BB99" i="1"/>
  <c r="BB100" i="1"/>
  <c r="BB101" i="1"/>
  <c r="BB102" i="1"/>
  <c r="BB103" i="1"/>
  <c r="BB104" i="1"/>
  <c r="BB105" i="1"/>
  <c r="BB108" i="1"/>
  <c r="BB109" i="1"/>
  <c r="BB111" i="1"/>
  <c r="BB112" i="1"/>
  <c r="BB113" i="1"/>
  <c r="BB115" i="1"/>
  <c r="BB117" i="1"/>
  <c r="BB119" i="1"/>
  <c r="BB120" i="1"/>
  <c r="BB122" i="1"/>
  <c r="BB200" i="1"/>
  <c r="BB240" i="1"/>
  <c r="BB241" i="1"/>
  <c r="BB242" i="1"/>
  <c r="BB69" i="1"/>
  <c r="BB123" i="1"/>
  <c r="BB125" i="1"/>
  <c r="BB127" i="1"/>
  <c r="BB129" i="1"/>
  <c r="BB131" i="1"/>
  <c r="BB132" i="1"/>
  <c r="BB133" i="1"/>
  <c r="BB134" i="1"/>
  <c r="BB135" i="1"/>
  <c r="BB136" i="1"/>
  <c r="BB137" i="1"/>
  <c r="BB139" i="1"/>
  <c r="BB140" i="1"/>
  <c r="BB142" i="1"/>
  <c r="BB143" i="1"/>
  <c r="BB144" i="1"/>
  <c r="BB145" i="1"/>
  <c r="BB147" i="1"/>
  <c r="BB148" i="1"/>
  <c r="BB149" i="1"/>
  <c r="BB150" i="1"/>
  <c r="BB151" i="1"/>
  <c r="BB152" i="1"/>
  <c r="BB154" i="1"/>
  <c r="BB156" i="1"/>
  <c r="BB157" i="1"/>
  <c r="BB230" i="1"/>
  <c r="BB231" i="1"/>
  <c r="BB233" i="1"/>
  <c r="BB238" i="1"/>
  <c r="BB5" i="1"/>
  <c r="BB158" i="1"/>
  <c r="BB160" i="1"/>
  <c r="BB161" i="1"/>
  <c r="BB162" i="1"/>
  <c r="BB163" i="1"/>
  <c r="BB164" i="1"/>
  <c r="BB165" i="1"/>
  <c r="BB167" i="1"/>
  <c r="BB170" i="1"/>
  <c r="BB171" i="1"/>
  <c r="BB172" i="1"/>
  <c r="BB176" i="1"/>
  <c r="BB177" i="1"/>
  <c r="BB178" i="1"/>
  <c r="BB179" i="1"/>
  <c r="BB180" i="1"/>
  <c r="BB183" i="1"/>
  <c r="BB184" i="1"/>
  <c r="BB186" i="1"/>
  <c r="BB189" i="1"/>
  <c r="BB191" i="1"/>
  <c r="BB194" i="1"/>
  <c r="BB195" i="1"/>
  <c r="BB196" i="1"/>
  <c r="BB197" i="1"/>
  <c r="BB198" i="1"/>
  <c r="BB130" i="1"/>
  <c r="BB202" i="1"/>
  <c r="BB204" i="1"/>
  <c r="BB205" i="1"/>
  <c r="BB206" i="1"/>
  <c r="BB207" i="1"/>
  <c r="BB208" i="1"/>
  <c r="BB212" i="1"/>
  <c r="BB213" i="1"/>
  <c r="BB214" i="1"/>
  <c r="BB216" i="1"/>
  <c r="BB217" i="1"/>
  <c r="BB219" i="1"/>
  <c r="BB221" i="1"/>
  <c r="BB222" i="1"/>
  <c r="BB225" i="1"/>
  <c r="BB226" i="1"/>
  <c r="BB121" i="1"/>
  <c r="BB3" i="1"/>
  <c r="BB13" i="1"/>
  <c r="BB18" i="1"/>
  <c r="BB24" i="1"/>
  <c r="BB31" i="1"/>
  <c r="BB53" i="1"/>
  <c r="BB63" i="1"/>
  <c r="BB67" i="1"/>
  <c r="BB68" i="1"/>
  <c r="BB75" i="1"/>
  <c r="BB77" i="1"/>
  <c r="BB91" i="1"/>
  <c r="BB106" i="1"/>
  <c r="BB114" i="1"/>
  <c r="BB118" i="1"/>
  <c r="BB141" i="1"/>
  <c r="BB146" i="1"/>
  <c r="BB153" i="1"/>
  <c r="BB159" i="1"/>
  <c r="BB173" i="1"/>
  <c r="BB220" i="1"/>
  <c r="BB232" i="1"/>
  <c r="BB235" i="1"/>
  <c r="BB175" i="1"/>
  <c r="BB190" i="1"/>
  <c r="BB192" i="1"/>
  <c r="BB193" i="1"/>
  <c r="BB209" i="1"/>
  <c r="BB210" i="1"/>
  <c r="BB224" i="1"/>
  <c r="BB228" i="1"/>
  <c r="BB229" i="1"/>
  <c r="BB239" i="1"/>
  <c r="BB11" i="1"/>
  <c r="BB14" i="1"/>
  <c r="BB41" i="1"/>
  <c r="BB59" i="1"/>
  <c r="BB60" i="1"/>
  <c r="BB65" i="1"/>
  <c r="BB66" i="1"/>
  <c r="BB83" i="1"/>
  <c r="BB87" i="1"/>
  <c r="BB124" i="1"/>
  <c r="BB128" i="1"/>
  <c r="BB138" i="1"/>
  <c r="BB185" i="1"/>
  <c r="BB203" i="1"/>
  <c r="BB218" i="1"/>
  <c r="BB249" i="1"/>
  <c r="BB56" i="1"/>
  <c r="BB74" i="1"/>
  <c r="BB97" i="1"/>
  <c r="BB126" i="1"/>
  <c r="BB155" i="1"/>
  <c r="BB187" i="1"/>
  <c r="BB211" i="1"/>
  <c r="BB234" i="1"/>
  <c r="BB12" i="1"/>
  <c r="BB86" i="1"/>
  <c r="BB227" i="1"/>
  <c r="BB110" i="1"/>
  <c r="BB247" i="1"/>
  <c r="BB182" i="1"/>
  <c r="BB39" i="1"/>
  <c r="BB70" i="1"/>
  <c r="BB90" i="1"/>
  <c r="BB93" i="1"/>
  <c r="BB107" i="1"/>
  <c r="BB116" i="1"/>
  <c r="BB166" i="1"/>
  <c r="BB168" i="1"/>
  <c r="BB169" i="1"/>
  <c r="BB174" i="1"/>
  <c r="BB181" i="1"/>
  <c r="BB188" i="1"/>
  <c r="BB199" i="1"/>
  <c r="BB215" i="1"/>
  <c r="BB223" i="1"/>
  <c r="BC25" i="1"/>
  <c r="BC26" i="1"/>
  <c r="BC27" i="1"/>
  <c r="BC28" i="1"/>
  <c r="BC29" i="1"/>
  <c r="BC30" i="1"/>
  <c r="BC32" i="1"/>
  <c r="BC33" i="1"/>
  <c r="BC34" i="1"/>
  <c r="BC35" i="1"/>
  <c r="BC36" i="1"/>
  <c r="BC37" i="1"/>
  <c r="BC201" i="1"/>
  <c r="BC236" i="1"/>
  <c r="BC237" i="1"/>
  <c r="BC246" i="1"/>
  <c r="BC248" i="1"/>
  <c r="BC38" i="1"/>
  <c r="BC40" i="1"/>
  <c r="BC42" i="1"/>
  <c r="BC43" i="1"/>
  <c r="BC44" i="1"/>
  <c r="BC45" i="1"/>
  <c r="BC46" i="1"/>
  <c r="BC47" i="1"/>
  <c r="BC48" i="1"/>
  <c r="BC49" i="1"/>
  <c r="BC50" i="1"/>
  <c r="BC51" i="1"/>
  <c r="BC52" i="1"/>
  <c r="BC54" i="1"/>
  <c r="BC55" i="1"/>
  <c r="BC57" i="1"/>
  <c r="BC58" i="1"/>
  <c r="BC61" i="1"/>
  <c r="BC62" i="1"/>
  <c r="BC64" i="1"/>
  <c r="BC71" i="1"/>
  <c r="BC72" i="1"/>
  <c r="BC73" i="1"/>
  <c r="BC76" i="1"/>
  <c r="BC78" i="1"/>
  <c r="BC79" i="1"/>
  <c r="BC80" i="1"/>
  <c r="BC85" i="1"/>
  <c r="BC243" i="1"/>
  <c r="BC244" i="1"/>
  <c r="BC245" i="1"/>
  <c r="BC81" i="1"/>
  <c r="BC82" i="1"/>
  <c r="BC84" i="1"/>
  <c r="BC88" i="1"/>
  <c r="BC89" i="1"/>
  <c r="BC92" i="1"/>
  <c r="BC94" i="1"/>
  <c r="BC95" i="1"/>
  <c r="BC96" i="1"/>
  <c r="BC98" i="1"/>
  <c r="BC99" i="1"/>
  <c r="BC100" i="1"/>
  <c r="BC101" i="1"/>
  <c r="BC102" i="1"/>
  <c r="BC103" i="1"/>
  <c r="BC104" i="1"/>
  <c r="BC105" i="1"/>
  <c r="BC108" i="1"/>
  <c r="BC109" i="1"/>
  <c r="BC111" i="1"/>
  <c r="BC112" i="1"/>
  <c r="BC113" i="1"/>
  <c r="BC115" i="1"/>
  <c r="BC117" i="1"/>
  <c r="BC119" i="1"/>
  <c r="BC120" i="1"/>
  <c r="BC122" i="1"/>
  <c r="BC200" i="1"/>
  <c r="BC240" i="1"/>
  <c r="BC241" i="1"/>
  <c r="BC242" i="1"/>
  <c r="BC69" i="1"/>
  <c r="BC123" i="1"/>
  <c r="BC125" i="1"/>
  <c r="BC127" i="1"/>
  <c r="BC129" i="1"/>
  <c r="BC131" i="1"/>
  <c r="BC132" i="1"/>
  <c r="BC133" i="1"/>
  <c r="BC134" i="1"/>
  <c r="BC135" i="1"/>
  <c r="BC136" i="1"/>
  <c r="BC137" i="1"/>
  <c r="BC139" i="1"/>
  <c r="BC140" i="1"/>
  <c r="BC142" i="1"/>
  <c r="BC143" i="1"/>
  <c r="BC144" i="1"/>
  <c r="BC145" i="1"/>
  <c r="BC147" i="1"/>
  <c r="BC148" i="1"/>
  <c r="BC149" i="1"/>
  <c r="BC150" i="1"/>
  <c r="BC151" i="1"/>
  <c r="BC152" i="1"/>
  <c r="BC154" i="1"/>
  <c r="BC156" i="1"/>
  <c r="BC157" i="1"/>
  <c r="BC230" i="1"/>
  <c r="BC231" i="1"/>
  <c r="BC233" i="1"/>
  <c r="BC238" i="1"/>
  <c r="BC5" i="1"/>
  <c r="BC158" i="1"/>
  <c r="BC160" i="1"/>
  <c r="BC161" i="1"/>
  <c r="BC162" i="1"/>
  <c r="BC163" i="1"/>
  <c r="BC164" i="1"/>
  <c r="BC165" i="1"/>
  <c r="BC167" i="1"/>
  <c r="BC170" i="1"/>
  <c r="BC171" i="1"/>
  <c r="BC172" i="1"/>
  <c r="BC176" i="1"/>
  <c r="BC177" i="1"/>
  <c r="BC178" i="1"/>
  <c r="BC179" i="1"/>
  <c r="BC180" i="1"/>
  <c r="BC183" i="1"/>
  <c r="BC184" i="1"/>
  <c r="BC186" i="1"/>
  <c r="BC189" i="1"/>
  <c r="BC191" i="1"/>
  <c r="BC194" i="1"/>
  <c r="BC195" i="1"/>
  <c r="BC196" i="1"/>
  <c r="BC197" i="1"/>
  <c r="BC198" i="1"/>
  <c r="BC130" i="1"/>
  <c r="BC202" i="1"/>
  <c r="BC204" i="1"/>
  <c r="BC205" i="1"/>
  <c r="BC206" i="1"/>
  <c r="BC207" i="1"/>
  <c r="BC208" i="1"/>
  <c r="BC212" i="1"/>
  <c r="BC213" i="1"/>
  <c r="BC214" i="1"/>
  <c r="BC216" i="1"/>
  <c r="BC217" i="1"/>
  <c r="BC219" i="1"/>
  <c r="BC221" i="1"/>
  <c r="BC222" i="1"/>
  <c r="BC225" i="1"/>
  <c r="BC226" i="1"/>
  <c r="BC121" i="1"/>
  <c r="BC3" i="1"/>
  <c r="BC13" i="1"/>
  <c r="BC18" i="1"/>
  <c r="BC24" i="1"/>
  <c r="BC31" i="1"/>
  <c r="BC53" i="1"/>
  <c r="BC63" i="1"/>
  <c r="BC67" i="1"/>
  <c r="BC68" i="1"/>
  <c r="BC75" i="1"/>
  <c r="BC77" i="1"/>
  <c r="BC91" i="1"/>
  <c r="BC106" i="1"/>
  <c r="BC114" i="1"/>
  <c r="BC118" i="1"/>
  <c r="BC141" i="1"/>
  <c r="BC146" i="1"/>
  <c r="BC153" i="1"/>
  <c r="BC159" i="1"/>
  <c r="BC173" i="1"/>
  <c r="BC220" i="1"/>
  <c r="BC232" i="1"/>
  <c r="BC235" i="1"/>
  <c r="BC175" i="1"/>
  <c r="BC190" i="1"/>
  <c r="BC192" i="1"/>
  <c r="BC193" i="1"/>
  <c r="BC209" i="1"/>
  <c r="BC210" i="1"/>
  <c r="BC224" i="1"/>
  <c r="BC228" i="1"/>
  <c r="BC229" i="1"/>
  <c r="BC239" i="1"/>
  <c r="BC11" i="1"/>
  <c r="BC14" i="1"/>
  <c r="BC41" i="1"/>
  <c r="BC59" i="1"/>
  <c r="BC60" i="1"/>
  <c r="BC65" i="1"/>
  <c r="BC66" i="1"/>
  <c r="BC83" i="1"/>
  <c r="BC87" i="1"/>
  <c r="BC124" i="1"/>
  <c r="BC128" i="1"/>
  <c r="BC138" i="1"/>
  <c r="BC185" i="1"/>
  <c r="BC203" i="1"/>
  <c r="BC218" i="1"/>
  <c r="BC249" i="1"/>
  <c r="BC56" i="1"/>
  <c r="BC74" i="1"/>
  <c r="BC97" i="1"/>
  <c r="BC126" i="1"/>
  <c r="BC155" i="1"/>
  <c r="BC187" i="1"/>
  <c r="BC211" i="1"/>
  <c r="BC234" i="1"/>
  <c r="BC12" i="1"/>
  <c r="BC86" i="1"/>
  <c r="BC227" i="1"/>
  <c r="BC110" i="1"/>
  <c r="BC247" i="1"/>
  <c r="BC182" i="1"/>
  <c r="BC39" i="1"/>
  <c r="BC70" i="1"/>
  <c r="BC90" i="1"/>
  <c r="BC93" i="1"/>
  <c r="BC107" i="1"/>
  <c r="BC116" i="1"/>
  <c r="BC166" i="1"/>
  <c r="BC168" i="1"/>
  <c r="BC169" i="1"/>
  <c r="BC174" i="1"/>
  <c r="BC181" i="1"/>
  <c r="BC188" i="1"/>
  <c r="BC199" i="1"/>
  <c r="BC215" i="1"/>
  <c r="BC223" i="1"/>
  <c r="BD25" i="1"/>
  <c r="BD26" i="1"/>
  <c r="BD27" i="1"/>
  <c r="BD28" i="1"/>
  <c r="BD29" i="1"/>
  <c r="BD30" i="1"/>
  <c r="BD32" i="1"/>
  <c r="BD33" i="1"/>
  <c r="BD34" i="1"/>
  <c r="BD35" i="1"/>
  <c r="BD36" i="1"/>
  <c r="BD37" i="1"/>
  <c r="BD201" i="1"/>
  <c r="BD236" i="1"/>
  <c r="BD237" i="1"/>
  <c r="BD246" i="1"/>
  <c r="BD248" i="1"/>
  <c r="BD38" i="1"/>
  <c r="BD40" i="1"/>
  <c r="BD42" i="1"/>
  <c r="BD43" i="1"/>
  <c r="BD44" i="1"/>
  <c r="BD45" i="1"/>
  <c r="BD46" i="1"/>
  <c r="BD47" i="1"/>
  <c r="BD48" i="1"/>
  <c r="BD49" i="1"/>
  <c r="BD50" i="1"/>
  <c r="BD51" i="1"/>
  <c r="BD52" i="1"/>
  <c r="BD54" i="1"/>
  <c r="BD55" i="1"/>
  <c r="BD57" i="1"/>
  <c r="BD58" i="1"/>
  <c r="BD61" i="1"/>
  <c r="BD62" i="1"/>
  <c r="BD64" i="1"/>
  <c r="BD71" i="1"/>
  <c r="BD72" i="1"/>
  <c r="BD73" i="1"/>
  <c r="BD76" i="1"/>
  <c r="BD78" i="1"/>
  <c r="BD79" i="1"/>
  <c r="BD80" i="1"/>
  <c r="BD85" i="1"/>
  <c r="BD243" i="1"/>
  <c r="BD244" i="1"/>
  <c r="BD245" i="1"/>
  <c r="BD81" i="1"/>
  <c r="BD82" i="1"/>
  <c r="BD84" i="1"/>
  <c r="BD88" i="1"/>
  <c r="BD89" i="1"/>
  <c r="BD92" i="1"/>
  <c r="BD94" i="1"/>
  <c r="BD95" i="1"/>
  <c r="BD96" i="1"/>
  <c r="BD98" i="1"/>
  <c r="BD99" i="1"/>
  <c r="BD100" i="1"/>
  <c r="BD101" i="1"/>
  <c r="BD102" i="1"/>
  <c r="BD103" i="1"/>
  <c r="BD104" i="1"/>
  <c r="BD105" i="1"/>
  <c r="BD108" i="1"/>
  <c r="BD109" i="1"/>
  <c r="BD111" i="1"/>
  <c r="BD112" i="1"/>
  <c r="BD113" i="1"/>
  <c r="BD115" i="1"/>
  <c r="BD117" i="1"/>
  <c r="BD119" i="1"/>
  <c r="BD120" i="1"/>
  <c r="BD122" i="1"/>
  <c r="BD200" i="1"/>
  <c r="BD240" i="1"/>
  <c r="BD241" i="1"/>
  <c r="BD242" i="1"/>
  <c r="BD69" i="1"/>
  <c r="BD123" i="1"/>
  <c r="BD125" i="1"/>
  <c r="BD127" i="1"/>
  <c r="BD129" i="1"/>
  <c r="BD131" i="1"/>
  <c r="BD132" i="1"/>
  <c r="BD133" i="1"/>
  <c r="BD134" i="1"/>
  <c r="BD135" i="1"/>
  <c r="BD136" i="1"/>
  <c r="BD137" i="1"/>
  <c r="BD139" i="1"/>
  <c r="BD140" i="1"/>
  <c r="BD142" i="1"/>
  <c r="BD143" i="1"/>
  <c r="BD144" i="1"/>
  <c r="BD145" i="1"/>
  <c r="BD147" i="1"/>
  <c r="BD148" i="1"/>
  <c r="BD149" i="1"/>
  <c r="BD150" i="1"/>
  <c r="BD151" i="1"/>
  <c r="BD152" i="1"/>
  <c r="BD154" i="1"/>
  <c r="BD156" i="1"/>
  <c r="BD157" i="1"/>
  <c r="BD230" i="1"/>
  <c r="BD231" i="1"/>
  <c r="BD233" i="1"/>
  <c r="BD238" i="1"/>
  <c r="BD5" i="1"/>
  <c r="BD158" i="1"/>
  <c r="BD160" i="1"/>
  <c r="BD161" i="1"/>
  <c r="BD162" i="1"/>
  <c r="BD163" i="1"/>
  <c r="BD164" i="1"/>
  <c r="BD165" i="1"/>
  <c r="BD167" i="1"/>
  <c r="BD170" i="1"/>
  <c r="BD171" i="1"/>
  <c r="BD172" i="1"/>
  <c r="BD176" i="1"/>
  <c r="BD177" i="1"/>
  <c r="BD178" i="1"/>
  <c r="BD179" i="1"/>
  <c r="BD180" i="1"/>
  <c r="BD183" i="1"/>
  <c r="BD184" i="1"/>
  <c r="BD186" i="1"/>
  <c r="BD189" i="1"/>
  <c r="BD191" i="1"/>
  <c r="BD194" i="1"/>
  <c r="BD195" i="1"/>
  <c r="BD196" i="1"/>
  <c r="BD197" i="1"/>
  <c r="BD198" i="1"/>
  <c r="BD130" i="1"/>
  <c r="BD202" i="1"/>
  <c r="BD204" i="1"/>
  <c r="BD205" i="1"/>
  <c r="BD206" i="1"/>
  <c r="BD207" i="1"/>
  <c r="BD208" i="1"/>
  <c r="BD212" i="1"/>
  <c r="BD213" i="1"/>
  <c r="BD214" i="1"/>
  <c r="BD216" i="1"/>
  <c r="BD217" i="1"/>
  <c r="BD219" i="1"/>
  <c r="BD221" i="1"/>
  <c r="BD222" i="1"/>
  <c r="BD225" i="1"/>
  <c r="BD226" i="1"/>
  <c r="BD121" i="1"/>
  <c r="BD3" i="1"/>
  <c r="BD13" i="1"/>
  <c r="BD18" i="1"/>
  <c r="BD24" i="1"/>
  <c r="BD31" i="1"/>
  <c r="BD53" i="1"/>
  <c r="BD63" i="1"/>
  <c r="BD67" i="1"/>
  <c r="BD68" i="1"/>
  <c r="BD75" i="1"/>
  <c r="BD77" i="1"/>
  <c r="BD91" i="1"/>
  <c r="BD106" i="1"/>
  <c r="BD114" i="1"/>
  <c r="BD118" i="1"/>
  <c r="BD141" i="1"/>
  <c r="BD146" i="1"/>
  <c r="BD153" i="1"/>
  <c r="BD159" i="1"/>
  <c r="BD173" i="1"/>
  <c r="BD220" i="1"/>
  <c r="BD232" i="1"/>
  <c r="BD235" i="1"/>
  <c r="BD175" i="1"/>
  <c r="BD190" i="1"/>
  <c r="BD192" i="1"/>
  <c r="BD193" i="1"/>
  <c r="BD209" i="1"/>
  <c r="BD210" i="1"/>
  <c r="BD224" i="1"/>
  <c r="BD228" i="1"/>
  <c r="BD229" i="1"/>
  <c r="BD239" i="1"/>
  <c r="BD11" i="1"/>
  <c r="BD14" i="1"/>
  <c r="BD41" i="1"/>
  <c r="BD59" i="1"/>
  <c r="BD60" i="1"/>
  <c r="BD65" i="1"/>
  <c r="BD66" i="1"/>
  <c r="BD83" i="1"/>
  <c r="BD87" i="1"/>
  <c r="BD124" i="1"/>
  <c r="BD128" i="1"/>
  <c r="BD138" i="1"/>
  <c r="BD185" i="1"/>
  <c r="BD203" i="1"/>
  <c r="BD218" i="1"/>
  <c r="BD249" i="1"/>
  <c r="BD56" i="1"/>
  <c r="BD74" i="1"/>
  <c r="BD97" i="1"/>
  <c r="BD126" i="1"/>
  <c r="BD155" i="1"/>
  <c r="BD187" i="1"/>
  <c r="BD211" i="1"/>
  <c r="BD234" i="1"/>
  <c r="BD12" i="1"/>
  <c r="BD86" i="1"/>
  <c r="BD227" i="1"/>
  <c r="BD110" i="1"/>
  <c r="BD247" i="1"/>
  <c r="BD182" i="1"/>
  <c r="BD39" i="1"/>
  <c r="BD70" i="1"/>
  <c r="BD90" i="1"/>
  <c r="BD93" i="1"/>
  <c r="BD107" i="1"/>
  <c r="BD116" i="1"/>
  <c r="BD166" i="1"/>
  <c r="BD168" i="1"/>
  <c r="BD169" i="1"/>
  <c r="BD174" i="1"/>
  <c r="BD181" i="1"/>
  <c r="BD188" i="1"/>
  <c r="BD199" i="1"/>
  <c r="BD215" i="1"/>
  <c r="BD223" i="1"/>
  <c r="BE25" i="1"/>
  <c r="BE26" i="1"/>
  <c r="BE27" i="1"/>
  <c r="BE28" i="1"/>
  <c r="BE29" i="1"/>
  <c r="BE30" i="1"/>
  <c r="BE32" i="1"/>
  <c r="BE33" i="1"/>
  <c r="BE34" i="1"/>
  <c r="BE35" i="1"/>
  <c r="BE36" i="1"/>
  <c r="BE37" i="1"/>
  <c r="BE201" i="1"/>
  <c r="BE236" i="1"/>
  <c r="BE237" i="1"/>
  <c r="BE246" i="1"/>
  <c r="BE248" i="1"/>
  <c r="BE38" i="1"/>
  <c r="BE40" i="1"/>
  <c r="BE42" i="1"/>
  <c r="BE43" i="1"/>
  <c r="BE44" i="1"/>
  <c r="BE45" i="1"/>
  <c r="BE46" i="1"/>
  <c r="BE47" i="1"/>
  <c r="BE48" i="1"/>
  <c r="BE49" i="1"/>
  <c r="BE50" i="1"/>
  <c r="BE51" i="1"/>
  <c r="BE52" i="1"/>
  <c r="BE54" i="1"/>
  <c r="BE55" i="1"/>
  <c r="BE57" i="1"/>
  <c r="BE58" i="1"/>
  <c r="BE61" i="1"/>
  <c r="BE62" i="1"/>
  <c r="BE64" i="1"/>
  <c r="BE71" i="1"/>
  <c r="BE72" i="1"/>
  <c r="BE73" i="1"/>
  <c r="BE76" i="1"/>
  <c r="BE78" i="1"/>
  <c r="BE79" i="1"/>
  <c r="BE80" i="1"/>
  <c r="BE85" i="1"/>
  <c r="BE243" i="1"/>
  <c r="BE244" i="1"/>
  <c r="BE245" i="1"/>
  <c r="BE81" i="1"/>
  <c r="BE82" i="1"/>
  <c r="BE84" i="1"/>
  <c r="BE88" i="1"/>
  <c r="BE89" i="1"/>
  <c r="BE92" i="1"/>
  <c r="BE94" i="1"/>
  <c r="BE95" i="1"/>
  <c r="BE96" i="1"/>
  <c r="BE98" i="1"/>
  <c r="BE99" i="1"/>
  <c r="BE100" i="1"/>
  <c r="BE101" i="1"/>
  <c r="BE102" i="1"/>
  <c r="BE103" i="1"/>
  <c r="BE104" i="1"/>
  <c r="BE105" i="1"/>
  <c r="BE108" i="1"/>
  <c r="BE109" i="1"/>
  <c r="BE111" i="1"/>
  <c r="BE112" i="1"/>
  <c r="BE113" i="1"/>
  <c r="BE115" i="1"/>
  <c r="BE117" i="1"/>
  <c r="BE119" i="1"/>
  <c r="BE120" i="1"/>
  <c r="BE122" i="1"/>
  <c r="BE200" i="1"/>
  <c r="BE240" i="1"/>
  <c r="BE241" i="1"/>
  <c r="BE242" i="1"/>
  <c r="BE69" i="1"/>
  <c r="BE123" i="1"/>
  <c r="BE125" i="1"/>
  <c r="BE127" i="1"/>
  <c r="BE129" i="1"/>
  <c r="BE131" i="1"/>
  <c r="BE132" i="1"/>
  <c r="BE133" i="1"/>
  <c r="BE134" i="1"/>
  <c r="BE135" i="1"/>
  <c r="BE136" i="1"/>
  <c r="BE137" i="1"/>
  <c r="BE139" i="1"/>
  <c r="BE140" i="1"/>
  <c r="BE142" i="1"/>
  <c r="BE143" i="1"/>
  <c r="BE144" i="1"/>
  <c r="BE145" i="1"/>
  <c r="BE147" i="1"/>
  <c r="BE148" i="1"/>
  <c r="BE149" i="1"/>
  <c r="BE150" i="1"/>
  <c r="BE151" i="1"/>
  <c r="BE152" i="1"/>
  <c r="BE154" i="1"/>
  <c r="BE156" i="1"/>
  <c r="BE157" i="1"/>
  <c r="BE230" i="1"/>
  <c r="BE231" i="1"/>
  <c r="BE233" i="1"/>
  <c r="BE238" i="1"/>
  <c r="BE5" i="1"/>
  <c r="BE158" i="1"/>
  <c r="BE160" i="1"/>
  <c r="BE161" i="1"/>
  <c r="BE162" i="1"/>
  <c r="BE163" i="1"/>
  <c r="BE164" i="1"/>
  <c r="BE165" i="1"/>
  <c r="BE167" i="1"/>
  <c r="BE170" i="1"/>
  <c r="BE171" i="1"/>
  <c r="BE172" i="1"/>
  <c r="BE176" i="1"/>
  <c r="BE177" i="1"/>
  <c r="BE178" i="1"/>
  <c r="BE179" i="1"/>
  <c r="BE180" i="1"/>
  <c r="BE183" i="1"/>
  <c r="BE184" i="1"/>
  <c r="BE186" i="1"/>
  <c r="BE189" i="1"/>
  <c r="BE191" i="1"/>
  <c r="BE194" i="1"/>
  <c r="BE195" i="1"/>
  <c r="BE196" i="1"/>
  <c r="BE197" i="1"/>
  <c r="BE198" i="1"/>
  <c r="BE130" i="1"/>
  <c r="BE202" i="1"/>
  <c r="BE204" i="1"/>
  <c r="BE205" i="1"/>
  <c r="BE206" i="1"/>
  <c r="BE207" i="1"/>
  <c r="BE208" i="1"/>
  <c r="BE212" i="1"/>
  <c r="BE213" i="1"/>
  <c r="BE214" i="1"/>
  <c r="BE216" i="1"/>
  <c r="BE217" i="1"/>
  <c r="BE219" i="1"/>
  <c r="BE221" i="1"/>
  <c r="BE222" i="1"/>
  <c r="BE225" i="1"/>
  <c r="BE226" i="1"/>
  <c r="BE121" i="1"/>
  <c r="BE3" i="1"/>
  <c r="BE13" i="1"/>
  <c r="BE18" i="1"/>
  <c r="BE24" i="1"/>
  <c r="BE31" i="1"/>
  <c r="BE53" i="1"/>
  <c r="BE63" i="1"/>
  <c r="BE67" i="1"/>
  <c r="BE68" i="1"/>
  <c r="BE75" i="1"/>
  <c r="BE77" i="1"/>
  <c r="BE91" i="1"/>
  <c r="BE106" i="1"/>
  <c r="BE114" i="1"/>
  <c r="BE118" i="1"/>
  <c r="BE141" i="1"/>
  <c r="BE146" i="1"/>
  <c r="BE153" i="1"/>
  <c r="BE159" i="1"/>
  <c r="BE173" i="1"/>
  <c r="BE220" i="1"/>
  <c r="BE232" i="1"/>
  <c r="BE235" i="1"/>
  <c r="BE175" i="1"/>
  <c r="BE190" i="1"/>
  <c r="BE192" i="1"/>
  <c r="BE193" i="1"/>
  <c r="BE209" i="1"/>
  <c r="BE210" i="1"/>
  <c r="BE224" i="1"/>
  <c r="BE228" i="1"/>
  <c r="BE229" i="1"/>
  <c r="BE239" i="1"/>
  <c r="BE11" i="1"/>
  <c r="BE14" i="1"/>
  <c r="BE41" i="1"/>
  <c r="BE59" i="1"/>
  <c r="BE60" i="1"/>
  <c r="BE65" i="1"/>
  <c r="BE66" i="1"/>
  <c r="BE83" i="1"/>
  <c r="BE87" i="1"/>
  <c r="BE124" i="1"/>
  <c r="BE128" i="1"/>
  <c r="BE138" i="1"/>
  <c r="BE185" i="1"/>
  <c r="BE203" i="1"/>
  <c r="BE218" i="1"/>
  <c r="BE249" i="1"/>
  <c r="BE56" i="1"/>
  <c r="BE74" i="1"/>
  <c r="BE97" i="1"/>
  <c r="BE126" i="1"/>
  <c r="BE155" i="1"/>
  <c r="BE187" i="1"/>
  <c r="BE211" i="1"/>
  <c r="BE234" i="1"/>
  <c r="BE12" i="1"/>
  <c r="BE86" i="1"/>
  <c r="BE227" i="1"/>
  <c r="BE110" i="1"/>
  <c r="BE247" i="1"/>
  <c r="BE182" i="1"/>
  <c r="BE39" i="1"/>
  <c r="BE70" i="1"/>
  <c r="BE90" i="1"/>
  <c r="BE93" i="1"/>
  <c r="BE107" i="1"/>
  <c r="BE116" i="1"/>
  <c r="BE166" i="1"/>
  <c r="BE168" i="1"/>
  <c r="BE169" i="1"/>
  <c r="BE174" i="1"/>
  <c r="BE181" i="1"/>
  <c r="BE188" i="1"/>
  <c r="BE199" i="1"/>
  <c r="BE215" i="1"/>
  <c r="BE223" i="1"/>
  <c r="BF25" i="1"/>
  <c r="BF26" i="1"/>
  <c r="BF27" i="1"/>
  <c r="BF28" i="1"/>
  <c r="BF29" i="1"/>
  <c r="BF30" i="1"/>
  <c r="BF32" i="1"/>
  <c r="BF33" i="1"/>
  <c r="BF34" i="1"/>
  <c r="BF35" i="1"/>
  <c r="BF36" i="1"/>
  <c r="BF37" i="1"/>
  <c r="BF201" i="1"/>
  <c r="BF236" i="1"/>
  <c r="BF237" i="1"/>
  <c r="BF246" i="1"/>
  <c r="BF248" i="1"/>
  <c r="BF38" i="1"/>
  <c r="BF40" i="1"/>
  <c r="BF42" i="1"/>
  <c r="BF43" i="1"/>
  <c r="BF44" i="1"/>
  <c r="BF45" i="1"/>
  <c r="BF46" i="1"/>
  <c r="BF47" i="1"/>
  <c r="BF48" i="1"/>
  <c r="BF49" i="1"/>
  <c r="BF50" i="1"/>
  <c r="BF51" i="1"/>
  <c r="BF52" i="1"/>
  <c r="BF54" i="1"/>
  <c r="BF55" i="1"/>
  <c r="BF57" i="1"/>
  <c r="BF58" i="1"/>
  <c r="BF61" i="1"/>
  <c r="BF62" i="1"/>
  <c r="BF64" i="1"/>
  <c r="BF71" i="1"/>
  <c r="BF72" i="1"/>
  <c r="BF73" i="1"/>
  <c r="BF76" i="1"/>
  <c r="BF78" i="1"/>
  <c r="BF79" i="1"/>
  <c r="BF80" i="1"/>
  <c r="BF85" i="1"/>
  <c r="BF243" i="1"/>
  <c r="BF244" i="1"/>
  <c r="BF245" i="1"/>
  <c r="BF81" i="1"/>
  <c r="BF82" i="1"/>
  <c r="BF84" i="1"/>
  <c r="BF88" i="1"/>
  <c r="BF89" i="1"/>
  <c r="BF92" i="1"/>
  <c r="BF94" i="1"/>
  <c r="BF95" i="1"/>
  <c r="BF96" i="1"/>
  <c r="BF98" i="1"/>
  <c r="BF99" i="1"/>
  <c r="BF100" i="1"/>
  <c r="BF101" i="1"/>
  <c r="BF102" i="1"/>
  <c r="BF103" i="1"/>
  <c r="BF104" i="1"/>
  <c r="BF105" i="1"/>
  <c r="BF108" i="1"/>
  <c r="BF109" i="1"/>
  <c r="BF111" i="1"/>
  <c r="BF112" i="1"/>
  <c r="BF113" i="1"/>
  <c r="BF115" i="1"/>
  <c r="BF117" i="1"/>
  <c r="BF119" i="1"/>
  <c r="BF120" i="1"/>
  <c r="BF122" i="1"/>
  <c r="BF200" i="1"/>
  <c r="BF240" i="1"/>
  <c r="BF241" i="1"/>
  <c r="BF242" i="1"/>
  <c r="BF69" i="1"/>
  <c r="BF123" i="1"/>
  <c r="BF125" i="1"/>
  <c r="BF127" i="1"/>
  <c r="BF129" i="1"/>
  <c r="BF131" i="1"/>
  <c r="BF132" i="1"/>
  <c r="BF133" i="1"/>
  <c r="BF134" i="1"/>
  <c r="BF135" i="1"/>
  <c r="BF136" i="1"/>
  <c r="BF137" i="1"/>
  <c r="BF139" i="1"/>
  <c r="BF140" i="1"/>
  <c r="BF142" i="1"/>
  <c r="BF143" i="1"/>
  <c r="BF144" i="1"/>
  <c r="BF145" i="1"/>
  <c r="BF147" i="1"/>
  <c r="BF148" i="1"/>
  <c r="BF149" i="1"/>
  <c r="BF150" i="1"/>
  <c r="BF151" i="1"/>
  <c r="BF152" i="1"/>
  <c r="BF154" i="1"/>
  <c r="BF156" i="1"/>
  <c r="BF157" i="1"/>
  <c r="BF230" i="1"/>
  <c r="BF231" i="1"/>
  <c r="BF233" i="1"/>
  <c r="BF238" i="1"/>
  <c r="BF5" i="1"/>
  <c r="BF158" i="1"/>
  <c r="BF160" i="1"/>
  <c r="BF161" i="1"/>
  <c r="BF162" i="1"/>
  <c r="BF163" i="1"/>
  <c r="BF164" i="1"/>
  <c r="BF165" i="1"/>
  <c r="BF167" i="1"/>
  <c r="BF170" i="1"/>
  <c r="BF171" i="1"/>
  <c r="BF172" i="1"/>
  <c r="BF176" i="1"/>
  <c r="BF177" i="1"/>
  <c r="BF178" i="1"/>
  <c r="BF179" i="1"/>
  <c r="BF180" i="1"/>
  <c r="BF183" i="1"/>
  <c r="BF184" i="1"/>
  <c r="BF186" i="1"/>
  <c r="BF189" i="1"/>
  <c r="BF191" i="1"/>
  <c r="BF194" i="1"/>
  <c r="BF195" i="1"/>
  <c r="BF196" i="1"/>
  <c r="BF197" i="1"/>
  <c r="BF198" i="1"/>
  <c r="BF130" i="1"/>
  <c r="BF202" i="1"/>
  <c r="BF204" i="1"/>
  <c r="BF205" i="1"/>
  <c r="BF206" i="1"/>
  <c r="BF207" i="1"/>
  <c r="BF208" i="1"/>
  <c r="BF212" i="1"/>
  <c r="BF213" i="1"/>
  <c r="BF214" i="1"/>
  <c r="BF216" i="1"/>
  <c r="BF217" i="1"/>
  <c r="BF219" i="1"/>
  <c r="BF221" i="1"/>
  <c r="BF222" i="1"/>
  <c r="BF225" i="1"/>
  <c r="BF226" i="1"/>
  <c r="BF121" i="1"/>
  <c r="BF3" i="1"/>
  <c r="BF13" i="1"/>
  <c r="BF18" i="1"/>
  <c r="BF24" i="1"/>
  <c r="BF31" i="1"/>
  <c r="BF53" i="1"/>
  <c r="BF63" i="1"/>
  <c r="BF67" i="1"/>
  <c r="BF68" i="1"/>
  <c r="BF75" i="1"/>
  <c r="BF77" i="1"/>
  <c r="BF91" i="1"/>
  <c r="BF106" i="1"/>
  <c r="BF114" i="1"/>
  <c r="BF118" i="1"/>
  <c r="BF141" i="1"/>
  <c r="BF146" i="1"/>
  <c r="BF153" i="1"/>
  <c r="BF159" i="1"/>
  <c r="BF173" i="1"/>
  <c r="BF220" i="1"/>
  <c r="BF232" i="1"/>
  <c r="BF235" i="1"/>
  <c r="BF175" i="1"/>
  <c r="BF190" i="1"/>
  <c r="BF192" i="1"/>
  <c r="BF193" i="1"/>
  <c r="BF209" i="1"/>
  <c r="BF210" i="1"/>
  <c r="BF224" i="1"/>
  <c r="BF228" i="1"/>
  <c r="BF229" i="1"/>
  <c r="BF239" i="1"/>
  <c r="BF11" i="1"/>
  <c r="BF14" i="1"/>
  <c r="BF41" i="1"/>
  <c r="BF59" i="1"/>
  <c r="BF60" i="1"/>
  <c r="BF65" i="1"/>
  <c r="BF66" i="1"/>
  <c r="BF83" i="1"/>
  <c r="BF87" i="1"/>
  <c r="BF124" i="1"/>
  <c r="BF128" i="1"/>
  <c r="BF138" i="1"/>
  <c r="BF185" i="1"/>
  <c r="BF203" i="1"/>
  <c r="BF218" i="1"/>
  <c r="BF249" i="1"/>
  <c r="BF56" i="1"/>
  <c r="BF74" i="1"/>
  <c r="BF97" i="1"/>
  <c r="BF126" i="1"/>
  <c r="BF155" i="1"/>
  <c r="BF187" i="1"/>
  <c r="BF211" i="1"/>
  <c r="BF234" i="1"/>
  <c r="BF12" i="1"/>
  <c r="BF86" i="1"/>
  <c r="BF227" i="1"/>
  <c r="BF110" i="1"/>
  <c r="BF247" i="1"/>
  <c r="BF182" i="1"/>
  <c r="BF39" i="1"/>
  <c r="BF70" i="1"/>
  <c r="BF90" i="1"/>
  <c r="BF93" i="1"/>
  <c r="BF107" i="1"/>
  <c r="BF116" i="1"/>
  <c r="BF166" i="1"/>
  <c r="BF168" i="1"/>
  <c r="BF169" i="1"/>
  <c r="BF174" i="1"/>
  <c r="BF181" i="1"/>
  <c r="BF188" i="1"/>
  <c r="BF199" i="1"/>
  <c r="BF215" i="1"/>
  <c r="BF223" i="1"/>
  <c r="BG25" i="1"/>
  <c r="BG26" i="1"/>
  <c r="BG27" i="1"/>
  <c r="BG28" i="1"/>
  <c r="BG29" i="1"/>
  <c r="BG30" i="1"/>
  <c r="BG32" i="1"/>
  <c r="BG33" i="1"/>
  <c r="BG34" i="1"/>
  <c r="BG35" i="1"/>
  <c r="BG36" i="1"/>
  <c r="BG37" i="1"/>
  <c r="BG201" i="1"/>
  <c r="BG236" i="1"/>
  <c r="BG237" i="1"/>
  <c r="BG246" i="1"/>
  <c r="BG248" i="1"/>
  <c r="BG38" i="1"/>
  <c r="BG40" i="1"/>
  <c r="BG42" i="1"/>
  <c r="BG43" i="1"/>
  <c r="BG44" i="1"/>
  <c r="BG45" i="1"/>
  <c r="BG46" i="1"/>
  <c r="BG47" i="1"/>
  <c r="BG48" i="1"/>
  <c r="BG49" i="1"/>
  <c r="BG50" i="1"/>
  <c r="BG51" i="1"/>
  <c r="BG52" i="1"/>
  <c r="BG54" i="1"/>
  <c r="BG55" i="1"/>
  <c r="BG57" i="1"/>
  <c r="BG58" i="1"/>
  <c r="BG61" i="1"/>
  <c r="BG62" i="1"/>
  <c r="BG64" i="1"/>
  <c r="BG71" i="1"/>
  <c r="BG72" i="1"/>
  <c r="BG73" i="1"/>
  <c r="BG76" i="1"/>
  <c r="BG78" i="1"/>
  <c r="BG79" i="1"/>
  <c r="BG80" i="1"/>
  <c r="BG85" i="1"/>
  <c r="BG243" i="1"/>
  <c r="BG244" i="1"/>
  <c r="BG245" i="1"/>
  <c r="BG81" i="1"/>
  <c r="BG82" i="1"/>
  <c r="BG84" i="1"/>
  <c r="BG88" i="1"/>
  <c r="BG89" i="1"/>
  <c r="BG92" i="1"/>
  <c r="BG94" i="1"/>
  <c r="BG95" i="1"/>
  <c r="BG96" i="1"/>
  <c r="BG98" i="1"/>
  <c r="BG99" i="1"/>
  <c r="BG100" i="1"/>
  <c r="BG101" i="1"/>
  <c r="BG102" i="1"/>
  <c r="BG103" i="1"/>
  <c r="BG104" i="1"/>
  <c r="BG105" i="1"/>
  <c r="BG108" i="1"/>
  <c r="BG109" i="1"/>
  <c r="BG111" i="1"/>
  <c r="BG112" i="1"/>
  <c r="BG113" i="1"/>
  <c r="BG115" i="1"/>
  <c r="BG117" i="1"/>
  <c r="BG119" i="1"/>
  <c r="BG120" i="1"/>
  <c r="BG122" i="1"/>
  <c r="BG200" i="1"/>
  <c r="BG240" i="1"/>
  <c r="BG241" i="1"/>
  <c r="BG242" i="1"/>
  <c r="BG69" i="1"/>
  <c r="BG123" i="1"/>
  <c r="BG125" i="1"/>
  <c r="BG127" i="1"/>
  <c r="BG129" i="1"/>
  <c r="BG131" i="1"/>
  <c r="BG132" i="1"/>
  <c r="BG133" i="1"/>
  <c r="BG134" i="1"/>
  <c r="BG135" i="1"/>
  <c r="BG136" i="1"/>
  <c r="BG137" i="1"/>
  <c r="BG139" i="1"/>
  <c r="BG140" i="1"/>
  <c r="BG142" i="1"/>
  <c r="BG143" i="1"/>
  <c r="BG144" i="1"/>
  <c r="BG145" i="1"/>
  <c r="BG147" i="1"/>
  <c r="BG148" i="1"/>
  <c r="BG149" i="1"/>
  <c r="BG150" i="1"/>
  <c r="BG151" i="1"/>
  <c r="BG152" i="1"/>
  <c r="BG154" i="1"/>
  <c r="BG156" i="1"/>
  <c r="BG157" i="1"/>
  <c r="BG230" i="1"/>
  <c r="BG231" i="1"/>
  <c r="BG233" i="1"/>
  <c r="BG238" i="1"/>
  <c r="BG5" i="1"/>
  <c r="BG158" i="1"/>
  <c r="BG160" i="1"/>
  <c r="BG161" i="1"/>
  <c r="BG162" i="1"/>
  <c r="BG163" i="1"/>
  <c r="BG164" i="1"/>
  <c r="BG165" i="1"/>
  <c r="BG167" i="1"/>
  <c r="BG170" i="1"/>
  <c r="BG171" i="1"/>
  <c r="BG172" i="1"/>
  <c r="BG176" i="1"/>
  <c r="BG177" i="1"/>
  <c r="BG178" i="1"/>
  <c r="BG179" i="1"/>
  <c r="BG180" i="1"/>
  <c r="BG183" i="1"/>
  <c r="BG184" i="1"/>
  <c r="BG186" i="1"/>
  <c r="BG189" i="1"/>
  <c r="BG191" i="1"/>
  <c r="BG194" i="1"/>
  <c r="BG195" i="1"/>
  <c r="BG196" i="1"/>
  <c r="BG197" i="1"/>
  <c r="BG198" i="1"/>
  <c r="BG130" i="1"/>
  <c r="BG202" i="1"/>
  <c r="BG204" i="1"/>
  <c r="BG205" i="1"/>
  <c r="BG206" i="1"/>
  <c r="BG207" i="1"/>
  <c r="BG208" i="1"/>
  <c r="BG212" i="1"/>
  <c r="BG213" i="1"/>
  <c r="BG214" i="1"/>
  <c r="BG216" i="1"/>
  <c r="BG217" i="1"/>
  <c r="BG219" i="1"/>
  <c r="BG221" i="1"/>
  <c r="BG222" i="1"/>
  <c r="BG225" i="1"/>
  <c r="BG226" i="1"/>
  <c r="BG121" i="1"/>
  <c r="BG3" i="1"/>
  <c r="BG13" i="1"/>
  <c r="BG18" i="1"/>
  <c r="BG24" i="1"/>
  <c r="BG31" i="1"/>
  <c r="BG53" i="1"/>
  <c r="BG63" i="1"/>
  <c r="BG67" i="1"/>
  <c r="BG68" i="1"/>
  <c r="BG75" i="1"/>
  <c r="BG77" i="1"/>
  <c r="BG91" i="1"/>
  <c r="BG106" i="1"/>
  <c r="BG114" i="1"/>
  <c r="BG118" i="1"/>
  <c r="BG141" i="1"/>
  <c r="BG146" i="1"/>
  <c r="BG153" i="1"/>
  <c r="BG159" i="1"/>
  <c r="BG173" i="1"/>
  <c r="BG220" i="1"/>
  <c r="BG232" i="1"/>
  <c r="BG235" i="1"/>
  <c r="BG175" i="1"/>
  <c r="BG190" i="1"/>
  <c r="BG192" i="1"/>
  <c r="BG193" i="1"/>
  <c r="BG209" i="1"/>
  <c r="BG210" i="1"/>
  <c r="BG224" i="1"/>
  <c r="BG228" i="1"/>
  <c r="BG229" i="1"/>
  <c r="BG239" i="1"/>
  <c r="BG11" i="1"/>
  <c r="BG14" i="1"/>
  <c r="BG41" i="1"/>
  <c r="BG59" i="1"/>
  <c r="BG60" i="1"/>
  <c r="BG65" i="1"/>
  <c r="BG66" i="1"/>
  <c r="BG83" i="1"/>
  <c r="BG87" i="1"/>
  <c r="BG124" i="1"/>
  <c r="BG128" i="1"/>
  <c r="BG138" i="1"/>
  <c r="BG185" i="1"/>
  <c r="BG203" i="1"/>
  <c r="BG218" i="1"/>
  <c r="BG249" i="1"/>
  <c r="BG56" i="1"/>
  <c r="BG74" i="1"/>
  <c r="BG97" i="1"/>
  <c r="BG126" i="1"/>
  <c r="BG155" i="1"/>
  <c r="BG187" i="1"/>
  <c r="BG211" i="1"/>
  <c r="BG234" i="1"/>
  <c r="BG12" i="1"/>
  <c r="BG86" i="1"/>
  <c r="BG227" i="1"/>
  <c r="BG110" i="1"/>
  <c r="BG247" i="1"/>
  <c r="BG182" i="1"/>
  <c r="BG39" i="1"/>
  <c r="BG70" i="1"/>
  <c r="BG90" i="1"/>
  <c r="BG93" i="1"/>
  <c r="BG107" i="1"/>
  <c r="BG116" i="1"/>
  <c r="BG166" i="1"/>
  <c r="BG168" i="1"/>
  <c r="BG169" i="1"/>
  <c r="BG174" i="1"/>
  <c r="BG181" i="1"/>
  <c r="BG188" i="1"/>
  <c r="BG199" i="1"/>
  <c r="BG215" i="1"/>
  <c r="BG223" i="1"/>
  <c r="BH25" i="1"/>
  <c r="BH26" i="1"/>
  <c r="BH27" i="1"/>
  <c r="BH28" i="1"/>
  <c r="BH29" i="1"/>
  <c r="BH30" i="1"/>
  <c r="BH32" i="1"/>
  <c r="BH33" i="1"/>
  <c r="BH34" i="1"/>
  <c r="BH35" i="1"/>
  <c r="BH36" i="1"/>
  <c r="BH37" i="1"/>
  <c r="BH201" i="1"/>
  <c r="BH236" i="1"/>
  <c r="BH237" i="1"/>
  <c r="BH246" i="1"/>
  <c r="BH248" i="1"/>
  <c r="BH38" i="1"/>
  <c r="BH40" i="1"/>
  <c r="BH42" i="1"/>
  <c r="BH43" i="1"/>
  <c r="BH44" i="1"/>
  <c r="BH45" i="1"/>
  <c r="BH46" i="1"/>
  <c r="BH47" i="1"/>
  <c r="BH48" i="1"/>
  <c r="BH49" i="1"/>
  <c r="BH50" i="1"/>
  <c r="BH51" i="1"/>
  <c r="BH52" i="1"/>
  <c r="BH54" i="1"/>
  <c r="BH55" i="1"/>
  <c r="BH57" i="1"/>
  <c r="BH58" i="1"/>
  <c r="BH61" i="1"/>
  <c r="BH62" i="1"/>
  <c r="BH64" i="1"/>
  <c r="BH71" i="1"/>
  <c r="BH72" i="1"/>
  <c r="BH73" i="1"/>
  <c r="BH76" i="1"/>
  <c r="BH78" i="1"/>
  <c r="BH79" i="1"/>
  <c r="BH80" i="1"/>
  <c r="BH85" i="1"/>
  <c r="BH243" i="1"/>
  <c r="BH244" i="1"/>
  <c r="BH245" i="1"/>
  <c r="BH81" i="1"/>
  <c r="BH82" i="1"/>
  <c r="BH84" i="1"/>
  <c r="BH88" i="1"/>
  <c r="BH89" i="1"/>
  <c r="BH92" i="1"/>
  <c r="BH94" i="1"/>
  <c r="BH95" i="1"/>
  <c r="BH96" i="1"/>
  <c r="BH98" i="1"/>
  <c r="BH99" i="1"/>
  <c r="BH100" i="1"/>
  <c r="BH101" i="1"/>
  <c r="BH102" i="1"/>
  <c r="BH103" i="1"/>
  <c r="BH104" i="1"/>
  <c r="BH105" i="1"/>
  <c r="BH108" i="1"/>
  <c r="BH109" i="1"/>
  <c r="BH111" i="1"/>
  <c r="BH112" i="1"/>
  <c r="BH113" i="1"/>
  <c r="BH115" i="1"/>
  <c r="BH117" i="1"/>
  <c r="BH119" i="1"/>
  <c r="BH120" i="1"/>
  <c r="BH122" i="1"/>
  <c r="BH200" i="1"/>
  <c r="BH240" i="1"/>
  <c r="BH241" i="1"/>
  <c r="BH242" i="1"/>
  <c r="BH69" i="1"/>
  <c r="BH123" i="1"/>
  <c r="BH125" i="1"/>
  <c r="BH127" i="1"/>
  <c r="BH129" i="1"/>
  <c r="BH131" i="1"/>
  <c r="BH132" i="1"/>
  <c r="BH133" i="1"/>
  <c r="BH134" i="1"/>
  <c r="BH135" i="1"/>
  <c r="BH136" i="1"/>
  <c r="BH137" i="1"/>
  <c r="BH139" i="1"/>
  <c r="BH140" i="1"/>
  <c r="BH142" i="1"/>
  <c r="BH143" i="1"/>
  <c r="BH144" i="1"/>
  <c r="BH145" i="1"/>
  <c r="BH147" i="1"/>
  <c r="BH148" i="1"/>
  <c r="BH149" i="1"/>
  <c r="BH150" i="1"/>
  <c r="BH151" i="1"/>
  <c r="BH152" i="1"/>
  <c r="BH154" i="1"/>
  <c r="BH156" i="1"/>
  <c r="BH157" i="1"/>
  <c r="BH230" i="1"/>
  <c r="BH231" i="1"/>
  <c r="BH233" i="1"/>
  <c r="BH238" i="1"/>
  <c r="BH5" i="1"/>
  <c r="BH158" i="1"/>
  <c r="BH160" i="1"/>
  <c r="BH161" i="1"/>
  <c r="BH162" i="1"/>
  <c r="BH163" i="1"/>
  <c r="BH164" i="1"/>
  <c r="BH165" i="1"/>
  <c r="BH167" i="1"/>
  <c r="BH170" i="1"/>
  <c r="BH171" i="1"/>
  <c r="BH172" i="1"/>
  <c r="BH176" i="1"/>
  <c r="BH177" i="1"/>
  <c r="BH178" i="1"/>
  <c r="BH179" i="1"/>
  <c r="BH180" i="1"/>
  <c r="BH183" i="1"/>
  <c r="BH184" i="1"/>
  <c r="BH186" i="1"/>
  <c r="BH189" i="1"/>
  <c r="BH191" i="1"/>
  <c r="BH194" i="1"/>
  <c r="BH195" i="1"/>
  <c r="BH196" i="1"/>
  <c r="BH197" i="1"/>
  <c r="BH198" i="1"/>
  <c r="BH130" i="1"/>
  <c r="BH202" i="1"/>
  <c r="BH204" i="1"/>
  <c r="BH205" i="1"/>
  <c r="BH206" i="1"/>
  <c r="BH207" i="1"/>
  <c r="BH208" i="1"/>
  <c r="BH212" i="1"/>
  <c r="BH213" i="1"/>
  <c r="BH214" i="1"/>
  <c r="BH216" i="1"/>
  <c r="BH217" i="1"/>
  <c r="BH219" i="1"/>
  <c r="BH221" i="1"/>
  <c r="BH222" i="1"/>
  <c r="BH225" i="1"/>
  <c r="BH226" i="1"/>
  <c r="BH121" i="1"/>
  <c r="BH3" i="1"/>
  <c r="BH13" i="1"/>
  <c r="BH18" i="1"/>
  <c r="BH24" i="1"/>
  <c r="BH31" i="1"/>
  <c r="BH53" i="1"/>
  <c r="BH63" i="1"/>
  <c r="BH67" i="1"/>
  <c r="BH68" i="1"/>
  <c r="BH75" i="1"/>
  <c r="BH77" i="1"/>
  <c r="BH91" i="1"/>
  <c r="BH106" i="1"/>
  <c r="BH114" i="1"/>
  <c r="BH118" i="1"/>
  <c r="BH141" i="1"/>
  <c r="BH146" i="1"/>
  <c r="BH153" i="1"/>
  <c r="BH159" i="1"/>
  <c r="BH173" i="1"/>
  <c r="BH220" i="1"/>
  <c r="BH232" i="1"/>
  <c r="BH235" i="1"/>
  <c r="BH175" i="1"/>
  <c r="BH190" i="1"/>
  <c r="BH192" i="1"/>
  <c r="BH193" i="1"/>
  <c r="BH209" i="1"/>
  <c r="BH210" i="1"/>
  <c r="BH224" i="1"/>
  <c r="BH228" i="1"/>
  <c r="BH229" i="1"/>
  <c r="BH239" i="1"/>
  <c r="BH11" i="1"/>
  <c r="BH14" i="1"/>
  <c r="BH41" i="1"/>
  <c r="BH59" i="1"/>
  <c r="BH60" i="1"/>
  <c r="BH65" i="1"/>
  <c r="BH66" i="1"/>
  <c r="BH83" i="1"/>
  <c r="BH87" i="1"/>
  <c r="BH124" i="1"/>
  <c r="BH128" i="1"/>
  <c r="BH138" i="1"/>
  <c r="BH185" i="1"/>
  <c r="BH203" i="1"/>
  <c r="BH218" i="1"/>
  <c r="BH249" i="1"/>
  <c r="BH56" i="1"/>
  <c r="BH74" i="1"/>
  <c r="BH97" i="1"/>
  <c r="BH126" i="1"/>
  <c r="BH155" i="1"/>
  <c r="BH187" i="1"/>
  <c r="BH211" i="1"/>
  <c r="BH234" i="1"/>
  <c r="BH12" i="1"/>
  <c r="BH86" i="1"/>
  <c r="BH227" i="1"/>
  <c r="BH110" i="1"/>
  <c r="BH247" i="1"/>
  <c r="BH182" i="1"/>
  <c r="BH39" i="1"/>
  <c r="BH70" i="1"/>
  <c r="BH90" i="1"/>
  <c r="BH93" i="1"/>
  <c r="BH107" i="1"/>
  <c r="BH116" i="1"/>
  <c r="BH166" i="1"/>
  <c r="BH168" i="1"/>
  <c r="BH169" i="1"/>
  <c r="BH174" i="1"/>
  <c r="BH181" i="1"/>
  <c r="BH188" i="1"/>
  <c r="BH199" i="1"/>
  <c r="BH215" i="1"/>
  <c r="BH223" i="1"/>
  <c r="BI25" i="1"/>
  <c r="BI26" i="1"/>
  <c r="BI27" i="1"/>
  <c r="BI28" i="1"/>
  <c r="BI29" i="1"/>
  <c r="BI30" i="1"/>
  <c r="BI32" i="1"/>
  <c r="BI33" i="1"/>
  <c r="BI34" i="1"/>
  <c r="BI35" i="1"/>
  <c r="BI36" i="1"/>
  <c r="BI37" i="1"/>
  <c r="BI201" i="1"/>
  <c r="BI236" i="1"/>
  <c r="BI237" i="1"/>
  <c r="BI246" i="1"/>
  <c r="BI248" i="1"/>
  <c r="BI38" i="1"/>
  <c r="BI40" i="1"/>
  <c r="BI42" i="1"/>
  <c r="BI43" i="1"/>
  <c r="BI44" i="1"/>
  <c r="BI45" i="1"/>
  <c r="BI46" i="1"/>
  <c r="BI47" i="1"/>
  <c r="BI48" i="1"/>
  <c r="BI49" i="1"/>
  <c r="BI50" i="1"/>
  <c r="BI51" i="1"/>
  <c r="BI52" i="1"/>
  <c r="BI54" i="1"/>
  <c r="BI55" i="1"/>
  <c r="BI57" i="1"/>
  <c r="BI58" i="1"/>
  <c r="BI61" i="1"/>
  <c r="BI62" i="1"/>
  <c r="BI64" i="1"/>
  <c r="BI71" i="1"/>
  <c r="BI72" i="1"/>
  <c r="BI73" i="1"/>
  <c r="BI76" i="1"/>
  <c r="BI78" i="1"/>
  <c r="BI79" i="1"/>
  <c r="BI80" i="1"/>
  <c r="BI85" i="1"/>
  <c r="BI243" i="1"/>
  <c r="BI244" i="1"/>
  <c r="BI245" i="1"/>
  <c r="BI81" i="1"/>
  <c r="BI82" i="1"/>
  <c r="BI84" i="1"/>
  <c r="BI88" i="1"/>
  <c r="BI89" i="1"/>
  <c r="BI92" i="1"/>
  <c r="BI94" i="1"/>
  <c r="BI95" i="1"/>
  <c r="BI96" i="1"/>
  <c r="BI98" i="1"/>
  <c r="BI99" i="1"/>
  <c r="BI100" i="1"/>
  <c r="BI101" i="1"/>
  <c r="BI102" i="1"/>
  <c r="BI103" i="1"/>
  <c r="BI104" i="1"/>
  <c r="BI105" i="1"/>
  <c r="BI108" i="1"/>
  <c r="BI109" i="1"/>
  <c r="BI111" i="1"/>
  <c r="BI112" i="1"/>
  <c r="BI113" i="1"/>
  <c r="BI115" i="1"/>
  <c r="BI117" i="1"/>
  <c r="BI119" i="1"/>
  <c r="BI120" i="1"/>
  <c r="BI122" i="1"/>
  <c r="BI200" i="1"/>
  <c r="BI240" i="1"/>
  <c r="BI241" i="1"/>
  <c r="BI242" i="1"/>
  <c r="BI69" i="1"/>
  <c r="BI123" i="1"/>
  <c r="BI125" i="1"/>
  <c r="BI127" i="1"/>
  <c r="BI129" i="1"/>
  <c r="BI131" i="1"/>
  <c r="BI132" i="1"/>
  <c r="BI133" i="1"/>
  <c r="BI134" i="1"/>
  <c r="BI135" i="1"/>
  <c r="BI136" i="1"/>
  <c r="BI137" i="1"/>
  <c r="BI139" i="1"/>
  <c r="BI140" i="1"/>
  <c r="BI142" i="1"/>
  <c r="BI143" i="1"/>
  <c r="BI144" i="1"/>
  <c r="BI145" i="1"/>
  <c r="BI147" i="1"/>
  <c r="BI148" i="1"/>
  <c r="BI149" i="1"/>
  <c r="BI150" i="1"/>
  <c r="BI151" i="1"/>
  <c r="BI152" i="1"/>
  <c r="BI154" i="1"/>
  <c r="BI156" i="1"/>
  <c r="BI157" i="1"/>
  <c r="BI230" i="1"/>
  <c r="BI231" i="1"/>
  <c r="BI233" i="1"/>
  <c r="BI238" i="1"/>
  <c r="BI5" i="1"/>
  <c r="BI158" i="1"/>
  <c r="BI160" i="1"/>
  <c r="BI161" i="1"/>
  <c r="BI162" i="1"/>
  <c r="BI163" i="1"/>
  <c r="BI164" i="1"/>
  <c r="BI165" i="1"/>
  <c r="BI167" i="1"/>
  <c r="BI170" i="1"/>
  <c r="BI171" i="1"/>
  <c r="BI172" i="1"/>
  <c r="BI176" i="1"/>
  <c r="BI177" i="1"/>
  <c r="BI178" i="1"/>
  <c r="BI179" i="1"/>
  <c r="BI180" i="1"/>
  <c r="BI183" i="1"/>
  <c r="BI184" i="1"/>
  <c r="BI186" i="1"/>
  <c r="BI189" i="1"/>
  <c r="BI191" i="1"/>
  <c r="BI194" i="1"/>
  <c r="BI195" i="1"/>
  <c r="BI196" i="1"/>
  <c r="BI197" i="1"/>
  <c r="BI198" i="1"/>
  <c r="BI130" i="1"/>
  <c r="BI202" i="1"/>
  <c r="BI204" i="1"/>
  <c r="BI205" i="1"/>
  <c r="BI206" i="1"/>
  <c r="BI207" i="1"/>
  <c r="BI208" i="1"/>
  <c r="BI212" i="1"/>
  <c r="BI213" i="1"/>
  <c r="BI214" i="1"/>
  <c r="BI216" i="1"/>
  <c r="BI217" i="1"/>
  <c r="BI219" i="1"/>
  <c r="BI221" i="1"/>
  <c r="BI222" i="1"/>
  <c r="BI225" i="1"/>
  <c r="BI226" i="1"/>
  <c r="BI121" i="1"/>
  <c r="BI3" i="1"/>
  <c r="BI13" i="1"/>
  <c r="BI18" i="1"/>
  <c r="BI24" i="1"/>
  <c r="BI31" i="1"/>
  <c r="BI53" i="1"/>
  <c r="BI63" i="1"/>
  <c r="BI67" i="1"/>
  <c r="BI68" i="1"/>
  <c r="BI75" i="1"/>
  <c r="BI77" i="1"/>
  <c r="BI91" i="1"/>
  <c r="BI106" i="1"/>
  <c r="BI114" i="1"/>
  <c r="BI118" i="1"/>
  <c r="BI141" i="1"/>
  <c r="BI146" i="1"/>
  <c r="BI153" i="1"/>
  <c r="BI159" i="1"/>
  <c r="BI173" i="1"/>
  <c r="BI220" i="1"/>
  <c r="BI232" i="1"/>
  <c r="BI235" i="1"/>
  <c r="BI175" i="1"/>
  <c r="BI190" i="1"/>
  <c r="BI192" i="1"/>
  <c r="BI193" i="1"/>
  <c r="BI209" i="1"/>
  <c r="BI210" i="1"/>
  <c r="BI224" i="1"/>
  <c r="BI228" i="1"/>
  <c r="BI229" i="1"/>
  <c r="BI239" i="1"/>
  <c r="BI11" i="1"/>
  <c r="BI14" i="1"/>
  <c r="BI41" i="1"/>
  <c r="BI59" i="1"/>
  <c r="BI60" i="1"/>
  <c r="BI65" i="1"/>
  <c r="BI66" i="1"/>
  <c r="BI83" i="1"/>
  <c r="BI87" i="1"/>
  <c r="BI124" i="1"/>
  <c r="BI128" i="1"/>
  <c r="BI138" i="1"/>
  <c r="BI185" i="1"/>
  <c r="BI203" i="1"/>
  <c r="BI218" i="1"/>
  <c r="BI249" i="1"/>
  <c r="BI56" i="1"/>
  <c r="BI74" i="1"/>
  <c r="BI97" i="1"/>
  <c r="BI126" i="1"/>
  <c r="BI155" i="1"/>
  <c r="BI187" i="1"/>
  <c r="BI211" i="1"/>
  <c r="BI234" i="1"/>
  <c r="BI12" i="1"/>
  <c r="BI86" i="1"/>
  <c r="BI227" i="1"/>
  <c r="BI110" i="1"/>
  <c r="BI247" i="1"/>
  <c r="BI182" i="1"/>
  <c r="BI39" i="1"/>
  <c r="BI70" i="1"/>
  <c r="BI90" i="1"/>
  <c r="BI93" i="1"/>
  <c r="BI107" i="1"/>
  <c r="BI116" i="1"/>
  <c r="BI166" i="1"/>
  <c r="BI168" i="1"/>
  <c r="BI169" i="1"/>
  <c r="BI174" i="1"/>
  <c r="BI181" i="1"/>
  <c r="BI188" i="1"/>
  <c r="BI199" i="1"/>
  <c r="BI215" i="1"/>
  <c r="BI223" i="1"/>
  <c r="BJ25" i="1"/>
  <c r="BJ26" i="1"/>
  <c r="BJ27" i="1"/>
  <c r="BJ28" i="1"/>
  <c r="BJ29" i="1"/>
  <c r="BJ30" i="1"/>
  <c r="BJ32" i="1"/>
  <c r="BJ33" i="1"/>
  <c r="BJ34" i="1"/>
  <c r="BJ35" i="1"/>
  <c r="BJ36" i="1"/>
  <c r="BJ37" i="1"/>
  <c r="BJ201" i="1"/>
  <c r="BJ236" i="1"/>
  <c r="BJ237" i="1"/>
  <c r="BJ246" i="1"/>
  <c r="BJ248" i="1"/>
  <c r="BJ38" i="1"/>
  <c r="BJ40" i="1"/>
  <c r="BJ42" i="1"/>
  <c r="BJ43" i="1"/>
  <c r="BJ44" i="1"/>
  <c r="BJ45" i="1"/>
  <c r="BJ46" i="1"/>
  <c r="BJ47" i="1"/>
  <c r="BJ48" i="1"/>
  <c r="BJ49" i="1"/>
  <c r="BJ50" i="1"/>
  <c r="BJ51" i="1"/>
  <c r="BJ52" i="1"/>
  <c r="BJ54" i="1"/>
  <c r="BJ55" i="1"/>
  <c r="BJ57" i="1"/>
  <c r="BJ58" i="1"/>
  <c r="BJ61" i="1"/>
  <c r="BJ62" i="1"/>
  <c r="BJ64" i="1"/>
  <c r="BJ71" i="1"/>
  <c r="BJ72" i="1"/>
  <c r="BJ73" i="1"/>
  <c r="BJ76" i="1"/>
  <c r="BJ78" i="1"/>
  <c r="BJ79" i="1"/>
  <c r="BJ80" i="1"/>
  <c r="BJ85" i="1"/>
  <c r="BJ243" i="1"/>
  <c r="BJ244" i="1"/>
  <c r="BJ245" i="1"/>
  <c r="BJ81" i="1"/>
  <c r="BJ82" i="1"/>
  <c r="BJ84" i="1"/>
  <c r="BJ88" i="1"/>
  <c r="BJ89" i="1"/>
  <c r="BJ92" i="1"/>
  <c r="BJ94" i="1"/>
  <c r="BJ95" i="1"/>
  <c r="BJ96" i="1"/>
  <c r="BJ98" i="1"/>
  <c r="BJ99" i="1"/>
  <c r="BJ100" i="1"/>
  <c r="BJ101" i="1"/>
  <c r="BJ102" i="1"/>
  <c r="BJ103" i="1"/>
  <c r="BJ104" i="1"/>
  <c r="BJ105" i="1"/>
  <c r="BJ108" i="1"/>
  <c r="BJ109" i="1"/>
  <c r="BJ111" i="1"/>
  <c r="BJ112" i="1"/>
  <c r="BJ113" i="1"/>
  <c r="BJ115" i="1"/>
  <c r="BJ117" i="1"/>
  <c r="BJ119" i="1"/>
  <c r="BJ120" i="1"/>
  <c r="BJ122" i="1"/>
  <c r="BJ200" i="1"/>
  <c r="BJ240" i="1"/>
  <c r="BJ241" i="1"/>
  <c r="BJ242" i="1"/>
  <c r="BJ69" i="1"/>
  <c r="BJ123" i="1"/>
  <c r="BJ125" i="1"/>
  <c r="BJ127" i="1"/>
  <c r="BJ129" i="1"/>
  <c r="BJ131" i="1"/>
  <c r="BJ132" i="1"/>
  <c r="BJ133" i="1"/>
  <c r="BJ134" i="1"/>
  <c r="BJ135" i="1"/>
  <c r="BJ136" i="1"/>
  <c r="BJ137" i="1"/>
  <c r="BJ139" i="1"/>
  <c r="BJ140" i="1"/>
  <c r="BJ142" i="1"/>
  <c r="BJ143" i="1"/>
  <c r="BJ144" i="1"/>
  <c r="BJ145" i="1"/>
  <c r="BJ147" i="1"/>
  <c r="BJ148" i="1"/>
  <c r="BJ149" i="1"/>
  <c r="BJ150" i="1"/>
  <c r="BJ151" i="1"/>
  <c r="BJ152" i="1"/>
  <c r="BJ154" i="1"/>
  <c r="BJ156" i="1"/>
  <c r="BJ157" i="1"/>
  <c r="BJ230" i="1"/>
  <c r="BJ231" i="1"/>
  <c r="BJ233" i="1"/>
  <c r="BJ238" i="1"/>
  <c r="BJ5" i="1"/>
  <c r="BJ158" i="1"/>
  <c r="BJ160" i="1"/>
  <c r="BJ161" i="1"/>
  <c r="BJ162" i="1"/>
  <c r="BJ163" i="1"/>
  <c r="BJ164" i="1"/>
  <c r="BJ165" i="1"/>
  <c r="BJ167" i="1"/>
  <c r="BJ170" i="1"/>
  <c r="BJ171" i="1"/>
  <c r="BJ172" i="1"/>
  <c r="BJ176" i="1"/>
  <c r="BJ177" i="1"/>
  <c r="BJ178" i="1"/>
  <c r="BJ179" i="1"/>
  <c r="BJ180" i="1"/>
  <c r="BJ183" i="1"/>
  <c r="BJ184" i="1"/>
  <c r="BJ186" i="1"/>
  <c r="BJ189" i="1"/>
  <c r="BJ191" i="1"/>
  <c r="BJ194" i="1"/>
  <c r="BJ195" i="1"/>
  <c r="BJ196" i="1"/>
  <c r="BJ197" i="1"/>
  <c r="BJ198" i="1"/>
  <c r="BJ130" i="1"/>
  <c r="BJ202" i="1"/>
  <c r="BJ204" i="1"/>
  <c r="BJ205" i="1"/>
  <c r="BJ206" i="1"/>
  <c r="BJ207" i="1"/>
  <c r="BJ208" i="1"/>
  <c r="BJ212" i="1"/>
  <c r="BJ213" i="1"/>
  <c r="BJ214" i="1"/>
  <c r="BJ216" i="1"/>
  <c r="BJ217" i="1"/>
  <c r="BJ219" i="1"/>
  <c r="BJ221" i="1"/>
  <c r="BJ222" i="1"/>
  <c r="BJ225" i="1"/>
  <c r="BJ226" i="1"/>
  <c r="BJ121" i="1"/>
  <c r="BJ3" i="1"/>
  <c r="BJ13" i="1"/>
  <c r="BJ18" i="1"/>
  <c r="BJ24" i="1"/>
  <c r="BJ31" i="1"/>
  <c r="BJ53" i="1"/>
  <c r="BJ63" i="1"/>
  <c r="BJ67" i="1"/>
  <c r="BJ68" i="1"/>
  <c r="BJ75" i="1"/>
  <c r="BJ77" i="1"/>
  <c r="BJ91" i="1"/>
  <c r="BJ106" i="1"/>
  <c r="BJ114" i="1"/>
  <c r="BJ118" i="1"/>
  <c r="BJ141" i="1"/>
  <c r="BJ146" i="1"/>
  <c r="BJ153" i="1"/>
  <c r="BJ159" i="1"/>
  <c r="BJ173" i="1"/>
  <c r="BJ220" i="1"/>
  <c r="BJ232" i="1"/>
  <c r="BJ235" i="1"/>
  <c r="BJ175" i="1"/>
  <c r="BJ190" i="1"/>
  <c r="BJ192" i="1"/>
  <c r="BJ193" i="1"/>
  <c r="BJ209" i="1"/>
  <c r="BJ210" i="1"/>
  <c r="BJ224" i="1"/>
  <c r="BJ228" i="1"/>
  <c r="BJ229" i="1"/>
  <c r="BJ239" i="1"/>
  <c r="BJ11" i="1"/>
  <c r="BJ14" i="1"/>
  <c r="BJ41" i="1"/>
  <c r="BJ59" i="1"/>
  <c r="BJ60" i="1"/>
  <c r="BJ65" i="1"/>
  <c r="BJ66" i="1"/>
  <c r="BJ83" i="1"/>
  <c r="BJ87" i="1"/>
  <c r="BJ124" i="1"/>
  <c r="BJ128" i="1"/>
  <c r="BJ138" i="1"/>
  <c r="BJ185" i="1"/>
  <c r="BJ203" i="1"/>
  <c r="BJ218" i="1"/>
  <c r="BJ249" i="1"/>
  <c r="BJ56" i="1"/>
  <c r="BJ74" i="1"/>
  <c r="BJ97" i="1"/>
  <c r="BJ126" i="1"/>
  <c r="BJ155" i="1"/>
  <c r="BJ187" i="1"/>
  <c r="BJ211" i="1"/>
  <c r="BJ234" i="1"/>
  <c r="BJ12" i="1"/>
  <c r="BJ86" i="1"/>
  <c r="BJ227" i="1"/>
  <c r="BJ110" i="1"/>
  <c r="BJ247" i="1"/>
  <c r="BJ182" i="1"/>
  <c r="BJ39" i="1"/>
  <c r="BJ70" i="1"/>
  <c r="BJ90" i="1"/>
  <c r="BJ93" i="1"/>
  <c r="BJ107" i="1"/>
  <c r="BJ116" i="1"/>
  <c r="BJ166" i="1"/>
  <c r="BJ168" i="1"/>
  <c r="BJ169" i="1"/>
  <c r="BJ174" i="1"/>
  <c r="BJ181" i="1"/>
  <c r="BJ188" i="1"/>
  <c r="BJ199" i="1"/>
  <c r="BJ215" i="1"/>
  <c r="BJ223" i="1"/>
  <c r="BK25" i="1"/>
  <c r="BK26" i="1"/>
  <c r="BK27" i="1"/>
  <c r="BK28" i="1"/>
  <c r="BK29" i="1"/>
  <c r="BK30" i="1"/>
  <c r="BK32" i="1"/>
  <c r="BK33" i="1"/>
  <c r="BK34" i="1"/>
  <c r="BK35" i="1"/>
  <c r="BK36" i="1"/>
  <c r="BK37" i="1"/>
  <c r="BK201" i="1"/>
  <c r="BK236" i="1"/>
  <c r="BK237" i="1"/>
  <c r="BK246" i="1"/>
  <c r="BK248" i="1"/>
  <c r="BK38" i="1"/>
  <c r="BK40" i="1"/>
  <c r="BK42" i="1"/>
  <c r="BK43" i="1"/>
  <c r="BK44" i="1"/>
  <c r="BK45" i="1"/>
  <c r="BK46" i="1"/>
  <c r="BK47" i="1"/>
  <c r="BK48" i="1"/>
  <c r="BK49" i="1"/>
  <c r="BK50" i="1"/>
  <c r="BK51" i="1"/>
  <c r="BK52" i="1"/>
  <c r="BK54" i="1"/>
  <c r="BK55" i="1"/>
  <c r="BK57" i="1"/>
  <c r="BK58" i="1"/>
  <c r="BK61" i="1"/>
  <c r="BK62" i="1"/>
  <c r="BK64" i="1"/>
  <c r="BK71" i="1"/>
  <c r="BK72" i="1"/>
  <c r="BK73" i="1"/>
  <c r="BK76" i="1"/>
  <c r="BK78" i="1"/>
  <c r="BK79" i="1"/>
  <c r="BK80" i="1"/>
  <c r="BK85" i="1"/>
  <c r="BK243" i="1"/>
  <c r="BK244" i="1"/>
  <c r="BK245" i="1"/>
  <c r="BK81" i="1"/>
  <c r="BK82" i="1"/>
  <c r="BK84" i="1"/>
  <c r="BK88" i="1"/>
  <c r="BK89" i="1"/>
  <c r="BK92" i="1"/>
  <c r="BK94" i="1"/>
  <c r="BK95" i="1"/>
  <c r="BK96" i="1"/>
  <c r="BK98" i="1"/>
  <c r="BK99" i="1"/>
  <c r="BK100" i="1"/>
  <c r="BK101" i="1"/>
  <c r="BK102" i="1"/>
  <c r="BK103" i="1"/>
  <c r="BK104" i="1"/>
  <c r="BK105" i="1"/>
  <c r="BK108" i="1"/>
  <c r="BK109" i="1"/>
  <c r="BK111" i="1"/>
  <c r="BK112" i="1"/>
  <c r="BK113" i="1"/>
  <c r="BK115" i="1"/>
  <c r="BK117" i="1"/>
  <c r="BK119" i="1"/>
  <c r="BK120" i="1"/>
  <c r="BK122" i="1"/>
  <c r="BK200" i="1"/>
  <c r="BK240" i="1"/>
  <c r="BK241" i="1"/>
  <c r="BK242" i="1"/>
  <c r="BK69" i="1"/>
  <c r="BK123" i="1"/>
  <c r="BK125" i="1"/>
  <c r="BK127" i="1"/>
  <c r="BK129" i="1"/>
  <c r="BK131" i="1"/>
  <c r="BK132" i="1"/>
  <c r="BK133" i="1"/>
  <c r="BK134" i="1"/>
  <c r="BK135" i="1"/>
  <c r="BK136" i="1"/>
  <c r="BK137" i="1"/>
  <c r="BK139" i="1"/>
  <c r="BK140" i="1"/>
  <c r="BK142" i="1"/>
  <c r="BK143" i="1"/>
  <c r="BK144" i="1"/>
  <c r="BK145" i="1"/>
  <c r="BK147" i="1"/>
  <c r="BK148" i="1"/>
  <c r="BK149" i="1"/>
  <c r="BK150" i="1"/>
  <c r="BK151" i="1"/>
  <c r="BK152" i="1"/>
  <c r="BK154" i="1"/>
  <c r="BK156" i="1"/>
  <c r="BK157" i="1"/>
  <c r="BK230" i="1"/>
  <c r="BK231" i="1"/>
  <c r="BK233" i="1"/>
  <c r="BK238" i="1"/>
  <c r="BK5" i="1"/>
  <c r="BK158" i="1"/>
  <c r="BK160" i="1"/>
  <c r="BK161" i="1"/>
  <c r="BK162" i="1"/>
  <c r="BK163" i="1"/>
  <c r="BK164" i="1"/>
  <c r="BK165" i="1"/>
  <c r="BK167" i="1"/>
  <c r="BK170" i="1"/>
  <c r="BK171" i="1"/>
  <c r="BK172" i="1"/>
  <c r="BK176" i="1"/>
  <c r="BK177" i="1"/>
  <c r="BK178" i="1"/>
  <c r="BK179" i="1"/>
  <c r="BK180" i="1"/>
  <c r="BK183" i="1"/>
  <c r="BK184" i="1"/>
  <c r="BK186" i="1"/>
  <c r="BK189" i="1"/>
  <c r="BK191" i="1"/>
  <c r="BK194" i="1"/>
  <c r="BK195" i="1"/>
  <c r="BK196" i="1"/>
  <c r="BK197" i="1"/>
  <c r="BK198" i="1"/>
  <c r="BK130" i="1"/>
  <c r="BK202" i="1"/>
  <c r="BK204" i="1"/>
  <c r="BK205" i="1"/>
  <c r="BK206" i="1"/>
  <c r="BK207" i="1"/>
  <c r="BK208" i="1"/>
  <c r="BK212" i="1"/>
  <c r="BK213" i="1"/>
  <c r="BK214" i="1"/>
  <c r="BK216" i="1"/>
  <c r="BK217" i="1"/>
  <c r="BK219" i="1"/>
  <c r="BK221" i="1"/>
  <c r="BK222" i="1"/>
  <c r="BK225" i="1"/>
  <c r="BK226" i="1"/>
  <c r="BK121" i="1"/>
  <c r="BK3" i="1"/>
  <c r="BK13" i="1"/>
  <c r="BK18" i="1"/>
  <c r="BK24" i="1"/>
  <c r="BK31" i="1"/>
  <c r="BK53" i="1"/>
  <c r="BK63" i="1"/>
  <c r="BK67" i="1"/>
  <c r="BK68" i="1"/>
  <c r="BK75" i="1"/>
  <c r="BK77" i="1"/>
  <c r="BK91" i="1"/>
  <c r="BK106" i="1"/>
  <c r="BK114" i="1"/>
  <c r="BK118" i="1"/>
  <c r="BK141" i="1"/>
  <c r="BK146" i="1"/>
  <c r="BK153" i="1"/>
  <c r="BK159" i="1"/>
  <c r="BK173" i="1"/>
  <c r="BK220" i="1"/>
  <c r="BK232" i="1"/>
  <c r="BK235" i="1"/>
  <c r="BK175" i="1"/>
  <c r="BK190" i="1"/>
  <c r="BK192" i="1"/>
  <c r="BK193" i="1"/>
  <c r="BK209" i="1"/>
  <c r="BK210" i="1"/>
  <c r="BK224" i="1"/>
  <c r="BK228" i="1"/>
  <c r="BK229" i="1"/>
  <c r="BK239" i="1"/>
  <c r="BK11" i="1"/>
  <c r="BK14" i="1"/>
  <c r="BK41" i="1"/>
  <c r="BK59" i="1"/>
  <c r="BK60" i="1"/>
  <c r="BK65" i="1"/>
  <c r="BK66" i="1"/>
  <c r="BK83" i="1"/>
  <c r="BK87" i="1"/>
  <c r="BK124" i="1"/>
  <c r="BK128" i="1"/>
  <c r="BK138" i="1"/>
  <c r="BK185" i="1"/>
  <c r="BK203" i="1"/>
  <c r="BK218" i="1"/>
  <c r="BK249" i="1"/>
  <c r="BK56" i="1"/>
  <c r="BK74" i="1"/>
  <c r="BK97" i="1"/>
  <c r="BK126" i="1"/>
  <c r="BK155" i="1"/>
  <c r="BK187" i="1"/>
  <c r="BK211" i="1"/>
  <c r="BK234" i="1"/>
  <c r="BK12" i="1"/>
  <c r="BK86" i="1"/>
  <c r="BK227" i="1"/>
  <c r="BK110" i="1"/>
  <c r="BK247" i="1"/>
  <c r="BK182" i="1"/>
  <c r="BK39" i="1"/>
  <c r="BK70" i="1"/>
  <c r="BK90" i="1"/>
  <c r="BK93" i="1"/>
  <c r="BK107" i="1"/>
  <c r="BK116" i="1"/>
  <c r="BK166" i="1"/>
  <c r="BK168" i="1"/>
  <c r="BK169" i="1"/>
  <c r="BK174" i="1"/>
  <c r="BK181" i="1"/>
  <c r="BK188" i="1"/>
  <c r="BK199" i="1"/>
  <c r="BK215" i="1"/>
  <c r="BK223" i="1"/>
  <c r="BL25" i="1"/>
  <c r="BL26" i="1"/>
  <c r="BL27" i="1"/>
  <c r="BL28" i="1"/>
  <c r="BL29" i="1"/>
  <c r="BL30" i="1"/>
  <c r="BL32" i="1"/>
  <c r="BL33" i="1"/>
  <c r="BL34" i="1"/>
  <c r="BL35" i="1"/>
  <c r="BL36" i="1"/>
  <c r="BL37" i="1"/>
  <c r="BL201" i="1"/>
  <c r="BL236" i="1"/>
  <c r="BL237" i="1"/>
  <c r="BL246" i="1"/>
  <c r="BL248" i="1"/>
  <c r="BL38" i="1"/>
  <c r="BL40" i="1"/>
  <c r="BL42" i="1"/>
  <c r="BL43" i="1"/>
  <c r="BL44" i="1"/>
  <c r="BL45" i="1"/>
  <c r="BL46" i="1"/>
  <c r="BL47" i="1"/>
  <c r="BL48" i="1"/>
  <c r="BL49" i="1"/>
  <c r="BL50" i="1"/>
  <c r="BL51" i="1"/>
  <c r="BL52" i="1"/>
  <c r="BL54" i="1"/>
  <c r="BL55" i="1"/>
  <c r="BL57" i="1"/>
  <c r="BL58" i="1"/>
  <c r="BL61" i="1"/>
  <c r="BL62" i="1"/>
  <c r="BL64" i="1"/>
  <c r="BL71" i="1"/>
  <c r="BL72" i="1"/>
  <c r="BL73" i="1"/>
  <c r="BL76" i="1"/>
  <c r="BL78" i="1"/>
  <c r="BL79" i="1"/>
  <c r="BL80" i="1"/>
  <c r="BL85" i="1"/>
  <c r="BL243" i="1"/>
  <c r="BL244" i="1"/>
  <c r="BL245" i="1"/>
  <c r="BL81" i="1"/>
  <c r="BL82" i="1"/>
  <c r="BL84" i="1"/>
  <c r="BL88" i="1"/>
  <c r="BL89" i="1"/>
  <c r="BL92" i="1"/>
  <c r="BL94" i="1"/>
  <c r="BL95" i="1"/>
  <c r="BL96" i="1"/>
  <c r="BL98" i="1"/>
  <c r="BL99" i="1"/>
  <c r="BL100" i="1"/>
  <c r="BL101" i="1"/>
  <c r="BL102" i="1"/>
  <c r="BL103" i="1"/>
  <c r="BL104" i="1"/>
  <c r="BL105" i="1"/>
  <c r="BL108" i="1"/>
  <c r="BL109" i="1"/>
  <c r="BL111" i="1"/>
  <c r="BL112" i="1"/>
  <c r="BL113" i="1"/>
  <c r="BL115" i="1"/>
  <c r="BL117" i="1"/>
  <c r="BL119" i="1"/>
  <c r="BL120" i="1"/>
  <c r="BL122" i="1"/>
  <c r="BL200" i="1"/>
  <c r="BL240" i="1"/>
  <c r="BL241" i="1"/>
  <c r="BL242" i="1"/>
  <c r="BL69" i="1"/>
  <c r="BL123" i="1"/>
  <c r="BL125" i="1"/>
  <c r="BL127" i="1"/>
  <c r="BL129" i="1"/>
  <c r="BL131" i="1"/>
  <c r="BL132" i="1"/>
  <c r="BL133" i="1"/>
  <c r="BL134" i="1"/>
  <c r="BL135" i="1"/>
  <c r="BL136" i="1"/>
  <c r="BL137" i="1"/>
  <c r="BL139" i="1"/>
  <c r="BL140" i="1"/>
  <c r="BL142" i="1"/>
  <c r="BL143" i="1"/>
  <c r="BL144" i="1"/>
  <c r="BL145" i="1"/>
  <c r="BL147" i="1"/>
  <c r="BL148" i="1"/>
  <c r="BL149" i="1"/>
  <c r="BL150" i="1"/>
  <c r="BL151" i="1"/>
  <c r="BL152" i="1"/>
  <c r="BL154" i="1"/>
  <c r="BL156" i="1"/>
  <c r="BL157" i="1"/>
  <c r="BL230" i="1"/>
  <c r="BL231" i="1"/>
  <c r="BL233" i="1"/>
  <c r="BL238" i="1"/>
  <c r="BL5" i="1"/>
  <c r="BL158" i="1"/>
  <c r="BL160" i="1"/>
  <c r="BL161" i="1"/>
  <c r="BL162" i="1"/>
  <c r="BL163" i="1"/>
  <c r="BL164" i="1"/>
  <c r="BL165" i="1"/>
  <c r="BL167" i="1"/>
  <c r="BL170" i="1"/>
  <c r="BL171" i="1"/>
  <c r="BL172" i="1"/>
  <c r="BL176" i="1"/>
  <c r="BL177" i="1"/>
  <c r="BL178" i="1"/>
  <c r="BL179" i="1"/>
  <c r="BL180" i="1"/>
  <c r="BL183" i="1"/>
  <c r="BL184" i="1"/>
  <c r="BL186" i="1"/>
  <c r="BL189" i="1"/>
  <c r="BL191" i="1"/>
  <c r="BL194" i="1"/>
  <c r="BL195" i="1"/>
  <c r="BL196" i="1"/>
  <c r="BL197" i="1"/>
  <c r="BL198" i="1"/>
  <c r="BL130" i="1"/>
  <c r="BL202" i="1"/>
  <c r="BL204" i="1"/>
  <c r="BL205" i="1"/>
  <c r="BL206" i="1"/>
  <c r="BL207" i="1"/>
  <c r="BL208" i="1"/>
  <c r="BL212" i="1"/>
  <c r="BL213" i="1"/>
  <c r="BL214" i="1"/>
  <c r="BL216" i="1"/>
  <c r="BL217" i="1"/>
  <c r="BL219" i="1"/>
  <c r="BL221" i="1"/>
  <c r="BL222" i="1"/>
  <c r="BL225" i="1"/>
  <c r="BL226" i="1"/>
  <c r="BL121" i="1"/>
  <c r="BL3" i="1"/>
  <c r="BL13" i="1"/>
  <c r="BL18" i="1"/>
  <c r="BL24" i="1"/>
  <c r="BL31" i="1"/>
  <c r="BL53" i="1"/>
  <c r="BL63" i="1"/>
  <c r="BL67" i="1"/>
  <c r="BL68" i="1"/>
  <c r="BL75" i="1"/>
  <c r="BL77" i="1"/>
  <c r="BL91" i="1"/>
  <c r="BL106" i="1"/>
  <c r="BL114" i="1"/>
  <c r="BL118" i="1"/>
  <c r="BL141" i="1"/>
  <c r="BL146" i="1"/>
  <c r="BL153" i="1"/>
  <c r="BL159" i="1"/>
  <c r="BL173" i="1"/>
  <c r="BL220" i="1"/>
  <c r="BL232" i="1"/>
  <c r="BL235" i="1"/>
  <c r="BL175" i="1"/>
  <c r="BL190" i="1"/>
  <c r="BL192" i="1"/>
  <c r="BL193" i="1"/>
  <c r="BL209" i="1"/>
  <c r="BL210" i="1"/>
  <c r="BL224" i="1"/>
  <c r="BL228" i="1"/>
  <c r="BL229" i="1"/>
  <c r="BL239" i="1"/>
  <c r="BL11" i="1"/>
  <c r="BL14" i="1"/>
  <c r="BL41" i="1"/>
  <c r="BL59" i="1"/>
  <c r="BL60" i="1"/>
  <c r="BL65" i="1"/>
  <c r="BL66" i="1"/>
  <c r="BL83" i="1"/>
  <c r="BL87" i="1"/>
  <c r="BL124" i="1"/>
  <c r="BL128" i="1"/>
  <c r="BL138" i="1"/>
  <c r="BL185" i="1"/>
  <c r="BL203" i="1"/>
  <c r="BL218" i="1"/>
  <c r="BL249" i="1"/>
  <c r="BL56" i="1"/>
  <c r="BL74" i="1"/>
  <c r="BL97" i="1"/>
  <c r="BL126" i="1"/>
  <c r="BL155" i="1"/>
  <c r="BL187" i="1"/>
  <c r="BL211" i="1"/>
  <c r="BL234" i="1"/>
  <c r="BL12" i="1"/>
  <c r="BL86" i="1"/>
  <c r="BL227" i="1"/>
  <c r="BL110" i="1"/>
  <c r="BL247" i="1"/>
  <c r="BL182" i="1"/>
  <c r="BL39" i="1"/>
  <c r="BL70" i="1"/>
  <c r="BL90" i="1"/>
  <c r="BL93" i="1"/>
  <c r="BL107" i="1"/>
  <c r="BL116" i="1"/>
  <c r="BL166" i="1"/>
  <c r="BL168" i="1"/>
  <c r="BL169" i="1"/>
  <c r="BL174" i="1"/>
  <c r="BL181" i="1"/>
  <c r="BL188" i="1"/>
  <c r="BL199" i="1"/>
  <c r="BL215" i="1"/>
  <c r="BL223" i="1"/>
  <c r="BM25" i="1"/>
  <c r="BM26" i="1"/>
  <c r="BM27" i="1"/>
  <c r="BM28" i="1"/>
  <c r="BM29" i="1"/>
  <c r="BM30" i="1"/>
  <c r="BM32" i="1"/>
  <c r="BM33" i="1"/>
  <c r="BM34" i="1"/>
  <c r="BM35" i="1"/>
  <c r="BM36" i="1"/>
  <c r="BM37" i="1"/>
  <c r="BM201" i="1"/>
  <c r="BM236" i="1"/>
  <c r="BM237" i="1"/>
  <c r="BM246" i="1"/>
  <c r="BM248" i="1"/>
  <c r="BM38" i="1"/>
  <c r="BM40" i="1"/>
  <c r="BM42" i="1"/>
  <c r="BM43" i="1"/>
  <c r="BM44" i="1"/>
  <c r="BM45" i="1"/>
  <c r="BM46" i="1"/>
  <c r="BM47" i="1"/>
  <c r="BM48" i="1"/>
  <c r="BM49" i="1"/>
  <c r="BM50" i="1"/>
  <c r="BM51" i="1"/>
  <c r="BM52" i="1"/>
  <c r="BM54" i="1"/>
  <c r="BM55" i="1"/>
  <c r="BM57" i="1"/>
  <c r="BM58" i="1"/>
  <c r="BM61" i="1"/>
  <c r="BM62" i="1"/>
  <c r="BM64" i="1"/>
  <c r="BM71" i="1"/>
  <c r="BM72" i="1"/>
  <c r="BM73" i="1"/>
  <c r="BM76" i="1"/>
  <c r="BM78" i="1"/>
  <c r="BM79" i="1"/>
  <c r="BM80" i="1"/>
  <c r="BM85" i="1"/>
  <c r="BM243" i="1"/>
  <c r="BM244" i="1"/>
  <c r="BM245" i="1"/>
  <c r="BM81" i="1"/>
  <c r="BM82" i="1"/>
  <c r="BM84" i="1"/>
  <c r="BM88" i="1"/>
  <c r="BM89" i="1"/>
  <c r="BM92" i="1"/>
  <c r="BM94" i="1"/>
  <c r="BM95" i="1"/>
  <c r="BM96" i="1"/>
  <c r="BM98" i="1"/>
  <c r="BM99" i="1"/>
  <c r="BM100" i="1"/>
  <c r="BM101" i="1"/>
  <c r="BM102" i="1"/>
  <c r="BM103" i="1"/>
  <c r="BM104" i="1"/>
  <c r="BM105" i="1"/>
  <c r="BM108" i="1"/>
  <c r="BM109" i="1"/>
  <c r="BM111" i="1"/>
  <c r="BM112" i="1"/>
  <c r="BM113" i="1"/>
  <c r="BM115" i="1"/>
  <c r="BM117" i="1"/>
  <c r="BM119" i="1"/>
  <c r="BM120" i="1"/>
  <c r="BM122" i="1"/>
  <c r="BM200" i="1"/>
  <c r="BM240" i="1"/>
  <c r="BM241" i="1"/>
  <c r="BM242" i="1"/>
  <c r="BM69" i="1"/>
  <c r="BM123" i="1"/>
  <c r="BM125" i="1"/>
  <c r="BM127" i="1"/>
  <c r="BM129" i="1"/>
  <c r="BM131" i="1"/>
  <c r="BM132" i="1"/>
  <c r="BM133" i="1"/>
  <c r="BM134" i="1"/>
  <c r="BM135" i="1"/>
  <c r="BM136" i="1"/>
  <c r="BM137" i="1"/>
  <c r="BM139" i="1"/>
  <c r="BM140" i="1"/>
  <c r="BM142" i="1"/>
  <c r="BM143" i="1"/>
  <c r="BM144" i="1"/>
  <c r="BM145" i="1"/>
  <c r="BM147" i="1"/>
  <c r="BM148" i="1"/>
  <c r="BM149" i="1"/>
  <c r="BM150" i="1"/>
  <c r="BM151" i="1"/>
  <c r="BM152" i="1"/>
  <c r="BM154" i="1"/>
  <c r="BM156" i="1"/>
  <c r="BM157" i="1"/>
  <c r="BM230" i="1"/>
  <c r="BM231" i="1"/>
  <c r="BM233" i="1"/>
  <c r="BM238" i="1"/>
  <c r="BM5" i="1"/>
  <c r="BM158" i="1"/>
  <c r="BM160" i="1"/>
  <c r="BM161" i="1"/>
  <c r="BM162" i="1"/>
  <c r="BM163" i="1"/>
  <c r="BM164" i="1"/>
  <c r="BM165" i="1"/>
  <c r="BM167" i="1"/>
  <c r="BM170" i="1"/>
  <c r="BM171" i="1"/>
  <c r="BM172" i="1"/>
  <c r="BM176" i="1"/>
  <c r="BM177" i="1"/>
  <c r="BM178" i="1"/>
  <c r="BM179" i="1"/>
  <c r="BM180" i="1"/>
  <c r="BM183" i="1"/>
  <c r="BM184" i="1"/>
  <c r="BM186" i="1"/>
  <c r="BM189" i="1"/>
  <c r="BM191" i="1"/>
  <c r="BM194" i="1"/>
  <c r="BM195" i="1"/>
  <c r="BM196" i="1"/>
  <c r="BM197" i="1"/>
  <c r="BM198" i="1"/>
  <c r="BM130" i="1"/>
  <c r="BM202" i="1"/>
  <c r="BM204" i="1"/>
  <c r="BM205" i="1"/>
  <c r="BM206" i="1"/>
  <c r="BM207" i="1"/>
  <c r="BM208" i="1"/>
  <c r="BM212" i="1"/>
  <c r="BM213" i="1"/>
  <c r="BM214" i="1"/>
  <c r="BM216" i="1"/>
  <c r="BM217" i="1"/>
  <c r="BM219" i="1"/>
  <c r="BM221" i="1"/>
  <c r="BM222" i="1"/>
  <c r="BM225" i="1"/>
  <c r="BM226" i="1"/>
  <c r="BM121" i="1"/>
  <c r="BM3" i="1"/>
  <c r="BM13" i="1"/>
  <c r="BM18" i="1"/>
  <c r="BM24" i="1"/>
  <c r="BM31" i="1"/>
  <c r="BM53" i="1"/>
  <c r="BM63" i="1"/>
  <c r="BM67" i="1"/>
  <c r="BM68" i="1"/>
  <c r="BM75" i="1"/>
  <c r="BM77" i="1"/>
  <c r="BM91" i="1"/>
  <c r="BM106" i="1"/>
  <c r="BM114" i="1"/>
  <c r="BM118" i="1"/>
  <c r="BM141" i="1"/>
  <c r="BM146" i="1"/>
  <c r="BM153" i="1"/>
  <c r="BM159" i="1"/>
  <c r="BM173" i="1"/>
  <c r="BM220" i="1"/>
  <c r="BM232" i="1"/>
  <c r="BM235" i="1"/>
  <c r="BM175" i="1"/>
  <c r="BM190" i="1"/>
  <c r="BM192" i="1"/>
  <c r="BM193" i="1"/>
  <c r="BM209" i="1"/>
  <c r="BM210" i="1"/>
  <c r="BM224" i="1"/>
  <c r="BM228" i="1"/>
  <c r="BM229" i="1"/>
  <c r="BM239" i="1"/>
  <c r="BM11" i="1"/>
  <c r="BM14" i="1"/>
  <c r="BM41" i="1"/>
  <c r="BM59" i="1"/>
  <c r="BM60" i="1"/>
  <c r="BM65" i="1"/>
  <c r="BM66" i="1"/>
  <c r="BM83" i="1"/>
  <c r="BM87" i="1"/>
  <c r="BM124" i="1"/>
  <c r="BM128" i="1"/>
  <c r="BM138" i="1"/>
  <c r="BM185" i="1"/>
  <c r="BM203" i="1"/>
  <c r="BM218" i="1"/>
  <c r="BM249" i="1"/>
  <c r="BM56" i="1"/>
  <c r="BM74" i="1"/>
  <c r="BM97" i="1"/>
  <c r="BM126" i="1"/>
  <c r="BM155" i="1"/>
  <c r="BM187" i="1"/>
  <c r="BM211" i="1"/>
  <c r="BM234" i="1"/>
  <c r="BM12" i="1"/>
  <c r="BM86" i="1"/>
  <c r="BM227" i="1"/>
  <c r="BM110" i="1"/>
  <c r="BM247" i="1"/>
  <c r="BM182" i="1"/>
  <c r="BM39" i="1"/>
  <c r="BM70" i="1"/>
  <c r="BM90" i="1"/>
  <c r="BM93" i="1"/>
  <c r="BM107" i="1"/>
  <c r="BM116" i="1"/>
  <c r="BM166" i="1"/>
  <c r="BM168" i="1"/>
  <c r="BM169" i="1"/>
  <c r="BM174" i="1"/>
  <c r="BM181" i="1"/>
  <c r="BM188" i="1"/>
  <c r="BM199" i="1"/>
  <c r="BM215" i="1"/>
  <c r="BM223" i="1"/>
  <c r="BN25" i="1"/>
  <c r="BN26" i="1"/>
  <c r="BN27" i="1"/>
  <c r="BN28" i="1"/>
  <c r="BN29" i="1"/>
  <c r="BN30" i="1"/>
  <c r="BN32" i="1"/>
  <c r="BN33" i="1"/>
  <c r="BN34" i="1"/>
  <c r="BN35" i="1"/>
  <c r="BN36" i="1"/>
  <c r="BN37" i="1"/>
  <c r="BN201" i="1"/>
  <c r="BN236" i="1"/>
  <c r="BN237" i="1"/>
  <c r="BN246" i="1"/>
  <c r="BN248" i="1"/>
  <c r="BN38" i="1"/>
  <c r="BN40" i="1"/>
  <c r="BN42" i="1"/>
  <c r="BN43" i="1"/>
  <c r="BN44" i="1"/>
  <c r="BN45" i="1"/>
  <c r="BN46" i="1"/>
  <c r="BN47" i="1"/>
  <c r="BN48" i="1"/>
  <c r="BN49" i="1"/>
  <c r="BN50" i="1"/>
  <c r="BN51" i="1"/>
  <c r="BN52" i="1"/>
  <c r="BN54" i="1"/>
  <c r="BN55" i="1"/>
  <c r="BN57" i="1"/>
  <c r="BN58" i="1"/>
  <c r="BN61" i="1"/>
  <c r="BN62" i="1"/>
  <c r="BN64" i="1"/>
  <c r="BN71" i="1"/>
  <c r="BN72" i="1"/>
  <c r="BN73" i="1"/>
  <c r="BN76" i="1"/>
  <c r="BN78" i="1"/>
  <c r="BN79" i="1"/>
  <c r="BN80" i="1"/>
  <c r="BN85" i="1"/>
  <c r="BN243" i="1"/>
  <c r="BN244" i="1"/>
  <c r="BN245" i="1"/>
  <c r="BN81" i="1"/>
  <c r="BN82" i="1"/>
  <c r="BN84" i="1"/>
  <c r="BN88" i="1"/>
  <c r="BN89" i="1"/>
  <c r="BN92" i="1"/>
  <c r="BN94" i="1"/>
  <c r="BN95" i="1"/>
  <c r="BN96" i="1"/>
  <c r="BN98" i="1"/>
  <c r="BN99" i="1"/>
  <c r="BN100" i="1"/>
  <c r="BN101" i="1"/>
  <c r="BN102" i="1"/>
  <c r="BN103" i="1"/>
  <c r="BN104" i="1"/>
  <c r="BN105" i="1"/>
  <c r="BN108" i="1"/>
  <c r="BN109" i="1"/>
  <c r="BN111" i="1"/>
  <c r="BN112" i="1"/>
  <c r="BN113" i="1"/>
  <c r="BN115" i="1"/>
  <c r="BN117" i="1"/>
  <c r="BN119" i="1"/>
  <c r="BN120" i="1"/>
  <c r="BN122" i="1"/>
  <c r="BN200" i="1"/>
  <c r="BN240" i="1"/>
  <c r="BN241" i="1"/>
  <c r="BN242" i="1"/>
  <c r="BN69" i="1"/>
  <c r="BN123" i="1"/>
  <c r="BN125" i="1"/>
  <c r="BN127" i="1"/>
  <c r="BN129" i="1"/>
  <c r="BN131" i="1"/>
  <c r="BN132" i="1"/>
  <c r="BN133" i="1"/>
  <c r="BN134" i="1"/>
  <c r="BN135" i="1"/>
  <c r="BN136" i="1"/>
  <c r="BN137" i="1"/>
  <c r="BN139" i="1"/>
  <c r="BN140" i="1"/>
  <c r="BN142" i="1"/>
  <c r="BN143" i="1"/>
  <c r="BN144" i="1"/>
  <c r="BN145" i="1"/>
  <c r="BN147" i="1"/>
  <c r="BN148" i="1"/>
  <c r="BN149" i="1"/>
  <c r="BN150" i="1"/>
  <c r="BN151" i="1"/>
  <c r="BN152" i="1"/>
  <c r="BN154" i="1"/>
  <c r="BN156" i="1"/>
  <c r="BN157" i="1"/>
  <c r="BN230" i="1"/>
  <c r="BN231" i="1"/>
  <c r="BN233" i="1"/>
  <c r="BN238" i="1"/>
  <c r="BN5" i="1"/>
  <c r="BN158" i="1"/>
  <c r="BN160" i="1"/>
  <c r="BN161" i="1"/>
  <c r="BN162" i="1"/>
  <c r="BN163" i="1"/>
  <c r="BN164" i="1"/>
  <c r="BN165" i="1"/>
  <c r="BN167" i="1"/>
  <c r="BN170" i="1"/>
  <c r="BN171" i="1"/>
  <c r="BN172" i="1"/>
  <c r="BN176" i="1"/>
  <c r="BN177" i="1"/>
  <c r="BN178" i="1"/>
  <c r="BN179" i="1"/>
  <c r="BN180" i="1"/>
  <c r="BN183" i="1"/>
  <c r="BN184" i="1"/>
  <c r="BN186" i="1"/>
  <c r="BN189" i="1"/>
  <c r="BN191" i="1"/>
  <c r="BN194" i="1"/>
  <c r="BN195" i="1"/>
  <c r="BN196" i="1"/>
  <c r="BN197" i="1"/>
  <c r="BN198" i="1"/>
  <c r="BN130" i="1"/>
  <c r="BN202" i="1"/>
  <c r="BN204" i="1"/>
  <c r="BN205" i="1"/>
  <c r="BN206" i="1"/>
  <c r="BN207" i="1"/>
  <c r="BN208" i="1"/>
  <c r="BN212" i="1"/>
  <c r="BN213" i="1"/>
  <c r="BN214" i="1"/>
  <c r="BN216" i="1"/>
  <c r="BN217" i="1"/>
  <c r="BN219" i="1"/>
  <c r="BN221" i="1"/>
  <c r="BN222" i="1"/>
  <c r="BN225" i="1"/>
  <c r="BN226" i="1"/>
  <c r="BN121" i="1"/>
  <c r="BN3" i="1"/>
  <c r="BN13" i="1"/>
  <c r="BN18" i="1"/>
  <c r="BN24" i="1"/>
  <c r="BN31" i="1"/>
  <c r="BN53" i="1"/>
  <c r="BN63" i="1"/>
  <c r="BN67" i="1"/>
  <c r="BN68" i="1"/>
  <c r="BN75" i="1"/>
  <c r="BN77" i="1"/>
  <c r="BN91" i="1"/>
  <c r="BN106" i="1"/>
  <c r="BN114" i="1"/>
  <c r="BN118" i="1"/>
  <c r="BN141" i="1"/>
  <c r="BN146" i="1"/>
  <c r="BN153" i="1"/>
  <c r="BN159" i="1"/>
  <c r="BN173" i="1"/>
  <c r="BN220" i="1"/>
  <c r="BN232" i="1"/>
  <c r="BN235" i="1"/>
  <c r="BN175" i="1"/>
  <c r="BN190" i="1"/>
  <c r="BN192" i="1"/>
  <c r="BN193" i="1"/>
  <c r="BN209" i="1"/>
  <c r="BN210" i="1"/>
  <c r="BN224" i="1"/>
  <c r="BN228" i="1"/>
  <c r="BN229" i="1"/>
  <c r="BN239" i="1"/>
  <c r="BN11" i="1"/>
  <c r="BN14" i="1"/>
  <c r="BN41" i="1"/>
  <c r="BN59" i="1"/>
  <c r="BN60" i="1"/>
  <c r="BN65" i="1"/>
  <c r="BN66" i="1"/>
  <c r="BN83" i="1"/>
  <c r="BN87" i="1"/>
  <c r="BN124" i="1"/>
  <c r="BN128" i="1"/>
  <c r="BN138" i="1"/>
  <c r="BN185" i="1"/>
  <c r="BN203" i="1"/>
  <c r="BN218" i="1"/>
  <c r="BN249" i="1"/>
  <c r="BN56" i="1"/>
  <c r="BN74" i="1"/>
  <c r="BN97" i="1"/>
  <c r="BN126" i="1"/>
  <c r="BN155" i="1"/>
  <c r="BN187" i="1"/>
  <c r="BN211" i="1"/>
  <c r="BN234" i="1"/>
  <c r="BN12" i="1"/>
  <c r="BN86" i="1"/>
  <c r="BN227" i="1"/>
  <c r="BN110" i="1"/>
  <c r="BN247" i="1"/>
  <c r="BN182" i="1"/>
  <c r="BN39" i="1"/>
  <c r="BN70" i="1"/>
  <c r="BN90" i="1"/>
  <c r="BN93" i="1"/>
  <c r="BN107" i="1"/>
  <c r="BN116" i="1"/>
  <c r="BN166" i="1"/>
  <c r="BN168" i="1"/>
  <c r="BN169" i="1"/>
  <c r="BN174" i="1"/>
  <c r="BN181" i="1"/>
  <c r="BN188" i="1"/>
  <c r="BN199" i="1"/>
  <c r="BN215" i="1"/>
  <c r="BN223" i="1"/>
  <c r="BO25" i="1"/>
  <c r="BO26" i="1"/>
  <c r="BO27" i="1"/>
  <c r="BO28" i="1"/>
  <c r="BO29" i="1"/>
  <c r="BO30" i="1"/>
  <c r="BO32" i="1"/>
  <c r="BO33" i="1"/>
  <c r="BO34" i="1"/>
  <c r="BO35" i="1"/>
  <c r="BO36" i="1"/>
  <c r="BO37" i="1"/>
  <c r="BO201" i="1"/>
  <c r="BO236" i="1"/>
  <c r="BO237" i="1"/>
  <c r="BO246" i="1"/>
  <c r="BO248" i="1"/>
  <c r="BO38" i="1"/>
  <c r="BO40" i="1"/>
  <c r="BO42" i="1"/>
  <c r="BO43" i="1"/>
  <c r="BO44" i="1"/>
  <c r="BO45" i="1"/>
  <c r="BO46" i="1"/>
  <c r="BO47" i="1"/>
  <c r="BO48" i="1"/>
  <c r="BO49" i="1"/>
  <c r="BO50" i="1"/>
  <c r="BO51" i="1"/>
  <c r="BO52" i="1"/>
  <c r="BO54" i="1"/>
  <c r="BO55" i="1"/>
  <c r="BO57" i="1"/>
  <c r="BO58" i="1"/>
  <c r="BO61" i="1"/>
  <c r="BO62" i="1"/>
  <c r="BO64" i="1"/>
  <c r="BO71" i="1"/>
  <c r="BO72" i="1"/>
  <c r="BO73" i="1"/>
  <c r="BO76" i="1"/>
  <c r="BO78" i="1"/>
  <c r="BO79" i="1"/>
  <c r="BO80" i="1"/>
  <c r="BO85" i="1"/>
  <c r="BO243" i="1"/>
  <c r="BO244" i="1"/>
  <c r="BO245" i="1"/>
  <c r="BO81" i="1"/>
  <c r="BO82" i="1"/>
  <c r="BO84" i="1"/>
  <c r="BO88" i="1"/>
  <c r="BO89" i="1"/>
  <c r="BO92" i="1"/>
  <c r="BO94" i="1"/>
  <c r="BO95" i="1"/>
  <c r="BO96" i="1"/>
  <c r="BO98" i="1"/>
  <c r="BO99" i="1"/>
  <c r="BO100" i="1"/>
  <c r="BO101" i="1"/>
  <c r="BO102" i="1"/>
  <c r="BO103" i="1"/>
  <c r="BO104" i="1"/>
  <c r="BO105" i="1"/>
  <c r="BO108" i="1"/>
  <c r="BO109" i="1"/>
  <c r="BO111" i="1"/>
  <c r="BO112" i="1"/>
  <c r="BO113" i="1"/>
  <c r="BO115" i="1"/>
  <c r="BO117" i="1"/>
  <c r="BO119" i="1"/>
  <c r="BO120" i="1"/>
  <c r="BO122" i="1"/>
  <c r="BO200" i="1"/>
  <c r="BO240" i="1"/>
  <c r="BO241" i="1"/>
  <c r="BO242" i="1"/>
  <c r="BO69" i="1"/>
  <c r="BO123" i="1"/>
  <c r="BO125" i="1"/>
  <c r="BO127" i="1"/>
  <c r="BO129" i="1"/>
  <c r="BO131" i="1"/>
  <c r="BO132" i="1"/>
  <c r="BO133" i="1"/>
  <c r="BO134" i="1"/>
  <c r="BO135" i="1"/>
  <c r="BO136" i="1"/>
  <c r="BO137" i="1"/>
  <c r="BO139" i="1"/>
  <c r="BO140" i="1"/>
  <c r="BO142" i="1"/>
  <c r="BO143" i="1"/>
  <c r="BO144" i="1"/>
  <c r="BO145" i="1"/>
  <c r="BO147" i="1"/>
  <c r="BO148" i="1"/>
  <c r="BO149" i="1"/>
  <c r="BO150" i="1"/>
  <c r="BO151" i="1"/>
  <c r="BO152" i="1"/>
  <c r="BO154" i="1"/>
  <c r="BO156" i="1"/>
  <c r="BO157" i="1"/>
  <c r="BO230" i="1"/>
  <c r="BO231" i="1"/>
  <c r="BO233" i="1"/>
  <c r="BO238" i="1"/>
  <c r="BO5" i="1"/>
  <c r="BO158" i="1"/>
  <c r="BO160" i="1"/>
  <c r="BO161" i="1"/>
  <c r="BO162" i="1"/>
  <c r="BO163" i="1"/>
  <c r="BO164" i="1"/>
  <c r="BO165" i="1"/>
  <c r="BO167" i="1"/>
  <c r="BO170" i="1"/>
  <c r="BO171" i="1"/>
  <c r="BO172" i="1"/>
  <c r="BO176" i="1"/>
  <c r="BO177" i="1"/>
  <c r="BO178" i="1"/>
  <c r="BO179" i="1"/>
  <c r="BO180" i="1"/>
  <c r="BO183" i="1"/>
  <c r="BO184" i="1"/>
  <c r="BO186" i="1"/>
  <c r="BO189" i="1"/>
  <c r="BO191" i="1"/>
  <c r="BO194" i="1"/>
  <c r="BO195" i="1"/>
  <c r="BO196" i="1"/>
  <c r="BO197" i="1"/>
  <c r="BO198" i="1"/>
  <c r="BO130" i="1"/>
  <c r="BO202" i="1"/>
  <c r="BO204" i="1"/>
  <c r="BO205" i="1"/>
  <c r="BO206" i="1"/>
  <c r="BO207" i="1"/>
  <c r="BO208" i="1"/>
  <c r="BO212" i="1"/>
  <c r="BO213" i="1"/>
  <c r="BO214" i="1"/>
  <c r="BO216" i="1"/>
  <c r="BO217" i="1"/>
  <c r="BO219" i="1"/>
  <c r="BO221" i="1"/>
  <c r="BO222" i="1"/>
  <c r="BO225" i="1"/>
  <c r="BO226" i="1"/>
  <c r="BO121" i="1"/>
  <c r="BO3" i="1"/>
  <c r="BO13" i="1"/>
  <c r="BO18" i="1"/>
  <c r="BO24" i="1"/>
  <c r="BO31" i="1"/>
  <c r="BO53" i="1"/>
  <c r="BO63" i="1"/>
  <c r="BO67" i="1"/>
  <c r="BO68" i="1"/>
  <c r="BO75" i="1"/>
  <c r="BO77" i="1"/>
  <c r="BO91" i="1"/>
  <c r="BO106" i="1"/>
  <c r="BO114" i="1"/>
  <c r="BO118" i="1"/>
  <c r="BO141" i="1"/>
  <c r="BO146" i="1"/>
  <c r="BO153" i="1"/>
  <c r="BO159" i="1"/>
  <c r="BO173" i="1"/>
  <c r="BO220" i="1"/>
  <c r="BO232" i="1"/>
  <c r="BO235" i="1"/>
  <c r="BO175" i="1"/>
  <c r="BO190" i="1"/>
  <c r="BO192" i="1"/>
  <c r="BO193" i="1"/>
  <c r="BO209" i="1"/>
  <c r="BO210" i="1"/>
  <c r="BO224" i="1"/>
  <c r="BO228" i="1"/>
  <c r="BO229" i="1"/>
  <c r="BO239" i="1"/>
  <c r="BO11" i="1"/>
  <c r="BO14" i="1"/>
  <c r="BO41" i="1"/>
  <c r="BO59" i="1"/>
  <c r="BO60" i="1"/>
  <c r="BO65" i="1"/>
  <c r="BO66" i="1"/>
  <c r="BO83" i="1"/>
  <c r="BO87" i="1"/>
  <c r="BO124" i="1"/>
  <c r="BO128" i="1"/>
  <c r="BO138" i="1"/>
  <c r="BO185" i="1"/>
  <c r="BO203" i="1"/>
  <c r="BO218" i="1"/>
  <c r="BO249" i="1"/>
  <c r="BO56" i="1"/>
  <c r="BO74" i="1"/>
  <c r="BO97" i="1"/>
  <c r="BO126" i="1"/>
  <c r="BO155" i="1"/>
  <c r="BO187" i="1"/>
  <c r="BO211" i="1"/>
  <c r="BO234" i="1"/>
  <c r="BO12" i="1"/>
  <c r="BO86" i="1"/>
  <c r="BO227" i="1"/>
  <c r="BO110" i="1"/>
  <c r="BO247" i="1"/>
  <c r="BO182" i="1"/>
  <c r="BO39" i="1"/>
  <c r="BO70" i="1"/>
  <c r="BO90" i="1"/>
  <c r="BO93" i="1"/>
  <c r="BO107" i="1"/>
  <c r="BO116" i="1"/>
  <c r="BO166" i="1"/>
  <c r="BO168" i="1"/>
  <c r="BO169" i="1"/>
  <c r="BO174" i="1"/>
  <c r="BO181" i="1"/>
  <c r="BO188" i="1"/>
  <c r="BO199" i="1"/>
  <c r="BO215" i="1"/>
  <c r="BO223" i="1"/>
  <c r="BP25" i="1"/>
  <c r="BP26" i="1"/>
  <c r="BP27" i="1"/>
  <c r="BP28" i="1"/>
  <c r="BP29" i="1"/>
  <c r="BP30" i="1"/>
  <c r="BP32" i="1"/>
  <c r="BP33" i="1"/>
  <c r="BP34" i="1"/>
  <c r="BP35" i="1"/>
  <c r="BP36" i="1"/>
  <c r="BP37" i="1"/>
  <c r="BP201" i="1"/>
  <c r="BP236" i="1"/>
  <c r="BP237" i="1"/>
  <c r="BP246" i="1"/>
  <c r="BP248" i="1"/>
  <c r="BP38" i="1"/>
  <c r="BP40" i="1"/>
  <c r="BP42" i="1"/>
  <c r="BP43" i="1"/>
  <c r="BP44" i="1"/>
  <c r="BP45" i="1"/>
  <c r="BP46" i="1"/>
  <c r="BP47" i="1"/>
  <c r="BP48" i="1"/>
  <c r="BP49" i="1"/>
  <c r="BP50" i="1"/>
  <c r="BP51" i="1"/>
  <c r="BP52" i="1"/>
  <c r="BP54" i="1"/>
  <c r="BP55" i="1"/>
  <c r="BP57" i="1"/>
  <c r="BP58" i="1"/>
  <c r="BP61" i="1"/>
  <c r="BP62" i="1"/>
  <c r="BP64" i="1"/>
  <c r="BP71" i="1"/>
  <c r="BP72" i="1"/>
  <c r="BP73" i="1"/>
  <c r="BP76" i="1"/>
  <c r="BP78" i="1"/>
  <c r="BP79" i="1"/>
  <c r="BP80" i="1"/>
  <c r="BP85" i="1"/>
  <c r="BP243" i="1"/>
  <c r="BP244" i="1"/>
  <c r="BP245" i="1"/>
  <c r="BP81" i="1"/>
  <c r="BP82" i="1"/>
  <c r="BP84" i="1"/>
  <c r="BP88" i="1"/>
  <c r="BP89" i="1"/>
  <c r="BP92" i="1"/>
  <c r="BP94" i="1"/>
  <c r="BP95" i="1"/>
  <c r="BP96" i="1"/>
  <c r="BP98" i="1"/>
  <c r="BP99" i="1"/>
  <c r="BP100" i="1"/>
  <c r="BP101" i="1"/>
  <c r="BP102" i="1"/>
  <c r="BP103" i="1"/>
  <c r="BP104" i="1"/>
  <c r="BP105" i="1"/>
  <c r="BP108" i="1"/>
  <c r="BP109" i="1"/>
  <c r="BP111" i="1"/>
  <c r="BP112" i="1"/>
  <c r="BP113" i="1"/>
  <c r="BP115" i="1"/>
  <c r="BP117" i="1"/>
  <c r="BP119" i="1"/>
  <c r="BP120" i="1"/>
  <c r="BP122" i="1"/>
  <c r="BP200" i="1"/>
  <c r="BP240" i="1"/>
  <c r="BP241" i="1"/>
  <c r="BP242" i="1"/>
  <c r="BP69" i="1"/>
  <c r="BP123" i="1"/>
  <c r="BP125" i="1"/>
  <c r="BP127" i="1"/>
  <c r="BP129" i="1"/>
  <c r="BP131" i="1"/>
  <c r="BP132" i="1"/>
  <c r="BP133" i="1"/>
  <c r="BP134" i="1"/>
  <c r="BP135" i="1"/>
  <c r="BP136" i="1"/>
  <c r="BP137" i="1"/>
  <c r="BP139" i="1"/>
  <c r="BP140" i="1"/>
  <c r="BP142" i="1"/>
  <c r="BP143" i="1"/>
  <c r="BP144" i="1"/>
  <c r="BP145" i="1"/>
  <c r="BP147" i="1"/>
  <c r="BP148" i="1"/>
  <c r="BP149" i="1"/>
  <c r="BP150" i="1"/>
  <c r="BP151" i="1"/>
  <c r="BP152" i="1"/>
  <c r="BP154" i="1"/>
  <c r="BP156" i="1"/>
  <c r="BP157" i="1"/>
  <c r="BP230" i="1"/>
  <c r="BP231" i="1"/>
  <c r="BP233" i="1"/>
  <c r="BP238" i="1"/>
  <c r="BP5" i="1"/>
  <c r="BP158" i="1"/>
  <c r="BP160" i="1"/>
  <c r="BP161" i="1"/>
  <c r="BP162" i="1"/>
  <c r="BP163" i="1"/>
  <c r="BP164" i="1"/>
  <c r="BP165" i="1"/>
  <c r="BP167" i="1"/>
  <c r="BP170" i="1"/>
  <c r="BP171" i="1"/>
  <c r="BP172" i="1"/>
  <c r="BP176" i="1"/>
  <c r="BP177" i="1"/>
  <c r="BP178" i="1"/>
  <c r="BP179" i="1"/>
  <c r="BP180" i="1"/>
  <c r="BP183" i="1"/>
  <c r="BP184" i="1"/>
  <c r="BP186" i="1"/>
  <c r="BP189" i="1"/>
  <c r="BP191" i="1"/>
  <c r="BP194" i="1"/>
  <c r="BP195" i="1"/>
  <c r="BP196" i="1"/>
  <c r="BP197" i="1"/>
  <c r="BP198" i="1"/>
  <c r="BP130" i="1"/>
  <c r="BP202" i="1"/>
  <c r="BP204" i="1"/>
  <c r="BP205" i="1"/>
  <c r="BP206" i="1"/>
  <c r="BP207" i="1"/>
  <c r="BP208" i="1"/>
  <c r="BP212" i="1"/>
  <c r="BP213" i="1"/>
  <c r="BP214" i="1"/>
  <c r="BP216" i="1"/>
  <c r="BP217" i="1"/>
  <c r="BP219" i="1"/>
  <c r="BP221" i="1"/>
  <c r="BP222" i="1"/>
  <c r="BP225" i="1"/>
  <c r="BP226" i="1"/>
  <c r="BP121" i="1"/>
  <c r="BP3" i="1"/>
  <c r="BP13" i="1"/>
  <c r="BP18" i="1"/>
  <c r="BP24" i="1"/>
  <c r="BP31" i="1"/>
  <c r="BP53" i="1"/>
  <c r="BP63" i="1"/>
  <c r="BP67" i="1"/>
  <c r="BP68" i="1"/>
  <c r="BP75" i="1"/>
  <c r="BP77" i="1"/>
  <c r="BP91" i="1"/>
  <c r="BP106" i="1"/>
  <c r="BP114" i="1"/>
  <c r="BP118" i="1"/>
  <c r="BP141" i="1"/>
  <c r="BP146" i="1"/>
  <c r="BP153" i="1"/>
  <c r="BP159" i="1"/>
  <c r="BP173" i="1"/>
  <c r="BP220" i="1"/>
  <c r="BP232" i="1"/>
  <c r="BP235" i="1"/>
  <c r="BP175" i="1"/>
  <c r="BP190" i="1"/>
  <c r="BP192" i="1"/>
  <c r="BP193" i="1"/>
  <c r="BP209" i="1"/>
  <c r="BP210" i="1"/>
  <c r="BP224" i="1"/>
  <c r="BP228" i="1"/>
  <c r="BP229" i="1"/>
  <c r="BP239" i="1"/>
  <c r="BP11" i="1"/>
  <c r="BP14" i="1"/>
  <c r="BP41" i="1"/>
  <c r="BP59" i="1"/>
  <c r="BP60" i="1"/>
  <c r="BP65" i="1"/>
  <c r="BP66" i="1"/>
  <c r="BP83" i="1"/>
  <c r="BP87" i="1"/>
  <c r="BP124" i="1"/>
  <c r="BP128" i="1"/>
  <c r="BP138" i="1"/>
  <c r="BP185" i="1"/>
  <c r="BP203" i="1"/>
  <c r="BP218" i="1"/>
  <c r="BP249" i="1"/>
  <c r="BP56" i="1"/>
  <c r="BP74" i="1"/>
  <c r="BP97" i="1"/>
  <c r="BP126" i="1"/>
  <c r="BP155" i="1"/>
  <c r="BP187" i="1"/>
  <c r="BP211" i="1"/>
  <c r="BP234" i="1"/>
  <c r="BP12" i="1"/>
  <c r="BP86" i="1"/>
  <c r="BP227" i="1"/>
  <c r="BP110" i="1"/>
  <c r="BP247" i="1"/>
  <c r="BP182" i="1"/>
  <c r="BP39" i="1"/>
  <c r="BP70" i="1"/>
  <c r="BP90" i="1"/>
  <c r="BP93" i="1"/>
  <c r="BP107" i="1"/>
  <c r="BP116" i="1"/>
  <c r="BP166" i="1"/>
  <c r="BP168" i="1"/>
  <c r="BP169" i="1"/>
  <c r="BP174" i="1"/>
  <c r="BP181" i="1"/>
  <c r="BP188" i="1"/>
  <c r="BP199" i="1"/>
  <c r="BP215" i="1"/>
  <c r="BP223" i="1"/>
  <c r="BQ25" i="1"/>
  <c r="BQ26" i="1"/>
  <c r="BQ27" i="1"/>
  <c r="BQ28" i="1"/>
  <c r="BQ29" i="1"/>
  <c r="BQ30" i="1"/>
  <c r="BQ32" i="1"/>
  <c r="BQ33" i="1"/>
  <c r="BQ34" i="1"/>
  <c r="BQ35" i="1"/>
  <c r="BQ36" i="1"/>
  <c r="BQ37" i="1"/>
  <c r="BQ201" i="1"/>
  <c r="BQ236" i="1"/>
  <c r="BQ237" i="1"/>
  <c r="BQ246" i="1"/>
  <c r="BQ248" i="1"/>
  <c r="BQ38" i="1"/>
  <c r="BQ40" i="1"/>
  <c r="BQ42" i="1"/>
  <c r="BQ43" i="1"/>
  <c r="BQ44" i="1"/>
  <c r="BQ45" i="1"/>
  <c r="BQ46" i="1"/>
  <c r="BQ47" i="1"/>
  <c r="BQ48" i="1"/>
  <c r="BQ49" i="1"/>
  <c r="BQ50" i="1"/>
  <c r="BQ51" i="1"/>
  <c r="BQ52" i="1"/>
  <c r="BQ54" i="1"/>
  <c r="BQ55" i="1"/>
  <c r="BQ57" i="1"/>
  <c r="BQ58" i="1"/>
  <c r="BQ61" i="1"/>
  <c r="BQ62" i="1"/>
  <c r="BQ64" i="1"/>
  <c r="BQ71" i="1"/>
  <c r="BQ72" i="1"/>
  <c r="BQ73" i="1"/>
  <c r="BQ76" i="1"/>
  <c r="BQ78" i="1"/>
  <c r="BQ79" i="1"/>
  <c r="BQ80" i="1"/>
  <c r="BQ85" i="1"/>
  <c r="BQ243" i="1"/>
  <c r="BQ244" i="1"/>
  <c r="BQ245" i="1"/>
  <c r="BQ81" i="1"/>
  <c r="BQ82" i="1"/>
  <c r="BQ84" i="1"/>
  <c r="BQ88" i="1"/>
  <c r="BQ89" i="1"/>
  <c r="BQ92" i="1"/>
  <c r="BQ94" i="1"/>
  <c r="BQ95" i="1"/>
  <c r="BQ96" i="1"/>
  <c r="BQ98" i="1"/>
  <c r="BQ99" i="1"/>
  <c r="BQ100" i="1"/>
  <c r="BQ101" i="1"/>
  <c r="BQ102" i="1"/>
  <c r="BQ103" i="1"/>
  <c r="BQ104" i="1"/>
  <c r="BQ105" i="1"/>
  <c r="BQ108" i="1"/>
  <c r="BQ109" i="1"/>
  <c r="BQ111" i="1"/>
  <c r="BQ112" i="1"/>
  <c r="BQ113" i="1"/>
  <c r="BQ115" i="1"/>
  <c r="BQ117" i="1"/>
  <c r="BQ119" i="1"/>
  <c r="BQ120" i="1"/>
  <c r="BQ122" i="1"/>
  <c r="BQ200" i="1"/>
  <c r="BQ240" i="1"/>
  <c r="BQ241" i="1"/>
  <c r="BQ242" i="1"/>
  <c r="BQ69" i="1"/>
  <c r="BQ123" i="1"/>
  <c r="BQ125" i="1"/>
  <c r="BQ127" i="1"/>
  <c r="BQ129" i="1"/>
  <c r="BQ131" i="1"/>
  <c r="BQ132" i="1"/>
  <c r="BQ133" i="1"/>
  <c r="BQ134" i="1"/>
  <c r="BQ135" i="1"/>
  <c r="BQ136" i="1"/>
  <c r="BQ137" i="1"/>
  <c r="BQ139" i="1"/>
  <c r="BQ140" i="1"/>
  <c r="BQ142" i="1"/>
  <c r="BQ143" i="1"/>
  <c r="BQ144" i="1"/>
  <c r="BQ145" i="1"/>
  <c r="BQ147" i="1"/>
  <c r="BQ148" i="1"/>
  <c r="BQ149" i="1"/>
  <c r="BQ150" i="1"/>
  <c r="BQ151" i="1"/>
  <c r="BQ152" i="1"/>
  <c r="BQ154" i="1"/>
  <c r="BQ156" i="1"/>
  <c r="BQ157" i="1"/>
  <c r="BQ230" i="1"/>
  <c r="BQ231" i="1"/>
  <c r="BQ233" i="1"/>
  <c r="BQ238" i="1"/>
  <c r="BQ5" i="1"/>
  <c r="BQ158" i="1"/>
  <c r="BQ160" i="1"/>
  <c r="BQ161" i="1"/>
  <c r="BQ162" i="1"/>
  <c r="BQ163" i="1"/>
  <c r="BQ164" i="1"/>
  <c r="BQ165" i="1"/>
  <c r="BQ167" i="1"/>
  <c r="BQ170" i="1"/>
  <c r="BQ171" i="1"/>
  <c r="BQ172" i="1"/>
  <c r="BQ176" i="1"/>
  <c r="BQ177" i="1"/>
  <c r="BQ178" i="1"/>
  <c r="BQ179" i="1"/>
  <c r="BQ180" i="1"/>
  <c r="BQ183" i="1"/>
  <c r="BQ184" i="1"/>
  <c r="BQ186" i="1"/>
  <c r="BQ189" i="1"/>
  <c r="BQ191" i="1"/>
  <c r="BQ194" i="1"/>
  <c r="BQ195" i="1"/>
  <c r="BQ196" i="1"/>
  <c r="BQ197" i="1"/>
  <c r="BQ198" i="1"/>
  <c r="BQ130" i="1"/>
  <c r="BQ202" i="1"/>
  <c r="BQ204" i="1"/>
  <c r="BQ205" i="1"/>
  <c r="BQ206" i="1"/>
  <c r="BQ207" i="1"/>
  <c r="BQ208" i="1"/>
  <c r="BQ212" i="1"/>
  <c r="BQ213" i="1"/>
  <c r="BQ214" i="1"/>
  <c r="BQ216" i="1"/>
  <c r="BQ217" i="1"/>
  <c r="BQ219" i="1"/>
  <c r="BQ221" i="1"/>
  <c r="BQ222" i="1"/>
  <c r="BQ225" i="1"/>
  <c r="BQ226" i="1"/>
  <c r="BQ121" i="1"/>
  <c r="BQ3" i="1"/>
  <c r="BQ13" i="1"/>
  <c r="BQ18" i="1"/>
  <c r="BQ24" i="1"/>
  <c r="BQ31" i="1"/>
  <c r="BQ53" i="1"/>
  <c r="BQ63" i="1"/>
  <c r="BQ67" i="1"/>
  <c r="BQ68" i="1"/>
  <c r="BQ75" i="1"/>
  <c r="BQ77" i="1"/>
  <c r="BQ91" i="1"/>
  <c r="BQ106" i="1"/>
  <c r="BQ114" i="1"/>
  <c r="BQ118" i="1"/>
  <c r="BQ141" i="1"/>
  <c r="BQ146" i="1"/>
  <c r="BQ153" i="1"/>
  <c r="BQ159" i="1"/>
  <c r="BQ173" i="1"/>
  <c r="BQ220" i="1"/>
  <c r="BQ232" i="1"/>
  <c r="BQ235" i="1"/>
  <c r="BQ175" i="1"/>
  <c r="BQ190" i="1"/>
  <c r="BQ192" i="1"/>
  <c r="BQ193" i="1"/>
  <c r="BQ209" i="1"/>
  <c r="BQ210" i="1"/>
  <c r="BQ224" i="1"/>
  <c r="BQ228" i="1"/>
  <c r="BQ229" i="1"/>
  <c r="BQ239" i="1"/>
  <c r="BQ11" i="1"/>
  <c r="BQ14" i="1"/>
  <c r="BQ41" i="1"/>
  <c r="BQ59" i="1"/>
  <c r="BQ60" i="1"/>
  <c r="BQ65" i="1"/>
  <c r="BQ66" i="1"/>
  <c r="BQ83" i="1"/>
  <c r="BQ87" i="1"/>
  <c r="BQ124" i="1"/>
  <c r="BQ128" i="1"/>
  <c r="BQ138" i="1"/>
  <c r="BQ185" i="1"/>
  <c r="BQ203" i="1"/>
  <c r="BQ218" i="1"/>
  <c r="BQ249" i="1"/>
  <c r="BQ56" i="1"/>
  <c r="BQ74" i="1"/>
  <c r="BQ97" i="1"/>
  <c r="BQ126" i="1"/>
  <c r="BQ155" i="1"/>
  <c r="BQ187" i="1"/>
  <c r="BQ211" i="1"/>
  <c r="BQ234" i="1"/>
  <c r="BQ12" i="1"/>
  <c r="BQ86" i="1"/>
  <c r="BQ227" i="1"/>
  <c r="BQ110" i="1"/>
  <c r="BQ247" i="1"/>
  <c r="BQ182" i="1"/>
  <c r="BQ39" i="1"/>
  <c r="BQ70" i="1"/>
  <c r="BQ90" i="1"/>
  <c r="BQ93" i="1"/>
  <c r="BQ107" i="1"/>
  <c r="BQ116" i="1"/>
  <c r="BQ166" i="1"/>
  <c r="BQ168" i="1"/>
  <c r="BQ169" i="1"/>
  <c r="BQ174" i="1"/>
  <c r="BQ181" i="1"/>
  <c r="BQ188" i="1"/>
  <c r="BQ199" i="1"/>
  <c r="BQ215" i="1"/>
  <c r="BQ223" i="1"/>
  <c r="BR25" i="1"/>
  <c r="BR26" i="1"/>
  <c r="BR27" i="1"/>
  <c r="BR28" i="1"/>
  <c r="BR29" i="1"/>
  <c r="BR30" i="1"/>
  <c r="BR32" i="1"/>
  <c r="BR33" i="1"/>
  <c r="BR34" i="1"/>
  <c r="BR35" i="1"/>
  <c r="BR36" i="1"/>
  <c r="BR37" i="1"/>
  <c r="BR201" i="1"/>
  <c r="BR236" i="1"/>
  <c r="BR237" i="1"/>
  <c r="BR246" i="1"/>
  <c r="BR248" i="1"/>
  <c r="BR38" i="1"/>
  <c r="BR40" i="1"/>
  <c r="BR42" i="1"/>
  <c r="BR43" i="1"/>
  <c r="BR44" i="1"/>
  <c r="BR45" i="1"/>
  <c r="BR46" i="1"/>
  <c r="BR47" i="1"/>
  <c r="BR48" i="1"/>
  <c r="BR49" i="1"/>
  <c r="BR50" i="1"/>
  <c r="BR51" i="1"/>
  <c r="BR52" i="1"/>
  <c r="BR54" i="1"/>
  <c r="BR55" i="1"/>
  <c r="BR57" i="1"/>
  <c r="BR58" i="1"/>
  <c r="BR61" i="1"/>
  <c r="BR62" i="1"/>
  <c r="BR64" i="1"/>
  <c r="BR71" i="1"/>
  <c r="BR72" i="1"/>
  <c r="BR73" i="1"/>
  <c r="BR76" i="1"/>
  <c r="BR78" i="1"/>
  <c r="BR79" i="1"/>
  <c r="BR80" i="1"/>
  <c r="BR85" i="1"/>
  <c r="BR243" i="1"/>
  <c r="BR244" i="1"/>
  <c r="BR245" i="1"/>
  <c r="BR81" i="1"/>
  <c r="BR82" i="1"/>
  <c r="BR84" i="1"/>
  <c r="BR88" i="1"/>
  <c r="BR89" i="1"/>
  <c r="BR92" i="1"/>
  <c r="BR94" i="1"/>
  <c r="BR95" i="1"/>
  <c r="BR96" i="1"/>
  <c r="BR98" i="1"/>
  <c r="BR99" i="1"/>
  <c r="BR100" i="1"/>
  <c r="BR101" i="1"/>
  <c r="BR102" i="1"/>
  <c r="BR103" i="1"/>
  <c r="BR104" i="1"/>
  <c r="BR105" i="1"/>
  <c r="BR108" i="1"/>
  <c r="BR109" i="1"/>
  <c r="BR111" i="1"/>
  <c r="BR112" i="1"/>
  <c r="BR113" i="1"/>
  <c r="BR115" i="1"/>
  <c r="BR117" i="1"/>
  <c r="BR119" i="1"/>
  <c r="BR120" i="1"/>
  <c r="BR122" i="1"/>
  <c r="BR200" i="1"/>
  <c r="BR240" i="1"/>
  <c r="BR241" i="1"/>
  <c r="BR242" i="1"/>
  <c r="BR69" i="1"/>
  <c r="BR123" i="1"/>
  <c r="BR125" i="1"/>
  <c r="BR127" i="1"/>
  <c r="BR129" i="1"/>
  <c r="BR131" i="1"/>
  <c r="BR132" i="1"/>
  <c r="BR133" i="1"/>
  <c r="BR134" i="1"/>
  <c r="BR135" i="1"/>
  <c r="BR136" i="1"/>
  <c r="BR137" i="1"/>
  <c r="BR139" i="1"/>
  <c r="BR140" i="1"/>
  <c r="BR142" i="1"/>
  <c r="BR143" i="1"/>
  <c r="BR144" i="1"/>
  <c r="BR145" i="1"/>
  <c r="BR147" i="1"/>
  <c r="BR148" i="1"/>
  <c r="BR149" i="1"/>
  <c r="BR150" i="1"/>
  <c r="BR151" i="1"/>
  <c r="BR152" i="1"/>
  <c r="BR154" i="1"/>
  <c r="BR156" i="1"/>
  <c r="BR157" i="1"/>
  <c r="BR230" i="1"/>
  <c r="BR231" i="1"/>
  <c r="BR233" i="1"/>
  <c r="BR238" i="1"/>
  <c r="BR5" i="1"/>
  <c r="BR158" i="1"/>
  <c r="BR160" i="1"/>
  <c r="BR161" i="1"/>
  <c r="BR162" i="1"/>
  <c r="BR163" i="1"/>
  <c r="BR164" i="1"/>
  <c r="BR165" i="1"/>
  <c r="BR167" i="1"/>
  <c r="BR170" i="1"/>
  <c r="BR171" i="1"/>
  <c r="BR172" i="1"/>
  <c r="BR176" i="1"/>
  <c r="BR177" i="1"/>
  <c r="BR178" i="1"/>
  <c r="BR179" i="1"/>
  <c r="BR180" i="1"/>
  <c r="BR183" i="1"/>
  <c r="BR184" i="1"/>
  <c r="BR186" i="1"/>
  <c r="BR189" i="1"/>
  <c r="BR191" i="1"/>
  <c r="BR194" i="1"/>
  <c r="BR195" i="1"/>
  <c r="BR196" i="1"/>
  <c r="BR197" i="1"/>
  <c r="BR198" i="1"/>
  <c r="BR130" i="1"/>
  <c r="BR202" i="1"/>
  <c r="BR204" i="1"/>
  <c r="BR205" i="1"/>
  <c r="BR206" i="1"/>
  <c r="BR207" i="1"/>
  <c r="BR208" i="1"/>
  <c r="BR212" i="1"/>
  <c r="BR213" i="1"/>
  <c r="BR214" i="1"/>
  <c r="BR216" i="1"/>
  <c r="BR217" i="1"/>
  <c r="BR219" i="1"/>
  <c r="BR221" i="1"/>
  <c r="BR222" i="1"/>
  <c r="BR225" i="1"/>
  <c r="BR226" i="1"/>
  <c r="BR121" i="1"/>
  <c r="BR3" i="1"/>
  <c r="BR13" i="1"/>
  <c r="BR18" i="1"/>
  <c r="BR24" i="1"/>
  <c r="BR31" i="1"/>
  <c r="BR53" i="1"/>
  <c r="BR63" i="1"/>
  <c r="BR67" i="1"/>
  <c r="BR68" i="1"/>
  <c r="BR75" i="1"/>
  <c r="BR77" i="1"/>
  <c r="BR91" i="1"/>
  <c r="BR106" i="1"/>
  <c r="BR114" i="1"/>
  <c r="BR118" i="1"/>
  <c r="BR141" i="1"/>
  <c r="BR146" i="1"/>
  <c r="BR153" i="1"/>
  <c r="BR159" i="1"/>
  <c r="BR173" i="1"/>
  <c r="BR220" i="1"/>
  <c r="BR232" i="1"/>
  <c r="BR235" i="1"/>
  <c r="BR175" i="1"/>
  <c r="BR190" i="1"/>
  <c r="BR192" i="1"/>
  <c r="BR193" i="1"/>
  <c r="BR209" i="1"/>
  <c r="BR210" i="1"/>
  <c r="BR224" i="1"/>
  <c r="BR228" i="1"/>
  <c r="BR229" i="1"/>
  <c r="BR239" i="1"/>
  <c r="BR11" i="1"/>
  <c r="BR14" i="1"/>
  <c r="BR41" i="1"/>
  <c r="BR59" i="1"/>
  <c r="BR60" i="1"/>
  <c r="BR65" i="1"/>
  <c r="BR66" i="1"/>
  <c r="BR83" i="1"/>
  <c r="BR87" i="1"/>
  <c r="BR124" i="1"/>
  <c r="BR128" i="1"/>
  <c r="BR138" i="1"/>
  <c r="BR185" i="1"/>
  <c r="BR203" i="1"/>
  <c r="BR218" i="1"/>
  <c r="BR249" i="1"/>
  <c r="BR56" i="1"/>
  <c r="BR74" i="1"/>
  <c r="BR97" i="1"/>
  <c r="BR126" i="1"/>
  <c r="BR155" i="1"/>
  <c r="BR187" i="1"/>
  <c r="BR211" i="1"/>
  <c r="BR234" i="1"/>
  <c r="BR12" i="1"/>
  <c r="BR86" i="1"/>
  <c r="BR227" i="1"/>
  <c r="BR110" i="1"/>
  <c r="BR247" i="1"/>
  <c r="BR182" i="1"/>
  <c r="BR39" i="1"/>
  <c r="BR70" i="1"/>
  <c r="BR90" i="1"/>
  <c r="BR93" i="1"/>
  <c r="BR107" i="1"/>
  <c r="BR116" i="1"/>
  <c r="BR166" i="1"/>
  <c r="BR168" i="1"/>
  <c r="BR169" i="1"/>
  <c r="BR174" i="1"/>
  <c r="BR181" i="1"/>
  <c r="BR188" i="1"/>
  <c r="BR199" i="1"/>
  <c r="BR215" i="1"/>
  <c r="BR223" i="1"/>
  <c r="BS25" i="1"/>
  <c r="BS26" i="1"/>
  <c r="BS27" i="1"/>
  <c r="BS28" i="1"/>
  <c r="BS29" i="1"/>
  <c r="BS30" i="1"/>
  <c r="BS32" i="1"/>
  <c r="BS33" i="1"/>
  <c r="BS34" i="1"/>
  <c r="BS35" i="1"/>
  <c r="BS36" i="1"/>
  <c r="BS37" i="1"/>
  <c r="BS201" i="1"/>
  <c r="BS236" i="1"/>
  <c r="BS237" i="1"/>
  <c r="BS246" i="1"/>
  <c r="BS248" i="1"/>
  <c r="BS38" i="1"/>
  <c r="BS40" i="1"/>
  <c r="BS42" i="1"/>
  <c r="BS43" i="1"/>
  <c r="BS44" i="1"/>
  <c r="BS45" i="1"/>
  <c r="BS46" i="1"/>
  <c r="BS47" i="1"/>
  <c r="BS48" i="1"/>
  <c r="BS49" i="1"/>
  <c r="BS50" i="1"/>
  <c r="BS51" i="1"/>
  <c r="BS52" i="1"/>
  <c r="BS54" i="1"/>
  <c r="BS55" i="1"/>
  <c r="BS57" i="1"/>
  <c r="BS58" i="1"/>
  <c r="BS61" i="1"/>
  <c r="BS62" i="1"/>
  <c r="BS64" i="1"/>
  <c r="BS71" i="1"/>
  <c r="BS72" i="1"/>
  <c r="BS73" i="1"/>
  <c r="BS76" i="1"/>
  <c r="BS78" i="1"/>
  <c r="BS79" i="1"/>
  <c r="BS80" i="1"/>
  <c r="BS85" i="1"/>
  <c r="BS243" i="1"/>
  <c r="BS244" i="1"/>
  <c r="BS245" i="1"/>
  <c r="BS81" i="1"/>
  <c r="BS82" i="1"/>
  <c r="BS84" i="1"/>
  <c r="BS88" i="1"/>
  <c r="BS89" i="1"/>
  <c r="BS92" i="1"/>
  <c r="BS94" i="1"/>
  <c r="BS95" i="1"/>
  <c r="BS96" i="1"/>
  <c r="BS98" i="1"/>
  <c r="BS99" i="1"/>
  <c r="BS100" i="1"/>
  <c r="BS101" i="1"/>
  <c r="BS102" i="1"/>
  <c r="BS103" i="1"/>
  <c r="BS104" i="1"/>
  <c r="BS105" i="1"/>
  <c r="BS108" i="1"/>
  <c r="BS109" i="1"/>
  <c r="BS111" i="1"/>
  <c r="BS112" i="1"/>
  <c r="BS113" i="1"/>
  <c r="BS115" i="1"/>
  <c r="BS117" i="1"/>
  <c r="BS119" i="1"/>
  <c r="BS120" i="1"/>
  <c r="BS122" i="1"/>
  <c r="BS200" i="1"/>
  <c r="BS240" i="1"/>
  <c r="BS241" i="1"/>
  <c r="BS242" i="1"/>
  <c r="BS69" i="1"/>
  <c r="BS123" i="1"/>
  <c r="BS125" i="1"/>
  <c r="BS127" i="1"/>
  <c r="BS129" i="1"/>
  <c r="BS131" i="1"/>
  <c r="BS132" i="1"/>
  <c r="BS133" i="1"/>
  <c r="BS134" i="1"/>
  <c r="BS135" i="1"/>
  <c r="BS136" i="1"/>
  <c r="BS137" i="1"/>
  <c r="BS139" i="1"/>
  <c r="BS140" i="1"/>
  <c r="BS142" i="1"/>
  <c r="BS143" i="1"/>
  <c r="BS144" i="1"/>
  <c r="BS145" i="1"/>
  <c r="BS147" i="1"/>
  <c r="BS148" i="1"/>
  <c r="BS149" i="1"/>
  <c r="BS150" i="1"/>
  <c r="BS151" i="1"/>
  <c r="BS152" i="1"/>
  <c r="BS154" i="1"/>
  <c r="BS156" i="1"/>
  <c r="BS157" i="1"/>
  <c r="BS230" i="1"/>
  <c r="BS231" i="1"/>
  <c r="BS233" i="1"/>
  <c r="BS238" i="1"/>
  <c r="BS5" i="1"/>
  <c r="BS158" i="1"/>
  <c r="BS160" i="1"/>
  <c r="BS161" i="1"/>
  <c r="BS162" i="1"/>
  <c r="BS163" i="1"/>
  <c r="BS164" i="1"/>
  <c r="BS165" i="1"/>
  <c r="BS167" i="1"/>
  <c r="BS170" i="1"/>
  <c r="BS171" i="1"/>
  <c r="BS172" i="1"/>
  <c r="BS176" i="1"/>
  <c r="BS177" i="1"/>
  <c r="BS178" i="1"/>
  <c r="BS179" i="1"/>
  <c r="BS180" i="1"/>
  <c r="BS183" i="1"/>
  <c r="BS184" i="1"/>
  <c r="BS186" i="1"/>
  <c r="BS189" i="1"/>
  <c r="BS191" i="1"/>
  <c r="BS194" i="1"/>
  <c r="BS195" i="1"/>
  <c r="BS196" i="1"/>
  <c r="BS197" i="1"/>
  <c r="BS198" i="1"/>
  <c r="BS130" i="1"/>
  <c r="BS202" i="1"/>
  <c r="BS204" i="1"/>
  <c r="BS205" i="1"/>
  <c r="BS206" i="1"/>
  <c r="BS207" i="1"/>
  <c r="BS208" i="1"/>
  <c r="BS212" i="1"/>
  <c r="BS213" i="1"/>
  <c r="BS214" i="1"/>
  <c r="BS216" i="1"/>
  <c r="BS217" i="1"/>
  <c r="BS219" i="1"/>
  <c r="BS221" i="1"/>
  <c r="BS222" i="1"/>
  <c r="BS225" i="1"/>
  <c r="BS226" i="1"/>
  <c r="BS121" i="1"/>
  <c r="BS3" i="1"/>
  <c r="BS13" i="1"/>
  <c r="BS18" i="1"/>
  <c r="BS24" i="1"/>
  <c r="BS31" i="1"/>
  <c r="BS53" i="1"/>
  <c r="BS63" i="1"/>
  <c r="BS67" i="1"/>
  <c r="BS68" i="1"/>
  <c r="BS75" i="1"/>
  <c r="BS77" i="1"/>
  <c r="BS91" i="1"/>
  <c r="BS106" i="1"/>
  <c r="BS114" i="1"/>
  <c r="BS118" i="1"/>
  <c r="BS141" i="1"/>
  <c r="BS146" i="1"/>
  <c r="BS153" i="1"/>
  <c r="BS159" i="1"/>
  <c r="BS173" i="1"/>
  <c r="BS220" i="1"/>
  <c r="BS232" i="1"/>
  <c r="BS235" i="1"/>
  <c r="BS175" i="1"/>
  <c r="BS190" i="1"/>
  <c r="BS192" i="1"/>
  <c r="BS193" i="1"/>
  <c r="BS209" i="1"/>
  <c r="BS210" i="1"/>
  <c r="BS224" i="1"/>
  <c r="BS228" i="1"/>
  <c r="BS229" i="1"/>
  <c r="BS239" i="1"/>
  <c r="BS11" i="1"/>
  <c r="BS14" i="1"/>
  <c r="BS41" i="1"/>
  <c r="BS59" i="1"/>
  <c r="BS60" i="1"/>
  <c r="BS65" i="1"/>
  <c r="BS66" i="1"/>
  <c r="BS83" i="1"/>
  <c r="BS87" i="1"/>
  <c r="BS124" i="1"/>
  <c r="BS128" i="1"/>
  <c r="BS138" i="1"/>
  <c r="BS185" i="1"/>
  <c r="BS203" i="1"/>
  <c r="BS218" i="1"/>
  <c r="BS249" i="1"/>
  <c r="BS56" i="1"/>
  <c r="BS74" i="1"/>
  <c r="BS97" i="1"/>
  <c r="BS126" i="1"/>
  <c r="BS155" i="1"/>
  <c r="BS187" i="1"/>
  <c r="BS211" i="1"/>
  <c r="BS234" i="1"/>
  <c r="BS12" i="1"/>
  <c r="BS86" i="1"/>
  <c r="BS227" i="1"/>
  <c r="BS110" i="1"/>
  <c r="BS247" i="1"/>
  <c r="BS182" i="1"/>
  <c r="BS39" i="1"/>
  <c r="BS70" i="1"/>
  <c r="BS90" i="1"/>
  <c r="BS93" i="1"/>
  <c r="BS107" i="1"/>
  <c r="BS116" i="1"/>
  <c r="BS166" i="1"/>
  <c r="BS168" i="1"/>
  <c r="BS169" i="1"/>
  <c r="BS174" i="1"/>
  <c r="BS181" i="1"/>
  <c r="BS188" i="1"/>
  <c r="BS199" i="1"/>
  <c r="BS215" i="1"/>
  <c r="BS223" i="1"/>
  <c r="BT25" i="1"/>
  <c r="BT26" i="1"/>
  <c r="BT27" i="1"/>
  <c r="BT28" i="1"/>
  <c r="BT29" i="1"/>
  <c r="BT30" i="1"/>
  <c r="BT32" i="1"/>
  <c r="BT33" i="1"/>
  <c r="BT34" i="1"/>
  <c r="BT35" i="1"/>
  <c r="BT36" i="1"/>
  <c r="BT37" i="1"/>
  <c r="BT201" i="1"/>
  <c r="BT236" i="1"/>
  <c r="BT237" i="1"/>
  <c r="BT246" i="1"/>
  <c r="BT248" i="1"/>
  <c r="BT38" i="1"/>
  <c r="BT40" i="1"/>
  <c r="BT42" i="1"/>
  <c r="BT43" i="1"/>
  <c r="BT44" i="1"/>
  <c r="BT45" i="1"/>
  <c r="BT46" i="1"/>
  <c r="BT47" i="1"/>
  <c r="BT48" i="1"/>
  <c r="BT49" i="1"/>
  <c r="BT50" i="1"/>
  <c r="BT51" i="1"/>
  <c r="BT52" i="1"/>
  <c r="BT54" i="1"/>
  <c r="BT55" i="1"/>
  <c r="BT57" i="1"/>
  <c r="BT58" i="1"/>
  <c r="BT61" i="1"/>
  <c r="BT62" i="1"/>
  <c r="BT64" i="1"/>
  <c r="BT71" i="1"/>
  <c r="BT72" i="1"/>
  <c r="BT73" i="1"/>
  <c r="BT76" i="1"/>
  <c r="BT78" i="1"/>
  <c r="BT79" i="1"/>
  <c r="BT80" i="1"/>
  <c r="BT85" i="1"/>
  <c r="BT243" i="1"/>
  <c r="BT244" i="1"/>
  <c r="BT245" i="1"/>
  <c r="BT81" i="1"/>
  <c r="BT82" i="1"/>
  <c r="BT84" i="1"/>
  <c r="BT88" i="1"/>
  <c r="BT89" i="1"/>
  <c r="BT92" i="1"/>
  <c r="BT94" i="1"/>
  <c r="BT95" i="1"/>
  <c r="BT96" i="1"/>
  <c r="BT98" i="1"/>
  <c r="BT99" i="1"/>
  <c r="BT100" i="1"/>
  <c r="BT101" i="1"/>
  <c r="BT102" i="1"/>
  <c r="BT103" i="1"/>
  <c r="BT104" i="1"/>
  <c r="BT105" i="1"/>
  <c r="BT108" i="1"/>
  <c r="BT109" i="1"/>
  <c r="BT111" i="1"/>
  <c r="BT112" i="1"/>
  <c r="BT113" i="1"/>
  <c r="BT115" i="1"/>
  <c r="BT117" i="1"/>
  <c r="BT119" i="1"/>
  <c r="BT120" i="1"/>
  <c r="BT122" i="1"/>
  <c r="BT200" i="1"/>
  <c r="BT240" i="1"/>
  <c r="BT241" i="1"/>
  <c r="BT242" i="1"/>
  <c r="BT69" i="1"/>
  <c r="BT123" i="1"/>
  <c r="BT125" i="1"/>
  <c r="BT127" i="1"/>
  <c r="BT129" i="1"/>
  <c r="BT131" i="1"/>
  <c r="BT132" i="1"/>
  <c r="BT133" i="1"/>
  <c r="BT134" i="1"/>
  <c r="BT135" i="1"/>
  <c r="BT136" i="1"/>
  <c r="BT137" i="1"/>
  <c r="BT139" i="1"/>
  <c r="BT140" i="1"/>
  <c r="BT142" i="1"/>
  <c r="BT143" i="1"/>
  <c r="BT144" i="1"/>
  <c r="BT145" i="1"/>
  <c r="BT147" i="1"/>
  <c r="BT148" i="1"/>
  <c r="BT149" i="1"/>
  <c r="BT150" i="1"/>
  <c r="BT151" i="1"/>
  <c r="BT152" i="1"/>
  <c r="BT154" i="1"/>
  <c r="BT156" i="1"/>
  <c r="BT157" i="1"/>
  <c r="BT230" i="1"/>
  <c r="BT231" i="1"/>
  <c r="BT233" i="1"/>
  <c r="BT238" i="1"/>
  <c r="BT5" i="1"/>
  <c r="BT158" i="1"/>
  <c r="BT160" i="1"/>
  <c r="BT161" i="1"/>
  <c r="BT162" i="1"/>
  <c r="BT163" i="1"/>
  <c r="BT164" i="1"/>
  <c r="BT165" i="1"/>
  <c r="BT167" i="1"/>
  <c r="BT170" i="1"/>
  <c r="BT171" i="1"/>
  <c r="BT172" i="1"/>
  <c r="BT176" i="1"/>
  <c r="BT177" i="1"/>
  <c r="BT178" i="1"/>
  <c r="BT179" i="1"/>
  <c r="BT180" i="1"/>
  <c r="BT183" i="1"/>
  <c r="BT184" i="1"/>
  <c r="BT186" i="1"/>
  <c r="BT189" i="1"/>
  <c r="BT191" i="1"/>
  <c r="BT194" i="1"/>
  <c r="BT195" i="1"/>
  <c r="BT196" i="1"/>
  <c r="BT197" i="1"/>
  <c r="BT198" i="1"/>
  <c r="BT130" i="1"/>
  <c r="BT202" i="1"/>
  <c r="BT204" i="1"/>
  <c r="BT205" i="1"/>
  <c r="BT206" i="1"/>
  <c r="BT207" i="1"/>
  <c r="BT208" i="1"/>
  <c r="BT212" i="1"/>
  <c r="BT213" i="1"/>
  <c r="BT214" i="1"/>
  <c r="BT216" i="1"/>
  <c r="BT217" i="1"/>
  <c r="BT219" i="1"/>
  <c r="BT221" i="1"/>
  <c r="BT222" i="1"/>
  <c r="BT225" i="1"/>
  <c r="BT226" i="1"/>
  <c r="BT121" i="1"/>
  <c r="BT3" i="1"/>
  <c r="BT13" i="1"/>
  <c r="BT18" i="1"/>
  <c r="BT24" i="1"/>
  <c r="BT31" i="1"/>
  <c r="BT53" i="1"/>
  <c r="BT63" i="1"/>
  <c r="BT67" i="1"/>
  <c r="BT68" i="1"/>
  <c r="BT75" i="1"/>
  <c r="BT77" i="1"/>
  <c r="BT91" i="1"/>
  <c r="BT106" i="1"/>
  <c r="BT114" i="1"/>
  <c r="BT118" i="1"/>
  <c r="BT141" i="1"/>
  <c r="BT146" i="1"/>
  <c r="BT153" i="1"/>
  <c r="BT159" i="1"/>
  <c r="BT173" i="1"/>
  <c r="BT220" i="1"/>
  <c r="BT232" i="1"/>
  <c r="BT235" i="1"/>
  <c r="BT175" i="1"/>
  <c r="BT190" i="1"/>
  <c r="BT192" i="1"/>
  <c r="BT193" i="1"/>
  <c r="BT209" i="1"/>
  <c r="BT210" i="1"/>
  <c r="BT224" i="1"/>
  <c r="BT228" i="1"/>
  <c r="BT229" i="1"/>
  <c r="BT239" i="1"/>
  <c r="BT11" i="1"/>
  <c r="BT14" i="1"/>
  <c r="BT41" i="1"/>
  <c r="BT59" i="1"/>
  <c r="BT60" i="1"/>
  <c r="BT65" i="1"/>
  <c r="BT66" i="1"/>
  <c r="BT83" i="1"/>
  <c r="BT87" i="1"/>
  <c r="BT124" i="1"/>
  <c r="BT128" i="1"/>
  <c r="BT138" i="1"/>
  <c r="BT185" i="1"/>
  <c r="BT203" i="1"/>
  <c r="BT218" i="1"/>
  <c r="BT249" i="1"/>
  <c r="BT56" i="1"/>
  <c r="BT74" i="1"/>
  <c r="BT97" i="1"/>
  <c r="BT126" i="1"/>
  <c r="BT155" i="1"/>
  <c r="BT187" i="1"/>
  <c r="BT211" i="1"/>
  <c r="BT234" i="1"/>
  <c r="BT12" i="1"/>
  <c r="BT86" i="1"/>
  <c r="BT227" i="1"/>
  <c r="BT110" i="1"/>
  <c r="BT247" i="1"/>
  <c r="BT182" i="1"/>
  <c r="BT39" i="1"/>
  <c r="BT70" i="1"/>
  <c r="BT90" i="1"/>
  <c r="BT93" i="1"/>
  <c r="BT107" i="1"/>
  <c r="BT116" i="1"/>
  <c r="BT166" i="1"/>
  <c r="BT168" i="1"/>
  <c r="BT169" i="1"/>
  <c r="BT174" i="1"/>
  <c r="BT181" i="1"/>
  <c r="BT188" i="1"/>
  <c r="BT199" i="1"/>
  <c r="BT215" i="1"/>
  <c r="BT223" i="1"/>
  <c r="BU25" i="1"/>
  <c r="BU26" i="1"/>
  <c r="BU27" i="1"/>
  <c r="BU28" i="1"/>
  <c r="BU29" i="1"/>
  <c r="BU30" i="1"/>
  <c r="BU32" i="1"/>
  <c r="BU33" i="1"/>
  <c r="BU34" i="1"/>
  <c r="BU35" i="1"/>
  <c r="BU36" i="1"/>
  <c r="BU37" i="1"/>
  <c r="BU201" i="1"/>
  <c r="BU236" i="1"/>
  <c r="BU237" i="1"/>
  <c r="BU246" i="1"/>
  <c r="BU248" i="1"/>
  <c r="BU38" i="1"/>
  <c r="BU40" i="1"/>
  <c r="BU42" i="1"/>
  <c r="BU43" i="1"/>
  <c r="BU44" i="1"/>
  <c r="BU45" i="1"/>
  <c r="BU46" i="1"/>
  <c r="BU47" i="1"/>
  <c r="BU48" i="1"/>
  <c r="BU49" i="1"/>
  <c r="BU50" i="1"/>
  <c r="BU51" i="1"/>
  <c r="BU52" i="1"/>
  <c r="BU54" i="1"/>
  <c r="BU55" i="1"/>
  <c r="BU57" i="1"/>
  <c r="BU58" i="1"/>
  <c r="BU61" i="1"/>
  <c r="BU62" i="1"/>
  <c r="BU64" i="1"/>
  <c r="BU71" i="1"/>
  <c r="BU72" i="1"/>
  <c r="BU73" i="1"/>
  <c r="BU76" i="1"/>
  <c r="BU78" i="1"/>
  <c r="BU79" i="1"/>
  <c r="BU80" i="1"/>
  <c r="BU85" i="1"/>
  <c r="BU243" i="1"/>
  <c r="BU244" i="1"/>
  <c r="BU245" i="1"/>
  <c r="BU81" i="1"/>
  <c r="BU82" i="1"/>
  <c r="BU84" i="1"/>
  <c r="BU88" i="1"/>
  <c r="BU89" i="1"/>
  <c r="BU92" i="1"/>
  <c r="BU94" i="1"/>
  <c r="BU95" i="1"/>
  <c r="BU96" i="1"/>
  <c r="BU98" i="1"/>
  <c r="BU99" i="1"/>
  <c r="BU100" i="1"/>
  <c r="BU101" i="1"/>
  <c r="BU102" i="1"/>
  <c r="BU103" i="1"/>
  <c r="BU104" i="1"/>
  <c r="BU105" i="1"/>
  <c r="BU108" i="1"/>
  <c r="BU109" i="1"/>
  <c r="BU111" i="1"/>
  <c r="BU112" i="1"/>
  <c r="BU113" i="1"/>
  <c r="BU115" i="1"/>
  <c r="BU117" i="1"/>
  <c r="BU119" i="1"/>
  <c r="BU120" i="1"/>
  <c r="BU122" i="1"/>
  <c r="BU200" i="1"/>
  <c r="BU240" i="1"/>
  <c r="BU241" i="1"/>
  <c r="BU242" i="1"/>
  <c r="BU69" i="1"/>
  <c r="BU123" i="1"/>
  <c r="BU125" i="1"/>
  <c r="BU127" i="1"/>
  <c r="BU129" i="1"/>
  <c r="BU131" i="1"/>
  <c r="BU132" i="1"/>
  <c r="BU133" i="1"/>
  <c r="BU134" i="1"/>
  <c r="BU135" i="1"/>
  <c r="BU136" i="1"/>
  <c r="BU137" i="1"/>
  <c r="BU139" i="1"/>
  <c r="BU140" i="1"/>
  <c r="BU142" i="1"/>
  <c r="BU143" i="1"/>
  <c r="BU144" i="1"/>
  <c r="BU145" i="1"/>
  <c r="BU147" i="1"/>
  <c r="BU148" i="1"/>
  <c r="BU149" i="1"/>
  <c r="BU150" i="1"/>
  <c r="BU151" i="1"/>
  <c r="BU152" i="1"/>
  <c r="BU154" i="1"/>
  <c r="BU156" i="1"/>
  <c r="BU157" i="1"/>
  <c r="BU230" i="1"/>
  <c r="BU231" i="1"/>
  <c r="BU233" i="1"/>
  <c r="BU238" i="1"/>
  <c r="BU5" i="1"/>
  <c r="BU158" i="1"/>
  <c r="BU160" i="1"/>
  <c r="BU161" i="1"/>
  <c r="BU162" i="1"/>
  <c r="BU163" i="1"/>
  <c r="BU164" i="1"/>
  <c r="BU165" i="1"/>
  <c r="BU167" i="1"/>
  <c r="BU170" i="1"/>
  <c r="BU171" i="1"/>
  <c r="BU172" i="1"/>
  <c r="BU176" i="1"/>
  <c r="BU177" i="1"/>
  <c r="BU178" i="1"/>
  <c r="BU179" i="1"/>
  <c r="BU180" i="1"/>
  <c r="BU183" i="1"/>
  <c r="BU184" i="1"/>
  <c r="BU186" i="1"/>
  <c r="BU189" i="1"/>
  <c r="BU191" i="1"/>
  <c r="BU194" i="1"/>
  <c r="BU195" i="1"/>
  <c r="BU196" i="1"/>
  <c r="BU197" i="1"/>
  <c r="BU198" i="1"/>
  <c r="BU130" i="1"/>
  <c r="BU202" i="1"/>
  <c r="BU204" i="1"/>
  <c r="BU205" i="1"/>
  <c r="BU206" i="1"/>
  <c r="BU207" i="1"/>
  <c r="BU208" i="1"/>
  <c r="BU212" i="1"/>
  <c r="BU213" i="1"/>
  <c r="BU214" i="1"/>
  <c r="BU216" i="1"/>
  <c r="BU217" i="1"/>
  <c r="BU219" i="1"/>
  <c r="BU221" i="1"/>
  <c r="BU222" i="1"/>
  <c r="BU225" i="1"/>
  <c r="BU226" i="1"/>
  <c r="BU121" i="1"/>
  <c r="BU3" i="1"/>
  <c r="BU13" i="1"/>
  <c r="BU18" i="1"/>
  <c r="BU24" i="1"/>
  <c r="BU31" i="1"/>
  <c r="BU53" i="1"/>
  <c r="BU63" i="1"/>
  <c r="BU67" i="1"/>
  <c r="BU68" i="1"/>
  <c r="BU75" i="1"/>
  <c r="BU77" i="1"/>
  <c r="BU91" i="1"/>
  <c r="BU106" i="1"/>
  <c r="BU114" i="1"/>
  <c r="BU118" i="1"/>
  <c r="BU141" i="1"/>
  <c r="BU146" i="1"/>
  <c r="BU153" i="1"/>
  <c r="BU159" i="1"/>
  <c r="BU173" i="1"/>
  <c r="BU220" i="1"/>
  <c r="BU232" i="1"/>
  <c r="BU235" i="1"/>
  <c r="BU175" i="1"/>
  <c r="BU190" i="1"/>
  <c r="BU192" i="1"/>
  <c r="BU193" i="1"/>
  <c r="BU209" i="1"/>
  <c r="BU210" i="1"/>
  <c r="BU224" i="1"/>
  <c r="BU228" i="1"/>
  <c r="BU229" i="1"/>
  <c r="BU239" i="1"/>
  <c r="BU11" i="1"/>
  <c r="BU14" i="1"/>
  <c r="BU41" i="1"/>
  <c r="BU59" i="1"/>
  <c r="BU60" i="1"/>
  <c r="BU65" i="1"/>
  <c r="BU66" i="1"/>
  <c r="BU83" i="1"/>
  <c r="BU87" i="1"/>
  <c r="BU124" i="1"/>
  <c r="BU128" i="1"/>
  <c r="BU138" i="1"/>
  <c r="BU185" i="1"/>
  <c r="BU203" i="1"/>
  <c r="BU218" i="1"/>
  <c r="BU249" i="1"/>
  <c r="BU56" i="1"/>
  <c r="BU74" i="1"/>
  <c r="BU97" i="1"/>
  <c r="BU126" i="1"/>
  <c r="BU155" i="1"/>
  <c r="BU187" i="1"/>
  <c r="BU211" i="1"/>
  <c r="BU234" i="1"/>
  <c r="BU12" i="1"/>
  <c r="BU86" i="1"/>
  <c r="BU227" i="1"/>
  <c r="BU110" i="1"/>
  <c r="BU247" i="1"/>
  <c r="BU182" i="1"/>
  <c r="BU39" i="1"/>
  <c r="BU70" i="1"/>
  <c r="BU90" i="1"/>
  <c r="BU93" i="1"/>
  <c r="BU107" i="1"/>
  <c r="BU116" i="1"/>
  <c r="BU166" i="1"/>
  <c r="BU168" i="1"/>
  <c r="BU169" i="1"/>
  <c r="BU174" i="1"/>
  <c r="BU181" i="1"/>
  <c r="BU188" i="1"/>
  <c r="BU199" i="1"/>
  <c r="BU215" i="1"/>
  <c r="BU223" i="1"/>
  <c r="BV25" i="1"/>
  <c r="BV26" i="1"/>
  <c r="BV27" i="1"/>
  <c r="BV28" i="1"/>
  <c r="BV29" i="1"/>
  <c r="BV30" i="1"/>
  <c r="BV32" i="1"/>
  <c r="BV33" i="1"/>
  <c r="BV34" i="1"/>
  <c r="BV35" i="1"/>
  <c r="BV36" i="1"/>
  <c r="BV37" i="1"/>
  <c r="BV201" i="1"/>
  <c r="BV236" i="1"/>
  <c r="BV237" i="1"/>
  <c r="BV246" i="1"/>
  <c r="BV248" i="1"/>
  <c r="BV38" i="1"/>
  <c r="BV40" i="1"/>
  <c r="BV42" i="1"/>
  <c r="BV43" i="1"/>
  <c r="BV44" i="1"/>
  <c r="BV45" i="1"/>
  <c r="BV46" i="1"/>
  <c r="BV47" i="1"/>
  <c r="BV48" i="1"/>
  <c r="BV49" i="1"/>
  <c r="BV50" i="1"/>
  <c r="BV51" i="1"/>
  <c r="BV52" i="1"/>
  <c r="BV54" i="1"/>
  <c r="BV55" i="1"/>
  <c r="BV57" i="1"/>
  <c r="BV58" i="1"/>
  <c r="BV61" i="1"/>
  <c r="BV62" i="1"/>
  <c r="BV64" i="1"/>
  <c r="BV71" i="1"/>
  <c r="BV72" i="1"/>
  <c r="BV73" i="1"/>
  <c r="BV76" i="1"/>
  <c r="BV78" i="1"/>
  <c r="BV79" i="1"/>
  <c r="BV80" i="1"/>
  <c r="BV85" i="1"/>
  <c r="BV243" i="1"/>
  <c r="BV244" i="1"/>
  <c r="BV245" i="1"/>
  <c r="BV81" i="1"/>
  <c r="BV82" i="1"/>
  <c r="BV84" i="1"/>
  <c r="BV88" i="1"/>
  <c r="BV89" i="1"/>
  <c r="BV92" i="1"/>
  <c r="BV94" i="1"/>
  <c r="BV95" i="1"/>
  <c r="BV96" i="1"/>
  <c r="BV98" i="1"/>
  <c r="BV99" i="1"/>
  <c r="BV100" i="1"/>
  <c r="BV101" i="1"/>
  <c r="BV102" i="1"/>
  <c r="BV103" i="1"/>
  <c r="BV104" i="1"/>
  <c r="BV105" i="1"/>
  <c r="BV108" i="1"/>
  <c r="BV109" i="1"/>
  <c r="BV111" i="1"/>
  <c r="BV112" i="1"/>
  <c r="BV113" i="1"/>
  <c r="BV115" i="1"/>
  <c r="BV117" i="1"/>
  <c r="BV119" i="1"/>
  <c r="BV120" i="1"/>
  <c r="BV122" i="1"/>
  <c r="BV200" i="1"/>
  <c r="BV240" i="1"/>
  <c r="BV241" i="1"/>
  <c r="BV242" i="1"/>
  <c r="BV69" i="1"/>
  <c r="BV123" i="1"/>
  <c r="BV125" i="1"/>
  <c r="BV127" i="1"/>
  <c r="BV129" i="1"/>
  <c r="BV131" i="1"/>
  <c r="BV132" i="1"/>
  <c r="BV133" i="1"/>
  <c r="BV134" i="1"/>
  <c r="BV135" i="1"/>
  <c r="BV136" i="1"/>
  <c r="BV137" i="1"/>
  <c r="BV139" i="1"/>
  <c r="BV140" i="1"/>
  <c r="BV142" i="1"/>
  <c r="BV143" i="1"/>
  <c r="BV144" i="1"/>
  <c r="BV145" i="1"/>
  <c r="BV147" i="1"/>
  <c r="BV148" i="1"/>
  <c r="BV149" i="1"/>
  <c r="BV150" i="1"/>
  <c r="BV151" i="1"/>
  <c r="BV152" i="1"/>
  <c r="BV154" i="1"/>
  <c r="BV156" i="1"/>
  <c r="BV157" i="1"/>
  <c r="BV230" i="1"/>
  <c r="BV231" i="1"/>
  <c r="BV233" i="1"/>
  <c r="BV238" i="1"/>
  <c r="BV5" i="1"/>
  <c r="BV158" i="1"/>
  <c r="BV160" i="1"/>
  <c r="BV161" i="1"/>
  <c r="BV162" i="1"/>
  <c r="BV163" i="1"/>
  <c r="BV164" i="1"/>
  <c r="BV165" i="1"/>
  <c r="BV167" i="1"/>
  <c r="BV170" i="1"/>
  <c r="BV171" i="1"/>
  <c r="BV172" i="1"/>
  <c r="BV176" i="1"/>
  <c r="BV177" i="1"/>
  <c r="BV178" i="1"/>
  <c r="BV179" i="1"/>
  <c r="BV180" i="1"/>
  <c r="BV183" i="1"/>
  <c r="BV184" i="1"/>
  <c r="BV186" i="1"/>
  <c r="BV189" i="1"/>
  <c r="BV191" i="1"/>
  <c r="BV194" i="1"/>
  <c r="BV195" i="1"/>
  <c r="BV196" i="1"/>
  <c r="BV197" i="1"/>
  <c r="BV198" i="1"/>
  <c r="BV130" i="1"/>
  <c r="BV202" i="1"/>
  <c r="BV204" i="1"/>
  <c r="BV205" i="1"/>
  <c r="BV206" i="1"/>
  <c r="BV207" i="1"/>
  <c r="BV208" i="1"/>
  <c r="BV212" i="1"/>
  <c r="BV213" i="1"/>
  <c r="BV214" i="1"/>
  <c r="BV216" i="1"/>
  <c r="BV217" i="1"/>
  <c r="BV219" i="1"/>
  <c r="BV221" i="1"/>
  <c r="BV222" i="1"/>
  <c r="BV225" i="1"/>
  <c r="BV226" i="1"/>
  <c r="BV121" i="1"/>
  <c r="BV3" i="1"/>
  <c r="BV13" i="1"/>
  <c r="BV18" i="1"/>
  <c r="BV24" i="1"/>
  <c r="BV31" i="1"/>
  <c r="BV53" i="1"/>
  <c r="BV63" i="1"/>
  <c r="BV67" i="1"/>
  <c r="BV68" i="1"/>
  <c r="BV75" i="1"/>
  <c r="BV77" i="1"/>
  <c r="BV91" i="1"/>
  <c r="BV106" i="1"/>
  <c r="BV114" i="1"/>
  <c r="BV118" i="1"/>
  <c r="BV141" i="1"/>
  <c r="BV146" i="1"/>
  <c r="BV153" i="1"/>
  <c r="BV159" i="1"/>
  <c r="BV173" i="1"/>
  <c r="BV220" i="1"/>
  <c r="BV232" i="1"/>
  <c r="BV235" i="1"/>
  <c r="BV175" i="1"/>
  <c r="BV190" i="1"/>
  <c r="BV192" i="1"/>
  <c r="BV193" i="1"/>
  <c r="BV209" i="1"/>
  <c r="BV210" i="1"/>
  <c r="BV224" i="1"/>
  <c r="BV228" i="1"/>
  <c r="BV229" i="1"/>
  <c r="BV239" i="1"/>
  <c r="BV11" i="1"/>
  <c r="BV14" i="1"/>
  <c r="BV41" i="1"/>
  <c r="BV59" i="1"/>
  <c r="BV60" i="1"/>
  <c r="BV65" i="1"/>
  <c r="BV66" i="1"/>
  <c r="BV83" i="1"/>
  <c r="BV87" i="1"/>
  <c r="BV124" i="1"/>
  <c r="BV128" i="1"/>
  <c r="BV138" i="1"/>
  <c r="BV185" i="1"/>
  <c r="BV203" i="1"/>
  <c r="BV218" i="1"/>
  <c r="BV249" i="1"/>
  <c r="BV56" i="1"/>
  <c r="BV74" i="1"/>
  <c r="BV97" i="1"/>
  <c r="BV126" i="1"/>
  <c r="BV155" i="1"/>
  <c r="BV187" i="1"/>
  <c r="BV211" i="1"/>
  <c r="BV234" i="1"/>
  <c r="BV12" i="1"/>
  <c r="BV86" i="1"/>
  <c r="BV227" i="1"/>
  <c r="BV110" i="1"/>
  <c r="BV247" i="1"/>
  <c r="BV182" i="1"/>
  <c r="BV39" i="1"/>
  <c r="BV70" i="1"/>
  <c r="BV90" i="1"/>
  <c r="BV93" i="1"/>
  <c r="BV107" i="1"/>
  <c r="BV116" i="1"/>
  <c r="BV166" i="1"/>
  <c r="BV168" i="1"/>
  <c r="BV169" i="1"/>
  <c r="BV174" i="1"/>
  <c r="BV181" i="1"/>
  <c r="BV188" i="1"/>
  <c r="BV199" i="1"/>
  <c r="BV215" i="1"/>
  <c r="BV223" i="1"/>
  <c r="BW25" i="1"/>
  <c r="BW26" i="1"/>
  <c r="BW27" i="1"/>
  <c r="BW28" i="1"/>
  <c r="BW29" i="1"/>
  <c r="BW30" i="1"/>
  <c r="BW32" i="1"/>
  <c r="BW33" i="1"/>
  <c r="BW34" i="1"/>
  <c r="BW35" i="1"/>
  <c r="BW36" i="1"/>
  <c r="BW37" i="1"/>
  <c r="BW201" i="1"/>
  <c r="BW236" i="1"/>
  <c r="BW237" i="1"/>
  <c r="BW246" i="1"/>
  <c r="BW248" i="1"/>
  <c r="BW38" i="1"/>
  <c r="BW40" i="1"/>
  <c r="BW42" i="1"/>
  <c r="BW43" i="1"/>
  <c r="BW44" i="1"/>
  <c r="BW45" i="1"/>
  <c r="BW46" i="1"/>
  <c r="BW47" i="1"/>
  <c r="BW48" i="1"/>
  <c r="BW49" i="1"/>
  <c r="BW50" i="1"/>
  <c r="BW51" i="1"/>
  <c r="BW52" i="1"/>
  <c r="BW54" i="1"/>
  <c r="BW55" i="1"/>
  <c r="BW57" i="1"/>
  <c r="BW58" i="1"/>
  <c r="BW61" i="1"/>
  <c r="BW62" i="1"/>
  <c r="BW64" i="1"/>
  <c r="BW71" i="1"/>
  <c r="BW72" i="1"/>
  <c r="BW73" i="1"/>
  <c r="BW76" i="1"/>
  <c r="BW78" i="1"/>
  <c r="BW79" i="1"/>
  <c r="BW80" i="1"/>
  <c r="BW85" i="1"/>
  <c r="BW243" i="1"/>
  <c r="BW244" i="1"/>
  <c r="BW245" i="1"/>
  <c r="BW81" i="1"/>
  <c r="BW82" i="1"/>
  <c r="BW84" i="1"/>
  <c r="BW88" i="1"/>
  <c r="BW89" i="1"/>
  <c r="BW92" i="1"/>
  <c r="BW94" i="1"/>
  <c r="BW95" i="1"/>
  <c r="BW96" i="1"/>
  <c r="BW98" i="1"/>
  <c r="BW99" i="1"/>
  <c r="BW100" i="1"/>
  <c r="BW101" i="1"/>
  <c r="BW102" i="1"/>
  <c r="BW103" i="1"/>
  <c r="BW104" i="1"/>
  <c r="BW105" i="1"/>
  <c r="BW108" i="1"/>
  <c r="BW109" i="1"/>
  <c r="BW111" i="1"/>
  <c r="BW112" i="1"/>
  <c r="BW113" i="1"/>
  <c r="BW115" i="1"/>
  <c r="BW117" i="1"/>
  <c r="BW119" i="1"/>
  <c r="BW120" i="1"/>
  <c r="BW122" i="1"/>
  <c r="BW200" i="1"/>
  <c r="BW240" i="1"/>
  <c r="BW241" i="1"/>
  <c r="BW242" i="1"/>
  <c r="BW69" i="1"/>
  <c r="BW123" i="1"/>
  <c r="BW125" i="1"/>
  <c r="BW127" i="1"/>
  <c r="BW129" i="1"/>
  <c r="BW131" i="1"/>
  <c r="BW132" i="1"/>
  <c r="BW133" i="1"/>
  <c r="BW134" i="1"/>
  <c r="BW135" i="1"/>
  <c r="BW136" i="1"/>
  <c r="BW137" i="1"/>
  <c r="BW139" i="1"/>
  <c r="BW140" i="1"/>
  <c r="BW142" i="1"/>
  <c r="BW143" i="1"/>
  <c r="BW144" i="1"/>
  <c r="BW145" i="1"/>
  <c r="BW147" i="1"/>
  <c r="BW148" i="1"/>
  <c r="BW149" i="1"/>
  <c r="BW150" i="1"/>
  <c r="BW151" i="1"/>
  <c r="BW152" i="1"/>
  <c r="BW154" i="1"/>
  <c r="BW156" i="1"/>
  <c r="BW157" i="1"/>
  <c r="BW230" i="1"/>
  <c r="BW231" i="1"/>
  <c r="BW233" i="1"/>
  <c r="BW238" i="1"/>
  <c r="BW5" i="1"/>
  <c r="BW158" i="1"/>
  <c r="BW160" i="1"/>
  <c r="BW161" i="1"/>
  <c r="BW162" i="1"/>
  <c r="BW163" i="1"/>
  <c r="BW164" i="1"/>
  <c r="BW165" i="1"/>
  <c r="BW167" i="1"/>
  <c r="BW170" i="1"/>
  <c r="BW171" i="1"/>
  <c r="BW172" i="1"/>
  <c r="BW176" i="1"/>
  <c r="BW177" i="1"/>
  <c r="BW178" i="1"/>
  <c r="BW179" i="1"/>
  <c r="BW180" i="1"/>
  <c r="BW183" i="1"/>
  <c r="BW184" i="1"/>
  <c r="BW186" i="1"/>
  <c r="BW189" i="1"/>
  <c r="BW191" i="1"/>
  <c r="BW194" i="1"/>
  <c r="BW195" i="1"/>
  <c r="BW196" i="1"/>
  <c r="BW197" i="1"/>
  <c r="BW198" i="1"/>
  <c r="BW130" i="1"/>
  <c r="BW202" i="1"/>
  <c r="BW204" i="1"/>
  <c r="BW205" i="1"/>
  <c r="BW206" i="1"/>
  <c r="BW207" i="1"/>
  <c r="BW208" i="1"/>
  <c r="BW212" i="1"/>
  <c r="BW213" i="1"/>
  <c r="BW214" i="1"/>
  <c r="BW216" i="1"/>
  <c r="BW217" i="1"/>
  <c r="BW219" i="1"/>
  <c r="BW221" i="1"/>
  <c r="BW222" i="1"/>
  <c r="BW225" i="1"/>
  <c r="BW226" i="1"/>
  <c r="BW121" i="1"/>
  <c r="BW3" i="1"/>
  <c r="BW13" i="1"/>
  <c r="BW18" i="1"/>
  <c r="BW24" i="1"/>
  <c r="BW31" i="1"/>
  <c r="BW53" i="1"/>
  <c r="BW63" i="1"/>
  <c r="BW67" i="1"/>
  <c r="BW68" i="1"/>
  <c r="BW75" i="1"/>
  <c r="BW77" i="1"/>
  <c r="BW91" i="1"/>
  <c r="BW106" i="1"/>
  <c r="BW114" i="1"/>
  <c r="BW118" i="1"/>
  <c r="BW141" i="1"/>
  <c r="BW146" i="1"/>
  <c r="BW153" i="1"/>
  <c r="BW159" i="1"/>
  <c r="BW173" i="1"/>
  <c r="BW220" i="1"/>
  <c r="BW232" i="1"/>
  <c r="BW235" i="1"/>
  <c r="BW175" i="1"/>
  <c r="BW190" i="1"/>
  <c r="BW192" i="1"/>
  <c r="BW193" i="1"/>
  <c r="BW209" i="1"/>
  <c r="BW210" i="1"/>
  <c r="BW224" i="1"/>
  <c r="BW228" i="1"/>
  <c r="BW229" i="1"/>
  <c r="BW239" i="1"/>
  <c r="BW11" i="1"/>
  <c r="BW14" i="1"/>
  <c r="BW41" i="1"/>
  <c r="BW59" i="1"/>
  <c r="BW60" i="1"/>
  <c r="BW65" i="1"/>
  <c r="BW66" i="1"/>
  <c r="BW83" i="1"/>
  <c r="BW87" i="1"/>
  <c r="BW124" i="1"/>
  <c r="BW128" i="1"/>
  <c r="BW138" i="1"/>
  <c r="BW185" i="1"/>
  <c r="BW203" i="1"/>
  <c r="BW218" i="1"/>
  <c r="BW249" i="1"/>
  <c r="BW56" i="1"/>
  <c r="BW74" i="1"/>
  <c r="BW97" i="1"/>
  <c r="BW126" i="1"/>
  <c r="BW155" i="1"/>
  <c r="BW187" i="1"/>
  <c r="BW211" i="1"/>
  <c r="BW234" i="1"/>
  <c r="BW12" i="1"/>
  <c r="BW86" i="1"/>
  <c r="BW227" i="1"/>
  <c r="BW110" i="1"/>
  <c r="BW247" i="1"/>
  <c r="BW182" i="1"/>
  <c r="BW39" i="1"/>
  <c r="BW70" i="1"/>
  <c r="BW90" i="1"/>
  <c r="BW93" i="1"/>
  <c r="BW107" i="1"/>
  <c r="BW116" i="1"/>
  <c r="BW166" i="1"/>
  <c r="BW168" i="1"/>
  <c r="BW169" i="1"/>
  <c r="BW174" i="1"/>
  <c r="BW181" i="1"/>
  <c r="BW188" i="1"/>
  <c r="BW199" i="1"/>
  <c r="BW215" i="1"/>
  <c r="BW223" i="1"/>
  <c r="F188" i="1" l="1"/>
  <c r="F116" i="1"/>
  <c r="J116" i="1" s="1"/>
  <c r="F182" i="1"/>
  <c r="J182" i="1" s="1"/>
  <c r="F234" i="1"/>
  <c r="J234" i="1" s="1"/>
  <c r="F181" i="1"/>
  <c r="J181" i="1" s="1"/>
  <c r="F107" i="1"/>
  <c r="J107" i="1" s="1"/>
  <c r="F247" i="1"/>
  <c r="F211" i="1"/>
  <c r="J211" i="1" s="1"/>
  <c r="F56" i="1"/>
  <c r="J56" i="1" s="1"/>
  <c r="F128" i="1"/>
  <c r="J128" i="1" s="1"/>
  <c r="F60" i="1"/>
  <c r="J60" i="1" s="1"/>
  <c r="F229" i="1"/>
  <c r="J229" i="1" s="1"/>
  <c r="F192" i="1"/>
  <c r="J192" i="1" s="1"/>
  <c r="F173" i="1"/>
  <c r="J173" i="1" s="1"/>
  <c r="F114" i="1"/>
  <c r="J114" i="1" s="1"/>
  <c r="F67" i="1"/>
  <c r="J67" i="1" s="1"/>
  <c r="F13" i="1"/>
  <c r="J13" i="1" s="1"/>
  <c r="F221" i="1"/>
  <c r="J221" i="1" s="1"/>
  <c r="F212" i="1"/>
  <c r="J212" i="1" s="1"/>
  <c r="F202" i="1"/>
  <c r="J202" i="1" s="1"/>
  <c r="F194" i="1"/>
  <c r="J194" i="1" s="1"/>
  <c r="F180" i="1"/>
  <c r="J180" i="1" s="1"/>
  <c r="F171" i="1"/>
  <c r="J171" i="1" s="1"/>
  <c r="F162" i="1"/>
  <c r="J162" i="1" s="1"/>
  <c r="F233" i="1"/>
  <c r="J233" i="1" s="1"/>
  <c r="F152" i="1"/>
  <c r="J152" i="1" s="1"/>
  <c r="F145" i="1"/>
  <c r="J145" i="1" s="1"/>
  <c r="F137" i="1"/>
  <c r="J137" i="1" s="1"/>
  <c r="F131" i="1"/>
  <c r="J131" i="1" s="1"/>
  <c r="F242" i="1"/>
  <c r="J242" i="1" s="1"/>
  <c r="F119" i="1"/>
  <c r="J119" i="1" s="1"/>
  <c r="F109" i="1"/>
  <c r="J109" i="1" s="1"/>
  <c r="F101" i="1"/>
  <c r="J101" i="1" s="1"/>
  <c r="F94" i="1"/>
  <c r="J94" i="1" s="1"/>
  <c r="F81" i="1"/>
  <c r="J81" i="1" s="1"/>
  <c r="F79" i="1"/>
  <c r="J79" i="1" s="1"/>
  <c r="F64" i="1"/>
  <c r="J64" i="1" s="1"/>
  <c r="F54" i="1"/>
  <c r="J54" i="1" s="1"/>
  <c r="F47" i="1"/>
  <c r="J47" i="1" s="1"/>
  <c r="F40" i="1"/>
  <c r="J40" i="1" s="1"/>
  <c r="F201" i="1"/>
  <c r="J201" i="1" s="1"/>
  <c r="J188" i="1"/>
  <c r="J247" i="1"/>
  <c r="F199" i="1"/>
  <c r="J199" i="1" s="1"/>
  <c r="F166" i="1"/>
  <c r="J166" i="1" s="1"/>
  <c r="F39" i="1"/>
  <c r="J39" i="1" s="1"/>
  <c r="F12" i="1"/>
  <c r="F97" i="1"/>
  <c r="J97" i="1" s="1"/>
  <c r="F185" i="1"/>
  <c r="J185" i="1" s="1"/>
  <c r="F66" i="1"/>
  <c r="J66" i="1" s="1"/>
  <c r="F11" i="1"/>
  <c r="J11" i="1" s="1"/>
  <c r="F209" i="1"/>
  <c r="J209" i="1" s="1"/>
  <c r="F232" i="1"/>
  <c r="J232" i="1" s="1"/>
  <c r="F141" i="1"/>
  <c r="J141" i="1" s="1"/>
  <c r="F75" i="1"/>
  <c r="J75" i="1" s="1"/>
  <c r="F24" i="1"/>
  <c r="J24" i="1" s="1"/>
  <c r="F225" i="1"/>
  <c r="J225" i="1" s="1"/>
  <c r="F214" i="1"/>
  <c r="J214" i="1" s="1"/>
  <c r="F205" i="1"/>
  <c r="J205" i="1" s="1"/>
  <c r="F196" i="1"/>
  <c r="J196" i="1" s="1"/>
  <c r="F184" i="1"/>
  <c r="J184" i="1" s="1"/>
  <c r="F176" i="1"/>
  <c r="J176" i="1" s="1"/>
  <c r="F164" i="1"/>
  <c r="J164" i="1" s="1"/>
  <c r="F5" i="1"/>
  <c r="J5" i="1" s="1"/>
  <c r="F156" i="1"/>
  <c r="J156" i="1" s="1"/>
  <c r="F148" i="1"/>
  <c r="J148" i="1" s="1"/>
  <c r="F140" i="1"/>
  <c r="F133" i="1"/>
  <c r="J133" i="1" s="1"/>
  <c r="F123" i="1"/>
  <c r="J123" i="1" s="1"/>
  <c r="F122" i="1"/>
  <c r="J122" i="1" s="1"/>
  <c r="F112" i="1"/>
  <c r="J112" i="1" s="1"/>
  <c r="F103" i="1"/>
  <c r="J103" i="1" s="1"/>
  <c r="F96" i="1"/>
  <c r="J96" i="1" s="1"/>
  <c r="F84" i="1"/>
  <c r="J84" i="1" s="1"/>
  <c r="F85" i="1"/>
  <c r="J85" i="1" s="1"/>
  <c r="F72" i="1"/>
  <c r="J72" i="1" s="1"/>
  <c r="F57" i="1"/>
  <c r="J57" i="1" s="1"/>
  <c r="F49" i="1"/>
  <c r="J49" i="1" s="1"/>
  <c r="F43" i="1"/>
  <c r="J43" i="1" s="1"/>
  <c r="F237" i="1"/>
  <c r="J237" i="1" s="1"/>
  <c r="F34" i="1"/>
  <c r="J34" i="1" s="1"/>
  <c r="F27" i="1"/>
  <c r="J27" i="1" s="1"/>
  <c r="F74" i="1"/>
  <c r="J74" i="1" s="1"/>
  <c r="F138" i="1"/>
  <c r="J138" i="1" s="1"/>
  <c r="F65" i="1"/>
  <c r="J65" i="1" s="1"/>
  <c r="F239" i="1"/>
  <c r="J239" i="1" s="1"/>
  <c r="F193" i="1"/>
  <c r="J193" i="1" s="1"/>
  <c r="F220" i="1"/>
  <c r="J220" i="1" s="1"/>
  <c r="F118" i="1"/>
  <c r="J118" i="1" s="1"/>
  <c r="F68" i="1"/>
  <c r="J68" i="1" s="1"/>
  <c r="F18" i="1"/>
  <c r="J18" i="1" s="1"/>
  <c r="F222" i="1"/>
  <c r="J222" i="1" s="1"/>
  <c r="F213" i="1"/>
  <c r="J213" i="1" s="1"/>
  <c r="F204" i="1"/>
  <c r="J204" i="1" s="1"/>
  <c r="F195" i="1"/>
  <c r="J195" i="1" s="1"/>
  <c r="F183" i="1"/>
  <c r="J183" i="1" s="1"/>
  <c r="F172" i="1"/>
  <c r="J172" i="1" s="1"/>
  <c r="F163" i="1"/>
  <c r="J163" i="1" s="1"/>
  <c r="F238" i="1"/>
  <c r="J238" i="1" s="1"/>
  <c r="F154" i="1"/>
  <c r="J154" i="1" s="1"/>
  <c r="F147" i="1"/>
  <c r="J147" i="1" s="1"/>
  <c r="F139" i="1"/>
  <c r="J139" i="1" s="1"/>
  <c r="F132" i="1"/>
  <c r="J132" i="1" s="1"/>
  <c r="F69" i="1"/>
  <c r="J69" i="1" s="1"/>
  <c r="F120" i="1"/>
  <c r="J120" i="1" s="1"/>
  <c r="F111" i="1"/>
  <c r="J111" i="1" s="1"/>
  <c r="F102" i="1"/>
  <c r="J102" i="1" s="1"/>
  <c r="F95" i="1"/>
  <c r="J95" i="1" s="1"/>
  <c r="F82" i="1"/>
  <c r="J82" i="1" s="1"/>
  <c r="F80" i="1"/>
  <c r="J80" i="1" s="1"/>
  <c r="F71" i="1"/>
  <c r="J71" i="1" s="1"/>
  <c r="F55" i="1"/>
  <c r="J55" i="1" s="1"/>
  <c r="F48" i="1"/>
  <c r="J48" i="1" s="1"/>
  <c r="F42" i="1"/>
  <c r="J42" i="1" s="1"/>
  <c r="F236" i="1"/>
  <c r="J236" i="1" s="1"/>
  <c r="F33" i="1"/>
  <c r="J33" i="1" s="1"/>
  <c r="F26" i="1"/>
  <c r="J26" i="1" s="1"/>
  <c r="F32" i="1"/>
  <c r="J32" i="1" s="1"/>
  <c r="F25" i="1"/>
  <c r="J25" i="1" s="1"/>
  <c r="F174" i="1"/>
  <c r="J174" i="1" s="1"/>
  <c r="F93" i="1"/>
  <c r="J93" i="1" s="1"/>
  <c r="F110" i="1"/>
  <c r="J110" i="1" s="1"/>
  <c r="F187" i="1"/>
  <c r="J187" i="1" s="1"/>
  <c r="F249" i="1"/>
  <c r="J249" i="1" s="1"/>
  <c r="F124" i="1"/>
  <c r="J124" i="1" s="1"/>
  <c r="F59" i="1"/>
  <c r="J59" i="1" s="1"/>
  <c r="F228" i="1"/>
  <c r="J228" i="1" s="1"/>
  <c r="F190" i="1"/>
  <c r="J190" i="1" s="1"/>
  <c r="F159" i="1"/>
  <c r="J159" i="1" s="1"/>
  <c r="F106" i="1"/>
  <c r="J106" i="1" s="1"/>
  <c r="F63" i="1"/>
  <c r="J63" i="1" s="1"/>
  <c r="F3" i="1"/>
  <c r="J3" i="1" s="1"/>
  <c r="F219" i="1"/>
  <c r="J219" i="1" s="1"/>
  <c r="F208" i="1"/>
  <c r="J208" i="1" s="1"/>
  <c r="F130" i="1"/>
  <c r="J130" i="1" s="1"/>
  <c r="F191" i="1"/>
  <c r="J191" i="1" s="1"/>
  <c r="F179" i="1"/>
  <c r="J179" i="1" s="1"/>
  <c r="F170" i="1"/>
  <c r="J170" i="1" s="1"/>
  <c r="F161" i="1"/>
  <c r="J161" i="1" s="1"/>
  <c r="F231" i="1"/>
  <c r="J231" i="1" s="1"/>
  <c r="F151" i="1"/>
  <c r="J151" i="1" s="1"/>
  <c r="F144" i="1"/>
  <c r="J144" i="1" s="1"/>
  <c r="F136" i="1"/>
  <c r="J136" i="1" s="1"/>
  <c r="F129" i="1"/>
  <c r="J129" i="1" s="1"/>
  <c r="F241" i="1"/>
  <c r="J241" i="1" s="1"/>
  <c r="F117" i="1"/>
  <c r="J117" i="1" s="1"/>
  <c r="F108" i="1"/>
  <c r="J108" i="1" s="1"/>
  <c r="F100" i="1"/>
  <c r="J100" i="1" s="1"/>
  <c r="F92" i="1"/>
  <c r="J92" i="1" s="1"/>
  <c r="F245" i="1"/>
  <c r="J245" i="1" s="1"/>
  <c r="F78" i="1"/>
  <c r="J78" i="1" s="1"/>
  <c r="F62" i="1"/>
  <c r="J62" i="1" s="1"/>
  <c r="F52" i="1"/>
  <c r="J52" i="1" s="1"/>
  <c r="F46" i="1"/>
  <c r="J46" i="1" s="1"/>
  <c r="F38" i="1"/>
  <c r="J38" i="1" s="1"/>
  <c r="F37" i="1"/>
  <c r="J37" i="1" s="1"/>
  <c r="F30" i="1"/>
  <c r="J30" i="1" s="1"/>
  <c r="F223" i="1"/>
  <c r="J223" i="1" s="1"/>
  <c r="F169" i="1"/>
  <c r="J169" i="1" s="1"/>
  <c r="F90" i="1"/>
  <c r="J90" i="1" s="1"/>
  <c r="F227" i="1"/>
  <c r="J227" i="1" s="1"/>
  <c r="F155" i="1"/>
  <c r="J155" i="1" s="1"/>
  <c r="F218" i="1"/>
  <c r="J218" i="1" s="1"/>
  <c r="F87" i="1"/>
  <c r="J87" i="1" s="1"/>
  <c r="F41" i="1"/>
  <c r="J41" i="1" s="1"/>
  <c r="F224" i="1"/>
  <c r="J224" i="1" s="1"/>
  <c r="F175" i="1"/>
  <c r="J175" i="1" s="1"/>
  <c r="F153" i="1"/>
  <c r="J153" i="1" s="1"/>
  <c r="F91" i="1"/>
  <c r="J91" i="1" s="1"/>
  <c r="F53" i="1"/>
  <c r="J53" i="1" s="1"/>
  <c r="F121" i="1"/>
  <c r="J121" i="1" s="1"/>
  <c r="F217" i="1"/>
  <c r="J217" i="1" s="1"/>
  <c r="F207" i="1"/>
  <c r="J207" i="1" s="1"/>
  <c r="F198" i="1"/>
  <c r="J198" i="1" s="1"/>
  <c r="F189" i="1"/>
  <c r="J189" i="1" s="1"/>
  <c r="F178" i="1"/>
  <c r="J178" i="1" s="1"/>
  <c r="F167" i="1"/>
  <c r="J167" i="1" s="1"/>
  <c r="F160" i="1"/>
  <c r="J160" i="1" s="1"/>
  <c r="F230" i="1"/>
  <c r="J230" i="1" s="1"/>
  <c r="F150" i="1"/>
  <c r="J150" i="1" s="1"/>
  <c r="F143" i="1"/>
  <c r="J143" i="1" s="1"/>
  <c r="F135" i="1"/>
  <c r="J135" i="1" s="1"/>
  <c r="F127" i="1"/>
  <c r="J127" i="1" s="1"/>
  <c r="F240" i="1"/>
  <c r="J240" i="1" s="1"/>
  <c r="F115" i="1"/>
  <c r="J115" i="1" s="1"/>
  <c r="F105" i="1"/>
  <c r="J105" i="1" s="1"/>
  <c r="F99" i="1"/>
  <c r="J99" i="1" s="1"/>
  <c r="F89" i="1"/>
  <c r="J89" i="1" s="1"/>
  <c r="F244" i="1"/>
  <c r="J244" i="1" s="1"/>
  <c r="F76" i="1"/>
  <c r="J76" i="1" s="1"/>
  <c r="F61" i="1"/>
  <c r="J61" i="1" s="1"/>
  <c r="F51" i="1"/>
  <c r="J51" i="1" s="1"/>
  <c r="F45" i="1"/>
  <c r="J45" i="1" s="1"/>
  <c r="F248" i="1"/>
  <c r="J248" i="1" s="1"/>
  <c r="F36" i="1"/>
  <c r="J36" i="1" s="1"/>
  <c r="F29" i="1"/>
  <c r="J29" i="1" s="1"/>
  <c r="F215" i="1"/>
  <c r="J215" i="1" s="1"/>
  <c r="F168" i="1"/>
  <c r="J168" i="1" s="1"/>
  <c r="F70" i="1"/>
  <c r="J70" i="1" s="1"/>
  <c r="F86" i="1"/>
  <c r="J86" i="1" s="1"/>
  <c r="F126" i="1"/>
  <c r="J126" i="1" s="1"/>
  <c r="F203" i="1"/>
  <c r="J203" i="1" s="1"/>
  <c r="F83" i="1"/>
  <c r="J83" i="1" s="1"/>
  <c r="F14" i="1"/>
  <c r="J14" i="1" s="1"/>
  <c r="F210" i="1"/>
  <c r="J210" i="1" s="1"/>
  <c r="F235" i="1"/>
  <c r="J235" i="1" s="1"/>
  <c r="F146" i="1"/>
  <c r="J146" i="1" s="1"/>
  <c r="F77" i="1"/>
  <c r="J77" i="1" s="1"/>
  <c r="F31" i="1"/>
  <c r="J31" i="1" s="1"/>
  <c r="F226" i="1"/>
  <c r="J226" i="1" s="1"/>
  <c r="F216" i="1"/>
  <c r="J216" i="1" s="1"/>
  <c r="F206" i="1"/>
  <c r="J206" i="1" s="1"/>
  <c r="F197" i="1"/>
  <c r="J197" i="1" s="1"/>
  <c r="F186" i="1"/>
  <c r="J186" i="1" s="1"/>
  <c r="F177" i="1"/>
  <c r="J177" i="1" s="1"/>
  <c r="F165" i="1"/>
  <c r="J165" i="1" s="1"/>
  <c r="F158" i="1"/>
  <c r="J158" i="1" s="1"/>
  <c r="F157" i="1"/>
  <c r="J157" i="1" s="1"/>
  <c r="F149" i="1"/>
  <c r="J149" i="1" s="1"/>
  <c r="F142" i="1"/>
  <c r="J142" i="1" s="1"/>
  <c r="F134" i="1"/>
  <c r="J134" i="1" s="1"/>
  <c r="F125" i="1"/>
  <c r="J125" i="1" s="1"/>
  <c r="F200" i="1"/>
  <c r="J200" i="1" s="1"/>
  <c r="F113" i="1"/>
  <c r="J113" i="1" s="1"/>
  <c r="F104" i="1"/>
  <c r="J104" i="1" s="1"/>
  <c r="F98" i="1"/>
  <c r="J98" i="1" s="1"/>
  <c r="F88" i="1"/>
  <c r="J88" i="1" s="1"/>
  <c r="F243" i="1"/>
  <c r="J243" i="1" s="1"/>
  <c r="F73" i="1"/>
  <c r="J73" i="1" s="1"/>
  <c r="F58" i="1"/>
  <c r="J58" i="1" s="1"/>
  <c r="F50" i="1"/>
  <c r="J50" i="1" s="1"/>
  <c r="F44" i="1"/>
  <c r="J44" i="1" s="1"/>
  <c r="F246" i="1"/>
  <c r="J246" i="1" s="1"/>
  <c r="F35" i="1"/>
  <c r="J35" i="1" s="1"/>
  <c r="F28" i="1"/>
  <c r="J28" i="1" s="1"/>
  <c r="BY200" i="1" l="1"/>
  <c r="BX200" i="1"/>
  <c r="BY125" i="1"/>
  <c r="BX125" i="1"/>
  <c r="BY246" i="1"/>
  <c r="BX246" i="1"/>
  <c r="BY177" i="1"/>
  <c r="BX177" i="1"/>
  <c r="BY215" i="1"/>
  <c r="BX215" i="1"/>
  <c r="BY142" i="1"/>
  <c r="BX142" i="1"/>
  <c r="BY77" i="1"/>
  <c r="BX77" i="1"/>
  <c r="BY29" i="1"/>
  <c r="BX29" i="1"/>
  <c r="BY240" i="1"/>
  <c r="BX240" i="1"/>
  <c r="BY224" i="1"/>
  <c r="BX224" i="1"/>
  <c r="BY90" i="1"/>
  <c r="BX90" i="1"/>
  <c r="BY106" i="1"/>
  <c r="BX106" i="1"/>
  <c r="BY104" i="1"/>
  <c r="BX104" i="1"/>
  <c r="BY58" i="1"/>
  <c r="BX58" i="1"/>
  <c r="BY113" i="1"/>
  <c r="BX113" i="1"/>
  <c r="BY157" i="1"/>
  <c r="BX157" i="1"/>
  <c r="BY206" i="1"/>
  <c r="BX206" i="1"/>
  <c r="BY235" i="1"/>
  <c r="BX235" i="1"/>
  <c r="BY86" i="1"/>
  <c r="BX86" i="1"/>
  <c r="BY248" i="1"/>
  <c r="BX248" i="1"/>
  <c r="BY89" i="1"/>
  <c r="BX89" i="1"/>
  <c r="BY135" i="1"/>
  <c r="BX135" i="1"/>
  <c r="BY178" i="1"/>
  <c r="BX178" i="1"/>
  <c r="BY53" i="1"/>
  <c r="BX53" i="1"/>
  <c r="BY87" i="1"/>
  <c r="BX87" i="1"/>
  <c r="BY223" i="1"/>
  <c r="BX223" i="1"/>
  <c r="BY62" i="1"/>
  <c r="BX62" i="1"/>
  <c r="BY117" i="1"/>
  <c r="BX117" i="1"/>
  <c r="BY231" i="1"/>
  <c r="BX231" i="1"/>
  <c r="BY208" i="1"/>
  <c r="BX208" i="1"/>
  <c r="BY190" i="1"/>
  <c r="BX190" i="1"/>
  <c r="BY110" i="1"/>
  <c r="BX110" i="1"/>
  <c r="BY33" i="1"/>
  <c r="BX33" i="1"/>
  <c r="BY80" i="1"/>
  <c r="BX80" i="1"/>
  <c r="BY69" i="1"/>
  <c r="BX69" i="1"/>
  <c r="BY163" i="1"/>
  <c r="BX163" i="1"/>
  <c r="BY222" i="1"/>
  <c r="BX222" i="1"/>
  <c r="BY239" i="1"/>
  <c r="BX239" i="1"/>
  <c r="BY237" i="1"/>
  <c r="BX237" i="1"/>
  <c r="BY84" i="1"/>
  <c r="BX84" i="1"/>
  <c r="BY133" i="1"/>
  <c r="BX133" i="1"/>
  <c r="BY176" i="1"/>
  <c r="BX176" i="1"/>
  <c r="BY24" i="1"/>
  <c r="BX24" i="1"/>
  <c r="BY66" i="1"/>
  <c r="BX66" i="1"/>
  <c r="BY199" i="1"/>
  <c r="BX199" i="1"/>
  <c r="BY188" i="1"/>
  <c r="BX188" i="1"/>
  <c r="BY79" i="1"/>
  <c r="BX79" i="1"/>
  <c r="BY242" i="1"/>
  <c r="BX242" i="1"/>
  <c r="BY162" i="1"/>
  <c r="BX162" i="1"/>
  <c r="BY221" i="1"/>
  <c r="BX221" i="1"/>
  <c r="BY229" i="1"/>
  <c r="BX229" i="1"/>
  <c r="BY107" i="1"/>
  <c r="BX107" i="1"/>
  <c r="BY28" i="1"/>
  <c r="BX28" i="1"/>
  <c r="BY216" i="1"/>
  <c r="BX216" i="1"/>
  <c r="BY210" i="1"/>
  <c r="BX210" i="1"/>
  <c r="BY70" i="1"/>
  <c r="BX70" i="1"/>
  <c r="BY45" i="1"/>
  <c r="BX45" i="1"/>
  <c r="BY99" i="1"/>
  <c r="BX99" i="1"/>
  <c r="BY143" i="1"/>
  <c r="BX143" i="1"/>
  <c r="BY189" i="1"/>
  <c r="BX189" i="1"/>
  <c r="BY91" i="1"/>
  <c r="BX91" i="1"/>
  <c r="BY218" i="1"/>
  <c r="BX218" i="1"/>
  <c r="BY30" i="1"/>
  <c r="BX30" i="1"/>
  <c r="BY78" i="1"/>
  <c r="BX78" i="1"/>
  <c r="BY241" i="1"/>
  <c r="BX241" i="1"/>
  <c r="BY161" i="1"/>
  <c r="BX161" i="1"/>
  <c r="BY219" i="1"/>
  <c r="BX219" i="1"/>
  <c r="BY228" i="1"/>
  <c r="BX228" i="1"/>
  <c r="BY93" i="1"/>
  <c r="BX93" i="1"/>
  <c r="BY236" i="1"/>
  <c r="BX236" i="1"/>
  <c r="BY82" i="1"/>
  <c r="BX82" i="1"/>
  <c r="BY132" i="1"/>
  <c r="BX132" i="1"/>
  <c r="BY172" i="1"/>
  <c r="BX172" i="1"/>
  <c r="BY18" i="1"/>
  <c r="BX18" i="1"/>
  <c r="BY65" i="1"/>
  <c r="BX65" i="1"/>
  <c r="BY43" i="1"/>
  <c r="BX43" i="1"/>
  <c r="BY96" i="1"/>
  <c r="BX96" i="1"/>
  <c r="BY184" i="1"/>
  <c r="BX184" i="1"/>
  <c r="BY75" i="1"/>
  <c r="BX75" i="1"/>
  <c r="BY185" i="1"/>
  <c r="BX185" i="1"/>
  <c r="BY64" i="1"/>
  <c r="BX64" i="1"/>
  <c r="BY201" i="1"/>
  <c r="BX201" i="1"/>
  <c r="BY81" i="1"/>
  <c r="BX81" i="1"/>
  <c r="BY131" i="1"/>
  <c r="BX131" i="1"/>
  <c r="BY171" i="1"/>
  <c r="BX171" i="1"/>
  <c r="BY13" i="1"/>
  <c r="BX13" i="1"/>
  <c r="BY60" i="1"/>
  <c r="BX60" i="1"/>
  <c r="BY181" i="1"/>
  <c r="BX181" i="1"/>
  <c r="BY35" i="1"/>
  <c r="BX35" i="1"/>
  <c r="BY226" i="1"/>
  <c r="BX226" i="1"/>
  <c r="BY168" i="1"/>
  <c r="BX168" i="1"/>
  <c r="BY51" i="1"/>
  <c r="BX51" i="1"/>
  <c r="BY105" i="1"/>
  <c r="BX105" i="1"/>
  <c r="BY150" i="1"/>
  <c r="BX150" i="1"/>
  <c r="BY198" i="1"/>
  <c r="BX198" i="1"/>
  <c r="BY153" i="1"/>
  <c r="BX153" i="1"/>
  <c r="BY155" i="1"/>
  <c r="BX155" i="1"/>
  <c r="BY37" i="1"/>
  <c r="BX37" i="1"/>
  <c r="BY245" i="1"/>
  <c r="BX245" i="1"/>
  <c r="BY129" i="1"/>
  <c r="BX129" i="1"/>
  <c r="BY170" i="1"/>
  <c r="BX170" i="1"/>
  <c r="BY3" i="1"/>
  <c r="BX3" i="1"/>
  <c r="BY59" i="1"/>
  <c r="BX59" i="1"/>
  <c r="BY174" i="1"/>
  <c r="BX174" i="1"/>
  <c r="BY42" i="1"/>
  <c r="BX42" i="1"/>
  <c r="BY95" i="1"/>
  <c r="BX95" i="1"/>
  <c r="BY139" i="1"/>
  <c r="BX139" i="1"/>
  <c r="BY183" i="1"/>
  <c r="BX183" i="1"/>
  <c r="BY68" i="1"/>
  <c r="BX68" i="1"/>
  <c r="BY138" i="1"/>
  <c r="BX138" i="1"/>
  <c r="BY49" i="1"/>
  <c r="BX49" i="1"/>
  <c r="BY103" i="1"/>
  <c r="BX103" i="1"/>
  <c r="BY148" i="1"/>
  <c r="BX148" i="1"/>
  <c r="BY196" i="1"/>
  <c r="BX196" i="1"/>
  <c r="BY141" i="1"/>
  <c r="BX141" i="1"/>
  <c r="BY97" i="1"/>
  <c r="BX97" i="1"/>
  <c r="BY233" i="1"/>
  <c r="BX233" i="1"/>
  <c r="BY40" i="1"/>
  <c r="BX40" i="1"/>
  <c r="BY94" i="1"/>
  <c r="BX94" i="1"/>
  <c r="BY137" i="1"/>
  <c r="BX137" i="1"/>
  <c r="BY180" i="1"/>
  <c r="BX180" i="1"/>
  <c r="BY67" i="1"/>
  <c r="BX67" i="1"/>
  <c r="BY128" i="1"/>
  <c r="BX128" i="1"/>
  <c r="BY234" i="1"/>
  <c r="BX234" i="1"/>
  <c r="BY243" i="1"/>
  <c r="BX243" i="1"/>
  <c r="BY134" i="1"/>
  <c r="BX134" i="1"/>
  <c r="BY83" i="1"/>
  <c r="BX83" i="1"/>
  <c r="BY61" i="1"/>
  <c r="BX61" i="1"/>
  <c r="BY115" i="1"/>
  <c r="BX115" i="1"/>
  <c r="BY230" i="1"/>
  <c r="BX230" i="1"/>
  <c r="BY207" i="1"/>
  <c r="BX207" i="1"/>
  <c r="BY175" i="1"/>
  <c r="BX175" i="1"/>
  <c r="BY227" i="1"/>
  <c r="BX227" i="1"/>
  <c r="BY38" i="1"/>
  <c r="BX38" i="1"/>
  <c r="BY92" i="1"/>
  <c r="BX92" i="1"/>
  <c r="BY136" i="1"/>
  <c r="BX136" i="1"/>
  <c r="BY179" i="1"/>
  <c r="BX179" i="1"/>
  <c r="BY63" i="1"/>
  <c r="BX63" i="1"/>
  <c r="BY124" i="1"/>
  <c r="BX124" i="1"/>
  <c r="BY25" i="1"/>
  <c r="BX25" i="1"/>
  <c r="BY48" i="1"/>
  <c r="BX48" i="1"/>
  <c r="BY102" i="1"/>
  <c r="BX102" i="1"/>
  <c r="BY147" i="1"/>
  <c r="BX147" i="1"/>
  <c r="BY195" i="1"/>
  <c r="BX195" i="1"/>
  <c r="BY118" i="1"/>
  <c r="BX118" i="1"/>
  <c r="BY74" i="1"/>
  <c r="BX74" i="1"/>
  <c r="BY57" i="1"/>
  <c r="BX57" i="1"/>
  <c r="BY112" i="1"/>
  <c r="BX112" i="1"/>
  <c r="BY156" i="1"/>
  <c r="BX156" i="1"/>
  <c r="BY205" i="1"/>
  <c r="BX205" i="1"/>
  <c r="BY232" i="1"/>
  <c r="BX232" i="1"/>
  <c r="BY212" i="1"/>
  <c r="BX212" i="1"/>
  <c r="BY47" i="1"/>
  <c r="BX47" i="1"/>
  <c r="BY101" i="1"/>
  <c r="BX101" i="1"/>
  <c r="BY145" i="1"/>
  <c r="BX145" i="1"/>
  <c r="BY194" i="1"/>
  <c r="BX194" i="1"/>
  <c r="BY114" i="1"/>
  <c r="BX114" i="1"/>
  <c r="BY56" i="1"/>
  <c r="BX56" i="1"/>
  <c r="BY182" i="1"/>
  <c r="BX182" i="1"/>
  <c r="BY158" i="1"/>
  <c r="BX158" i="1"/>
  <c r="BY14" i="1"/>
  <c r="BX14" i="1"/>
  <c r="BY44" i="1"/>
  <c r="BX44" i="1"/>
  <c r="BY203" i="1"/>
  <c r="BX203" i="1"/>
  <c r="BY160" i="1"/>
  <c r="BX160" i="1"/>
  <c r="BY100" i="1"/>
  <c r="BX100" i="1"/>
  <c r="BY191" i="1"/>
  <c r="BX191" i="1"/>
  <c r="BY249" i="1"/>
  <c r="BX249" i="1"/>
  <c r="BY32" i="1"/>
  <c r="BX32" i="1"/>
  <c r="BY55" i="1"/>
  <c r="BX55" i="1"/>
  <c r="BY111" i="1"/>
  <c r="BX111" i="1"/>
  <c r="BY154" i="1"/>
  <c r="BX154" i="1"/>
  <c r="BY204" i="1"/>
  <c r="BX204" i="1"/>
  <c r="BY220" i="1"/>
  <c r="BX220" i="1"/>
  <c r="BY27" i="1"/>
  <c r="BX27" i="1"/>
  <c r="BY72" i="1"/>
  <c r="BX72" i="1"/>
  <c r="BY122" i="1"/>
  <c r="BX122" i="1"/>
  <c r="BY5" i="1"/>
  <c r="BX5" i="1"/>
  <c r="BY214" i="1"/>
  <c r="BX214" i="1"/>
  <c r="BY209" i="1"/>
  <c r="BX209" i="1"/>
  <c r="BY39" i="1"/>
  <c r="BX39" i="1"/>
  <c r="BY192" i="1"/>
  <c r="BX192" i="1"/>
  <c r="BY54" i="1"/>
  <c r="BX54" i="1"/>
  <c r="BY109" i="1"/>
  <c r="BX109" i="1"/>
  <c r="BY152" i="1"/>
  <c r="BX152" i="1"/>
  <c r="BY202" i="1"/>
  <c r="BX202" i="1"/>
  <c r="BY173" i="1"/>
  <c r="BX173" i="1"/>
  <c r="BY211" i="1"/>
  <c r="BX211" i="1"/>
  <c r="BY116" i="1"/>
  <c r="BX116" i="1"/>
  <c r="BY73" i="1"/>
  <c r="BX73" i="1"/>
  <c r="BY165" i="1"/>
  <c r="BX165" i="1"/>
  <c r="BY88" i="1"/>
  <c r="BX88" i="1"/>
  <c r="BY31" i="1"/>
  <c r="BX31" i="1"/>
  <c r="BY98" i="1"/>
  <c r="BX98" i="1"/>
  <c r="BY186" i="1"/>
  <c r="BX186" i="1"/>
  <c r="BY76" i="1"/>
  <c r="BX76" i="1"/>
  <c r="BY217" i="1"/>
  <c r="BX217" i="1"/>
  <c r="BY46" i="1"/>
  <c r="BX46" i="1"/>
  <c r="BY144" i="1"/>
  <c r="BX144" i="1"/>
  <c r="BY50" i="1"/>
  <c r="BX50" i="1"/>
  <c r="BY149" i="1"/>
  <c r="BX149" i="1"/>
  <c r="BY197" i="1"/>
  <c r="BX197" i="1"/>
  <c r="BY146" i="1"/>
  <c r="BX146" i="1"/>
  <c r="BY126" i="1"/>
  <c r="BX126" i="1"/>
  <c r="BY36" i="1"/>
  <c r="BX36" i="1"/>
  <c r="BY244" i="1"/>
  <c r="BX244" i="1"/>
  <c r="BY127" i="1"/>
  <c r="BX127" i="1"/>
  <c r="BY167" i="1"/>
  <c r="BX167" i="1"/>
  <c r="BY121" i="1"/>
  <c r="BX121" i="1"/>
  <c r="BY41" i="1"/>
  <c r="BX41" i="1"/>
  <c r="BY169" i="1"/>
  <c r="BX169" i="1"/>
  <c r="BY52" i="1"/>
  <c r="BX52" i="1"/>
  <c r="BY108" i="1"/>
  <c r="BX108" i="1"/>
  <c r="BY151" i="1"/>
  <c r="BX151" i="1"/>
  <c r="BY130" i="1"/>
  <c r="BX130" i="1"/>
  <c r="BY159" i="1"/>
  <c r="BX159" i="1"/>
  <c r="BY187" i="1"/>
  <c r="BX187" i="1"/>
  <c r="BY26" i="1"/>
  <c r="BX26" i="1"/>
  <c r="BY71" i="1"/>
  <c r="BX71" i="1"/>
  <c r="BY120" i="1"/>
  <c r="BX120" i="1"/>
  <c r="BY238" i="1"/>
  <c r="BX238" i="1"/>
  <c r="BY213" i="1"/>
  <c r="BX213" i="1"/>
  <c r="BY193" i="1"/>
  <c r="BX193" i="1"/>
  <c r="BY34" i="1"/>
  <c r="BX34" i="1"/>
  <c r="BY85" i="1"/>
  <c r="BX85" i="1"/>
  <c r="BY123" i="1"/>
  <c r="BX123" i="1"/>
  <c r="BY164" i="1"/>
  <c r="BX164" i="1"/>
  <c r="BY225" i="1"/>
  <c r="BX225" i="1"/>
  <c r="BY11" i="1"/>
  <c r="BX11" i="1"/>
  <c r="BY166" i="1"/>
  <c r="BX166" i="1"/>
  <c r="BY247" i="1"/>
  <c r="BX247" i="1"/>
  <c r="BY119" i="1"/>
  <c r="BX119" i="1"/>
  <c r="J12" i="1"/>
  <c r="J140" i="1"/>
  <c r="BY140" i="1" l="1"/>
  <c r="BX140" i="1"/>
  <c r="BY12" i="1"/>
  <c r="BX12" i="1"/>
  <c r="B39" i="3"/>
  <c r="B40" i="3" s="1"/>
  <c r="B41" i="3" s="1"/>
  <c r="B42" i="3" s="1"/>
  <c r="B43" i="3" s="1"/>
  <c r="B44" i="3" s="1"/>
  <c r="B45" i="3" s="1"/>
  <c r="B46" i="3" s="1"/>
  <c r="B47" i="3" s="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AW2" i="1"/>
  <c r="AX2" i="1"/>
  <c r="AY2" i="1"/>
  <c r="AZ2" i="1"/>
  <c r="BA2" i="1"/>
  <c r="BB2" i="1"/>
  <c r="BC2" i="1"/>
  <c r="BD2" i="1"/>
  <c r="BE2" i="1"/>
  <c r="BF2" i="1"/>
  <c r="BG2" i="1"/>
  <c r="BH2" i="1"/>
  <c r="BI2" i="1"/>
  <c r="BJ2" i="1"/>
  <c r="BK2" i="1"/>
  <c r="BL2" i="1"/>
  <c r="BM2" i="1"/>
  <c r="BN2" i="1"/>
  <c r="BO2" i="1"/>
  <c r="BP2" i="1"/>
  <c r="BQ2" i="1"/>
  <c r="BR2" i="1"/>
  <c r="BS2" i="1"/>
  <c r="BT2" i="1"/>
  <c r="BU2" i="1"/>
  <c r="BV2" i="1"/>
  <c r="BW2" i="1"/>
  <c r="AW7" i="1"/>
  <c r="AX7" i="1"/>
  <c r="AY7" i="1"/>
  <c r="AZ7" i="1"/>
  <c r="BA7" i="1"/>
  <c r="BB7" i="1"/>
  <c r="BC7" i="1"/>
  <c r="BD7" i="1"/>
  <c r="BE7" i="1"/>
  <c r="BF7" i="1"/>
  <c r="BG7" i="1"/>
  <c r="BH7" i="1"/>
  <c r="BI7" i="1"/>
  <c r="BJ7" i="1"/>
  <c r="BK7" i="1"/>
  <c r="BL7" i="1"/>
  <c r="BM7" i="1"/>
  <c r="BN7" i="1"/>
  <c r="BO7" i="1"/>
  <c r="BP7" i="1"/>
  <c r="BQ7" i="1"/>
  <c r="BR7" i="1"/>
  <c r="BS7" i="1"/>
  <c r="BT7" i="1"/>
  <c r="BU7" i="1"/>
  <c r="BV7" i="1"/>
  <c r="BW7" i="1"/>
  <c r="AW9" i="1"/>
  <c r="AX9" i="1"/>
  <c r="AY9" i="1"/>
  <c r="AZ9" i="1"/>
  <c r="BA9" i="1"/>
  <c r="BB9" i="1"/>
  <c r="BC9" i="1"/>
  <c r="BD9" i="1"/>
  <c r="BE9" i="1"/>
  <c r="BF9" i="1"/>
  <c r="BG9" i="1"/>
  <c r="BH9" i="1"/>
  <c r="BI9" i="1"/>
  <c r="BJ9" i="1"/>
  <c r="BK9" i="1"/>
  <c r="BL9" i="1"/>
  <c r="BM9" i="1"/>
  <c r="BN9" i="1"/>
  <c r="BO9" i="1"/>
  <c r="BP9" i="1"/>
  <c r="BQ9" i="1"/>
  <c r="BR9" i="1"/>
  <c r="BS9" i="1"/>
  <c r="BT9" i="1"/>
  <c r="BU9" i="1"/>
  <c r="BV9" i="1"/>
  <c r="BW9" i="1"/>
  <c r="AW16" i="1"/>
  <c r="AX16" i="1"/>
  <c r="AY16" i="1"/>
  <c r="AZ16" i="1"/>
  <c r="BA16" i="1"/>
  <c r="BB16" i="1"/>
  <c r="BC16" i="1"/>
  <c r="BD16" i="1"/>
  <c r="BE16" i="1"/>
  <c r="BF16" i="1"/>
  <c r="BG16" i="1"/>
  <c r="BH16" i="1"/>
  <c r="BI16" i="1"/>
  <c r="BJ16" i="1"/>
  <c r="BK16" i="1"/>
  <c r="BL16" i="1"/>
  <c r="BM16" i="1"/>
  <c r="BN16" i="1"/>
  <c r="BO16" i="1"/>
  <c r="BP16" i="1"/>
  <c r="BQ16" i="1"/>
  <c r="BR16" i="1"/>
  <c r="BS16" i="1"/>
  <c r="BT16" i="1"/>
  <c r="BU16" i="1"/>
  <c r="BV16" i="1"/>
  <c r="BW16" i="1"/>
  <c r="AW19" i="1"/>
  <c r="AX19" i="1"/>
  <c r="AY19" i="1"/>
  <c r="AZ19" i="1"/>
  <c r="BA19" i="1"/>
  <c r="BB19" i="1"/>
  <c r="BC19" i="1"/>
  <c r="BD19" i="1"/>
  <c r="BE19" i="1"/>
  <c r="BF19" i="1"/>
  <c r="BG19" i="1"/>
  <c r="BH19" i="1"/>
  <c r="BI19" i="1"/>
  <c r="BJ19" i="1"/>
  <c r="BK19" i="1"/>
  <c r="BL19" i="1"/>
  <c r="BM19" i="1"/>
  <c r="BN19" i="1"/>
  <c r="BO19" i="1"/>
  <c r="BP19" i="1"/>
  <c r="BQ19" i="1"/>
  <c r="BR19" i="1"/>
  <c r="BS19" i="1"/>
  <c r="BT19" i="1"/>
  <c r="BU19" i="1"/>
  <c r="BV19" i="1"/>
  <c r="BW19" i="1"/>
  <c r="AW6" i="1"/>
  <c r="AX6" i="1"/>
  <c r="AY6" i="1"/>
  <c r="AZ6" i="1"/>
  <c r="BA6" i="1"/>
  <c r="BB6" i="1"/>
  <c r="BC6" i="1"/>
  <c r="BD6" i="1"/>
  <c r="BE6" i="1"/>
  <c r="BF6" i="1"/>
  <c r="BG6" i="1"/>
  <c r="BH6" i="1"/>
  <c r="BI6" i="1"/>
  <c r="BJ6" i="1"/>
  <c r="BK6" i="1"/>
  <c r="BL6" i="1"/>
  <c r="BM6" i="1"/>
  <c r="BN6" i="1"/>
  <c r="BO6" i="1"/>
  <c r="BP6" i="1"/>
  <c r="BQ6" i="1"/>
  <c r="BR6" i="1"/>
  <c r="BS6" i="1"/>
  <c r="BT6" i="1"/>
  <c r="BU6" i="1"/>
  <c r="BV6" i="1"/>
  <c r="BW6" i="1"/>
  <c r="AW17" i="1"/>
  <c r="AX17" i="1"/>
  <c r="AY17" i="1"/>
  <c r="AZ17" i="1"/>
  <c r="BA17" i="1"/>
  <c r="BB17" i="1"/>
  <c r="BC17" i="1"/>
  <c r="BD17" i="1"/>
  <c r="BE17" i="1"/>
  <c r="BF17" i="1"/>
  <c r="BG17" i="1"/>
  <c r="BH17" i="1"/>
  <c r="BI17" i="1"/>
  <c r="BJ17" i="1"/>
  <c r="BK17" i="1"/>
  <c r="BL17" i="1"/>
  <c r="BM17" i="1"/>
  <c r="BN17" i="1"/>
  <c r="BO17" i="1"/>
  <c r="BP17" i="1"/>
  <c r="BQ17" i="1"/>
  <c r="BR17" i="1"/>
  <c r="BS17" i="1"/>
  <c r="BT17" i="1"/>
  <c r="BU17" i="1"/>
  <c r="BV17" i="1"/>
  <c r="BW17" i="1"/>
  <c r="AW20" i="1"/>
  <c r="AX20" i="1"/>
  <c r="AY20" i="1"/>
  <c r="AZ20" i="1"/>
  <c r="BA20" i="1"/>
  <c r="BB20" i="1"/>
  <c r="BC20" i="1"/>
  <c r="BD20" i="1"/>
  <c r="BE20" i="1"/>
  <c r="BF20" i="1"/>
  <c r="BG20" i="1"/>
  <c r="BH20" i="1"/>
  <c r="BI20" i="1"/>
  <c r="BJ20" i="1"/>
  <c r="BK20" i="1"/>
  <c r="BL20" i="1"/>
  <c r="BM20" i="1"/>
  <c r="BN20" i="1"/>
  <c r="BO20" i="1"/>
  <c r="BP20" i="1"/>
  <c r="BQ20" i="1"/>
  <c r="BR20" i="1"/>
  <c r="BS20" i="1"/>
  <c r="BT20" i="1"/>
  <c r="BU20" i="1"/>
  <c r="BV20" i="1"/>
  <c r="BW20" i="1"/>
  <c r="AW23" i="1"/>
  <c r="AX23" i="1"/>
  <c r="AY23" i="1"/>
  <c r="AZ23" i="1"/>
  <c r="BA23" i="1"/>
  <c r="BB23" i="1"/>
  <c r="BC23" i="1"/>
  <c r="BD23" i="1"/>
  <c r="BE23" i="1"/>
  <c r="BF23" i="1"/>
  <c r="BG23" i="1"/>
  <c r="BH23" i="1"/>
  <c r="BI23" i="1"/>
  <c r="BJ23" i="1"/>
  <c r="BK23" i="1"/>
  <c r="BL23" i="1"/>
  <c r="BM23" i="1"/>
  <c r="BN23" i="1"/>
  <c r="BO23" i="1"/>
  <c r="BP23" i="1"/>
  <c r="BQ23" i="1"/>
  <c r="BR23" i="1"/>
  <c r="BS23" i="1"/>
  <c r="BT23" i="1"/>
  <c r="BU23" i="1"/>
  <c r="BV23" i="1"/>
  <c r="BW23" i="1"/>
  <c r="AW21" i="1"/>
  <c r="AX21" i="1"/>
  <c r="AY21" i="1"/>
  <c r="AZ21" i="1"/>
  <c r="BA21" i="1"/>
  <c r="BB21" i="1"/>
  <c r="BC21" i="1"/>
  <c r="BD21" i="1"/>
  <c r="BE21" i="1"/>
  <c r="BF21" i="1"/>
  <c r="BG21" i="1"/>
  <c r="BH21" i="1"/>
  <c r="BI21" i="1"/>
  <c r="BJ21" i="1"/>
  <c r="BK21" i="1"/>
  <c r="BL21" i="1"/>
  <c r="BM21" i="1"/>
  <c r="BN21" i="1"/>
  <c r="BO21" i="1"/>
  <c r="BP21" i="1"/>
  <c r="BQ21" i="1"/>
  <c r="BR21" i="1"/>
  <c r="BS21" i="1"/>
  <c r="BT21" i="1"/>
  <c r="BU21" i="1"/>
  <c r="BV21" i="1"/>
  <c r="BW21" i="1"/>
  <c r="AW8" i="1"/>
  <c r="AX8" i="1"/>
  <c r="AY8" i="1"/>
  <c r="AZ8" i="1"/>
  <c r="BA8" i="1"/>
  <c r="BB8" i="1"/>
  <c r="BC8" i="1"/>
  <c r="BD8" i="1"/>
  <c r="BE8" i="1"/>
  <c r="BF8" i="1"/>
  <c r="BG8" i="1"/>
  <c r="BH8" i="1"/>
  <c r="BI8" i="1"/>
  <c r="BJ8" i="1"/>
  <c r="BK8" i="1"/>
  <c r="BL8" i="1"/>
  <c r="BM8" i="1"/>
  <c r="BN8" i="1"/>
  <c r="BO8" i="1"/>
  <c r="BP8" i="1"/>
  <c r="BQ8" i="1"/>
  <c r="BR8" i="1"/>
  <c r="BS8" i="1"/>
  <c r="BT8" i="1"/>
  <c r="BU8" i="1"/>
  <c r="BV8" i="1"/>
  <c r="BW8" i="1"/>
  <c r="AW22" i="1"/>
  <c r="AX22" i="1"/>
  <c r="AY22" i="1"/>
  <c r="AZ22" i="1"/>
  <c r="BA22" i="1"/>
  <c r="BB22" i="1"/>
  <c r="BC22" i="1"/>
  <c r="BD22" i="1"/>
  <c r="BE22" i="1"/>
  <c r="BF22" i="1"/>
  <c r="BG22" i="1"/>
  <c r="BH22" i="1"/>
  <c r="BI22" i="1"/>
  <c r="BJ22" i="1"/>
  <c r="BK22" i="1"/>
  <c r="BL22" i="1"/>
  <c r="BM22" i="1"/>
  <c r="BN22" i="1"/>
  <c r="BO22" i="1"/>
  <c r="BP22" i="1"/>
  <c r="BQ22" i="1"/>
  <c r="BR22" i="1"/>
  <c r="BS22" i="1"/>
  <c r="BT22" i="1"/>
  <c r="BU22" i="1"/>
  <c r="BV22" i="1"/>
  <c r="BW22" i="1"/>
  <c r="AW4" i="1"/>
  <c r="AX4" i="1"/>
  <c r="AY4" i="1"/>
  <c r="AZ4" i="1"/>
  <c r="BA4" i="1"/>
  <c r="BB4" i="1"/>
  <c r="BC4" i="1"/>
  <c r="BD4" i="1"/>
  <c r="BE4" i="1"/>
  <c r="BF4" i="1"/>
  <c r="BG4" i="1"/>
  <c r="BH4" i="1"/>
  <c r="BI4" i="1"/>
  <c r="BJ4" i="1"/>
  <c r="BK4" i="1"/>
  <c r="BL4" i="1"/>
  <c r="BM4" i="1"/>
  <c r="BN4" i="1"/>
  <c r="BO4" i="1"/>
  <c r="BP4" i="1"/>
  <c r="BQ4" i="1"/>
  <c r="BR4" i="1"/>
  <c r="BS4" i="1"/>
  <c r="BT4" i="1"/>
  <c r="BU4" i="1"/>
  <c r="BV4" i="1"/>
  <c r="BW4"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AV15" i="1"/>
  <c r="AV2" i="1"/>
  <c r="AV7" i="1"/>
  <c r="AV9" i="1"/>
  <c r="AV16" i="1"/>
  <c r="AV19" i="1"/>
  <c r="AV6" i="1"/>
  <c r="AV17" i="1"/>
  <c r="AV20" i="1"/>
  <c r="AV23" i="1"/>
  <c r="AV21" i="1"/>
  <c r="AV8" i="1"/>
  <c r="AV22" i="1"/>
  <c r="AV4" i="1"/>
  <c r="AV10" i="1"/>
  <c r="G9" i="1"/>
  <c r="G16" i="1"/>
  <c r="G19" i="1"/>
  <c r="G6" i="1"/>
  <c r="G17" i="1"/>
  <c r="G20" i="1"/>
  <c r="G23" i="1"/>
  <c r="G21" i="1"/>
  <c r="G8" i="1"/>
  <c r="G22" i="1"/>
  <c r="G4" i="1"/>
  <c r="G10" i="1"/>
  <c r="H9" i="1"/>
  <c r="H16" i="1"/>
  <c r="H19" i="1"/>
  <c r="H6" i="1"/>
  <c r="H17" i="1"/>
  <c r="H20" i="1"/>
  <c r="H23" i="1"/>
  <c r="H21" i="1"/>
  <c r="H8" i="1"/>
  <c r="H22" i="1"/>
  <c r="H4" i="1"/>
  <c r="H10" i="1"/>
  <c r="I9" i="1"/>
  <c r="I16" i="1"/>
  <c r="I19" i="1"/>
  <c r="I6" i="1"/>
  <c r="I17" i="1"/>
  <c r="I20" i="1"/>
  <c r="I23" i="1"/>
  <c r="I21" i="1"/>
  <c r="I8" i="1"/>
  <c r="I22" i="1"/>
  <c r="I4" i="1"/>
  <c r="I10" i="1"/>
  <c r="G15" i="1"/>
  <c r="G7" i="1"/>
  <c r="I15" i="1"/>
  <c r="I2" i="1"/>
  <c r="I7" i="1"/>
  <c r="H15" i="1"/>
  <c r="H7" i="1"/>
  <c r="F2" i="1" l="1"/>
  <c r="F20" i="1"/>
  <c r="J20" i="1" s="1"/>
  <c r="F4" i="1"/>
  <c r="F17" i="1"/>
  <c r="F10" i="1"/>
  <c r="J10" i="1" s="1"/>
  <c r="F22" i="1"/>
  <c r="F6" i="1"/>
  <c r="F8" i="1"/>
  <c r="J8" i="1" s="1"/>
  <c r="F19" i="1"/>
  <c r="J19" i="1" s="1"/>
  <c r="F21" i="1"/>
  <c r="J21" i="1" s="1"/>
  <c r="F16" i="1"/>
  <c r="J16" i="1" s="1"/>
  <c r="F23" i="1"/>
  <c r="J23" i="1" s="1"/>
  <c r="F9" i="1"/>
  <c r="J9" i="1" s="1"/>
  <c r="F7" i="1"/>
  <c r="J7" i="1" s="1"/>
  <c r="F15" i="1"/>
  <c r="J4" i="1" l="1"/>
  <c r="J2" i="1"/>
  <c r="BY2" i="1" s="1"/>
  <c r="J6" i="1"/>
  <c r="BX2" i="1"/>
  <c r="BY6" i="1"/>
  <c r="BX6" i="1"/>
  <c r="BY8" i="1"/>
  <c r="BX8" i="1"/>
  <c r="BY20" i="1"/>
  <c r="BX20" i="1"/>
  <c r="BY23" i="1"/>
  <c r="BX23" i="1"/>
  <c r="BY21" i="1"/>
  <c r="BX21" i="1"/>
  <c r="BY9" i="1"/>
  <c r="BX9" i="1"/>
  <c r="BY16" i="1"/>
  <c r="BX16" i="1"/>
  <c r="BY10" i="1"/>
  <c r="BX10" i="1"/>
  <c r="BY7" i="1"/>
  <c r="BX7" i="1"/>
  <c r="BY19" i="1"/>
  <c r="BX19" i="1"/>
  <c r="BY4" i="1"/>
  <c r="BX4" i="1"/>
  <c r="J22" i="1"/>
  <c r="J17" i="1"/>
  <c r="J15" i="1"/>
  <c r="BY15" i="1" l="1"/>
  <c r="BX15" i="1"/>
  <c r="BY22" i="1"/>
  <c r="BX22" i="1"/>
  <c r="BY17" i="1"/>
  <c r="BX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<sst xmlns="http://schemas.openxmlformats.org/spreadsheetml/2006/main" count="1596" uniqueCount="979">
  <si>
    <t>ID</t>
  </si>
  <si>
    <t>ELL</t>
  </si>
  <si>
    <t>IEP</t>
  </si>
  <si>
    <t>Grade</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</si>
  <si>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</si>
  <si>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</si>
  <si>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</si>
  <si>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</si>
  <si>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</si>
  <si>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</si>
  <si>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</si>
  <si>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</si>
  <si>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</si>
  <si>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</si>
  <si>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</si>
  <si>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</si>
  <si>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</si>
  <si>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</si>
  <si>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</si>
  <si>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</si>
  <si>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</si>
  <si>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</si>
  <si>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</si>
  <si>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</si>
  <si>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</si>
  <si>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</si>
  <si>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</si>
  <si>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</si>
  <si>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</si>
  <si>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</si>
  <si>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</si>
  <si>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</si>
  <si>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t>
  </si>
  <si>
    <t>Key</t>
  </si>
  <si>
    <t>Question</t>
  </si>
  <si>
    <t>Final</t>
  </si>
  <si>
    <t>MC</t>
  </si>
  <si>
    <t>IIIA</t>
  </si>
  <si>
    <t>IIIB</t>
  </si>
  <si>
    <t>Stimulus_type</t>
  </si>
  <si>
    <t>Stimulus</t>
  </si>
  <si>
    <t>Source_type</t>
  </si>
  <si>
    <t>Task_model</t>
  </si>
  <si>
    <t>Need_OI?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</si>
  <si>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</si>
  <si>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</si>
  <si>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</si>
  <si>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</si>
  <si>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</si>
  <si>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</si>
  <si>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</si>
  <si>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</si>
  <si>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</si>
  <si>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</si>
  <si>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</si>
  <si>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</si>
  <si>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</si>
  <si>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</si>
  <si>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</si>
  <si>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</si>
  <si>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</si>
  <si>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</si>
  <si>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</si>
  <si>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</si>
  <si>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</si>
  <si>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</si>
  <si>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</si>
  <si>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</si>
  <si>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</si>
  <si>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</si>
  <si>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</si>
  <si>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</si>
  <si>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</si>
  <si>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</si>
  <si>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</si>
  <si>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</si>
  <si>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</si>
  <si>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</si>
  <si>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SEQ</t>
  </si>
  <si>
    <t>35</t>
  </si>
  <si>
    <t>36</t>
  </si>
  <si>
    <t>37</t>
  </si>
  <si>
    <t>Students are given a stimulus and asked to evaluate and classify (identify) best use.</t>
  </si>
  <si>
    <t>1. Best Use</t>
  </si>
  <si>
    <t>Students are given a stimulus and asked to identify point of view, purpose, context, bias, format of source, location of source in time and/or place, and/or intended audience of sources using background knowledge.</t>
  </si>
  <si>
    <t>2. POV</t>
  </si>
  <si>
    <t>Students are given a stimulus and asked to identify support for a claim found in the stimulus (bound in the same timeframe/event/space). It must require students to draw on their knowledge rather than on straight comprehension of text.</t>
  </si>
  <si>
    <t>3. Claim Validity (With Outside Information)</t>
  </si>
  <si>
    <t>Students are given a stimulus and asked to select a plausible claim that logically follows from evidence presented.</t>
  </si>
  <si>
    <t>4. Claim Validity (Without Outside Information)</t>
  </si>
  <si>
    <t>Students are given a stimulus and asked to identify the significance of a turning point in history.</t>
  </si>
  <si>
    <t>5. Turning Point</t>
  </si>
  <si>
    <t>Students are given a stimulus and asked to identify significance of an event, action, idea, or development as part of change or part of continuity in history.</t>
  </si>
  <si>
    <t>6. Change Over Time</t>
  </si>
  <si>
    <t>Students are given a stimulus and asked to identify a central cause of the described phenomenon.</t>
  </si>
  <si>
    <t>7. Cause</t>
  </si>
  <si>
    <t>Students are given a stimulus and asked to identify a central effect of the described phenomenon.</t>
  </si>
  <si>
    <t>8. Effect</t>
  </si>
  <si>
    <t>Students are given a stimulus and asked to identify the impact of time and place on an issue or event linked to that stimulus.</t>
  </si>
  <si>
    <t>9. Impact of Setting</t>
  </si>
  <si>
    <t>Students are given one stimulus or two stimuli and asked to identify a similarity in the described phenomenon (historical development, historical event, geographic setting, economic situation, individual’s action/belief) (implicit comparison).</t>
  </si>
  <si>
    <t>10. Compare</t>
  </si>
  <si>
    <t>Students are given one/two stimuli and asked to identify a difference in the described phenomenon (historical development, historical event, geographic setting, economic situation, individual’s action/belief) (implicit comparison).</t>
  </si>
  <si>
    <t>11. Contrast</t>
  </si>
  <si>
    <t>Students are given a stimulus and asked to identify an informed action taken by an individual, group, or government connected to civic activism.</t>
  </si>
  <si>
    <t>12. Informed Civic Action</t>
  </si>
  <si>
    <t>Students are given a visual stimulus such as a map, graph, chart, timeline, cartoon, or photograph and asked to extract and interpret relevant information to answer a question.</t>
  </si>
  <si>
    <t>13. Interpret Visual Data</t>
  </si>
  <si>
    <t>Students are given one stimulus or two stimuli and asked to identify a stakeholder or a stakeholder’s issue.</t>
  </si>
  <si>
    <t>14. Stakeholder Issue</t>
  </si>
  <si>
    <t>Students are given a stimulus and asked to identify a course of action recommended by a historical figure, a group, or a government.</t>
  </si>
  <si>
    <t>15. Recommended Action</t>
  </si>
  <si>
    <t>Students are given a stimulus and asked to identify how historical events are related chronologically.</t>
  </si>
  <si>
    <t>16. Sequence of Events</t>
  </si>
  <si>
    <t>Students are given one stimulus or two stimuli and asked to identify a problem (issue).</t>
  </si>
  <si>
    <t>17. Problem</t>
  </si>
  <si>
    <t>Students are given one stimulus or two stimuli and asked to identify a response to a problem (issue).</t>
  </si>
  <si>
    <t>18. Response to Problem</t>
  </si>
  <si>
    <t>Model</t>
  </si>
  <si>
    <t>Detail</t>
  </si>
  <si>
    <t>Specifications</t>
  </si>
  <si>
    <t>10.01a.1</t>
  </si>
  <si>
    <t>Mughal &amp; Ottoman (c. 1750)</t>
  </si>
  <si>
    <t>Students will compare and contrast the Mughal Empire and the Ottoman Empire in 1750 in terms of religious and ethnic tolerance, political organization, and commercial activity.</t>
  </si>
  <si>
    <t>10.01a.2</t>
  </si>
  <si>
    <t>Tokugawa Shogunate</t>
  </si>
  <si>
    <t>Students will examine efforts to unify, stabilize, and centralize Japan under the rule of the Tokugawa Shogunate.</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</si>
  <si>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</si>
  <si>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</si>
  <si>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</si>
  <si>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10.01b.1</t>
  </si>
  <si>
    <t>Tokugawa &amp; Mughal Responses to Outsiders</t>
  </si>
  <si>
    <t>Students will compare and contrast the Tokugawa and Mughal responses to outsiders, with attention to the impacts of those decisions.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</si>
  <si>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</si>
  <si>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</si>
  <si>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</si>
  <si>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10.01b.3</t>
  </si>
  <si>
    <t>Comparing Empire's Geography &amp; Power</t>
  </si>
  <si>
    <t>Students will compare the size of these states, empires, and kingdoms relative to the power they wielded in their regions and in the world.</t>
  </si>
  <si>
    <t>Political Philosophies</t>
  </si>
  <si>
    <t>10.02a.1</t>
  </si>
  <si>
    <t>Students will examine at least three Enlightenment thinkers, including John Locke, Baron de Montesquieu, and Jean-Jacques Rousseau, and key ideas from their written works.</t>
  </si>
  <si>
    <t>10.02b.1</t>
  </si>
  <si>
    <t>Gender &amp; Abolition</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</si>
  <si>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</si>
  <si>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</si>
  <si>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</si>
  <si>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</si>
  <si>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10.02c.1</t>
  </si>
  <si>
    <t>French Revolutions</t>
  </si>
  <si>
    <t>Students will examine evidence related to the preconditions of the French Revolution and the course of the revolution, noting the roles of Olympe de Gouges, Maximilien Robespierre, and Napoleon Bonaparte.</t>
  </si>
  <si>
    <t>10.02c.2</t>
  </si>
  <si>
    <t>Latin American Revolutions</t>
  </si>
  <si>
    <t>Students will examine the evidence related to the impacts of the French Revolution on resistance and revolutionary movements, noting the roles of Toussaint L'Ouverture and Simon Bolivar.</t>
  </si>
  <si>
    <t>10.02d.1</t>
  </si>
  <si>
    <t>Italy, Germany &amp; Ottoman, Austrian</t>
  </si>
  <si>
    <t>Students will investigate the role of cultural identity and nationalism in the unification of Italy and Germany and in the dissolution of the Ottoman and Austrian Empires.</t>
  </si>
  <si>
    <t>10.03a.1</t>
  </si>
  <si>
    <t>British Agricultural Revolution</t>
  </si>
  <si>
    <t>Students will examine the agricultural revolution in Great Britain.</t>
  </si>
  <si>
    <t>10.03b.1</t>
  </si>
  <si>
    <t>Industrial Production &amp; Economic Practices</t>
  </si>
  <si>
    <t>Students will analyze the factors and conditions needed to industrialize and to expand industrial production, as well as shifts in economic practices.</t>
  </si>
  <si>
    <t>10.03b.2</t>
  </si>
  <si>
    <t>"Wealth of Nations"</t>
  </si>
  <si>
    <t>Students will examine the economic theory presented in The Wealth of Nations.</t>
  </si>
  <si>
    <t>10.03b.3</t>
  </si>
  <si>
    <t>Energy, Technology, Communication, &amp; Transportation</t>
  </si>
  <si>
    <t>Students will examine changes and innovations in energy, technology, communication, and transportation that enabled industrialization.</t>
  </si>
  <si>
    <t>10.03c.1</t>
  </si>
  <si>
    <t>Comparing Victorian England &amp; Meiji Japan</t>
  </si>
  <si>
    <t>Students will investigate the social, political, and economic impacts of industrialization in Victorian England and Meiji Japan and compare and contrast them.</t>
  </si>
  <si>
    <t>10.03d.1</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</si>
  <si>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</si>
  <si>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</si>
  <si>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</si>
  <si>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</si>
  <si>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</si>
  <si>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10.04a.1</t>
  </si>
  <si>
    <t>Perspectives on Imperialism</t>
  </si>
  <si>
    <t>Students will explore imperialism from a variety of perspectives such as those of missionaries, indigenous peoples, women, merchants/business people, and government officials.</t>
  </si>
  <si>
    <t>10.04a.2</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</si>
  <si>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</si>
  <si>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</si>
  <si>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</si>
  <si>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</si>
  <si>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</si>
  <si>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</si>
  <si>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</si>
  <si>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</si>
  <si>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10.04c.1</t>
  </si>
  <si>
    <t>Comparing Geography of Africa (c. 1800-1914)</t>
  </si>
  <si>
    <t>Students will compare and contrast maps of Africa from ca. 1800 and ca. 1914, noting the changes and continuities of ethnic groups and regions, African states, and European claims.</t>
  </si>
  <si>
    <t>10.05a.1</t>
  </si>
  <si>
    <t>Comparing Cause &amp; Effects of the World Wars</t>
  </si>
  <si>
    <t>Students will compare and contrast long- and short-term causes and effects of World War I and World War II.</t>
  </si>
  <si>
    <t>10.05b.1</t>
  </si>
  <si>
    <t>Technological Development &amp; Devastation</t>
  </si>
  <si>
    <t>Students will compare and contrast the technologies utilized in both World War I and World War II, noting the human and environmental devastation.</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</si>
  <si>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</si>
  <si>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</si>
  <si>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</si>
  <si>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10.05d.1</t>
  </si>
  <si>
    <t>Russian Revolution, Soviet Union, Lenin &amp; Stalin</t>
  </si>
  <si>
    <t>Students will examine the Russian Revolution and the development of Soviet ideology and nationalism under Lenin and Stalin.</t>
  </si>
  <si>
    <t>10.05d.2</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</si>
  <si>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</si>
  <si>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</si>
  <si>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</si>
  <si>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</si>
  <si>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</si>
  <si>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10.05d.4</t>
  </si>
  <si>
    <t>Great Depression &amp; Totalitarian Dictators</t>
  </si>
  <si>
    <t>Students will investigate the causes of the Great Depression and its influence on the rise of totalitarian dictators and determine the common characteristics of these dictators.</t>
  </si>
  <si>
    <t>10.05e.1</t>
  </si>
  <si>
    <t>Armenian Genocide, Ukranian Holodomor, &amp; the Holocaust</t>
  </si>
  <si>
    <t>Students will examine the atrocities against the Armenians; examine the Ukrainian Holodomor, and examine the Holocaust.</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</si>
  <si>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</si>
  <si>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</si>
  <si>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</si>
  <si>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</si>
  <si>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</si>
  <si>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</si>
  <si>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</si>
  <si>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</si>
  <si>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</si>
  <si>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</si>
  <si>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</si>
  <si>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</si>
  <si>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</si>
  <si>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</si>
  <si>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</si>
  <si>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</si>
  <si>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</si>
  <si>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</si>
  <si>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</si>
  <si>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</si>
  <si>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</si>
  <si>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</si>
  <si>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</si>
  <si>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</si>
  <si>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</si>
  <si>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</si>
  <si>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</si>
  <si>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10.07b.1</t>
  </si>
  <si>
    <t>Ghana, Algeria, and/or Kenya</t>
  </si>
  <si>
    <t>Students will explore at least two of these three African independence movements: Ghana, Algeria, Kenya.</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</si>
  <si>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</si>
  <si>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</si>
  <si>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</si>
  <si>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</si>
  <si>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</si>
  <si>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</si>
  <si>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</si>
  <si>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</si>
  <si>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</si>
  <si>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</si>
  <si>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</si>
  <si>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</si>
  <si>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</si>
  <si>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</si>
  <si>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</si>
  <si>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</si>
  <si>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</si>
  <si>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</si>
  <si>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</si>
  <si>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</si>
  <si>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</si>
  <si>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</si>
  <si>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</si>
  <si>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</si>
  <si>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</si>
  <si>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</si>
  <si>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</si>
  <si>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10.09b.1</t>
  </si>
  <si>
    <t>Globalization Arguments</t>
  </si>
  <si>
    <t>Students will compare and contrast arguments supporting and criticizing globalization by examining concerns including...</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</si>
  <si>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</si>
  <si>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</si>
  <si>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</si>
  <si>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</si>
  <si>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</si>
  <si>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</si>
  <si>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</si>
  <si>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</si>
  <si>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</si>
  <si>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</si>
  <si>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</si>
  <si>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</si>
  <si>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</si>
  <si>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</si>
  <si>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</si>
  <si>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</si>
  <si>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</si>
  <si>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</si>
  <si>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</si>
  <si>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</si>
  <si>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</si>
  <si>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</si>
  <si>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</si>
  <si>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</si>
  <si>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</si>
  <si>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</si>
  <si>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</si>
  <si>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</si>
  <si>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</si>
  <si>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</si>
  <si>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</si>
  <si>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</si>
  <si>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</si>
  <si>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</si>
  <si>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</si>
  <si>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</si>
  <si>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</si>
  <si>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</si>
  <si>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</si>
  <si>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</si>
  <si>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</si>
  <si>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</si>
  <si>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Framework</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</si>
  <si>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</si>
  <si>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</si>
  <si>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</si>
  <si>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</si>
  <si>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</si>
  <si>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</si>
  <si>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</si>
  <si>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</si>
  <si>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</si>
  <si>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</si>
  <si>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</si>
  <si>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</si>
  <si>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</si>
  <si>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</si>
  <si>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</si>
  <si>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11.01c.1</t>
  </si>
  <si>
    <t>Enlightenment &amp; British Traditions</t>
  </si>
  <si>
    <t>Students will examine colonial political institutions to determine how they were influenced by Enlightenment ideas, British traditions such as the Magna Carta, and the colonial experience.</t>
  </si>
  <si>
    <t>11.01c.2</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</si>
  <si>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</si>
  <si>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</si>
  <si>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</si>
  <si>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</si>
  <si>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</si>
  <si>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Declaration of Independence</t>
  </si>
  <si>
    <t>11.02b.1</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</si>
  <si>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</si>
  <si>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</si>
  <si>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</si>
  <si>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</si>
  <si>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</si>
  <si>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</si>
  <si>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</si>
  <si>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</si>
  <si>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</si>
  <si>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</si>
  <si>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11.02c.3</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</si>
  <si>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</si>
  <si>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</si>
  <si>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11.02c.4</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</si>
  <si>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</si>
  <si>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</si>
  <si>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</si>
  <si>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</si>
  <si>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</si>
  <si>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</si>
  <si>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</si>
  <si>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</si>
  <si>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</si>
  <si>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</si>
  <si>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</si>
  <si>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</si>
  <si>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</si>
  <si>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</si>
  <si>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</si>
  <si>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</si>
  <si>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</si>
  <si>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</si>
  <si>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</si>
  <si>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</si>
  <si>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</si>
  <si>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</si>
  <si>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</si>
  <si>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11.03a.3</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</si>
  <si>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</si>
  <si>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</si>
  <si>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</si>
  <si>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</si>
  <si>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</si>
  <si>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</si>
  <si>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</si>
  <si>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</si>
  <si>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</si>
  <si>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</si>
  <si>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</si>
  <si>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11.03b.4</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</si>
  <si>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</si>
  <si>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</si>
  <si>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</si>
  <si>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</si>
  <si>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</si>
  <si>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</si>
  <si>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</si>
  <si>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</si>
  <si>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</si>
  <si>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</si>
  <si>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</si>
  <si>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11.04a.1</t>
  </si>
  <si>
    <t>Amendments &amp; Reconstruction</t>
  </si>
  <si>
    <t>Students will examine the 13th, 14th, and 15th amendments and consider the role of Radical Republicans in Reconstruction</t>
  </si>
  <si>
    <t>11.04a.2</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</si>
  <si>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</si>
  <si>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</si>
  <si>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</si>
  <si>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</si>
  <si>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</si>
  <si>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</si>
  <si>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</si>
  <si>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</si>
  <si>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</si>
  <si>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</si>
  <si>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</si>
  <si>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11.04c.1</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</si>
  <si>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</si>
  <si>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</si>
  <si>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</si>
  <si>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</si>
  <si>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</si>
  <si>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</si>
  <si>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</si>
  <si>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</si>
  <si>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</si>
  <si>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</si>
  <si>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</si>
  <si>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</si>
  <si>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</si>
  <si>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</si>
  <si>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</si>
  <si>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</si>
  <si>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</si>
  <si>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11.05a.3</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</si>
  <si>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</si>
  <si>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</si>
  <si>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</si>
  <si>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</si>
  <si>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</si>
  <si>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</si>
  <si>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</si>
  <si>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</si>
  <si>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</si>
  <si>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</si>
  <si>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</si>
  <si>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</si>
  <si>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</si>
  <si>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</si>
  <si>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</si>
  <si>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</si>
  <si>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</si>
  <si>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</si>
  <si>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</si>
  <si>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</si>
  <si>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11.05b.7</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</si>
  <si>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</si>
  <si>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</si>
  <si>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</si>
  <si>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</si>
  <si>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</si>
  <si>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11.06a.2</t>
  </si>
  <si>
    <t>Spanish American War</t>
  </si>
  <si>
    <t>Students will investigate the causes and effects of the Spanish-American War, evaluating Spanish, Cuban, and United States interests and actions.</t>
  </si>
  <si>
    <t>11.06a.3</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</si>
  <si>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</si>
  <si>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</si>
  <si>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</si>
  <si>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</si>
  <si>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11.06b.1</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</si>
  <si>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</si>
  <si>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</si>
  <si>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</si>
  <si>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</si>
  <si>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</si>
  <si>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</si>
  <si>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</si>
  <si>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</si>
  <si>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</si>
  <si>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</si>
  <si>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</si>
  <si>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</si>
  <si>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</si>
  <si>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</si>
  <si>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</si>
  <si>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</si>
  <si>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</si>
  <si>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</si>
  <si>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</si>
  <si>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</si>
  <si>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</si>
  <si>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</si>
  <si>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</si>
  <si>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</si>
  <si>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</si>
  <si>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</si>
  <si>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</si>
  <si>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</si>
  <si>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</si>
  <si>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</si>
  <si>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</si>
  <si>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</si>
  <si>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</si>
  <si>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</si>
  <si>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</si>
  <si>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</si>
  <si>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</si>
  <si>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</si>
  <si>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</si>
  <si>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</si>
  <si>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</si>
  <si>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</si>
  <si>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</si>
  <si>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</si>
  <si>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</si>
  <si>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</si>
  <si>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</si>
  <si>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</si>
  <si>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</si>
  <si>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</si>
  <si>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</si>
  <si>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</si>
  <si>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</si>
  <si>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11.07c.5</t>
  </si>
  <si>
    <t>New Deal</t>
  </si>
  <si>
    <t>Students will evaluate President Roosevelt’s leadership during the Depression, including key legislative initiatives of the New Deal, expansion of federal government power, and the constitutional challenge represented by his court packing effort.</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</si>
  <si>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</si>
  <si>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</si>
  <si>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</si>
  <si>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</si>
  <si>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</si>
  <si>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</si>
  <si>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</si>
  <si>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</si>
  <si>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</si>
  <si>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</si>
  <si>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</si>
  <si>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</si>
  <si>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</si>
  <si>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</si>
  <si>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</si>
  <si>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</si>
  <si>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</si>
  <si>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</si>
  <si>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</si>
  <si>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</si>
  <si>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</si>
  <si>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</si>
  <si>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</si>
  <si>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</si>
  <si>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11.08c.1</t>
  </si>
  <si>
    <t>Holocaust</t>
  </si>
  <si>
    <t>Students will investigate American officials' knowledge of the Holocaust, evaluating the degree to which intervention may have been possible.</t>
  </si>
  <si>
    <t>11.08c.2</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</si>
  <si>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</si>
  <si>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</si>
  <si>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</si>
  <si>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</si>
  <si>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</si>
  <si>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</si>
  <si>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</si>
  <si>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</si>
  <si>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11.09a.2</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</si>
  <si>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</si>
  <si>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</si>
  <si>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11.09a.3</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</si>
  <si>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</si>
  <si>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</si>
  <si>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</si>
  <si>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</si>
  <si>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</si>
  <si>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</si>
  <si>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</si>
  <si>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</si>
  <si>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</si>
  <si>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</si>
  <si>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</si>
  <si>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</si>
  <si>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</si>
  <si>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</si>
  <si>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Nuclear Arms Race</t>
  </si>
  <si>
    <t>11.09b.1</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</si>
  <si>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</si>
  <si>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</si>
  <si>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</si>
  <si>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</si>
  <si>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</si>
  <si>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</si>
  <si>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</si>
  <si>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</si>
  <si>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</si>
  <si>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</si>
  <si>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</si>
  <si>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</si>
  <si>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</si>
  <si>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</si>
  <si>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</si>
  <si>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</si>
  <si>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</si>
  <si>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</si>
  <si>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</si>
  <si>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</si>
  <si>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</si>
  <si>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</si>
  <si>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</si>
  <si>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</si>
  <si>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</si>
  <si>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</si>
  <si>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</si>
  <si>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</si>
  <si>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</si>
  <si>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</si>
  <si>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</si>
  <si>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</si>
  <si>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</si>
  <si>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</si>
  <si>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</si>
  <si>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</si>
  <si>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</si>
  <si>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</si>
  <si>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</si>
  <si>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</si>
  <si>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</si>
  <si>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</si>
  <si>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</si>
  <si>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</si>
  <si>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</si>
  <si>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</si>
  <si>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</si>
  <si>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</si>
  <si>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</si>
  <si>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</si>
  <si>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</si>
  <si>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</si>
  <si>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</si>
  <si>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</si>
  <si>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</si>
  <si>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</si>
  <si>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</si>
  <si>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</si>
  <si>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</si>
  <si>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</si>
  <si>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</si>
  <si>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</si>
  <si>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</si>
  <si>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</si>
  <si>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Part</t>
  </si>
  <si>
    <t>Part I</t>
  </si>
  <si>
    <t>Part II</t>
  </si>
  <si>
    <t>Part IIIA</t>
  </si>
  <si>
    <t>Option_1</t>
  </si>
  <si>
    <t>Option_2</t>
  </si>
  <si>
    <t>Option_3</t>
  </si>
  <si>
    <t>Option_4</t>
  </si>
  <si>
    <t>Content_standard</t>
  </si>
  <si>
    <t>Skill_standard</t>
  </si>
  <si>
    <t>Pct_Correct</t>
  </si>
  <si>
    <t>Point_Biserial</t>
  </si>
  <si>
    <t>Part IIIB</t>
  </si>
  <si>
    <t>Standard</t>
  </si>
  <si>
    <t>Concept</t>
  </si>
  <si>
    <t>Specification</t>
  </si>
  <si>
    <t>A. Gathering, Interpreting, and Using Evidence</t>
  </si>
  <si>
    <t>A.1: Framing Questions &amp; Hypotheses</t>
  </si>
  <si>
    <t>Define and frame questions about events and the world in which we live, form hypotheses as potential answers to these questions, use evidence to answer these questions, and consider and analyze counter-hypotheses.</t>
  </si>
  <si>
    <t>A.2: Evaluating Sources</t>
  </si>
  <si>
    <t>Identify, describe, and evaluate evidence about events from diverse sources (including written documents, works of art, photographs, charts and graphs, artifacts, oral traditions, and other primary and secondary sources).</t>
  </si>
  <si>
    <t>A.3: Sourcing &amp; Point of View</t>
  </si>
  <si>
    <t>Analyze evidence in terms of content, authorship, point of view, bias, purpose, format, and audience.</t>
  </si>
  <si>
    <t>A.4: Evaluating Arguments</t>
  </si>
  <si>
    <t>Describe, analyze, and evaluate arguments of others.</t>
  </si>
  <si>
    <t>A.5: Inferences &amp; Conclusions</t>
  </si>
  <si>
    <t>Make inferences and draw conclusions from evidence.</t>
  </si>
  <si>
    <t>A.6: Constructing Arguments</t>
  </si>
  <si>
    <t>Deconstruct and construct plausible and persuasive arguments, using evidence.</t>
  </si>
  <si>
    <t>A.7: Synthesizing Evidence</t>
  </si>
  <si>
    <t>Create meaningful and persuasive understandings of the past by fusing disparate and relevant evidence from primary and secondary sources and drawing connections to the present.</t>
  </si>
  <si>
    <t>B. Chronological Reasoning and Causation</t>
  </si>
  <si>
    <t>B.1: Chronological Relationships</t>
  </si>
  <si>
    <t>Articulate how events are related chronologically to one another in time and explain the ways in which earlier ideas and events may influence subsequent ideas and events.</t>
  </si>
  <si>
    <t>B.2: Cause &amp; Effect</t>
  </si>
  <si>
    <t>Identify causes and effects using examples from different time periods and courses of study across several grade levels.</t>
  </si>
  <si>
    <t>B.3: Multiple Causes &amp; Effects</t>
  </si>
  <si>
    <t>Identify, analyze, and evaluate the relationship between multiple causes and effects</t>
  </si>
  <si>
    <t>B.4: Long-Term vs. Immediate Causes</t>
  </si>
  <si>
    <t>Distinguish between long-term and immediate causes and multiple effects (time, continuity, and change).</t>
  </si>
  <si>
    <t>B.5: Continuity &amp; Change</t>
  </si>
  <si>
    <t>Recognize, analyze, and evaluate dynamics of historical continuity and change over periods of time and investigate factors that caused those changes over time.</t>
  </si>
  <si>
    <t>B.6: Periodization &amp; Perspective</t>
  </si>
  <si>
    <t>Recognize that choice of specific periodization favors or advantages one narrative, region, or group over another narrative, region, or group.</t>
  </si>
  <si>
    <t>B.7: Patterns &amp; Historical Themes</t>
  </si>
  <si>
    <t>Relate patterns of continuity and change to larger historical processes and themes.</t>
  </si>
  <si>
    <t>B.8: Models of Periodization</t>
  </si>
  <si>
    <t>Describe, analyze, evaluate, and construct models of historical periodization that historians use to categorize events.</t>
  </si>
  <si>
    <t>C. Comparison and Contextualization</t>
  </si>
  <si>
    <t>C.1: Comparing Regions</t>
  </si>
  <si>
    <t>Identify similarities and differences between geographic regions across historical time periods, and relate differences in geography to different historical events and outcomes.</t>
  </si>
  <si>
    <t>C.2: Multiple Perspectives</t>
  </si>
  <si>
    <t>Identify, compare, and evaluate multiple perspectives on a given historical experience.</t>
  </si>
  <si>
    <t>C.3: Comparing Developments</t>
  </si>
  <si>
    <t>Identify and compare similarities and differences between historical developments over time and in different geographical and cultural contexts.</t>
  </si>
  <si>
    <t>C.4: Comparing Societies</t>
  </si>
  <si>
    <t>Describe, compare, and evaluate multiple historical developments (within societies; across and between societies; in various chronological and geographical contexts).</t>
  </si>
  <si>
    <t>C.5: Geography, Economics &amp; History</t>
  </si>
  <si>
    <t>Recognize the relationship between geography, economics, and history as a context for events and movements and as a matrix of time and place.</t>
  </si>
  <si>
    <t>C.6: Historical Context</t>
  </si>
  <si>
    <t>Connect historical developments to specific circumstances of time and place and to broader regional, national, or global processes and draw connections to the present (where appropriate).</t>
  </si>
  <si>
    <t>D. Geographic Reasoning</t>
  </si>
  <si>
    <t>D.1: Asking Geographic Questions</t>
  </si>
  <si>
    <t>Ask geographic questions about where places are located, why their locations are important, and how their locations are related to the locations of other places and people.</t>
  </si>
  <si>
    <t>D.2: Spatial Relationships</t>
  </si>
  <si>
    <t>Identify, describe, and evaluate the relationships between people, places, regions, and environments by using geographic tools to place them in a spatial context.</t>
  </si>
  <si>
    <t>D.3: Humans &amp; the Environment</t>
  </si>
  <si>
    <t>Identify, analyze, and evaluate the relationship between the environment and human activities, how the physical environment is modified by human activities, and how human activities are also influenced by Earth’s physical features and processes.</t>
  </si>
  <si>
    <t>D.4: Patterns &amp; Processes</t>
  </si>
  <si>
    <t>Recognize and interpret (at different scales) the relationships between patterns and processes.</t>
  </si>
  <si>
    <t>D.5: Place &amp; Regional Influence</t>
  </si>
  <si>
    <t>Recognize and analyze how place and region influence the social, cultural, and economic characteristics of civilizations.</t>
  </si>
  <si>
    <t>D.6: Connections Between Regions</t>
  </si>
  <si>
    <t>Characterize and analyze changing connections between places and regions.</t>
  </si>
  <si>
    <t>E. Economics and Economics Systems</t>
  </si>
  <si>
    <t>E.1: Marginal Benefits &amp; Costs</t>
  </si>
  <si>
    <t>Use marginal benefits and marginal costs to construct an argument for or against an approach or solution to an economic issue.</t>
  </si>
  <si>
    <t>E.2: Incentives in Markets</t>
  </si>
  <si>
    <t>Analyze the ways in which incentives influence what is produced and distributed in a market system.</t>
  </si>
  <si>
    <t>E.3: Market Competition</t>
  </si>
  <si>
    <t>Evaluate the extent to which competition between sellers and between buyers exists in specific markets.</t>
  </si>
  <si>
    <t>E.4: Property Rights &amp; Rule of Law</t>
  </si>
  <si>
    <t>Describe concepts of property rights and rule of law as they apply to a market economy.</t>
  </si>
  <si>
    <t>E.5: Economic Indicators</t>
  </si>
  <si>
    <t>Use economic indicators to analyze the current and future state of the economy.</t>
  </si>
  <si>
    <t>E.6: Government Economic Policy</t>
  </si>
  <si>
    <t>Analyze government economic policies and the effects on the national and global economy.</t>
  </si>
  <si>
    <t>F. Civic Participation</t>
  </si>
  <si>
    <t>F.1: Respectful Civil Discourse</t>
  </si>
  <si>
    <t>Demonstrate respect for the rights of others in discussions and classroom debates; respectfully disagree with other viewpoints and provide evidence for a counter-argument.</t>
  </si>
  <si>
    <t>F.2: Civic Engagement</t>
  </si>
  <si>
    <t>Participate in activities that focus on a classroom, school, community, state, or national issue or problem.</t>
  </si>
  <si>
    <t>F.3: Philosophies of Participation</t>
  </si>
  <si>
    <t>Explain differing philosophies of social and political participation and the role of the individual leading to group-driven philosophies.</t>
  </si>
  <si>
    <t>F.4: Individual Civic Roles</t>
  </si>
  <si>
    <t>Identify, describe, and contrast the roles of the individual in opportunities for social and political participation in different societies.</t>
  </si>
  <si>
    <t>F.5: Negotiation &amp; Compromise</t>
  </si>
  <si>
    <t>Participate in persuading, debating, negotiating, and compromising in the resolution of conflicts and differences.</t>
  </si>
  <si>
    <t>F.6: Identifying Need for Action</t>
  </si>
  <si>
    <t>Identify situations in which social actions are required and determine an appropriate course of action.</t>
  </si>
  <si>
    <t>F.7: Advocating for Rights</t>
  </si>
  <si>
    <t>Work to influence those in positions of power to strive for extensions of freedom, social justice, and human rights.</t>
  </si>
  <si>
    <t>F.8: Civic Responsibility</t>
  </si>
  <si>
    <t>Fulfill social and political responsibilities associated with citizenship in a democratic society and interdependent global community by developing awareness of and/or engaging in the political process.</t>
  </si>
  <si>
    <t>Unit</t>
  </si>
  <si>
    <t>The Lancaster Treaty of 1744</t>
  </si>
  <si>
    <t>Which conclusion can best be drawn from this excerpt?</t>
  </si>
  <si>
    <t>Europeans understood and respected Native American cultural traditions.</t>
  </si>
  <si>
    <t>Religious freedom was guaranteed in Pennsylvania.</t>
  </si>
  <si>
    <t>Native Americans had great respect for the king of England.</t>
  </si>
  <si>
    <t>Treaty making was a way to discuss differences between Native Americans and colonists.</t>
  </si>
  <si>
    <t>What was a result of the concerns expressed in this excerpt?</t>
  </si>
  <si>
    <t>Native Americans were allowed to maintain control of their ancestral lands.</t>
  </si>
  <si>
    <t>American expansion continued to push Native Americans west.</t>
  </si>
  <si>
    <t>Native Americans remained neutral during the American Revolution.</t>
  </si>
  <si>
    <t>Cooperation with colonists led to significant Native American population growth.</t>
  </si>
  <si>
    <t>This excerpt is an example of which historical development in United States history?</t>
  </si>
  <si>
    <t>the growth of colonial support for the British Parliament</t>
  </si>
  <si>
    <t>support for the inclusion of women in colonial public life</t>
  </si>
  <si>
    <t>the evolution of colonial self-government</t>
  </si>
  <si>
    <t>emphasis on the election of educated men to colonial offices</t>
  </si>
  <si>
    <t>Which principle of the Declaration of Independence is reflected in this excerpt?</t>
  </si>
  <si>
    <t>separation of powers</t>
  </si>
  <si>
    <t>federalism</t>
  </si>
  <si>
    <t>consent of the governed</t>
  </si>
  <si>
    <t>universal suffrage</t>
  </si>
  <si>
    <t>Based on this passage, what was former President Thomas Jefferson's point of view concerning the congressional debate over Missouri's admission to the Union?</t>
  </si>
  <si>
    <t>He feared that disagreement over slavery would threaten the Union.</t>
  </si>
  <si>
    <t>He believed that Missouri should be admitted as a free state.</t>
  </si>
  <si>
    <t>He thought an amendment should be passed to protect slavery.</t>
  </si>
  <si>
    <t>He supported the right of states to secede from the Union.</t>
  </si>
  <si>
    <t>What was an important effect of the compromise reached by Congress in 1820?</t>
  </si>
  <si>
    <t>Foreign debts became the greatest challenge to national unity.</t>
  </si>
  <si>
    <t>Sectional tensions were no longer a threat to the nation.</t>
  </si>
  <si>
    <t>Slavery ended west of the Mississippi River.</t>
  </si>
  <si>
    <t>It preserved the Union for more than 30 years.</t>
  </si>
  <si>
    <t>What was the primary purpose of President Abraham Lincoln adding this paragraph to his first inaugural address?</t>
  </si>
  <si>
    <t>to introduce industry to the rural South</t>
  </si>
  <si>
    <t>to gain passage of the 13th, 14th, and 15th Amendments</t>
  </si>
  <si>
    <t>to reassure the South and avoid civil war</t>
  </si>
  <si>
    <t>to overturn the Dred Scott decision</t>
  </si>
  <si>
    <t>Several years after this address, President Lincoln expressed a different view of slavery when he</t>
  </si>
  <si>
    <t>stated support for John Brown's raid at Harper's Ferry</t>
  </si>
  <si>
    <t>issued the Emancipation Proclamation</t>
  </si>
  <si>
    <t>enforced the Kansas-Nebraska Act</t>
  </si>
  <si>
    <t>suspended habeas corpus in the states in rebellion</t>
  </si>
  <si>
    <t>What change in the late-19th-century United States is described in this passage?</t>
  </si>
  <si>
    <t>the growth in private home ownership</t>
  </si>
  <si>
    <t>an increase in urbanization</t>
  </si>
  <si>
    <t>a decrease in employment for factory workers</t>
  </si>
  <si>
    <t>a reduction in agricultural technology</t>
  </si>
  <si>
    <t>The situation described in this passage resulted in</t>
  </si>
  <si>
    <t>increased demands on local governments to provide services</t>
  </si>
  <si>
    <t>women's groups seeking the right to vote</t>
  </si>
  <si>
    <t>pressure to limit freedom of the press</t>
  </si>
  <si>
    <t>attempts by temperance groups to ban the sale of alcohol</t>
  </si>
  <si>
    <t>Conditions such as the one shown in this photograph were a result of</t>
  </si>
  <si>
    <t>actions of the Freedmen's Bureau</t>
  </si>
  <si>
    <t>the passage of Jim Crow laws</t>
  </si>
  <si>
    <t>citizenship guarantees in the Dawes Act</t>
  </si>
  <si>
    <t>the enactment of affirmative action programs</t>
  </si>
  <si>
    <t>Which United States Supreme Court decision provided legal support for the situation shown in this photograph?</t>
  </si>
  <si>
    <t>Gibbons v. Ogden</t>
  </si>
  <si>
    <t>Worcester v. Georgia</t>
  </si>
  <si>
    <t>Dred Scott v. Sanford</t>
  </si>
  <si>
    <t>Plessy v. Ferguson</t>
  </si>
  <si>
    <t>Which statement best describes this cartoonist's point of view?</t>
  </si>
  <si>
    <t>Imperialism only benefits nations outside the United States.</t>
  </si>
  <si>
    <t>Building the Panama Canal would improve the American economy.</t>
  </si>
  <si>
    <t>Most Latin American nations could now send their navies through the canal.</t>
  </si>
  <si>
    <t>The canal would end conflicts in the Caribbean and Latin America.</t>
  </si>
  <si>
    <t>Which group was most opposed to the event illustrated in this cartoon?</t>
  </si>
  <si>
    <t>progressive reformers</t>
  </si>
  <si>
    <t>industrialists</t>
  </si>
  <si>
    <t>labor unions</t>
  </si>
  <si>
    <t>anti-imperialists</t>
  </si>
  <si>
    <t>Which action led to the situation shown in this photograph?</t>
  </si>
  <si>
    <t>passage of the Sherman Antitrust Act</t>
  </si>
  <si>
    <t>implementation of a job training program</t>
  </si>
  <si>
    <t>ratification of the 18th Amendment</t>
  </si>
  <si>
    <t>establishment of the Tenement Reform Commission</t>
  </si>
  <si>
    <t>Why did public support for activities such as those shown in this photograph decrease?</t>
  </si>
  <si>
    <t>Personal behavior was difficult to regulate.</t>
  </si>
  <si>
    <t>The federal budget could not be balanced.</t>
  </si>
  <si>
    <t>Public travel was inconvenienced.</t>
  </si>
  <si>
    <t>Concerns were raised by environmentalists.</t>
  </si>
  <si>
    <t>What was the main reason for the emergence of "Hoovervilles" such as the one shown in this photograph?</t>
  </si>
  <si>
    <t>Millions of Americans were unemployed during the Great Depression.</t>
  </si>
  <si>
    <t>Highway construction destroyed urban neighborhoods.</t>
  </si>
  <si>
    <t>Housing construction could not keep up with the demand for suburban homes.</t>
  </si>
  <si>
    <t>United States entry into World War II created shortages in building materials.</t>
  </si>
  <si>
    <t>President Franklin D. Roosevelt's New Deal attempted to address the problem shown in this photograph by</t>
  </si>
  <si>
    <t>referring the problem to the Supreme Court</t>
  </si>
  <si>
    <t>using local police to evict "Hooverville" residents</t>
  </si>
  <si>
    <t>delivering food, water, and medical supplies to residents</t>
  </si>
  <si>
    <t>providing jobs and low-interest home mortgages</t>
  </si>
  <si>
    <t>Congress passed this resolution in order to</t>
  </si>
  <si>
    <t>support United States involvement in the League of Nations</t>
  </si>
  <si>
    <t>support industrial development in the United States</t>
  </si>
  <si>
    <t>prevent involvement in foreign conflicts</t>
  </si>
  <si>
    <t>prevent the German invasion of Poland</t>
  </si>
  <si>
    <t>Which later congressional legislative action reflected a change from this resolution?</t>
  </si>
  <si>
    <t>Wagner Act</t>
  </si>
  <si>
    <t>Social Security Act</t>
  </si>
  <si>
    <t>Fair Labor Standards Act</t>
  </si>
  <si>
    <t>Lend-Lease Act</t>
  </si>
  <si>
    <t>Which event led to the situation shown in these photographs?</t>
  </si>
  <si>
    <t>The Japanese surrendered to the United States.</t>
  </si>
  <si>
    <t>The United States was attacked at Pearl Harbor.</t>
  </si>
  <si>
    <t>The Supreme Court ruled in the Korematsu v. United States case.</t>
  </si>
  <si>
    <t>The United States dropped an atomic bomb on Hiroshima and Nagasaki.</t>
  </si>
  <si>
    <t>Which action taken by the United States government during World War II is illustrated by these photographs?</t>
  </si>
  <si>
    <t>racial segregation of the military</t>
  </si>
  <si>
    <t>internment of Japanese Americans</t>
  </si>
  <si>
    <t>hiring more women to work in the defense industry</t>
  </si>
  <si>
    <t>deporting citizens who opposed the draft</t>
  </si>
  <si>
    <t>What was President Harry Truman seeking support for in this speech?</t>
  </si>
  <si>
    <t>atomic weapons to bring an end to World War II</t>
  </si>
  <si>
    <t>Nuremberg trials to prosecute war criminals</t>
  </si>
  <si>
    <t>economic assistance through the Marshall Plan</t>
  </si>
  <si>
    <t>desegregation of the armed forces</t>
  </si>
  <si>
    <t>President Truman gave this speech because he was committed to</t>
  </si>
  <si>
    <t>returning to pre-World War II isolationism</t>
  </si>
  <si>
    <t>preventing Axis powers from taking over Europe</t>
  </si>
  <si>
    <t>containing the spread of communism</t>
  </si>
  <si>
    <t>dismantling the North Atlantic Treaty Organization (NATO)</t>
  </si>
  <si>
    <t>Which government action was directly responsible for the changes in girls' participation shown in this graph?</t>
  </si>
  <si>
    <t>enactment of Title IX</t>
  </si>
  <si>
    <t>passage of the Americans with Disabilities Act</t>
  </si>
  <si>
    <t>an executive order by President Ronald Reagan</t>
  </si>
  <si>
    <t>the Supreme Court ruling in Mapp v. Ohio</t>
  </si>
  <si>
    <t>One result of the change indicated in this graph was</t>
  </si>
  <si>
    <t>an increase in the pay of high school athletic coaches</t>
  </si>
  <si>
    <t>a decrease in the total number of students participating in high school sports</t>
  </si>
  <si>
    <t>a decrease in the overall number of women earning college degrees</t>
  </si>
  <si>
    <t>an increase in the number of women earning college athletic scholarships</t>
  </si>
  <si>
    <t>Which factor led to the conditions shown in these photographs?</t>
  </si>
  <si>
    <t>increased rates of unemployment</t>
  </si>
  <si>
    <t>damage from severe weather outbreaks</t>
  </si>
  <si>
    <t>population changes due to baby booms</t>
  </si>
  <si>
    <t>the growth of multinational corporations</t>
  </si>
  <si>
    <t>These photographs suggest a federal government supportive of</t>
  </si>
  <si>
    <t>assuming ownership of failed corporations</t>
  </si>
  <si>
    <t>returning to laissez-faire capitalistic principles</t>
  </si>
  <si>
    <t>investing in public works and infrastructure projects</t>
  </si>
  <si>
    <t>helping the owners of big businesses and not labor</t>
  </si>
  <si>
    <t>According to Gordon Wood, what was one historical circumstance that led to the creation of a stronger national government?</t>
  </si>
  <si>
    <t>Based on these documents, what was one historical circumstance that led to the creation of a stronger national government?</t>
  </si>
  <si>
    <t>Based on this document, what was one effort to address the creation of a stronger national government?</t>
  </si>
  <si>
    <t>According to Pauline Maier, what was one effort to address the creation of a stronger national government?</t>
  </si>
  <si>
    <t>According to Linda Monk, what was one impact of the efforts to create a stronger national government?</t>
  </si>
  <si>
    <t>According to President Barack Obama, what was one impact of the efforts to create a stronger national government?</t>
  </si>
  <si>
    <t>Passage on the Missouri Compromise</t>
  </si>
  <si>
    <t>Virginia Declaration of Rights</t>
  </si>
  <si>
    <t>President Abraham Lincoln, First Inaugural Address</t>
  </si>
  <si>
    <t>Frederick Law Olmsted, Address to the American Social Science Association</t>
  </si>
  <si>
    <t>Photograph of segregated facilities</t>
  </si>
  <si>
    <t>Panama Canal political cartoon</t>
  </si>
  <si>
    <t>Photograph from Prohibition</t>
  </si>
  <si>
    <t>Photograph of Hooverville</t>
  </si>
  <si>
    <t>Neutrality Act, 1935</t>
  </si>
  <si>
    <t>Photographs from Japanese Internment</t>
  </si>
  <si>
    <t>President Harry Truman, Special Message to Congress</t>
  </si>
  <si>
    <t>Graph of women's participation in high school athletics</t>
  </si>
  <si>
    <t>Photograph of WPA Worker, Photograph from American Recovery and Reinvestment Act</t>
  </si>
  <si>
    <t>Clark M. Clifford, Chairman of the President's Intelligence Advisory Board, Letter to President Lyndon Johnson; President Lyndon B. Johnson, Press Conference</t>
  </si>
  <si>
    <t>Judith Heumann, Joint House-Senate Hearing on Discrimination on the Basis of Disability; President George H. W. Bush, Remarks at the Signing of the Americans with Disabilities Act</t>
  </si>
  <si>
    <t>Passage on the Articles of Confederation</t>
  </si>
  <si>
    <t>Passage on Shays' Rebellion; Engraved illustration of Shays' Rebellion</t>
  </si>
  <si>
    <t>Passage on Shays' Rebellion and the Constitutional Convention</t>
  </si>
  <si>
    <t>Passage on ratification debates</t>
  </si>
  <si>
    <t>Passage on the Bill of Rights</t>
  </si>
  <si>
    <t>Text-based</t>
  </si>
  <si>
    <t>Visual-based</t>
  </si>
  <si>
    <t>Data-based</t>
  </si>
  <si>
    <t>Multiple</t>
  </si>
  <si>
    <t>Primary</t>
  </si>
  <si>
    <t>Secondary</t>
  </si>
  <si>
    <t>Both</t>
  </si>
  <si>
    <t>No</t>
  </si>
  <si>
    <t>Yes</t>
  </si>
  <si>
    <t>(Anti) Imperialism &amp; the Philippines</t>
  </si>
  <si>
    <t>—</t>
  </si>
  <si>
    <t>Barack Obama, Speech on the Constitution</t>
  </si>
  <si>
    <t>Scale Scores to Performance Levels</t>
  </si>
  <si>
    <r>
      <rPr>
        <b/>
        <sz val="9"/>
        <color theme="1"/>
        <rFont val="Arial"/>
        <family val="2"/>
      </rPr>
      <t>Level 1</t>
    </r>
    <r>
      <rPr>
        <sz val="9"/>
        <color theme="1"/>
        <rFont val="Arial"/>
        <family val="2"/>
      </rPr>
      <t xml:space="preserve">:  </t>
    </r>
  </si>
  <si>
    <r>
      <rPr>
        <b/>
        <sz val="9"/>
        <color theme="1"/>
        <rFont val="Arial"/>
        <family val="2"/>
      </rPr>
      <t>Level 2</t>
    </r>
    <r>
      <rPr>
        <sz val="9"/>
        <color theme="1"/>
        <rFont val="Arial"/>
        <family val="2"/>
      </rPr>
      <t xml:space="preserve">:  </t>
    </r>
  </si>
  <si>
    <r>
      <rPr>
        <b/>
        <sz val="9"/>
        <color theme="1"/>
        <rFont val="Arial"/>
        <family val="2"/>
      </rPr>
      <t>Level 3</t>
    </r>
    <r>
      <rPr>
        <sz val="9"/>
        <color theme="1"/>
        <rFont val="Arial"/>
        <family val="2"/>
      </rPr>
      <t xml:space="preserve">:  </t>
    </r>
  </si>
  <si>
    <r>
      <rPr>
        <b/>
        <sz val="9"/>
        <color theme="1"/>
        <rFont val="Arial"/>
        <family val="2"/>
      </rPr>
      <t>Level 4</t>
    </r>
    <r>
      <rPr>
        <sz val="9"/>
        <color theme="1"/>
        <rFont val="Arial"/>
        <family val="2"/>
      </rPr>
      <t xml:space="preserve">:  </t>
    </r>
  </si>
  <si>
    <r>
      <rPr>
        <b/>
        <sz val="9"/>
        <color theme="1"/>
        <rFont val="Arial"/>
        <family val="2"/>
      </rPr>
      <t>Level 5</t>
    </r>
    <r>
      <rPr>
        <sz val="9"/>
        <color theme="1"/>
        <rFont val="Arial"/>
        <family val="2"/>
      </rPr>
      <t xml:space="preserve">:  </t>
    </r>
  </si>
  <si>
    <t>0-54</t>
  </si>
  <si>
    <t>55-64</t>
  </si>
  <si>
    <t>65-75</t>
  </si>
  <si>
    <t>76-84</t>
  </si>
  <si>
    <t>85-100</t>
  </si>
  <si>
    <t>Grand Total</t>
  </si>
  <si>
    <t>Count</t>
  </si>
  <si>
    <t>Outside Info</t>
  </si>
  <si>
    <t>Source Type</t>
  </si>
  <si>
    <t>Stimulus Type</t>
  </si>
  <si>
    <t>X</t>
  </si>
  <si>
    <t>M</t>
  </si>
  <si>
    <t>Average of Pct_Correct</t>
  </si>
  <si>
    <t>(Multiple Items)</t>
  </si>
  <si>
    <t>MC Score</t>
  </si>
  <si>
    <t>SEQ Score</t>
  </si>
  <si>
    <t>IIIA Score</t>
  </si>
  <si>
    <t>IIIB Score</t>
  </si>
  <si>
    <t>Final Score</t>
  </si>
  <si>
    <t>Class</t>
  </si>
  <si>
    <t>Dushin</t>
  </si>
  <si>
    <t>Bermejo</t>
  </si>
  <si>
    <t>Kovelsky</t>
  </si>
  <si>
    <t>Score</t>
  </si>
  <si>
    <t>Number of Students</t>
  </si>
  <si>
    <t>Other</t>
  </si>
  <si>
    <t>Antaky</t>
  </si>
  <si>
    <t>Passed?</t>
  </si>
  <si>
    <t>Passed*</t>
  </si>
  <si>
    <t>Passing Rate</t>
  </si>
  <si>
    <t>Passing* Rate</t>
  </si>
  <si>
    <t>IEP?</t>
  </si>
  <si>
    <t>SEQ Set 1</t>
  </si>
  <si>
    <t>SEQ Set 2</t>
  </si>
  <si>
    <t>Difference</t>
  </si>
  <si>
    <t>ELL?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</si>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</sst>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x14ac:knownFonts="1">
    <font>
      <sz val="12"/>
      <color theme="1"/>
      <name val="Aptos Narrow"/>
      <family val="2"/>
      <scheme val="minor"/>
    </font>
    <font>
      <sz val="8"/>
      <name val="Aptos Narrow"/>
      <family val="2"/>
      <scheme val="minor"/>
    </font>
    <font>
      <sz val="12"/>
      <color theme="1"/>
      <name val="Aptos Narrow"/>
      <family val="2"/>
      <scheme val="minor"/>
    </font>
    <font>
      <b/>
      <sz val="12"/>
      <color rgb="FF2A3F54"/>
      <name val="Aptos Narrow"/>
      <family val="2"/>
      <scheme val="minor"/>
    </font>
    <font>
      <sz val="12"/>
      <color rgb="FF3A4654"/>
      <name val="Aptos Narrow"/>
      <family val="2"/>
      <scheme val="minor"/>
    </font>
    <font>
      <b/>
      <sz val="11"/>
      <name val="Arial"/>
      <family val="2"/>
    </font>
    <font>
      <b/>
      <sz val="10"/>
      <name val="Arial"/>
      <family val="2"/>
    </font>
    <font>
      <sz val="10"/>
      <name val="Arial"/>
      <family val="2"/>
    </font>
    <font>
      <sz val="10"/>
      <color theme="1"/>
      <name val="Arial"/>
      <family val="2"/>
    </font>
    <font>
      <b/>
      <sz val="11"/>
      <color theme="1"/>
      <name val="Arial"/>
      <family val="2"/>
    </font>
    <font>
      <sz val="9"/>
      <color theme="1"/>
      <name val="Arial"/>
      <family val="2"/>
    </font>
    <font>
      <b/>
      <sz val="9"/>
      <color theme="1"/>
      <name val="Arial"/>
      <family val="2"/>
    </font>
    <font>
      <sz val="10"/>
      <color rgb="FF3A4654"/>
      <name val="Aptos Narrow"/>
      <family val="2"/>
      <scheme val="minor"/>
    </font>
    <font>
      <b/>
      <sz val="12"/>
      <color theme="1"/>
      <name val="Aptos Narrow"/>
      <family val="2"/>
      <scheme val="minor"/>
    </font>
    <font>
      <b/>
      <sz val="12"/>
      <color theme="1"/>
      <name val="Aptos Narrow"/>
      <scheme val="minor"/>
    </font>
  </fonts>
  <fills count="9">
    <fill>
      <patternFill patternType="none"/>
    </fill>
    <fill>
      <patternFill patternType="gray125"/>
    </fill>
    <fill>
      <patternFill patternType="solid">
        <fgColor rgb="FFFFF2CC"/>
        <bgColor indexed="64"/>
      </patternFill>
    </fill>
    <fill>
      <patternFill patternType="solid">
        <fgColor rgb="FFBDD7EE"/>
        <bgColor indexed="64"/>
      </patternFill>
    </fill>
    <fill>
      <patternFill patternType="solid">
        <fgColor rgb="FFA9D08E"/>
        <bgColor indexed="64"/>
      </patternFill>
    </fill>
    <fill>
      <patternFill patternType="solid">
        <fgColor rgb="FFF8D2F8"/>
        <bgColor indexed="64"/>
      </patternFill>
    </fill>
    <fill>
      <patternFill patternType="solid">
        <fgColor rgb="FFF8CBAD"/>
        <bgColor indexed="64"/>
      </patternFill>
    </fill>
    <fill>
      <patternFill patternType="solid">
        <fgColor rgb="FFE8EEF4"/>
        <bgColor rgb="FF000000"/>
      </patternFill>
    </fill>
    <fill>
      <patternFill patternType="solid">
        <fgColor rgb="FFF5F8FB"/>
        <bgColor rgb="FF000000"/>
      </patternFill>
    </fill>
  </fills>
  <borders count="44">
    <border>
      <left/>
      <right/>
      <top/>
      <bottom/>
      <diagonal/>
    </border>
    <border>
      <left/>
      <right/>
      <top style="hair">
        <color rgb="FFECF0F4"/>
      </top>
      <bottom style="hair">
        <color rgb="FFECF0F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hair">
        <color indexed="64"/>
      </top>
      <bottom style="thin">
        <color indexed="64"/>
      </bottom>
      <diagonal/>
    </border>
    <border>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rgb="FFB8C6D6"/>
      </left>
      <right/>
      <top/>
      <bottom/>
      <diagonal/>
    </border>
    <border>
      <left/>
      <right style="thin">
        <color rgb="FFB8C6D6"/>
      </right>
      <top/>
      <bottom/>
      <diagonal/>
    </border>
    <border>
      <left style="thin">
        <color theme="1"/>
      </left>
      <right style="hair">
        <color indexed="64"/>
      </right>
      <top style="thin">
        <color theme="1"/>
      </top>
      <bottom style="hair">
        <color indexed="64"/>
      </bottom>
      <diagonal/>
    </border>
    <border>
      <left style="hair">
        <color indexed="64"/>
      </left>
      <right style="hair">
        <color indexed="64"/>
      </right>
      <top style="thin">
        <color theme="1"/>
      </top>
      <bottom style="hair">
        <color indexed="64"/>
      </bottom>
      <diagonal/>
    </border>
    <border>
      <left style="hair">
        <color indexed="64"/>
      </left>
      <right style="thin">
        <color theme="1"/>
      </right>
      <top style="thin">
        <color theme="1"/>
      </top>
      <bottom style="hair">
        <color indexed="64"/>
      </bottom>
      <diagonal/>
    </border>
    <border>
      <left style="thin">
        <color theme="1"/>
      </left>
      <right style="hair">
        <color indexed="64"/>
      </right>
      <top style="hair">
        <color indexed="64"/>
      </top>
      <bottom style="thin">
        <color theme="1"/>
      </bottom>
      <diagonal/>
    </border>
    <border>
      <left style="hair">
        <color indexed="64"/>
      </left>
      <right style="hair">
        <color indexed="64"/>
      </right>
      <top style="hair">
        <color indexed="64"/>
      </top>
      <bottom style="thin">
        <color theme="1"/>
      </bottom>
      <diagonal/>
    </border>
    <border>
      <left style="hair">
        <color indexed="64"/>
      </left>
      <right style="thin">
        <color theme="1"/>
      </right>
      <top style="hair">
        <color indexed="64"/>
      </top>
      <bottom style="thin">
        <color theme="1"/>
      </bottom>
      <diagonal/>
    </border>
    <border>
      <left/>
      <right/>
      <top/>
      <bottom style="thin">
        <color auto="1"/>
      </bottom>
      <diagonal/>
    </border>
    <border>
      <left/>
      <right/>
      <top style="hair">
        <color rgb="FFECF0F4"/>
      </top>
      <bottom/>
      <diagonal/>
    </border>
    <border>
      <left style="thin">
        <color rgb="FFB8C6D6"/>
      </left>
      <right style="thin">
        <color rgb="FFB8C6D6"/>
      </right>
      <top/>
      <bottom/>
      <diagonal/>
    </border>
  </borders>
  <cellStyleXfs count="2">
    <xf numFmtId="0" fontId="0" fillId="0" borderId="0"/>
    <xf numFmtId="9" fontId="2" fillId="0" borderId="0" applyFont="0" applyFill="0" applyBorder="0" applyAlignment="0" applyProtection="0"/>
  </cellStyleXfs>
  <cellXfs count="130">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4" xfId="0" applyFont="1" applyFill="1" applyBorder="1" applyAlignment="1">
      <alignment horizontal="center" vertical="center"/>
    </xf>
    <xf numFmtId="0" fontId="7" fillId="3" borderId="15" xfId="0" applyFont="1" applyFill="1" applyBorder="1" applyAlignment="1">
      <alignment horizontal="center" vertical="center"/>
    </xf>
    <xf numFmtId="0" fontId="7" fillId="2" borderId="2" xfId="0" applyFont="1" applyFill="1" applyBorder="1" applyAlignment="1">
      <alignment horizontal="center" vertical="center"/>
    </xf>
    <xf numFmtId="0" fontId="7" fillId="3" borderId="1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7" xfId="0" applyFont="1" applyFill="1" applyBorder="1" applyAlignment="1">
      <alignment horizontal="center" vertical="center"/>
    </xf>
    <xf numFmtId="0" fontId="7" fillId="4" borderId="15" xfId="0" applyFont="1" applyFill="1" applyBorder="1" applyAlignment="1">
      <alignment horizontal="center" vertical="center"/>
    </xf>
    <xf numFmtId="0" fontId="7" fillId="3" borderId="8"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9" xfId="0" applyFont="1" applyFill="1" applyBorder="1" applyAlignment="1">
      <alignment horizontal="center" vertical="center"/>
    </xf>
    <xf numFmtId="0" fontId="7" fillId="3" borderId="14" xfId="0" applyFont="1" applyFill="1" applyBorder="1" applyAlignment="1">
      <alignment horizontal="center" vertical="center"/>
    </xf>
    <xf numFmtId="0" fontId="7" fillId="4" borderId="10"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8" xfId="0" applyFont="1" applyFill="1" applyBorder="1" applyAlignment="1">
      <alignment horizontal="center" vertical="center"/>
    </xf>
    <xf numFmtId="0" fontId="7" fillId="5" borderId="16" xfId="0" applyFont="1" applyFill="1" applyBorder="1" applyAlignment="1">
      <alignment horizontal="center" vertical="center"/>
    </xf>
    <xf numFmtId="0" fontId="7" fillId="4" borderId="14"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0" xfId="0" applyFont="1" applyFill="1" applyBorder="1" applyAlignment="1">
      <alignment horizontal="center" vertical="center"/>
    </xf>
    <xf numFmtId="0" fontId="7" fillId="3" borderId="18" xfId="0" applyFont="1" applyFill="1" applyBorder="1" applyAlignment="1">
      <alignment horizontal="center" vertical="center"/>
    </xf>
    <xf numFmtId="0" fontId="7" fillId="5" borderId="9" xfId="0" applyFont="1" applyFill="1" applyBorder="1" applyAlignment="1">
      <alignment horizontal="center" vertical="center"/>
    </xf>
    <xf numFmtId="0" fontId="7" fillId="3" borderId="21" xfId="0" applyFont="1" applyFill="1" applyBorder="1" applyAlignment="1">
      <alignment horizontal="center" vertical="center"/>
    </xf>
    <xf numFmtId="0" fontId="7" fillId="3" borderId="22"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4" xfId="0" applyFont="1" applyFill="1" applyBorder="1" applyAlignment="1">
      <alignment horizontal="center" vertical="center"/>
    </xf>
    <xf numFmtId="0" fontId="7" fillId="6" borderId="15"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4" borderId="18" xfId="0" applyFont="1" applyFill="1" applyBorder="1" applyAlignment="1">
      <alignment horizontal="center" vertical="center"/>
    </xf>
    <xf numFmtId="0" fontId="7" fillId="6" borderId="9" xfId="0" applyFont="1" applyFill="1" applyBorder="1" applyAlignment="1">
      <alignment horizontal="center" vertical="center"/>
    </xf>
    <xf numFmtId="0" fontId="7" fillId="4" borderId="22"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4"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15" xfId="0" applyFont="1" applyFill="1" applyBorder="1" applyAlignment="1">
      <alignment horizontal="center" vertical="center"/>
    </xf>
    <xf numFmtId="0" fontId="8" fillId="5" borderId="8" xfId="0" applyFont="1" applyFill="1" applyBorder="1" applyAlignment="1">
      <alignment horizontal="center" vertical="center"/>
    </xf>
    <xf numFmtId="0" fontId="7" fillId="2" borderId="17" xfId="0" applyFont="1" applyFill="1" applyBorder="1" applyAlignment="1">
      <alignment horizontal="center" vertical="center"/>
    </xf>
    <xf numFmtId="0" fontId="7" fillId="3"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5" borderId="2" xfId="0" applyFont="1" applyFill="1" applyBorder="1" applyAlignment="1">
      <alignment horizontal="center" vertical="center"/>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7" fillId="2" borderId="5" xfId="0" applyFont="1" applyFill="1" applyBorder="1" applyAlignment="1">
      <alignment horizontal="center" vertical="center"/>
    </xf>
    <xf numFmtId="0" fontId="6" fillId="0" borderId="21" xfId="0" applyFont="1" applyBorder="1" applyAlignment="1">
      <alignment horizontal="center" vertical="center" wrapText="1"/>
    </xf>
    <xf numFmtId="0" fontId="7" fillId="3" borderId="26" xfId="0" applyFont="1" applyFill="1" applyBorder="1" applyAlignment="1">
      <alignment horizontal="center" vertical="center"/>
    </xf>
    <xf numFmtId="0" fontId="7" fillId="3" borderId="27" xfId="0" applyFont="1" applyFill="1" applyBorder="1" applyAlignment="1">
      <alignment horizontal="center" vertical="center"/>
    </xf>
    <xf numFmtId="0" fontId="7" fillId="3" borderId="28"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6" fillId="0" borderId="29" xfId="0" applyFont="1" applyBorder="1" applyAlignment="1">
      <alignment horizontal="center" vertical="center" wrapText="1"/>
    </xf>
    <xf numFmtId="0" fontId="7" fillId="5" borderId="30" xfId="0" applyFont="1" applyFill="1" applyBorder="1" applyAlignment="1">
      <alignment horizontal="center" vertical="center"/>
    </xf>
    <xf numFmtId="0" fontId="7" fillId="5" borderId="27" xfId="0" applyFont="1" applyFill="1" applyBorder="1" applyAlignment="1">
      <alignment horizontal="center" vertical="center"/>
    </xf>
    <xf numFmtId="0" fontId="7" fillId="6" borderId="27" xfId="0" applyFont="1" applyFill="1" applyBorder="1" applyAlignment="1">
      <alignment horizontal="center" vertical="center"/>
    </xf>
    <xf numFmtId="0" fontId="7" fillId="6" borderId="8" xfId="0" applyFont="1" applyFill="1" applyBorder="1" applyAlignment="1">
      <alignment horizontal="center" vertical="center"/>
    </xf>
    <xf numFmtId="0" fontId="6" fillId="0" borderId="31" xfId="0" applyFont="1" applyBorder="1" applyAlignment="1">
      <alignment horizontal="center" vertical="center" wrapText="1"/>
    </xf>
    <xf numFmtId="0" fontId="8" fillId="6" borderId="8" xfId="0" applyFont="1" applyFill="1" applyBorder="1" applyAlignment="1">
      <alignment horizontal="center" vertical="center"/>
    </xf>
    <xf numFmtId="0" fontId="6" fillId="0" borderId="20" xfId="0" applyFont="1" applyBorder="1" applyAlignment="1">
      <alignment horizontal="center" vertical="center" wrapText="1"/>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2" xfId="0" applyFont="1" applyFill="1" applyBorder="1" applyAlignment="1">
      <alignment horizontal="center" vertical="center"/>
    </xf>
    <xf numFmtId="0" fontId="6" fillId="0" borderId="30" xfId="0" applyFont="1" applyBorder="1" applyAlignment="1">
      <alignment horizontal="center" vertical="center" wrapText="1"/>
    </xf>
    <xf numFmtId="0" fontId="5" fillId="0" borderId="32" xfId="0" applyFont="1" applyBorder="1" applyAlignment="1">
      <alignment horizontal="center" vertical="center" wrapText="1"/>
    </xf>
    <xf numFmtId="0" fontId="0" fillId="0" borderId="33" xfId="0" applyBorder="1" applyAlignment="1">
      <alignment horizontal="center"/>
    </xf>
    <xf numFmtId="0" fontId="0" fillId="0" borderId="34" xfId="0" applyBorder="1" applyAlignment="1">
      <alignment horizontal="center"/>
    </xf>
    <xf numFmtId="0" fontId="4" fillId="8" borderId="1" xfId="0" applyFont="1" applyFill="1" applyBorder="1" applyAlignment="1">
      <alignment horizontal="left" vertical="center"/>
    </xf>
    <xf numFmtId="0" fontId="4" fillId="0" borderId="1" xfId="0" applyFont="1" applyBorder="1" applyAlignment="1">
      <alignment horizontal="left" vertical="center"/>
    </xf>
    <xf numFmtId="164" fontId="0" fillId="0" borderId="0" xfId="1" applyNumberFormat="1" applyFont="1" applyAlignment="1">
      <alignment horizontal="center"/>
    </xf>
    <xf numFmtId="2" fontId="0" fillId="0" borderId="33" xfId="0" applyNumberFormat="1" applyBorder="1" applyAlignment="1">
      <alignment horizontal="center"/>
    </xf>
    <xf numFmtId="2" fontId="0" fillId="0" borderId="0" xfId="0" applyNumberFormat="1" applyAlignment="1">
      <alignment horizontal="center"/>
    </xf>
    <xf numFmtId="0" fontId="4" fillId="8" borderId="1" xfId="0" applyFont="1" applyFill="1" applyBorder="1" applyAlignment="1">
      <alignment wrapText="1"/>
    </xf>
    <xf numFmtId="0" fontId="4" fillId="0" borderId="1" xfId="0" applyFont="1" applyBorder="1" applyAlignment="1">
      <alignment wrapText="1"/>
    </xf>
    <xf numFmtId="0" fontId="3" fillId="7" borderId="41" xfId="0" applyFont="1" applyFill="1" applyBorder="1" applyAlignment="1">
      <alignment horizontal="left" vertical="center"/>
    </xf>
    <xf numFmtId="0" fontId="3" fillId="7" borderId="41" xfId="0" applyFont="1" applyFill="1" applyBorder="1" applyAlignment="1">
      <alignment horizontal="left"/>
    </xf>
    <xf numFmtId="0" fontId="3" fillId="7" borderId="41" xfId="0" applyFont="1" applyFill="1" applyBorder="1" applyAlignment="1">
      <alignment wrapText="1"/>
    </xf>
    <xf numFmtId="0" fontId="4" fillId="8" borderId="42" xfId="0" applyFont="1" applyFill="1" applyBorder="1" applyAlignment="1">
      <alignment horizontal="left" vertical="center"/>
    </xf>
    <xf numFmtId="0" fontId="4" fillId="8" borderId="42" xfId="0" applyFont="1" applyFill="1" applyBorder="1" applyAlignment="1">
      <alignment wrapText="1"/>
    </xf>
    <xf numFmtId="0" fontId="0" fillId="0" borderId="0" xfId="0" applyAlignment="1">
      <alignment vertical="center" wrapText="1"/>
    </xf>
    <xf numFmtId="0" fontId="0" fillId="0" borderId="0" xfId="0" pivotButton="1"/>
    <xf numFmtId="10" fontId="0" fillId="0" borderId="34" xfId="0" applyNumberFormat="1" applyBorder="1" applyAlignment="1">
      <alignment horizontal="center"/>
    </xf>
    <xf numFmtId="1" fontId="0" fillId="0" borderId="0" xfId="0" applyNumberFormat="1" applyAlignment="1">
      <alignment horizontal="center"/>
    </xf>
    <xf numFmtId="1" fontId="0" fillId="0" borderId="34" xfId="0" applyNumberFormat="1" applyBorder="1" applyAlignment="1">
      <alignment horizontal="center"/>
    </xf>
    <xf numFmtId="0" fontId="12" fillId="0" borderId="0" xfId="0" applyFont="1" applyAlignment="1">
      <alignment horizontal="center"/>
      <extLst>
        <ext xmlns:xfpb="http://schemas.microsoft.com/office/spreadsheetml/2022/featurepropertybag" uri="{C7286773-470A-42A8-94C5-96B5CB345126}">
          <xfpb:xfComplement i="0"/>
        </ext>
      </extLst>
    </xf>
    <xf numFmtId="2" fontId="0" fillId="0" borderId="0" xfId="0" applyNumberFormat="1" applyAlignment="1">
      <alignment horizontal="center" wrapText="1"/>
    </xf>
    <xf numFmtId="0" fontId="0" fillId="0" borderId="43" xfId="0" applyBorder="1" applyAlignment="1">
      <alignment horizontal="center"/>
    </xf>
    <xf numFmtId="9" fontId="0" fillId="0" borderId="0" xfId="0" applyNumberFormat="1" applyAlignment="1">
      <alignment horizontal="center"/>
    </xf>
    <xf numFmtId="0" fontId="0" fillId="0" borderId="0" xfId="0" applyAlignment="1">
      <alignment horizontal="left" indent="1"/>
    </xf>
    <xf numFmtId="2" fontId="0" fillId="0" borderId="0" xfId="0" applyNumberFormat="1" applyAlignment="1">
      <alignment horizontal="center" vertical="center" wrapText="1"/>
    </xf>
    <xf numFmtId="2" fontId="0" fillId="0" borderId="34" xfId="0" applyNumberFormat="1" applyBorder="1" applyAlignment="1">
      <alignment horizontal="center"/>
    </xf>
    <xf numFmtId="0" fontId="14" fillId="0" borderId="0" xfId="0" applyFont="1" applyAlignment="1">
      <alignment horizontal="center"/>
    </xf>
    <xf numFmtId="10" fontId="0" fillId="0" borderId="0" xfId="0" applyNumberFormat="1" applyAlignment="1">
      <alignment horizontal="center"/>
    </xf>
    <xf numFmtId="0" fontId="13" fillId="0" borderId="0" xfId="0" applyFont="1"/>
    <xf numFmtId="164" fontId="0" fillId="0" borderId="0" xfId="0" applyNumberFormat="1" applyAlignment="1">
      <alignment horizontal="center" wrapText="1"/>
    </xf>
    <xf numFmtId="164" fontId="0" fillId="0" borderId="0" xfId="0" applyNumberFormat="1" applyAlignment="1">
      <alignment horizontal="center"/>
    </xf>
    <xf numFmtId="164" fontId="0" fillId="0" borderId="0" xfId="0" applyNumberFormat="1"/>
    <xf numFmtId="10" fontId="2" fillId="0" borderId="0" xfId="0" applyNumberFormat="1" applyFont="1" applyAlignment="1">
      <alignment horizontal="center"/>
    </xf>
    <xf numFmtId="0" fontId="9" fillId="0" borderId="11" xfId="0" applyFont="1" applyBorder="1" applyAlignment="1">
      <alignment horizontal="center"/>
    </xf>
    <xf numFmtId="0" fontId="10" fillId="2" borderId="35" xfId="0" applyFont="1" applyFill="1" applyBorder="1" applyAlignment="1">
      <alignment horizontal="center"/>
    </xf>
    <xf numFmtId="0" fontId="10" fillId="2" borderId="36" xfId="0" applyFont="1" applyFill="1" applyBorder="1" applyAlignment="1">
      <alignment horizontal="center"/>
    </xf>
    <xf numFmtId="0" fontId="10" fillId="3" borderId="36" xfId="0" applyFont="1" applyFill="1" applyBorder="1" applyAlignment="1">
      <alignment horizontal="center"/>
    </xf>
    <xf numFmtId="0" fontId="10" fillId="4" borderId="36" xfId="0" applyFont="1" applyFill="1" applyBorder="1" applyAlignment="1">
      <alignment horizontal="center"/>
    </xf>
    <xf numFmtId="0" fontId="10" fillId="5" borderId="36" xfId="0" applyFont="1" applyFill="1" applyBorder="1" applyAlignment="1">
      <alignment horizontal="center"/>
    </xf>
    <xf numFmtId="0" fontId="10" fillId="6" borderId="36" xfId="0" applyFont="1" applyFill="1" applyBorder="1" applyAlignment="1">
      <alignment horizontal="center"/>
    </xf>
    <xf numFmtId="0" fontId="10" fillId="6" borderId="37"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cellXfs>
  <cellStyles count="2">
    <cellStyle name="Normal" xfId="0" builtinId="0"/>
    <cellStyle name="Percent" xfId="1" builtinId="5"/>
  </cellStyles>
  <dxfs count="28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border diagonalUp="0" diagonalDown="0">
        <left/>
        <right/>
        <top/>
        <bottom/>
      </border>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rgb="FF3A4654"/>
        <name val="Aptos Narrow"/>
        <family val="2"/>
        <scheme val="minor"/>
      </font>
      <fill>
        <patternFill patternType="solid">
          <fgColor rgb="FF000000"/>
          <bgColor rgb="FFF5F8FB"/>
        </patternFill>
      </fill>
      <alignment horizontal="general" vertical="bottom" textRotation="0" wrapText="1" indent="0" justifyLastLine="0" shrinkToFit="0" readingOrder="0"/>
      <border diagonalUp="0" diagonalDown="0">
        <left/>
        <right/>
        <top style="hair">
          <color rgb="FFECF0F4"/>
        </top>
        <bottom style="hair">
          <color rgb="FFECF0F4"/>
        </bottom>
        <vertical/>
        <horizontal/>
      </border>
    </dxf>
    <dxf>
      <font>
        <b val="0"/>
        <i val="0"/>
        <strike val="0"/>
        <condense val="0"/>
        <extend val="0"/>
        <outline val="0"/>
        <shadow val="0"/>
        <u val="none"/>
        <vertAlign val="baseline"/>
        <sz val="12"/>
        <color rgb="FF3A4654"/>
        <name val="Aptos Narrow"/>
        <family val="2"/>
        <scheme val="minor"/>
      </font>
      <fill>
        <patternFill patternType="solid">
          <fgColor rgb="FF000000"/>
          <bgColor rgb="FFF5F8FB"/>
        </patternFill>
      </fill>
      <alignment horizontal="left" vertical="center" textRotation="0" wrapText="0" indent="0" justifyLastLine="0" shrinkToFit="0" readingOrder="0"/>
      <border diagonalUp="0" diagonalDown="0">
        <left/>
        <right/>
        <top style="hair">
          <color rgb="FFECF0F4"/>
        </top>
        <bottom style="hair">
          <color rgb="FFECF0F4"/>
        </bottom>
        <vertical/>
        <horizontal/>
      </border>
    </dxf>
    <dxf>
      <font>
        <b val="0"/>
        <i val="0"/>
        <strike val="0"/>
        <condense val="0"/>
        <extend val="0"/>
        <outline val="0"/>
        <shadow val="0"/>
        <u val="none"/>
        <vertAlign val="baseline"/>
        <sz val="12"/>
        <color rgb="FF3A4654"/>
        <name val="Aptos Narrow"/>
        <family val="2"/>
        <scheme val="minor"/>
      </font>
      <fill>
        <patternFill patternType="solid">
          <fgColor rgb="FF000000"/>
          <bgColor rgb="FFF5F8FB"/>
        </patternFill>
      </fill>
      <alignment horizontal="left" vertical="center" textRotation="0" wrapText="0" indent="0" justifyLastLine="0" shrinkToFit="0" readingOrder="0"/>
      <border diagonalUp="0" diagonalDown="0">
        <left/>
        <right/>
        <top style="hair">
          <color rgb="FFECF0F4"/>
        </top>
        <bottom style="hair">
          <color rgb="FFECF0F4"/>
        </bottom>
        <vertical/>
        <horizontal/>
      </border>
    </dxf>
    <dxf>
      <border outline="0">
        <top style="hair">
          <color rgb="FFECF0F4"/>
        </top>
      </border>
    </dxf>
    <dxf>
      <border outline="0">
        <left style="hair">
          <color rgb="FFD8E0E8"/>
        </left>
        <right style="hair">
          <color rgb="FFD8E0E8"/>
        </right>
        <top style="hair">
          <color rgb="FFD8E0E8"/>
        </top>
        <bottom style="hair">
          <color rgb="FFD8E0E8"/>
        </bottom>
      </border>
    </dxf>
    <dxf>
      <border outline="0">
        <bottom style="thin">
          <color auto="1"/>
        </bottom>
      </border>
    </dxf>
    <dxf>
      <alignment horizontal="general" vertical="bottom" textRotation="0" wrapText="1" indent="0" justifyLastLine="0" shrinkToFit="0" readingOrder="0"/>
    </dxf>
    <dxf>
      <alignment horizontal="left" vertical="center" textRotation="0" wrapText="0" indent="0" justifyLastLine="0" shrinkToFit="0" readingOrder="0"/>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numFmt numFmtId="14" formatCode="0.0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numFmt numFmtId="2" formatCode="0.00"/>
    </dxf>
    <dxf>
      <alignment wrapText="1"/>
    </dxf>
    <dxf>
      <numFmt numFmtId="2" formatCode="0.00"/>
    </dxf>
    <dxf>
      <alignment horizontal="center"/>
    </dxf>
    <dxf>
      <alignment horizontal="center"/>
    </dxf>
    <dxf>
      <numFmt numFmtId="2" formatCode="0.00"/>
    </dxf>
    <dxf>
      <alignment wrapText="1"/>
    </dxf>
    <dxf>
      <numFmt numFmtId="2" formatCode="0.00"/>
    </dxf>
    <dxf>
      <numFmt numFmtId="164" formatCode="0.0%"/>
    </dxf>
    <dxf>
      <numFmt numFmtId="164" formatCode="0.0%"/>
    </dxf>
    <dxf>
      <alignment horizontal="center"/>
    </dxf>
    <dxf>
      <alignment horizontal="center"/>
    </dxf>
    <dxf>
      <numFmt numFmtId="2" formatCode="0.00"/>
    </dxf>
    <dxf>
      <numFmt numFmtId="2" formatCode="0.00"/>
    </dxf>
    <dxf>
      <numFmt numFmtId="13" formatCode="0%"/>
    </dxf>
    <dxf>
      <numFmt numFmtId="2" formatCode="0.00"/>
    </dxf>
    <dxf>
      <numFmt numFmtId="2" formatCode="0.00"/>
    </dxf>
    <dxf>
      <numFmt numFmtId="13" formatCode="0%"/>
    </dxf>
    <dxf>
      <alignment horizontal="center"/>
    </dxf>
    <dxf>
      <alignment horizontal="center"/>
    </dxf>
    <dxf>
      <numFmt numFmtId="13" formatCode="0%"/>
    </dxf>
    <dxf>
      <numFmt numFmtId="13" formatCode="0%"/>
    </dxf>
    <dxf>
      <alignment horizontal="center"/>
    </dxf>
    <dxf>
      <numFmt numFmtId="2" formatCode="0.00"/>
    </dxf>
    <dxf>
      <numFmt numFmtId="164" formatCode="0.0%"/>
    </dxf>
    <dxf>
      <alignment horizontal="center"/>
    </dxf>
    <dxf>
      <alignment horizontal="center"/>
    </dxf>
    <dxf>
      <numFmt numFmtId="13" formatCode="0%"/>
    </dxf>
    <dxf>
      <alignment horizontal="center"/>
    </dxf>
    <dxf>
      <alignment horizontal="center"/>
    </dxf>
    <dxf>
      <numFmt numFmtId="13" formatCode="0%"/>
    </dxf>
    <dxf>
      <numFmt numFmtId="13" formatCode="0%"/>
    </dxf>
    <dxf>
      <alignment horizontal="center"/>
    </dxf>
    <dxf>
      <numFmt numFmtId="13" formatCode="0%"/>
    </dxf>
    <dxf>
      <alignment horizontal="center"/>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center"/>
    </dxf>
    <dxf>
      <alignment horizontal="center"/>
    </dxf>
    <dxf>
      <alignment vertical="center"/>
    </dxf>
    <dxf>
      <alignment vertical="center"/>
    </dxf>
    <dxf>
      <alignment horizontal="center"/>
    </dxf>
    <dxf>
      <numFmt numFmtId="13" formatCode="0%"/>
    </dxf>
    <dxf>
      <numFmt numFmtId="2" formatCode="0.00"/>
    </dxf>
    <dxf>
      <alignment wrapText="1"/>
    </dxf>
    <dxf>
      <alignment horizontal="center"/>
    </dxf>
    <dxf>
      <numFmt numFmtId="2" formatCode="0.00"/>
    </dxf>
    <dxf>
      <numFmt numFmtId="164" formatCode="0.0%"/>
    </dxf>
    <dxf>
      <numFmt numFmtId="2" formatCode="0.00"/>
    </dxf>
    <dxf>
      <numFmt numFmtId="2" formatCode="0.00"/>
    </dxf>
    <dxf>
      <numFmt numFmtId="2" formatCode="0.00"/>
    </dxf>
    <dxf>
      <numFmt numFmtId="2" formatCode="0.00"/>
    </dxf>
    <dxf>
      <alignment horizontal="center"/>
    </dxf>
    <dxf>
      <alignment horizontal="center"/>
    </dxf>
    <dxf>
      <numFmt numFmtId="2" formatCode="0.00"/>
    </dxf>
    <dxf>
      <numFmt numFmtId="2" formatCode="0.00"/>
    </dxf>
    <dxf>
      <numFmt numFmtId="13" formatCode="0%"/>
    </dxf>
    <dxf>
      <alignment horizontal="center"/>
    </dxf>
    <dxf>
      <alignment horizontal="center"/>
    </dxf>
    <dxf>
      <numFmt numFmtId="13" formatCode="0%"/>
    </dxf>
    <dxf>
      <numFmt numFmtId="13" formatCode="0%"/>
    </dxf>
    <dxf>
      <alignment horizontal="center"/>
    </dxf>
    <dxf>
      <numFmt numFmtId="2" formatCode="0.00"/>
    </dxf>
    <dxf>
      <font>
        <b val="0"/>
        <i val="0"/>
        <strike val="0"/>
        <condense val="0"/>
        <extend val="0"/>
        <outline val="0"/>
        <shadow val="0"/>
        <u val="none"/>
        <vertAlign val="baseline"/>
        <sz val="12"/>
        <color theme="1"/>
        <name val="Aptos Narrow"/>
        <family val="2"/>
        <scheme val="minor"/>
      </font>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style="thin">
          <color rgb="FFB8C6D6"/>
        </right>
        <top/>
        <bottom/>
      </border>
    </dxf>
    <dxf>
      <alignment horizontal="center" vertical="bottom" textRotation="0" wrapText="0" indent="0" justifyLastLine="0" shrinkToFit="0" readingOrder="0"/>
      <border diagonalUp="0" diagonalDown="0">
        <left/>
        <right style="thin">
          <color rgb="FFB8C6D6"/>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rgb="FFB8C6D6"/>
        </left>
        <right style="thin">
          <color rgb="FFB8C6D6"/>
        </right>
        <top/>
        <bottom/>
      </border>
    </dxf>
    <dxf>
      <alignment horizontal="center" vertical="bottom" textRotation="0" wrapText="0" indent="0" justifyLastLine="0" shrinkToFit="0" readingOrder="0"/>
      <border diagonalUp="0" diagonalDown="0">
        <left style="thin">
          <color rgb="FFB8C6D6"/>
        </left>
        <right style="thin">
          <color rgb="FFB8C6D6"/>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outline="0">
        <left/>
        <right style="thin">
          <color rgb="FFB8C6D6"/>
        </right>
        <top/>
        <bottom/>
      </border>
    </dxf>
    <dxf>
      <alignment horizontal="center" vertical="bottom" textRotation="0" wrapText="0" indent="0" justifyLastLine="0" shrinkToFit="0" readingOrder="0"/>
      <border diagonalUp="0" diagonalDown="0">
        <left/>
        <right style="thin">
          <color rgb="FFB8C6D6"/>
        </right>
        <top/>
        <bottom/>
        <vertical/>
        <horizontal/>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style="thin">
          <color rgb="FFB8C6D6"/>
        </right>
        <top/>
        <bottom/>
      </border>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border diagonalUp="0" diagonalDown="0" outline="0">
        <left/>
        <right style="thin">
          <color rgb="FFB8C6D6"/>
        </right>
        <top/>
        <bottom/>
      </border>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outline="0">
        <left style="thin">
          <color rgb="FFB8C6D6"/>
        </left>
        <right/>
        <top/>
        <bottom/>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0"/>
        <color rgb="FF3A4654"/>
        <name val="Aptos Narrow"/>
        <family val="2"/>
        <scheme val="minor"/>
      </font>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alignment horizontal="center" vertical="bottom" textRotation="0" wrapText="0" indent="0" justifyLastLine="0" shrinkToFit="0" readingOrder="0"/>
    </dxf>
    <dxf>
      <font>
        <strike val="0"/>
        <outline val="0"/>
        <shadow val="0"/>
        <u val="none"/>
        <vertAlign val="baseline"/>
        <sz val="10"/>
        <color rgb="FF3A4654"/>
        <name val="Aptos Narrow"/>
        <family val="2"/>
        <scheme val="minor"/>
      </font>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ill>
        <patternFill>
          <bgColor rgb="FFF5F8FB"/>
        </patternFill>
      </fill>
    </dxf>
    <dxf>
      <fill>
        <patternFill>
          <bgColor rgb="FFE8EEF4"/>
        </patternFill>
      </fill>
      <border>
        <top style="thin">
          <color auto="1"/>
        </top>
      </border>
    </dxf>
    <dxf>
      <font>
        <b/>
        <i val="0"/>
        <color rgb="FF2A3F54"/>
      </font>
      <fill>
        <patternFill>
          <bgColor rgb="FFE8EEF4"/>
        </patternFill>
      </fill>
      <border>
        <bottom style="thin">
          <color auto="1"/>
        </bottom>
      </border>
    </dxf>
    <dxf>
      <font>
        <color rgb="FF3A4654"/>
      </font>
      <border>
        <left style="hair">
          <color rgb="FFD8E0E8"/>
        </left>
        <right style="hair">
          <color rgb="FFD8E0E8"/>
        </right>
        <top style="hair">
          <color rgb="FFD8E0E8"/>
        </top>
        <bottom style="hair">
          <color rgb="FFD8E0E8"/>
        </bottom>
        <horizontal style="hair">
          <color rgb="FFECF0F4"/>
        </horizontal>
      </border>
    </dxf>
  </dxfs>
  <tableStyles count="1" defaultTableStyle="Light and Airy" defaultPivotStyle="PivotStyleLight16">
    <tableStyle name="Light and Airy" count="4" xr9:uid="{4A2B0605-5D4C-074C-B007-5BD6BE88C90B}">
      <tableStyleElement type="wholeTable" dxfId="282"/>
      <tableStyleElement type="headerRow" dxfId="281"/>
      <tableStyleElement type="totalRow" dxfId="280"/>
      <tableStyleElement type="firstRowStripe" dxfId="279"/>
    </tableStyle>
  </tableStyles>
  <colors>
    <mruColors>
      <color rgb="FFE8EEF4"/>
      <color rgb="FF2A3F54"/>
      <color rgb="FF3A4654"/>
      <color rgb="FFD8E0E8"/>
      <color rgb="FFB8C6D6"/>
      <color rgb="FFF5F8FB"/>
      <color rgb="FFECF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chartsheet" Target="chartsheets/sheet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June Regents Data.xlsx]Scores Breakdown!PivotTable1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Students per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'Scores Breakdown'!$C$3</c:f>
              <c:strCache>
                <c:ptCount val="1"/>
                <c:pt idx="0">
                  <c:v>Total</c:v>
                </c:pt>
              </c:strCache>
            </c:strRef>
          </c:tx>
          <c:spPr>
            <a:solidFill>
              <a:schemeClr val="accent1">
                <a:lumMod val="60000"/>
                <a:lumOff val="40000"/>
              </a:schemeClr>
            </a:solidFill>
            <a:ln>
              <a:noFill/>
            </a:ln>
            <a:effectLst/>
          </c:spPr>
          <c:invertIfNegative val="0"/>
          <c:cat>
            <c:strRef>
              <c:f>'Scores Breakdown'!$B$4:$B$50</c:f>
              <c:strCache>
                <c:ptCount val="46"/>
                <c:pt idx="0">
                  <c:v>23</c:v>
                </c:pt>
                <c:pt idx="1">
                  <c:v>25</c:v>
                </c:pt>
                <c:pt idx="2">
                  <c:v>33</c:v>
                </c:pt>
                <c:pt idx="3">
                  <c:v>36</c:v>
                </c:pt>
                <c:pt idx="4">
                  <c:v>38</c:v>
                </c:pt>
                <c:pt idx="5">
                  <c:v>40</c:v>
                </c:pt>
                <c:pt idx="6">
                  <c:v>42</c:v>
                </c:pt>
                <c:pt idx="7">
                  <c:v>46</c:v>
                </c:pt>
                <c:pt idx="8">
                  <c:v>47</c:v>
                </c:pt>
                <c:pt idx="9">
                  <c:v>48</c:v>
                </c:pt>
                <c:pt idx="10">
                  <c:v>50</c:v>
                </c:pt>
                <c:pt idx="11">
                  <c:v>51</c:v>
                </c:pt>
                <c:pt idx="12">
                  <c:v>52</c:v>
                </c:pt>
                <c:pt idx="13">
                  <c:v>53</c:v>
                </c:pt>
                <c:pt idx="14">
                  <c:v>54</c:v>
                </c:pt>
                <c:pt idx="15">
                  <c:v>55</c:v>
                </c:pt>
                <c:pt idx="16">
                  <c:v>57</c:v>
                </c:pt>
                <c:pt idx="17">
                  <c:v>58</c:v>
                </c:pt>
                <c:pt idx="18">
                  <c:v>60</c:v>
                </c:pt>
                <c:pt idx="19">
                  <c:v>61</c:v>
                </c:pt>
                <c:pt idx="20">
                  <c:v>63</c:v>
                </c:pt>
                <c:pt idx="21">
                  <c:v>64</c:v>
                </c:pt>
                <c:pt idx="22">
                  <c:v>65</c:v>
                </c:pt>
                <c:pt idx="23">
                  <c:v>66</c:v>
                </c:pt>
                <c:pt idx="24">
                  <c:v>67</c:v>
                </c:pt>
                <c:pt idx="25">
                  <c:v>68</c:v>
                </c:pt>
                <c:pt idx="26">
                  <c:v>69</c:v>
                </c:pt>
                <c:pt idx="27">
                  <c:v>70</c:v>
                </c:pt>
                <c:pt idx="28">
                  <c:v>71</c:v>
                </c:pt>
                <c:pt idx="29">
                  <c:v>72</c:v>
                </c:pt>
                <c:pt idx="30">
                  <c:v>73</c:v>
                </c:pt>
                <c:pt idx="31">
                  <c:v>74</c:v>
                </c:pt>
                <c:pt idx="32">
                  <c:v>75</c:v>
                </c:pt>
                <c:pt idx="33">
                  <c:v>76</c:v>
                </c:pt>
                <c:pt idx="34">
                  <c:v>77</c:v>
                </c:pt>
                <c:pt idx="35">
                  <c:v>78</c:v>
                </c:pt>
                <c:pt idx="36">
                  <c:v>79</c:v>
                </c:pt>
                <c:pt idx="37">
                  <c:v>80</c:v>
                </c:pt>
                <c:pt idx="38">
                  <c:v>81</c:v>
                </c:pt>
                <c:pt idx="39">
                  <c:v>82</c:v>
                </c:pt>
                <c:pt idx="40">
                  <c:v>83</c:v>
                </c:pt>
                <c:pt idx="41">
                  <c:v>84</c:v>
                </c:pt>
                <c:pt idx="42">
                  <c:v>85</c:v>
                </c:pt>
                <c:pt idx="43">
                  <c:v>86</c:v>
                </c:pt>
                <c:pt idx="44">
                  <c:v>89</c:v>
                </c:pt>
                <c:pt idx="45">
                  <c:v>90</c:v>
                </c:pt>
              </c:strCache>
            </c:strRef>
          </c:cat>
          <c:val>
            <c:numRef>
              <c:f>'Scores Breakdown'!$C$4:$C$50</c:f>
              <c:numCache>
                <c:formatCode>General</c:formatCode>
                <c:ptCount val="46"/>
                <c:pt idx="0">
                  <c:v>1</c:v>
                </c:pt>
                <c:pt idx="1">
                  <c:v>2</c:v>
                </c:pt>
                <c:pt idx="2">
                  <c:v>1</c:v>
                </c:pt>
                <c:pt idx="3">
                  <c:v>1</c:v>
                </c:pt>
                <c:pt idx="4">
                  <c:v>3</c:v>
                </c:pt>
                <c:pt idx="5">
                  <c:v>3</c:v>
                </c:pt>
                <c:pt idx="6">
                  <c:v>1</c:v>
                </c:pt>
                <c:pt idx="7">
                  <c:v>5</c:v>
                </c:pt>
                <c:pt idx="8">
                  <c:v>1</c:v>
                </c:pt>
                <c:pt idx="9">
                  <c:v>4</c:v>
                </c:pt>
                <c:pt idx="10">
                  <c:v>2</c:v>
                </c:pt>
                <c:pt idx="11">
                  <c:v>1</c:v>
                </c:pt>
                <c:pt idx="12">
                  <c:v>5</c:v>
                </c:pt>
                <c:pt idx="13">
                  <c:v>1</c:v>
                </c:pt>
                <c:pt idx="14">
                  <c:v>4</c:v>
                </c:pt>
                <c:pt idx="15">
                  <c:v>12</c:v>
                </c:pt>
                <c:pt idx="16">
                  <c:v>3</c:v>
                </c:pt>
                <c:pt idx="17">
                  <c:v>9</c:v>
                </c:pt>
                <c:pt idx="18">
                  <c:v>10</c:v>
                </c:pt>
                <c:pt idx="19">
                  <c:v>8</c:v>
                </c:pt>
                <c:pt idx="20">
                  <c:v>1</c:v>
                </c:pt>
                <c:pt idx="21">
                  <c:v>3</c:v>
                </c:pt>
                <c:pt idx="22">
                  <c:v>7</c:v>
                </c:pt>
                <c:pt idx="23">
                  <c:v>15</c:v>
                </c:pt>
                <c:pt idx="24">
                  <c:v>11</c:v>
                </c:pt>
                <c:pt idx="25">
                  <c:v>11</c:v>
                </c:pt>
                <c:pt idx="26">
                  <c:v>5</c:v>
                </c:pt>
                <c:pt idx="27">
                  <c:v>6</c:v>
                </c:pt>
                <c:pt idx="28">
                  <c:v>9</c:v>
                </c:pt>
                <c:pt idx="29">
                  <c:v>15</c:v>
                </c:pt>
                <c:pt idx="30">
                  <c:v>8</c:v>
                </c:pt>
                <c:pt idx="31">
                  <c:v>2</c:v>
                </c:pt>
                <c:pt idx="32">
                  <c:v>7</c:v>
                </c:pt>
                <c:pt idx="33">
                  <c:v>3</c:v>
                </c:pt>
                <c:pt idx="34">
                  <c:v>9</c:v>
                </c:pt>
                <c:pt idx="35">
                  <c:v>4</c:v>
                </c:pt>
                <c:pt idx="36">
                  <c:v>3</c:v>
                </c:pt>
                <c:pt idx="37">
                  <c:v>2</c:v>
                </c:pt>
                <c:pt idx="38">
                  <c:v>2</c:v>
                </c:pt>
                <c:pt idx="39">
                  <c:v>3</c:v>
                </c:pt>
                <c:pt idx="40">
                  <c:v>2</c:v>
                </c:pt>
                <c:pt idx="41">
                  <c:v>3</c:v>
                </c:pt>
                <c:pt idx="42">
                  <c:v>3</c:v>
                </c:pt>
                <c:pt idx="43">
                  <c:v>5</c:v>
                </c:pt>
                <c:pt idx="44">
                  <c:v>2</c:v>
                </c:pt>
                <c:pt idx="45">
                  <c:v>1</c:v>
                </c:pt>
              </c:numCache>
            </c:numRef>
          </c:val>
          <c:extLst>
            <c:ext xmlns:c16="http://schemas.microsoft.com/office/drawing/2014/chart" uri="{C3380CC4-5D6E-409C-BE32-E72D297353CC}">
              <c16:uniqueId val="{00000000-2559-1049-87B2-CC6DC44EFDB1}"/>
            </c:ext>
          </c:extLst>
        </c:ser>
        <c:dLbls>
          <c:showLegendKey val="0"/>
          <c:showVal val="0"/>
          <c:showCatName val="0"/>
          <c:showSerName val="0"/>
          <c:showPercent val="0"/>
          <c:showBubbleSize val="0"/>
        </c:dLbls>
        <c:gapWidth val="25"/>
        <c:overlap val="-10"/>
        <c:axId val="1230713984"/>
        <c:axId val="1940195968"/>
      </c:barChart>
      <c:catAx>
        <c:axId val="123071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95968"/>
        <c:crosses val="autoZero"/>
        <c:auto val="1"/>
        <c:lblAlgn val="ctr"/>
        <c:lblOffset val="100"/>
        <c:noMultiLvlLbl val="0"/>
      </c:catAx>
      <c:valAx>
        <c:axId val="194019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1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 Correct vs. Point Biserial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Questions!$S$1</c:f>
              <c:strCache>
                <c:ptCount val="1"/>
                <c:pt idx="0">
                  <c:v>Point_Biserial</c:v>
                </c:pt>
              </c:strCache>
            </c:strRef>
          </c:tx>
          <c:spPr>
            <a:ln w="38100" cap="rnd">
              <a:noFill/>
              <a:round/>
            </a:ln>
            <a:effectLst/>
          </c:spPr>
          <c:marker>
            <c:symbol val="circle"/>
            <c:size val="5"/>
            <c:spPr>
              <a:noFill/>
              <a:ln w="9525">
                <a:noFill/>
              </a:ln>
              <a:effectLst/>
            </c:spPr>
          </c:marker>
          <c:dLbls>
            <c:dLbl>
              <c:idx val="0"/>
              <c:tx>
                <c:rich>
                  <a:bodyPr/>
                  <a:lstStyle/>
                  <a:p>
                    <a:fld id="{927B960D-9389-CB4A-86EE-A1C2FE528F6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9BB-A44B-A164-BBA33B0C0C90}"/>
                </c:ext>
              </c:extLst>
            </c:dLbl>
            <c:dLbl>
              <c:idx val="1"/>
              <c:tx>
                <c:rich>
                  <a:bodyPr/>
                  <a:lstStyle/>
                  <a:p>
                    <a:fld id="{4203222B-BE6E-0641-B688-C9328555397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9BB-A44B-A164-BBA33B0C0C90}"/>
                </c:ext>
              </c:extLst>
            </c:dLbl>
            <c:dLbl>
              <c:idx val="2"/>
              <c:tx>
                <c:rich>
                  <a:bodyPr/>
                  <a:lstStyle/>
                  <a:p>
                    <a:fld id="{5F2CCE95-31AB-9941-A6AD-B4DDACBE12D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9BB-A44B-A164-BBA33B0C0C90}"/>
                </c:ext>
              </c:extLst>
            </c:dLbl>
            <c:dLbl>
              <c:idx val="3"/>
              <c:tx>
                <c:rich>
                  <a:bodyPr/>
                  <a:lstStyle/>
                  <a:p>
                    <a:fld id="{A62D9A20-C9F6-3C48-9561-CD136E20E19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9BB-A44B-A164-BBA33B0C0C90}"/>
                </c:ext>
              </c:extLst>
            </c:dLbl>
            <c:dLbl>
              <c:idx val="4"/>
              <c:tx>
                <c:rich>
                  <a:bodyPr/>
                  <a:lstStyle/>
                  <a:p>
                    <a:fld id="{0F110C3A-6898-F84C-82BD-7DF5EB7602E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9BB-A44B-A164-BBA33B0C0C90}"/>
                </c:ext>
              </c:extLst>
            </c:dLbl>
            <c:dLbl>
              <c:idx val="5"/>
              <c:tx>
                <c:rich>
                  <a:bodyPr/>
                  <a:lstStyle/>
                  <a:p>
                    <a:fld id="{42932A24-4BD4-0C4B-93A1-7F098B16EA3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9BB-A44B-A164-BBA33B0C0C90}"/>
                </c:ext>
              </c:extLst>
            </c:dLbl>
            <c:dLbl>
              <c:idx val="6"/>
              <c:tx>
                <c:rich>
                  <a:bodyPr/>
                  <a:lstStyle/>
                  <a:p>
                    <a:fld id="{4A5122BA-511B-F349-BC7A-3C5B77A2474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9BB-A44B-A164-BBA33B0C0C90}"/>
                </c:ext>
              </c:extLst>
            </c:dLbl>
            <c:dLbl>
              <c:idx val="7"/>
              <c:tx>
                <c:rich>
                  <a:bodyPr/>
                  <a:lstStyle/>
                  <a:p>
                    <a:fld id="{6E113F88-4CFE-5E4A-BBA6-7CE61DFEA09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9BB-A44B-A164-BBA33B0C0C90}"/>
                </c:ext>
              </c:extLst>
            </c:dLbl>
            <c:dLbl>
              <c:idx val="8"/>
              <c:tx>
                <c:rich>
                  <a:bodyPr/>
                  <a:lstStyle/>
                  <a:p>
                    <a:fld id="{2A1762F5-9246-B847-A8C5-80B1DF4C902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9BB-A44B-A164-BBA33B0C0C90}"/>
                </c:ext>
              </c:extLst>
            </c:dLbl>
            <c:dLbl>
              <c:idx val="9"/>
              <c:tx>
                <c:rich>
                  <a:bodyPr/>
                  <a:lstStyle/>
                  <a:p>
                    <a:fld id="{4CA53A8F-107F-9744-9759-8B283AD55FE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9BB-A44B-A164-BBA33B0C0C90}"/>
                </c:ext>
              </c:extLst>
            </c:dLbl>
            <c:dLbl>
              <c:idx val="10"/>
              <c:layout>
                <c:manualLayout>
                  <c:x val="-2.0224391020717918E-2"/>
                  <c:y val="-8.0747659748436063E-3"/>
                </c:manualLayout>
              </c:layout>
              <c:tx>
                <c:rich>
                  <a:bodyPr/>
                  <a:lstStyle/>
                  <a:p>
                    <a:fld id="{28905FBB-1B79-1E4C-9DFE-ECBF36CA166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9BB-A44B-A164-BBA33B0C0C90}"/>
                </c:ext>
              </c:extLst>
            </c:dLbl>
            <c:dLbl>
              <c:idx val="11"/>
              <c:tx>
                <c:rich>
                  <a:bodyPr/>
                  <a:lstStyle/>
                  <a:p>
                    <a:fld id="{4E502714-2F7A-9D4C-B78D-31C064FF5C1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9BB-A44B-A164-BBA33B0C0C90}"/>
                </c:ext>
              </c:extLst>
            </c:dLbl>
            <c:dLbl>
              <c:idx val="12"/>
              <c:tx>
                <c:rich>
                  <a:bodyPr/>
                  <a:lstStyle/>
                  <a:p>
                    <a:fld id="{8ACBDB55-15DD-C641-8572-084B7A94D21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9BB-A44B-A164-BBA33B0C0C90}"/>
                </c:ext>
              </c:extLst>
            </c:dLbl>
            <c:dLbl>
              <c:idx val="13"/>
              <c:tx>
                <c:rich>
                  <a:bodyPr/>
                  <a:lstStyle/>
                  <a:p>
                    <a:fld id="{6ADF3591-B866-1740-9A59-BF0F3359E0E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9BB-A44B-A164-BBA33B0C0C90}"/>
                </c:ext>
              </c:extLst>
            </c:dLbl>
            <c:dLbl>
              <c:idx val="14"/>
              <c:tx>
                <c:rich>
                  <a:bodyPr/>
                  <a:lstStyle/>
                  <a:p>
                    <a:fld id="{8635898B-1DC4-5F4D-B259-BAAE3A64D61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9BB-A44B-A164-BBA33B0C0C90}"/>
                </c:ext>
              </c:extLst>
            </c:dLbl>
            <c:dLbl>
              <c:idx val="15"/>
              <c:layout>
                <c:manualLayout>
                  <c:x val="-9.9804881882269332E-3"/>
                  <c:y val="2.0186914937108278E-3"/>
                </c:manualLayout>
              </c:layout>
              <c:tx>
                <c:rich>
                  <a:bodyPr/>
                  <a:lstStyle/>
                  <a:p>
                    <a:fld id="{3E70244B-777A-794A-B21A-319C96F7E4B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9BB-A44B-A164-BBA33B0C0C90}"/>
                </c:ext>
              </c:extLst>
            </c:dLbl>
            <c:dLbl>
              <c:idx val="16"/>
              <c:tx>
                <c:rich>
                  <a:bodyPr/>
                  <a:lstStyle/>
                  <a:p>
                    <a:fld id="{6D4F9E06-B7D1-B04F-BFA6-8797AE200C8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9BB-A44B-A164-BBA33B0C0C90}"/>
                </c:ext>
              </c:extLst>
            </c:dLbl>
            <c:dLbl>
              <c:idx val="17"/>
              <c:tx>
                <c:rich>
                  <a:bodyPr/>
                  <a:lstStyle/>
                  <a:p>
                    <a:fld id="{7D80D1C5-AB88-F44C-8EDB-573FD34712C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9BB-A44B-A164-BBA33B0C0C90}"/>
                </c:ext>
              </c:extLst>
            </c:dLbl>
            <c:dLbl>
              <c:idx val="18"/>
              <c:tx>
                <c:rich>
                  <a:bodyPr/>
                  <a:lstStyle/>
                  <a:p>
                    <a:fld id="{293D2F10-896E-9A4B-BB5A-8ED60720C5C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9BB-A44B-A164-BBA33B0C0C90}"/>
                </c:ext>
              </c:extLst>
            </c:dLbl>
            <c:dLbl>
              <c:idx val="19"/>
              <c:tx>
                <c:rich>
                  <a:bodyPr/>
                  <a:lstStyle/>
                  <a:p>
                    <a:fld id="{65E61C17-7D5D-AC4E-A447-7AA9A74D352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9BB-A44B-A164-BBA33B0C0C90}"/>
                </c:ext>
              </c:extLst>
            </c:dLbl>
            <c:dLbl>
              <c:idx val="20"/>
              <c:tx>
                <c:rich>
                  <a:bodyPr/>
                  <a:lstStyle/>
                  <a:p>
                    <a:fld id="{8F068F61-5B09-8C49-A2BC-543ADE193F0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9BB-A44B-A164-BBA33B0C0C90}"/>
                </c:ext>
              </c:extLst>
            </c:dLbl>
            <c:dLbl>
              <c:idx val="21"/>
              <c:tx>
                <c:rich>
                  <a:bodyPr/>
                  <a:lstStyle/>
                  <a:p>
                    <a:fld id="{9B9C3CE9-5C5C-FF4A-981C-3C4922413E5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9BB-A44B-A164-BBA33B0C0C90}"/>
                </c:ext>
              </c:extLst>
            </c:dLbl>
            <c:dLbl>
              <c:idx val="22"/>
              <c:layout>
                <c:manualLayout>
                  <c:x val="-1.1443902878582787E-2"/>
                  <c:y val="6.0560744811327056E-3"/>
                </c:manualLayout>
              </c:layout>
              <c:tx>
                <c:rich>
                  <a:bodyPr/>
                  <a:lstStyle/>
                  <a:p>
                    <a:fld id="{B38424AB-5156-2F49-A6A4-C8859833380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9BB-A44B-A164-BBA33B0C0C90}"/>
                </c:ext>
              </c:extLst>
            </c:dLbl>
            <c:dLbl>
              <c:idx val="23"/>
              <c:tx>
                <c:rich>
                  <a:bodyPr/>
                  <a:lstStyle/>
                  <a:p>
                    <a:fld id="{B1427F42-F27E-F345-A6B2-CCB06DCDBC5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9BB-A44B-A164-BBA33B0C0C90}"/>
                </c:ext>
              </c:extLst>
            </c:dLbl>
            <c:dLbl>
              <c:idx val="24"/>
              <c:tx>
                <c:rich>
                  <a:bodyPr/>
                  <a:lstStyle/>
                  <a:p>
                    <a:fld id="{2DD11CB9-D9C6-DE40-91E7-6FB75B727AF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9BB-A44B-A164-BBA33B0C0C90}"/>
                </c:ext>
              </c:extLst>
            </c:dLbl>
            <c:dLbl>
              <c:idx val="25"/>
              <c:tx>
                <c:rich>
                  <a:bodyPr/>
                  <a:lstStyle/>
                  <a:p>
                    <a:fld id="{96E44BC6-09D5-8F4A-B54A-C82A4E14856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9BB-A44B-A164-BBA33B0C0C90}"/>
                </c:ext>
              </c:extLst>
            </c:dLbl>
            <c:dLbl>
              <c:idx val="26"/>
              <c:tx>
                <c:rich>
                  <a:bodyPr/>
                  <a:lstStyle/>
                  <a:p>
                    <a:fld id="{809BE79B-71EA-C241-98A7-7E8DD92EA8C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9BB-A44B-A164-BBA33B0C0C90}"/>
                </c:ext>
              </c:extLst>
            </c:dLbl>
            <c:dLbl>
              <c:idx val="27"/>
              <c:tx>
                <c:rich>
                  <a:bodyPr/>
                  <a:lstStyle/>
                  <a:p>
                    <a:fld id="{7FCE1A57-6F8B-CD49-B252-DD31940A2C6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9BB-A44B-A164-BBA33B0C0C9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Questions!$R$2:$R$29</c:f>
              <c:strCache>
                <c:ptCount val="28"/>
                <c:pt idx="0">
                  <c:v>Pct_Correct</c:v>
                </c:pt>
                <c:pt idx="1">
                  <c:v>71.4%</c:v>
                </c:pt>
                <c:pt idx="2">
                  <c:v>49.2%</c:v>
                </c:pt>
                <c:pt idx="3">
                  <c:v>57.7%</c:v>
                </c:pt>
                <c:pt idx="4">
                  <c:v>39.1%</c:v>
                </c:pt>
                <c:pt idx="5">
                  <c:v>67.7%</c:v>
                </c:pt>
                <c:pt idx="6">
                  <c:v>26.2%</c:v>
                </c:pt>
                <c:pt idx="7">
                  <c:v>59.7%</c:v>
                </c:pt>
                <c:pt idx="8">
                  <c:v>63.3%</c:v>
                </c:pt>
                <c:pt idx="9">
                  <c:v>55.6%</c:v>
                </c:pt>
                <c:pt idx="10">
                  <c:v>72.2%</c:v>
                </c:pt>
                <c:pt idx="11">
                  <c:v>67.7%</c:v>
                </c:pt>
                <c:pt idx="12">
                  <c:v>46.4%</c:v>
                </c:pt>
                <c:pt idx="13">
                  <c:v>56.5%</c:v>
                </c:pt>
                <c:pt idx="14">
                  <c:v>49.6%</c:v>
                </c:pt>
                <c:pt idx="15">
                  <c:v>39.5%</c:v>
                </c:pt>
                <c:pt idx="16">
                  <c:v>39.5%</c:v>
                </c:pt>
                <c:pt idx="17">
                  <c:v>64.9%</c:v>
                </c:pt>
                <c:pt idx="18">
                  <c:v>58.5%</c:v>
                </c:pt>
                <c:pt idx="19">
                  <c:v>59.3%</c:v>
                </c:pt>
                <c:pt idx="20">
                  <c:v>32.7%</c:v>
                </c:pt>
                <c:pt idx="21">
                  <c:v>46.0%</c:v>
                </c:pt>
                <c:pt idx="22">
                  <c:v>62.1%</c:v>
                </c:pt>
                <c:pt idx="23">
                  <c:v>59.3%</c:v>
                </c:pt>
                <c:pt idx="24">
                  <c:v>29.8%</c:v>
                </c:pt>
                <c:pt idx="25">
                  <c:v>30.2%</c:v>
                </c:pt>
                <c:pt idx="26">
                  <c:v>66.1%</c:v>
                </c:pt>
                <c:pt idx="27">
                  <c:v>38.7%</c:v>
                </c:pt>
              </c:strCache>
            </c:strRef>
          </c:xVal>
          <c:yVal>
            <c:numRef>
              <c:f>Questions!$S$2:$S$29</c:f>
              <c:numCache>
                <c:formatCode>0.00</c:formatCode>
                <c:ptCount val="28"/>
                <c:pt idx="0" formatCode="General">
                  <c:v>0</c:v>
                </c:pt>
                <c:pt idx="1">
                  <c:v>0.56496717818413722</c:v>
                </c:pt>
                <c:pt idx="2">
                  <c:v>0.44336767284812728</c:v>
                </c:pt>
                <c:pt idx="3">
                  <c:v>0.47825163730914</c:v>
                </c:pt>
                <c:pt idx="4">
                  <c:v>0.43853754155887092</c:v>
                </c:pt>
                <c:pt idx="5">
                  <c:v>0.60255209092650364</c:v>
                </c:pt>
                <c:pt idx="6">
                  <c:v>0.29412506618537282</c:v>
                </c:pt>
                <c:pt idx="7">
                  <c:v>0.5417613423141221</c:v>
                </c:pt>
                <c:pt idx="8">
                  <c:v>0.52328000231444827</c:v>
                </c:pt>
                <c:pt idx="9">
                  <c:v>0.45137199062833833</c:v>
                </c:pt>
                <c:pt idx="10">
                  <c:v>0.57852318818836468</c:v>
                </c:pt>
                <c:pt idx="11">
                  <c:v>0.61051091661852053</c:v>
                </c:pt>
                <c:pt idx="12">
                  <c:v>0.46992008416102732</c:v>
                </c:pt>
                <c:pt idx="13">
                  <c:v>0.46786950786708192</c:v>
                </c:pt>
                <c:pt idx="14">
                  <c:v>0.38532208051959316</c:v>
                </c:pt>
                <c:pt idx="15">
                  <c:v>0.45393851021872744</c:v>
                </c:pt>
                <c:pt idx="16">
                  <c:v>0.4365119751222874</c:v>
                </c:pt>
                <c:pt idx="17">
                  <c:v>0.54780059724151597</c:v>
                </c:pt>
                <c:pt idx="18">
                  <c:v>0.50285308118612371</c:v>
                </c:pt>
                <c:pt idx="19">
                  <c:v>0.5165760394037211</c:v>
                </c:pt>
                <c:pt idx="20">
                  <c:v>0.36355711047087858</c:v>
                </c:pt>
                <c:pt idx="21">
                  <c:v>0.42356566840956095</c:v>
                </c:pt>
                <c:pt idx="22">
                  <c:v>0.52441272307605657</c:v>
                </c:pt>
                <c:pt idx="23">
                  <c:v>0.50407136293787458</c:v>
                </c:pt>
                <c:pt idx="24">
                  <c:v>0.37666109090705446</c:v>
                </c:pt>
                <c:pt idx="25">
                  <c:v>0.29177831811333621</c:v>
                </c:pt>
                <c:pt idx="26">
                  <c:v>0.59751774415791148</c:v>
                </c:pt>
                <c:pt idx="27">
                  <c:v>0.33652302146985813</c:v>
                </c:pt>
              </c:numCache>
            </c:numRef>
          </c:yVal>
          <c:smooth val="0"/>
          <c:extLst>
            <c:ext xmlns:c15="http://schemas.microsoft.com/office/drawing/2012/chart" uri="{02D57815-91ED-43cb-92C2-25804820EDAC}">
              <c15:datalabelsRange>
                <c15:f>Questions!$A$2:$A$29</c15:f>
                <c15:dlblRangeCache>
                  <c:ptCount val="28"/>
                  <c:pt idx="0">
                    <c:v>#</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15:dlblRangeCache>
              </c15:datalabelsRange>
            </c:ext>
            <c:ext xmlns:c16="http://schemas.microsoft.com/office/drawing/2014/chart" uri="{C3380CC4-5D6E-409C-BE32-E72D297353CC}">
              <c16:uniqueId val="{00000000-F9BB-A44B-A164-BBA33B0C0C90}"/>
            </c:ext>
          </c:extLst>
        </c:ser>
        <c:dLbls>
          <c:showLegendKey val="0"/>
          <c:showVal val="0"/>
          <c:showCatName val="0"/>
          <c:showSerName val="0"/>
          <c:showPercent val="0"/>
          <c:showBubbleSize val="0"/>
        </c:dLbls>
        <c:axId val="2125986688"/>
        <c:axId val="2125984000"/>
      </c:scatterChart>
      <c:valAx>
        <c:axId val="2125986688"/>
        <c:scaling>
          <c:orientation val="minMax"/>
          <c:min val="0.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Correct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84000"/>
        <c:crosses val="autoZero"/>
        <c:crossBetween val="midCat"/>
      </c:valAx>
      <c:valAx>
        <c:axId val="2125984000"/>
        <c:scaling>
          <c:orientation val="minMax"/>
          <c:max val="0.65000000000000013"/>
          <c:min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Point Biserial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86688"/>
        <c:crosses val="autoZero"/>
        <c:crossBetween val="midCat"/>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Box &amp; Whisker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Box &amp; Whisker</a:t>
          </a:r>
        </a:p>
      </cx:txPr>
    </cx:title>
    <cx:plotArea>
      <cx:plotAreaRegion>
        <cx:series layoutId="boxWhisker" uniqueId="{00000000-4F72-DA4C-803D-5CC2BBEAEC02}">
          <cx:tx>
            <cx:txData>
              <cx:f>_xlchart.v1.1</cx:f>
              <cx:v>Final</cx:v>
            </cx:txData>
          </cx:tx>
          <cx:spPr>
            <a:solidFill>
              <a:schemeClr val="accent1">
                <a:lumMod val="40000"/>
                <a:lumOff val="60000"/>
              </a:schemeClr>
            </a:solidFill>
            <a:ln w="15875">
              <a:solidFill>
                <a:schemeClr val="accent1">
                  <a:lumMod val="60000"/>
                  <a:lumOff val="40000"/>
                </a:schemeClr>
              </a:solidFill>
            </a:ln>
          </cx:spPr>
          <cx:dataId val="0"/>
          <cx:layoutPr>
            <cx:visibility meanLine="0" meanMarker="1" nonoutliers="0" outliers="1"/>
            <cx:statistics quartileMethod="exclusive"/>
          </cx:layoutPr>
        </cx:series>
      </cx:plotAreaRegion>
      <cx:axis id="0">
        <cx:catScaling gapWidth="1"/>
        <cx:tickLabels/>
      </cx:axis>
      <cx:axis id="1">
        <cx:valScaling/>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38EEDD1-6D7F-204C-AF35-4AA787019CD4}">
  <sheetPr/>
  <sheetViews>
    <sheetView zoomScale="10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03295B-A0A0-4E4C-87FA-562FAB58470D}">
  <sheetPr/>
  <sheetViews>
    <sheetView zoomScale="10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284F7D7-1FE3-F840-AD3C-8EF33CB43F8F}">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78333" cy="6291204"/>
    <xdr:graphicFrame macro="">
      <xdr:nvGraphicFramePr>
        <xdr:cNvPr id="2" name="Chart 1">
          <a:extLst>
            <a:ext uri="{FF2B5EF4-FFF2-40B4-BE49-F238E27FC236}">
              <a16:creationId xmlns:a16="http://schemas.microsoft.com/office/drawing/2014/main" id="{9668F156-FC1D-F4DF-DFCE-678AF7A2BC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8333" cy="6291204"/>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747E729-E48F-3253-1D59-B73CE549570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D46544E1-7483-5D5C-E9DA-47BFEE6DA4B5}"/>
            </a:ext>
          </a:extLst>
        </cdr:cNvPr>
        <cdr:cNvSpPr>
          <a:spLocks xmlns:a="http://schemas.openxmlformats.org/drawingml/2006/main" noTextEdit="1"/>
        </cdr:cNvSpPr>
      </cdr:nvSpPr>
      <cdr:spPr>
        <a:xfrm xmlns:a="http://schemas.openxmlformats.org/drawingml/2006/main">
          <a:off x="0" y="0"/>
          <a:ext cx="8678333" cy="6291204"/>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US" sz="1100"/>
            <a:t>This chart isn't available in your version of Excel.
Editing this shape or saving this workbook into a different file format will permanently break the chart.</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678333" cy="6291204"/>
    <xdr:graphicFrame macro="">
      <xdr:nvGraphicFramePr>
        <xdr:cNvPr id="2" name="Chart 1">
          <a:extLst>
            <a:ext uri="{FF2B5EF4-FFF2-40B4-BE49-F238E27FC236}">
              <a16:creationId xmlns:a16="http://schemas.microsoft.com/office/drawing/2014/main" id="{18BEDC1E-60D0-F422-0496-805B52F5FC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ycdoe-my.sharepoint.com/personal/cdushin_schools_nyc_gov/Documents/Documents/Regents%20Analysis/US%20June%202026%20Regents%20Data.xlsx" TargetMode="External"/><Relationship Id="rId1" Type="http://schemas.openxmlformats.org/officeDocument/2006/relationships/externalLinkPath" Target="https://nycdoe-my.sharepoint.com/personal/cdushin_schools_nyc_gov/Documents/Documents/Regents%20Analysis/US%20June%202026%20Regent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res"/>
      <sheetName val="Questions"/>
      <sheetName val="Scores Breakdown"/>
      <sheetName val="Question Breakdown"/>
      <sheetName val="Task Models"/>
      <sheetName val="Skill Standards"/>
      <sheetName val="Content Standards"/>
      <sheetName val="Score Distribution"/>
      <sheetName val="Box &amp; Whisker"/>
      <sheetName val="% Correct vs. Point Biserial"/>
      <sheetName val="Conversion Chart"/>
      <sheetName val="NYLearns SSP 9-12"/>
    </sheetNames>
    <sheetDataSet>
      <sheetData sheetId="0"/>
      <sheetData sheetId="1"/>
      <sheetData sheetId="2"/>
      <sheetData sheetId="3"/>
      <sheetData sheetId="4"/>
      <sheetData sheetId="5"/>
      <sheetData sheetId="6"/>
      <sheetData sheetId="10"/>
      <sheetData sheetId="1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e Dushin" refreshedDate="46196.630357291666" createdVersion="8" refreshedVersion="8" minRefreshableVersion="3" recordCount="37" xr:uid="{32F53264-DB35-414E-8879-0DB5E155D370}">
  <cacheSource type="worksheet">
    <worksheetSource name="Questions"/>
  </cacheSource>
  <cacheFields count="19">
    <cacheField name="#" numFmtId="0">
      <sharedItems containsSemiMixedTypes="0" containsString="0" containsNumber="1" containsInteger="1" minValue="1" maxValue="37" count="37">
        <n v="1"/>
        <n v="2"/>
        <n v="3"/>
        <n v="4"/>
        <n v="5"/>
        <n v="6"/>
        <n v="7"/>
        <n v="8"/>
        <n v="9"/>
        <n v="10"/>
        <n v="11"/>
        <n v="12"/>
        <n v="13"/>
        <n v="14"/>
        <n v="15"/>
        <n v="16"/>
        <n v="17"/>
        <n v="18"/>
        <n v="19"/>
        <n v="20"/>
        <n v="21"/>
        <n v="22"/>
        <n v="23"/>
        <n v="24"/>
        <n v="25"/>
        <n v="26"/>
        <n v="27"/>
        <n v="28"/>
        <n v="29"/>
        <n v="30"/>
        <n v="31"/>
        <n v="32"/>
        <n v="33"/>
        <n v="34"/>
        <n v="35"/>
        <n v="36"/>
        <n v="37"/>
      </sharedItems>
    </cacheField>
    <cacheField name="Part" numFmtId="0">
      <sharedItems count="4">
        <s v="Part I"/>
        <s v="Part II"/>
        <s v="Part IIIA"/>
        <s v="Part IIIB"/>
      </sharedItems>
    </cacheField>
    <cacheField name="Stimulus" numFmtId="0">
      <sharedItems/>
    </cacheField>
    <cacheField name="Question" numFmtId="0">
      <sharedItems containsBlank="1"/>
    </cacheField>
    <cacheField name="Key" numFmtId="0">
      <sharedItems containsString="0" containsBlank="1" containsNumber="1" containsInteger="1" minValue="1" maxValue="4"/>
    </cacheField>
    <cacheField name="Option_1" numFmtId="0">
      <sharedItems containsBlank="1"/>
    </cacheField>
    <cacheField name="Option_2" numFmtId="0">
      <sharedItems containsBlank="1"/>
    </cacheField>
    <cacheField name="Option_3" numFmtId="0">
      <sharedItems containsBlank="1"/>
    </cacheField>
    <cacheField name="Option_4" numFmtId="0">
      <sharedItems containsBlank="1"/>
    </cacheField>
    <cacheField name="Stimulus_type" numFmtId="0">
      <sharedItems containsBlank="1" count="5">
        <s v="Text-based"/>
        <s v="Visual-based"/>
        <s v="Data-based"/>
        <s v="Multiple"/>
        <m/>
      </sharedItems>
    </cacheField>
    <cacheField name="Source_type" numFmtId="0">
      <sharedItems containsBlank="1" count="4">
        <s v="Primary"/>
        <s v="Secondary"/>
        <s v="Both"/>
        <m/>
      </sharedItems>
    </cacheField>
    <cacheField name="Task_model" numFmtId="0">
      <sharedItems containsBlank="1"/>
    </cacheField>
    <cacheField name="Skill_standard" numFmtId="0">
      <sharedItems containsBlank="1"/>
    </cacheField>
    <cacheField name="Need_OI?" numFmtId="0">
      <sharedItems containsBlank="1" count="3">
        <s v="No"/>
        <s v="Yes"/>
        <m/>
      </sharedItems>
    </cacheField>
    <cacheField name="Content_standard" numFmtId="0">
      <sharedItems containsBlank="1"/>
    </cacheField>
    <cacheField name="Unit" numFmtId="0">
      <sharedItems containsMixedTypes="1" containsNumber="1" containsInteger="1" minValue="1" maxValue="10"/>
    </cacheField>
    <cacheField name="Specification" numFmtId="0">
      <sharedItems/>
    </cacheField>
    <cacheField name="Pct_Correct" numFmtId="0">
      <sharedItems containsString="0" containsBlank="1" containsNumber="1" minValue="0.13333333333333333" maxValue="0.93333333333333335" count="12">
        <n v="0.93333333333333335"/>
        <n v="0.8666666666666667"/>
        <n v="0.66666666666666663"/>
        <n v="0.53333333333333333"/>
        <n v="0.26666666666666666"/>
        <n v="0.13333333333333333"/>
        <n v="0.4"/>
        <n v="0.8"/>
        <n v="0.73333333333333328"/>
        <n v="0.46666666666666667"/>
        <n v="0.2"/>
        <m/>
      </sharedItems>
    </cacheField>
    <cacheField name="Point_Biserial" numFmtId="0">
      <sharedItems containsString="0" containsBlank="1" containsNumber="1" minValue="-0.4060175403366218" maxValue="0.80763548557468823"/>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e Dushin" refreshedDate="46199.582626041665" createdVersion="8" refreshedVersion="8" minRefreshableVersion="3" recordCount="248" xr:uid="{169C2A1A-B8B2-3A43-9373-95B499FDC946}">
  <cacheSource type="worksheet">
    <worksheetSource name="Scores"/>
  </cacheSource>
  <cacheFields count="80">
    <cacheField name="Student" numFmtId="0">
      <sharedItems/>
    </cacheField>
    <cacheField name="First" numFmtId="0">
      <sharedItems/>
    </cacheField>
    <cacheField name="Last" numFmtId="0">
      <sharedItems/>
    </cacheField>
    <cacheField name="ID" numFmtId="0">
      <sharedItems containsSemiMixedTypes="0" containsString="0" containsNumber="1" containsInteger="1" minValue="100777163" maxValue="274215672"/>
    </cacheField>
    <cacheField name="Grade" numFmtId="0">
      <sharedItems containsSemiMixedTypes="0" containsString="0" containsNumber="1" containsInteger="1" minValue="9" maxValue="12"/>
    </cacheField>
    <cacheField name="Class" numFmtId="0">
      <sharedItems containsBlank="1"/>
    </cacheField>
    <cacheField name="ELL" numFmtId="0">
      <sharedItems/>
    </cacheField>
    <cacheField name="IEP" numFmtId="0">
      <sharedItems/>
    </cacheField>
    <cacheField name="MC" numFmtId="0">
      <sharedItems containsSemiMixedTypes="0" containsString="0" containsNumber="1" containsInteger="1" minValue="0" maxValue="27"/>
    </cacheField>
    <cacheField name="SEQ" numFmtId="0">
      <sharedItems containsSemiMixedTypes="0" containsString="0" containsNumber="1" containsInteger="1" minValue="0" maxValue="10"/>
    </cacheField>
    <cacheField name="IIIA" numFmtId="0">
      <sharedItems containsSemiMixedTypes="0" containsString="0" containsNumber="1" containsInteger="1" minValue="0" maxValue="6"/>
    </cacheField>
    <cacheField name="IIIB" numFmtId="0">
      <sharedItems containsSemiMixedTypes="0" containsString="0" containsNumber="1" minValue="0" maxValue="5"/>
    </cacheField>
    <cacheField name="Final" numFmtId="0">
      <sharedItems containsSemiMixedTypes="0" containsString="0" containsNumber="1" containsInteger="1" minValue="0" maxValue="100" count="54">
        <n v="71"/>
        <n v="61"/>
        <n v="0"/>
        <n v="40"/>
        <n v="79"/>
        <n v="67"/>
        <n v="86"/>
        <n v="77"/>
        <n v="55"/>
        <n v="68"/>
        <n v="60"/>
        <n v="48"/>
        <n v="25"/>
        <n v="72"/>
        <n v="75"/>
        <n v="33"/>
        <n v="54"/>
        <n v="57"/>
        <n v="69"/>
        <n v="70"/>
        <n v="58"/>
        <n v="47"/>
        <n v="81"/>
        <n v="84"/>
        <n v="63"/>
        <n v="64"/>
        <n v="73"/>
        <n v="74"/>
        <n v="38"/>
        <n v="65"/>
        <n v="80"/>
        <n v="82"/>
        <n v="50"/>
        <n v="78"/>
        <n v="53"/>
        <n v="66"/>
        <n v="52"/>
        <n v="85"/>
        <n v="46"/>
        <n v="76"/>
        <n v="89"/>
        <n v="83"/>
        <n v="51"/>
        <n v="36"/>
        <n v="90"/>
        <n v="42"/>
        <n v="23"/>
        <n v="31" u="1"/>
        <n v="20" u="1"/>
        <n v="44" u="1"/>
        <n v="28" u="1"/>
        <n v="94" u="1"/>
        <n v="87" u="1"/>
        <n v="100" u="1"/>
      </sharedItems>
    </cacheField>
    <cacheField name="1" numFmtId="1">
      <sharedItems containsString="0" containsBlank="1" containsNumber="1" containsInteger="1" minValue="1" maxValue="4"/>
    </cacheField>
    <cacheField name="2" numFmtId="1">
      <sharedItems containsString="0" containsBlank="1" containsNumber="1" containsInteger="1" minValue="1" maxValue="4"/>
    </cacheField>
    <cacheField name="3" numFmtId="1">
      <sharedItems containsString="0" containsBlank="1" containsNumber="1" containsInteger="1" minValue="1" maxValue="4"/>
    </cacheField>
    <cacheField name="4" numFmtId="1">
      <sharedItems containsString="0" containsBlank="1" containsNumber="1" containsInteger="1" minValue="1" maxValue="4"/>
    </cacheField>
    <cacheField name="5" numFmtId="1">
      <sharedItems containsString="0" containsBlank="1" containsNumber="1" containsInteger="1" minValue="1" maxValue="4"/>
    </cacheField>
    <cacheField name="6" numFmtId="1">
      <sharedItems containsString="0" containsBlank="1" containsNumber="1" containsInteger="1" minValue="1" maxValue="4"/>
    </cacheField>
    <cacheField name="7" numFmtId="1">
      <sharedItems containsString="0" containsBlank="1" containsNumber="1" containsInteger="1" minValue="1" maxValue="4"/>
    </cacheField>
    <cacheField name="8" numFmtId="1">
      <sharedItems containsString="0" containsBlank="1" containsNumber="1" containsInteger="1" minValue="1" maxValue="4"/>
    </cacheField>
    <cacheField name="9" numFmtId="1">
      <sharedItems containsString="0" containsBlank="1" containsNumber="1" containsInteger="1" minValue="1" maxValue="4"/>
    </cacheField>
    <cacheField name="10" numFmtId="1">
      <sharedItems containsString="0" containsBlank="1" containsNumber="1" containsInteger="1" minValue="1" maxValue="4"/>
    </cacheField>
    <cacheField name="11" numFmtId="1">
      <sharedItems containsBlank="1" containsMixedTypes="1" containsNumber="1" containsInteger="1" minValue="1" maxValue="4"/>
    </cacheField>
    <cacheField name="12" numFmtId="1">
      <sharedItems containsString="0" containsBlank="1" containsNumber="1" containsInteger="1" minValue="1" maxValue="4"/>
    </cacheField>
    <cacheField name="13" numFmtId="1">
      <sharedItems containsString="0" containsBlank="1" containsNumber="1" containsInteger="1" minValue="1" maxValue="4"/>
    </cacheField>
    <cacheField name="14" numFmtId="1">
      <sharedItems containsString="0" containsBlank="1" containsNumber="1" containsInteger="1" minValue="1" maxValue="4"/>
    </cacheField>
    <cacheField name="15" numFmtId="1">
      <sharedItems containsString="0" containsBlank="1" containsNumber="1" containsInteger="1" minValue="1" maxValue="4"/>
    </cacheField>
    <cacheField name="16" numFmtId="1">
      <sharedItems containsString="0" containsBlank="1" containsNumber="1" containsInteger="1" minValue="1" maxValue="4"/>
    </cacheField>
    <cacheField name="17" numFmtId="1">
      <sharedItems containsString="0" containsBlank="1" containsNumber="1" containsInteger="1" minValue="1" maxValue="4"/>
    </cacheField>
    <cacheField name="18" numFmtId="1">
      <sharedItems containsBlank="1" containsMixedTypes="1" containsNumber="1" containsInteger="1" minValue="1" maxValue="4"/>
    </cacheField>
    <cacheField name="19" numFmtId="1">
      <sharedItems containsString="0" containsBlank="1" containsNumber="1" containsInteger="1" minValue="1" maxValue="4"/>
    </cacheField>
    <cacheField name="20" numFmtId="1">
      <sharedItems containsString="0" containsBlank="1" containsNumber="1" containsInteger="1" minValue="1" maxValue="4"/>
    </cacheField>
    <cacheField name="21" numFmtId="1">
      <sharedItems containsString="0" containsBlank="1" containsNumber="1" containsInteger="1" minValue="1" maxValue="4"/>
    </cacheField>
    <cacheField name="22" numFmtId="1">
      <sharedItems containsString="0" containsBlank="1" containsNumber="1" containsInteger="1" minValue="1" maxValue="4"/>
    </cacheField>
    <cacheField name="23" numFmtId="1">
      <sharedItems containsBlank="1" containsMixedTypes="1" containsNumber="1" containsInteger="1" minValue="1" maxValue="4"/>
    </cacheField>
    <cacheField name="24" numFmtId="1">
      <sharedItems containsBlank="1" containsMixedTypes="1" containsNumber="1" containsInteger="1" minValue="1" maxValue="4"/>
    </cacheField>
    <cacheField name="25" numFmtId="1">
      <sharedItems containsString="0" containsBlank="1" containsNumber="1" containsInteger="1" minValue="1" maxValue="4"/>
    </cacheField>
    <cacheField name="26" numFmtId="1">
      <sharedItems containsString="0" containsBlank="1" containsNumber="1" containsInteger="1" minValue="1" maxValue="4"/>
    </cacheField>
    <cacheField name="27" numFmtId="1">
      <sharedItems containsString="0" containsBlank="1" containsNumber="1" containsInteger="1" minValue="1" maxValue="4"/>
    </cacheField>
    <cacheField name="28" numFmtId="1">
      <sharedItems containsString="0" containsBlank="1" containsNumber="1" containsInteger="1" minValue="1" maxValue="4"/>
    </cacheField>
    <cacheField name="29" numFmtId="0">
      <sharedItems containsString="0" containsBlank="1" containsNumber="1" containsInteger="1" minValue="0" maxValue="5"/>
    </cacheField>
    <cacheField name="30" numFmtId="0">
      <sharedItems containsString="0" containsBlank="1" containsNumber="1" containsInteger="1" minValue="0" maxValue="5"/>
    </cacheField>
    <cacheField name="31" numFmtId="0">
      <sharedItems containsString="0" containsBlank="1" containsNumber="1" containsInteger="1" minValue="0" maxValue="1"/>
    </cacheField>
    <cacheField name="32" numFmtId="0">
      <sharedItems containsString="0" containsBlank="1" containsNumber="1" containsInteger="1" minValue="0" maxValue="1"/>
    </cacheField>
    <cacheField name="33" numFmtId="0">
      <sharedItems containsString="0" containsBlank="1" containsNumber="1" containsInteger="1" minValue="0" maxValue="1"/>
    </cacheField>
    <cacheField name="34" numFmtId="0">
      <sharedItems containsString="0" containsBlank="1" containsNumber="1" containsInteger="1" minValue="0" maxValue="1"/>
    </cacheField>
    <cacheField name="35" numFmtId="0">
      <sharedItems containsString="0" containsBlank="1" containsNumber="1" containsInteger="1" minValue="0" maxValue="1"/>
    </cacheField>
    <cacheField name="36" numFmtId="0">
      <sharedItems containsString="0" containsBlank="1" containsNumber="1" containsInteger="1" minValue="0" maxValue="1"/>
    </cacheField>
    <cacheField name="37" numFmtId="0">
      <sharedItems containsString="0" containsBlank="1" containsNumber="1" minValue="0" maxValue="5"/>
    </cacheField>
    <cacheField name="Q1" numFmtId="0">
      <sharedItems containsSemiMixedTypes="0" containsString="0" containsNumber="1" containsInteger="1" minValue="0" maxValue="1"/>
    </cacheField>
    <cacheField name="Q2" numFmtId="0">
      <sharedItems containsSemiMixedTypes="0" containsString="0" containsNumber="1" containsInteger="1" minValue="0" maxValue="1"/>
    </cacheField>
    <cacheField name="Q3" numFmtId="0">
      <sharedItems containsSemiMixedTypes="0" containsString="0" containsNumber="1" containsInteger="1" minValue="0" maxValue="1"/>
    </cacheField>
    <cacheField name="Q4" numFmtId="0">
      <sharedItems containsSemiMixedTypes="0" containsString="0" containsNumber="1" containsInteger="1" minValue="0" maxValue="1"/>
    </cacheField>
    <cacheField name="Q5" numFmtId="0">
      <sharedItems containsSemiMixedTypes="0" containsString="0" containsNumber="1" containsInteger="1" minValue="0" maxValue="1"/>
    </cacheField>
    <cacheField name="Q6" numFmtId="0">
      <sharedItems containsSemiMixedTypes="0" containsString="0" containsNumber="1" containsInteger="1" minValue="0" maxValue="1"/>
    </cacheField>
    <cacheField name="Q7" numFmtId="0">
      <sharedItems containsSemiMixedTypes="0" containsString="0" containsNumber="1" containsInteger="1" minValue="0" maxValue="1"/>
    </cacheField>
    <cacheField name="Q8" numFmtId="0">
      <sharedItems containsSemiMixedTypes="0" containsString="0" containsNumber="1" containsInteger="1" minValue="0" maxValue="1"/>
    </cacheField>
    <cacheField name="Q9" numFmtId="0">
      <sharedItems containsSemiMixedTypes="0" containsString="0" containsNumber="1" containsInteger="1" minValue="0" maxValue="1"/>
    </cacheField>
    <cacheField name="Q10" numFmtId="0">
      <sharedItems containsSemiMixedTypes="0" containsString="0" containsNumber="1" containsInteger="1" minValue="0" maxValue="1"/>
    </cacheField>
    <cacheField name="Q11" numFmtId="0">
      <sharedItems containsSemiMixedTypes="0" containsString="0" containsNumber="1" containsInteger="1" minValue="0" maxValue="1"/>
    </cacheField>
    <cacheField name="Q12" numFmtId="0">
      <sharedItems containsSemiMixedTypes="0" containsString="0" containsNumber="1" containsInteger="1" minValue="0" maxValue="1"/>
    </cacheField>
    <cacheField name="Q13" numFmtId="0">
      <sharedItems containsSemiMixedTypes="0" containsString="0" containsNumber="1" containsInteger="1" minValue="0" maxValue="1"/>
    </cacheField>
    <cacheField name="Q14" numFmtId="0">
      <sharedItems containsSemiMixedTypes="0" containsString="0" containsNumber="1" containsInteger="1" minValue="0" maxValue="1"/>
    </cacheField>
    <cacheField name="Q15" numFmtId="0">
      <sharedItems containsSemiMixedTypes="0" containsString="0" containsNumber="1" containsInteger="1" minValue="0" maxValue="1"/>
    </cacheField>
    <cacheField name="Q16" numFmtId="0">
      <sharedItems containsSemiMixedTypes="0" containsString="0" containsNumber="1" containsInteger="1" minValue="0" maxValue="1"/>
    </cacheField>
    <cacheField name="Q17" numFmtId="0">
      <sharedItems containsSemiMixedTypes="0" containsString="0" containsNumber="1" containsInteger="1" minValue="0" maxValue="1"/>
    </cacheField>
    <cacheField name="Q18" numFmtId="0">
      <sharedItems containsSemiMixedTypes="0" containsString="0" containsNumber="1" containsInteger="1" minValue="0" maxValue="1"/>
    </cacheField>
    <cacheField name="Q19" numFmtId="0">
      <sharedItems containsSemiMixedTypes="0" containsString="0" containsNumber="1" containsInteger="1" minValue="0" maxValue="1"/>
    </cacheField>
    <cacheField name="Q20" numFmtId="0">
      <sharedItems containsSemiMixedTypes="0" containsString="0" containsNumber="1" containsInteger="1" minValue="0" maxValue="1"/>
    </cacheField>
    <cacheField name="Q21" numFmtId="0">
      <sharedItems containsSemiMixedTypes="0" containsString="0" containsNumber="1" containsInteger="1" minValue="0" maxValue="1"/>
    </cacheField>
    <cacheField name="Q22" numFmtId="0">
      <sharedItems containsSemiMixedTypes="0" containsString="0" containsNumber="1" containsInteger="1" minValue="0" maxValue="1"/>
    </cacheField>
    <cacheField name="Q23" numFmtId="0">
      <sharedItems containsSemiMixedTypes="0" containsString="0" containsNumber="1" containsInteger="1" minValue="0" maxValue="1"/>
    </cacheField>
    <cacheField name="Q24" numFmtId="0">
      <sharedItems containsSemiMixedTypes="0" containsString="0" containsNumber="1" containsInteger="1" minValue="0" maxValue="1"/>
    </cacheField>
    <cacheField name="Q25" numFmtId="0">
      <sharedItems containsSemiMixedTypes="0" containsString="0" containsNumber="1" containsInteger="1" minValue="0" maxValue="1"/>
    </cacheField>
    <cacheField name="Q26" numFmtId="0">
      <sharedItems containsSemiMixedTypes="0" containsString="0" containsNumber="1" containsInteger="1" minValue="0" maxValue="1"/>
    </cacheField>
    <cacheField name="Q27" numFmtId="0">
      <sharedItems containsSemiMixedTypes="0" containsString="0" containsNumber="1" containsInteger="1" minValue="0" maxValue="1"/>
    </cacheField>
    <cacheField name="Q28" numFmtId="0">
      <sharedItems containsSemiMixedTypes="0" containsString="0" containsNumber="1" containsInteger="1" minValue="0" maxValue="1"/>
    </cacheField>
    <cacheField name="Passed?" numFmtId="0">
      <sharedItems containsSemiMixedTypes="0" containsString="0" containsNumber="1" containsInteger="1" minValue="0" maxValue="1"/>
    </cacheField>
    <cacheField name="Passed*" numFmtId="0">
      <sharedItems containsSemiMixedTypes="0" containsString="0" containsNumber="1" containsInteger="1" minValue="0" maxValue="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e Dushin" refreshedDate="46203.706599537036" createdVersion="8" refreshedVersion="8" minRefreshableVersion="3" recordCount="248" xr:uid="{371FB354-600E-E440-93EE-1F75EC115CE1}">
  <cacheSource type="worksheet">
    <worksheetSource name="Scores[[Grade]:[Passed*]]"/>
  </cacheSource>
  <cacheFields count="76">
    <cacheField name="Grade" numFmtId="0">
      <sharedItems containsSemiMixedTypes="0" containsString="0" containsNumber="1" containsInteger="1" minValue="9" maxValue="12" count="4">
        <n v="11"/>
        <n v="9"/>
        <n v="12"/>
        <n v="10"/>
      </sharedItems>
    </cacheField>
    <cacheField name="Class" numFmtId="0">
      <sharedItems containsBlank="1" count="6">
        <s v="Dushin"/>
        <s v="Kovelsky"/>
        <s v="Antaky"/>
        <s v="Bermejo"/>
        <s v="Other"/>
        <m u="1"/>
      </sharedItems>
    </cacheField>
    <cacheField name="ELL" numFmtId="0">
      <sharedItems count="2">
        <b v="0"/>
        <b v="1"/>
      </sharedItems>
    </cacheField>
    <cacheField name="IEP" numFmtId="0">
      <sharedItems count="2">
        <b v="0"/>
        <b v="1"/>
      </sharedItems>
    </cacheField>
    <cacheField name="MC" numFmtId="0">
      <sharedItems containsSemiMixedTypes="0" containsString="0" containsNumber="1" containsInteger="1" minValue="0" maxValue="27" count="23">
        <n v="21"/>
        <n v="13"/>
        <n v="0"/>
        <n v="8"/>
        <n v="15"/>
        <n v="25"/>
        <n v="22"/>
        <n v="10"/>
        <n v="11"/>
        <n v="26"/>
        <n v="6"/>
        <n v="20"/>
        <n v="7"/>
        <n v="18"/>
        <n v="16"/>
        <n v="12"/>
        <n v="23"/>
        <n v="9"/>
        <n v="24"/>
        <n v="19"/>
        <n v="17"/>
        <n v="14"/>
        <n v="27"/>
      </sharedItems>
    </cacheField>
    <cacheField name="SEQ" numFmtId="0">
      <sharedItems containsSemiMixedTypes="0" containsString="0" containsNumber="1" containsInteger="1" minValue="0" maxValue="10"/>
    </cacheField>
    <cacheField name="IIIA" numFmtId="0">
      <sharedItems containsSemiMixedTypes="0" containsString="0" containsNumber="1" containsInteger="1" minValue="0" maxValue="6"/>
    </cacheField>
    <cacheField name="IIIB" numFmtId="0">
      <sharedItems containsSemiMixedTypes="0" containsString="0" containsNumber="1" minValue="0" maxValue="5"/>
    </cacheField>
    <cacheField name="Final" numFmtId="0">
      <sharedItems containsSemiMixedTypes="0" containsString="0" containsNumber="1" containsInteger="1" minValue="0" maxValue="90" count="47">
        <n v="71"/>
        <n v="61"/>
        <n v="0"/>
        <n v="40"/>
        <n v="79"/>
        <n v="67"/>
        <n v="86"/>
        <n v="77"/>
        <n v="55"/>
        <n v="68"/>
        <n v="60"/>
        <n v="48"/>
        <n v="25"/>
        <n v="72"/>
        <n v="75"/>
        <n v="33"/>
        <n v="54"/>
        <n v="57"/>
        <n v="69"/>
        <n v="70"/>
        <n v="58"/>
        <n v="47"/>
        <n v="81"/>
        <n v="84"/>
        <n v="63"/>
        <n v="64"/>
        <n v="73"/>
        <n v="74"/>
        <n v="38"/>
        <n v="65"/>
        <n v="80"/>
        <n v="82"/>
        <n v="50"/>
        <n v="78"/>
        <n v="53"/>
        <n v="66"/>
        <n v="52"/>
        <n v="85"/>
        <n v="46"/>
        <n v="76"/>
        <n v="89"/>
        <n v="83"/>
        <n v="51"/>
        <n v="36"/>
        <n v="90"/>
        <n v="42"/>
        <n v="23"/>
      </sharedItems>
    </cacheField>
    <cacheField name="1" numFmtId="1">
      <sharedItems containsString="0" containsBlank="1" containsNumber="1" containsInteger="1" minValue="1" maxValue="4"/>
    </cacheField>
    <cacheField name="2" numFmtId="1">
      <sharedItems containsString="0" containsBlank="1" containsNumber="1" containsInteger="1" minValue="1" maxValue="4"/>
    </cacheField>
    <cacheField name="3" numFmtId="1">
      <sharedItems containsString="0" containsBlank="1" containsNumber="1" containsInteger="1" minValue="1" maxValue="4"/>
    </cacheField>
    <cacheField name="4" numFmtId="1">
      <sharedItems containsString="0" containsBlank="1" containsNumber="1" containsInteger="1" minValue="1" maxValue="4"/>
    </cacheField>
    <cacheField name="5" numFmtId="1">
      <sharedItems containsString="0" containsBlank="1" containsNumber="1" containsInteger="1" minValue="1" maxValue="4"/>
    </cacheField>
    <cacheField name="6" numFmtId="1">
      <sharedItems containsString="0" containsBlank="1" containsNumber="1" containsInteger="1" minValue="1" maxValue="4"/>
    </cacheField>
    <cacheField name="7" numFmtId="1">
      <sharedItems containsString="0" containsBlank="1" containsNumber="1" containsInteger="1" minValue="1" maxValue="4"/>
    </cacheField>
    <cacheField name="8" numFmtId="1">
      <sharedItems containsString="0" containsBlank="1" containsNumber="1" containsInteger="1" minValue="1" maxValue="4"/>
    </cacheField>
    <cacheField name="9" numFmtId="1">
      <sharedItems containsString="0" containsBlank="1" containsNumber="1" containsInteger="1" minValue="1" maxValue="4"/>
    </cacheField>
    <cacheField name="10" numFmtId="1">
      <sharedItems containsString="0" containsBlank="1" containsNumber="1" containsInteger="1" minValue="1" maxValue="4"/>
    </cacheField>
    <cacheField name="11" numFmtId="1">
      <sharedItems containsBlank="1" containsMixedTypes="1" containsNumber="1" containsInteger="1" minValue="1" maxValue="4"/>
    </cacheField>
    <cacheField name="12" numFmtId="1">
      <sharedItems containsString="0" containsBlank="1" containsNumber="1" containsInteger="1" minValue="1" maxValue="4"/>
    </cacheField>
    <cacheField name="13" numFmtId="1">
      <sharedItems containsString="0" containsBlank="1" containsNumber="1" containsInteger="1" minValue="1" maxValue="4"/>
    </cacheField>
    <cacheField name="14" numFmtId="1">
      <sharedItems containsString="0" containsBlank="1" containsNumber="1" containsInteger="1" minValue="1" maxValue="4"/>
    </cacheField>
    <cacheField name="15" numFmtId="1">
      <sharedItems containsString="0" containsBlank="1" containsNumber="1" containsInteger="1" minValue="1" maxValue="4"/>
    </cacheField>
    <cacheField name="16" numFmtId="1">
      <sharedItems containsString="0" containsBlank="1" containsNumber="1" containsInteger="1" minValue="1" maxValue="4"/>
    </cacheField>
    <cacheField name="17" numFmtId="1">
      <sharedItems containsString="0" containsBlank="1" containsNumber="1" containsInteger="1" minValue="1" maxValue="4"/>
    </cacheField>
    <cacheField name="18" numFmtId="1">
      <sharedItems containsBlank="1" containsMixedTypes="1" containsNumber="1" containsInteger="1" minValue="1" maxValue="4"/>
    </cacheField>
    <cacheField name="19" numFmtId="1">
      <sharedItems containsString="0" containsBlank="1" containsNumber="1" containsInteger="1" minValue="1" maxValue="4"/>
    </cacheField>
    <cacheField name="20" numFmtId="1">
      <sharedItems containsString="0" containsBlank="1" containsNumber="1" containsInteger="1" minValue="1" maxValue="4"/>
    </cacheField>
    <cacheField name="21" numFmtId="1">
      <sharedItems containsString="0" containsBlank="1" containsNumber="1" containsInteger="1" minValue="1" maxValue="4"/>
    </cacheField>
    <cacheField name="22" numFmtId="1">
      <sharedItems containsString="0" containsBlank="1" containsNumber="1" containsInteger="1" minValue="1" maxValue="4"/>
    </cacheField>
    <cacheField name="23" numFmtId="1">
      <sharedItems containsBlank="1" containsMixedTypes="1" containsNumber="1" containsInteger="1" minValue="1" maxValue="4"/>
    </cacheField>
    <cacheField name="24" numFmtId="1">
      <sharedItems containsBlank="1" containsMixedTypes="1" containsNumber="1" containsInteger="1" minValue="1" maxValue="4"/>
    </cacheField>
    <cacheField name="25" numFmtId="1">
      <sharedItems containsString="0" containsBlank="1" containsNumber="1" containsInteger="1" minValue="1" maxValue="4"/>
    </cacheField>
    <cacheField name="26" numFmtId="1">
      <sharedItems containsString="0" containsBlank="1" containsNumber="1" containsInteger="1" minValue="1" maxValue="4"/>
    </cacheField>
    <cacheField name="27" numFmtId="1">
      <sharedItems containsString="0" containsBlank="1" containsNumber="1" containsInteger="1" minValue="1" maxValue="4"/>
    </cacheField>
    <cacheField name="28" numFmtId="1">
      <sharedItems containsString="0" containsBlank="1" containsNumber="1" containsInteger="1" minValue="1" maxValue="4"/>
    </cacheField>
    <cacheField name="29" numFmtId="0">
      <sharedItems containsString="0" containsBlank="1" containsNumber="1" containsInteger="1" minValue="0" maxValue="5"/>
    </cacheField>
    <cacheField name="30" numFmtId="0">
      <sharedItems containsString="0" containsBlank="1" containsNumber="1" containsInteger="1" minValue="0" maxValue="5"/>
    </cacheField>
    <cacheField name="31" numFmtId="0">
      <sharedItems containsString="0" containsBlank="1" containsNumber="1" containsInteger="1" minValue="0" maxValue="1"/>
    </cacheField>
    <cacheField name="32" numFmtId="0">
      <sharedItems containsString="0" containsBlank="1" containsNumber="1" containsInteger="1" minValue="0" maxValue="1"/>
    </cacheField>
    <cacheField name="33" numFmtId="0">
      <sharedItems containsString="0" containsBlank="1" containsNumber="1" containsInteger="1" minValue="0" maxValue="1"/>
    </cacheField>
    <cacheField name="34" numFmtId="0">
      <sharedItems containsString="0" containsBlank="1" containsNumber="1" containsInteger="1" minValue="0" maxValue="1"/>
    </cacheField>
    <cacheField name="35" numFmtId="0">
      <sharedItems containsString="0" containsBlank="1" containsNumber="1" containsInteger="1" minValue="0" maxValue="1"/>
    </cacheField>
    <cacheField name="36" numFmtId="0">
      <sharedItems containsString="0" containsBlank="1" containsNumber="1" containsInteger="1" minValue="0" maxValue="1"/>
    </cacheField>
    <cacheField name="37" numFmtId="0">
      <sharedItems containsString="0" containsBlank="1" containsNumber="1" minValue="0" maxValue="5"/>
    </cacheField>
    <cacheField name="Q1" numFmtId="0">
      <sharedItems containsSemiMixedTypes="0" containsString="0" containsNumber="1" containsInteger="1" minValue="0" maxValue="1"/>
    </cacheField>
    <cacheField name="Q2" numFmtId="0">
      <sharedItems containsSemiMixedTypes="0" containsString="0" containsNumber="1" containsInteger="1" minValue="0" maxValue="1"/>
    </cacheField>
    <cacheField name="Q3" numFmtId="0">
      <sharedItems containsSemiMixedTypes="0" containsString="0" containsNumber="1" containsInteger="1" minValue="0" maxValue="1"/>
    </cacheField>
    <cacheField name="Q4" numFmtId="0">
      <sharedItems containsSemiMixedTypes="0" containsString="0" containsNumber="1" containsInteger="1" minValue="0" maxValue="1"/>
    </cacheField>
    <cacheField name="Q5" numFmtId="0">
      <sharedItems containsSemiMixedTypes="0" containsString="0" containsNumber="1" containsInteger="1" minValue="0" maxValue="1"/>
    </cacheField>
    <cacheField name="Q6" numFmtId="0">
      <sharedItems containsSemiMixedTypes="0" containsString="0" containsNumber="1" containsInteger="1" minValue="0" maxValue="1"/>
    </cacheField>
    <cacheField name="Q7" numFmtId="0">
      <sharedItems containsSemiMixedTypes="0" containsString="0" containsNumber="1" containsInteger="1" minValue="0" maxValue="1"/>
    </cacheField>
    <cacheField name="Q8" numFmtId="0">
      <sharedItems containsSemiMixedTypes="0" containsString="0" containsNumber="1" containsInteger="1" minValue="0" maxValue="1"/>
    </cacheField>
    <cacheField name="Q9" numFmtId="0">
      <sharedItems containsSemiMixedTypes="0" containsString="0" containsNumber="1" containsInteger="1" minValue="0" maxValue="1"/>
    </cacheField>
    <cacheField name="Q10" numFmtId="0">
      <sharedItems containsSemiMixedTypes="0" containsString="0" containsNumber="1" containsInteger="1" minValue="0" maxValue="1"/>
    </cacheField>
    <cacheField name="Q11" numFmtId="0">
      <sharedItems containsSemiMixedTypes="0" containsString="0" containsNumber="1" containsInteger="1" minValue="0" maxValue="1"/>
    </cacheField>
    <cacheField name="Q12" numFmtId="0">
      <sharedItems containsSemiMixedTypes="0" containsString="0" containsNumber="1" containsInteger="1" minValue="0" maxValue="1"/>
    </cacheField>
    <cacheField name="Q13" numFmtId="0">
      <sharedItems containsSemiMixedTypes="0" containsString="0" containsNumber="1" containsInteger="1" minValue="0" maxValue="1"/>
    </cacheField>
    <cacheField name="Q14" numFmtId="0">
      <sharedItems containsSemiMixedTypes="0" containsString="0" containsNumber="1" containsInteger="1" minValue="0" maxValue="1"/>
    </cacheField>
    <cacheField name="Q15" numFmtId="0">
      <sharedItems containsSemiMixedTypes="0" containsString="0" containsNumber="1" containsInteger="1" minValue="0" maxValue="1"/>
    </cacheField>
    <cacheField name="Q16" numFmtId="0">
      <sharedItems containsSemiMixedTypes="0" containsString="0" containsNumber="1" containsInteger="1" minValue="0" maxValue="1"/>
    </cacheField>
    <cacheField name="Q17" numFmtId="0">
      <sharedItems containsSemiMixedTypes="0" containsString="0" containsNumber="1" containsInteger="1" minValue="0" maxValue="1"/>
    </cacheField>
    <cacheField name="Q18" numFmtId="0">
      <sharedItems containsSemiMixedTypes="0" containsString="0" containsNumber="1" containsInteger="1" minValue="0" maxValue="1"/>
    </cacheField>
    <cacheField name="Q19" numFmtId="0">
      <sharedItems containsSemiMixedTypes="0" containsString="0" containsNumber="1" containsInteger="1" minValue="0" maxValue="1"/>
    </cacheField>
    <cacheField name="Q20" numFmtId="0">
      <sharedItems containsSemiMixedTypes="0" containsString="0" containsNumber="1" containsInteger="1" minValue="0" maxValue="1"/>
    </cacheField>
    <cacheField name="Q21" numFmtId="0">
      <sharedItems containsSemiMixedTypes="0" containsString="0" containsNumber="1" containsInteger="1" minValue="0" maxValue="1"/>
    </cacheField>
    <cacheField name="Q22" numFmtId="0">
      <sharedItems containsSemiMixedTypes="0" containsString="0" containsNumber="1" containsInteger="1" minValue="0" maxValue="1"/>
    </cacheField>
    <cacheField name="Q23" numFmtId="0">
      <sharedItems containsSemiMixedTypes="0" containsString="0" containsNumber="1" containsInteger="1" minValue="0" maxValue="1"/>
    </cacheField>
    <cacheField name="Q24" numFmtId="0">
      <sharedItems containsSemiMixedTypes="0" containsString="0" containsNumber="1" containsInteger="1" minValue="0" maxValue="1"/>
    </cacheField>
    <cacheField name="Q25" numFmtId="0">
      <sharedItems containsSemiMixedTypes="0" containsString="0" containsNumber="1" containsInteger="1" minValue="0" maxValue="1"/>
    </cacheField>
    <cacheField name="Q26" numFmtId="0">
      <sharedItems containsSemiMixedTypes="0" containsString="0" containsNumber="1" containsInteger="1" minValue="0" maxValue="1"/>
    </cacheField>
    <cacheField name="Q27" numFmtId="0">
      <sharedItems containsSemiMixedTypes="0" containsString="0" containsNumber="1" containsInteger="1" minValue="0" maxValue="1"/>
    </cacheField>
    <cacheField name="Q28" numFmtId="0">
      <sharedItems containsSemiMixedTypes="0" containsString="0" containsNumber="1" containsInteger="1" minValue="0" maxValue="1"/>
    </cacheField>
    <cacheField name="Passed?" numFmtId="0">
      <sharedItems containsSemiMixedTypes="0" containsString="0" containsNumber="1" containsInteger="1" minValue="0" maxValue="1"/>
    </cacheField>
    <cacheField name="Pass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s v="The Lancaster Treaty of 1744"/>
    <s v="Which conclusion can best be drawn from this excerpt?"/>
    <n v="4"/>
    <s v="Europeans understood and respected Native American cultural traditions."/>
    <s v="Religious freedom was guaranteed in Pennsylvania."/>
    <s v="Native Americans had great respect for the king of England."/>
    <s v="Treaty making was a way to discuss differences between Native Americans and colonists."/>
    <x v="0"/>
    <x v="0"/>
    <s v="1. Best Use"/>
    <s v="A.5: Inferences &amp; Conclusions"/>
    <x v="0"/>
    <s v="11.01a.1"/>
    <n v="1"/>
    <s v="European Colonizing Nations"/>
    <x v="0"/>
    <n v="0.36087399232934925"/>
  </r>
  <r>
    <x v="1"/>
    <x v="0"/>
    <s v="The Lancaster Treaty of 1744"/>
    <s v="What was a result of the concerns expressed in this excerpt?"/>
    <n v="2"/>
    <s v="Native Americans were allowed to maintain control of their ancestral lands."/>
    <s v="American expansion continued to push Native Americans west."/>
    <s v="Native Americans remained neutral during the American Revolution."/>
    <s v="Cooperation with colonists led to significant Native American population growth."/>
    <x v="0"/>
    <x v="0"/>
    <s v="8. Effect"/>
    <s v="B.2: Cause &amp; Effect"/>
    <x v="1"/>
    <s v="11.01a.2"/>
    <n v="1"/>
    <s v="Colonization Impact on Native Americans"/>
    <x v="0"/>
    <n v="0.22975608543078394"/>
  </r>
  <r>
    <x v="2"/>
    <x v="0"/>
    <s v="Virginia Declaration of Rights"/>
    <s v="This excerpt is an example of which historical development in United States history?"/>
    <n v="3"/>
    <s v="the growth of colonial support for the British Parliament"/>
    <s v="support for the inclusion of women in colonial public life"/>
    <s v="the evolution of colonial self-government"/>
    <s v="emphasis on the election of educated men to colonial offices"/>
    <x v="0"/>
    <x v="0"/>
    <s v="5. Turning Point"/>
    <s v="B.5: Continuity &amp; Change"/>
    <x v="1"/>
    <s v="11.01c.2"/>
    <n v="1"/>
    <s v="Colonial Democracy &amp; Key Documents"/>
    <x v="1"/>
    <n v="0.18362277926630866"/>
  </r>
  <r>
    <x v="3"/>
    <x v="0"/>
    <s v="Virginia Declaration of Rights"/>
    <s v="Which principle of the Declaration of Independence is reflected in this excerpt?"/>
    <n v="3"/>
    <s v="separation of powers"/>
    <s v="federalism"/>
    <s v="consent of the governed"/>
    <s v="universal suffrage"/>
    <x v="0"/>
    <x v="0"/>
    <s v="12. Informed Civic Action"/>
    <s v="F.3: Philosophies of Participation"/>
    <x v="1"/>
    <s v="11.02b.1"/>
    <n v="2"/>
    <s v="Declaration of Independence"/>
    <x v="2"/>
    <n v="0.71672772385124484"/>
  </r>
  <r>
    <x v="4"/>
    <x v="0"/>
    <s v="Passage on the Missouri Compromise"/>
    <s v="Based on this passage, what was former President Thomas Jefferson's point of view concerning the congressional debate over Missouri's admission to the Union?"/>
    <n v="1"/>
    <s v="He feared that disagreement over slavery would threaten the Union."/>
    <s v="He believed that Missouri should be admitted as a free state."/>
    <s v="He thought an amendment should be passed to protect slavery."/>
    <s v="He supported the right of states to secede from the Union."/>
    <x v="0"/>
    <x v="1"/>
    <s v="2. POV"/>
    <s v="A.3: Sourcing &amp; Point of View"/>
    <x v="0"/>
    <s v="11.03b.4"/>
    <n v="3"/>
    <s v="Expansion of Slavery"/>
    <x v="0"/>
    <n v="-0.4060175403366218"/>
  </r>
  <r>
    <x v="5"/>
    <x v="0"/>
    <s v="Passage on the Missouri Compromise"/>
    <s v="What was an important effect of the compromise reached by Congress in 1820?"/>
    <n v="4"/>
    <s v="Foreign debts became the greatest challenge to national unity."/>
    <s v="Sectional tensions were no longer a threat to the nation."/>
    <s v="Slavery ended west of the Mississippi River."/>
    <s v="It preserved the Union for more than 30 years."/>
    <x v="0"/>
    <x v="1"/>
    <s v="8. Effect"/>
    <s v="B.2: Cause &amp; Effect"/>
    <x v="1"/>
    <s v="11.03b.4"/>
    <n v="3"/>
    <s v="Expansion of Slavery"/>
    <x v="3"/>
    <n v="0.65684660217680113"/>
  </r>
  <r>
    <x v="6"/>
    <x v="0"/>
    <s v="President Abraham Lincoln, First Inaugural Address"/>
    <s v="What was the primary purpose of President Abraham Lincoln adding this paragraph to his first inaugural address?"/>
    <n v="3"/>
    <s v="to introduce industry to the rural South"/>
    <s v="to gain passage of the 13th, 14th, and 15th Amendments"/>
    <s v="to reassure the South and avoid civil war"/>
    <s v="to overturn the Dred Scott decision"/>
    <x v="0"/>
    <x v="0"/>
    <s v="2. POV"/>
    <s v="A.3: Sourcing &amp; Point of View"/>
    <x v="0"/>
    <s v="11.03c.1"/>
    <n v="3"/>
    <s v="Union vs. Confederacy"/>
    <x v="0"/>
    <n v="-2.8425613694305112E-2"/>
  </r>
  <r>
    <x v="7"/>
    <x v="0"/>
    <s v="President Abraham Lincoln, First Inaugural Address"/>
    <s v="Several years after this address, President Lincoln expressed a different view of slavery when he"/>
    <n v="2"/>
    <s v="stated support for John Brown's raid at Harper's Ferry"/>
    <s v="issued the Emancipation Proclamation"/>
    <s v="enforced the Kansas-Nebraska Act"/>
    <s v="suspended habeas corpus in the states in rebellion"/>
    <x v="0"/>
    <x v="0"/>
    <s v="16. Sequence of Events"/>
    <s v="B.1: Chronological Relationships"/>
    <x v="1"/>
    <s v="11.03c.2"/>
    <n v="3"/>
    <s v="Federal Power: Habeas Corpus &amp; Emancipation"/>
    <x v="2"/>
    <n v="0.59167109325955269"/>
  </r>
  <r>
    <x v="8"/>
    <x v="0"/>
    <s v="Frederick Law Olmsted, Address to the American Social Science Association"/>
    <s v="What change in the late-19th-century United States is described in this passage?"/>
    <n v="2"/>
    <s v="the growth in private home ownership"/>
    <s v="an increase in urbanization"/>
    <s v="a decrease in employment for factory workers"/>
    <s v="a reduction in agricultural technology"/>
    <x v="0"/>
    <x v="0"/>
    <s v="5. Turning Point"/>
    <s v="B.5: Continuity &amp; Change"/>
    <x v="1"/>
    <s v="11.05b.1"/>
    <n v="5"/>
    <s v="Urbanization &amp; Immigration"/>
    <x v="1"/>
    <n v="0.60910679275877744"/>
  </r>
  <r>
    <x v="9"/>
    <x v="0"/>
    <s v="Frederick Law Olmsted, Address to the American Social Science Association"/>
    <s v="The situation described in this passage resulted in"/>
    <n v="1"/>
    <s v="increased demands on local governments to provide services"/>
    <s v="women's groups seeking the right to vote"/>
    <s v="pressure to limit freedom of the press"/>
    <s v="attempts by temperance groups to ban the sale of alcohol"/>
    <x v="0"/>
    <x v="0"/>
    <s v="8. Effect"/>
    <s v="B.2: Cause &amp; Effect"/>
    <x v="1"/>
    <s v="11.05b.1"/>
    <n v="5"/>
    <s v="Urbanization &amp; Immigration"/>
    <x v="4"/>
    <n v="0.73688603803970343"/>
  </r>
  <r>
    <x v="10"/>
    <x v="0"/>
    <s v="Photograph of segregated facilities"/>
    <s v="Conditions such as the one shown in this photograph were a result of"/>
    <n v="2"/>
    <s v="actions of the Freedmen's Bureau"/>
    <s v="the passage of Jim Crow laws"/>
    <s v="citizenship guarantees in the Dawes Act"/>
    <s v="the enactment of affirmative action programs"/>
    <x v="1"/>
    <x v="0"/>
    <s v="7. Cause"/>
    <s v="B.2: Cause &amp; Effect"/>
    <x v="1"/>
    <s v="11.04a.2"/>
    <n v="4"/>
    <s v="Limiting of Black Rights"/>
    <x v="0"/>
    <n v="9.9999999999999992E-2"/>
  </r>
  <r>
    <x v="11"/>
    <x v="0"/>
    <s v="Photograph of segregated facilities"/>
    <s v="Which United States Supreme Court decision provided legal support for the situation shown in this photograph?"/>
    <n v="4"/>
    <s v="Gibbons v. Ogden"/>
    <s v="Worcester v. Georgia"/>
    <s v="Dred Scott v. Sanford"/>
    <s v="Plessy v. Ferguson"/>
    <x v="1"/>
    <x v="0"/>
    <s v="7. Cause"/>
    <s v="B.2: Cause &amp; Effect"/>
    <x v="1"/>
    <s v="11.04a.2"/>
    <n v="4"/>
    <s v="Limiting of Black Rights"/>
    <x v="5"/>
    <n v="0.57343569289334995"/>
  </r>
  <r>
    <x v="12"/>
    <x v="0"/>
    <s v="Panama Canal political cartoon"/>
    <s v="Which statement best describes this cartoonist's point of view?"/>
    <n v="2"/>
    <s v="Imperialism only benefits nations outside the United States."/>
    <s v="Building the Panama Canal would improve the American economy."/>
    <s v="Most Latin American nations could now send their navies through the canal."/>
    <s v="The canal would end conflicts in the Caribbean and Latin America."/>
    <x v="1"/>
    <x v="0"/>
    <s v="2. POV"/>
    <s v="A.3: Sourcing &amp; Point of View"/>
    <x v="0"/>
    <s v="11.06a.4"/>
    <n v="6"/>
    <s v="Imperialism in the Caribbean &amp; Latin America"/>
    <x v="0"/>
    <n v="0.18635431386890552"/>
  </r>
  <r>
    <x v="13"/>
    <x v="0"/>
    <s v="Panama Canal political cartoon"/>
    <s v="Which group was most opposed to the event illustrated in this cartoon?"/>
    <n v="4"/>
    <s v="progressive reformers"/>
    <s v="industrialists"/>
    <s v="labor unions"/>
    <s v="anti-imperialists"/>
    <x v="1"/>
    <x v="0"/>
    <s v="14. Stakeholder Issue"/>
    <s v="C.2: Multiple Perspectives"/>
    <x v="1"/>
    <s v="11.06a.3"/>
    <n v="6"/>
    <s v="(Anti) Imperialism &amp; the Philippines"/>
    <x v="6"/>
    <n v="0.80763548557468823"/>
  </r>
  <r>
    <x v="14"/>
    <x v="0"/>
    <s v="Photograph from Prohibition"/>
    <s v="Which action led to the situation shown in this photograph?"/>
    <n v="3"/>
    <s v="passage of the Sherman Antitrust Act"/>
    <s v="implementation of a job training program"/>
    <s v="ratification of the 18th Amendment"/>
    <s v="establishment of the Tenement Reform Commission"/>
    <x v="1"/>
    <x v="0"/>
    <s v="7. Cause"/>
    <s v="B.2: Cause &amp; Effect"/>
    <x v="1"/>
    <s v="11.05b.6"/>
    <n v="5"/>
    <s v="Temperance &amp; Prohibition"/>
    <x v="7"/>
    <n v="0.65016055329379085"/>
  </r>
  <r>
    <x v="15"/>
    <x v="0"/>
    <s v="Photograph from Prohibition"/>
    <s v="Why did public support for activities such as those shown in this photograph decrease?"/>
    <n v="1"/>
    <s v="Personal behavior was difficult to regulate."/>
    <s v="The federal budget could not be balanced."/>
    <s v="Public travel was inconvenienced."/>
    <s v="Concerns were raised by environmentalists."/>
    <x v="1"/>
    <x v="0"/>
    <s v="6. Change Over Time"/>
    <s v="B.5: Continuity &amp; Change"/>
    <x v="1"/>
    <s v="11.07a.2"/>
    <n v="7"/>
    <s v="Prohibition"/>
    <x v="0"/>
    <n v="0.44905847823074013"/>
  </r>
  <r>
    <x v="16"/>
    <x v="0"/>
    <s v="Photograph of Hooverville"/>
    <s v="What was the main reason for the emergence of &quot;Hoovervilles&quot; such as the one shown in this photograph?"/>
    <n v="1"/>
    <s v="Millions of Americans were unemployed during the Great Depression."/>
    <s v="Highway construction destroyed urban neighborhoods."/>
    <s v="Housing construction could not keep up with the demand for suburban homes."/>
    <s v="United States entry into World War II created shortages in building materials."/>
    <x v="1"/>
    <x v="0"/>
    <s v="7. Cause"/>
    <s v="B.2: Cause &amp; Effect"/>
    <x v="1"/>
    <s v="11.07c.2"/>
    <n v="7"/>
    <s v="The Great Depression"/>
    <x v="4"/>
    <n v="0.68348224819328851"/>
  </r>
  <r>
    <x v="17"/>
    <x v="0"/>
    <s v="Photograph of Hooverville"/>
    <s v="President Franklin D. Roosevelt's New Deal attempted to address the problem shown in this photograph by"/>
    <n v="4"/>
    <s v="referring the problem to the Supreme Court"/>
    <s v="using local police to evict &quot;Hooverville&quot; residents"/>
    <s v="delivering food, water, and medical supplies to residents"/>
    <s v="providing jobs and low-interest home mortgages"/>
    <x v="1"/>
    <x v="0"/>
    <s v="18. Response to Problem"/>
    <s v="F.6: Identifying Need for Action"/>
    <x v="1"/>
    <s v="11.07c.5"/>
    <n v="7"/>
    <s v="New Deal"/>
    <x v="8"/>
    <n v="0.74046102854720741"/>
  </r>
  <r>
    <x v="18"/>
    <x v="0"/>
    <s v="Neutrality Act, 1935"/>
    <s v="Congress passed this resolution in order to"/>
    <n v="3"/>
    <s v="support United States involvement in the League of Nations"/>
    <s v="support industrial development in the United States"/>
    <s v="prevent involvement in foreign conflicts"/>
    <s v="prevent the German invasion of Poland"/>
    <x v="0"/>
    <x v="0"/>
    <s v="14. Stakeholder Issue"/>
    <s v="C.2: Multiple Perspectives"/>
    <x v="0"/>
    <s v="11.08a.1"/>
    <n v="8"/>
    <s v="Neutrality Acts"/>
    <x v="7"/>
    <n v="0.50656615076239497"/>
  </r>
  <r>
    <x v="19"/>
    <x v="0"/>
    <s v="Neutrality Act, 1935"/>
    <s v="Which later congressional legislative action reflected a change from this resolution?"/>
    <n v="4"/>
    <s v="Wagner Act"/>
    <s v="Social Security Act"/>
    <s v="Fair Labor Standards Act"/>
    <s v="Lend-Lease Act"/>
    <x v="0"/>
    <x v="0"/>
    <s v="6. Change Over Time"/>
    <s v="B.5: Continuity &amp; Change"/>
    <x v="1"/>
    <s v="11.08a.1"/>
    <n v="8"/>
    <s v="Neutrality Acts"/>
    <x v="5"/>
    <n v="0.57343569289334995"/>
  </r>
  <r>
    <x v="20"/>
    <x v="0"/>
    <s v="Photographs from Japanese Internment"/>
    <s v="Which event led to the situation shown in these photographs?"/>
    <n v="2"/>
    <s v="The Japanese surrendered to the United States."/>
    <s v="The United States was attacked at Pearl Harbor."/>
    <s v="The Supreme Court ruled in the Korematsu v. United States case."/>
    <s v="The United States dropped an atomic bomb on Hiroshima and Nagasaki."/>
    <x v="1"/>
    <x v="0"/>
    <s v="16. Sequence of Events"/>
    <s v="B.1: Chronological Relationships"/>
    <x v="1"/>
    <s v="11.08b.2"/>
    <n v="8"/>
    <s v="Japanese Internment"/>
    <x v="2"/>
    <n v="0.69152236712233495"/>
  </r>
  <r>
    <x v="21"/>
    <x v="0"/>
    <s v="Photographs from Japanese Internment"/>
    <s v="Which action taken by the United States government during World War II is illustrated by these photographs?"/>
    <n v="2"/>
    <s v="racial segregation of the military"/>
    <s v="internment of Japanese Americans"/>
    <s v="hiring more women to work in the defense industry"/>
    <s v="deporting citizens who opposed the draft"/>
    <x v="1"/>
    <x v="0"/>
    <s v="7. Cause"/>
    <s v="B.2: Cause &amp; Effect"/>
    <x v="1"/>
    <s v="11.08b.2"/>
    <n v="8"/>
    <s v="Japanese Internment"/>
    <x v="2"/>
    <n v="0.76743537526929528"/>
  </r>
  <r>
    <x v="22"/>
    <x v="0"/>
    <s v="President Harry Truman, Special Message to Congress"/>
    <s v="What was President Harry Truman seeking support for in this speech?"/>
    <n v="3"/>
    <s v="atomic weapons to bring an end to World War II"/>
    <s v="Nuremberg trials to prosecute war criminals"/>
    <s v="economic assistance through the Marshall Plan"/>
    <s v="desegregation of the armed forces"/>
    <x v="0"/>
    <x v="0"/>
    <s v="2. POV"/>
    <s v="A.3: Sourcing &amp; Point of View"/>
    <x v="1"/>
    <s v="11.09a.2"/>
    <n v="9"/>
    <s v="Containment Policies"/>
    <x v="9"/>
    <n v="0.71101650128959981"/>
  </r>
  <r>
    <x v="23"/>
    <x v="0"/>
    <s v="President Harry Truman, Special Message to Congress"/>
    <s v="President Truman gave this speech because he was committed to"/>
    <n v="3"/>
    <s v="returning to pre-World War II isolationism"/>
    <s v="preventing Axis powers from taking over Europe"/>
    <s v="containing the spread of communism"/>
    <s v="dismantling the North Atlantic Treaty Organization (NATO)"/>
    <x v="0"/>
    <x v="0"/>
    <s v="9. Impact of Setting"/>
    <s v="C.6: Historical Context"/>
    <x v="1"/>
    <s v="11.09a.2"/>
    <n v="9"/>
    <s v="Containment Policies"/>
    <x v="3"/>
    <n v="0.80130060225546118"/>
  </r>
  <r>
    <x v="24"/>
    <x v="0"/>
    <s v="Graph of women's participation in high school athletics"/>
    <s v="Which government action was directly responsible for the changes in girls' participation shown in this graph?"/>
    <n v="1"/>
    <s v="enactment of Title IX"/>
    <s v="passage of the Americans with Disabilities Act"/>
    <s v="an executive order by President Ronald Reagan"/>
    <s v="the Supreme Court ruling in Mapp v. Ohio"/>
    <x v="2"/>
    <x v="1"/>
    <s v="7. Cause"/>
    <s v="B.2: Cause &amp; Effect"/>
    <x v="1"/>
    <s v="11.10b.1"/>
    <n v="10"/>
    <s v="Individuals &amp; Groups Fight for Equality"/>
    <x v="6"/>
    <n v="0.47013123430869508"/>
  </r>
  <r>
    <x v="25"/>
    <x v="0"/>
    <s v="Graph of women's participation in high school athletics"/>
    <s v="One result of the change indicated in this graph was"/>
    <n v="4"/>
    <s v="an increase in the pay of high school athletic coaches"/>
    <s v="a decrease in the total number of students participating in high school sports"/>
    <s v="a decrease in the overall number of women earning college degrees"/>
    <s v="an increase in the number of women earning college athletic scholarships"/>
    <x v="2"/>
    <x v="1"/>
    <s v="8. Effect"/>
    <s v="B.2: Cause &amp; Effect"/>
    <x v="1"/>
    <s v="11.10b.1"/>
    <n v="10"/>
    <s v="Individuals &amp; Groups Fight for Equality"/>
    <x v="9"/>
    <n v="0.59215652546379216"/>
  </r>
  <r>
    <x v="26"/>
    <x v="0"/>
    <s v="Photograph of WPA Worker, Photograph from American Recovery and Reinvestment Act"/>
    <s v="Which factor led to the conditions shown in these photographs?"/>
    <n v="1"/>
    <s v="increased rates of unemployment"/>
    <s v="damage from severe weather outbreaks"/>
    <s v="population changes due to baby booms"/>
    <s v="the growth of multinational corporations"/>
    <x v="1"/>
    <x v="0"/>
    <s v="7. Cause"/>
    <s v="B.2: Cause &amp; Effect"/>
    <x v="1"/>
    <s v="11.07c.5"/>
    <n v="7"/>
    <s v="New Deal"/>
    <x v="10"/>
    <n v="0.10194447599595256"/>
  </r>
  <r>
    <x v="27"/>
    <x v="0"/>
    <s v="Photograph of WPA Worker, Photograph from American Recovery and Reinvestment Act"/>
    <s v="These photographs suggest a federal government supportive of"/>
    <n v="3"/>
    <s v="assuming ownership of failed corporations"/>
    <s v="returning to laissez-faire capitalistic principles"/>
    <s v="investing in public works and infrastructure projects"/>
    <s v="helping the owners of big businesses and not labor"/>
    <x v="1"/>
    <x v="0"/>
    <s v="18. Response to Problem"/>
    <s v="F.6: Identifying Need for Action"/>
    <x v="0"/>
    <s v="11.10c.2"/>
    <n v="10"/>
    <s v="Great Recession"/>
    <x v="10"/>
    <n v="0.461176612434197"/>
  </r>
  <r>
    <x v="28"/>
    <x v="1"/>
    <s v="Judith Heumann, Joint House-Senate Hearing on Discrimination on the Basis of Disability; President George H. W. Bush, Remarks at the Signing of the Americans with Disabilities Act"/>
    <m/>
    <m/>
    <m/>
    <m/>
    <m/>
    <m/>
    <x v="0"/>
    <x v="0"/>
    <m/>
    <m/>
    <x v="2"/>
    <s v="11.10b.1"/>
    <n v="10"/>
    <s v="Individuals &amp; Groups Fight for Equality"/>
    <x v="11"/>
    <m/>
  </r>
  <r>
    <x v="29"/>
    <x v="1"/>
    <s v="Clark M. Clifford, Chairman of the President's Intelligence Advisory Board, Letter to President Lyndon Johnson; President Lyndon B. Johnson, Press Conference"/>
    <m/>
    <m/>
    <m/>
    <m/>
    <m/>
    <m/>
    <x v="0"/>
    <x v="0"/>
    <m/>
    <m/>
    <x v="2"/>
    <s v="11.09a.5"/>
    <n v="9"/>
    <s v="Vietnam War"/>
    <x v="11"/>
    <m/>
  </r>
  <r>
    <x v="30"/>
    <x v="2"/>
    <s v="Passage on the Articles of Confederation"/>
    <s v="According to Gordon Wood, what was one historical circumstance that led to the creation of a stronger national government?"/>
    <m/>
    <m/>
    <m/>
    <m/>
    <m/>
    <x v="0"/>
    <x v="1"/>
    <m/>
    <m/>
    <x v="2"/>
    <s v="11.02c.1"/>
    <n v="2"/>
    <s v="Articles of Confederation"/>
    <x v="11"/>
    <m/>
  </r>
  <r>
    <x v="31"/>
    <x v="2"/>
    <s v="Passage on Shays' Rebellion; Engraved illustration of Shays' Rebellion"/>
    <s v="Based on these documents, what was one historical circumstance that led to the creation of a stronger national government?"/>
    <m/>
    <m/>
    <m/>
    <m/>
    <m/>
    <x v="3"/>
    <x v="2"/>
    <m/>
    <m/>
    <x v="2"/>
    <s v="11.02c.1"/>
    <n v="2"/>
    <s v="Articles of Confederation"/>
    <x v="11"/>
    <m/>
  </r>
  <r>
    <x v="32"/>
    <x v="2"/>
    <s v="Passage on Shays' Rebellion and the Constitutional Convention"/>
    <s v="Based on this document, what was one effort to address the creation of a stronger national government?"/>
    <m/>
    <m/>
    <m/>
    <m/>
    <m/>
    <x v="0"/>
    <x v="1"/>
    <m/>
    <m/>
    <x v="2"/>
    <s v="11.02c.2"/>
    <n v="2"/>
    <s v="Constitution Development &amp; Debates"/>
    <x v="11"/>
    <m/>
  </r>
  <r>
    <x v="33"/>
    <x v="2"/>
    <s v="Passage on ratification debates"/>
    <s v="According to Pauline Maier, what was one effort to address the creation of a stronger national government?"/>
    <m/>
    <m/>
    <m/>
    <m/>
    <m/>
    <x v="0"/>
    <x v="1"/>
    <m/>
    <m/>
    <x v="2"/>
    <s v="11.02c.4"/>
    <n v="2"/>
    <s v="Federalist vs. Antifederalist"/>
    <x v="11"/>
    <m/>
  </r>
  <r>
    <x v="34"/>
    <x v="2"/>
    <s v="Passage on the Bill of Rights"/>
    <s v="According to Linda Monk, what was one impact of the efforts to create a stronger national government?"/>
    <m/>
    <m/>
    <m/>
    <m/>
    <m/>
    <x v="0"/>
    <x v="1"/>
    <m/>
    <m/>
    <x v="2"/>
    <s v="11.02c.5"/>
    <n v="2"/>
    <s v="Bill of Rights"/>
    <x v="11"/>
    <m/>
  </r>
  <r>
    <x v="35"/>
    <x v="2"/>
    <s v="Barack Obama, Speech on the Constitution"/>
    <s v="According to President Barack Obama, what was one impact of the efforts to create a stronger national government?"/>
    <m/>
    <m/>
    <m/>
    <m/>
    <m/>
    <x v="0"/>
    <x v="0"/>
    <m/>
    <m/>
    <x v="2"/>
    <s v="11.02c.3"/>
    <n v="2"/>
    <s v="Federal Government Structure &amp; Principles"/>
    <x v="11"/>
    <m/>
  </r>
  <r>
    <x v="36"/>
    <x v="3"/>
    <s v="—"/>
    <s v="—"/>
    <m/>
    <m/>
    <m/>
    <m/>
    <m/>
    <x v="4"/>
    <x v="3"/>
    <m/>
    <m/>
    <x v="2"/>
    <m/>
    <s v=""/>
    <s v=""/>
    <x v="1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AGEH,CHRISTOPHER"/>
    <s v="CHRISTOPHER"/>
    <s v="AGEH"/>
    <n v="205781420"/>
    <n v="11"/>
    <s v="Dushin"/>
    <b v="0"/>
    <b v="0"/>
    <n v="21"/>
    <n v="6"/>
    <n v="4"/>
    <n v="1"/>
    <x v="0"/>
    <n v="4"/>
    <n v="2"/>
    <m/>
    <n v="3"/>
    <n v="1"/>
    <n v="4"/>
    <n v="3"/>
    <n v="1"/>
    <n v="1"/>
    <n v="1"/>
    <n v="2"/>
    <n v="4"/>
    <n v="2"/>
    <n v="4"/>
    <n v="3"/>
    <n v="1"/>
    <n v="1"/>
    <n v="4"/>
    <n v="3"/>
    <n v="4"/>
    <n v="3"/>
    <n v="4"/>
    <n v="3"/>
    <n v="1"/>
    <n v="1"/>
    <n v="4"/>
    <n v="4"/>
    <n v="3"/>
    <n v="3"/>
    <n v="3"/>
    <n v="0"/>
    <n v="1"/>
    <n v="1"/>
    <n v="0"/>
    <n v="1"/>
    <n v="1"/>
    <n v="1"/>
    <n v="1"/>
    <n v="1"/>
    <n v="0"/>
    <n v="1"/>
    <n v="1"/>
    <n v="1"/>
    <n v="1"/>
    <n v="0"/>
    <n v="0"/>
    <n v="1"/>
    <n v="1"/>
    <n v="1"/>
    <n v="1"/>
    <n v="1"/>
    <n v="1"/>
    <n v="1"/>
    <n v="1"/>
    <n v="1"/>
    <n v="1"/>
    <n v="1"/>
    <n v="0"/>
    <n v="0"/>
    <n v="1"/>
    <n v="0"/>
    <n v="1"/>
    <n v="1"/>
    <n v="0"/>
    <n v="1"/>
    <n v="1"/>
    <n v="1"/>
  </r>
  <r>
    <s v="ALCINDORE,KYLE"/>
    <s v="KYLE"/>
    <s v="ALCINDORE"/>
    <n v="220879936"/>
    <n v="11"/>
    <s v="Kovelsky"/>
    <b v="0"/>
    <b v="1"/>
    <n v="13"/>
    <n v="4"/>
    <n v="6"/>
    <n v="1"/>
    <x v="1"/>
    <n v="1"/>
    <n v="3"/>
    <n v="3"/>
    <n v="1"/>
    <n v="1"/>
    <n v="3"/>
    <n v="2"/>
    <n v="2"/>
    <n v="2"/>
    <n v="1"/>
    <n v="2"/>
    <n v="3"/>
    <n v="2"/>
    <n v="3"/>
    <n v="2"/>
    <n v="3"/>
    <n v="3"/>
    <n v="1"/>
    <n v="3"/>
    <n v="2"/>
    <n v="3"/>
    <n v="2"/>
    <n v="3"/>
    <n v="4"/>
    <n v="1"/>
    <n v="1"/>
    <n v="1"/>
    <n v="3"/>
    <n v="2"/>
    <n v="2"/>
    <n v="1"/>
    <n v="1"/>
    <n v="1"/>
    <n v="1"/>
    <n v="1"/>
    <n v="1"/>
    <n v="1"/>
    <n v="0"/>
    <n v="0"/>
    <n v="1"/>
    <n v="0"/>
    <n v="1"/>
    <n v="0"/>
    <n v="0"/>
    <n v="1"/>
    <n v="1"/>
    <n v="1"/>
    <n v="1"/>
    <n v="0"/>
    <n v="1"/>
    <n v="0"/>
    <n v="0"/>
    <n v="0"/>
    <n v="0"/>
    <n v="0"/>
    <n v="1"/>
    <n v="0"/>
    <n v="0"/>
    <n v="1"/>
    <n v="1"/>
    <n v="0"/>
    <n v="1"/>
    <n v="0"/>
    <n v="1"/>
    <n v="1"/>
    <n v="0"/>
    <n v="1"/>
  </r>
  <r>
    <s v="ALMASHMALLY,SULAIMAN"/>
    <s v="SULAIMAN"/>
    <s v="ALMASHMALLY"/>
    <n v="242185650"/>
    <n v="9"/>
    <s v="Kovelsky"/>
    <b v="0"/>
    <b v="0"/>
    <n v="0"/>
    <n v="0"/>
    <n v="0"/>
    <n v="0"/>
    <x v="2"/>
    <m/>
    <m/>
    <m/>
    <m/>
    <m/>
    <m/>
    <m/>
    <m/>
    <m/>
    <m/>
    <m/>
    <m/>
    <m/>
    <m/>
    <m/>
    <m/>
    <m/>
    <m/>
    <m/>
    <m/>
    <m/>
    <m/>
    <m/>
    <m/>
    <m/>
    <m/>
    <m/>
    <m/>
    <m/>
    <m/>
    <m/>
    <m/>
    <m/>
    <m/>
    <m/>
    <m/>
    <m/>
    <n v="0"/>
    <n v="0"/>
    <n v="0"/>
    <n v="0"/>
    <n v="0"/>
    <n v="0"/>
    <n v="0"/>
    <n v="0"/>
    <n v="0"/>
    <n v="0"/>
    <n v="0"/>
    <n v="0"/>
    <n v="0"/>
    <n v="0"/>
    <n v="0"/>
    <n v="0"/>
    <n v="0"/>
    <n v="0"/>
    <n v="0"/>
    <n v="0"/>
    <n v="0"/>
    <n v="0"/>
    <n v="0"/>
    <n v="0"/>
    <n v="0"/>
    <n v="0"/>
    <n v="0"/>
    <n v="0"/>
    <n v="0"/>
    <n v="0"/>
  </r>
  <r>
    <s v="ALMIRHABI,IDRIS"/>
    <s v="IDRIS"/>
    <s v="ALMIRHABI"/>
    <n v="240419069"/>
    <n v="9"/>
    <s v="Kovelsky"/>
    <b v="0"/>
    <b v="0"/>
    <n v="8"/>
    <n v="0"/>
    <n v="6"/>
    <n v="0"/>
    <x v="3"/>
    <n v="2"/>
    <n v="1"/>
    <n v="3"/>
    <n v="1"/>
    <n v="1"/>
    <n v="4"/>
    <n v="2"/>
    <n v="3"/>
    <n v="2"/>
    <n v="1"/>
    <n v="3"/>
    <n v="1"/>
    <n v="4"/>
    <n v="2"/>
    <n v="1"/>
    <n v="2"/>
    <n v="2"/>
    <n v="4"/>
    <n v="3"/>
    <n v="4"/>
    <n v="1"/>
    <n v="3"/>
    <n v="2"/>
    <n v="1"/>
    <n v="4"/>
    <n v="2"/>
    <n v="4"/>
    <n v="1"/>
    <n v="0"/>
    <n v="0"/>
    <n v="1"/>
    <n v="1"/>
    <n v="1"/>
    <n v="1"/>
    <n v="1"/>
    <n v="1"/>
    <n v="0"/>
    <n v="0"/>
    <n v="0"/>
    <n v="1"/>
    <n v="0"/>
    <n v="1"/>
    <n v="1"/>
    <n v="0"/>
    <n v="0"/>
    <n v="1"/>
    <n v="1"/>
    <n v="0"/>
    <n v="0"/>
    <n v="0"/>
    <n v="0"/>
    <n v="0"/>
    <n v="0"/>
    <n v="0"/>
    <n v="1"/>
    <n v="1"/>
    <n v="1"/>
    <n v="0"/>
    <n v="0"/>
    <n v="0"/>
    <n v="0"/>
    <n v="0"/>
    <n v="0"/>
    <n v="0"/>
    <n v="0"/>
    <n v="0"/>
    <n v="0"/>
  </r>
  <r>
    <s v="ANTOINE,BIANCA"/>
    <s v="BIANCA"/>
    <s v="ANTOINE"/>
    <n v="236026753"/>
    <n v="11"/>
    <s v="Dushin"/>
    <b v="0"/>
    <b v="0"/>
    <n v="21"/>
    <n v="6"/>
    <n v="6"/>
    <n v="3"/>
    <x v="4"/>
    <n v="4"/>
    <n v="2"/>
    <n v="3"/>
    <n v="3"/>
    <n v="1"/>
    <n v="2"/>
    <n v="3"/>
    <n v="2"/>
    <n v="2"/>
    <n v="1"/>
    <n v="2"/>
    <n v="4"/>
    <n v="2"/>
    <n v="4"/>
    <n v="1"/>
    <n v="2"/>
    <n v="1"/>
    <n v="4"/>
    <n v="2"/>
    <n v="4"/>
    <n v="2"/>
    <n v="2"/>
    <n v="3"/>
    <n v="3"/>
    <n v="3"/>
    <n v="4"/>
    <n v="4"/>
    <n v="2"/>
    <n v="3"/>
    <n v="3"/>
    <n v="1"/>
    <n v="1"/>
    <n v="1"/>
    <n v="1"/>
    <n v="1"/>
    <n v="1"/>
    <n v="3"/>
    <n v="1"/>
    <n v="1"/>
    <n v="1"/>
    <n v="1"/>
    <n v="1"/>
    <n v="0"/>
    <n v="1"/>
    <n v="1"/>
    <n v="1"/>
    <n v="1"/>
    <n v="1"/>
    <n v="1"/>
    <n v="1"/>
    <n v="1"/>
    <n v="0"/>
    <n v="0"/>
    <n v="1"/>
    <n v="1"/>
    <n v="0"/>
    <n v="1"/>
    <n v="1"/>
    <n v="1"/>
    <n v="1"/>
    <n v="1"/>
    <n v="0"/>
    <n v="1"/>
    <n v="0"/>
    <n v="0"/>
    <n v="1"/>
    <n v="1"/>
  </r>
  <r>
    <s v="AUGUSTE,NEVAEH"/>
    <s v="NEVAEH"/>
    <s v="AUGUSTE"/>
    <n v="234304210"/>
    <n v="11"/>
    <s v="Dushin"/>
    <b v="0"/>
    <b v="0"/>
    <n v="15"/>
    <n v="3"/>
    <n v="6"/>
    <n v="2"/>
    <x v="5"/>
    <n v="4"/>
    <n v="3"/>
    <n v="3"/>
    <n v="1"/>
    <n v="1"/>
    <n v="2"/>
    <n v="1"/>
    <n v="4"/>
    <n v="3"/>
    <n v="1"/>
    <n v="3"/>
    <n v="4"/>
    <n v="1"/>
    <n v="4"/>
    <n v="3"/>
    <n v="1"/>
    <n v="1"/>
    <n v="4"/>
    <n v="3"/>
    <n v="3"/>
    <n v="1"/>
    <n v="2"/>
    <n v="3"/>
    <n v="2"/>
    <n v="3"/>
    <n v="4"/>
    <n v="4"/>
    <n v="3"/>
    <n v="2"/>
    <n v="1"/>
    <n v="1"/>
    <n v="1"/>
    <n v="1"/>
    <n v="1"/>
    <n v="1"/>
    <n v="1"/>
    <n v="2"/>
    <n v="1"/>
    <n v="0"/>
    <n v="1"/>
    <n v="0"/>
    <n v="1"/>
    <n v="0"/>
    <n v="0"/>
    <n v="0"/>
    <n v="0"/>
    <n v="1"/>
    <n v="0"/>
    <n v="1"/>
    <n v="0"/>
    <n v="1"/>
    <n v="1"/>
    <n v="1"/>
    <n v="1"/>
    <n v="1"/>
    <n v="1"/>
    <n v="0"/>
    <n v="0"/>
    <n v="1"/>
    <n v="1"/>
    <n v="0"/>
    <n v="0"/>
    <n v="1"/>
    <n v="0"/>
    <n v="1"/>
    <n v="1"/>
    <n v="1"/>
  </r>
  <r>
    <s v="AUNIK,SHAKIB"/>
    <s v="SHAKIB"/>
    <s v="AUNIK"/>
    <n v="226331569"/>
    <n v="11"/>
    <s v="Antaky"/>
    <b v="0"/>
    <b v="0"/>
    <n v="25"/>
    <n v="6"/>
    <n v="6"/>
    <n v="4"/>
    <x v="6"/>
    <n v="4"/>
    <n v="1"/>
    <n v="3"/>
    <n v="3"/>
    <n v="1"/>
    <n v="4"/>
    <n v="3"/>
    <n v="2"/>
    <n v="2"/>
    <n v="1"/>
    <n v="2"/>
    <n v="4"/>
    <n v="2"/>
    <n v="4"/>
    <n v="3"/>
    <n v="1"/>
    <n v="1"/>
    <n v="4"/>
    <n v="3"/>
    <n v="1"/>
    <n v="2"/>
    <n v="2"/>
    <n v="3"/>
    <n v="2"/>
    <n v="1"/>
    <n v="4"/>
    <n v="1"/>
    <n v="3"/>
    <n v="3"/>
    <n v="3"/>
    <n v="1"/>
    <n v="1"/>
    <n v="1"/>
    <n v="1"/>
    <n v="1"/>
    <n v="1"/>
    <n v="4"/>
    <n v="1"/>
    <n v="0"/>
    <n v="1"/>
    <n v="1"/>
    <n v="1"/>
    <n v="1"/>
    <n v="1"/>
    <n v="1"/>
    <n v="1"/>
    <n v="1"/>
    <n v="1"/>
    <n v="1"/>
    <n v="1"/>
    <n v="1"/>
    <n v="1"/>
    <n v="1"/>
    <n v="1"/>
    <n v="1"/>
    <n v="1"/>
    <n v="0"/>
    <n v="1"/>
    <n v="1"/>
    <n v="1"/>
    <n v="0"/>
    <n v="1"/>
    <n v="1"/>
    <n v="1"/>
    <n v="1"/>
    <n v="1"/>
    <n v="1"/>
  </r>
  <r>
    <s v="AVELINO,RALPH"/>
    <s v="RALPH"/>
    <s v="AVELINO"/>
    <n v="240651521"/>
    <n v="9"/>
    <s v="Bermejo"/>
    <b v="0"/>
    <b v="0"/>
    <n v="21"/>
    <n v="6"/>
    <n v="6"/>
    <n v="2"/>
    <x v="7"/>
    <n v="3"/>
    <n v="1"/>
    <n v="3"/>
    <n v="3"/>
    <n v="1"/>
    <n v="2"/>
    <n v="3"/>
    <n v="2"/>
    <n v="2"/>
    <n v="1"/>
    <n v="2"/>
    <n v="4"/>
    <n v="2"/>
    <n v="4"/>
    <n v="3"/>
    <n v="1"/>
    <n v="1"/>
    <n v="4"/>
    <n v="3"/>
    <n v="1"/>
    <n v="2"/>
    <n v="2"/>
    <n v="3"/>
    <n v="2"/>
    <n v="3"/>
    <n v="4"/>
    <n v="4"/>
    <n v="3"/>
    <n v="3"/>
    <n v="3"/>
    <n v="1"/>
    <n v="1"/>
    <n v="1"/>
    <n v="1"/>
    <n v="1"/>
    <n v="1"/>
    <n v="2"/>
    <n v="0"/>
    <n v="0"/>
    <n v="1"/>
    <n v="1"/>
    <n v="1"/>
    <n v="0"/>
    <n v="1"/>
    <n v="1"/>
    <n v="1"/>
    <n v="1"/>
    <n v="1"/>
    <n v="1"/>
    <n v="1"/>
    <n v="1"/>
    <n v="1"/>
    <n v="1"/>
    <n v="1"/>
    <n v="1"/>
    <n v="1"/>
    <n v="0"/>
    <n v="1"/>
    <n v="1"/>
    <n v="1"/>
    <n v="0"/>
    <n v="0"/>
    <n v="1"/>
    <n v="0"/>
    <n v="1"/>
    <n v="1"/>
    <n v="1"/>
  </r>
  <r>
    <s v="BAH,HADJA ADAMA"/>
    <s v="HADJA ADAMA"/>
    <s v="BAH"/>
    <n v="224018150"/>
    <n v="11"/>
    <s v="Antaky"/>
    <b v="0"/>
    <b v="0"/>
    <n v="22"/>
    <n v="6"/>
    <n v="6"/>
    <n v="2"/>
    <x v="7"/>
    <n v="4"/>
    <n v="2"/>
    <n v="4"/>
    <n v="3"/>
    <n v="1"/>
    <n v="4"/>
    <n v="3"/>
    <n v="3"/>
    <n v="2"/>
    <n v="1"/>
    <n v="2"/>
    <n v="4"/>
    <n v="1"/>
    <n v="4"/>
    <n v="3"/>
    <n v="1"/>
    <n v="1"/>
    <n v="4"/>
    <n v="3"/>
    <n v="1"/>
    <n v="3"/>
    <n v="2"/>
    <n v="3"/>
    <n v="2"/>
    <n v="1"/>
    <n v="4"/>
    <n v="1"/>
    <n v="3"/>
    <n v="3"/>
    <n v="3"/>
    <n v="1"/>
    <n v="1"/>
    <n v="1"/>
    <n v="1"/>
    <n v="1"/>
    <n v="1"/>
    <n v="2"/>
    <n v="1"/>
    <n v="1"/>
    <n v="0"/>
    <n v="1"/>
    <n v="1"/>
    <n v="1"/>
    <n v="1"/>
    <n v="0"/>
    <n v="1"/>
    <n v="1"/>
    <n v="1"/>
    <n v="1"/>
    <n v="0"/>
    <n v="1"/>
    <n v="1"/>
    <n v="1"/>
    <n v="1"/>
    <n v="1"/>
    <n v="1"/>
    <n v="0"/>
    <n v="0"/>
    <n v="1"/>
    <n v="1"/>
    <n v="0"/>
    <n v="1"/>
    <n v="1"/>
    <n v="1"/>
    <n v="1"/>
    <n v="1"/>
    <n v="1"/>
  </r>
  <r>
    <s v="BAILEY,TALIB"/>
    <s v="TALIB"/>
    <s v="BAILEY"/>
    <n v="240618728"/>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BAKARE-MORRISON,KOLA"/>
    <s v="KOLA"/>
    <s v="BAKARE-MORRISON"/>
    <n v="238221840"/>
    <n v="9"/>
    <s v="Kovelsky"/>
    <b v="0"/>
    <b v="1"/>
    <n v="8"/>
    <n v="5"/>
    <n v="6"/>
    <n v="1"/>
    <x v="8"/>
    <n v="4"/>
    <n v="1"/>
    <n v="3"/>
    <n v="2"/>
    <n v="4"/>
    <n v="2"/>
    <n v="3"/>
    <n v="2"/>
    <n v="3"/>
    <n v="1"/>
    <n v="4"/>
    <n v="2"/>
    <n v="2"/>
    <n v="3"/>
    <n v="1"/>
    <n v="4"/>
    <n v="1"/>
    <n v="4"/>
    <n v="2"/>
    <n v="3"/>
    <n v="1"/>
    <n v="4"/>
    <n v="4"/>
    <n v="2"/>
    <n v="3"/>
    <n v="1"/>
    <n v="4"/>
    <n v="4"/>
    <n v="3"/>
    <n v="2"/>
    <n v="1"/>
    <n v="1"/>
    <n v="1"/>
    <n v="1"/>
    <n v="1"/>
    <n v="1"/>
    <n v="1"/>
    <n v="1"/>
    <n v="0"/>
    <n v="1"/>
    <n v="0"/>
    <n v="0"/>
    <n v="0"/>
    <n v="1"/>
    <n v="1"/>
    <n v="0"/>
    <n v="1"/>
    <n v="0"/>
    <n v="0"/>
    <n v="1"/>
    <n v="0"/>
    <n v="0"/>
    <n v="0"/>
    <n v="1"/>
    <n v="1"/>
    <n v="0"/>
    <n v="0"/>
    <n v="0"/>
    <n v="0"/>
    <n v="0"/>
    <n v="0"/>
    <n v="0"/>
    <n v="0"/>
    <n v="0"/>
    <n v="0"/>
    <n v="0"/>
    <n v="1"/>
  </r>
  <r>
    <s v="BAKER,VICARA"/>
    <s v="VICARA"/>
    <s v="BAKER"/>
    <n v="242900017"/>
    <n v="11"/>
    <s v="Antaky"/>
    <b v="0"/>
    <b v="0"/>
    <n v="15"/>
    <n v="4"/>
    <n v="6"/>
    <n v="2"/>
    <x v="9"/>
    <n v="4"/>
    <n v="2"/>
    <n v="3"/>
    <n v="3"/>
    <n v="2"/>
    <n v="2"/>
    <n v="2"/>
    <n v="2"/>
    <n v="3"/>
    <n v="1"/>
    <n v="2"/>
    <n v="3"/>
    <n v="2"/>
    <n v="4"/>
    <n v="3"/>
    <n v="1"/>
    <n v="4"/>
    <n v="4"/>
    <n v="1"/>
    <n v="2"/>
    <n v="1"/>
    <n v="2"/>
    <n v="3"/>
    <n v="1"/>
    <n v="4"/>
    <n v="4"/>
    <n v="3"/>
    <n v="2"/>
    <n v="2"/>
    <n v="2"/>
    <n v="1"/>
    <n v="1"/>
    <n v="1"/>
    <n v="1"/>
    <n v="1"/>
    <n v="1"/>
    <n v="2"/>
    <n v="1"/>
    <n v="1"/>
    <n v="1"/>
    <n v="1"/>
    <n v="0"/>
    <n v="0"/>
    <n v="0"/>
    <n v="1"/>
    <n v="0"/>
    <n v="1"/>
    <n v="1"/>
    <n v="0"/>
    <n v="1"/>
    <n v="1"/>
    <n v="1"/>
    <n v="1"/>
    <n v="0"/>
    <n v="1"/>
    <n v="0"/>
    <n v="0"/>
    <n v="0"/>
    <n v="1"/>
    <n v="1"/>
    <n v="0"/>
    <n v="0"/>
    <n v="1"/>
    <n v="0"/>
    <n v="0"/>
    <n v="1"/>
    <n v="1"/>
  </r>
  <r>
    <s v="BALCAZAR,GERMAN"/>
    <s v="GERMAN"/>
    <s v="BALCAZAR"/>
    <n v="234743177"/>
    <n v="11"/>
    <s v="Dushin"/>
    <b v="0"/>
    <b v="1"/>
    <n v="10"/>
    <n v="4"/>
    <n v="5"/>
    <n v="2"/>
    <x v="10"/>
    <n v="3"/>
    <n v="1"/>
    <n v="1"/>
    <n v="2"/>
    <n v="1"/>
    <n v="1"/>
    <n v="4"/>
    <n v="2"/>
    <n v="2"/>
    <n v="3"/>
    <n v="1"/>
    <n v="3"/>
    <n v="4"/>
    <n v="3"/>
    <n v="2"/>
    <n v="3"/>
    <n v="1"/>
    <n v="4"/>
    <n v="2"/>
    <n v="3"/>
    <n v="3"/>
    <n v="2"/>
    <n v="3"/>
    <n v="3"/>
    <n v="4"/>
    <n v="4"/>
    <n v="1"/>
    <n v="4"/>
    <n v="2"/>
    <n v="2"/>
    <n v="1"/>
    <n v="1"/>
    <n v="1"/>
    <n v="0"/>
    <n v="1"/>
    <n v="1"/>
    <n v="2"/>
    <n v="0"/>
    <n v="0"/>
    <n v="0"/>
    <n v="0"/>
    <n v="1"/>
    <n v="0"/>
    <n v="0"/>
    <n v="1"/>
    <n v="1"/>
    <n v="0"/>
    <n v="0"/>
    <n v="0"/>
    <n v="0"/>
    <n v="0"/>
    <n v="0"/>
    <n v="0"/>
    <n v="1"/>
    <n v="1"/>
    <n v="0"/>
    <n v="0"/>
    <n v="0"/>
    <n v="1"/>
    <n v="1"/>
    <n v="1"/>
    <n v="0"/>
    <n v="1"/>
    <n v="1"/>
    <n v="0"/>
    <n v="0"/>
    <n v="1"/>
  </r>
  <r>
    <s v="BANKS,NEVAEH"/>
    <s v="NEVAEH"/>
    <s v="BANKS"/>
    <n v="239934227"/>
    <n v="9"/>
    <s v="Bermejo"/>
    <b v="0"/>
    <b v="0"/>
    <n v="11"/>
    <n v="3"/>
    <n v="5"/>
    <n v="1"/>
    <x v="8"/>
    <n v="4"/>
    <n v="1"/>
    <n v="3"/>
    <n v="1"/>
    <n v="1"/>
    <n v="2"/>
    <n v="1"/>
    <n v="2"/>
    <n v="3"/>
    <n v="1"/>
    <n v="2"/>
    <n v="3"/>
    <n v="2"/>
    <n v="3"/>
    <n v="3"/>
    <n v="4"/>
    <n v="2"/>
    <n v="1"/>
    <n v="2"/>
    <n v="4"/>
    <n v="3"/>
    <n v="1"/>
    <n v="4"/>
    <n v="2"/>
    <n v="3"/>
    <n v="4"/>
    <n v="4"/>
    <n v="3"/>
    <n v="2"/>
    <n v="1"/>
    <n v="0"/>
    <n v="1"/>
    <n v="1"/>
    <n v="1"/>
    <n v="1"/>
    <n v="1"/>
    <n v="1"/>
    <n v="1"/>
    <n v="0"/>
    <n v="1"/>
    <n v="0"/>
    <n v="1"/>
    <n v="0"/>
    <n v="0"/>
    <n v="1"/>
    <n v="0"/>
    <n v="1"/>
    <n v="1"/>
    <n v="0"/>
    <n v="1"/>
    <n v="0"/>
    <n v="1"/>
    <n v="0"/>
    <n v="0"/>
    <n v="0"/>
    <n v="0"/>
    <n v="1"/>
    <n v="0"/>
    <n v="0"/>
    <n v="0"/>
    <n v="0"/>
    <n v="0"/>
    <n v="1"/>
    <n v="0"/>
    <n v="1"/>
    <n v="0"/>
    <n v="0"/>
  </r>
  <r>
    <s v="BANKS,SHILOAH"/>
    <s v="SHILOAH"/>
    <s v="BANKS"/>
    <n v="247088099"/>
    <n v="11"/>
    <s v="Dushin"/>
    <b v="0"/>
    <b v="0"/>
    <n v="13"/>
    <n v="5"/>
    <n v="5"/>
    <n v="1"/>
    <x v="1"/>
    <n v="2"/>
    <n v="2"/>
    <n v="2"/>
    <n v="3"/>
    <n v="1"/>
    <n v="1"/>
    <n v="2"/>
    <n v="2"/>
    <n v="2"/>
    <n v="1"/>
    <n v="4"/>
    <n v="2"/>
    <n v="3"/>
    <n v="3"/>
    <n v="2"/>
    <n v="1"/>
    <n v="1"/>
    <n v="4"/>
    <n v="3"/>
    <n v="2"/>
    <n v="4"/>
    <n v="4"/>
    <n v="4"/>
    <n v="2"/>
    <n v="1"/>
    <n v="4"/>
    <n v="1"/>
    <n v="4"/>
    <n v="3"/>
    <n v="2"/>
    <n v="0"/>
    <n v="1"/>
    <n v="1"/>
    <n v="1"/>
    <n v="1"/>
    <n v="1"/>
    <n v="1"/>
    <n v="0"/>
    <n v="1"/>
    <n v="0"/>
    <n v="1"/>
    <n v="1"/>
    <n v="0"/>
    <n v="0"/>
    <n v="1"/>
    <n v="1"/>
    <n v="1"/>
    <n v="0"/>
    <n v="0"/>
    <n v="0"/>
    <n v="0"/>
    <n v="0"/>
    <n v="1"/>
    <n v="1"/>
    <n v="1"/>
    <n v="1"/>
    <n v="0"/>
    <n v="0"/>
    <n v="0"/>
    <n v="0"/>
    <n v="0"/>
    <n v="1"/>
    <n v="1"/>
    <n v="1"/>
    <n v="0"/>
    <n v="0"/>
    <n v="0"/>
  </r>
  <r>
    <s v="BARNES,GIANNA"/>
    <s v="GIANNA"/>
    <s v="BARNES"/>
    <n v="239769276"/>
    <n v="11"/>
    <s v="Dushin"/>
    <b v="0"/>
    <b v="0"/>
    <n v="26"/>
    <n v="10"/>
    <n v="6"/>
    <n v="2.5"/>
    <x v="6"/>
    <n v="4"/>
    <n v="2"/>
    <n v="3"/>
    <n v="3"/>
    <n v="1"/>
    <n v="4"/>
    <n v="3"/>
    <n v="2"/>
    <n v="2"/>
    <n v="1"/>
    <n v="2"/>
    <n v="3"/>
    <n v="2"/>
    <n v="4"/>
    <n v="3"/>
    <n v="1"/>
    <n v="1"/>
    <n v="4"/>
    <n v="3"/>
    <n v="4"/>
    <n v="2"/>
    <n v="2"/>
    <n v="3"/>
    <n v="3"/>
    <n v="4"/>
    <n v="4"/>
    <n v="1"/>
    <n v="3"/>
    <n v="5"/>
    <n v="5"/>
    <n v="1"/>
    <n v="1"/>
    <n v="1"/>
    <n v="1"/>
    <n v="1"/>
    <n v="1"/>
    <n v="2.5"/>
    <n v="1"/>
    <n v="1"/>
    <n v="1"/>
    <n v="1"/>
    <n v="1"/>
    <n v="1"/>
    <n v="1"/>
    <n v="1"/>
    <n v="1"/>
    <n v="1"/>
    <n v="1"/>
    <n v="0"/>
    <n v="1"/>
    <n v="1"/>
    <n v="1"/>
    <n v="1"/>
    <n v="1"/>
    <n v="1"/>
    <n v="1"/>
    <n v="1"/>
    <n v="1"/>
    <n v="1"/>
    <n v="1"/>
    <n v="1"/>
    <n v="0"/>
    <n v="1"/>
    <n v="1"/>
    <n v="1"/>
    <n v="1"/>
    <n v="1"/>
  </r>
  <r>
    <s v="BERMEJO ANGEL,GIOVANNI"/>
    <s v="GIOVANNI"/>
    <s v="BERMEJO ANGEL"/>
    <n v="237088489"/>
    <n v="9"/>
    <s v="Bermejo"/>
    <b v="0"/>
    <b v="0"/>
    <n v="13"/>
    <n v="0"/>
    <n v="5"/>
    <n v="0"/>
    <x v="11"/>
    <n v="4"/>
    <n v="2"/>
    <n v="4"/>
    <n v="1"/>
    <n v="4"/>
    <n v="2"/>
    <n v="3"/>
    <n v="1"/>
    <n v="4"/>
    <n v="2"/>
    <n v="2"/>
    <n v="4"/>
    <n v="2"/>
    <n v="3"/>
    <n v="3"/>
    <n v="1"/>
    <n v="1"/>
    <n v="3"/>
    <n v="2"/>
    <n v="4"/>
    <n v="2"/>
    <n v="2"/>
    <n v="1"/>
    <n v="4"/>
    <n v="2"/>
    <n v="3"/>
    <n v="1"/>
    <n v="4"/>
    <n v="0"/>
    <n v="0"/>
    <n v="0"/>
    <n v="1"/>
    <n v="1"/>
    <n v="1"/>
    <n v="1"/>
    <n v="1"/>
    <n v="0"/>
    <n v="1"/>
    <n v="1"/>
    <n v="0"/>
    <n v="0"/>
    <n v="0"/>
    <n v="0"/>
    <n v="1"/>
    <n v="0"/>
    <n v="0"/>
    <n v="0"/>
    <n v="1"/>
    <n v="1"/>
    <n v="1"/>
    <n v="0"/>
    <n v="1"/>
    <n v="1"/>
    <n v="1"/>
    <n v="0"/>
    <n v="0"/>
    <n v="1"/>
    <n v="1"/>
    <n v="1"/>
    <n v="0"/>
    <n v="0"/>
    <n v="0"/>
    <n v="0"/>
    <n v="1"/>
    <n v="0"/>
    <n v="0"/>
    <n v="0"/>
  </r>
  <r>
    <s v="BERMUDEZ,AMARI"/>
    <s v="AMARI"/>
    <s v="BERMUDEZ"/>
    <n v="207893710"/>
    <n v="11"/>
    <s v="Dushin"/>
    <b v="0"/>
    <b v="0"/>
    <n v="11"/>
    <n v="3"/>
    <n v="5"/>
    <n v="1"/>
    <x v="8"/>
    <n v="4"/>
    <n v="2"/>
    <n v="2"/>
    <n v="4"/>
    <n v="2"/>
    <n v="4"/>
    <n v="2"/>
    <n v="3"/>
    <n v="2"/>
    <n v="1"/>
    <n v="3"/>
    <n v="4"/>
    <n v="1"/>
    <n v="1"/>
    <n v="3"/>
    <n v="2"/>
    <n v="4"/>
    <n v="4"/>
    <n v="2"/>
    <n v="3"/>
    <n v="2"/>
    <n v="1"/>
    <n v="2"/>
    <n v="4"/>
    <n v="1"/>
    <n v="4"/>
    <n v="2"/>
    <n v="4"/>
    <n v="2"/>
    <n v="1"/>
    <n v="1"/>
    <n v="1"/>
    <n v="1"/>
    <n v="1"/>
    <n v="1"/>
    <n v="0"/>
    <n v="1"/>
    <n v="1"/>
    <n v="1"/>
    <n v="0"/>
    <n v="0"/>
    <n v="0"/>
    <n v="1"/>
    <n v="0"/>
    <n v="0"/>
    <n v="1"/>
    <n v="1"/>
    <n v="0"/>
    <n v="1"/>
    <n v="0"/>
    <n v="0"/>
    <n v="1"/>
    <n v="0"/>
    <n v="0"/>
    <n v="1"/>
    <n v="0"/>
    <n v="0"/>
    <n v="1"/>
    <n v="0"/>
    <n v="0"/>
    <n v="0"/>
    <n v="1"/>
    <n v="1"/>
    <n v="0"/>
    <n v="0"/>
    <n v="0"/>
    <n v="0"/>
  </r>
  <r>
    <s v="BILAL,SEVEN"/>
    <s v="SEVEN"/>
    <s v="BILAL"/>
    <n v="238895601"/>
    <n v="9"/>
    <s v="Bermejo"/>
    <b v="0"/>
    <b v="0"/>
    <n v="6"/>
    <n v="2"/>
    <n v="0"/>
    <n v="0"/>
    <x v="12"/>
    <n v="2"/>
    <n v="4"/>
    <n v="1"/>
    <n v="1"/>
    <n v="2"/>
    <n v="3"/>
    <n v="2"/>
    <n v="4"/>
    <n v="3"/>
    <n v="1"/>
    <n v="2"/>
    <n v="4"/>
    <n v="1"/>
    <n v="4"/>
    <n v="2"/>
    <n v="3"/>
    <n v="2"/>
    <n v="1"/>
    <n v="4"/>
    <n v="2"/>
    <n v="2"/>
    <n v="1"/>
    <n v="3"/>
    <n v="1"/>
    <n v="3"/>
    <n v="2"/>
    <n v="4"/>
    <n v="1"/>
    <n v="1"/>
    <n v="1"/>
    <n v="0"/>
    <n v="0"/>
    <n v="0"/>
    <n v="0"/>
    <n v="0"/>
    <n v="0"/>
    <n v="0"/>
    <n v="0"/>
    <n v="0"/>
    <n v="0"/>
    <n v="0"/>
    <n v="0"/>
    <n v="0"/>
    <n v="0"/>
    <n v="0"/>
    <n v="0"/>
    <n v="1"/>
    <n v="1"/>
    <n v="1"/>
    <n v="0"/>
    <n v="1"/>
    <n v="0"/>
    <n v="0"/>
    <n v="0"/>
    <n v="0"/>
    <n v="0"/>
    <n v="0"/>
    <n v="1"/>
    <n v="0"/>
    <n v="1"/>
    <n v="0"/>
    <n v="0"/>
    <n v="0"/>
    <n v="0"/>
    <n v="0"/>
    <n v="0"/>
    <n v="0"/>
  </r>
  <r>
    <s v="BOYCE,JAYLIN"/>
    <s v="JAYLIN"/>
    <s v="BOYCE"/>
    <n v="237925870"/>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BREZEAU,AMARI"/>
    <s v="AMARI"/>
    <s v="BREZEAU"/>
    <n v="241488162"/>
    <n v="9"/>
    <s v="Bermejo"/>
    <b v="0"/>
    <b v="0"/>
    <n v="22"/>
    <n v="2"/>
    <n v="5"/>
    <n v="2"/>
    <x v="13"/>
    <n v="4"/>
    <n v="2"/>
    <n v="3"/>
    <n v="3"/>
    <n v="1"/>
    <n v="3"/>
    <n v="3"/>
    <n v="2"/>
    <n v="2"/>
    <n v="1"/>
    <n v="2"/>
    <n v="4"/>
    <n v="3"/>
    <n v="4"/>
    <n v="4"/>
    <n v="1"/>
    <n v="1"/>
    <n v="4"/>
    <n v="3"/>
    <n v="2"/>
    <n v="2"/>
    <n v="2"/>
    <n v="3"/>
    <n v="3"/>
    <n v="4"/>
    <n v="4"/>
    <n v="1"/>
    <n v="2"/>
    <n v="1"/>
    <n v="1"/>
    <n v="0"/>
    <n v="1"/>
    <n v="1"/>
    <n v="1"/>
    <n v="1"/>
    <n v="1"/>
    <n v="2"/>
    <n v="1"/>
    <n v="1"/>
    <n v="1"/>
    <n v="1"/>
    <n v="1"/>
    <n v="0"/>
    <n v="1"/>
    <n v="1"/>
    <n v="1"/>
    <n v="1"/>
    <n v="1"/>
    <n v="1"/>
    <n v="0"/>
    <n v="1"/>
    <n v="0"/>
    <n v="1"/>
    <n v="1"/>
    <n v="1"/>
    <n v="1"/>
    <n v="0"/>
    <n v="1"/>
    <n v="1"/>
    <n v="1"/>
    <n v="1"/>
    <n v="0"/>
    <n v="1"/>
    <n v="1"/>
    <n v="0"/>
    <n v="1"/>
    <n v="1"/>
  </r>
  <r>
    <s v="BREZEAU,AMIR"/>
    <s v="AMIR"/>
    <s v="BREZEAU"/>
    <n v="236977476"/>
    <n v="11"/>
    <s v="Dushin"/>
    <b v="0"/>
    <b v="0"/>
    <n v="20"/>
    <n v="6"/>
    <n v="4"/>
    <n v="2.5"/>
    <x v="14"/>
    <n v="4"/>
    <n v="2"/>
    <n v="3"/>
    <n v="3"/>
    <n v="1"/>
    <n v="3"/>
    <n v="3"/>
    <n v="2"/>
    <n v="2"/>
    <n v="1"/>
    <n v="2"/>
    <n v="4"/>
    <n v="3"/>
    <n v="3"/>
    <n v="4"/>
    <n v="4"/>
    <n v="1"/>
    <n v="4"/>
    <n v="3"/>
    <n v="2"/>
    <n v="4"/>
    <n v="2"/>
    <n v="3"/>
    <n v="3"/>
    <n v="1"/>
    <n v="4"/>
    <n v="1"/>
    <n v="2"/>
    <n v="4"/>
    <n v="2"/>
    <n v="1"/>
    <n v="0"/>
    <n v="1"/>
    <n v="1"/>
    <n v="1"/>
    <n v="0"/>
    <n v="2.5"/>
    <n v="1"/>
    <n v="1"/>
    <n v="1"/>
    <n v="1"/>
    <n v="1"/>
    <n v="0"/>
    <n v="1"/>
    <n v="1"/>
    <n v="1"/>
    <n v="1"/>
    <n v="1"/>
    <n v="1"/>
    <n v="0"/>
    <n v="0"/>
    <n v="0"/>
    <n v="0"/>
    <n v="1"/>
    <n v="1"/>
    <n v="1"/>
    <n v="0"/>
    <n v="0"/>
    <n v="1"/>
    <n v="1"/>
    <n v="1"/>
    <n v="1"/>
    <n v="1"/>
    <n v="1"/>
    <n v="0"/>
    <n v="1"/>
    <n v="1"/>
  </r>
  <r>
    <s v="BROOKS,GERMANE"/>
    <s v="GERMANE"/>
    <s v="BROOKS"/>
    <n v="235706108"/>
    <n v="9"/>
    <s v="Bermejo"/>
    <b v="0"/>
    <b v="1"/>
    <n v="7"/>
    <n v="1"/>
    <n v="3"/>
    <n v="0"/>
    <x v="15"/>
    <n v="1"/>
    <n v="2"/>
    <n v="1"/>
    <n v="2"/>
    <n v="1"/>
    <n v="2"/>
    <n v="3"/>
    <n v="3"/>
    <n v="1"/>
    <n v="1"/>
    <n v="3"/>
    <n v="3"/>
    <n v="4"/>
    <n v="2"/>
    <n v="1"/>
    <n v="2"/>
    <n v="1"/>
    <n v="4"/>
    <n v="2"/>
    <n v="3"/>
    <n v="1"/>
    <n v="4"/>
    <n v="2"/>
    <n v="1"/>
    <n v="3"/>
    <n v="1"/>
    <n v="4"/>
    <n v="3"/>
    <n v="1"/>
    <n v="0"/>
    <n v="0"/>
    <n v="1"/>
    <n v="0"/>
    <n v="1"/>
    <n v="0"/>
    <n v="1"/>
    <n v="0"/>
    <n v="0"/>
    <n v="1"/>
    <n v="0"/>
    <n v="0"/>
    <n v="1"/>
    <n v="0"/>
    <n v="1"/>
    <n v="0"/>
    <n v="0"/>
    <n v="1"/>
    <n v="0"/>
    <n v="0"/>
    <n v="0"/>
    <n v="0"/>
    <n v="0"/>
    <n v="0"/>
    <n v="1"/>
    <n v="1"/>
    <n v="0"/>
    <n v="0"/>
    <n v="0"/>
    <n v="0"/>
    <n v="0"/>
    <n v="0"/>
    <n v="0"/>
    <n v="0"/>
    <n v="0"/>
    <n v="1"/>
    <n v="0"/>
    <n v="0"/>
  </r>
  <r>
    <s v="BROWN,AIDEN"/>
    <s v="AIDEN"/>
    <s v="BROWN"/>
    <n v="242185676"/>
    <n v="11"/>
    <s v="Dushin"/>
    <b v="0"/>
    <b v="0"/>
    <n v="18"/>
    <n v="4"/>
    <n v="6"/>
    <n v="1"/>
    <x v="9"/>
    <n v="3"/>
    <n v="4"/>
    <n v="2"/>
    <n v="3"/>
    <n v="1"/>
    <n v="2"/>
    <n v="3"/>
    <n v="2"/>
    <n v="2"/>
    <n v="1"/>
    <n v="2"/>
    <n v="1"/>
    <n v="2"/>
    <n v="4"/>
    <n v="3"/>
    <n v="4"/>
    <n v="1"/>
    <n v="4"/>
    <n v="3"/>
    <n v="1"/>
    <n v="2"/>
    <n v="2"/>
    <n v="3"/>
    <n v="2"/>
    <n v="3"/>
    <n v="4"/>
    <n v="2"/>
    <n v="3"/>
    <n v="2"/>
    <n v="2"/>
    <n v="1"/>
    <n v="1"/>
    <n v="1"/>
    <n v="1"/>
    <n v="1"/>
    <n v="1"/>
    <n v="1"/>
    <n v="0"/>
    <n v="0"/>
    <n v="0"/>
    <n v="1"/>
    <n v="1"/>
    <n v="0"/>
    <n v="1"/>
    <n v="1"/>
    <n v="1"/>
    <n v="1"/>
    <n v="1"/>
    <n v="0"/>
    <n v="1"/>
    <n v="1"/>
    <n v="1"/>
    <n v="0"/>
    <n v="1"/>
    <n v="1"/>
    <n v="1"/>
    <n v="0"/>
    <n v="1"/>
    <n v="1"/>
    <n v="1"/>
    <n v="0"/>
    <n v="0"/>
    <n v="1"/>
    <n v="0"/>
    <n v="1"/>
    <n v="1"/>
    <n v="1"/>
  </r>
  <r>
    <s v="BROWN,ELIJAH"/>
    <s v="ELIJAH"/>
    <s v="BROWN"/>
    <n v="234623395"/>
    <n v="11"/>
    <s v="Dushin"/>
    <b v="0"/>
    <b v="0"/>
    <n v="11"/>
    <n v="3"/>
    <n v="4"/>
    <n v="1"/>
    <x v="16"/>
    <n v="2"/>
    <n v="1"/>
    <n v="2"/>
    <n v="3"/>
    <n v="2"/>
    <n v="2"/>
    <n v="3"/>
    <n v="2"/>
    <n v="3"/>
    <n v="1"/>
    <n v="2"/>
    <n v="1"/>
    <n v="3"/>
    <n v="4"/>
    <n v="3"/>
    <n v="4"/>
    <n v="1"/>
    <n v="1"/>
    <n v="2"/>
    <n v="2"/>
    <n v="1"/>
    <n v="4"/>
    <n v="3"/>
    <n v="2"/>
    <n v="3"/>
    <n v="4"/>
    <n v="4"/>
    <n v="3"/>
    <n v="2"/>
    <n v="1"/>
    <n v="0"/>
    <n v="0"/>
    <n v="1"/>
    <n v="1"/>
    <n v="1"/>
    <n v="1"/>
    <n v="1"/>
    <n v="0"/>
    <n v="0"/>
    <n v="0"/>
    <n v="1"/>
    <n v="0"/>
    <n v="0"/>
    <n v="1"/>
    <n v="1"/>
    <n v="0"/>
    <n v="1"/>
    <n v="1"/>
    <n v="0"/>
    <n v="0"/>
    <n v="1"/>
    <n v="1"/>
    <n v="0"/>
    <n v="1"/>
    <n v="0"/>
    <n v="0"/>
    <n v="0"/>
    <n v="0"/>
    <n v="0"/>
    <n v="1"/>
    <n v="0"/>
    <n v="0"/>
    <n v="1"/>
    <n v="0"/>
    <n v="1"/>
    <n v="0"/>
    <n v="0"/>
  </r>
  <r>
    <s v="BROWN,JANIYAH"/>
    <s v="JANIYAH"/>
    <s v="BROWN"/>
    <n v="242719896"/>
    <n v="11"/>
    <s v="Kovelsky"/>
    <b v="0"/>
    <b v="0"/>
    <n v="11"/>
    <n v="0"/>
    <n v="6"/>
    <n v="2"/>
    <x v="17"/>
    <n v="4"/>
    <n v="2"/>
    <n v="4"/>
    <n v="3"/>
    <n v="2"/>
    <n v="2"/>
    <n v="3"/>
    <n v="2"/>
    <n v="3"/>
    <n v="1"/>
    <n v="2"/>
    <n v="2"/>
    <n v="1"/>
    <n v="4"/>
    <n v="4"/>
    <n v="4"/>
    <n v="2"/>
    <n v="1"/>
    <n v="2"/>
    <n v="3"/>
    <n v="3"/>
    <n v="2"/>
    <s v="M"/>
    <s v="X"/>
    <n v="3"/>
    <n v="4"/>
    <n v="2"/>
    <n v="3"/>
    <n v="0"/>
    <n v="0"/>
    <n v="1"/>
    <n v="1"/>
    <n v="1"/>
    <n v="1"/>
    <n v="1"/>
    <n v="1"/>
    <n v="2"/>
    <n v="1"/>
    <n v="1"/>
    <n v="0"/>
    <n v="1"/>
    <n v="0"/>
    <n v="0"/>
    <n v="1"/>
    <n v="1"/>
    <n v="0"/>
    <n v="1"/>
    <n v="1"/>
    <n v="0"/>
    <n v="0"/>
    <n v="1"/>
    <n v="0"/>
    <n v="0"/>
    <n v="0"/>
    <n v="0"/>
    <n v="0"/>
    <n v="0"/>
    <n v="0"/>
    <n v="1"/>
    <n v="0"/>
    <n v="0"/>
    <n v="0"/>
    <n v="1"/>
    <n v="0"/>
    <n v="1"/>
    <n v="0"/>
    <n v="0"/>
  </r>
  <r>
    <s v="BROWN,KEON"/>
    <s v="KEON"/>
    <s v="BROWN"/>
    <n v="234675205"/>
    <n v="11"/>
    <s v="Dushin"/>
    <b v="0"/>
    <b v="0"/>
    <n v="20"/>
    <n v="5"/>
    <n v="4"/>
    <n v="1"/>
    <x v="18"/>
    <n v="4"/>
    <n v="2"/>
    <n v="3"/>
    <n v="3"/>
    <n v="1"/>
    <n v="3"/>
    <n v="3"/>
    <n v="2"/>
    <n v="3"/>
    <n v="1"/>
    <n v="2"/>
    <n v="4"/>
    <n v="1"/>
    <n v="4"/>
    <n v="4"/>
    <n v="1"/>
    <n v="1"/>
    <n v="1"/>
    <n v="3"/>
    <n v="1"/>
    <n v="2"/>
    <n v="2"/>
    <n v="3"/>
    <n v="2"/>
    <n v="3"/>
    <n v="4"/>
    <n v="1"/>
    <n v="3"/>
    <n v="2"/>
    <n v="3"/>
    <n v="0"/>
    <n v="1"/>
    <n v="1"/>
    <n v="1"/>
    <n v="0"/>
    <n v="1"/>
    <n v="1"/>
    <n v="1"/>
    <n v="1"/>
    <n v="1"/>
    <n v="1"/>
    <n v="1"/>
    <n v="0"/>
    <n v="1"/>
    <n v="1"/>
    <n v="0"/>
    <n v="1"/>
    <n v="1"/>
    <n v="1"/>
    <n v="0"/>
    <n v="1"/>
    <n v="0"/>
    <n v="1"/>
    <n v="1"/>
    <n v="0"/>
    <n v="1"/>
    <n v="0"/>
    <n v="1"/>
    <n v="1"/>
    <n v="1"/>
    <n v="0"/>
    <n v="0"/>
    <n v="1"/>
    <n v="1"/>
    <n v="1"/>
    <n v="1"/>
    <n v="1"/>
  </r>
  <r>
    <s v="BROWN,SANAI"/>
    <s v="SANAI"/>
    <s v="BROWN"/>
    <n v="240429241"/>
    <n v="9"/>
    <s v="Bermejo"/>
    <b v="0"/>
    <b v="0"/>
    <n v="16"/>
    <n v="4"/>
    <n v="5"/>
    <n v="2.5"/>
    <x v="19"/>
    <n v="4"/>
    <n v="2"/>
    <n v="3"/>
    <n v="3"/>
    <n v="1"/>
    <n v="4"/>
    <n v="3"/>
    <n v="3"/>
    <n v="2"/>
    <n v="1"/>
    <n v="1"/>
    <n v="3"/>
    <n v="2"/>
    <n v="4"/>
    <n v="4"/>
    <n v="4"/>
    <n v="1"/>
    <n v="3"/>
    <n v="2"/>
    <n v="3"/>
    <n v="2"/>
    <n v="2"/>
    <n v="4"/>
    <n v="2"/>
    <n v="3"/>
    <n v="4"/>
    <n v="4"/>
    <n v="3"/>
    <n v="2"/>
    <n v="2"/>
    <n v="0"/>
    <n v="1"/>
    <n v="1"/>
    <n v="1"/>
    <n v="1"/>
    <n v="1"/>
    <n v="2.5"/>
    <n v="1"/>
    <n v="1"/>
    <n v="1"/>
    <n v="1"/>
    <n v="1"/>
    <n v="1"/>
    <n v="1"/>
    <n v="0"/>
    <n v="1"/>
    <n v="1"/>
    <n v="0"/>
    <n v="0"/>
    <n v="1"/>
    <n v="1"/>
    <n v="0"/>
    <n v="0"/>
    <n v="1"/>
    <n v="0"/>
    <n v="0"/>
    <n v="0"/>
    <n v="1"/>
    <n v="1"/>
    <n v="0"/>
    <n v="0"/>
    <n v="0"/>
    <n v="1"/>
    <n v="0"/>
    <n v="1"/>
    <n v="1"/>
    <n v="1"/>
  </r>
  <r>
    <s v="BROWNE,RONICA"/>
    <s v="RONICA"/>
    <s v="BROWNE"/>
    <n v="236502175"/>
    <n v="11"/>
    <s v="Dushin"/>
    <b v="0"/>
    <b v="0"/>
    <n v="13"/>
    <n v="3"/>
    <n v="6"/>
    <n v="1"/>
    <x v="10"/>
    <n v="1"/>
    <n v="1"/>
    <n v="4"/>
    <n v="1"/>
    <n v="1"/>
    <n v="4"/>
    <n v="2"/>
    <n v="1"/>
    <n v="2"/>
    <n v="1"/>
    <n v="2"/>
    <n v="3"/>
    <n v="1"/>
    <n v="4"/>
    <n v="4"/>
    <n v="2"/>
    <n v="1"/>
    <n v="4"/>
    <n v="1"/>
    <n v="3"/>
    <n v="4"/>
    <n v="2"/>
    <n v="3"/>
    <n v="2"/>
    <n v="3"/>
    <n v="4"/>
    <n v="1"/>
    <n v="3"/>
    <n v="2"/>
    <n v="1"/>
    <n v="1"/>
    <n v="1"/>
    <n v="1"/>
    <n v="1"/>
    <n v="1"/>
    <n v="1"/>
    <n v="1"/>
    <n v="0"/>
    <n v="0"/>
    <n v="0"/>
    <n v="0"/>
    <n v="1"/>
    <n v="1"/>
    <n v="0"/>
    <n v="0"/>
    <n v="1"/>
    <n v="1"/>
    <n v="1"/>
    <n v="0"/>
    <n v="0"/>
    <n v="1"/>
    <n v="0"/>
    <n v="0"/>
    <n v="1"/>
    <n v="1"/>
    <n v="0"/>
    <n v="0"/>
    <n v="0"/>
    <n v="1"/>
    <n v="1"/>
    <n v="0"/>
    <n v="0"/>
    <n v="1"/>
    <n v="1"/>
    <n v="1"/>
    <n v="0"/>
    <n v="0"/>
  </r>
  <r>
    <s v="BRYAN,MALAYAH"/>
    <s v="MALAYAH"/>
    <s v="BRYAN"/>
    <n v="233871052"/>
    <n v="9"/>
    <s v="Bermejo"/>
    <b v="0"/>
    <b v="1"/>
    <n v="11"/>
    <n v="3"/>
    <n v="5"/>
    <n v="1"/>
    <x v="8"/>
    <n v="4"/>
    <n v="2"/>
    <n v="3"/>
    <n v="3"/>
    <n v="3"/>
    <n v="2"/>
    <n v="3"/>
    <n v="3"/>
    <n v="2"/>
    <n v="2"/>
    <n v="2"/>
    <n v="3"/>
    <n v="1"/>
    <n v="2"/>
    <n v="4"/>
    <n v="4"/>
    <n v="1"/>
    <n v="3"/>
    <n v="3"/>
    <n v="1"/>
    <n v="2"/>
    <n v="1"/>
    <n v="4"/>
    <n v="2"/>
    <n v="3"/>
    <n v="1"/>
    <n v="4"/>
    <n v="3"/>
    <n v="2"/>
    <n v="1"/>
    <n v="1"/>
    <n v="0"/>
    <n v="1"/>
    <n v="1"/>
    <n v="1"/>
    <n v="1"/>
    <n v="1"/>
    <n v="1"/>
    <n v="1"/>
    <n v="1"/>
    <n v="1"/>
    <n v="0"/>
    <n v="0"/>
    <n v="1"/>
    <n v="0"/>
    <n v="1"/>
    <n v="0"/>
    <n v="1"/>
    <n v="0"/>
    <n v="0"/>
    <n v="0"/>
    <n v="0"/>
    <n v="0"/>
    <n v="1"/>
    <n v="0"/>
    <n v="1"/>
    <n v="0"/>
    <n v="1"/>
    <n v="0"/>
    <n v="0"/>
    <n v="0"/>
    <n v="0"/>
    <n v="0"/>
    <n v="0"/>
    <n v="1"/>
    <n v="0"/>
    <n v="1"/>
  </r>
  <r>
    <s v="BRYANT,MYA"/>
    <s v="MYA"/>
    <s v="BRYANT"/>
    <n v="240442749"/>
    <n v="9"/>
    <s v="Kovelsky"/>
    <b v="0"/>
    <b v="0"/>
    <n v="20"/>
    <n v="2"/>
    <n v="6"/>
    <n v="1.5"/>
    <x v="19"/>
    <n v="4"/>
    <n v="2"/>
    <n v="3"/>
    <n v="3"/>
    <n v="1"/>
    <n v="3"/>
    <n v="3"/>
    <n v="2"/>
    <n v="3"/>
    <n v="1"/>
    <n v="1"/>
    <n v="4"/>
    <n v="1"/>
    <n v="4"/>
    <n v="3"/>
    <n v="1"/>
    <n v="1"/>
    <n v="4"/>
    <n v="3"/>
    <n v="1"/>
    <n v="3"/>
    <n v="2"/>
    <n v="3"/>
    <n v="3"/>
    <n v="1"/>
    <n v="1"/>
    <n v="2"/>
    <n v="3"/>
    <n v="2"/>
    <n v="0"/>
    <n v="1"/>
    <n v="1"/>
    <n v="1"/>
    <n v="1"/>
    <n v="1"/>
    <n v="1"/>
    <n v="1.5"/>
    <n v="1"/>
    <n v="1"/>
    <n v="1"/>
    <n v="1"/>
    <n v="1"/>
    <n v="0"/>
    <n v="1"/>
    <n v="1"/>
    <n v="0"/>
    <n v="1"/>
    <n v="0"/>
    <n v="1"/>
    <n v="0"/>
    <n v="1"/>
    <n v="1"/>
    <n v="1"/>
    <n v="1"/>
    <n v="1"/>
    <n v="1"/>
    <n v="0"/>
    <n v="0"/>
    <n v="1"/>
    <n v="1"/>
    <n v="1"/>
    <n v="1"/>
    <n v="0"/>
    <n v="0"/>
    <n v="1"/>
    <n v="1"/>
    <n v="1"/>
  </r>
  <r>
    <s v="CADET,ADRIAN"/>
    <s v="ADRIAN"/>
    <s v="CADET"/>
    <n v="239766330"/>
    <n v="9"/>
    <s v="Bermejo"/>
    <b v="0"/>
    <b v="0"/>
    <n v="12"/>
    <n v="3"/>
    <n v="6"/>
    <n v="1"/>
    <x v="20"/>
    <n v="4"/>
    <n v="3"/>
    <n v="1"/>
    <n v="1"/>
    <n v="2"/>
    <n v="1"/>
    <n v="3"/>
    <n v="1"/>
    <n v="4"/>
    <n v="1"/>
    <n v="2"/>
    <n v="3"/>
    <n v="4"/>
    <n v="2"/>
    <n v="4"/>
    <n v="4"/>
    <n v="1"/>
    <n v="4"/>
    <n v="3"/>
    <n v="4"/>
    <n v="1"/>
    <n v="2"/>
    <n v="3"/>
    <n v="2"/>
    <n v="4"/>
    <n v="4"/>
    <n v="2"/>
    <n v="3"/>
    <n v="2"/>
    <n v="1"/>
    <n v="1"/>
    <n v="1"/>
    <n v="1"/>
    <n v="1"/>
    <n v="1"/>
    <n v="1"/>
    <n v="1"/>
    <n v="1"/>
    <n v="0"/>
    <n v="0"/>
    <n v="0"/>
    <n v="0"/>
    <n v="0"/>
    <n v="1"/>
    <n v="0"/>
    <n v="0"/>
    <n v="1"/>
    <n v="1"/>
    <n v="0"/>
    <n v="0"/>
    <n v="0"/>
    <n v="0"/>
    <n v="0"/>
    <n v="1"/>
    <n v="1"/>
    <n v="1"/>
    <n v="1"/>
    <n v="0"/>
    <n v="1"/>
    <n v="1"/>
    <n v="0"/>
    <n v="0"/>
    <n v="1"/>
    <n v="0"/>
    <n v="1"/>
    <n v="0"/>
    <n v="0"/>
  </r>
  <r>
    <s v="CAMPBELL,SHYQUAN"/>
    <s v="SHYQUAN"/>
    <s v="CAMPBELL"/>
    <n v="259953248"/>
    <n v="11"/>
    <s v="Dushin"/>
    <b v="0"/>
    <b v="0"/>
    <n v="20"/>
    <n v="5"/>
    <n v="5"/>
    <n v="1"/>
    <x v="19"/>
    <n v="4"/>
    <n v="2"/>
    <n v="1"/>
    <n v="3"/>
    <n v="2"/>
    <n v="4"/>
    <n v="2"/>
    <n v="1"/>
    <n v="2"/>
    <n v="1"/>
    <n v="2"/>
    <n v="4"/>
    <n v="2"/>
    <n v="1"/>
    <n v="3"/>
    <n v="1"/>
    <n v="1"/>
    <n v="4"/>
    <n v="3"/>
    <n v="1"/>
    <n v="2"/>
    <n v="1"/>
    <n v="2"/>
    <n v="3"/>
    <n v="1"/>
    <n v="4"/>
    <n v="1"/>
    <n v="3"/>
    <n v="3"/>
    <n v="2"/>
    <n v="0"/>
    <n v="1"/>
    <n v="1"/>
    <n v="1"/>
    <n v="1"/>
    <n v="1"/>
    <n v="1"/>
    <n v="1"/>
    <n v="1"/>
    <n v="0"/>
    <n v="1"/>
    <n v="0"/>
    <n v="1"/>
    <n v="0"/>
    <n v="0"/>
    <n v="1"/>
    <n v="1"/>
    <n v="1"/>
    <n v="1"/>
    <n v="1"/>
    <n v="0"/>
    <n v="1"/>
    <n v="1"/>
    <n v="1"/>
    <n v="1"/>
    <n v="1"/>
    <n v="0"/>
    <n v="1"/>
    <n v="0"/>
    <n v="0"/>
    <n v="1"/>
    <n v="1"/>
    <n v="1"/>
    <n v="1"/>
    <n v="1"/>
    <n v="1"/>
    <n v="1"/>
  </r>
  <r>
    <s v="CANELA,JUSTIN"/>
    <s v="JUSTIN"/>
    <s v="CANELA"/>
    <n v="234808426"/>
    <n v="11"/>
    <s v="Antaky"/>
    <b v="0"/>
    <b v="0"/>
    <n v="20"/>
    <n v="5"/>
    <n v="6"/>
    <n v="3"/>
    <x v="7"/>
    <n v="4"/>
    <n v="2"/>
    <n v="3"/>
    <n v="4"/>
    <n v="1"/>
    <n v="3"/>
    <n v="3"/>
    <n v="2"/>
    <n v="2"/>
    <n v="1"/>
    <n v="1"/>
    <n v="4"/>
    <n v="2"/>
    <n v="4"/>
    <n v="3"/>
    <n v="2"/>
    <n v="1"/>
    <n v="4"/>
    <n v="1"/>
    <n v="1"/>
    <n v="2"/>
    <n v="2"/>
    <n v="3"/>
    <n v="3"/>
    <n v="4"/>
    <n v="4"/>
    <n v="1"/>
    <n v="2"/>
    <n v="2"/>
    <n v="3"/>
    <n v="1"/>
    <n v="1"/>
    <n v="1"/>
    <n v="1"/>
    <n v="1"/>
    <n v="1"/>
    <n v="3"/>
    <n v="1"/>
    <n v="1"/>
    <n v="1"/>
    <n v="0"/>
    <n v="1"/>
    <n v="0"/>
    <n v="1"/>
    <n v="1"/>
    <n v="1"/>
    <n v="1"/>
    <n v="0"/>
    <n v="1"/>
    <n v="1"/>
    <n v="1"/>
    <n v="1"/>
    <n v="0"/>
    <n v="1"/>
    <n v="1"/>
    <n v="0"/>
    <n v="0"/>
    <n v="1"/>
    <n v="1"/>
    <n v="1"/>
    <n v="1"/>
    <n v="0"/>
    <n v="1"/>
    <n v="1"/>
    <n v="0"/>
    <n v="1"/>
    <n v="1"/>
  </r>
  <r>
    <s v="CARRION-CAZALES,RODRIGO"/>
    <s v="RODRIGO"/>
    <s v="CARRION-CAZALES"/>
    <n v="240099846"/>
    <n v="9"/>
    <s v="Bermejo"/>
    <b v="0"/>
    <b v="0"/>
    <n v="15"/>
    <n v="6"/>
    <n v="6"/>
    <n v="2.5"/>
    <x v="13"/>
    <n v="4"/>
    <n v="2"/>
    <n v="3"/>
    <n v="1"/>
    <n v="1"/>
    <n v="2"/>
    <n v="2"/>
    <n v="2"/>
    <n v="2"/>
    <n v="1"/>
    <n v="2"/>
    <n v="4"/>
    <n v="1"/>
    <n v="2"/>
    <n v="4"/>
    <n v="4"/>
    <n v="3"/>
    <n v="4"/>
    <n v="1"/>
    <n v="4"/>
    <n v="2"/>
    <n v="1"/>
    <n v="3"/>
    <n v="2"/>
    <n v="3"/>
    <n v="4"/>
    <n v="4"/>
    <n v="3"/>
    <n v="3"/>
    <n v="3"/>
    <n v="1"/>
    <n v="1"/>
    <n v="1"/>
    <n v="1"/>
    <n v="1"/>
    <n v="1"/>
    <n v="2.5"/>
    <n v="1"/>
    <n v="1"/>
    <n v="1"/>
    <n v="0"/>
    <n v="1"/>
    <n v="0"/>
    <n v="0"/>
    <n v="1"/>
    <n v="1"/>
    <n v="1"/>
    <n v="1"/>
    <n v="1"/>
    <n v="0"/>
    <n v="0"/>
    <n v="0"/>
    <n v="0"/>
    <n v="0"/>
    <n v="1"/>
    <n v="0"/>
    <n v="1"/>
    <n v="1"/>
    <n v="0"/>
    <n v="1"/>
    <n v="0"/>
    <n v="0"/>
    <n v="1"/>
    <n v="0"/>
    <n v="1"/>
    <n v="1"/>
    <n v="1"/>
  </r>
  <r>
    <s v="CARTER,CHAD"/>
    <s v="CHAD"/>
    <s v="CARTER"/>
    <n v="250252669"/>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CEBALLOS,LUIS"/>
    <s v="LUIS"/>
    <s v="CEBALLOS"/>
    <n v="235032232"/>
    <n v="11"/>
    <s v="Other"/>
    <b v="0"/>
    <b v="0"/>
    <n v="10"/>
    <n v="3"/>
    <n v="3"/>
    <n v="0.5"/>
    <x v="21"/>
    <n v="4"/>
    <n v="2"/>
    <n v="3"/>
    <n v="1"/>
    <n v="1"/>
    <n v="2"/>
    <n v="2"/>
    <n v="1"/>
    <n v="4"/>
    <n v="1"/>
    <n v="4"/>
    <n v="3"/>
    <n v="3"/>
    <n v="1"/>
    <n v="4"/>
    <n v="4"/>
    <n v="1"/>
    <n v="4"/>
    <n v="1"/>
    <n v="3"/>
    <n v="3"/>
    <n v="2"/>
    <n v="3"/>
    <n v="4"/>
    <n v="3"/>
    <n v="4"/>
    <n v="4"/>
    <n v="4"/>
    <n v="2"/>
    <n v="1"/>
    <n v="0"/>
    <n v="1"/>
    <n v="0"/>
    <n v="1"/>
    <n v="0"/>
    <n v="1"/>
    <n v="0.5"/>
    <n v="1"/>
    <n v="1"/>
    <n v="1"/>
    <n v="0"/>
    <n v="1"/>
    <n v="0"/>
    <n v="0"/>
    <n v="0"/>
    <n v="0"/>
    <n v="1"/>
    <n v="0"/>
    <n v="0"/>
    <n v="0"/>
    <n v="0"/>
    <n v="0"/>
    <n v="0"/>
    <n v="1"/>
    <n v="1"/>
    <n v="0"/>
    <n v="0"/>
    <n v="0"/>
    <n v="1"/>
    <n v="1"/>
    <n v="0"/>
    <n v="0"/>
    <n v="1"/>
    <n v="0"/>
    <n v="0"/>
    <n v="0"/>
    <n v="0"/>
  </r>
  <r>
    <s v="CELESTIN,GLORY"/>
    <s v="GLORY"/>
    <s v="CELESTIN"/>
    <n v="259877942"/>
    <n v="9"/>
    <s v="Bermejo"/>
    <b v="0"/>
    <b v="0"/>
    <n v="23"/>
    <n v="9"/>
    <n v="6"/>
    <n v="2"/>
    <x v="22"/>
    <n v="4"/>
    <n v="2"/>
    <n v="3"/>
    <n v="3"/>
    <n v="1"/>
    <n v="4"/>
    <n v="3"/>
    <n v="2"/>
    <n v="2"/>
    <n v="1"/>
    <n v="2"/>
    <n v="4"/>
    <n v="2"/>
    <n v="2"/>
    <n v="3"/>
    <n v="1"/>
    <n v="1"/>
    <n v="3"/>
    <n v="3"/>
    <n v="4"/>
    <n v="3"/>
    <n v="2"/>
    <n v="3"/>
    <n v="2"/>
    <n v="1"/>
    <n v="4"/>
    <n v="4"/>
    <n v="3"/>
    <n v="5"/>
    <n v="4"/>
    <n v="1"/>
    <n v="1"/>
    <n v="1"/>
    <n v="1"/>
    <n v="1"/>
    <n v="1"/>
    <n v="2"/>
    <n v="1"/>
    <n v="1"/>
    <n v="1"/>
    <n v="1"/>
    <n v="1"/>
    <n v="1"/>
    <n v="1"/>
    <n v="1"/>
    <n v="1"/>
    <n v="1"/>
    <n v="1"/>
    <n v="1"/>
    <n v="1"/>
    <n v="0"/>
    <n v="1"/>
    <n v="1"/>
    <n v="1"/>
    <n v="0"/>
    <n v="1"/>
    <n v="1"/>
    <n v="0"/>
    <n v="1"/>
    <n v="1"/>
    <n v="0"/>
    <n v="1"/>
    <n v="1"/>
    <n v="0"/>
    <n v="1"/>
    <n v="1"/>
    <n v="1"/>
  </r>
  <r>
    <s v="CELESTIN,JEREMIAH"/>
    <s v="JEREMIAH"/>
    <s v="CELESTIN"/>
    <n v="239363286"/>
    <n v="9"/>
    <s v="Bermejo"/>
    <b v="0"/>
    <b v="0"/>
    <n v="20"/>
    <n v="2"/>
    <n v="4"/>
    <n v="2"/>
    <x v="18"/>
    <n v="4"/>
    <n v="2"/>
    <n v="3"/>
    <n v="3"/>
    <n v="1"/>
    <n v="2"/>
    <n v="4"/>
    <n v="2"/>
    <n v="2"/>
    <n v="2"/>
    <n v="2"/>
    <n v="4"/>
    <n v="2"/>
    <n v="4"/>
    <n v="2"/>
    <n v="1"/>
    <n v="1"/>
    <n v="3"/>
    <n v="3"/>
    <n v="4"/>
    <n v="3"/>
    <n v="2"/>
    <n v="3"/>
    <n v="3"/>
    <n v="2"/>
    <n v="4"/>
    <n v="4"/>
    <n v="3"/>
    <n v="1"/>
    <n v="1"/>
    <n v="1"/>
    <n v="1"/>
    <n v="0"/>
    <n v="1"/>
    <n v="1"/>
    <n v="0"/>
    <n v="2"/>
    <n v="1"/>
    <n v="1"/>
    <n v="1"/>
    <n v="1"/>
    <n v="1"/>
    <n v="0"/>
    <n v="0"/>
    <n v="1"/>
    <n v="1"/>
    <n v="0"/>
    <n v="1"/>
    <n v="1"/>
    <n v="1"/>
    <n v="1"/>
    <n v="0"/>
    <n v="1"/>
    <n v="1"/>
    <n v="0"/>
    <n v="1"/>
    <n v="1"/>
    <n v="0"/>
    <n v="1"/>
    <n v="1"/>
    <n v="1"/>
    <n v="0"/>
    <n v="1"/>
    <n v="0"/>
    <n v="1"/>
    <n v="1"/>
    <n v="1"/>
  </r>
  <r>
    <s v="CHARLES,JAMIR"/>
    <s v="JAMIR"/>
    <s v="CHARLES"/>
    <n v="235142171"/>
    <n v="9"/>
    <s v="Kovelsky"/>
    <b v="0"/>
    <b v="0"/>
    <n v="9"/>
    <n v="2"/>
    <n v="4"/>
    <n v="1"/>
    <x v="11"/>
    <n v="4"/>
    <n v="4"/>
    <n v="3"/>
    <n v="1"/>
    <n v="1"/>
    <n v="3"/>
    <n v="3"/>
    <n v="2"/>
    <n v="2"/>
    <n v="4"/>
    <n v="2"/>
    <n v="2"/>
    <n v="1"/>
    <n v="2"/>
    <n v="1"/>
    <n v="1"/>
    <n v="4"/>
    <n v="1"/>
    <n v="2"/>
    <n v="3"/>
    <n v="2"/>
    <n v="1"/>
    <n v="1"/>
    <n v="2"/>
    <n v="3"/>
    <n v="1"/>
    <n v="4"/>
    <n v="1"/>
    <n v="1"/>
    <n v="1"/>
    <n v="1"/>
    <n v="1"/>
    <n v="1"/>
    <n v="0"/>
    <n v="0"/>
    <n v="1"/>
    <n v="1"/>
    <n v="1"/>
    <n v="0"/>
    <n v="1"/>
    <n v="0"/>
    <n v="1"/>
    <n v="0"/>
    <n v="1"/>
    <n v="1"/>
    <n v="1"/>
    <n v="0"/>
    <n v="1"/>
    <n v="0"/>
    <n v="0"/>
    <n v="0"/>
    <n v="0"/>
    <n v="1"/>
    <n v="0"/>
    <n v="0"/>
    <n v="0"/>
    <n v="0"/>
    <n v="1"/>
    <n v="0"/>
    <n v="0"/>
    <n v="0"/>
    <n v="0"/>
    <n v="0"/>
    <n v="0"/>
    <n v="0"/>
    <n v="0"/>
    <n v="0"/>
  </r>
  <r>
    <s v="CHASE,JACOB"/>
    <s v="JACOB"/>
    <s v="CHASE"/>
    <n v="234137040"/>
    <n v="11"/>
    <s v="Dushin"/>
    <b v="0"/>
    <b v="0"/>
    <n v="24"/>
    <n v="6"/>
    <n v="6"/>
    <n v="3.5"/>
    <x v="23"/>
    <n v="4"/>
    <n v="2"/>
    <n v="3"/>
    <n v="3"/>
    <n v="1"/>
    <n v="4"/>
    <n v="3"/>
    <n v="2"/>
    <n v="2"/>
    <n v="1"/>
    <n v="2"/>
    <n v="4"/>
    <n v="2"/>
    <n v="1"/>
    <n v="3"/>
    <n v="1"/>
    <n v="1"/>
    <n v="4"/>
    <n v="1"/>
    <n v="4"/>
    <n v="2"/>
    <n v="2"/>
    <n v="1"/>
    <n v="3"/>
    <n v="3"/>
    <n v="4"/>
    <n v="1"/>
    <n v="3"/>
    <n v="4"/>
    <n v="2"/>
    <n v="1"/>
    <n v="1"/>
    <n v="1"/>
    <n v="1"/>
    <n v="1"/>
    <n v="1"/>
    <n v="3.5"/>
    <n v="1"/>
    <n v="1"/>
    <n v="1"/>
    <n v="1"/>
    <n v="1"/>
    <n v="1"/>
    <n v="1"/>
    <n v="1"/>
    <n v="1"/>
    <n v="1"/>
    <n v="1"/>
    <n v="1"/>
    <n v="1"/>
    <n v="0"/>
    <n v="1"/>
    <n v="1"/>
    <n v="1"/>
    <n v="1"/>
    <n v="0"/>
    <n v="1"/>
    <n v="1"/>
    <n v="1"/>
    <n v="0"/>
    <n v="1"/>
    <n v="0"/>
    <n v="1"/>
    <n v="1"/>
    <n v="1"/>
    <n v="1"/>
    <n v="1"/>
  </r>
  <r>
    <s v="CHICHAY,ANTHONY"/>
    <s v="ANTHONY"/>
    <s v="CHICHAY"/>
    <n v="204256374"/>
    <n v="11"/>
    <s v="Other"/>
    <b v="0"/>
    <b v="0"/>
    <n v="19"/>
    <n v="3"/>
    <n v="5"/>
    <n v="0"/>
    <x v="24"/>
    <n v="4"/>
    <n v="3"/>
    <n v="3"/>
    <n v="3"/>
    <n v="1"/>
    <n v="4"/>
    <n v="3"/>
    <n v="2"/>
    <n v="2"/>
    <n v="1"/>
    <n v="2"/>
    <n v="3"/>
    <n v="3"/>
    <n v="1"/>
    <n v="4"/>
    <n v="1"/>
    <n v="1"/>
    <n v="4"/>
    <n v="3"/>
    <n v="1"/>
    <n v="2"/>
    <n v="2"/>
    <n v="3"/>
    <n v="2"/>
    <n v="4"/>
    <n v="4"/>
    <n v="2"/>
    <n v="3"/>
    <n v="1"/>
    <n v="2"/>
    <n v="1"/>
    <n v="0"/>
    <n v="1"/>
    <n v="1"/>
    <n v="1"/>
    <n v="1"/>
    <n v="0"/>
    <n v="1"/>
    <n v="0"/>
    <n v="1"/>
    <n v="1"/>
    <n v="1"/>
    <n v="1"/>
    <n v="1"/>
    <n v="1"/>
    <n v="1"/>
    <n v="1"/>
    <n v="1"/>
    <n v="0"/>
    <n v="0"/>
    <n v="0"/>
    <n v="0"/>
    <n v="1"/>
    <n v="1"/>
    <n v="1"/>
    <n v="1"/>
    <n v="0"/>
    <n v="1"/>
    <n v="1"/>
    <n v="1"/>
    <n v="0"/>
    <n v="0"/>
    <n v="1"/>
    <n v="0"/>
    <n v="1"/>
    <n v="0"/>
    <n v="0"/>
  </r>
  <r>
    <s v="CHRISTIE,JUDE"/>
    <s v="JUDE"/>
    <s v="CHRISTIE"/>
    <n v="236828984"/>
    <n v="11"/>
    <s v="Dushin"/>
    <b v="0"/>
    <b v="0"/>
    <n v="21"/>
    <n v="4"/>
    <n v="3"/>
    <n v="0"/>
    <x v="25"/>
    <n v="4"/>
    <n v="2"/>
    <n v="3"/>
    <n v="4"/>
    <n v="1"/>
    <n v="2"/>
    <n v="3"/>
    <n v="2"/>
    <n v="2"/>
    <n v="1"/>
    <n v="2"/>
    <n v="4"/>
    <n v="1"/>
    <n v="3"/>
    <n v="3"/>
    <n v="2"/>
    <n v="1"/>
    <n v="4"/>
    <n v="3"/>
    <n v="2"/>
    <n v="4"/>
    <n v="2"/>
    <n v="3"/>
    <n v="3"/>
    <n v="1"/>
    <n v="4"/>
    <n v="1"/>
    <n v="3"/>
    <n v="3"/>
    <n v="1"/>
    <n v="0"/>
    <n v="1"/>
    <n v="0"/>
    <n v="1"/>
    <n v="0"/>
    <n v="1"/>
    <n v="0"/>
    <n v="1"/>
    <n v="1"/>
    <n v="1"/>
    <n v="0"/>
    <n v="1"/>
    <n v="0"/>
    <n v="1"/>
    <n v="1"/>
    <n v="1"/>
    <n v="1"/>
    <n v="1"/>
    <n v="1"/>
    <n v="0"/>
    <n v="0"/>
    <n v="1"/>
    <n v="0"/>
    <n v="1"/>
    <n v="1"/>
    <n v="1"/>
    <n v="0"/>
    <n v="0"/>
    <n v="1"/>
    <n v="1"/>
    <n v="1"/>
    <n v="1"/>
    <n v="1"/>
    <n v="1"/>
    <n v="1"/>
    <n v="0"/>
    <n v="0"/>
  </r>
  <r>
    <s v="CHRISTOPHER,JOHN"/>
    <s v="JOHN"/>
    <s v="CHRISTOPHER"/>
    <n v="235084878"/>
    <n v="11"/>
    <s v="Antaky"/>
    <b v="0"/>
    <b v="0"/>
    <n v="22"/>
    <n v="3"/>
    <n v="5"/>
    <n v="1.5"/>
    <x v="13"/>
    <n v="4"/>
    <n v="1"/>
    <n v="3"/>
    <n v="3"/>
    <n v="1"/>
    <n v="4"/>
    <n v="3"/>
    <n v="2"/>
    <n v="3"/>
    <n v="1"/>
    <n v="2"/>
    <n v="4"/>
    <n v="2"/>
    <n v="4"/>
    <n v="3"/>
    <n v="4"/>
    <n v="1"/>
    <n v="4"/>
    <n v="3"/>
    <n v="1"/>
    <n v="2"/>
    <n v="2"/>
    <n v="3"/>
    <n v="2"/>
    <n v="1"/>
    <n v="2"/>
    <n v="1"/>
    <n v="3"/>
    <n v="1"/>
    <n v="2"/>
    <n v="1"/>
    <n v="1"/>
    <n v="1"/>
    <n v="1"/>
    <n v="1"/>
    <n v="0"/>
    <n v="1.5"/>
    <n v="1"/>
    <n v="0"/>
    <n v="1"/>
    <n v="1"/>
    <n v="1"/>
    <n v="1"/>
    <n v="1"/>
    <n v="1"/>
    <n v="0"/>
    <n v="1"/>
    <n v="1"/>
    <n v="1"/>
    <n v="1"/>
    <n v="1"/>
    <n v="1"/>
    <n v="0"/>
    <n v="1"/>
    <n v="1"/>
    <n v="1"/>
    <n v="0"/>
    <n v="1"/>
    <n v="1"/>
    <n v="1"/>
    <n v="0"/>
    <n v="1"/>
    <n v="0"/>
    <n v="1"/>
    <n v="1"/>
    <n v="1"/>
    <n v="1"/>
  </r>
  <r>
    <s v="CLARKE,GIOVANNI"/>
    <s v="GIOVANNI"/>
    <s v="CLARKE"/>
    <n v="234117588"/>
    <n v="11"/>
    <s v="Antaky"/>
    <b v="0"/>
    <b v="0"/>
    <n v="19"/>
    <n v="5"/>
    <n v="6"/>
    <n v="2.5"/>
    <x v="14"/>
    <n v="4"/>
    <n v="1"/>
    <n v="3"/>
    <n v="3"/>
    <n v="1"/>
    <n v="3"/>
    <n v="3"/>
    <n v="1"/>
    <n v="2"/>
    <n v="1"/>
    <n v="2"/>
    <n v="4"/>
    <n v="2"/>
    <n v="4"/>
    <n v="3"/>
    <n v="1"/>
    <n v="2"/>
    <n v="3"/>
    <n v="1"/>
    <n v="1"/>
    <n v="3"/>
    <n v="2"/>
    <n v="3"/>
    <n v="2"/>
    <n v="1"/>
    <n v="4"/>
    <n v="1"/>
    <n v="3"/>
    <n v="3"/>
    <n v="2"/>
    <n v="1"/>
    <n v="1"/>
    <n v="1"/>
    <n v="1"/>
    <n v="1"/>
    <n v="1"/>
    <n v="2.5"/>
    <n v="1"/>
    <n v="0"/>
    <n v="1"/>
    <n v="1"/>
    <n v="1"/>
    <n v="0"/>
    <n v="1"/>
    <n v="0"/>
    <n v="1"/>
    <n v="1"/>
    <n v="1"/>
    <n v="1"/>
    <n v="1"/>
    <n v="1"/>
    <n v="1"/>
    <n v="1"/>
    <n v="0"/>
    <n v="0"/>
    <n v="0"/>
    <n v="0"/>
    <n v="0"/>
    <n v="1"/>
    <n v="1"/>
    <n v="0"/>
    <n v="1"/>
    <n v="1"/>
    <n v="1"/>
    <n v="1"/>
    <n v="1"/>
    <n v="1"/>
  </r>
  <r>
    <s v="COY,VIOLET"/>
    <s v="VIOLET"/>
    <s v="COY"/>
    <n v="239847247"/>
    <n v="9"/>
    <s v="Kovelsky"/>
    <b v="0"/>
    <b v="0"/>
    <n v="15"/>
    <n v="3"/>
    <n v="5"/>
    <n v="2.5"/>
    <x v="5"/>
    <n v="4"/>
    <n v="1"/>
    <n v="1"/>
    <n v="1"/>
    <n v="1"/>
    <n v="3"/>
    <n v="4"/>
    <n v="2"/>
    <n v="4"/>
    <n v="1"/>
    <n v="2"/>
    <n v="4"/>
    <n v="1"/>
    <n v="4"/>
    <n v="1"/>
    <n v="4"/>
    <n v="1"/>
    <n v="3"/>
    <n v="3"/>
    <n v="4"/>
    <n v="2"/>
    <n v="2"/>
    <n v="4"/>
    <n v="4"/>
    <n v="3"/>
    <n v="4"/>
    <n v="1"/>
    <n v="3"/>
    <n v="2"/>
    <n v="1"/>
    <n v="1"/>
    <n v="1"/>
    <n v="1"/>
    <n v="1"/>
    <n v="1"/>
    <n v="0"/>
    <n v="2.5"/>
    <n v="1"/>
    <n v="0"/>
    <n v="0"/>
    <n v="0"/>
    <n v="1"/>
    <n v="0"/>
    <n v="0"/>
    <n v="1"/>
    <n v="0"/>
    <n v="1"/>
    <n v="1"/>
    <n v="1"/>
    <n v="0"/>
    <n v="1"/>
    <n v="0"/>
    <n v="0"/>
    <n v="1"/>
    <n v="0"/>
    <n v="1"/>
    <n v="1"/>
    <n v="1"/>
    <n v="1"/>
    <n v="0"/>
    <n v="0"/>
    <n v="0"/>
    <n v="1"/>
    <n v="1"/>
    <n v="1"/>
    <n v="1"/>
    <n v="1"/>
  </r>
  <r>
    <s v="CRUZ,NINASIMONE"/>
    <s v="NINASIMONE"/>
    <s v="CRUZ"/>
    <n v="241702216"/>
    <n v="11"/>
    <s v="Bermejo"/>
    <b v="0"/>
    <b v="0"/>
    <n v="19"/>
    <n v="5"/>
    <n v="6"/>
    <n v="2"/>
    <x v="26"/>
    <n v="3"/>
    <n v="2"/>
    <n v="4"/>
    <n v="3"/>
    <n v="1"/>
    <n v="4"/>
    <n v="3"/>
    <n v="3"/>
    <n v="2"/>
    <n v="1"/>
    <n v="2"/>
    <n v="4"/>
    <n v="2"/>
    <n v="4"/>
    <n v="3"/>
    <n v="4"/>
    <n v="1"/>
    <n v="4"/>
    <n v="1"/>
    <n v="4"/>
    <n v="2"/>
    <n v="1"/>
    <n v="3"/>
    <n v="1"/>
    <n v="4"/>
    <n v="4"/>
    <n v="4"/>
    <n v="3"/>
    <n v="3"/>
    <n v="2"/>
    <n v="1"/>
    <n v="1"/>
    <n v="1"/>
    <n v="1"/>
    <n v="1"/>
    <n v="1"/>
    <n v="2"/>
    <n v="0"/>
    <n v="1"/>
    <n v="0"/>
    <n v="1"/>
    <n v="1"/>
    <n v="1"/>
    <n v="1"/>
    <n v="0"/>
    <n v="1"/>
    <n v="1"/>
    <n v="1"/>
    <n v="1"/>
    <n v="1"/>
    <n v="1"/>
    <n v="1"/>
    <n v="0"/>
    <n v="1"/>
    <n v="1"/>
    <n v="0"/>
    <n v="1"/>
    <n v="1"/>
    <n v="0"/>
    <n v="1"/>
    <n v="0"/>
    <n v="0"/>
    <n v="1"/>
    <n v="0"/>
    <n v="1"/>
    <n v="1"/>
    <n v="1"/>
  </r>
  <r>
    <s v="DALY,KIYAN"/>
    <s v="KIYAN"/>
    <s v="DALY"/>
    <n v="239358708"/>
    <n v="9"/>
    <s v="Bermejo"/>
    <b v="0"/>
    <b v="0"/>
    <n v="23"/>
    <n v="3"/>
    <n v="6"/>
    <n v="1"/>
    <x v="13"/>
    <n v="4"/>
    <n v="2"/>
    <n v="3"/>
    <n v="3"/>
    <n v="1"/>
    <n v="2"/>
    <n v="3"/>
    <n v="2"/>
    <n v="4"/>
    <n v="1"/>
    <n v="2"/>
    <n v="4"/>
    <n v="2"/>
    <n v="4"/>
    <n v="3"/>
    <n v="1"/>
    <n v="1"/>
    <n v="3"/>
    <n v="3"/>
    <n v="4"/>
    <n v="3"/>
    <n v="2"/>
    <n v="3"/>
    <n v="3"/>
    <n v="1"/>
    <n v="4"/>
    <n v="2"/>
    <n v="3"/>
    <n v="2"/>
    <n v="1"/>
    <n v="1"/>
    <n v="1"/>
    <n v="1"/>
    <n v="1"/>
    <n v="1"/>
    <n v="1"/>
    <n v="1"/>
    <n v="1"/>
    <n v="1"/>
    <n v="1"/>
    <n v="1"/>
    <n v="1"/>
    <n v="0"/>
    <n v="1"/>
    <n v="1"/>
    <n v="0"/>
    <n v="1"/>
    <n v="1"/>
    <n v="1"/>
    <n v="1"/>
    <n v="1"/>
    <n v="1"/>
    <n v="1"/>
    <n v="1"/>
    <n v="0"/>
    <n v="1"/>
    <n v="1"/>
    <n v="0"/>
    <n v="1"/>
    <n v="1"/>
    <n v="1"/>
    <n v="1"/>
    <n v="1"/>
    <n v="0"/>
    <n v="1"/>
    <n v="1"/>
    <n v="1"/>
  </r>
  <r>
    <s v="DANIEL,KRISTIAN"/>
    <s v="KRISTIAN"/>
    <s v="DANIEL"/>
    <n v="235399953"/>
    <n v="11"/>
    <s v="Dushin"/>
    <b v="0"/>
    <b v="0"/>
    <n v="18"/>
    <n v="10"/>
    <n v="6"/>
    <n v="5"/>
    <x v="6"/>
    <n v="4"/>
    <n v="1"/>
    <n v="3"/>
    <n v="4"/>
    <n v="1"/>
    <n v="3"/>
    <n v="3"/>
    <n v="2"/>
    <n v="2"/>
    <n v="1"/>
    <n v="2"/>
    <n v="1"/>
    <n v="4"/>
    <n v="1"/>
    <n v="4"/>
    <n v="1"/>
    <n v="1"/>
    <n v="4"/>
    <n v="3"/>
    <n v="1"/>
    <n v="3"/>
    <n v="2"/>
    <n v="3"/>
    <n v="3"/>
    <n v="3"/>
    <n v="4"/>
    <n v="1"/>
    <n v="3"/>
    <n v="5"/>
    <n v="5"/>
    <n v="1"/>
    <n v="1"/>
    <n v="1"/>
    <n v="1"/>
    <n v="1"/>
    <n v="1"/>
    <n v="5"/>
    <n v="1"/>
    <n v="0"/>
    <n v="1"/>
    <n v="0"/>
    <n v="1"/>
    <n v="0"/>
    <n v="1"/>
    <n v="1"/>
    <n v="1"/>
    <n v="1"/>
    <n v="1"/>
    <n v="0"/>
    <n v="0"/>
    <n v="0"/>
    <n v="0"/>
    <n v="1"/>
    <n v="1"/>
    <n v="1"/>
    <n v="1"/>
    <n v="0"/>
    <n v="0"/>
    <n v="1"/>
    <n v="1"/>
    <n v="1"/>
    <n v="0"/>
    <n v="1"/>
    <n v="1"/>
    <n v="1"/>
    <n v="1"/>
    <n v="1"/>
  </r>
  <r>
    <s v="DASILVA,JERMAINE"/>
    <s v="JERMAINE"/>
    <s v="DASILVA"/>
    <n v="234805398"/>
    <n v="11"/>
    <s v="Dushin"/>
    <b v="0"/>
    <b v="0"/>
    <n v="19"/>
    <n v="4"/>
    <n v="6"/>
    <n v="2.5"/>
    <x v="27"/>
    <n v="4"/>
    <n v="1"/>
    <n v="3"/>
    <n v="2"/>
    <n v="1"/>
    <n v="2"/>
    <n v="3"/>
    <n v="2"/>
    <n v="3"/>
    <n v="1"/>
    <n v="2"/>
    <n v="4"/>
    <n v="2"/>
    <n v="4"/>
    <n v="2"/>
    <n v="4"/>
    <n v="1"/>
    <n v="4"/>
    <n v="1"/>
    <n v="4"/>
    <n v="1"/>
    <n v="4"/>
    <n v="3"/>
    <n v="3"/>
    <n v="1"/>
    <n v="4"/>
    <n v="1"/>
    <n v="3"/>
    <n v="2"/>
    <n v="2"/>
    <n v="1"/>
    <n v="1"/>
    <n v="1"/>
    <n v="1"/>
    <n v="1"/>
    <n v="1"/>
    <n v="2.5"/>
    <n v="1"/>
    <n v="0"/>
    <n v="1"/>
    <n v="0"/>
    <n v="1"/>
    <n v="0"/>
    <n v="1"/>
    <n v="1"/>
    <n v="0"/>
    <n v="1"/>
    <n v="1"/>
    <n v="1"/>
    <n v="1"/>
    <n v="1"/>
    <n v="0"/>
    <n v="0"/>
    <n v="1"/>
    <n v="1"/>
    <n v="0"/>
    <n v="1"/>
    <n v="0"/>
    <n v="0"/>
    <n v="1"/>
    <n v="1"/>
    <n v="1"/>
    <n v="1"/>
    <n v="1"/>
    <n v="1"/>
    <n v="1"/>
    <n v="1"/>
  </r>
  <r>
    <s v="DAVIS,ISAIAH"/>
    <s v="ISAIAH"/>
    <s v="DAVIS"/>
    <n v="235878618"/>
    <n v="11"/>
    <s v="Kovelsky"/>
    <b v="0"/>
    <b v="0"/>
    <n v="20"/>
    <n v="3"/>
    <n v="4"/>
    <n v="1.5"/>
    <x v="9"/>
    <n v="4"/>
    <n v="2"/>
    <n v="3"/>
    <n v="3"/>
    <n v="1"/>
    <n v="4"/>
    <n v="3"/>
    <n v="3"/>
    <n v="2"/>
    <n v="1"/>
    <n v="2"/>
    <n v="4"/>
    <n v="1"/>
    <n v="4"/>
    <n v="1"/>
    <n v="4"/>
    <n v="1"/>
    <n v="4"/>
    <n v="3"/>
    <n v="2"/>
    <n v="2"/>
    <n v="2"/>
    <n v="1"/>
    <n v="3"/>
    <n v="2"/>
    <n v="4"/>
    <n v="2"/>
    <n v="3"/>
    <n v="2"/>
    <n v="1"/>
    <n v="0"/>
    <n v="1"/>
    <n v="1"/>
    <n v="1"/>
    <n v="1"/>
    <n v="0"/>
    <n v="1.5"/>
    <n v="1"/>
    <n v="1"/>
    <n v="1"/>
    <n v="1"/>
    <n v="1"/>
    <n v="1"/>
    <n v="1"/>
    <n v="0"/>
    <n v="1"/>
    <n v="1"/>
    <n v="1"/>
    <n v="1"/>
    <n v="0"/>
    <n v="1"/>
    <n v="0"/>
    <n v="0"/>
    <n v="1"/>
    <n v="1"/>
    <n v="1"/>
    <n v="0"/>
    <n v="1"/>
    <n v="1"/>
    <n v="0"/>
    <n v="1"/>
    <n v="0"/>
    <n v="1"/>
    <n v="0"/>
    <n v="1"/>
    <n v="1"/>
    <n v="1"/>
  </r>
  <r>
    <s v="DAVIS,MALACHI"/>
    <s v="MALACHI"/>
    <s v="DAVIS"/>
    <n v="226573442"/>
    <n v="11"/>
    <s v="Dushin"/>
    <b v="0"/>
    <b v="1"/>
    <n v="12"/>
    <n v="1"/>
    <n v="0"/>
    <n v="0"/>
    <x v="28"/>
    <n v="4"/>
    <n v="2"/>
    <n v="3"/>
    <n v="3"/>
    <n v="3"/>
    <n v="2"/>
    <n v="4"/>
    <n v="1"/>
    <n v="2"/>
    <n v="1"/>
    <n v="2"/>
    <n v="3"/>
    <n v="1"/>
    <n v="3"/>
    <n v="3"/>
    <n v="1"/>
    <n v="1"/>
    <n v="4"/>
    <n v="2"/>
    <n v="3"/>
    <n v="1"/>
    <n v="3"/>
    <n v="4"/>
    <n v="2"/>
    <n v="1"/>
    <n v="3"/>
    <n v="3"/>
    <n v="4"/>
    <n v="1"/>
    <n v="0"/>
    <n v="0"/>
    <n v="0"/>
    <n v="0"/>
    <n v="0"/>
    <n v="0"/>
    <n v="0"/>
    <n v="0"/>
    <n v="1"/>
    <n v="1"/>
    <n v="1"/>
    <n v="1"/>
    <n v="0"/>
    <n v="0"/>
    <n v="0"/>
    <n v="0"/>
    <n v="1"/>
    <n v="1"/>
    <n v="1"/>
    <n v="0"/>
    <n v="0"/>
    <n v="0"/>
    <n v="1"/>
    <n v="1"/>
    <n v="1"/>
    <n v="1"/>
    <n v="0"/>
    <n v="0"/>
    <n v="0"/>
    <n v="0"/>
    <n v="0"/>
    <n v="0"/>
    <n v="1"/>
    <n v="0"/>
    <n v="0"/>
    <n v="0"/>
    <n v="0"/>
    <n v="0"/>
  </r>
  <r>
    <s v="DE JESUS,GIOVANNI"/>
    <s v="GIOVANNI"/>
    <s v="DE JESUS"/>
    <n v="239299746"/>
    <n v="9"/>
    <s v="Bermejo"/>
    <b v="0"/>
    <b v="0"/>
    <n v="17"/>
    <n v="2"/>
    <n v="3"/>
    <n v="0.5"/>
    <x v="20"/>
    <n v="4"/>
    <n v="3"/>
    <n v="3"/>
    <n v="3"/>
    <n v="3"/>
    <n v="1"/>
    <n v="2"/>
    <n v="2"/>
    <n v="3"/>
    <n v="4"/>
    <n v="2"/>
    <n v="4"/>
    <n v="2"/>
    <n v="4"/>
    <n v="1"/>
    <n v="1"/>
    <n v="1"/>
    <n v="3"/>
    <n v="3"/>
    <n v="4"/>
    <n v="3"/>
    <n v="2"/>
    <n v="3"/>
    <n v="3"/>
    <n v="3"/>
    <n v="4"/>
    <n v="1"/>
    <n v="2"/>
    <n v="1"/>
    <n v="1"/>
    <n v="0"/>
    <n v="0"/>
    <n v="1"/>
    <n v="0"/>
    <n v="1"/>
    <n v="1"/>
    <n v="0.5"/>
    <n v="1"/>
    <n v="0"/>
    <n v="1"/>
    <n v="1"/>
    <n v="0"/>
    <n v="0"/>
    <n v="0"/>
    <n v="1"/>
    <n v="0"/>
    <n v="0"/>
    <n v="1"/>
    <n v="1"/>
    <n v="1"/>
    <n v="1"/>
    <n v="0"/>
    <n v="1"/>
    <n v="1"/>
    <n v="0"/>
    <n v="1"/>
    <n v="1"/>
    <n v="0"/>
    <n v="1"/>
    <n v="1"/>
    <n v="1"/>
    <n v="0"/>
    <n v="1"/>
    <n v="1"/>
    <n v="0"/>
    <n v="0"/>
    <n v="0"/>
  </r>
  <r>
    <s v="DIAZ SIERRA,BRITNEY"/>
    <s v="BRITNEY"/>
    <s v="DIAZ SIERRA"/>
    <n v="237622477"/>
    <n v="11"/>
    <s v="Antaky"/>
    <b v="0"/>
    <b v="0"/>
    <n v="16"/>
    <n v="3"/>
    <n v="6"/>
    <n v="1"/>
    <x v="25"/>
    <n v="1"/>
    <n v="2"/>
    <n v="4"/>
    <n v="2"/>
    <n v="1"/>
    <n v="4"/>
    <n v="3"/>
    <n v="2"/>
    <n v="3"/>
    <n v="1"/>
    <n v="2"/>
    <n v="4"/>
    <n v="2"/>
    <n v="4"/>
    <n v="3"/>
    <n v="4"/>
    <n v="4"/>
    <n v="4"/>
    <n v="3"/>
    <n v="1"/>
    <n v="2"/>
    <n v="4"/>
    <n v="4"/>
    <n v="4"/>
    <n v="3"/>
    <n v="4"/>
    <n v="2"/>
    <n v="3"/>
    <n v="2"/>
    <n v="1"/>
    <n v="1"/>
    <n v="1"/>
    <n v="1"/>
    <n v="1"/>
    <n v="1"/>
    <n v="1"/>
    <n v="1"/>
    <n v="0"/>
    <n v="1"/>
    <n v="0"/>
    <n v="0"/>
    <n v="1"/>
    <n v="1"/>
    <n v="1"/>
    <n v="1"/>
    <n v="0"/>
    <n v="1"/>
    <n v="1"/>
    <n v="1"/>
    <n v="1"/>
    <n v="1"/>
    <n v="1"/>
    <n v="0"/>
    <n v="0"/>
    <n v="1"/>
    <n v="1"/>
    <n v="0"/>
    <n v="1"/>
    <n v="0"/>
    <n v="0"/>
    <n v="0"/>
    <n v="0"/>
    <n v="1"/>
    <n v="0"/>
    <n v="1"/>
    <n v="0"/>
    <n v="0"/>
  </r>
  <r>
    <s v="DOUGLAS SOTO,CARTER"/>
    <s v="CARTER"/>
    <s v="DOUGLAS SOTO"/>
    <n v="229983929"/>
    <n v="9"/>
    <s v="Bermejo"/>
    <b v="0"/>
    <b v="0"/>
    <n v="12"/>
    <n v="2"/>
    <n v="6"/>
    <n v="1"/>
    <x v="17"/>
    <n v="4"/>
    <n v="2"/>
    <n v="2"/>
    <n v="4"/>
    <n v="1"/>
    <n v="3"/>
    <n v="2"/>
    <n v="4"/>
    <n v="2"/>
    <n v="4"/>
    <n v="2"/>
    <n v="4"/>
    <n v="2"/>
    <n v="4"/>
    <n v="1"/>
    <n v="3"/>
    <n v="4"/>
    <n v="1"/>
    <n v="3"/>
    <n v="4"/>
    <n v="1"/>
    <n v="2"/>
    <n v="3"/>
    <n v="4"/>
    <n v="3"/>
    <n v="1"/>
    <n v="2"/>
    <n v="1"/>
    <n v="2"/>
    <n v="0"/>
    <n v="1"/>
    <n v="1"/>
    <n v="1"/>
    <n v="1"/>
    <n v="1"/>
    <n v="1"/>
    <n v="1"/>
    <n v="1"/>
    <n v="1"/>
    <n v="0"/>
    <n v="0"/>
    <n v="1"/>
    <n v="0"/>
    <n v="0"/>
    <n v="0"/>
    <n v="1"/>
    <n v="0"/>
    <n v="1"/>
    <n v="1"/>
    <n v="1"/>
    <n v="1"/>
    <n v="0"/>
    <n v="0"/>
    <n v="0"/>
    <n v="0"/>
    <n v="1"/>
    <n v="1"/>
    <n v="0"/>
    <n v="1"/>
    <n v="1"/>
    <n v="0"/>
    <n v="0"/>
    <n v="0"/>
    <n v="0"/>
    <n v="0"/>
    <n v="0"/>
    <n v="0"/>
  </r>
  <r>
    <s v="DOUGLAS,ARMANII"/>
    <s v="ARMANII"/>
    <s v="DOUGLAS"/>
    <n v="239004773"/>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DOUZE,ANDREA"/>
    <s v="ANDREA"/>
    <s v="DOUZE"/>
    <n v="234151868"/>
    <n v="11"/>
    <s v="Bermejo"/>
    <b v="0"/>
    <b v="0"/>
    <n v="19"/>
    <n v="3"/>
    <n v="6"/>
    <n v="2.5"/>
    <x v="26"/>
    <n v="3"/>
    <n v="2"/>
    <n v="1"/>
    <n v="2"/>
    <n v="1"/>
    <n v="4"/>
    <n v="3"/>
    <n v="2"/>
    <n v="2"/>
    <n v="1"/>
    <n v="2"/>
    <n v="2"/>
    <n v="2"/>
    <n v="4"/>
    <n v="3"/>
    <n v="4"/>
    <n v="1"/>
    <n v="4"/>
    <n v="3"/>
    <n v="1"/>
    <n v="2"/>
    <n v="4"/>
    <n v="3"/>
    <n v="3"/>
    <n v="4"/>
    <n v="4"/>
    <n v="4"/>
    <n v="3"/>
    <n v="2"/>
    <n v="1"/>
    <n v="1"/>
    <n v="1"/>
    <n v="1"/>
    <n v="1"/>
    <n v="1"/>
    <n v="1"/>
    <n v="2.5"/>
    <n v="0"/>
    <n v="1"/>
    <n v="0"/>
    <n v="0"/>
    <n v="1"/>
    <n v="1"/>
    <n v="1"/>
    <n v="1"/>
    <n v="1"/>
    <n v="1"/>
    <n v="1"/>
    <n v="0"/>
    <n v="1"/>
    <n v="1"/>
    <n v="1"/>
    <n v="0"/>
    <n v="1"/>
    <n v="1"/>
    <n v="1"/>
    <n v="0"/>
    <n v="1"/>
    <n v="0"/>
    <n v="1"/>
    <n v="1"/>
    <n v="0"/>
    <n v="1"/>
    <n v="0"/>
    <n v="1"/>
    <n v="1"/>
    <n v="1"/>
  </r>
  <r>
    <s v="DRAKE,TAMIA"/>
    <s v="TAMIA"/>
    <s v="DRAKE"/>
    <n v="238988810"/>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DUNCAN,THALIA"/>
    <s v="THALIA"/>
    <s v="DUNCAN"/>
    <n v="239422025"/>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DURANDISSE,CARVENS"/>
    <s v="CARVENS"/>
    <s v="DURANDISSE"/>
    <n v="207929878"/>
    <n v="11"/>
    <s v="Kovelsky"/>
    <b v="0"/>
    <b v="0"/>
    <n v="16"/>
    <n v="2"/>
    <n v="5"/>
    <n v="2.5"/>
    <x v="5"/>
    <n v="3"/>
    <n v="1"/>
    <n v="4"/>
    <n v="3"/>
    <n v="1"/>
    <n v="2"/>
    <n v="3"/>
    <n v="2"/>
    <n v="2"/>
    <n v="1"/>
    <n v="2"/>
    <n v="3"/>
    <n v="2"/>
    <n v="4"/>
    <n v="1"/>
    <n v="1"/>
    <n v="2"/>
    <n v="4"/>
    <n v="3"/>
    <n v="1"/>
    <n v="4"/>
    <n v="4"/>
    <n v="3"/>
    <n v="3"/>
    <n v="3"/>
    <n v="4"/>
    <n v="4"/>
    <n v="3"/>
    <n v="2"/>
    <n v="0"/>
    <n v="1"/>
    <n v="1"/>
    <n v="0"/>
    <n v="1"/>
    <n v="1"/>
    <n v="1"/>
    <n v="2.5"/>
    <n v="0"/>
    <n v="0"/>
    <n v="0"/>
    <n v="1"/>
    <n v="1"/>
    <n v="0"/>
    <n v="1"/>
    <n v="1"/>
    <n v="1"/>
    <n v="1"/>
    <n v="1"/>
    <n v="0"/>
    <n v="1"/>
    <n v="1"/>
    <n v="0"/>
    <n v="1"/>
    <n v="0"/>
    <n v="1"/>
    <n v="1"/>
    <n v="0"/>
    <n v="0"/>
    <n v="0"/>
    <n v="1"/>
    <n v="1"/>
    <n v="0"/>
    <n v="1"/>
    <n v="0"/>
    <n v="1"/>
    <n v="1"/>
    <n v="1"/>
  </r>
  <r>
    <s v="DURHAM,EMMA"/>
    <s v="EMMA"/>
    <s v="DURHAM"/>
    <n v="215132754"/>
    <n v="11"/>
    <s v="Kovelsky"/>
    <b v="0"/>
    <b v="0"/>
    <n v="20"/>
    <n v="3"/>
    <n v="2"/>
    <n v="0"/>
    <x v="10"/>
    <n v="4"/>
    <n v="2"/>
    <n v="3"/>
    <n v="4"/>
    <n v="1"/>
    <n v="2"/>
    <n v="3"/>
    <n v="3"/>
    <n v="2"/>
    <n v="1"/>
    <n v="2"/>
    <n v="4"/>
    <n v="2"/>
    <n v="4"/>
    <n v="3"/>
    <n v="1"/>
    <n v="1"/>
    <n v="2"/>
    <n v="2"/>
    <n v="4"/>
    <n v="2"/>
    <n v="2"/>
    <n v="3"/>
    <n v="2"/>
    <n v="1"/>
    <n v="4"/>
    <n v="4"/>
    <n v="1"/>
    <n v="2"/>
    <n v="1"/>
    <n v="0"/>
    <n v="0"/>
    <n v="1"/>
    <n v="1"/>
    <n v="0"/>
    <n v="0"/>
    <n v="0"/>
    <n v="1"/>
    <n v="1"/>
    <n v="1"/>
    <n v="0"/>
    <n v="1"/>
    <n v="0"/>
    <n v="1"/>
    <n v="0"/>
    <n v="1"/>
    <n v="1"/>
    <n v="1"/>
    <n v="1"/>
    <n v="1"/>
    <n v="1"/>
    <n v="1"/>
    <n v="1"/>
    <n v="1"/>
    <n v="0"/>
    <n v="0"/>
    <n v="1"/>
    <n v="1"/>
    <n v="1"/>
    <n v="1"/>
    <n v="0"/>
    <n v="1"/>
    <n v="1"/>
    <n v="0"/>
    <n v="0"/>
    <n v="0"/>
    <n v="0"/>
  </r>
  <r>
    <s v="DYE,ROBERT"/>
    <s v="ROBERT"/>
    <s v="DYE"/>
    <n v="234781201"/>
    <n v="11"/>
    <s v="Dushin"/>
    <b v="0"/>
    <b v="1"/>
    <n v="16"/>
    <n v="6"/>
    <n v="6"/>
    <n v="4"/>
    <x v="7"/>
    <n v="4"/>
    <n v="1"/>
    <n v="3"/>
    <n v="3"/>
    <n v="1"/>
    <n v="2"/>
    <n v="3"/>
    <n v="3"/>
    <n v="2"/>
    <n v="1"/>
    <n v="2"/>
    <n v="3"/>
    <n v="2"/>
    <n v="2"/>
    <n v="4"/>
    <n v="1"/>
    <n v="3"/>
    <n v="1"/>
    <n v="3"/>
    <n v="3"/>
    <n v="2"/>
    <n v="4"/>
    <n v="3"/>
    <n v="3"/>
    <n v="1"/>
    <n v="4"/>
    <n v="4"/>
    <n v="2"/>
    <n v="3"/>
    <n v="3"/>
    <n v="1"/>
    <n v="1"/>
    <n v="1"/>
    <n v="1"/>
    <n v="1"/>
    <n v="1"/>
    <n v="4"/>
    <n v="1"/>
    <n v="0"/>
    <n v="1"/>
    <n v="1"/>
    <n v="1"/>
    <n v="0"/>
    <n v="1"/>
    <n v="0"/>
    <n v="1"/>
    <n v="1"/>
    <n v="1"/>
    <n v="0"/>
    <n v="1"/>
    <n v="0"/>
    <n v="0"/>
    <n v="1"/>
    <n v="0"/>
    <n v="0"/>
    <n v="1"/>
    <n v="0"/>
    <n v="1"/>
    <n v="0"/>
    <n v="1"/>
    <n v="1"/>
    <n v="1"/>
    <n v="1"/>
    <n v="0"/>
    <n v="0"/>
    <n v="1"/>
    <n v="1"/>
  </r>
  <r>
    <s v="EDOUAZIN,KEENAN MALA"/>
    <s v="KEENAN MALA"/>
    <s v="EDOUAZIN"/>
    <n v="240868356"/>
    <n v="9"/>
    <s v="Bermejo"/>
    <b v="0"/>
    <b v="0"/>
    <n v="16"/>
    <n v="2"/>
    <n v="3"/>
    <n v="1"/>
    <x v="20"/>
    <n v="4"/>
    <n v="2"/>
    <n v="3"/>
    <n v="3"/>
    <n v="1"/>
    <n v="2"/>
    <n v="3"/>
    <n v="2"/>
    <n v="2"/>
    <n v="1"/>
    <n v="2"/>
    <n v="4"/>
    <n v="2"/>
    <n v="3"/>
    <n v="4"/>
    <n v="1"/>
    <n v="3"/>
    <n v="2"/>
    <n v="2"/>
    <n v="3"/>
    <n v="2"/>
    <n v="2"/>
    <n v="3"/>
    <n v="1"/>
    <n v="2"/>
    <n v="3"/>
    <n v="2"/>
    <n v="4"/>
    <n v="1"/>
    <n v="1"/>
    <n v="0"/>
    <n v="0"/>
    <n v="1"/>
    <n v="0"/>
    <n v="1"/>
    <n v="1"/>
    <n v="1"/>
    <n v="1"/>
    <n v="1"/>
    <n v="1"/>
    <n v="1"/>
    <n v="1"/>
    <n v="0"/>
    <n v="1"/>
    <n v="1"/>
    <n v="1"/>
    <n v="1"/>
    <n v="1"/>
    <n v="1"/>
    <n v="1"/>
    <n v="0"/>
    <n v="0"/>
    <n v="1"/>
    <n v="0"/>
    <n v="0"/>
    <n v="0"/>
    <n v="0"/>
    <n v="1"/>
    <n v="1"/>
    <n v="1"/>
    <n v="0"/>
    <n v="0"/>
    <n v="0"/>
    <n v="0"/>
    <n v="0"/>
    <n v="0"/>
    <n v="0"/>
  </r>
  <r>
    <s v="EDWARDS,KEVIN"/>
    <s v="KEVIN"/>
    <s v="EDWARDS"/>
    <n v="233910959"/>
    <n v="11"/>
    <s v="Dushin"/>
    <b v="0"/>
    <b v="1"/>
    <n v="11"/>
    <n v="4"/>
    <n v="4"/>
    <n v="1.5"/>
    <x v="20"/>
    <n v="3"/>
    <n v="2"/>
    <n v="4"/>
    <n v="2"/>
    <n v="3"/>
    <n v="4"/>
    <n v="3"/>
    <n v="2"/>
    <n v="1"/>
    <n v="1"/>
    <n v="2"/>
    <n v="3"/>
    <n v="4"/>
    <n v="4"/>
    <n v="1"/>
    <n v="4"/>
    <n v="3"/>
    <n v="1"/>
    <n v="3"/>
    <n v="2"/>
    <n v="4"/>
    <n v="1"/>
    <n v="3"/>
    <n v="4"/>
    <n v="3"/>
    <n v="4"/>
    <n v="4"/>
    <n v="3"/>
    <n v="3"/>
    <n v="1"/>
    <n v="0"/>
    <n v="1"/>
    <n v="0"/>
    <n v="1"/>
    <n v="1"/>
    <n v="1"/>
    <n v="1.5"/>
    <n v="0"/>
    <n v="1"/>
    <n v="0"/>
    <n v="0"/>
    <n v="0"/>
    <n v="1"/>
    <n v="1"/>
    <n v="1"/>
    <n v="0"/>
    <n v="1"/>
    <n v="1"/>
    <n v="0"/>
    <n v="0"/>
    <n v="1"/>
    <n v="0"/>
    <n v="0"/>
    <n v="0"/>
    <n v="0"/>
    <n v="1"/>
    <n v="0"/>
    <n v="0"/>
    <n v="0"/>
    <n v="1"/>
    <n v="0"/>
    <n v="0"/>
    <n v="1"/>
    <n v="0"/>
    <n v="1"/>
    <n v="0"/>
    <n v="1"/>
  </r>
  <r>
    <s v="ELLISON,KADYN AMIR"/>
    <s v="KADYN AMIR"/>
    <s v="ELLISON"/>
    <n v="235180031"/>
    <n v="9"/>
    <s v="Bermejo"/>
    <b v="0"/>
    <b v="1"/>
    <n v="6"/>
    <n v="4"/>
    <n v="5"/>
    <n v="1"/>
    <x v="11"/>
    <n v="2"/>
    <n v="1"/>
    <n v="3"/>
    <n v="4"/>
    <n v="4"/>
    <n v="2"/>
    <n v="3"/>
    <n v="2"/>
    <n v="2"/>
    <n v="3"/>
    <n v="4"/>
    <n v="3"/>
    <n v="1"/>
    <n v="4"/>
    <n v="4"/>
    <n v="4"/>
    <n v="3"/>
    <n v="2"/>
    <n v="3"/>
    <n v="1"/>
    <n v="3"/>
    <n v="1"/>
    <n v="2"/>
    <n v="2"/>
    <n v="3"/>
    <n v="3"/>
    <n v="4"/>
    <n v="1"/>
    <n v="2"/>
    <n v="2"/>
    <n v="0"/>
    <n v="1"/>
    <n v="1"/>
    <n v="1"/>
    <n v="1"/>
    <n v="1"/>
    <n v="1"/>
    <n v="0"/>
    <n v="0"/>
    <n v="1"/>
    <n v="0"/>
    <n v="0"/>
    <n v="0"/>
    <n v="1"/>
    <n v="1"/>
    <n v="1"/>
    <n v="0"/>
    <n v="0"/>
    <n v="0"/>
    <n v="0"/>
    <n v="1"/>
    <n v="0"/>
    <n v="0"/>
    <n v="0"/>
    <n v="0"/>
    <n v="1"/>
    <n v="0"/>
    <n v="0"/>
    <n v="0"/>
    <n v="0"/>
    <n v="0"/>
    <n v="0"/>
    <n v="0"/>
    <n v="0"/>
    <n v="0"/>
    <n v="0"/>
    <n v="0"/>
  </r>
  <r>
    <s v="EMMANUEL,GERCYLIA"/>
    <s v="GERCYLIA"/>
    <s v="EMMANUEL"/>
    <n v="233820836"/>
    <n v="11"/>
    <s v="Dushin"/>
    <b v="0"/>
    <b v="1"/>
    <n v="0"/>
    <n v="0"/>
    <n v="0"/>
    <n v="0"/>
    <x v="2"/>
    <m/>
    <m/>
    <m/>
    <m/>
    <m/>
    <m/>
    <m/>
    <m/>
    <m/>
    <m/>
    <m/>
    <m/>
    <m/>
    <m/>
    <m/>
    <m/>
    <m/>
    <m/>
    <m/>
    <m/>
    <m/>
    <m/>
    <m/>
    <m/>
    <m/>
    <m/>
    <m/>
    <m/>
    <m/>
    <m/>
    <m/>
    <m/>
    <m/>
    <m/>
    <m/>
    <m/>
    <m/>
    <n v="0"/>
    <n v="0"/>
    <n v="0"/>
    <n v="0"/>
    <n v="0"/>
    <n v="0"/>
    <n v="0"/>
    <n v="0"/>
    <n v="0"/>
    <n v="0"/>
    <n v="0"/>
    <n v="0"/>
    <n v="0"/>
    <n v="0"/>
    <n v="0"/>
    <n v="0"/>
    <n v="0"/>
    <n v="0"/>
    <n v="0"/>
    <n v="0"/>
    <n v="0"/>
    <n v="0"/>
    <n v="0"/>
    <n v="0"/>
    <n v="0"/>
    <n v="0"/>
    <n v="0"/>
    <n v="0"/>
    <n v="0"/>
    <n v="0"/>
  </r>
  <r>
    <s v="EMMANUEL,GERSHON"/>
    <s v="GERSHON"/>
    <s v="EMMANUEL"/>
    <n v="233820828"/>
    <n v="11"/>
    <s v="Dushin"/>
    <b v="0"/>
    <b v="1"/>
    <n v="0"/>
    <n v="0"/>
    <n v="0"/>
    <n v="0"/>
    <x v="2"/>
    <m/>
    <m/>
    <m/>
    <m/>
    <m/>
    <m/>
    <m/>
    <m/>
    <m/>
    <m/>
    <m/>
    <m/>
    <m/>
    <m/>
    <m/>
    <m/>
    <m/>
    <m/>
    <m/>
    <m/>
    <m/>
    <m/>
    <m/>
    <m/>
    <m/>
    <m/>
    <m/>
    <m/>
    <m/>
    <m/>
    <m/>
    <m/>
    <m/>
    <m/>
    <m/>
    <m/>
    <m/>
    <n v="0"/>
    <n v="0"/>
    <n v="0"/>
    <n v="0"/>
    <n v="0"/>
    <n v="0"/>
    <n v="0"/>
    <n v="0"/>
    <n v="0"/>
    <n v="0"/>
    <n v="0"/>
    <n v="0"/>
    <n v="0"/>
    <n v="0"/>
    <n v="0"/>
    <n v="0"/>
    <n v="0"/>
    <n v="0"/>
    <n v="0"/>
    <n v="0"/>
    <n v="0"/>
    <n v="0"/>
    <n v="0"/>
    <n v="0"/>
    <n v="0"/>
    <n v="0"/>
    <n v="0"/>
    <n v="0"/>
    <n v="0"/>
    <n v="0"/>
  </r>
  <r>
    <s v="ESCOTO,GIOVANNI"/>
    <s v="GIOVANNI"/>
    <s v="ESCOTO"/>
    <n v="226773356"/>
    <n v="11"/>
    <s v="Dushin"/>
    <b v="0"/>
    <b v="0"/>
    <n v="20"/>
    <n v="5"/>
    <n v="4"/>
    <n v="2"/>
    <x v="13"/>
    <n v="4"/>
    <n v="2"/>
    <n v="3"/>
    <n v="3"/>
    <n v="1"/>
    <n v="3"/>
    <n v="3"/>
    <n v="1"/>
    <n v="2"/>
    <n v="1"/>
    <n v="2"/>
    <n v="4"/>
    <n v="2"/>
    <n v="4"/>
    <n v="1"/>
    <n v="1"/>
    <n v="1"/>
    <n v="4"/>
    <n v="3"/>
    <n v="3"/>
    <n v="4"/>
    <n v="3"/>
    <n v="3"/>
    <n v="2"/>
    <n v="4"/>
    <n v="4"/>
    <n v="1"/>
    <n v="3"/>
    <n v="3"/>
    <n v="2"/>
    <n v="0"/>
    <n v="1"/>
    <n v="1"/>
    <n v="0"/>
    <n v="1"/>
    <n v="1"/>
    <n v="2"/>
    <n v="1"/>
    <n v="1"/>
    <n v="1"/>
    <n v="1"/>
    <n v="1"/>
    <n v="0"/>
    <n v="1"/>
    <n v="0"/>
    <n v="1"/>
    <n v="1"/>
    <n v="1"/>
    <n v="1"/>
    <n v="1"/>
    <n v="1"/>
    <n v="0"/>
    <n v="1"/>
    <n v="1"/>
    <n v="1"/>
    <n v="1"/>
    <n v="0"/>
    <n v="0"/>
    <n v="0"/>
    <n v="1"/>
    <n v="0"/>
    <n v="0"/>
    <n v="1"/>
    <n v="1"/>
    <n v="1"/>
    <n v="1"/>
    <n v="1"/>
  </r>
  <r>
    <s v="FELIZ-HURTADO,AYLEEN"/>
    <s v="AYLEEN"/>
    <s v="FELIZ-HURTADO"/>
    <n v="250210200"/>
    <n v="9"/>
    <s v="Bermejo"/>
    <b v="1"/>
    <b v="0"/>
    <n v="12"/>
    <n v="6"/>
    <n v="6"/>
    <n v="1.5"/>
    <x v="29"/>
    <n v="4"/>
    <n v="1"/>
    <n v="3"/>
    <n v="1"/>
    <n v="3"/>
    <n v="4"/>
    <n v="4"/>
    <n v="2"/>
    <n v="3"/>
    <n v="1"/>
    <n v="1"/>
    <n v="3"/>
    <n v="2"/>
    <n v="4"/>
    <n v="3"/>
    <n v="1"/>
    <n v="4"/>
    <n v="3"/>
    <n v="3"/>
    <n v="4"/>
    <n v="4"/>
    <n v="1"/>
    <n v="4"/>
    <n v="2"/>
    <n v="3"/>
    <n v="2"/>
    <n v="4"/>
    <n v="3"/>
    <n v="3"/>
    <n v="3"/>
    <n v="1"/>
    <n v="1"/>
    <n v="1"/>
    <n v="1"/>
    <n v="1"/>
    <n v="1"/>
    <n v="1.5"/>
    <n v="1"/>
    <n v="0"/>
    <n v="1"/>
    <n v="0"/>
    <n v="0"/>
    <n v="1"/>
    <n v="0"/>
    <n v="1"/>
    <n v="0"/>
    <n v="1"/>
    <n v="0"/>
    <n v="0"/>
    <n v="1"/>
    <n v="1"/>
    <n v="1"/>
    <n v="1"/>
    <n v="0"/>
    <n v="0"/>
    <n v="1"/>
    <n v="1"/>
    <n v="0"/>
    <n v="0"/>
    <n v="0"/>
    <n v="0"/>
    <n v="0"/>
    <n v="0"/>
    <n v="0"/>
    <n v="1"/>
    <n v="1"/>
    <n v="1"/>
  </r>
  <r>
    <s v="FERNANDEZ,MATTHEW"/>
    <s v="MATTHEW"/>
    <s v="FERNANDEZ"/>
    <n v="204413942"/>
    <n v="11"/>
    <s v="Kovelsky"/>
    <b v="0"/>
    <b v="0"/>
    <n v="25"/>
    <n v="3"/>
    <n v="6"/>
    <n v="3"/>
    <x v="30"/>
    <n v="4"/>
    <n v="2"/>
    <n v="3"/>
    <n v="2"/>
    <n v="1"/>
    <n v="4"/>
    <n v="3"/>
    <n v="2"/>
    <n v="2"/>
    <n v="1"/>
    <n v="2"/>
    <n v="4"/>
    <n v="2"/>
    <n v="3"/>
    <n v="3"/>
    <n v="1"/>
    <n v="1"/>
    <n v="4"/>
    <n v="3"/>
    <n v="3"/>
    <n v="2"/>
    <n v="2"/>
    <n v="3"/>
    <n v="3"/>
    <n v="1"/>
    <n v="4"/>
    <n v="1"/>
    <n v="3"/>
    <n v="2"/>
    <n v="1"/>
    <n v="1"/>
    <n v="1"/>
    <n v="1"/>
    <n v="1"/>
    <n v="1"/>
    <n v="1"/>
    <n v="3"/>
    <n v="1"/>
    <n v="1"/>
    <n v="1"/>
    <n v="0"/>
    <n v="1"/>
    <n v="1"/>
    <n v="1"/>
    <n v="1"/>
    <n v="1"/>
    <n v="1"/>
    <n v="1"/>
    <n v="1"/>
    <n v="1"/>
    <n v="0"/>
    <n v="1"/>
    <n v="1"/>
    <n v="1"/>
    <n v="1"/>
    <n v="1"/>
    <n v="0"/>
    <n v="1"/>
    <n v="1"/>
    <n v="1"/>
    <n v="1"/>
    <n v="1"/>
    <n v="1"/>
    <n v="1"/>
    <n v="1"/>
    <n v="1"/>
    <n v="1"/>
  </r>
  <r>
    <s v="FEURTADO WADDEL,JAHMEIR"/>
    <s v="JAHMEIR"/>
    <s v="FEURTADO WADDEL"/>
    <n v="237155452"/>
    <n v="11"/>
    <s v="Dushin"/>
    <b v="0"/>
    <b v="0"/>
    <n v="0"/>
    <n v="0"/>
    <n v="0"/>
    <n v="0"/>
    <x v="2"/>
    <m/>
    <m/>
    <m/>
    <m/>
    <m/>
    <m/>
    <m/>
    <m/>
    <m/>
    <m/>
    <m/>
    <m/>
    <m/>
    <m/>
    <m/>
    <m/>
    <m/>
    <m/>
    <m/>
    <m/>
    <m/>
    <m/>
    <m/>
    <m/>
    <m/>
    <m/>
    <m/>
    <m/>
    <m/>
    <m/>
    <m/>
    <m/>
    <m/>
    <m/>
    <m/>
    <m/>
    <m/>
    <n v="0"/>
    <n v="0"/>
    <n v="0"/>
    <n v="0"/>
    <n v="0"/>
    <n v="0"/>
    <n v="0"/>
    <n v="0"/>
    <n v="0"/>
    <n v="0"/>
    <n v="0"/>
    <n v="0"/>
    <n v="0"/>
    <n v="0"/>
    <n v="0"/>
    <n v="0"/>
    <n v="0"/>
    <n v="0"/>
    <n v="0"/>
    <n v="0"/>
    <n v="0"/>
    <n v="0"/>
    <n v="0"/>
    <n v="0"/>
    <n v="0"/>
    <n v="0"/>
    <n v="0"/>
    <n v="0"/>
    <n v="0"/>
    <n v="0"/>
  </r>
  <r>
    <s v="FIELDS,JADE"/>
    <s v="JADE"/>
    <s v="FIELDS"/>
    <n v="234377562"/>
    <n v="11"/>
    <s v="Dushin"/>
    <b v="0"/>
    <b v="0"/>
    <n v="16"/>
    <n v="4"/>
    <n v="4"/>
    <n v="1.5"/>
    <x v="29"/>
    <n v="4"/>
    <n v="1"/>
    <n v="3"/>
    <n v="1"/>
    <n v="1"/>
    <n v="2"/>
    <n v="3"/>
    <n v="2"/>
    <n v="2"/>
    <n v="1"/>
    <n v="2"/>
    <n v="4"/>
    <n v="3"/>
    <n v="4"/>
    <n v="4"/>
    <n v="1"/>
    <n v="3"/>
    <n v="2"/>
    <n v="3"/>
    <n v="1"/>
    <n v="3"/>
    <n v="2"/>
    <n v="3"/>
    <n v="2"/>
    <n v="4"/>
    <n v="2"/>
    <n v="1"/>
    <n v="3"/>
    <n v="3"/>
    <n v="1"/>
    <n v="0"/>
    <n v="1"/>
    <n v="1"/>
    <n v="0"/>
    <n v="1"/>
    <n v="1"/>
    <n v="1.5"/>
    <n v="1"/>
    <n v="0"/>
    <n v="1"/>
    <n v="0"/>
    <n v="1"/>
    <n v="0"/>
    <n v="1"/>
    <n v="1"/>
    <n v="1"/>
    <n v="1"/>
    <n v="1"/>
    <n v="1"/>
    <n v="0"/>
    <n v="1"/>
    <n v="0"/>
    <n v="1"/>
    <n v="0"/>
    <n v="0"/>
    <n v="1"/>
    <n v="0"/>
    <n v="0"/>
    <n v="1"/>
    <n v="1"/>
    <n v="0"/>
    <n v="0"/>
    <n v="0"/>
    <n v="1"/>
    <n v="1"/>
    <n v="1"/>
    <n v="1"/>
  </r>
  <r>
    <s v="FLEMING,LIAM"/>
    <s v="LIAM"/>
    <s v="FLEMING"/>
    <n v="239075757"/>
    <n v="9"/>
    <s v="Bermejo"/>
    <b v="0"/>
    <b v="1"/>
    <n v="20"/>
    <n v="2"/>
    <n v="4"/>
    <n v="1.5"/>
    <x v="5"/>
    <n v="4"/>
    <n v="2"/>
    <n v="2"/>
    <n v="4"/>
    <n v="1"/>
    <n v="3"/>
    <n v="3"/>
    <n v="2"/>
    <n v="3"/>
    <n v="1"/>
    <n v="2"/>
    <n v="3"/>
    <n v="2"/>
    <n v="4"/>
    <n v="3"/>
    <n v="1"/>
    <n v="1"/>
    <n v="4"/>
    <n v="3"/>
    <n v="4"/>
    <n v="2"/>
    <n v="2"/>
    <n v="3"/>
    <n v="2"/>
    <n v="4"/>
    <n v="4"/>
    <n v="2"/>
    <n v="3"/>
    <n v="1"/>
    <n v="1"/>
    <n v="1"/>
    <n v="1"/>
    <n v="1"/>
    <n v="0"/>
    <n v="1"/>
    <n v="0"/>
    <n v="1.5"/>
    <n v="1"/>
    <n v="1"/>
    <n v="0"/>
    <n v="0"/>
    <n v="1"/>
    <n v="0"/>
    <n v="1"/>
    <n v="1"/>
    <n v="0"/>
    <n v="1"/>
    <n v="1"/>
    <n v="0"/>
    <n v="1"/>
    <n v="1"/>
    <n v="1"/>
    <n v="1"/>
    <n v="1"/>
    <n v="1"/>
    <n v="1"/>
    <n v="1"/>
    <n v="1"/>
    <n v="1"/>
    <n v="1"/>
    <n v="0"/>
    <n v="0"/>
    <n v="1"/>
    <n v="0"/>
    <n v="1"/>
    <n v="1"/>
    <n v="1"/>
  </r>
  <r>
    <s v="FLEMISTER,JAHCURE"/>
    <s v="JAHCURE"/>
    <s v="FLEMISTER"/>
    <n v="234116788"/>
    <n v="11"/>
    <s v="Dushin"/>
    <b v="0"/>
    <b v="1"/>
    <n v="26"/>
    <n v="4"/>
    <n v="6"/>
    <n v="3"/>
    <x v="31"/>
    <n v="4"/>
    <n v="2"/>
    <n v="3"/>
    <n v="3"/>
    <n v="1"/>
    <n v="4"/>
    <n v="3"/>
    <n v="2"/>
    <n v="2"/>
    <n v="1"/>
    <n v="2"/>
    <n v="3"/>
    <n v="2"/>
    <n v="4"/>
    <n v="3"/>
    <n v="1"/>
    <n v="1"/>
    <n v="4"/>
    <n v="3"/>
    <n v="4"/>
    <n v="2"/>
    <n v="2"/>
    <n v="3"/>
    <n v="2"/>
    <n v="1"/>
    <n v="4"/>
    <n v="1"/>
    <n v="3"/>
    <n v="2"/>
    <n v="2"/>
    <n v="1"/>
    <n v="1"/>
    <n v="1"/>
    <n v="1"/>
    <n v="1"/>
    <n v="1"/>
    <n v="3"/>
    <n v="1"/>
    <n v="1"/>
    <n v="1"/>
    <n v="1"/>
    <n v="1"/>
    <n v="1"/>
    <n v="1"/>
    <n v="1"/>
    <n v="1"/>
    <n v="1"/>
    <n v="1"/>
    <n v="0"/>
    <n v="1"/>
    <n v="1"/>
    <n v="1"/>
    <n v="1"/>
    <n v="1"/>
    <n v="1"/>
    <n v="1"/>
    <n v="1"/>
    <n v="1"/>
    <n v="1"/>
    <n v="1"/>
    <n v="0"/>
    <n v="1"/>
    <n v="1"/>
    <n v="1"/>
    <n v="1"/>
    <n v="1"/>
    <n v="1"/>
  </r>
  <r>
    <s v="FLEURIMOND,MARLENY"/>
    <s v="MARLENY"/>
    <s v="FLEURIMOND"/>
    <n v="239265291"/>
    <n v="9"/>
    <s v="Bermejo"/>
    <b v="0"/>
    <b v="0"/>
    <n v="17"/>
    <n v="3"/>
    <n v="5"/>
    <n v="0"/>
    <x v="10"/>
    <n v="4"/>
    <n v="2"/>
    <n v="3"/>
    <n v="1"/>
    <n v="1"/>
    <n v="4"/>
    <n v="3"/>
    <n v="2"/>
    <n v="2"/>
    <n v="1"/>
    <n v="2"/>
    <n v="3"/>
    <n v="1"/>
    <n v="2"/>
    <n v="2"/>
    <n v="1"/>
    <n v="1"/>
    <n v="2"/>
    <n v="3"/>
    <n v="2"/>
    <n v="3"/>
    <n v="2"/>
    <n v="1"/>
    <n v="2"/>
    <n v="2"/>
    <n v="4"/>
    <n v="1"/>
    <n v="3"/>
    <n v="2"/>
    <n v="1"/>
    <n v="1"/>
    <n v="1"/>
    <n v="0"/>
    <n v="1"/>
    <n v="1"/>
    <n v="1"/>
    <n v="0"/>
    <n v="1"/>
    <n v="1"/>
    <n v="1"/>
    <n v="0"/>
    <n v="1"/>
    <n v="1"/>
    <n v="1"/>
    <n v="1"/>
    <n v="1"/>
    <n v="1"/>
    <n v="1"/>
    <n v="0"/>
    <n v="0"/>
    <n v="0"/>
    <n v="0"/>
    <n v="1"/>
    <n v="1"/>
    <n v="0"/>
    <n v="1"/>
    <n v="0"/>
    <n v="0"/>
    <n v="1"/>
    <n v="0"/>
    <n v="0"/>
    <n v="0"/>
    <n v="1"/>
    <n v="1"/>
    <n v="1"/>
    <n v="0"/>
    <n v="0"/>
  </r>
  <r>
    <s v="FLOWERS,KHYLEF"/>
    <s v="KHYLEF"/>
    <s v="FLOWERS"/>
    <n v="274215672"/>
    <n v="11"/>
    <s v="Kovelsky"/>
    <b v="0"/>
    <b v="1"/>
    <n v="17"/>
    <n v="3"/>
    <n v="5"/>
    <n v="3"/>
    <x v="0"/>
    <n v="4"/>
    <n v="1"/>
    <n v="3"/>
    <n v="2"/>
    <n v="1"/>
    <n v="2"/>
    <n v="3"/>
    <n v="2"/>
    <n v="2"/>
    <n v="1"/>
    <n v="2"/>
    <n v="4"/>
    <n v="2"/>
    <n v="1"/>
    <n v="3"/>
    <n v="4"/>
    <n v="1"/>
    <n v="3"/>
    <n v="3"/>
    <n v="1"/>
    <n v="3"/>
    <n v="2"/>
    <n v="3"/>
    <n v="3"/>
    <n v="3"/>
    <n v="4"/>
    <n v="4"/>
    <n v="4"/>
    <n v="2"/>
    <n v="1"/>
    <n v="1"/>
    <n v="1"/>
    <n v="1"/>
    <n v="1"/>
    <n v="1"/>
    <n v="0"/>
    <n v="3"/>
    <n v="1"/>
    <n v="0"/>
    <n v="1"/>
    <n v="0"/>
    <n v="1"/>
    <n v="0"/>
    <n v="1"/>
    <n v="1"/>
    <n v="1"/>
    <n v="1"/>
    <n v="1"/>
    <n v="1"/>
    <n v="1"/>
    <n v="0"/>
    <n v="1"/>
    <n v="0"/>
    <n v="1"/>
    <n v="0"/>
    <n v="1"/>
    <n v="0"/>
    <n v="0"/>
    <n v="1"/>
    <n v="1"/>
    <n v="1"/>
    <n v="0"/>
    <n v="1"/>
    <n v="0"/>
    <n v="0"/>
    <n v="1"/>
    <n v="1"/>
  </r>
  <r>
    <s v="FORTUNE,SELAYRIA"/>
    <s v="SELAYRIA"/>
    <s v="FORTUNE"/>
    <n v="245405386"/>
    <n v="9"/>
    <s v="Bermejo"/>
    <b v="0"/>
    <b v="0"/>
    <n v="8"/>
    <n v="2"/>
    <n v="6"/>
    <n v="1"/>
    <x v="32"/>
    <n v="4"/>
    <n v="3"/>
    <n v="4"/>
    <n v="1"/>
    <n v="3"/>
    <n v="3"/>
    <n v="1"/>
    <n v="2"/>
    <n v="3"/>
    <n v="1"/>
    <n v="1"/>
    <n v="3"/>
    <n v="2"/>
    <n v="4"/>
    <n v="2"/>
    <n v="4"/>
    <n v="2"/>
    <n v="2"/>
    <n v="3"/>
    <n v="1"/>
    <n v="2"/>
    <n v="3"/>
    <n v="4"/>
    <n v="2"/>
    <n v="3"/>
    <n v="2"/>
    <n v="1"/>
    <n v="2"/>
    <n v="1"/>
    <n v="1"/>
    <n v="1"/>
    <n v="1"/>
    <n v="1"/>
    <n v="1"/>
    <n v="1"/>
    <n v="1"/>
    <n v="1"/>
    <n v="1"/>
    <n v="0"/>
    <n v="0"/>
    <n v="0"/>
    <n v="0"/>
    <n v="0"/>
    <n v="0"/>
    <n v="1"/>
    <n v="0"/>
    <n v="1"/>
    <n v="0"/>
    <n v="0"/>
    <n v="1"/>
    <n v="1"/>
    <n v="0"/>
    <n v="0"/>
    <n v="0"/>
    <n v="0"/>
    <n v="1"/>
    <n v="0"/>
    <n v="1"/>
    <n v="0"/>
    <n v="0"/>
    <n v="0"/>
    <n v="0"/>
    <n v="0"/>
    <n v="1"/>
    <n v="0"/>
    <n v="0"/>
    <n v="0"/>
  </r>
  <r>
    <s v="FRANCIS,JABARI"/>
    <s v="JABARI"/>
    <s v="FRANCIS"/>
    <n v="240428011"/>
    <n v="9"/>
    <s v="Bermejo"/>
    <b v="0"/>
    <b v="0"/>
    <n v="19"/>
    <n v="2"/>
    <n v="3"/>
    <n v="2"/>
    <x v="5"/>
    <n v="4"/>
    <n v="1"/>
    <n v="3"/>
    <n v="1"/>
    <n v="1"/>
    <n v="3"/>
    <n v="2"/>
    <n v="2"/>
    <n v="2"/>
    <n v="1"/>
    <n v="2"/>
    <n v="4"/>
    <n v="2"/>
    <n v="3"/>
    <n v="3"/>
    <n v="1"/>
    <n v="1"/>
    <n v="4"/>
    <n v="3"/>
    <n v="4"/>
    <n v="4"/>
    <n v="1"/>
    <n v="3"/>
    <n v="3"/>
    <n v="2"/>
    <n v="4"/>
    <n v="2"/>
    <n v="3"/>
    <n v="1"/>
    <n v="1"/>
    <n v="0"/>
    <n v="1"/>
    <n v="1"/>
    <n v="0"/>
    <n v="1"/>
    <n v="0"/>
    <n v="2"/>
    <n v="1"/>
    <n v="0"/>
    <n v="1"/>
    <n v="0"/>
    <n v="1"/>
    <n v="0"/>
    <n v="0"/>
    <n v="1"/>
    <n v="1"/>
    <n v="1"/>
    <n v="1"/>
    <n v="1"/>
    <n v="1"/>
    <n v="0"/>
    <n v="1"/>
    <n v="1"/>
    <n v="1"/>
    <n v="1"/>
    <n v="1"/>
    <n v="1"/>
    <n v="0"/>
    <n v="0"/>
    <n v="1"/>
    <n v="1"/>
    <n v="0"/>
    <n v="1"/>
    <n v="0"/>
    <n v="1"/>
    <n v="1"/>
    <n v="1"/>
  </r>
  <r>
    <s v="GANTEAUME,AIDEN"/>
    <s v="AIDEN"/>
    <s v="GANTEAUME"/>
    <n v="238975999"/>
    <n v="9"/>
    <s v="Bermejo"/>
    <b v="0"/>
    <b v="0"/>
    <n v="24"/>
    <n v="3"/>
    <n v="5"/>
    <n v="3"/>
    <x v="33"/>
    <n v="4"/>
    <n v="2"/>
    <n v="3"/>
    <n v="3"/>
    <n v="1"/>
    <n v="2"/>
    <n v="3"/>
    <n v="2"/>
    <n v="2"/>
    <n v="1"/>
    <n v="2"/>
    <n v="4"/>
    <n v="2"/>
    <n v="4"/>
    <n v="3"/>
    <n v="1"/>
    <n v="1"/>
    <n v="3"/>
    <n v="3"/>
    <n v="4"/>
    <n v="2"/>
    <n v="2"/>
    <n v="3"/>
    <n v="2"/>
    <n v="1"/>
    <n v="4"/>
    <n v="4"/>
    <n v="3"/>
    <n v="2"/>
    <n v="1"/>
    <n v="1"/>
    <n v="1"/>
    <n v="1"/>
    <n v="1"/>
    <n v="1"/>
    <n v="0"/>
    <n v="3"/>
    <n v="1"/>
    <n v="1"/>
    <n v="1"/>
    <n v="1"/>
    <n v="1"/>
    <n v="0"/>
    <n v="1"/>
    <n v="1"/>
    <n v="1"/>
    <n v="1"/>
    <n v="1"/>
    <n v="1"/>
    <n v="1"/>
    <n v="1"/>
    <n v="1"/>
    <n v="1"/>
    <n v="1"/>
    <n v="0"/>
    <n v="1"/>
    <n v="1"/>
    <n v="1"/>
    <n v="1"/>
    <n v="1"/>
    <n v="0"/>
    <n v="1"/>
    <n v="1"/>
    <n v="0"/>
    <n v="1"/>
    <n v="1"/>
    <n v="1"/>
  </r>
  <r>
    <s v="GARCIA GORIS,CRISTHIAN"/>
    <s v="CRISTHIAN"/>
    <s v="GARCIA GORIS"/>
    <n v="225834837"/>
    <n v="11"/>
    <s v="Antaky"/>
    <b v="0"/>
    <b v="0"/>
    <n v="19"/>
    <n v="4"/>
    <n v="6"/>
    <n v="2"/>
    <x v="13"/>
    <n v="4"/>
    <n v="2"/>
    <n v="2"/>
    <n v="1"/>
    <n v="1"/>
    <n v="4"/>
    <n v="3"/>
    <n v="2"/>
    <n v="2"/>
    <n v="2"/>
    <n v="2"/>
    <n v="3"/>
    <n v="2"/>
    <n v="4"/>
    <n v="4"/>
    <n v="4"/>
    <n v="1"/>
    <n v="4"/>
    <n v="3"/>
    <n v="2"/>
    <n v="2"/>
    <n v="2"/>
    <n v="3"/>
    <n v="2"/>
    <n v="3"/>
    <n v="4"/>
    <n v="1"/>
    <n v="3"/>
    <n v="2"/>
    <n v="2"/>
    <n v="1"/>
    <n v="1"/>
    <n v="1"/>
    <n v="1"/>
    <n v="1"/>
    <n v="1"/>
    <n v="2"/>
    <n v="1"/>
    <n v="1"/>
    <n v="0"/>
    <n v="0"/>
    <n v="1"/>
    <n v="1"/>
    <n v="1"/>
    <n v="1"/>
    <n v="1"/>
    <n v="0"/>
    <n v="1"/>
    <n v="0"/>
    <n v="1"/>
    <n v="1"/>
    <n v="0"/>
    <n v="0"/>
    <n v="1"/>
    <n v="1"/>
    <n v="1"/>
    <n v="0"/>
    <n v="1"/>
    <n v="1"/>
    <n v="1"/>
    <n v="0"/>
    <n v="0"/>
    <n v="1"/>
    <n v="1"/>
    <n v="1"/>
    <n v="1"/>
    <n v="1"/>
  </r>
  <r>
    <s v="GARNER,BRIANNA"/>
    <s v="BRIANNA"/>
    <s v="GARNER"/>
    <n v="238846752"/>
    <n v="9"/>
    <s v="Kovelsky"/>
    <b v="0"/>
    <b v="0"/>
    <n v="8"/>
    <n v="2"/>
    <n v="6"/>
    <n v="2"/>
    <x v="8"/>
    <n v="4"/>
    <n v="3"/>
    <n v="3"/>
    <n v="1"/>
    <n v="1"/>
    <n v="1"/>
    <n v="1"/>
    <n v="3"/>
    <n v="2"/>
    <n v="1"/>
    <n v="3"/>
    <n v="3"/>
    <n v="3"/>
    <n v="1"/>
    <n v="2"/>
    <n v="4"/>
    <n v="3"/>
    <n v="3"/>
    <n v="1"/>
    <n v="2"/>
    <n v="1"/>
    <n v="2"/>
    <n v="1"/>
    <n v="2"/>
    <n v="1"/>
    <n v="4"/>
    <n v="2"/>
    <n v="4"/>
    <n v="1"/>
    <n v="1"/>
    <n v="1"/>
    <n v="1"/>
    <n v="1"/>
    <n v="1"/>
    <n v="1"/>
    <n v="1"/>
    <n v="2"/>
    <n v="1"/>
    <n v="0"/>
    <n v="1"/>
    <n v="0"/>
    <n v="1"/>
    <n v="0"/>
    <n v="0"/>
    <n v="0"/>
    <n v="1"/>
    <n v="1"/>
    <n v="0"/>
    <n v="0"/>
    <n v="0"/>
    <n v="0"/>
    <n v="0"/>
    <n v="0"/>
    <n v="0"/>
    <n v="0"/>
    <n v="0"/>
    <n v="0"/>
    <n v="0"/>
    <n v="1"/>
    <n v="0"/>
    <n v="0"/>
    <n v="1"/>
    <n v="1"/>
    <n v="0"/>
    <n v="0"/>
    <n v="0"/>
    <n v="0"/>
  </r>
  <r>
    <s v="GONZALEZ,ELVIS"/>
    <s v="ELVIS"/>
    <s v="GONZALEZ"/>
    <n v="216239657"/>
    <n v="11"/>
    <s v="Kovelsky"/>
    <b v="0"/>
    <b v="0"/>
    <n v="17"/>
    <n v="2"/>
    <n v="5"/>
    <n v="2"/>
    <x v="5"/>
    <n v="4"/>
    <n v="1"/>
    <n v="3"/>
    <n v="1"/>
    <n v="1"/>
    <n v="2"/>
    <n v="3"/>
    <n v="2"/>
    <n v="3"/>
    <n v="1"/>
    <n v="2"/>
    <n v="4"/>
    <n v="1"/>
    <n v="4"/>
    <n v="3"/>
    <n v="2"/>
    <n v="1"/>
    <n v="4"/>
    <n v="3"/>
    <n v="3"/>
    <n v="3"/>
    <n v="2"/>
    <n v="3"/>
    <n v="2"/>
    <n v="1"/>
    <n v="1"/>
    <n v="2"/>
    <n v="3"/>
    <n v="1"/>
    <n v="1"/>
    <n v="1"/>
    <n v="1"/>
    <n v="1"/>
    <n v="1"/>
    <n v="1"/>
    <n v="0"/>
    <n v="2"/>
    <n v="1"/>
    <n v="0"/>
    <n v="1"/>
    <n v="0"/>
    <n v="1"/>
    <n v="0"/>
    <n v="1"/>
    <n v="1"/>
    <n v="0"/>
    <n v="1"/>
    <n v="1"/>
    <n v="1"/>
    <n v="0"/>
    <n v="1"/>
    <n v="1"/>
    <n v="0"/>
    <n v="1"/>
    <n v="1"/>
    <n v="1"/>
    <n v="0"/>
    <n v="0"/>
    <n v="1"/>
    <n v="1"/>
    <n v="0"/>
    <n v="1"/>
    <n v="0"/>
    <n v="0"/>
    <n v="1"/>
    <n v="1"/>
    <n v="1"/>
  </r>
  <r>
    <s v="GONZALEZ,JETZYEL"/>
    <s v="JETZYEL"/>
    <s v="GONZALEZ"/>
    <n v="242061372"/>
    <n v="9"/>
    <s v="Kovelsky"/>
    <b v="0"/>
    <b v="0"/>
    <n v="13"/>
    <n v="6"/>
    <n v="5"/>
    <n v="1.5"/>
    <x v="29"/>
    <n v="4"/>
    <n v="2"/>
    <n v="1"/>
    <n v="1"/>
    <n v="1"/>
    <n v="3"/>
    <n v="2"/>
    <n v="4"/>
    <n v="2"/>
    <n v="1"/>
    <n v="2"/>
    <n v="4"/>
    <n v="2"/>
    <n v="3"/>
    <n v="3"/>
    <n v="4"/>
    <n v="2"/>
    <n v="2"/>
    <n v="2"/>
    <n v="1"/>
    <n v="1"/>
    <n v="2"/>
    <n v="3"/>
    <n v="4"/>
    <n v="4"/>
    <n v="4"/>
    <n v="2"/>
    <n v="3"/>
    <n v="3"/>
    <n v="3"/>
    <n v="1"/>
    <n v="1"/>
    <n v="0"/>
    <n v="1"/>
    <n v="1"/>
    <n v="1"/>
    <n v="1.5"/>
    <n v="1"/>
    <n v="1"/>
    <n v="0"/>
    <n v="0"/>
    <n v="1"/>
    <n v="0"/>
    <n v="0"/>
    <n v="0"/>
    <n v="1"/>
    <n v="1"/>
    <n v="1"/>
    <n v="1"/>
    <n v="1"/>
    <n v="0"/>
    <n v="1"/>
    <n v="0"/>
    <n v="0"/>
    <n v="0"/>
    <n v="0"/>
    <n v="0"/>
    <n v="0"/>
    <n v="1"/>
    <n v="1"/>
    <n v="0"/>
    <n v="0"/>
    <n v="1"/>
    <n v="0"/>
    <n v="1"/>
    <n v="1"/>
    <n v="1"/>
  </r>
  <r>
    <s v="GONZALEZ,JOSHUA"/>
    <s v="JOSHUA"/>
    <s v="GONZALEZ"/>
    <n v="203885553"/>
    <n v="12"/>
    <s v="Other"/>
    <b v="0"/>
    <b v="0"/>
    <n v="20"/>
    <n v="3"/>
    <n v="5"/>
    <n v="1"/>
    <x v="9"/>
    <n v="4"/>
    <n v="2"/>
    <n v="3"/>
    <n v="3"/>
    <n v="1"/>
    <n v="4"/>
    <n v="3"/>
    <n v="2"/>
    <n v="2"/>
    <n v="1"/>
    <n v="2"/>
    <n v="4"/>
    <n v="4"/>
    <n v="4"/>
    <n v="4"/>
    <n v="4"/>
    <n v="1"/>
    <n v="4"/>
    <n v="3"/>
    <n v="1"/>
    <n v="3"/>
    <n v="2"/>
    <n v="3"/>
    <n v="2"/>
    <n v="3"/>
    <n v="4"/>
    <n v="3"/>
    <n v="3"/>
    <n v="2"/>
    <n v="1"/>
    <n v="1"/>
    <n v="1"/>
    <n v="1"/>
    <n v="1"/>
    <n v="1"/>
    <n v="0"/>
    <n v="1"/>
    <n v="1"/>
    <n v="1"/>
    <n v="1"/>
    <n v="1"/>
    <n v="1"/>
    <n v="1"/>
    <n v="1"/>
    <n v="1"/>
    <n v="1"/>
    <n v="1"/>
    <n v="1"/>
    <n v="1"/>
    <n v="0"/>
    <n v="1"/>
    <n v="0"/>
    <n v="0"/>
    <n v="1"/>
    <n v="1"/>
    <n v="1"/>
    <n v="0"/>
    <n v="0"/>
    <n v="1"/>
    <n v="1"/>
    <n v="0"/>
    <n v="0"/>
    <n v="1"/>
    <n v="0"/>
    <n v="1"/>
    <n v="1"/>
    <n v="1"/>
  </r>
  <r>
    <s v="GONZALEZ,RADELY"/>
    <s v="RADELY"/>
    <s v="GONZALEZ"/>
    <n v="215306549"/>
    <n v="9"/>
    <s v="Bermejo"/>
    <b v="0"/>
    <b v="1"/>
    <n v="13"/>
    <n v="2"/>
    <n v="5"/>
    <n v="1"/>
    <x v="17"/>
    <n v="4"/>
    <n v="2"/>
    <n v="3"/>
    <n v="2"/>
    <n v="1"/>
    <n v="4"/>
    <n v="3"/>
    <n v="4"/>
    <n v="2"/>
    <n v="1"/>
    <n v="4"/>
    <n v="4"/>
    <n v="1"/>
    <n v="4"/>
    <n v="1"/>
    <n v="4"/>
    <n v="3"/>
    <n v="4"/>
    <n v="3"/>
    <n v="2"/>
    <n v="3"/>
    <n v="4"/>
    <n v="4"/>
    <n v="2"/>
    <n v="2"/>
    <n v="2"/>
    <n v="4"/>
    <n v="3"/>
    <n v="1"/>
    <n v="1"/>
    <n v="1"/>
    <n v="0"/>
    <n v="1"/>
    <n v="1"/>
    <n v="1"/>
    <n v="1"/>
    <n v="1"/>
    <n v="1"/>
    <n v="1"/>
    <n v="1"/>
    <n v="0"/>
    <n v="1"/>
    <n v="1"/>
    <n v="1"/>
    <n v="0"/>
    <n v="1"/>
    <n v="1"/>
    <n v="0"/>
    <n v="1"/>
    <n v="0"/>
    <n v="1"/>
    <n v="0"/>
    <n v="0"/>
    <n v="0"/>
    <n v="1"/>
    <n v="1"/>
    <n v="0"/>
    <n v="0"/>
    <n v="0"/>
    <n v="0"/>
    <n v="0"/>
    <n v="0"/>
    <n v="0"/>
    <n v="0"/>
    <n v="1"/>
    <n v="0"/>
    <n v="1"/>
  </r>
  <r>
    <s v="GONZALEZ,VANESHLY"/>
    <s v="VANESHLY"/>
    <s v="GONZALEZ"/>
    <n v="233475672"/>
    <n v="11"/>
    <s v="Dushin"/>
    <b v="0"/>
    <b v="1"/>
    <n v="15"/>
    <n v="3"/>
    <n v="6"/>
    <n v="0"/>
    <x v="20"/>
    <n v="4"/>
    <n v="2"/>
    <n v="3"/>
    <n v="2"/>
    <n v="1"/>
    <n v="1"/>
    <n v="2"/>
    <n v="2"/>
    <n v="2"/>
    <n v="1"/>
    <n v="1"/>
    <n v="3"/>
    <n v="4"/>
    <n v="3"/>
    <n v="3"/>
    <n v="1"/>
    <n v="4"/>
    <n v="3"/>
    <n v="3"/>
    <n v="2"/>
    <n v="1"/>
    <n v="2"/>
    <n v="3"/>
    <n v="2"/>
    <n v="1"/>
    <n v="4"/>
    <n v="4"/>
    <n v="3"/>
    <n v="2"/>
    <n v="1"/>
    <n v="1"/>
    <n v="1"/>
    <n v="1"/>
    <n v="1"/>
    <n v="1"/>
    <n v="1"/>
    <n v="0"/>
    <n v="1"/>
    <n v="1"/>
    <n v="1"/>
    <n v="0"/>
    <n v="1"/>
    <n v="0"/>
    <n v="0"/>
    <n v="1"/>
    <n v="1"/>
    <n v="1"/>
    <n v="0"/>
    <n v="0"/>
    <n v="0"/>
    <n v="0"/>
    <n v="1"/>
    <n v="1"/>
    <n v="0"/>
    <n v="0"/>
    <n v="1"/>
    <n v="0"/>
    <n v="0"/>
    <n v="1"/>
    <n v="1"/>
    <n v="0"/>
    <n v="1"/>
    <n v="1"/>
    <n v="0"/>
    <n v="1"/>
    <n v="0"/>
    <n v="1"/>
  </r>
  <r>
    <s v="GRANT,DEEJAY"/>
    <s v="DEEJAY"/>
    <s v="GRANT"/>
    <n v="238559421"/>
    <n v="9"/>
    <s v="Kovelsky"/>
    <b v="0"/>
    <b v="0"/>
    <n v="7"/>
    <n v="3"/>
    <n v="6"/>
    <n v="1.5"/>
    <x v="34"/>
    <n v="4"/>
    <n v="1"/>
    <n v="2"/>
    <n v="1"/>
    <n v="3"/>
    <n v="2"/>
    <n v="4"/>
    <n v="3"/>
    <n v="1"/>
    <n v="2"/>
    <n v="2"/>
    <n v="4"/>
    <n v="1"/>
    <n v="2"/>
    <n v="3"/>
    <n v="2"/>
    <n v="1"/>
    <n v="3"/>
    <n v="4"/>
    <n v="2"/>
    <n v="3"/>
    <n v="1"/>
    <n v="3"/>
    <n v="4"/>
    <n v="2"/>
    <n v="1"/>
    <n v="4"/>
    <n v="3"/>
    <n v="2"/>
    <n v="1"/>
    <n v="1"/>
    <n v="1"/>
    <n v="1"/>
    <n v="1"/>
    <n v="1"/>
    <n v="1"/>
    <n v="1.5"/>
    <n v="1"/>
    <n v="0"/>
    <n v="0"/>
    <n v="0"/>
    <n v="0"/>
    <n v="0"/>
    <n v="0"/>
    <n v="0"/>
    <n v="0"/>
    <n v="0"/>
    <n v="1"/>
    <n v="1"/>
    <n v="0"/>
    <n v="0"/>
    <n v="1"/>
    <n v="0"/>
    <n v="1"/>
    <n v="0"/>
    <n v="0"/>
    <n v="0"/>
    <n v="0"/>
    <n v="0"/>
    <n v="1"/>
    <n v="0"/>
    <n v="0"/>
    <n v="0"/>
    <n v="0"/>
    <n v="1"/>
    <n v="0"/>
    <n v="0"/>
  </r>
  <r>
    <s v="GREENE,JAMARA"/>
    <s v="JAMARA"/>
    <s v="GREENE"/>
    <n v="234116879"/>
    <n v="11"/>
    <s v="Dushin"/>
    <b v="0"/>
    <b v="0"/>
    <n v="11"/>
    <n v="6"/>
    <n v="6"/>
    <n v="2"/>
    <x v="35"/>
    <n v="4"/>
    <n v="2"/>
    <n v="1"/>
    <n v="1"/>
    <n v="4"/>
    <n v="2"/>
    <n v="4"/>
    <n v="2"/>
    <n v="3"/>
    <n v="1"/>
    <n v="2"/>
    <n v="3"/>
    <n v="1"/>
    <n v="3"/>
    <n v="4"/>
    <n v="1"/>
    <n v="1"/>
    <n v="2"/>
    <n v="1"/>
    <n v="2"/>
    <n v="2"/>
    <n v="2"/>
    <n v="3"/>
    <n v="2"/>
    <n v="3"/>
    <n v="1"/>
    <n v="4"/>
    <n v="3"/>
    <n v="3"/>
    <n v="3"/>
    <n v="1"/>
    <n v="1"/>
    <n v="1"/>
    <n v="1"/>
    <n v="1"/>
    <n v="1"/>
    <n v="2"/>
    <n v="1"/>
    <n v="1"/>
    <n v="0"/>
    <n v="0"/>
    <n v="0"/>
    <n v="0"/>
    <n v="0"/>
    <n v="1"/>
    <n v="0"/>
    <n v="1"/>
    <n v="1"/>
    <n v="0"/>
    <n v="0"/>
    <n v="0"/>
    <n v="0"/>
    <n v="1"/>
    <n v="1"/>
    <n v="0"/>
    <n v="0"/>
    <n v="0"/>
    <n v="1"/>
    <n v="1"/>
    <n v="1"/>
    <n v="0"/>
    <n v="0"/>
    <n v="0"/>
    <n v="0"/>
    <n v="1"/>
    <n v="1"/>
    <n v="1"/>
  </r>
  <r>
    <s v="GUERRA HERNANDEZ,RICARDO"/>
    <s v="RICARDO"/>
    <s v="GUERRA HERNANDEZ"/>
    <n v="260454210"/>
    <n v="11"/>
    <s v="Dushin"/>
    <b v="1"/>
    <b v="0"/>
    <n v="9"/>
    <n v="2"/>
    <n v="6"/>
    <n v="1"/>
    <x v="36"/>
    <n v="4"/>
    <n v="2"/>
    <n v="3"/>
    <n v="1"/>
    <n v="4"/>
    <n v="2"/>
    <n v="1"/>
    <n v="2"/>
    <n v="1"/>
    <n v="3"/>
    <n v="1"/>
    <n v="1"/>
    <n v="2"/>
    <n v="3"/>
    <n v="2"/>
    <n v="4"/>
    <n v="1"/>
    <n v="3"/>
    <n v="3"/>
    <n v="4"/>
    <n v="1"/>
    <n v="1"/>
    <n v="3"/>
    <n v="2"/>
    <n v="4"/>
    <n v="2"/>
    <n v="3"/>
    <n v="2"/>
    <n v="1"/>
    <n v="1"/>
    <n v="1"/>
    <n v="1"/>
    <n v="1"/>
    <n v="1"/>
    <n v="1"/>
    <n v="1"/>
    <n v="1"/>
    <n v="1"/>
    <n v="1"/>
    <n v="1"/>
    <n v="0"/>
    <n v="0"/>
    <n v="0"/>
    <n v="0"/>
    <n v="1"/>
    <n v="0"/>
    <n v="0"/>
    <n v="0"/>
    <n v="0"/>
    <n v="1"/>
    <n v="0"/>
    <n v="0"/>
    <n v="0"/>
    <n v="1"/>
    <n v="0"/>
    <n v="1"/>
    <n v="1"/>
    <n v="0"/>
    <n v="0"/>
    <n v="1"/>
    <n v="0"/>
    <n v="0"/>
    <n v="0"/>
    <n v="0"/>
    <n v="0"/>
    <n v="0"/>
    <n v="0"/>
  </r>
  <r>
    <s v="GUERRERO,JOSE"/>
    <s v="JOSE"/>
    <s v="GUERRERO"/>
    <n v="205990237"/>
    <n v="11"/>
    <s v="Kovelsky"/>
    <b v="0"/>
    <b v="0"/>
    <n v="11"/>
    <n v="2"/>
    <n v="6"/>
    <n v="1"/>
    <x v="8"/>
    <n v="4"/>
    <n v="1"/>
    <n v="2"/>
    <n v="2"/>
    <n v="3"/>
    <n v="1"/>
    <n v="3"/>
    <n v="4"/>
    <n v="1"/>
    <n v="2"/>
    <n v="1"/>
    <n v="3"/>
    <n v="4"/>
    <n v="2"/>
    <n v="4"/>
    <n v="1"/>
    <n v="1"/>
    <n v="4"/>
    <n v="4"/>
    <n v="2"/>
    <n v="2"/>
    <n v="2"/>
    <n v="3"/>
    <n v="3"/>
    <n v="2"/>
    <n v="4"/>
    <n v="3"/>
    <n v="3"/>
    <n v="1"/>
    <n v="1"/>
    <n v="1"/>
    <n v="1"/>
    <n v="1"/>
    <n v="1"/>
    <n v="1"/>
    <n v="1"/>
    <n v="1"/>
    <n v="1"/>
    <n v="0"/>
    <n v="0"/>
    <n v="0"/>
    <n v="0"/>
    <n v="0"/>
    <n v="1"/>
    <n v="0"/>
    <n v="0"/>
    <n v="0"/>
    <n v="0"/>
    <n v="0"/>
    <n v="0"/>
    <n v="0"/>
    <n v="0"/>
    <n v="1"/>
    <n v="1"/>
    <n v="1"/>
    <n v="0"/>
    <n v="0"/>
    <n v="1"/>
    <n v="1"/>
    <n v="1"/>
    <n v="1"/>
    <n v="0"/>
    <n v="1"/>
    <n v="0"/>
    <n v="1"/>
    <n v="0"/>
    <n v="0"/>
  </r>
  <r>
    <s v="GUNTER,CAYDEN"/>
    <s v="CAYDEN"/>
    <s v="GUNTER"/>
    <n v="230432395"/>
    <n v="11"/>
    <s v="Antaky"/>
    <b v="0"/>
    <b v="0"/>
    <n v="15"/>
    <n v="5"/>
    <n v="6"/>
    <n v="3"/>
    <x v="13"/>
    <n v="4"/>
    <n v="2"/>
    <n v="3"/>
    <n v="3"/>
    <n v="1"/>
    <n v="1"/>
    <n v="3"/>
    <n v="2"/>
    <n v="3"/>
    <n v="2"/>
    <n v="2"/>
    <n v="3"/>
    <n v="1"/>
    <n v="4"/>
    <n v="1"/>
    <n v="2"/>
    <n v="1"/>
    <n v="3"/>
    <n v="3"/>
    <n v="1"/>
    <n v="1"/>
    <n v="2"/>
    <n v="3"/>
    <n v="2"/>
    <n v="3"/>
    <n v="4"/>
    <n v="4"/>
    <n v="3"/>
    <n v="3"/>
    <n v="2"/>
    <n v="1"/>
    <n v="1"/>
    <n v="1"/>
    <n v="1"/>
    <n v="1"/>
    <n v="1"/>
    <n v="3"/>
    <n v="1"/>
    <n v="1"/>
    <n v="1"/>
    <n v="1"/>
    <n v="1"/>
    <n v="0"/>
    <n v="1"/>
    <n v="1"/>
    <n v="0"/>
    <n v="0"/>
    <n v="1"/>
    <n v="0"/>
    <n v="0"/>
    <n v="1"/>
    <n v="0"/>
    <n v="0"/>
    <n v="1"/>
    <n v="0"/>
    <n v="1"/>
    <n v="0"/>
    <n v="0"/>
    <n v="1"/>
    <n v="1"/>
    <n v="0"/>
    <n v="0"/>
    <n v="1"/>
    <n v="0"/>
    <n v="1"/>
    <n v="1"/>
    <n v="1"/>
  </r>
  <r>
    <s v="GUZMAN MARIN,MARIO"/>
    <s v="MARIO"/>
    <s v="GUZMAN MARIN"/>
    <n v="235852233"/>
    <n v="11"/>
    <s v="Dushin"/>
    <b v="0"/>
    <b v="0"/>
    <n v="0"/>
    <n v="0"/>
    <n v="0"/>
    <n v="0"/>
    <x v="2"/>
    <m/>
    <m/>
    <m/>
    <m/>
    <m/>
    <m/>
    <m/>
    <m/>
    <m/>
    <m/>
    <m/>
    <m/>
    <m/>
    <m/>
    <m/>
    <m/>
    <m/>
    <m/>
    <m/>
    <m/>
    <m/>
    <m/>
    <m/>
    <m/>
    <m/>
    <m/>
    <m/>
    <m/>
    <m/>
    <m/>
    <m/>
    <m/>
    <m/>
    <m/>
    <m/>
    <m/>
    <m/>
    <n v="0"/>
    <n v="0"/>
    <n v="0"/>
    <n v="0"/>
    <n v="0"/>
    <n v="0"/>
    <n v="0"/>
    <n v="0"/>
    <n v="0"/>
    <n v="0"/>
    <n v="0"/>
    <n v="0"/>
    <n v="0"/>
    <n v="0"/>
    <n v="0"/>
    <n v="0"/>
    <n v="0"/>
    <n v="0"/>
    <n v="0"/>
    <n v="0"/>
    <n v="0"/>
    <n v="0"/>
    <n v="0"/>
    <n v="0"/>
    <n v="0"/>
    <n v="0"/>
    <n v="0"/>
    <n v="0"/>
    <n v="0"/>
    <n v="0"/>
  </r>
  <r>
    <s v="GUZMAN,GENESIS"/>
    <s v="GENESIS"/>
    <s v="GUZMAN"/>
    <n v="240104893"/>
    <n v="11"/>
    <s v="Kovelsky"/>
    <b v="0"/>
    <b v="0"/>
    <n v="15"/>
    <n v="8"/>
    <n v="6"/>
    <n v="4"/>
    <x v="33"/>
    <n v="4"/>
    <n v="2"/>
    <n v="1"/>
    <n v="3"/>
    <n v="1"/>
    <n v="2"/>
    <n v="3"/>
    <n v="4"/>
    <n v="3"/>
    <n v="1"/>
    <n v="1"/>
    <n v="4"/>
    <n v="2"/>
    <n v="3"/>
    <n v="3"/>
    <n v="4"/>
    <n v="1"/>
    <n v="3"/>
    <n v="1"/>
    <n v="1"/>
    <n v="2"/>
    <n v="2"/>
    <n v="3"/>
    <n v="2"/>
    <n v="3"/>
    <n v="4"/>
    <n v="2"/>
    <n v="3"/>
    <n v="4"/>
    <n v="4"/>
    <n v="1"/>
    <n v="1"/>
    <n v="1"/>
    <n v="1"/>
    <n v="1"/>
    <n v="1"/>
    <n v="4"/>
    <n v="1"/>
    <n v="1"/>
    <n v="0"/>
    <n v="1"/>
    <n v="1"/>
    <n v="0"/>
    <n v="1"/>
    <n v="0"/>
    <n v="0"/>
    <n v="1"/>
    <n v="0"/>
    <n v="1"/>
    <n v="1"/>
    <n v="0"/>
    <n v="1"/>
    <n v="0"/>
    <n v="1"/>
    <n v="0"/>
    <n v="0"/>
    <n v="0"/>
    <n v="1"/>
    <n v="1"/>
    <n v="1"/>
    <n v="0"/>
    <n v="0"/>
    <n v="1"/>
    <n v="0"/>
    <n v="1"/>
    <n v="1"/>
    <n v="1"/>
  </r>
  <r>
    <s v="HARRIOTT,LEAH"/>
    <s v="LEAH"/>
    <s v="HARRIOTT"/>
    <n v="229629175"/>
    <n v="11"/>
    <s v="Dushin"/>
    <b v="0"/>
    <b v="0"/>
    <n v="14"/>
    <n v="7"/>
    <n v="6"/>
    <n v="3.5"/>
    <x v="14"/>
    <n v="1"/>
    <n v="4"/>
    <n v="2"/>
    <n v="3"/>
    <n v="1"/>
    <n v="2"/>
    <n v="3"/>
    <n v="3"/>
    <n v="4"/>
    <n v="1"/>
    <n v="2"/>
    <n v="3"/>
    <n v="2"/>
    <n v="3"/>
    <n v="4"/>
    <n v="1"/>
    <n v="3"/>
    <n v="4"/>
    <n v="3"/>
    <n v="4"/>
    <n v="1"/>
    <n v="2"/>
    <n v="4"/>
    <n v="3"/>
    <n v="4"/>
    <n v="4"/>
    <n v="4"/>
    <n v="3"/>
    <n v="4"/>
    <n v="3"/>
    <n v="1"/>
    <n v="1"/>
    <n v="1"/>
    <n v="1"/>
    <n v="1"/>
    <n v="1"/>
    <n v="3.5"/>
    <n v="0"/>
    <n v="0"/>
    <n v="0"/>
    <n v="1"/>
    <n v="1"/>
    <n v="0"/>
    <n v="1"/>
    <n v="0"/>
    <n v="0"/>
    <n v="1"/>
    <n v="1"/>
    <n v="0"/>
    <n v="1"/>
    <n v="0"/>
    <n v="0"/>
    <n v="1"/>
    <n v="0"/>
    <n v="1"/>
    <n v="1"/>
    <n v="1"/>
    <n v="0"/>
    <n v="1"/>
    <n v="0"/>
    <n v="1"/>
    <n v="0"/>
    <n v="1"/>
    <n v="0"/>
    <n v="1"/>
    <n v="1"/>
    <n v="1"/>
  </r>
  <r>
    <s v="HEART,TEIJHA"/>
    <s v="TEIJHA"/>
    <s v="HEART"/>
    <n v="240175778"/>
    <n v="9"/>
    <s v="Bermejo"/>
    <b v="0"/>
    <b v="0"/>
    <n v="0"/>
    <n v="0"/>
    <n v="0"/>
    <n v="0"/>
    <x v="2"/>
    <m/>
    <m/>
    <m/>
    <m/>
    <m/>
    <m/>
    <m/>
    <m/>
    <m/>
    <m/>
    <m/>
    <m/>
    <m/>
    <m/>
    <m/>
    <m/>
    <m/>
    <m/>
    <m/>
    <m/>
    <m/>
    <m/>
    <m/>
    <m/>
    <m/>
    <m/>
    <m/>
    <m/>
    <m/>
    <m/>
    <m/>
    <m/>
    <m/>
    <m/>
    <m/>
    <m/>
    <m/>
    <n v="0"/>
    <n v="0"/>
    <n v="0"/>
    <n v="0"/>
    <n v="0"/>
    <n v="0"/>
    <n v="0"/>
    <n v="0"/>
    <n v="0"/>
    <n v="0"/>
    <n v="0"/>
    <n v="0"/>
    <n v="0"/>
    <n v="0"/>
    <n v="0"/>
    <n v="0"/>
    <n v="0"/>
    <n v="0"/>
    <n v="0"/>
    <n v="0"/>
    <n v="0"/>
    <n v="0"/>
    <n v="0"/>
    <n v="0"/>
    <n v="0"/>
    <n v="0"/>
    <n v="0"/>
    <n v="0"/>
    <n v="0"/>
    <n v="0"/>
  </r>
  <r>
    <s v="HECKSTALL,JACOB"/>
    <s v="JACOB"/>
    <s v="HECKSTALL"/>
    <n v="206775025"/>
    <n v="11"/>
    <s v="Dushin"/>
    <b v="0"/>
    <b v="1"/>
    <n v="24"/>
    <n v="8"/>
    <n v="5"/>
    <n v="3.5"/>
    <x v="37"/>
    <n v="4"/>
    <n v="1"/>
    <n v="3"/>
    <n v="3"/>
    <n v="1"/>
    <n v="3"/>
    <n v="3"/>
    <n v="2"/>
    <n v="2"/>
    <n v="1"/>
    <n v="2"/>
    <n v="4"/>
    <n v="2"/>
    <n v="3"/>
    <n v="3"/>
    <n v="1"/>
    <n v="1"/>
    <n v="4"/>
    <n v="3"/>
    <n v="4"/>
    <n v="2"/>
    <n v="2"/>
    <n v="3"/>
    <n v="3"/>
    <n v="1"/>
    <n v="4"/>
    <n v="2"/>
    <n v="3"/>
    <n v="4"/>
    <n v="4"/>
    <n v="1"/>
    <n v="0"/>
    <n v="1"/>
    <n v="1"/>
    <n v="1"/>
    <n v="1"/>
    <n v="3.5"/>
    <n v="1"/>
    <n v="0"/>
    <n v="1"/>
    <n v="1"/>
    <n v="1"/>
    <n v="0"/>
    <n v="1"/>
    <n v="1"/>
    <n v="1"/>
    <n v="1"/>
    <n v="1"/>
    <n v="1"/>
    <n v="1"/>
    <n v="0"/>
    <n v="1"/>
    <n v="1"/>
    <n v="1"/>
    <n v="1"/>
    <n v="1"/>
    <n v="1"/>
    <n v="1"/>
    <n v="1"/>
    <n v="1"/>
    <n v="1"/>
    <n v="1"/>
    <n v="1"/>
    <n v="0"/>
    <n v="1"/>
    <n v="1"/>
    <n v="1"/>
  </r>
  <r>
    <s v="HEMSLEY,BELAFLORA"/>
    <s v="BELAFLORA"/>
    <s v="HEMSLEY"/>
    <n v="240535641"/>
    <n v="9"/>
    <s v="Bermejo"/>
    <b v="0"/>
    <b v="0"/>
    <n v="20"/>
    <n v="8"/>
    <n v="6"/>
    <n v="2"/>
    <x v="7"/>
    <n v="4"/>
    <n v="1"/>
    <n v="3"/>
    <n v="3"/>
    <n v="1"/>
    <n v="2"/>
    <n v="3"/>
    <n v="2"/>
    <n v="2"/>
    <n v="1"/>
    <n v="2"/>
    <n v="3"/>
    <n v="2"/>
    <n v="4"/>
    <n v="3"/>
    <n v="1"/>
    <n v="2"/>
    <n v="4"/>
    <n v="1"/>
    <n v="4"/>
    <n v="2"/>
    <n v="2"/>
    <n v="3"/>
    <n v="2"/>
    <n v="1"/>
    <n v="2"/>
    <n v="4"/>
    <n v="3"/>
    <n v="4"/>
    <n v="4"/>
    <n v="1"/>
    <n v="1"/>
    <n v="1"/>
    <n v="1"/>
    <n v="1"/>
    <n v="1"/>
    <n v="2"/>
    <n v="1"/>
    <n v="0"/>
    <n v="1"/>
    <n v="1"/>
    <n v="1"/>
    <n v="0"/>
    <n v="1"/>
    <n v="1"/>
    <n v="1"/>
    <n v="1"/>
    <n v="1"/>
    <n v="0"/>
    <n v="1"/>
    <n v="1"/>
    <n v="1"/>
    <n v="1"/>
    <n v="0"/>
    <n v="1"/>
    <n v="0"/>
    <n v="1"/>
    <n v="1"/>
    <n v="1"/>
    <n v="1"/>
    <n v="0"/>
    <n v="1"/>
    <n v="0"/>
    <n v="0"/>
    <n v="1"/>
    <n v="1"/>
    <n v="1"/>
  </r>
  <r>
    <s v="HEREDIA,ZACHARY"/>
    <s v="ZACHARY"/>
    <s v="HEREDIA"/>
    <n v="239267222"/>
    <n v="9"/>
    <s v="Kovelsky"/>
    <b v="0"/>
    <b v="0"/>
    <n v="20"/>
    <n v="2"/>
    <n v="6"/>
    <n v="1"/>
    <x v="9"/>
    <n v="3"/>
    <n v="2"/>
    <n v="3"/>
    <n v="4"/>
    <n v="1"/>
    <n v="4"/>
    <n v="3"/>
    <n v="2"/>
    <n v="2"/>
    <n v="1"/>
    <n v="2"/>
    <n v="3"/>
    <n v="2"/>
    <n v="4"/>
    <n v="3"/>
    <n v="4"/>
    <n v="1"/>
    <n v="4"/>
    <n v="3"/>
    <n v="1"/>
    <n v="3"/>
    <n v="2"/>
    <n v="3"/>
    <n v="3"/>
    <n v="4"/>
    <n v="4"/>
    <n v="1"/>
    <n v="2"/>
    <n v="1"/>
    <n v="1"/>
    <n v="1"/>
    <n v="1"/>
    <n v="1"/>
    <n v="1"/>
    <n v="1"/>
    <n v="1"/>
    <n v="1"/>
    <n v="0"/>
    <n v="1"/>
    <n v="1"/>
    <n v="0"/>
    <n v="1"/>
    <n v="1"/>
    <n v="1"/>
    <n v="1"/>
    <n v="1"/>
    <n v="1"/>
    <n v="1"/>
    <n v="0"/>
    <n v="1"/>
    <n v="1"/>
    <n v="1"/>
    <n v="0"/>
    <n v="1"/>
    <n v="1"/>
    <n v="1"/>
    <n v="0"/>
    <n v="0"/>
    <n v="1"/>
    <n v="1"/>
    <n v="1"/>
    <n v="0"/>
    <n v="1"/>
    <n v="1"/>
    <n v="0"/>
    <n v="1"/>
    <n v="1"/>
  </r>
  <r>
    <s v="HERNANDEZ RAMIREZ,EDGAR"/>
    <s v="EDGAR"/>
    <s v="HERNANDEZ RAMIREZ"/>
    <n v="221035447"/>
    <n v="11"/>
    <s v="Kovelsky"/>
    <b v="0"/>
    <b v="0"/>
    <n v="18"/>
    <n v="4"/>
    <n v="6"/>
    <n v="1"/>
    <x v="9"/>
    <n v="4"/>
    <n v="3"/>
    <n v="3"/>
    <n v="2"/>
    <n v="1"/>
    <n v="3"/>
    <n v="3"/>
    <n v="2"/>
    <n v="2"/>
    <n v="1"/>
    <n v="2"/>
    <n v="4"/>
    <n v="1"/>
    <n v="4"/>
    <n v="4"/>
    <n v="1"/>
    <n v="1"/>
    <n v="4"/>
    <n v="3"/>
    <n v="4"/>
    <n v="2"/>
    <n v="3"/>
    <n v="4"/>
    <n v="2"/>
    <n v="3"/>
    <n v="4"/>
    <n v="2"/>
    <n v="3"/>
    <n v="2"/>
    <n v="2"/>
    <n v="1"/>
    <n v="1"/>
    <n v="1"/>
    <n v="1"/>
    <n v="1"/>
    <n v="1"/>
    <n v="1"/>
    <n v="1"/>
    <n v="0"/>
    <n v="1"/>
    <n v="0"/>
    <n v="1"/>
    <n v="0"/>
    <n v="1"/>
    <n v="1"/>
    <n v="1"/>
    <n v="1"/>
    <n v="1"/>
    <n v="1"/>
    <n v="0"/>
    <n v="1"/>
    <n v="0"/>
    <n v="1"/>
    <n v="1"/>
    <n v="1"/>
    <n v="1"/>
    <n v="1"/>
    <n v="1"/>
    <n v="0"/>
    <n v="0"/>
    <n v="0"/>
    <n v="0"/>
    <n v="1"/>
    <n v="0"/>
    <n v="1"/>
    <n v="1"/>
    <n v="1"/>
  </r>
  <r>
    <s v="HERNANDEZ,AIDEN"/>
    <s v="AIDEN"/>
    <s v="HERNANDEZ"/>
    <n v="241264027"/>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HIBBERT,KONNOR"/>
    <s v="KONNOR"/>
    <s v="HIBBERT"/>
    <n v="240634287"/>
    <n v="9"/>
    <s v="Bermejo"/>
    <b v="0"/>
    <b v="0"/>
    <n v="21"/>
    <n v="2"/>
    <n v="4"/>
    <n v="3"/>
    <x v="26"/>
    <n v="4"/>
    <n v="2"/>
    <n v="3"/>
    <n v="3"/>
    <n v="1"/>
    <n v="2"/>
    <n v="3"/>
    <n v="2"/>
    <n v="3"/>
    <n v="1"/>
    <n v="2"/>
    <n v="4"/>
    <n v="1"/>
    <n v="4"/>
    <n v="3"/>
    <n v="4"/>
    <n v="1"/>
    <n v="4"/>
    <n v="3"/>
    <n v="4"/>
    <n v="2"/>
    <n v="2"/>
    <n v="3"/>
    <n v="2"/>
    <n v="2"/>
    <n v="4"/>
    <n v="2"/>
    <n v="3"/>
    <n v="1"/>
    <n v="1"/>
    <n v="1"/>
    <n v="1"/>
    <n v="0"/>
    <n v="1"/>
    <n v="1"/>
    <n v="0"/>
    <n v="3"/>
    <n v="1"/>
    <n v="1"/>
    <n v="1"/>
    <n v="1"/>
    <n v="1"/>
    <n v="0"/>
    <n v="1"/>
    <n v="1"/>
    <n v="0"/>
    <n v="1"/>
    <n v="1"/>
    <n v="1"/>
    <n v="0"/>
    <n v="1"/>
    <n v="1"/>
    <n v="0"/>
    <n v="1"/>
    <n v="1"/>
    <n v="1"/>
    <n v="1"/>
    <n v="1"/>
    <n v="1"/>
    <n v="1"/>
    <n v="0"/>
    <n v="0"/>
    <n v="1"/>
    <n v="0"/>
    <n v="1"/>
    <n v="1"/>
    <n v="1"/>
  </r>
  <r>
    <s v="HOLDER,RAHMEL"/>
    <s v="RAHMEL"/>
    <s v="HOLDER"/>
    <n v="250120173"/>
    <n v="11"/>
    <s v="Kovelsky"/>
    <b v="0"/>
    <b v="0"/>
    <n v="15"/>
    <n v="3"/>
    <n v="6"/>
    <n v="1.5"/>
    <x v="29"/>
    <n v="4"/>
    <n v="3"/>
    <n v="3"/>
    <n v="2"/>
    <n v="1"/>
    <n v="1"/>
    <n v="3"/>
    <n v="2"/>
    <n v="2"/>
    <n v="1"/>
    <n v="2"/>
    <n v="3"/>
    <n v="3"/>
    <n v="4"/>
    <n v="1"/>
    <n v="1"/>
    <n v="1"/>
    <n v="4"/>
    <n v="4"/>
    <n v="3"/>
    <n v="2"/>
    <n v="3"/>
    <n v="4"/>
    <n v="2"/>
    <n v="3"/>
    <n v="4"/>
    <n v="2"/>
    <n v="3"/>
    <n v="1"/>
    <n v="2"/>
    <n v="1"/>
    <n v="1"/>
    <n v="1"/>
    <n v="1"/>
    <n v="1"/>
    <n v="1"/>
    <n v="1.5"/>
    <n v="1"/>
    <n v="0"/>
    <n v="1"/>
    <n v="0"/>
    <n v="1"/>
    <n v="0"/>
    <n v="1"/>
    <n v="1"/>
    <n v="1"/>
    <n v="1"/>
    <n v="1"/>
    <n v="0"/>
    <n v="0"/>
    <n v="1"/>
    <n v="0"/>
    <n v="1"/>
    <n v="1"/>
    <n v="1"/>
    <n v="0"/>
    <n v="0"/>
    <n v="1"/>
    <n v="0"/>
    <n v="0"/>
    <n v="0"/>
    <n v="0"/>
    <n v="1"/>
    <n v="0"/>
    <n v="1"/>
    <n v="1"/>
    <n v="1"/>
  </r>
  <r>
    <s v="HOLMES,KALYANI"/>
    <s v="KALYANI"/>
    <s v="HOLMES"/>
    <n v="238561500"/>
    <n v="9"/>
    <s v="Other"/>
    <b v="0"/>
    <b v="0"/>
    <n v="0"/>
    <n v="0"/>
    <n v="0"/>
    <n v="0"/>
    <x v="2"/>
    <m/>
    <m/>
    <m/>
    <m/>
    <m/>
    <m/>
    <m/>
    <m/>
    <m/>
    <m/>
    <m/>
    <m/>
    <m/>
    <m/>
    <m/>
    <m/>
    <m/>
    <m/>
    <m/>
    <m/>
    <m/>
    <m/>
    <m/>
    <m/>
    <m/>
    <m/>
    <m/>
    <m/>
    <m/>
    <m/>
    <m/>
    <m/>
    <m/>
    <m/>
    <m/>
    <m/>
    <m/>
    <n v="0"/>
    <n v="0"/>
    <n v="0"/>
    <n v="0"/>
    <n v="0"/>
    <n v="0"/>
    <n v="0"/>
    <n v="0"/>
    <n v="0"/>
    <n v="0"/>
    <n v="0"/>
    <n v="0"/>
    <n v="0"/>
    <n v="0"/>
    <n v="0"/>
    <n v="0"/>
    <n v="0"/>
    <n v="0"/>
    <n v="0"/>
    <n v="0"/>
    <n v="0"/>
    <n v="0"/>
    <n v="0"/>
    <n v="0"/>
    <n v="0"/>
    <n v="0"/>
    <n v="0"/>
    <n v="0"/>
    <n v="0"/>
    <n v="0"/>
  </r>
  <r>
    <s v="HUERTA,RANDY"/>
    <s v="RANDY"/>
    <s v="HUERTA"/>
    <n v="226748085"/>
    <n v="11"/>
    <s v="Dushin"/>
    <b v="0"/>
    <b v="0"/>
    <n v="20"/>
    <n v="4"/>
    <n v="6"/>
    <n v="2.5"/>
    <x v="14"/>
    <n v="4"/>
    <n v="3"/>
    <n v="3"/>
    <n v="3"/>
    <n v="1"/>
    <n v="4"/>
    <n v="1"/>
    <n v="2"/>
    <n v="2"/>
    <n v="1"/>
    <n v="2"/>
    <n v="4"/>
    <n v="2"/>
    <n v="4"/>
    <n v="3"/>
    <n v="1"/>
    <n v="3"/>
    <n v="4"/>
    <n v="3"/>
    <n v="1"/>
    <n v="1"/>
    <n v="2"/>
    <n v="3"/>
    <n v="2"/>
    <n v="3"/>
    <n v="4"/>
    <n v="1"/>
    <n v="2"/>
    <n v="4"/>
    <n v="0"/>
    <n v="1"/>
    <n v="1"/>
    <n v="1"/>
    <n v="1"/>
    <n v="1"/>
    <n v="1"/>
    <n v="2.5"/>
    <n v="1"/>
    <n v="0"/>
    <n v="1"/>
    <n v="1"/>
    <n v="1"/>
    <n v="1"/>
    <n v="0"/>
    <n v="1"/>
    <n v="1"/>
    <n v="1"/>
    <n v="1"/>
    <n v="1"/>
    <n v="1"/>
    <n v="1"/>
    <n v="1"/>
    <n v="1"/>
    <n v="0"/>
    <n v="1"/>
    <n v="1"/>
    <n v="0"/>
    <n v="0"/>
    <n v="1"/>
    <n v="1"/>
    <n v="0"/>
    <n v="0"/>
    <n v="1"/>
    <n v="1"/>
    <n v="0"/>
    <n v="1"/>
    <n v="1"/>
  </r>
  <r>
    <s v="HUSBAND,JAZIAH"/>
    <s v="JAZIAH"/>
    <s v="HUSBAND"/>
    <n v="215422007"/>
    <n v="11"/>
    <s v="Dushin"/>
    <b v="0"/>
    <b v="1"/>
    <n v="16"/>
    <n v="1"/>
    <n v="5"/>
    <n v="0"/>
    <x v="8"/>
    <n v="4"/>
    <n v="1"/>
    <n v="1"/>
    <n v="2"/>
    <n v="1"/>
    <n v="2"/>
    <n v="2"/>
    <n v="2"/>
    <n v="2"/>
    <n v="1"/>
    <n v="2"/>
    <n v="4"/>
    <n v="2"/>
    <n v="3"/>
    <n v="4"/>
    <n v="4"/>
    <n v="1"/>
    <n v="3"/>
    <n v="3"/>
    <n v="4"/>
    <n v="2"/>
    <n v="2"/>
    <n v="1"/>
    <n v="2"/>
    <n v="1"/>
    <n v="4"/>
    <n v="4"/>
    <n v="3"/>
    <n v="1"/>
    <n v="0"/>
    <n v="1"/>
    <n v="0"/>
    <n v="1"/>
    <n v="1"/>
    <n v="1"/>
    <n v="1"/>
    <n v="0"/>
    <n v="1"/>
    <n v="0"/>
    <n v="0"/>
    <n v="0"/>
    <n v="1"/>
    <n v="0"/>
    <n v="0"/>
    <n v="1"/>
    <n v="1"/>
    <n v="1"/>
    <n v="1"/>
    <n v="1"/>
    <n v="1"/>
    <n v="0"/>
    <n v="0"/>
    <n v="0"/>
    <n v="1"/>
    <n v="0"/>
    <n v="1"/>
    <n v="1"/>
    <n v="1"/>
    <n v="1"/>
    <n v="0"/>
    <n v="0"/>
    <n v="1"/>
    <n v="1"/>
    <n v="0"/>
    <n v="1"/>
    <n v="0"/>
    <n v="1"/>
  </r>
  <r>
    <s v="IRZE,SHAIED MOHAMMAD"/>
    <s v="SHAIED MOHAMMAD"/>
    <s v="IRZE"/>
    <n v="250192227"/>
    <n v="9"/>
    <s v="Bermejo"/>
    <b v="1"/>
    <b v="0"/>
    <n v="12"/>
    <n v="5"/>
    <n v="0"/>
    <n v="0"/>
    <x v="38"/>
    <n v="4"/>
    <n v="2"/>
    <n v="3"/>
    <n v="1"/>
    <n v="2"/>
    <n v="2"/>
    <n v="4"/>
    <n v="2"/>
    <n v="2"/>
    <n v="1"/>
    <n v="3"/>
    <n v="2"/>
    <n v="2"/>
    <n v="4"/>
    <n v="2"/>
    <n v="1"/>
    <n v="2"/>
    <n v="4"/>
    <n v="4"/>
    <n v="2"/>
    <n v="1"/>
    <n v="2"/>
    <n v="1"/>
    <n v="4"/>
    <n v="2"/>
    <n v="1"/>
    <n v="2"/>
    <n v="3"/>
    <n v="3"/>
    <n v="2"/>
    <n v="0"/>
    <n v="0"/>
    <n v="0"/>
    <n v="0"/>
    <n v="0"/>
    <n v="0"/>
    <n v="0"/>
    <n v="1"/>
    <n v="1"/>
    <n v="1"/>
    <n v="0"/>
    <n v="0"/>
    <n v="0"/>
    <n v="0"/>
    <n v="1"/>
    <n v="1"/>
    <n v="1"/>
    <n v="0"/>
    <n v="0"/>
    <n v="1"/>
    <n v="1"/>
    <n v="0"/>
    <n v="1"/>
    <n v="0"/>
    <n v="1"/>
    <n v="0"/>
    <n v="0"/>
    <n v="0"/>
    <n v="1"/>
    <n v="0"/>
    <n v="0"/>
    <n v="0"/>
    <n v="0"/>
    <n v="0"/>
    <n v="1"/>
    <n v="0"/>
    <n v="0"/>
  </r>
  <r>
    <s v="ISSAKA,ABDUL"/>
    <s v="ABDUL"/>
    <s v="ISSAKA"/>
    <n v="234904639"/>
    <n v="11"/>
    <s v="Antaky"/>
    <b v="0"/>
    <b v="0"/>
    <n v="22"/>
    <n v="8"/>
    <n v="6"/>
    <n v="2"/>
    <x v="4"/>
    <n v="4"/>
    <n v="2"/>
    <n v="4"/>
    <n v="1"/>
    <n v="1"/>
    <n v="4"/>
    <n v="3"/>
    <n v="2"/>
    <n v="2"/>
    <n v="1"/>
    <n v="2"/>
    <n v="4"/>
    <n v="2"/>
    <n v="4"/>
    <n v="3"/>
    <n v="1"/>
    <n v="1"/>
    <n v="4"/>
    <n v="1"/>
    <n v="1"/>
    <n v="2"/>
    <n v="2"/>
    <n v="1"/>
    <n v="3"/>
    <n v="1"/>
    <n v="2"/>
    <n v="1"/>
    <n v="3"/>
    <n v="4"/>
    <n v="4"/>
    <n v="1"/>
    <n v="1"/>
    <n v="1"/>
    <n v="1"/>
    <n v="1"/>
    <n v="1"/>
    <n v="2"/>
    <n v="1"/>
    <n v="1"/>
    <n v="0"/>
    <n v="0"/>
    <n v="1"/>
    <n v="1"/>
    <n v="1"/>
    <n v="1"/>
    <n v="1"/>
    <n v="1"/>
    <n v="1"/>
    <n v="1"/>
    <n v="1"/>
    <n v="1"/>
    <n v="1"/>
    <n v="1"/>
    <n v="1"/>
    <n v="1"/>
    <n v="0"/>
    <n v="0"/>
    <n v="1"/>
    <n v="1"/>
    <n v="0"/>
    <n v="1"/>
    <n v="1"/>
    <n v="0"/>
    <n v="1"/>
    <n v="1"/>
    <n v="1"/>
    <n v="1"/>
  </r>
  <r>
    <s v="JABATEH,JAHEEM"/>
    <s v="JAHEEM"/>
    <s v="JABATEH"/>
    <n v="234078558"/>
    <n v="11"/>
    <s v="Dushin"/>
    <b v="0"/>
    <b v="0"/>
    <n v="18"/>
    <n v="5"/>
    <n v="6"/>
    <n v="2.5"/>
    <x v="27"/>
    <n v="4"/>
    <n v="4"/>
    <n v="3"/>
    <n v="1"/>
    <n v="1"/>
    <n v="4"/>
    <n v="3"/>
    <n v="2"/>
    <n v="2"/>
    <n v="1"/>
    <n v="2"/>
    <n v="4"/>
    <n v="1"/>
    <n v="2"/>
    <n v="3"/>
    <n v="4"/>
    <n v="2"/>
    <n v="2"/>
    <n v="3"/>
    <n v="1"/>
    <n v="2"/>
    <n v="3"/>
    <n v="3"/>
    <n v="3"/>
    <n v="4"/>
    <n v="4"/>
    <n v="1"/>
    <n v="3"/>
    <n v="3"/>
    <n v="2"/>
    <n v="1"/>
    <n v="1"/>
    <n v="1"/>
    <n v="1"/>
    <n v="1"/>
    <n v="1"/>
    <n v="2.5"/>
    <n v="1"/>
    <n v="0"/>
    <n v="1"/>
    <n v="0"/>
    <n v="1"/>
    <n v="1"/>
    <n v="1"/>
    <n v="1"/>
    <n v="1"/>
    <n v="1"/>
    <n v="1"/>
    <n v="1"/>
    <n v="0"/>
    <n v="0"/>
    <n v="1"/>
    <n v="0"/>
    <n v="0"/>
    <n v="0"/>
    <n v="1"/>
    <n v="0"/>
    <n v="1"/>
    <n v="0"/>
    <n v="1"/>
    <n v="1"/>
    <n v="0"/>
    <n v="1"/>
    <n v="1"/>
    <n v="1"/>
    <n v="1"/>
    <n v="1"/>
  </r>
  <r>
    <s v="JAMES,KYMANI"/>
    <s v="KYMANI"/>
    <s v="JAMES"/>
    <n v="257457804"/>
    <n v="9"/>
    <s v="Bermejo"/>
    <b v="0"/>
    <b v="1"/>
    <n v="9"/>
    <n v="5"/>
    <n v="5"/>
    <n v="2"/>
    <x v="10"/>
    <n v="3"/>
    <n v="4"/>
    <n v="2"/>
    <n v="4"/>
    <n v="1"/>
    <n v="3"/>
    <n v="2"/>
    <n v="3"/>
    <n v="2"/>
    <n v="1"/>
    <n v="4"/>
    <n v="1"/>
    <n v="3"/>
    <n v="1"/>
    <n v="2"/>
    <n v="1"/>
    <n v="1"/>
    <n v="3"/>
    <n v="1"/>
    <n v="3"/>
    <n v="2"/>
    <n v="2"/>
    <n v="3"/>
    <n v="1"/>
    <n v="4"/>
    <n v="3"/>
    <n v="2"/>
    <n v="3"/>
    <n v="3"/>
    <n v="2"/>
    <n v="1"/>
    <n v="1"/>
    <n v="1"/>
    <n v="1"/>
    <n v="1"/>
    <n v="0"/>
    <n v="2"/>
    <n v="0"/>
    <n v="0"/>
    <n v="0"/>
    <n v="0"/>
    <n v="1"/>
    <n v="0"/>
    <n v="0"/>
    <n v="0"/>
    <n v="1"/>
    <n v="1"/>
    <n v="0"/>
    <n v="0"/>
    <n v="0"/>
    <n v="0"/>
    <n v="0"/>
    <n v="1"/>
    <n v="1"/>
    <n v="0"/>
    <n v="0"/>
    <n v="0"/>
    <n v="1"/>
    <n v="1"/>
    <n v="1"/>
    <n v="0"/>
    <n v="0"/>
    <n v="0"/>
    <n v="0"/>
    <n v="1"/>
    <n v="0"/>
    <n v="1"/>
  </r>
  <r>
    <s v="JOBE,SANII"/>
    <s v="SANII"/>
    <s v="JOBE"/>
    <n v="224528414"/>
    <n v="11"/>
    <s v="Dushin"/>
    <b v="0"/>
    <b v="0"/>
    <n v="14"/>
    <n v="4"/>
    <n v="5"/>
    <n v="2.5"/>
    <x v="5"/>
    <n v="1"/>
    <n v="1"/>
    <n v="3"/>
    <n v="3"/>
    <n v="1"/>
    <n v="1"/>
    <n v="3"/>
    <n v="3"/>
    <n v="2"/>
    <n v="1"/>
    <n v="2"/>
    <n v="4"/>
    <n v="4"/>
    <n v="1"/>
    <n v="3"/>
    <n v="4"/>
    <n v="4"/>
    <n v="3"/>
    <n v="3"/>
    <n v="1"/>
    <n v="1"/>
    <n v="4"/>
    <n v="3"/>
    <n v="4"/>
    <n v="3"/>
    <n v="4"/>
    <n v="1"/>
    <n v="3"/>
    <n v="2"/>
    <n v="2"/>
    <n v="1"/>
    <n v="1"/>
    <n v="1"/>
    <n v="0"/>
    <n v="1"/>
    <n v="1"/>
    <n v="2.5"/>
    <n v="0"/>
    <n v="0"/>
    <n v="1"/>
    <n v="1"/>
    <n v="1"/>
    <n v="0"/>
    <n v="1"/>
    <n v="0"/>
    <n v="1"/>
    <n v="1"/>
    <n v="1"/>
    <n v="1"/>
    <n v="0"/>
    <n v="0"/>
    <n v="1"/>
    <n v="0"/>
    <n v="0"/>
    <n v="0"/>
    <n v="1"/>
    <n v="0"/>
    <n v="0"/>
    <n v="0"/>
    <n v="1"/>
    <n v="0"/>
    <n v="0"/>
    <n v="1"/>
    <n v="1"/>
    <n v="1"/>
    <n v="1"/>
    <n v="1"/>
  </r>
  <r>
    <s v="JOHN,AIDDEN"/>
    <s v="AIDDEN"/>
    <s v="JOHN"/>
    <n v="234154227"/>
    <n v="11"/>
    <s v="Dushin"/>
    <b v="0"/>
    <b v="0"/>
    <n v="21"/>
    <n v="4"/>
    <n v="6"/>
    <n v="2.5"/>
    <x v="39"/>
    <n v="4"/>
    <n v="2"/>
    <n v="3"/>
    <n v="3"/>
    <n v="1"/>
    <n v="4"/>
    <n v="3"/>
    <n v="2"/>
    <n v="2"/>
    <n v="1"/>
    <n v="2"/>
    <n v="3"/>
    <n v="2"/>
    <n v="2"/>
    <n v="1"/>
    <n v="4"/>
    <n v="1"/>
    <n v="4"/>
    <n v="3"/>
    <n v="4"/>
    <n v="2"/>
    <n v="2"/>
    <n v="1"/>
    <n v="1"/>
    <n v="1"/>
    <n v="4"/>
    <n v="4"/>
    <n v="3"/>
    <n v="2"/>
    <n v="2"/>
    <n v="1"/>
    <n v="1"/>
    <n v="1"/>
    <n v="1"/>
    <n v="1"/>
    <n v="1"/>
    <n v="2.5"/>
    <n v="1"/>
    <n v="1"/>
    <n v="1"/>
    <n v="1"/>
    <n v="1"/>
    <n v="1"/>
    <n v="1"/>
    <n v="1"/>
    <n v="1"/>
    <n v="1"/>
    <n v="1"/>
    <n v="0"/>
    <n v="1"/>
    <n v="0"/>
    <n v="0"/>
    <n v="0"/>
    <n v="1"/>
    <n v="1"/>
    <n v="1"/>
    <n v="1"/>
    <n v="1"/>
    <n v="1"/>
    <n v="0"/>
    <n v="0"/>
    <n v="1"/>
    <n v="1"/>
    <n v="0"/>
    <n v="1"/>
    <n v="1"/>
    <n v="1"/>
  </r>
  <r>
    <s v="JOHN,MALEIA"/>
    <s v="MALEIA"/>
    <s v="JOHN"/>
    <n v="234154201"/>
    <n v="11"/>
    <s v="Antaky"/>
    <b v="0"/>
    <b v="0"/>
    <n v="24"/>
    <n v="9"/>
    <n v="6"/>
    <n v="3.5"/>
    <x v="6"/>
    <n v="4"/>
    <n v="2"/>
    <n v="4"/>
    <n v="3"/>
    <n v="3"/>
    <n v="2"/>
    <n v="3"/>
    <n v="2"/>
    <n v="2"/>
    <n v="1"/>
    <n v="2"/>
    <n v="4"/>
    <n v="2"/>
    <n v="4"/>
    <n v="3"/>
    <n v="4"/>
    <n v="1"/>
    <n v="4"/>
    <n v="3"/>
    <n v="4"/>
    <n v="2"/>
    <n v="2"/>
    <n v="3"/>
    <n v="3"/>
    <n v="1"/>
    <n v="4"/>
    <n v="1"/>
    <n v="3"/>
    <n v="4"/>
    <n v="5"/>
    <n v="1"/>
    <n v="1"/>
    <n v="1"/>
    <n v="1"/>
    <n v="1"/>
    <n v="1"/>
    <n v="3.5"/>
    <n v="1"/>
    <n v="1"/>
    <n v="0"/>
    <n v="1"/>
    <n v="0"/>
    <n v="0"/>
    <n v="1"/>
    <n v="1"/>
    <n v="1"/>
    <n v="1"/>
    <n v="1"/>
    <n v="1"/>
    <n v="1"/>
    <n v="1"/>
    <n v="1"/>
    <n v="0"/>
    <n v="1"/>
    <n v="1"/>
    <n v="1"/>
    <n v="1"/>
    <n v="1"/>
    <n v="1"/>
    <n v="1"/>
    <n v="1"/>
    <n v="1"/>
    <n v="1"/>
    <n v="1"/>
    <n v="1"/>
    <n v="1"/>
    <n v="1"/>
  </r>
  <r>
    <s v="JOHNSON SPENCER,JIEQUAN"/>
    <s v="JIEQUAN"/>
    <s v="JOHNSON SPENCER"/>
    <n v="236757605"/>
    <n v="9"/>
    <s v="Kovelsky"/>
    <b v="0"/>
    <b v="0"/>
    <n v="26"/>
    <n v="5"/>
    <n v="6"/>
    <n v="2"/>
    <x v="30"/>
    <n v="4"/>
    <n v="2"/>
    <n v="3"/>
    <n v="3"/>
    <n v="1"/>
    <n v="4"/>
    <n v="3"/>
    <n v="2"/>
    <n v="2"/>
    <n v="1"/>
    <n v="2"/>
    <n v="4"/>
    <n v="2"/>
    <n v="1"/>
    <n v="3"/>
    <n v="1"/>
    <n v="1"/>
    <n v="4"/>
    <n v="3"/>
    <n v="1"/>
    <n v="2"/>
    <n v="2"/>
    <n v="3"/>
    <n v="3"/>
    <n v="1"/>
    <n v="4"/>
    <n v="1"/>
    <n v="3"/>
    <n v="3"/>
    <n v="2"/>
    <n v="1"/>
    <n v="1"/>
    <n v="1"/>
    <n v="1"/>
    <n v="1"/>
    <n v="1"/>
    <n v="2"/>
    <n v="1"/>
    <n v="1"/>
    <n v="1"/>
    <n v="1"/>
    <n v="1"/>
    <n v="1"/>
    <n v="1"/>
    <n v="1"/>
    <n v="1"/>
    <n v="1"/>
    <n v="1"/>
    <n v="1"/>
    <n v="1"/>
    <n v="0"/>
    <n v="1"/>
    <n v="1"/>
    <n v="1"/>
    <n v="1"/>
    <n v="1"/>
    <n v="0"/>
    <n v="1"/>
    <n v="1"/>
    <n v="1"/>
    <n v="1"/>
    <n v="1"/>
    <n v="1"/>
    <n v="1"/>
    <n v="1"/>
    <n v="1"/>
    <n v="1"/>
  </r>
  <r>
    <s v="JOHNSON,CHAD"/>
    <s v="CHAD"/>
    <s v="JOHNSON"/>
    <n v="246825327"/>
    <n v="9"/>
    <s v="Bermejo"/>
    <b v="0"/>
    <b v="0"/>
    <n v="16"/>
    <n v="1"/>
    <n v="6"/>
    <n v="2"/>
    <x v="35"/>
    <n v="4"/>
    <n v="4"/>
    <n v="3"/>
    <n v="3"/>
    <n v="1"/>
    <n v="4"/>
    <n v="2"/>
    <n v="2"/>
    <n v="2"/>
    <n v="2"/>
    <n v="2"/>
    <n v="3"/>
    <n v="2"/>
    <n v="4"/>
    <n v="3"/>
    <n v="4"/>
    <n v="4"/>
    <n v="1"/>
    <n v="2"/>
    <n v="3"/>
    <n v="2"/>
    <n v="2"/>
    <n v="3"/>
    <n v="2"/>
    <n v="2"/>
    <n v="4"/>
    <n v="4"/>
    <n v="3"/>
    <n v="1"/>
    <n v="0"/>
    <n v="1"/>
    <n v="1"/>
    <n v="1"/>
    <n v="1"/>
    <n v="1"/>
    <n v="1"/>
    <n v="2"/>
    <n v="1"/>
    <n v="0"/>
    <n v="1"/>
    <n v="1"/>
    <n v="1"/>
    <n v="1"/>
    <n v="0"/>
    <n v="1"/>
    <n v="1"/>
    <n v="0"/>
    <n v="1"/>
    <n v="0"/>
    <n v="1"/>
    <n v="1"/>
    <n v="1"/>
    <n v="0"/>
    <n v="0"/>
    <n v="0"/>
    <n v="0"/>
    <n v="0"/>
    <n v="1"/>
    <n v="1"/>
    <n v="1"/>
    <n v="0"/>
    <n v="0"/>
    <n v="1"/>
    <n v="0"/>
    <n v="1"/>
    <n v="1"/>
    <n v="1"/>
  </r>
  <r>
    <s v="JOSEPH,LEANDRO"/>
    <s v="LEANDRO"/>
    <s v="JOSEPH"/>
    <n v="247581853"/>
    <n v="9"/>
    <s v="Bermejo"/>
    <b v="0"/>
    <b v="1"/>
    <n v="16"/>
    <n v="4"/>
    <n v="6"/>
    <n v="1"/>
    <x v="35"/>
    <n v="4"/>
    <n v="3"/>
    <n v="3"/>
    <n v="1"/>
    <n v="1"/>
    <n v="3"/>
    <n v="4"/>
    <n v="2"/>
    <n v="2"/>
    <n v="1"/>
    <n v="2"/>
    <n v="4"/>
    <n v="2"/>
    <n v="4"/>
    <n v="4"/>
    <n v="1"/>
    <n v="1"/>
    <n v="3"/>
    <n v="2"/>
    <n v="4"/>
    <n v="4"/>
    <n v="2"/>
    <n v="3"/>
    <n v="2"/>
    <n v="3"/>
    <n v="1"/>
    <n v="4"/>
    <n v="3"/>
    <n v="2"/>
    <n v="2"/>
    <n v="1"/>
    <n v="1"/>
    <n v="1"/>
    <n v="1"/>
    <n v="1"/>
    <n v="1"/>
    <n v="1"/>
    <n v="1"/>
    <n v="0"/>
    <n v="1"/>
    <n v="0"/>
    <n v="1"/>
    <n v="0"/>
    <n v="0"/>
    <n v="1"/>
    <n v="1"/>
    <n v="1"/>
    <n v="1"/>
    <n v="1"/>
    <n v="1"/>
    <n v="1"/>
    <n v="0"/>
    <n v="1"/>
    <n v="1"/>
    <n v="0"/>
    <n v="0"/>
    <n v="1"/>
    <n v="0"/>
    <n v="1"/>
    <n v="1"/>
    <n v="0"/>
    <n v="0"/>
    <n v="0"/>
    <n v="0"/>
    <n v="1"/>
    <n v="1"/>
    <n v="1"/>
  </r>
  <r>
    <s v="KAKHRAMONOV,FERUZ"/>
    <s v="FERUZ"/>
    <s v="KAKHRAMONOV"/>
    <n v="236147435"/>
    <n v="11"/>
    <s v="Antaky"/>
    <b v="0"/>
    <b v="0"/>
    <n v="11"/>
    <n v="6"/>
    <n v="6"/>
    <n v="1"/>
    <x v="1"/>
    <n v="4"/>
    <n v="1"/>
    <n v="4"/>
    <n v="1"/>
    <n v="2"/>
    <n v="3"/>
    <n v="2"/>
    <n v="3"/>
    <n v="1"/>
    <n v="2"/>
    <n v="2"/>
    <n v="3"/>
    <n v="2"/>
    <n v="2"/>
    <n v="3"/>
    <n v="4"/>
    <n v="1"/>
    <n v="1"/>
    <n v="2"/>
    <n v="3"/>
    <n v="2"/>
    <n v="2"/>
    <n v="3"/>
    <n v="2"/>
    <n v="1"/>
    <n v="2"/>
    <n v="1"/>
    <n v="3"/>
    <n v="3"/>
    <n v="3"/>
    <n v="1"/>
    <n v="1"/>
    <n v="1"/>
    <n v="1"/>
    <n v="1"/>
    <n v="1"/>
    <n v="1"/>
    <n v="1"/>
    <n v="0"/>
    <n v="0"/>
    <n v="0"/>
    <n v="0"/>
    <n v="0"/>
    <n v="0"/>
    <n v="0"/>
    <n v="0"/>
    <n v="0"/>
    <n v="1"/>
    <n v="0"/>
    <n v="1"/>
    <n v="0"/>
    <n v="1"/>
    <n v="0"/>
    <n v="1"/>
    <n v="0"/>
    <n v="0"/>
    <n v="0"/>
    <n v="1"/>
    <n v="1"/>
    <n v="1"/>
    <n v="0"/>
    <n v="1"/>
    <n v="0"/>
    <n v="1"/>
    <n v="1"/>
    <n v="0"/>
    <n v="0"/>
  </r>
  <r>
    <s v="KASHIANO,NYLAH"/>
    <s v="NYLAH"/>
    <s v="KASHIANO"/>
    <n v="234874915"/>
    <n v="11"/>
    <s v="Antaky"/>
    <b v="0"/>
    <b v="0"/>
    <n v="23"/>
    <n v="3"/>
    <n v="5"/>
    <n v="2"/>
    <x v="14"/>
    <n v="4"/>
    <n v="2"/>
    <n v="3"/>
    <n v="4"/>
    <n v="1"/>
    <n v="4"/>
    <n v="2"/>
    <n v="2"/>
    <n v="3"/>
    <n v="1"/>
    <n v="2"/>
    <n v="4"/>
    <n v="2"/>
    <n v="4"/>
    <n v="3"/>
    <n v="1"/>
    <n v="1"/>
    <n v="3"/>
    <n v="3"/>
    <n v="4"/>
    <n v="2"/>
    <n v="2"/>
    <n v="3"/>
    <n v="3"/>
    <n v="1"/>
    <n v="4"/>
    <n v="4"/>
    <n v="3"/>
    <n v="2"/>
    <n v="1"/>
    <n v="0"/>
    <n v="1"/>
    <n v="1"/>
    <n v="1"/>
    <n v="1"/>
    <n v="1"/>
    <n v="2"/>
    <n v="1"/>
    <n v="1"/>
    <n v="1"/>
    <n v="0"/>
    <n v="1"/>
    <n v="1"/>
    <n v="0"/>
    <n v="1"/>
    <n v="0"/>
    <n v="1"/>
    <n v="1"/>
    <n v="1"/>
    <n v="1"/>
    <n v="1"/>
    <n v="1"/>
    <n v="1"/>
    <n v="1"/>
    <n v="0"/>
    <n v="1"/>
    <n v="1"/>
    <n v="1"/>
    <n v="1"/>
    <n v="1"/>
    <n v="1"/>
    <n v="1"/>
    <n v="1"/>
    <n v="0"/>
    <n v="1"/>
    <n v="1"/>
    <n v="1"/>
  </r>
  <r>
    <s v="KEITA,MARIATA"/>
    <s v="MARIATA"/>
    <s v="KEITA"/>
    <n v="238823371"/>
    <n v="9"/>
    <s v="Bermejo"/>
    <b v="0"/>
    <b v="0"/>
    <n v="19"/>
    <n v="8"/>
    <n v="5"/>
    <n v="3"/>
    <x v="33"/>
    <n v="4"/>
    <n v="2"/>
    <n v="3"/>
    <n v="3"/>
    <n v="1"/>
    <n v="3"/>
    <n v="4"/>
    <n v="2"/>
    <n v="3"/>
    <n v="1"/>
    <n v="2"/>
    <n v="4"/>
    <n v="4"/>
    <n v="2"/>
    <n v="3"/>
    <n v="1"/>
    <n v="1"/>
    <n v="4"/>
    <n v="3"/>
    <n v="3"/>
    <n v="1"/>
    <n v="2"/>
    <n v="3"/>
    <n v="2"/>
    <n v="1"/>
    <n v="4"/>
    <n v="4"/>
    <n v="3"/>
    <n v="4"/>
    <n v="4"/>
    <n v="1"/>
    <n v="0"/>
    <n v="1"/>
    <n v="1"/>
    <n v="1"/>
    <n v="1"/>
    <n v="3"/>
    <n v="1"/>
    <n v="1"/>
    <n v="1"/>
    <n v="1"/>
    <n v="1"/>
    <n v="0"/>
    <n v="0"/>
    <n v="1"/>
    <n v="0"/>
    <n v="1"/>
    <n v="1"/>
    <n v="1"/>
    <n v="0"/>
    <n v="0"/>
    <n v="1"/>
    <n v="1"/>
    <n v="1"/>
    <n v="1"/>
    <n v="1"/>
    <n v="0"/>
    <n v="0"/>
    <n v="1"/>
    <n v="1"/>
    <n v="0"/>
    <n v="1"/>
    <n v="1"/>
    <n v="0"/>
    <n v="1"/>
    <n v="1"/>
    <n v="1"/>
  </r>
  <r>
    <s v="KELLEY JR,EVERETT"/>
    <s v="EVERETT"/>
    <s v="KELLEY JR"/>
    <n v="225834845"/>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KENNEDY,JAHAD"/>
    <s v="JAHAD"/>
    <s v="KENNEDY"/>
    <n v="237377056"/>
    <n v="11"/>
    <s v="Dushin"/>
    <b v="0"/>
    <b v="1"/>
    <n v="23"/>
    <n v="9"/>
    <n v="5"/>
    <n v="3.5"/>
    <x v="37"/>
    <n v="4"/>
    <n v="1"/>
    <n v="3"/>
    <n v="3"/>
    <n v="1"/>
    <n v="4"/>
    <n v="3"/>
    <n v="2"/>
    <n v="2"/>
    <n v="1"/>
    <n v="2"/>
    <n v="4"/>
    <n v="3"/>
    <n v="2"/>
    <n v="3"/>
    <n v="1"/>
    <n v="1"/>
    <n v="4"/>
    <n v="3"/>
    <n v="4"/>
    <n v="2"/>
    <n v="2"/>
    <n v="3"/>
    <n v="3"/>
    <n v="2"/>
    <n v="1"/>
    <n v="1"/>
    <n v="3"/>
    <n v="4"/>
    <n v="5"/>
    <n v="1"/>
    <n v="1"/>
    <n v="1"/>
    <n v="1"/>
    <n v="1"/>
    <n v="0"/>
    <n v="3.5"/>
    <n v="1"/>
    <n v="0"/>
    <n v="1"/>
    <n v="1"/>
    <n v="1"/>
    <n v="1"/>
    <n v="1"/>
    <n v="1"/>
    <n v="1"/>
    <n v="1"/>
    <n v="1"/>
    <n v="1"/>
    <n v="0"/>
    <n v="0"/>
    <n v="1"/>
    <n v="1"/>
    <n v="1"/>
    <n v="1"/>
    <n v="1"/>
    <n v="1"/>
    <n v="1"/>
    <n v="1"/>
    <n v="1"/>
    <n v="1"/>
    <n v="0"/>
    <n v="0"/>
    <n v="1"/>
    <n v="1"/>
    <n v="1"/>
    <n v="1"/>
  </r>
  <r>
    <s v="KYDD ALCINE,MADISON"/>
    <s v="MADISON"/>
    <s v="KYDD ALCINE"/>
    <n v="238863575"/>
    <n v="9"/>
    <s v="Bermejo"/>
    <b v="0"/>
    <b v="0"/>
    <n v="16"/>
    <n v="4"/>
    <n v="6"/>
    <n v="3"/>
    <x v="13"/>
    <n v="4"/>
    <n v="2"/>
    <n v="3"/>
    <n v="3"/>
    <n v="1"/>
    <n v="2"/>
    <n v="3"/>
    <n v="2"/>
    <n v="2"/>
    <n v="1"/>
    <n v="2"/>
    <n v="3"/>
    <n v="2"/>
    <n v="4"/>
    <n v="4"/>
    <n v="4"/>
    <n v="3"/>
    <n v="3"/>
    <n v="3"/>
    <n v="4"/>
    <n v="3"/>
    <n v="4"/>
    <n v="2"/>
    <n v="2"/>
    <n v="2"/>
    <n v="4"/>
    <n v="1"/>
    <n v="4"/>
    <n v="3"/>
    <n v="1"/>
    <n v="1"/>
    <n v="1"/>
    <n v="1"/>
    <n v="1"/>
    <n v="1"/>
    <n v="1"/>
    <n v="3"/>
    <n v="1"/>
    <n v="1"/>
    <n v="1"/>
    <n v="1"/>
    <n v="1"/>
    <n v="0"/>
    <n v="1"/>
    <n v="1"/>
    <n v="1"/>
    <n v="1"/>
    <n v="1"/>
    <n v="0"/>
    <n v="1"/>
    <n v="1"/>
    <n v="0"/>
    <n v="0"/>
    <n v="0"/>
    <n v="0"/>
    <n v="1"/>
    <n v="1"/>
    <n v="0"/>
    <n v="0"/>
    <n v="0"/>
    <n v="0"/>
    <n v="0"/>
    <n v="1"/>
    <n v="1"/>
    <n v="0"/>
    <n v="1"/>
    <n v="1"/>
  </r>
  <r>
    <s v="LAM,JAYLYNN"/>
    <s v="JAYLYNN"/>
    <s v="LAM"/>
    <n v="229119060"/>
    <n v="11"/>
    <s v="Dushin"/>
    <b v="0"/>
    <b v="0"/>
    <n v="24"/>
    <n v="8"/>
    <n v="6"/>
    <n v="4.5"/>
    <x v="40"/>
    <n v="4"/>
    <n v="2"/>
    <n v="3"/>
    <n v="3"/>
    <n v="1"/>
    <n v="2"/>
    <n v="3"/>
    <n v="2"/>
    <n v="2"/>
    <n v="1"/>
    <n v="2"/>
    <n v="4"/>
    <n v="2"/>
    <n v="4"/>
    <n v="2"/>
    <n v="4"/>
    <n v="1"/>
    <n v="4"/>
    <n v="3"/>
    <n v="4"/>
    <n v="2"/>
    <n v="2"/>
    <n v="3"/>
    <n v="3"/>
    <n v="4"/>
    <n v="4"/>
    <n v="1"/>
    <n v="3"/>
    <n v="4"/>
    <n v="4"/>
    <n v="1"/>
    <n v="1"/>
    <n v="1"/>
    <n v="1"/>
    <n v="1"/>
    <n v="1"/>
    <n v="4.5"/>
    <n v="1"/>
    <n v="1"/>
    <n v="1"/>
    <n v="1"/>
    <n v="1"/>
    <n v="0"/>
    <n v="1"/>
    <n v="1"/>
    <n v="1"/>
    <n v="1"/>
    <n v="1"/>
    <n v="1"/>
    <n v="1"/>
    <n v="1"/>
    <n v="0"/>
    <n v="0"/>
    <n v="1"/>
    <n v="1"/>
    <n v="1"/>
    <n v="1"/>
    <n v="1"/>
    <n v="1"/>
    <n v="1"/>
    <n v="1"/>
    <n v="0"/>
    <n v="1"/>
    <n v="1"/>
    <n v="1"/>
    <n v="1"/>
    <n v="1"/>
  </r>
  <r>
    <s v="LINTON,XAVIER"/>
    <s v="XAVIER"/>
    <s v="LINTON"/>
    <n v="203858618"/>
    <n v="11"/>
    <s v="Dushin"/>
    <b v="0"/>
    <b v="1"/>
    <n v="20"/>
    <n v="4"/>
    <n v="6"/>
    <n v="1"/>
    <x v="19"/>
    <n v="4"/>
    <n v="2"/>
    <n v="3"/>
    <n v="3"/>
    <n v="1"/>
    <n v="4"/>
    <n v="3"/>
    <n v="3"/>
    <n v="2"/>
    <n v="1"/>
    <n v="2"/>
    <n v="3"/>
    <n v="2"/>
    <n v="3"/>
    <n v="4"/>
    <n v="1"/>
    <n v="1"/>
    <n v="2"/>
    <n v="3"/>
    <n v="2"/>
    <n v="2"/>
    <n v="1"/>
    <n v="3"/>
    <n v="3"/>
    <n v="1"/>
    <n v="4"/>
    <n v="4"/>
    <n v="3"/>
    <n v="2"/>
    <n v="2"/>
    <n v="1"/>
    <n v="1"/>
    <n v="1"/>
    <n v="1"/>
    <n v="1"/>
    <n v="1"/>
    <n v="1"/>
    <n v="1"/>
    <n v="1"/>
    <n v="1"/>
    <n v="1"/>
    <n v="1"/>
    <n v="1"/>
    <n v="1"/>
    <n v="0"/>
    <n v="1"/>
    <n v="1"/>
    <n v="1"/>
    <n v="0"/>
    <n v="1"/>
    <n v="0"/>
    <n v="0"/>
    <n v="1"/>
    <n v="1"/>
    <n v="0"/>
    <n v="1"/>
    <n v="0"/>
    <n v="1"/>
    <n v="0"/>
    <n v="1"/>
    <n v="1"/>
    <n v="1"/>
    <n v="1"/>
    <n v="0"/>
    <n v="1"/>
    <n v="1"/>
    <n v="1"/>
  </r>
  <r>
    <s v="LIVERPOOL,JENAE"/>
    <s v="JENAE"/>
    <s v="LIVERPOOL"/>
    <n v="260522883"/>
    <n v="9"/>
    <s v="Kovelsky"/>
    <b v="0"/>
    <b v="0"/>
    <n v="21"/>
    <n v="1"/>
    <n v="5"/>
    <n v="1.5"/>
    <x v="9"/>
    <n v="4"/>
    <n v="2"/>
    <n v="3"/>
    <n v="3"/>
    <n v="1"/>
    <n v="4"/>
    <n v="4"/>
    <n v="2"/>
    <n v="2"/>
    <n v="1"/>
    <n v="2"/>
    <n v="4"/>
    <n v="2"/>
    <n v="3"/>
    <n v="3"/>
    <n v="1"/>
    <n v="1"/>
    <n v="4"/>
    <n v="2"/>
    <n v="1"/>
    <n v="2"/>
    <n v="2"/>
    <n v="3"/>
    <n v="2"/>
    <n v="4"/>
    <n v="4"/>
    <n v="2"/>
    <n v="3"/>
    <n v="1"/>
    <n v="0"/>
    <n v="1"/>
    <n v="1"/>
    <n v="1"/>
    <n v="1"/>
    <n v="1"/>
    <n v="0"/>
    <n v="1.5"/>
    <n v="1"/>
    <n v="1"/>
    <n v="1"/>
    <n v="1"/>
    <n v="1"/>
    <n v="1"/>
    <n v="0"/>
    <n v="1"/>
    <n v="1"/>
    <n v="1"/>
    <n v="1"/>
    <n v="1"/>
    <n v="1"/>
    <n v="0"/>
    <n v="1"/>
    <n v="1"/>
    <n v="1"/>
    <n v="1"/>
    <n v="0"/>
    <n v="0"/>
    <n v="1"/>
    <n v="1"/>
    <n v="1"/>
    <n v="0"/>
    <n v="0"/>
    <n v="1"/>
    <n v="0"/>
    <n v="1"/>
    <n v="1"/>
    <n v="1"/>
  </r>
  <r>
    <s v="LOGAN,ETHAN"/>
    <s v="ETHAN"/>
    <s v="LOGAN"/>
    <n v="241296870"/>
    <n v="9"/>
    <s v="Kovelsky"/>
    <b v="0"/>
    <b v="0"/>
    <n v="19"/>
    <n v="1"/>
    <n v="0"/>
    <n v="0"/>
    <x v="36"/>
    <n v="4"/>
    <n v="2"/>
    <n v="2"/>
    <n v="4"/>
    <n v="1"/>
    <n v="4"/>
    <n v="3"/>
    <n v="2"/>
    <n v="1"/>
    <n v="2"/>
    <n v="1"/>
    <n v="3"/>
    <n v="1"/>
    <n v="3"/>
    <n v="3"/>
    <n v="1"/>
    <n v="1"/>
    <n v="4"/>
    <n v="3"/>
    <n v="4"/>
    <n v="2"/>
    <n v="2"/>
    <n v="3"/>
    <n v="3"/>
    <n v="1"/>
    <n v="4"/>
    <n v="2"/>
    <n v="3"/>
    <n v="1"/>
    <n v="0"/>
    <n v="0"/>
    <n v="0"/>
    <n v="0"/>
    <n v="0"/>
    <n v="0"/>
    <n v="0"/>
    <n v="0"/>
    <n v="1"/>
    <n v="1"/>
    <n v="0"/>
    <n v="0"/>
    <n v="1"/>
    <n v="1"/>
    <n v="1"/>
    <n v="1"/>
    <n v="0"/>
    <n v="0"/>
    <n v="0"/>
    <n v="0"/>
    <n v="0"/>
    <n v="0"/>
    <n v="1"/>
    <n v="1"/>
    <n v="1"/>
    <n v="1"/>
    <n v="1"/>
    <n v="1"/>
    <n v="1"/>
    <n v="1"/>
    <n v="1"/>
    <n v="1"/>
    <n v="1"/>
    <n v="1"/>
    <n v="0"/>
    <n v="1"/>
    <n v="0"/>
    <n v="0"/>
  </r>
  <r>
    <s v="LOUIS,CHRISTIAN"/>
    <s v="CHRISTIAN"/>
    <s v="LOUIS"/>
    <n v="239125156"/>
    <n v="9"/>
    <s v="Kovelsky"/>
    <b v="0"/>
    <b v="0"/>
    <n v="16"/>
    <n v="3"/>
    <n v="5"/>
    <n v="1.5"/>
    <x v="29"/>
    <n v="3"/>
    <n v="2"/>
    <n v="1"/>
    <n v="2"/>
    <n v="1"/>
    <n v="4"/>
    <n v="3"/>
    <n v="2"/>
    <n v="3"/>
    <n v="1"/>
    <n v="2"/>
    <n v="4"/>
    <n v="2"/>
    <n v="3"/>
    <n v="3"/>
    <n v="1"/>
    <n v="1"/>
    <n v="4"/>
    <n v="2"/>
    <n v="2"/>
    <n v="3"/>
    <n v="2"/>
    <n v="1"/>
    <n v="4"/>
    <n v="3"/>
    <n v="4"/>
    <n v="1"/>
    <n v="2"/>
    <n v="2"/>
    <n v="1"/>
    <n v="1"/>
    <n v="1"/>
    <n v="1"/>
    <n v="1"/>
    <n v="1"/>
    <n v="0"/>
    <n v="1.5"/>
    <n v="0"/>
    <n v="1"/>
    <n v="0"/>
    <n v="0"/>
    <n v="1"/>
    <n v="1"/>
    <n v="1"/>
    <n v="1"/>
    <n v="0"/>
    <n v="1"/>
    <n v="1"/>
    <n v="1"/>
    <n v="1"/>
    <n v="0"/>
    <n v="1"/>
    <n v="1"/>
    <n v="1"/>
    <n v="1"/>
    <n v="0"/>
    <n v="0"/>
    <n v="0"/>
    <n v="1"/>
    <n v="0"/>
    <n v="0"/>
    <n v="0"/>
    <n v="1"/>
    <n v="1"/>
    <n v="0"/>
    <n v="1"/>
    <n v="1"/>
  </r>
  <r>
    <s v="LOWE,ALBERTO"/>
    <s v="ALBERTO"/>
    <s v="LOWE"/>
    <n v="207273640"/>
    <n v="11"/>
    <s v="Dushin"/>
    <b v="0"/>
    <b v="1"/>
    <n v="10"/>
    <n v="0"/>
    <n v="5"/>
    <n v="1"/>
    <x v="11"/>
    <n v="1"/>
    <n v="4"/>
    <n v="4"/>
    <n v="1"/>
    <n v="2"/>
    <n v="3"/>
    <n v="2"/>
    <n v="3"/>
    <n v="1"/>
    <n v="2"/>
    <n v="2"/>
    <n v="1"/>
    <n v="2"/>
    <n v="2"/>
    <n v="3"/>
    <n v="1"/>
    <n v="1"/>
    <n v="4"/>
    <n v="1"/>
    <n v="2"/>
    <n v="2"/>
    <n v="2"/>
    <n v="1"/>
    <n v="3"/>
    <n v="1"/>
    <n v="1"/>
    <n v="2"/>
    <n v="4"/>
    <n v="0"/>
    <n v="0"/>
    <n v="1"/>
    <n v="1"/>
    <n v="0"/>
    <n v="1"/>
    <n v="1"/>
    <n v="1"/>
    <n v="1"/>
    <n v="0"/>
    <n v="0"/>
    <n v="0"/>
    <n v="0"/>
    <n v="0"/>
    <n v="0"/>
    <n v="0"/>
    <n v="0"/>
    <n v="0"/>
    <n v="0"/>
    <n v="1"/>
    <n v="0"/>
    <n v="1"/>
    <n v="0"/>
    <n v="1"/>
    <n v="1"/>
    <n v="1"/>
    <n v="1"/>
    <n v="0"/>
    <n v="0"/>
    <n v="1"/>
    <n v="1"/>
    <n v="0"/>
    <n v="1"/>
    <n v="1"/>
    <n v="0"/>
    <n v="0"/>
    <n v="0"/>
    <n v="0"/>
    <n v="0"/>
  </r>
  <r>
    <s v="MAHMUD,AZMI"/>
    <s v="AZMI"/>
    <s v="MAHMUD"/>
    <n v="240832667"/>
    <n v="9"/>
    <s v="Kovelsky"/>
    <b v="0"/>
    <b v="0"/>
    <n v="15"/>
    <n v="2"/>
    <n v="5"/>
    <n v="2.5"/>
    <x v="35"/>
    <n v="4"/>
    <n v="2"/>
    <n v="3"/>
    <n v="1"/>
    <n v="1"/>
    <n v="3"/>
    <n v="4"/>
    <n v="2"/>
    <n v="2"/>
    <n v="1"/>
    <n v="1"/>
    <n v="1"/>
    <n v="2"/>
    <n v="3"/>
    <n v="3"/>
    <n v="4"/>
    <n v="1"/>
    <n v="4"/>
    <n v="3"/>
    <n v="4"/>
    <n v="3"/>
    <n v="2"/>
    <n v="3"/>
    <n v="2"/>
    <n v="3"/>
    <n v="2"/>
    <n v="3"/>
    <n v="2"/>
    <n v="2"/>
    <n v="0"/>
    <n v="0"/>
    <n v="1"/>
    <n v="1"/>
    <n v="1"/>
    <n v="1"/>
    <n v="1"/>
    <n v="2.5"/>
    <n v="1"/>
    <n v="1"/>
    <n v="1"/>
    <n v="0"/>
    <n v="1"/>
    <n v="0"/>
    <n v="0"/>
    <n v="1"/>
    <n v="1"/>
    <n v="1"/>
    <n v="0"/>
    <n v="0"/>
    <n v="1"/>
    <n v="0"/>
    <n v="1"/>
    <n v="0"/>
    <n v="1"/>
    <n v="1"/>
    <n v="1"/>
    <n v="1"/>
    <n v="0"/>
    <n v="1"/>
    <n v="1"/>
    <n v="0"/>
    <n v="0"/>
    <n v="0"/>
    <n v="0"/>
    <n v="0"/>
    <n v="1"/>
    <n v="1"/>
  </r>
  <r>
    <s v="MARTIN,MARK"/>
    <s v="MARK"/>
    <s v="MARTIN"/>
    <n v="247558893"/>
    <n v="9"/>
    <s v="Kovelsky"/>
    <b v="0"/>
    <b v="0"/>
    <n v="15"/>
    <n v="1"/>
    <n v="4"/>
    <n v="0"/>
    <x v="36"/>
    <n v="4"/>
    <n v="4"/>
    <n v="4"/>
    <n v="1"/>
    <n v="1"/>
    <n v="2"/>
    <n v="3"/>
    <n v="2"/>
    <n v="3"/>
    <n v="1"/>
    <n v="2"/>
    <n v="3"/>
    <n v="2"/>
    <n v="4"/>
    <n v="2"/>
    <n v="2"/>
    <n v="1"/>
    <n v="4"/>
    <n v="2"/>
    <n v="4"/>
    <n v="4"/>
    <n v="2"/>
    <n v="4"/>
    <n v="2"/>
    <n v="3"/>
    <n v="4"/>
    <n v="1"/>
    <n v="3"/>
    <n v="1"/>
    <n v="0"/>
    <n v="1"/>
    <n v="1"/>
    <n v="1"/>
    <n v="1"/>
    <n v="0"/>
    <n v="0"/>
    <n v="0"/>
    <n v="1"/>
    <n v="0"/>
    <n v="0"/>
    <n v="0"/>
    <n v="1"/>
    <n v="0"/>
    <n v="1"/>
    <n v="1"/>
    <n v="0"/>
    <n v="1"/>
    <n v="1"/>
    <n v="0"/>
    <n v="1"/>
    <n v="1"/>
    <n v="0"/>
    <n v="0"/>
    <n v="1"/>
    <n v="1"/>
    <n v="0"/>
    <n v="1"/>
    <n v="0"/>
    <n v="1"/>
    <n v="0"/>
    <n v="0"/>
    <n v="0"/>
    <n v="1"/>
    <n v="1"/>
    <n v="1"/>
    <n v="0"/>
    <n v="0"/>
  </r>
  <r>
    <s v="MARTIN,ZAISHAWN"/>
    <s v="ZAISHAWN"/>
    <s v="MARTIN"/>
    <n v="209586411"/>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MARTINEZ,HILLARY"/>
    <s v="HILLARY"/>
    <s v="MARTINEZ"/>
    <n v="243884871"/>
    <n v="11"/>
    <s v="Dushin"/>
    <b v="0"/>
    <b v="0"/>
    <n v="18"/>
    <n v="5"/>
    <n v="5"/>
    <n v="2"/>
    <x v="0"/>
    <n v="4"/>
    <n v="2"/>
    <n v="3"/>
    <n v="1"/>
    <n v="1"/>
    <n v="4"/>
    <n v="3"/>
    <n v="1"/>
    <n v="3"/>
    <n v="4"/>
    <n v="1"/>
    <n v="4"/>
    <n v="1"/>
    <n v="4"/>
    <n v="3"/>
    <n v="1"/>
    <n v="1"/>
    <n v="4"/>
    <n v="3"/>
    <n v="2"/>
    <n v="2"/>
    <n v="4"/>
    <n v="1"/>
    <n v="3"/>
    <n v="3"/>
    <n v="4"/>
    <n v="1"/>
    <n v="3"/>
    <n v="3"/>
    <n v="2"/>
    <n v="1"/>
    <n v="1"/>
    <n v="0"/>
    <n v="1"/>
    <n v="1"/>
    <n v="1"/>
    <n v="2"/>
    <n v="1"/>
    <n v="1"/>
    <n v="1"/>
    <n v="0"/>
    <n v="1"/>
    <n v="1"/>
    <n v="1"/>
    <n v="0"/>
    <n v="0"/>
    <n v="0"/>
    <n v="0"/>
    <n v="1"/>
    <n v="0"/>
    <n v="1"/>
    <n v="1"/>
    <n v="1"/>
    <n v="1"/>
    <n v="1"/>
    <n v="1"/>
    <n v="0"/>
    <n v="1"/>
    <n v="0"/>
    <n v="0"/>
    <n v="1"/>
    <n v="0"/>
    <n v="1"/>
    <n v="1"/>
    <n v="1"/>
    <n v="1"/>
    <n v="1"/>
  </r>
  <r>
    <s v="MARTINEZ,JOSHUA"/>
    <s v="JOSHUA"/>
    <s v="MARTINEZ"/>
    <n v="250141468"/>
    <n v="9"/>
    <s v="Bermejo"/>
    <b v="0"/>
    <b v="0"/>
    <n v="17"/>
    <n v="6"/>
    <n v="3"/>
    <n v="1"/>
    <x v="35"/>
    <n v="4"/>
    <n v="2"/>
    <n v="3"/>
    <n v="1"/>
    <n v="1"/>
    <n v="2"/>
    <n v="3"/>
    <n v="2"/>
    <n v="2"/>
    <n v="1"/>
    <n v="2"/>
    <n v="2"/>
    <n v="2"/>
    <n v="3"/>
    <n v="1"/>
    <n v="4"/>
    <n v="1"/>
    <n v="4"/>
    <n v="1"/>
    <n v="1"/>
    <n v="2"/>
    <n v="2"/>
    <n v="3"/>
    <n v="4"/>
    <n v="3"/>
    <n v="4"/>
    <n v="4"/>
    <n v="3"/>
    <n v="4"/>
    <n v="2"/>
    <n v="1"/>
    <n v="1"/>
    <n v="0"/>
    <n v="0"/>
    <n v="1"/>
    <n v="0"/>
    <n v="1"/>
    <n v="1"/>
    <n v="1"/>
    <n v="1"/>
    <n v="0"/>
    <n v="1"/>
    <n v="0"/>
    <n v="1"/>
    <n v="1"/>
    <n v="1"/>
    <n v="1"/>
    <n v="1"/>
    <n v="0"/>
    <n v="1"/>
    <n v="0"/>
    <n v="0"/>
    <n v="0"/>
    <n v="1"/>
    <n v="1"/>
    <n v="0"/>
    <n v="0"/>
    <n v="1"/>
    <n v="1"/>
    <n v="1"/>
    <n v="0"/>
    <n v="0"/>
    <n v="1"/>
    <n v="0"/>
    <n v="1"/>
    <n v="1"/>
    <n v="1"/>
  </r>
  <r>
    <s v="MARTINEZ,JOSIAS"/>
    <s v="JOSIAS"/>
    <s v="MARTINEZ"/>
    <n v="234760270"/>
    <n v="11"/>
    <s v="Antaky"/>
    <b v="0"/>
    <b v="0"/>
    <n v="22"/>
    <n v="9"/>
    <n v="6"/>
    <n v="3.5"/>
    <x v="37"/>
    <n v="3"/>
    <n v="2"/>
    <n v="1"/>
    <n v="3"/>
    <n v="1"/>
    <n v="4"/>
    <n v="3"/>
    <n v="2"/>
    <n v="2"/>
    <n v="1"/>
    <n v="2"/>
    <n v="3"/>
    <n v="2"/>
    <n v="4"/>
    <n v="3"/>
    <n v="1"/>
    <n v="1"/>
    <n v="4"/>
    <n v="3"/>
    <n v="4"/>
    <n v="2"/>
    <n v="2"/>
    <n v="3"/>
    <n v="4"/>
    <n v="3"/>
    <n v="4"/>
    <n v="4"/>
    <n v="3"/>
    <n v="4"/>
    <n v="5"/>
    <n v="1"/>
    <n v="1"/>
    <n v="1"/>
    <n v="1"/>
    <n v="1"/>
    <n v="1"/>
    <n v="3.5"/>
    <n v="0"/>
    <n v="1"/>
    <n v="0"/>
    <n v="1"/>
    <n v="1"/>
    <n v="1"/>
    <n v="1"/>
    <n v="1"/>
    <n v="1"/>
    <n v="1"/>
    <n v="1"/>
    <n v="0"/>
    <n v="1"/>
    <n v="1"/>
    <n v="1"/>
    <n v="1"/>
    <n v="1"/>
    <n v="1"/>
    <n v="1"/>
    <n v="1"/>
    <n v="1"/>
    <n v="1"/>
    <n v="1"/>
    <n v="0"/>
    <n v="0"/>
    <n v="1"/>
    <n v="0"/>
    <n v="1"/>
    <n v="1"/>
    <n v="1"/>
  </r>
  <r>
    <s v="MAXWELL,DESTINY V"/>
    <s v="DESTINY V"/>
    <s v="MAXWELL"/>
    <n v="228160057"/>
    <n v="11"/>
    <s v="Dushin"/>
    <b v="0"/>
    <b v="0"/>
    <n v="18"/>
    <n v="4"/>
    <n v="5"/>
    <n v="2.5"/>
    <x v="13"/>
    <n v="3"/>
    <n v="2"/>
    <n v="2"/>
    <n v="3"/>
    <n v="1"/>
    <n v="4"/>
    <n v="3"/>
    <n v="2"/>
    <n v="3"/>
    <n v="1"/>
    <n v="1"/>
    <n v="3"/>
    <n v="2"/>
    <n v="4"/>
    <n v="1"/>
    <n v="4"/>
    <n v="1"/>
    <n v="4"/>
    <n v="1"/>
    <n v="4"/>
    <n v="2"/>
    <n v="2"/>
    <n v="4"/>
    <n v="3"/>
    <n v="3"/>
    <n v="4"/>
    <n v="1"/>
    <n v="3"/>
    <n v="3"/>
    <n v="1"/>
    <n v="1"/>
    <n v="1"/>
    <n v="1"/>
    <n v="1"/>
    <n v="1"/>
    <n v="0"/>
    <n v="2.5"/>
    <n v="0"/>
    <n v="1"/>
    <n v="0"/>
    <n v="1"/>
    <n v="1"/>
    <n v="1"/>
    <n v="1"/>
    <n v="1"/>
    <n v="0"/>
    <n v="1"/>
    <n v="0"/>
    <n v="0"/>
    <n v="1"/>
    <n v="1"/>
    <n v="0"/>
    <n v="0"/>
    <n v="1"/>
    <n v="1"/>
    <n v="0"/>
    <n v="1"/>
    <n v="1"/>
    <n v="1"/>
    <n v="0"/>
    <n v="1"/>
    <n v="0"/>
    <n v="1"/>
    <n v="1"/>
    <n v="1"/>
    <n v="1"/>
    <n v="1"/>
  </r>
  <r>
    <s v="MAYERS,AIDEN"/>
    <s v="AIDEN"/>
    <s v="MAYERS"/>
    <n v="238847560"/>
    <n v="9"/>
    <s v="Bermejo"/>
    <b v="0"/>
    <b v="0"/>
    <n v="21"/>
    <n v="3"/>
    <n v="6"/>
    <n v="2"/>
    <x v="26"/>
    <n v="1"/>
    <n v="1"/>
    <n v="3"/>
    <n v="1"/>
    <n v="1"/>
    <n v="3"/>
    <n v="3"/>
    <n v="2"/>
    <n v="2"/>
    <n v="1"/>
    <n v="2"/>
    <n v="4"/>
    <n v="2"/>
    <n v="4"/>
    <n v="3"/>
    <n v="1"/>
    <n v="1"/>
    <n v="4"/>
    <n v="3"/>
    <n v="4"/>
    <n v="2"/>
    <n v="2"/>
    <n v="1"/>
    <n v="2"/>
    <n v="3"/>
    <n v="4"/>
    <n v="1"/>
    <n v="3"/>
    <n v="2"/>
    <n v="1"/>
    <n v="1"/>
    <n v="1"/>
    <n v="1"/>
    <n v="1"/>
    <n v="1"/>
    <n v="1"/>
    <n v="2"/>
    <n v="0"/>
    <n v="0"/>
    <n v="1"/>
    <n v="0"/>
    <n v="1"/>
    <n v="0"/>
    <n v="1"/>
    <n v="1"/>
    <n v="1"/>
    <n v="1"/>
    <n v="1"/>
    <n v="1"/>
    <n v="1"/>
    <n v="1"/>
    <n v="1"/>
    <n v="1"/>
    <n v="1"/>
    <n v="1"/>
    <n v="1"/>
    <n v="1"/>
    <n v="1"/>
    <n v="1"/>
    <n v="0"/>
    <n v="0"/>
    <n v="0"/>
    <n v="1"/>
    <n v="1"/>
    <n v="1"/>
    <n v="1"/>
    <n v="1"/>
  </r>
  <r>
    <s v="MAYERS,ASHTON"/>
    <s v="ASHTON"/>
    <s v="MAYERS"/>
    <n v="238847750"/>
    <n v="9"/>
    <s v="Bermejo"/>
    <b v="0"/>
    <b v="0"/>
    <n v="18"/>
    <n v="6"/>
    <n v="6"/>
    <n v="2"/>
    <x v="26"/>
    <n v="1"/>
    <n v="2"/>
    <n v="1"/>
    <n v="3"/>
    <n v="2"/>
    <n v="3"/>
    <n v="3"/>
    <n v="2"/>
    <n v="2"/>
    <n v="1"/>
    <n v="2"/>
    <n v="4"/>
    <n v="1"/>
    <n v="4"/>
    <n v="3"/>
    <n v="4"/>
    <n v="1"/>
    <n v="4"/>
    <n v="3"/>
    <n v="4"/>
    <n v="2"/>
    <n v="2"/>
    <n v="3"/>
    <n v="2"/>
    <n v="3"/>
    <n v="1"/>
    <n v="4"/>
    <n v="3"/>
    <n v="3"/>
    <n v="3"/>
    <n v="1"/>
    <n v="1"/>
    <n v="1"/>
    <n v="1"/>
    <n v="1"/>
    <n v="1"/>
    <n v="2"/>
    <n v="0"/>
    <n v="1"/>
    <n v="0"/>
    <n v="1"/>
    <n v="0"/>
    <n v="0"/>
    <n v="1"/>
    <n v="1"/>
    <n v="1"/>
    <n v="1"/>
    <n v="1"/>
    <n v="1"/>
    <n v="0"/>
    <n v="1"/>
    <n v="1"/>
    <n v="0"/>
    <n v="1"/>
    <n v="1"/>
    <n v="1"/>
    <n v="1"/>
    <n v="1"/>
    <n v="1"/>
    <n v="1"/>
    <n v="0"/>
    <n v="0"/>
    <n v="0"/>
    <n v="0"/>
    <n v="1"/>
    <n v="1"/>
    <n v="1"/>
  </r>
  <r>
    <s v="MCFARLANE,WINSTON"/>
    <s v="WINSTON"/>
    <s v="MCFARLANE"/>
    <n v="238940068"/>
    <n v="9"/>
    <s v="Kovelsky"/>
    <b v="0"/>
    <b v="0"/>
    <n v="0"/>
    <n v="0"/>
    <n v="0"/>
    <n v="0"/>
    <x v="2"/>
    <m/>
    <m/>
    <m/>
    <m/>
    <m/>
    <m/>
    <m/>
    <m/>
    <m/>
    <m/>
    <m/>
    <m/>
    <m/>
    <m/>
    <m/>
    <m/>
    <m/>
    <m/>
    <m/>
    <m/>
    <m/>
    <m/>
    <m/>
    <m/>
    <m/>
    <m/>
    <m/>
    <m/>
    <m/>
    <m/>
    <m/>
    <m/>
    <m/>
    <m/>
    <m/>
    <m/>
    <m/>
    <n v="0"/>
    <n v="0"/>
    <n v="0"/>
    <n v="0"/>
    <n v="0"/>
    <n v="0"/>
    <n v="0"/>
    <n v="0"/>
    <n v="0"/>
    <n v="0"/>
    <n v="0"/>
    <n v="0"/>
    <n v="0"/>
    <n v="0"/>
    <n v="0"/>
    <n v="0"/>
    <n v="0"/>
    <n v="0"/>
    <n v="0"/>
    <n v="0"/>
    <n v="0"/>
    <n v="0"/>
    <n v="0"/>
    <n v="0"/>
    <n v="0"/>
    <n v="0"/>
    <n v="0"/>
    <n v="0"/>
    <n v="0"/>
    <n v="0"/>
  </r>
  <r>
    <s v="MEJIA,OSCAR"/>
    <s v="OSCAR"/>
    <s v="MEJIA"/>
    <n v="237166178"/>
    <n v="11"/>
    <s v="Antaky"/>
    <b v="0"/>
    <b v="0"/>
    <n v="20"/>
    <n v="6"/>
    <n v="5"/>
    <n v="0"/>
    <x v="9"/>
    <n v="4"/>
    <n v="1"/>
    <n v="3"/>
    <n v="4"/>
    <n v="1"/>
    <n v="3"/>
    <n v="3"/>
    <n v="2"/>
    <n v="2"/>
    <n v="1"/>
    <n v="2"/>
    <n v="4"/>
    <n v="2"/>
    <n v="2"/>
    <n v="1"/>
    <n v="2"/>
    <n v="1"/>
    <n v="4"/>
    <n v="3"/>
    <n v="2"/>
    <n v="2"/>
    <n v="2"/>
    <n v="3"/>
    <n v="2"/>
    <n v="1"/>
    <n v="4"/>
    <n v="1"/>
    <n v="3"/>
    <n v="3"/>
    <n v="3"/>
    <n v="0"/>
    <n v="1"/>
    <n v="1"/>
    <n v="1"/>
    <n v="1"/>
    <n v="1"/>
    <n v="0"/>
    <n v="1"/>
    <n v="0"/>
    <n v="1"/>
    <n v="0"/>
    <n v="1"/>
    <n v="0"/>
    <n v="1"/>
    <n v="1"/>
    <n v="1"/>
    <n v="1"/>
    <n v="1"/>
    <n v="1"/>
    <n v="1"/>
    <n v="0"/>
    <n v="0"/>
    <n v="0"/>
    <n v="1"/>
    <n v="1"/>
    <n v="1"/>
    <n v="0"/>
    <n v="1"/>
    <n v="1"/>
    <n v="1"/>
    <n v="0"/>
    <n v="1"/>
    <n v="1"/>
    <n v="1"/>
    <n v="1"/>
    <n v="1"/>
    <n v="1"/>
  </r>
  <r>
    <s v="MENDEZ HERNANDEZ,DAVID"/>
    <s v="DAVID"/>
    <s v="MENDEZ HERNANDEZ"/>
    <n v="234634277"/>
    <n v="9"/>
    <s v="Bermejo"/>
    <b v="0"/>
    <b v="0"/>
    <n v="27"/>
    <n v="0"/>
    <n v="3"/>
    <n v="0"/>
    <x v="5"/>
    <n v="4"/>
    <n v="2"/>
    <n v="3"/>
    <n v="3"/>
    <n v="1"/>
    <n v="4"/>
    <n v="3"/>
    <n v="2"/>
    <n v="2"/>
    <n v="1"/>
    <n v="2"/>
    <n v="4"/>
    <n v="2"/>
    <n v="4"/>
    <n v="3"/>
    <n v="1"/>
    <n v="1"/>
    <n v="4"/>
    <n v="3"/>
    <n v="4"/>
    <n v="2"/>
    <n v="2"/>
    <n v="3"/>
    <n v="3"/>
    <n v="1"/>
    <n v="4"/>
    <n v="3"/>
    <n v="3"/>
    <n v="0"/>
    <n v="0"/>
    <n v="0"/>
    <n v="1"/>
    <n v="1"/>
    <n v="0"/>
    <n v="1"/>
    <n v="0"/>
    <n v="0"/>
    <n v="1"/>
    <n v="1"/>
    <n v="1"/>
    <n v="1"/>
    <n v="1"/>
    <n v="1"/>
    <n v="1"/>
    <n v="1"/>
    <n v="1"/>
    <n v="1"/>
    <n v="1"/>
    <n v="1"/>
    <n v="1"/>
    <n v="1"/>
    <n v="1"/>
    <n v="1"/>
    <n v="1"/>
    <n v="1"/>
    <n v="1"/>
    <n v="1"/>
    <n v="1"/>
    <n v="1"/>
    <n v="1"/>
    <n v="1"/>
    <n v="1"/>
    <n v="1"/>
    <n v="0"/>
    <n v="1"/>
    <n v="1"/>
    <n v="1"/>
  </r>
  <r>
    <s v="MENDEZ,CRIS"/>
    <s v="CRIS"/>
    <s v="MENDEZ"/>
    <n v="234506566"/>
    <n v="11"/>
    <s v="Dushin"/>
    <b v="0"/>
    <b v="1"/>
    <n v="17"/>
    <n v="5"/>
    <n v="6"/>
    <n v="2"/>
    <x v="0"/>
    <n v="4"/>
    <n v="1"/>
    <n v="3"/>
    <n v="1"/>
    <n v="1"/>
    <n v="3"/>
    <n v="3"/>
    <n v="2"/>
    <n v="3"/>
    <n v="1"/>
    <n v="2"/>
    <n v="3"/>
    <n v="2"/>
    <n v="2"/>
    <n v="3"/>
    <n v="1"/>
    <n v="1"/>
    <n v="4"/>
    <n v="3"/>
    <n v="1"/>
    <n v="3"/>
    <n v="1"/>
    <n v="3"/>
    <n v="2"/>
    <n v="1"/>
    <n v="4"/>
    <n v="1"/>
    <n v="2"/>
    <n v="3"/>
    <n v="2"/>
    <n v="1"/>
    <n v="1"/>
    <n v="1"/>
    <n v="1"/>
    <n v="1"/>
    <n v="1"/>
    <n v="2"/>
    <n v="1"/>
    <n v="0"/>
    <n v="1"/>
    <n v="0"/>
    <n v="1"/>
    <n v="0"/>
    <n v="1"/>
    <n v="1"/>
    <n v="0"/>
    <n v="1"/>
    <n v="1"/>
    <n v="0"/>
    <n v="1"/>
    <n v="0"/>
    <n v="1"/>
    <n v="1"/>
    <n v="1"/>
    <n v="1"/>
    <n v="1"/>
    <n v="0"/>
    <n v="0"/>
    <n v="0"/>
    <n v="1"/>
    <n v="0"/>
    <n v="1"/>
    <n v="1"/>
    <n v="1"/>
    <n v="0"/>
    <n v="1"/>
    <n v="1"/>
  </r>
  <r>
    <s v="MERCADO,ALEXANDER"/>
    <s v="ALEXANDER"/>
    <s v="MERCADO"/>
    <n v="237922364"/>
    <n v="11"/>
    <s v="Antaky"/>
    <b v="0"/>
    <b v="0"/>
    <n v="18"/>
    <n v="7"/>
    <n v="6"/>
    <n v="2"/>
    <x v="14"/>
    <n v="4"/>
    <n v="2"/>
    <n v="3"/>
    <n v="2"/>
    <n v="1"/>
    <n v="4"/>
    <n v="3"/>
    <n v="2"/>
    <n v="2"/>
    <n v="1"/>
    <n v="2"/>
    <n v="4"/>
    <n v="2"/>
    <n v="1"/>
    <n v="4"/>
    <n v="4"/>
    <n v="1"/>
    <n v="1"/>
    <n v="3"/>
    <n v="1"/>
    <n v="2"/>
    <n v="4"/>
    <n v="2"/>
    <n v="2"/>
    <n v="1"/>
    <n v="4"/>
    <n v="4"/>
    <n v="3"/>
    <n v="4"/>
    <n v="3"/>
    <n v="1"/>
    <n v="1"/>
    <n v="1"/>
    <n v="1"/>
    <n v="1"/>
    <n v="1"/>
    <n v="2"/>
    <n v="1"/>
    <n v="1"/>
    <n v="1"/>
    <n v="0"/>
    <n v="1"/>
    <n v="1"/>
    <n v="1"/>
    <n v="1"/>
    <n v="1"/>
    <n v="1"/>
    <n v="1"/>
    <n v="1"/>
    <n v="1"/>
    <n v="0"/>
    <n v="0"/>
    <n v="0"/>
    <n v="1"/>
    <n v="0"/>
    <n v="1"/>
    <n v="0"/>
    <n v="1"/>
    <n v="0"/>
    <n v="0"/>
    <n v="0"/>
    <n v="1"/>
    <n v="1"/>
    <n v="0"/>
    <n v="1"/>
    <n v="1"/>
    <n v="1"/>
  </r>
  <r>
    <s v="MERCADO,ANTHONY"/>
    <s v="ANTHONY"/>
    <s v="MERCADO"/>
    <n v="215049578"/>
    <n v="11"/>
    <s v="Kovelsky"/>
    <b v="0"/>
    <b v="0"/>
    <n v="13"/>
    <n v="1"/>
    <n v="4"/>
    <n v="1"/>
    <x v="16"/>
    <n v="4"/>
    <n v="1"/>
    <n v="1"/>
    <n v="3"/>
    <n v="1"/>
    <n v="2"/>
    <n v="3"/>
    <n v="3"/>
    <n v="2"/>
    <n v="1"/>
    <n v="2"/>
    <n v="4"/>
    <n v="3"/>
    <n v="2"/>
    <n v="1"/>
    <n v="4"/>
    <n v="1"/>
    <n v="3"/>
    <n v="4"/>
    <n v="1"/>
    <n v="2"/>
    <n v="4"/>
    <n v="3"/>
    <n v="2"/>
    <n v="1"/>
    <n v="2"/>
    <n v="2"/>
    <n v="3"/>
    <n v="1"/>
    <n v="0"/>
    <n v="0"/>
    <n v="1"/>
    <n v="1"/>
    <n v="1"/>
    <n v="1"/>
    <n v="0"/>
    <n v="1"/>
    <n v="1"/>
    <n v="0"/>
    <n v="0"/>
    <n v="1"/>
    <n v="1"/>
    <n v="0"/>
    <n v="1"/>
    <n v="0"/>
    <n v="1"/>
    <n v="1"/>
    <n v="1"/>
    <n v="1"/>
    <n v="0"/>
    <n v="0"/>
    <n v="0"/>
    <n v="0"/>
    <n v="1"/>
    <n v="0"/>
    <n v="0"/>
    <n v="0"/>
    <n v="1"/>
    <n v="0"/>
    <n v="1"/>
    <n v="0"/>
    <n v="1"/>
    <n v="0"/>
    <n v="0"/>
    <n v="1"/>
    <n v="0"/>
    <n v="0"/>
  </r>
  <r>
    <s v="MERCADO,KAILEY"/>
    <s v="KAILEY"/>
    <s v="MERCADO"/>
    <n v="239794571"/>
    <n v="9"/>
    <s v="Kovelsky"/>
    <b v="0"/>
    <b v="0"/>
    <n v="23"/>
    <n v="6"/>
    <n v="6"/>
    <n v="4"/>
    <x v="23"/>
    <n v="4"/>
    <n v="2"/>
    <n v="3"/>
    <n v="3"/>
    <n v="1"/>
    <n v="3"/>
    <n v="3"/>
    <n v="2"/>
    <n v="2"/>
    <n v="1"/>
    <n v="2"/>
    <n v="4"/>
    <n v="2"/>
    <n v="4"/>
    <n v="3"/>
    <n v="1"/>
    <n v="1"/>
    <n v="4"/>
    <n v="3"/>
    <n v="1"/>
    <n v="4"/>
    <n v="4"/>
    <n v="2"/>
    <n v="3"/>
    <n v="1"/>
    <n v="4"/>
    <n v="1"/>
    <n v="3"/>
    <n v="2"/>
    <n v="4"/>
    <n v="1"/>
    <n v="1"/>
    <n v="1"/>
    <n v="1"/>
    <n v="1"/>
    <n v="1"/>
    <n v="4"/>
    <n v="1"/>
    <n v="1"/>
    <n v="1"/>
    <n v="1"/>
    <n v="1"/>
    <n v="0"/>
    <n v="1"/>
    <n v="1"/>
    <n v="1"/>
    <n v="1"/>
    <n v="1"/>
    <n v="1"/>
    <n v="1"/>
    <n v="1"/>
    <n v="1"/>
    <n v="1"/>
    <n v="1"/>
    <n v="1"/>
    <n v="1"/>
    <n v="0"/>
    <n v="0"/>
    <n v="0"/>
    <n v="0"/>
    <n v="1"/>
    <n v="1"/>
    <n v="1"/>
    <n v="1"/>
    <n v="1"/>
    <n v="1"/>
    <n v="1"/>
  </r>
  <r>
    <s v="MILLER,MELANIE"/>
    <s v="MELANIE"/>
    <s v="MILLER"/>
    <n v="234641611"/>
    <n v="11"/>
    <s v="Dushin"/>
    <b v="0"/>
    <b v="0"/>
    <n v="24"/>
    <n v="6"/>
    <n v="5"/>
    <n v="3"/>
    <x v="22"/>
    <n v="4"/>
    <n v="1"/>
    <n v="3"/>
    <n v="3"/>
    <n v="1"/>
    <n v="3"/>
    <n v="3"/>
    <n v="2"/>
    <n v="2"/>
    <n v="1"/>
    <n v="2"/>
    <n v="4"/>
    <n v="2"/>
    <n v="4"/>
    <n v="4"/>
    <n v="4"/>
    <n v="1"/>
    <n v="4"/>
    <n v="3"/>
    <n v="4"/>
    <n v="2"/>
    <n v="2"/>
    <n v="3"/>
    <n v="3"/>
    <n v="1"/>
    <n v="4"/>
    <n v="1"/>
    <n v="3"/>
    <n v="3"/>
    <n v="3"/>
    <n v="1"/>
    <n v="1"/>
    <n v="1"/>
    <n v="1"/>
    <n v="1"/>
    <n v="0"/>
    <n v="3"/>
    <n v="1"/>
    <n v="0"/>
    <n v="1"/>
    <n v="1"/>
    <n v="1"/>
    <n v="0"/>
    <n v="1"/>
    <n v="1"/>
    <n v="1"/>
    <n v="1"/>
    <n v="1"/>
    <n v="1"/>
    <n v="1"/>
    <n v="1"/>
    <n v="0"/>
    <n v="0"/>
    <n v="1"/>
    <n v="1"/>
    <n v="1"/>
    <n v="1"/>
    <n v="1"/>
    <n v="1"/>
    <n v="1"/>
    <n v="1"/>
    <n v="1"/>
    <n v="1"/>
    <n v="1"/>
    <n v="1"/>
    <n v="1"/>
    <n v="1"/>
  </r>
  <r>
    <s v="MITCHELL,SHANE"/>
    <s v="SHANE"/>
    <s v="MITCHELL"/>
    <n v="238066708"/>
    <n v="9"/>
    <s v="Bermejo"/>
    <b v="0"/>
    <b v="0"/>
    <n v="21"/>
    <n v="4"/>
    <n v="4"/>
    <n v="0"/>
    <x v="35"/>
    <n v="4"/>
    <n v="2"/>
    <n v="4"/>
    <n v="3"/>
    <n v="1"/>
    <n v="2"/>
    <n v="3"/>
    <n v="2"/>
    <n v="2"/>
    <n v="1"/>
    <n v="2"/>
    <n v="3"/>
    <n v="2"/>
    <n v="4"/>
    <n v="3"/>
    <n v="4"/>
    <n v="1"/>
    <n v="3"/>
    <n v="3"/>
    <n v="4"/>
    <n v="2"/>
    <n v="2"/>
    <n v="3"/>
    <n v="3"/>
    <n v="3"/>
    <n v="4"/>
    <n v="4"/>
    <n v="3"/>
    <n v="2"/>
    <n v="2"/>
    <n v="1"/>
    <n v="1"/>
    <n v="1"/>
    <n v="0"/>
    <n v="0"/>
    <n v="1"/>
    <n v="0"/>
    <n v="1"/>
    <n v="1"/>
    <n v="0"/>
    <n v="1"/>
    <n v="1"/>
    <n v="0"/>
    <n v="1"/>
    <n v="1"/>
    <n v="1"/>
    <n v="1"/>
    <n v="1"/>
    <n v="0"/>
    <n v="1"/>
    <n v="1"/>
    <n v="1"/>
    <n v="0"/>
    <n v="1"/>
    <n v="0"/>
    <n v="1"/>
    <n v="1"/>
    <n v="1"/>
    <n v="1"/>
    <n v="1"/>
    <n v="1"/>
    <n v="0"/>
    <n v="1"/>
    <n v="0"/>
    <n v="1"/>
    <n v="1"/>
    <n v="1"/>
  </r>
  <r>
    <s v="MOHAMED,AHMED"/>
    <s v="AHMED"/>
    <s v="MOHAMED"/>
    <n v="242421956"/>
    <n v="9"/>
    <s v="Bermejo"/>
    <b v="0"/>
    <b v="0"/>
    <n v="25"/>
    <n v="6"/>
    <n v="4"/>
    <n v="1.5"/>
    <x v="7"/>
    <n v="4"/>
    <n v="2"/>
    <n v="3"/>
    <n v="3"/>
    <n v="1"/>
    <n v="2"/>
    <n v="3"/>
    <n v="2"/>
    <n v="2"/>
    <n v="1"/>
    <n v="2"/>
    <n v="4"/>
    <n v="2"/>
    <n v="4"/>
    <n v="3"/>
    <n v="1"/>
    <n v="1"/>
    <n v="4"/>
    <n v="3"/>
    <n v="4"/>
    <n v="2"/>
    <n v="2"/>
    <n v="3"/>
    <n v="3"/>
    <n v="4"/>
    <n v="4"/>
    <n v="4"/>
    <n v="3"/>
    <n v="4"/>
    <n v="2"/>
    <n v="0"/>
    <n v="1"/>
    <n v="1"/>
    <n v="1"/>
    <n v="1"/>
    <n v="0"/>
    <n v="1.5"/>
    <n v="1"/>
    <n v="1"/>
    <n v="1"/>
    <n v="1"/>
    <n v="1"/>
    <n v="0"/>
    <n v="1"/>
    <n v="1"/>
    <n v="1"/>
    <n v="1"/>
    <n v="1"/>
    <n v="1"/>
    <n v="1"/>
    <n v="1"/>
    <n v="1"/>
    <n v="1"/>
    <n v="1"/>
    <n v="1"/>
    <n v="1"/>
    <n v="1"/>
    <n v="1"/>
    <n v="1"/>
    <n v="1"/>
    <n v="1"/>
    <n v="0"/>
    <n v="1"/>
    <n v="0"/>
    <n v="1"/>
    <n v="1"/>
    <n v="1"/>
  </r>
  <r>
    <s v="MONDRAGON,CRISTOFER"/>
    <s v="CRISTOFER"/>
    <s v="MONDRAGON"/>
    <n v="225116086"/>
    <n v="11"/>
    <s v="Antaky"/>
    <b v="0"/>
    <b v="0"/>
    <n v="20"/>
    <n v="4"/>
    <n v="6"/>
    <n v="2.5"/>
    <x v="14"/>
    <n v="4"/>
    <n v="2"/>
    <n v="3"/>
    <n v="2"/>
    <n v="1"/>
    <n v="3"/>
    <n v="3"/>
    <n v="2"/>
    <n v="2"/>
    <n v="1"/>
    <n v="2"/>
    <n v="4"/>
    <n v="2"/>
    <n v="1"/>
    <n v="1"/>
    <n v="4"/>
    <n v="1"/>
    <n v="4"/>
    <n v="3"/>
    <n v="1"/>
    <n v="2"/>
    <n v="2"/>
    <n v="3"/>
    <n v="2"/>
    <n v="4"/>
    <n v="4"/>
    <n v="1"/>
    <n v="3"/>
    <n v="3"/>
    <n v="1"/>
    <n v="1"/>
    <n v="1"/>
    <n v="1"/>
    <n v="1"/>
    <n v="1"/>
    <n v="1"/>
    <n v="2.5"/>
    <n v="1"/>
    <n v="1"/>
    <n v="1"/>
    <n v="0"/>
    <n v="1"/>
    <n v="0"/>
    <n v="1"/>
    <n v="1"/>
    <n v="1"/>
    <n v="1"/>
    <n v="1"/>
    <n v="1"/>
    <n v="1"/>
    <n v="0"/>
    <n v="0"/>
    <n v="0"/>
    <n v="1"/>
    <n v="1"/>
    <n v="1"/>
    <n v="0"/>
    <n v="1"/>
    <n v="1"/>
    <n v="1"/>
    <n v="0"/>
    <n v="0"/>
    <n v="1"/>
    <n v="1"/>
    <n v="1"/>
    <n v="1"/>
    <n v="1"/>
  </r>
  <r>
    <s v="MONTERO,SOLANGE"/>
    <s v="SOLANGE"/>
    <s v="MONTERO"/>
    <n v="235438595"/>
    <n v="9"/>
    <s v="Bermejo"/>
    <b v="0"/>
    <b v="0"/>
    <n v="21"/>
    <n v="3"/>
    <n v="4"/>
    <n v="2"/>
    <x v="0"/>
    <n v="4"/>
    <n v="2"/>
    <n v="3"/>
    <n v="1"/>
    <n v="3"/>
    <n v="2"/>
    <n v="3"/>
    <n v="2"/>
    <n v="4"/>
    <n v="1"/>
    <n v="2"/>
    <n v="3"/>
    <n v="2"/>
    <n v="4"/>
    <n v="4"/>
    <n v="1"/>
    <n v="1"/>
    <n v="4"/>
    <n v="3"/>
    <n v="4"/>
    <n v="2"/>
    <n v="2"/>
    <n v="3"/>
    <n v="3"/>
    <n v="2"/>
    <n v="4"/>
    <n v="1"/>
    <n v="3"/>
    <n v="2"/>
    <n v="1"/>
    <n v="1"/>
    <n v="1"/>
    <n v="1"/>
    <n v="0"/>
    <n v="1"/>
    <n v="0"/>
    <n v="2"/>
    <n v="1"/>
    <n v="1"/>
    <n v="1"/>
    <n v="0"/>
    <n v="0"/>
    <n v="0"/>
    <n v="1"/>
    <n v="1"/>
    <n v="0"/>
    <n v="1"/>
    <n v="1"/>
    <n v="0"/>
    <n v="1"/>
    <n v="1"/>
    <n v="0"/>
    <n v="1"/>
    <n v="1"/>
    <n v="1"/>
    <n v="1"/>
    <n v="1"/>
    <n v="1"/>
    <n v="1"/>
    <n v="1"/>
    <n v="1"/>
    <n v="0"/>
    <n v="1"/>
    <n v="1"/>
    <n v="1"/>
    <n v="1"/>
    <n v="1"/>
  </r>
  <r>
    <s v="MONTGOMERY,KHIYEL"/>
    <s v="KHIYEL"/>
    <s v="MONTGOMERY"/>
    <n v="215362849"/>
    <n v="11"/>
    <s v="Kovelsky"/>
    <b v="0"/>
    <b v="0"/>
    <n v="16"/>
    <n v="3"/>
    <n v="6"/>
    <n v="2"/>
    <x v="9"/>
    <n v="3"/>
    <n v="2"/>
    <n v="3"/>
    <n v="1"/>
    <n v="1"/>
    <n v="3"/>
    <n v="3"/>
    <n v="2"/>
    <n v="2"/>
    <n v="2"/>
    <n v="1"/>
    <n v="3"/>
    <n v="2"/>
    <n v="4"/>
    <n v="3"/>
    <n v="4"/>
    <n v="1"/>
    <n v="1"/>
    <n v="1"/>
    <n v="4"/>
    <n v="2"/>
    <n v="2"/>
    <n v="3"/>
    <n v="2"/>
    <n v="3"/>
    <n v="4"/>
    <n v="4"/>
    <n v="3"/>
    <n v="2"/>
    <n v="1"/>
    <n v="1"/>
    <n v="1"/>
    <n v="1"/>
    <n v="1"/>
    <n v="1"/>
    <n v="1"/>
    <n v="2"/>
    <n v="0"/>
    <n v="1"/>
    <n v="1"/>
    <n v="0"/>
    <n v="1"/>
    <n v="0"/>
    <n v="1"/>
    <n v="1"/>
    <n v="1"/>
    <n v="0"/>
    <n v="0"/>
    <n v="0"/>
    <n v="1"/>
    <n v="1"/>
    <n v="1"/>
    <n v="0"/>
    <n v="1"/>
    <n v="0"/>
    <n v="0"/>
    <n v="1"/>
    <n v="1"/>
    <n v="1"/>
    <n v="1"/>
    <n v="0"/>
    <n v="0"/>
    <n v="1"/>
    <n v="0"/>
    <n v="1"/>
    <n v="1"/>
    <n v="1"/>
  </r>
  <r>
    <s v="MOORE,TYRESE"/>
    <s v="TYRESE"/>
    <s v="MOORE"/>
    <n v="220711709"/>
    <n v="11"/>
    <s v="Dushin"/>
    <b v="0"/>
    <b v="0"/>
    <n v="11"/>
    <n v="3"/>
    <n v="5"/>
    <n v="2"/>
    <x v="10"/>
    <n v="2"/>
    <n v="4"/>
    <n v="2"/>
    <n v="4"/>
    <n v="3"/>
    <n v="2"/>
    <n v="1"/>
    <n v="2"/>
    <n v="2"/>
    <n v="2"/>
    <n v="3"/>
    <n v="4"/>
    <n v="2"/>
    <n v="3"/>
    <n v="2"/>
    <n v="4"/>
    <n v="1"/>
    <n v="4"/>
    <n v="3"/>
    <n v="1"/>
    <n v="1"/>
    <n v="2"/>
    <n v="4"/>
    <n v="2"/>
    <n v="3"/>
    <n v="4"/>
    <n v="1"/>
    <n v="3"/>
    <n v="2"/>
    <n v="1"/>
    <n v="1"/>
    <n v="1"/>
    <n v="1"/>
    <n v="1"/>
    <n v="0"/>
    <n v="1"/>
    <n v="2"/>
    <n v="0"/>
    <n v="0"/>
    <n v="0"/>
    <n v="0"/>
    <n v="0"/>
    <n v="0"/>
    <n v="0"/>
    <n v="1"/>
    <n v="1"/>
    <n v="0"/>
    <n v="0"/>
    <n v="1"/>
    <n v="1"/>
    <n v="0"/>
    <n v="0"/>
    <n v="0"/>
    <n v="1"/>
    <n v="1"/>
    <n v="1"/>
    <n v="0"/>
    <n v="0"/>
    <n v="1"/>
    <n v="0"/>
    <n v="0"/>
    <n v="0"/>
    <n v="1"/>
    <n v="1"/>
    <n v="1"/>
    <n v="0"/>
    <n v="0"/>
  </r>
  <r>
    <s v="MORALES,DYLAN"/>
    <s v="DYLAN"/>
    <s v="MORALES"/>
    <n v="238437966"/>
    <n v="9"/>
    <s v="Bermejo"/>
    <b v="0"/>
    <b v="0"/>
    <n v="24"/>
    <n v="8"/>
    <n v="5"/>
    <n v="3"/>
    <x v="41"/>
    <n v="4"/>
    <n v="4"/>
    <n v="3"/>
    <n v="3"/>
    <n v="1"/>
    <n v="3"/>
    <n v="3"/>
    <n v="2"/>
    <n v="2"/>
    <n v="3"/>
    <n v="2"/>
    <n v="4"/>
    <n v="2"/>
    <n v="4"/>
    <n v="3"/>
    <n v="1"/>
    <n v="1"/>
    <n v="4"/>
    <n v="3"/>
    <n v="4"/>
    <n v="2"/>
    <n v="2"/>
    <n v="3"/>
    <n v="2"/>
    <n v="1"/>
    <n v="4"/>
    <n v="1"/>
    <n v="3"/>
    <n v="4"/>
    <n v="4"/>
    <n v="1"/>
    <n v="1"/>
    <n v="1"/>
    <n v="1"/>
    <n v="1"/>
    <n v="0"/>
    <n v="3"/>
    <n v="1"/>
    <n v="0"/>
    <n v="1"/>
    <n v="1"/>
    <n v="1"/>
    <n v="0"/>
    <n v="1"/>
    <n v="1"/>
    <n v="1"/>
    <n v="0"/>
    <n v="1"/>
    <n v="1"/>
    <n v="1"/>
    <n v="1"/>
    <n v="1"/>
    <n v="1"/>
    <n v="1"/>
    <n v="1"/>
    <n v="1"/>
    <n v="1"/>
    <n v="1"/>
    <n v="1"/>
    <n v="1"/>
    <n v="0"/>
    <n v="1"/>
    <n v="1"/>
    <n v="1"/>
    <n v="1"/>
    <n v="1"/>
    <n v="1"/>
  </r>
  <r>
    <s v="MORAN,ULISSES"/>
    <s v="ULISSES"/>
    <s v="MORAN"/>
    <n v="230984841"/>
    <n v="11"/>
    <s v="Kovelsky"/>
    <b v="0"/>
    <b v="0"/>
    <n v="16"/>
    <n v="2"/>
    <n v="5"/>
    <n v="2"/>
    <x v="35"/>
    <n v="4"/>
    <n v="2"/>
    <n v="3"/>
    <n v="1"/>
    <n v="1"/>
    <n v="3"/>
    <n v="3"/>
    <n v="2"/>
    <n v="1"/>
    <n v="2"/>
    <n v="2"/>
    <n v="4"/>
    <n v="2"/>
    <n v="4"/>
    <n v="1"/>
    <n v="4"/>
    <n v="2"/>
    <n v="1"/>
    <n v="3"/>
    <n v="4"/>
    <n v="4"/>
    <n v="2"/>
    <n v="3"/>
    <n v="2"/>
    <n v="2"/>
    <n v="4"/>
    <n v="2"/>
    <n v="3"/>
    <n v="1"/>
    <n v="1"/>
    <n v="1"/>
    <n v="1"/>
    <n v="1"/>
    <n v="1"/>
    <n v="0"/>
    <n v="1"/>
    <n v="2"/>
    <n v="1"/>
    <n v="1"/>
    <n v="1"/>
    <n v="0"/>
    <n v="1"/>
    <n v="0"/>
    <n v="1"/>
    <n v="1"/>
    <n v="0"/>
    <n v="0"/>
    <n v="1"/>
    <n v="1"/>
    <n v="1"/>
    <n v="1"/>
    <n v="0"/>
    <n v="0"/>
    <n v="0"/>
    <n v="0"/>
    <n v="1"/>
    <n v="1"/>
    <n v="0"/>
    <n v="1"/>
    <n v="1"/>
    <n v="0"/>
    <n v="0"/>
    <n v="1"/>
    <n v="0"/>
    <n v="1"/>
    <n v="1"/>
    <n v="1"/>
  </r>
  <r>
    <s v="MORGAN,MARTINO"/>
    <s v="MARTINO"/>
    <s v="MORGAN"/>
    <n v="259675213"/>
    <n v="9"/>
    <s v="Bermejo"/>
    <b v="0"/>
    <b v="1"/>
    <n v="22"/>
    <n v="2"/>
    <n v="5"/>
    <n v="1"/>
    <x v="18"/>
    <n v="4"/>
    <n v="4"/>
    <n v="2"/>
    <n v="3"/>
    <n v="1"/>
    <n v="3"/>
    <n v="3"/>
    <n v="2"/>
    <n v="2"/>
    <n v="3"/>
    <n v="2"/>
    <n v="4"/>
    <n v="2"/>
    <n v="4"/>
    <n v="3"/>
    <n v="2"/>
    <n v="1"/>
    <n v="4"/>
    <n v="3"/>
    <n v="4"/>
    <n v="2"/>
    <n v="2"/>
    <n v="3"/>
    <n v="2"/>
    <n v="1"/>
    <n v="4"/>
    <n v="1"/>
    <n v="3"/>
    <n v="1"/>
    <n v="1"/>
    <n v="1"/>
    <n v="0"/>
    <n v="1"/>
    <n v="1"/>
    <n v="1"/>
    <n v="1"/>
    <n v="1"/>
    <n v="1"/>
    <n v="0"/>
    <n v="0"/>
    <n v="1"/>
    <n v="1"/>
    <n v="0"/>
    <n v="1"/>
    <n v="1"/>
    <n v="1"/>
    <n v="0"/>
    <n v="1"/>
    <n v="1"/>
    <n v="1"/>
    <n v="1"/>
    <n v="1"/>
    <n v="0"/>
    <n v="1"/>
    <n v="1"/>
    <n v="1"/>
    <n v="1"/>
    <n v="1"/>
    <n v="1"/>
    <n v="1"/>
    <n v="0"/>
    <n v="1"/>
    <n v="1"/>
    <n v="1"/>
    <n v="1"/>
    <n v="1"/>
    <n v="1"/>
  </r>
  <r>
    <s v="MORRIS,GABRIELLA"/>
    <s v="GABRIELLA"/>
    <s v="MORRIS"/>
    <n v="235872934"/>
    <n v="9"/>
    <s v="Kovelsky"/>
    <b v="0"/>
    <b v="0"/>
    <n v="16"/>
    <n v="3"/>
    <n v="5"/>
    <n v="2"/>
    <x v="5"/>
    <n v="4"/>
    <n v="1"/>
    <n v="3"/>
    <n v="1"/>
    <n v="1"/>
    <n v="2"/>
    <n v="3"/>
    <n v="3"/>
    <n v="3"/>
    <n v="1"/>
    <n v="2"/>
    <n v="3"/>
    <n v="2"/>
    <n v="4"/>
    <n v="4"/>
    <n v="4"/>
    <n v="1"/>
    <n v="4"/>
    <n v="3"/>
    <n v="3"/>
    <n v="2"/>
    <n v="2"/>
    <n v="4"/>
    <n v="3"/>
    <n v="1"/>
    <n v="1"/>
    <n v="4"/>
    <n v="3"/>
    <n v="2"/>
    <n v="1"/>
    <n v="1"/>
    <n v="1"/>
    <n v="1"/>
    <n v="1"/>
    <n v="1"/>
    <n v="0"/>
    <n v="2"/>
    <n v="1"/>
    <n v="0"/>
    <n v="1"/>
    <n v="0"/>
    <n v="1"/>
    <n v="0"/>
    <n v="1"/>
    <n v="0"/>
    <n v="0"/>
    <n v="1"/>
    <n v="1"/>
    <n v="0"/>
    <n v="1"/>
    <n v="1"/>
    <n v="0"/>
    <n v="0"/>
    <n v="1"/>
    <n v="1"/>
    <n v="1"/>
    <n v="0"/>
    <n v="1"/>
    <n v="1"/>
    <n v="0"/>
    <n v="1"/>
    <n v="1"/>
    <n v="0"/>
    <n v="0"/>
    <n v="1"/>
    <n v="1"/>
    <n v="1"/>
  </r>
  <r>
    <s v="MUNROE,MAKENZIE"/>
    <s v="MAKENZIE"/>
    <s v="MUNROE"/>
    <n v="242652758"/>
    <n v="9"/>
    <m/>
    <b v="0"/>
    <b v="0"/>
    <n v="13"/>
    <n v="2"/>
    <n v="1"/>
    <n v="1"/>
    <x v="32"/>
    <n v="4"/>
    <n v="1"/>
    <n v="2"/>
    <n v="1"/>
    <n v="2"/>
    <n v="3"/>
    <n v="2"/>
    <n v="4"/>
    <n v="2"/>
    <n v="1"/>
    <n v="1"/>
    <n v="3"/>
    <n v="1"/>
    <n v="4"/>
    <n v="4"/>
    <n v="2"/>
    <n v="1"/>
    <n v="4"/>
    <n v="3"/>
    <n v="4"/>
    <n v="1"/>
    <n v="2"/>
    <n v="3"/>
    <n v="3"/>
    <n v="4"/>
    <n v="2"/>
    <n v="1"/>
    <n v="3"/>
    <n v="1"/>
    <n v="1"/>
    <n v="0"/>
    <n v="0"/>
    <n v="0"/>
    <n v="1"/>
    <n v="0"/>
    <n v="0"/>
    <n v="1"/>
    <n v="1"/>
    <n v="0"/>
    <n v="0"/>
    <n v="0"/>
    <n v="0"/>
    <n v="0"/>
    <n v="0"/>
    <n v="0"/>
    <n v="1"/>
    <n v="1"/>
    <n v="0"/>
    <n v="0"/>
    <n v="0"/>
    <n v="1"/>
    <n v="0"/>
    <n v="0"/>
    <n v="1"/>
    <n v="1"/>
    <n v="1"/>
    <n v="1"/>
    <n v="0"/>
    <n v="1"/>
    <n v="1"/>
    <n v="1"/>
    <n v="0"/>
    <n v="0"/>
    <n v="1"/>
    <n v="1"/>
    <n v="0"/>
    <n v="0"/>
  </r>
  <r>
    <s v="MUNTZA,EDWIN"/>
    <s v="EDWIN"/>
    <s v="MUNTZA"/>
    <n v="247771132"/>
    <n v="11"/>
    <m/>
    <b v="0"/>
    <b v="0"/>
    <n v="20"/>
    <n v="4"/>
    <n v="5"/>
    <n v="2"/>
    <x v="13"/>
    <n v="4"/>
    <n v="2"/>
    <n v="3"/>
    <n v="2"/>
    <n v="1"/>
    <n v="3"/>
    <n v="3"/>
    <n v="1"/>
    <n v="2"/>
    <n v="1"/>
    <n v="2"/>
    <n v="4"/>
    <n v="2"/>
    <n v="4"/>
    <n v="1"/>
    <n v="1"/>
    <n v="1"/>
    <n v="4"/>
    <n v="3"/>
    <n v="3"/>
    <n v="4"/>
    <n v="2"/>
    <n v="3"/>
    <n v="2"/>
    <n v="4"/>
    <n v="4"/>
    <n v="1"/>
    <n v="3"/>
    <n v="3"/>
    <n v="1"/>
    <n v="1"/>
    <n v="1"/>
    <n v="1"/>
    <n v="1"/>
    <n v="0"/>
    <n v="1"/>
    <n v="2"/>
    <n v="1"/>
    <n v="1"/>
    <n v="1"/>
    <n v="0"/>
    <n v="1"/>
    <n v="0"/>
    <n v="1"/>
    <n v="0"/>
    <n v="1"/>
    <n v="1"/>
    <n v="1"/>
    <n v="1"/>
    <n v="1"/>
    <n v="1"/>
    <n v="0"/>
    <n v="1"/>
    <n v="1"/>
    <n v="1"/>
    <n v="1"/>
    <n v="0"/>
    <n v="0"/>
    <n v="1"/>
    <n v="1"/>
    <n v="0"/>
    <n v="0"/>
    <n v="1"/>
    <n v="1"/>
    <n v="1"/>
    <n v="1"/>
    <n v="1"/>
  </r>
  <r>
    <s v="MURPH,NAYOMEY"/>
    <s v="NAYOMEY"/>
    <s v="MURPH"/>
    <n v="237155270"/>
    <n v="9"/>
    <s v="Kovelsky"/>
    <b v="0"/>
    <b v="0"/>
    <n v="0"/>
    <n v="0"/>
    <n v="0"/>
    <n v="0"/>
    <x v="2"/>
    <m/>
    <m/>
    <m/>
    <m/>
    <m/>
    <m/>
    <m/>
    <m/>
    <m/>
    <m/>
    <m/>
    <m/>
    <m/>
    <m/>
    <m/>
    <m/>
    <m/>
    <m/>
    <m/>
    <m/>
    <m/>
    <m/>
    <m/>
    <m/>
    <m/>
    <m/>
    <m/>
    <m/>
    <m/>
    <m/>
    <m/>
    <m/>
    <m/>
    <m/>
    <m/>
    <m/>
    <m/>
    <n v="0"/>
    <n v="0"/>
    <n v="0"/>
    <n v="0"/>
    <n v="0"/>
    <n v="0"/>
    <n v="0"/>
    <n v="0"/>
    <n v="0"/>
    <n v="0"/>
    <n v="0"/>
    <n v="0"/>
    <n v="0"/>
    <n v="0"/>
    <n v="0"/>
    <n v="0"/>
    <n v="0"/>
    <n v="0"/>
    <n v="0"/>
    <n v="0"/>
    <n v="0"/>
    <n v="0"/>
    <n v="0"/>
    <n v="0"/>
    <n v="0"/>
    <n v="0"/>
    <n v="0"/>
    <n v="0"/>
    <n v="0"/>
    <n v="0"/>
  </r>
  <r>
    <s v="NAJERA JIMENEZ,CRISTIAN"/>
    <s v="CRISTIAN"/>
    <s v="NAJERA JIMENEZ"/>
    <n v="250646064"/>
    <n v="9"/>
    <s v="Bermejo"/>
    <b v="1"/>
    <b v="1"/>
    <n v="11"/>
    <n v="3"/>
    <n v="5"/>
    <n v="1"/>
    <x v="8"/>
    <n v="4"/>
    <n v="3"/>
    <n v="2"/>
    <n v="2"/>
    <n v="4"/>
    <n v="2"/>
    <n v="2"/>
    <n v="4"/>
    <n v="2"/>
    <n v="1"/>
    <n v="1"/>
    <n v="1"/>
    <n v="3"/>
    <n v="4"/>
    <n v="3"/>
    <n v="2"/>
    <n v="4"/>
    <n v="3"/>
    <n v="3"/>
    <n v="3"/>
    <n v="4"/>
    <n v="2"/>
    <n v="3"/>
    <n v="2"/>
    <n v="1"/>
    <n v="4"/>
    <n v="4"/>
    <n v="3"/>
    <n v="2"/>
    <n v="1"/>
    <n v="1"/>
    <n v="1"/>
    <n v="1"/>
    <n v="0"/>
    <n v="1"/>
    <n v="1"/>
    <n v="1"/>
    <n v="1"/>
    <n v="0"/>
    <n v="0"/>
    <n v="0"/>
    <n v="0"/>
    <n v="0"/>
    <n v="0"/>
    <n v="0"/>
    <n v="1"/>
    <n v="1"/>
    <n v="0"/>
    <n v="0"/>
    <n v="0"/>
    <n v="1"/>
    <n v="1"/>
    <n v="0"/>
    <n v="0"/>
    <n v="0"/>
    <n v="1"/>
    <n v="0"/>
    <n v="0"/>
    <n v="1"/>
    <n v="1"/>
    <n v="0"/>
    <n v="1"/>
    <n v="1"/>
    <n v="0"/>
    <n v="1"/>
    <n v="0"/>
    <n v="1"/>
  </r>
  <r>
    <s v="NIBBS,CORNELIUS"/>
    <s v="CORNELIUS"/>
    <s v="NIBBS"/>
    <n v="244760542"/>
    <n v="9"/>
    <m/>
    <b v="0"/>
    <b v="0"/>
    <n v="19"/>
    <n v="4"/>
    <n v="6"/>
    <n v="1"/>
    <x v="18"/>
    <n v="4"/>
    <n v="2"/>
    <n v="3"/>
    <n v="1"/>
    <n v="1"/>
    <n v="2"/>
    <n v="3"/>
    <n v="2"/>
    <n v="2"/>
    <n v="1"/>
    <n v="2"/>
    <n v="4"/>
    <n v="1"/>
    <n v="4"/>
    <n v="4"/>
    <n v="4"/>
    <n v="1"/>
    <n v="4"/>
    <n v="3"/>
    <n v="1"/>
    <n v="1"/>
    <n v="2"/>
    <n v="3"/>
    <n v="2"/>
    <n v="3"/>
    <n v="4"/>
    <n v="1"/>
    <n v="3"/>
    <n v="2"/>
    <n v="2"/>
    <n v="1"/>
    <n v="1"/>
    <n v="1"/>
    <n v="1"/>
    <n v="1"/>
    <n v="1"/>
    <n v="1"/>
    <n v="1"/>
    <n v="1"/>
    <n v="1"/>
    <n v="0"/>
    <n v="1"/>
    <n v="0"/>
    <n v="1"/>
    <n v="1"/>
    <n v="1"/>
    <n v="1"/>
    <n v="1"/>
    <n v="1"/>
    <n v="0"/>
    <n v="1"/>
    <n v="0"/>
    <n v="0"/>
    <n v="1"/>
    <n v="1"/>
    <n v="1"/>
    <n v="0"/>
    <n v="0"/>
    <n v="1"/>
    <n v="1"/>
    <n v="0"/>
    <n v="0"/>
    <n v="1"/>
    <n v="1"/>
    <n v="1"/>
    <n v="1"/>
    <n v="1"/>
  </r>
  <r>
    <s v="NUNEZ PENA,EDWIN"/>
    <s v="EDWIN"/>
    <s v="NUNEZ PENA"/>
    <n v="245253711"/>
    <n v="11"/>
    <s v="Dushin"/>
    <b v="0"/>
    <b v="0"/>
    <n v="20"/>
    <n v="3"/>
    <n v="6"/>
    <n v="2"/>
    <x v="13"/>
    <n v="4"/>
    <n v="2"/>
    <n v="1"/>
    <n v="3"/>
    <n v="1"/>
    <n v="3"/>
    <n v="3"/>
    <n v="2"/>
    <n v="2"/>
    <n v="1"/>
    <n v="2"/>
    <n v="4"/>
    <n v="2"/>
    <n v="2"/>
    <n v="4"/>
    <n v="1"/>
    <n v="1"/>
    <n v="4"/>
    <n v="1"/>
    <n v="4"/>
    <n v="4"/>
    <n v="2"/>
    <n v="3"/>
    <n v="4"/>
    <n v="1"/>
    <n v="4"/>
    <n v="4"/>
    <n v="3"/>
    <n v="2"/>
    <n v="1"/>
    <n v="1"/>
    <n v="1"/>
    <n v="1"/>
    <n v="1"/>
    <n v="1"/>
    <n v="1"/>
    <n v="2"/>
    <n v="1"/>
    <n v="1"/>
    <n v="0"/>
    <n v="1"/>
    <n v="1"/>
    <n v="0"/>
    <n v="1"/>
    <n v="1"/>
    <n v="1"/>
    <n v="1"/>
    <n v="1"/>
    <n v="1"/>
    <n v="1"/>
    <n v="0"/>
    <n v="0"/>
    <n v="1"/>
    <n v="1"/>
    <n v="1"/>
    <n v="0"/>
    <n v="1"/>
    <n v="0"/>
    <n v="1"/>
    <n v="1"/>
    <n v="0"/>
    <n v="1"/>
    <n v="1"/>
    <n v="0"/>
    <n v="1"/>
    <n v="1"/>
    <n v="1"/>
  </r>
  <r>
    <s v="OBALI,HAMZAH"/>
    <s v="HAMZAH"/>
    <s v="OBALI"/>
    <n v="221122732"/>
    <n v="11"/>
    <m/>
    <b v="0"/>
    <b v="0"/>
    <n v="0"/>
    <n v="0"/>
    <n v="0"/>
    <n v="0"/>
    <x v="2"/>
    <m/>
    <m/>
    <m/>
    <m/>
    <m/>
    <m/>
    <m/>
    <m/>
    <m/>
    <m/>
    <m/>
    <m/>
    <m/>
    <m/>
    <m/>
    <m/>
    <m/>
    <m/>
    <m/>
    <m/>
    <m/>
    <m/>
    <m/>
    <m/>
    <m/>
    <m/>
    <m/>
    <m/>
    <m/>
    <m/>
    <m/>
    <m/>
    <m/>
    <m/>
    <m/>
    <m/>
    <m/>
    <n v="0"/>
    <n v="0"/>
    <n v="0"/>
    <n v="0"/>
    <n v="0"/>
    <n v="0"/>
    <n v="0"/>
    <n v="0"/>
    <n v="0"/>
    <n v="0"/>
    <n v="0"/>
    <n v="0"/>
    <n v="0"/>
    <n v="0"/>
    <n v="0"/>
    <n v="0"/>
    <n v="0"/>
    <n v="0"/>
    <n v="0"/>
    <n v="0"/>
    <n v="0"/>
    <n v="0"/>
    <n v="0"/>
    <n v="0"/>
    <n v="0"/>
    <n v="0"/>
    <n v="0"/>
    <n v="0"/>
    <n v="0"/>
    <n v="0"/>
  </r>
  <r>
    <s v="ORTIZ,JACE"/>
    <s v="JACE"/>
    <s v="ORTIZ"/>
    <n v="239311673"/>
    <n v="9"/>
    <s v="Bermejo"/>
    <b v="0"/>
    <b v="0"/>
    <n v="18"/>
    <n v="7"/>
    <n v="6"/>
    <n v="3"/>
    <x v="7"/>
    <n v="3"/>
    <n v="1"/>
    <n v="3"/>
    <n v="2"/>
    <n v="1"/>
    <n v="3"/>
    <n v="2"/>
    <n v="2"/>
    <n v="2"/>
    <n v="1"/>
    <n v="2"/>
    <n v="2"/>
    <n v="2"/>
    <n v="1"/>
    <n v="3"/>
    <n v="1"/>
    <n v="1"/>
    <n v="4"/>
    <n v="4"/>
    <n v="2"/>
    <n v="2"/>
    <n v="2"/>
    <n v="3"/>
    <n v="3"/>
    <n v="1"/>
    <n v="4"/>
    <n v="2"/>
    <n v="3"/>
    <n v="3"/>
    <n v="4"/>
    <n v="1"/>
    <n v="1"/>
    <n v="1"/>
    <n v="1"/>
    <n v="1"/>
    <n v="1"/>
    <n v="3"/>
    <n v="0"/>
    <n v="0"/>
    <n v="1"/>
    <n v="0"/>
    <n v="1"/>
    <n v="0"/>
    <n v="0"/>
    <n v="1"/>
    <n v="1"/>
    <n v="1"/>
    <n v="1"/>
    <n v="0"/>
    <n v="1"/>
    <n v="0"/>
    <n v="1"/>
    <n v="1"/>
    <n v="1"/>
    <n v="1"/>
    <n v="0"/>
    <n v="0"/>
    <n v="1"/>
    <n v="1"/>
    <n v="1"/>
    <n v="1"/>
    <n v="1"/>
    <n v="1"/>
    <n v="0"/>
    <n v="1"/>
    <n v="1"/>
    <n v="1"/>
  </r>
  <r>
    <s v="ORTIZ,WILLIAM"/>
    <s v="WILLIAM"/>
    <s v="ORTIZ"/>
    <n v="234087229"/>
    <n v="11"/>
    <m/>
    <b v="0"/>
    <b v="0"/>
    <n v="13"/>
    <n v="0"/>
    <n v="6"/>
    <n v="1.5"/>
    <x v="20"/>
    <n v="4"/>
    <n v="4"/>
    <n v="3"/>
    <n v="2"/>
    <n v="3"/>
    <n v="2"/>
    <n v="4"/>
    <n v="4"/>
    <n v="1"/>
    <n v="3"/>
    <n v="2"/>
    <n v="3"/>
    <n v="2"/>
    <n v="2"/>
    <n v="4"/>
    <n v="1"/>
    <n v="1"/>
    <n v="4"/>
    <n v="3"/>
    <n v="1"/>
    <n v="1"/>
    <n v="2"/>
    <n v="4"/>
    <n v="3"/>
    <n v="3"/>
    <n v="4"/>
    <n v="1"/>
    <n v="3"/>
    <n v="0"/>
    <n v="0"/>
    <n v="1"/>
    <n v="1"/>
    <n v="1"/>
    <n v="1"/>
    <n v="1"/>
    <n v="1"/>
    <n v="1.5"/>
    <n v="1"/>
    <n v="0"/>
    <n v="1"/>
    <n v="0"/>
    <n v="0"/>
    <n v="0"/>
    <n v="0"/>
    <n v="0"/>
    <n v="0"/>
    <n v="0"/>
    <n v="1"/>
    <n v="0"/>
    <n v="1"/>
    <n v="0"/>
    <n v="0"/>
    <n v="1"/>
    <n v="1"/>
    <n v="1"/>
    <n v="1"/>
    <n v="0"/>
    <n v="0"/>
    <n v="1"/>
    <n v="0"/>
    <n v="1"/>
    <n v="0"/>
    <n v="1"/>
    <n v="1"/>
    <n v="1"/>
    <n v="0"/>
    <n v="0"/>
  </r>
  <r>
    <s v="OSORIO-ANICETO,AARON"/>
    <s v="AARON"/>
    <s v="OSORIO-ANICETO"/>
    <n v="240205922"/>
    <n v="9"/>
    <s v="Bermejo"/>
    <b v="0"/>
    <b v="0"/>
    <n v="21"/>
    <n v="3"/>
    <n v="6"/>
    <n v="3"/>
    <x v="7"/>
    <n v="4"/>
    <n v="2"/>
    <n v="3"/>
    <n v="3"/>
    <n v="1"/>
    <n v="1"/>
    <n v="3"/>
    <n v="1"/>
    <n v="2"/>
    <n v="1"/>
    <n v="2"/>
    <n v="3"/>
    <n v="2"/>
    <n v="1"/>
    <n v="3"/>
    <n v="4"/>
    <n v="1"/>
    <n v="4"/>
    <n v="3"/>
    <n v="2"/>
    <n v="2"/>
    <n v="2"/>
    <n v="3"/>
    <n v="3"/>
    <n v="1"/>
    <n v="4"/>
    <n v="4"/>
    <n v="3"/>
    <n v="2"/>
    <n v="1"/>
    <n v="1"/>
    <n v="1"/>
    <n v="1"/>
    <n v="1"/>
    <n v="1"/>
    <n v="1"/>
    <n v="3"/>
    <n v="1"/>
    <n v="1"/>
    <n v="1"/>
    <n v="1"/>
    <n v="1"/>
    <n v="0"/>
    <n v="1"/>
    <n v="0"/>
    <n v="1"/>
    <n v="1"/>
    <n v="1"/>
    <n v="0"/>
    <n v="1"/>
    <n v="0"/>
    <n v="1"/>
    <n v="0"/>
    <n v="1"/>
    <n v="1"/>
    <n v="1"/>
    <n v="0"/>
    <n v="1"/>
    <n v="1"/>
    <n v="1"/>
    <n v="1"/>
    <n v="1"/>
    <n v="1"/>
    <n v="0"/>
    <n v="1"/>
    <n v="1"/>
    <n v="1"/>
  </r>
  <r>
    <s v="OU,GABRIEL"/>
    <s v="GABRIEL"/>
    <s v="OU"/>
    <n v="232170233"/>
    <n v="11"/>
    <s v="Dushin"/>
    <b v="1"/>
    <b v="1"/>
    <n v="13"/>
    <n v="3"/>
    <n v="5"/>
    <n v="1.5"/>
    <x v="10"/>
    <n v="4"/>
    <n v="4"/>
    <n v="2"/>
    <n v="1"/>
    <n v="2"/>
    <n v="4"/>
    <n v="1"/>
    <n v="2"/>
    <n v="1"/>
    <n v="1"/>
    <n v="2"/>
    <n v="4"/>
    <n v="2"/>
    <n v="1"/>
    <n v="1"/>
    <n v="2"/>
    <n v="1"/>
    <n v="3"/>
    <n v="3"/>
    <n v="2"/>
    <n v="2"/>
    <n v="2"/>
    <n v="4"/>
    <n v="3"/>
    <n v="1"/>
    <n v="1"/>
    <n v="4"/>
    <n v="4"/>
    <n v="1"/>
    <n v="2"/>
    <n v="0"/>
    <n v="1"/>
    <n v="1"/>
    <n v="1"/>
    <n v="1"/>
    <n v="1"/>
    <n v="1.5"/>
    <n v="1"/>
    <n v="0"/>
    <n v="0"/>
    <n v="0"/>
    <n v="0"/>
    <n v="1"/>
    <n v="0"/>
    <n v="1"/>
    <n v="0"/>
    <n v="1"/>
    <n v="1"/>
    <n v="1"/>
    <n v="1"/>
    <n v="0"/>
    <n v="0"/>
    <n v="0"/>
    <n v="1"/>
    <n v="0"/>
    <n v="1"/>
    <n v="0"/>
    <n v="1"/>
    <n v="1"/>
    <n v="0"/>
    <n v="1"/>
    <n v="1"/>
    <n v="0"/>
    <n v="0"/>
    <n v="0"/>
    <n v="0"/>
    <n v="1"/>
  </r>
  <r>
    <s v="OXLEY,CHAYANNE"/>
    <s v="CHAYANNE"/>
    <s v="OXLEY"/>
    <n v="236049268"/>
    <n v="11"/>
    <s v="Dushin"/>
    <b v="0"/>
    <b v="0"/>
    <n v="14"/>
    <n v="1"/>
    <n v="6"/>
    <n v="1"/>
    <x v="20"/>
    <n v="4"/>
    <n v="2"/>
    <n v="3"/>
    <n v="1"/>
    <n v="1"/>
    <n v="3"/>
    <n v="2"/>
    <n v="2"/>
    <n v="2"/>
    <n v="1"/>
    <n v="2"/>
    <n v="4"/>
    <n v="3"/>
    <n v="2"/>
    <n v="1"/>
    <n v="1"/>
    <n v="1"/>
    <n v="4"/>
    <n v="2"/>
    <n v="2"/>
    <n v="1"/>
    <n v="2"/>
    <n v="2"/>
    <n v="4"/>
    <n v="4"/>
    <n v="2"/>
    <n v="4"/>
    <n v="3"/>
    <n v="1"/>
    <n v="0"/>
    <n v="1"/>
    <n v="1"/>
    <n v="1"/>
    <n v="1"/>
    <n v="1"/>
    <n v="1"/>
    <n v="1"/>
    <n v="1"/>
    <n v="1"/>
    <n v="1"/>
    <n v="0"/>
    <n v="1"/>
    <n v="0"/>
    <n v="0"/>
    <n v="1"/>
    <n v="1"/>
    <n v="1"/>
    <n v="1"/>
    <n v="1"/>
    <n v="0"/>
    <n v="0"/>
    <n v="0"/>
    <n v="1"/>
    <n v="1"/>
    <n v="1"/>
    <n v="0"/>
    <n v="0"/>
    <n v="0"/>
    <n v="1"/>
    <n v="0"/>
    <n v="0"/>
    <n v="0"/>
    <n v="0"/>
    <n v="0"/>
    <n v="1"/>
    <n v="0"/>
    <n v="0"/>
  </r>
  <r>
    <s v="PAILLANT,PILARAH"/>
    <s v="PILARAH"/>
    <s v="PAILLANT"/>
    <n v="258893791"/>
    <n v="9"/>
    <s v="Bermejo"/>
    <b v="0"/>
    <b v="0"/>
    <n v="17"/>
    <n v="8"/>
    <n v="6"/>
    <n v="3"/>
    <x v="7"/>
    <n v="4"/>
    <n v="2"/>
    <n v="3"/>
    <n v="1"/>
    <n v="1"/>
    <n v="3"/>
    <n v="3"/>
    <n v="2"/>
    <n v="2"/>
    <n v="1"/>
    <n v="2"/>
    <n v="4"/>
    <n v="2"/>
    <n v="4"/>
    <n v="4"/>
    <n v="2"/>
    <n v="2"/>
    <n v="1"/>
    <n v="3"/>
    <n v="1"/>
    <n v="4"/>
    <n v="2"/>
    <n v="4"/>
    <n v="3"/>
    <n v="1"/>
    <n v="2"/>
    <n v="4"/>
    <n v="3"/>
    <n v="4"/>
    <n v="4"/>
    <n v="1"/>
    <n v="1"/>
    <n v="1"/>
    <n v="1"/>
    <n v="1"/>
    <n v="1"/>
    <n v="3"/>
    <n v="1"/>
    <n v="1"/>
    <n v="1"/>
    <n v="0"/>
    <n v="1"/>
    <n v="0"/>
    <n v="1"/>
    <n v="1"/>
    <n v="1"/>
    <n v="1"/>
    <n v="1"/>
    <n v="1"/>
    <n v="1"/>
    <n v="1"/>
    <n v="0"/>
    <n v="0"/>
    <n v="0"/>
    <n v="0"/>
    <n v="1"/>
    <n v="0"/>
    <n v="0"/>
    <n v="1"/>
    <n v="0"/>
    <n v="1"/>
    <n v="1"/>
    <n v="0"/>
    <n v="0"/>
    <n v="1"/>
    <n v="1"/>
    <n v="1"/>
  </r>
  <r>
    <s v="PANTALEON,DAYSON"/>
    <s v="DAYSON"/>
    <s v="PANTALEON"/>
    <n v="260545389"/>
    <n v="11"/>
    <s v="Dushin"/>
    <b v="0"/>
    <b v="0"/>
    <n v="15"/>
    <n v="3"/>
    <n v="4"/>
    <n v="1"/>
    <x v="10"/>
    <n v="4"/>
    <n v="3"/>
    <n v="3"/>
    <n v="1"/>
    <n v="2"/>
    <n v="3"/>
    <n v="2"/>
    <n v="3"/>
    <n v="2"/>
    <n v="1"/>
    <n v="2"/>
    <n v="4"/>
    <n v="2"/>
    <n v="4"/>
    <n v="1"/>
    <n v="4"/>
    <n v="3"/>
    <n v="1"/>
    <n v="3"/>
    <n v="2"/>
    <n v="2"/>
    <n v="4"/>
    <n v="1"/>
    <n v="3"/>
    <n v="1"/>
    <n v="4"/>
    <n v="1"/>
    <n v="3"/>
    <n v="2"/>
    <n v="1"/>
    <n v="0"/>
    <n v="1"/>
    <n v="1"/>
    <n v="1"/>
    <n v="1"/>
    <n v="0"/>
    <n v="1"/>
    <n v="1"/>
    <n v="0"/>
    <n v="1"/>
    <n v="0"/>
    <n v="0"/>
    <n v="0"/>
    <n v="0"/>
    <n v="0"/>
    <n v="1"/>
    <n v="1"/>
    <n v="1"/>
    <n v="1"/>
    <n v="1"/>
    <n v="1"/>
    <n v="0"/>
    <n v="0"/>
    <n v="0"/>
    <n v="0"/>
    <n v="1"/>
    <n v="0"/>
    <n v="1"/>
    <n v="0"/>
    <n v="0"/>
    <n v="1"/>
    <n v="1"/>
    <n v="1"/>
    <n v="1"/>
    <n v="1"/>
    <n v="0"/>
    <n v="0"/>
  </r>
  <r>
    <s v="PARK,CHAZAE"/>
    <s v="CHAZAE"/>
    <s v="PARK"/>
    <n v="205248297"/>
    <n v="11"/>
    <m/>
    <b v="0"/>
    <b v="0"/>
    <n v="26"/>
    <n v="7"/>
    <n v="6"/>
    <n v="1"/>
    <x v="4"/>
    <n v="4"/>
    <n v="2"/>
    <n v="3"/>
    <n v="3"/>
    <n v="1"/>
    <n v="4"/>
    <n v="3"/>
    <n v="2"/>
    <n v="2"/>
    <n v="1"/>
    <n v="2"/>
    <n v="4"/>
    <n v="2"/>
    <n v="4"/>
    <n v="3"/>
    <n v="1"/>
    <n v="1"/>
    <n v="4"/>
    <n v="3"/>
    <n v="4"/>
    <n v="2"/>
    <n v="2"/>
    <n v="3"/>
    <n v="2"/>
    <n v="3"/>
    <n v="4"/>
    <n v="1"/>
    <n v="3"/>
    <n v="2"/>
    <n v="5"/>
    <n v="1"/>
    <n v="1"/>
    <n v="1"/>
    <n v="1"/>
    <n v="1"/>
    <n v="1"/>
    <n v="1"/>
    <n v="1"/>
    <n v="1"/>
    <n v="1"/>
    <n v="1"/>
    <n v="1"/>
    <n v="1"/>
    <n v="1"/>
    <n v="1"/>
    <n v="1"/>
    <n v="1"/>
    <n v="1"/>
    <n v="1"/>
    <n v="1"/>
    <n v="1"/>
    <n v="1"/>
    <n v="1"/>
    <n v="1"/>
    <n v="1"/>
    <n v="1"/>
    <n v="1"/>
    <n v="1"/>
    <n v="1"/>
    <n v="1"/>
    <n v="0"/>
    <n v="0"/>
    <n v="1"/>
    <n v="1"/>
    <n v="1"/>
    <n v="1"/>
    <n v="1"/>
  </r>
  <r>
    <s v="PATTERSON,JASIAH"/>
    <s v="JASIAH"/>
    <s v="PATTERSON"/>
    <n v="234807469"/>
    <n v="11"/>
    <s v="Dushin"/>
    <b v="0"/>
    <b v="0"/>
    <n v="0"/>
    <n v="0"/>
    <n v="0"/>
    <n v="0"/>
    <x v="2"/>
    <m/>
    <m/>
    <m/>
    <m/>
    <m/>
    <m/>
    <m/>
    <m/>
    <m/>
    <m/>
    <m/>
    <m/>
    <m/>
    <m/>
    <m/>
    <m/>
    <m/>
    <m/>
    <m/>
    <m/>
    <m/>
    <m/>
    <m/>
    <m/>
    <m/>
    <m/>
    <m/>
    <m/>
    <m/>
    <m/>
    <m/>
    <m/>
    <m/>
    <m/>
    <m/>
    <m/>
    <m/>
    <n v="0"/>
    <n v="0"/>
    <n v="0"/>
    <n v="0"/>
    <n v="0"/>
    <n v="0"/>
    <n v="0"/>
    <n v="0"/>
    <n v="0"/>
    <n v="0"/>
    <n v="0"/>
    <n v="0"/>
    <n v="0"/>
    <n v="0"/>
    <n v="0"/>
    <n v="0"/>
    <n v="0"/>
    <n v="0"/>
    <n v="0"/>
    <n v="0"/>
    <n v="0"/>
    <n v="0"/>
    <n v="0"/>
    <n v="0"/>
    <n v="0"/>
    <n v="0"/>
    <n v="0"/>
    <n v="0"/>
    <n v="0"/>
    <n v="0"/>
  </r>
  <r>
    <s v="PATWARY,ADDINUR"/>
    <s v="ADDINUR"/>
    <s v="PATWARY"/>
    <n v="242637429"/>
    <n v="9"/>
    <s v="Kovelsky"/>
    <b v="0"/>
    <b v="0"/>
    <n v="19"/>
    <n v="2"/>
    <n v="6"/>
    <n v="1.5"/>
    <x v="9"/>
    <n v="4"/>
    <n v="2"/>
    <n v="3"/>
    <n v="4"/>
    <n v="2"/>
    <n v="2"/>
    <n v="3"/>
    <n v="2"/>
    <n v="1"/>
    <n v="1"/>
    <n v="2"/>
    <n v="4"/>
    <n v="2"/>
    <n v="4"/>
    <n v="3"/>
    <n v="1"/>
    <n v="1"/>
    <n v="4"/>
    <n v="1"/>
    <n v="3"/>
    <n v="2"/>
    <n v="1"/>
    <n v="3"/>
    <n v="3"/>
    <n v="2"/>
    <n v="2"/>
    <n v="1"/>
    <n v="3"/>
    <n v="1"/>
    <n v="1"/>
    <n v="1"/>
    <n v="1"/>
    <n v="1"/>
    <n v="1"/>
    <n v="1"/>
    <n v="1"/>
    <n v="1.5"/>
    <n v="1"/>
    <n v="1"/>
    <n v="1"/>
    <n v="0"/>
    <n v="0"/>
    <n v="0"/>
    <n v="1"/>
    <n v="1"/>
    <n v="0"/>
    <n v="1"/>
    <n v="1"/>
    <n v="1"/>
    <n v="1"/>
    <n v="1"/>
    <n v="1"/>
    <n v="1"/>
    <n v="1"/>
    <n v="1"/>
    <n v="0"/>
    <n v="0"/>
    <n v="1"/>
    <n v="0"/>
    <n v="1"/>
    <n v="1"/>
    <n v="0"/>
    <n v="0"/>
    <n v="1"/>
    <n v="1"/>
    <n v="1"/>
    <n v="1"/>
  </r>
  <r>
    <s v="PAXTOR TOC,HENRIQUE"/>
    <s v="HENRIQUE"/>
    <s v="PAXTOR TOC"/>
    <n v="241564640"/>
    <n v="9"/>
    <s v="Bermejo"/>
    <b v="0"/>
    <b v="1"/>
    <n v="16"/>
    <n v="3"/>
    <n v="4"/>
    <n v="1"/>
    <x v="1"/>
    <n v="4"/>
    <n v="3"/>
    <n v="4"/>
    <n v="2"/>
    <n v="1"/>
    <n v="4"/>
    <n v="2"/>
    <n v="2"/>
    <n v="3"/>
    <n v="1"/>
    <n v="2"/>
    <n v="3"/>
    <n v="1"/>
    <n v="4"/>
    <n v="1"/>
    <n v="1"/>
    <n v="1"/>
    <n v="3"/>
    <n v="3"/>
    <n v="4"/>
    <n v="2"/>
    <n v="2"/>
    <n v="3"/>
    <n v="1"/>
    <n v="2"/>
    <n v="4"/>
    <n v="2"/>
    <n v="3"/>
    <n v="2"/>
    <n v="1"/>
    <n v="0"/>
    <n v="0"/>
    <n v="1"/>
    <n v="1"/>
    <n v="1"/>
    <n v="1"/>
    <n v="1"/>
    <n v="1"/>
    <n v="0"/>
    <n v="0"/>
    <n v="0"/>
    <n v="1"/>
    <n v="1"/>
    <n v="0"/>
    <n v="1"/>
    <n v="0"/>
    <n v="1"/>
    <n v="1"/>
    <n v="0"/>
    <n v="0"/>
    <n v="1"/>
    <n v="0"/>
    <n v="1"/>
    <n v="1"/>
    <n v="0"/>
    <n v="1"/>
    <n v="1"/>
    <n v="1"/>
    <n v="1"/>
    <n v="1"/>
    <n v="0"/>
    <n v="0"/>
    <n v="1"/>
    <n v="0"/>
    <n v="1"/>
    <n v="0"/>
    <n v="1"/>
  </r>
  <r>
    <s v="PENA CONTRERAS,RICHARD"/>
    <s v="RICHARD"/>
    <s v="PENA CONTRERAS"/>
    <n v="260454061"/>
    <n v="11"/>
    <s v="Dushin"/>
    <b v="1"/>
    <b v="0"/>
    <n v="14"/>
    <n v="1"/>
    <n v="5"/>
    <n v="0"/>
    <x v="36"/>
    <n v="4"/>
    <n v="3"/>
    <n v="1"/>
    <n v="3"/>
    <n v="2"/>
    <n v="4"/>
    <n v="3"/>
    <n v="1"/>
    <n v="3"/>
    <n v="1"/>
    <n v="2"/>
    <n v="3"/>
    <n v="2"/>
    <n v="2"/>
    <n v="1"/>
    <n v="4"/>
    <n v="4"/>
    <n v="4"/>
    <n v="3"/>
    <n v="1"/>
    <n v="1"/>
    <n v="2"/>
    <n v="4"/>
    <n v="3"/>
    <n v="1"/>
    <n v="3"/>
    <n v="1"/>
    <n v="3"/>
    <n v="1"/>
    <n v="0"/>
    <n v="1"/>
    <n v="1"/>
    <n v="1"/>
    <n v="0"/>
    <n v="1"/>
    <n v="1"/>
    <n v="0"/>
    <n v="1"/>
    <n v="0"/>
    <n v="0"/>
    <n v="1"/>
    <n v="0"/>
    <n v="1"/>
    <n v="1"/>
    <n v="0"/>
    <n v="0"/>
    <n v="1"/>
    <n v="1"/>
    <n v="0"/>
    <n v="1"/>
    <n v="0"/>
    <n v="0"/>
    <n v="0"/>
    <n v="0"/>
    <n v="1"/>
    <n v="1"/>
    <n v="0"/>
    <n v="0"/>
    <n v="1"/>
    <n v="0"/>
    <n v="1"/>
    <n v="1"/>
    <n v="0"/>
    <n v="1"/>
    <n v="1"/>
    <n v="0"/>
    <n v="0"/>
  </r>
  <r>
    <s v="PEREZ RODRIGUEZ,SANTIAGO"/>
    <s v="SANTIAGO"/>
    <s v="PEREZ RODRIGUEZ"/>
    <n v="202454617"/>
    <n v="11"/>
    <s v="Kovelsky"/>
    <b v="0"/>
    <b v="1"/>
    <n v="21"/>
    <n v="2"/>
    <n v="6"/>
    <n v="2"/>
    <x v="13"/>
    <n v="4"/>
    <n v="2"/>
    <n v="3"/>
    <n v="3"/>
    <n v="1"/>
    <n v="4"/>
    <n v="3"/>
    <n v="2"/>
    <n v="2"/>
    <n v="1"/>
    <n v="2"/>
    <n v="4"/>
    <n v="2"/>
    <n v="1"/>
    <n v="1"/>
    <n v="2"/>
    <n v="4"/>
    <n v="4"/>
    <n v="3"/>
    <n v="1"/>
    <n v="2"/>
    <n v="2"/>
    <n v="3"/>
    <n v="2"/>
    <n v="3"/>
    <n v="4"/>
    <n v="1"/>
    <n v="3"/>
    <n v="1"/>
    <n v="1"/>
    <n v="1"/>
    <n v="1"/>
    <n v="1"/>
    <n v="1"/>
    <n v="1"/>
    <n v="1"/>
    <n v="2"/>
    <n v="1"/>
    <n v="1"/>
    <n v="1"/>
    <n v="1"/>
    <n v="1"/>
    <n v="1"/>
    <n v="1"/>
    <n v="1"/>
    <n v="1"/>
    <n v="1"/>
    <n v="1"/>
    <n v="1"/>
    <n v="1"/>
    <n v="0"/>
    <n v="0"/>
    <n v="0"/>
    <n v="0"/>
    <n v="1"/>
    <n v="1"/>
    <n v="0"/>
    <n v="1"/>
    <n v="1"/>
    <n v="1"/>
    <n v="0"/>
    <n v="0"/>
    <n v="1"/>
    <n v="1"/>
    <n v="1"/>
    <n v="1"/>
    <n v="1"/>
  </r>
  <r>
    <s v="PEREZ RODRIGUEZ,SEBASTIAN"/>
    <s v="SEBASTIAN"/>
    <s v="PEREZ RODRIGUEZ"/>
    <n v="240955930"/>
    <n v="9"/>
    <s v="Bermejo"/>
    <b v="0"/>
    <b v="0"/>
    <n v="18"/>
    <n v="4"/>
    <n v="6"/>
    <n v="2"/>
    <x v="0"/>
    <n v="4"/>
    <n v="1"/>
    <n v="3"/>
    <n v="1"/>
    <n v="1"/>
    <n v="4"/>
    <n v="3"/>
    <n v="2"/>
    <n v="2"/>
    <n v="1"/>
    <n v="2"/>
    <n v="1"/>
    <n v="2"/>
    <n v="4"/>
    <n v="1"/>
    <n v="4"/>
    <n v="1"/>
    <n v="4"/>
    <n v="3"/>
    <n v="1"/>
    <n v="2"/>
    <n v="4"/>
    <n v="3"/>
    <n v="2"/>
    <n v="3"/>
    <n v="4"/>
    <n v="4"/>
    <n v="3"/>
    <n v="3"/>
    <n v="1"/>
    <n v="1"/>
    <n v="1"/>
    <n v="1"/>
    <n v="1"/>
    <n v="1"/>
    <n v="1"/>
    <n v="2"/>
    <n v="1"/>
    <n v="0"/>
    <n v="1"/>
    <n v="0"/>
    <n v="1"/>
    <n v="1"/>
    <n v="1"/>
    <n v="1"/>
    <n v="1"/>
    <n v="1"/>
    <n v="1"/>
    <n v="0"/>
    <n v="1"/>
    <n v="1"/>
    <n v="0"/>
    <n v="0"/>
    <n v="1"/>
    <n v="1"/>
    <n v="1"/>
    <n v="0"/>
    <n v="1"/>
    <n v="0"/>
    <n v="1"/>
    <n v="0"/>
    <n v="0"/>
    <n v="1"/>
    <n v="0"/>
    <n v="1"/>
    <n v="1"/>
    <n v="1"/>
  </r>
  <r>
    <s v="PEREZ,ANDREA"/>
    <s v="ANDREA"/>
    <s v="PEREZ"/>
    <n v="240673574"/>
    <n v="9"/>
    <s v="Bermejo"/>
    <b v="0"/>
    <b v="0"/>
    <n v="25"/>
    <n v="6"/>
    <n v="6"/>
    <n v="4"/>
    <x v="6"/>
    <n v="4"/>
    <n v="2"/>
    <n v="3"/>
    <n v="4"/>
    <n v="1"/>
    <n v="4"/>
    <n v="3"/>
    <n v="2"/>
    <n v="2"/>
    <n v="1"/>
    <n v="2"/>
    <n v="4"/>
    <n v="3"/>
    <n v="4"/>
    <n v="3"/>
    <n v="1"/>
    <n v="1"/>
    <n v="4"/>
    <n v="3"/>
    <n v="4"/>
    <n v="2"/>
    <n v="2"/>
    <n v="3"/>
    <n v="3"/>
    <n v="4"/>
    <n v="4"/>
    <n v="1"/>
    <n v="3"/>
    <n v="3"/>
    <n v="3"/>
    <n v="1"/>
    <n v="1"/>
    <n v="1"/>
    <n v="1"/>
    <n v="1"/>
    <n v="1"/>
    <n v="4"/>
    <n v="1"/>
    <n v="1"/>
    <n v="1"/>
    <n v="0"/>
    <n v="1"/>
    <n v="1"/>
    <n v="1"/>
    <n v="1"/>
    <n v="1"/>
    <n v="1"/>
    <n v="1"/>
    <n v="1"/>
    <n v="0"/>
    <n v="1"/>
    <n v="1"/>
    <n v="1"/>
    <n v="1"/>
    <n v="1"/>
    <n v="1"/>
    <n v="1"/>
    <n v="1"/>
    <n v="1"/>
    <n v="1"/>
    <n v="1"/>
    <n v="0"/>
    <n v="1"/>
    <n v="1"/>
    <n v="1"/>
    <n v="1"/>
    <n v="1"/>
  </r>
  <r>
    <s v="PEREZ,GENESIS FRANK"/>
    <s v="GENESIS FRANK"/>
    <s v="PEREZ"/>
    <n v="222658676"/>
    <n v="11"/>
    <s v="Dushin"/>
    <b v="0"/>
    <b v="0"/>
    <n v="19"/>
    <n v="4"/>
    <n v="6"/>
    <n v="1"/>
    <x v="18"/>
    <n v="4"/>
    <n v="2"/>
    <n v="3"/>
    <n v="3"/>
    <n v="1"/>
    <n v="3"/>
    <n v="3"/>
    <n v="2"/>
    <n v="4"/>
    <n v="1"/>
    <n v="2"/>
    <n v="3"/>
    <n v="2"/>
    <n v="4"/>
    <n v="1"/>
    <n v="4"/>
    <n v="3"/>
    <n v="4"/>
    <n v="3"/>
    <n v="4"/>
    <n v="2"/>
    <n v="1"/>
    <n v="3"/>
    <n v="3"/>
    <n v="1"/>
    <n v="4"/>
    <n v="2"/>
    <n v="2"/>
    <n v="3"/>
    <n v="1"/>
    <n v="1"/>
    <n v="1"/>
    <n v="1"/>
    <n v="1"/>
    <n v="1"/>
    <n v="1"/>
    <n v="1"/>
    <n v="1"/>
    <n v="1"/>
    <n v="1"/>
    <n v="1"/>
    <n v="1"/>
    <n v="0"/>
    <n v="1"/>
    <n v="1"/>
    <n v="0"/>
    <n v="1"/>
    <n v="1"/>
    <n v="0"/>
    <n v="1"/>
    <n v="1"/>
    <n v="0"/>
    <n v="0"/>
    <n v="0"/>
    <n v="1"/>
    <n v="1"/>
    <n v="1"/>
    <n v="1"/>
    <n v="0"/>
    <n v="1"/>
    <n v="1"/>
    <n v="1"/>
    <n v="1"/>
    <n v="0"/>
    <n v="0"/>
    <n v="1"/>
    <n v="1"/>
  </r>
  <r>
    <s v="PORTIS,JOSHUA"/>
    <s v="JOSHUA"/>
    <s v="PORTIS"/>
    <n v="240441519"/>
    <n v="9"/>
    <s v="Bermejo"/>
    <b v="0"/>
    <b v="0"/>
    <n v="21"/>
    <n v="3"/>
    <n v="6"/>
    <n v="2"/>
    <x v="26"/>
    <n v="4"/>
    <n v="2"/>
    <n v="3"/>
    <n v="3"/>
    <n v="1"/>
    <n v="1"/>
    <n v="3"/>
    <n v="2"/>
    <n v="2"/>
    <n v="1"/>
    <n v="2"/>
    <n v="4"/>
    <n v="3"/>
    <n v="4"/>
    <n v="4"/>
    <n v="4"/>
    <n v="1"/>
    <n v="4"/>
    <n v="3"/>
    <n v="1"/>
    <n v="2"/>
    <n v="2"/>
    <n v="3"/>
    <n v="2"/>
    <n v="3"/>
    <n v="4"/>
    <n v="1"/>
    <n v="3"/>
    <n v="2"/>
    <n v="1"/>
    <n v="1"/>
    <n v="1"/>
    <n v="1"/>
    <n v="1"/>
    <n v="1"/>
    <n v="1"/>
    <n v="2"/>
    <n v="1"/>
    <n v="1"/>
    <n v="1"/>
    <n v="1"/>
    <n v="1"/>
    <n v="0"/>
    <n v="1"/>
    <n v="1"/>
    <n v="1"/>
    <n v="1"/>
    <n v="1"/>
    <n v="1"/>
    <n v="0"/>
    <n v="1"/>
    <n v="0"/>
    <n v="0"/>
    <n v="1"/>
    <n v="1"/>
    <n v="1"/>
    <n v="0"/>
    <n v="1"/>
    <n v="1"/>
    <n v="1"/>
    <n v="0"/>
    <n v="0"/>
    <n v="1"/>
    <n v="1"/>
    <n v="1"/>
    <n v="1"/>
    <n v="1"/>
  </r>
  <r>
    <s v="POWELL,GIANNA"/>
    <s v="GIANNA"/>
    <s v="POWELL"/>
    <n v="234186989"/>
    <n v="11"/>
    <s v="Dushin"/>
    <b v="0"/>
    <b v="0"/>
    <n v="25"/>
    <n v="4"/>
    <n v="6"/>
    <n v="3.5"/>
    <x v="41"/>
    <n v="4"/>
    <n v="2"/>
    <n v="3"/>
    <n v="3"/>
    <n v="2"/>
    <n v="4"/>
    <n v="3"/>
    <n v="2"/>
    <n v="2"/>
    <n v="1"/>
    <n v="2"/>
    <n v="4"/>
    <n v="3"/>
    <n v="4"/>
    <n v="3"/>
    <n v="1"/>
    <n v="1"/>
    <n v="4"/>
    <n v="3"/>
    <n v="4"/>
    <n v="2"/>
    <n v="2"/>
    <n v="3"/>
    <n v="3"/>
    <n v="4"/>
    <n v="4"/>
    <n v="1"/>
    <n v="3"/>
    <n v="2"/>
    <n v="2"/>
    <n v="1"/>
    <n v="1"/>
    <n v="1"/>
    <n v="1"/>
    <n v="1"/>
    <n v="1"/>
    <n v="3.5"/>
    <n v="1"/>
    <n v="1"/>
    <n v="1"/>
    <n v="1"/>
    <n v="0"/>
    <n v="1"/>
    <n v="1"/>
    <n v="1"/>
    <n v="1"/>
    <n v="1"/>
    <n v="1"/>
    <n v="1"/>
    <n v="0"/>
    <n v="1"/>
    <n v="1"/>
    <n v="1"/>
    <n v="1"/>
    <n v="1"/>
    <n v="1"/>
    <n v="1"/>
    <n v="1"/>
    <n v="1"/>
    <n v="1"/>
    <n v="1"/>
    <n v="0"/>
    <n v="1"/>
    <n v="1"/>
    <n v="1"/>
    <n v="1"/>
    <n v="1"/>
  </r>
  <r>
    <s v="PUNINA YANCHATI,HELEN"/>
    <s v="HELEN"/>
    <s v="PUNINA YANCHATI"/>
    <n v="252773452"/>
    <n v="9"/>
    <s v="Bermejo"/>
    <b v="1"/>
    <b v="0"/>
    <n v="13"/>
    <n v="4"/>
    <n v="6"/>
    <n v="2"/>
    <x v="35"/>
    <n v="4"/>
    <n v="1"/>
    <n v="4"/>
    <n v="2"/>
    <n v="3"/>
    <n v="3"/>
    <n v="1"/>
    <n v="2"/>
    <n v="2"/>
    <n v="1"/>
    <n v="2"/>
    <n v="3"/>
    <n v="2"/>
    <n v="3"/>
    <n v="1"/>
    <n v="3"/>
    <n v="3"/>
    <n v="4"/>
    <n v="3"/>
    <n v="1"/>
    <n v="2"/>
    <n v="2"/>
    <n v="3"/>
    <n v="2"/>
    <n v="4"/>
    <n v="4"/>
    <n v="1"/>
    <n v="4"/>
    <n v="3"/>
    <n v="1"/>
    <n v="1"/>
    <n v="1"/>
    <n v="1"/>
    <n v="1"/>
    <n v="1"/>
    <n v="1"/>
    <n v="2"/>
    <n v="1"/>
    <n v="0"/>
    <n v="0"/>
    <n v="0"/>
    <n v="0"/>
    <n v="0"/>
    <n v="0"/>
    <n v="1"/>
    <n v="1"/>
    <n v="1"/>
    <n v="1"/>
    <n v="0"/>
    <n v="1"/>
    <n v="0"/>
    <n v="0"/>
    <n v="0"/>
    <n v="0"/>
    <n v="1"/>
    <n v="1"/>
    <n v="0"/>
    <n v="1"/>
    <n v="1"/>
    <n v="1"/>
    <n v="0"/>
    <n v="0"/>
    <n v="1"/>
    <n v="1"/>
    <n v="0"/>
    <n v="1"/>
    <n v="1"/>
  </r>
  <r>
    <s v="PURVIS,IDRIS"/>
    <s v="IDRIS"/>
    <s v="PURVIS"/>
    <n v="216970491"/>
    <n v="9"/>
    <s v="Bermejo"/>
    <b v="0"/>
    <b v="1"/>
    <n v="13"/>
    <n v="3"/>
    <n v="6"/>
    <n v="0"/>
    <x v="8"/>
    <n v="4"/>
    <n v="2"/>
    <n v="2"/>
    <n v="3"/>
    <n v="1"/>
    <n v="3"/>
    <n v="3"/>
    <n v="2"/>
    <n v="1"/>
    <n v="4"/>
    <n v="3"/>
    <n v="4"/>
    <n v="1"/>
    <n v="4"/>
    <n v="3"/>
    <n v="2"/>
    <n v="3"/>
    <n v="4"/>
    <n v="1"/>
    <n v="4"/>
    <n v="4"/>
    <n v="2"/>
    <n v="1"/>
    <n v="4"/>
    <n v="4"/>
    <n v="3"/>
    <n v="4"/>
    <n v="3"/>
    <n v="2"/>
    <n v="1"/>
    <n v="1"/>
    <n v="1"/>
    <n v="1"/>
    <n v="1"/>
    <n v="1"/>
    <n v="1"/>
    <n v="0"/>
    <n v="1"/>
    <n v="1"/>
    <n v="0"/>
    <n v="1"/>
    <n v="1"/>
    <n v="0"/>
    <n v="1"/>
    <n v="1"/>
    <n v="0"/>
    <n v="0"/>
    <n v="0"/>
    <n v="1"/>
    <n v="0"/>
    <n v="1"/>
    <n v="1"/>
    <n v="0"/>
    <n v="0"/>
    <n v="1"/>
    <n v="0"/>
    <n v="1"/>
    <n v="0"/>
    <n v="1"/>
    <n v="0"/>
    <n v="0"/>
    <n v="0"/>
    <n v="0"/>
    <n v="0"/>
    <n v="1"/>
    <n v="0"/>
    <n v="1"/>
  </r>
  <r>
    <s v="QUINONES,TRISTAN"/>
    <s v="TRISTAN"/>
    <s v="QUINONES"/>
    <n v="235248069"/>
    <n v="9"/>
    <s v="Kovelsky"/>
    <b v="0"/>
    <b v="0"/>
    <n v="14"/>
    <n v="4"/>
    <n v="6"/>
    <n v="1.5"/>
    <x v="29"/>
    <n v="4"/>
    <n v="4"/>
    <n v="3"/>
    <n v="4"/>
    <n v="1"/>
    <n v="4"/>
    <n v="3"/>
    <n v="2"/>
    <n v="3"/>
    <n v="1"/>
    <n v="2"/>
    <n v="4"/>
    <n v="4"/>
    <n v="2"/>
    <n v="3"/>
    <n v="4"/>
    <n v="3"/>
    <n v="2"/>
    <n v="3"/>
    <n v="1"/>
    <n v="3"/>
    <n v="2"/>
    <n v="3"/>
    <n v="2"/>
    <n v="2"/>
    <n v="1"/>
    <n v="1"/>
    <n v="4"/>
    <n v="2"/>
    <n v="2"/>
    <n v="1"/>
    <n v="1"/>
    <n v="1"/>
    <n v="1"/>
    <n v="1"/>
    <n v="1"/>
    <n v="1.5"/>
    <n v="1"/>
    <n v="0"/>
    <n v="1"/>
    <n v="0"/>
    <n v="1"/>
    <n v="1"/>
    <n v="1"/>
    <n v="1"/>
    <n v="0"/>
    <n v="1"/>
    <n v="1"/>
    <n v="1"/>
    <n v="0"/>
    <n v="0"/>
    <n v="1"/>
    <n v="0"/>
    <n v="0"/>
    <n v="0"/>
    <n v="1"/>
    <n v="0"/>
    <n v="0"/>
    <n v="1"/>
    <n v="1"/>
    <n v="0"/>
    <n v="0"/>
    <n v="0"/>
    <n v="1"/>
    <n v="0"/>
    <n v="1"/>
    <n v="1"/>
  </r>
  <r>
    <s v="RAMIREZ,BRANDON"/>
    <s v="BRANDON"/>
    <s v="RAMIREZ"/>
    <n v="247140270"/>
    <n v="11"/>
    <s v="Dushin"/>
    <b v="0"/>
    <b v="0"/>
    <n v="13"/>
    <n v="4"/>
    <n v="5"/>
    <n v="3.5"/>
    <x v="19"/>
    <n v="4"/>
    <n v="3"/>
    <n v="1"/>
    <n v="2"/>
    <n v="1"/>
    <n v="3"/>
    <n v="3"/>
    <n v="1"/>
    <n v="3"/>
    <n v="1"/>
    <n v="2"/>
    <n v="3"/>
    <n v="2"/>
    <n v="3"/>
    <n v="1"/>
    <n v="1"/>
    <n v="1"/>
    <n v="4"/>
    <n v="1"/>
    <n v="1"/>
    <n v="2"/>
    <n v="4"/>
    <n v="1"/>
    <n v="4"/>
    <n v="3"/>
    <n v="4"/>
    <n v="1"/>
    <n v="3"/>
    <n v="4"/>
    <n v="0"/>
    <n v="1"/>
    <n v="1"/>
    <n v="1"/>
    <n v="1"/>
    <n v="1"/>
    <n v="0"/>
    <n v="3.5"/>
    <n v="1"/>
    <n v="0"/>
    <n v="0"/>
    <n v="0"/>
    <n v="1"/>
    <n v="0"/>
    <n v="1"/>
    <n v="0"/>
    <n v="0"/>
    <n v="1"/>
    <n v="1"/>
    <n v="0"/>
    <n v="1"/>
    <n v="0"/>
    <n v="0"/>
    <n v="1"/>
    <n v="1"/>
    <n v="1"/>
    <n v="0"/>
    <n v="0"/>
    <n v="1"/>
    <n v="0"/>
    <n v="0"/>
    <n v="0"/>
    <n v="0"/>
    <n v="1"/>
    <n v="1"/>
    <n v="1"/>
    <n v="1"/>
    <n v="1"/>
  </r>
  <r>
    <s v="RAMOS,AIDAN"/>
    <s v="AIDAN"/>
    <s v="RAMOS"/>
    <n v="206268559"/>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REDDICK,DAVID"/>
    <s v="DAVID"/>
    <s v="REDDICK"/>
    <n v="236262366"/>
    <n v="9"/>
    <s v="Bermejo"/>
    <b v="0"/>
    <b v="0"/>
    <n v="17"/>
    <n v="4"/>
    <n v="5"/>
    <n v="1.5"/>
    <x v="5"/>
    <n v="4"/>
    <n v="2"/>
    <n v="3"/>
    <n v="2"/>
    <n v="1"/>
    <n v="2"/>
    <n v="2"/>
    <n v="2"/>
    <n v="1"/>
    <n v="1"/>
    <n v="2"/>
    <n v="3"/>
    <n v="2"/>
    <n v="4"/>
    <n v="1"/>
    <n v="4"/>
    <n v="1"/>
    <n v="4"/>
    <n v="3"/>
    <n v="4"/>
    <n v="3"/>
    <n v="2"/>
    <n v="4"/>
    <n v="3"/>
    <n v="3"/>
    <n v="4"/>
    <n v="2"/>
    <n v="3"/>
    <n v="2"/>
    <n v="2"/>
    <n v="0"/>
    <n v="1"/>
    <n v="1"/>
    <n v="1"/>
    <n v="1"/>
    <n v="1"/>
    <n v="1.5"/>
    <n v="1"/>
    <n v="1"/>
    <n v="1"/>
    <n v="0"/>
    <n v="1"/>
    <n v="0"/>
    <n v="0"/>
    <n v="1"/>
    <n v="0"/>
    <n v="1"/>
    <n v="1"/>
    <n v="0"/>
    <n v="1"/>
    <n v="1"/>
    <n v="0"/>
    <n v="0"/>
    <n v="1"/>
    <n v="1"/>
    <n v="1"/>
    <n v="1"/>
    <n v="0"/>
    <n v="1"/>
    <n v="0"/>
    <n v="1"/>
    <n v="0"/>
    <n v="1"/>
    <n v="0"/>
    <n v="1"/>
    <n v="1"/>
    <n v="1"/>
  </r>
  <r>
    <s v="REED,QUINTEN"/>
    <s v="QUINTEN"/>
    <s v="REED"/>
    <n v="219631256"/>
    <n v="9"/>
    <s v="Bermejo"/>
    <b v="0"/>
    <b v="0"/>
    <n v="20"/>
    <n v="3"/>
    <n v="3"/>
    <n v="1"/>
    <x v="35"/>
    <n v="4"/>
    <n v="2"/>
    <n v="3"/>
    <n v="1"/>
    <n v="1"/>
    <n v="2"/>
    <n v="3"/>
    <n v="2"/>
    <n v="2"/>
    <n v="1"/>
    <n v="2"/>
    <n v="1"/>
    <n v="2"/>
    <n v="4"/>
    <n v="1"/>
    <n v="1"/>
    <n v="1"/>
    <n v="4"/>
    <n v="3"/>
    <n v="4"/>
    <n v="3"/>
    <n v="2"/>
    <n v="1"/>
    <n v="2"/>
    <n v="1"/>
    <n v="4"/>
    <n v="2"/>
    <n v="3"/>
    <n v="2"/>
    <n v="1"/>
    <n v="1"/>
    <n v="1"/>
    <n v="0"/>
    <n v="1"/>
    <n v="0"/>
    <n v="0"/>
    <n v="1"/>
    <n v="1"/>
    <n v="1"/>
    <n v="1"/>
    <n v="0"/>
    <n v="1"/>
    <n v="0"/>
    <n v="1"/>
    <n v="1"/>
    <n v="1"/>
    <n v="1"/>
    <n v="1"/>
    <n v="0"/>
    <n v="1"/>
    <n v="1"/>
    <n v="0"/>
    <n v="1"/>
    <n v="1"/>
    <n v="1"/>
    <n v="1"/>
    <n v="1"/>
    <n v="0"/>
    <n v="1"/>
    <n v="0"/>
    <n v="0"/>
    <n v="1"/>
    <n v="1"/>
    <n v="0"/>
    <n v="1"/>
    <n v="1"/>
    <n v="1"/>
  </r>
  <r>
    <s v="RENGEL GODOY,ANTONIO"/>
    <s v="ANTONIO"/>
    <s v="RENGEL GODOY"/>
    <n v="260454079"/>
    <n v="11"/>
    <s v="Bermejo"/>
    <b v="1"/>
    <b v="0"/>
    <n v="13"/>
    <n v="4"/>
    <n v="4"/>
    <n v="1"/>
    <x v="20"/>
    <n v="1"/>
    <n v="4"/>
    <n v="3"/>
    <n v="2"/>
    <n v="1"/>
    <n v="2"/>
    <n v="3"/>
    <n v="2"/>
    <n v="3"/>
    <n v="1"/>
    <n v="2"/>
    <n v="3"/>
    <n v="3"/>
    <n v="1"/>
    <n v="1"/>
    <n v="2"/>
    <n v="4"/>
    <n v="4"/>
    <n v="3"/>
    <n v="2"/>
    <n v="4"/>
    <n v="2"/>
    <n v="3"/>
    <n v="1"/>
    <n v="1"/>
    <n v="4"/>
    <n v="4"/>
    <n v="3"/>
    <n v="2"/>
    <n v="2"/>
    <n v="1"/>
    <n v="0"/>
    <n v="0"/>
    <n v="1"/>
    <n v="1"/>
    <n v="1"/>
    <n v="1"/>
    <n v="0"/>
    <n v="0"/>
    <n v="1"/>
    <n v="0"/>
    <n v="1"/>
    <n v="0"/>
    <n v="1"/>
    <n v="1"/>
    <n v="0"/>
    <n v="1"/>
    <n v="1"/>
    <n v="0"/>
    <n v="0"/>
    <n v="0"/>
    <n v="0"/>
    <n v="0"/>
    <n v="0"/>
    <n v="1"/>
    <n v="1"/>
    <n v="0"/>
    <n v="0"/>
    <n v="1"/>
    <n v="1"/>
    <n v="0"/>
    <n v="1"/>
    <n v="1"/>
    <n v="0"/>
    <n v="1"/>
    <n v="0"/>
    <n v="0"/>
  </r>
  <r>
    <s v="RIVERA,KEVIN"/>
    <s v="KEVIN"/>
    <s v="RIVERA"/>
    <n v="228855482"/>
    <n v="11"/>
    <s v="Other"/>
    <b v="0"/>
    <b v="0"/>
    <n v="22"/>
    <n v="1"/>
    <n v="6"/>
    <n v="3"/>
    <x v="39"/>
    <n v="4"/>
    <n v="1"/>
    <n v="3"/>
    <n v="3"/>
    <n v="1"/>
    <n v="4"/>
    <n v="3"/>
    <n v="2"/>
    <n v="3"/>
    <n v="1"/>
    <n v="2"/>
    <n v="4"/>
    <n v="2"/>
    <n v="3"/>
    <n v="3"/>
    <n v="1"/>
    <n v="1"/>
    <n v="4"/>
    <n v="3"/>
    <n v="1"/>
    <n v="2"/>
    <n v="2"/>
    <n v="3"/>
    <n v="2"/>
    <n v="4"/>
    <n v="4"/>
    <n v="1"/>
    <n v="3"/>
    <n v="1"/>
    <n v="0"/>
    <n v="1"/>
    <n v="1"/>
    <n v="1"/>
    <n v="1"/>
    <n v="1"/>
    <n v="1"/>
    <n v="3"/>
    <n v="1"/>
    <n v="0"/>
    <n v="1"/>
    <n v="1"/>
    <n v="1"/>
    <n v="1"/>
    <n v="1"/>
    <n v="1"/>
    <n v="0"/>
    <n v="1"/>
    <n v="1"/>
    <n v="1"/>
    <n v="1"/>
    <n v="0"/>
    <n v="1"/>
    <n v="1"/>
    <n v="1"/>
    <n v="1"/>
    <n v="1"/>
    <n v="0"/>
    <n v="1"/>
    <n v="1"/>
    <n v="1"/>
    <n v="0"/>
    <n v="0"/>
    <n v="1"/>
    <n v="1"/>
    <n v="1"/>
    <n v="1"/>
    <n v="1"/>
  </r>
  <r>
    <s v="RIVERA,ZAYDEN"/>
    <s v="ZAYDEN"/>
    <s v="RIVERA"/>
    <n v="238835425"/>
    <n v="9"/>
    <s v="Bermejo"/>
    <b v="0"/>
    <b v="1"/>
    <n v="11"/>
    <n v="4"/>
    <n v="4"/>
    <n v="1"/>
    <x v="8"/>
    <n v="4"/>
    <n v="3"/>
    <n v="1"/>
    <n v="3"/>
    <n v="3"/>
    <n v="2"/>
    <n v="1"/>
    <n v="2"/>
    <n v="4"/>
    <n v="1"/>
    <n v="2"/>
    <n v="3"/>
    <n v="2"/>
    <n v="1"/>
    <n v="2"/>
    <n v="3"/>
    <n v="2"/>
    <n v="4"/>
    <n v="1"/>
    <n v="3"/>
    <n v="2"/>
    <n v="2"/>
    <n v="3"/>
    <n v="1"/>
    <n v="1"/>
    <n v="3"/>
    <n v="3"/>
    <n v="4"/>
    <n v="3"/>
    <n v="1"/>
    <n v="0"/>
    <n v="1"/>
    <n v="1"/>
    <n v="1"/>
    <n v="0"/>
    <n v="1"/>
    <n v="1"/>
    <n v="1"/>
    <n v="0"/>
    <n v="0"/>
    <n v="1"/>
    <n v="0"/>
    <n v="0"/>
    <n v="0"/>
    <n v="1"/>
    <n v="0"/>
    <n v="1"/>
    <n v="1"/>
    <n v="0"/>
    <n v="1"/>
    <n v="0"/>
    <n v="0"/>
    <n v="0"/>
    <n v="0"/>
    <n v="1"/>
    <n v="0"/>
    <n v="0"/>
    <n v="1"/>
    <n v="1"/>
    <n v="1"/>
    <n v="0"/>
    <n v="1"/>
    <n v="0"/>
    <n v="0"/>
    <n v="0"/>
    <n v="0"/>
    <n v="1"/>
  </r>
  <r>
    <s v="ROBINSON,JAISEAN"/>
    <s v="JAISEAN"/>
    <s v="ROBINSON"/>
    <n v="237309976"/>
    <n v="11"/>
    <s v="Dushin"/>
    <b v="0"/>
    <b v="0"/>
    <n v="0"/>
    <n v="0"/>
    <n v="0"/>
    <n v="0"/>
    <x v="2"/>
    <m/>
    <m/>
    <m/>
    <m/>
    <m/>
    <m/>
    <m/>
    <m/>
    <m/>
    <m/>
    <m/>
    <m/>
    <m/>
    <m/>
    <m/>
    <m/>
    <m/>
    <m/>
    <m/>
    <m/>
    <m/>
    <m/>
    <m/>
    <m/>
    <m/>
    <m/>
    <m/>
    <m/>
    <m/>
    <m/>
    <m/>
    <m/>
    <m/>
    <m/>
    <m/>
    <m/>
    <m/>
    <n v="0"/>
    <n v="0"/>
    <n v="0"/>
    <n v="0"/>
    <n v="0"/>
    <n v="0"/>
    <n v="0"/>
    <n v="0"/>
    <n v="0"/>
    <n v="0"/>
    <n v="0"/>
    <n v="0"/>
    <n v="0"/>
    <n v="0"/>
    <n v="0"/>
    <n v="0"/>
    <n v="0"/>
    <n v="0"/>
    <n v="0"/>
    <n v="0"/>
    <n v="0"/>
    <n v="0"/>
    <n v="0"/>
    <n v="0"/>
    <n v="0"/>
    <n v="0"/>
    <n v="0"/>
    <n v="0"/>
    <n v="0"/>
    <n v="0"/>
  </r>
  <r>
    <s v="RODRIGUEZ,CHRISTOPHER"/>
    <s v="CHRISTOPHER"/>
    <s v="RODRIGUEZ"/>
    <n v="232756189"/>
    <n v="11"/>
    <s v="Dushin"/>
    <b v="0"/>
    <b v="1"/>
    <n v="12"/>
    <n v="1"/>
    <n v="0"/>
    <n v="0"/>
    <x v="28"/>
    <n v="4"/>
    <n v="2"/>
    <n v="2"/>
    <n v="4"/>
    <n v="2"/>
    <n v="1"/>
    <n v="3"/>
    <n v="2"/>
    <n v="1"/>
    <n v="1"/>
    <n v="1"/>
    <n v="1"/>
    <n v="3"/>
    <n v="4"/>
    <n v="3"/>
    <n v="4"/>
    <n v="1"/>
    <n v="4"/>
    <n v="4"/>
    <n v="3"/>
    <n v="2"/>
    <n v="3"/>
    <n v="3"/>
    <n v="3"/>
    <n v="2"/>
    <n v="1"/>
    <n v="2"/>
    <n v="2"/>
    <n v="1"/>
    <n v="0"/>
    <n v="0"/>
    <n v="0"/>
    <n v="0"/>
    <n v="0"/>
    <n v="0"/>
    <n v="0"/>
    <n v="0"/>
    <n v="1"/>
    <n v="1"/>
    <n v="0"/>
    <n v="0"/>
    <n v="0"/>
    <n v="0"/>
    <n v="1"/>
    <n v="1"/>
    <n v="0"/>
    <n v="1"/>
    <n v="0"/>
    <n v="0"/>
    <n v="0"/>
    <n v="1"/>
    <n v="1"/>
    <n v="0"/>
    <n v="1"/>
    <n v="1"/>
    <n v="0"/>
    <n v="0"/>
    <n v="1"/>
    <n v="0"/>
    <n v="1"/>
    <n v="1"/>
    <n v="0"/>
    <n v="0"/>
    <n v="0"/>
    <n v="0"/>
    <n v="0"/>
    <n v="0"/>
  </r>
  <r>
    <s v="RODRIGUEZ,DAVID"/>
    <s v="DAVID"/>
    <s v="RODRIGUEZ"/>
    <n v="207705682"/>
    <n v="9"/>
    <m/>
    <b v="0"/>
    <b v="1"/>
    <n v="16"/>
    <n v="3"/>
    <n v="4"/>
    <n v="1"/>
    <x v="1"/>
    <n v="4"/>
    <n v="2"/>
    <n v="3"/>
    <n v="1"/>
    <n v="1"/>
    <n v="2"/>
    <n v="3"/>
    <n v="2"/>
    <n v="3"/>
    <n v="1"/>
    <n v="3"/>
    <n v="4"/>
    <n v="2"/>
    <n v="3"/>
    <n v="4"/>
    <n v="4"/>
    <n v="1"/>
    <n v="4"/>
    <n v="3"/>
    <n v="2"/>
    <n v="4"/>
    <n v="2"/>
    <n v="2"/>
    <n v="3"/>
    <n v="3"/>
    <n v="4"/>
    <n v="4"/>
    <n v="3"/>
    <n v="1"/>
    <n v="2"/>
    <n v="0"/>
    <n v="1"/>
    <n v="0"/>
    <n v="1"/>
    <n v="1"/>
    <n v="1"/>
    <n v="1"/>
    <n v="1"/>
    <n v="1"/>
    <n v="1"/>
    <n v="0"/>
    <n v="1"/>
    <n v="0"/>
    <n v="1"/>
    <n v="1"/>
    <n v="0"/>
    <n v="1"/>
    <n v="0"/>
    <n v="1"/>
    <n v="1"/>
    <n v="0"/>
    <n v="0"/>
    <n v="0"/>
    <n v="1"/>
    <n v="1"/>
    <n v="1"/>
    <n v="0"/>
    <n v="0"/>
    <n v="1"/>
    <n v="0"/>
    <n v="1"/>
    <n v="0"/>
    <n v="1"/>
    <n v="0"/>
    <n v="1"/>
    <n v="0"/>
    <n v="1"/>
  </r>
  <r>
    <s v="RODRIGUEZ,HEILY"/>
    <s v="HEILY"/>
    <s v="RODRIGUEZ"/>
    <n v="240539346"/>
    <n v="9"/>
    <s v="Bermejo"/>
    <b v="0"/>
    <b v="0"/>
    <n v="24"/>
    <n v="3"/>
    <n v="5"/>
    <n v="2"/>
    <x v="39"/>
    <n v="2"/>
    <n v="2"/>
    <n v="3"/>
    <n v="2"/>
    <n v="1"/>
    <n v="4"/>
    <n v="3"/>
    <n v="2"/>
    <n v="2"/>
    <n v="1"/>
    <n v="2"/>
    <n v="4"/>
    <n v="2"/>
    <n v="4"/>
    <n v="3"/>
    <n v="1"/>
    <n v="4"/>
    <n v="4"/>
    <n v="3"/>
    <n v="4"/>
    <n v="2"/>
    <n v="2"/>
    <n v="3"/>
    <n v="3"/>
    <n v="4"/>
    <n v="4"/>
    <n v="1"/>
    <n v="3"/>
    <n v="2"/>
    <n v="1"/>
    <n v="0"/>
    <n v="1"/>
    <n v="1"/>
    <n v="1"/>
    <n v="1"/>
    <n v="1"/>
    <n v="2"/>
    <n v="0"/>
    <n v="1"/>
    <n v="1"/>
    <n v="0"/>
    <n v="1"/>
    <n v="1"/>
    <n v="1"/>
    <n v="1"/>
    <n v="1"/>
    <n v="1"/>
    <n v="1"/>
    <n v="1"/>
    <n v="1"/>
    <n v="1"/>
    <n v="1"/>
    <n v="1"/>
    <n v="0"/>
    <n v="1"/>
    <n v="1"/>
    <n v="1"/>
    <n v="1"/>
    <n v="1"/>
    <n v="1"/>
    <n v="1"/>
    <n v="0"/>
    <n v="1"/>
    <n v="1"/>
    <n v="1"/>
    <n v="1"/>
    <n v="1"/>
  </r>
  <r>
    <s v="RODRIGUEZ,MANUEL"/>
    <s v="MANUEL"/>
    <s v="RODRIGUEZ"/>
    <n v="240534859"/>
    <n v="9"/>
    <s v="Kovelsky"/>
    <b v="0"/>
    <b v="0"/>
    <n v="14"/>
    <n v="2"/>
    <n v="2"/>
    <n v="1"/>
    <x v="16"/>
    <n v="4"/>
    <n v="3"/>
    <n v="1"/>
    <n v="2"/>
    <n v="1"/>
    <n v="3"/>
    <n v="3"/>
    <n v="2"/>
    <n v="3"/>
    <n v="1"/>
    <n v="4"/>
    <n v="3"/>
    <n v="2"/>
    <n v="4"/>
    <n v="2"/>
    <n v="4"/>
    <n v="1"/>
    <n v="4"/>
    <n v="3"/>
    <n v="3"/>
    <n v="2"/>
    <n v="2"/>
    <n v="2"/>
    <n v="4"/>
    <n v="1"/>
    <n v="2"/>
    <n v="4"/>
    <n v="3"/>
    <n v="1"/>
    <n v="1"/>
    <n v="0"/>
    <n v="0"/>
    <n v="0"/>
    <n v="1"/>
    <n v="1"/>
    <n v="0"/>
    <n v="1"/>
    <n v="1"/>
    <n v="0"/>
    <n v="0"/>
    <n v="0"/>
    <n v="1"/>
    <n v="0"/>
    <n v="1"/>
    <n v="1"/>
    <n v="0"/>
    <n v="1"/>
    <n v="0"/>
    <n v="0"/>
    <n v="1"/>
    <n v="1"/>
    <n v="0"/>
    <n v="0"/>
    <n v="1"/>
    <n v="1"/>
    <n v="1"/>
    <n v="0"/>
    <n v="1"/>
    <n v="1"/>
    <n v="0"/>
    <n v="0"/>
    <n v="1"/>
    <n v="0"/>
    <n v="0"/>
    <n v="1"/>
    <n v="0"/>
    <n v="0"/>
  </r>
  <r>
    <s v="ROJAS,AMADOR"/>
    <s v="AMADOR"/>
    <s v="ROJAS"/>
    <n v="240911370"/>
    <n v="9"/>
    <s v="Kovelsky"/>
    <b v="0"/>
    <b v="0"/>
    <n v="17"/>
    <n v="4"/>
    <n v="4"/>
    <n v="1.5"/>
    <x v="35"/>
    <n v="4"/>
    <n v="2"/>
    <n v="3"/>
    <n v="1"/>
    <n v="1"/>
    <n v="3"/>
    <n v="4"/>
    <n v="2"/>
    <n v="2"/>
    <n v="1"/>
    <n v="1"/>
    <n v="4"/>
    <n v="3"/>
    <n v="2"/>
    <n v="1"/>
    <n v="2"/>
    <n v="1"/>
    <n v="4"/>
    <n v="3"/>
    <n v="1"/>
    <n v="2"/>
    <n v="2"/>
    <n v="3"/>
    <n v="3"/>
    <n v="4"/>
    <n v="4"/>
    <n v="1"/>
    <n v="2"/>
    <n v="4"/>
    <n v="0"/>
    <n v="0"/>
    <n v="0"/>
    <n v="1"/>
    <n v="1"/>
    <n v="1"/>
    <n v="1"/>
    <n v="1.5"/>
    <n v="1"/>
    <n v="1"/>
    <n v="1"/>
    <n v="0"/>
    <n v="1"/>
    <n v="0"/>
    <n v="0"/>
    <n v="1"/>
    <n v="1"/>
    <n v="1"/>
    <n v="0"/>
    <n v="1"/>
    <n v="0"/>
    <n v="0"/>
    <n v="0"/>
    <n v="0"/>
    <n v="1"/>
    <n v="1"/>
    <n v="1"/>
    <n v="0"/>
    <n v="1"/>
    <n v="1"/>
    <n v="1"/>
    <n v="1"/>
    <n v="0"/>
    <n v="1"/>
    <n v="1"/>
    <n v="0"/>
    <n v="1"/>
    <n v="1"/>
  </r>
  <r>
    <s v="ROMAIN JR,MERVIN"/>
    <s v="MERVIN"/>
    <s v="ROMAIN JR"/>
    <n v="234904704"/>
    <n v="11"/>
    <s v="Dushin"/>
    <b v="0"/>
    <b v="0"/>
    <n v="22"/>
    <n v="5"/>
    <n v="4"/>
    <n v="1"/>
    <x v="0"/>
    <n v="4"/>
    <n v="1"/>
    <n v="3"/>
    <n v="2"/>
    <n v="1"/>
    <n v="3"/>
    <n v="3"/>
    <n v="2"/>
    <n v="2"/>
    <n v="1"/>
    <n v="2"/>
    <n v="4"/>
    <n v="2"/>
    <n v="4"/>
    <n v="3"/>
    <n v="1"/>
    <n v="1"/>
    <n v="4"/>
    <n v="3"/>
    <n v="4"/>
    <n v="3"/>
    <n v="2"/>
    <n v="3"/>
    <n v="3"/>
    <n v="4"/>
    <n v="4"/>
    <n v="4"/>
    <n v="3"/>
    <n v="2"/>
    <n v="3"/>
    <n v="0"/>
    <n v="1"/>
    <n v="0"/>
    <n v="1"/>
    <n v="1"/>
    <n v="1"/>
    <n v="1"/>
    <n v="1"/>
    <n v="0"/>
    <n v="1"/>
    <n v="0"/>
    <n v="1"/>
    <n v="0"/>
    <n v="1"/>
    <n v="1"/>
    <n v="1"/>
    <n v="1"/>
    <n v="1"/>
    <n v="1"/>
    <n v="1"/>
    <n v="1"/>
    <n v="1"/>
    <n v="1"/>
    <n v="1"/>
    <n v="1"/>
    <n v="1"/>
    <n v="1"/>
    <n v="0"/>
    <n v="1"/>
    <n v="1"/>
    <n v="1"/>
    <n v="0"/>
    <n v="1"/>
    <n v="0"/>
    <n v="1"/>
    <n v="1"/>
    <n v="1"/>
  </r>
  <r>
    <s v="ROMERO MELENDEZ,CRISTAL"/>
    <s v="CRISTAL"/>
    <s v="ROMERO MELENDEZ"/>
    <n v="238559447"/>
    <n v="9"/>
    <s v="Bermejo"/>
    <b v="0"/>
    <b v="0"/>
    <n v="19"/>
    <n v="4"/>
    <n v="6"/>
    <n v="2"/>
    <x v="13"/>
    <n v="4"/>
    <n v="2"/>
    <n v="3"/>
    <n v="3"/>
    <n v="1"/>
    <n v="1"/>
    <n v="3"/>
    <n v="1"/>
    <n v="3"/>
    <n v="1"/>
    <n v="2"/>
    <n v="3"/>
    <n v="2"/>
    <n v="4"/>
    <n v="1"/>
    <n v="4"/>
    <n v="4"/>
    <n v="3"/>
    <n v="3"/>
    <n v="4"/>
    <n v="2"/>
    <n v="2"/>
    <n v="3"/>
    <n v="2"/>
    <n v="1"/>
    <n v="4"/>
    <n v="1"/>
    <n v="3"/>
    <n v="2"/>
    <n v="2"/>
    <n v="1"/>
    <n v="1"/>
    <n v="1"/>
    <n v="1"/>
    <n v="1"/>
    <n v="1"/>
    <n v="2"/>
    <n v="1"/>
    <n v="1"/>
    <n v="1"/>
    <n v="1"/>
    <n v="1"/>
    <n v="0"/>
    <n v="1"/>
    <n v="0"/>
    <n v="0"/>
    <n v="1"/>
    <n v="1"/>
    <n v="0"/>
    <n v="1"/>
    <n v="1"/>
    <n v="0"/>
    <n v="0"/>
    <n v="0"/>
    <n v="0"/>
    <n v="1"/>
    <n v="1"/>
    <n v="1"/>
    <n v="1"/>
    <n v="1"/>
    <n v="0"/>
    <n v="1"/>
    <n v="1"/>
    <n v="1"/>
    <n v="1"/>
    <n v="1"/>
    <n v="1"/>
  </r>
  <r>
    <s v="ROSALES SAYAS,ELIAN"/>
    <s v="ELIAN"/>
    <s v="ROSALES SAYAS"/>
    <n v="260454152"/>
    <n v="11"/>
    <s v="Dushin"/>
    <b v="1"/>
    <b v="0"/>
    <n v="10"/>
    <n v="4"/>
    <n v="4"/>
    <n v="0.5"/>
    <x v="42"/>
    <n v="1"/>
    <n v="2"/>
    <n v="3"/>
    <n v="1"/>
    <n v="3"/>
    <n v="2"/>
    <n v="3"/>
    <n v="1"/>
    <n v="3"/>
    <n v="1"/>
    <n v="1"/>
    <n v="3"/>
    <n v="2"/>
    <n v="3"/>
    <n v="4"/>
    <n v="4"/>
    <n v="1"/>
    <n v="3"/>
    <n v="2"/>
    <n v="3"/>
    <n v="1"/>
    <n v="2"/>
    <n v="3"/>
    <n v="2"/>
    <n v="2"/>
    <n v="4"/>
    <n v="2"/>
    <n v="3"/>
    <n v="3"/>
    <n v="1"/>
    <n v="1"/>
    <n v="0"/>
    <n v="1"/>
    <n v="1"/>
    <n v="1"/>
    <n v="0"/>
    <n v="0.5"/>
    <n v="0"/>
    <n v="1"/>
    <n v="1"/>
    <n v="0"/>
    <n v="0"/>
    <n v="0"/>
    <n v="1"/>
    <n v="0"/>
    <n v="0"/>
    <n v="1"/>
    <n v="0"/>
    <n v="0"/>
    <n v="1"/>
    <n v="0"/>
    <n v="0"/>
    <n v="0"/>
    <n v="1"/>
    <n v="0"/>
    <n v="0"/>
    <n v="0"/>
    <n v="0"/>
    <n v="1"/>
    <n v="1"/>
    <n v="0"/>
    <n v="0"/>
    <n v="1"/>
    <n v="0"/>
    <n v="1"/>
    <n v="0"/>
    <n v="0"/>
  </r>
  <r>
    <s v="ROSARIO,CHRISTIAN"/>
    <s v="CHRISTIAN"/>
    <s v="ROSARIO"/>
    <n v="207688698"/>
    <n v="9"/>
    <s v="Kovelsky"/>
    <b v="0"/>
    <b v="0"/>
    <n v="0"/>
    <n v="0"/>
    <n v="0"/>
    <n v="0"/>
    <x v="2"/>
    <m/>
    <m/>
    <m/>
    <m/>
    <m/>
    <m/>
    <m/>
    <m/>
    <m/>
    <m/>
    <m/>
    <m/>
    <m/>
    <m/>
    <m/>
    <m/>
    <m/>
    <m/>
    <m/>
    <m/>
    <m/>
    <m/>
    <m/>
    <m/>
    <m/>
    <m/>
    <m/>
    <m/>
    <m/>
    <m/>
    <m/>
    <m/>
    <m/>
    <m/>
    <m/>
    <m/>
    <m/>
    <n v="0"/>
    <n v="0"/>
    <n v="0"/>
    <n v="0"/>
    <n v="0"/>
    <n v="0"/>
    <n v="0"/>
    <n v="0"/>
    <n v="0"/>
    <n v="0"/>
    <n v="0"/>
    <n v="0"/>
    <n v="0"/>
    <n v="0"/>
    <n v="0"/>
    <n v="0"/>
    <n v="0"/>
    <n v="0"/>
    <n v="0"/>
    <n v="0"/>
    <n v="0"/>
    <n v="0"/>
    <n v="0"/>
    <n v="0"/>
    <n v="0"/>
    <n v="0"/>
    <n v="0"/>
    <n v="0"/>
    <n v="0"/>
    <n v="0"/>
  </r>
  <r>
    <s v="RUBIN,MADISON"/>
    <s v="MADISON"/>
    <s v="RUBIN"/>
    <n v="237162524"/>
    <n v="9"/>
    <s v="Kovelsky"/>
    <b v="0"/>
    <b v="0"/>
    <n v="17"/>
    <n v="3"/>
    <n v="4"/>
    <n v="2"/>
    <x v="5"/>
    <n v="4"/>
    <n v="2"/>
    <n v="3"/>
    <n v="1"/>
    <n v="2"/>
    <n v="3"/>
    <n v="3"/>
    <n v="1"/>
    <n v="3"/>
    <n v="2"/>
    <n v="2"/>
    <n v="3"/>
    <n v="2"/>
    <n v="4"/>
    <n v="4"/>
    <n v="1"/>
    <n v="1"/>
    <n v="4"/>
    <n v="3"/>
    <n v="4"/>
    <n v="2"/>
    <n v="2"/>
    <n v="3"/>
    <n v="2"/>
    <n v="4"/>
    <n v="4"/>
    <n v="4"/>
    <n v="3"/>
    <n v="2"/>
    <n v="1"/>
    <n v="0"/>
    <n v="1"/>
    <n v="0"/>
    <n v="1"/>
    <n v="1"/>
    <n v="1"/>
    <n v="2"/>
    <n v="1"/>
    <n v="1"/>
    <n v="1"/>
    <n v="0"/>
    <n v="0"/>
    <n v="0"/>
    <n v="1"/>
    <n v="0"/>
    <n v="0"/>
    <n v="0"/>
    <n v="1"/>
    <n v="0"/>
    <n v="1"/>
    <n v="1"/>
    <n v="0"/>
    <n v="1"/>
    <n v="1"/>
    <n v="1"/>
    <n v="1"/>
    <n v="1"/>
    <n v="1"/>
    <n v="1"/>
    <n v="1"/>
    <n v="0"/>
    <n v="0"/>
    <n v="1"/>
    <n v="0"/>
    <n v="1"/>
    <n v="1"/>
    <n v="1"/>
  </r>
  <r>
    <s v="RUSSELL,TIMYA"/>
    <s v="TIMYA"/>
    <s v="RUSSELL"/>
    <n v="239577919"/>
    <n v="9"/>
    <s v="Bermejo"/>
    <b v="0"/>
    <b v="0"/>
    <n v="16"/>
    <n v="4"/>
    <n v="6"/>
    <n v="1"/>
    <x v="35"/>
    <n v="4"/>
    <n v="2"/>
    <n v="3"/>
    <n v="3"/>
    <n v="1"/>
    <n v="4"/>
    <n v="4"/>
    <n v="2"/>
    <n v="3"/>
    <n v="1"/>
    <n v="2"/>
    <n v="3"/>
    <n v="2"/>
    <n v="4"/>
    <n v="1"/>
    <n v="4"/>
    <n v="1"/>
    <n v="3"/>
    <n v="2"/>
    <n v="3"/>
    <n v="2"/>
    <n v="1"/>
    <n v="3"/>
    <n v="4"/>
    <n v="1"/>
    <n v="2"/>
    <n v="1"/>
    <n v="2"/>
    <n v="2"/>
    <n v="2"/>
    <n v="1"/>
    <n v="1"/>
    <n v="1"/>
    <n v="1"/>
    <n v="1"/>
    <n v="1"/>
    <n v="1"/>
    <n v="1"/>
    <n v="1"/>
    <n v="1"/>
    <n v="1"/>
    <n v="1"/>
    <n v="1"/>
    <n v="0"/>
    <n v="1"/>
    <n v="0"/>
    <n v="1"/>
    <n v="1"/>
    <n v="0"/>
    <n v="1"/>
    <n v="1"/>
    <n v="0"/>
    <n v="0"/>
    <n v="1"/>
    <n v="0"/>
    <n v="0"/>
    <n v="0"/>
    <n v="1"/>
    <n v="0"/>
    <n v="1"/>
    <n v="0"/>
    <n v="1"/>
    <n v="0"/>
    <n v="1"/>
    <n v="0"/>
    <n v="1"/>
    <n v="1"/>
  </r>
  <r>
    <s v="SAEZ,ISAIAH"/>
    <s v="ISAIAH"/>
    <s v="SAEZ"/>
    <n v="228969002"/>
    <n v="11"/>
    <s v="Dushin"/>
    <b v="0"/>
    <b v="1"/>
    <n v="8"/>
    <n v="2"/>
    <n v="4"/>
    <n v="1"/>
    <x v="38"/>
    <n v="3"/>
    <n v="1"/>
    <n v="3"/>
    <n v="1"/>
    <n v="4"/>
    <n v="1"/>
    <n v="4"/>
    <n v="2"/>
    <n v="2"/>
    <n v="3"/>
    <n v="4"/>
    <n v="4"/>
    <n v="1"/>
    <n v="4"/>
    <n v="4"/>
    <n v="3"/>
    <n v="1"/>
    <n v="3"/>
    <n v="3"/>
    <n v="2"/>
    <n v="4"/>
    <n v="1"/>
    <n v="2"/>
    <n v="2"/>
    <n v="4"/>
    <n v="4"/>
    <n v="2"/>
    <n v="4"/>
    <n v="1"/>
    <n v="1"/>
    <n v="1"/>
    <n v="1"/>
    <n v="1"/>
    <n v="0"/>
    <n v="0"/>
    <n v="1"/>
    <n v="1"/>
    <n v="0"/>
    <n v="0"/>
    <n v="1"/>
    <n v="0"/>
    <n v="0"/>
    <n v="0"/>
    <n v="0"/>
    <n v="1"/>
    <n v="1"/>
    <n v="0"/>
    <n v="0"/>
    <n v="1"/>
    <n v="0"/>
    <n v="1"/>
    <n v="0"/>
    <n v="0"/>
    <n v="1"/>
    <n v="0"/>
    <n v="1"/>
    <n v="0"/>
    <n v="0"/>
    <n v="0"/>
    <n v="0"/>
    <n v="0"/>
    <n v="0"/>
    <n v="1"/>
    <n v="0"/>
    <n v="0"/>
    <n v="0"/>
    <n v="0"/>
  </r>
  <r>
    <s v="SALAZAR OCHOA,ANDRES"/>
    <s v="ANDRES"/>
    <s v="SALAZAR OCHOA"/>
    <n v="257167197"/>
    <n v="9"/>
    <s v="Kovelsky"/>
    <b v="0"/>
    <b v="0"/>
    <n v="13"/>
    <n v="3"/>
    <n v="6"/>
    <n v="1"/>
    <x v="10"/>
    <n v="4"/>
    <n v="1"/>
    <n v="3"/>
    <n v="1"/>
    <n v="3"/>
    <n v="3"/>
    <n v="2"/>
    <n v="2"/>
    <n v="2"/>
    <n v="1"/>
    <n v="1"/>
    <n v="4"/>
    <n v="2"/>
    <n v="4"/>
    <n v="1"/>
    <n v="1"/>
    <n v="1"/>
    <n v="3"/>
    <n v="3"/>
    <n v="3"/>
    <n v="4"/>
    <n v="1"/>
    <n v="1"/>
    <n v="2"/>
    <n v="4"/>
    <n v="4"/>
    <n v="2"/>
    <n v="3"/>
    <n v="2"/>
    <n v="1"/>
    <n v="1"/>
    <n v="1"/>
    <n v="1"/>
    <n v="1"/>
    <n v="1"/>
    <n v="1"/>
    <n v="1"/>
    <n v="1"/>
    <n v="0"/>
    <n v="1"/>
    <n v="0"/>
    <n v="0"/>
    <n v="0"/>
    <n v="0"/>
    <n v="1"/>
    <n v="1"/>
    <n v="1"/>
    <n v="0"/>
    <n v="1"/>
    <n v="1"/>
    <n v="1"/>
    <n v="0"/>
    <n v="1"/>
    <n v="1"/>
    <n v="0"/>
    <n v="1"/>
    <n v="0"/>
    <n v="0"/>
    <n v="0"/>
    <n v="0"/>
    <n v="0"/>
    <n v="0"/>
    <n v="1"/>
    <n v="0"/>
    <n v="1"/>
    <n v="0"/>
    <n v="0"/>
  </r>
  <r>
    <s v="SALAZAR,EDDYYANDEL"/>
    <s v="EDDYYANDEL"/>
    <s v="SALAZAR"/>
    <n v="239162043"/>
    <n v="9"/>
    <s v="Kovelsky"/>
    <b v="0"/>
    <b v="0"/>
    <n v="18"/>
    <n v="0"/>
    <n v="2"/>
    <n v="0"/>
    <x v="36"/>
    <n v="4"/>
    <n v="4"/>
    <n v="2"/>
    <n v="1"/>
    <n v="1"/>
    <n v="2"/>
    <n v="3"/>
    <n v="2"/>
    <n v="3"/>
    <n v="4"/>
    <n v="2"/>
    <n v="3"/>
    <n v="2"/>
    <n v="2"/>
    <n v="3"/>
    <n v="1"/>
    <n v="1"/>
    <n v="4"/>
    <n v="3"/>
    <n v="4"/>
    <n v="2"/>
    <n v="1"/>
    <n v="3"/>
    <n v="3"/>
    <n v="3"/>
    <n v="4"/>
    <n v="1"/>
    <n v="3"/>
    <n v="0"/>
    <n v="0"/>
    <n v="0"/>
    <n v="1"/>
    <n v="0"/>
    <n v="1"/>
    <n v="0"/>
    <n v="0"/>
    <n v="0"/>
    <n v="1"/>
    <n v="0"/>
    <n v="0"/>
    <n v="0"/>
    <n v="1"/>
    <n v="0"/>
    <n v="1"/>
    <n v="1"/>
    <n v="0"/>
    <n v="0"/>
    <n v="1"/>
    <n v="0"/>
    <n v="1"/>
    <n v="0"/>
    <n v="1"/>
    <n v="1"/>
    <n v="1"/>
    <n v="1"/>
    <n v="1"/>
    <n v="1"/>
    <n v="1"/>
    <n v="0"/>
    <n v="1"/>
    <n v="1"/>
    <n v="0"/>
    <n v="1"/>
    <n v="1"/>
    <n v="1"/>
    <n v="0"/>
    <n v="0"/>
  </r>
  <r>
    <s v="SALAZAR,NAOMI"/>
    <s v="NAOMI"/>
    <s v="SALAZAR"/>
    <n v="235181724"/>
    <n v="11"/>
    <s v="Dushin"/>
    <b v="0"/>
    <b v="0"/>
    <n v="23"/>
    <n v="6"/>
    <n v="5"/>
    <n v="3.5"/>
    <x v="31"/>
    <n v="4"/>
    <n v="2"/>
    <n v="3"/>
    <n v="3"/>
    <n v="1"/>
    <n v="3"/>
    <n v="2"/>
    <n v="3"/>
    <n v="2"/>
    <n v="1"/>
    <n v="2"/>
    <n v="4"/>
    <n v="2"/>
    <n v="4"/>
    <n v="3"/>
    <n v="1"/>
    <n v="1"/>
    <n v="4"/>
    <n v="1"/>
    <n v="4"/>
    <n v="2"/>
    <n v="2"/>
    <n v="3"/>
    <n v="3"/>
    <n v="1"/>
    <n v="4"/>
    <n v="1"/>
    <n v="2"/>
    <n v="3"/>
    <n v="3"/>
    <n v="1"/>
    <n v="0"/>
    <n v="1"/>
    <n v="1"/>
    <n v="1"/>
    <n v="1"/>
    <n v="3.5"/>
    <n v="1"/>
    <n v="1"/>
    <n v="1"/>
    <n v="1"/>
    <n v="1"/>
    <n v="0"/>
    <n v="0"/>
    <n v="0"/>
    <n v="1"/>
    <n v="1"/>
    <n v="1"/>
    <n v="1"/>
    <n v="1"/>
    <n v="1"/>
    <n v="1"/>
    <n v="1"/>
    <n v="1"/>
    <n v="1"/>
    <n v="0"/>
    <n v="1"/>
    <n v="1"/>
    <n v="1"/>
    <n v="1"/>
    <n v="1"/>
    <n v="1"/>
    <n v="1"/>
    <n v="1"/>
    <n v="0"/>
    <n v="1"/>
    <n v="1"/>
  </r>
  <r>
    <s v="SALGADO,JORDAN"/>
    <s v="JORDAN"/>
    <s v="SALGADO"/>
    <n v="227155744"/>
    <n v="11"/>
    <s v="Kovelsky"/>
    <b v="0"/>
    <b v="0"/>
    <n v="14"/>
    <n v="0"/>
    <n v="4"/>
    <n v="3.5"/>
    <x v="29"/>
    <n v="4"/>
    <n v="2"/>
    <n v="4"/>
    <n v="3"/>
    <n v="2"/>
    <n v="4"/>
    <n v="1"/>
    <n v="3"/>
    <n v="2"/>
    <n v="1"/>
    <n v="3"/>
    <n v="4"/>
    <n v="2"/>
    <n v="2"/>
    <n v="4"/>
    <n v="1"/>
    <n v="1"/>
    <n v="3"/>
    <n v="2"/>
    <n v="2"/>
    <n v="1"/>
    <n v="2"/>
    <n v="1"/>
    <n v="3"/>
    <n v="2"/>
    <n v="4"/>
    <n v="4"/>
    <n v="3"/>
    <n v="0"/>
    <n v="0"/>
    <n v="0"/>
    <n v="1"/>
    <n v="1"/>
    <n v="1"/>
    <n v="1"/>
    <n v="0"/>
    <n v="3.5"/>
    <n v="1"/>
    <n v="1"/>
    <n v="0"/>
    <n v="1"/>
    <n v="0"/>
    <n v="1"/>
    <n v="0"/>
    <n v="0"/>
    <n v="1"/>
    <n v="1"/>
    <n v="0"/>
    <n v="1"/>
    <n v="1"/>
    <n v="0"/>
    <n v="0"/>
    <n v="1"/>
    <n v="1"/>
    <n v="0"/>
    <n v="0"/>
    <n v="0"/>
    <n v="0"/>
    <n v="1"/>
    <n v="0"/>
    <n v="1"/>
    <n v="0"/>
    <n v="1"/>
    <n v="0"/>
    <n v="1"/>
    <n v="1"/>
    <n v="1"/>
  </r>
  <r>
    <s v="SAMUELS JR,VANCE"/>
    <s v="VANCE"/>
    <s v="SAMUELS JR"/>
    <n v="233318955"/>
    <n v="9"/>
    <s v="Kovelsky"/>
    <b v="0"/>
    <b v="0"/>
    <n v="10"/>
    <n v="0"/>
    <n v="4"/>
    <n v="0"/>
    <x v="3"/>
    <n v="4"/>
    <n v="2"/>
    <n v="3"/>
    <n v="3"/>
    <n v="2"/>
    <n v="1"/>
    <n v="2"/>
    <n v="3"/>
    <n v="2"/>
    <n v="1"/>
    <n v="2"/>
    <n v="3"/>
    <n v="3"/>
    <n v="3"/>
    <n v="2"/>
    <n v="4"/>
    <n v="3"/>
    <n v="2"/>
    <n v="1"/>
    <n v="3"/>
    <n v="1"/>
    <n v="1"/>
    <n v="4"/>
    <n v="2"/>
    <n v="3"/>
    <n v="4"/>
    <n v="1"/>
    <n v="3"/>
    <n v="0"/>
    <n v="0"/>
    <n v="0"/>
    <n v="0"/>
    <n v="1"/>
    <n v="1"/>
    <n v="1"/>
    <n v="1"/>
    <n v="0"/>
    <n v="1"/>
    <n v="1"/>
    <n v="1"/>
    <n v="1"/>
    <n v="0"/>
    <n v="0"/>
    <n v="0"/>
    <n v="0"/>
    <n v="1"/>
    <n v="1"/>
    <n v="1"/>
    <n v="0"/>
    <n v="0"/>
    <n v="0"/>
    <n v="0"/>
    <n v="0"/>
    <n v="0"/>
    <n v="0"/>
    <n v="0"/>
    <n v="0"/>
    <n v="0"/>
    <n v="0"/>
    <n v="0"/>
    <n v="0"/>
    <n v="0"/>
    <n v="1"/>
    <n v="1"/>
    <n v="1"/>
    <n v="0"/>
    <n v="0"/>
  </r>
  <r>
    <s v="SANCHEZ VALENCI,CHARLOTTE"/>
    <s v="CHARLOTTE"/>
    <s v="SANCHEZ VALENCI"/>
    <n v="224572370"/>
    <n v="11"/>
    <s v="Dushin"/>
    <b v="0"/>
    <b v="1"/>
    <n v="9"/>
    <n v="4"/>
    <n v="3"/>
    <n v="2"/>
    <x v="8"/>
    <n v="4"/>
    <n v="1"/>
    <n v="3"/>
    <n v="2"/>
    <n v="1"/>
    <n v="2"/>
    <n v="4"/>
    <n v="3"/>
    <n v="1"/>
    <n v="2"/>
    <n v="1"/>
    <n v="4"/>
    <n v="2"/>
    <n v="3"/>
    <n v="1"/>
    <n v="4"/>
    <n v="3"/>
    <n v="4"/>
    <n v="1"/>
    <n v="3"/>
    <n v="2"/>
    <n v="4"/>
    <n v="1"/>
    <n v="4"/>
    <n v="3"/>
    <n v="2"/>
    <n v="1"/>
    <n v="3"/>
    <n v="3"/>
    <n v="1"/>
    <n v="0"/>
    <n v="0"/>
    <n v="1"/>
    <n v="1"/>
    <n v="0"/>
    <n v="1"/>
    <n v="2"/>
    <n v="1"/>
    <n v="0"/>
    <n v="1"/>
    <n v="0"/>
    <n v="1"/>
    <n v="0"/>
    <n v="0"/>
    <n v="0"/>
    <n v="0"/>
    <n v="0"/>
    <n v="0"/>
    <n v="1"/>
    <n v="1"/>
    <n v="0"/>
    <n v="0"/>
    <n v="0"/>
    <n v="0"/>
    <n v="1"/>
    <n v="0"/>
    <n v="0"/>
    <n v="1"/>
    <n v="0"/>
    <n v="0"/>
    <n v="0"/>
    <n v="0"/>
    <n v="0"/>
    <n v="1"/>
    <n v="1"/>
    <n v="0"/>
    <n v="1"/>
  </r>
  <r>
    <s v="SANCHEZ,WILBERTO"/>
    <s v="WILBERTO"/>
    <s v="SANCHEZ"/>
    <n v="218942720"/>
    <n v="11"/>
    <s v="Dushin"/>
    <b v="0"/>
    <b v="1"/>
    <n v="11"/>
    <n v="5"/>
    <n v="1"/>
    <n v="3"/>
    <x v="1"/>
    <n v="4"/>
    <n v="2"/>
    <n v="3"/>
    <n v="3"/>
    <n v="1"/>
    <n v="2"/>
    <n v="4"/>
    <n v="1"/>
    <n v="2"/>
    <n v="2"/>
    <n v="3"/>
    <n v="4"/>
    <n v="3"/>
    <n v="3"/>
    <n v="4"/>
    <n v="2"/>
    <n v="2"/>
    <n v="2"/>
    <n v="4"/>
    <n v="4"/>
    <n v="1"/>
    <n v="1"/>
    <n v="4"/>
    <n v="3"/>
    <n v="1"/>
    <n v="1"/>
    <n v="2"/>
    <n v="3"/>
    <n v="3"/>
    <n v="2"/>
    <n v="1"/>
    <n v="0"/>
    <n v="0"/>
    <n v="0"/>
    <n v="0"/>
    <n v="0"/>
    <n v="3"/>
    <n v="1"/>
    <n v="1"/>
    <n v="1"/>
    <n v="1"/>
    <n v="1"/>
    <n v="0"/>
    <n v="0"/>
    <n v="0"/>
    <n v="1"/>
    <n v="0"/>
    <n v="0"/>
    <n v="1"/>
    <n v="0"/>
    <n v="0"/>
    <n v="0"/>
    <n v="0"/>
    <n v="0"/>
    <n v="0"/>
    <n v="0"/>
    <n v="1"/>
    <n v="0"/>
    <n v="0"/>
    <n v="0"/>
    <n v="1"/>
    <n v="1"/>
    <n v="0"/>
    <n v="0"/>
    <n v="1"/>
    <n v="0"/>
    <n v="1"/>
  </r>
  <r>
    <s v="SANTANA,SKYLAH"/>
    <s v="SKYLAH"/>
    <s v="SANTANA"/>
    <n v="204977326"/>
    <n v="11"/>
    <s v="Dushin"/>
    <b v="0"/>
    <b v="0"/>
    <n v="21"/>
    <n v="9"/>
    <n v="4"/>
    <n v="3.5"/>
    <x v="31"/>
    <n v="4"/>
    <n v="2"/>
    <n v="3"/>
    <n v="3"/>
    <n v="2"/>
    <n v="4"/>
    <n v="3"/>
    <n v="2"/>
    <n v="3"/>
    <n v="1"/>
    <n v="2"/>
    <n v="4"/>
    <n v="2"/>
    <n v="1"/>
    <n v="2"/>
    <n v="4"/>
    <n v="1"/>
    <n v="4"/>
    <n v="3"/>
    <n v="1"/>
    <n v="1"/>
    <n v="2"/>
    <n v="3"/>
    <n v="3"/>
    <n v="1"/>
    <n v="4"/>
    <n v="1"/>
    <n v="3"/>
    <n v="5"/>
    <n v="4"/>
    <n v="1"/>
    <n v="0"/>
    <n v="1"/>
    <n v="1"/>
    <n v="0"/>
    <n v="1"/>
    <n v="3.5"/>
    <n v="1"/>
    <n v="1"/>
    <n v="1"/>
    <n v="1"/>
    <n v="0"/>
    <n v="1"/>
    <n v="1"/>
    <n v="1"/>
    <n v="0"/>
    <n v="1"/>
    <n v="1"/>
    <n v="1"/>
    <n v="1"/>
    <n v="0"/>
    <n v="0"/>
    <n v="0"/>
    <n v="1"/>
    <n v="1"/>
    <n v="1"/>
    <n v="0"/>
    <n v="0"/>
    <n v="1"/>
    <n v="1"/>
    <n v="1"/>
    <n v="1"/>
    <n v="1"/>
    <n v="1"/>
    <n v="1"/>
    <n v="1"/>
    <n v="1"/>
  </r>
  <r>
    <s v="SANTIA,NEKEL"/>
    <s v="NEKEL"/>
    <s v="SANTIA"/>
    <n v="220063036"/>
    <n v="11"/>
    <s v="Kovelsky"/>
    <b v="0"/>
    <b v="0"/>
    <n v="14"/>
    <n v="4"/>
    <n v="6"/>
    <n v="3.5"/>
    <x v="13"/>
    <n v="4"/>
    <n v="4"/>
    <n v="4"/>
    <n v="1"/>
    <n v="2"/>
    <n v="3"/>
    <n v="3"/>
    <n v="2"/>
    <n v="3"/>
    <n v="1"/>
    <n v="2"/>
    <n v="3"/>
    <n v="2"/>
    <n v="4"/>
    <n v="2"/>
    <n v="4"/>
    <n v="3"/>
    <n v="4"/>
    <n v="3"/>
    <n v="4"/>
    <n v="1"/>
    <n v="2"/>
    <n v="4"/>
    <n v="2"/>
    <n v="3"/>
    <n v="4"/>
    <n v="1"/>
    <n v="3"/>
    <n v="2"/>
    <n v="2"/>
    <n v="1"/>
    <n v="1"/>
    <n v="1"/>
    <n v="1"/>
    <n v="1"/>
    <n v="1"/>
    <n v="3.5"/>
    <n v="1"/>
    <n v="0"/>
    <n v="0"/>
    <n v="0"/>
    <n v="0"/>
    <n v="0"/>
    <n v="1"/>
    <n v="1"/>
    <n v="0"/>
    <n v="1"/>
    <n v="1"/>
    <n v="0"/>
    <n v="1"/>
    <n v="1"/>
    <n v="0"/>
    <n v="0"/>
    <n v="0"/>
    <n v="1"/>
    <n v="1"/>
    <n v="1"/>
    <n v="0"/>
    <n v="1"/>
    <n v="0"/>
    <n v="0"/>
    <n v="0"/>
    <n v="1"/>
    <n v="1"/>
    <n v="1"/>
    <n v="1"/>
    <n v="1"/>
  </r>
  <r>
    <s v="SANTOS,MICHAEL"/>
    <s v="MICHAEL"/>
    <s v="SANTOS"/>
    <n v="235547031"/>
    <n v="11"/>
    <s v="Kovelsky"/>
    <b v="0"/>
    <b v="0"/>
    <n v="16"/>
    <n v="8"/>
    <n v="6"/>
    <n v="3.5"/>
    <x v="33"/>
    <n v="4"/>
    <n v="2"/>
    <n v="1"/>
    <n v="4"/>
    <n v="1"/>
    <n v="4"/>
    <n v="3"/>
    <n v="2"/>
    <n v="2"/>
    <n v="1"/>
    <n v="3"/>
    <n v="3"/>
    <n v="2"/>
    <n v="4"/>
    <n v="4"/>
    <n v="4"/>
    <n v="3"/>
    <n v="4"/>
    <n v="3"/>
    <n v="1"/>
    <n v="2"/>
    <n v="2"/>
    <n v="4"/>
    <n v="1"/>
    <n v="3"/>
    <n v="4"/>
    <n v="4"/>
    <n v="3"/>
    <n v="4"/>
    <n v="4"/>
    <n v="1"/>
    <n v="1"/>
    <n v="1"/>
    <n v="1"/>
    <n v="1"/>
    <n v="1"/>
    <n v="3.5"/>
    <n v="1"/>
    <n v="1"/>
    <n v="0"/>
    <n v="0"/>
    <n v="1"/>
    <n v="1"/>
    <n v="1"/>
    <n v="1"/>
    <n v="1"/>
    <n v="1"/>
    <n v="0"/>
    <n v="0"/>
    <n v="1"/>
    <n v="1"/>
    <n v="0"/>
    <n v="0"/>
    <n v="0"/>
    <n v="1"/>
    <n v="1"/>
    <n v="0"/>
    <n v="1"/>
    <n v="1"/>
    <n v="0"/>
    <n v="0"/>
    <n v="0"/>
    <n v="1"/>
    <n v="0"/>
    <n v="1"/>
    <n v="1"/>
    <n v="1"/>
  </r>
  <r>
    <s v="SATCHELL,LEBRON"/>
    <s v="LEBRON"/>
    <s v="SATCHELL"/>
    <n v="236859252"/>
    <n v="9"/>
    <s v="Kovelsky"/>
    <b v="0"/>
    <b v="0"/>
    <n v="12"/>
    <n v="2"/>
    <n v="3"/>
    <n v="0"/>
    <x v="38"/>
    <n v="1"/>
    <n v="3"/>
    <n v="3"/>
    <n v="4"/>
    <n v="1"/>
    <n v="3"/>
    <n v="3"/>
    <n v="2"/>
    <n v="2"/>
    <n v="2"/>
    <n v="2"/>
    <n v="3"/>
    <n v="1"/>
    <n v="4"/>
    <n v="1"/>
    <n v="2"/>
    <n v="1"/>
    <n v="4"/>
    <n v="2"/>
    <n v="3"/>
    <n v="4"/>
    <n v="2"/>
    <n v="4"/>
    <n v="2"/>
    <n v="4"/>
    <n v="4"/>
    <n v="4"/>
    <n v="3"/>
    <n v="2"/>
    <n v="0"/>
    <n v="0"/>
    <n v="1"/>
    <n v="0"/>
    <n v="0"/>
    <n v="1"/>
    <n v="1"/>
    <n v="0"/>
    <n v="0"/>
    <n v="0"/>
    <n v="1"/>
    <n v="0"/>
    <n v="1"/>
    <n v="0"/>
    <n v="1"/>
    <n v="1"/>
    <n v="1"/>
    <n v="0"/>
    <n v="1"/>
    <n v="0"/>
    <n v="0"/>
    <n v="1"/>
    <n v="0"/>
    <n v="0"/>
    <n v="1"/>
    <n v="1"/>
    <n v="0"/>
    <n v="0"/>
    <n v="0"/>
    <n v="1"/>
    <n v="0"/>
    <n v="0"/>
    <n v="0"/>
    <n v="1"/>
    <n v="0"/>
    <n v="1"/>
    <n v="0"/>
    <n v="0"/>
  </r>
  <r>
    <s v="SAYAS WILLIAMS,KENDAL"/>
    <s v="KENDAL"/>
    <s v="SAYAS WILLIAMS"/>
    <n v="260454145"/>
    <n v="11"/>
    <s v="Dushin"/>
    <b v="1"/>
    <b v="0"/>
    <n v="0"/>
    <n v="0"/>
    <n v="0"/>
    <n v="0"/>
    <x v="2"/>
    <m/>
    <m/>
    <m/>
    <m/>
    <m/>
    <m/>
    <m/>
    <m/>
    <m/>
    <m/>
    <m/>
    <m/>
    <m/>
    <m/>
    <m/>
    <m/>
    <m/>
    <m/>
    <m/>
    <m/>
    <m/>
    <m/>
    <m/>
    <m/>
    <m/>
    <m/>
    <m/>
    <m/>
    <m/>
    <m/>
    <m/>
    <m/>
    <m/>
    <m/>
    <m/>
    <m/>
    <m/>
    <n v="0"/>
    <n v="0"/>
    <n v="0"/>
    <n v="0"/>
    <n v="0"/>
    <n v="0"/>
    <n v="0"/>
    <n v="0"/>
    <n v="0"/>
    <n v="0"/>
    <n v="0"/>
    <n v="0"/>
    <n v="0"/>
    <n v="0"/>
    <n v="0"/>
    <n v="0"/>
    <n v="0"/>
    <n v="0"/>
    <n v="0"/>
    <n v="0"/>
    <n v="0"/>
    <n v="0"/>
    <n v="0"/>
    <n v="0"/>
    <n v="0"/>
    <n v="0"/>
    <n v="0"/>
    <n v="0"/>
    <n v="0"/>
    <n v="0"/>
  </r>
  <r>
    <s v="SCOTT,XAVI"/>
    <s v="XAVI"/>
    <s v="SCOTT"/>
    <n v="240431783"/>
    <n v="9"/>
    <s v="Bermejo"/>
    <b v="0"/>
    <b v="0"/>
    <n v="19"/>
    <n v="3"/>
    <n v="6"/>
    <n v="2.5"/>
    <x v="26"/>
    <n v="4"/>
    <n v="2"/>
    <n v="1"/>
    <n v="3"/>
    <n v="1"/>
    <n v="3"/>
    <n v="3"/>
    <n v="2"/>
    <n v="2"/>
    <n v="1"/>
    <n v="2"/>
    <n v="3"/>
    <n v="2"/>
    <n v="4"/>
    <n v="4"/>
    <n v="1"/>
    <n v="3"/>
    <n v="4"/>
    <n v="2"/>
    <n v="4"/>
    <n v="3"/>
    <n v="1"/>
    <n v="3"/>
    <n v="2"/>
    <n v="1"/>
    <n v="4"/>
    <n v="1"/>
    <n v="3"/>
    <n v="1"/>
    <n v="2"/>
    <n v="1"/>
    <n v="1"/>
    <n v="1"/>
    <n v="1"/>
    <n v="1"/>
    <n v="1"/>
    <n v="2.5"/>
    <n v="1"/>
    <n v="1"/>
    <n v="0"/>
    <n v="1"/>
    <n v="1"/>
    <n v="0"/>
    <n v="1"/>
    <n v="1"/>
    <n v="1"/>
    <n v="1"/>
    <n v="1"/>
    <n v="0"/>
    <n v="1"/>
    <n v="1"/>
    <n v="0"/>
    <n v="1"/>
    <n v="0"/>
    <n v="1"/>
    <n v="0"/>
    <n v="1"/>
    <n v="0"/>
    <n v="0"/>
    <n v="1"/>
    <n v="0"/>
    <n v="1"/>
    <n v="1"/>
    <n v="1"/>
    <n v="1"/>
    <n v="1"/>
    <n v="1"/>
  </r>
  <r>
    <s v="SMITH,KRISTOPHER"/>
    <s v="KRISTOPHER"/>
    <s v="SMITH"/>
    <n v="253089676"/>
    <n v="9"/>
    <s v="Kovelsky"/>
    <b v="0"/>
    <b v="0"/>
    <n v="14"/>
    <n v="4"/>
    <n v="6"/>
    <n v="3.5"/>
    <x v="13"/>
    <n v="4"/>
    <n v="1"/>
    <n v="3"/>
    <n v="1"/>
    <n v="1"/>
    <n v="2"/>
    <n v="3"/>
    <n v="3"/>
    <n v="4"/>
    <n v="2"/>
    <s v="X"/>
    <n v="3"/>
    <n v="2"/>
    <n v="4"/>
    <n v="2"/>
    <n v="1"/>
    <n v="1"/>
    <n v="4"/>
    <n v="2"/>
    <n v="4"/>
    <n v="4"/>
    <n v="2"/>
    <n v="4"/>
    <n v="2"/>
    <n v="2"/>
    <n v="4"/>
    <n v="1"/>
    <n v="3"/>
    <n v="3"/>
    <n v="1"/>
    <n v="1"/>
    <n v="1"/>
    <n v="1"/>
    <n v="1"/>
    <n v="1"/>
    <n v="1"/>
    <n v="3.5"/>
    <n v="1"/>
    <n v="0"/>
    <n v="1"/>
    <n v="0"/>
    <n v="1"/>
    <n v="0"/>
    <n v="1"/>
    <n v="0"/>
    <n v="0"/>
    <n v="0"/>
    <n v="0"/>
    <n v="0"/>
    <n v="1"/>
    <n v="1"/>
    <n v="0"/>
    <n v="1"/>
    <n v="1"/>
    <n v="1"/>
    <n v="0"/>
    <n v="1"/>
    <n v="0"/>
    <n v="1"/>
    <n v="0"/>
    <n v="0"/>
    <n v="0"/>
    <n v="1"/>
    <n v="1"/>
    <n v="1"/>
    <n v="1"/>
    <n v="1"/>
  </r>
  <r>
    <s v="SOTO,MATTHEW"/>
    <s v="MATTHEW"/>
    <s v="SOTO"/>
    <n v="240246132"/>
    <n v="9"/>
    <m/>
    <b v="0"/>
    <b v="0"/>
    <n v="7"/>
    <n v="0"/>
    <n v="5"/>
    <n v="0"/>
    <x v="43"/>
    <n v="2"/>
    <n v="1"/>
    <n v="3"/>
    <n v="1"/>
    <n v="4"/>
    <n v="1"/>
    <n v="3"/>
    <n v="2"/>
    <n v="2"/>
    <n v="3"/>
    <n v="4"/>
    <n v="3"/>
    <n v="1"/>
    <n v="4"/>
    <n v="4"/>
    <n v="4"/>
    <n v="1"/>
    <n v="3"/>
    <n v="3"/>
    <n v="2"/>
    <n v="3"/>
    <n v="1"/>
    <n v="2"/>
    <n v="2"/>
    <n v="3"/>
    <n v="3"/>
    <n v="4"/>
    <n v="1"/>
    <n v="0"/>
    <n v="0"/>
    <n v="1"/>
    <n v="0"/>
    <n v="1"/>
    <n v="1"/>
    <n v="1"/>
    <n v="1"/>
    <n v="0"/>
    <n v="0"/>
    <n v="0"/>
    <n v="1"/>
    <n v="0"/>
    <n v="0"/>
    <n v="0"/>
    <n v="1"/>
    <n v="1"/>
    <n v="1"/>
    <n v="0"/>
    <n v="0"/>
    <n v="0"/>
    <n v="0"/>
    <n v="1"/>
    <n v="0"/>
    <n v="0"/>
    <n v="1"/>
    <n v="0"/>
    <n v="1"/>
    <n v="0"/>
    <n v="0"/>
    <n v="0"/>
    <n v="0"/>
    <n v="0"/>
    <n v="0"/>
    <n v="0"/>
    <n v="0"/>
    <n v="0"/>
    <n v="0"/>
    <n v="0"/>
  </r>
  <r>
    <s v="STANISLAS,DOMINIC"/>
    <s v="DOMINIC"/>
    <s v="STANISLAS"/>
    <n v="250166558"/>
    <n v="9"/>
    <s v="Kovelsky"/>
    <b v="0"/>
    <b v="0"/>
    <n v="13"/>
    <n v="0"/>
    <n v="4"/>
    <n v="0"/>
    <x v="38"/>
    <n v="4"/>
    <n v="2"/>
    <n v="2"/>
    <n v="3"/>
    <n v="1"/>
    <n v="3"/>
    <n v="1"/>
    <n v="2"/>
    <n v="2"/>
    <n v="1"/>
    <n v="2"/>
    <n v="3"/>
    <n v="3"/>
    <n v="3"/>
    <n v="2"/>
    <n v="2"/>
    <n v="3"/>
    <s v="M"/>
    <n v="2"/>
    <n v="2"/>
    <n v="1"/>
    <n v="2"/>
    <n v="3"/>
    <n v="2"/>
    <n v="1"/>
    <n v="3"/>
    <n v="1"/>
    <n v="3"/>
    <n v="0"/>
    <n v="0"/>
    <n v="1"/>
    <n v="1"/>
    <n v="1"/>
    <n v="0"/>
    <n v="1"/>
    <n v="0"/>
    <n v="0"/>
    <n v="1"/>
    <n v="1"/>
    <n v="0"/>
    <n v="1"/>
    <n v="1"/>
    <n v="0"/>
    <n v="0"/>
    <n v="1"/>
    <n v="1"/>
    <n v="1"/>
    <n v="1"/>
    <n v="0"/>
    <n v="0"/>
    <n v="0"/>
    <n v="0"/>
    <n v="0"/>
    <n v="0"/>
    <n v="0"/>
    <n v="0"/>
    <n v="0"/>
    <n v="0"/>
    <n v="1"/>
    <n v="1"/>
    <n v="0"/>
    <n v="1"/>
    <n v="0"/>
    <n v="1"/>
    <n v="1"/>
    <n v="0"/>
    <n v="0"/>
  </r>
  <r>
    <s v="SUMPTER,MAKHI"/>
    <s v="MAKHI"/>
    <s v="SUMPTER"/>
    <n v="219679719"/>
    <n v="9"/>
    <s v="Kovelsky"/>
    <b v="0"/>
    <b v="0"/>
    <n v="13"/>
    <n v="2"/>
    <n v="3"/>
    <n v="1"/>
    <x v="16"/>
    <n v="2"/>
    <n v="1"/>
    <n v="2"/>
    <n v="3"/>
    <n v="2"/>
    <n v="1"/>
    <n v="3"/>
    <n v="2"/>
    <n v="2"/>
    <n v="1"/>
    <n v="1"/>
    <n v="2"/>
    <n v="2"/>
    <n v="2"/>
    <n v="4"/>
    <n v="4"/>
    <n v="1"/>
    <n v="4"/>
    <n v="1"/>
    <n v="3"/>
    <n v="2"/>
    <n v="1"/>
    <n v="3"/>
    <n v="2"/>
    <n v="1"/>
    <n v="4"/>
    <n v="4"/>
    <n v="3"/>
    <n v="1"/>
    <n v="1"/>
    <n v="0"/>
    <n v="1"/>
    <n v="0"/>
    <n v="0"/>
    <n v="1"/>
    <n v="1"/>
    <n v="1"/>
    <n v="0"/>
    <n v="0"/>
    <n v="0"/>
    <n v="1"/>
    <n v="0"/>
    <n v="0"/>
    <n v="1"/>
    <n v="1"/>
    <n v="1"/>
    <n v="1"/>
    <n v="0"/>
    <n v="0"/>
    <n v="1"/>
    <n v="0"/>
    <n v="0"/>
    <n v="0"/>
    <n v="1"/>
    <n v="1"/>
    <n v="0"/>
    <n v="0"/>
    <n v="1"/>
    <n v="0"/>
    <n v="1"/>
    <n v="0"/>
    <n v="1"/>
    <n v="1"/>
    <n v="0"/>
    <n v="1"/>
    <n v="0"/>
    <n v="0"/>
  </r>
  <r>
    <s v="TAVERAS TEJADA,GENESIS"/>
    <s v="GENESIS"/>
    <s v="TAVERAS TEJADA"/>
    <n v="237500111"/>
    <n v="9"/>
    <s v="Bermejo"/>
    <b v="0"/>
    <b v="0"/>
    <n v="14"/>
    <n v="0"/>
    <n v="0"/>
    <n v="0"/>
    <x v="3"/>
    <n v="4"/>
    <n v="4"/>
    <n v="3"/>
    <n v="1"/>
    <n v="1"/>
    <n v="2"/>
    <n v="3"/>
    <n v="4"/>
    <n v="1"/>
    <n v="1"/>
    <n v="4"/>
    <n v="2"/>
    <n v="2"/>
    <n v="3"/>
    <n v="1"/>
    <n v="1"/>
    <n v="2"/>
    <n v="4"/>
    <n v="3"/>
    <n v="4"/>
    <n v="1"/>
    <n v="4"/>
    <n v="3"/>
    <n v="2"/>
    <n v="2"/>
    <n v="4"/>
    <n v="1"/>
    <n v="3"/>
    <n v="0"/>
    <n v="0"/>
    <n v="0"/>
    <n v="0"/>
    <n v="0"/>
    <n v="0"/>
    <n v="0"/>
    <n v="0"/>
    <n v="0"/>
    <n v="1"/>
    <n v="0"/>
    <n v="1"/>
    <n v="0"/>
    <n v="1"/>
    <n v="0"/>
    <n v="1"/>
    <n v="0"/>
    <n v="0"/>
    <n v="1"/>
    <n v="0"/>
    <n v="0"/>
    <n v="1"/>
    <n v="0"/>
    <n v="0"/>
    <n v="1"/>
    <n v="0"/>
    <n v="1"/>
    <n v="1"/>
    <n v="1"/>
    <n v="0"/>
    <n v="0"/>
    <n v="1"/>
    <n v="0"/>
    <n v="0"/>
    <n v="1"/>
    <n v="1"/>
    <n v="1"/>
    <n v="0"/>
    <n v="0"/>
  </r>
  <r>
    <s v="TELLO HERNANDEZ,WILLIAM"/>
    <s v="WILLIAM"/>
    <s v="TELLO HERNANDEZ"/>
    <n v="242819985"/>
    <n v="11"/>
    <s v="Kovelsky"/>
    <b v="0"/>
    <b v="0"/>
    <n v="15"/>
    <n v="4"/>
    <n v="6"/>
    <n v="2.5"/>
    <x v="19"/>
    <n v="4"/>
    <n v="2"/>
    <n v="3"/>
    <n v="2"/>
    <n v="1"/>
    <n v="2"/>
    <n v="3"/>
    <n v="4"/>
    <n v="2"/>
    <n v="2"/>
    <n v="2"/>
    <n v="1"/>
    <n v="2"/>
    <n v="3"/>
    <n v="3"/>
    <n v="2"/>
    <n v="1"/>
    <n v="2"/>
    <n v="3"/>
    <n v="1"/>
    <n v="4"/>
    <n v="1"/>
    <n v="3"/>
    <n v="4"/>
    <n v="2"/>
    <n v="4"/>
    <n v="1"/>
    <n v="3"/>
    <n v="2"/>
    <n v="2"/>
    <n v="1"/>
    <n v="1"/>
    <n v="1"/>
    <n v="1"/>
    <n v="1"/>
    <n v="1"/>
    <n v="2.5"/>
    <n v="1"/>
    <n v="1"/>
    <n v="1"/>
    <n v="0"/>
    <n v="1"/>
    <n v="0"/>
    <n v="1"/>
    <n v="0"/>
    <n v="1"/>
    <n v="0"/>
    <n v="1"/>
    <n v="0"/>
    <n v="1"/>
    <n v="0"/>
    <n v="1"/>
    <n v="0"/>
    <n v="1"/>
    <n v="0"/>
    <n v="1"/>
    <n v="0"/>
    <n v="0"/>
    <n v="0"/>
    <n v="1"/>
    <n v="0"/>
    <n v="0"/>
    <n v="1"/>
    <n v="1"/>
    <n v="1"/>
    <n v="1"/>
    <n v="1"/>
  </r>
  <r>
    <s v="TELLO,DILAN"/>
    <s v="DILAN"/>
    <s v="TELLO"/>
    <n v="258174606"/>
    <n v="11"/>
    <s v="Dushin"/>
    <b v="1"/>
    <b v="0"/>
    <n v="6"/>
    <n v="2"/>
    <n v="0"/>
    <n v="0"/>
    <x v="12"/>
    <n v="3"/>
    <n v="4"/>
    <n v="4"/>
    <n v="2"/>
    <n v="1"/>
    <n v="4"/>
    <n v="4"/>
    <n v="3"/>
    <n v="4"/>
    <n v="4"/>
    <n v="2"/>
    <n v="2"/>
    <n v="4"/>
    <n v="4"/>
    <n v="2"/>
    <n v="2"/>
    <n v="3"/>
    <n v="3"/>
    <n v="3"/>
    <n v="2"/>
    <n v="1"/>
    <n v="1"/>
    <n v="3"/>
    <n v="4"/>
    <n v="4"/>
    <n v="3"/>
    <n v="3"/>
    <n v="1"/>
    <n v="1"/>
    <n v="1"/>
    <n v="0"/>
    <n v="0"/>
    <n v="0"/>
    <n v="0"/>
    <n v="0"/>
    <n v="0"/>
    <n v="0"/>
    <n v="0"/>
    <n v="0"/>
    <n v="0"/>
    <n v="0"/>
    <n v="1"/>
    <n v="1"/>
    <n v="0"/>
    <n v="0"/>
    <n v="0"/>
    <n v="0"/>
    <n v="1"/>
    <n v="0"/>
    <n v="0"/>
    <n v="1"/>
    <n v="0"/>
    <n v="0"/>
    <n v="0"/>
    <n v="0"/>
    <n v="1"/>
    <n v="0"/>
    <n v="0"/>
    <n v="0"/>
    <n v="1"/>
    <n v="0"/>
    <n v="0"/>
    <n v="0"/>
    <n v="0"/>
    <n v="0"/>
    <n v="0"/>
    <n v="0"/>
  </r>
  <r>
    <s v="TERRERO,DANIEL"/>
    <s v="DANIEL"/>
    <s v="TERRERO"/>
    <n v="220832950"/>
    <n v="11"/>
    <s v="Dushin"/>
    <b v="0"/>
    <b v="1"/>
    <n v="26"/>
    <n v="8"/>
    <n v="6"/>
    <n v="4"/>
    <x v="40"/>
    <n v="4"/>
    <n v="2"/>
    <n v="3"/>
    <n v="3"/>
    <n v="1"/>
    <n v="4"/>
    <n v="4"/>
    <n v="2"/>
    <n v="2"/>
    <n v="1"/>
    <n v="2"/>
    <n v="4"/>
    <n v="2"/>
    <n v="4"/>
    <n v="3"/>
    <n v="1"/>
    <n v="1"/>
    <n v="4"/>
    <n v="3"/>
    <n v="4"/>
    <n v="2"/>
    <n v="2"/>
    <n v="3"/>
    <n v="3"/>
    <n v="3"/>
    <n v="4"/>
    <n v="1"/>
    <n v="3"/>
    <n v="4"/>
    <n v="4"/>
    <n v="1"/>
    <n v="1"/>
    <n v="1"/>
    <n v="1"/>
    <n v="1"/>
    <n v="1"/>
    <n v="4"/>
    <n v="1"/>
    <n v="1"/>
    <n v="1"/>
    <n v="1"/>
    <n v="1"/>
    <n v="1"/>
    <n v="0"/>
    <n v="1"/>
    <n v="1"/>
    <n v="1"/>
    <n v="1"/>
    <n v="1"/>
    <n v="1"/>
    <n v="1"/>
    <n v="1"/>
    <n v="1"/>
    <n v="1"/>
    <n v="1"/>
    <n v="1"/>
    <n v="1"/>
    <n v="1"/>
    <n v="1"/>
    <n v="1"/>
    <n v="1"/>
    <n v="0"/>
    <n v="1"/>
    <n v="1"/>
    <n v="1"/>
    <n v="1"/>
    <n v="1"/>
  </r>
  <r>
    <s v="THOMAS,DAVID"/>
    <s v="DAVID"/>
    <s v="THOMAS"/>
    <n v="240113605"/>
    <n v="9"/>
    <s v="Dushin"/>
    <b v="0"/>
    <b v="0"/>
    <n v="14"/>
    <n v="3"/>
    <n v="5"/>
    <n v="2.5"/>
    <x v="35"/>
    <n v="4"/>
    <n v="4"/>
    <n v="4"/>
    <n v="2"/>
    <n v="1"/>
    <n v="2"/>
    <n v="3"/>
    <n v="2"/>
    <n v="3"/>
    <n v="1"/>
    <m/>
    <n v="3"/>
    <n v="2"/>
    <n v="4"/>
    <n v="2"/>
    <n v="2"/>
    <n v="1"/>
    <n v="4"/>
    <n v="2"/>
    <n v="4"/>
    <n v="4"/>
    <n v="2"/>
    <n v="4"/>
    <n v="2"/>
    <n v="3"/>
    <n v="4"/>
    <n v="1"/>
    <n v="3"/>
    <n v="2"/>
    <n v="1"/>
    <n v="1"/>
    <n v="1"/>
    <n v="0"/>
    <n v="1"/>
    <n v="1"/>
    <n v="1"/>
    <n v="2.5"/>
    <n v="1"/>
    <n v="0"/>
    <n v="0"/>
    <n v="0"/>
    <n v="1"/>
    <n v="0"/>
    <n v="1"/>
    <n v="1"/>
    <n v="0"/>
    <n v="1"/>
    <n v="0"/>
    <n v="0"/>
    <n v="1"/>
    <n v="1"/>
    <n v="0"/>
    <n v="0"/>
    <n v="1"/>
    <n v="1"/>
    <n v="0"/>
    <n v="1"/>
    <n v="0"/>
    <n v="1"/>
    <n v="0"/>
    <n v="0"/>
    <n v="0"/>
    <n v="1"/>
    <n v="1"/>
    <n v="1"/>
    <n v="1"/>
    <n v="1"/>
  </r>
  <r>
    <s v="THOMAS,TAYLOR"/>
    <s v="TAYLOR"/>
    <s v="THOMAS"/>
    <n v="234953495"/>
    <n v="11"/>
    <s v="Kovelsky"/>
    <b v="0"/>
    <b v="0"/>
    <n v="13"/>
    <n v="6"/>
    <n v="6"/>
    <n v="1.5"/>
    <x v="35"/>
    <n v="4"/>
    <n v="4"/>
    <n v="4"/>
    <n v="1"/>
    <n v="1"/>
    <n v="2"/>
    <n v="3"/>
    <n v="2"/>
    <n v="3"/>
    <m/>
    <m/>
    <n v="3"/>
    <n v="2"/>
    <n v="4"/>
    <n v="2"/>
    <n v="2"/>
    <n v="1"/>
    <n v="4"/>
    <n v="2"/>
    <n v="4"/>
    <n v="4"/>
    <n v="2"/>
    <n v="4"/>
    <n v="2"/>
    <n v="3"/>
    <n v="4"/>
    <n v="1"/>
    <n v="3"/>
    <n v="3"/>
    <n v="3"/>
    <n v="1"/>
    <n v="1"/>
    <n v="1"/>
    <n v="1"/>
    <n v="1"/>
    <n v="1"/>
    <n v="1.5"/>
    <n v="1"/>
    <n v="0"/>
    <n v="0"/>
    <n v="0"/>
    <n v="1"/>
    <n v="0"/>
    <n v="1"/>
    <n v="1"/>
    <n v="0"/>
    <n v="0"/>
    <n v="0"/>
    <n v="0"/>
    <n v="1"/>
    <n v="1"/>
    <n v="0"/>
    <n v="0"/>
    <n v="1"/>
    <n v="1"/>
    <n v="0"/>
    <n v="1"/>
    <n v="0"/>
    <n v="1"/>
    <n v="0"/>
    <n v="0"/>
    <n v="0"/>
    <n v="1"/>
    <n v="1"/>
    <n v="1"/>
    <n v="1"/>
    <n v="1"/>
  </r>
  <r>
    <s v="THOMAS,TERRANCE"/>
    <s v="TERRANCE"/>
    <s v="THOMAS"/>
    <n v="239928153"/>
    <n v="9"/>
    <m/>
    <b v="0"/>
    <b v="1"/>
    <n v="13"/>
    <n v="2"/>
    <n v="6"/>
    <n v="1"/>
    <x v="20"/>
    <n v="2"/>
    <n v="4"/>
    <n v="4"/>
    <n v="2"/>
    <n v="1"/>
    <n v="4"/>
    <n v="3"/>
    <n v="2"/>
    <n v="2"/>
    <n v="1"/>
    <n v="3"/>
    <n v="4"/>
    <n v="4"/>
    <n v="1"/>
    <n v="3"/>
    <n v="2"/>
    <n v="4"/>
    <n v="4"/>
    <n v="3"/>
    <n v="2"/>
    <n v="1"/>
    <n v="4"/>
    <n v="2"/>
    <n v="1"/>
    <n v="3"/>
    <n v="4"/>
    <n v="1"/>
    <n v="3"/>
    <n v="1"/>
    <n v="1"/>
    <n v="1"/>
    <n v="1"/>
    <n v="1"/>
    <n v="1"/>
    <n v="1"/>
    <n v="1"/>
    <n v="1"/>
    <n v="0"/>
    <n v="0"/>
    <n v="0"/>
    <n v="0"/>
    <n v="1"/>
    <n v="1"/>
    <n v="1"/>
    <n v="1"/>
    <n v="1"/>
    <n v="1"/>
    <n v="0"/>
    <n v="1"/>
    <n v="0"/>
    <n v="0"/>
    <n v="1"/>
    <n v="0"/>
    <n v="0"/>
    <n v="1"/>
    <n v="1"/>
    <n v="0"/>
    <n v="0"/>
    <n v="0"/>
    <n v="0"/>
    <n v="0"/>
    <n v="0"/>
    <n v="1"/>
    <n v="1"/>
    <n v="1"/>
    <n v="0"/>
    <n v="1"/>
  </r>
  <r>
    <s v="THORNE,REBECCA"/>
    <s v="REBECCA"/>
    <s v="THORNE"/>
    <n v="209678739"/>
    <n v="11"/>
    <s v="Dushin"/>
    <b v="0"/>
    <b v="1"/>
    <n v="13"/>
    <n v="1"/>
    <n v="5"/>
    <n v="2"/>
    <x v="10"/>
    <n v="4"/>
    <n v="1"/>
    <n v="1"/>
    <n v="3"/>
    <n v="2"/>
    <n v="3"/>
    <n v="3"/>
    <n v="2"/>
    <n v="4"/>
    <n v="2"/>
    <n v="2"/>
    <n v="4"/>
    <n v="1"/>
    <n v="4"/>
    <n v="2"/>
    <n v="2"/>
    <n v="1"/>
    <n v="4"/>
    <n v="2"/>
    <n v="1"/>
    <n v="2"/>
    <n v="2"/>
    <n v="3"/>
    <n v="1"/>
    <n v="2"/>
    <n v="4"/>
    <n v="4"/>
    <n v="1"/>
    <n v="1"/>
    <n v="0"/>
    <n v="1"/>
    <n v="1"/>
    <n v="1"/>
    <n v="1"/>
    <n v="1"/>
    <n v="0"/>
    <n v="2"/>
    <n v="1"/>
    <n v="0"/>
    <n v="0"/>
    <n v="1"/>
    <n v="0"/>
    <n v="0"/>
    <n v="1"/>
    <n v="1"/>
    <n v="0"/>
    <n v="0"/>
    <n v="1"/>
    <n v="1"/>
    <n v="0"/>
    <n v="1"/>
    <n v="0"/>
    <n v="0"/>
    <n v="1"/>
    <n v="1"/>
    <n v="0"/>
    <n v="0"/>
    <n v="1"/>
    <n v="1"/>
    <n v="1"/>
    <n v="0"/>
    <n v="0"/>
    <n v="1"/>
    <n v="0"/>
    <n v="0"/>
    <n v="0"/>
    <n v="1"/>
  </r>
  <r>
    <s v="TIRO,DYLAN"/>
    <s v="DYLAN"/>
    <s v="TIRO"/>
    <n v="235313798"/>
    <n v="9"/>
    <s v="Kovelsky"/>
    <b v="0"/>
    <b v="1"/>
    <n v="13"/>
    <n v="2"/>
    <n v="4"/>
    <n v="1"/>
    <x v="8"/>
    <n v="2"/>
    <n v="2"/>
    <n v="3"/>
    <n v="1"/>
    <n v="1"/>
    <n v="2"/>
    <n v="2"/>
    <n v="4"/>
    <n v="4"/>
    <n v="1"/>
    <n v="2"/>
    <n v="3"/>
    <n v="2"/>
    <n v="4"/>
    <n v="1"/>
    <n v="4"/>
    <n v="1"/>
    <n v="4"/>
    <n v="2"/>
    <n v="1"/>
    <n v="2"/>
    <n v="1"/>
    <n v="3"/>
    <n v="2"/>
    <n v="1"/>
    <n v="2"/>
    <n v="2"/>
    <n v="3"/>
    <n v="1"/>
    <n v="1"/>
    <n v="0"/>
    <n v="0"/>
    <n v="1"/>
    <n v="1"/>
    <n v="1"/>
    <n v="1"/>
    <n v="1"/>
    <n v="0"/>
    <n v="1"/>
    <n v="1"/>
    <n v="0"/>
    <n v="1"/>
    <n v="0"/>
    <n v="0"/>
    <n v="0"/>
    <n v="0"/>
    <n v="1"/>
    <n v="1"/>
    <n v="0"/>
    <n v="1"/>
    <n v="1"/>
    <n v="0"/>
    <n v="0"/>
    <n v="1"/>
    <n v="1"/>
    <n v="0"/>
    <n v="0"/>
    <n v="1"/>
    <n v="0"/>
    <n v="1"/>
    <n v="0"/>
    <n v="1"/>
    <n v="0"/>
    <n v="0"/>
    <n v="1"/>
    <n v="0"/>
    <n v="1"/>
  </r>
  <r>
    <s v="TONEY,ZOE"/>
    <s v="ZOE"/>
    <s v="TONEY"/>
    <n v="242816676"/>
    <n v="9"/>
    <s v="Kovelsky"/>
    <b v="0"/>
    <b v="0"/>
    <n v="26"/>
    <n v="6"/>
    <n v="6"/>
    <n v="3"/>
    <x v="23"/>
    <n v="4"/>
    <n v="2"/>
    <n v="3"/>
    <n v="3"/>
    <n v="1"/>
    <n v="3"/>
    <n v="3"/>
    <n v="2"/>
    <n v="2"/>
    <n v="1"/>
    <n v="2"/>
    <n v="4"/>
    <n v="2"/>
    <n v="4"/>
    <n v="3"/>
    <n v="1"/>
    <n v="1"/>
    <n v="4"/>
    <n v="3"/>
    <n v="4"/>
    <n v="2"/>
    <n v="2"/>
    <n v="3"/>
    <n v="3"/>
    <n v="1"/>
    <n v="4"/>
    <n v="3"/>
    <n v="3"/>
    <n v="3"/>
    <n v="3"/>
    <n v="1"/>
    <n v="1"/>
    <n v="1"/>
    <n v="1"/>
    <n v="1"/>
    <n v="1"/>
    <n v="3"/>
    <n v="1"/>
    <n v="1"/>
    <n v="1"/>
    <n v="1"/>
    <n v="1"/>
    <n v="0"/>
    <n v="1"/>
    <n v="1"/>
    <n v="1"/>
    <n v="1"/>
    <n v="1"/>
    <n v="1"/>
    <n v="1"/>
    <n v="1"/>
    <n v="1"/>
    <n v="1"/>
    <n v="1"/>
    <n v="1"/>
    <n v="1"/>
    <n v="1"/>
    <n v="1"/>
    <n v="1"/>
    <n v="1"/>
    <n v="1"/>
    <n v="1"/>
    <n v="1"/>
    <n v="0"/>
    <n v="1"/>
    <n v="1"/>
    <n v="1"/>
  </r>
  <r>
    <s v="TORIOLAADEBIYI,OLUWA"/>
    <s v="OLUWA"/>
    <s v="TORIOLAADEBIYI"/>
    <n v="240113266"/>
    <n v="9"/>
    <s v="Kovelsky"/>
    <b v="0"/>
    <b v="0"/>
    <n v="26"/>
    <n v="9"/>
    <n v="6"/>
    <n v="4"/>
    <x v="44"/>
    <n v="4"/>
    <n v="2"/>
    <n v="3"/>
    <n v="3"/>
    <n v="1"/>
    <n v="3"/>
    <n v="3"/>
    <n v="2"/>
    <n v="2"/>
    <n v="1"/>
    <n v="2"/>
    <n v="4"/>
    <n v="2"/>
    <n v="4"/>
    <n v="3"/>
    <n v="1"/>
    <n v="1"/>
    <n v="4"/>
    <n v="3"/>
    <n v="4"/>
    <n v="2"/>
    <n v="2"/>
    <n v="3"/>
    <n v="2"/>
    <n v="1"/>
    <n v="4"/>
    <n v="1"/>
    <n v="3"/>
    <n v="4"/>
    <n v="5"/>
    <n v="1"/>
    <n v="1"/>
    <n v="1"/>
    <n v="1"/>
    <n v="1"/>
    <n v="1"/>
    <n v="4"/>
    <n v="1"/>
    <n v="1"/>
    <n v="1"/>
    <n v="1"/>
    <n v="1"/>
    <n v="0"/>
    <n v="1"/>
    <n v="1"/>
    <n v="1"/>
    <n v="1"/>
    <n v="1"/>
    <n v="1"/>
    <n v="1"/>
    <n v="1"/>
    <n v="1"/>
    <n v="1"/>
    <n v="1"/>
    <n v="1"/>
    <n v="1"/>
    <n v="1"/>
    <n v="1"/>
    <n v="1"/>
    <n v="1"/>
    <n v="0"/>
    <n v="1"/>
    <n v="1"/>
    <n v="1"/>
    <n v="1"/>
    <n v="1"/>
    <n v="1"/>
  </r>
  <r>
    <s v="TURNER,DESHAWN"/>
    <s v="DESHAWN"/>
    <s v="TURNER"/>
    <n v="247458896"/>
    <n v="9"/>
    <s v="Kovelsky"/>
    <b v="0"/>
    <b v="0"/>
    <n v="16"/>
    <n v="2"/>
    <n v="5"/>
    <n v="1"/>
    <x v="1"/>
    <n v="4"/>
    <n v="2"/>
    <n v="4"/>
    <n v="3"/>
    <n v="1"/>
    <n v="4"/>
    <n v="3"/>
    <n v="2"/>
    <n v="2"/>
    <n v="1"/>
    <n v="2"/>
    <n v="3"/>
    <n v="1"/>
    <n v="4"/>
    <n v="1"/>
    <n v="1"/>
    <n v="1"/>
    <n v="3"/>
    <n v="3"/>
    <n v="2"/>
    <n v="1"/>
    <n v="1"/>
    <n v="3"/>
    <n v="2"/>
    <n v="4"/>
    <n v="3"/>
    <n v="2"/>
    <n v="3"/>
    <n v="1"/>
    <n v="1"/>
    <n v="1"/>
    <n v="1"/>
    <n v="1"/>
    <n v="1"/>
    <n v="0"/>
    <n v="1"/>
    <n v="1"/>
    <n v="1"/>
    <n v="1"/>
    <n v="0"/>
    <n v="1"/>
    <n v="1"/>
    <n v="1"/>
    <n v="1"/>
    <n v="1"/>
    <n v="1"/>
    <n v="1"/>
    <n v="1"/>
    <n v="0"/>
    <n v="0"/>
    <n v="1"/>
    <n v="0"/>
    <n v="1"/>
    <n v="1"/>
    <n v="0"/>
    <n v="1"/>
    <n v="0"/>
    <n v="0"/>
    <n v="0"/>
    <n v="1"/>
    <n v="0"/>
    <n v="0"/>
    <n v="0"/>
    <n v="0"/>
    <n v="1"/>
    <n v="0"/>
    <n v="0"/>
  </r>
  <r>
    <s v="UGALDE,NICHOLAS"/>
    <s v="NICHOLAS"/>
    <s v="UGALDE"/>
    <n v="209481001"/>
    <n v="11"/>
    <s v="Other"/>
    <b v="0"/>
    <b v="0"/>
    <n v="0"/>
    <n v="0"/>
    <n v="0"/>
    <n v="0"/>
    <x v="2"/>
    <m/>
    <m/>
    <m/>
    <m/>
    <m/>
    <m/>
    <m/>
    <m/>
    <m/>
    <m/>
    <m/>
    <m/>
    <m/>
    <m/>
    <m/>
    <m/>
    <m/>
    <m/>
    <m/>
    <m/>
    <m/>
    <m/>
    <m/>
    <m/>
    <m/>
    <m/>
    <m/>
    <m/>
    <m/>
    <m/>
    <m/>
    <m/>
    <m/>
    <m/>
    <m/>
    <m/>
    <m/>
    <n v="0"/>
    <n v="0"/>
    <n v="0"/>
    <n v="0"/>
    <n v="0"/>
    <n v="0"/>
    <n v="0"/>
    <n v="0"/>
    <n v="0"/>
    <n v="0"/>
    <n v="0"/>
    <n v="0"/>
    <n v="0"/>
    <n v="0"/>
    <n v="0"/>
    <n v="0"/>
    <n v="0"/>
    <n v="0"/>
    <n v="0"/>
    <n v="0"/>
    <n v="0"/>
    <n v="0"/>
    <n v="0"/>
    <n v="0"/>
    <n v="0"/>
    <n v="0"/>
    <n v="0"/>
    <n v="0"/>
    <n v="0"/>
    <n v="0"/>
  </r>
  <r>
    <s v="VALERA,CHRISTOPHER"/>
    <s v="CHRISTOPHER"/>
    <s v="VALERA"/>
    <n v="234237303"/>
    <n v="11"/>
    <s v="Kovelsky"/>
    <b v="0"/>
    <b v="0"/>
    <n v="0"/>
    <n v="0"/>
    <n v="0"/>
    <n v="0"/>
    <x v="2"/>
    <m/>
    <m/>
    <m/>
    <m/>
    <m/>
    <m/>
    <m/>
    <m/>
    <m/>
    <m/>
    <m/>
    <m/>
    <m/>
    <m/>
    <m/>
    <m/>
    <m/>
    <m/>
    <m/>
    <m/>
    <m/>
    <m/>
    <m/>
    <m/>
    <m/>
    <m/>
    <m/>
    <m/>
    <m/>
    <m/>
    <m/>
    <m/>
    <m/>
    <m/>
    <m/>
    <m/>
    <m/>
    <n v="0"/>
    <n v="0"/>
    <n v="0"/>
    <n v="0"/>
    <n v="0"/>
    <n v="0"/>
    <n v="0"/>
    <n v="0"/>
    <n v="0"/>
    <n v="0"/>
    <n v="0"/>
    <n v="0"/>
    <n v="0"/>
    <n v="0"/>
    <n v="0"/>
    <n v="0"/>
    <n v="0"/>
    <n v="0"/>
    <n v="0"/>
    <n v="0"/>
    <n v="0"/>
    <n v="0"/>
    <n v="0"/>
    <n v="0"/>
    <n v="0"/>
    <n v="0"/>
    <n v="0"/>
    <n v="0"/>
    <n v="0"/>
    <n v="0"/>
  </r>
  <r>
    <s v="VAZQUEZ,ARTURO YAHIR"/>
    <s v="ARTURO YAHIR"/>
    <s v="VAZQUEZ"/>
    <n v="239268485"/>
    <n v="9"/>
    <m/>
    <b v="0"/>
    <b v="0"/>
    <n v="16"/>
    <n v="2"/>
    <n v="5"/>
    <n v="1"/>
    <x v="1"/>
    <n v="1"/>
    <n v="1"/>
    <n v="3"/>
    <n v="3"/>
    <n v="2"/>
    <n v="3"/>
    <n v="2"/>
    <n v="2"/>
    <n v="4"/>
    <n v="1"/>
    <n v="2"/>
    <n v="4"/>
    <n v="3"/>
    <n v="1"/>
    <n v="3"/>
    <n v="4"/>
    <n v="1"/>
    <n v="4"/>
    <n v="3"/>
    <n v="4"/>
    <n v="2"/>
    <n v="2"/>
    <n v="3"/>
    <n v="1"/>
    <n v="2"/>
    <n v="4"/>
    <n v="2"/>
    <n v="3"/>
    <n v="1"/>
    <n v="1"/>
    <n v="1"/>
    <n v="1"/>
    <n v="0"/>
    <n v="1"/>
    <n v="1"/>
    <n v="1"/>
    <n v="1"/>
    <n v="0"/>
    <n v="0"/>
    <n v="1"/>
    <n v="1"/>
    <n v="0"/>
    <n v="0"/>
    <n v="0"/>
    <n v="1"/>
    <n v="0"/>
    <n v="1"/>
    <n v="1"/>
    <n v="1"/>
    <n v="0"/>
    <n v="0"/>
    <n v="1"/>
    <n v="0"/>
    <n v="1"/>
    <n v="1"/>
    <n v="1"/>
    <n v="1"/>
    <n v="1"/>
    <n v="1"/>
    <n v="1"/>
    <n v="0"/>
    <n v="0"/>
    <n v="1"/>
    <n v="0"/>
    <n v="1"/>
    <n v="0"/>
    <n v="0"/>
  </r>
  <r>
    <s v="VELIZ MORALES,HENRY"/>
    <s v="HENRY"/>
    <s v="VELIZ MORALES"/>
    <n v="223816935"/>
    <n v="11"/>
    <s v="Kovelsky"/>
    <b v="0"/>
    <b v="0"/>
    <n v="19"/>
    <n v="5"/>
    <n v="6"/>
    <n v="2"/>
    <x v="26"/>
    <n v="4"/>
    <n v="1"/>
    <n v="3"/>
    <n v="1"/>
    <n v="1"/>
    <n v="2"/>
    <n v="3"/>
    <n v="2"/>
    <n v="3"/>
    <n v="2"/>
    <n v="2"/>
    <n v="4"/>
    <n v="2"/>
    <n v="1"/>
    <n v="3"/>
    <n v="1"/>
    <n v="1"/>
    <n v="4"/>
    <n v="3"/>
    <n v="1"/>
    <n v="2"/>
    <n v="2"/>
    <n v="2"/>
    <n v="3"/>
    <n v="4"/>
    <n v="4"/>
    <n v="1"/>
    <n v="3"/>
    <n v="3"/>
    <n v="2"/>
    <n v="1"/>
    <n v="1"/>
    <n v="1"/>
    <n v="1"/>
    <n v="1"/>
    <n v="1"/>
    <n v="2"/>
    <n v="1"/>
    <n v="0"/>
    <n v="1"/>
    <n v="0"/>
    <n v="1"/>
    <n v="0"/>
    <n v="1"/>
    <n v="1"/>
    <n v="0"/>
    <n v="0"/>
    <n v="1"/>
    <n v="1"/>
    <n v="1"/>
    <n v="0"/>
    <n v="1"/>
    <n v="1"/>
    <n v="1"/>
    <n v="1"/>
    <n v="1"/>
    <n v="0"/>
    <n v="1"/>
    <n v="1"/>
    <n v="0"/>
    <n v="1"/>
    <n v="0"/>
    <n v="1"/>
    <n v="1"/>
    <n v="1"/>
    <n v="1"/>
    <n v="1"/>
  </r>
  <r>
    <s v="VITAL,NEHEMIA"/>
    <s v="NEHEMIA"/>
    <s v="VITAL"/>
    <n v="100777163"/>
    <n v="11"/>
    <m/>
    <b v="0"/>
    <b v="0"/>
    <n v="20"/>
    <n v="4"/>
    <n v="4"/>
    <n v="1"/>
    <x v="9"/>
    <n v="4"/>
    <n v="2"/>
    <n v="1"/>
    <n v="3"/>
    <n v="1"/>
    <n v="2"/>
    <n v="3"/>
    <n v="2"/>
    <n v="2"/>
    <n v="1"/>
    <n v="3"/>
    <n v="3"/>
    <n v="2"/>
    <n v="4"/>
    <n v="3"/>
    <n v="1"/>
    <n v="1"/>
    <n v="4"/>
    <n v="3"/>
    <n v="1"/>
    <n v="3"/>
    <n v="2"/>
    <n v="4"/>
    <n v="2"/>
    <n v="1"/>
    <n v="4"/>
    <n v="1"/>
    <n v="3"/>
    <n v="4"/>
    <n v="0"/>
    <n v="1"/>
    <n v="1"/>
    <n v="0"/>
    <n v="0"/>
    <n v="1"/>
    <n v="1"/>
    <n v="1"/>
    <n v="1"/>
    <n v="1"/>
    <n v="0"/>
    <n v="1"/>
    <n v="1"/>
    <n v="0"/>
    <n v="1"/>
    <n v="1"/>
    <n v="1"/>
    <n v="1"/>
    <n v="0"/>
    <n v="0"/>
    <n v="1"/>
    <n v="1"/>
    <n v="1"/>
    <n v="1"/>
    <n v="1"/>
    <n v="1"/>
    <n v="1"/>
    <n v="0"/>
    <n v="0"/>
    <n v="1"/>
    <n v="0"/>
    <n v="0"/>
    <n v="1"/>
    <n v="1"/>
    <n v="1"/>
    <n v="1"/>
    <n v="1"/>
    <n v="1"/>
  </r>
  <r>
    <s v="WALTERS,MALACHI"/>
    <s v="MALACHI"/>
    <s v="WALTERS"/>
    <n v="208452870"/>
    <n v="9"/>
    <s v="Antaky"/>
    <b v="0"/>
    <b v="0"/>
    <n v="19"/>
    <n v="2"/>
    <n v="5"/>
    <n v="1"/>
    <x v="35"/>
    <n v="4"/>
    <n v="2"/>
    <n v="3"/>
    <n v="2"/>
    <n v="1"/>
    <n v="1"/>
    <n v="2"/>
    <n v="3"/>
    <n v="2"/>
    <n v="1"/>
    <n v="2"/>
    <n v="4"/>
    <n v="2"/>
    <n v="3"/>
    <n v="3"/>
    <n v="4"/>
    <n v="1"/>
    <n v="3"/>
    <n v="3"/>
    <n v="1"/>
    <n v="2"/>
    <n v="2"/>
    <n v="3"/>
    <n v="2"/>
    <n v="1"/>
    <n v="4"/>
    <n v="1"/>
    <n v="3"/>
    <n v="1"/>
    <n v="1"/>
    <n v="1"/>
    <n v="1"/>
    <n v="1"/>
    <n v="0"/>
    <n v="1"/>
    <n v="1"/>
    <n v="1"/>
    <n v="1"/>
    <n v="1"/>
    <n v="1"/>
    <n v="0"/>
    <n v="1"/>
    <n v="0"/>
    <n v="0"/>
    <n v="0"/>
    <n v="1"/>
    <n v="1"/>
    <n v="1"/>
    <n v="1"/>
    <n v="1"/>
    <n v="0"/>
    <n v="1"/>
    <n v="0"/>
    <n v="1"/>
    <n v="0"/>
    <n v="1"/>
    <n v="0"/>
    <n v="1"/>
    <n v="1"/>
    <n v="1"/>
    <n v="0"/>
    <n v="1"/>
    <n v="1"/>
    <n v="1"/>
    <n v="1"/>
    <n v="1"/>
    <n v="1"/>
  </r>
  <r>
    <s v="WATKINS,NEVAEH"/>
    <s v="NEVAEH"/>
    <s v="WATKINS"/>
    <n v="239413040"/>
    <n v="9"/>
    <s v="Kovelsky"/>
    <b v="0"/>
    <b v="1"/>
    <n v="11"/>
    <n v="2"/>
    <n v="0"/>
    <n v="0"/>
    <x v="28"/>
    <n v="4"/>
    <n v="2"/>
    <n v="4"/>
    <n v="1"/>
    <n v="3"/>
    <n v="3"/>
    <n v="2"/>
    <n v="4"/>
    <n v="1"/>
    <n v="2"/>
    <n v="4"/>
    <n v="3"/>
    <n v="2"/>
    <n v="1"/>
    <n v="1"/>
    <n v="4"/>
    <n v="3"/>
    <n v="4"/>
    <n v="3"/>
    <n v="1"/>
    <n v="3"/>
    <n v="2"/>
    <n v="3"/>
    <n v="4"/>
    <n v="1"/>
    <n v="4"/>
    <n v="1"/>
    <n v="3"/>
    <n v="1"/>
    <n v="1"/>
    <n v="0"/>
    <n v="0"/>
    <n v="0"/>
    <n v="0"/>
    <n v="0"/>
    <n v="0"/>
    <n v="0"/>
    <n v="1"/>
    <n v="1"/>
    <n v="0"/>
    <n v="0"/>
    <n v="0"/>
    <n v="0"/>
    <n v="0"/>
    <n v="0"/>
    <n v="0"/>
    <n v="0"/>
    <n v="0"/>
    <n v="0"/>
    <n v="1"/>
    <n v="0"/>
    <n v="0"/>
    <n v="0"/>
    <n v="0"/>
    <n v="1"/>
    <n v="1"/>
    <n v="0"/>
    <n v="0"/>
    <n v="1"/>
    <n v="1"/>
    <n v="0"/>
    <n v="1"/>
    <n v="1"/>
    <n v="1"/>
    <n v="1"/>
    <n v="0"/>
    <n v="0"/>
  </r>
  <r>
    <s v="WHITE,JADEN"/>
    <s v="JADEN"/>
    <s v="WHITE"/>
    <n v="238374581"/>
    <n v="11"/>
    <s v="Dushin"/>
    <b v="0"/>
    <b v="0"/>
    <n v="13"/>
    <n v="2"/>
    <n v="2"/>
    <n v="0"/>
    <x v="38"/>
    <n v="4"/>
    <n v="1"/>
    <n v="2"/>
    <n v="3"/>
    <n v="1"/>
    <n v="3"/>
    <n v="2"/>
    <n v="2"/>
    <n v="2"/>
    <n v="1"/>
    <n v="2"/>
    <n v="4"/>
    <n v="1"/>
    <n v="4"/>
    <n v="1"/>
    <n v="2"/>
    <n v="1"/>
    <n v="3"/>
    <n v="4"/>
    <n v="2"/>
    <n v="4"/>
    <n v="1"/>
    <n v="3"/>
    <n v="4"/>
    <n v="3"/>
    <n v="2"/>
    <n v="1"/>
    <n v="3"/>
    <n v="2"/>
    <n v="0"/>
    <n v="0"/>
    <n v="1"/>
    <n v="1"/>
    <n v="0"/>
    <n v="0"/>
    <n v="0"/>
    <n v="0"/>
    <n v="1"/>
    <n v="0"/>
    <n v="0"/>
    <n v="1"/>
    <n v="1"/>
    <n v="0"/>
    <n v="0"/>
    <n v="1"/>
    <n v="1"/>
    <n v="1"/>
    <n v="1"/>
    <n v="1"/>
    <n v="0"/>
    <n v="1"/>
    <n v="0"/>
    <n v="0"/>
    <n v="1"/>
    <n v="0"/>
    <n v="0"/>
    <n v="0"/>
    <n v="0"/>
    <n v="0"/>
    <n v="1"/>
    <n v="0"/>
    <n v="0"/>
    <n v="0"/>
    <n v="1"/>
    <n v="1"/>
    <n v="0"/>
    <n v="0"/>
  </r>
  <r>
    <s v="WHITE,TYSHAWN"/>
    <s v="TYSHAWN"/>
    <s v="WHITE"/>
    <n v="236144887"/>
    <n v="9"/>
    <s v="Kovelsky"/>
    <b v="0"/>
    <b v="0"/>
    <n v="0"/>
    <n v="0"/>
    <n v="0"/>
    <n v="0"/>
    <x v="2"/>
    <m/>
    <m/>
    <m/>
    <m/>
    <m/>
    <m/>
    <m/>
    <m/>
    <m/>
    <m/>
    <m/>
    <m/>
    <m/>
    <m/>
    <m/>
    <m/>
    <m/>
    <m/>
    <m/>
    <m/>
    <m/>
    <m/>
    <m/>
    <m/>
    <m/>
    <m/>
    <m/>
    <m/>
    <m/>
    <m/>
    <m/>
    <m/>
    <m/>
    <m/>
    <m/>
    <m/>
    <m/>
    <n v="0"/>
    <n v="0"/>
    <n v="0"/>
    <n v="0"/>
    <n v="0"/>
    <n v="0"/>
    <n v="0"/>
    <n v="0"/>
    <n v="0"/>
    <n v="0"/>
    <n v="0"/>
    <n v="0"/>
    <n v="0"/>
    <n v="0"/>
    <n v="0"/>
    <n v="0"/>
    <n v="0"/>
    <n v="0"/>
    <n v="0"/>
    <n v="0"/>
    <n v="0"/>
    <n v="0"/>
    <n v="0"/>
    <n v="0"/>
    <n v="0"/>
    <n v="0"/>
    <n v="0"/>
    <n v="0"/>
    <n v="0"/>
    <n v="0"/>
  </r>
  <r>
    <s v="WIGGAN,NICKOLAS"/>
    <s v="NICKOLAS"/>
    <s v="WIGGAN"/>
    <n v="234875417"/>
    <n v="11"/>
    <s v="Dushin"/>
    <b v="0"/>
    <b v="0"/>
    <n v="22"/>
    <n v="1"/>
    <n v="6"/>
    <n v="1.5"/>
    <x v="0"/>
    <n v="4"/>
    <n v="2"/>
    <n v="3"/>
    <n v="3"/>
    <n v="1"/>
    <n v="4"/>
    <n v="3"/>
    <n v="2"/>
    <n v="2"/>
    <n v="1"/>
    <n v="2"/>
    <n v="3"/>
    <n v="1"/>
    <n v="4"/>
    <n v="3"/>
    <n v="1"/>
    <n v="1"/>
    <n v="4"/>
    <n v="3"/>
    <n v="2"/>
    <n v="4"/>
    <n v="1"/>
    <n v="3"/>
    <n v="3"/>
    <n v="4"/>
    <n v="4"/>
    <n v="1"/>
    <n v="3"/>
    <n v="1"/>
    <n v="0"/>
    <n v="1"/>
    <n v="1"/>
    <n v="1"/>
    <n v="1"/>
    <n v="1"/>
    <n v="1"/>
    <n v="1.5"/>
    <n v="1"/>
    <n v="1"/>
    <n v="1"/>
    <n v="1"/>
    <n v="1"/>
    <n v="1"/>
    <n v="1"/>
    <n v="1"/>
    <n v="1"/>
    <n v="1"/>
    <n v="1"/>
    <n v="0"/>
    <n v="0"/>
    <n v="1"/>
    <n v="1"/>
    <n v="1"/>
    <n v="1"/>
    <n v="1"/>
    <n v="1"/>
    <n v="0"/>
    <n v="0"/>
    <n v="0"/>
    <n v="1"/>
    <n v="1"/>
    <n v="0"/>
    <n v="1"/>
    <n v="1"/>
    <n v="1"/>
    <n v="1"/>
    <n v="1"/>
  </r>
  <r>
    <s v="WILLIAMS BLACKMORE,SHAYLAH"/>
    <s v="SHAYLAH"/>
    <s v="WILLIAMS BLACKMORE"/>
    <n v="235901634"/>
    <n v="11"/>
    <s v="Dushin"/>
    <b v="0"/>
    <b v="0"/>
    <n v="15"/>
    <n v="3"/>
    <n v="5"/>
    <n v="2"/>
    <x v="35"/>
    <n v="4"/>
    <n v="1"/>
    <n v="1"/>
    <n v="1"/>
    <n v="1"/>
    <n v="2"/>
    <n v="4"/>
    <n v="3"/>
    <n v="2"/>
    <n v="1"/>
    <n v="2"/>
    <n v="4"/>
    <n v="3"/>
    <n v="4"/>
    <n v="3"/>
    <n v="4"/>
    <n v="1"/>
    <n v="4"/>
    <n v="3"/>
    <n v="1"/>
    <n v="3"/>
    <n v="2"/>
    <n v="3"/>
    <n v="3"/>
    <n v="3"/>
    <n v="4"/>
    <n v="4"/>
    <n v="2"/>
    <n v="3"/>
    <n v="0"/>
    <n v="1"/>
    <n v="1"/>
    <n v="1"/>
    <n v="0"/>
    <n v="1"/>
    <n v="1"/>
    <n v="2"/>
    <n v="1"/>
    <n v="0"/>
    <n v="0"/>
    <n v="0"/>
    <n v="1"/>
    <n v="0"/>
    <n v="0"/>
    <n v="0"/>
    <n v="1"/>
    <n v="1"/>
    <n v="1"/>
    <n v="1"/>
    <n v="0"/>
    <n v="1"/>
    <n v="1"/>
    <n v="0"/>
    <n v="1"/>
    <n v="1"/>
    <n v="1"/>
    <n v="0"/>
    <n v="0"/>
    <n v="1"/>
    <n v="1"/>
    <n v="1"/>
    <n v="0"/>
    <n v="1"/>
    <n v="0"/>
    <n v="0"/>
    <n v="1"/>
    <n v="1"/>
  </r>
  <r>
    <s v="WILLIS,MIA"/>
    <s v="MIA"/>
    <s v="WILLIS"/>
    <n v="240464883"/>
    <n v="9"/>
    <s v="Kovelsky"/>
    <b v="0"/>
    <b v="0"/>
    <n v="20"/>
    <n v="3"/>
    <n v="5"/>
    <n v="0"/>
    <x v="25"/>
    <n v="4"/>
    <n v="1"/>
    <n v="3"/>
    <n v="3"/>
    <n v="1"/>
    <n v="3"/>
    <n v="2"/>
    <n v="2"/>
    <n v="2"/>
    <n v="1"/>
    <n v="2"/>
    <n v="4"/>
    <n v="2"/>
    <n v="3"/>
    <n v="3"/>
    <n v="1"/>
    <n v="1"/>
    <n v="4"/>
    <n v="3"/>
    <n v="4"/>
    <n v="4"/>
    <n v="2"/>
    <n v="3"/>
    <n v="2"/>
    <n v="2"/>
    <n v="4"/>
    <n v="2"/>
    <n v="3"/>
    <n v="2"/>
    <n v="1"/>
    <n v="1"/>
    <n v="1"/>
    <n v="1"/>
    <n v="1"/>
    <n v="1"/>
    <n v="0"/>
    <n v="0"/>
    <n v="1"/>
    <n v="0"/>
    <n v="1"/>
    <n v="1"/>
    <n v="1"/>
    <n v="0"/>
    <n v="0"/>
    <n v="1"/>
    <n v="1"/>
    <n v="1"/>
    <n v="1"/>
    <n v="1"/>
    <n v="1"/>
    <n v="0"/>
    <n v="1"/>
    <n v="1"/>
    <n v="1"/>
    <n v="1"/>
    <n v="1"/>
    <n v="1"/>
    <n v="0"/>
    <n v="1"/>
    <n v="1"/>
    <n v="0"/>
    <n v="0"/>
    <n v="1"/>
    <n v="0"/>
    <n v="1"/>
    <n v="0"/>
    <n v="0"/>
  </r>
  <r>
    <s v="WILSON,RODELL"/>
    <s v="RODELL"/>
    <s v="WILSON"/>
    <n v="234078491"/>
    <n v="11"/>
    <s v="Kovelsky"/>
    <b v="0"/>
    <b v="0"/>
    <n v="21"/>
    <n v="1"/>
    <n v="6"/>
    <n v="2"/>
    <x v="0"/>
    <n v="4"/>
    <n v="2"/>
    <n v="3"/>
    <n v="2"/>
    <n v="1"/>
    <n v="4"/>
    <n v="3"/>
    <n v="2"/>
    <n v="2"/>
    <n v="1"/>
    <n v="2"/>
    <n v="4"/>
    <n v="2"/>
    <n v="2"/>
    <n v="3"/>
    <n v="3"/>
    <n v="1"/>
    <n v="4"/>
    <n v="3"/>
    <n v="2"/>
    <n v="3"/>
    <n v="2"/>
    <n v="4"/>
    <n v="3"/>
    <n v="1"/>
    <n v="4"/>
    <n v="4"/>
    <n v="3"/>
    <n v="0"/>
    <n v="1"/>
    <n v="1"/>
    <n v="1"/>
    <n v="1"/>
    <n v="1"/>
    <n v="1"/>
    <n v="1"/>
    <n v="2"/>
    <n v="1"/>
    <n v="1"/>
    <n v="1"/>
    <n v="0"/>
    <n v="1"/>
    <n v="1"/>
    <n v="1"/>
    <n v="1"/>
    <n v="1"/>
    <n v="1"/>
    <n v="1"/>
    <n v="1"/>
    <n v="1"/>
    <n v="0"/>
    <n v="1"/>
    <n v="0"/>
    <n v="1"/>
    <n v="1"/>
    <n v="1"/>
    <n v="0"/>
    <n v="0"/>
    <n v="1"/>
    <n v="0"/>
    <n v="1"/>
    <n v="1"/>
    <n v="1"/>
    <n v="0"/>
    <n v="1"/>
    <n v="1"/>
    <n v="1"/>
  </r>
  <r>
    <s v="WINTZ,JAIYANA"/>
    <s v="JAIYANA"/>
    <s v="WINTZ"/>
    <n v="247834658"/>
    <n v="9"/>
    <m/>
    <b v="0"/>
    <b v="0"/>
    <n v="0"/>
    <n v="0"/>
    <n v="0"/>
    <n v="0"/>
    <x v="2"/>
    <m/>
    <m/>
    <m/>
    <m/>
    <m/>
    <m/>
    <m/>
    <m/>
    <m/>
    <m/>
    <m/>
    <m/>
    <m/>
    <m/>
    <m/>
    <m/>
    <m/>
    <m/>
    <m/>
    <m/>
    <m/>
    <m/>
    <m/>
    <m/>
    <m/>
    <m/>
    <m/>
    <m/>
    <m/>
    <m/>
    <m/>
    <m/>
    <m/>
    <m/>
    <m/>
    <m/>
    <m/>
    <n v="0"/>
    <n v="0"/>
    <n v="0"/>
    <n v="0"/>
    <n v="0"/>
    <n v="0"/>
    <n v="0"/>
    <n v="0"/>
    <n v="0"/>
    <n v="0"/>
    <n v="0"/>
    <n v="0"/>
    <n v="0"/>
    <n v="0"/>
    <n v="0"/>
    <n v="0"/>
    <n v="0"/>
    <n v="0"/>
    <n v="0"/>
    <n v="0"/>
    <n v="0"/>
    <n v="0"/>
    <n v="0"/>
    <n v="0"/>
    <n v="0"/>
    <n v="0"/>
    <n v="0"/>
    <n v="0"/>
    <n v="0"/>
    <n v="0"/>
  </r>
  <r>
    <s v="WRIGHT,HASSON"/>
    <s v="HASSON"/>
    <s v="WRIGHT"/>
    <n v="239613250"/>
    <n v="9"/>
    <s v="Kovelsky"/>
    <b v="0"/>
    <b v="1"/>
    <n v="12"/>
    <n v="3"/>
    <n v="0"/>
    <n v="0"/>
    <x v="45"/>
    <n v="2"/>
    <n v="3"/>
    <n v="3"/>
    <n v="1"/>
    <n v="1"/>
    <n v="1"/>
    <n v="3"/>
    <n v="2"/>
    <n v="2"/>
    <n v="2"/>
    <n v="2"/>
    <n v="1"/>
    <n v="3"/>
    <n v="3"/>
    <n v="1"/>
    <n v="4"/>
    <n v="1"/>
    <n v="3"/>
    <n v="3"/>
    <n v="1"/>
    <n v="2"/>
    <n v="2"/>
    <n v="2"/>
    <n v="1"/>
    <n v="4"/>
    <n v="2"/>
    <n v="1"/>
    <n v="3"/>
    <n v="2"/>
    <n v="1"/>
    <n v="0"/>
    <n v="0"/>
    <n v="0"/>
    <n v="0"/>
    <n v="0"/>
    <n v="0"/>
    <n v="0"/>
    <n v="0"/>
    <n v="0"/>
    <n v="1"/>
    <n v="0"/>
    <n v="1"/>
    <n v="0"/>
    <n v="1"/>
    <n v="1"/>
    <n v="1"/>
    <n v="0"/>
    <n v="1"/>
    <n v="0"/>
    <n v="0"/>
    <n v="0"/>
    <n v="0"/>
    <n v="0"/>
    <n v="1"/>
    <n v="0"/>
    <n v="1"/>
    <n v="0"/>
    <n v="1"/>
    <n v="1"/>
    <n v="0"/>
    <n v="0"/>
    <n v="0"/>
    <n v="0"/>
    <n v="1"/>
    <n v="1"/>
    <n v="0"/>
    <n v="0"/>
  </r>
  <r>
    <s v="YOUNG,MARQUISE"/>
    <s v="MARQUISE"/>
    <s v="YOUNG"/>
    <n v="236023792"/>
    <n v="9"/>
    <m/>
    <b v="0"/>
    <b v="0"/>
    <n v="0"/>
    <n v="0"/>
    <n v="0"/>
    <n v="0"/>
    <x v="2"/>
    <m/>
    <m/>
    <m/>
    <m/>
    <m/>
    <m/>
    <m/>
    <m/>
    <m/>
    <m/>
    <m/>
    <m/>
    <m/>
    <m/>
    <m/>
    <m/>
    <m/>
    <m/>
    <m/>
    <m/>
    <m/>
    <m/>
    <m/>
    <m/>
    <m/>
    <m/>
    <m/>
    <m/>
    <m/>
    <m/>
    <m/>
    <m/>
    <m/>
    <m/>
    <m/>
    <m/>
    <m/>
    <n v="0"/>
    <n v="0"/>
    <n v="0"/>
    <n v="0"/>
    <n v="0"/>
    <n v="0"/>
    <n v="0"/>
    <n v="0"/>
    <n v="0"/>
    <n v="0"/>
    <n v="0"/>
    <n v="0"/>
    <n v="0"/>
    <n v="0"/>
    <n v="0"/>
    <n v="0"/>
    <n v="0"/>
    <n v="0"/>
    <n v="0"/>
    <n v="0"/>
    <n v="0"/>
    <n v="0"/>
    <n v="0"/>
    <n v="0"/>
    <n v="0"/>
    <n v="0"/>
    <n v="0"/>
    <n v="0"/>
    <n v="0"/>
    <n v="0"/>
  </r>
  <r>
    <s v="YOUNGE,JOSLIN"/>
    <s v="JOSLIN"/>
    <s v="YOUNGE"/>
    <n v="237725759"/>
    <n v="9"/>
    <s v="Kovelsky"/>
    <b v="0"/>
    <b v="0"/>
    <n v="7"/>
    <n v="0"/>
    <n v="0"/>
    <n v="0"/>
    <x v="46"/>
    <n v="2"/>
    <n v="3"/>
    <n v="2"/>
    <n v="3"/>
    <n v="1"/>
    <n v="4"/>
    <n v="2"/>
    <n v="1"/>
    <n v="3"/>
    <n v="1"/>
    <n v="2"/>
    <n v="1"/>
    <n v="2"/>
    <n v="3"/>
    <n v="4"/>
    <n v="2"/>
    <n v="3"/>
    <n v="3"/>
    <n v="2"/>
    <n v="3"/>
    <n v="3"/>
    <n v="3"/>
    <n v="2"/>
    <n v="4"/>
    <n v="2"/>
    <n v="4"/>
    <n v="3"/>
    <n v="2"/>
    <n v="0"/>
    <n v="0"/>
    <n v="0"/>
    <n v="0"/>
    <n v="0"/>
    <n v="0"/>
    <n v="0"/>
    <n v="0"/>
    <n v="0"/>
    <n v="0"/>
    <n v="0"/>
    <n v="0"/>
    <n v="1"/>
    <n v="1"/>
    <n v="1"/>
    <n v="0"/>
    <n v="0"/>
    <n v="0"/>
    <n v="1"/>
    <n v="1"/>
    <n v="0"/>
    <n v="1"/>
    <n v="0"/>
    <n v="0"/>
    <n v="0"/>
    <n v="0"/>
    <n v="0"/>
    <n v="0"/>
    <n v="0"/>
    <n v="0"/>
    <n v="0"/>
    <n v="0"/>
    <n v="0"/>
    <n v="0"/>
    <n v="1"/>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x v="0"/>
    <x v="0"/>
    <x v="0"/>
    <x v="0"/>
    <n v="6"/>
    <n v="4"/>
    <n v="1"/>
    <x v="0"/>
    <n v="4"/>
    <n v="2"/>
    <m/>
    <n v="3"/>
    <n v="1"/>
    <n v="4"/>
    <n v="3"/>
    <n v="1"/>
    <n v="1"/>
    <n v="1"/>
    <n v="2"/>
    <n v="4"/>
    <n v="2"/>
    <n v="4"/>
    <n v="3"/>
    <n v="1"/>
    <n v="1"/>
    <n v="4"/>
    <n v="3"/>
    <n v="4"/>
    <n v="3"/>
    <n v="4"/>
    <n v="3"/>
    <n v="1"/>
    <n v="1"/>
    <n v="4"/>
    <n v="4"/>
    <n v="3"/>
    <n v="3"/>
    <n v="3"/>
    <n v="0"/>
    <n v="1"/>
    <n v="1"/>
    <n v="0"/>
    <n v="1"/>
    <n v="1"/>
    <n v="1"/>
    <n v="1"/>
    <n v="1"/>
    <n v="0"/>
    <n v="1"/>
    <n v="1"/>
    <n v="1"/>
    <n v="1"/>
    <n v="0"/>
    <n v="0"/>
    <n v="1"/>
    <n v="1"/>
    <n v="1"/>
    <n v="1"/>
    <n v="1"/>
    <n v="1"/>
    <n v="1"/>
    <n v="1"/>
    <n v="1"/>
    <n v="1"/>
    <n v="1"/>
    <n v="0"/>
    <n v="0"/>
    <n v="1"/>
    <n v="0"/>
    <n v="1"/>
    <n v="1"/>
    <n v="0"/>
    <n v="1"/>
    <n v="1"/>
    <n v="1"/>
  </r>
  <r>
    <x v="0"/>
    <x v="1"/>
    <x v="0"/>
    <x v="1"/>
    <x v="1"/>
    <n v="4"/>
    <n v="6"/>
    <n v="1"/>
    <x v="1"/>
    <n v="1"/>
    <n v="3"/>
    <n v="3"/>
    <n v="1"/>
    <n v="1"/>
    <n v="3"/>
    <n v="2"/>
    <n v="2"/>
    <n v="2"/>
    <n v="1"/>
    <n v="2"/>
    <n v="3"/>
    <n v="2"/>
    <n v="3"/>
    <n v="2"/>
    <n v="3"/>
    <n v="3"/>
    <n v="1"/>
    <n v="3"/>
    <n v="2"/>
    <n v="3"/>
    <n v="2"/>
    <n v="3"/>
    <n v="4"/>
    <n v="1"/>
    <n v="1"/>
    <n v="1"/>
    <n v="3"/>
    <n v="2"/>
    <n v="2"/>
    <n v="1"/>
    <n v="1"/>
    <n v="1"/>
    <n v="1"/>
    <n v="1"/>
    <n v="1"/>
    <n v="1"/>
    <n v="0"/>
    <n v="0"/>
    <n v="1"/>
    <n v="0"/>
    <n v="1"/>
    <n v="0"/>
    <n v="0"/>
    <n v="1"/>
    <n v="1"/>
    <n v="1"/>
    <n v="1"/>
    <n v="0"/>
    <n v="1"/>
    <n v="0"/>
    <n v="0"/>
    <n v="0"/>
    <n v="0"/>
    <n v="0"/>
    <n v="1"/>
    <n v="0"/>
    <n v="0"/>
    <n v="1"/>
    <n v="1"/>
    <n v="0"/>
    <n v="1"/>
    <n v="0"/>
    <n v="1"/>
    <n v="1"/>
    <n v="0"/>
    <n v="1"/>
  </r>
  <r>
    <x v="1"/>
    <x v="1"/>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0"/>
    <x v="3"/>
    <n v="0"/>
    <n v="6"/>
    <n v="0"/>
    <x v="3"/>
    <n v="2"/>
    <n v="1"/>
    <n v="3"/>
    <n v="1"/>
    <n v="1"/>
    <n v="4"/>
    <n v="2"/>
    <n v="3"/>
    <n v="2"/>
    <n v="1"/>
    <n v="3"/>
    <n v="1"/>
    <n v="4"/>
    <n v="2"/>
    <n v="1"/>
    <n v="2"/>
    <n v="2"/>
    <n v="4"/>
    <n v="3"/>
    <n v="4"/>
    <n v="1"/>
    <n v="3"/>
    <n v="2"/>
    <n v="1"/>
    <n v="4"/>
    <n v="2"/>
    <n v="4"/>
    <n v="1"/>
    <n v="0"/>
    <n v="0"/>
    <n v="1"/>
    <n v="1"/>
    <n v="1"/>
    <n v="1"/>
    <n v="1"/>
    <n v="1"/>
    <n v="0"/>
    <n v="0"/>
    <n v="0"/>
    <n v="1"/>
    <n v="0"/>
    <n v="1"/>
    <n v="1"/>
    <n v="0"/>
    <n v="0"/>
    <n v="1"/>
    <n v="1"/>
    <n v="0"/>
    <n v="0"/>
    <n v="0"/>
    <n v="0"/>
    <n v="0"/>
    <n v="0"/>
    <n v="0"/>
    <n v="1"/>
    <n v="1"/>
    <n v="1"/>
    <n v="0"/>
    <n v="0"/>
    <n v="0"/>
    <n v="0"/>
    <n v="0"/>
    <n v="0"/>
    <n v="0"/>
    <n v="0"/>
    <n v="0"/>
    <n v="0"/>
  </r>
  <r>
    <x v="0"/>
    <x v="0"/>
    <x v="0"/>
    <x v="0"/>
    <x v="0"/>
    <n v="6"/>
    <n v="6"/>
    <n v="3"/>
    <x v="4"/>
    <n v="4"/>
    <n v="2"/>
    <n v="3"/>
    <n v="3"/>
    <n v="1"/>
    <n v="2"/>
    <n v="3"/>
    <n v="2"/>
    <n v="2"/>
    <n v="1"/>
    <n v="2"/>
    <n v="4"/>
    <n v="2"/>
    <n v="4"/>
    <n v="1"/>
    <n v="2"/>
    <n v="1"/>
    <n v="4"/>
    <n v="2"/>
    <n v="4"/>
    <n v="2"/>
    <n v="2"/>
    <n v="3"/>
    <n v="3"/>
    <n v="3"/>
    <n v="4"/>
    <n v="4"/>
    <n v="2"/>
    <n v="3"/>
    <n v="3"/>
    <n v="1"/>
    <n v="1"/>
    <n v="1"/>
    <n v="1"/>
    <n v="1"/>
    <n v="1"/>
    <n v="3"/>
    <n v="1"/>
    <n v="1"/>
    <n v="1"/>
    <n v="1"/>
    <n v="1"/>
    <n v="0"/>
    <n v="1"/>
    <n v="1"/>
    <n v="1"/>
    <n v="1"/>
    <n v="1"/>
    <n v="1"/>
    <n v="1"/>
    <n v="1"/>
    <n v="0"/>
    <n v="0"/>
    <n v="1"/>
    <n v="1"/>
    <n v="0"/>
    <n v="1"/>
    <n v="1"/>
    <n v="1"/>
    <n v="1"/>
    <n v="1"/>
    <n v="0"/>
    <n v="1"/>
    <n v="0"/>
    <n v="0"/>
    <n v="1"/>
    <n v="1"/>
  </r>
  <r>
    <x v="0"/>
    <x v="0"/>
    <x v="0"/>
    <x v="0"/>
    <x v="4"/>
    <n v="3"/>
    <n v="6"/>
    <n v="2"/>
    <x v="5"/>
    <n v="4"/>
    <n v="3"/>
    <n v="3"/>
    <n v="1"/>
    <n v="1"/>
    <n v="2"/>
    <n v="1"/>
    <n v="4"/>
    <n v="3"/>
    <n v="1"/>
    <n v="3"/>
    <n v="4"/>
    <n v="1"/>
    <n v="4"/>
    <n v="3"/>
    <n v="1"/>
    <n v="1"/>
    <n v="4"/>
    <n v="3"/>
    <n v="3"/>
    <n v="1"/>
    <n v="2"/>
    <n v="3"/>
    <n v="2"/>
    <n v="3"/>
    <n v="4"/>
    <n v="4"/>
    <n v="3"/>
    <n v="2"/>
    <n v="1"/>
    <n v="1"/>
    <n v="1"/>
    <n v="1"/>
    <n v="1"/>
    <n v="1"/>
    <n v="1"/>
    <n v="2"/>
    <n v="1"/>
    <n v="0"/>
    <n v="1"/>
    <n v="0"/>
    <n v="1"/>
    <n v="0"/>
    <n v="0"/>
    <n v="0"/>
    <n v="0"/>
    <n v="1"/>
    <n v="0"/>
    <n v="1"/>
    <n v="0"/>
    <n v="1"/>
    <n v="1"/>
    <n v="1"/>
    <n v="1"/>
    <n v="1"/>
    <n v="1"/>
    <n v="0"/>
    <n v="0"/>
    <n v="1"/>
    <n v="1"/>
    <n v="0"/>
    <n v="0"/>
    <n v="1"/>
    <n v="0"/>
    <n v="1"/>
    <n v="1"/>
    <n v="1"/>
  </r>
  <r>
    <x v="0"/>
    <x v="2"/>
    <x v="0"/>
    <x v="0"/>
    <x v="5"/>
    <n v="6"/>
    <n v="6"/>
    <n v="4"/>
    <x v="6"/>
    <n v="4"/>
    <n v="1"/>
    <n v="3"/>
    <n v="3"/>
    <n v="1"/>
    <n v="4"/>
    <n v="3"/>
    <n v="2"/>
    <n v="2"/>
    <n v="1"/>
    <n v="2"/>
    <n v="4"/>
    <n v="2"/>
    <n v="4"/>
    <n v="3"/>
    <n v="1"/>
    <n v="1"/>
    <n v="4"/>
    <n v="3"/>
    <n v="1"/>
    <n v="2"/>
    <n v="2"/>
    <n v="3"/>
    <n v="2"/>
    <n v="1"/>
    <n v="4"/>
    <n v="1"/>
    <n v="3"/>
    <n v="3"/>
    <n v="3"/>
    <n v="1"/>
    <n v="1"/>
    <n v="1"/>
    <n v="1"/>
    <n v="1"/>
    <n v="1"/>
    <n v="4"/>
    <n v="1"/>
    <n v="0"/>
    <n v="1"/>
    <n v="1"/>
    <n v="1"/>
    <n v="1"/>
    <n v="1"/>
    <n v="1"/>
    <n v="1"/>
    <n v="1"/>
    <n v="1"/>
    <n v="1"/>
    <n v="1"/>
    <n v="1"/>
    <n v="1"/>
    <n v="1"/>
    <n v="1"/>
    <n v="1"/>
    <n v="1"/>
    <n v="0"/>
    <n v="1"/>
    <n v="1"/>
    <n v="1"/>
    <n v="0"/>
    <n v="1"/>
    <n v="1"/>
    <n v="1"/>
    <n v="1"/>
    <n v="1"/>
    <n v="1"/>
  </r>
  <r>
    <x v="1"/>
    <x v="3"/>
    <x v="0"/>
    <x v="0"/>
    <x v="0"/>
    <n v="6"/>
    <n v="6"/>
    <n v="2"/>
    <x v="7"/>
    <n v="3"/>
    <n v="1"/>
    <n v="3"/>
    <n v="3"/>
    <n v="1"/>
    <n v="2"/>
    <n v="3"/>
    <n v="2"/>
    <n v="2"/>
    <n v="1"/>
    <n v="2"/>
    <n v="4"/>
    <n v="2"/>
    <n v="4"/>
    <n v="3"/>
    <n v="1"/>
    <n v="1"/>
    <n v="4"/>
    <n v="3"/>
    <n v="1"/>
    <n v="2"/>
    <n v="2"/>
    <n v="3"/>
    <n v="2"/>
    <n v="3"/>
    <n v="4"/>
    <n v="4"/>
    <n v="3"/>
    <n v="3"/>
    <n v="3"/>
    <n v="1"/>
    <n v="1"/>
    <n v="1"/>
    <n v="1"/>
    <n v="1"/>
    <n v="1"/>
    <n v="2"/>
    <n v="0"/>
    <n v="0"/>
    <n v="1"/>
    <n v="1"/>
    <n v="1"/>
    <n v="0"/>
    <n v="1"/>
    <n v="1"/>
    <n v="1"/>
    <n v="1"/>
    <n v="1"/>
    <n v="1"/>
    <n v="1"/>
    <n v="1"/>
    <n v="1"/>
    <n v="1"/>
    <n v="1"/>
    <n v="1"/>
    <n v="1"/>
    <n v="0"/>
    <n v="1"/>
    <n v="1"/>
    <n v="1"/>
    <n v="0"/>
    <n v="0"/>
    <n v="1"/>
    <n v="0"/>
    <n v="1"/>
    <n v="1"/>
    <n v="1"/>
  </r>
  <r>
    <x v="0"/>
    <x v="2"/>
    <x v="0"/>
    <x v="0"/>
    <x v="6"/>
    <n v="6"/>
    <n v="6"/>
    <n v="2"/>
    <x v="7"/>
    <n v="4"/>
    <n v="2"/>
    <n v="4"/>
    <n v="3"/>
    <n v="1"/>
    <n v="4"/>
    <n v="3"/>
    <n v="3"/>
    <n v="2"/>
    <n v="1"/>
    <n v="2"/>
    <n v="4"/>
    <n v="1"/>
    <n v="4"/>
    <n v="3"/>
    <n v="1"/>
    <n v="1"/>
    <n v="4"/>
    <n v="3"/>
    <n v="1"/>
    <n v="3"/>
    <n v="2"/>
    <n v="3"/>
    <n v="2"/>
    <n v="1"/>
    <n v="4"/>
    <n v="1"/>
    <n v="3"/>
    <n v="3"/>
    <n v="3"/>
    <n v="1"/>
    <n v="1"/>
    <n v="1"/>
    <n v="1"/>
    <n v="1"/>
    <n v="1"/>
    <n v="2"/>
    <n v="1"/>
    <n v="1"/>
    <n v="0"/>
    <n v="1"/>
    <n v="1"/>
    <n v="1"/>
    <n v="1"/>
    <n v="0"/>
    <n v="1"/>
    <n v="1"/>
    <n v="1"/>
    <n v="1"/>
    <n v="0"/>
    <n v="1"/>
    <n v="1"/>
    <n v="1"/>
    <n v="1"/>
    <n v="1"/>
    <n v="1"/>
    <n v="0"/>
    <n v="0"/>
    <n v="1"/>
    <n v="1"/>
    <n v="0"/>
    <n v="1"/>
    <n v="1"/>
    <n v="1"/>
    <n v="1"/>
    <n v="1"/>
    <n v="1"/>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1"/>
    <x v="3"/>
    <n v="5"/>
    <n v="6"/>
    <n v="1"/>
    <x v="8"/>
    <n v="4"/>
    <n v="1"/>
    <n v="3"/>
    <n v="2"/>
    <n v="4"/>
    <n v="2"/>
    <n v="3"/>
    <n v="2"/>
    <n v="3"/>
    <n v="1"/>
    <n v="4"/>
    <n v="2"/>
    <n v="2"/>
    <n v="3"/>
    <n v="1"/>
    <n v="4"/>
    <n v="1"/>
    <n v="4"/>
    <n v="2"/>
    <n v="3"/>
    <n v="1"/>
    <n v="4"/>
    <n v="4"/>
    <n v="2"/>
    <n v="3"/>
    <n v="1"/>
    <n v="4"/>
    <n v="4"/>
    <n v="3"/>
    <n v="2"/>
    <n v="1"/>
    <n v="1"/>
    <n v="1"/>
    <n v="1"/>
    <n v="1"/>
    <n v="1"/>
    <n v="1"/>
    <n v="1"/>
    <n v="0"/>
    <n v="1"/>
    <n v="0"/>
    <n v="0"/>
    <n v="0"/>
    <n v="1"/>
    <n v="1"/>
    <n v="0"/>
    <n v="1"/>
    <n v="0"/>
    <n v="0"/>
    <n v="1"/>
    <n v="0"/>
    <n v="0"/>
    <n v="0"/>
    <n v="1"/>
    <n v="1"/>
    <n v="0"/>
    <n v="0"/>
    <n v="0"/>
    <n v="0"/>
    <n v="0"/>
    <n v="0"/>
    <n v="0"/>
    <n v="0"/>
    <n v="0"/>
    <n v="0"/>
    <n v="0"/>
    <n v="1"/>
  </r>
  <r>
    <x v="0"/>
    <x v="2"/>
    <x v="0"/>
    <x v="0"/>
    <x v="4"/>
    <n v="4"/>
    <n v="6"/>
    <n v="2"/>
    <x v="9"/>
    <n v="4"/>
    <n v="2"/>
    <n v="3"/>
    <n v="3"/>
    <n v="2"/>
    <n v="2"/>
    <n v="2"/>
    <n v="2"/>
    <n v="3"/>
    <n v="1"/>
    <n v="2"/>
    <n v="3"/>
    <n v="2"/>
    <n v="4"/>
    <n v="3"/>
    <n v="1"/>
    <n v="4"/>
    <n v="4"/>
    <n v="1"/>
    <n v="2"/>
    <n v="1"/>
    <n v="2"/>
    <n v="3"/>
    <n v="1"/>
    <n v="4"/>
    <n v="4"/>
    <n v="3"/>
    <n v="2"/>
    <n v="2"/>
    <n v="2"/>
    <n v="1"/>
    <n v="1"/>
    <n v="1"/>
    <n v="1"/>
    <n v="1"/>
    <n v="1"/>
    <n v="2"/>
    <n v="1"/>
    <n v="1"/>
    <n v="1"/>
    <n v="1"/>
    <n v="0"/>
    <n v="0"/>
    <n v="0"/>
    <n v="1"/>
    <n v="0"/>
    <n v="1"/>
    <n v="1"/>
    <n v="0"/>
    <n v="1"/>
    <n v="1"/>
    <n v="1"/>
    <n v="1"/>
    <n v="0"/>
    <n v="1"/>
    <n v="0"/>
    <n v="0"/>
    <n v="0"/>
    <n v="1"/>
    <n v="1"/>
    <n v="0"/>
    <n v="0"/>
    <n v="1"/>
    <n v="0"/>
    <n v="0"/>
    <n v="1"/>
    <n v="1"/>
  </r>
  <r>
    <x v="0"/>
    <x v="0"/>
    <x v="0"/>
    <x v="1"/>
    <x v="7"/>
    <n v="4"/>
    <n v="5"/>
    <n v="2"/>
    <x v="10"/>
    <n v="3"/>
    <n v="1"/>
    <n v="1"/>
    <n v="2"/>
    <n v="1"/>
    <n v="1"/>
    <n v="4"/>
    <n v="2"/>
    <n v="2"/>
    <n v="3"/>
    <n v="1"/>
    <n v="3"/>
    <n v="4"/>
    <n v="3"/>
    <n v="2"/>
    <n v="3"/>
    <n v="1"/>
    <n v="4"/>
    <n v="2"/>
    <n v="3"/>
    <n v="3"/>
    <n v="2"/>
    <n v="3"/>
    <n v="3"/>
    <n v="4"/>
    <n v="4"/>
    <n v="1"/>
    <n v="4"/>
    <n v="2"/>
    <n v="2"/>
    <n v="1"/>
    <n v="1"/>
    <n v="1"/>
    <n v="0"/>
    <n v="1"/>
    <n v="1"/>
    <n v="2"/>
    <n v="0"/>
    <n v="0"/>
    <n v="0"/>
    <n v="0"/>
    <n v="1"/>
    <n v="0"/>
    <n v="0"/>
    <n v="1"/>
    <n v="1"/>
    <n v="0"/>
    <n v="0"/>
    <n v="0"/>
    <n v="0"/>
    <n v="0"/>
    <n v="0"/>
    <n v="0"/>
    <n v="1"/>
    <n v="1"/>
    <n v="0"/>
    <n v="0"/>
    <n v="0"/>
    <n v="1"/>
    <n v="1"/>
    <n v="1"/>
    <n v="0"/>
    <n v="1"/>
    <n v="1"/>
    <n v="0"/>
    <n v="0"/>
    <n v="1"/>
  </r>
  <r>
    <x v="1"/>
    <x v="3"/>
    <x v="0"/>
    <x v="0"/>
    <x v="8"/>
    <n v="3"/>
    <n v="5"/>
    <n v="1"/>
    <x v="8"/>
    <n v="4"/>
    <n v="1"/>
    <n v="3"/>
    <n v="1"/>
    <n v="1"/>
    <n v="2"/>
    <n v="1"/>
    <n v="2"/>
    <n v="3"/>
    <n v="1"/>
    <n v="2"/>
    <n v="3"/>
    <n v="2"/>
    <n v="3"/>
    <n v="3"/>
    <n v="4"/>
    <n v="2"/>
    <n v="1"/>
    <n v="2"/>
    <n v="4"/>
    <n v="3"/>
    <n v="1"/>
    <n v="4"/>
    <n v="2"/>
    <n v="3"/>
    <n v="4"/>
    <n v="4"/>
    <n v="3"/>
    <n v="2"/>
    <n v="1"/>
    <n v="0"/>
    <n v="1"/>
    <n v="1"/>
    <n v="1"/>
    <n v="1"/>
    <n v="1"/>
    <n v="1"/>
    <n v="1"/>
    <n v="0"/>
    <n v="1"/>
    <n v="0"/>
    <n v="1"/>
    <n v="0"/>
    <n v="0"/>
    <n v="1"/>
    <n v="0"/>
    <n v="1"/>
    <n v="1"/>
    <n v="0"/>
    <n v="1"/>
    <n v="0"/>
    <n v="1"/>
    <n v="0"/>
    <n v="0"/>
    <n v="0"/>
    <n v="0"/>
    <n v="1"/>
    <n v="0"/>
    <n v="0"/>
    <n v="0"/>
    <n v="0"/>
    <n v="0"/>
    <n v="1"/>
    <n v="0"/>
    <n v="1"/>
    <n v="0"/>
    <n v="0"/>
  </r>
  <r>
    <x v="0"/>
    <x v="0"/>
    <x v="0"/>
    <x v="0"/>
    <x v="1"/>
    <n v="5"/>
    <n v="5"/>
    <n v="1"/>
    <x v="1"/>
    <n v="2"/>
    <n v="2"/>
    <n v="2"/>
    <n v="3"/>
    <n v="1"/>
    <n v="1"/>
    <n v="2"/>
    <n v="2"/>
    <n v="2"/>
    <n v="1"/>
    <n v="4"/>
    <n v="2"/>
    <n v="3"/>
    <n v="3"/>
    <n v="2"/>
    <n v="1"/>
    <n v="1"/>
    <n v="4"/>
    <n v="3"/>
    <n v="2"/>
    <n v="4"/>
    <n v="4"/>
    <n v="4"/>
    <n v="2"/>
    <n v="1"/>
    <n v="4"/>
    <n v="1"/>
    <n v="4"/>
    <n v="3"/>
    <n v="2"/>
    <n v="0"/>
    <n v="1"/>
    <n v="1"/>
    <n v="1"/>
    <n v="1"/>
    <n v="1"/>
    <n v="1"/>
    <n v="0"/>
    <n v="1"/>
    <n v="0"/>
    <n v="1"/>
    <n v="1"/>
    <n v="0"/>
    <n v="0"/>
    <n v="1"/>
    <n v="1"/>
    <n v="1"/>
    <n v="0"/>
    <n v="0"/>
    <n v="0"/>
    <n v="0"/>
    <n v="0"/>
    <n v="1"/>
    <n v="1"/>
    <n v="1"/>
    <n v="1"/>
    <n v="0"/>
    <n v="0"/>
    <n v="0"/>
    <n v="0"/>
    <n v="0"/>
    <n v="1"/>
    <n v="1"/>
    <n v="1"/>
    <n v="0"/>
    <n v="0"/>
    <n v="0"/>
  </r>
  <r>
    <x v="0"/>
    <x v="0"/>
    <x v="0"/>
    <x v="0"/>
    <x v="9"/>
    <n v="10"/>
    <n v="6"/>
    <n v="2.5"/>
    <x v="6"/>
    <n v="4"/>
    <n v="2"/>
    <n v="3"/>
    <n v="3"/>
    <n v="1"/>
    <n v="4"/>
    <n v="3"/>
    <n v="2"/>
    <n v="2"/>
    <n v="1"/>
    <n v="2"/>
    <n v="3"/>
    <n v="2"/>
    <n v="4"/>
    <n v="3"/>
    <n v="1"/>
    <n v="1"/>
    <n v="4"/>
    <n v="3"/>
    <n v="4"/>
    <n v="2"/>
    <n v="2"/>
    <n v="3"/>
    <n v="3"/>
    <n v="4"/>
    <n v="4"/>
    <n v="1"/>
    <n v="3"/>
    <n v="5"/>
    <n v="5"/>
    <n v="1"/>
    <n v="1"/>
    <n v="1"/>
    <n v="1"/>
    <n v="1"/>
    <n v="1"/>
    <n v="2.5"/>
    <n v="1"/>
    <n v="1"/>
    <n v="1"/>
    <n v="1"/>
    <n v="1"/>
    <n v="1"/>
    <n v="1"/>
    <n v="1"/>
    <n v="1"/>
    <n v="1"/>
    <n v="1"/>
    <n v="0"/>
    <n v="1"/>
    <n v="1"/>
    <n v="1"/>
    <n v="1"/>
    <n v="1"/>
    <n v="1"/>
    <n v="1"/>
    <n v="1"/>
    <n v="1"/>
    <n v="1"/>
    <n v="1"/>
    <n v="1"/>
    <n v="0"/>
    <n v="1"/>
    <n v="1"/>
    <n v="1"/>
    <n v="1"/>
    <n v="1"/>
  </r>
  <r>
    <x v="1"/>
    <x v="3"/>
    <x v="0"/>
    <x v="0"/>
    <x v="1"/>
    <n v="0"/>
    <n v="5"/>
    <n v="0"/>
    <x v="11"/>
    <n v="4"/>
    <n v="2"/>
    <n v="4"/>
    <n v="1"/>
    <n v="4"/>
    <n v="2"/>
    <n v="3"/>
    <n v="1"/>
    <n v="4"/>
    <n v="2"/>
    <n v="2"/>
    <n v="4"/>
    <n v="2"/>
    <n v="3"/>
    <n v="3"/>
    <n v="1"/>
    <n v="1"/>
    <n v="3"/>
    <n v="2"/>
    <n v="4"/>
    <n v="2"/>
    <n v="2"/>
    <n v="1"/>
    <n v="4"/>
    <n v="2"/>
    <n v="3"/>
    <n v="1"/>
    <n v="4"/>
    <n v="0"/>
    <n v="0"/>
    <n v="0"/>
    <n v="1"/>
    <n v="1"/>
    <n v="1"/>
    <n v="1"/>
    <n v="1"/>
    <n v="0"/>
    <n v="1"/>
    <n v="1"/>
    <n v="0"/>
    <n v="0"/>
    <n v="0"/>
    <n v="0"/>
    <n v="1"/>
    <n v="0"/>
    <n v="0"/>
    <n v="0"/>
    <n v="1"/>
    <n v="1"/>
    <n v="1"/>
    <n v="0"/>
    <n v="1"/>
    <n v="1"/>
    <n v="1"/>
    <n v="0"/>
    <n v="0"/>
    <n v="1"/>
    <n v="1"/>
    <n v="1"/>
    <n v="0"/>
    <n v="0"/>
    <n v="0"/>
    <n v="0"/>
    <n v="1"/>
    <n v="0"/>
    <n v="0"/>
    <n v="0"/>
  </r>
  <r>
    <x v="0"/>
    <x v="0"/>
    <x v="0"/>
    <x v="0"/>
    <x v="8"/>
    <n v="3"/>
    <n v="5"/>
    <n v="1"/>
    <x v="8"/>
    <n v="4"/>
    <n v="2"/>
    <n v="2"/>
    <n v="4"/>
    <n v="2"/>
    <n v="4"/>
    <n v="2"/>
    <n v="3"/>
    <n v="2"/>
    <n v="1"/>
    <n v="3"/>
    <n v="4"/>
    <n v="1"/>
    <n v="1"/>
    <n v="3"/>
    <n v="2"/>
    <n v="4"/>
    <n v="4"/>
    <n v="2"/>
    <n v="3"/>
    <n v="2"/>
    <n v="1"/>
    <n v="2"/>
    <n v="4"/>
    <n v="1"/>
    <n v="4"/>
    <n v="2"/>
    <n v="4"/>
    <n v="2"/>
    <n v="1"/>
    <n v="1"/>
    <n v="1"/>
    <n v="1"/>
    <n v="1"/>
    <n v="1"/>
    <n v="0"/>
    <n v="1"/>
    <n v="1"/>
    <n v="1"/>
    <n v="0"/>
    <n v="0"/>
    <n v="0"/>
    <n v="1"/>
    <n v="0"/>
    <n v="0"/>
    <n v="1"/>
    <n v="1"/>
    <n v="0"/>
    <n v="1"/>
    <n v="0"/>
    <n v="0"/>
    <n v="1"/>
    <n v="0"/>
    <n v="0"/>
    <n v="1"/>
    <n v="0"/>
    <n v="0"/>
    <n v="1"/>
    <n v="0"/>
    <n v="0"/>
    <n v="0"/>
    <n v="1"/>
    <n v="1"/>
    <n v="0"/>
    <n v="0"/>
    <n v="0"/>
    <n v="0"/>
  </r>
  <r>
    <x v="1"/>
    <x v="3"/>
    <x v="0"/>
    <x v="0"/>
    <x v="10"/>
    <n v="2"/>
    <n v="0"/>
    <n v="0"/>
    <x v="12"/>
    <n v="2"/>
    <n v="4"/>
    <n v="1"/>
    <n v="1"/>
    <n v="2"/>
    <n v="3"/>
    <n v="2"/>
    <n v="4"/>
    <n v="3"/>
    <n v="1"/>
    <n v="2"/>
    <n v="4"/>
    <n v="1"/>
    <n v="4"/>
    <n v="2"/>
    <n v="3"/>
    <n v="2"/>
    <n v="1"/>
    <n v="4"/>
    <n v="2"/>
    <n v="2"/>
    <n v="1"/>
    <n v="3"/>
    <n v="1"/>
    <n v="3"/>
    <n v="2"/>
    <n v="4"/>
    <n v="1"/>
    <n v="1"/>
    <n v="1"/>
    <n v="0"/>
    <n v="0"/>
    <n v="0"/>
    <n v="0"/>
    <n v="0"/>
    <n v="0"/>
    <n v="0"/>
    <n v="0"/>
    <n v="0"/>
    <n v="0"/>
    <n v="0"/>
    <n v="0"/>
    <n v="0"/>
    <n v="0"/>
    <n v="0"/>
    <n v="0"/>
    <n v="1"/>
    <n v="1"/>
    <n v="1"/>
    <n v="0"/>
    <n v="1"/>
    <n v="0"/>
    <n v="0"/>
    <n v="0"/>
    <n v="0"/>
    <n v="0"/>
    <n v="0"/>
    <n v="1"/>
    <n v="0"/>
    <n v="1"/>
    <n v="0"/>
    <n v="0"/>
    <n v="0"/>
    <n v="0"/>
    <n v="0"/>
    <n v="0"/>
    <n v="0"/>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6"/>
    <n v="2"/>
    <n v="5"/>
    <n v="2"/>
    <x v="13"/>
    <n v="4"/>
    <n v="2"/>
    <n v="3"/>
    <n v="3"/>
    <n v="1"/>
    <n v="3"/>
    <n v="3"/>
    <n v="2"/>
    <n v="2"/>
    <n v="1"/>
    <n v="2"/>
    <n v="4"/>
    <n v="3"/>
    <n v="4"/>
    <n v="4"/>
    <n v="1"/>
    <n v="1"/>
    <n v="4"/>
    <n v="3"/>
    <n v="2"/>
    <n v="2"/>
    <n v="2"/>
    <n v="3"/>
    <n v="3"/>
    <n v="4"/>
    <n v="4"/>
    <n v="1"/>
    <n v="2"/>
    <n v="1"/>
    <n v="1"/>
    <n v="0"/>
    <n v="1"/>
    <n v="1"/>
    <n v="1"/>
    <n v="1"/>
    <n v="1"/>
    <n v="2"/>
    <n v="1"/>
    <n v="1"/>
    <n v="1"/>
    <n v="1"/>
    <n v="1"/>
    <n v="0"/>
    <n v="1"/>
    <n v="1"/>
    <n v="1"/>
    <n v="1"/>
    <n v="1"/>
    <n v="1"/>
    <n v="0"/>
    <n v="1"/>
    <n v="0"/>
    <n v="1"/>
    <n v="1"/>
    <n v="1"/>
    <n v="1"/>
    <n v="0"/>
    <n v="1"/>
    <n v="1"/>
    <n v="1"/>
    <n v="1"/>
    <n v="0"/>
    <n v="1"/>
    <n v="1"/>
    <n v="0"/>
    <n v="1"/>
    <n v="1"/>
  </r>
  <r>
    <x v="0"/>
    <x v="0"/>
    <x v="0"/>
    <x v="0"/>
    <x v="11"/>
    <n v="6"/>
    <n v="4"/>
    <n v="2.5"/>
    <x v="14"/>
    <n v="4"/>
    <n v="2"/>
    <n v="3"/>
    <n v="3"/>
    <n v="1"/>
    <n v="3"/>
    <n v="3"/>
    <n v="2"/>
    <n v="2"/>
    <n v="1"/>
    <n v="2"/>
    <n v="4"/>
    <n v="3"/>
    <n v="3"/>
    <n v="4"/>
    <n v="4"/>
    <n v="1"/>
    <n v="4"/>
    <n v="3"/>
    <n v="2"/>
    <n v="4"/>
    <n v="2"/>
    <n v="3"/>
    <n v="3"/>
    <n v="1"/>
    <n v="4"/>
    <n v="1"/>
    <n v="2"/>
    <n v="4"/>
    <n v="2"/>
    <n v="1"/>
    <n v="0"/>
    <n v="1"/>
    <n v="1"/>
    <n v="1"/>
    <n v="0"/>
    <n v="2.5"/>
    <n v="1"/>
    <n v="1"/>
    <n v="1"/>
    <n v="1"/>
    <n v="1"/>
    <n v="0"/>
    <n v="1"/>
    <n v="1"/>
    <n v="1"/>
    <n v="1"/>
    <n v="1"/>
    <n v="1"/>
    <n v="0"/>
    <n v="0"/>
    <n v="0"/>
    <n v="0"/>
    <n v="1"/>
    <n v="1"/>
    <n v="1"/>
    <n v="0"/>
    <n v="0"/>
    <n v="1"/>
    <n v="1"/>
    <n v="1"/>
    <n v="1"/>
    <n v="1"/>
    <n v="1"/>
    <n v="0"/>
    <n v="1"/>
    <n v="1"/>
  </r>
  <r>
    <x v="1"/>
    <x v="3"/>
    <x v="0"/>
    <x v="1"/>
    <x v="12"/>
    <n v="1"/>
    <n v="3"/>
    <n v="0"/>
    <x v="15"/>
    <n v="1"/>
    <n v="2"/>
    <n v="1"/>
    <n v="2"/>
    <n v="1"/>
    <n v="2"/>
    <n v="3"/>
    <n v="3"/>
    <n v="1"/>
    <n v="1"/>
    <n v="3"/>
    <n v="3"/>
    <n v="4"/>
    <n v="2"/>
    <n v="1"/>
    <n v="2"/>
    <n v="1"/>
    <n v="4"/>
    <n v="2"/>
    <n v="3"/>
    <n v="1"/>
    <n v="4"/>
    <n v="2"/>
    <n v="1"/>
    <n v="3"/>
    <n v="1"/>
    <n v="4"/>
    <n v="3"/>
    <n v="1"/>
    <n v="0"/>
    <n v="0"/>
    <n v="1"/>
    <n v="0"/>
    <n v="1"/>
    <n v="0"/>
    <n v="1"/>
    <n v="0"/>
    <n v="0"/>
    <n v="1"/>
    <n v="0"/>
    <n v="0"/>
    <n v="1"/>
    <n v="0"/>
    <n v="1"/>
    <n v="0"/>
    <n v="0"/>
    <n v="1"/>
    <n v="0"/>
    <n v="0"/>
    <n v="0"/>
    <n v="0"/>
    <n v="0"/>
    <n v="0"/>
    <n v="1"/>
    <n v="1"/>
    <n v="0"/>
    <n v="0"/>
    <n v="0"/>
    <n v="0"/>
    <n v="0"/>
    <n v="0"/>
    <n v="0"/>
    <n v="0"/>
    <n v="0"/>
    <n v="1"/>
    <n v="0"/>
    <n v="0"/>
  </r>
  <r>
    <x v="0"/>
    <x v="0"/>
    <x v="0"/>
    <x v="0"/>
    <x v="13"/>
    <n v="4"/>
    <n v="6"/>
    <n v="1"/>
    <x v="9"/>
    <n v="3"/>
    <n v="4"/>
    <n v="2"/>
    <n v="3"/>
    <n v="1"/>
    <n v="2"/>
    <n v="3"/>
    <n v="2"/>
    <n v="2"/>
    <n v="1"/>
    <n v="2"/>
    <n v="1"/>
    <n v="2"/>
    <n v="4"/>
    <n v="3"/>
    <n v="4"/>
    <n v="1"/>
    <n v="4"/>
    <n v="3"/>
    <n v="1"/>
    <n v="2"/>
    <n v="2"/>
    <n v="3"/>
    <n v="2"/>
    <n v="3"/>
    <n v="4"/>
    <n v="2"/>
    <n v="3"/>
    <n v="2"/>
    <n v="2"/>
    <n v="1"/>
    <n v="1"/>
    <n v="1"/>
    <n v="1"/>
    <n v="1"/>
    <n v="1"/>
    <n v="1"/>
    <n v="0"/>
    <n v="0"/>
    <n v="0"/>
    <n v="1"/>
    <n v="1"/>
    <n v="0"/>
    <n v="1"/>
    <n v="1"/>
    <n v="1"/>
    <n v="1"/>
    <n v="1"/>
    <n v="0"/>
    <n v="1"/>
    <n v="1"/>
    <n v="1"/>
    <n v="0"/>
    <n v="1"/>
    <n v="1"/>
    <n v="1"/>
    <n v="0"/>
    <n v="1"/>
    <n v="1"/>
    <n v="1"/>
    <n v="0"/>
    <n v="0"/>
    <n v="1"/>
    <n v="0"/>
    <n v="1"/>
    <n v="1"/>
    <n v="1"/>
  </r>
  <r>
    <x v="0"/>
    <x v="0"/>
    <x v="0"/>
    <x v="0"/>
    <x v="8"/>
    <n v="3"/>
    <n v="4"/>
    <n v="1"/>
    <x v="16"/>
    <n v="2"/>
    <n v="1"/>
    <n v="2"/>
    <n v="3"/>
    <n v="2"/>
    <n v="2"/>
    <n v="3"/>
    <n v="2"/>
    <n v="3"/>
    <n v="1"/>
    <n v="2"/>
    <n v="1"/>
    <n v="3"/>
    <n v="4"/>
    <n v="3"/>
    <n v="4"/>
    <n v="1"/>
    <n v="1"/>
    <n v="2"/>
    <n v="2"/>
    <n v="1"/>
    <n v="4"/>
    <n v="3"/>
    <n v="2"/>
    <n v="3"/>
    <n v="4"/>
    <n v="4"/>
    <n v="3"/>
    <n v="2"/>
    <n v="1"/>
    <n v="0"/>
    <n v="0"/>
    <n v="1"/>
    <n v="1"/>
    <n v="1"/>
    <n v="1"/>
    <n v="1"/>
    <n v="0"/>
    <n v="0"/>
    <n v="0"/>
    <n v="1"/>
    <n v="0"/>
    <n v="0"/>
    <n v="1"/>
    <n v="1"/>
    <n v="0"/>
    <n v="1"/>
    <n v="1"/>
    <n v="0"/>
    <n v="0"/>
    <n v="1"/>
    <n v="1"/>
    <n v="0"/>
    <n v="1"/>
    <n v="0"/>
    <n v="0"/>
    <n v="0"/>
    <n v="0"/>
    <n v="0"/>
    <n v="1"/>
    <n v="0"/>
    <n v="0"/>
    <n v="1"/>
    <n v="0"/>
    <n v="1"/>
    <n v="0"/>
    <n v="0"/>
  </r>
  <r>
    <x v="0"/>
    <x v="1"/>
    <x v="0"/>
    <x v="0"/>
    <x v="8"/>
    <n v="0"/>
    <n v="6"/>
    <n v="2"/>
    <x v="17"/>
    <n v="4"/>
    <n v="2"/>
    <n v="4"/>
    <n v="3"/>
    <n v="2"/>
    <n v="2"/>
    <n v="3"/>
    <n v="2"/>
    <n v="3"/>
    <n v="1"/>
    <n v="2"/>
    <n v="2"/>
    <n v="1"/>
    <n v="4"/>
    <n v="4"/>
    <n v="4"/>
    <n v="2"/>
    <n v="1"/>
    <n v="2"/>
    <n v="3"/>
    <n v="3"/>
    <n v="2"/>
    <s v="M"/>
    <s v="X"/>
    <n v="3"/>
    <n v="4"/>
    <n v="2"/>
    <n v="3"/>
    <n v="0"/>
    <n v="0"/>
    <n v="1"/>
    <n v="1"/>
    <n v="1"/>
    <n v="1"/>
    <n v="1"/>
    <n v="1"/>
    <n v="2"/>
    <n v="1"/>
    <n v="1"/>
    <n v="0"/>
    <n v="1"/>
    <n v="0"/>
    <n v="0"/>
    <n v="1"/>
    <n v="1"/>
    <n v="0"/>
    <n v="1"/>
    <n v="1"/>
    <n v="0"/>
    <n v="0"/>
    <n v="1"/>
    <n v="0"/>
    <n v="0"/>
    <n v="0"/>
    <n v="0"/>
    <n v="0"/>
    <n v="0"/>
    <n v="0"/>
    <n v="1"/>
    <n v="0"/>
    <n v="0"/>
    <n v="0"/>
    <n v="1"/>
    <n v="0"/>
    <n v="1"/>
    <n v="0"/>
    <n v="0"/>
  </r>
  <r>
    <x v="0"/>
    <x v="0"/>
    <x v="0"/>
    <x v="0"/>
    <x v="11"/>
    <n v="5"/>
    <n v="4"/>
    <n v="1"/>
    <x v="18"/>
    <n v="4"/>
    <n v="2"/>
    <n v="3"/>
    <n v="3"/>
    <n v="1"/>
    <n v="3"/>
    <n v="3"/>
    <n v="2"/>
    <n v="3"/>
    <n v="1"/>
    <n v="2"/>
    <n v="4"/>
    <n v="1"/>
    <n v="4"/>
    <n v="4"/>
    <n v="1"/>
    <n v="1"/>
    <n v="1"/>
    <n v="3"/>
    <n v="1"/>
    <n v="2"/>
    <n v="2"/>
    <n v="3"/>
    <n v="2"/>
    <n v="3"/>
    <n v="4"/>
    <n v="1"/>
    <n v="3"/>
    <n v="2"/>
    <n v="3"/>
    <n v="0"/>
    <n v="1"/>
    <n v="1"/>
    <n v="1"/>
    <n v="0"/>
    <n v="1"/>
    <n v="1"/>
    <n v="1"/>
    <n v="1"/>
    <n v="1"/>
    <n v="1"/>
    <n v="1"/>
    <n v="0"/>
    <n v="1"/>
    <n v="1"/>
    <n v="0"/>
    <n v="1"/>
    <n v="1"/>
    <n v="1"/>
    <n v="0"/>
    <n v="1"/>
    <n v="0"/>
    <n v="1"/>
    <n v="1"/>
    <n v="0"/>
    <n v="1"/>
    <n v="0"/>
    <n v="1"/>
    <n v="1"/>
    <n v="1"/>
    <n v="0"/>
    <n v="0"/>
    <n v="1"/>
    <n v="1"/>
    <n v="1"/>
    <n v="1"/>
    <n v="1"/>
  </r>
  <r>
    <x v="1"/>
    <x v="3"/>
    <x v="0"/>
    <x v="0"/>
    <x v="14"/>
    <n v="4"/>
    <n v="5"/>
    <n v="2.5"/>
    <x v="19"/>
    <n v="4"/>
    <n v="2"/>
    <n v="3"/>
    <n v="3"/>
    <n v="1"/>
    <n v="4"/>
    <n v="3"/>
    <n v="3"/>
    <n v="2"/>
    <n v="1"/>
    <n v="1"/>
    <n v="3"/>
    <n v="2"/>
    <n v="4"/>
    <n v="4"/>
    <n v="4"/>
    <n v="1"/>
    <n v="3"/>
    <n v="2"/>
    <n v="3"/>
    <n v="2"/>
    <n v="2"/>
    <n v="4"/>
    <n v="2"/>
    <n v="3"/>
    <n v="4"/>
    <n v="4"/>
    <n v="3"/>
    <n v="2"/>
    <n v="2"/>
    <n v="0"/>
    <n v="1"/>
    <n v="1"/>
    <n v="1"/>
    <n v="1"/>
    <n v="1"/>
    <n v="2.5"/>
    <n v="1"/>
    <n v="1"/>
    <n v="1"/>
    <n v="1"/>
    <n v="1"/>
    <n v="1"/>
    <n v="1"/>
    <n v="0"/>
    <n v="1"/>
    <n v="1"/>
    <n v="0"/>
    <n v="0"/>
    <n v="1"/>
    <n v="1"/>
    <n v="0"/>
    <n v="0"/>
    <n v="1"/>
    <n v="0"/>
    <n v="0"/>
    <n v="0"/>
    <n v="1"/>
    <n v="1"/>
    <n v="0"/>
    <n v="0"/>
    <n v="0"/>
    <n v="1"/>
    <n v="0"/>
    <n v="1"/>
    <n v="1"/>
    <n v="1"/>
  </r>
  <r>
    <x v="0"/>
    <x v="0"/>
    <x v="0"/>
    <x v="0"/>
    <x v="1"/>
    <n v="3"/>
    <n v="6"/>
    <n v="1"/>
    <x v="10"/>
    <n v="1"/>
    <n v="1"/>
    <n v="4"/>
    <n v="1"/>
    <n v="1"/>
    <n v="4"/>
    <n v="2"/>
    <n v="1"/>
    <n v="2"/>
    <n v="1"/>
    <n v="2"/>
    <n v="3"/>
    <n v="1"/>
    <n v="4"/>
    <n v="4"/>
    <n v="2"/>
    <n v="1"/>
    <n v="4"/>
    <n v="1"/>
    <n v="3"/>
    <n v="4"/>
    <n v="2"/>
    <n v="3"/>
    <n v="2"/>
    <n v="3"/>
    <n v="4"/>
    <n v="1"/>
    <n v="3"/>
    <n v="2"/>
    <n v="1"/>
    <n v="1"/>
    <n v="1"/>
    <n v="1"/>
    <n v="1"/>
    <n v="1"/>
    <n v="1"/>
    <n v="1"/>
    <n v="0"/>
    <n v="0"/>
    <n v="0"/>
    <n v="0"/>
    <n v="1"/>
    <n v="1"/>
    <n v="0"/>
    <n v="0"/>
    <n v="1"/>
    <n v="1"/>
    <n v="1"/>
    <n v="0"/>
    <n v="0"/>
    <n v="1"/>
    <n v="0"/>
    <n v="0"/>
    <n v="1"/>
    <n v="1"/>
    <n v="0"/>
    <n v="0"/>
    <n v="0"/>
    <n v="1"/>
    <n v="1"/>
    <n v="0"/>
    <n v="0"/>
    <n v="1"/>
    <n v="1"/>
    <n v="1"/>
    <n v="0"/>
    <n v="0"/>
  </r>
  <r>
    <x v="1"/>
    <x v="3"/>
    <x v="0"/>
    <x v="1"/>
    <x v="8"/>
    <n v="3"/>
    <n v="5"/>
    <n v="1"/>
    <x v="8"/>
    <n v="4"/>
    <n v="2"/>
    <n v="3"/>
    <n v="3"/>
    <n v="3"/>
    <n v="2"/>
    <n v="3"/>
    <n v="3"/>
    <n v="2"/>
    <n v="2"/>
    <n v="2"/>
    <n v="3"/>
    <n v="1"/>
    <n v="2"/>
    <n v="4"/>
    <n v="4"/>
    <n v="1"/>
    <n v="3"/>
    <n v="3"/>
    <n v="1"/>
    <n v="2"/>
    <n v="1"/>
    <n v="4"/>
    <n v="2"/>
    <n v="3"/>
    <n v="1"/>
    <n v="4"/>
    <n v="3"/>
    <n v="2"/>
    <n v="1"/>
    <n v="1"/>
    <n v="0"/>
    <n v="1"/>
    <n v="1"/>
    <n v="1"/>
    <n v="1"/>
    <n v="1"/>
    <n v="1"/>
    <n v="1"/>
    <n v="1"/>
    <n v="1"/>
    <n v="0"/>
    <n v="0"/>
    <n v="1"/>
    <n v="0"/>
    <n v="1"/>
    <n v="0"/>
    <n v="1"/>
    <n v="0"/>
    <n v="0"/>
    <n v="0"/>
    <n v="0"/>
    <n v="0"/>
    <n v="1"/>
    <n v="0"/>
    <n v="1"/>
    <n v="0"/>
    <n v="1"/>
    <n v="0"/>
    <n v="0"/>
    <n v="0"/>
    <n v="0"/>
    <n v="0"/>
    <n v="0"/>
    <n v="1"/>
    <n v="0"/>
    <n v="1"/>
  </r>
  <r>
    <x v="1"/>
    <x v="1"/>
    <x v="0"/>
    <x v="0"/>
    <x v="11"/>
    <n v="2"/>
    <n v="6"/>
    <n v="1.5"/>
    <x v="19"/>
    <n v="4"/>
    <n v="2"/>
    <n v="3"/>
    <n v="3"/>
    <n v="1"/>
    <n v="3"/>
    <n v="3"/>
    <n v="2"/>
    <n v="3"/>
    <n v="1"/>
    <n v="1"/>
    <n v="4"/>
    <n v="1"/>
    <n v="4"/>
    <n v="3"/>
    <n v="1"/>
    <n v="1"/>
    <n v="4"/>
    <n v="3"/>
    <n v="1"/>
    <n v="3"/>
    <n v="2"/>
    <n v="3"/>
    <n v="3"/>
    <n v="1"/>
    <n v="1"/>
    <n v="2"/>
    <n v="3"/>
    <n v="2"/>
    <n v="0"/>
    <n v="1"/>
    <n v="1"/>
    <n v="1"/>
    <n v="1"/>
    <n v="1"/>
    <n v="1"/>
    <n v="1.5"/>
    <n v="1"/>
    <n v="1"/>
    <n v="1"/>
    <n v="1"/>
    <n v="1"/>
    <n v="0"/>
    <n v="1"/>
    <n v="1"/>
    <n v="0"/>
    <n v="1"/>
    <n v="0"/>
    <n v="1"/>
    <n v="0"/>
    <n v="1"/>
    <n v="1"/>
    <n v="1"/>
    <n v="1"/>
    <n v="1"/>
    <n v="1"/>
    <n v="0"/>
    <n v="0"/>
    <n v="1"/>
    <n v="1"/>
    <n v="1"/>
    <n v="1"/>
    <n v="0"/>
    <n v="0"/>
    <n v="1"/>
    <n v="1"/>
    <n v="1"/>
  </r>
  <r>
    <x v="1"/>
    <x v="3"/>
    <x v="0"/>
    <x v="0"/>
    <x v="15"/>
    <n v="3"/>
    <n v="6"/>
    <n v="1"/>
    <x v="20"/>
    <n v="4"/>
    <n v="3"/>
    <n v="1"/>
    <n v="1"/>
    <n v="2"/>
    <n v="1"/>
    <n v="3"/>
    <n v="1"/>
    <n v="4"/>
    <n v="1"/>
    <n v="2"/>
    <n v="3"/>
    <n v="4"/>
    <n v="2"/>
    <n v="4"/>
    <n v="4"/>
    <n v="1"/>
    <n v="4"/>
    <n v="3"/>
    <n v="4"/>
    <n v="1"/>
    <n v="2"/>
    <n v="3"/>
    <n v="2"/>
    <n v="4"/>
    <n v="4"/>
    <n v="2"/>
    <n v="3"/>
    <n v="2"/>
    <n v="1"/>
    <n v="1"/>
    <n v="1"/>
    <n v="1"/>
    <n v="1"/>
    <n v="1"/>
    <n v="1"/>
    <n v="1"/>
    <n v="1"/>
    <n v="0"/>
    <n v="0"/>
    <n v="0"/>
    <n v="0"/>
    <n v="0"/>
    <n v="1"/>
    <n v="0"/>
    <n v="0"/>
    <n v="1"/>
    <n v="1"/>
    <n v="0"/>
    <n v="0"/>
    <n v="0"/>
    <n v="0"/>
    <n v="0"/>
    <n v="1"/>
    <n v="1"/>
    <n v="1"/>
    <n v="1"/>
    <n v="0"/>
    <n v="1"/>
    <n v="1"/>
    <n v="0"/>
    <n v="0"/>
    <n v="1"/>
    <n v="0"/>
    <n v="1"/>
    <n v="0"/>
    <n v="0"/>
  </r>
  <r>
    <x v="0"/>
    <x v="0"/>
    <x v="0"/>
    <x v="0"/>
    <x v="11"/>
    <n v="5"/>
    <n v="5"/>
    <n v="1"/>
    <x v="19"/>
    <n v="4"/>
    <n v="2"/>
    <n v="1"/>
    <n v="3"/>
    <n v="2"/>
    <n v="4"/>
    <n v="2"/>
    <n v="1"/>
    <n v="2"/>
    <n v="1"/>
    <n v="2"/>
    <n v="4"/>
    <n v="2"/>
    <n v="1"/>
    <n v="3"/>
    <n v="1"/>
    <n v="1"/>
    <n v="4"/>
    <n v="3"/>
    <n v="1"/>
    <n v="2"/>
    <n v="1"/>
    <n v="2"/>
    <n v="3"/>
    <n v="1"/>
    <n v="4"/>
    <n v="1"/>
    <n v="3"/>
    <n v="3"/>
    <n v="2"/>
    <n v="0"/>
    <n v="1"/>
    <n v="1"/>
    <n v="1"/>
    <n v="1"/>
    <n v="1"/>
    <n v="1"/>
    <n v="1"/>
    <n v="1"/>
    <n v="0"/>
    <n v="1"/>
    <n v="0"/>
    <n v="1"/>
    <n v="0"/>
    <n v="0"/>
    <n v="1"/>
    <n v="1"/>
    <n v="1"/>
    <n v="1"/>
    <n v="1"/>
    <n v="0"/>
    <n v="1"/>
    <n v="1"/>
    <n v="1"/>
    <n v="1"/>
    <n v="1"/>
    <n v="0"/>
    <n v="1"/>
    <n v="0"/>
    <n v="0"/>
    <n v="1"/>
    <n v="1"/>
    <n v="1"/>
    <n v="1"/>
    <n v="1"/>
    <n v="1"/>
    <n v="1"/>
  </r>
  <r>
    <x v="0"/>
    <x v="2"/>
    <x v="0"/>
    <x v="0"/>
    <x v="11"/>
    <n v="5"/>
    <n v="6"/>
    <n v="3"/>
    <x v="7"/>
    <n v="4"/>
    <n v="2"/>
    <n v="3"/>
    <n v="4"/>
    <n v="1"/>
    <n v="3"/>
    <n v="3"/>
    <n v="2"/>
    <n v="2"/>
    <n v="1"/>
    <n v="1"/>
    <n v="4"/>
    <n v="2"/>
    <n v="4"/>
    <n v="3"/>
    <n v="2"/>
    <n v="1"/>
    <n v="4"/>
    <n v="1"/>
    <n v="1"/>
    <n v="2"/>
    <n v="2"/>
    <n v="3"/>
    <n v="3"/>
    <n v="4"/>
    <n v="4"/>
    <n v="1"/>
    <n v="2"/>
    <n v="2"/>
    <n v="3"/>
    <n v="1"/>
    <n v="1"/>
    <n v="1"/>
    <n v="1"/>
    <n v="1"/>
    <n v="1"/>
    <n v="3"/>
    <n v="1"/>
    <n v="1"/>
    <n v="1"/>
    <n v="0"/>
    <n v="1"/>
    <n v="0"/>
    <n v="1"/>
    <n v="1"/>
    <n v="1"/>
    <n v="1"/>
    <n v="0"/>
    <n v="1"/>
    <n v="1"/>
    <n v="1"/>
    <n v="1"/>
    <n v="0"/>
    <n v="1"/>
    <n v="1"/>
    <n v="0"/>
    <n v="0"/>
    <n v="1"/>
    <n v="1"/>
    <n v="1"/>
    <n v="1"/>
    <n v="0"/>
    <n v="1"/>
    <n v="1"/>
    <n v="0"/>
    <n v="1"/>
    <n v="1"/>
  </r>
  <r>
    <x v="1"/>
    <x v="3"/>
    <x v="0"/>
    <x v="0"/>
    <x v="4"/>
    <n v="6"/>
    <n v="6"/>
    <n v="2.5"/>
    <x v="13"/>
    <n v="4"/>
    <n v="2"/>
    <n v="3"/>
    <n v="1"/>
    <n v="1"/>
    <n v="2"/>
    <n v="2"/>
    <n v="2"/>
    <n v="2"/>
    <n v="1"/>
    <n v="2"/>
    <n v="4"/>
    <n v="1"/>
    <n v="2"/>
    <n v="4"/>
    <n v="4"/>
    <n v="3"/>
    <n v="4"/>
    <n v="1"/>
    <n v="4"/>
    <n v="2"/>
    <n v="1"/>
    <n v="3"/>
    <n v="2"/>
    <n v="3"/>
    <n v="4"/>
    <n v="4"/>
    <n v="3"/>
    <n v="3"/>
    <n v="3"/>
    <n v="1"/>
    <n v="1"/>
    <n v="1"/>
    <n v="1"/>
    <n v="1"/>
    <n v="1"/>
    <n v="2.5"/>
    <n v="1"/>
    <n v="1"/>
    <n v="1"/>
    <n v="0"/>
    <n v="1"/>
    <n v="0"/>
    <n v="0"/>
    <n v="1"/>
    <n v="1"/>
    <n v="1"/>
    <n v="1"/>
    <n v="1"/>
    <n v="0"/>
    <n v="0"/>
    <n v="0"/>
    <n v="0"/>
    <n v="0"/>
    <n v="1"/>
    <n v="0"/>
    <n v="1"/>
    <n v="1"/>
    <n v="0"/>
    <n v="1"/>
    <n v="0"/>
    <n v="0"/>
    <n v="1"/>
    <n v="0"/>
    <n v="1"/>
    <n v="1"/>
    <n v="1"/>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0"/>
    <x v="4"/>
    <x v="0"/>
    <x v="0"/>
    <x v="7"/>
    <n v="3"/>
    <n v="3"/>
    <n v="0.5"/>
    <x v="21"/>
    <n v="4"/>
    <n v="2"/>
    <n v="3"/>
    <n v="1"/>
    <n v="1"/>
    <n v="2"/>
    <n v="2"/>
    <n v="1"/>
    <n v="4"/>
    <n v="1"/>
    <n v="4"/>
    <n v="3"/>
    <n v="3"/>
    <n v="1"/>
    <n v="4"/>
    <n v="4"/>
    <n v="1"/>
    <n v="4"/>
    <n v="1"/>
    <n v="3"/>
    <n v="3"/>
    <n v="2"/>
    <n v="3"/>
    <n v="4"/>
    <n v="3"/>
    <n v="4"/>
    <n v="4"/>
    <n v="4"/>
    <n v="2"/>
    <n v="1"/>
    <n v="0"/>
    <n v="1"/>
    <n v="0"/>
    <n v="1"/>
    <n v="0"/>
    <n v="1"/>
    <n v="0.5"/>
    <n v="1"/>
    <n v="1"/>
    <n v="1"/>
    <n v="0"/>
    <n v="1"/>
    <n v="0"/>
    <n v="0"/>
    <n v="0"/>
    <n v="0"/>
    <n v="1"/>
    <n v="0"/>
    <n v="0"/>
    <n v="0"/>
    <n v="0"/>
    <n v="0"/>
    <n v="0"/>
    <n v="1"/>
    <n v="1"/>
    <n v="0"/>
    <n v="0"/>
    <n v="0"/>
    <n v="1"/>
    <n v="1"/>
    <n v="0"/>
    <n v="0"/>
    <n v="1"/>
    <n v="0"/>
    <n v="0"/>
    <n v="0"/>
    <n v="0"/>
  </r>
  <r>
    <x v="1"/>
    <x v="3"/>
    <x v="0"/>
    <x v="0"/>
    <x v="16"/>
    <n v="9"/>
    <n v="6"/>
    <n v="2"/>
    <x v="22"/>
    <n v="4"/>
    <n v="2"/>
    <n v="3"/>
    <n v="3"/>
    <n v="1"/>
    <n v="4"/>
    <n v="3"/>
    <n v="2"/>
    <n v="2"/>
    <n v="1"/>
    <n v="2"/>
    <n v="4"/>
    <n v="2"/>
    <n v="2"/>
    <n v="3"/>
    <n v="1"/>
    <n v="1"/>
    <n v="3"/>
    <n v="3"/>
    <n v="4"/>
    <n v="3"/>
    <n v="2"/>
    <n v="3"/>
    <n v="2"/>
    <n v="1"/>
    <n v="4"/>
    <n v="4"/>
    <n v="3"/>
    <n v="5"/>
    <n v="4"/>
    <n v="1"/>
    <n v="1"/>
    <n v="1"/>
    <n v="1"/>
    <n v="1"/>
    <n v="1"/>
    <n v="2"/>
    <n v="1"/>
    <n v="1"/>
    <n v="1"/>
    <n v="1"/>
    <n v="1"/>
    <n v="1"/>
    <n v="1"/>
    <n v="1"/>
    <n v="1"/>
    <n v="1"/>
    <n v="1"/>
    <n v="1"/>
    <n v="1"/>
    <n v="0"/>
    <n v="1"/>
    <n v="1"/>
    <n v="1"/>
    <n v="0"/>
    <n v="1"/>
    <n v="1"/>
    <n v="0"/>
    <n v="1"/>
    <n v="1"/>
    <n v="0"/>
    <n v="1"/>
    <n v="1"/>
    <n v="0"/>
    <n v="1"/>
    <n v="1"/>
    <n v="1"/>
  </r>
  <r>
    <x v="1"/>
    <x v="3"/>
    <x v="0"/>
    <x v="0"/>
    <x v="11"/>
    <n v="2"/>
    <n v="4"/>
    <n v="2"/>
    <x v="18"/>
    <n v="4"/>
    <n v="2"/>
    <n v="3"/>
    <n v="3"/>
    <n v="1"/>
    <n v="2"/>
    <n v="4"/>
    <n v="2"/>
    <n v="2"/>
    <n v="2"/>
    <n v="2"/>
    <n v="4"/>
    <n v="2"/>
    <n v="4"/>
    <n v="2"/>
    <n v="1"/>
    <n v="1"/>
    <n v="3"/>
    <n v="3"/>
    <n v="4"/>
    <n v="3"/>
    <n v="2"/>
    <n v="3"/>
    <n v="3"/>
    <n v="2"/>
    <n v="4"/>
    <n v="4"/>
    <n v="3"/>
    <n v="1"/>
    <n v="1"/>
    <n v="1"/>
    <n v="1"/>
    <n v="0"/>
    <n v="1"/>
    <n v="1"/>
    <n v="0"/>
    <n v="2"/>
    <n v="1"/>
    <n v="1"/>
    <n v="1"/>
    <n v="1"/>
    <n v="1"/>
    <n v="0"/>
    <n v="0"/>
    <n v="1"/>
    <n v="1"/>
    <n v="0"/>
    <n v="1"/>
    <n v="1"/>
    <n v="1"/>
    <n v="1"/>
    <n v="0"/>
    <n v="1"/>
    <n v="1"/>
    <n v="0"/>
    <n v="1"/>
    <n v="1"/>
    <n v="0"/>
    <n v="1"/>
    <n v="1"/>
    <n v="1"/>
    <n v="0"/>
    <n v="1"/>
    <n v="0"/>
    <n v="1"/>
    <n v="1"/>
    <n v="1"/>
  </r>
  <r>
    <x v="1"/>
    <x v="1"/>
    <x v="0"/>
    <x v="0"/>
    <x v="17"/>
    <n v="2"/>
    <n v="4"/>
    <n v="1"/>
    <x v="11"/>
    <n v="4"/>
    <n v="4"/>
    <n v="3"/>
    <n v="1"/>
    <n v="1"/>
    <n v="3"/>
    <n v="3"/>
    <n v="2"/>
    <n v="2"/>
    <n v="4"/>
    <n v="2"/>
    <n v="2"/>
    <n v="1"/>
    <n v="2"/>
    <n v="1"/>
    <n v="1"/>
    <n v="4"/>
    <n v="1"/>
    <n v="2"/>
    <n v="3"/>
    <n v="2"/>
    <n v="1"/>
    <n v="1"/>
    <n v="2"/>
    <n v="3"/>
    <n v="1"/>
    <n v="4"/>
    <n v="1"/>
    <n v="1"/>
    <n v="1"/>
    <n v="1"/>
    <n v="1"/>
    <n v="1"/>
    <n v="0"/>
    <n v="0"/>
    <n v="1"/>
    <n v="1"/>
    <n v="1"/>
    <n v="0"/>
    <n v="1"/>
    <n v="0"/>
    <n v="1"/>
    <n v="0"/>
    <n v="1"/>
    <n v="1"/>
    <n v="1"/>
    <n v="0"/>
    <n v="1"/>
    <n v="0"/>
    <n v="0"/>
    <n v="0"/>
    <n v="0"/>
    <n v="1"/>
    <n v="0"/>
    <n v="0"/>
    <n v="0"/>
    <n v="0"/>
    <n v="1"/>
    <n v="0"/>
    <n v="0"/>
    <n v="0"/>
    <n v="0"/>
    <n v="0"/>
    <n v="0"/>
    <n v="0"/>
    <n v="0"/>
    <n v="0"/>
  </r>
  <r>
    <x v="0"/>
    <x v="0"/>
    <x v="0"/>
    <x v="0"/>
    <x v="18"/>
    <n v="6"/>
    <n v="6"/>
    <n v="3.5"/>
    <x v="23"/>
    <n v="4"/>
    <n v="2"/>
    <n v="3"/>
    <n v="3"/>
    <n v="1"/>
    <n v="4"/>
    <n v="3"/>
    <n v="2"/>
    <n v="2"/>
    <n v="1"/>
    <n v="2"/>
    <n v="4"/>
    <n v="2"/>
    <n v="1"/>
    <n v="3"/>
    <n v="1"/>
    <n v="1"/>
    <n v="4"/>
    <n v="1"/>
    <n v="4"/>
    <n v="2"/>
    <n v="2"/>
    <n v="1"/>
    <n v="3"/>
    <n v="3"/>
    <n v="4"/>
    <n v="1"/>
    <n v="3"/>
    <n v="4"/>
    <n v="2"/>
    <n v="1"/>
    <n v="1"/>
    <n v="1"/>
    <n v="1"/>
    <n v="1"/>
    <n v="1"/>
    <n v="3.5"/>
    <n v="1"/>
    <n v="1"/>
    <n v="1"/>
    <n v="1"/>
    <n v="1"/>
    <n v="1"/>
    <n v="1"/>
    <n v="1"/>
    <n v="1"/>
    <n v="1"/>
    <n v="1"/>
    <n v="1"/>
    <n v="1"/>
    <n v="0"/>
    <n v="1"/>
    <n v="1"/>
    <n v="1"/>
    <n v="1"/>
    <n v="0"/>
    <n v="1"/>
    <n v="1"/>
    <n v="1"/>
    <n v="0"/>
    <n v="1"/>
    <n v="0"/>
    <n v="1"/>
    <n v="1"/>
    <n v="1"/>
    <n v="1"/>
    <n v="1"/>
  </r>
  <r>
    <x v="0"/>
    <x v="4"/>
    <x v="0"/>
    <x v="0"/>
    <x v="19"/>
    <n v="3"/>
    <n v="5"/>
    <n v="0"/>
    <x v="24"/>
    <n v="4"/>
    <n v="3"/>
    <n v="3"/>
    <n v="3"/>
    <n v="1"/>
    <n v="4"/>
    <n v="3"/>
    <n v="2"/>
    <n v="2"/>
    <n v="1"/>
    <n v="2"/>
    <n v="3"/>
    <n v="3"/>
    <n v="1"/>
    <n v="4"/>
    <n v="1"/>
    <n v="1"/>
    <n v="4"/>
    <n v="3"/>
    <n v="1"/>
    <n v="2"/>
    <n v="2"/>
    <n v="3"/>
    <n v="2"/>
    <n v="4"/>
    <n v="4"/>
    <n v="2"/>
    <n v="3"/>
    <n v="1"/>
    <n v="2"/>
    <n v="1"/>
    <n v="0"/>
    <n v="1"/>
    <n v="1"/>
    <n v="1"/>
    <n v="1"/>
    <n v="0"/>
    <n v="1"/>
    <n v="0"/>
    <n v="1"/>
    <n v="1"/>
    <n v="1"/>
    <n v="1"/>
    <n v="1"/>
    <n v="1"/>
    <n v="1"/>
    <n v="1"/>
    <n v="1"/>
    <n v="0"/>
    <n v="0"/>
    <n v="0"/>
    <n v="0"/>
    <n v="1"/>
    <n v="1"/>
    <n v="1"/>
    <n v="1"/>
    <n v="0"/>
    <n v="1"/>
    <n v="1"/>
    <n v="1"/>
    <n v="0"/>
    <n v="0"/>
    <n v="1"/>
    <n v="0"/>
    <n v="1"/>
    <n v="0"/>
    <n v="0"/>
  </r>
  <r>
    <x v="0"/>
    <x v="0"/>
    <x v="0"/>
    <x v="0"/>
    <x v="0"/>
    <n v="4"/>
    <n v="3"/>
    <n v="0"/>
    <x v="25"/>
    <n v="4"/>
    <n v="2"/>
    <n v="3"/>
    <n v="4"/>
    <n v="1"/>
    <n v="2"/>
    <n v="3"/>
    <n v="2"/>
    <n v="2"/>
    <n v="1"/>
    <n v="2"/>
    <n v="4"/>
    <n v="1"/>
    <n v="3"/>
    <n v="3"/>
    <n v="2"/>
    <n v="1"/>
    <n v="4"/>
    <n v="3"/>
    <n v="2"/>
    <n v="4"/>
    <n v="2"/>
    <n v="3"/>
    <n v="3"/>
    <n v="1"/>
    <n v="4"/>
    <n v="1"/>
    <n v="3"/>
    <n v="3"/>
    <n v="1"/>
    <n v="0"/>
    <n v="1"/>
    <n v="0"/>
    <n v="1"/>
    <n v="0"/>
    <n v="1"/>
    <n v="0"/>
    <n v="1"/>
    <n v="1"/>
    <n v="1"/>
    <n v="0"/>
    <n v="1"/>
    <n v="0"/>
    <n v="1"/>
    <n v="1"/>
    <n v="1"/>
    <n v="1"/>
    <n v="1"/>
    <n v="1"/>
    <n v="0"/>
    <n v="0"/>
    <n v="1"/>
    <n v="0"/>
    <n v="1"/>
    <n v="1"/>
    <n v="1"/>
    <n v="0"/>
    <n v="0"/>
    <n v="1"/>
    <n v="1"/>
    <n v="1"/>
    <n v="1"/>
    <n v="1"/>
    <n v="1"/>
    <n v="1"/>
    <n v="0"/>
    <n v="0"/>
  </r>
  <r>
    <x v="0"/>
    <x v="2"/>
    <x v="0"/>
    <x v="0"/>
    <x v="6"/>
    <n v="3"/>
    <n v="5"/>
    <n v="1.5"/>
    <x v="13"/>
    <n v="4"/>
    <n v="1"/>
    <n v="3"/>
    <n v="3"/>
    <n v="1"/>
    <n v="4"/>
    <n v="3"/>
    <n v="2"/>
    <n v="3"/>
    <n v="1"/>
    <n v="2"/>
    <n v="4"/>
    <n v="2"/>
    <n v="4"/>
    <n v="3"/>
    <n v="4"/>
    <n v="1"/>
    <n v="4"/>
    <n v="3"/>
    <n v="1"/>
    <n v="2"/>
    <n v="2"/>
    <n v="3"/>
    <n v="2"/>
    <n v="1"/>
    <n v="2"/>
    <n v="1"/>
    <n v="3"/>
    <n v="1"/>
    <n v="2"/>
    <n v="1"/>
    <n v="1"/>
    <n v="1"/>
    <n v="1"/>
    <n v="1"/>
    <n v="0"/>
    <n v="1.5"/>
    <n v="1"/>
    <n v="0"/>
    <n v="1"/>
    <n v="1"/>
    <n v="1"/>
    <n v="1"/>
    <n v="1"/>
    <n v="1"/>
    <n v="0"/>
    <n v="1"/>
    <n v="1"/>
    <n v="1"/>
    <n v="1"/>
    <n v="1"/>
    <n v="1"/>
    <n v="0"/>
    <n v="1"/>
    <n v="1"/>
    <n v="1"/>
    <n v="0"/>
    <n v="1"/>
    <n v="1"/>
    <n v="1"/>
    <n v="0"/>
    <n v="1"/>
    <n v="0"/>
    <n v="1"/>
    <n v="1"/>
    <n v="1"/>
    <n v="1"/>
  </r>
  <r>
    <x v="0"/>
    <x v="2"/>
    <x v="0"/>
    <x v="0"/>
    <x v="19"/>
    <n v="5"/>
    <n v="6"/>
    <n v="2.5"/>
    <x v="14"/>
    <n v="4"/>
    <n v="1"/>
    <n v="3"/>
    <n v="3"/>
    <n v="1"/>
    <n v="3"/>
    <n v="3"/>
    <n v="1"/>
    <n v="2"/>
    <n v="1"/>
    <n v="2"/>
    <n v="4"/>
    <n v="2"/>
    <n v="4"/>
    <n v="3"/>
    <n v="1"/>
    <n v="2"/>
    <n v="3"/>
    <n v="1"/>
    <n v="1"/>
    <n v="3"/>
    <n v="2"/>
    <n v="3"/>
    <n v="2"/>
    <n v="1"/>
    <n v="4"/>
    <n v="1"/>
    <n v="3"/>
    <n v="3"/>
    <n v="2"/>
    <n v="1"/>
    <n v="1"/>
    <n v="1"/>
    <n v="1"/>
    <n v="1"/>
    <n v="1"/>
    <n v="2.5"/>
    <n v="1"/>
    <n v="0"/>
    <n v="1"/>
    <n v="1"/>
    <n v="1"/>
    <n v="0"/>
    <n v="1"/>
    <n v="0"/>
    <n v="1"/>
    <n v="1"/>
    <n v="1"/>
    <n v="1"/>
    <n v="1"/>
    <n v="1"/>
    <n v="1"/>
    <n v="1"/>
    <n v="0"/>
    <n v="0"/>
    <n v="0"/>
    <n v="0"/>
    <n v="0"/>
    <n v="1"/>
    <n v="1"/>
    <n v="0"/>
    <n v="1"/>
    <n v="1"/>
    <n v="1"/>
    <n v="1"/>
    <n v="1"/>
    <n v="1"/>
  </r>
  <r>
    <x v="1"/>
    <x v="1"/>
    <x v="0"/>
    <x v="0"/>
    <x v="4"/>
    <n v="3"/>
    <n v="5"/>
    <n v="2.5"/>
    <x v="5"/>
    <n v="4"/>
    <n v="1"/>
    <n v="1"/>
    <n v="1"/>
    <n v="1"/>
    <n v="3"/>
    <n v="4"/>
    <n v="2"/>
    <n v="4"/>
    <n v="1"/>
    <n v="2"/>
    <n v="4"/>
    <n v="1"/>
    <n v="4"/>
    <n v="1"/>
    <n v="4"/>
    <n v="1"/>
    <n v="3"/>
    <n v="3"/>
    <n v="4"/>
    <n v="2"/>
    <n v="2"/>
    <n v="4"/>
    <n v="4"/>
    <n v="3"/>
    <n v="4"/>
    <n v="1"/>
    <n v="3"/>
    <n v="2"/>
    <n v="1"/>
    <n v="1"/>
    <n v="1"/>
    <n v="1"/>
    <n v="1"/>
    <n v="1"/>
    <n v="0"/>
    <n v="2.5"/>
    <n v="1"/>
    <n v="0"/>
    <n v="0"/>
    <n v="0"/>
    <n v="1"/>
    <n v="0"/>
    <n v="0"/>
    <n v="1"/>
    <n v="0"/>
    <n v="1"/>
    <n v="1"/>
    <n v="1"/>
    <n v="0"/>
    <n v="1"/>
    <n v="0"/>
    <n v="0"/>
    <n v="1"/>
    <n v="0"/>
    <n v="1"/>
    <n v="1"/>
    <n v="1"/>
    <n v="1"/>
    <n v="0"/>
    <n v="0"/>
    <n v="0"/>
    <n v="1"/>
    <n v="1"/>
    <n v="1"/>
    <n v="1"/>
    <n v="1"/>
  </r>
  <r>
    <x v="1"/>
    <x v="3"/>
    <x v="0"/>
    <x v="0"/>
    <x v="19"/>
    <n v="5"/>
    <n v="6"/>
    <n v="2"/>
    <x v="26"/>
    <n v="3"/>
    <n v="2"/>
    <n v="4"/>
    <n v="3"/>
    <n v="1"/>
    <n v="4"/>
    <n v="3"/>
    <n v="3"/>
    <n v="2"/>
    <n v="1"/>
    <n v="2"/>
    <n v="4"/>
    <n v="2"/>
    <n v="4"/>
    <n v="3"/>
    <n v="4"/>
    <n v="1"/>
    <n v="4"/>
    <n v="1"/>
    <n v="4"/>
    <n v="2"/>
    <n v="1"/>
    <n v="3"/>
    <n v="1"/>
    <n v="4"/>
    <n v="4"/>
    <n v="4"/>
    <n v="3"/>
    <n v="3"/>
    <n v="2"/>
    <n v="1"/>
    <n v="1"/>
    <n v="1"/>
    <n v="1"/>
    <n v="1"/>
    <n v="1"/>
    <n v="2"/>
    <n v="0"/>
    <n v="1"/>
    <n v="0"/>
    <n v="1"/>
    <n v="1"/>
    <n v="1"/>
    <n v="1"/>
    <n v="0"/>
    <n v="1"/>
    <n v="1"/>
    <n v="1"/>
    <n v="1"/>
    <n v="1"/>
    <n v="1"/>
    <n v="1"/>
    <n v="0"/>
    <n v="1"/>
    <n v="1"/>
    <n v="0"/>
    <n v="1"/>
    <n v="1"/>
    <n v="0"/>
    <n v="1"/>
    <n v="0"/>
    <n v="0"/>
    <n v="1"/>
    <n v="0"/>
    <n v="1"/>
    <n v="1"/>
    <n v="1"/>
  </r>
  <r>
    <x v="1"/>
    <x v="3"/>
    <x v="0"/>
    <x v="0"/>
    <x v="16"/>
    <n v="3"/>
    <n v="6"/>
    <n v="1"/>
    <x v="13"/>
    <n v="4"/>
    <n v="2"/>
    <n v="3"/>
    <n v="3"/>
    <n v="1"/>
    <n v="2"/>
    <n v="3"/>
    <n v="2"/>
    <n v="4"/>
    <n v="1"/>
    <n v="2"/>
    <n v="4"/>
    <n v="2"/>
    <n v="4"/>
    <n v="3"/>
    <n v="1"/>
    <n v="1"/>
    <n v="3"/>
    <n v="3"/>
    <n v="4"/>
    <n v="3"/>
    <n v="2"/>
    <n v="3"/>
    <n v="3"/>
    <n v="1"/>
    <n v="4"/>
    <n v="2"/>
    <n v="3"/>
    <n v="2"/>
    <n v="1"/>
    <n v="1"/>
    <n v="1"/>
    <n v="1"/>
    <n v="1"/>
    <n v="1"/>
    <n v="1"/>
    <n v="1"/>
    <n v="1"/>
    <n v="1"/>
    <n v="1"/>
    <n v="1"/>
    <n v="1"/>
    <n v="0"/>
    <n v="1"/>
    <n v="1"/>
    <n v="0"/>
    <n v="1"/>
    <n v="1"/>
    <n v="1"/>
    <n v="1"/>
    <n v="1"/>
    <n v="1"/>
    <n v="1"/>
    <n v="1"/>
    <n v="0"/>
    <n v="1"/>
    <n v="1"/>
    <n v="0"/>
    <n v="1"/>
    <n v="1"/>
    <n v="1"/>
    <n v="1"/>
    <n v="1"/>
    <n v="0"/>
    <n v="1"/>
    <n v="1"/>
    <n v="1"/>
  </r>
  <r>
    <x v="0"/>
    <x v="0"/>
    <x v="0"/>
    <x v="0"/>
    <x v="13"/>
    <n v="10"/>
    <n v="6"/>
    <n v="5"/>
    <x v="6"/>
    <n v="4"/>
    <n v="1"/>
    <n v="3"/>
    <n v="4"/>
    <n v="1"/>
    <n v="3"/>
    <n v="3"/>
    <n v="2"/>
    <n v="2"/>
    <n v="1"/>
    <n v="2"/>
    <n v="1"/>
    <n v="4"/>
    <n v="1"/>
    <n v="4"/>
    <n v="1"/>
    <n v="1"/>
    <n v="4"/>
    <n v="3"/>
    <n v="1"/>
    <n v="3"/>
    <n v="2"/>
    <n v="3"/>
    <n v="3"/>
    <n v="3"/>
    <n v="4"/>
    <n v="1"/>
    <n v="3"/>
    <n v="5"/>
    <n v="5"/>
    <n v="1"/>
    <n v="1"/>
    <n v="1"/>
    <n v="1"/>
    <n v="1"/>
    <n v="1"/>
    <n v="5"/>
    <n v="1"/>
    <n v="0"/>
    <n v="1"/>
    <n v="0"/>
    <n v="1"/>
    <n v="0"/>
    <n v="1"/>
    <n v="1"/>
    <n v="1"/>
    <n v="1"/>
    <n v="1"/>
    <n v="0"/>
    <n v="0"/>
    <n v="0"/>
    <n v="0"/>
    <n v="1"/>
    <n v="1"/>
    <n v="1"/>
    <n v="1"/>
    <n v="0"/>
    <n v="0"/>
    <n v="1"/>
    <n v="1"/>
    <n v="1"/>
    <n v="0"/>
    <n v="1"/>
    <n v="1"/>
    <n v="1"/>
    <n v="1"/>
    <n v="1"/>
  </r>
  <r>
    <x v="0"/>
    <x v="0"/>
    <x v="0"/>
    <x v="0"/>
    <x v="19"/>
    <n v="4"/>
    <n v="6"/>
    <n v="2.5"/>
    <x v="27"/>
    <n v="4"/>
    <n v="1"/>
    <n v="3"/>
    <n v="2"/>
    <n v="1"/>
    <n v="2"/>
    <n v="3"/>
    <n v="2"/>
    <n v="3"/>
    <n v="1"/>
    <n v="2"/>
    <n v="4"/>
    <n v="2"/>
    <n v="4"/>
    <n v="2"/>
    <n v="4"/>
    <n v="1"/>
    <n v="4"/>
    <n v="1"/>
    <n v="4"/>
    <n v="1"/>
    <n v="4"/>
    <n v="3"/>
    <n v="3"/>
    <n v="1"/>
    <n v="4"/>
    <n v="1"/>
    <n v="3"/>
    <n v="2"/>
    <n v="2"/>
    <n v="1"/>
    <n v="1"/>
    <n v="1"/>
    <n v="1"/>
    <n v="1"/>
    <n v="1"/>
    <n v="2.5"/>
    <n v="1"/>
    <n v="0"/>
    <n v="1"/>
    <n v="0"/>
    <n v="1"/>
    <n v="0"/>
    <n v="1"/>
    <n v="1"/>
    <n v="0"/>
    <n v="1"/>
    <n v="1"/>
    <n v="1"/>
    <n v="1"/>
    <n v="1"/>
    <n v="0"/>
    <n v="0"/>
    <n v="1"/>
    <n v="1"/>
    <n v="0"/>
    <n v="1"/>
    <n v="0"/>
    <n v="0"/>
    <n v="1"/>
    <n v="1"/>
    <n v="1"/>
    <n v="1"/>
    <n v="1"/>
    <n v="1"/>
    <n v="1"/>
    <n v="1"/>
  </r>
  <r>
    <x v="0"/>
    <x v="1"/>
    <x v="0"/>
    <x v="0"/>
    <x v="11"/>
    <n v="3"/>
    <n v="4"/>
    <n v="1.5"/>
    <x v="9"/>
    <n v="4"/>
    <n v="2"/>
    <n v="3"/>
    <n v="3"/>
    <n v="1"/>
    <n v="4"/>
    <n v="3"/>
    <n v="3"/>
    <n v="2"/>
    <n v="1"/>
    <n v="2"/>
    <n v="4"/>
    <n v="1"/>
    <n v="4"/>
    <n v="1"/>
    <n v="4"/>
    <n v="1"/>
    <n v="4"/>
    <n v="3"/>
    <n v="2"/>
    <n v="2"/>
    <n v="2"/>
    <n v="1"/>
    <n v="3"/>
    <n v="2"/>
    <n v="4"/>
    <n v="2"/>
    <n v="3"/>
    <n v="2"/>
    <n v="1"/>
    <n v="0"/>
    <n v="1"/>
    <n v="1"/>
    <n v="1"/>
    <n v="1"/>
    <n v="0"/>
    <n v="1.5"/>
    <n v="1"/>
    <n v="1"/>
    <n v="1"/>
    <n v="1"/>
    <n v="1"/>
    <n v="1"/>
    <n v="1"/>
    <n v="0"/>
    <n v="1"/>
    <n v="1"/>
    <n v="1"/>
    <n v="1"/>
    <n v="0"/>
    <n v="1"/>
    <n v="0"/>
    <n v="0"/>
    <n v="1"/>
    <n v="1"/>
    <n v="1"/>
    <n v="0"/>
    <n v="1"/>
    <n v="1"/>
    <n v="0"/>
    <n v="1"/>
    <n v="0"/>
    <n v="1"/>
    <n v="0"/>
    <n v="1"/>
    <n v="1"/>
    <n v="1"/>
  </r>
  <r>
    <x v="0"/>
    <x v="0"/>
    <x v="0"/>
    <x v="1"/>
    <x v="15"/>
    <n v="1"/>
    <n v="0"/>
    <n v="0"/>
    <x v="28"/>
    <n v="4"/>
    <n v="2"/>
    <n v="3"/>
    <n v="3"/>
    <n v="3"/>
    <n v="2"/>
    <n v="4"/>
    <n v="1"/>
    <n v="2"/>
    <n v="1"/>
    <n v="2"/>
    <n v="3"/>
    <n v="1"/>
    <n v="3"/>
    <n v="3"/>
    <n v="1"/>
    <n v="1"/>
    <n v="4"/>
    <n v="2"/>
    <n v="3"/>
    <n v="1"/>
    <n v="3"/>
    <n v="4"/>
    <n v="2"/>
    <n v="1"/>
    <n v="3"/>
    <n v="3"/>
    <n v="4"/>
    <n v="1"/>
    <n v="0"/>
    <n v="0"/>
    <n v="0"/>
    <n v="0"/>
    <n v="0"/>
    <n v="0"/>
    <n v="0"/>
    <n v="0"/>
    <n v="1"/>
    <n v="1"/>
    <n v="1"/>
    <n v="1"/>
    <n v="0"/>
    <n v="0"/>
    <n v="0"/>
    <n v="0"/>
    <n v="1"/>
    <n v="1"/>
    <n v="1"/>
    <n v="0"/>
    <n v="0"/>
    <n v="0"/>
    <n v="1"/>
    <n v="1"/>
    <n v="1"/>
    <n v="1"/>
    <n v="0"/>
    <n v="0"/>
    <n v="0"/>
    <n v="0"/>
    <n v="0"/>
    <n v="0"/>
    <n v="1"/>
    <n v="0"/>
    <n v="0"/>
    <n v="0"/>
    <n v="0"/>
    <n v="0"/>
  </r>
  <r>
    <x v="1"/>
    <x v="3"/>
    <x v="0"/>
    <x v="0"/>
    <x v="20"/>
    <n v="2"/>
    <n v="3"/>
    <n v="0.5"/>
    <x v="20"/>
    <n v="4"/>
    <n v="3"/>
    <n v="3"/>
    <n v="3"/>
    <n v="3"/>
    <n v="1"/>
    <n v="2"/>
    <n v="2"/>
    <n v="3"/>
    <n v="4"/>
    <n v="2"/>
    <n v="4"/>
    <n v="2"/>
    <n v="4"/>
    <n v="1"/>
    <n v="1"/>
    <n v="1"/>
    <n v="3"/>
    <n v="3"/>
    <n v="4"/>
    <n v="3"/>
    <n v="2"/>
    <n v="3"/>
    <n v="3"/>
    <n v="3"/>
    <n v="4"/>
    <n v="1"/>
    <n v="2"/>
    <n v="1"/>
    <n v="1"/>
    <n v="0"/>
    <n v="0"/>
    <n v="1"/>
    <n v="0"/>
    <n v="1"/>
    <n v="1"/>
    <n v="0.5"/>
    <n v="1"/>
    <n v="0"/>
    <n v="1"/>
    <n v="1"/>
    <n v="0"/>
    <n v="0"/>
    <n v="0"/>
    <n v="1"/>
    <n v="0"/>
    <n v="0"/>
    <n v="1"/>
    <n v="1"/>
    <n v="1"/>
    <n v="1"/>
    <n v="0"/>
    <n v="1"/>
    <n v="1"/>
    <n v="0"/>
    <n v="1"/>
    <n v="1"/>
    <n v="0"/>
    <n v="1"/>
    <n v="1"/>
    <n v="1"/>
    <n v="0"/>
    <n v="1"/>
    <n v="1"/>
    <n v="0"/>
    <n v="0"/>
    <n v="0"/>
  </r>
  <r>
    <x v="0"/>
    <x v="2"/>
    <x v="0"/>
    <x v="0"/>
    <x v="14"/>
    <n v="3"/>
    <n v="6"/>
    <n v="1"/>
    <x v="25"/>
    <n v="1"/>
    <n v="2"/>
    <n v="4"/>
    <n v="2"/>
    <n v="1"/>
    <n v="4"/>
    <n v="3"/>
    <n v="2"/>
    <n v="3"/>
    <n v="1"/>
    <n v="2"/>
    <n v="4"/>
    <n v="2"/>
    <n v="4"/>
    <n v="3"/>
    <n v="4"/>
    <n v="4"/>
    <n v="4"/>
    <n v="3"/>
    <n v="1"/>
    <n v="2"/>
    <n v="4"/>
    <n v="4"/>
    <n v="4"/>
    <n v="3"/>
    <n v="4"/>
    <n v="2"/>
    <n v="3"/>
    <n v="2"/>
    <n v="1"/>
    <n v="1"/>
    <n v="1"/>
    <n v="1"/>
    <n v="1"/>
    <n v="1"/>
    <n v="1"/>
    <n v="1"/>
    <n v="0"/>
    <n v="1"/>
    <n v="0"/>
    <n v="0"/>
    <n v="1"/>
    <n v="1"/>
    <n v="1"/>
    <n v="1"/>
    <n v="0"/>
    <n v="1"/>
    <n v="1"/>
    <n v="1"/>
    <n v="1"/>
    <n v="1"/>
    <n v="1"/>
    <n v="0"/>
    <n v="0"/>
    <n v="1"/>
    <n v="1"/>
    <n v="0"/>
    <n v="1"/>
    <n v="0"/>
    <n v="0"/>
    <n v="0"/>
    <n v="0"/>
    <n v="1"/>
    <n v="0"/>
    <n v="1"/>
    <n v="0"/>
    <n v="0"/>
  </r>
  <r>
    <x v="1"/>
    <x v="3"/>
    <x v="0"/>
    <x v="0"/>
    <x v="15"/>
    <n v="2"/>
    <n v="6"/>
    <n v="1"/>
    <x v="17"/>
    <n v="4"/>
    <n v="2"/>
    <n v="2"/>
    <n v="4"/>
    <n v="1"/>
    <n v="3"/>
    <n v="2"/>
    <n v="4"/>
    <n v="2"/>
    <n v="4"/>
    <n v="2"/>
    <n v="4"/>
    <n v="2"/>
    <n v="4"/>
    <n v="1"/>
    <n v="3"/>
    <n v="4"/>
    <n v="1"/>
    <n v="3"/>
    <n v="4"/>
    <n v="1"/>
    <n v="2"/>
    <n v="3"/>
    <n v="4"/>
    <n v="3"/>
    <n v="1"/>
    <n v="2"/>
    <n v="1"/>
    <n v="2"/>
    <n v="0"/>
    <n v="1"/>
    <n v="1"/>
    <n v="1"/>
    <n v="1"/>
    <n v="1"/>
    <n v="1"/>
    <n v="1"/>
    <n v="1"/>
    <n v="1"/>
    <n v="0"/>
    <n v="0"/>
    <n v="1"/>
    <n v="0"/>
    <n v="0"/>
    <n v="0"/>
    <n v="1"/>
    <n v="0"/>
    <n v="1"/>
    <n v="1"/>
    <n v="1"/>
    <n v="1"/>
    <n v="0"/>
    <n v="0"/>
    <n v="0"/>
    <n v="0"/>
    <n v="1"/>
    <n v="1"/>
    <n v="0"/>
    <n v="1"/>
    <n v="1"/>
    <n v="0"/>
    <n v="0"/>
    <n v="0"/>
    <n v="0"/>
    <n v="0"/>
    <n v="0"/>
    <n v="0"/>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19"/>
    <n v="3"/>
    <n v="6"/>
    <n v="2.5"/>
    <x v="26"/>
    <n v="3"/>
    <n v="2"/>
    <n v="1"/>
    <n v="2"/>
    <n v="1"/>
    <n v="4"/>
    <n v="3"/>
    <n v="2"/>
    <n v="2"/>
    <n v="1"/>
    <n v="2"/>
    <n v="2"/>
    <n v="2"/>
    <n v="4"/>
    <n v="3"/>
    <n v="4"/>
    <n v="1"/>
    <n v="4"/>
    <n v="3"/>
    <n v="1"/>
    <n v="2"/>
    <n v="4"/>
    <n v="3"/>
    <n v="3"/>
    <n v="4"/>
    <n v="4"/>
    <n v="4"/>
    <n v="3"/>
    <n v="2"/>
    <n v="1"/>
    <n v="1"/>
    <n v="1"/>
    <n v="1"/>
    <n v="1"/>
    <n v="1"/>
    <n v="1"/>
    <n v="2.5"/>
    <n v="0"/>
    <n v="1"/>
    <n v="0"/>
    <n v="0"/>
    <n v="1"/>
    <n v="1"/>
    <n v="1"/>
    <n v="1"/>
    <n v="1"/>
    <n v="1"/>
    <n v="1"/>
    <n v="0"/>
    <n v="1"/>
    <n v="1"/>
    <n v="1"/>
    <n v="0"/>
    <n v="1"/>
    <n v="1"/>
    <n v="1"/>
    <n v="0"/>
    <n v="1"/>
    <n v="0"/>
    <n v="1"/>
    <n v="1"/>
    <n v="0"/>
    <n v="1"/>
    <n v="0"/>
    <n v="1"/>
    <n v="1"/>
    <n v="1"/>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0"/>
    <x v="1"/>
    <x v="0"/>
    <x v="0"/>
    <x v="14"/>
    <n v="2"/>
    <n v="5"/>
    <n v="2.5"/>
    <x v="5"/>
    <n v="3"/>
    <n v="1"/>
    <n v="4"/>
    <n v="3"/>
    <n v="1"/>
    <n v="2"/>
    <n v="3"/>
    <n v="2"/>
    <n v="2"/>
    <n v="1"/>
    <n v="2"/>
    <n v="3"/>
    <n v="2"/>
    <n v="4"/>
    <n v="1"/>
    <n v="1"/>
    <n v="2"/>
    <n v="4"/>
    <n v="3"/>
    <n v="1"/>
    <n v="4"/>
    <n v="4"/>
    <n v="3"/>
    <n v="3"/>
    <n v="3"/>
    <n v="4"/>
    <n v="4"/>
    <n v="3"/>
    <n v="2"/>
    <n v="0"/>
    <n v="1"/>
    <n v="1"/>
    <n v="0"/>
    <n v="1"/>
    <n v="1"/>
    <n v="1"/>
    <n v="2.5"/>
    <n v="0"/>
    <n v="0"/>
    <n v="0"/>
    <n v="1"/>
    <n v="1"/>
    <n v="0"/>
    <n v="1"/>
    <n v="1"/>
    <n v="1"/>
    <n v="1"/>
    <n v="1"/>
    <n v="0"/>
    <n v="1"/>
    <n v="1"/>
    <n v="0"/>
    <n v="1"/>
    <n v="0"/>
    <n v="1"/>
    <n v="1"/>
    <n v="0"/>
    <n v="0"/>
    <n v="0"/>
    <n v="1"/>
    <n v="1"/>
    <n v="0"/>
    <n v="1"/>
    <n v="0"/>
    <n v="1"/>
    <n v="1"/>
    <n v="1"/>
  </r>
  <r>
    <x v="0"/>
    <x v="1"/>
    <x v="0"/>
    <x v="0"/>
    <x v="11"/>
    <n v="3"/>
    <n v="2"/>
    <n v="0"/>
    <x v="10"/>
    <n v="4"/>
    <n v="2"/>
    <n v="3"/>
    <n v="4"/>
    <n v="1"/>
    <n v="2"/>
    <n v="3"/>
    <n v="3"/>
    <n v="2"/>
    <n v="1"/>
    <n v="2"/>
    <n v="4"/>
    <n v="2"/>
    <n v="4"/>
    <n v="3"/>
    <n v="1"/>
    <n v="1"/>
    <n v="2"/>
    <n v="2"/>
    <n v="4"/>
    <n v="2"/>
    <n v="2"/>
    <n v="3"/>
    <n v="2"/>
    <n v="1"/>
    <n v="4"/>
    <n v="4"/>
    <n v="1"/>
    <n v="2"/>
    <n v="1"/>
    <n v="0"/>
    <n v="0"/>
    <n v="1"/>
    <n v="1"/>
    <n v="0"/>
    <n v="0"/>
    <n v="0"/>
    <n v="1"/>
    <n v="1"/>
    <n v="1"/>
    <n v="0"/>
    <n v="1"/>
    <n v="0"/>
    <n v="1"/>
    <n v="0"/>
    <n v="1"/>
    <n v="1"/>
    <n v="1"/>
    <n v="1"/>
    <n v="1"/>
    <n v="1"/>
    <n v="1"/>
    <n v="1"/>
    <n v="1"/>
    <n v="0"/>
    <n v="0"/>
    <n v="1"/>
    <n v="1"/>
    <n v="1"/>
    <n v="1"/>
    <n v="0"/>
    <n v="1"/>
    <n v="1"/>
    <n v="0"/>
    <n v="0"/>
    <n v="0"/>
    <n v="0"/>
  </r>
  <r>
    <x v="0"/>
    <x v="0"/>
    <x v="0"/>
    <x v="1"/>
    <x v="14"/>
    <n v="6"/>
    <n v="6"/>
    <n v="4"/>
    <x v="7"/>
    <n v="4"/>
    <n v="1"/>
    <n v="3"/>
    <n v="3"/>
    <n v="1"/>
    <n v="2"/>
    <n v="3"/>
    <n v="3"/>
    <n v="2"/>
    <n v="1"/>
    <n v="2"/>
    <n v="3"/>
    <n v="2"/>
    <n v="2"/>
    <n v="4"/>
    <n v="1"/>
    <n v="3"/>
    <n v="1"/>
    <n v="3"/>
    <n v="3"/>
    <n v="2"/>
    <n v="4"/>
    <n v="3"/>
    <n v="3"/>
    <n v="1"/>
    <n v="4"/>
    <n v="4"/>
    <n v="2"/>
    <n v="3"/>
    <n v="3"/>
    <n v="1"/>
    <n v="1"/>
    <n v="1"/>
    <n v="1"/>
    <n v="1"/>
    <n v="1"/>
    <n v="4"/>
    <n v="1"/>
    <n v="0"/>
    <n v="1"/>
    <n v="1"/>
    <n v="1"/>
    <n v="0"/>
    <n v="1"/>
    <n v="0"/>
    <n v="1"/>
    <n v="1"/>
    <n v="1"/>
    <n v="0"/>
    <n v="1"/>
    <n v="0"/>
    <n v="0"/>
    <n v="1"/>
    <n v="0"/>
    <n v="0"/>
    <n v="1"/>
    <n v="0"/>
    <n v="1"/>
    <n v="0"/>
    <n v="1"/>
    <n v="1"/>
    <n v="1"/>
    <n v="1"/>
    <n v="0"/>
    <n v="0"/>
    <n v="1"/>
    <n v="1"/>
  </r>
  <r>
    <x v="1"/>
    <x v="3"/>
    <x v="0"/>
    <x v="0"/>
    <x v="14"/>
    <n v="2"/>
    <n v="3"/>
    <n v="1"/>
    <x v="20"/>
    <n v="4"/>
    <n v="2"/>
    <n v="3"/>
    <n v="3"/>
    <n v="1"/>
    <n v="2"/>
    <n v="3"/>
    <n v="2"/>
    <n v="2"/>
    <n v="1"/>
    <n v="2"/>
    <n v="4"/>
    <n v="2"/>
    <n v="3"/>
    <n v="4"/>
    <n v="1"/>
    <n v="3"/>
    <n v="2"/>
    <n v="2"/>
    <n v="3"/>
    <n v="2"/>
    <n v="2"/>
    <n v="3"/>
    <n v="1"/>
    <n v="2"/>
    <n v="3"/>
    <n v="2"/>
    <n v="4"/>
    <n v="1"/>
    <n v="1"/>
    <n v="0"/>
    <n v="0"/>
    <n v="1"/>
    <n v="0"/>
    <n v="1"/>
    <n v="1"/>
    <n v="1"/>
    <n v="1"/>
    <n v="1"/>
    <n v="1"/>
    <n v="1"/>
    <n v="1"/>
    <n v="0"/>
    <n v="1"/>
    <n v="1"/>
    <n v="1"/>
    <n v="1"/>
    <n v="1"/>
    <n v="1"/>
    <n v="1"/>
    <n v="0"/>
    <n v="0"/>
    <n v="1"/>
    <n v="0"/>
    <n v="0"/>
    <n v="0"/>
    <n v="0"/>
    <n v="1"/>
    <n v="1"/>
    <n v="1"/>
    <n v="0"/>
    <n v="0"/>
    <n v="0"/>
    <n v="0"/>
    <n v="0"/>
    <n v="0"/>
    <n v="0"/>
  </r>
  <r>
    <x v="0"/>
    <x v="0"/>
    <x v="0"/>
    <x v="1"/>
    <x v="8"/>
    <n v="4"/>
    <n v="4"/>
    <n v="1.5"/>
    <x v="20"/>
    <n v="3"/>
    <n v="2"/>
    <n v="4"/>
    <n v="2"/>
    <n v="3"/>
    <n v="4"/>
    <n v="3"/>
    <n v="2"/>
    <n v="1"/>
    <n v="1"/>
    <n v="2"/>
    <n v="3"/>
    <n v="4"/>
    <n v="4"/>
    <n v="1"/>
    <n v="4"/>
    <n v="3"/>
    <n v="1"/>
    <n v="3"/>
    <n v="2"/>
    <n v="4"/>
    <n v="1"/>
    <n v="3"/>
    <n v="4"/>
    <n v="3"/>
    <n v="4"/>
    <n v="4"/>
    <n v="3"/>
    <n v="3"/>
    <n v="1"/>
    <n v="0"/>
    <n v="1"/>
    <n v="0"/>
    <n v="1"/>
    <n v="1"/>
    <n v="1"/>
    <n v="1.5"/>
    <n v="0"/>
    <n v="1"/>
    <n v="0"/>
    <n v="0"/>
    <n v="0"/>
    <n v="1"/>
    <n v="1"/>
    <n v="1"/>
    <n v="0"/>
    <n v="1"/>
    <n v="1"/>
    <n v="0"/>
    <n v="0"/>
    <n v="1"/>
    <n v="0"/>
    <n v="0"/>
    <n v="0"/>
    <n v="0"/>
    <n v="1"/>
    <n v="0"/>
    <n v="0"/>
    <n v="0"/>
    <n v="1"/>
    <n v="0"/>
    <n v="0"/>
    <n v="1"/>
    <n v="0"/>
    <n v="1"/>
    <n v="0"/>
    <n v="1"/>
  </r>
  <r>
    <x v="1"/>
    <x v="3"/>
    <x v="0"/>
    <x v="1"/>
    <x v="10"/>
    <n v="4"/>
    <n v="5"/>
    <n v="1"/>
    <x v="11"/>
    <n v="2"/>
    <n v="1"/>
    <n v="3"/>
    <n v="4"/>
    <n v="4"/>
    <n v="2"/>
    <n v="3"/>
    <n v="2"/>
    <n v="2"/>
    <n v="3"/>
    <n v="4"/>
    <n v="3"/>
    <n v="1"/>
    <n v="4"/>
    <n v="4"/>
    <n v="4"/>
    <n v="3"/>
    <n v="2"/>
    <n v="3"/>
    <n v="1"/>
    <n v="3"/>
    <n v="1"/>
    <n v="2"/>
    <n v="2"/>
    <n v="3"/>
    <n v="3"/>
    <n v="4"/>
    <n v="1"/>
    <n v="2"/>
    <n v="2"/>
    <n v="0"/>
    <n v="1"/>
    <n v="1"/>
    <n v="1"/>
    <n v="1"/>
    <n v="1"/>
    <n v="1"/>
    <n v="0"/>
    <n v="0"/>
    <n v="1"/>
    <n v="0"/>
    <n v="0"/>
    <n v="0"/>
    <n v="1"/>
    <n v="1"/>
    <n v="1"/>
    <n v="0"/>
    <n v="0"/>
    <n v="0"/>
    <n v="0"/>
    <n v="1"/>
    <n v="0"/>
    <n v="0"/>
    <n v="0"/>
    <n v="0"/>
    <n v="1"/>
    <n v="0"/>
    <n v="0"/>
    <n v="0"/>
    <n v="0"/>
    <n v="0"/>
    <n v="0"/>
    <n v="0"/>
    <n v="0"/>
    <n v="0"/>
    <n v="0"/>
    <n v="0"/>
  </r>
  <r>
    <x v="0"/>
    <x v="0"/>
    <x v="0"/>
    <x v="1"/>
    <x v="2"/>
    <n v="0"/>
    <n v="0"/>
    <n v="0"/>
    <x v="2"/>
    <m/>
    <m/>
    <m/>
    <m/>
    <m/>
    <m/>
    <m/>
    <m/>
    <m/>
    <m/>
    <m/>
    <m/>
    <m/>
    <m/>
    <m/>
    <m/>
    <m/>
    <m/>
    <m/>
    <m/>
    <m/>
    <m/>
    <m/>
    <m/>
    <m/>
    <m/>
    <m/>
    <m/>
    <m/>
    <m/>
    <m/>
    <m/>
    <m/>
    <m/>
    <m/>
    <m/>
    <m/>
    <n v="0"/>
    <n v="0"/>
    <n v="0"/>
    <n v="0"/>
    <n v="0"/>
    <n v="0"/>
    <n v="0"/>
    <n v="0"/>
    <n v="0"/>
    <n v="0"/>
    <n v="0"/>
    <n v="0"/>
    <n v="0"/>
    <n v="0"/>
    <n v="0"/>
    <n v="0"/>
    <n v="0"/>
    <n v="0"/>
    <n v="0"/>
    <n v="0"/>
    <n v="0"/>
    <n v="0"/>
    <n v="0"/>
    <n v="0"/>
    <n v="0"/>
    <n v="0"/>
    <n v="0"/>
    <n v="0"/>
    <n v="0"/>
    <n v="0"/>
  </r>
  <r>
    <x v="0"/>
    <x v="0"/>
    <x v="0"/>
    <x v="1"/>
    <x v="2"/>
    <n v="0"/>
    <n v="0"/>
    <n v="0"/>
    <x v="2"/>
    <m/>
    <m/>
    <m/>
    <m/>
    <m/>
    <m/>
    <m/>
    <m/>
    <m/>
    <m/>
    <m/>
    <m/>
    <m/>
    <m/>
    <m/>
    <m/>
    <m/>
    <m/>
    <m/>
    <m/>
    <m/>
    <m/>
    <m/>
    <m/>
    <m/>
    <m/>
    <m/>
    <m/>
    <m/>
    <m/>
    <m/>
    <m/>
    <m/>
    <m/>
    <m/>
    <m/>
    <m/>
    <n v="0"/>
    <n v="0"/>
    <n v="0"/>
    <n v="0"/>
    <n v="0"/>
    <n v="0"/>
    <n v="0"/>
    <n v="0"/>
    <n v="0"/>
    <n v="0"/>
    <n v="0"/>
    <n v="0"/>
    <n v="0"/>
    <n v="0"/>
    <n v="0"/>
    <n v="0"/>
    <n v="0"/>
    <n v="0"/>
    <n v="0"/>
    <n v="0"/>
    <n v="0"/>
    <n v="0"/>
    <n v="0"/>
    <n v="0"/>
    <n v="0"/>
    <n v="0"/>
    <n v="0"/>
    <n v="0"/>
    <n v="0"/>
    <n v="0"/>
  </r>
  <r>
    <x v="0"/>
    <x v="0"/>
    <x v="0"/>
    <x v="0"/>
    <x v="11"/>
    <n v="5"/>
    <n v="4"/>
    <n v="2"/>
    <x v="13"/>
    <n v="4"/>
    <n v="2"/>
    <n v="3"/>
    <n v="3"/>
    <n v="1"/>
    <n v="3"/>
    <n v="3"/>
    <n v="1"/>
    <n v="2"/>
    <n v="1"/>
    <n v="2"/>
    <n v="4"/>
    <n v="2"/>
    <n v="4"/>
    <n v="1"/>
    <n v="1"/>
    <n v="1"/>
    <n v="4"/>
    <n v="3"/>
    <n v="3"/>
    <n v="4"/>
    <n v="3"/>
    <n v="3"/>
    <n v="2"/>
    <n v="4"/>
    <n v="4"/>
    <n v="1"/>
    <n v="3"/>
    <n v="3"/>
    <n v="2"/>
    <n v="0"/>
    <n v="1"/>
    <n v="1"/>
    <n v="0"/>
    <n v="1"/>
    <n v="1"/>
    <n v="2"/>
    <n v="1"/>
    <n v="1"/>
    <n v="1"/>
    <n v="1"/>
    <n v="1"/>
    <n v="0"/>
    <n v="1"/>
    <n v="0"/>
    <n v="1"/>
    <n v="1"/>
    <n v="1"/>
    <n v="1"/>
    <n v="1"/>
    <n v="1"/>
    <n v="0"/>
    <n v="1"/>
    <n v="1"/>
    <n v="1"/>
    <n v="1"/>
    <n v="0"/>
    <n v="0"/>
    <n v="0"/>
    <n v="1"/>
    <n v="0"/>
    <n v="0"/>
    <n v="1"/>
    <n v="1"/>
    <n v="1"/>
    <n v="1"/>
    <n v="1"/>
  </r>
  <r>
    <x v="1"/>
    <x v="3"/>
    <x v="1"/>
    <x v="0"/>
    <x v="15"/>
    <n v="6"/>
    <n v="6"/>
    <n v="1.5"/>
    <x v="29"/>
    <n v="4"/>
    <n v="1"/>
    <n v="3"/>
    <n v="1"/>
    <n v="3"/>
    <n v="4"/>
    <n v="4"/>
    <n v="2"/>
    <n v="3"/>
    <n v="1"/>
    <n v="1"/>
    <n v="3"/>
    <n v="2"/>
    <n v="4"/>
    <n v="3"/>
    <n v="1"/>
    <n v="4"/>
    <n v="3"/>
    <n v="3"/>
    <n v="4"/>
    <n v="4"/>
    <n v="1"/>
    <n v="4"/>
    <n v="2"/>
    <n v="3"/>
    <n v="2"/>
    <n v="4"/>
    <n v="3"/>
    <n v="3"/>
    <n v="3"/>
    <n v="1"/>
    <n v="1"/>
    <n v="1"/>
    <n v="1"/>
    <n v="1"/>
    <n v="1"/>
    <n v="1.5"/>
    <n v="1"/>
    <n v="0"/>
    <n v="1"/>
    <n v="0"/>
    <n v="0"/>
    <n v="1"/>
    <n v="0"/>
    <n v="1"/>
    <n v="0"/>
    <n v="1"/>
    <n v="0"/>
    <n v="0"/>
    <n v="1"/>
    <n v="1"/>
    <n v="1"/>
    <n v="1"/>
    <n v="0"/>
    <n v="0"/>
    <n v="1"/>
    <n v="1"/>
    <n v="0"/>
    <n v="0"/>
    <n v="0"/>
    <n v="0"/>
    <n v="0"/>
    <n v="0"/>
    <n v="0"/>
    <n v="1"/>
    <n v="1"/>
    <n v="1"/>
  </r>
  <r>
    <x v="0"/>
    <x v="1"/>
    <x v="0"/>
    <x v="0"/>
    <x v="5"/>
    <n v="3"/>
    <n v="6"/>
    <n v="3"/>
    <x v="30"/>
    <n v="4"/>
    <n v="2"/>
    <n v="3"/>
    <n v="2"/>
    <n v="1"/>
    <n v="4"/>
    <n v="3"/>
    <n v="2"/>
    <n v="2"/>
    <n v="1"/>
    <n v="2"/>
    <n v="4"/>
    <n v="2"/>
    <n v="3"/>
    <n v="3"/>
    <n v="1"/>
    <n v="1"/>
    <n v="4"/>
    <n v="3"/>
    <n v="3"/>
    <n v="2"/>
    <n v="2"/>
    <n v="3"/>
    <n v="3"/>
    <n v="1"/>
    <n v="4"/>
    <n v="1"/>
    <n v="3"/>
    <n v="2"/>
    <n v="1"/>
    <n v="1"/>
    <n v="1"/>
    <n v="1"/>
    <n v="1"/>
    <n v="1"/>
    <n v="1"/>
    <n v="3"/>
    <n v="1"/>
    <n v="1"/>
    <n v="1"/>
    <n v="0"/>
    <n v="1"/>
    <n v="1"/>
    <n v="1"/>
    <n v="1"/>
    <n v="1"/>
    <n v="1"/>
    <n v="1"/>
    <n v="1"/>
    <n v="1"/>
    <n v="0"/>
    <n v="1"/>
    <n v="1"/>
    <n v="1"/>
    <n v="1"/>
    <n v="1"/>
    <n v="0"/>
    <n v="1"/>
    <n v="1"/>
    <n v="1"/>
    <n v="1"/>
    <n v="1"/>
    <n v="1"/>
    <n v="1"/>
    <n v="1"/>
    <n v="1"/>
    <n v="1"/>
  </r>
  <r>
    <x v="0"/>
    <x v="0"/>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0"/>
    <x v="14"/>
    <n v="4"/>
    <n v="4"/>
    <n v="1.5"/>
    <x v="29"/>
    <n v="4"/>
    <n v="1"/>
    <n v="3"/>
    <n v="1"/>
    <n v="1"/>
    <n v="2"/>
    <n v="3"/>
    <n v="2"/>
    <n v="2"/>
    <n v="1"/>
    <n v="2"/>
    <n v="4"/>
    <n v="3"/>
    <n v="4"/>
    <n v="4"/>
    <n v="1"/>
    <n v="3"/>
    <n v="2"/>
    <n v="3"/>
    <n v="1"/>
    <n v="3"/>
    <n v="2"/>
    <n v="3"/>
    <n v="2"/>
    <n v="4"/>
    <n v="2"/>
    <n v="1"/>
    <n v="3"/>
    <n v="3"/>
    <n v="1"/>
    <n v="0"/>
    <n v="1"/>
    <n v="1"/>
    <n v="0"/>
    <n v="1"/>
    <n v="1"/>
    <n v="1.5"/>
    <n v="1"/>
    <n v="0"/>
    <n v="1"/>
    <n v="0"/>
    <n v="1"/>
    <n v="0"/>
    <n v="1"/>
    <n v="1"/>
    <n v="1"/>
    <n v="1"/>
    <n v="1"/>
    <n v="1"/>
    <n v="0"/>
    <n v="1"/>
    <n v="0"/>
    <n v="1"/>
    <n v="0"/>
    <n v="0"/>
    <n v="1"/>
    <n v="0"/>
    <n v="0"/>
    <n v="1"/>
    <n v="1"/>
    <n v="0"/>
    <n v="0"/>
    <n v="0"/>
    <n v="1"/>
    <n v="1"/>
    <n v="1"/>
    <n v="1"/>
  </r>
  <r>
    <x v="1"/>
    <x v="3"/>
    <x v="0"/>
    <x v="1"/>
    <x v="11"/>
    <n v="2"/>
    <n v="4"/>
    <n v="1.5"/>
    <x v="5"/>
    <n v="4"/>
    <n v="2"/>
    <n v="2"/>
    <n v="4"/>
    <n v="1"/>
    <n v="3"/>
    <n v="3"/>
    <n v="2"/>
    <n v="3"/>
    <n v="1"/>
    <n v="2"/>
    <n v="3"/>
    <n v="2"/>
    <n v="4"/>
    <n v="3"/>
    <n v="1"/>
    <n v="1"/>
    <n v="4"/>
    <n v="3"/>
    <n v="4"/>
    <n v="2"/>
    <n v="2"/>
    <n v="3"/>
    <n v="2"/>
    <n v="4"/>
    <n v="4"/>
    <n v="2"/>
    <n v="3"/>
    <n v="1"/>
    <n v="1"/>
    <n v="1"/>
    <n v="1"/>
    <n v="1"/>
    <n v="0"/>
    <n v="1"/>
    <n v="0"/>
    <n v="1.5"/>
    <n v="1"/>
    <n v="1"/>
    <n v="0"/>
    <n v="0"/>
    <n v="1"/>
    <n v="0"/>
    <n v="1"/>
    <n v="1"/>
    <n v="0"/>
    <n v="1"/>
    <n v="1"/>
    <n v="0"/>
    <n v="1"/>
    <n v="1"/>
    <n v="1"/>
    <n v="1"/>
    <n v="1"/>
    <n v="1"/>
    <n v="1"/>
    <n v="1"/>
    <n v="1"/>
    <n v="1"/>
    <n v="1"/>
    <n v="0"/>
    <n v="0"/>
    <n v="1"/>
    <n v="0"/>
    <n v="1"/>
    <n v="1"/>
    <n v="1"/>
  </r>
  <r>
    <x v="0"/>
    <x v="0"/>
    <x v="0"/>
    <x v="1"/>
    <x v="9"/>
    <n v="4"/>
    <n v="6"/>
    <n v="3"/>
    <x v="31"/>
    <n v="4"/>
    <n v="2"/>
    <n v="3"/>
    <n v="3"/>
    <n v="1"/>
    <n v="4"/>
    <n v="3"/>
    <n v="2"/>
    <n v="2"/>
    <n v="1"/>
    <n v="2"/>
    <n v="3"/>
    <n v="2"/>
    <n v="4"/>
    <n v="3"/>
    <n v="1"/>
    <n v="1"/>
    <n v="4"/>
    <n v="3"/>
    <n v="4"/>
    <n v="2"/>
    <n v="2"/>
    <n v="3"/>
    <n v="2"/>
    <n v="1"/>
    <n v="4"/>
    <n v="1"/>
    <n v="3"/>
    <n v="2"/>
    <n v="2"/>
    <n v="1"/>
    <n v="1"/>
    <n v="1"/>
    <n v="1"/>
    <n v="1"/>
    <n v="1"/>
    <n v="3"/>
    <n v="1"/>
    <n v="1"/>
    <n v="1"/>
    <n v="1"/>
    <n v="1"/>
    <n v="1"/>
    <n v="1"/>
    <n v="1"/>
    <n v="1"/>
    <n v="1"/>
    <n v="1"/>
    <n v="0"/>
    <n v="1"/>
    <n v="1"/>
    <n v="1"/>
    <n v="1"/>
    <n v="1"/>
    <n v="1"/>
    <n v="1"/>
    <n v="1"/>
    <n v="1"/>
    <n v="1"/>
    <n v="1"/>
    <n v="0"/>
    <n v="1"/>
    <n v="1"/>
    <n v="1"/>
    <n v="1"/>
    <n v="1"/>
    <n v="1"/>
  </r>
  <r>
    <x v="1"/>
    <x v="3"/>
    <x v="0"/>
    <x v="0"/>
    <x v="20"/>
    <n v="3"/>
    <n v="5"/>
    <n v="0"/>
    <x v="10"/>
    <n v="4"/>
    <n v="2"/>
    <n v="3"/>
    <n v="1"/>
    <n v="1"/>
    <n v="4"/>
    <n v="3"/>
    <n v="2"/>
    <n v="2"/>
    <n v="1"/>
    <n v="2"/>
    <n v="3"/>
    <n v="1"/>
    <n v="2"/>
    <n v="2"/>
    <n v="1"/>
    <n v="1"/>
    <n v="2"/>
    <n v="3"/>
    <n v="2"/>
    <n v="3"/>
    <n v="2"/>
    <n v="1"/>
    <n v="2"/>
    <n v="2"/>
    <n v="4"/>
    <n v="1"/>
    <n v="3"/>
    <n v="2"/>
    <n v="1"/>
    <n v="1"/>
    <n v="1"/>
    <n v="0"/>
    <n v="1"/>
    <n v="1"/>
    <n v="1"/>
    <n v="0"/>
    <n v="1"/>
    <n v="1"/>
    <n v="1"/>
    <n v="0"/>
    <n v="1"/>
    <n v="1"/>
    <n v="1"/>
    <n v="1"/>
    <n v="1"/>
    <n v="1"/>
    <n v="1"/>
    <n v="0"/>
    <n v="0"/>
    <n v="0"/>
    <n v="0"/>
    <n v="1"/>
    <n v="1"/>
    <n v="0"/>
    <n v="1"/>
    <n v="0"/>
    <n v="0"/>
    <n v="1"/>
    <n v="0"/>
    <n v="0"/>
    <n v="0"/>
    <n v="1"/>
    <n v="1"/>
    <n v="1"/>
    <n v="0"/>
    <n v="0"/>
  </r>
  <r>
    <x v="0"/>
    <x v="1"/>
    <x v="0"/>
    <x v="1"/>
    <x v="20"/>
    <n v="3"/>
    <n v="5"/>
    <n v="3"/>
    <x v="0"/>
    <n v="4"/>
    <n v="1"/>
    <n v="3"/>
    <n v="2"/>
    <n v="1"/>
    <n v="2"/>
    <n v="3"/>
    <n v="2"/>
    <n v="2"/>
    <n v="1"/>
    <n v="2"/>
    <n v="4"/>
    <n v="2"/>
    <n v="1"/>
    <n v="3"/>
    <n v="4"/>
    <n v="1"/>
    <n v="3"/>
    <n v="3"/>
    <n v="1"/>
    <n v="3"/>
    <n v="2"/>
    <n v="3"/>
    <n v="3"/>
    <n v="3"/>
    <n v="4"/>
    <n v="4"/>
    <n v="4"/>
    <n v="2"/>
    <n v="1"/>
    <n v="1"/>
    <n v="1"/>
    <n v="1"/>
    <n v="1"/>
    <n v="1"/>
    <n v="0"/>
    <n v="3"/>
    <n v="1"/>
    <n v="0"/>
    <n v="1"/>
    <n v="0"/>
    <n v="1"/>
    <n v="0"/>
    <n v="1"/>
    <n v="1"/>
    <n v="1"/>
    <n v="1"/>
    <n v="1"/>
    <n v="1"/>
    <n v="1"/>
    <n v="0"/>
    <n v="1"/>
    <n v="0"/>
    <n v="1"/>
    <n v="0"/>
    <n v="1"/>
    <n v="0"/>
    <n v="0"/>
    <n v="1"/>
    <n v="1"/>
    <n v="1"/>
    <n v="0"/>
    <n v="1"/>
    <n v="0"/>
    <n v="0"/>
    <n v="1"/>
    <n v="1"/>
  </r>
  <r>
    <x v="1"/>
    <x v="3"/>
    <x v="0"/>
    <x v="0"/>
    <x v="3"/>
    <n v="2"/>
    <n v="6"/>
    <n v="1"/>
    <x v="32"/>
    <n v="4"/>
    <n v="3"/>
    <n v="4"/>
    <n v="1"/>
    <n v="3"/>
    <n v="3"/>
    <n v="1"/>
    <n v="2"/>
    <n v="3"/>
    <n v="1"/>
    <n v="1"/>
    <n v="3"/>
    <n v="2"/>
    <n v="4"/>
    <n v="2"/>
    <n v="4"/>
    <n v="2"/>
    <n v="2"/>
    <n v="3"/>
    <n v="1"/>
    <n v="2"/>
    <n v="3"/>
    <n v="4"/>
    <n v="2"/>
    <n v="3"/>
    <n v="2"/>
    <n v="1"/>
    <n v="2"/>
    <n v="1"/>
    <n v="1"/>
    <n v="1"/>
    <n v="1"/>
    <n v="1"/>
    <n v="1"/>
    <n v="1"/>
    <n v="1"/>
    <n v="1"/>
    <n v="1"/>
    <n v="0"/>
    <n v="0"/>
    <n v="0"/>
    <n v="0"/>
    <n v="0"/>
    <n v="0"/>
    <n v="1"/>
    <n v="0"/>
    <n v="1"/>
    <n v="0"/>
    <n v="0"/>
    <n v="1"/>
    <n v="1"/>
    <n v="0"/>
    <n v="0"/>
    <n v="0"/>
    <n v="0"/>
    <n v="1"/>
    <n v="0"/>
    <n v="1"/>
    <n v="0"/>
    <n v="0"/>
    <n v="0"/>
    <n v="0"/>
    <n v="0"/>
    <n v="1"/>
    <n v="0"/>
    <n v="0"/>
    <n v="0"/>
  </r>
  <r>
    <x v="1"/>
    <x v="3"/>
    <x v="0"/>
    <x v="0"/>
    <x v="19"/>
    <n v="2"/>
    <n v="3"/>
    <n v="2"/>
    <x v="5"/>
    <n v="4"/>
    <n v="1"/>
    <n v="3"/>
    <n v="1"/>
    <n v="1"/>
    <n v="3"/>
    <n v="2"/>
    <n v="2"/>
    <n v="2"/>
    <n v="1"/>
    <n v="2"/>
    <n v="4"/>
    <n v="2"/>
    <n v="3"/>
    <n v="3"/>
    <n v="1"/>
    <n v="1"/>
    <n v="4"/>
    <n v="3"/>
    <n v="4"/>
    <n v="4"/>
    <n v="1"/>
    <n v="3"/>
    <n v="3"/>
    <n v="2"/>
    <n v="4"/>
    <n v="2"/>
    <n v="3"/>
    <n v="1"/>
    <n v="1"/>
    <n v="0"/>
    <n v="1"/>
    <n v="1"/>
    <n v="0"/>
    <n v="1"/>
    <n v="0"/>
    <n v="2"/>
    <n v="1"/>
    <n v="0"/>
    <n v="1"/>
    <n v="0"/>
    <n v="1"/>
    <n v="0"/>
    <n v="0"/>
    <n v="1"/>
    <n v="1"/>
    <n v="1"/>
    <n v="1"/>
    <n v="1"/>
    <n v="1"/>
    <n v="0"/>
    <n v="1"/>
    <n v="1"/>
    <n v="1"/>
    <n v="1"/>
    <n v="1"/>
    <n v="1"/>
    <n v="0"/>
    <n v="0"/>
    <n v="1"/>
    <n v="1"/>
    <n v="0"/>
    <n v="1"/>
    <n v="0"/>
    <n v="1"/>
    <n v="1"/>
    <n v="1"/>
  </r>
  <r>
    <x v="1"/>
    <x v="3"/>
    <x v="0"/>
    <x v="0"/>
    <x v="18"/>
    <n v="3"/>
    <n v="5"/>
    <n v="3"/>
    <x v="33"/>
    <n v="4"/>
    <n v="2"/>
    <n v="3"/>
    <n v="3"/>
    <n v="1"/>
    <n v="2"/>
    <n v="3"/>
    <n v="2"/>
    <n v="2"/>
    <n v="1"/>
    <n v="2"/>
    <n v="4"/>
    <n v="2"/>
    <n v="4"/>
    <n v="3"/>
    <n v="1"/>
    <n v="1"/>
    <n v="3"/>
    <n v="3"/>
    <n v="4"/>
    <n v="2"/>
    <n v="2"/>
    <n v="3"/>
    <n v="2"/>
    <n v="1"/>
    <n v="4"/>
    <n v="4"/>
    <n v="3"/>
    <n v="2"/>
    <n v="1"/>
    <n v="1"/>
    <n v="1"/>
    <n v="1"/>
    <n v="1"/>
    <n v="1"/>
    <n v="0"/>
    <n v="3"/>
    <n v="1"/>
    <n v="1"/>
    <n v="1"/>
    <n v="1"/>
    <n v="1"/>
    <n v="0"/>
    <n v="1"/>
    <n v="1"/>
    <n v="1"/>
    <n v="1"/>
    <n v="1"/>
    <n v="1"/>
    <n v="1"/>
    <n v="1"/>
    <n v="1"/>
    <n v="1"/>
    <n v="1"/>
    <n v="0"/>
    <n v="1"/>
    <n v="1"/>
    <n v="1"/>
    <n v="1"/>
    <n v="1"/>
    <n v="0"/>
    <n v="1"/>
    <n v="1"/>
    <n v="0"/>
    <n v="1"/>
    <n v="1"/>
    <n v="1"/>
  </r>
  <r>
    <x v="0"/>
    <x v="2"/>
    <x v="0"/>
    <x v="0"/>
    <x v="19"/>
    <n v="4"/>
    <n v="6"/>
    <n v="2"/>
    <x v="13"/>
    <n v="4"/>
    <n v="2"/>
    <n v="2"/>
    <n v="1"/>
    <n v="1"/>
    <n v="4"/>
    <n v="3"/>
    <n v="2"/>
    <n v="2"/>
    <n v="2"/>
    <n v="2"/>
    <n v="3"/>
    <n v="2"/>
    <n v="4"/>
    <n v="4"/>
    <n v="4"/>
    <n v="1"/>
    <n v="4"/>
    <n v="3"/>
    <n v="2"/>
    <n v="2"/>
    <n v="2"/>
    <n v="3"/>
    <n v="2"/>
    <n v="3"/>
    <n v="4"/>
    <n v="1"/>
    <n v="3"/>
    <n v="2"/>
    <n v="2"/>
    <n v="1"/>
    <n v="1"/>
    <n v="1"/>
    <n v="1"/>
    <n v="1"/>
    <n v="1"/>
    <n v="2"/>
    <n v="1"/>
    <n v="1"/>
    <n v="0"/>
    <n v="0"/>
    <n v="1"/>
    <n v="1"/>
    <n v="1"/>
    <n v="1"/>
    <n v="1"/>
    <n v="0"/>
    <n v="1"/>
    <n v="0"/>
    <n v="1"/>
    <n v="1"/>
    <n v="0"/>
    <n v="0"/>
    <n v="1"/>
    <n v="1"/>
    <n v="1"/>
    <n v="0"/>
    <n v="1"/>
    <n v="1"/>
    <n v="1"/>
    <n v="0"/>
    <n v="0"/>
    <n v="1"/>
    <n v="1"/>
    <n v="1"/>
    <n v="1"/>
    <n v="1"/>
  </r>
  <r>
    <x v="1"/>
    <x v="1"/>
    <x v="0"/>
    <x v="0"/>
    <x v="3"/>
    <n v="2"/>
    <n v="6"/>
    <n v="2"/>
    <x v="8"/>
    <n v="4"/>
    <n v="3"/>
    <n v="3"/>
    <n v="1"/>
    <n v="1"/>
    <n v="1"/>
    <n v="1"/>
    <n v="3"/>
    <n v="2"/>
    <n v="1"/>
    <n v="3"/>
    <n v="3"/>
    <n v="3"/>
    <n v="1"/>
    <n v="2"/>
    <n v="4"/>
    <n v="3"/>
    <n v="3"/>
    <n v="1"/>
    <n v="2"/>
    <n v="1"/>
    <n v="2"/>
    <n v="1"/>
    <n v="2"/>
    <n v="1"/>
    <n v="4"/>
    <n v="2"/>
    <n v="4"/>
    <n v="1"/>
    <n v="1"/>
    <n v="1"/>
    <n v="1"/>
    <n v="1"/>
    <n v="1"/>
    <n v="1"/>
    <n v="1"/>
    <n v="2"/>
    <n v="1"/>
    <n v="0"/>
    <n v="1"/>
    <n v="0"/>
    <n v="1"/>
    <n v="0"/>
    <n v="0"/>
    <n v="0"/>
    <n v="1"/>
    <n v="1"/>
    <n v="0"/>
    <n v="0"/>
    <n v="0"/>
    <n v="0"/>
    <n v="0"/>
    <n v="0"/>
    <n v="0"/>
    <n v="0"/>
    <n v="0"/>
    <n v="0"/>
    <n v="0"/>
    <n v="1"/>
    <n v="0"/>
    <n v="0"/>
    <n v="1"/>
    <n v="1"/>
    <n v="0"/>
    <n v="0"/>
    <n v="0"/>
    <n v="0"/>
  </r>
  <r>
    <x v="0"/>
    <x v="1"/>
    <x v="0"/>
    <x v="0"/>
    <x v="20"/>
    <n v="2"/>
    <n v="5"/>
    <n v="2"/>
    <x v="5"/>
    <n v="4"/>
    <n v="1"/>
    <n v="3"/>
    <n v="1"/>
    <n v="1"/>
    <n v="2"/>
    <n v="3"/>
    <n v="2"/>
    <n v="3"/>
    <n v="1"/>
    <n v="2"/>
    <n v="4"/>
    <n v="1"/>
    <n v="4"/>
    <n v="3"/>
    <n v="2"/>
    <n v="1"/>
    <n v="4"/>
    <n v="3"/>
    <n v="3"/>
    <n v="3"/>
    <n v="2"/>
    <n v="3"/>
    <n v="2"/>
    <n v="1"/>
    <n v="1"/>
    <n v="2"/>
    <n v="3"/>
    <n v="1"/>
    <n v="1"/>
    <n v="1"/>
    <n v="1"/>
    <n v="1"/>
    <n v="1"/>
    <n v="1"/>
    <n v="0"/>
    <n v="2"/>
    <n v="1"/>
    <n v="0"/>
    <n v="1"/>
    <n v="0"/>
    <n v="1"/>
    <n v="0"/>
    <n v="1"/>
    <n v="1"/>
    <n v="0"/>
    <n v="1"/>
    <n v="1"/>
    <n v="1"/>
    <n v="0"/>
    <n v="1"/>
    <n v="1"/>
    <n v="0"/>
    <n v="1"/>
    <n v="1"/>
    <n v="1"/>
    <n v="0"/>
    <n v="0"/>
    <n v="1"/>
    <n v="1"/>
    <n v="0"/>
    <n v="1"/>
    <n v="0"/>
    <n v="0"/>
    <n v="1"/>
    <n v="1"/>
    <n v="1"/>
  </r>
  <r>
    <x v="1"/>
    <x v="1"/>
    <x v="0"/>
    <x v="0"/>
    <x v="1"/>
    <n v="6"/>
    <n v="5"/>
    <n v="1.5"/>
    <x v="29"/>
    <n v="4"/>
    <n v="2"/>
    <n v="1"/>
    <n v="1"/>
    <n v="1"/>
    <n v="3"/>
    <n v="2"/>
    <n v="4"/>
    <n v="2"/>
    <n v="1"/>
    <n v="2"/>
    <n v="4"/>
    <n v="2"/>
    <n v="3"/>
    <n v="3"/>
    <n v="4"/>
    <n v="2"/>
    <n v="2"/>
    <n v="2"/>
    <n v="1"/>
    <n v="1"/>
    <n v="2"/>
    <n v="3"/>
    <n v="4"/>
    <n v="4"/>
    <n v="4"/>
    <n v="2"/>
    <n v="3"/>
    <n v="3"/>
    <n v="3"/>
    <n v="1"/>
    <n v="1"/>
    <n v="0"/>
    <n v="1"/>
    <n v="1"/>
    <n v="1"/>
    <n v="1.5"/>
    <n v="1"/>
    <n v="1"/>
    <n v="0"/>
    <n v="0"/>
    <n v="1"/>
    <n v="0"/>
    <n v="0"/>
    <n v="0"/>
    <n v="1"/>
    <n v="1"/>
    <n v="1"/>
    <n v="1"/>
    <n v="1"/>
    <n v="0"/>
    <n v="1"/>
    <n v="0"/>
    <n v="0"/>
    <n v="0"/>
    <n v="0"/>
    <n v="0"/>
    <n v="0"/>
    <n v="1"/>
    <n v="1"/>
    <n v="0"/>
    <n v="0"/>
    <n v="1"/>
    <n v="0"/>
    <n v="1"/>
    <n v="1"/>
    <n v="1"/>
  </r>
  <r>
    <x v="2"/>
    <x v="4"/>
    <x v="0"/>
    <x v="0"/>
    <x v="11"/>
    <n v="3"/>
    <n v="5"/>
    <n v="1"/>
    <x v="9"/>
    <n v="4"/>
    <n v="2"/>
    <n v="3"/>
    <n v="3"/>
    <n v="1"/>
    <n v="4"/>
    <n v="3"/>
    <n v="2"/>
    <n v="2"/>
    <n v="1"/>
    <n v="2"/>
    <n v="4"/>
    <n v="4"/>
    <n v="4"/>
    <n v="4"/>
    <n v="4"/>
    <n v="1"/>
    <n v="4"/>
    <n v="3"/>
    <n v="1"/>
    <n v="3"/>
    <n v="2"/>
    <n v="3"/>
    <n v="2"/>
    <n v="3"/>
    <n v="4"/>
    <n v="3"/>
    <n v="3"/>
    <n v="2"/>
    <n v="1"/>
    <n v="1"/>
    <n v="1"/>
    <n v="1"/>
    <n v="1"/>
    <n v="1"/>
    <n v="0"/>
    <n v="1"/>
    <n v="1"/>
    <n v="1"/>
    <n v="1"/>
    <n v="1"/>
    <n v="1"/>
    <n v="1"/>
    <n v="1"/>
    <n v="1"/>
    <n v="1"/>
    <n v="1"/>
    <n v="1"/>
    <n v="1"/>
    <n v="0"/>
    <n v="1"/>
    <n v="0"/>
    <n v="0"/>
    <n v="1"/>
    <n v="1"/>
    <n v="1"/>
    <n v="0"/>
    <n v="0"/>
    <n v="1"/>
    <n v="1"/>
    <n v="0"/>
    <n v="0"/>
    <n v="1"/>
    <n v="0"/>
    <n v="1"/>
    <n v="1"/>
    <n v="1"/>
  </r>
  <r>
    <x v="1"/>
    <x v="3"/>
    <x v="0"/>
    <x v="1"/>
    <x v="1"/>
    <n v="2"/>
    <n v="5"/>
    <n v="1"/>
    <x v="17"/>
    <n v="4"/>
    <n v="2"/>
    <n v="3"/>
    <n v="2"/>
    <n v="1"/>
    <n v="4"/>
    <n v="3"/>
    <n v="4"/>
    <n v="2"/>
    <n v="1"/>
    <n v="4"/>
    <n v="4"/>
    <n v="1"/>
    <n v="4"/>
    <n v="1"/>
    <n v="4"/>
    <n v="3"/>
    <n v="4"/>
    <n v="3"/>
    <n v="2"/>
    <n v="3"/>
    <n v="4"/>
    <n v="4"/>
    <n v="2"/>
    <n v="2"/>
    <n v="2"/>
    <n v="4"/>
    <n v="3"/>
    <n v="1"/>
    <n v="1"/>
    <n v="1"/>
    <n v="0"/>
    <n v="1"/>
    <n v="1"/>
    <n v="1"/>
    <n v="1"/>
    <n v="1"/>
    <n v="1"/>
    <n v="1"/>
    <n v="1"/>
    <n v="0"/>
    <n v="1"/>
    <n v="1"/>
    <n v="1"/>
    <n v="0"/>
    <n v="1"/>
    <n v="1"/>
    <n v="0"/>
    <n v="1"/>
    <n v="0"/>
    <n v="1"/>
    <n v="0"/>
    <n v="0"/>
    <n v="0"/>
    <n v="1"/>
    <n v="1"/>
    <n v="0"/>
    <n v="0"/>
    <n v="0"/>
    <n v="0"/>
    <n v="0"/>
    <n v="0"/>
    <n v="0"/>
    <n v="0"/>
    <n v="1"/>
    <n v="0"/>
    <n v="1"/>
  </r>
  <r>
    <x v="0"/>
    <x v="0"/>
    <x v="0"/>
    <x v="1"/>
    <x v="4"/>
    <n v="3"/>
    <n v="6"/>
    <n v="0"/>
    <x v="20"/>
    <n v="4"/>
    <n v="2"/>
    <n v="3"/>
    <n v="2"/>
    <n v="1"/>
    <n v="1"/>
    <n v="2"/>
    <n v="2"/>
    <n v="2"/>
    <n v="1"/>
    <n v="1"/>
    <n v="3"/>
    <n v="4"/>
    <n v="3"/>
    <n v="3"/>
    <n v="1"/>
    <n v="4"/>
    <n v="3"/>
    <n v="3"/>
    <n v="2"/>
    <n v="1"/>
    <n v="2"/>
    <n v="3"/>
    <n v="2"/>
    <n v="1"/>
    <n v="4"/>
    <n v="4"/>
    <n v="3"/>
    <n v="2"/>
    <n v="1"/>
    <n v="1"/>
    <n v="1"/>
    <n v="1"/>
    <n v="1"/>
    <n v="1"/>
    <n v="1"/>
    <n v="0"/>
    <n v="1"/>
    <n v="1"/>
    <n v="1"/>
    <n v="0"/>
    <n v="1"/>
    <n v="0"/>
    <n v="0"/>
    <n v="1"/>
    <n v="1"/>
    <n v="1"/>
    <n v="0"/>
    <n v="0"/>
    <n v="0"/>
    <n v="0"/>
    <n v="1"/>
    <n v="1"/>
    <n v="0"/>
    <n v="0"/>
    <n v="1"/>
    <n v="0"/>
    <n v="0"/>
    <n v="1"/>
    <n v="1"/>
    <n v="0"/>
    <n v="1"/>
    <n v="1"/>
    <n v="0"/>
    <n v="1"/>
    <n v="0"/>
    <n v="1"/>
  </r>
  <r>
    <x v="1"/>
    <x v="1"/>
    <x v="0"/>
    <x v="0"/>
    <x v="12"/>
    <n v="3"/>
    <n v="6"/>
    <n v="1.5"/>
    <x v="34"/>
    <n v="4"/>
    <n v="1"/>
    <n v="2"/>
    <n v="1"/>
    <n v="3"/>
    <n v="2"/>
    <n v="4"/>
    <n v="3"/>
    <n v="1"/>
    <n v="2"/>
    <n v="2"/>
    <n v="4"/>
    <n v="1"/>
    <n v="2"/>
    <n v="3"/>
    <n v="2"/>
    <n v="1"/>
    <n v="3"/>
    <n v="4"/>
    <n v="2"/>
    <n v="3"/>
    <n v="1"/>
    <n v="3"/>
    <n v="4"/>
    <n v="2"/>
    <n v="1"/>
    <n v="4"/>
    <n v="3"/>
    <n v="2"/>
    <n v="1"/>
    <n v="1"/>
    <n v="1"/>
    <n v="1"/>
    <n v="1"/>
    <n v="1"/>
    <n v="1"/>
    <n v="1.5"/>
    <n v="1"/>
    <n v="0"/>
    <n v="0"/>
    <n v="0"/>
    <n v="0"/>
    <n v="0"/>
    <n v="0"/>
    <n v="0"/>
    <n v="0"/>
    <n v="0"/>
    <n v="1"/>
    <n v="1"/>
    <n v="0"/>
    <n v="0"/>
    <n v="1"/>
    <n v="0"/>
    <n v="1"/>
    <n v="0"/>
    <n v="0"/>
    <n v="0"/>
    <n v="0"/>
    <n v="0"/>
    <n v="1"/>
    <n v="0"/>
    <n v="0"/>
    <n v="0"/>
    <n v="0"/>
    <n v="1"/>
    <n v="0"/>
    <n v="0"/>
  </r>
  <r>
    <x v="0"/>
    <x v="0"/>
    <x v="0"/>
    <x v="0"/>
    <x v="8"/>
    <n v="6"/>
    <n v="6"/>
    <n v="2"/>
    <x v="35"/>
    <n v="4"/>
    <n v="2"/>
    <n v="1"/>
    <n v="1"/>
    <n v="4"/>
    <n v="2"/>
    <n v="4"/>
    <n v="2"/>
    <n v="3"/>
    <n v="1"/>
    <n v="2"/>
    <n v="3"/>
    <n v="1"/>
    <n v="3"/>
    <n v="4"/>
    <n v="1"/>
    <n v="1"/>
    <n v="2"/>
    <n v="1"/>
    <n v="2"/>
    <n v="2"/>
    <n v="2"/>
    <n v="3"/>
    <n v="2"/>
    <n v="3"/>
    <n v="1"/>
    <n v="4"/>
    <n v="3"/>
    <n v="3"/>
    <n v="3"/>
    <n v="1"/>
    <n v="1"/>
    <n v="1"/>
    <n v="1"/>
    <n v="1"/>
    <n v="1"/>
    <n v="2"/>
    <n v="1"/>
    <n v="1"/>
    <n v="0"/>
    <n v="0"/>
    <n v="0"/>
    <n v="0"/>
    <n v="0"/>
    <n v="1"/>
    <n v="0"/>
    <n v="1"/>
    <n v="1"/>
    <n v="0"/>
    <n v="0"/>
    <n v="0"/>
    <n v="0"/>
    <n v="1"/>
    <n v="1"/>
    <n v="0"/>
    <n v="0"/>
    <n v="0"/>
    <n v="1"/>
    <n v="1"/>
    <n v="1"/>
    <n v="0"/>
    <n v="0"/>
    <n v="0"/>
    <n v="0"/>
    <n v="1"/>
    <n v="1"/>
    <n v="1"/>
  </r>
  <r>
    <x v="0"/>
    <x v="0"/>
    <x v="1"/>
    <x v="0"/>
    <x v="17"/>
    <n v="2"/>
    <n v="6"/>
    <n v="1"/>
    <x v="36"/>
    <n v="4"/>
    <n v="2"/>
    <n v="3"/>
    <n v="1"/>
    <n v="4"/>
    <n v="2"/>
    <n v="1"/>
    <n v="2"/>
    <n v="1"/>
    <n v="3"/>
    <n v="1"/>
    <n v="1"/>
    <n v="2"/>
    <n v="3"/>
    <n v="2"/>
    <n v="4"/>
    <n v="1"/>
    <n v="3"/>
    <n v="3"/>
    <n v="4"/>
    <n v="1"/>
    <n v="1"/>
    <n v="3"/>
    <n v="2"/>
    <n v="4"/>
    <n v="2"/>
    <n v="3"/>
    <n v="2"/>
    <n v="1"/>
    <n v="1"/>
    <n v="1"/>
    <n v="1"/>
    <n v="1"/>
    <n v="1"/>
    <n v="1"/>
    <n v="1"/>
    <n v="1"/>
    <n v="1"/>
    <n v="1"/>
    <n v="1"/>
    <n v="0"/>
    <n v="0"/>
    <n v="0"/>
    <n v="0"/>
    <n v="1"/>
    <n v="0"/>
    <n v="0"/>
    <n v="0"/>
    <n v="0"/>
    <n v="1"/>
    <n v="0"/>
    <n v="0"/>
    <n v="0"/>
    <n v="1"/>
    <n v="0"/>
    <n v="1"/>
    <n v="1"/>
    <n v="0"/>
    <n v="0"/>
    <n v="1"/>
    <n v="0"/>
    <n v="0"/>
    <n v="0"/>
    <n v="0"/>
    <n v="0"/>
    <n v="0"/>
    <n v="0"/>
  </r>
  <r>
    <x v="0"/>
    <x v="1"/>
    <x v="0"/>
    <x v="0"/>
    <x v="8"/>
    <n v="2"/>
    <n v="6"/>
    <n v="1"/>
    <x v="8"/>
    <n v="4"/>
    <n v="1"/>
    <n v="2"/>
    <n v="2"/>
    <n v="3"/>
    <n v="1"/>
    <n v="3"/>
    <n v="4"/>
    <n v="1"/>
    <n v="2"/>
    <n v="1"/>
    <n v="3"/>
    <n v="4"/>
    <n v="2"/>
    <n v="4"/>
    <n v="1"/>
    <n v="1"/>
    <n v="4"/>
    <n v="4"/>
    <n v="2"/>
    <n v="2"/>
    <n v="2"/>
    <n v="3"/>
    <n v="3"/>
    <n v="2"/>
    <n v="4"/>
    <n v="3"/>
    <n v="3"/>
    <n v="1"/>
    <n v="1"/>
    <n v="1"/>
    <n v="1"/>
    <n v="1"/>
    <n v="1"/>
    <n v="1"/>
    <n v="1"/>
    <n v="1"/>
    <n v="1"/>
    <n v="0"/>
    <n v="0"/>
    <n v="0"/>
    <n v="0"/>
    <n v="0"/>
    <n v="1"/>
    <n v="0"/>
    <n v="0"/>
    <n v="0"/>
    <n v="0"/>
    <n v="0"/>
    <n v="0"/>
    <n v="0"/>
    <n v="0"/>
    <n v="1"/>
    <n v="1"/>
    <n v="1"/>
    <n v="0"/>
    <n v="0"/>
    <n v="1"/>
    <n v="1"/>
    <n v="1"/>
    <n v="1"/>
    <n v="0"/>
    <n v="1"/>
    <n v="0"/>
    <n v="1"/>
    <n v="0"/>
    <n v="0"/>
  </r>
  <r>
    <x v="0"/>
    <x v="2"/>
    <x v="0"/>
    <x v="0"/>
    <x v="4"/>
    <n v="5"/>
    <n v="6"/>
    <n v="3"/>
    <x v="13"/>
    <n v="4"/>
    <n v="2"/>
    <n v="3"/>
    <n v="3"/>
    <n v="1"/>
    <n v="1"/>
    <n v="3"/>
    <n v="2"/>
    <n v="3"/>
    <n v="2"/>
    <n v="2"/>
    <n v="3"/>
    <n v="1"/>
    <n v="4"/>
    <n v="1"/>
    <n v="2"/>
    <n v="1"/>
    <n v="3"/>
    <n v="3"/>
    <n v="1"/>
    <n v="1"/>
    <n v="2"/>
    <n v="3"/>
    <n v="2"/>
    <n v="3"/>
    <n v="4"/>
    <n v="4"/>
    <n v="3"/>
    <n v="3"/>
    <n v="2"/>
    <n v="1"/>
    <n v="1"/>
    <n v="1"/>
    <n v="1"/>
    <n v="1"/>
    <n v="1"/>
    <n v="3"/>
    <n v="1"/>
    <n v="1"/>
    <n v="1"/>
    <n v="1"/>
    <n v="1"/>
    <n v="0"/>
    <n v="1"/>
    <n v="1"/>
    <n v="0"/>
    <n v="0"/>
    <n v="1"/>
    <n v="0"/>
    <n v="0"/>
    <n v="1"/>
    <n v="0"/>
    <n v="0"/>
    <n v="1"/>
    <n v="0"/>
    <n v="1"/>
    <n v="0"/>
    <n v="0"/>
    <n v="1"/>
    <n v="1"/>
    <n v="0"/>
    <n v="0"/>
    <n v="1"/>
    <n v="0"/>
    <n v="1"/>
    <n v="1"/>
    <n v="1"/>
  </r>
  <r>
    <x v="0"/>
    <x v="0"/>
    <x v="0"/>
    <x v="0"/>
    <x v="2"/>
    <n v="0"/>
    <n v="0"/>
    <n v="0"/>
    <x v="2"/>
    <m/>
    <m/>
    <m/>
    <m/>
    <m/>
    <m/>
    <m/>
    <m/>
    <m/>
    <m/>
    <m/>
    <m/>
    <m/>
    <m/>
    <m/>
    <m/>
    <m/>
    <m/>
    <m/>
    <m/>
    <m/>
    <m/>
    <m/>
    <m/>
    <m/>
    <m/>
    <m/>
    <m/>
    <m/>
    <m/>
    <m/>
    <m/>
    <m/>
    <m/>
    <m/>
    <m/>
    <m/>
    <n v="0"/>
    <n v="0"/>
    <n v="0"/>
    <n v="0"/>
    <n v="0"/>
    <n v="0"/>
    <n v="0"/>
    <n v="0"/>
    <n v="0"/>
    <n v="0"/>
    <n v="0"/>
    <n v="0"/>
    <n v="0"/>
    <n v="0"/>
    <n v="0"/>
    <n v="0"/>
    <n v="0"/>
    <n v="0"/>
    <n v="0"/>
    <n v="0"/>
    <n v="0"/>
    <n v="0"/>
    <n v="0"/>
    <n v="0"/>
    <n v="0"/>
    <n v="0"/>
    <n v="0"/>
    <n v="0"/>
    <n v="0"/>
    <n v="0"/>
  </r>
  <r>
    <x v="0"/>
    <x v="1"/>
    <x v="0"/>
    <x v="0"/>
    <x v="4"/>
    <n v="8"/>
    <n v="6"/>
    <n v="4"/>
    <x v="33"/>
    <n v="4"/>
    <n v="2"/>
    <n v="1"/>
    <n v="3"/>
    <n v="1"/>
    <n v="2"/>
    <n v="3"/>
    <n v="4"/>
    <n v="3"/>
    <n v="1"/>
    <n v="1"/>
    <n v="4"/>
    <n v="2"/>
    <n v="3"/>
    <n v="3"/>
    <n v="4"/>
    <n v="1"/>
    <n v="3"/>
    <n v="1"/>
    <n v="1"/>
    <n v="2"/>
    <n v="2"/>
    <n v="3"/>
    <n v="2"/>
    <n v="3"/>
    <n v="4"/>
    <n v="2"/>
    <n v="3"/>
    <n v="4"/>
    <n v="4"/>
    <n v="1"/>
    <n v="1"/>
    <n v="1"/>
    <n v="1"/>
    <n v="1"/>
    <n v="1"/>
    <n v="4"/>
    <n v="1"/>
    <n v="1"/>
    <n v="0"/>
    <n v="1"/>
    <n v="1"/>
    <n v="0"/>
    <n v="1"/>
    <n v="0"/>
    <n v="0"/>
    <n v="1"/>
    <n v="0"/>
    <n v="1"/>
    <n v="1"/>
    <n v="0"/>
    <n v="1"/>
    <n v="0"/>
    <n v="1"/>
    <n v="0"/>
    <n v="0"/>
    <n v="0"/>
    <n v="1"/>
    <n v="1"/>
    <n v="1"/>
    <n v="0"/>
    <n v="0"/>
    <n v="1"/>
    <n v="0"/>
    <n v="1"/>
    <n v="1"/>
    <n v="1"/>
  </r>
  <r>
    <x v="0"/>
    <x v="0"/>
    <x v="0"/>
    <x v="0"/>
    <x v="21"/>
    <n v="7"/>
    <n v="6"/>
    <n v="3.5"/>
    <x v="14"/>
    <n v="1"/>
    <n v="4"/>
    <n v="2"/>
    <n v="3"/>
    <n v="1"/>
    <n v="2"/>
    <n v="3"/>
    <n v="3"/>
    <n v="4"/>
    <n v="1"/>
    <n v="2"/>
    <n v="3"/>
    <n v="2"/>
    <n v="3"/>
    <n v="4"/>
    <n v="1"/>
    <n v="3"/>
    <n v="4"/>
    <n v="3"/>
    <n v="4"/>
    <n v="1"/>
    <n v="2"/>
    <n v="4"/>
    <n v="3"/>
    <n v="4"/>
    <n v="4"/>
    <n v="4"/>
    <n v="3"/>
    <n v="4"/>
    <n v="3"/>
    <n v="1"/>
    <n v="1"/>
    <n v="1"/>
    <n v="1"/>
    <n v="1"/>
    <n v="1"/>
    <n v="3.5"/>
    <n v="0"/>
    <n v="0"/>
    <n v="0"/>
    <n v="1"/>
    <n v="1"/>
    <n v="0"/>
    <n v="1"/>
    <n v="0"/>
    <n v="0"/>
    <n v="1"/>
    <n v="1"/>
    <n v="0"/>
    <n v="1"/>
    <n v="0"/>
    <n v="0"/>
    <n v="1"/>
    <n v="0"/>
    <n v="1"/>
    <n v="1"/>
    <n v="1"/>
    <n v="0"/>
    <n v="1"/>
    <n v="0"/>
    <n v="1"/>
    <n v="0"/>
    <n v="1"/>
    <n v="0"/>
    <n v="1"/>
    <n v="1"/>
    <n v="1"/>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1"/>
    <x v="18"/>
    <n v="8"/>
    <n v="5"/>
    <n v="3.5"/>
    <x v="37"/>
    <n v="4"/>
    <n v="1"/>
    <n v="3"/>
    <n v="3"/>
    <n v="1"/>
    <n v="3"/>
    <n v="3"/>
    <n v="2"/>
    <n v="2"/>
    <n v="1"/>
    <n v="2"/>
    <n v="4"/>
    <n v="2"/>
    <n v="3"/>
    <n v="3"/>
    <n v="1"/>
    <n v="1"/>
    <n v="4"/>
    <n v="3"/>
    <n v="4"/>
    <n v="2"/>
    <n v="2"/>
    <n v="3"/>
    <n v="3"/>
    <n v="1"/>
    <n v="4"/>
    <n v="2"/>
    <n v="3"/>
    <n v="4"/>
    <n v="4"/>
    <n v="1"/>
    <n v="0"/>
    <n v="1"/>
    <n v="1"/>
    <n v="1"/>
    <n v="1"/>
    <n v="3.5"/>
    <n v="1"/>
    <n v="0"/>
    <n v="1"/>
    <n v="1"/>
    <n v="1"/>
    <n v="0"/>
    <n v="1"/>
    <n v="1"/>
    <n v="1"/>
    <n v="1"/>
    <n v="1"/>
    <n v="1"/>
    <n v="1"/>
    <n v="0"/>
    <n v="1"/>
    <n v="1"/>
    <n v="1"/>
    <n v="1"/>
    <n v="1"/>
    <n v="1"/>
    <n v="1"/>
    <n v="1"/>
    <n v="1"/>
    <n v="1"/>
    <n v="1"/>
    <n v="1"/>
    <n v="0"/>
    <n v="1"/>
    <n v="1"/>
    <n v="1"/>
  </r>
  <r>
    <x v="1"/>
    <x v="3"/>
    <x v="0"/>
    <x v="0"/>
    <x v="11"/>
    <n v="8"/>
    <n v="6"/>
    <n v="2"/>
    <x v="7"/>
    <n v="4"/>
    <n v="1"/>
    <n v="3"/>
    <n v="3"/>
    <n v="1"/>
    <n v="2"/>
    <n v="3"/>
    <n v="2"/>
    <n v="2"/>
    <n v="1"/>
    <n v="2"/>
    <n v="3"/>
    <n v="2"/>
    <n v="4"/>
    <n v="3"/>
    <n v="1"/>
    <n v="2"/>
    <n v="4"/>
    <n v="1"/>
    <n v="4"/>
    <n v="2"/>
    <n v="2"/>
    <n v="3"/>
    <n v="2"/>
    <n v="1"/>
    <n v="2"/>
    <n v="4"/>
    <n v="3"/>
    <n v="4"/>
    <n v="4"/>
    <n v="1"/>
    <n v="1"/>
    <n v="1"/>
    <n v="1"/>
    <n v="1"/>
    <n v="1"/>
    <n v="2"/>
    <n v="1"/>
    <n v="0"/>
    <n v="1"/>
    <n v="1"/>
    <n v="1"/>
    <n v="0"/>
    <n v="1"/>
    <n v="1"/>
    <n v="1"/>
    <n v="1"/>
    <n v="1"/>
    <n v="0"/>
    <n v="1"/>
    <n v="1"/>
    <n v="1"/>
    <n v="1"/>
    <n v="0"/>
    <n v="1"/>
    <n v="0"/>
    <n v="1"/>
    <n v="1"/>
    <n v="1"/>
    <n v="1"/>
    <n v="0"/>
    <n v="1"/>
    <n v="0"/>
    <n v="0"/>
    <n v="1"/>
    <n v="1"/>
    <n v="1"/>
  </r>
  <r>
    <x v="1"/>
    <x v="1"/>
    <x v="0"/>
    <x v="0"/>
    <x v="11"/>
    <n v="2"/>
    <n v="6"/>
    <n v="1"/>
    <x v="9"/>
    <n v="3"/>
    <n v="2"/>
    <n v="3"/>
    <n v="4"/>
    <n v="1"/>
    <n v="4"/>
    <n v="3"/>
    <n v="2"/>
    <n v="2"/>
    <n v="1"/>
    <n v="2"/>
    <n v="3"/>
    <n v="2"/>
    <n v="4"/>
    <n v="3"/>
    <n v="4"/>
    <n v="1"/>
    <n v="4"/>
    <n v="3"/>
    <n v="1"/>
    <n v="3"/>
    <n v="2"/>
    <n v="3"/>
    <n v="3"/>
    <n v="4"/>
    <n v="4"/>
    <n v="1"/>
    <n v="2"/>
    <n v="1"/>
    <n v="1"/>
    <n v="1"/>
    <n v="1"/>
    <n v="1"/>
    <n v="1"/>
    <n v="1"/>
    <n v="1"/>
    <n v="1"/>
    <n v="0"/>
    <n v="1"/>
    <n v="1"/>
    <n v="0"/>
    <n v="1"/>
    <n v="1"/>
    <n v="1"/>
    <n v="1"/>
    <n v="1"/>
    <n v="1"/>
    <n v="1"/>
    <n v="0"/>
    <n v="1"/>
    <n v="1"/>
    <n v="1"/>
    <n v="0"/>
    <n v="1"/>
    <n v="1"/>
    <n v="1"/>
    <n v="0"/>
    <n v="0"/>
    <n v="1"/>
    <n v="1"/>
    <n v="1"/>
    <n v="0"/>
    <n v="1"/>
    <n v="1"/>
    <n v="0"/>
    <n v="1"/>
    <n v="1"/>
  </r>
  <r>
    <x v="0"/>
    <x v="1"/>
    <x v="0"/>
    <x v="0"/>
    <x v="13"/>
    <n v="4"/>
    <n v="6"/>
    <n v="1"/>
    <x v="9"/>
    <n v="4"/>
    <n v="3"/>
    <n v="3"/>
    <n v="2"/>
    <n v="1"/>
    <n v="3"/>
    <n v="3"/>
    <n v="2"/>
    <n v="2"/>
    <n v="1"/>
    <n v="2"/>
    <n v="4"/>
    <n v="1"/>
    <n v="4"/>
    <n v="4"/>
    <n v="1"/>
    <n v="1"/>
    <n v="4"/>
    <n v="3"/>
    <n v="4"/>
    <n v="2"/>
    <n v="3"/>
    <n v="4"/>
    <n v="2"/>
    <n v="3"/>
    <n v="4"/>
    <n v="2"/>
    <n v="3"/>
    <n v="2"/>
    <n v="2"/>
    <n v="1"/>
    <n v="1"/>
    <n v="1"/>
    <n v="1"/>
    <n v="1"/>
    <n v="1"/>
    <n v="1"/>
    <n v="1"/>
    <n v="0"/>
    <n v="1"/>
    <n v="0"/>
    <n v="1"/>
    <n v="0"/>
    <n v="1"/>
    <n v="1"/>
    <n v="1"/>
    <n v="1"/>
    <n v="1"/>
    <n v="1"/>
    <n v="0"/>
    <n v="1"/>
    <n v="0"/>
    <n v="1"/>
    <n v="1"/>
    <n v="1"/>
    <n v="1"/>
    <n v="1"/>
    <n v="1"/>
    <n v="0"/>
    <n v="0"/>
    <n v="0"/>
    <n v="0"/>
    <n v="1"/>
    <n v="0"/>
    <n v="1"/>
    <n v="1"/>
    <n v="1"/>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0"/>
    <n v="2"/>
    <n v="4"/>
    <n v="3"/>
    <x v="26"/>
    <n v="4"/>
    <n v="2"/>
    <n v="3"/>
    <n v="3"/>
    <n v="1"/>
    <n v="2"/>
    <n v="3"/>
    <n v="2"/>
    <n v="3"/>
    <n v="1"/>
    <n v="2"/>
    <n v="4"/>
    <n v="1"/>
    <n v="4"/>
    <n v="3"/>
    <n v="4"/>
    <n v="1"/>
    <n v="4"/>
    <n v="3"/>
    <n v="4"/>
    <n v="2"/>
    <n v="2"/>
    <n v="3"/>
    <n v="2"/>
    <n v="2"/>
    <n v="4"/>
    <n v="2"/>
    <n v="3"/>
    <n v="1"/>
    <n v="1"/>
    <n v="1"/>
    <n v="1"/>
    <n v="0"/>
    <n v="1"/>
    <n v="1"/>
    <n v="0"/>
    <n v="3"/>
    <n v="1"/>
    <n v="1"/>
    <n v="1"/>
    <n v="1"/>
    <n v="1"/>
    <n v="0"/>
    <n v="1"/>
    <n v="1"/>
    <n v="0"/>
    <n v="1"/>
    <n v="1"/>
    <n v="1"/>
    <n v="0"/>
    <n v="1"/>
    <n v="1"/>
    <n v="0"/>
    <n v="1"/>
    <n v="1"/>
    <n v="1"/>
    <n v="1"/>
    <n v="1"/>
    <n v="1"/>
    <n v="1"/>
    <n v="0"/>
    <n v="0"/>
    <n v="1"/>
    <n v="0"/>
    <n v="1"/>
    <n v="1"/>
    <n v="1"/>
  </r>
  <r>
    <x v="0"/>
    <x v="1"/>
    <x v="0"/>
    <x v="0"/>
    <x v="4"/>
    <n v="3"/>
    <n v="6"/>
    <n v="1.5"/>
    <x v="29"/>
    <n v="4"/>
    <n v="3"/>
    <n v="3"/>
    <n v="2"/>
    <n v="1"/>
    <n v="1"/>
    <n v="3"/>
    <n v="2"/>
    <n v="2"/>
    <n v="1"/>
    <n v="2"/>
    <n v="3"/>
    <n v="3"/>
    <n v="4"/>
    <n v="1"/>
    <n v="1"/>
    <n v="1"/>
    <n v="4"/>
    <n v="4"/>
    <n v="3"/>
    <n v="2"/>
    <n v="3"/>
    <n v="4"/>
    <n v="2"/>
    <n v="3"/>
    <n v="4"/>
    <n v="2"/>
    <n v="3"/>
    <n v="1"/>
    <n v="2"/>
    <n v="1"/>
    <n v="1"/>
    <n v="1"/>
    <n v="1"/>
    <n v="1"/>
    <n v="1"/>
    <n v="1.5"/>
    <n v="1"/>
    <n v="0"/>
    <n v="1"/>
    <n v="0"/>
    <n v="1"/>
    <n v="0"/>
    <n v="1"/>
    <n v="1"/>
    <n v="1"/>
    <n v="1"/>
    <n v="1"/>
    <n v="0"/>
    <n v="0"/>
    <n v="1"/>
    <n v="0"/>
    <n v="1"/>
    <n v="1"/>
    <n v="1"/>
    <n v="0"/>
    <n v="0"/>
    <n v="1"/>
    <n v="0"/>
    <n v="0"/>
    <n v="0"/>
    <n v="0"/>
    <n v="1"/>
    <n v="0"/>
    <n v="1"/>
    <n v="1"/>
    <n v="1"/>
  </r>
  <r>
    <x v="1"/>
    <x v="4"/>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0"/>
    <x v="11"/>
    <n v="4"/>
    <n v="6"/>
    <n v="2.5"/>
    <x v="14"/>
    <n v="4"/>
    <n v="3"/>
    <n v="3"/>
    <n v="3"/>
    <n v="1"/>
    <n v="4"/>
    <n v="1"/>
    <n v="2"/>
    <n v="2"/>
    <n v="1"/>
    <n v="2"/>
    <n v="4"/>
    <n v="2"/>
    <n v="4"/>
    <n v="3"/>
    <n v="1"/>
    <n v="3"/>
    <n v="4"/>
    <n v="3"/>
    <n v="1"/>
    <n v="1"/>
    <n v="2"/>
    <n v="3"/>
    <n v="2"/>
    <n v="3"/>
    <n v="4"/>
    <n v="1"/>
    <n v="2"/>
    <n v="4"/>
    <n v="0"/>
    <n v="1"/>
    <n v="1"/>
    <n v="1"/>
    <n v="1"/>
    <n v="1"/>
    <n v="1"/>
    <n v="2.5"/>
    <n v="1"/>
    <n v="0"/>
    <n v="1"/>
    <n v="1"/>
    <n v="1"/>
    <n v="1"/>
    <n v="0"/>
    <n v="1"/>
    <n v="1"/>
    <n v="1"/>
    <n v="1"/>
    <n v="1"/>
    <n v="1"/>
    <n v="1"/>
    <n v="1"/>
    <n v="1"/>
    <n v="0"/>
    <n v="1"/>
    <n v="1"/>
    <n v="0"/>
    <n v="0"/>
    <n v="1"/>
    <n v="1"/>
    <n v="0"/>
    <n v="0"/>
    <n v="1"/>
    <n v="1"/>
    <n v="0"/>
    <n v="1"/>
    <n v="1"/>
  </r>
  <r>
    <x v="0"/>
    <x v="0"/>
    <x v="0"/>
    <x v="1"/>
    <x v="14"/>
    <n v="1"/>
    <n v="5"/>
    <n v="0"/>
    <x v="8"/>
    <n v="4"/>
    <n v="1"/>
    <n v="1"/>
    <n v="2"/>
    <n v="1"/>
    <n v="2"/>
    <n v="2"/>
    <n v="2"/>
    <n v="2"/>
    <n v="1"/>
    <n v="2"/>
    <n v="4"/>
    <n v="2"/>
    <n v="3"/>
    <n v="4"/>
    <n v="4"/>
    <n v="1"/>
    <n v="3"/>
    <n v="3"/>
    <n v="4"/>
    <n v="2"/>
    <n v="2"/>
    <n v="1"/>
    <n v="2"/>
    <n v="1"/>
    <n v="4"/>
    <n v="4"/>
    <n v="3"/>
    <n v="1"/>
    <n v="0"/>
    <n v="1"/>
    <n v="0"/>
    <n v="1"/>
    <n v="1"/>
    <n v="1"/>
    <n v="1"/>
    <n v="0"/>
    <n v="1"/>
    <n v="0"/>
    <n v="0"/>
    <n v="0"/>
    <n v="1"/>
    <n v="0"/>
    <n v="0"/>
    <n v="1"/>
    <n v="1"/>
    <n v="1"/>
    <n v="1"/>
    <n v="1"/>
    <n v="1"/>
    <n v="0"/>
    <n v="0"/>
    <n v="0"/>
    <n v="1"/>
    <n v="0"/>
    <n v="1"/>
    <n v="1"/>
    <n v="1"/>
    <n v="1"/>
    <n v="0"/>
    <n v="0"/>
    <n v="1"/>
    <n v="1"/>
    <n v="0"/>
    <n v="1"/>
    <n v="0"/>
    <n v="1"/>
  </r>
  <r>
    <x v="1"/>
    <x v="3"/>
    <x v="1"/>
    <x v="0"/>
    <x v="15"/>
    <n v="5"/>
    <n v="0"/>
    <n v="0"/>
    <x v="38"/>
    <n v="4"/>
    <n v="2"/>
    <n v="3"/>
    <n v="1"/>
    <n v="2"/>
    <n v="2"/>
    <n v="4"/>
    <n v="2"/>
    <n v="2"/>
    <n v="1"/>
    <n v="3"/>
    <n v="2"/>
    <n v="2"/>
    <n v="4"/>
    <n v="2"/>
    <n v="1"/>
    <n v="2"/>
    <n v="4"/>
    <n v="4"/>
    <n v="2"/>
    <n v="1"/>
    <n v="2"/>
    <n v="1"/>
    <n v="4"/>
    <n v="2"/>
    <n v="1"/>
    <n v="2"/>
    <n v="3"/>
    <n v="3"/>
    <n v="2"/>
    <n v="0"/>
    <n v="0"/>
    <n v="0"/>
    <n v="0"/>
    <n v="0"/>
    <n v="0"/>
    <n v="0"/>
    <n v="1"/>
    <n v="1"/>
    <n v="1"/>
    <n v="0"/>
    <n v="0"/>
    <n v="0"/>
    <n v="0"/>
    <n v="1"/>
    <n v="1"/>
    <n v="1"/>
    <n v="0"/>
    <n v="0"/>
    <n v="1"/>
    <n v="1"/>
    <n v="0"/>
    <n v="1"/>
    <n v="0"/>
    <n v="1"/>
    <n v="0"/>
    <n v="0"/>
    <n v="0"/>
    <n v="1"/>
    <n v="0"/>
    <n v="0"/>
    <n v="0"/>
    <n v="0"/>
    <n v="0"/>
    <n v="1"/>
    <n v="0"/>
    <n v="0"/>
  </r>
  <r>
    <x v="0"/>
    <x v="2"/>
    <x v="0"/>
    <x v="0"/>
    <x v="6"/>
    <n v="8"/>
    <n v="6"/>
    <n v="2"/>
    <x v="4"/>
    <n v="4"/>
    <n v="2"/>
    <n v="4"/>
    <n v="1"/>
    <n v="1"/>
    <n v="4"/>
    <n v="3"/>
    <n v="2"/>
    <n v="2"/>
    <n v="1"/>
    <n v="2"/>
    <n v="4"/>
    <n v="2"/>
    <n v="4"/>
    <n v="3"/>
    <n v="1"/>
    <n v="1"/>
    <n v="4"/>
    <n v="1"/>
    <n v="1"/>
    <n v="2"/>
    <n v="2"/>
    <n v="1"/>
    <n v="3"/>
    <n v="1"/>
    <n v="2"/>
    <n v="1"/>
    <n v="3"/>
    <n v="4"/>
    <n v="4"/>
    <n v="1"/>
    <n v="1"/>
    <n v="1"/>
    <n v="1"/>
    <n v="1"/>
    <n v="1"/>
    <n v="2"/>
    <n v="1"/>
    <n v="1"/>
    <n v="0"/>
    <n v="0"/>
    <n v="1"/>
    <n v="1"/>
    <n v="1"/>
    <n v="1"/>
    <n v="1"/>
    <n v="1"/>
    <n v="1"/>
    <n v="1"/>
    <n v="1"/>
    <n v="1"/>
    <n v="1"/>
    <n v="1"/>
    <n v="1"/>
    <n v="1"/>
    <n v="0"/>
    <n v="0"/>
    <n v="1"/>
    <n v="1"/>
    <n v="0"/>
    <n v="1"/>
    <n v="1"/>
    <n v="0"/>
    <n v="1"/>
    <n v="1"/>
    <n v="1"/>
    <n v="1"/>
  </r>
  <r>
    <x v="0"/>
    <x v="0"/>
    <x v="0"/>
    <x v="0"/>
    <x v="13"/>
    <n v="5"/>
    <n v="6"/>
    <n v="2.5"/>
    <x v="27"/>
    <n v="4"/>
    <n v="4"/>
    <n v="3"/>
    <n v="1"/>
    <n v="1"/>
    <n v="4"/>
    <n v="3"/>
    <n v="2"/>
    <n v="2"/>
    <n v="1"/>
    <n v="2"/>
    <n v="4"/>
    <n v="1"/>
    <n v="2"/>
    <n v="3"/>
    <n v="4"/>
    <n v="2"/>
    <n v="2"/>
    <n v="3"/>
    <n v="1"/>
    <n v="2"/>
    <n v="3"/>
    <n v="3"/>
    <n v="3"/>
    <n v="4"/>
    <n v="4"/>
    <n v="1"/>
    <n v="3"/>
    <n v="3"/>
    <n v="2"/>
    <n v="1"/>
    <n v="1"/>
    <n v="1"/>
    <n v="1"/>
    <n v="1"/>
    <n v="1"/>
    <n v="2.5"/>
    <n v="1"/>
    <n v="0"/>
    <n v="1"/>
    <n v="0"/>
    <n v="1"/>
    <n v="1"/>
    <n v="1"/>
    <n v="1"/>
    <n v="1"/>
    <n v="1"/>
    <n v="1"/>
    <n v="1"/>
    <n v="0"/>
    <n v="0"/>
    <n v="1"/>
    <n v="0"/>
    <n v="0"/>
    <n v="0"/>
    <n v="1"/>
    <n v="0"/>
    <n v="1"/>
    <n v="0"/>
    <n v="1"/>
    <n v="1"/>
    <n v="0"/>
    <n v="1"/>
    <n v="1"/>
    <n v="1"/>
    <n v="1"/>
    <n v="1"/>
  </r>
  <r>
    <x v="1"/>
    <x v="3"/>
    <x v="0"/>
    <x v="1"/>
    <x v="17"/>
    <n v="5"/>
    <n v="5"/>
    <n v="2"/>
    <x v="10"/>
    <n v="3"/>
    <n v="4"/>
    <n v="2"/>
    <n v="4"/>
    <n v="1"/>
    <n v="3"/>
    <n v="2"/>
    <n v="3"/>
    <n v="2"/>
    <n v="1"/>
    <n v="4"/>
    <n v="1"/>
    <n v="3"/>
    <n v="1"/>
    <n v="2"/>
    <n v="1"/>
    <n v="1"/>
    <n v="3"/>
    <n v="1"/>
    <n v="3"/>
    <n v="2"/>
    <n v="2"/>
    <n v="3"/>
    <n v="1"/>
    <n v="4"/>
    <n v="3"/>
    <n v="2"/>
    <n v="3"/>
    <n v="3"/>
    <n v="2"/>
    <n v="1"/>
    <n v="1"/>
    <n v="1"/>
    <n v="1"/>
    <n v="1"/>
    <n v="0"/>
    <n v="2"/>
    <n v="0"/>
    <n v="0"/>
    <n v="0"/>
    <n v="0"/>
    <n v="1"/>
    <n v="0"/>
    <n v="0"/>
    <n v="0"/>
    <n v="1"/>
    <n v="1"/>
    <n v="0"/>
    <n v="0"/>
    <n v="0"/>
    <n v="0"/>
    <n v="0"/>
    <n v="1"/>
    <n v="1"/>
    <n v="0"/>
    <n v="0"/>
    <n v="0"/>
    <n v="1"/>
    <n v="1"/>
    <n v="1"/>
    <n v="0"/>
    <n v="0"/>
    <n v="0"/>
    <n v="0"/>
    <n v="1"/>
    <n v="0"/>
    <n v="1"/>
  </r>
  <r>
    <x v="0"/>
    <x v="0"/>
    <x v="0"/>
    <x v="0"/>
    <x v="21"/>
    <n v="4"/>
    <n v="5"/>
    <n v="2.5"/>
    <x v="5"/>
    <n v="1"/>
    <n v="1"/>
    <n v="3"/>
    <n v="3"/>
    <n v="1"/>
    <n v="1"/>
    <n v="3"/>
    <n v="3"/>
    <n v="2"/>
    <n v="1"/>
    <n v="2"/>
    <n v="4"/>
    <n v="4"/>
    <n v="1"/>
    <n v="3"/>
    <n v="4"/>
    <n v="4"/>
    <n v="3"/>
    <n v="3"/>
    <n v="1"/>
    <n v="1"/>
    <n v="4"/>
    <n v="3"/>
    <n v="4"/>
    <n v="3"/>
    <n v="4"/>
    <n v="1"/>
    <n v="3"/>
    <n v="2"/>
    <n v="2"/>
    <n v="1"/>
    <n v="1"/>
    <n v="1"/>
    <n v="0"/>
    <n v="1"/>
    <n v="1"/>
    <n v="2.5"/>
    <n v="0"/>
    <n v="0"/>
    <n v="1"/>
    <n v="1"/>
    <n v="1"/>
    <n v="0"/>
    <n v="1"/>
    <n v="0"/>
    <n v="1"/>
    <n v="1"/>
    <n v="1"/>
    <n v="1"/>
    <n v="0"/>
    <n v="0"/>
    <n v="1"/>
    <n v="0"/>
    <n v="0"/>
    <n v="0"/>
    <n v="1"/>
    <n v="0"/>
    <n v="0"/>
    <n v="0"/>
    <n v="1"/>
    <n v="0"/>
    <n v="0"/>
    <n v="1"/>
    <n v="1"/>
    <n v="1"/>
    <n v="1"/>
    <n v="1"/>
  </r>
  <r>
    <x v="0"/>
    <x v="0"/>
    <x v="0"/>
    <x v="0"/>
    <x v="0"/>
    <n v="4"/>
    <n v="6"/>
    <n v="2.5"/>
    <x v="39"/>
    <n v="4"/>
    <n v="2"/>
    <n v="3"/>
    <n v="3"/>
    <n v="1"/>
    <n v="4"/>
    <n v="3"/>
    <n v="2"/>
    <n v="2"/>
    <n v="1"/>
    <n v="2"/>
    <n v="3"/>
    <n v="2"/>
    <n v="2"/>
    <n v="1"/>
    <n v="4"/>
    <n v="1"/>
    <n v="4"/>
    <n v="3"/>
    <n v="4"/>
    <n v="2"/>
    <n v="2"/>
    <n v="1"/>
    <n v="1"/>
    <n v="1"/>
    <n v="4"/>
    <n v="4"/>
    <n v="3"/>
    <n v="2"/>
    <n v="2"/>
    <n v="1"/>
    <n v="1"/>
    <n v="1"/>
    <n v="1"/>
    <n v="1"/>
    <n v="1"/>
    <n v="2.5"/>
    <n v="1"/>
    <n v="1"/>
    <n v="1"/>
    <n v="1"/>
    <n v="1"/>
    <n v="1"/>
    <n v="1"/>
    <n v="1"/>
    <n v="1"/>
    <n v="1"/>
    <n v="1"/>
    <n v="0"/>
    <n v="1"/>
    <n v="0"/>
    <n v="0"/>
    <n v="0"/>
    <n v="1"/>
    <n v="1"/>
    <n v="1"/>
    <n v="1"/>
    <n v="1"/>
    <n v="1"/>
    <n v="0"/>
    <n v="0"/>
    <n v="1"/>
    <n v="1"/>
    <n v="0"/>
    <n v="1"/>
    <n v="1"/>
    <n v="1"/>
  </r>
  <r>
    <x v="0"/>
    <x v="2"/>
    <x v="0"/>
    <x v="0"/>
    <x v="18"/>
    <n v="9"/>
    <n v="6"/>
    <n v="3.5"/>
    <x v="6"/>
    <n v="4"/>
    <n v="2"/>
    <n v="4"/>
    <n v="3"/>
    <n v="3"/>
    <n v="2"/>
    <n v="3"/>
    <n v="2"/>
    <n v="2"/>
    <n v="1"/>
    <n v="2"/>
    <n v="4"/>
    <n v="2"/>
    <n v="4"/>
    <n v="3"/>
    <n v="4"/>
    <n v="1"/>
    <n v="4"/>
    <n v="3"/>
    <n v="4"/>
    <n v="2"/>
    <n v="2"/>
    <n v="3"/>
    <n v="3"/>
    <n v="1"/>
    <n v="4"/>
    <n v="1"/>
    <n v="3"/>
    <n v="4"/>
    <n v="5"/>
    <n v="1"/>
    <n v="1"/>
    <n v="1"/>
    <n v="1"/>
    <n v="1"/>
    <n v="1"/>
    <n v="3.5"/>
    <n v="1"/>
    <n v="1"/>
    <n v="0"/>
    <n v="1"/>
    <n v="0"/>
    <n v="0"/>
    <n v="1"/>
    <n v="1"/>
    <n v="1"/>
    <n v="1"/>
    <n v="1"/>
    <n v="1"/>
    <n v="1"/>
    <n v="1"/>
    <n v="1"/>
    <n v="0"/>
    <n v="1"/>
    <n v="1"/>
    <n v="1"/>
    <n v="1"/>
    <n v="1"/>
    <n v="1"/>
    <n v="1"/>
    <n v="1"/>
    <n v="1"/>
    <n v="1"/>
    <n v="1"/>
    <n v="1"/>
    <n v="1"/>
    <n v="1"/>
  </r>
  <r>
    <x v="1"/>
    <x v="1"/>
    <x v="0"/>
    <x v="0"/>
    <x v="9"/>
    <n v="5"/>
    <n v="6"/>
    <n v="2"/>
    <x v="30"/>
    <n v="4"/>
    <n v="2"/>
    <n v="3"/>
    <n v="3"/>
    <n v="1"/>
    <n v="4"/>
    <n v="3"/>
    <n v="2"/>
    <n v="2"/>
    <n v="1"/>
    <n v="2"/>
    <n v="4"/>
    <n v="2"/>
    <n v="1"/>
    <n v="3"/>
    <n v="1"/>
    <n v="1"/>
    <n v="4"/>
    <n v="3"/>
    <n v="1"/>
    <n v="2"/>
    <n v="2"/>
    <n v="3"/>
    <n v="3"/>
    <n v="1"/>
    <n v="4"/>
    <n v="1"/>
    <n v="3"/>
    <n v="3"/>
    <n v="2"/>
    <n v="1"/>
    <n v="1"/>
    <n v="1"/>
    <n v="1"/>
    <n v="1"/>
    <n v="1"/>
    <n v="2"/>
    <n v="1"/>
    <n v="1"/>
    <n v="1"/>
    <n v="1"/>
    <n v="1"/>
    <n v="1"/>
    <n v="1"/>
    <n v="1"/>
    <n v="1"/>
    <n v="1"/>
    <n v="1"/>
    <n v="1"/>
    <n v="1"/>
    <n v="0"/>
    <n v="1"/>
    <n v="1"/>
    <n v="1"/>
    <n v="1"/>
    <n v="1"/>
    <n v="0"/>
    <n v="1"/>
    <n v="1"/>
    <n v="1"/>
    <n v="1"/>
    <n v="1"/>
    <n v="1"/>
    <n v="1"/>
    <n v="1"/>
    <n v="1"/>
    <n v="1"/>
  </r>
  <r>
    <x v="1"/>
    <x v="3"/>
    <x v="0"/>
    <x v="0"/>
    <x v="14"/>
    <n v="1"/>
    <n v="6"/>
    <n v="2"/>
    <x v="35"/>
    <n v="4"/>
    <n v="4"/>
    <n v="3"/>
    <n v="3"/>
    <n v="1"/>
    <n v="4"/>
    <n v="2"/>
    <n v="2"/>
    <n v="2"/>
    <n v="2"/>
    <n v="2"/>
    <n v="3"/>
    <n v="2"/>
    <n v="4"/>
    <n v="3"/>
    <n v="4"/>
    <n v="4"/>
    <n v="1"/>
    <n v="2"/>
    <n v="3"/>
    <n v="2"/>
    <n v="2"/>
    <n v="3"/>
    <n v="2"/>
    <n v="2"/>
    <n v="4"/>
    <n v="4"/>
    <n v="3"/>
    <n v="1"/>
    <n v="0"/>
    <n v="1"/>
    <n v="1"/>
    <n v="1"/>
    <n v="1"/>
    <n v="1"/>
    <n v="1"/>
    <n v="2"/>
    <n v="1"/>
    <n v="0"/>
    <n v="1"/>
    <n v="1"/>
    <n v="1"/>
    <n v="1"/>
    <n v="0"/>
    <n v="1"/>
    <n v="1"/>
    <n v="0"/>
    <n v="1"/>
    <n v="0"/>
    <n v="1"/>
    <n v="1"/>
    <n v="1"/>
    <n v="0"/>
    <n v="0"/>
    <n v="0"/>
    <n v="0"/>
    <n v="0"/>
    <n v="1"/>
    <n v="1"/>
    <n v="1"/>
    <n v="0"/>
    <n v="0"/>
    <n v="1"/>
    <n v="0"/>
    <n v="1"/>
    <n v="1"/>
    <n v="1"/>
  </r>
  <r>
    <x v="1"/>
    <x v="3"/>
    <x v="0"/>
    <x v="1"/>
    <x v="14"/>
    <n v="4"/>
    <n v="6"/>
    <n v="1"/>
    <x v="35"/>
    <n v="4"/>
    <n v="3"/>
    <n v="3"/>
    <n v="1"/>
    <n v="1"/>
    <n v="3"/>
    <n v="4"/>
    <n v="2"/>
    <n v="2"/>
    <n v="1"/>
    <n v="2"/>
    <n v="4"/>
    <n v="2"/>
    <n v="4"/>
    <n v="4"/>
    <n v="1"/>
    <n v="1"/>
    <n v="3"/>
    <n v="2"/>
    <n v="4"/>
    <n v="4"/>
    <n v="2"/>
    <n v="3"/>
    <n v="2"/>
    <n v="3"/>
    <n v="1"/>
    <n v="4"/>
    <n v="3"/>
    <n v="2"/>
    <n v="2"/>
    <n v="1"/>
    <n v="1"/>
    <n v="1"/>
    <n v="1"/>
    <n v="1"/>
    <n v="1"/>
    <n v="1"/>
    <n v="1"/>
    <n v="0"/>
    <n v="1"/>
    <n v="0"/>
    <n v="1"/>
    <n v="0"/>
    <n v="0"/>
    <n v="1"/>
    <n v="1"/>
    <n v="1"/>
    <n v="1"/>
    <n v="1"/>
    <n v="1"/>
    <n v="1"/>
    <n v="0"/>
    <n v="1"/>
    <n v="1"/>
    <n v="0"/>
    <n v="0"/>
    <n v="1"/>
    <n v="0"/>
    <n v="1"/>
    <n v="1"/>
    <n v="0"/>
    <n v="0"/>
    <n v="0"/>
    <n v="0"/>
    <n v="1"/>
    <n v="1"/>
    <n v="1"/>
  </r>
  <r>
    <x v="0"/>
    <x v="2"/>
    <x v="0"/>
    <x v="0"/>
    <x v="8"/>
    <n v="6"/>
    <n v="6"/>
    <n v="1"/>
    <x v="1"/>
    <n v="4"/>
    <n v="1"/>
    <n v="4"/>
    <n v="1"/>
    <n v="2"/>
    <n v="3"/>
    <n v="2"/>
    <n v="3"/>
    <n v="1"/>
    <n v="2"/>
    <n v="2"/>
    <n v="3"/>
    <n v="2"/>
    <n v="2"/>
    <n v="3"/>
    <n v="4"/>
    <n v="1"/>
    <n v="1"/>
    <n v="2"/>
    <n v="3"/>
    <n v="2"/>
    <n v="2"/>
    <n v="3"/>
    <n v="2"/>
    <n v="1"/>
    <n v="2"/>
    <n v="1"/>
    <n v="3"/>
    <n v="3"/>
    <n v="3"/>
    <n v="1"/>
    <n v="1"/>
    <n v="1"/>
    <n v="1"/>
    <n v="1"/>
    <n v="1"/>
    <n v="1"/>
    <n v="1"/>
    <n v="0"/>
    <n v="0"/>
    <n v="0"/>
    <n v="0"/>
    <n v="0"/>
    <n v="0"/>
    <n v="0"/>
    <n v="0"/>
    <n v="0"/>
    <n v="1"/>
    <n v="0"/>
    <n v="1"/>
    <n v="0"/>
    <n v="1"/>
    <n v="0"/>
    <n v="1"/>
    <n v="0"/>
    <n v="0"/>
    <n v="0"/>
    <n v="1"/>
    <n v="1"/>
    <n v="1"/>
    <n v="0"/>
    <n v="1"/>
    <n v="0"/>
    <n v="1"/>
    <n v="1"/>
    <n v="0"/>
    <n v="0"/>
  </r>
  <r>
    <x v="0"/>
    <x v="2"/>
    <x v="0"/>
    <x v="0"/>
    <x v="16"/>
    <n v="3"/>
    <n v="5"/>
    <n v="2"/>
    <x v="14"/>
    <n v="4"/>
    <n v="2"/>
    <n v="3"/>
    <n v="4"/>
    <n v="1"/>
    <n v="4"/>
    <n v="2"/>
    <n v="2"/>
    <n v="3"/>
    <n v="1"/>
    <n v="2"/>
    <n v="4"/>
    <n v="2"/>
    <n v="4"/>
    <n v="3"/>
    <n v="1"/>
    <n v="1"/>
    <n v="3"/>
    <n v="3"/>
    <n v="4"/>
    <n v="2"/>
    <n v="2"/>
    <n v="3"/>
    <n v="3"/>
    <n v="1"/>
    <n v="4"/>
    <n v="4"/>
    <n v="3"/>
    <n v="2"/>
    <n v="1"/>
    <n v="0"/>
    <n v="1"/>
    <n v="1"/>
    <n v="1"/>
    <n v="1"/>
    <n v="1"/>
    <n v="2"/>
    <n v="1"/>
    <n v="1"/>
    <n v="1"/>
    <n v="0"/>
    <n v="1"/>
    <n v="1"/>
    <n v="0"/>
    <n v="1"/>
    <n v="0"/>
    <n v="1"/>
    <n v="1"/>
    <n v="1"/>
    <n v="1"/>
    <n v="1"/>
    <n v="1"/>
    <n v="1"/>
    <n v="1"/>
    <n v="0"/>
    <n v="1"/>
    <n v="1"/>
    <n v="1"/>
    <n v="1"/>
    <n v="1"/>
    <n v="1"/>
    <n v="1"/>
    <n v="1"/>
    <n v="0"/>
    <n v="1"/>
    <n v="1"/>
    <n v="1"/>
  </r>
  <r>
    <x v="1"/>
    <x v="3"/>
    <x v="0"/>
    <x v="0"/>
    <x v="19"/>
    <n v="8"/>
    <n v="5"/>
    <n v="3"/>
    <x v="33"/>
    <n v="4"/>
    <n v="2"/>
    <n v="3"/>
    <n v="3"/>
    <n v="1"/>
    <n v="3"/>
    <n v="4"/>
    <n v="2"/>
    <n v="3"/>
    <n v="1"/>
    <n v="2"/>
    <n v="4"/>
    <n v="4"/>
    <n v="2"/>
    <n v="3"/>
    <n v="1"/>
    <n v="1"/>
    <n v="4"/>
    <n v="3"/>
    <n v="3"/>
    <n v="1"/>
    <n v="2"/>
    <n v="3"/>
    <n v="2"/>
    <n v="1"/>
    <n v="4"/>
    <n v="4"/>
    <n v="3"/>
    <n v="4"/>
    <n v="4"/>
    <n v="1"/>
    <n v="0"/>
    <n v="1"/>
    <n v="1"/>
    <n v="1"/>
    <n v="1"/>
    <n v="3"/>
    <n v="1"/>
    <n v="1"/>
    <n v="1"/>
    <n v="1"/>
    <n v="1"/>
    <n v="0"/>
    <n v="0"/>
    <n v="1"/>
    <n v="0"/>
    <n v="1"/>
    <n v="1"/>
    <n v="1"/>
    <n v="0"/>
    <n v="0"/>
    <n v="1"/>
    <n v="1"/>
    <n v="1"/>
    <n v="1"/>
    <n v="1"/>
    <n v="0"/>
    <n v="0"/>
    <n v="1"/>
    <n v="1"/>
    <n v="0"/>
    <n v="1"/>
    <n v="1"/>
    <n v="0"/>
    <n v="1"/>
    <n v="1"/>
    <n v="1"/>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1"/>
    <x v="16"/>
    <n v="9"/>
    <n v="5"/>
    <n v="3.5"/>
    <x v="37"/>
    <n v="4"/>
    <n v="1"/>
    <n v="3"/>
    <n v="3"/>
    <n v="1"/>
    <n v="4"/>
    <n v="3"/>
    <n v="2"/>
    <n v="2"/>
    <n v="1"/>
    <n v="2"/>
    <n v="4"/>
    <n v="3"/>
    <n v="2"/>
    <n v="3"/>
    <n v="1"/>
    <n v="1"/>
    <n v="4"/>
    <n v="3"/>
    <n v="4"/>
    <n v="2"/>
    <n v="2"/>
    <n v="3"/>
    <n v="3"/>
    <n v="2"/>
    <n v="1"/>
    <n v="1"/>
    <n v="3"/>
    <n v="4"/>
    <n v="5"/>
    <n v="1"/>
    <n v="1"/>
    <n v="1"/>
    <n v="1"/>
    <n v="1"/>
    <n v="0"/>
    <n v="3.5"/>
    <n v="1"/>
    <n v="0"/>
    <n v="1"/>
    <n v="1"/>
    <n v="1"/>
    <n v="1"/>
    <n v="1"/>
    <n v="1"/>
    <n v="1"/>
    <n v="1"/>
    <n v="1"/>
    <n v="1"/>
    <n v="0"/>
    <n v="0"/>
    <n v="1"/>
    <n v="1"/>
    <n v="1"/>
    <n v="1"/>
    <n v="1"/>
    <n v="1"/>
    <n v="1"/>
    <n v="1"/>
    <n v="1"/>
    <n v="1"/>
    <n v="0"/>
    <n v="0"/>
    <n v="1"/>
    <n v="1"/>
    <n v="1"/>
    <n v="1"/>
  </r>
  <r>
    <x v="1"/>
    <x v="3"/>
    <x v="0"/>
    <x v="0"/>
    <x v="14"/>
    <n v="4"/>
    <n v="6"/>
    <n v="3"/>
    <x v="13"/>
    <n v="4"/>
    <n v="2"/>
    <n v="3"/>
    <n v="3"/>
    <n v="1"/>
    <n v="2"/>
    <n v="3"/>
    <n v="2"/>
    <n v="2"/>
    <n v="1"/>
    <n v="2"/>
    <n v="3"/>
    <n v="2"/>
    <n v="4"/>
    <n v="4"/>
    <n v="4"/>
    <n v="3"/>
    <n v="3"/>
    <n v="3"/>
    <n v="4"/>
    <n v="3"/>
    <n v="4"/>
    <n v="2"/>
    <n v="2"/>
    <n v="2"/>
    <n v="4"/>
    <n v="1"/>
    <n v="4"/>
    <n v="3"/>
    <n v="1"/>
    <n v="1"/>
    <n v="1"/>
    <n v="1"/>
    <n v="1"/>
    <n v="1"/>
    <n v="1"/>
    <n v="3"/>
    <n v="1"/>
    <n v="1"/>
    <n v="1"/>
    <n v="1"/>
    <n v="1"/>
    <n v="0"/>
    <n v="1"/>
    <n v="1"/>
    <n v="1"/>
    <n v="1"/>
    <n v="1"/>
    <n v="0"/>
    <n v="1"/>
    <n v="1"/>
    <n v="0"/>
    <n v="0"/>
    <n v="0"/>
    <n v="0"/>
    <n v="1"/>
    <n v="1"/>
    <n v="0"/>
    <n v="0"/>
    <n v="0"/>
    <n v="0"/>
    <n v="0"/>
    <n v="1"/>
    <n v="1"/>
    <n v="0"/>
    <n v="1"/>
    <n v="1"/>
  </r>
  <r>
    <x v="0"/>
    <x v="0"/>
    <x v="0"/>
    <x v="0"/>
    <x v="18"/>
    <n v="8"/>
    <n v="6"/>
    <n v="4.5"/>
    <x v="40"/>
    <n v="4"/>
    <n v="2"/>
    <n v="3"/>
    <n v="3"/>
    <n v="1"/>
    <n v="2"/>
    <n v="3"/>
    <n v="2"/>
    <n v="2"/>
    <n v="1"/>
    <n v="2"/>
    <n v="4"/>
    <n v="2"/>
    <n v="4"/>
    <n v="2"/>
    <n v="4"/>
    <n v="1"/>
    <n v="4"/>
    <n v="3"/>
    <n v="4"/>
    <n v="2"/>
    <n v="2"/>
    <n v="3"/>
    <n v="3"/>
    <n v="4"/>
    <n v="4"/>
    <n v="1"/>
    <n v="3"/>
    <n v="4"/>
    <n v="4"/>
    <n v="1"/>
    <n v="1"/>
    <n v="1"/>
    <n v="1"/>
    <n v="1"/>
    <n v="1"/>
    <n v="4.5"/>
    <n v="1"/>
    <n v="1"/>
    <n v="1"/>
    <n v="1"/>
    <n v="1"/>
    <n v="0"/>
    <n v="1"/>
    <n v="1"/>
    <n v="1"/>
    <n v="1"/>
    <n v="1"/>
    <n v="1"/>
    <n v="1"/>
    <n v="1"/>
    <n v="0"/>
    <n v="0"/>
    <n v="1"/>
    <n v="1"/>
    <n v="1"/>
    <n v="1"/>
    <n v="1"/>
    <n v="1"/>
    <n v="1"/>
    <n v="1"/>
    <n v="0"/>
    <n v="1"/>
    <n v="1"/>
    <n v="1"/>
    <n v="1"/>
    <n v="1"/>
  </r>
  <r>
    <x v="0"/>
    <x v="0"/>
    <x v="0"/>
    <x v="1"/>
    <x v="11"/>
    <n v="4"/>
    <n v="6"/>
    <n v="1"/>
    <x v="19"/>
    <n v="4"/>
    <n v="2"/>
    <n v="3"/>
    <n v="3"/>
    <n v="1"/>
    <n v="4"/>
    <n v="3"/>
    <n v="3"/>
    <n v="2"/>
    <n v="1"/>
    <n v="2"/>
    <n v="3"/>
    <n v="2"/>
    <n v="3"/>
    <n v="4"/>
    <n v="1"/>
    <n v="1"/>
    <n v="2"/>
    <n v="3"/>
    <n v="2"/>
    <n v="2"/>
    <n v="1"/>
    <n v="3"/>
    <n v="3"/>
    <n v="1"/>
    <n v="4"/>
    <n v="4"/>
    <n v="3"/>
    <n v="2"/>
    <n v="2"/>
    <n v="1"/>
    <n v="1"/>
    <n v="1"/>
    <n v="1"/>
    <n v="1"/>
    <n v="1"/>
    <n v="1"/>
    <n v="1"/>
    <n v="1"/>
    <n v="1"/>
    <n v="1"/>
    <n v="1"/>
    <n v="1"/>
    <n v="1"/>
    <n v="0"/>
    <n v="1"/>
    <n v="1"/>
    <n v="1"/>
    <n v="0"/>
    <n v="1"/>
    <n v="0"/>
    <n v="0"/>
    <n v="1"/>
    <n v="1"/>
    <n v="0"/>
    <n v="1"/>
    <n v="0"/>
    <n v="1"/>
    <n v="0"/>
    <n v="1"/>
    <n v="1"/>
    <n v="1"/>
    <n v="1"/>
    <n v="0"/>
    <n v="1"/>
    <n v="1"/>
    <n v="1"/>
  </r>
  <r>
    <x v="1"/>
    <x v="1"/>
    <x v="0"/>
    <x v="0"/>
    <x v="0"/>
    <n v="1"/>
    <n v="5"/>
    <n v="1.5"/>
    <x v="9"/>
    <n v="4"/>
    <n v="2"/>
    <n v="3"/>
    <n v="3"/>
    <n v="1"/>
    <n v="4"/>
    <n v="4"/>
    <n v="2"/>
    <n v="2"/>
    <n v="1"/>
    <n v="2"/>
    <n v="4"/>
    <n v="2"/>
    <n v="3"/>
    <n v="3"/>
    <n v="1"/>
    <n v="1"/>
    <n v="4"/>
    <n v="2"/>
    <n v="1"/>
    <n v="2"/>
    <n v="2"/>
    <n v="3"/>
    <n v="2"/>
    <n v="4"/>
    <n v="4"/>
    <n v="2"/>
    <n v="3"/>
    <n v="1"/>
    <n v="0"/>
    <n v="1"/>
    <n v="1"/>
    <n v="1"/>
    <n v="1"/>
    <n v="1"/>
    <n v="0"/>
    <n v="1.5"/>
    <n v="1"/>
    <n v="1"/>
    <n v="1"/>
    <n v="1"/>
    <n v="1"/>
    <n v="1"/>
    <n v="0"/>
    <n v="1"/>
    <n v="1"/>
    <n v="1"/>
    <n v="1"/>
    <n v="1"/>
    <n v="1"/>
    <n v="0"/>
    <n v="1"/>
    <n v="1"/>
    <n v="1"/>
    <n v="1"/>
    <n v="0"/>
    <n v="0"/>
    <n v="1"/>
    <n v="1"/>
    <n v="1"/>
    <n v="0"/>
    <n v="0"/>
    <n v="1"/>
    <n v="0"/>
    <n v="1"/>
    <n v="1"/>
    <n v="1"/>
  </r>
  <r>
    <x v="1"/>
    <x v="1"/>
    <x v="0"/>
    <x v="0"/>
    <x v="19"/>
    <n v="1"/>
    <n v="0"/>
    <n v="0"/>
    <x v="36"/>
    <n v="4"/>
    <n v="2"/>
    <n v="2"/>
    <n v="4"/>
    <n v="1"/>
    <n v="4"/>
    <n v="3"/>
    <n v="2"/>
    <n v="1"/>
    <n v="2"/>
    <n v="1"/>
    <n v="3"/>
    <n v="1"/>
    <n v="3"/>
    <n v="3"/>
    <n v="1"/>
    <n v="1"/>
    <n v="4"/>
    <n v="3"/>
    <n v="4"/>
    <n v="2"/>
    <n v="2"/>
    <n v="3"/>
    <n v="3"/>
    <n v="1"/>
    <n v="4"/>
    <n v="2"/>
    <n v="3"/>
    <n v="1"/>
    <n v="0"/>
    <n v="0"/>
    <n v="0"/>
    <n v="0"/>
    <n v="0"/>
    <n v="0"/>
    <n v="0"/>
    <n v="0"/>
    <n v="1"/>
    <n v="1"/>
    <n v="0"/>
    <n v="0"/>
    <n v="1"/>
    <n v="1"/>
    <n v="1"/>
    <n v="1"/>
    <n v="0"/>
    <n v="0"/>
    <n v="0"/>
    <n v="0"/>
    <n v="0"/>
    <n v="0"/>
    <n v="1"/>
    <n v="1"/>
    <n v="1"/>
    <n v="1"/>
    <n v="1"/>
    <n v="1"/>
    <n v="1"/>
    <n v="1"/>
    <n v="1"/>
    <n v="1"/>
    <n v="1"/>
    <n v="1"/>
    <n v="0"/>
    <n v="1"/>
    <n v="0"/>
    <n v="0"/>
  </r>
  <r>
    <x v="1"/>
    <x v="1"/>
    <x v="0"/>
    <x v="0"/>
    <x v="14"/>
    <n v="3"/>
    <n v="5"/>
    <n v="1.5"/>
    <x v="29"/>
    <n v="3"/>
    <n v="2"/>
    <n v="1"/>
    <n v="2"/>
    <n v="1"/>
    <n v="4"/>
    <n v="3"/>
    <n v="2"/>
    <n v="3"/>
    <n v="1"/>
    <n v="2"/>
    <n v="4"/>
    <n v="2"/>
    <n v="3"/>
    <n v="3"/>
    <n v="1"/>
    <n v="1"/>
    <n v="4"/>
    <n v="2"/>
    <n v="2"/>
    <n v="3"/>
    <n v="2"/>
    <n v="1"/>
    <n v="4"/>
    <n v="3"/>
    <n v="4"/>
    <n v="1"/>
    <n v="2"/>
    <n v="2"/>
    <n v="1"/>
    <n v="1"/>
    <n v="1"/>
    <n v="1"/>
    <n v="1"/>
    <n v="1"/>
    <n v="0"/>
    <n v="1.5"/>
    <n v="0"/>
    <n v="1"/>
    <n v="0"/>
    <n v="0"/>
    <n v="1"/>
    <n v="1"/>
    <n v="1"/>
    <n v="1"/>
    <n v="0"/>
    <n v="1"/>
    <n v="1"/>
    <n v="1"/>
    <n v="1"/>
    <n v="0"/>
    <n v="1"/>
    <n v="1"/>
    <n v="1"/>
    <n v="1"/>
    <n v="0"/>
    <n v="0"/>
    <n v="0"/>
    <n v="1"/>
    <n v="0"/>
    <n v="0"/>
    <n v="0"/>
    <n v="1"/>
    <n v="1"/>
    <n v="0"/>
    <n v="1"/>
    <n v="1"/>
  </r>
  <r>
    <x v="0"/>
    <x v="0"/>
    <x v="0"/>
    <x v="1"/>
    <x v="7"/>
    <n v="0"/>
    <n v="5"/>
    <n v="1"/>
    <x v="11"/>
    <n v="1"/>
    <n v="4"/>
    <n v="4"/>
    <n v="1"/>
    <n v="2"/>
    <n v="3"/>
    <n v="2"/>
    <n v="3"/>
    <n v="1"/>
    <n v="2"/>
    <n v="2"/>
    <n v="1"/>
    <n v="2"/>
    <n v="2"/>
    <n v="3"/>
    <n v="1"/>
    <n v="1"/>
    <n v="4"/>
    <n v="1"/>
    <n v="2"/>
    <n v="2"/>
    <n v="2"/>
    <n v="1"/>
    <n v="3"/>
    <n v="1"/>
    <n v="1"/>
    <n v="2"/>
    <n v="4"/>
    <n v="0"/>
    <n v="0"/>
    <n v="1"/>
    <n v="1"/>
    <n v="0"/>
    <n v="1"/>
    <n v="1"/>
    <n v="1"/>
    <n v="1"/>
    <n v="0"/>
    <n v="0"/>
    <n v="0"/>
    <n v="0"/>
    <n v="0"/>
    <n v="0"/>
    <n v="0"/>
    <n v="0"/>
    <n v="0"/>
    <n v="0"/>
    <n v="1"/>
    <n v="0"/>
    <n v="1"/>
    <n v="0"/>
    <n v="1"/>
    <n v="1"/>
    <n v="1"/>
    <n v="1"/>
    <n v="0"/>
    <n v="0"/>
    <n v="1"/>
    <n v="1"/>
    <n v="0"/>
    <n v="1"/>
    <n v="1"/>
    <n v="0"/>
    <n v="0"/>
    <n v="0"/>
    <n v="0"/>
    <n v="0"/>
  </r>
  <r>
    <x v="1"/>
    <x v="1"/>
    <x v="0"/>
    <x v="0"/>
    <x v="4"/>
    <n v="2"/>
    <n v="5"/>
    <n v="2.5"/>
    <x v="35"/>
    <n v="4"/>
    <n v="2"/>
    <n v="3"/>
    <n v="1"/>
    <n v="1"/>
    <n v="3"/>
    <n v="4"/>
    <n v="2"/>
    <n v="2"/>
    <n v="1"/>
    <n v="1"/>
    <n v="1"/>
    <n v="2"/>
    <n v="3"/>
    <n v="3"/>
    <n v="4"/>
    <n v="1"/>
    <n v="4"/>
    <n v="3"/>
    <n v="4"/>
    <n v="3"/>
    <n v="2"/>
    <n v="3"/>
    <n v="2"/>
    <n v="3"/>
    <n v="2"/>
    <n v="3"/>
    <n v="2"/>
    <n v="2"/>
    <n v="0"/>
    <n v="0"/>
    <n v="1"/>
    <n v="1"/>
    <n v="1"/>
    <n v="1"/>
    <n v="1"/>
    <n v="2.5"/>
    <n v="1"/>
    <n v="1"/>
    <n v="1"/>
    <n v="0"/>
    <n v="1"/>
    <n v="0"/>
    <n v="0"/>
    <n v="1"/>
    <n v="1"/>
    <n v="1"/>
    <n v="0"/>
    <n v="0"/>
    <n v="1"/>
    <n v="0"/>
    <n v="1"/>
    <n v="0"/>
    <n v="1"/>
    <n v="1"/>
    <n v="1"/>
    <n v="1"/>
    <n v="0"/>
    <n v="1"/>
    <n v="1"/>
    <n v="0"/>
    <n v="0"/>
    <n v="0"/>
    <n v="0"/>
    <n v="0"/>
    <n v="1"/>
    <n v="1"/>
  </r>
  <r>
    <x v="1"/>
    <x v="1"/>
    <x v="0"/>
    <x v="0"/>
    <x v="4"/>
    <n v="1"/>
    <n v="4"/>
    <n v="0"/>
    <x v="36"/>
    <n v="4"/>
    <n v="4"/>
    <n v="4"/>
    <n v="1"/>
    <n v="1"/>
    <n v="2"/>
    <n v="3"/>
    <n v="2"/>
    <n v="3"/>
    <n v="1"/>
    <n v="2"/>
    <n v="3"/>
    <n v="2"/>
    <n v="4"/>
    <n v="2"/>
    <n v="2"/>
    <n v="1"/>
    <n v="4"/>
    <n v="2"/>
    <n v="4"/>
    <n v="4"/>
    <n v="2"/>
    <n v="4"/>
    <n v="2"/>
    <n v="3"/>
    <n v="4"/>
    <n v="1"/>
    <n v="3"/>
    <n v="1"/>
    <n v="0"/>
    <n v="1"/>
    <n v="1"/>
    <n v="1"/>
    <n v="1"/>
    <n v="0"/>
    <n v="0"/>
    <n v="0"/>
    <n v="1"/>
    <n v="0"/>
    <n v="0"/>
    <n v="0"/>
    <n v="1"/>
    <n v="0"/>
    <n v="1"/>
    <n v="1"/>
    <n v="0"/>
    <n v="1"/>
    <n v="1"/>
    <n v="0"/>
    <n v="1"/>
    <n v="1"/>
    <n v="0"/>
    <n v="0"/>
    <n v="1"/>
    <n v="1"/>
    <n v="0"/>
    <n v="1"/>
    <n v="0"/>
    <n v="1"/>
    <n v="0"/>
    <n v="0"/>
    <n v="0"/>
    <n v="1"/>
    <n v="1"/>
    <n v="1"/>
    <n v="0"/>
    <n v="0"/>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0"/>
    <x v="13"/>
    <n v="5"/>
    <n v="5"/>
    <n v="2"/>
    <x v="0"/>
    <n v="4"/>
    <n v="2"/>
    <n v="3"/>
    <n v="1"/>
    <n v="1"/>
    <n v="4"/>
    <n v="3"/>
    <n v="1"/>
    <n v="3"/>
    <n v="4"/>
    <n v="1"/>
    <n v="4"/>
    <n v="1"/>
    <n v="4"/>
    <n v="3"/>
    <n v="1"/>
    <n v="1"/>
    <n v="4"/>
    <n v="3"/>
    <n v="2"/>
    <n v="2"/>
    <n v="4"/>
    <n v="1"/>
    <n v="3"/>
    <n v="3"/>
    <n v="4"/>
    <n v="1"/>
    <n v="3"/>
    <n v="3"/>
    <n v="2"/>
    <n v="1"/>
    <n v="1"/>
    <n v="0"/>
    <n v="1"/>
    <n v="1"/>
    <n v="1"/>
    <n v="2"/>
    <n v="1"/>
    <n v="1"/>
    <n v="1"/>
    <n v="0"/>
    <n v="1"/>
    <n v="1"/>
    <n v="1"/>
    <n v="0"/>
    <n v="0"/>
    <n v="0"/>
    <n v="0"/>
    <n v="1"/>
    <n v="0"/>
    <n v="1"/>
    <n v="1"/>
    <n v="1"/>
    <n v="1"/>
    <n v="1"/>
    <n v="1"/>
    <n v="0"/>
    <n v="1"/>
    <n v="0"/>
    <n v="0"/>
    <n v="1"/>
    <n v="0"/>
    <n v="1"/>
    <n v="1"/>
    <n v="1"/>
    <n v="1"/>
    <n v="1"/>
  </r>
  <r>
    <x v="1"/>
    <x v="3"/>
    <x v="0"/>
    <x v="0"/>
    <x v="20"/>
    <n v="6"/>
    <n v="3"/>
    <n v="1"/>
    <x v="35"/>
    <n v="4"/>
    <n v="2"/>
    <n v="3"/>
    <n v="1"/>
    <n v="1"/>
    <n v="2"/>
    <n v="3"/>
    <n v="2"/>
    <n v="2"/>
    <n v="1"/>
    <n v="2"/>
    <n v="2"/>
    <n v="2"/>
    <n v="3"/>
    <n v="1"/>
    <n v="4"/>
    <n v="1"/>
    <n v="4"/>
    <n v="1"/>
    <n v="1"/>
    <n v="2"/>
    <n v="2"/>
    <n v="3"/>
    <n v="4"/>
    <n v="3"/>
    <n v="4"/>
    <n v="4"/>
    <n v="3"/>
    <n v="4"/>
    <n v="2"/>
    <n v="1"/>
    <n v="1"/>
    <n v="0"/>
    <n v="0"/>
    <n v="1"/>
    <n v="0"/>
    <n v="1"/>
    <n v="1"/>
    <n v="1"/>
    <n v="1"/>
    <n v="0"/>
    <n v="1"/>
    <n v="0"/>
    <n v="1"/>
    <n v="1"/>
    <n v="1"/>
    <n v="1"/>
    <n v="1"/>
    <n v="0"/>
    <n v="1"/>
    <n v="0"/>
    <n v="0"/>
    <n v="0"/>
    <n v="1"/>
    <n v="1"/>
    <n v="0"/>
    <n v="0"/>
    <n v="1"/>
    <n v="1"/>
    <n v="1"/>
    <n v="0"/>
    <n v="0"/>
    <n v="1"/>
    <n v="0"/>
    <n v="1"/>
    <n v="1"/>
    <n v="1"/>
  </r>
  <r>
    <x v="0"/>
    <x v="2"/>
    <x v="0"/>
    <x v="0"/>
    <x v="6"/>
    <n v="9"/>
    <n v="6"/>
    <n v="3.5"/>
    <x v="37"/>
    <n v="3"/>
    <n v="2"/>
    <n v="1"/>
    <n v="3"/>
    <n v="1"/>
    <n v="4"/>
    <n v="3"/>
    <n v="2"/>
    <n v="2"/>
    <n v="1"/>
    <n v="2"/>
    <n v="3"/>
    <n v="2"/>
    <n v="4"/>
    <n v="3"/>
    <n v="1"/>
    <n v="1"/>
    <n v="4"/>
    <n v="3"/>
    <n v="4"/>
    <n v="2"/>
    <n v="2"/>
    <n v="3"/>
    <n v="4"/>
    <n v="3"/>
    <n v="4"/>
    <n v="4"/>
    <n v="3"/>
    <n v="4"/>
    <n v="5"/>
    <n v="1"/>
    <n v="1"/>
    <n v="1"/>
    <n v="1"/>
    <n v="1"/>
    <n v="1"/>
    <n v="3.5"/>
    <n v="0"/>
    <n v="1"/>
    <n v="0"/>
    <n v="1"/>
    <n v="1"/>
    <n v="1"/>
    <n v="1"/>
    <n v="1"/>
    <n v="1"/>
    <n v="1"/>
    <n v="1"/>
    <n v="0"/>
    <n v="1"/>
    <n v="1"/>
    <n v="1"/>
    <n v="1"/>
    <n v="1"/>
    <n v="1"/>
    <n v="1"/>
    <n v="1"/>
    <n v="1"/>
    <n v="1"/>
    <n v="1"/>
    <n v="0"/>
    <n v="0"/>
    <n v="1"/>
    <n v="0"/>
    <n v="1"/>
    <n v="1"/>
    <n v="1"/>
  </r>
  <r>
    <x v="0"/>
    <x v="0"/>
    <x v="0"/>
    <x v="0"/>
    <x v="13"/>
    <n v="4"/>
    <n v="5"/>
    <n v="2.5"/>
    <x v="13"/>
    <n v="3"/>
    <n v="2"/>
    <n v="2"/>
    <n v="3"/>
    <n v="1"/>
    <n v="4"/>
    <n v="3"/>
    <n v="2"/>
    <n v="3"/>
    <n v="1"/>
    <n v="1"/>
    <n v="3"/>
    <n v="2"/>
    <n v="4"/>
    <n v="1"/>
    <n v="4"/>
    <n v="1"/>
    <n v="4"/>
    <n v="1"/>
    <n v="4"/>
    <n v="2"/>
    <n v="2"/>
    <n v="4"/>
    <n v="3"/>
    <n v="3"/>
    <n v="4"/>
    <n v="1"/>
    <n v="3"/>
    <n v="3"/>
    <n v="1"/>
    <n v="1"/>
    <n v="1"/>
    <n v="1"/>
    <n v="1"/>
    <n v="1"/>
    <n v="0"/>
    <n v="2.5"/>
    <n v="0"/>
    <n v="1"/>
    <n v="0"/>
    <n v="1"/>
    <n v="1"/>
    <n v="1"/>
    <n v="1"/>
    <n v="1"/>
    <n v="0"/>
    <n v="1"/>
    <n v="0"/>
    <n v="0"/>
    <n v="1"/>
    <n v="1"/>
    <n v="0"/>
    <n v="0"/>
    <n v="1"/>
    <n v="1"/>
    <n v="0"/>
    <n v="1"/>
    <n v="1"/>
    <n v="1"/>
    <n v="0"/>
    <n v="1"/>
    <n v="0"/>
    <n v="1"/>
    <n v="1"/>
    <n v="1"/>
    <n v="1"/>
    <n v="1"/>
  </r>
  <r>
    <x v="1"/>
    <x v="3"/>
    <x v="0"/>
    <x v="0"/>
    <x v="0"/>
    <n v="3"/>
    <n v="6"/>
    <n v="2"/>
    <x v="26"/>
    <n v="1"/>
    <n v="1"/>
    <n v="3"/>
    <n v="1"/>
    <n v="1"/>
    <n v="3"/>
    <n v="3"/>
    <n v="2"/>
    <n v="2"/>
    <n v="1"/>
    <n v="2"/>
    <n v="4"/>
    <n v="2"/>
    <n v="4"/>
    <n v="3"/>
    <n v="1"/>
    <n v="1"/>
    <n v="4"/>
    <n v="3"/>
    <n v="4"/>
    <n v="2"/>
    <n v="2"/>
    <n v="1"/>
    <n v="2"/>
    <n v="3"/>
    <n v="4"/>
    <n v="1"/>
    <n v="3"/>
    <n v="2"/>
    <n v="1"/>
    <n v="1"/>
    <n v="1"/>
    <n v="1"/>
    <n v="1"/>
    <n v="1"/>
    <n v="1"/>
    <n v="2"/>
    <n v="0"/>
    <n v="0"/>
    <n v="1"/>
    <n v="0"/>
    <n v="1"/>
    <n v="0"/>
    <n v="1"/>
    <n v="1"/>
    <n v="1"/>
    <n v="1"/>
    <n v="1"/>
    <n v="1"/>
    <n v="1"/>
    <n v="1"/>
    <n v="1"/>
    <n v="1"/>
    <n v="1"/>
    <n v="1"/>
    <n v="1"/>
    <n v="1"/>
    <n v="1"/>
    <n v="1"/>
    <n v="0"/>
    <n v="0"/>
    <n v="0"/>
    <n v="1"/>
    <n v="1"/>
    <n v="1"/>
    <n v="1"/>
    <n v="1"/>
  </r>
  <r>
    <x v="1"/>
    <x v="3"/>
    <x v="0"/>
    <x v="0"/>
    <x v="13"/>
    <n v="6"/>
    <n v="6"/>
    <n v="2"/>
    <x v="26"/>
    <n v="1"/>
    <n v="2"/>
    <n v="1"/>
    <n v="3"/>
    <n v="2"/>
    <n v="3"/>
    <n v="3"/>
    <n v="2"/>
    <n v="2"/>
    <n v="1"/>
    <n v="2"/>
    <n v="4"/>
    <n v="1"/>
    <n v="4"/>
    <n v="3"/>
    <n v="4"/>
    <n v="1"/>
    <n v="4"/>
    <n v="3"/>
    <n v="4"/>
    <n v="2"/>
    <n v="2"/>
    <n v="3"/>
    <n v="2"/>
    <n v="3"/>
    <n v="1"/>
    <n v="4"/>
    <n v="3"/>
    <n v="3"/>
    <n v="3"/>
    <n v="1"/>
    <n v="1"/>
    <n v="1"/>
    <n v="1"/>
    <n v="1"/>
    <n v="1"/>
    <n v="2"/>
    <n v="0"/>
    <n v="1"/>
    <n v="0"/>
    <n v="1"/>
    <n v="0"/>
    <n v="0"/>
    <n v="1"/>
    <n v="1"/>
    <n v="1"/>
    <n v="1"/>
    <n v="1"/>
    <n v="1"/>
    <n v="0"/>
    <n v="1"/>
    <n v="1"/>
    <n v="0"/>
    <n v="1"/>
    <n v="1"/>
    <n v="1"/>
    <n v="1"/>
    <n v="1"/>
    <n v="1"/>
    <n v="1"/>
    <n v="0"/>
    <n v="0"/>
    <n v="0"/>
    <n v="0"/>
    <n v="1"/>
    <n v="1"/>
    <n v="1"/>
  </r>
  <r>
    <x v="1"/>
    <x v="1"/>
    <x v="0"/>
    <x v="0"/>
    <x v="2"/>
    <n v="0"/>
    <n v="0"/>
    <n v="0"/>
    <x v="2"/>
    <m/>
    <m/>
    <m/>
    <m/>
    <m/>
    <m/>
    <m/>
    <m/>
    <m/>
    <m/>
    <m/>
    <m/>
    <m/>
    <m/>
    <m/>
    <m/>
    <m/>
    <m/>
    <m/>
    <m/>
    <m/>
    <m/>
    <m/>
    <m/>
    <m/>
    <m/>
    <m/>
    <m/>
    <m/>
    <m/>
    <m/>
    <m/>
    <m/>
    <m/>
    <m/>
    <m/>
    <m/>
    <n v="0"/>
    <n v="0"/>
    <n v="0"/>
    <n v="0"/>
    <n v="0"/>
    <n v="0"/>
    <n v="0"/>
    <n v="0"/>
    <n v="0"/>
    <n v="0"/>
    <n v="0"/>
    <n v="0"/>
    <n v="0"/>
    <n v="0"/>
    <n v="0"/>
    <n v="0"/>
    <n v="0"/>
    <n v="0"/>
    <n v="0"/>
    <n v="0"/>
    <n v="0"/>
    <n v="0"/>
    <n v="0"/>
    <n v="0"/>
    <n v="0"/>
    <n v="0"/>
    <n v="0"/>
    <n v="0"/>
    <n v="0"/>
    <n v="0"/>
  </r>
  <r>
    <x v="0"/>
    <x v="2"/>
    <x v="0"/>
    <x v="0"/>
    <x v="11"/>
    <n v="6"/>
    <n v="5"/>
    <n v="0"/>
    <x v="9"/>
    <n v="4"/>
    <n v="1"/>
    <n v="3"/>
    <n v="4"/>
    <n v="1"/>
    <n v="3"/>
    <n v="3"/>
    <n v="2"/>
    <n v="2"/>
    <n v="1"/>
    <n v="2"/>
    <n v="4"/>
    <n v="2"/>
    <n v="2"/>
    <n v="1"/>
    <n v="2"/>
    <n v="1"/>
    <n v="4"/>
    <n v="3"/>
    <n v="2"/>
    <n v="2"/>
    <n v="2"/>
    <n v="3"/>
    <n v="2"/>
    <n v="1"/>
    <n v="4"/>
    <n v="1"/>
    <n v="3"/>
    <n v="3"/>
    <n v="3"/>
    <n v="0"/>
    <n v="1"/>
    <n v="1"/>
    <n v="1"/>
    <n v="1"/>
    <n v="1"/>
    <n v="0"/>
    <n v="1"/>
    <n v="0"/>
    <n v="1"/>
    <n v="0"/>
    <n v="1"/>
    <n v="0"/>
    <n v="1"/>
    <n v="1"/>
    <n v="1"/>
    <n v="1"/>
    <n v="1"/>
    <n v="1"/>
    <n v="1"/>
    <n v="0"/>
    <n v="0"/>
    <n v="0"/>
    <n v="1"/>
    <n v="1"/>
    <n v="1"/>
    <n v="0"/>
    <n v="1"/>
    <n v="1"/>
    <n v="1"/>
    <n v="0"/>
    <n v="1"/>
    <n v="1"/>
    <n v="1"/>
    <n v="1"/>
    <n v="1"/>
    <n v="1"/>
  </r>
  <r>
    <x v="1"/>
    <x v="3"/>
    <x v="0"/>
    <x v="0"/>
    <x v="22"/>
    <n v="0"/>
    <n v="3"/>
    <n v="0"/>
    <x v="5"/>
    <n v="4"/>
    <n v="2"/>
    <n v="3"/>
    <n v="3"/>
    <n v="1"/>
    <n v="4"/>
    <n v="3"/>
    <n v="2"/>
    <n v="2"/>
    <n v="1"/>
    <n v="2"/>
    <n v="4"/>
    <n v="2"/>
    <n v="4"/>
    <n v="3"/>
    <n v="1"/>
    <n v="1"/>
    <n v="4"/>
    <n v="3"/>
    <n v="4"/>
    <n v="2"/>
    <n v="2"/>
    <n v="3"/>
    <n v="3"/>
    <n v="1"/>
    <n v="4"/>
    <n v="3"/>
    <n v="3"/>
    <n v="0"/>
    <n v="0"/>
    <n v="0"/>
    <n v="1"/>
    <n v="1"/>
    <n v="0"/>
    <n v="1"/>
    <n v="0"/>
    <n v="0"/>
    <n v="1"/>
    <n v="1"/>
    <n v="1"/>
    <n v="1"/>
    <n v="1"/>
    <n v="1"/>
    <n v="1"/>
    <n v="1"/>
    <n v="1"/>
    <n v="1"/>
    <n v="1"/>
    <n v="1"/>
    <n v="1"/>
    <n v="1"/>
    <n v="1"/>
    <n v="1"/>
    <n v="1"/>
    <n v="1"/>
    <n v="1"/>
    <n v="1"/>
    <n v="1"/>
    <n v="1"/>
    <n v="1"/>
    <n v="1"/>
    <n v="1"/>
    <n v="1"/>
    <n v="0"/>
    <n v="1"/>
    <n v="1"/>
    <n v="1"/>
  </r>
  <r>
    <x v="0"/>
    <x v="0"/>
    <x v="0"/>
    <x v="1"/>
    <x v="20"/>
    <n v="5"/>
    <n v="6"/>
    <n v="2"/>
    <x v="0"/>
    <n v="4"/>
    <n v="1"/>
    <n v="3"/>
    <n v="1"/>
    <n v="1"/>
    <n v="3"/>
    <n v="3"/>
    <n v="2"/>
    <n v="3"/>
    <n v="1"/>
    <n v="2"/>
    <n v="3"/>
    <n v="2"/>
    <n v="2"/>
    <n v="3"/>
    <n v="1"/>
    <n v="1"/>
    <n v="4"/>
    <n v="3"/>
    <n v="1"/>
    <n v="3"/>
    <n v="1"/>
    <n v="3"/>
    <n v="2"/>
    <n v="1"/>
    <n v="4"/>
    <n v="1"/>
    <n v="2"/>
    <n v="3"/>
    <n v="2"/>
    <n v="1"/>
    <n v="1"/>
    <n v="1"/>
    <n v="1"/>
    <n v="1"/>
    <n v="1"/>
    <n v="2"/>
    <n v="1"/>
    <n v="0"/>
    <n v="1"/>
    <n v="0"/>
    <n v="1"/>
    <n v="0"/>
    <n v="1"/>
    <n v="1"/>
    <n v="0"/>
    <n v="1"/>
    <n v="1"/>
    <n v="0"/>
    <n v="1"/>
    <n v="0"/>
    <n v="1"/>
    <n v="1"/>
    <n v="1"/>
    <n v="1"/>
    <n v="1"/>
    <n v="0"/>
    <n v="0"/>
    <n v="0"/>
    <n v="1"/>
    <n v="0"/>
    <n v="1"/>
    <n v="1"/>
    <n v="1"/>
    <n v="0"/>
    <n v="1"/>
    <n v="1"/>
  </r>
  <r>
    <x v="0"/>
    <x v="2"/>
    <x v="0"/>
    <x v="0"/>
    <x v="13"/>
    <n v="7"/>
    <n v="6"/>
    <n v="2"/>
    <x v="14"/>
    <n v="4"/>
    <n v="2"/>
    <n v="3"/>
    <n v="2"/>
    <n v="1"/>
    <n v="4"/>
    <n v="3"/>
    <n v="2"/>
    <n v="2"/>
    <n v="1"/>
    <n v="2"/>
    <n v="4"/>
    <n v="2"/>
    <n v="1"/>
    <n v="4"/>
    <n v="4"/>
    <n v="1"/>
    <n v="1"/>
    <n v="3"/>
    <n v="1"/>
    <n v="2"/>
    <n v="4"/>
    <n v="2"/>
    <n v="2"/>
    <n v="1"/>
    <n v="4"/>
    <n v="4"/>
    <n v="3"/>
    <n v="4"/>
    <n v="3"/>
    <n v="1"/>
    <n v="1"/>
    <n v="1"/>
    <n v="1"/>
    <n v="1"/>
    <n v="1"/>
    <n v="2"/>
    <n v="1"/>
    <n v="1"/>
    <n v="1"/>
    <n v="0"/>
    <n v="1"/>
    <n v="1"/>
    <n v="1"/>
    <n v="1"/>
    <n v="1"/>
    <n v="1"/>
    <n v="1"/>
    <n v="1"/>
    <n v="1"/>
    <n v="0"/>
    <n v="0"/>
    <n v="0"/>
    <n v="1"/>
    <n v="0"/>
    <n v="1"/>
    <n v="0"/>
    <n v="1"/>
    <n v="0"/>
    <n v="0"/>
    <n v="0"/>
    <n v="1"/>
    <n v="1"/>
    <n v="0"/>
    <n v="1"/>
    <n v="1"/>
    <n v="1"/>
  </r>
  <r>
    <x v="0"/>
    <x v="1"/>
    <x v="0"/>
    <x v="0"/>
    <x v="1"/>
    <n v="1"/>
    <n v="4"/>
    <n v="1"/>
    <x v="16"/>
    <n v="4"/>
    <n v="1"/>
    <n v="1"/>
    <n v="3"/>
    <n v="1"/>
    <n v="2"/>
    <n v="3"/>
    <n v="3"/>
    <n v="2"/>
    <n v="1"/>
    <n v="2"/>
    <n v="4"/>
    <n v="3"/>
    <n v="2"/>
    <n v="1"/>
    <n v="4"/>
    <n v="1"/>
    <n v="3"/>
    <n v="4"/>
    <n v="1"/>
    <n v="2"/>
    <n v="4"/>
    <n v="3"/>
    <n v="2"/>
    <n v="1"/>
    <n v="2"/>
    <n v="2"/>
    <n v="3"/>
    <n v="1"/>
    <n v="0"/>
    <n v="0"/>
    <n v="1"/>
    <n v="1"/>
    <n v="1"/>
    <n v="1"/>
    <n v="0"/>
    <n v="1"/>
    <n v="1"/>
    <n v="0"/>
    <n v="0"/>
    <n v="1"/>
    <n v="1"/>
    <n v="0"/>
    <n v="1"/>
    <n v="0"/>
    <n v="1"/>
    <n v="1"/>
    <n v="1"/>
    <n v="1"/>
    <n v="0"/>
    <n v="0"/>
    <n v="0"/>
    <n v="0"/>
    <n v="1"/>
    <n v="0"/>
    <n v="0"/>
    <n v="0"/>
    <n v="1"/>
    <n v="0"/>
    <n v="1"/>
    <n v="0"/>
    <n v="1"/>
    <n v="0"/>
    <n v="0"/>
    <n v="1"/>
    <n v="0"/>
    <n v="0"/>
  </r>
  <r>
    <x v="1"/>
    <x v="1"/>
    <x v="0"/>
    <x v="0"/>
    <x v="16"/>
    <n v="6"/>
    <n v="6"/>
    <n v="4"/>
    <x v="23"/>
    <n v="4"/>
    <n v="2"/>
    <n v="3"/>
    <n v="3"/>
    <n v="1"/>
    <n v="3"/>
    <n v="3"/>
    <n v="2"/>
    <n v="2"/>
    <n v="1"/>
    <n v="2"/>
    <n v="4"/>
    <n v="2"/>
    <n v="4"/>
    <n v="3"/>
    <n v="1"/>
    <n v="1"/>
    <n v="4"/>
    <n v="3"/>
    <n v="1"/>
    <n v="4"/>
    <n v="4"/>
    <n v="2"/>
    <n v="3"/>
    <n v="1"/>
    <n v="4"/>
    <n v="1"/>
    <n v="3"/>
    <n v="2"/>
    <n v="4"/>
    <n v="1"/>
    <n v="1"/>
    <n v="1"/>
    <n v="1"/>
    <n v="1"/>
    <n v="1"/>
    <n v="4"/>
    <n v="1"/>
    <n v="1"/>
    <n v="1"/>
    <n v="1"/>
    <n v="1"/>
    <n v="0"/>
    <n v="1"/>
    <n v="1"/>
    <n v="1"/>
    <n v="1"/>
    <n v="1"/>
    <n v="1"/>
    <n v="1"/>
    <n v="1"/>
    <n v="1"/>
    <n v="1"/>
    <n v="1"/>
    <n v="1"/>
    <n v="1"/>
    <n v="0"/>
    <n v="0"/>
    <n v="0"/>
    <n v="0"/>
    <n v="1"/>
    <n v="1"/>
    <n v="1"/>
    <n v="1"/>
    <n v="1"/>
    <n v="1"/>
    <n v="1"/>
  </r>
  <r>
    <x v="0"/>
    <x v="0"/>
    <x v="0"/>
    <x v="0"/>
    <x v="18"/>
    <n v="6"/>
    <n v="5"/>
    <n v="3"/>
    <x v="22"/>
    <n v="4"/>
    <n v="1"/>
    <n v="3"/>
    <n v="3"/>
    <n v="1"/>
    <n v="3"/>
    <n v="3"/>
    <n v="2"/>
    <n v="2"/>
    <n v="1"/>
    <n v="2"/>
    <n v="4"/>
    <n v="2"/>
    <n v="4"/>
    <n v="4"/>
    <n v="4"/>
    <n v="1"/>
    <n v="4"/>
    <n v="3"/>
    <n v="4"/>
    <n v="2"/>
    <n v="2"/>
    <n v="3"/>
    <n v="3"/>
    <n v="1"/>
    <n v="4"/>
    <n v="1"/>
    <n v="3"/>
    <n v="3"/>
    <n v="3"/>
    <n v="1"/>
    <n v="1"/>
    <n v="1"/>
    <n v="1"/>
    <n v="1"/>
    <n v="0"/>
    <n v="3"/>
    <n v="1"/>
    <n v="0"/>
    <n v="1"/>
    <n v="1"/>
    <n v="1"/>
    <n v="0"/>
    <n v="1"/>
    <n v="1"/>
    <n v="1"/>
    <n v="1"/>
    <n v="1"/>
    <n v="1"/>
    <n v="1"/>
    <n v="1"/>
    <n v="0"/>
    <n v="0"/>
    <n v="1"/>
    <n v="1"/>
    <n v="1"/>
    <n v="1"/>
    <n v="1"/>
    <n v="1"/>
    <n v="1"/>
    <n v="1"/>
    <n v="1"/>
    <n v="1"/>
    <n v="1"/>
    <n v="1"/>
    <n v="1"/>
    <n v="1"/>
  </r>
  <r>
    <x v="1"/>
    <x v="3"/>
    <x v="0"/>
    <x v="0"/>
    <x v="0"/>
    <n v="4"/>
    <n v="4"/>
    <n v="0"/>
    <x v="35"/>
    <n v="4"/>
    <n v="2"/>
    <n v="4"/>
    <n v="3"/>
    <n v="1"/>
    <n v="2"/>
    <n v="3"/>
    <n v="2"/>
    <n v="2"/>
    <n v="1"/>
    <n v="2"/>
    <n v="3"/>
    <n v="2"/>
    <n v="4"/>
    <n v="3"/>
    <n v="4"/>
    <n v="1"/>
    <n v="3"/>
    <n v="3"/>
    <n v="4"/>
    <n v="2"/>
    <n v="2"/>
    <n v="3"/>
    <n v="3"/>
    <n v="3"/>
    <n v="4"/>
    <n v="4"/>
    <n v="3"/>
    <n v="2"/>
    <n v="2"/>
    <n v="1"/>
    <n v="1"/>
    <n v="1"/>
    <n v="0"/>
    <n v="0"/>
    <n v="1"/>
    <n v="0"/>
    <n v="1"/>
    <n v="1"/>
    <n v="0"/>
    <n v="1"/>
    <n v="1"/>
    <n v="0"/>
    <n v="1"/>
    <n v="1"/>
    <n v="1"/>
    <n v="1"/>
    <n v="1"/>
    <n v="0"/>
    <n v="1"/>
    <n v="1"/>
    <n v="1"/>
    <n v="0"/>
    <n v="1"/>
    <n v="0"/>
    <n v="1"/>
    <n v="1"/>
    <n v="1"/>
    <n v="1"/>
    <n v="1"/>
    <n v="1"/>
    <n v="0"/>
    <n v="1"/>
    <n v="0"/>
    <n v="1"/>
    <n v="1"/>
    <n v="1"/>
  </r>
  <r>
    <x v="1"/>
    <x v="3"/>
    <x v="0"/>
    <x v="0"/>
    <x v="5"/>
    <n v="6"/>
    <n v="4"/>
    <n v="1.5"/>
    <x v="7"/>
    <n v="4"/>
    <n v="2"/>
    <n v="3"/>
    <n v="3"/>
    <n v="1"/>
    <n v="2"/>
    <n v="3"/>
    <n v="2"/>
    <n v="2"/>
    <n v="1"/>
    <n v="2"/>
    <n v="4"/>
    <n v="2"/>
    <n v="4"/>
    <n v="3"/>
    <n v="1"/>
    <n v="1"/>
    <n v="4"/>
    <n v="3"/>
    <n v="4"/>
    <n v="2"/>
    <n v="2"/>
    <n v="3"/>
    <n v="3"/>
    <n v="4"/>
    <n v="4"/>
    <n v="4"/>
    <n v="3"/>
    <n v="4"/>
    <n v="2"/>
    <n v="0"/>
    <n v="1"/>
    <n v="1"/>
    <n v="1"/>
    <n v="1"/>
    <n v="0"/>
    <n v="1.5"/>
    <n v="1"/>
    <n v="1"/>
    <n v="1"/>
    <n v="1"/>
    <n v="1"/>
    <n v="0"/>
    <n v="1"/>
    <n v="1"/>
    <n v="1"/>
    <n v="1"/>
    <n v="1"/>
    <n v="1"/>
    <n v="1"/>
    <n v="1"/>
    <n v="1"/>
    <n v="1"/>
    <n v="1"/>
    <n v="1"/>
    <n v="1"/>
    <n v="1"/>
    <n v="1"/>
    <n v="1"/>
    <n v="1"/>
    <n v="1"/>
    <n v="0"/>
    <n v="1"/>
    <n v="0"/>
    <n v="1"/>
    <n v="1"/>
    <n v="1"/>
  </r>
  <r>
    <x v="0"/>
    <x v="2"/>
    <x v="0"/>
    <x v="0"/>
    <x v="11"/>
    <n v="4"/>
    <n v="6"/>
    <n v="2.5"/>
    <x v="14"/>
    <n v="4"/>
    <n v="2"/>
    <n v="3"/>
    <n v="2"/>
    <n v="1"/>
    <n v="3"/>
    <n v="3"/>
    <n v="2"/>
    <n v="2"/>
    <n v="1"/>
    <n v="2"/>
    <n v="4"/>
    <n v="2"/>
    <n v="1"/>
    <n v="1"/>
    <n v="4"/>
    <n v="1"/>
    <n v="4"/>
    <n v="3"/>
    <n v="1"/>
    <n v="2"/>
    <n v="2"/>
    <n v="3"/>
    <n v="2"/>
    <n v="4"/>
    <n v="4"/>
    <n v="1"/>
    <n v="3"/>
    <n v="3"/>
    <n v="1"/>
    <n v="1"/>
    <n v="1"/>
    <n v="1"/>
    <n v="1"/>
    <n v="1"/>
    <n v="1"/>
    <n v="2.5"/>
    <n v="1"/>
    <n v="1"/>
    <n v="1"/>
    <n v="0"/>
    <n v="1"/>
    <n v="0"/>
    <n v="1"/>
    <n v="1"/>
    <n v="1"/>
    <n v="1"/>
    <n v="1"/>
    <n v="1"/>
    <n v="1"/>
    <n v="0"/>
    <n v="0"/>
    <n v="0"/>
    <n v="1"/>
    <n v="1"/>
    <n v="1"/>
    <n v="0"/>
    <n v="1"/>
    <n v="1"/>
    <n v="1"/>
    <n v="0"/>
    <n v="0"/>
    <n v="1"/>
    <n v="1"/>
    <n v="1"/>
    <n v="1"/>
    <n v="1"/>
  </r>
  <r>
    <x v="1"/>
    <x v="3"/>
    <x v="0"/>
    <x v="0"/>
    <x v="0"/>
    <n v="3"/>
    <n v="4"/>
    <n v="2"/>
    <x v="0"/>
    <n v="4"/>
    <n v="2"/>
    <n v="3"/>
    <n v="1"/>
    <n v="3"/>
    <n v="2"/>
    <n v="3"/>
    <n v="2"/>
    <n v="4"/>
    <n v="1"/>
    <n v="2"/>
    <n v="3"/>
    <n v="2"/>
    <n v="4"/>
    <n v="4"/>
    <n v="1"/>
    <n v="1"/>
    <n v="4"/>
    <n v="3"/>
    <n v="4"/>
    <n v="2"/>
    <n v="2"/>
    <n v="3"/>
    <n v="3"/>
    <n v="2"/>
    <n v="4"/>
    <n v="1"/>
    <n v="3"/>
    <n v="2"/>
    <n v="1"/>
    <n v="1"/>
    <n v="1"/>
    <n v="1"/>
    <n v="0"/>
    <n v="1"/>
    <n v="0"/>
    <n v="2"/>
    <n v="1"/>
    <n v="1"/>
    <n v="1"/>
    <n v="0"/>
    <n v="0"/>
    <n v="0"/>
    <n v="1"/>
    <n v="1"/>
    <n v="0"/>
    <n v="1"/>
    <n v="1"/>
    <n v="0"/>
    <n v="1"/>
    <n v="1"/>
    <n v="0"/>
    <n v="1"/>
    <n v="1"/>
    <n v="1"/>
    <n v="1"/>
    <n v="1"/>
    <n v="1"/>
    <n v="1"/>
    <n v="1"/>
    <n v="1"/>
    <n v="0"/>
    <n v="1"/>
    <n v="1"/>
    <n v="1"/>
    <n v="1"/>
    <n v="1"/>
  </r>
  <r>
    <x v="0"/>
    <x v="1"/>
    <x v="0"/>
    <x v="0"/>
    <x v="14"/>
    <n v="3"/>
    <n v="6"/>
    <n v="2"/>
    <x v="9"/>
    <n v="3"/>
    <n v="2"/>
    <n v="3"/>
    <n v="1"/>
    <n v="1"/>
    <n v="3"/>
    <n v="3"/>
    <n v="2"/>
    <n v="2"/>
    <n v="2"/>
    <n v="1"/>
    <n v="3"/>
    <n v="2"/>
    <n v="4"/>
    <n v="3"/>
    <n v="4"/>
    <n v="1"/>
    <n v="1"/>
    <n v="1"/>
    <n v="4"/>
    <n v="2"/>
    <n v="2"/>
    <n v="3"/>
    <n v="2"/>
    <n v="3"/>
    <n v="4"/>
    <n v="4"/>
    <n v="3"/>
    <n v="2"/>
    <n v="1"/>
    <n v="1"/>
    <n v="1"/>
    <n v="1"/>
    <n v="1"/>
    <n v="1"/>
    <n v="1"/>
    <n v="2"/>
    <n v="0"/>
    <n v="1"/>
    <n v="1"/>
    <n v="0"/>
    <n v="1"/>
    <n v="0"/>
    <n v="1"/>
    <n v="1"/>
    <n v="1"/>
    <n v="0"/>
    <n v="0"/>
    <n v="0"/>
    <n v="1"/>
    <n v="1"/>
    <n v="1"/>
    <n v="0"/>
    <n v="1"/>
    <n v="0"/>
    <n v="0"/>
    <n v="1"/>
    <n v="1"/>
    <n v="1"/>
    <n v="1"/>
    <n v="0"/>
    <n v="0"/>
    <n v="1"/>
    <n v="0"/>
    <n v="1"/>
    <n v="1"/>
    <n v="1"/>
  </r>
  <r>
    <x v="0"/>
    <x v="0"/>
    <x v="0"/>
    <x v="0"/>
    <x v="8"/>
    <n v="3"/>
    <n v="5"/>
    <n v="2"/>
    <x v="10"/>
    <n v="2"/>
    <n v="4"/>
    <n v="2"/>
    <n v="4"/>
    <n v="3"/>
    <n v="2"/>
    <n v="1"/>
    <n v="2"/>
    <n v="2"/>
    <n v="2"/>
    <n v="3"/>
    <n v="4"/>
    <n v="2"/>
    <n v="3"/>
    <n v="2"/>
    <n v="4"/>
    <n v="1"/>
    <n v="4"/>
    <n v="3"/>
    <n v="1"/>
    <n v="1"/>
    <n v="2"/>
    <n v="4"/>
    <n v="2"/>
    <n v="3"/>
    <n v="4"/>
    <n v="1"/>
    <n v="3"/>
    <n v="2"/>
    <n v="1"/>
    <n v="1"/>
    <n v="1"/>
    <n v="1"/>
    <n v="1"/>
    <n v="0"/>
    <n v="1"/>
    <n v="2"/>
    <n v="0"/>
    <n v="0"/>
    <n v="0"/>
    <n v="0"/>
    <n v="0"/>
    <n v="0"/>
    <n v="0"/>
    <n v="1"/>
    <n v="1"/>
    <n v="0"/>
    <n v="0"/>
    <n v="1"/>
    <n v="1"/>
    <n v="0"/>
    <n v="0"/>
    <n v="0"/>
    <n v="1"/>
    <n v="1"/>
    <n v="1"/>
    <n v="0"/>
    <n v="0"/>
    <n v="1"/>
    <n v="0"/>
    <n v="0"/>
    <n v="0"/>
    <n v="1"/>
    <n v="1"/>
    <n v="1"/>
    <n v="0"/>
    <n v="0"/>
  </r>
  <r>
    <x v="1"/>
    <x v="3"/>
    <x v="0"/>
    <x v="0"/>
    <x v="18"/>
    <n v="8"/>
    <n v="5"/>
    <n v="3"/>
    <x v="41"/>
    <n v="4"/>
    <n v="4"/>
    <n v="3"/>
    <n v="3"/>
    <n v="1"/>
    <n v="3"/>
    <n v="3"/>
    <n v="2"/>
    <n v="2"/>
    <n v="3"/>
    <n v="2"/>
    <n v="4"/>
    <n v="2"/>
    <n v="4"/>
    <n v="3"/>
    <n v="1"/>
    <n v="1"/>
    <n v="4"/>
    <n v="3"/>
    <n v="4"/>
    <n v="2"/>
    <n v="2"/>
    <n v="3"/>
    <n v="2"/>
    <n v="1"/>
    <n v="4"/>
    <n v="1"/>
    <n v="3"/>
    <n v="4"/>
    <n v="4"/>
    <n v="1"/>
    <n v="1"/>
    <n v="1"/>
    <n v="1"/>
    <n v="1"/>
    <n v="0"/>
    <n v="3"/>
    <n v="1"/>
    <n v="0"/>
    <n v="1"/>
    <n v="1"/>
    <n v="1"/>
    <n v="0"/>
    <n v="1"/>
    <n v="1"/>
    <n v="1"/>
    <n v="0"/>
    <n v="1"/>
    <n v="1"/>
    <n v="1"/>
    <n v="1"/>
    <n v="1"/>
    <n v="1"/>
    <n v="1"/>
    <n v="1"/>
    <n v="1"/>
    <n v="1"/>
    <n v="1"/>
    <n v="1"/>
    <n v="1"/>
    <n v="0"/>
    <n v="1"/>
    <n v="1"/>
    <n v="1"/>
    <n v="1"/>
    <n v="1"/>
    <n v="1"/>
  </r>
  <r>
    <x v="0"/>
    <x v="1"/>
    <x v="0"/>
    <x v="0"/>
    <x v="14"/>
    <n v="2"/>
    <n v="5"/>
    <n v="2"/>
    <x v="35"/>
    <n v="4"/>
    <n v="2"/>
    <n v="3"/>
    <n v="1"/>
    <n v="1"/>
    <n v="3"/>
    <n v="3"/>
    <n v="2"/>
    <n v="1"/>
    <n v="2"/>
    <n v="2"/>
    <n v="4"/>
    <n v="2"/>
    <n v="4"/>
    <n v="1"/>
    <n v="4"/>
    <n v="2"/>
    <n v="1"/>
    <n v="3"/>
    <n v="4"/>
    <n v="4"/>
    <n v="2"/>
    <n v="3"/>
    <n v="2"/>
    <n v="2"/>
    <n v="4"/>
    <n v="2"/>
    <n v="3"/>
    <n v="1"/>
    <n v="1"/>
    <n v="1"/>
    <n v="1"/>
    <n v="1"/>
    <n v="1"/>
    <n v="0"/>
    <n v="1"/>
    <n v="2"/>
    <n v="1"/>
    <n v="1"/>
    <n v="1"/>
    <n v="0"/>
    <n v="1"/>
    <n v="0"/>
    <n v="1"/>
    <n v="1"/>
    <n v="0"/>
    <n v="0"/>
    <n v="1"/>
    <n v="1"/>
    <n v="1"/>
    <n v="1"/>
    <n v="0"/>
    <n v="0"/>
    <n v="0"/>
    <n v="0"/>
    <n v="1"/>
    <n v="1"/>
    <n v="0"/>
    <n v="1"/>
    <n v="1"/>
    <n v="0"/>
    <n v="0"/>
    <n v="1"/>
    <n v="0"/>
    <n v="1"/>
    <n v="1"/>
    <n v="1"/>
  </r>
  <r>
    <x v="1"/>
    <x v="3"/>
    <x v="0"/>
    <x v="1"/>
    <x v="6"/>
    <n v="2"/>
    <n v="5"/>
    <n v="1"/>
    <x v="18"/>
    <n v="4"/>
    <n v="4"/>
    <n v="2"/>
    <n v="3"/>
    <n v="1"/>
    <n v="3"/>
    <n v="3"/>
    <n v="2"/>
    <n v="2"/>
    <n v="3"/>
    <n v="2"/>
    <n v="4"/>
    <n v="2"/>
    <n v="4"/>
    <n v="3"/>
    <n v="2"/>
    <n v="1"/>
    <n v="4"/>
    <n v="3"/>
    <n v="4"/>
    <n v="2"/>
    <n v="2"/>
    <n v="3"/>
    <n v="2"/>
    <n v="1"/>
    <n v="4"/>
    <n v="1"/>
    <n v="3"/>
    <n v="1"/>
    <n v="1"/>
    <n v="1"/>
    <n v="0"/>
    <n v="1"/>
    <n v="1"/>
    <n v="1"/>
    <n v="1"/>
    <n v="1"/>
    <n v="1"/>
    <n v="0"/>
    <n v="0"/>
    <n v="1"/>
    <n v="1"/>
    <n v="0"/>
    <n v="1"/>
    <n v="1"/>
    <n v="1"/>
    <n v="0"/>
    <n v="1"/>
    <n v="1"/>
    <n v="1"/>
    <n v="1"/>
    <n v="1"/>
    <n v="0"/>
    <n v="1"/>
    <n v="1"/>
    <n v="1"/>
    <n v="1"/>
    <n v="1"/>
    <n v="1"/>
    <n v="1"/>
    <n v="0"/>
    <n v="1"/>
    <n v="1"/>
    <n v="1"/>
    <n v="1"/>
    <n v="1"/>
    <n v="1"/>
  </r>
  <r>
    <x v="1"/>
    <x v="1"/>
    <x v="0"/>
    <x v="0"/>
    <x v="14"/>
    <n v="3"/>
    <n v="5"/>
    <n v="2"/>
    <x v="5"/>
    <n v="4"/>
    <n v="1"/>
    <n v="3"/>
    <n v="1"/>
    <n v="1"/>
    <n v="2"/>
    <n v="3"/>
    <n v="3"/>
    <n v="3"/>
    <n v="1"/>
    <n v="2"/>
    <n v="3"/>
    <n v="2"/>
    <n v="4"/>
    <n v="4"/>
    <n v="4"/>
    <n v="1"/>
    <n v="4"/>
    <n v="3"/>
    <n v="3"/>
    <n v="2"/>
    <n v="2"/>
    <n v="4"/>
    <n v="3"/>
    <n v="1"/>
    <n v="1"/>
    <n v="4"/>
    <n v="3"/>
    <n v="2"/>
    <n v="1"/>
    <n v="1"/>
    <n v="1"/>
    <n v="1"/>
    <n v="1"/>
    <n v="1"/>
    <n v="0"/>
    <n v="2"/>
    <n v="1"/>
    <n v="0"/>
    <n v="1"/>
    <n v="0"/>
    <n v="1"/>
    <n v="0"/>
    <n v="1"/>
    <n v="0"/>
    <n v="0"/>
    <n v="1"/>
    <n v="1"/>
    <n v="0"/>
    <n v="1"/>
    <n v="1"/>
    <n v="0"/>
    <n v="0"/>
    <n v="1"/>
    <n v="1"/>
    <n v="1"/>
    <n v="0"/>
    <n v="1"/>
    <n v="1"/>
    <n v="0"/>
    <n v="1"/>
    <n v="1"/>
    <n v="0"/>
    <n v="0"/>
    <n v="1"/>
    <n v="1"/>
    <n v="1"/>
  </r>
  <r>
    <x v="1"/>
    <x v="3"/>
    <x v="0"/>
    <x v="0"/>
    <x v="1"/>
    <n v="2"/>
    <n v="1"/>
    <n v="1"/>
    <x v="32"/>
    <n v="4"/>
    <n v="1"/>
    <n v="2"/>
    <n v="1"/>
    <n v="2"/>
    <n v="3"/>
    <n v="2"/>
    <n v="4"/>
    <n v="2"/>
    <n v="1"/>
    <n v="1"/>
    <n v="3"/>
    <n v="1"/>
    <n v="4"/>
    <n v="4"/>
    <n v="2"/>
    <n v="1"/>
    <n v="4"/>
    <n v="3"/>
    <n v="4"/>
    <n v="1"/>
    <n v="2"/>
    <n v="3"/>
    <n v="3"/>
    <n v="4"/>
    <n v="2"/>
    <n v="1"/>
    <n v="3"/>
    <n v="1"/>
    <n v="1"/>
    <n v="0"/>
    <n v="0"/>
    <n v="0"/>
    <n v="1"/>
    <n v="0"/>
    <n v="0"/>
    <n v="1"/>
    <n v="1"/>
    <n v="0"/>
    <n v="0"/>
    <n v="0"/>
    <n v="0"/>
    <n v="0"/>
    <n v="0"/>
    <n v="0"/>
    <n v="1"/>
    <n v="1"/>
    <n v="0"/>
    <n v="0"/>
    <n v="0"/>
    <n v="1"/>
    <n v="0"/>
    <n v="0"/>
    <n v="1"/>
    <n v="1"/>
    <n v="1"/>
    <n v="1"/>
    <n v="0"/>
    <n v="1"/>
    <n v="1"/>
    <n v="1"/>
    <n v="0"/>
    <n v="0"/>
    <n v="1"/>
    <n v="1"/>
    <n v="0"/>
    <n v="0"/>
  </r>
  <r>
    <x v="0"/>
    <x v="2"/>
    <x v="0"/>
    <x v="0"/>
    <x v="11"/>
    <n v="4"/>
    <n v="5"/>
    <n v="2"/>
    <x v="13"/>
    <n v="4"/>
    <n v="2"/>
    <n v="3"/>
    <n v="2"/>
    <n v="1"/>
    <n v="3"/>
    <n v="3"/>
    <n v="1"/>
    <n v="2"/>
    <n v="1"/>
    <n v="2"/>
    <n v="4"/>
    <n v="2"/>
    <n v="4"/>
    <n v="1"/>
    <n v="1"/>
    <n v="1"/>
    <n v="4"/>
    <n v="3"/>
    <n v="3"/>
    <n v="4"/>
    <n v="2"/>
    <n v="3"/>
    <n v="2"/>
    <n v="4"/>
    <n v="4"/>
    <n v="1"/>
    <n v="3"/>
    <n v="3"/>
    <n v="1"/>
    <n v="1"/>
    <n v="1"/>
    <n v="1"/>
    <n v="1"/>
    <n v="0"/>
    <n v="1"/>
    <n v="2"/>
    <n v="1"/>
    <n v="1"/>
    <n v="1"/>
    <n v="0"/>
    <n v="1"/>
    <n v="0"/>
    <n v="1"/>
    <n v="0"/>
    <n v="1"/>
    <n v="1"/>
    <n v="1"/>
    <n v="1"/>
    <n v="1"/>
    <n v="1"/>
    <n v="0"/>
    <n v="1"/>
    <n v="1"/>
    <n v="1"/>
    <n v="1"/>
    <n v="0"/>
    <n v="0"/>
    <n v="1"/>
    <n v="1"/>
    <n v="0"/>
    <n v="0"/>
    <n v="1"/>
    <n v="1"/>
    <n v="1"/>
    <n v="1"/>
    <n v="1"/>
  </r>
  <r>
    <x v="1"/>
    <x v="1"/>
    <x v="0"/>
    <x v="0"/>
    <x v="2"/>
    <n v="0"/>
    <n v="0"/>
    <n v="0"/>
    <x v="2"/>
    <m/>
    <m/>
    <m/>
    <m/>
    <m/>
    <m/>
    <m/>
    <m/>
    <m/>
    <m/>
    <m/>
    <m/>
    <m/>
    <m/>
    <m/>
    <m/>
    <m/>
    <m/>
    <m/>
    <m/>
    <m/>
    <m/>
    <m/>
    <m/>
    <m/>
    <m/>
    <m/>
    <m/>
    <m/>
    <m/>
    <m/>
    <m/>
    <m/>
    <m/>
    <m/>
    <m/>
    <m/>
    <n v="0"/>
    <n v="0"/>
    <n v="0"/>
    <n v="0"/>
    <n v="0"/>
    <n v="0"/>
    <n v="0"/>
    <n v="0"/>
    <n v="0"/>
    <n v="0"/>
    <n v="0"/>
    <n v="0"/>
    <n v="0"/>
    <n v="0"/>
    <n v="0"/>
    <n v="0"/>
    <n v="0"/>
    <n v="0"/>
    <n v="0"/>
    <n v="0"/>
    <n v="0"/>
    <n v="0"/>
    <n v="0"/>
    <n v="0"/>
    <n v="0"/>
    <n v="0"/>
    <n v="0"/>
    <n v="0"/>
    <n v="0"/>
    <n v="0"/>
  </r>
  <r>
    <x v="1"/>
    <x v="3"/>
    <x v="1"/>
    <x v="1"/>
    <x v="8"/>
    <n v="3"/>
    <n v="5"/>
    <n v="1"/>
    <x v="8"/>
    <n v="4"/>
    <n v="3"/>
    <n v="2"/>
    <n v="2"/>
    <n v="4"/>
    <n v="2"/>
    <n v="2"/>
    <n v="4"/>
    <n v="2"/>
    <n v="1"/>
    <n v="1"/>
    <n v="1"/>
    <n v="3"/>
    <n v="4"/>
    <n v="3"/>
    <n v="2"/>
    <n v="4"/>
    <n v="3"/>
    <n v="3"/>
    <n v="3"/>
    <n v="4"/>
    <n v="2"/>
    <n v="3"/>
    <n v="2"/>
    <n v="1"/>
    <n v="4"/>
    <n v="4"/>
    <n v="3"/>
    <n v="2"/>
    <n v="1"/>
    <n v="1"/>
    <n v="1"/>
    <n v="1"/>
    <n v="0"/>
    <n v="1"/>
    <n v="1"/>
    <n v="1"/>
    <n v="1"/>
    <n v="0"/>
    <n v="0"/>
    <n v="0"/>
    <n v="0"/>
    <n v="0"/>
    <n v="0"/>
    <n v="0"/>
    <n v="1"/>
    <n v="1"/>
    <n v="0"/>
    <n v="0"/>
    <n v="0"/>
    <n v="1"/>
    <n v="1"/>
    <n v="0"/>
    <n v="0"/>
    <n v="0"/>
    <n v="1"/>
    <n v="0"/>
    <n v="0"/>
    <n v="1"/>
    <n v="1"/>
    <n v="0"/>
    <n v="1"/>
    <n v="1"/>
    <n v="0"/>
    <n v="1"/>
    <n v="0"/>
    <n v="1"/>
  </r>
  <r>
    <x v="1"/>
    <x v="3"/>
    <x v="0"/>
    <x v="0"/>
    <x v="19"/>
    <n v="4"/>
    <n v="6"/>
    <n v="1"/>
    <x v="18"/>
    <n v="4"/>
    <n v="2"/>
    <n v="3"/>
    <n v="1"/>
    <n v="1"/>
    <n v="2"/>
    <n v="3"/>
    <n v="2"/>
    <n v="2"/>
    <n v="1"/>
    <n v="2"/>
    <n v="4"/>
    <n v="1"/>
    <n v="4"/>
    <n v="4"/>
    <n v="4"/>
    <n v="1"/>
    <n v="4"/>
    <n v="3"/>
    <n v="1"/>
    <n v="1"/>
    <n v="2"/>
    <n v="3"/>
    <n v="2"/>
    <n v="3"/>
    <n v="4"/>
    <n v="1"/>
    <n v="3"/>
    <n v="2"/>
    <n v="2"/>
    <n v="1"/>
    <n v="1"/>
    <n v="1"/>
    <n v="1"/>
    <n v="1"/>
    <n v="1"/>
    <n v="1"/>
    <n v="1"/>
    <n v="1"/>
    <n v="1"/>
    <n v="0"/>
    <n v="1"/>
    <n v="0"/>
    <n v="1"/>
    <n v="1"/>
    <n v="1"/>
    <n v="1"/>
    <n v="1"/>
    <n v="1"/>
    <n v="0"/>
    <n v="1"/>
    <n v="0"/>
    <n v="0"/>
    <n v="1"/>
    <n v="1"/>
    <n v="1"/>
    <n v="0"/>
    <n v="0"/>
    <n v="1"/>
    <n v="1"/>
    <n v="0"/>
    <n v="0"/>
    <n v="1"/>
    <n v="1"/>
    <n v="1"/>
    <n v="1"/>
    <n v="1"/>
  </r>
  <r>
    <x v="0"/>
    <x v="0"/>
    <x v="0"/>
    <x v="0"/>
    <x v="11"/>
    <n v="3"/>
    <n v="6"/>
    <n v="2"/>
    <x v="13"/>
    <n v="4"/>
    <n v="2"/>
    <n v="1"/>
    <n v="3"/>
    <n v="1"/>
    <n v="3"/>
    <n v="3"/>
    <n v="2"/>
    <n v="2"/>
    <n v="1"/>
    <n v="2"/>
    <n v="4"/>
    <n v="2"/>
    <n v="2"/>
    <n v="4"/>
    <n v="1"/>
    <n v="1"/>
    <n v="4"/>
    <n v="1"/>
    <n v="4"/>
    <n v="4"/>
    <n v="2"/>
    <n v="3"/>
    <n v="4"/>
    <n v="1"/>
    <n v="4"/>
    <n v="4"/>
    <n v="3"/>
    <n v="2"/>
    <n v="1"/>
    <n v="1"/>
    <n v="1"/>
    <n v="1"/>
    <n v="1"/>
    <n v="1"/>
    <n v="1"/>
    <n v="2"/>
    <n v="1"/>
    <n v="1"/>
    <n v="0"/>
    <n v="1"/>
    <n v="1"/>
    <n v="0"/>
    <n v="1"/>
    <n v="1"/>
    <n v="1"/>
    <n v="1"/>
    <n v="1"/>
    <n v="1"/>
    <n v="1"/>
    <n v="0"/>
    <n v="0"/>
    <n v="1"/>
    <n v="1"/>
    <n v="1"/>
    <n v="0"/>
    <n v="1"/>
    <n v="0"/>
    <n v="1"/>
    <n v="1"/>
    <n v="0"/>
    <n v="1"/>
    <n v="1"/>
    <n v="0"/>
    <n v="1"/>
    <n v="1"/>
    <n v="1"/>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13"/>
    <n v="7"/>
    <n v="6"/>
    <n v="3"/>
    <x v="7"/>
    <n v="3"/>
    <n v="1"/>
    <n v="3"/>
    <n v="2"/>
    <n v="1"/>
    <n v="3"/>
    <n v="2"/>
    <n v="2"/>
    <n v="2"/>
    <n v="1"/>
    <n v="2"/>
    <n v="2"/>
    <n v="2"/>
    <n v="1"/>
    <n v="3"/>
    <n v="1"/>
    <n v="1"/>
    <n v="4"/>
    <n v="4"/>
    <n v="2"/>
    <n v="2"/>
    <n v="2"/>
    <n v="3"/>
    <n v="3"/>
    <n v="1"/>
    <n v="4"/>
    <n v="2"/>
    <n v="3"/>
    <n v="3"/>
    <n v="4"/>
    <n v="1"/>
    <n v="1"/>
    <n v="1"/>
    <n v="1"/>
    <n v="1"/>
    <n v="1"/>
    <n v="3"/>
    <n v="0"/>
    <n v="0"/>
    <n v="1"/>
    <n v="0"/>
    <n v="1"/>
    <n v="0"/>
    <n v="0"/>
    <n v="1"/>
    <n v="1"/>
    <n v="1"/>
    <n v="1"/>
    <n v="0"/>
    <n v="1"/>
    <n v="0"/>
    <n v="1"/>
    <n v="1"/>
    <n v="1"/>
    <n v="1"/>
    <n v="0"/>
    <n v="0"/>
    <n v="1"/>
    <n v="1"/>
    <n v="1"/>
    <n v="1"/>
    <n v="1"/>
    <n v="1"/>
    <n v="0"/>
    <n v="1"/>
    <n v="1"/>
    <n v="1"/>
  </r>
  <r>
    <x v="0"/>
    <x v="4"/>
    <x v="0"/>
    <x v="0"/>
    <x v="1"/>
    <n v="0"/>
    <n v="6"/>
    <n v="1.5"/>
    <x v="20"/>
    <n v="4"/>
    <n v="4"/>
    <n v="3"/>
    <n v="2"/>
    <n v="3"/>
    <n v="2"/>
    <n v="4"/>
    <n v="4"/>
    <n v="1"/>
    <n v="3"/>
    <n v="2"/>
    <n v="3"/>
    <n v="2"/>
    <n v="2"/>
    <n v="4"/>
    <n v="1"/>
    <n v="1"/>
    <n v="4"/>
    <n v="3"/>
    <n v="1"/>
    <n v="1"/>
    <n v="2"/>
    <n v="4"/>
    <n v="3"/>
    <n v="3"/>
    <n v="4"/>
    <n v="1"/>
    <n v="3"/>
    <n v="0"/>
    <n v="0"/>
    <n v="1"/>
    <n v="1"/>
    <n v="1"/>
    <n v="1"/>
    <n v="1"/>
    <n v="1"/>
    <n v="1.5"/>
    <n v="1"/>
    <n v="0"/>
    <n v="1"/>
    <n v="0"/>
    <n v="0"/>
    <n v="0"/>
    <n v="0"/>
    <n v="0"/>
    <n v="0"/>
    <n v="0"/>
    <n v="1"/>
    <n v="0"/>
    <n v="1"/>
    <n v="0"/>
    <n v="0"/>
    <n v="1"/>
    <n v="1"/>
    <n v="1"/>
    <n v="1"/>
    <n v="0"/>
    <n v="0"/>
    <n v="1"/>
    <n v="0"/>
    <n v="1"/>
    <n v="0"/>
    <n v="1"/>
    <n v="1"/>
    <n v="1"/>
    <n v="0"/>
    <n v="0"/>
  </r>
  <r>
    <x v="1"/>
    <x v="3"/>
    <x v="0"/>
    <x v="0"/>
    <x v="0"/>
    <n v="3"/>
    <n v="6"/>
    <n v="3"/>
    <x v="7"/>
    <n v="4"/>
    <n v="2"/>
    <n v="3"/>
    <n v="3"/>
    <n v="1"/>
    <n v="1"/>
    <n v="3"/>
    <n v="1"/>
    <n v="2"/>
    <n v="1"/>
    <n v="2"/>
    <n v="3"/>
    <n v="2"/>
    <n v="1"/>
    <n v="3"/>
    <n v="4"/>
    <n v="1"/>
    <n v="4"/>
    <n v="3"/>
    <n v="2"/>
    <n v="2"/>
    <n v="2"/>
    <n v="3"/>
    <n v="3"/>
    <n v="1"/>
    <n v="4"/>
    <n v="4"/>
    <n v="3"/>
    <n v="2"/>
    <n v="1"/>
    <n v="1"/>
    <n v="1"/>
    <n v="1"/>
    <n v="1"/>
    <n v="1"/>
    <n v="1"/>
    <n v="3"/>
    <n v="1"/>
    <n v="1"/>
    <n v="1"/>
    <n v="1"/>
    <n v="1"/>
    <n v="0"/>
    <n v="1"/>
    <n v="0"/>
    <n v="1"/>
    <n v="1"/>
    <n v="1"/>
    <n v="0"/>
    <n v="1"/>
    <n v="0"/>
    <n v="1"/>
    <n v="0"/>
    <n v="1"/>
    <n v="1"/>
    <n v="1"/>
    <n v="0"/>
    <n v="1"/>
    <n v="1"/>
    <n v="1"/>
    <n v="1"/>
    <n v="1"/>
    <n v="1"/>
    <n v="0"/>
    <n v="1"/>
    <n v="1"/>
    <n v="1"/>
  </r>
  <r>
    <x v="0"/>
    <x v="0"/>
    <x v="1"/>
    <x v="1"/>
    <x v="1"/>
    <n v="3"/>
    <n v="5"/>
    <n v="1.5"/>
    <x v="10"/>
    <n v="4"/>
    <n v="4"/>
    <n v="2"/>
    <n v="1"/>
    <n v="2"/>
    <n v="4"/>
    <n v="1"/>
    <n v="2"/>
    <n v="1"/>
    <n v="1"/>
    <n v="2"/>
    <n v="4"/>
    <n v="2"/>
    <n v="1"/>
    <n v="1"/>
    <n v="2"/>
    <n v="1"/>
    <n v="3"/>
    <n v="3"/>
    <n v="2"/>
    <n v="2"/>
    <n v="2"/>
    <n v="4"/>
    <n v="3"/>
    <n v="1"/>
    <n v="1"/>
    <n v="4"/>
    <n v="4"/>
    <n v="1"/>
    <n v="2"/>
    <n v="0"/>
    <n v="1"/>
    <n v="1"/>
    <n v="1"/>
    <n v="1"/>
    <n v="1"/>
    <n v="1.5"/>
    <n v="1"/>
    <n v="0"/>
    <n v="0"/>
    <n v="0"/>
    <n v="0"/>
    <n v="1"/>
    <n v="0"/>
    <n v="1"/>
    <n v="0"/>
    <n v="1"/>
    <n v="1"/>
    <n v="1"/>
    <n v="1"/>
    <n v="0"/>
    <n v="0"/>
    <n v="0"/>
    <n v="1"/>
    <n v="0"/>
    <n v="1"/>
    <n v="0"/>
    <n v="1"/>
    <n v="1"/>
    <n v="0"/>
    <n v="1"/>
    <n v="1"/>
    <n v="0"/>
    <n v="0"/>
    <n v="0"/>
    <n v="0"/>
    <n v="1"/>
  </r>
  <r>
    <x v="0"/>
    <x v="0"/>
    <x v="0"/>
    <x v="0"/>
    <x v="21"/>
    <n v="1"/>
    <n v="6"/>
    <n v="1"/>
    <x v="20"/>
    <n v="4"/>
    <n v="2"/>
    <n v="3"/>
    <n v="1"/>
    <n v="1"/>
    <n v="3"/>
    <n v="2"/>
    <n v="2"/>
    <n v="2"/>
    <n v="1"/>
    <n v="2"/>
    <n v="4"/>
    <n v="3"/>
    <n v="2"/>
    <n v="1"/>
    <n v="1"/>
    <n v="1"/>
    <n v="4"/>
    <n v="2"/>
    <n v="2"/>
    <n v="1"/>
    <n v="2"/>
    <n v="2"/>
    <n v="4"/>
    <n v="4"/>
    <n v="2"/>
    <n v="4"/>
    <n v="3"/>
    <n v="1"/>
    <n v="0"/>
    <n v="1"/>
    <n v="1"/>
    <n v="1"/>
    <n v="1"/>
    <n v="1"/>
    <n v="1"/>
    <n v="1"/>
    <n v="1"/>
    <n v="1"/>
    <n v="1"/>
    <n v="0"/>
    <n v="1"/>
    <n v="0"/>
    <n v="0"/>
    <n v="1"/>
    <n v="1"/>
    <n v="1"/>
    <n v="1"/>
    <n v="1"/>
    <n v="0"/>
    <n v="0"/>
    <n v="0"/>
    <n v="1"/>
    <n v="1"/>
    <n v="1"/>
    <n v="0"/>
    <n v="0"/>
    <n v="0"/>
    <n v="1"/>
    <n v="0"/>
    <n v="0"/>
    <n v="0"/>
    <n v="0"/>
    <n v="0"/>
    <n v="1"/>
    <n v="0"/>
    <n v="0"/>
  </r>
  <r>
    <x v="1"/>
    <x v="3"/>
    <x v="0"/>
    <x v="0"/>
    <x v="20"/>
    <n v="8"/>
    <n v="6"/>
    <n v="3"/>
    <x v="7"/>
    <n v="4"/>
    <n v="2"/>
    <n v="3"/>
    <n v="1"/>
    <n v="1"/>
    <n v="3"/>
    <n v="3"/>
    <n v="2"/>
    <n v="2"/>
    <n v="1"/>
    <n v="2"/>
    <n v="4"/>
    <n v="2"/>
    <n v="4"/>
    <n v="4"/>
    <n v="2"/>
    <n v="2"/>
    <n v="1"/>
    <n v="3"/>
    <n v="1"/>
    <n v="4"/>
    <n v="2"/>
    <n v="4"/>
    <n v="3"/>
    <n v="1"/>
    <n v="2"/>
    <n v="4"/>
    <n v="3"/>
    <n v="4"/>
    <n v="4"/>
    <n v="1"/>
    <n v="1"/>
    <n v="1"/>
    <n v="1"/>
    <n v="1"/>
    <n v="1"/>
    <n v="3"/>
    <n v="1"/>
    <n v="1"/>
    <n v="1"/>
    <n v="0"/>
    <n v="1"/>
    <n v="0"/>
    <n v="1"/>
    <n v="1"/>
    <n v="1"/>
    <n v="1"/>
    <n v="1"/>
    <n v="1"/>
    <n v="1"/>
    <n v="1"/>
    <n v="0"/>
    <n v="0"/>
    <n v="0"/>
    <n v="0"/>
    <n v="1"/>
    <n v="0"/>
    <n v="0"/>
    <n v="1"/>
    <n v="0"/>
    <n v="1"/>
    <n v="1"/>
    <n v="0"/>
    <n v="0"/>
    <n v="1"/>
    <n v="1"/>
    <n v="1"/>
  </r>
  <r>
    <x v="0"/>
    <x v="0"/>
    <x v="0"/>
    <x v="0"/>
    <x v="4"/>
    <n v="3"/>
    <n v="4"/>
    <n v="1"/>
    <x v="10"/>
    <n v="4"/>
    <n v="3"/>
    <n v="3"/>
    <n v="1"/>
    <n v="2"/>
    <n v="3"/>
    <n v="2"/>
    <n v="3"/>
    <n v="2"/>
    <n v="1"/>
    <n v="2"/>
    <n v="4"/>
    <n v="2"/>
    <n v="4"/>
    <n v="1"/>
    <n v="4"/>
    <n v="3"/>
    <n v="1"/>
    <n v="3"/>
    <n v="2"/>
    <n v="2"/>
    <n v="4"/>
    <n v="1"/>
    <n v="3"/>
    <n v="1"/>
    <n v="4"/>
    <n v="1"/>
    <n v="3"/>
    <n v="2"/>
    <n v="1"/>
    <n v="0"/>
    <n v="1"/>
    <n v="1"/>
    <n v="1"/>
    <n v="1"/>
    <n v="0"/>
    <n v="1"/>
    <n v="1"/>
    <n v="0"/>
    <n v="1"/>
    <n v="0"/>
    <n v="0"/>
    <n v="0"/>
    <n v="0"/>
    <n v="0"/>
    <n v="1"/>
    <n v="1"/>
    <n v="1"/>
    <n v="1"/>
    <n v="1"/>
    <n v="1"/>
    <n v="0"/>
    <n v="0"/>
    <n v="0"/>
    <n v="0"/>
    <n v="1"/>
    <n v="0"/>
    <n v="1"/>
    <n v="0"/>
    <n v="0"/>
    <n v="1"/>
    <n v="1"/>
    <n v="1"/>
    <n v="1"/>
    <n v="1"/>
    <n v="0"/>
    <n v="0"/>
  </r>
  <r>
    <x v="0"/>
    <x v="2"/>
    <x v="0"/>
    <x v="0"/>
    <x v="9"/>
    <n v="7"/>
    <n v="6"/>
    <n v="1"/>
    <x v="4"/>
    <n v="4"/>
    <n v="2"/>
    <n v="3"/>
    <n v="3"/>
    <n v="1"/>
    <n v="4"/>
    <n v="3"/>
    <n v="2"/>
    <n v="2"/>
    <n v="1"/>
    <n v="2"/>
    <n v="4"/>
    <n v="2"/>
    <n v="4"/>
    <n v="3"/>
    <n v="1"/>
    <n v="1"/>
    <n v="4"/>
    <n v="3"/>
    <n v="4"/>
    <n v="2"/>
    <n v="2"/>
    <n v="3"/>
    <n v="2"/>
    <n v="3"/>
    <n v="4"/>
    <n v="1"/>
    <n v="3"/>
    <n v="2"/>
    <n v="5"/>
    <n v="1"/>
    <n v="1"/>
    <n v="1"/>
    <n v="1"/>
    <n v="1"/>
    <n v="1"/>
    <n v="1"/>
    <n v="1"/>
    <n v="1"/>
    <n v="1"/>
    <n v="1"/>
    <n v="1"/>
    <n v="1"/>
    <n v="1"/>
    <n v="1"/>
    <n v="1"/>
    <n v="1"/>
    <n v="1"/>
    <n v="1"/>
    <n v="1"/>
    <n v="1"/>
    <n v="1"/>
    <n v="1"/>
    <n v="1"/>
    <n v="1"/>
    <n v="1"/>
    <n v="1"/>
    <n v="1"/>
    <n v="1"/>
    <n v="1"/>
    <n v="0"/>
    <n v="0"/>
    <n v="1"/>
    <n v="1"/>
    <n v="1"/>
    <n v="1"/>
    <n v="1"/>
  </r>
  <r>
    <x v="0"/>
    <x v="0"/>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0"/>
    <x v="19"/>
    <n v="2"/>
    <n v="6"/>
    <n v="1.5"/>
    <x v="9"/>
    <n v="4"/>
    <n v="2"/>
    <n v="3"/>
    <n v="4"/>
    <n v="2"/>
    <n v="2"/>
    <n v="3"/>
    <n v="2"/>
    <n v="1"/>
    <n v="1"/>
    <n v="2"/>
    <n v="4"/>
    <n v="2"/>
    <n v="4"/>
    <n v="3"/>
    <n v="1"/>
    <n v="1"/>
    <n v="4"/>
    <n v="1"/>
    <n v="3"/>
    <n v="2"/>
    <n v="1"/>
    <n v="3"/>
    <n v="3"/>
    <n v="2"/>
    <n v="2"/>
    <n v="1"/>
    <n v="3"/>
    <n v="1"/>
    <n v="1"/>
    <n v="1"/>
    <n v="1"/>
    <n v="1"/>
    <n v="1"/>
    <n v="1"/>
    <n v="1"/>
    <n v="1.5"/>
    <n v="1"/>
    <n v="1"/>
    <n v="1"/>
    <n v="0"/>
    <n v="0"/>
    <n v="0"/>
    <n v="1"/>
    <n v="1"/>
    <n v="0"/>
    <n v="1"/>
    <n v="1"/>
    <n v="1"/>
    <n v="1"/>
    <n v="1"/>
    <n v="1"/>
    <n v="1"/>
    <n v="1"/>
    <n v="1"/>
    <n v="0"/>
    <n v="0"/>
    <n v="1"/>
    <n v="0"/>
    <n v="1"/>
    <n v="1"/>
    <n v="0"/>
    <n v="0"/>
    <n v="1"/>
    <n v="1"/>
    <n v="1"/>
    <n v="1"/>
  </r>
  <r>
    <x v="1"/>
    <x v="3"/>
    <x v="0"/>
    <x v="1"/>
    <x v="14"/>
    <n v="3"/>
    <n v="4"/>
    <n v="1"/>
    <x v="1"/>
    <n v="4"/>
    <n v="3"/>
    <n v="4"/>
    <n v="2"/>
    <n v="1"/>
    <n v="4"/>
    <n v="2"/>
    <n v="2"/>
    <n v="3"/>
    <n v="1"/>
    <n v="2"/>
    <n v="3"/>
    <n v="1"/>
    <n v="4"/>
    <n v="1"/>
    <n v="1"/>
    <n v="1"/>
    <n v="3"/>
    <n v="3"/>
    <n v="4"/>
    <n v="2"/>
    <n v="2"/>
    <n v="3"/>
    <n v="1"/>
    <n v="2"/>
    <n v="4"/>
    <n v="2"/>
    <n v="3"/>
    <n v="2"/>
    <n v="1"/>
    <n v="0"/>
    <n v="0"/>
    <n v="1"/>
    <n v="1"/>
    <n v="1"/>
    <n v="1"/>
    <n v="1"/>
    <n v="1"/>
    <n v="0"/>
    <n v="0"/>
    <n v="0"/>
    <n v="1"/>
    <n v="1"/>
    <n v="0"/>
    <n v="1"/>
    <n v="0"/>
    <n v="1"/>
    <n v="1"/>
    <n v="0"/>
    <n v="0"/>
    <n v="1"/>
    <n v="0"/>
    <n v="1"/>
    <n v="1"/>
    <n v="0"/>
    <n v="1"/>
    <n v="1"/>
    <n v="1"/>
    <n v="1"/>
    <n v="1"/>
    <n v="0"/>
    <n v="0"/>
    <n v="1"/>
    <n v="0"/>
    <n v="1"/>
    <n v="0"/>
    <n v="1"/>
  </r>
  <r>
    <x v="0"/>
    <x v="0"/>
    <x v="1"/>
    <x v="0"/>
    <x v="21"/>
    <n v="1"/>
    <n v="5"/>
    <n v="0"/>
    <x v="36"/>
    <n v="4"/>
    <n v="3"/>
    <n v="1"/>
    <n v="3"/>
    <n v="2"/>
    <n v="4"/>
    <n v="3"/>
    <n v="1"/>
    <n v="3"/>
    <n v="1"/>
    <n v="2"/>
    <n v="3"/>
    <n v="2"/>
    <n v="2"/>
    <n v="1"/>
    <n v="4"/>
    <n v="4"/>
    <n v="4"/>
    <n v="3"/>
    <n v="1"/>
    <n v="1"/>
    <n v="2"/>
    <n v="4"/>
    <n v="3"/>
    <n v="1"/>
    <n v="3"/>
    <n v="1"/>
    <n v="3"/>
    <n v="1"/>
    <n v="0"/>
    <n v="1"/>
    <n v="1"/>
    <n v="1"/>
    <n v="0"/>
    <n v="1"/>
    <n v="1"/>
    <n v="0"/>
    <n v="1"/>
    <n v="0"/>
    <n v="0"/>
    <n v="1"/>
    <n v="0"/>
    <n v="1"/>
    <n v="1"/>
    <n v="0"/>
    <n v="0"/>
    <n v="1"/>
    <n v="1"/>
    <n v="0"/>
    <n v="1"/>
    <n v="0"/>
    <n v="0"/>
    <n v="0"/>
    <n v="0"/>
    <n v="1"/>
    <n v="1"/>
    <n v="0"/>
    <n v="0"/>
    <n v="1"/>
    <n v="0"/>
    <n v="1"/>
    <n v="1"/>
    <n v="0"/>
    <n v="1"/>
    <n v="1"/>
    <n v="0"/>
    <n v="0"/>
  </r>
  <r>
    <x v="0"/>
    <x v="1"/>
    <x v="0"/>
    <x v="1"/>
    <x v="0"/>
    <n v="2"/>
    <n v="6"/>
    <n v="2"/>
    <x v="13"/>
    <n v="4"/>
    <n v="2"/>
    <n v="3"/>
    <n v="3"/>
    <n v="1"/>
    <n v="4"/>
    <n v="3"/>
    <n v="2"/>
    <n v="2"/>
    <n v="1"/>
    <n v="2"/>
    <n v="4"/>
    <n v="2"/>
    <n v="1"/>
    <n v="1"/>
    <n v="2"/>
    <n v="4"/>
    <n v="4"/>
    <n v="3"/>
    <n v="1"/>
    <n v="2"/>
    <n v="2"/>
    <n v="3"/>
    <n v="2"/>
    <n v="3"/>
    <n v="4"/>
    <n v="1"/>
    <n v="3"/>
    <n v="1"/>
    <n v="1"/>
    <n v="1"/>
    <n v="1"/>
    <n v="1"/>
    <n v="1"/>
    <n v="1"/>
    <n v="1"/>
    <n v="2"/>
    <n v="1"/>
    <n v="1"/>
    <n v="1"/>
    <n v="1"/>
    <n v="1"/>
    <n v="1"/>
    <n v="1"/>
    <n v="1"/>
    <n v="1"/>
    <n v="1"/>
    <n v="1"/>
    <n v="1"/>
    <n v="1"/>
    <n v="0"/>
    <n v="0"/>
    <n v="0"/>
    <n v="0"/>
    <n v="1"/>
    <n v="1"/>
    <n v="0"/>
    <n v="1"/>
    <n v="1"/>
    <n v="1"/>
    <n v="0"/>
    <n v="0"/>
    <n v="1"/>
    <n v="1"/>
    <n v="1"/>
    <n v="1"/>
    <n v="1"/>
  </r>
  <r>
    <x v="1"/>
    <x v="3"/>
    <x v="0"/>
    <x v="0"/>
    <x v="13"/>
    <n v="4"/>
    <n v="6"/>
    <n v="2"/>
    <x v="0"/>
    <n v="4"/>
    <n v="1"/>
    <n v="3"/>
    <n v="1"/>
    <n v="1"/>
    <n v="4"/>
    <n v="3"/>
    <n v="2"/>
    <n v="2"/>
    <n v="1"/>
    <n v="2"/>
    <n v="1"/>
    <n v="2"/>
    <n v="4"/>
    <n v="1"/>
    <n v="4"/>
    <n v="1"/>
    <n v="4"/>
    <n v="3"/>
    <n v="1"/>
    <n v="2"/>
    <n v="4"/>
    <n v="3"/>
    <n v="2"/>
    <n v="3"/>
    <n v="4"/>
    <n v="4"/>
    <n v="3"/>
    <n v="3"/>
    <n v="1"/>
    <n v="1"/>
    <n v="1"/>
    <n v="1"/>
    <n v="1"/>
    <n v="1"/>
    <n v="1"/>
    <n v="2"/>
    <n v="1"/>
    <n v="0"/>
    <n v="1"/>
    <n v="0"/>
    <n v="1"/>
    <n v="1"/>
    <n v="1"/>
    <n v="1"/>
    <n v="1"/>
    <n v="1"/>
    <n v="1"/>
    <n v="0"/>
    <n v="1"/>
    <n v="1"/>
    <n v="0"/>
    <n v="0"/>
    <n v="1"/>
    <n v="1"/>
    <n v="1"/>
    <n v="0"/>
    <n v="1"/>
    <n v="0"/>
    <n v="1"/>
    <n v="0"/>
    <n v="0"/>
    <n v="1"/>
    <n v="0"/>
    <n v="1"/>
    <n v="1"/>
    <n v="1"/>
  </r>
  <r>
    <x v="1"/>
    <x v="3"/>
    <x v="0"/>
    <x v="0"/>
    <x v="5"/>
    <n v="6"/>
    <n v="6"/>
    <n v="4"/>
    <x v="6"/>
    <n v="4"/>
    <n v="2"/>
    <n v="3"/>
    <n v="4"/>
    <n v="1"/>
    <n v="4"/>
    <n v="3"/>
    <n v="2"/>
    <n v="2"/>
    <n v="1"/>
    <n v="2"/>
    <n v="4"/>
    <n v="3"/>
    <n v="4"/>
    <n v="3"/>
    <n v="1"/>
    <n v="1"/>
    <n v="4"/>
    <n v="3"/>
    <n v="4"/>
    <n v="2"/>
    <n v="2"/>
    <n v="3"/>
    <n v="3"/>
    <n v="4"/>
    <n v="4"/>
    <n v="1"/>
    <n v="3"/>
    <n v="3"/>
    <n v="3"/>
    <n v="1"/>
    <n v="1"/>
    <n v="1"/>
    <n v="1"/>
    <n v="1"/>
    <n v="1"/>
    <n v="4"/>
    <n v="1"/>
    <n v="1"/>
    <n v="1"/>
    <n v="0"/>
    <n v="1"/>
    <n v="1"/>
    <n v="1"/>
    <n v="1"/>
    <n v="1"/>
    <n v="1"/>
    <n v="1"/>
    <n v="1"/>
    <n v="0"/>
    <n v="1"/>
    <n v="1"/>
    <n v="1"/>
    <n v="1"/>
    <n v="1"/>
    <n v="1"/>
    <n v="1"/>
    <n v="1"/>
    <n v="1"/>
    <n v="1"/>
    <n v="1"/>
    <n v="0"/>
    <n v="1"/>
    <n v="1"/>
    <n v="1"/>
    <n v="1"/>
    <n v="1"/>
  </r>
  <r>
    <x v="0"/>
    <x v="0"/>
    <x v="0"/>
    <x v="0"/>
    <x v="19"/>
    <n v="4"/>
    <n v="6"/>
    <n v="1"/>
    <x v="18"/>
    <n v="4"/>
    <n v="2"/>
    <n v="3"/>
    <n v="3"/>
    <n v="1"/>
    <n v="3"/>
    <n v="3"/>
    <n v="2"/>
    <n v="4"/>
    <n v="1"/>
    <n v="2"/>
    <n v="3"/>
    <n v="2"/>
    <n v="4"/>
    <n v="1"/>
    <n v="4"/>
    <n v="3"/>
    <n v="4"/>
    <n v="3"/>
    <n v="4"/>
    <n v="2"/>
    <n v="1"/>
    <n v="3"/>
    <n v="3"/>
    <n v="1"/>
    <n v="4"/>
    <n v="2"/>
    <n v="2"/>
    <n v="3"/>
    <n v="1"/>
    <n v="1"/>
    <n v="1"/>
    <n v="1"/>
    <n v="1"/>
    <n v="1"/>
    <n v="1"/>
    <n v="1"/>
    <n v="1"/>
    <n v="1"/>
    <n v="1"/>
    <n v="1"/>
    <n v="1"/>
    <n v="0"/>
    <n v="1"/>
    <n v="1"/>
    <n v="0"/>
    <n v="1"/>
    <n v="1"/>
    <n v="0"/>
    <n v="1"/>
    <n v="1"/>
    <n v="0"/>
    <n v="0"/>
    <n v="0"/>
    <n v="1"/>
    <n v="1"/>
    <n v="1"/>
    <n v="1"/>
    <n v="0"/>
    <n v="1"/>
    <n v="1"/>
    <n v="1"/>
    <n v="1"/>
    <n v="0"/>
    <n v="0"/>
    <n v="1"/>
    <n v="1"/>
  </r>
  <r>
    <x v="1"/>
    <x v="3"/>
    <x v="0"/>
    <x v="0"/>
    <x v="0"/>
    <n v="3"/>
    <n v="6"/>
    <n v="2"/>
    <x v="26"/>
    <n v="4"/>
    <n v="2"/>
    <n v="3"/>
    <n v="3"/>
    <n v="1"/>
    <n v="1"/>
    <n v="3"/>
    <n v="2"/>
    <n v="2"/>
    <n v="1"/>
    <n v="2"/>
    <n v="4"/>
    <n v="3"/>
    <n v="4"/>
    <n v="4"/>
    <n v="4"/>
    <n v="1"/>
    <n v="4"/>
    <n v="3"/>
    <n v="1"/>
    <n v="2"/>
    <n v="2"/>
    <n v="3"/>
    <n v="2"/>
    <n v="3"/>
    <n v="4"/>
    <n v="1"/>
    <n v="3"/>
    <n v="2"/>
    <n v="1"/>
    <n v="1"/>
    <n v="1"/>
    <n v="1"/>
    <n v="1"/>
    <n v="1"/>
    <n v="1"/>
    <n v="2"/>
    <n v="1"/>
    <n v="1"/>
    <n v="1"/>
    <n v="1"/>
    <n v="1"/>
    <n v="0"/>
    <n v="1"/>
    <n v="1"/>
    <n v="1"/>
    <n v="1"/>
    <n v="1"/>
    <n v="1"/>
    <n v="0"/>
    <n v="1"/>
    <n v="0"/>
    <n v="0"/>
    <n v="1"/>
    <n v="1"/>
    <n v="1"/>
    <n v="0"/>
    <n v="1"/>
    <n v="1"/>
    <n v="1"/>
    <n v="0"/>
    <n v="0"/>
    <n v="1"/>
    <n v="1"/>
    <n v="1"/>
    <n v="1"/>
    <n v="1"/>
  </r>
  <r>
    <x v="0"/>
    <x v="0"/>
    <x v="0"/>
    <x v="0"/>
    <x v="5"/>
    <n v="4"/>
    <n v="6"/>
    <n v="3.5"/>
    <x v="41"/>
    <n v="4"/>
    <n v="2"/>
    <n v="3"/>
    <n v="3"/>
    <n v="2"/>
    <n v="4"/>
    <n v="3"/>
    <n v="2"/>
    <n v="2"/>
    <n v="1"/>
    <n v="2"/>
    <n v="4"/>
    <n v="3"/>
    <n v="4"/>
    <n v="3"/>
    <n v="1"/>
    <n v="1"/>
    <n v="4"/>
    <n v="3"/>
    <n v="4"/>
    <n v="2"/>
    <n v="2"/>
    <n v="3"/>
    <n v="3"/>
    <n v="4"/>
    <n v="4"/>
    <n v="1"/>
    <n v="3"/>
    <n v="2"/>
    <n v="2"/>
    <n v="1"/>
    <n v="1"/>
    <n v="1"/>
    <n v="1"/>
    <n v="1"/>
    <n v="1"/>
    <n v="3.5"/>
    <n v="1"/>
    <n v="1"/>
    <n v="1"/>
    <n v="1"/>
    <n v="0"/>
    <n v="1"/>
    <n v="1"/>
    <n v="1"/>
    <n v="1"/>
    <n v="1"/>
    <n v="1"/>
    <n v="1"/>
    <n v="0"/>
    <n v="1"/>
    <n v="1"/>
    <n v="1"/>
    <n v="1"/>
    <n v="1"/>
    <n v="1"/>
    <n v="1"/>
    <n v="1"/>
    <n v="1"/>
    <n v="1"/>
    <n v="1"/>
    <n v="0"/>
    <n v="1"/>
    <n v="1"/>
    <n v="1"/>
    <n v="1"/>
    <n v="1"/>
  </r>
  <r>
    <x v="1"/>
    <x v="3"/>
    <x v="1"/>
    <x v="0"/>
    <x v="1"/>
    <n v="4"/>
    <n v="6"/>
    <n v="2"/>
    <x v="35"/>
    <n v="4"/>
    <n v="1"/>
    <n v="4"/>
    <n v="2"/>
    <n v="3"/>
    <n v="3"/>
    <n v="1"/>
    <n v="2"/>
    <n v="2"/>
    <n v="1"/>
    <n v="2"/>
    <n v="3"/>
    <n v="2"/>
    <n v="3"/>
    <n v="1"/>
    <n v="3"/>
    <n v="3"/>
    <n v="4"/>
    <n v="3"/>
    <n v="1"/>
    <n v="2"/>
    <n v="2"/>
    <n v="3"/>
    <n v="2"/>
    <n v="4"/>
    <n v="4"/>
    <n v="1"/>
    <n v="4"/>
    <n v="3"/>
    <n v="1"/>
    <n v="1"/>
    <n v="1"/>
    <n v="1"/>
    <n v="1"/>
    <n v="1"/>
    <n v="1"/>
    <n v="2"/>
    <n v="1"/>
    <n v="0"/>
    <n v="0"/>
    <n v="0"/>
    <n v="0"/>
    <n v="0"/>
    <n v="0"/>
    <n v="1"/>
    <n v="1"/>
    <n v="1"/>
    <n v="1"/>
    <n v="0"/>
    <n v="1"/>
    <n v="0"/>
    <n v="0"/>
    <n v="0"/>
    <n v="0"/>
    <n v="1"/>
    <n v="1"/>
    <n v="0"/>
    <n v="1"/>
    <n v="1"/>
    <n v="1"/>
    <n v="0"/>
    <n v="0"/>
    <n v="1"/>
    <n v="1"/>
    <n v="0"/>
    <n v="1"/>
    <n v="1"/>
  </r>
  <r>
    <x v="1"/>
    <x v="3"/>
    <x v="0"/>
    <x v="1"/>
    <x v="1"/>
    <n v="3"/>
    <n v="6"/>
    <n v="0"/>
    <x v="8"/>
    <n v="4"/>
    <n v="2"/>
    <n v="2"/>
    <n v="3"/>
    <n v="1"/>
    <n v="3"/>
    <n v="3"/>
    <n v="2"/>
    <n v="1"/>
    <n v="4"/>
    <n v="3"/>
    <n v="4"/>
    <n v="1"/>
    <n v="4"/>
    <n v="3"/>
    <n v="2"/>
    <n v="3"/>
    <n v="4"/>
    <n v="1"/>
    <n v="4"/>
    <n v="4"/>
    <n v="2"/>
    <n v="1"/>
    <n v="4"/>
    <n v="4"/>
    <n v="3"/>
    <n v="4"/>
    <n v="3"/>
    <n v="2"/>
    <n v="1"/>
    <n v="1"/>
    <n v="1"/>
    <n v="1"/>
    <n v="1"/>
    <n v="1"/>
    <n v="1"/>
    <n v="0"/>
    <n v="1"/>
    <n v="1"/>
    <n v="0"/>
    <n v="1"/>
    <n v="1"/>
    <n v="0"/>
    <n v="1"/>
    <n v="1"/>
    <n v="0"/>
    <n v="0"/>
    <n v="0"/>
    <n v="1"/>
    <n v="0"/>
    <n v="1"/>
    <n v="1"/>
    <n v="0"/>
    <n v="0"/>
    <n v="1"/>
    <n v="0"/>
    <n v="1"/>
    <n v="0"/>
    <n v="1"/>
    <n v="0"/>
    <n v="0"/>
    <n v="0"/>
    <n v="0"/>
    <n v="0"/>
    <n v="1"/>
    <n v="0"/>
    <n v="1"/>
  </r>
  <r>
    <x v="1"/>
    <x v="1"/>
    <x v="0"/>
    <x v="0"/>
    <x v="21"/>
    <n v="4"/>
    <n v="6"/>
    <n v="1.5"/>
    <x v="29"/>
    <n v="4"/>
    <n v="4"/>
    <n v="3"/>
    <n v="4"/>
    <n v="1"/>
    <n v="4"/>
    <n v="3"/>
    <n v="2"/>
    <n v="3"/>
    <n v="1"/>
    <n v="2"/>
    <n v="4"/>
    <n v="4"/>
    <n v="2"/>
    <n v="3"/>
    <n v="4"/>
    <n v="3"/>
    <n v="2"/>
    <n v="3"/>
    <n v="1"/>
    <n v="3"/>
    <n v="2"/>
    <n v="3"/>
    <n v="2"/>
    <n v="2"/>
    <n v="1"/>
    <n v="1"/>
    <n v="4"/>
    <n v="2"/>
    <n v="2"/>
    <n v="1"/>
    <n v="1"/>
    <n v="1"/>
    <n v="1"/>
    <n v="1"/>
    <n v="1"/>
    <n v="1.5"/>
    <n v="1"/>
    <n v="0"/>
    <n v="1"/>
    <n v="0"/>
    <n v="1"/>
    <n v="1"/>
    <n v="1"/>
    <n v="1"/>
    <n v="0"/>
    <n v="1"/>
    <n v="1"/>
    <n v="1"/>
    <n v="0"/>
    <n v="0"/>
    <n v="1"/>
    <n v="0"/>
    <n v="0"/>
    <n v="0"/>
    <n v="1"/>
    <n v="0"/>
    <n v="0"/>
    <n v="1"/>
    <n v="1"/>
    <n v="0"/>
    <n v="0"/>
    <n v="0"/>
    <n v="1"/>
    <n v="0"/>
    <n v="1"/>
    <n v="1"/>
  </r>
  <r>
    <x v="0"/>
    <x v="0"/>
    <x v="0"/>
    <x v="0"/>
    <x v="1"/>
    <n v="4"/>
    <n v="5"/>
    <n v="3.5"/>
    <x v="19"/>
    <n v="4"/>
    <n v="3"/>
    <n v="1"/>
    <n v="2"/>
    <n v="1"/>
    <n v="3"/>
    <n v="3"/>
    <n v="1"/>
    <n v="3"/>
    <n v="1"/>
    <n v="2"/>
    <n v="3"/>
    <n v="2"/>
    <n v="3"/>
    <n v="1"/>
    <n v="1"/>
    <n v="1"/>
    <n v="4"/>
    <n v="1"/>
    <n v="1"/>
    <n v="2"/>
    <n v="4"/>
    <n v="1"/>
    <n v="4"/>
    <n v="3"/>
    <n v="4"/>
    <n v="1"/>
    <n v="3"/>
    <n v="4"/>
    <n v="0"/>
    <n v="1"/>
    <n v="1"/>
    <n v="1"/>
    <n v="1"/>
    <n v="1"/>
    <n v="0"/>
    <n v="3.5"/>
    <n v="1"/>
    <n v="0"/>
    <n v="0"/>
    <n v="0"/>
    <n v="1"/>
    <n v="0"/>
    <n v="1"/>
    <n v="0"/>
    <n v="0"/>
    <n v="1"/>
    <n v="1"/>
    <n v="0"/>
    <n v="1"/>
    <n v="0"/>
    <n v="0"/>
    <n v="1"/>
    <n v="1"/>
    <n v="1"/>
    <n v="0"/>
    <n v="0"/>
    <n v="1"/>
    <n v="0"/>
    <n v="0"/>
    <n v="0"/>
    <n v="0"/>
    <n v="1"/>
    <n v="1"/>
    <n v="1"/>
    <n v="1"/>
    <n v="1"/>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20"/>
    <n v="4"/>
    <n v="5"/>
    <n v="1.5"/>
    <x v="5"/>
    <n v="4"/>
    <n v="2"/>
    <n v="3"/>
    <n v="2"/>
    <n v="1"/>
    <n v="2"/>
    <n v="2"/>
    <n v="2"/>
    <n v="1"/>
    <n v="1"/>
    <n v="2"/>
    <n v="3"/>
    <n v="2"/>
    <n v="4"/>
    <n v="1"/>
    <n v="4"/>
    <n v="1"/>
    <n v="4"/>
    <n v="3"/>
    <n v="4"/>
    <n v="3"/>
    <n v="2"/>
    <n v="4"/>
    <n v="3"/>
    <n v="3"/>
    <n v="4"/>
    <n v="2"/>
    <n v="3"/>
    <n v="2"/>
    <n v="2"/>
    <n v="0"/>
    <n v="1"/>
    <n v="1"/>
    <n v="1"/>
    <n v="1"/>
    <n v="1"/>
    <n v="1.5"/>
    <n v="1"/>
    <n v="1"/>
    <n v="1"/>
    <n v="0"/>
    <n v="1"/>
    <n v="0"/>
    <n v="0"/>
    <n v="1"/>
    <n v="0"/>
    <n v="1"/>
    <n v="1"/>
    <n v="0"/>
    <n v="1"/>
    <n v="1"/>
    <n v="0"/>
    <n v="0"/>
    <n v="1"/>
    <n v="1"/>
    <n v="1"/>
    <n v="1"/>
    <n v="0"/>
    <n v="1"/>
    <n v="0"/>
    <n v="1"/>
    <n v="0"/>
    <n v="1"/>
    <n v="0"/>
    <n v="1"/>
    <n v="1"/>
    <n v="1"/>
  </r>
  <r>
    <x v="1"/>
    <x v="3"/>
    <x v="0"/>
    <x v="0"/>
    <x v="11"/>
    <n v="3"/>
    <n v="3"/>
    <n v="1"/>
    <x v="35"/>
    <n v="4"/>
    <n v="2"/>
    <n v="3"/>
    <n v="1"/>
    <n v="1"/>
    <n v="2"/>
    <n v="3"/>
    <n v="2"/>
    <n v="2"/>
    <n v="1"/>
    <n v="2"/>
    <n v="1"/>
    <n v="2"/>
    <n v="4"/>
    <n v="1"/>
    <n v="1"/>
    <n v="1"/>
    <n v="4"/>
    <n v="3"/>
    <n v="4"/>
    <n v="3"/>
    <n v="2"/>
    <n v="1"/>
    <n v="2"/>
    <n v="1"/>
    <n v="4"/>
    <n v="2"/>
    <n v="3"/>
    <n v="2"/>
    <n v="1"/>
    <n v="1"/>
    <n v="1"/>
    <n v="0"/>
    <n v="1"/>
    <n v="0"/>
    <n v="0"/>
    <n v="1"/>
    <n v="1"/>
    <n v="1"/>
    <n v="1"/>
    <n v="0"/>
    <n v="1"/>
    <n v="0"/>
    <n v="1"/>
    <n v="1"/>
    <n v="1"/>
    <n v="1"/>
    <n v="1"/>
    <n v="0"/>
    <n v="1"/>
    <n v="1"/>
    <n v="0"/>
    <n v="1"/>
    <n v="1"/>
    <n v="1"/>
    <n v="1"/>
    <n v="1"/>
    <n v="0"/>
    <n v="1"/>
    <n v="0"/>
    <n v="0"/>
    <n v="1"/>
    <n v="1"/>
    <n v="0"/>
    <n v="1"/>
    <n v="1"/>
    <n v="1"/>
  </r>
  <r>
    <x v="3"/>
    <x v="3"/>
    <x v="1"/>
    <x v="0"/>
    <x v="1"/>
    <n v="4"/>
    <n v="4"/>
    <n v="1"/>
    <x v="20"/>
    <n v="1"/>
    <n v="4"/>
    <n v="3"/>
    <n v="2"/>
    <n v="1"/>
    <n v="2"/>
    <n v="3"/>
    <n v="2"/>
    <n v="3"/>
    <n v="1"/>
    <n v="2"/>
    <n v="3"/>
    <n v="3"/>
    <n v="1"/>
    <n v="1"/>
    <n v="2"/>
    <n v="4"/>
    <n v="4"/>
    <n v="3"/>
    <n v="2"/>
    <n v="4"/>
    <n v="2"/>
    <n v="3"/>
    <n v="1"/>
    <n v="1"/>
    <n v="4"/>
    <n v="4"/>
    <n v="3"/>
    <n v="2"/>
    <n v="2"/>
    <n v="1"/>
    <n v="0"/>
    <n v="0"/>
    <n v="1"/>
    <n v="1"/>
    <n v="1"/>
    <n v="1"/>
    <n v="0"/>
    <n v="0"/>
    <n v="1"/>
    <n v="0"/>
    <n v="1"/>
    <n v="0"/>
    <n v="1"/>
    <n v="1"/>
    <n v="0"/>
    <n v="1"/>
    <n v="1"/>
    <n v="0"/>
    <n v="0"/>
    <n v="0"/>
    <n v="0"/>
    <n v="0"/>
    <n v="0"/>
    <n v="1"/>
    <n v="1"/>
    <n v="0"/>
    <n v="0"/>
    <n v="1"/>
    <n v="1"/>
    <n v="0"/>
    <n v="1"/>
    <n v="1"/>
    <n v="0"/>
    <n v="1"/>
    <n v="0"/>
    <n v="0"/>
  </r>
  <r>
    <x v="0"/>
    <x v="4"/>
    <x v="0"/>
    <x v="0"/>
    <x v="6"/>
    <n v="1"/>
    <n v="6"/>
    <n v="3"/>
    <x v="39"/>
    <n v="4"/>
    <n v="1"/>
    <n v="3"/>
    <n v="3"/>
    <n v="1"/>
    <n v="4"/>
    <n v="3"/>
    <n v="2"/>
    <n v="3"/>
    <n v="1"/>
    <n v="2"/>
    <n v="4"/>
    <n v="2"/>
    <n v="3"/>
    <n v="3"/>
    <n v="1"/>
    <n v="1"/>
    <n v="4"/>
    <n v="3"/>
    <n v="1"/>
    <n v="2"/>
    <n v="2"/>
    <n v="3"/>
    <n v="2"/>
    <n v="4"/>
    <n v="4"/>
    <n v="1"/>
    <n v="3"/>
    <n v="1"/>
    <n v="0"/>
    <n v="1"/>
    <n v="1"/>
    <n v="1"/>
    <n v="1"/>
    <n v="1"/>
    <n v="1"/>
    <n v="3"/>
    <n v="1"/>
    <n v="0"/>
    <n v="1"/>
    <n v="1"/>
    <n v="1"/>
    <n v="1"/>
    <n v="1"/>
    <n v="1"/>
    <n v="0"/>
    <n v="1"/>
    <n v="1"/>
    <n v="1"/>
    <n v="1"/>
    <n v="0"/>
    <n v="1"/>
    <n v="1"/>
    <n v="1"/>
    <n v="1"/>
    <n v="1"/>
    <n v="0"/>
    <n v="1"/>
    <n v="1"/>
    <n v="1"/>
    <n v="0"/>
    <n v="0"/>
    <n v="1"/>
    <n v="1"/>
    <n v="1"/>
    <n v="1"/>
    <n v="1"/>
  </r>
  <r>
    <x v="1"/>
    <x v="3"/>
    <x v="0"/>
    <x v="1"/>
    <x v="8"/>
    <n v="4"/>
    <n v="4"/>
    <n v="1"/>
    <x v="8"/>
    <n v="4"/>
    <n v="3"/>
    <n v="1"/>
    <n v="3"/>
    <n v="3"/>
    <n v="2"/>
    <n v="1"/>
    <n v="2"/>
    <n v="4"/>
    <n v="1"/>
    <n v="2"/>
    <n v="3"/>
    <n v="2"/>
    <n v="1"/>
    <n v="2"/>
    <n v="3"/>
    <n v="2"/>
    <n v="4"/>
    <n v="1"/>
    <n v="3"/>
    <n v="2"/>
    <n v="2"/>
    <n v="3"/>
    <n v="1"/>
    <n v="1"/>
    <n v="3"/>
    <n v="3"/>
    <n v="4"/>
    <n v="3"/>
    <n v="1"/>
    <n v="0"/>
    <n v="1"/>
    <n v="1"/>
    <n v="1"/>
    <n v="0"/>
    <n v="1"/>
    <n v="1"/>
    <n v="1"/>
    <n v="0"/>
    <n v="0"/>
    <n v="1"/>
    <n v="0"/>
    <n v="0"/>
    <n v="0"/>
    <n v="1"/>
    <n v="0"/>
    <n v="1"/>
    <n v="1"/>
    <n v="0"/>
    <n v="1"/>
    <n v="0"/>
    <n v="0"/>
    <n v="0"/>
    <n v="0"/>
    <n v="1"/>
    <n v="0"/>
    <n v="0"/>
    <n v="1"/>
    <n v="1"/>
    <n v="1"/>
    <n v="0"/>
    <n v="1"/>
    <n v="0"/>
    <n v="0"/>
    <n v="0"/>
    <n v="0"/>
    <n v="1"/>
  </r>
  <r>
    <x v="0"/>
    <x v="0"/>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1"/>
    <x v="15"/>
    <n v="1"/>
    <n v="0"/>
    <n v="0"/>
    <x v="28"/>
    <n v="4"/>
    <n v="2"/>
    <n v="2"/>
    <n v="4"/>
    <n v="2"/>
    <n v="1"/>
    <n v="3"/>
    <n v="2"/>
    <n v="1"/>
    <n v="1"/>
    <n v="1"/>
    <n v="1"/>
    <n v="3"/>
    <n v="4"/>
    <n v="3"/>
    <n v="4"/>
    <n v="1"/>
    <n v="4"/>
    <n v="4"/>
    <n v="3"/>
    <n v="2"/>
    <n v="3"/>
    <n v="3"/>
    <n v="3"/>
    <n v="2"/>
    <n v="1"/>
    <n v="2"/>
    <n v="2"/>
    <n v="1"/>
    <n v="0"/>
    <n v="0"/>
    <n v="0"/>
    <n v="0"/>
    <n v="0"/>
    <n v="0"/>
    <n v="0"/>
    <n v="0"/>
    <n v="1"/>
    <n v="1"/>
    <n v="0"/>
    <n v="0"/>
    <n v="0"/>
    <n v="0"/>
    <n v="1"/>
    <n v="1"/>
    <n v="0"/>
    <n v="1"/>
    <n v="0"/>
    <n v="0"/>
    <n v="0"/>
    <n v="1"/>
    <n v="1"/>
    <n v="0"/>
    <n v="1"/>
    <n v="1"/>
    <n v="0"/>
    <n v="0"/>
    <n v="1"/>
    <n v="0"/>
    <n v="1"/>
    <n v="1"/>
    <n v="0"/>
    <n v="0"/>
    <n v="0"/>
    <n v="0"/>
    <n v="0"/>
    <n v="0"/>
  </r>
  <r>
    <x v="1"/>
    <x v="4"/>
    <x v="0"/>
    <x v="1"/>
    <x v="14"/>
    <n v="3"/>
    <n v="4"/>
    <n v="1"/>
    <x v="1"/>
    <n v="4"/>
    <n v="2"/>
    <n v="3"/>
    <n v="1"/>
    <n v="1"/>
    <n v="2"/>
    <n v="3"/>
    <n v="2"/>
    <n v="3"/>
    <n v="1"/>
    <n v="3"/>
    <n v="4"/>
    <n v="2"/>
    <n v="3"/>
    <n v="4"/>
    <n v="4"/>
    <n v="1"/>
    <n v="4"/>
    <n v="3"/>
    <n v="2"/>
    <n v="4"/>
    <n v="2"/>
    <n v="2"/>
    <n v="3"/>
    <n v="3"/>
    <n v="4"/>
    <n v="4"/>
    <n v="3"/>
    <n v="1"/>
    <n v="2"/>
    <n v="0"/>
    <n v="1"/>
    <n v="0"/>
    <n v="1"/>
    <n v="1"/>
    <n v="1"/>
    <n v="1"/>
    <n v="1"/>
    <n v="1"/>
    <n v="1"/>
    <n v="0"/>
    <n v="1"/>
    <n v="0"/>
    <n v="1"/>
    <n v="1"/>
    <n v="0"/>
    <n v="1"/>
    <n v="0"/>
    <n v="1"/>
    <n v="1"/>
    <n v="0"/>
    <n v="0"/>
    <n v="0"/>
    <n v="1"/>
    <n v="1"/>
    <n v="1"/>
    <n v="0"/>
    <n v="0"/>
    <n v="1"/>
    <n v="0"/>
    <n v="1"/>
    <n v="0"/>
    <n v="1"/>
    <n v="0"/>
    <n v="1"/>
    <n v="0"/>
    <n v="1"/>
  </r>
  <r>
    <x v="1"/>
    <x v="3"/>
    <x v="0"/>
    <x v="0"/>
    <x v="18"/>
    <n v="3"/>
    <n v="5"/>
    <n v="2"/>
    <x v="39"/>
    <n v="2"/>
    <n v="2"/>
    <n v="3"/>
    <n v="2"/>
    <n v="1"/>
    <n v="4"/>
    <n v="3"/>
    <n v="2"/>
    <n v="2"/>
    <n v="1"/>
    <n v="2"/>
    <n v="4"/>
    <n v="2"/>
    <n v="4"/>
    <n v="3"/>
    <n v="1"/>
    <n v="4"/>
    <n v="4"/>
    <n v="3"/>
    <n v="4"/>
    <n v="2"/>
    <n v="2"/>
    <n v="3"/>
    <n v="3"/>
    <n v="4"/>
    <n v="4"/>
    <n v="1"/>
    <n v="3"/>
    <n v="2"/>
    <n v="1"/>
    <n v="0"/>
    <n v="1"/>
    <n v="1"/>
    <n v="1"/>
    <n v="1"/>
    <n v="1"/>
    <n v="2"/>
    <n v="0"/>
    <n v="1"/>
    <n v="1"/>
    <n v="0"/>
    <n v="1"/>
    <n v="1"/>
    <n v="1"/>
    <n v="1"/>
    <n v="1"/>
    <n v="1"/>
    <n v="1"/>
    <n v="1"/>
    <n v="1"/>
    <n v="1"/>
    <n v="1"/>
    <n v="1"/>
    <n v="0"/>
    <n v="1"/>
    <n v="1"/>
    <n v="1"/>
    <n v="1"/>
    <n v="1"/>
    <n v="1"/>
    <n v="1"/>
    <n v="0"/>
    <n v="1"/>
    <n v="1"/>
    <n v="1"/>
    <n v="1"/>
    <n v="1"/>
  </r>
  <r>
    <x v="1"/>
    <x v="1"/>
    <x v="0"/>
    <x v="0"/>
    <x v="21"/>
    <n v="2"/>
    <n v="2"/>
    <n v="1"/>
    <x v="16"/>
    <n v="4"/>
    <n v="3"/>
    <n v="1"/>
    <n v="2"/>
    <n v="1"/>
    <n v="3"/>
    <n v="3"/>
    <n v="2"/>
    <n v="3"/>
    <n v="1"/>
    <n v="4"/>
    <n v="3"/>
    <n v="2"/>
    <n v="4"/>
    <n v="2"/>
    <n v="4"/>
    <n v="1"/>
    <n v="4"/>
    <n v="3"/>
    <n v="3"/>
    <n v="2"/>
    <n v="2"/>
    <n v="2"/>
    <n v="4"/>
    <n v="1"/>
    <n v="2"/>
    <n v="4"/>
    <n v="3"/>
    <n v="1"/>
    <n v="1"/>
    <n v="0"/>
    <n v="0"/>
    <n v="0"/>
    <n v="1"/>
    <n v="1"/>
    <n v="0"/>
    <n v="1"/>
    <n v="1"/>
    <n v="0"/>
    <n v="0"/>
    <n v="0"/>
    <n v="1"/>
    <n v="0"/>
    <n v="1"/>
    <n v="1"/>
    <n v="0"/>
    <n v="1"/>
    <n v="0"/>
    <n v="0"/>
    <n v="1"/>
    <n v="1"/>
    <n v="0"/>
    <n v="0"/>
    <n v="1"/>
    <n v="1"/>
    <n v="1"/>
    <n v="0"/>
    <n v="1"/>
    <n v="1"/>
    <n v="0"/>
    <n v="0"/>
    <n v="1"/>
    <n v="0"/>
    <n v="0"/>
    <n v="1"/>
    <n v="0"/>
    <n v="0"/>
  </r>
  <r>
    <x v="1"/>
    <x v="1"/>
    <x v="0"/>
    <x v="0"/>
    <x v="20"/>
    <n v="4"/>
    <n v="4"/>
    <n v="1.5"/>
    <x v="35"/>
    <n v="4"/>
    <n v="2"/>
    <n v="3"/>
    <n v="1"/>
    <n v="1"/>
    <n v="3"/>
    <n v="4"/>
    <n v="2"/>
    <n v="2"/>
    <n v="1"/>
    <n v="1"/>
    <n v="4"/>
    <n v="3"/>
    <n v="2"/>
    <n v="1"/>
    <n v="2"/>
    <n v="1"/>
    <n v="4"/>
    <n v="3"/>
    <n v="1"/>
    <n v="2"/>
    <n v="2"/>
    <n v="3"/>
    <n v="3"/>
    <n v="4"/>
    <n v="4"/>
    <n v="1"/>
    <n v="2"/>
    <n v="4"/>
    <n v="0"/>
    <n v="0"/>
    <n v="0"/>
    <n v="1"/>
    <n v="1"/>
    <n v="1"/>
    <n v="1"/>
    <n v="1.5"/>
    <n v="1"/>
    <n v="1"/>
    <n v="1"/>
    <n v="0"/>
    <n v="1"/>
    <n v="0"/>
    <n v="0"/>
    <n v="1"/>
    <n v="1"/>
    <n v="1"/>
    <n v="0"/>
    <n v="1"/>
    <n v="0"/>
    <n v="0"/>
    <n v="0"/>
    <n v="0"/>
    <n v="1"/>
    <n v="1"/>
    <n v="1"/>
    <n v="0"/>
    <n v="1"/>
    <n v="1"/>
    <n v="1"/>
    <n v="1"/>
    <n v="0"/>
    <n v="1"/>
    <n v="1"/>
    <n v="0"/>
    <n v="1"/>
    <n v="1"/>
  </r>
  <r>
    <x v="0"/>
    <x v="0"/>
    <x v="0"/>
    <x v="0"/>
    <x v="6"/>
    <n v="5"/>
    <n v="4"/>
    <n v="1"/>
    <x v="0"/>
    <n v="4"/>
    <n v="1"/>
    <n v="3"/>
    <n v="2"/>
    <n v="1"/>
    <n v="3"/>
    <n v="3"/>
    <n v="2"/>
    <n v="2"/>
    <n v="1"/>
    <n v="2"/>
    <n v="4"/>
    <n v="2"/>
    <n v="4"/>
    <n v="3"/>
    <n v="1"/>
    <n v="1"/>
    <n v="4"/>
    <n v="3"/>
    <n v="4"/>
    <n v="3"/>
    <n v="2"/>
    <n v="3"/>
    <n v="3"/>
    <n v="4"/>
    <n v="4"/>
    <n v="4"/>
    <n v="3"/>
    <n v="2"/>
    <n v="3"/>
    <n v="0"/>
    <n v="1"/>
    <n v="0"/>
    <n v="1"/>
    <n v="1"/>
    <n v="1"/>
    <n v="1"/>
    <n v="1"/>
    <n v="0"/>
    <n v="1"/>
    <n v="0"/>
    <n v="1"/>
    <n v="0"/>
    <n v="1"/>
    <n v="1"/>
    <n v="1"/>
    <n v="1"/>
    <n v="1"/>
    <n v="1"/>
    <n v="1"/>
    <n v="1"/>
    <n v="1"/>
    <n v="1"/>
    <n v="1"/>
    <n v="1"/>
    <n v="1"/>
    <n v="1"/>
    <n v="0"/>
    <n v="1"/>
    <n v="1"/>
    <n v="1"/>
    <n v="0"/>
    <n v="1"/>
    <n v="0"/>
    <n v="1"/>
    <n v="1"/>
    <n v="1"/>
  </r>
  <r>
    <x v="1"/>
    <x v="3"/>
    <x v="0"/>
    <x v="0"/>
    <x v="19"/>
    <n v="4"/>
    <n v="6"/>
    <n v="2"/>
    <x v="13"/>
    <n v="4"/>
    <n v="2"/>
    <n v="3"/>
    <n v="3"/>
    <n v="1"/>
    <n v="1"/>
    <n v="3"/>
    <n v="1"/>
    <n v="3"/>
    <n v="1"/>
    <n v="2"/>
    <n v="3"/>
    <n v="2"/>
    <n v="4"/>
    <n v="1"/>
    <n v="4"/>
    <n v="4"/>
    <n v="3"/>
    <n v="3"/>
    <n v="4"/>
    <n v="2"/>
    <n v="2"/>
    <n v="3"/>
    <n v="2"/>
    <n v="1"/>
    <n v="4"/>
    <n v="1"/>
    <n v="3"/>
    <n v="2"/>
    <n v="2"/>
    <n v="1"/>
    <n v="1"/>
    <n v="1"/>
    <n v="1"/>
    <n v="1"/>
    <n v="1"/>
    <n v="2"/>
    <n v="1"/>
    <n v="1"/>
    <n v="1"/>
    <n v="1"/>
    <n v="1"/>
    <n v="0"/>
    <n v="1"/>
    <n v="0"/>
    <n v="0"/>
    <n v="1"/>
    <n v="1"/>
    <n v="0"/>
    <n v="1"/>
    <n v="1"/>
    <n v="0"/>
    <n v="0"/>
    <n v="0"/>
    <n v="0"/>
    <n v="1"/>
    <n v="1"/>
    <n v="1"/>
    <n v="1"/>
    <n v="1"/>
    <n v="0"/>
    <n v="1"/>
    <n v="1"/>
    <n v="1"/>
    <n v="1"/>
    <n v="1"/>
    <n v="1"/>
  </r>
  <r>
    <x v="0"/>
    <x v="0"/>
    <x v="1"/>
    <x v="0"/>
    <x v="7"/>
    <n v="4"/>
    <n v="4"/>
    <n v="0.5"/>
    <x v="42"/>
    <n v="1"/>
    <n v="2"/>
    <n v="3"/>
    <n v="1"/>
    <n v="3"/>
    <n v="2"/>
    <n v="3"/>
    <n v="1"/>
    <n v="3"/>
    <n v="1"/>
    <n v="1"/>
    <n v="3"/>
    <n v="2"/>
    <n v="3"/>
    <n v="4"/>
    <n v="4"/>
    <n v="1"/>
    <n v="3"/>
    <n v="2"/>
    <n v="3"/>
    <n v="1"/>
    <n v="2"/>
    <n v="3"/>
    <n v="2"/>
    <n v="2"/>
    <n v="4"/>
    <n v="2"/>
    <n v="3"/>
    <n v="3"/>
    <n v="1"/>
    <n v="1"/>
    <n v="0"/>
    <n v="1"/>
    <n v="1"/>
    <n v="1"/>
    <n v="0"/>
    <n v="0.5"/>
    <n v="0"/>
    <n v="1"/>
    <n v="1"/>
    <n v="0"/>
    <n v="0"/>
    <n v="0"/>
    <n v="1"/>
    <n v="0"/>
    <n v="0"/>
    <n v="1"/>
    <n v="0"/>
    <n v="0"/>
    <n v="1"/>
    <n v="0"/>
    <n v="0"/>
    <n v="0"/>
    <n v="1"/>
    <n v="0"/>
    <n v="0"/>
    <n v="0"/>
    <n v="0"/>
    <n v="1"/>
    <n v="1"/>
    <n v="0"/>
    <n v="0"/>
    <n v="1"/>
    <n v="0"/>
    <n v="1"/>
    <n v="0"/>
    <n v="0"/>
  </r>
  <r>
    <x v="1"/>
    <x v="1"/>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0"/>
    <x v="20"/>
    <n v="3"/>
    <n v="4"/>
    <n v="2"/>
    <x v="5"/>
    <n v="4"/>
    <n v="2"/>
    <n v="3"/>
    <n v="1"/>
    <n v="2"/>
    <n v="3"/>
    <n v="3"/>
    <n v="1"/>
    <n v="3"/>
    <n v="2"/>
    <n v="2"/>
    <n v="3"/>
    <n v="2"/>
    <n v="4"/>
    <n v="4"/>
    <n v="1"/>
    <n v="1"/>
    <n v="4"/>
    <n v="3"/>
    <n v="4"/>
    <n v="2"/>
    <n v="2"/>
    <n v="3"/>
    <n v="2"/>
    <n v="4"/>
    <n v="4"/>
    <n v="4"/>
    <n v="3"/>
    <n v="2"/>
    <n v="1"/>
    <n v="0"/>
    <n v="1"/>
    <n v="0"/>
    <n v="1"/>
    <n v="1"/>
    <n v="1"/>
    <n v="2"/>
    <n v="1"/>
    <n v="1"/>
    <n v="1"/>
    <n v="0"/>
    <n v="0"/>
    <n v="0"/>
    <n v="1"/>
    <n v="0"/>
    <n v="0"/>
    <n v="0"/>
    <n v="1"/>
    <n v="0"/>
    <n v="1"/>
    <n v="1"/>
    <n v="0"/>
    <n v="1"/>
    <n v="1"/>
    <n v="1"/>
    <n v="1"/>
    <n v="1"/>
    <n v="1"/>
    <n v="1"/>
    <n v="1"/>
    <n v="0"/>
    <n v="0"/>
    <n v="1"/>
    <n v="0"/>
    <n v="1"/>
    <n v="1"/>
    <n v="1"/>
  </r>
  <r>
    <x v="1"/>
    <x v="3"/>
    <x v="0"/>
    <x v="0"/>
    <x v="14"/>
    <n v="4"/>
    <n v="6"/>
    <n v="1"/>
    <x v="35"/>
    <n v="4"/>
    <n v="2"/>
    <n v="3"/>
    <n v="3"/>
    <n v="1"/>
    <n v="4"/>
    <n v="4"/>
    <n v="2"/>
    <n v="3"/>
    <n v="1"/>
    <n v="2"/>
    <n v="3"/>
    <n v="2"/>
    <n v="4"/>
    <n v="1"/>
    <n v="4"/>
    <n v="1"/>
    <n v="3"/>
    <n v="2"/>
    <n v="3"/>
    <n v="2"/>
    <n v="1"/>
    <n v="3"/>
    <n v="4"/>
    <n v="1"/>
    <n v="2"/>
    <n v="1"/>
    <n v="2"/>
    <n v="2"/>
    <n v="2"/>
    <n v="1"/>
    <n v="1"/>
    <n v="1"/>
    <n v="1"/>
    <n v="1"/>
    <n v="1"/>
    <n v="1"/>
    <n v="1"/>
    <n v="1"/>
    <n v="1"/>
    <n v="1"/>
    <n v="1"/>
    <n v="1"/>
    <n v="0"/>
    <n v="1"/>
    <n v="0"/>
    <n v="1"/>
    <n v="1"/>
    <n v="0"/>
    <n v="1"/>
    <n v="1"/>
    <n v="0"/>
    <n v="0"/>
    <n v="1"/>
    <n v="0"/>
    <n v="0"/>
    <n v="0"/>
    <n v="1"/>
    <n v="0"/>
    <n v="1"/>
    <n v="0"/>
    <n v="1"/>
    <n v="0"/>
    <n v="1"/>
    <n v="0"/>
    <n v="1"/>
    <n v="1"/>
  </r>
  <r>
    <x v="0"/>
    <x v="0"/>
    <x v="0"/>
    <x v="1"/>
    <x v="3"/>
    <n v="2"/>
    <n v="4"/>
    <n v="1"/>
    <x v="38"/>
    <n v="3"/>
    <n v="1"/>
    <n v="3"/>
    <n v="1"/>
    <n v="4"/>
    <n v="1"/>
    <n v="4"/>
    <n v="2"/>
    <n v="2"/>
    <n v="3"/>
    <n v="4"/>
    <n v="4"/>
    <n v="1"/>
    <n v="4"/>
    <n v="4"/>
    <n v="3"/>
    <n v="1"/>
    <n v="3"/>
    <n v="3"/>
    <n v="2"/>
    <n v="4"/>
    <n v="1"/>
    <n v="2"/>
    <n v="2"/>
    <n v="4"/>
    <n v="4"/>
    <n v="2"/>
    <n v="4"/>
    <n v="1"/>
    <n v="1"/>
    <n v="1"/>
    <n v="1"/>
    <n v="1"/>
    <n v="0"/>
    <n v="0"/>
    <n v="1"/>
    <n v="1"/>
    <n v="0"/>
    <n v="0"/>
    <n v="1"/>
    <n v="0"/>
    <n v="0"/>
    <n v="0"/>
    <n v="0"/>
    <n v="1"/>
    <n v="1"/>
    <n v="0"/>
    <n v="0"/>
    <n v="1"/>
    <n v="0"/>
    <n v="1"/>
    <n v="0"/>
    <n v="0"/>
    <n v="1"/>
    <n v="0"/>
    <n v="1"/>
    <n v="0"/>
    <n v="0"/>
    <n v="0"/>
    <n v="0"/>
    <n v="0"/>
    <n v="0"/>
    <n v="1"/>
    <n v="0"/>
    <n v="0"/>
    <n v="0"/>
    <n v="0"/>
  </r>
  <r>
    <x v="1"/>
    <x v="1"/>
    <x v="0"/>
    <x v="0"/>
    <x v="1"/>
    <n v="3"/>
    <n v="6"/>
    <n v="1"/>
    <x v="10"/>
    <n v="4"/>
    <n v="1"/>
    <n v="3"/>
    <n v="1"/>
    <n v="3"/>
    <n v="3"/>
    <n v="2"/>
    <n v="2"/>
    <n v="2"/>
    <n v="1"/>
    <n v="1"/>
    <n v="4"/>
    <n v="2"/>
    <n v="4"/>
    <n v="1"/>
    <n v="1"/>
    <n v="1"/>
    <n v="3"/>
    <n v="3"/>
    <n v="3"/>
    <n v="4"/>
    <n v="1"/>
    <n v="1"/>
    <n v="2"/>
    <n v="4"/>
    <n v="4"/>
    <n v="2"/>
    <n v="3"/>
    <n v="2"/>
    <n v="1"/>
    <n v="1"/>
    <n v="1"/>
    <n v="1"/>
    <n v="1"/>
    <n v="1"/>
    <n v="1"/>
    <n v="1"/>
    <n v="1"/>
    <n v="0"/>
    <n v="1"/>
    <n v="0"/>
    <n v="0"/>
    <n v="0"/>
    <n v="0"/>
    <n v="1"/>
    <n v="1"/>
    <n v="1"/>
    <n v="0"/>
    <n v="1"/>
    <n v="1"/>
    <n v="1"/>
    <n v="0"/>
    <n v="1"/>
    <n v="1"/>
    <n v="0"/>
    <n v="1"/>
    <n v="0"/>
    <n v="0"/>
    <n v="0"/>
    <n v="0"/>
    <n v="0"/>
    <n v="0"/>
    <n v="1"/>
    <n v="0"/>
    <n v="1"/>
    <n v="0"/>
    <n v="0"/>
  </r>
  <r>
    <x v="1"/>
    <x v="1"/>
    <x v="0"/>
    <x v="0"/>
    <x v="13"/>
    <n v="0"/>
    <n v="2"/>
    <n v="0"/>
    <x v="36"/>
    <n v="4"/>
    <n v="4"/>
    <n v="2"/>
    <n v="1"/>
    <n v="1"/>
    <n v="2"/>
    <n v="3"/>
    <n v="2"/>
    <n v="3"/>
    <n v="4"/>
    <n v="2"/>
    <n v="3"/>
    <n v="2"/>
    <n v="2"/>
    <n v="3"/>
    <n v="1"/>
    <n v="1"/>
    <n v="4"/>
    <n v="3"/>
    <n v="4"/>
    <n v="2"/>
    <n v="1"/>
    <n v="3"/>
    <n v="3"/>
    <n v="3"/>
    <n v="4"/>
    <n v="1"/>
    <n v="3"/>
    <n v="0"/>
    <n v="0"/>
    <n v="0"/>
    <n v="1"/>
    <n v="0"/>
    <n v="1"/>
    <n v="0"/>
    <n v="0"/>
    <n v="0"/>
    <n v="1"/>
    <n v="0"/>
    <n v="0"/>
    <n v="0"/>
    <n v="1"/>
    <n v="0"/>
    <n v="1"/>
    <n v="1"/>
    <n v="0"/>
    <n v="0"/>
    <n v="1"/>
    <n v="0"/>
    <n v="1"/>
    <n v="0"/>
    <n v="1"/>
    <n v="1"/>
    <n v="1"/>
    <n v="1"/>
    <n v="1"/>
    <n v="1"/>
    <n v="1"/>
    <n v="0"/>
    <n v="1"/>
    <n v="1"/>
    <n v="0"/>
    <n v="1"/>
    <n v="1"/>
    <n v="1"/>
    <n v="0"/>
    <n v="0"/>
  </r>
  <r>
    <x v="0"/>
    <x v="0"/>
    <x v="0"/>
    <x v="0"/>
    <x v="16"/>
    <n v="6"/>
    <n v="5"/>
    <n v="3.5"/>
    <x v="31"/>
    <n v="4"/>
    <n v="2"/>
    <n v="3"/>
    <n v="3"/>
    <n v="1"/>
    <n v="3"/>
    <n v="2"/>
    <n v="3"/>
    <n v="2"/>
    <n v="1"/>
    <n v="2"/>
    <n v="4"/>
    <n v="2"/>
    <n v="4"/>
    <n v="3"/>
    <n v="1"/>
    <n v="1"/>
    <n v="4"/>
    <n v="1"/>
    <n v="4"/>
    <n v="2"/>
    <n v="2"/>
    <n v="3"/>
    <n v="3"/>
    <n v="1"/>
    <n v="4"/>
    <n v="1"/>
    <n v="2"/>
    <n v="3"/>
    <n v="3"/>
    <n v="1"/>
    <n v="0"/>
    <n v="1"/>
    <n v="1"/>
    <n v="1"/>
    <n v="1"/>
    <n v="3.5"/>
    <n v="1"/>
    <n v="1"/>
    <n v="1"/>
    <n v="1"/>
    <n v="1"/>
    <n v="0"/>
    <n v="0"/>
    <n v="0"/>
    <n v="1"/>
    <n v="1"/>
    <n v="1"/>
    <n v="1"/>
    <n v="1"/>
    <n v="1"/>
    <n v="1"/>
    <n v="1"/>
    <n v="1"/>
    <n v="1"/>
    <n v="0"/>
    <n v="1"/>
    <n v="1"/>
    <n v="1"/>
    <n v="1"/>
    <n v="1"/>
    <n v="1"/>
    <n v="1"/>
    <n v="1"/>
    <n v="0"/>
    <n v="1"/>
    <n v="1"/>
  </r>
  <r>
    <x v="0"/>
    <x v="1"/>
    <x v="0"/>
    <x v="0"/>
    <x v="21"/>
    <n v="0"/>
    <n v="4"/>
    <n v="3.5"/>
    <x v="29"/>
    <n v="4"/>
    <n v="2"/>
    <n v="4"/>
    <n v="3"/>
    <n v="2"/>
    <n v="4"/>
    <n v="1"/>
    <n v="3"/>
    <n v="2"/>
    <n v="1"/>
    <n v="3"/>
    <n v="4"/>
    <n v="2"/>
    <n v="2"/>
    <n v="4"/>
    <n v="1"/>
    <n v="1"/>
    <n v="3"/>
    <n v="2"/>
    <n v="2"/>
    <n v="1"/>
    <n v="2"/>
    <n v="1"/>
    <n v="3"/>
    <n v="2"/>
    <n v="4"/>
    <n v="4"/>
    <n v="3"/>
    <n v="0"/>
    <n v="0"/>
    <n v="0"/>
    <n v="1"/>
    <n v="1"/>
    <n v="1"/>
    <n v="1"/>
    <n v="0"/>
    <n v="3.5"/>
    <n v="1"/>
    <n v="1"/>
    <n v="0"/>
    <n v="1"/>
    <n v="0"/>
    <n v="1"/>
    <n v="0"/>
    <n v="0"/>
    <n v="1"/>
    <n v="1"/>
    <n v="0"/>
    <n v="1"/>
    <n v="1"/>
    <n v="0"/>
    <n v="0"/>
    <n v="1"/>
    <n v="1"/>
    <n v="0"/>
    <n v="0"/>
    <n v="0"/>
    <n v="0"/>
    <n v="1"/>
    <n v="0"/>
    <n v="1"/>
    <n v="0"/>
    <n v="1"/>
    <n v="0"/>
    <n v="1"/>
    <n v="1"/>
    <n v="1"/>
  </r>
  <r>
    <x v="1"/>
    <x v="1"/>
    <x v="0"/>
    <x v="0"/>
    <x v="7"/>
    <n v="0"/>
    <n v="4"/>
    <n v="0"/>
    <x v="3"/>
    <n v="4"/>
    <n v="2"/>
    <n v="3"/>
    <n v="3"/>
    <n v="2"/>
    <n v="1"/>
    <n v="2"/>
    <n v="3"/>
    <n v="2"/>
    <n v="1"/>
    <n v="2"/>
    <n v="3"/>
    <n v="3"/>
    <n v="3"/>
    <n v="2"/>
    <n v="4"/>
    <n v="3"/>
    <n v="2"/>
    <n v="1"/>
    <n v="3"/>
    <n v="1"/>
    <n v="1"/>
    <n v="4"/>
    <n v="2"/>
    <n v="3"/>
    <n v="4"/>
    <n v="1"/>
    <n v="3"/>
    <n v="0"/>
    <n v="0"/>
    <n v="0"/>
    <n v="0"/>
    <n v="1"/>
    <n v="1"/>
    <n v="1"/>
    <n v="1"/>
    <n v="0"/>
    <n v="1"/>
    <n v="1"/>
    <n v="1"/>
    <n v="1"/>
    <n v="0"/>
    <n v="0"/>
    <n v="0"/>
    <n v="0"/>
    <n v="1"/>
    <n v="1"/>
    <n v="1"/>
    <n v="0"/>
    <n v="0"/>
    <n v="0"/>
    <n v="0"/>
    <n v="0"/>
    <n v="0"/>
    <n v="0"/>
    <n v="0"/>
    <n v="0"/>
    <n v="0"/>
    <n v="0"/>
    <n v="0"/>
    <n v="0"/>
    <n v="0"/>
    <n v="1"/>
    <n v="1"/>
    <n v="1"/>
    <n v="0"/>
    <n v="0"/>
  </r>
  <r>
    <x v="0"/>
    <x v="0"/>
    <x v="0"/>
    <x v="1"/>
    <x v="17"/>
    <n v="4"/>
    <n v="3"/>
    <n v="2"/>
    <x v="8"/>
    <n v="4"/>
    <n v="1"/>
    <n v="3"/>
    <n v="2"/>
    <n v="1"/>
    <n v="2"/>
    <n v="4"/>
    <n v="3"/>
    <n v="1"/>
    <n v="2"/>
    <n v="1"/>
    <n v="4"/>
    <n v="2"/>
    <n v="3"/>
    <n v="1"/>
    <n v="4"/>
    <n v="3"/>
    <n v="4"/>
    <n v="1"/>
    <n v="3"/>
    <n v="2"/>
    <n v="4"/>
    <n v="1"/>
    <n v="4"/>
    <n v="3"/>
    <n v="2"/>
    <n v="1"/>
    <n v="3"/>
    <n v="3"/>
    <n v="1"/>
    <n v="0"/>
    <n v="0"/>
    <n v="1"/>
    <n v="1"/>
    <n v="0"/>
    <n v="1"/>
    <n v="2"/>
    <n v="1"/>
    <n v="0"/>
    <n v="1"/>
    <n v="0"/>
    <n v="1"/>
    <n v="0"/>
    <n v="0"/>
    <n v="0"/>
    <n v="0"/>
    <n v="0"/>
    <n v="0"/>
    <n v="1"/>
    <n v="1"/>
    <n v="0"/>
    <n v="0"/>
    <n v="0"/>
    <n v="0"/>
    <n v="1"/>
    <n v="0"/>
    <n v="0"/>
    <n v="1"/>
    <n v="0"/>
    <n v="0"/>
    <n v="0"/>
    <n v="0"/>
    <n v="0"/>
    <n v="1"/>
    <n v="1"/>
    <n v="0"/>
    <n v="1"/>
  </r>
  <r>
    <x v="0"/>
    <x v="0"/>
    <x v="0"/>
    <x v="1"/>
    <x v="8"/>
    <n v="5"/>
    <n v="1"/>
    <n v="3"/>
    <x v="1"/>
    <n v="4"/>
    <n v="2"/>
    <n v="3"/>
    <n v="3"/>
    <n v="1"/>
    <n v="2"/>
    <n v="4"/>
    <n v="1"/>
    <n v="2"/>
    <n v="2"/>
    <n v="3"/>
    <n v="4"/>
    <n v="3"/>
    <n v="3"/>
    <n v="4"/>
    <n v="2"/>
    <n v="2"/>
    <n v="2"/>
    <n v="4"/>
    <n v="4"/>
    <n v="1"/>
    <n v="1"/>
    <n v="4"/>
    <n v="3"/>
    <n v="1"/>
    <n v="1"/>
    <n v="2"/>
    <n v="3"/>
    <n v="3"/>
    <n v="2"/>
    <n v="1"/>
    <n v="0"/>
    <n v="0"/>
    <n v="0"/>
    <n v="0"/>
    <n v="0"/>
    <n v="3"/>
    <n v="1"/>
    <n v="1"/>
    <n v="1"/>
    <n v="1"/>
    <n v="1"/>
    <n v="0"/>
    <n v="0"/>
    <n v="0"/>
    <n v="1"/>
    <n v="0"/>
    <n v="0"/>
    <n v="1"/>
    <n v="0"/>
    <n v="0"/>
    <n v="0"/>
    <n v="0"/>
    <n v="0"/>
    <n v="0"/>
    <n v="0"/>
    <n v="1"/>
    <n v="0"/>
    <n v="0"/>
    <n v="0"/>
    <n v="1"/>
    <n v="1"/>
    <n v="0"/>
    <n v="0"/>
    <n v="1"/>
    <n v="0"/>
    <n v="1"/>
  </r>
  <r>
    <x v="0"/>
    <x v="0"/>
    <x v="0"/>
    <x v="0"/>
    <x v="0"/>
    <n v="9"/>
    <n v="4"/>
    <n v="3.5"/>
    <x v="31"/>
    <n v="4"/>
    <n v="2"/>
    <n v="3"/>
    <n v="3"/>
    <n v="2"/>
    <n v="4"/>
    <n v="3"/>
    <n v="2"/>
    <n v="3"/>
    <n v="1"/>
    <n v="2"/>
    <n v="4"/>
    <n v="2"/>
    <n v="1"/>
    <n v="2"/>
    <n v="4"/>
    <n v="1"/>
    <n v="4"/>
    <n v="3"/>
    <n v="1"/>
    <n v="1"/>
    <n v="2"/>
    <n v="3"/>
    <n v="3"/>
    <n v="1"/>
    <n v="4"/>
    <n v="1"/>
    <n v="3"/>
    <n v="5"/>
    <n v="4"/>
    <n v="1"/>
    <n v="0"/>
    <n v="1"/>
    <n v="1"/>
    <n v="0"/>
    <n v="1"/>
    <n v="3.5"/>
    <n v="1"/>
    <n v="1"/>
    <n v="1"/>
    <n v="1"/>
    <n v="0"/>
    <n v="1"/>
    <n v="1"/>
    <n v="1"/>
    <n v="0"/>
    <n v="1"/>
    <n v="1"/>
    <n v="1"/>
    <n v="1"/>
    <n v="0"/>
    <n v="0"/>
    <n v="0"/>
    <n v="1"/>
    <n v="1"/>
    <n v="1"/>
    <n v="0"/>
    <n v="0"/>
    <n v="1"/>
    <n v="1"/>
    <n v="1"/>
    <n v="1"/>
    <n v="1"/>
    <n v="1"/>
    <n v="1"/>
    <n v="1"/>
    <n v="1"/>
  </r>
  <r>
    <x v="0"/>
    <x v="1"/>
    <x v="0"/>
    <x v="0"/>
    <x v="21"/>
    <n v="4"/>
    <n v="6"/>
    <n v="3.5"/>
    <x v="13"/>
    <n v="4"/>
    <n v="4"/>
    <n v="4"/>
    <n v="1"/>
    <n v="2"/>
    <n v="3"/>
    <n v="3"/>
    <n v="2"/>
    <n v="3"/>
    <n v="1"/>
    <n v="2"/>
    <n v="3"/>
    <n v="2"/>
    <n v="4"/>
    <n v="2"/>
    <n v="4"/>
    <n v="3"/>
    <n v="4"/>
    <n v="3"/>
    <n v="4"/>
    <n v="1"/>
    <n v="2"/>
    <n v="4"/>
    <n v="2"/>
    <n v="3"/>
    <n v="4"/>
    <n v="1"/>
    <n v="3"/>
    <n v="2"/>
    <n v="2"/>
    <n v="1"/>
    <n v="1"/>
    <n v="1"/>
    <n v="1"/>
    <n v="1"/>
    <n v="1"/>
    <n v="3.5"/>
    <n v="1"/>
    <n v="0"/>
    <n v="0"/>
    <n v="0"/>
    <n v="0"/>
    <n v="0"/>
    <n v="1"/>
    <n v="1"/>
    <n v="0"/>
    <n v="1"/>
    <n v="1"/>
    <n v="0"/>
    <n v="1"/>
    <n v="1"/>
    <n v="0"/>
    <n v="0"/>
    <n v="0"/>
    <n v="1"/>
    <n v="1"/>
    <n v="1"/>
    <n v="0"/>
    <n v="1"/>
    <n v="0"/>
    <n v="0"/>
    <n v="0"/>
    <n v="1"/>
    <n v="1"/>
    <n v="1"/>
    <n v="1"/>
    <n v="1"/>
  </r>
  <r>
    <x v="0"/>
    <x v="1"/>
    <x v="0"/>
    <x v="0"/>
    <x v="14"/>
    <n v="8"/>
    <n v="6"/>
    <n v="3.5"/>
    <x v="33"/>
    <n v="4"/>
    <n v="2"/>
    <n v="1"/>
    <n v="4"/>
    <n v="1"/>
    <n v="4"/>
    <n v="3"/>
    <n v="2"/>
    <n v="2"/>
    <n v="1"/>
    <n v="3"/>
    <n v="3"/>
    <n v="2"/>
    <n v="4"/>
    <n v="4"/>
    <n v="4"/>
    <n v="3"/>
    <n v="4"/>
    <n v="3"/>
    <n v="1"/>
    <n v="2"/>
    <n v="2"/>
    <n v="4"/>
    <n v="1"/>
    <n v="3"/>
    <n v="4"/>
    <n v="4"/>
    <n v="3"/>
    <n v="4"/>
    <n v="4"/>
    <n v="1"/>
    <n v="1"/>
    <n v="1"/>
    <n v="1"/>
    <n v="1"/>
    <n v="1"/>
    <n v="3.5"/>
    <n v="1"/>
    <n v="1"/>
    <n v="0"/>
    <n v="0"/>
    <n v="1"/>
    <n v="1"/>
    <n v="1"/>
    <n v="1"/>
    <n v="1"/>
    <n v="1"/>
    <n v="0"/>
    <n v="0"/>
    <n v="1"/>
    <n v="1"/>
    <n v="0"/>
    <n v="0"/>
    <n v="0"/>
    <n v="1"/>
    <n v="1"/>
    <n v="0"/>
    <n v="1"/>
    <n v="1"/>
    <n v="0"/>
    <n v="0"/>
    <n v="0"/>
    <n v="1"/>
    <n v="0"/>
    <n v="1"/>
    <n v="1"/>
    <n v="1"/>
  </r>
  <r>
    <x v="1"/>
    <x v="1"/>
    <x v="0"/>
    <x v="0"/>
    <x v="15"/>
    <n v="2"/>
    <n v="3"/>
    <n v="0"/>
    <x v="38"/>
    <n v="1"/>
    <n v="3"/>
    <n v="3"/>
    <n v="4"/>
    <n v="1"/>
    <n v="3"/>
    <n v="3"/>
    <n v="2"/>
    <n v="2"/>
    <n v="2"/>
    <n v="2"/>
    <n v="3"/>
    <n v="1"/>
    <n v="4"/>
    <n v="1"/>
    <n v="2"/>
    <n v="1"/>
    <n v="4"/>
    <n v="2"/>
    <n v="3"/>
    <n v="4"/>
    <n v="2"/>
    <n v="4"/>
    <n v="2"/>
    <n v="4"/>
    <n v="4"/>
    <n v="4"/>
    <n v="3"/>
    <n v="2"/>
    <n v="0"/>
    <n v="0"/>
    <n v="1"/>
    <n v="0"/>
    <n v="0"/>
    <n v="1"/>
    <n v="1"/>
    <n v="0"/>
    <n v="0"/>
    <n v="0"/>
    <n v="1"/>
    <n v="0"/>
    <n v="1"/>
    <n v="0"/>
    <n v="1"/>
    <n v="1"/>
    <n v="1"/>
    <n v="0"/>
    <n v="1"/>
    <n v="0"/>
    <n v="0"/>
    <n v="1"/>
    <n v="0"/>
    <n v="0"/>
    <n v="1"/>
    <n v="1"/>
    <n v="0"/>
    <n v="0"/>
    <n v="0"/>
    <n v="1"/>
    <n v="0"/>
    <n v="0"/>
    <n v="0"/>
    <n v="1"/>
    <n v="0"/>
    <n v="1"/>
    <n v="0"/>
    <n v="0"/>
  </r>
  <r>
    <x v="0"/>
    <x v="0"/>
    <x v="1"/>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19"/>
    <n v="3"/>
    <n v="6"/>
    <n v="2.5"/>
    <x v="26"/>
    <n v="4"/>
    <n v="2"/>
    <n v="1"/>
    <n v="3"/>
    <n v="1"/>
    <n v="3"/>
    <n v="3"/>
    <n v="2"/>
    <n v="2"/>
    <n v="1"/>
    <n v="2"/>
    <n v="3"/>
    <n v="2"/>
    <n v="4"/>
    <n v="4"/>
    <n v="1"/>
    <n v="3"/>
    <n v="4"/>
    <n v="2"/>
    <n v="4"/>
    <n v="3"/>
    <n v="1"/>
    <n v="3"/>
    <n v="2"/>
    <n v="1"/>
    <n v="4"/>
    <n v="1"/>
    <n v="3"/>
    <n v="1"/>
    <n v="2"/>
    <n v="1"/>
    <n v="1"/>
    <n v="1"/>
    <n v="1"/>
    <n v="1"/>
    <n v="1"/>
    <n v="2.5"/>
    <n v="1"/>
    <n v="1"/>
    <n v="0"/>
    <n v="1"/>
    <n v="1"/>
    <n v="0"/>
    <n v="1"/>
    <n v="1"/>
    <n v="1"/>
    <n v="1"/>
    <n v="1"/>
    <n v="0"/>
    <n v="1"/>
    <n v="1"/>
    <n v="0"/>
    <n v="1"/>
    <n v="0"/>
    <n v="1"/>
    <n v="0"/>
    <n v="1"/>
    <n v="0"/>
    <n v="0"/>
    <n v="1"/>
    <n v="0"/>
    <n v="1"/>
    <n v="1"/>
    <n v="1"/>
    <n v="1"/>
    <n v="1"/>
    <n v="1"/>
  </r>
  <r>
    <x v="1"/>
    <x v="1"/>
    <x v="0"/>
    <x v="0"/>
    <x v="21"/>
    <n v="4"/>
    <n v="6"/>
    <n v="3.5"/>
    <x v="13"/>
    <n v="4"/>
    <n v="1"/>
    <n v="3"/>
    <n v="1"/>
    <n v="1"/>
    <n v="2"/>
    <n v="3"/>
    <n v="3"/>
    <n v="4"/>
    <n v="2"/>
    <s v="X"/>
    <n v="3"/>
    <n v="2"/>
    <n v="4"/>
    <n v="2"/>
    <n v="1"/>
    <n v="1"/>
    <n v="4"/>
    <n v="2"/>
    <n v="4"/>
    <n v="4"/>
    <n v="2"/>
    <n v="4"/>
    <n v="2"/>
    <n v="2"/>
    <n v="4"/>
    <n v="1"/>
    <n v="3"/>
    <n v="3"/>
    <n v="1"/>
    <n v="1"/>
    <n v="1"/>
    <n v="1"/>
    <n v="1"/>
    <n v="1"/>
    <n v="1"/>
    <n v="3.5"/>
    <n v="1"/>
    <n v="0"/>
    <n v="1"/>
    <n v="0"/>
    <n v="1"/>
    <n v="0"/>
    <n v="1"/>
    <n v="0"/>
    <n v="0"/>
    <n v="0"/>
    <n v="0"/>
    <n v="0"/>
    <n v="1"/>
    <n v="1"/>
    <n v="0"/>
    <n v="1"/>
    <n v="1"/>
    <n v="1"/>
    <n v="0"/>
    <n v="1"/>
    <n v="0"/>
    <n v="1"/>
    <n v="0"/>
    <n v="0"/>
    <n v="0"/>
    <n v="1"/>
    <n v="1"/>
    <n v="1"/>
    <n v="1"/>
    <n v="1"/>
  </r>
  <r>
    <x v="1"/>
    <x v="3"/>
    <x v="0"/>
    <x v="0"/>
    <x v="12"/>
    <n v="0"/>
    <n v="5"/>
    <n v="0"/>
    <x v="43"/>
    <n v="2"/>
    <n v="1"/>
    <n v="3"/>
    <n v="1"/>
    <n v="4"/>
    <n v="1"/>
    <n v="3"/>
    <n v="2"/>
    <n v="2"/>
    <n v="3"/>
    <n v="4"/>
    <n v="3"/>
    <n v="1"/>
    <n v="4"/>
    <n v="4"/>
    <n v="4"/>
    <n v="1"/>
    <n v="3"/>
    <n v="3"/>
    <n v="2"/>
    <n v="3"/>
    <n v="1"/>
    <n v="2"/>
    <n v="2"/>
    <n v="3"/>
    <n v="3"/>
    <n v="4"/>
    <n v="1"/>
    <n v="0"/>
    <n v="0"/>
    <n v="1"/>
    <n v="0"/>
    <n v="1"/>
    <n v="1"/>
    <n v="1"/>
    <n v="1"/>
    <n v="0"/>
    <n v="0"/>
    <n v="0"/>
    <n v="1"/>
    <n v="0"/>
    <n v="0"/>
    <n v="0"/>
    <n v="1"/>
    <n v="1"/>
    <n v="1"/>
    <n v="0"/>
    <n v="0"/>
    <n v="0"/>
    <n v="0"/>
    <n v="1"/>
    <n v="0"/>
    <n v="0"/>
    <n v="1"/>
    <n v="0"/>
    <n v="1"/>
    <n v="0"/>
    <n v="0"/>
    <n v="0"/>
    <n v="0"/>
    <n v="0"/>
    <n v="0"/>
    <n v="0"/>
    <n v="0"/>
    <n v="0"/>
    <n v="0"/>
    <n v="0"/>
  </r>
  <r>
    <x v="1"/>
    <x v="1"/>
    <x v="0"/>
    <x v="0"/>
    <x v="1"/>
    <n v="0"/>
    <n v="4"/>
    <n v="0"/>
    <x v="38"/>
    <n v="4"/>
    <n v="2"/>
    <n v="2"/>
    <n v="3"/>
    <n v="1"/>
    <n v="3"/>
    <n v="1"/>
    <n v="2"/>
    <n v="2"/>
    <n v="1"/>
    <n v="2"/>
    <n v="3"/>
    <n v="3"/>
    <n v="3"/>
    <n v="2"/>
    <n v="2"/>
    <n v="3"/>
    <s v="M"/>
    <n v="2"/>
    <n v="2"/>
    <n v="1"/>
    <n v="2"/>
    <n v="3"/>
    <n v="2"/>
    <n v="1"/>
    <n v="3"/>
    <n v="1"/>
    <n v="3"/>
    <n v="0"/>
    <n v="0"/>
    <n v="1"/>
    <n v="1"/>
    <n v="1"/>
    <n v="0"/>
    <n v="1"/>
    <n v="0"/>
    <n v="0"/>
    <n v="1"/>
    <n v="1"/>
    <n v="0"/>
    <n v="1"/>
    <n v="1"/>
    <n v="0"/>
    <n v="0"/>
    <n v="1"/>
    <n v="1"/>
    <n v="1"/>
    <n v="1"/>
    <n v="0"/>
    <n v="0"/>
    <n v="0"/>
    <n v="0"/>
    <n v="0"/>
    <n v="0"/>
    <n v="0"/>
    <n v="0"/>
    <n v="0"/>
    <n v="0"/>
    <n v="1"/>
    <n v="1"/>
    <n v="0"/>
    <n v="1"/>
    <n v="0"/>
    <n v="1"/>
    <n v="1"/>
    <n v="0"/>
    <n v="0"/>
  </r>
  <r>
    <x v="1"/>
    <x v="1"/>
    <x v="0"/>
    <x v="0"/>
    <x v="1"/>
    <n v="2"/>
    <n v="3"/>
    <n v="1"/>
    <x v="16"/>
    <n v="2"/>
    <n v="1"/>
    <n v="2"/>
    <n v="3"/>
    <n v="2"/>
    <n v="1"/>
    <n v="3"/>
    <n v="2"/>
    <n v="2"/>
    <n v="1"/>
    <n v="1"/>
    <n v="2"/>
    <n v="2"/>
    <n v="2"/>
    <n v="4"/>
    <n v="4"/>
    <n v="1"/>
    <n v="4"/>
    <n v="1"/>
    <n v="3"/>
    <n v="2"/>
    <n v="1"/>
    <n v="3"/>
    <n v="2"/>
    <n v="1"/>
    <n v="4"/>
    <n v="4"/>
    <n v="3"/>
    <n v="1"/>
    <n v="1"/>
    <n v="0"/>
    <n v="1"/>
    <n v="0"/>
    <n v="0"/>
    <n v="1"/>
    <n v="1"/>
    <n v="1"/>
    <n v="0"/>
    <n v="0"/>
    <n v="0"/>
    <n v="1"/>
    <n v="0"/>
    <n v="0"/>
    <n v="1"/>
    <n v="1"/>
    <n v="1"/>
    <n v="1"/>
    <n v="0"/>
    <n v="0"/>
    <n v="1"/>
    <n v="0"/>
    <n v="0"/>
    <n v="0"/>
    <n v="1"/>
    <n v="1"/>
    <n v="0"/>
    <n v="0"/>
    <n v="1"/>
    <n v="0"/>
    <n v="1"/>
    <n v="0"/>
    <n v="1"/>
    <n v="1"/>
    <n v="0"/>
    <n v="1"/>
    <n v="0"/>
    <n v="0"/>
  </r>
  <r>
    <x v="1"/>
    <x v="3"/>
    <x v="0"/>
    <x v="0"/>
    <x v="21"/>
    <n v="0"/>
    <n v="0"/>
    <n v="0"/>
    <x v="3"/>
    <n v="4"/>
    <n v="4"/>
    <n v="3"/>
    <n v="1"/>
    <n v="1"/>
    <n v="2"/>
    <n v="3"/>
    <n v="4"/>
    <n v="1"/>
    <n v="1"/>
    <n v="4"/>
    <n v="2"/>
    <n v="2"/>
    <n v="3"/>
    <n v="1"/>
    <n v="1"/>
    <n v="2"/>
    <n v="4"/>
    <n v="3"/>
    <n v="4"/>
    <n v="1"/>
    <n v="4"/>
    <n v="3"/>
    <n v="2"/>
    <n v="2"/>
    <n v="4"/>
    <n v="1"/>
    <n v="3"/>
    <n v="0"/>
    <n v="0"/>
    <n v="0"/>
    <n v="0"/>
    <n v="0"/>
    <n v="0"/>
    <n v="0"/>
    <n v="0"/>
    <n v="0"/>
    <n v="1"/>
    <n v="0"/>
    <n v="1"/>
    <n v="0"/>
    <n v="1"/>
    <n v="0"/>
    <n v="1"/>
    <n v="0"/>
    <n v="0"/>
    <n v="1"/>
    <n v="0"/>
    <n v="0"/>
    <n v="1"/>
    <n v="0"/>
    <n v="0"/>
    <n v="1"/>
    <n v="0"/>
    <n v="1"/>
    <n v="1"/>
    <n v="1"/>
    <n v="0"/>
    <n v="0"/>
    <n v="1"/>
    <n v="0"/>
    <n v="0"/>
    <n v="1"/>
    <n v="1"/>
    <n v="1"/>
    <n v="0"/>
    <n v="0"/>
  </r>
  <r>
    <x v="0"/>
    <x v="1"/>
    <x v="0"/>
    <x v="0"/>
    <x v="4"/>
    <n v="4"/>
    <n v="6"/>
    <n v="2.5"/>
    <x v="19"/>
    <n v="4"/>
    <n v="2"/>
    <n v="3"/>
    <n v="2"/>
    <n v="1"/>
    <n v="2"/>
    <n v="3"/>
    <n v="4"/>
    <n v="2"/>
    <n v="2"/>
    <n v="2"/>
    <n v="1"/>
    <n v="2"/>
    <n v="3"/>
    <n v="3"/>
    <n v="2"/>
    <n v="1"/>
    <n v="2"/>
    <n v="3"/>
    <n v="1"/>
    <n v="4"/>
    <n v="1"/>
    <n v="3"/>
    <n v="4"/>
    <n v="2"/>
    <n v="4"/>
    <n v="1"/>
    <n v="3"/>
    <n v="2"/>
    <n v="2"/>
    <n v="1"/>
    <n v="1"/>
    <n v="1"/>
    <n v="1"/>
    <n v="1"/>
    <n v="1"/>
    <n v="2.5"/>
    <n v="1"/>
    <n v="1"/>
    <n v="1"/>
    <n v="0"/>
    <n v="1"/>
    <n v="0"/>
    <n v="1"/>
    <n v="0"/>
    <n v="1"/>
    <n v="0"/>
    <n v="1"/>
    <n v="0"/>
    <n v="1"/>
    <n v="0"/>
    <n v="1"/>
    <n v="0"/>
    <n v="1"/>
    <n v="0"/>
    <n v="1"/>
    <n v="0"/>
    <n v="0"/>
    <n v="0"/>
    <n v="1"/>
    <n v="0"/>
    <n v="0"/>
    <n v="1"/>
    <n v="1"/>
    <n v="1"/>
    <n v="1"/>
    <n v="1"/>
  </r>
  <r>
    <x v="0"/>
    <x v="0"/>
    <x v="1"/>
    <x v="0"/>
    <x v="10"/>
    <n v="2"/>
    <n v="0"/>
    <n v="0"/>
    <x v="12"/>
    <n v="3"/>
    <n v="4"/>
    <n v="4"/>
    <n v="2"/>
    <n v="1"/>
    <n v="4"/>
    <n v="4"/>
    <n v="3"/>
    <n v="4"/>
    <n v="4"/>
    <n v="2"/>
    <n v="2"/>
    <n v="4"/>
    <n v="4"/>
    <n v="2"/>
    <n v="2"/>
    <n v="3"/>
    <n v="3"/>
    <n v="3"/>
    <n v="2"/>
    <n v="1"/>
    <n v="1"/>
    <n v="3"/>
    <n v="4"/>
    <n v="4"/>
    <n v="3"/>
    <n v="3"/>
    <n v="1"/>
    <n v="1"/>
    <n v="1"/>
    <n v="0"/>
    <n v="0"/>
    <n v="0"/>
    <n v="0"/>
    <n v="0"/>
    <n v="0"/>
    <n v="0"/>
    <n v="0"/>
    <n v="0"/>
    <n v="0"/>
    <n v="0"/>
    <n v="1"/>
    <n v="1"/>
    <n v="0"/>
    <n v="0"/>
    <n v="0"/>
    <n v="0"/>
    <n v="1"/>
    <n v="0"/>
    <n v="0"/>
    <n v="1"/>
    <n v="0"/>
    <n v="0"/>
    <n v="0"/>
    <n v="0"/>
    <n v="1"/>
    <n v="0"/>
    <n v="0"/>
    <n v="0"/>
    <n v="1"/>
    <n v="0"/>
    <n v="0"/>
    <n v="0"/>
    <n v="0"/>
    <n v="0"/>
    <n v="0"/>
    <n v="0"/>
  </r>
  <r>
    <x v="0"/>
    <x v="0"/>
    <x v="0"/>
    <x v="1"/>
    <x v="9"/>
    <n v="8"/>
    <n v="6"/>
    <n v="4"/>
    <x v="40"/>
    <n v="4"/>
    <n v="2"/>
    <n v="3"/>
    <n v="3"/>
    <n v="1"/>
    <n v="4"/>
    <n v="4"/>
    <n v="2"/>
    <n v="2"/>
    <n v="1"/>
    <n v="2"/>
    <n v="4"/>
    <n v="2"/>
    <n v="4"/>
    <n v="3"/>
    <n v="1"/>
    <n v="1"/>
    <n v="4"/>
    <n v="3"/>
    <n v="4"/>
    <n v="2"/>
    <n v="2"/>
    <n v="3"/>
    <n v="3"/>
    <n v="3"/>
    <n v="4"/>
    <n v="1"/>
    <n v="3"/>
    <n v="4"/>
    <n v="4"/>
    <n v="1"/>
    <n v="1"/>
    <n v="1"/>
    <n v="1"/>
    <n v="1"/>
    <n v="1"/>
    <n v="4"/>
    <n v="1"/>
    <n v="1"/>
    <n v="1"/>
    <n v="1"/>
    <n v="1"/>
    <n v="1"/>
    <n v="0"/>
    <n v="1"/>
    <n v="1"/>
    <n v="1"/>
    <n v="1"/>
    <n v="1"/>
    <n v="1"/>
    <n v="1"/>
    <n v="1"/>
    <n v="1"/>
    <n v="1"/>
    <n v="1"/>
    <n v="1"/>
    <n v="1"/>
    <n v="1"/>
    <n v="1"/>
    <n v="1"/>
    <n v="1"/>
    <n v="0"/>
    <n v="1"/>
    <n v="1"/>
    <n v="1"/>
    <n v="1"/>
    <n v="1"/>
  </r>
  <r>
    <x v="1"/>
    <x v="0"/>
    <x v="0"/>
    <x v="0"/>
    <x v="21"/>
    <n v="3"/>
    <n v="5"/>
    <n v="2.5"/>
    <x v="35"/>
    <n v="4"/>
    <n v="4"/>
    <n v="4"/>
    <n v="2"/>
    <n v="1"/>
    <n v="2"/>
    <n v="3"/>
    <n v="2"/>
    <n v="3"/>
    <n v="1"/>
    <m/>
    <n v="3"/>
    <n v="2"/>
    <n v="4"/>
    <n v="2"/>
    <n v="2"/>
    <n v="1"/>
    <n v="4"/>
    <n v="2"/>
    <n v="4"/>
    <n v="4"/>
    <n v="2"/>
    <n v="4"/>
    <n v="2"/>
    <n v="3"/>
    <n v="4"/>
    <n v="1"/>
    <n v="3"/>
    <n v="2"/>
    <n v="1"/>
    <n v="1"/>
    <n v="1"/>
    <n v="0"/>
    <n v="1"/>
    <n v="1"/>
    <n v="1"/>
    <n v="2.5"/>
    <n v="1"/>
    <n v="0"/>
    <n v="0"/>
    <n v="0"/>
    <n v="1"/>
    <n v="0"/>
    <n v="1"/>
    <n v="1"/>
    <n v="0"/>
    <n v="1"/>
    <n v="0"/>
    <n v="0"/>
    <n v="1"/>
    <n v="1"/>
    <n v="0"/>
    <n v="0"/>
    <n v="1"/>
    <n v="1"/>
    <n v="0"/>
    <n v="1"/>
    <n v="0"/>
    <n v="1"/>
    <n v="0"/>
    <n v="0"/>
    <n v="0"/>
    <n v="1"/>
    <n v="1"/>
    <n v="1"/>
    <n v="1"/>
    <n v="1"/>
  </r>
  <r>
    <x v="0"/>
    <x v="1"/>
    <x v="0"/>
    <x v="0"/>
    <x v="1"/>
    <n v="6"/>
    <n v="6"/>
    <n v="1.5"/>
    <x v="35"/>
    <n v="4"/>
    <n v="4"/>
    <n v="4"/>
    <n v="1"/>
    <n v="1"/>
    <n v="2"/>
    <n v="3"/>
    <n v="2"/>
    <n v="3"/>
    <m/>
    <m/>
    <n v="3"/>
    <n v="2"/>
    <n v="4"/>
    <n v="2"/>
    <n v="2"/>
    <n v="1"/>
    <n v="4"/>
    <n v="2"/>
    <n v="4"/>
    <n v="4"/>
    <n v="2"/>
    <n v="4"/>
    <n v="2"/>
    <n v="3"/>
    <n v="4"/>
    <n v="1"/>
    <n v="3"/>
    <n v="3"/>
    <n v="3"/>
    <n v="1"/>
    <n v="1"/>
    <n v="1"/>
    <n v="1"/>
    <n v="1"/>
    <n v="1"/>
    <n v="1.5"/>
    <n v="1"/>
    <n v="0"/>
    <n v="0"/>
    <n v="0"/>
    <n v="1"/>
    <n v="0"/>
    <n v="1"/>
    <n v="1"/>
    <n v="0"/>
    <n v="0"/>
    <n v="0"/>
    <n v="0"/>
    <n v="1"/>
    <n v="1"/>
    <n v="0"/>
    <n v="0"/>
    <n v="1"/>
    <n v="1"/>
    <n v="0"/>
    <n v="1"/>
    <n v="0"/>
    <n v="1"/>
    <n v="0"/>
    <n v="0"/>
    <n v="0"/>
    <n v="1"/>
    <n v="1"/>
    <n v="1"/>
    <n v="1"/>
    <n v="1"/>
  </r>
  <r>
    <x v="1"/>
    <x v="3"/>
    <x v="0"/>
    <x v="1"/>
    <x v="1"/>
    <n v="2"/>
    <n v="6"/>
    <n v="1"/>
    <x v="20"/>
    <n v="2"/>
    <n v="4"/>
    <n v="4"/>
    <n v="2"/>
    <n v="1"/>
    <n v="4"/>
    <n v="3"/>
    <n v="2"/>
    <n v="2"/>
    <n v="1"/>
    <n v="3"/>
    <n v="4"/>
    <n v="4"/>
    <n v="1"/>
    <n v="3"/>
    <n v="2"/>
    <n v="4"/>
    <n v="4"/>
    <n v="3"/>
    <n v="2"/>
    <n v="1"/>
    <n v="4"/>
    <n v="2"/>
    <n v="1"/>
    <n v="3"/>
    <n v="4"/>
    <n v="1"/>
    <n v="3"/>
    <n v="1"/>
    <n v="1"/>
    <n v="1"/>
    <n v="1"/>
    <n v="1"/>
    <n v="1"/>
    <n v="1"/>
    <n v="1"/>
    <n v="1"/>
    <n v="0"/>
    <n v="0"/>
    <n v="0"/>
    <n v="0"/>
    <n v="1"/>
    <n v="1"/>
    <n v="1"/>
    <n v="1"/>
    <n v="1"/>
    <n v="1"/>
    <n v="0"/>
    <n v="1"/>
    <n v="0"/>
    <n v="0"/>
    <n v="1"/>
    <n v="0"/>
    <n v="0"/>
    <n v="1"/>
    <n v="1"/>
    <n v="0"/>
    <n v="0"/>
    <n v="0"/>
    <n v="0"/>
    <n v="0"/>
    <n v="0"/>
    <n v="1"/>
    <n v="1"/>
    <n v="1"/>
    <n v="0"/>
    <n v="1"/>
  </r>
  <r>
    <x v="0"/>
    <x v="0"/>
    <x v="0"/>
    <x v="1"/>
    <x v="1"/>
    <n v="1"/>
    <n v="5"/>
    <n v="2"/>
    <x v="10"/>
    <n v="4"/>
    <n v="1"/>
    <n v="1"/>
    <n v="3"/>
    <n v="2"/>
    <n v="3"/>
    <n v="3"/>
    <n v="2"/>
    <n v="4"/>
    <n v="2"/>
    <n v="2"/>
    <n v="4"/>
    <n v="1"/>
    <n v="4"/>
    <n v="2"/>
    <n v="2"/>
    <n v="1"/>
    <n v="4"/>
    <n v="2"/>
    <n v="1"/>
    <n v="2"/>
    <n v="2"/>
    <n v="3"/>
    <n v="1"/>
    <n v="2"/>
    <n v="4"/>
    <n v="4"/>
    <n v="1"/>
    <n v="1"/>
    <n v="0"/>
    <n v="1"/>
    <n v="1"/>
    <n v="1"/>
    <n v="1"/>
    <n v="1"/>
    <n v="0"/>
    <n v="2"/>
    <n v="1"/>
    <n v="0"/>
    <n v="0"/>
    <n v="1"/>
    <n v="0"/>
    <n v="0"/>
    <n v="1"/>
    <n v="1"/>
    <n v="0"/>
    <n v="0"/>
    <n v="1"/>
    <n v="1"/>
    <n v="0"/>
    <n v="1"/>
    <n v="0"/>
    <n v="0"/>
    <n v="1"/>
    <n v="1"/>
    <n v="0"/>
    <n v="0"/>
    <n v="1"/>
    <n v="1"/>
    <n v="1"/>
    <n v="0"/>
    <n v="0"/>
    <n v="1"/>
    <n v="0"/>
    <n v="0"/>
    <n v="0"/>
    <n v="1"/>
  </r>
  <r>
    <x v="1"/>
    <x v="1"/>
    <x v="0"/>
    <x v="1"/>
    <x v="1"/>
    <n v="2"/>
    <n v="4"/>
    <n v="1"/>
    <x v="8"/>
    <n v="2"/>
    <n v="2"/>
    <n v="3"/>
    <n v="1"/>
    <n v="1"/>
    <n v="2"/>
    <n v="2"/>
    <n v="4"/>
    <n v="4"/>
    <n v="1"/>
    <n v="2"/>
    <n v="3"/>
    <n v="2"/>
    <n v="4"/>
    <n v="1"/>
    <n v="4"/>
    <n v="1"/>
    <n v="4"/>
    <n v="2"/>
    <n v="1"/>
    <n v="2"/>
    <n v="1"/>
    <n v="3"/>
    <n v="2"/>
    <n v="1"/>
    <n v="2"/>
    <n v="2"/>
    <n v="3"/>
    <n v="1"/>
    <n v="1"/>
    <n v="0"/>
    <n v="0"/>
    <n v="1"/>
    <n v="1"/>
    <n v="1"/>
    <n v="1"/>
    <n v="1"/>
    <n v="0"/>
    <n v="1"/>
    <n v="1"/>
    <n v="0"/>
    <n v="1"/>
    <n v="0"/>
    <n v="0"/>
    <n v="0"/>
    <n v="0"/>
    <n v="1"/>
    <n v="1"/>
    <n v="0"/>
    <n v="1"/>
    <n v="1"/>
    <n v="0"/>
    <n v="0"/>
    <n v="1"/>
    <n v="1"/>
    <n v="0"/>
    <n v="0"/>
    <n v="1"/>
    <n v="0"/>
    <n v="1"/>
    <n v="0"/>
    <n v="1"/>
    <n v="0"/>
    <n v="0"/>
    <n v="1"/>
    <n v="0"/>
    <n v="1"/>
  </r>
  <r>
    <x v="1"/>
    <x v="1"/>
    <x v="0"/>
    <x v="0"/>
    <x v="9"/>
    <n v="6"/>
    <n v="6"/>
    <n v="3"/>
    <x v="23"/>
    <n v="4"/>
    <n v="2"/>
    <n v="3"/>
    <n v="3"/>
    <n v="1"/>
    <n v="3"/>
    <n v="3"/>
    <n v="2"/>
    <n v="2"/>
    <n v="1"/>
    <n v="2"/>
    <n v="4"/>
    <n v="2"/>
    <n v="4"/>
    <n v="3"/>
    <n v="1"/>
    <n v="1"/>
    <n v="4"/>
    <n v="3"/>
    <n v="4"/>
    <n v="2"/>
    <n v="2"/>
    <n v="3"/>
    <n v="3"/>
    <n v="1"/>
    <n v="4"/>
    <n v="3"/>
    <n v="3"/>
    <n v="3"/>
    <n v="3"/>
    <n v="1"/>
    <n v="1"/>
    <n v="1"/>
    <n v="1"/>
    <n v="1"/>
    <n v="1"/>
    <n v="3"/>
    <n v="1"/>
    <n v="1"/>
    <n v="1"/>
    <n v="1"/>
    <n v="1"/>
    <n v="0"/>
    <n v="1"/>
    <n v="1"/>
    <n v="1"/>
    <n v="1"/>
    <n v="1"/>
    <n v="1"/>
    <n v="1"/>
    <n v="1"/>
    <n v="1"/>
    <n v="1"/>
    <n v="1"/>
    <n v="1"/>
    <n v="1"/>
    <n v="1"/>
    <n v="1"/>
    <n v="1"/>
    <n v="1"/>
    <n v="1"/>
    <n v="1"/>
    <n v="1"/>
    <n v="0"/>
    <n v="1"/>
    <n v="1"/>
    <n v="1"/>
  </r>
  <r>
    <x v="1"/>
    <x v="1"/>
    <x v="0"/>
    <x v="0"/>
    <x v="9"/>
    <n v="9"/>
    <n v="6"/>
    <n v="4"/>
    <x v="44"/>
    <n v="4"/>
    <n v="2"/>
    <n v="3"/>
    <n v="3"/>
    <n v="1"/>
    <n v="3"/>
    <n v="3"/>
    <n v="2"/>
    <n v="2"/>
    <n v="1"/>
    <n v="2"/>
    <n v="4"/>
    <n v="2"/>
    <n v="4"/>
    <n v="3"/>
    <n v="1"/>
    <n v="1"/>
    <n v="4"/>
    <n v="3"/>
    <n v="4"/>
    <n v="2"/>
    <n v="2"/>
    <n v="3"/>
    <n v="2"/>
    <n v="1"/>
    <n v="4"/>
    <n v="1"/>
    <n v="3"/>
    <n v="4"/>
    <n v="5"/>
    <n v="1"/>
    <n v="1"/>
    <n v="1"/>
    <n v="1"/>
    <n v="1"/>
    <n v="1"/>
    <n v="4"/>
    <n v="1"/>
    <n v="1"/>
    <n v="1"/>
    <n v="1"/>
    <n v="1"/>
    <n v="0"/>
    <n v="1"/>
    <n v="1"/>
    <n v="1"/>
    <n v="1"/>
    <n v="1"/>
    <n v="1"/>
    <n v="1"/>
    <n v="1"/>
    <n v="1"/>
    <n v="1"/>
    <n v="1"/>
    <n v="1"/>
    <n v="1"/>
    <n v="1"/>
    <n v="1"/>
    <n v="1"/>
    <n v="1"/>
    <n v="0"/>
    <n v="1"/>
    <n v="1"/>
    <n v="1"/>
    <n v="1"/>
    <n v="1"/>
    <n v="1"/>
  </r>
  <r>
    <x v="1"/>
    <x v="1"/>
    <x v="0"/>
    <x v="0"/>
    <x v="14"/>
    <n v="2"/>
    <n v="5"/>
    <n v="1"/>
    <x v="1"/>
    <n v="4"/>
    <n v="2"/>
    <n v="4"/>
    <n v="3"/>
    <n v="1"/>
    <n v="4"/>
    <n v="3"/>
    <n v="2"/>
    <n v="2"/>
    <n v="1"/>
    <n v="2"/>
    <n v="3"/>
    <n v="1"/>
    <n v="4"/>
    <n v="1"/>
    <n v="1"/>
    <n v="1"/>
    <n v="3"/>
    <n v="3"/>
    <n v="2"/>
    <n v="1"/>
    <n v="1"/>
    <n v="3"/>
    <n v="2"/>
    <n v="4"/>
    <n v="3"/>
    <n v="2"/>
    <n v="3"/>
    <n v="1"/>
    <n v="1"/>
    <n v="1"/>
    <n v="1"/>
    <n v="1"/>
    <n v="1"/>
    <n v="0"/>
    <n v="1"/>
    <n v="1"/>
    <n v="1"/>
    <n v="1"/>
    <n v="0"/>
    <n v="1"/>
    <n v="1"/>
    <n v="1"/>
    <n v="1"/>
    <n v="1"/>
    <n v="1"/>
    <n v="1"/>
    <n v="1"/>
    <n v="0"/>
    <n v="0"/>
    <n v="1"/>
    <n v="0"/>
    <n v="1"/>
    <n v="1"/>
    <n v="0"/>
    <n v="1"/>
    <n v="0"/>
    <n v="0"/>
    <n v="0"/>
    <n v="1"/>
    <n v="0"/>
    <n v="0"/>
    <n v="0"/>
    <n v="0"/>
    <n v="1"/>
    <n v="0"/>
    <n v="0"/>
  </r>
  <r>
    <x v="0"/>
    <x v="4"/>
    <x v="0"/>
    <x v="0"/>
    <x v="2"/>
    <n v="0"/>
    <n v="0"/>
    <n v="0"/>
    <x v="2"/>
    <m/>
    <m/>
    <m/>
    <m/>
    <m/>
    <m/>
    <m/>
    <m/>
    <m/>
    <m/>
    <m/>
    <m/>
    <m/>
    <m/>
    <m/>
    <m/>
    <m/>
    <m/>
    <m/>
    <m/>
    <m/>
    <m/>
    <m/>
    <m/>
    <m/>
    <m/>
    <m/>
    <m/>
    <m/>
    <m/>
    <m/>
    <m/>
    <m/>
    <m/>
    <m/>
    <m/>
    <m/>
    <n v="0"/>
    <n v="0"/>
    <n v="0"/>
    <n v="0"/>
    <n v="0"/>
    <n v="0"/>
    <n v="0"/>
    <n v="0"/>
    <n v="0"/>
    <n v="0"/>
    <n v="0"/>
    <n v="0"/>
    <n v="0"/>
    <n v="0"/>
    <n v="0"/>
    <n v="0"/>
    <n v="0"/>
    <n v="0"/>
    <n v="0"/>
    <n v="0"/>
    <n v="0"/>
    <n v="0"/>
    <n v="0"/>
    <n v="0"/>
    <n v="0"/>
    <n v="0"/>
    <n v="0"/>
    <n v="0"/>
    <n v="0"/>
    <n v="0"/>
  </r>
  <r>
    <x v="0"/>
    <x v="1"/>
    <x v="0"/>
    <x v="0"/>
    <x v="2"/>
    <n v="0"/>
    <n v="0"/>
    <n v="0"/>
    <x v="2"/>
    <m/>
    <m/>
    <m/>
    <m/>
    <m/>
    <m/>
    <m/>
    <m/>
    <m/>
    <m/>
    <m/>
    <m/>
    <m/>
    <m/>
    <m/>
    <m/>
    <m/>
    <m/>
    <m/>
    <m/>
    <m/>
    <m/>
    <m/>
    <m/>
    <m/>
    <m/>
    <m/>
    <m/>
    <m/>
    <m/>
    <m/>
    <m/>
    <m/>
    <m/>
    <m/>
    <m/>
    <m/>
    <n v="0"/>
    <n v="0"/>
    <n v="0"/>
    <n v="0"/>
    <n v="0"/>
    <n v="0"/>
    <n v="0"/>
    <n v="0"/>
    <n v="0"/>
    <n v="0"/>
    <n v="0"/>
    <n v="0"/>
    <n v="0"/>
    <n v="0"/>
    <n v="0"/>
    <n v="0"/>
    <n v="0"/>
    <n v="0"/>
    <n v="0"/>
    <n v="0"/>
    <n v="0"/>
    <n v="0"/>
    <n v="0"/>
    <n v="0"/>
    <n v="0"/>
    <n v="0"/>
    <n v="0"/>
    <n v="0"/>
    <n v="0"/>
    <n v="0"/>
  </r>
  <r>
    <x v="1"/>
    <x v="3"/>
    <x v="0"/>
    <x v="0"/>
    <x v="14"/>
    <n v="2"/>
    <n v="5"/>
    <n v="1"/>
    <x v="1"/>
    <n v="1"/>
    <n v="1"/>
    <n v="3"/>
    <n v="3"/>
    <n v="2"/>
    <n v="3"/>
    <n v="2"/>
    <n v="2"/>
    <n v="4"/>
    <n v="1"/>
    <n v="2"/>
    <n v="4"/>
    <n v="3"/>
    <n v="1"/>
    <n v="3"/>
    <n v="4"/>
    <n v="1"/>
    <n v="4"/>
    <n v="3"/>
    <n v="4"/>
    <n v="2"/>
    <n v="2"/>
    <n v="3"/>
    <n v="1"/>
    <n v="2"/>
    <n v="4"/>
    <n v="2"/>
    <n v="3"/>
    <n v="1"/>
    <n v="1"/>
    <n v="1"/>
    <n v="1"/>
    <n v="0"/>
    <n v="1"/>
    <n v="1"/>
    <n v="1"/>
    <n v="1"/>
    <n v="0"/>
    <n v="0"/>
    <n v="1"/>
    <n v="1"/>
    <n v="0"/>
    <n v="0"/>
    <n v="0"/>
    <n v="1"/>
    <n v="0"/>
    <n v="1"/>
    <n v="1"/>
    <n v="1"/>
    <n v="0"/>
    <n v="0"/>
    <n v="1"/>
    <n v="0"/>
    <n v="1"/>
    <n v="1"/>
    <n v="1"/>
    <n v="1"/>
    <n v="1"/>
    <n v="1"/>
    <n v="1"/>
    <n v="0"/>
    <n v="0"/>
    <n v="1"/>
    <n v="0"/>
    <n v="1"/>
    <n v="0"/>
    <n v="0"/>
  </r>
  <r>
    <x v="0"/>
    <x v="1"/>
    <x v="0"/>
    <x v="0"/>
    <x v="19"/>
    <n v="5"/>
    <n v="6"/>
    <n v="2"/>
    <x v="26"/>
    <n v="4"/>
    <n v="1"/>
    <n v="3"/>
    <n v="1"/>
    <n v="1"/>
    <n v="2"/>
    <n v="3"/>
    <n v="2"/>
    <n v="3"/>
    <n v="2"/>
    <n v="2"/>
    <n v="4"/>
    <n v="2"/>
    <n v="1"/>
    <n v="3"/>
    <n v="1"/>
    <n v="1"/>
    <n v="4"/>
    <n v="3"/>
    <n v="1"/>
    <n v="2"/>
    <n v="2"/>
    <n v="2"/>
    <n v="3"/>
    <n v="4"/>
    <n v="4"/>
    <n v="1"/>
    <n v="3"/>
    <n v="3"/>
    <n v="2"/>
    <n v="1"/>
    <n v="1"/>
    <n v="1"/>
    <n v="1"/>
    <n v="1"/>
    <n v="1"/>
    <n v="2"/>
    <n v="1"/>
    <n v="0"/>
    <n v="1"/>
    <n v="0"/>
    <n v="1"/>
    <n v="0"/>
    <n v="1"/>
    <n v="1"/>
    <n v="0"/>
    <n v="0"/>
    <n v="1"/>
    <n v="1"/>
    <n v="1"/>
    <n v="0"/>
    <n v="1"/>
    <n v="1"/>
    <n v="1"/>
    <n v="1"/>
    <n v="1"/>
    <n v="0"/>
    <n v="1"/>
    <n v="1"/>
    <n v="0"/>
    <n v="1"/>
    <n v="0"/>
    <n v="1"/>
    <n v="1"/>
    <n v="1"/>
    <n v="1"/>
    <n v="1"/>
  </r>
  <r>
    <x v="0"/>
    <x v="4"/>
    <x v="0"/>
    <x v="0"/>
    <x v="11"/>
    <n v="4"/>
    <n v="4"/>
    <n v="1"/>
    <x v="9"/>
    <n v="4"/>
    <n v="2"/>
    <n v="1"/>
    <n v="3"/>
    <n v="1"/>
    <n v="2"/>
    <n v="3"/>
    <n v="2"/>
    <n v="2"/>
    <n v="1"/>
    <n v="3"/>
    <n v="3"/>
    <n v="2"/>
    <n v="4"/>
    <n v="3"/>
    <n v="1"/>
    <n v="1"/>
    <n v="4"/>
    <n v="3"/>
    <n v="1"/>
    <n v="3"/>
    <n v="2"/>
    <n v="4"/>
    <n v="2"/>
    <n v="1"/>
    <n v="4"/>
    <n v="1"/>
    <n v="3"/>
    <n v="4"/>
    <n v="0"/>
    <n v="1"/>
    <n v="1"/>
    <n v="0"/>
    <n v="0"/>
    <n v="1"/>
    <n v="1"/>
    <n v="1"/>
    <n v="1"/>
    <n v="1"/>
    <n v="0"/>
    <n v="1"/>
    <n v="1"/>
    <n v="0"/>
    <n v="1"/>
    <n v="1"/>
    <n v="1"/>
    <n v="1"/>
    <n v="0"/>
    <n v="0"/>
    <n v="1"/>
    <n v="1"/>
    <n v="1"/>
    <n v="1"/>
    <n v="1"/>
    <n v="1"/>
    <n v="1"/>
    <n v="0"/>
    <n v="0"/>
    <n v="1"/>
    <n v="0"/>
    <n v="0"/>
    <n v="1"/>
    <n v="1"/>
    <n v="1"/>
    <n v="1"/>
    <n v="1"/>
    <n v="1"/>
  </r>
  <r>
    <x v="1"/>
    <x v="2"/>
    <x v="0"/>
    <x v="0"/>
    <x v="19"/>
    <n v="2"/>
    <n v="5"/>
    <n v="1"/>
    <x v="35"/>
    <n v="4"/>
    <n v="2"/>
    <n v="3"/>
    <n v="2"/>
    <n v="1"/>
    <n v="1"/>
    <n v="2"/>
    <n v="3"/>
    <n v="2"/>
    <n v="1"/>
    <n v="2"/>
    <n v="4"/>
    <n v="2"/>
    <n v="3"/>
    <n v="3"/>
    <n v="4"/>
    <n v="1"/>
    <n v="3"/>
    <n v="3"/>
    <n v="1"/>
    <n v="2"/>
    <n v="2"/>
    <n v="3"/>
    <n v="2"/>
    <n v="1"/>
    <n v="4"/>
    <n v="1"/>
    <n v="3"/>
    <n v="1"/>
    <n v="1"/>
    <n v="1"/>
    <n v="1"/>
    <n v="1"/>
    <n v="0"/>
    <n v="1"/>
    <n v="1"/>
    <n v="1"/>
    <n v="1"/>
    <n v="1"/>
    <n v="1"/>
    <n v="0"/>
    <n v="1"/>
    <n v="0"/>
    <n v="0"/>
    <n v="0"/>
    <n v="1"/>
    <n v="1"/>
    <n v="1"/>
    <n v="1"/>
    <n v="1"/>
    <n v="0"/>
    <n v="1"/>
    <n v="0"/>
    <n v="1"/>
    <n v="0"/>
    <n v="1"/>
    <n v="0"/>
    <n v="1"/>
    <n v="1"/>
    <n v="1"/>
    <n v="0"/>
    <n v="1"/>
    <n v="1"/>
    <n v="1"/>
    <n v="1"/>
    <n v="1"/>
    <n v="1"/>
  </r>
  <r>
    <x v="1"/>
    <x v="1"/>
    <x v="0"/>
    <x v="1"/>
    <x v="8"/>
    <n v="2"/>
    <n v="0"/>
    <n v="0"/>
    <x v="28"/>
    <n v="4"/>
    <n v="2"/>
    <n v="4"/>
    <n v="1"/>
    <n v="3"/>
    <n v="3"/>
    <n v="2"/>
    <n v="4"/>
    <n v="1"/>
    <n v="2"/>
    <n v="4"/>
    <n v="3"/>
    <n v="2"/>
    <n v="1"/>
    <n v="1"/>
    <n v="4"/>
    <n v="3"/>
    <n v="4"/>
    <n v="3"/>
    <n v="1"/>
    <n v="3"/>
    <n v="2"/>
    <n v="3"/>
    <n v="4"/>
    <n v="1"/>
    <n v="4"/>
    <n v="1"/>
    <n v="3"/>
    <n v="1"/>
    <n v="1"/>
    <n v="0"/>
    <n v="0"/>
    <n v="0"/>
    <n v="0"/>
    <n v="0"/>
    <n v="0"/>
    <n v="0"/>
    <n v="1"/>
    <n v="1"/>
    <n v="0"/>
    <n v="0"/>
    <n v="0"/>
    <n v="0"/>
    <n v="0"/>
    <n v="0"/>
    <n v="0"/>
    <n v="0"/>
    <n v="0"/>
    <n v="0"/>
    <n v="1"/>
    <n v="0"/>
    <n v="0"/>
    <n v="0"/>
    <n v="0"/>
    <n v="1"/>
    <n v="1"/>
    <n v="0"/>
    <n v="0"/>
    <n v="1"/>
    <n v="1"/>
    <n v="0"/>
    <n v="1"/>
    <n v="1"/>
    <n v="1"/>
    <n v="1"/>
    <n v="0"/>
    <n v="0"/>
  </r>
  <r>
    <x v="0"/>
    <x v="0"/>
    <x v="0"/>
    <x v="0"/>
    <x v="1"/>
    <n v="2"/>
    <n v="2"/>
    <n v="0"/>
    <x v="38"/>
    <n v="4"/>
    <n v="1"/>
    <n v="2"/>
    <n v="3"/>
    <n v="1"/>
    <n v="3"/>
    <n v="2"/>
    <n v="2"/>
    <n v="2"/>
    <n v="1"/>
    <n v="2"/>
    <n v="4"/>
    <n v="1"/>
    <n v="4"/>
    <n v="1"/>
    <n v="2"/>
    <n v="1"/>
    <n v="3"/>
    <n v="4"/>
    <n v="2"/>
    <n v="4"/>
    <n v="1"/>
    <n v="3"/>
    <n v="4"/>
    <n v="3"/>
    <n v="2"/>
    <n v="1"/>
    <n v="3"/>
    <n v="2"/>
    <n v="0"/>
    <n v="0"/>
    <n v="1"/>
    <n v="1"/>
    <n v="0"/>
    <n v="0"/>
    <n v="0"/>
    <n v="0"/>
    <n v="1"/>
    <n v="0"/>
    <n v="0"/>
    <n v="1"/>
    <n v="1"/>
    <n v="0"/>
    <n v="0"/>
    <n v="1"/>
    <n v="1"/>
    <n v="1"/>
    <n v="1"/>
    <n v="1"/>
    <n v="0"/>
    <n v="1"/>
    <n v="0"/>
    <n v="0"/>
    <n v="1"/>
    <n v="0"/>
    <n v="0"/>
    <n v="0"/>
    <n v="0"/>
    <n v="0"/>
    <n v="1"/>
    <n v="0"/>
    <n v="0"/>
    <n v="0"/>
    <n v="1"/>
    <n v="1"/>
    <n v="0"/>
    <n v="0"/>
  </r>
  <r>
    <x v="1"/>
    <x v="1"/>
    <x v="0"/>
    <x v="0"/>
    <x v="2"/>
    <n v="0"/>
    <n v="0"/>
    <n v="0"/>
    <x v="2"/>
    <m/>
    <m/>
    <m/>
    <m/>
    <m/>
    <m/>
    <m/>
    <m/>
    <m/>
    <m/>
    <m/>
    <m/>
    <m/>
    <m/>
    <m/>
    <m/>
    <m/>
    <m/>
    <m/>
    <m/>
    <m/>
    <m/>
    <m/>
    <m/>
    <m/>
    <m/>
    <m/>
    <m/>
    <m/>
    <m/>
    <m/>
    <m/>
    <m/>
    <m/>
    <m/>
    <m/>
    <m/>
    <n v="0"/>
    <n v="0"/>
    <n v="0"/>
    <n v="0"/>
    <n v="0"/>
    <n v="0"/>
    <n v="0"/>
    <n v="0"/>
    <n v="0"/>
    <n v="0"/>
    <n v="0"/>
    <n v="0"/>
    <n v="0"/>
    <n v="0"/>
    <n v="0"/>
    <n v="0"/>
    <n v="0"/>
    <n v="0"/>
    <n v="0"/>
    <n v="0"/>
    <n v="0"/>
    <n v="0"/>
    <n v="0"/>
    <n v="0"/>
    <n v="0"/>
    <n v="0"/>
    <n v="0"/>
    <n v="0"/>
    <n v="0"/>
    <n v="0"/>
  </r>
  <r>
    <x v="0"/>
    <x v="0"/>
    <x v="0"/>
    <x v="0"/>
    <x v="6"/>
    <n v="1"/>
    <n v="6"/>
    <n v="1.5"/>
    <x v="0"/>
    <n v="4"/>
    <n v="2"/>
    <n v="3"/>
    <n v="3"/>
    <n v="1"/>
    <n v="4"/>
    <n v="3"/>
    <n v="2"/>
    <n v="2"/>
    <n v="1"/>
    <n v="2"/>
    <n v="3"/>
    <n v="1"/>
    <n v="4"/>
    <n v="3"/>
    <n v="1"/>
    <n v="1"/>
    <n v="4"/>
    <n v="3"/>
    <n v="2"/>
    <n v="4"/>
    <n v="1"/>
    <n v="3"/>
    <n v="3"/>
    <n v="4"/>
    <n v="4"/>
    <n v="1"/>
    <n v="3"/>
    <n v="1"/>
    <n v="0"/>
    <n v="1"/>
    <n v="1"/>
    <n v="1"/>
    <n v="1"/>
    <n v="1"/>
    <n v="1"/>
    <n v="1.5"/>
    <n v="1"/>
    <n v="1"/>
    <n v="1"/>
    <n v="1"/>
    <n v="1"/>
    <n v="1"/>
    <n v="1"/>
    <n v="1"/>
    <n v="1"/>
    <n v="1"/>
    <n v="1"/>
    <n v="0"/>
    <n v="0"/>
    <n v="1"/>
    <n v="1"/>
    <n v="1"/>
    <n v="1"/>
    <n v="1"/>
    <n v="1"/>
    <n v="0"/>
    <n v="0"/>
    <n v="0"/>
    <n v="1"/>
    <n v="1"/>
    <n v="0"/>
    <n v="1"/>
    <n v="1"/>
    <n v="1"/>
    <n v="1"/>
    <n v="1"/>
  </r>
  <r>
    <x v="0"/>
    <x v="0"/>
    <x v="0"/>
    <x v="0"/>
    <x v="4"/>
    <n v="3"/>
    <n v="5"/>
    <n v="2"/>
    <x v="35"/>
    <n v="4"/>
    <n v="1"/>
    <n v="1"/>
    <n v="1"/>
    <n v="1"/>
    <n v="2"/>
    <n v="4"/>
    <n v="3"/>
    <n v="2"/>
    <n v="1"/>
    <n v="2"/>
    <n v="4"/>
    <n v="3"/>
    <n v="4"/>
    <n v="3"/>
    <n v="4"/>
    <n v="1"/>
    <n v="4"/>
    <n v="3"/>
    <n v="1"/>
    <n v="3"/>
    <n v="2"/>
    <n v="3"/>
    <n v="3"/>
    <n v="3"/>
    <n v="4"/>
    <n v="4"/>
    <n v="2"/>
    <n v="3"/>
    <n v="0"/>
    <n v="1"/>
    <n v="1"/>
    <n v="1"/>
    <n v="0"/>
    <n v="1"/>
    <n v="1"/>
    <n v="2"/>
    <n v="1"/>
    <n v="0"/>
    <n v="0"/>
    <n v="0"/>
    <n v="1"/>
    <n v="0"/>
    <n v="0"/>
    <n v="0"/>
    <n v="1"/>
    <n v="1"/>
    <n v="1"/>
    <n v="1"/>
    <n v="0"/>
    <n v="1"/>
    <n v="1"/>
    <n v="0"/>
    <n v="1"/>
    <n v="1"/>
    <n v="1"/>
    <n v="0"/>
    <n v="0"/>
    <n v="1"/>
    <n v="1"/>
    <n v="1"/>
    <n v="0"/>
    <n v="1"/>
    <n v="0"/>
    <n v="0"/>
    <n v="1"/>
    <n v="1"/>
  </r>
  <r>
    <x v="1"/>
    <x v="1"/>
    <x v="0"/>
    <x v="0"/>
    <x v="11"/>
    <n v="3"/>
    <n v="5"/>
    <n v="0"/>
    <x v="25"/>
    <n v="4"/>
    <n v="1"/>
    <n v="3"/>
    <n v="3"/>
    <n v="1"/>
    <n v="3"/>
    <n v="2"/>
    <n v="2"/>
    <n v="2"/>
    <n v="1"/>
    <n v="2"/>
    <n v="4"/>
    <n v="2"/>
    <n v="3"/>
    <n v="3"/>
    <n v="1"/>
    <n v="1"/>
    <n v="4"/>
    <n v="3"/>
    <n v="4"/>
    <n v="4"/>
    <n v="2"/>
    <n v="3"/>
    <n v="2"/>
    <n v="2"/>
    <n v="4"/>
    <n v="2"/>
    <n v="3"/>
    <n v="2"/>
    <n v="1"/>
    <n v="1"/>
    <n v="1"/>
    <n v="1"/>
    <n v="1"/>
    <n v="1"/>
    <n v="0"/>
    <n v="0"/>
    <n v="1"/>
    <n v="0"/>
    <n v="1"/>
    <n v="1"/>
    <n v="1"/>
    <n v="0"/>
    <n v="0"/>
    <n v="1"/>
    <n v="1"/>
    <n v="1"/>
    <n v="1"/>
    <n v="1"/>
    <n v="1"/>
    <n v="0"/>
    <n v="1"/>
    <n v="1"/>
    <n v="1"/>
    <n v="1"/>
    <n v="1"/>
    <n v="1"/>
    <n v="0"/>
    <n v="1"/>
    <n v="1"/>
    <n v="0"/>
    <n v="0"/>
    <n v="1"/>
    <n v="0"/>
    <n v="1"/>
    <n v="0"/>
    <n v="0"/>
  </r>
  <r>
    <x v="0"/>
    <x v="1"/>
    <x v="0"/>
    <x v="0"/>
    <x v="0"/>
    <n v="1"/>
    <n v="6"/>
    <n v="2"/>
    <x v="0"/>
    <n v="4"/>
    <n v="2"/>
    <n v="3"/>
    <n v="2"/>
    <n v="1"/>
    <n v="4"/>
    <n v="3"/>
    <n v="2"/>
    <n v="2"/>
    <n v="1"/>
    <n v="2"/>
    <n v="4"/>
    <n v="2"/>
    <n v="2"/>
    <n v="3"/>
    <n v="3"/>
    <n v="1"/>
    <n v="4"/>
    <n v="3"/>
    <n v="2"/>
    <n v="3"/>
    <n v="2"/>
    <n v="4"/>
    <n v="3"/>
    <n v="1"/>
    <n v="4"/>
    <n v="4"/>
    <n v="3"/>
    <n v="0"/>
    <n v="1"/>
    <n v="1"/>
    <n v="1"/>
    <n v="1"/>
    <n v="1"/>
    <n v="1"/>
    <n v="1"/>
    <n v="2"/>
    <n v="1"/>
    <n v="1"/>
    <n v="1"/>
    <n v="0"/>
    <n v="1"/>
    <n v="1"/>
    <n v="1"/>
    <n v="1"/>
    <n v="1"/>
    <n v="1"/>
    <n v="1"/>
    <n v="1"/>
    <n v="1"/>
    <n v="0"/>
    <n v="1"/>
    <n v="0"/>
    <n v="1"/>
    <n v="1"/>
    <n v="1"/>
    <n v="0"/>
    <n v="0"/>
    <n v="1"/>
    <n v="0"/>
    <n v="1"/>
    <n v="1"/>
    <n v="1"/>
    <n v="0"/>
    <n v="1"/>
    <n v="1"/>
    <n v="1"/>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1"/>
    <x v="15"/>
    <n v="3"/>
    <n v="0"/>
    <n v="0"/>
    <x v="45"/>
    <n v="2"/>
    <n v="3"/>
    <n v="3"/>
    <n v="1"/>
    <n v="1"/>
    <n v="1"/>
    <n v="3"/>
    <n v="2"/>
    <n v="2"/>
    <n v="2"/>
    <n v="2"/>
    <n v="1"/>
    <n v="3"/>
    <n v="3"/>
    <n v="1"/>
    <n v="4"/>
    <n v="1"/>
    <n v="3"/>
    <n v="3"/>
    <n v="1"/>
    <n v="2"/>
    <n v="2"/>
    <n v="2"/>
    <n v="1"/>
    <n v="4"/>
    <n v="2"/>
    <n v="1"/>
    <n v="3"/>
    <n v="2"/>
    <n v="1"/>
    <n v="0"/>
    <n v="0"/>
    <n v="0"/>
    <n v="0"/>
    <n v="0"/>
    <n v="0"/>
    <n v="0"/>
    <n v="0"/>
    <n v="0"/>
    <n v="1"/>
    <n v="0"/>
    <n v="1"/>
    <n v="0"/>
    <n v="1"/>
    <n v="1"/>
    <n v="1"/>
    <n v="0"/>
    <n v="1"/>
    <n v="0"/>
    <n v="0"/>
    <n v="0"/>
    <n v="0"/>
    <n v="0"/>
    <n v="1"/>
    <n v="0"/>
    <n v="1"/>
    <n v="0"/>
    <n v="1"/>
    <n v="1"/>
    <n v="0"/>
    <n v="0"/>
    <n v="0"/>
    <n v="0"/>
    <n v="1"/>
    <n v="1"/>
    <n v="0"/>
    <n v="0"/>
  </r>
  <r>
    <x v="1"/>
    <x v="3"/>
    <x v="0"/>
    <x v="0"/>
    <x v="2"/>
    <n v="0"/>
    <n v="0"/>
    <n v="0"/>
    <x v="2"/>
    <m/>
    <m/>
    <m/>
    <m/>
    <m/>
    <m/>
    <m/>
    <m/>
    <m/>
    <m/>
    <m/>
    <m/>
    <m/>
    <m/>
    <m/>
    <m/>
    <m/>
    <m/>
    <m/>
    <m/>
    <m/>
    <m/>
    <m/>
    <m/>
    <m/>
    <m/>
    <m/>
    <m/>
    <m/>
    <m/>
    <m/>
    <m/>
    <m/>
    <m/>
    <m/>
    <m/>
    <m/>
    <n v="0"/>
    <n v="0"/>
    <n v="0"/>
    <n v="0"/>
    <n v="0"/>
    <n v="0"/>
    <n v="0"/>
    <n v="0"/>
    <n v="0"/>
    <n v="0"/>
    <n v="0"/>
    <n v="0"/>
    <n v="0"/>
    <n v="0"/>
    <n v="0"/>
    <n v="0"/>
    <n v="0"/>
    <n v="0"/>
    <n v="0"/>
    <n v="0"/>
    <n v="0"/>
    <n v="0"/>
    <n v="0"/>
    <n v="0"/>
    <n v="0"/>
    <n v="0"/>
    <n v="0"/>
    <n v="0"/>
    <n v="0"/>
    <n v="0"/>
  </r>
  <r>
    <x v="1"/>
    <x v="1"/>
    <x v="0"/>
    <x v="0"/>
    <x v="12"/>
    <n v="0"/>
    <n v="0"/>
    <n v="0"/>
    <x v="46"/>
    <n v="2"/>
    <n v="3"/>
    <n v="2"/>
    <n v="3"/>
    <n v="1"/>
    <n v="4"/>
    <n v="2"/>
    <n v="1"/>
    <n v="3"/>
    <n v="1"/>
    <n v="2"/>
    <n v="1"/>
    <n v="2"/>
    <n v="3"/>
    <n v="4"/>
    <n v="2"/>
    <n v="3"/>
    <n v="3"/>
    <n v="2"/>
    <n v="3"/>
    <n v="3"/>
    <n v="3"/>
    <n v="2"/>
    <n v="4"/>
    <n v="2"/>
    <n v="4"/>
    <n v="3"/>
    <n v="2"/>
    <n v="0"/>
    <n v="0"/>
    <n v="0"/>
    <n v="0"/>
    <n v="0"/>
    <n v="0"/>
    <n v="0"/>
    <n v="0"/>
    <n v="0"/>
    <n v="0"/>
    <n v="0"/>
    <n v="0"/>
    <n v="1"/>
    <n v="1"/>
    <n v="1"/>
    <n v="0"/>
    <n v="0"/>
    <n v="0"/>
    <n v="1"/>
    <n v="1"/>
    <n v="0"/>
    <n v="1"/>
    <n v="0"/>
    <n v="0"/>
    <n v="0"/>
    <n v="0"/>
    <n v="0"/>
    <n v="0"/>
    <n v="0"/>
    <n v="0"/>
    <n v="0"/>
    <n v="0"/>
    <n v="0"/>
    <n v="0"/>
    <n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F1B3B-D283-4130-A86E-0BD05659AC3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ss">
  <location ref="I42:K46" firstHeaderRow="0" firstDataRow="1" firstDataCol="1" rowPageCount="2" colPageCount="1"/>
  <pivotFields count="76">
    <pivotField axis="axisRow" showAll="0">
      <items count="5">
        <item x="1"/>
        <item x="0"/>
        <item x="2"/>
        <item x="3"/>
        <item t="default"/>
      </items>
    </pivotField>
    <pivotField axis="axisPage" multipleItemSelectionAllowed="1" showAll="0">
      <items count="7">
        <item x="3"/>
        <item x="0"/>
        <item x="1"/>
        <item h="1" m="1" x="5"/>
        <item h="1" x="2"/>
        <item h="1" x="4"/>
        <item t="default"/>
      </items>
    </pivotField>
    <pivotField showAll="0"/>
    <pivotField showAll="0"/>
    <pivotField axis="axisPage"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3"/>
    </i>
    <i t="grand">
      <x/>
    </i>
  </rowItems>
  <colFields count="1">
    <field x="-2"/>
  </colFields>
  <colItems count="2">
    <i>
      <x/>
    </i>
    <i i="1">
      <x v="1"/>
    </i>
  </colItems>
  <pageFields count="2">
    <pageField fld="4" hier="-1"/>
    <pageField fld="1" hier="-1"/>
  </pageFields>
  <dataFields count="2">
    <dataField name="SEQ Set 1" fld="37" subtotal="average" baseField="0" baseItem="0"/>
    <dataField name="SEQ Set 2" fld="38" subtotal="average" baseField="0" baseItem="0"/>
  </dataFields>
  <formats count="5">
    <format dxfId="57">
      <pivotArea grandRow="1"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dataOnly="0" labelOnly="1" outline="0" fieldPosition="0">
        <references count="1">
          <reference field="4294967294" count="2">
            <x v="0"/>
            <x v="1"/>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F6DA4-6605-A047-9716-CFF4A379952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core">
  <location ref="B3:C50" firstHeaderRow="1" firstDataRow="1" firstDataCol="1"/>
  <pivotFields count="8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5">
        <item h="1" x="2"/>
        <item m="1" x="48"/>
        <item x="46"/>
        <item x="12"/>
        <item m="1" x="50"/>
        <item m="1" x="47"/>
        <item x="15"/>
        <item x="43"/>
        <item x="28"/>
        <item x="3"/>
        <item x="45"/>
        <item m="1" x="49"/>
        <item x="38"/>
        <item x="21"/>
        <item x="11"/>
        <item x="32"/>
        <item x="42"/>
        <item x="36"/>
        <item x="34"/>
        <item x="16"/>
        <item x="8"/>
        <item x="17"/>
        <item x="20"/>
        <item x="10"/>
        <item x="1"/>
        <item x="24"/>
        <item x="25"/>
        <item x="29"/>
        <item x="35"/>
        <item x="5"/>
        <item x="9"/>
        <item x="18"/>
        <item x="19"/>
        <item x="0"/>
        <item x="13"/>
        <item x="26"/>
        <item x="27"/>
        <item x="14"/>
        <item x="39"/>
        <item x="7"/>
        <item x="33"/>
        <item x="4"/>
        <item x="30"/>
        <item x="22"/>
        <item x="31"/>
        <item x="41"/>
        <item x="23"/>
        <item x="37"/>
        <item x="6"/>
        <item m="1" x="52"/>
        <item x="40"/>
        <item x="44"/>
        <item m="1" x="51"/>
        <item m="1"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7">
    <i>
      <x v="2"/>
    </i>
    <i>
      <x v="3"/>
    </i>
    <i>
      <x v="6"/>
    </i>
    <i>
      <x v="7"/>
    </i>
    <i>
      <x v="8"/>
    </i>
    <i>
      <x v="9"/>
    </i>
    <i>
      <x v="10"/>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t="grand">
      <x/>
    </i>
  </rowItems>
  <colItems count="1">
    <i/>
  </colItems>
  <dataFields count="1">
    <dataField name="Number of Students"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F8CED1-EC2E-4D47-B9BC-F4AB095528DB}"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ss">
  <location ref="E42:G48" firstHeaderRow="0" firstDataRow="1" firstDataCol="1" rowPageCount="1" colPageCount="1"/>
  <pivotFields count="76">
    <pivotField showAll="0"/>
    <pivotField axis="axisRow" showAll="0">
      <items count="7">
        <item x="3"/>
        <item x="0"/>
        <item x="1"/>
        <item m="1" x="5"/>
        <item x="2"/>
        <item x="4"/>
        <item t="default"/>
      </items>
    </pivotField>
    <pivotField showAll="0"/>
    <pivotField showAll="0"/>
    <pivotField axis="axisPage"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4"/>
    </i>
    <i>
      <x v="5"/>
    </i>
    <i t="grand">
      <x/>
    </i>
  </rowItems>
  <colFields count="1">
    <field x="-2"/>
  </colFields>
  <colItems count="2">
    <i>
      <x/>
    </i>
    <i i="1">
      <x v="1"/>
    </i>
  </colItems>
  <pageFields count="1">
    <pageField fld="4" hier="-1"/>
  </pageFields>
  <dataFields count="2">
    <dataField name="SEQ Set 1" fld="37" subtotal="average" baseField="0" baseItem="0"/>
    <dataField name="SEQ Set 2" fld="38" subtotal="average" baseField="0" baseItem="0"/>
  </dataFields>
  <formats count="5">
    <format dxfId="62">
      <pivotArea grandRow="1"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dataOnly="0" labelOnly="1" outline="0" fieldPosition="0">
        <references count="1">
          <reference field="4294967294" count="2">
            <x v="0"/>
            <x v="1"/>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4276FF-C3D8-1642-8433-63C904C75987}"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EP?">
  <location ref="E26:L29" firstHeaderRow="0" firstDataRow="1" firstDataCol="1" rowPageCount="1" colPageCount="1"/>
  <pivotFields count="76">
    <pivotField showAll="0"/>
    <pivotField showAll="0"/>
    <pivotField showAll="0"/>
    <pivotField axis="axisRow" showAll="0" sortType="descending">
      <items count="3">
        <item n="Yes" x="1"/>
        <item n="No" x="0"/>
        <item t="default"/>
      </items>
    </pivotField>
    <pivotField axis="axisPage" dataField="1"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3"/>
  </rowFields>
  <rowItems count="3">
    <i>
      <x/>
    </i>
    <i>
      <x v="1"/>
    </i>
    <i t="grand">
      <x/>
    </i>
  </rowItems>
  <colFields count="1">
    <field x="-2"/>
  </colFields>
  <colItems count="7">
    <i>
      <x/>
    </i>
    <i i="1">
      <x v="1"/>
    </i>
    <i i="2">
      <x v="2"/>
    </i>
    <i i="3">
      <x v="3"/>
    </i>
    <i i="4">
      <x v="4"/>
    </i>
    <i i="5">
      <x v="5"/>
    </i>
    <i i="6">
      <x v="6"/>
    </i>
  </colItems>
  <pageFields count="1">
    <pageField fld="4" hier="-1"/>
  </pageFields>
  <dataFields count="7">
    <dataField name="MC Score" fld="4" subtotal="average" baseField="0" baseItem="0"/>
    <dataField name="SEQ Score" fld="5" subtotal="average" baseField="0" baseItem="0"/>
    <dataField name="IIIA Score" fld="6" subtotal="average" baseField="0" baseItem="0"/>
    <dataField name="IIIB Score" fld="7" subtotal="average" baseField="0" baseItem="0"/>
    <dataField name="Final Score" fld="8" subtotal="average" baseField="0" baseItem="0" numFmtId="2"/>
    <dataField name="Passing Rate" fld="74" subtotal="average" baseField="0" baseItem="0" numFmtId="164"/>
    <dataField name="Passing* Rate" fld="75" subtotal="average" baseField="0" baseItem="0" numFmtId="164"/>
  </dataFields>
  <formats count="16">
    <format dxfId="78">
      <pivotArea grandRow="1" outline="0" collapsedLevelsAreSubtotals="1" fieldPosition="0"/>
    </format>
    <format dxfId="77">
      <pivotArea dataOnly="0" outline="0" fieldPosition="0">
        <references count="1">
          <reference field="4294967294" count="4">
            <x v="0"/>
            <x v="1"/>
            <x v="2"/>
            <x v="3"/>
          </reference>
        </references>
      </pivotArea>
    </format>
    <format dxfId="76">
      <pivotArea outline="0" collapsedLevelsAreSubtotals="1" fieldPosition="0">
        <references count="1">
          <reference field="4294967294" count="1" selected="0">
            <x v="6"/>
          </reference>
        </references>
      </pivotArea>
    </format>
    <format dxfId="75">
      <pivotArea dataOnly="0" labelOnly="1" outline="0" fieldPosition="0">
        <references count="1">
          <reference field="4294967294" count="1">
            <x v="6"/>
          </reference>
        </references>
      </pivotArea>
    </format>
    <format dxfId="74">
      <pivotArea outline="0" collapsedLevelsAreSubtotals="1" fieldPosition="0">
        <references count="1">
          <reference field="4294967294" count="2" selected="0">
            <x v="5"/>
            <x v="6"/>
          </reference>
        </references>
      </pivotArea>
    </format>
    <format dxfId="73">
      <pivotArea dataOnly="0" labelOnly="1" outline="0" fieldPosition="0">
        <references count="1">
          <reference field="4294967294" count="2">
            <x v="5"/>
            <x v="6"/>
          </reference>
        </references>
      </pivotArea>
    </format>
    <format dxfId="72">
      <pivotArea field="0" grandRow="1" outline="0" collapsedLevelsAreSubtotals="1">
        <references count="1">
          <reference field="4294967294" count="1" selected="0">
            <x v="5"/>
          </reference>
        </references>
      </pivotArea>
    </format>
    <format dxfId="71">
      <pivotArea collapsedLevelsAreSubtotals="1" fieldPosition="0">
        <references count="2">
          <reference field="4294967294" count="5" selected="0">
            <x v="0"/>
            <x v="1"/>
            <x v="2"/>
            <x v="3"/>
            <x v="5"/>
          </reference>
          <reference field="3" count="1">
            <x v="1"/>
          </reference>
        </references>
      </pivotArea>
    </format>
    <format dxfId="70">
      <pivotArea collapsedLevelsAreSubtotals="1" fieldPosition="0">
        <references count="2">
          <reference field="4294967294" count="5" selected="0">
            <x v="0"/>
            <x v="1"/>
            <x v="2"/>
            <x v="3"/>
            <x v="5"/>
          </reference>
          <reference field="3" count="1">
            <x v="0"/>
          </reference>
        </references>
      </pivotArea>
    </format>
    <format dxfId="69">
      <pivotArea collapsedLevelsAreSubtotals="1" fieldPosition="0">
        <references count="2">
          <reference field="4294967294" count="2" selected="0">
            <x v="5"/>
            <x v="6"/>
          </reference>
          <reference field="3" count="0"/>
        </references>
      </pivotArea>
    </format>
    <format dxfId="68">
      <pivotArea outline="0" collapsedLevelsAreSubtotals="1" fieldPosition="0">
        <references count="1">
          <reference field="4294967294" count="1" selected="0">
            <x v="4"/>
          </reference>
        </references>
      </pivotArea>
    </format>
    <format dxfId="67">
      <pivotArea dataOnly="0" labelOnly="1" outline="0" fieldPosition="0">
        <references count="1">
          <reference field="4294967294" count="1">
            <x v="4"/>
          </reference>
        </references>
      </pivotArea>
    </format>
    <format dxfId="66">
      <pivotArea outline="0" collapsedLevelsAreSubtotals="1" fieldPosition="0">
        <references count="1">
          <reference field="4294967294" count="1" selected="0">
            <x v="4"/>
          </reference>
        </references>
      </pivotArea>
    </format>
    <format dxfId="65">
      <pivotArea dataOnly="0" labelOnly="1" outline="0" fieldPosition="0">
        <references count="1">
          <reference field="4294967294" count="1">
            <x v="4"/>
          </reference>
        </references>
      </pivotArea>
    </format>
    <format dxfId="64">
      <pivotArea outline="0" collapsedLevelsAreSubtotals="1" fieldPosition="0">
        <references count="1">
          <reference field="4294967294" count="2" selected="0">
            <x v="5"/>
            <x v="6"/>
          </reference>
        </references>
      </pivotArea>
    </format>
    <format dxfId="63">
      <pivotArea dataOnly="0" labelOnly="1" outline="0" fieldPosition="0">
        <references count="1">
          <reference field="4294967294" count="2">
            <x v="5"/>
            <x v="6"/>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73E0C1-ED1F-6247-9F6F-77DE6D63065B}"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rade">
  <location ref="E5:L9" firstHeaderRow="0" firstDataRow="1" firstDataCol="1" rowPageCount="2" colPageCount="1"/>
  <pivotFields count="76">
    <pivotField axis="axisRow" showAll="0">
      <items count="5">
        <item x="1"/>
        <item x="0"/>
        <item x="2"/>
        <item x="3"/>
        <item t="default"/>
      </items>
    </pivotField>
    <pivotField axis="axisPage" multipleItemSelectionAllowed="1" showAll="0">
      <items count="7">
        <item h="1" x="2"/>
        <item x="3"/>
        <item x="0"/>
        <item x="1"/>
        <item h="1" x="4"/>
        <item h="1" m="1" x="5"/>
        <item t="default"/>
      </items>
    </pivotField>
    <pivotField showAll="0"/>
    <pivotField showAll="0"/>
    <pivotField axis="axisPage" dataField="1"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4">
    <i>
      <x/>
    </i>
    <i>
      <x v="1"/>
    </i>
    <i>
      <x v="3"/>
    </i>
    <i t="grand">
      <x/>
    </i>
  </rowItems>
  <colFields count="1">
    <field x="-2"/>
  </colFields>
  <colItems count="7">
    <i>
      <x/>
    </i>
    <i i="1">
      <x v="1"/>
    </i>
    <i i="2">
      <x v="2"/>
    </i>
    <i i="3">
      <x v="3"/>
    </i>
    <i i="4">
      <x v="4"/>
    </i>
    <i i="5">
      <x v="5"/>
    </i>
    <i i="6">
      <x v="6"/>
    </i>
  </colItems>
  <pageFields count="2">
    <pageField fld="4" hier="-1"/>
    <pageField fld="1" hier="-1"/>
  </pageFields>
  <dataFields count="7">
    <dataField name="MC Score" fld="4" subtotal="average" baseField="0" baseItem="0"/>
    <dataField name="SEQ Score" fld="5" subtotal="average" baseField="0" baseItem="0"/>
    <dataField name="IIIA Score" fld="6" subtotal="average" baseField="0" baseItem="0"/>
    <dataField name="IIIB Score" fld="7" subtotal="average" baseField="0" baseItem="0"/>
    <dataField name="Final Score" fld="8" subtotal="average" baseField="0" baseItem="0"/>
    <dataField name="Passing Rate" fld="74" subtotal="average" baseField="0" baseItem="0" numFmtId="164"/>
    <dataField name="Passing* Rate" fld="75" subtotal="average" baseField="0" baseItem="0" numFmtId="164"/>
  </dataFields>
  <formats count="13">
    <format dxfId="91">
      <pivotArea grandRow="1" outline="0" collapsedLevelsAreSubtotals="1" fieldPosition="0"/>
    </format>
    <format dxfId="90">
      <pivotArea collapsedLevelsAreSubtotals="1" fieldPosition="0">
        <references count="1">
          <reference field="0" count="0"/>
        </references>
      </pivotArea>
    </format>
    <format dxfId="89">
      <pivotArea dataOnly="0" outline="0" fieldPosition="0">
        <references count="1">
          <reference field="4294967294" count="4">
            <x v="0"/>
            <x v="1"/>
            <x v="2"/>
            <x v="3"/>
          </reference>
        </references>
      </pivotArea>
    </format>
    <format dxfId="88">
      <pivotArea collapsedLevelsAreSubtotals="1" fieldPosition="0">
        <references count="2">
          <reference field="4294967294" count="1" selected="0">
            <x v="5"/>
          </reference>
          <reference field="0" count="0"/>
        </references>
      </pivotArea>
    </format>
    <format dxfId="87">
      <pivotArea collapsedLevelsAreSubtotals="1" fieldPosition="0">
        <references count="2">
          <reference field="4294967294" count="1" selected="0">
            <x v="5"/>
          </reference>
          <reference field="0" count="0"/>
        </references>
      </pivotArea>
    </format>
    <format dxfId="86">
      <pivotArea outline="0" collapsedLevelsAreSubtotals="1" fieldPosition="0">
        <references count="1">
          <reference field="4294967294" count="1" selected="0">
            <x v="6"/>
          </reference>
        </references>
      </pivotArea>
    </format>
    <format dxfId="85">
      <pivotArea dataOnly="0" labelOnly="1" outline="0" fieldPosition="0">
        <references count="1">
          <reference field="4294967294" count="1">
            <x v="6"/>
          </reference>
        </references>
      </pivotArea>
    </format>
    <format dxfId="84">
      <pivotArea outline="0" collapsedLevelsAreSubtotals="1" fieldPosition="0">
        <references count="1">
          <reference field="4294967294" count="2" selected="0">
            <x v="5"/>
            <x v="6"/>
          </reference>
        </references>
      </pivotArea>
    </format>
    <format dxfId="83">
      <pivotArea dataOnly="0" labelOnly="1" outline="0" fieldPosition="0">
        <references count="1">
          <reference field="4294967294" count="2">
            <x v="5"/>
            <x v="6"/>
          </reference>
        </references>
      </pivotArea>
    </format>
    <format dxfId="82">
      <pivotArea field="0" grandRow="1" outline="0" collapsedLevelsAreSubtotals="1" axis="axisRow" fieldPosition="0">
        <references count="1">
          <reference field="4294967294" count="1" selected="0">
            <x v="5"/>
          </reference>
        </references>
      </pivotArea>
    </format>
    <format dxfId="81">
      <pivotArea outline="0" collapsedLevelsAreSubtotals="1" fieldPosition="0">
        <references count="1">
          <reference field="4294967294" count="1" selected="0">
            <x v="4"/>
          </reference>
        </references>
      </pivotArea>
    </format>
    <format dxfId="80">
      <pivotArea dataOnly="0" labelOnly="1" outline="0" fieldPosition="0">
        <references count="1">
          <reference field="4294967294" count="1">
            <x v="4"/>
          </reference>
        </references>
      </pivotArea>
    </format>
    <format dxfId="79">
      <pivotArea outline="0" collapsedLevelsAreSubtotals="1" fieldPosition="0">
        <references count="1">
          <reference field="4294967294" count="2" selected="0">
            <x v="5"/>
            <x v="6"/>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D24D18-14B6-824A-93A4-A21139361A8E}" name="PivotTable16"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lass">
  <location ref="E14:L22" firstHeaderRow="0" firstDataRow="1" firstDataCol="1" rowPageCount="2" colPageCount="1"/>
  <pivotFields count="76">
    <pivotField axis="axisRow" showAll="0">
      <items count="5">
        <item x="1"/>
        <item x="0"/>
        <item x="2"/>
        <item x="3"/>
        <item t="default"/>
      </items>
    </pivotField>
    <pivotField axis="axisRow" showAll="0">
      <items count="7">
        <item sd="0" x="3"/>
        <item sd="0" x="0"/>
        <item x="1"/>
        <item m="1" x="5"/>
        <item sd="0" x="2"/>
        <item sd="0" x="4"/>
        <item t="default"/>
      </items>
    </pivotField>
    <pivotField showAll="0"/>
    <pivotField showAll="0"/>
    <pivotField axis="axisPage" dataField="1"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dataField="1" showAll="0"/>
    <pivotField dataField="1" showAll="0"/>
    <pivotField dataField="1" showAll="0"/>
    <pivotField axis="axisPage" dataField="1" showAll="0">
      <items count="48">
        <item x="2"/>
        <item x="46"/>
        <item x="12"/>
        <item x="15"/>
        <item x="43"/>
        <item x="28"/>
        <item x="3"/>
        <item x="45"/>
        <item x="38"/>
        <item x="21"/>
        <item x="11"/>
        <item x="32"/>
        <item x="42"/>
        <item x="36"/>
        <item x="34"/>
        <item x="16"/>
        <item x="8"/>
        <item x="17"/>
        <item x="20"/>
        <item x="10"/>
        <item x="1"/>
        <item x="24"/>
        <item x="25"/>
        <item x="29"/>
        <item x="35"/>
        <item x="5"/>
        <item x="9"/>
        <item x="18"/>
        <item x="19"/>
        <item x="0"/>
        <item x="13"/>
        <item x="26"/>
        <item x="27"/>
        <item x="14"/>
        <item x="39"/>
        <item x="7"/>
        <item x="33"/>
        <item x="4"/>
        <item x="30"/>
        <item x="22"/>
        <item x="31"/>
        <item x="41"/>
        <item x="23"/>
        <item x="37"/>
        <item x="6"/>
        <item x="40"/>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2">
    <field x="1"/>
    <field x="0"/>
  </rowFields>
  <rowItems count="8">
    <i>
      <x/>
    </i>
    <i>
      <x v="1"/>
    </i>
    <i>
      <x v="2"/>
    </i>
    <i r="1">
      <x/>
    </i>
    <i r="1">
      <x v="1"/>
    </i>
    <i>
      <x v="4"/>
    </i>
    <i>
      <x v="5"/>
    </i>
    <i t="grand">
      <x/>
    </i>
  </rowItems>
  <colFields count="1">
    <field x="-2"/>
  </colFields>
  <colItems count="7">
    <i>
      <x/>
    </i>
    <i i="1">
      <x v="1"/>
    </i>
    <i i="2">
      <x v="2"/>
    </i>
    <i i="3">
      <x v="3"/>
    </i>
    <i i="4">
      <x v="4"/>
    </i>
    <i i="5">
      <x v="5"/>
    </i>
    <i i="6">
      <x v="6"/>
    </i>
  </colItems>
  <pageFields count="2">
    <pageField fld="4" hier="-1"/>
    <pageField fld="8" hier="-1"/>
  </pageFields>
  <dataFields count="7">
    <dataField name="MC Score" fld="4" subtotal="average" baseField="0" baseItem="0"/>
    <dataField name="SEQ Score" fld="5" subtotal="average" baseField="0" baseItem="0"/>
    <dataField name="IIIA Score" fld="6" subtotal="average" baseField="0" baseItem="0"/>
    <dataField name="IIIB Score" fld="7" subtotal="average" baseField="0" baseItem="0"/>
    <dataField name="Final Score" fld="8" subtotal="average" baseField="0" baseItem="0"/>
    <dataField name="Passing Rate" fld="74" subtotal="average" baseField="0" baseItem="0"/>
    <dataField name="Passing* Rate" fld="75" subtotal="average" baseField="0" baseItem="0"/>
  </dataFields>
  <formats count="17">
    <format dxfId="108">
      <pivotArea grandRow="1" outline="0" collapsedLevelsAreSubtotals="1" fieldPosition="0"/>
    </format>
    <format dxfId="107">
      <pivotArea dataOnly="0" outline="0" fieldPosition="0">
        <references count="1">
          <reference field="4294967294" count="4">
            <x v="0"/>
            <x v="1"/>
            <x v="2"/>
            <x v="3"/>
          </reference>
        </references>
      </pivotArea>
    </format>
    <format dxfId="106">
      <pivotArea outline="0" collapsedLevelsAreSubtotals="1" fieldPosition="0"/>
    </format>
    <format dxfId="105">
      <pivotArea outline="0" collapsedLevelsAreSubtotals="1" fieldPosition="0"/>
    </format>
    <format dxfId="104">
      <pivotArea dataOnly="0" outline="0" fieldPosition="0">
        <references count="1">
          <reference field="4294967294" count="2">
            <x v="5"/>
            <x v="6"/>
          </reference>
        </references>
      </pivotArea>
    </format>
    <format dxfId="103">
      <pivotArea dataOnly="0" outline="0" fieldPosition="0">
        <references count="1">
          <reference field="4294967294" count="2">
            <x v="5"/>
            <x v="6"/>
          </reference>
        </references>
      </pivotArea>
    </format>
    <format dxfId="102">
      <pivotArea outline="0" collapsedLevelsAreSubtotals="1" fieldPosition="0">
        <references count="1">
          <reference field="4294967294" count="1" selected="0">
            <x v="4"/>
          </reference>
        </references>
      </pivotArea>
    </format>
    <format dxfId="101">
      <pivotArea dataOnly="0" labelOnly="1" outline="0" fieldPosition="0">
        <references count="1">
          <reference field="4294967294" count="1">
            <x v="4"/>
          </reference>
        </references>
      </pivotArea>
    </format>
    <format dxfId="100">
      <pivotArea outline="0" collapsedLevelsAreSubtotals="1" fieldPosition="0">
        <references count="1">
          <reference field="4294967294" count="1" selected="0">
            <x v="4"/>
          </reference>
        </references>
      </pivotArea>
    </format>
    <format dxfId="99">
      <pivotArea dataOnly="0" labelOnly="1" outline="0" fieldPosition="0">
        <references count="1">
          <reference field="4294967294" count="1">
            <x v="4"/>
          </reference>
        </references>
      </pivotArea>
    </format>
    <format dxfId="98">
      <pivotArea collapsedLevelsAreSubtotals="1" fieldPosition="0">
        <references count="2">
          <reference field="4294967294" count="2" selected="0">
            <x v="5"/>
            <x v="6"/>
          </reference>
          <reference field="1" count="1">
            <x v="0"/>
          </reference>
        </references>
      </pivotArea>
    </format>
    <format dxfId="97">
      <pivotArea collapsedLevelsAreSubtotals="1" fieldPosition="0">
        <references count="2">
          <reference field="4294967294" count="2" selected="0">
            <x v="5"/>
            <x v="6"/>
          </reference>
          <reference field="1" count="1">
            <x v="1"/>
          </reference>
        </references>
      </pivotArea>
    </format>
    <format dxfId="96">
      <pivotArea collapsedLevelsAreSubtotals="1" fieldPosition="0">
        <references count="2">
          <reference field="4294967294" count="2" selected="0">
            <x v="5"/>
            <x v="6"/>
          </reference>
          <reference field="1" count="1">
            <x v="2"/>
          </reference>
        </references>
      </pivotArea>
    </format>
    <format dxfId="95">
      <pivotArea collapsedLevelsAreSubtotals="1" fieldPosition="0">
        <references count="3">
          <reference field="4294967294" count="2" selected="0">
            <x v="5"/>
            <x v="6"/>
          </reference>
          <reference field="0" count="2">
            <x v="0"/>
            <x v="1"/>
          </reference>
          <reference field="1" count="1" selected="0">
            <x v="2"/>
          </reference>
        </references>
      </pivotArea>
    </format>
    <format dxfId="94">
      <pivotArea collapsedLevelsAreSubtotals="1" fieldPosition="0">
        <references count="2">
          <reference field="4294967294" count="2" selected="0">
            <x v="5"/>
            <x v="6"/>
          </reference>
          <reference field="1" count="1">
            <x v="4"/>
          </reference>
        </references>
      </pivotArea>
    </format>
    <format dxfId="93">
      <pivotArea collapsedLevelsAreSubtotals="1" fieldPosition="0">
        <references count="2">
          <reference field="4294967294" count="2" selected="0">
            <x v="5"/>
            <x v="6"/>
          </reference>
          <reference field="1" count="1">
            <x v="5"/>
          </reference>
        </references>
      </pivotArea>
    </format>
    <format dxfId="92">
      <pivotArea field="1" grandRow="1" outline="0" collapsedLevelsAreSubtotals="1" axis="axisRow" fieldPosition="0">
        <references count="1">
          <reference field="4294967294" count="2" selected="0">
            <x v="5"/>
            <x v="6"/>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15BB71-27B6-4764-983C-1899032A9E1B}"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LL?">
  <location ref="E34:L37" firstHeaderRow="0" firstDataRow="1" firstDataCol="1" rowPageCount="1" colPageCount="1"/>
  <pivotFields count="76">
    <pivotField showAll="0"/>
    <pivotField showAll="0"/>
    <pivotField axis="axisRow" showAll="0" sortType="descending">
      <items count="3">
        <item n="Yes" x="1"/>
        <item n="No" x="0"/>
        <item t="default"/>
      </items>
    </pivotField>
    <pivotField showAll="0" sortType="descending"/>
    <pivotField axis="axisPage" dataField="1" multipleItemSelectionAllowed="1" showAll="0">
      <items count="24">
        <item h="1" x="2"/>
        <item x="10"/>
        <item x="12"/>
        <item x="3"/>
        <item x="17"/>
        <item x="7"/>
        <item x="8"/>
        <item x="15"/>
        <item x="1"/>
        <item x="21"/>
        <item x="4"/>
        <item x="14"/>
        <item x="20"/>
        <item x="13"/>
        <item x="19"/>
        <item x="11"/>
        <item x="0"/>
        <item x="6"/>
        <item x="16"/>
        <item x="18"/>
        <item x="5"/>
        <item x="9"/>
        <item x="22"/>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2"/>
  </rowFields>
  <rowItems count="3">
    <i>
      <x/>
    </i>
    <i>
      <x v="1"/>
    </i>
    <i t="grand">
      <x/>
    </i>
  </rowItems>
  <colFields count="1">
    <field x="-2"/>
  </colFields>
  <colItems count="7">
    <i>
      <x/>
    </i>
    <i i="1">
      <x v="1"/>
    </i>
    <i i="2">
      <x v="2"/>
    </i>
    <i i="3">
      <x v="3"/>
    </i>
    <i i="4">
      <x v="4"/>
    </i>
    <i i="5">
      <x v="5"/>
    </i>
    <i i="6">
      <x v="6"/>
    </i>
  </colItems>
  <pageFields count="1">
    <pageField fld="4" hier="-1"/>
  </pageFields>
  <dataFields count="7">
    <dataField name="MC Score" fld="4" subtotal="average" baseField="0" baseItem="0"/>
    <dataField name="SEQ Score" fld="5" subtotal="average" baseField="0" baseItem="0"/>
    <dataField name="IIIA Score" fld="6" subtotal="average" baseField="0" baseItem="0"/>
    <dataField name="IIIB Score" fld="7" subtotal="average" baseField="0" baseItem="0"/>
    <dataField name="Final Score" fld="8" subtotal="average" baseField="0" baseItem="0" numFmtId="2"/>
    <dataField name="Passing Rate" fld="74" subtotal="average" baseField="0" baseItem="0" numFmtId="164"/>
    <dataField name="Passing* Rate" fld="75" subtotal="average" baseField="0" baseItem="0" numFmtId="164"/>
  </dataFields>
  <formats count="16">
    <format dxfId="124">
      <pivotArea grandRow="1" outline="0" collapsedLevelsAreSubtotals="1" fieldPosition="0"/>
    </format>
    <format dxfId="123">
      <pivotArea dataOnly="0" outline="0" fieldPosition="0">
        <references count="1">
          <reference field="4294967294" count="4">
            <x v="0"/>
            <x v="1"/>
            <x v="2"/>
            <x v="3"/>
          </reference>
        </references>
      </pivotArea>
    </format>
    <format dxfId="122">
      <pivotArea outline="0" collapsedLevelsAreSubtotals="1" fieldPosition="0">
        <references count="1">
          <reference field="4294967294" count="1" selected="0">
            <x v="6"/>
          </reference>
        </references>
      </pivotArea>
    </format>
    <format dxfId="121">
      <pivotArea dataOnly="0" labelOnly="1" outline="0" fieldPosition="0">
        <references count="1">
          <reference field="4294967294" count="1">
            <x v="6"/>
          </reference>
        </references>
      </pivotArea>
    </format>
    <format dxfId="120">
      <pivotArea outline="0" collapsedLevelsAreSubtotals="1" fieldPosition="0">
        <references count="1">
          <reference field="4294967294" count="2" selected="0">
            <x v="5"/>
            <x v="6"/>
          </reference>
        </references>
      </pivotArea>
    </format>
    <format dxfId="119">
      <pivotArea dataOnly="0" labelOnly="1" outline="0" fieldPosition="0">
        <references count="1">
          <reference field="4294967294" count="2">
            <x v="5"/>
            <x v="6"/>
          </reference>
        </references>
      </pivotArea>
    </format>
    <format dxfId="118">
      <pivotArea field="0" grandRow="1" outline="0" collapsedLevelsAreSubtotals="1">
        <references count="1">
          <reference field="4294967294" count="1" selected="0">
            <x v="5"/>
          </reference>
        </references>
      </pivotArea>
    </format>
    <format dxfId="117">
      <pivotArea outline="0" collapsedLevelsAreSubtotals="1" fieldPosition="0">
        <references count="1">
          <reference field="4294967294" count="1" selected="0">
            <x v="4"/>
          </reference>
        </references>
      </pivotArea>
    </format>
    <format dxfId="116">
      <pivotArea dataOnly="0" labelOnly="1" outline="0" fieldPosition="0">
        <references count="1">
          <reference field="4294967294" count="1">
            <x v="4"/>
          </reference>
        </references>
      </pivotArea>
    </format>
    <format dxfId="115">
      <pivotArea outline="0" collapsedLevelsAreSubtotals="1" fieldPosition="0">
        <references count="1">
          <reference field="4294967294" count="1" selected="0">
            <x v="4"/>
          </reference>
        </references>
      </pivotArea>
    </format>
    <format dxfId="114">
      <pivotArea dataOnly="0" labelOnly="1" outline="0" fieldPosition="0">
        <references count="1">
          <reference field="4294967294" count="1">
            <x v="4"/>
          </reference>
        </references>
      </pivotArea>
    </format>
    <format dxfId="113">
      <pivotArea collapsedLevelsAreSubtotals="1" fieldPosition="0">
        <references count="2">
          <reference field="4294967294" count="5" selected="0">
            <x v="1"/>
            <x v="2"/>
            <x v="3"/>
            <x v="4"/>
            <x v="5"/>
          </reference>
          <reference field="2" count="1">
            <x v="1"/>
          </reference>
        </references>
      </pivotArea>
    </format>
    <format dxfId="112">
      <pivotArea collapsedLevelsAreSubtotals="1" fieldPosition="0">
        <references count="2">
          <reference field="4294967294" count="1" selected="0">
            <x v="5"/>
          </reference>
          <reference field="2" count="1">
            <x v="0"/>
          </reference>
        </references>
      </pivotArea>
    </format>
    <format dxfId="111">
      <pivotArea collapsedLevelsAreSubtotals="1" fieldPosition="0">
        <references count="2">
          <reference field="4294967294" count="3" selected="0">
            <x v="0"/>
            <x v="1"/>
            <x v="2"/>
          </reference>
          <reference field="2" count="1">
            <x v="0"/>
          </reference>
        </references>
      </pivotArea>
    </format>
    <format dxfId="110">
      <pivotArea collapsedLevelsAreSubtotals="1" fieldPosition="0">
        <references count="2">
          <reference field="4294967294" count="1" selected="0">
            <x v="0"/>
          </reference>
          <reference field="2" count="1">
            <x v="1"/>
          </reference>
        </references>
      </pivotArea>
    </format>
    <format dxfId="109">
      <pivotArea outline="0" collapsedLevelsAreSubtotals="1" fieldPosition="0">
        <references count="1">
          <reference field="4294967294" count="2" selected="0">
            <x v="5"/>
            <x v="6"/>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B411A-DE40-1843-8AD0-69080DB52515}"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utside Info">
  <location ref="B14:D16" firstHeaderRow="0" firstDataRow="1" firstDataCol="1"/>
  <pivotFields count="19">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items count="6">
        <item x="2"/>
        <item x="3"/>
        <item x="0"/>
        <item x="1"/>
        <item h="1" x="4"/>
        <item t="default"/>
      </items>
    </pivotField>
    <pivotField showAll="0">
      <items count="5">
        <item x="2"/>
        <item x="0"/>
        <item x="1"/>
        <item h="1" x="3"/>
        <item t="default"/>
      </items>
    </pivotField>
    <pivotField showAll="0"/>
    <pivotField showAll="0"/>
    <pivotField axis="axisRow" showAll="0">
      <items count="4">
        <item x="0"/>
        <item x="1"/>
        <item h="1" x="2"/>
        <item t="default"/>
      </items>
    </pivotField>
    <pivotField showAll="0"/>
    <pivotField showAll="0"/>
    <pivotField showAll="0"/>
    <pivotField dataField="1" showAll="0">
      <items count="13">
        <item x="5"/>
        <item x="10"/>
        <item x="4"/>
        <item x="6"/>
        <item x="9"/>
        <item x="3"/>
        <item x="2"/>
        <item x="8"/>
        <item x="7"/>
        <item x="1"/>
        <item x="0"/>
        <item x="11"/>
        <item t="default"/>
      </items>
    </pivotField>
    <pivotField showAll="0"/>
  </pivotFields>
  <rowFields count="1">
    <field x="13"/>
  </rowFields>
  <rowItems count="2">
    <i>
      <x/>
    </i>
    <i>
      <x v="1"/>
    </i>
  </rowItems>
  <colFields count="1">
    <field x="-2"/>
  </colFields>
  <colItems count="2">
    <i>
      <x/>
    </i>
    <i i="1">
      <x v="1"/>
    </i>
  </colItems>
  <dataFields count="2">
    <dataField name="Average of Pct_Correct" fld="17" subtotal="average" baseField="0" baseItem="0" numFmtId="10"/>
    <dataField name="Count" fld="0" subtotal="count" baseField="0" baseItem="0"/>
  </dataFields>
  <formats count="5">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0"/>
          </reference>
        </references>
      </pivotArea>
    </format>
    <format dxfId="35">
      <pivotArea dataOnly="0" labelOnly="1" outline="0" fieldPosition="0">
        <references count="1">
          <reference field="4294967294" count="1">
            <x v="0"/>
          </reference>
        </references>
      </pivotArea>
    </format>
    <format dxfId="34">
      <pivotArea outline="0" collapsedLevelsAreSubtotals="1" fieldPosition="0">
        <references count="1">
          <reference field="4294967294" count="1" selected="0">
            <x v="1"/>
          </reference>
        </references>
      </pivotArea>
    </format>
    <format dxfId="33">
      <pivotArea dataOnly="0" labelOnly="1" outline="0" fieldPosition="0">
        <references count="1">
          <reference field="4294967294" count="1">
            <x v="1"/>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1DF4B2-146C-B145-9A53-8218D51CD5AF}"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Source Type">
  <location ref="B9:D12" firstHeaderRow="0" firstDataRow="1" firstDataCol="1"/>
  <pivotFields count="19">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showAll="0"/>
    <pivotField showAll="0"/>
    <pivotField showAll="0"/>
    <pivotField showAll="0"/>
    <pivotField showAll="0"/>
    <pivotField showAll="0">
      <items count="6">
        <item x="2"/>
        <item x="3"/>
        <item x="0"/>
        <item x="1"/>
        <item x="4"/>
        <item t="default"/>
      </items>
    </pivotField>
    <pivotField axis="axisRow" showAll="0">
      <items count="5">
        <item x="2"/>
        <item x="0"/>
        <item x="1"/>
        <item h="1" x="3"/>
        <item t="default"/>
      </items>
    </pivotField>
    <pivotField showAll="0"/>
    <pivotField showAll="0"/>
    <pivotField showAll="0"/>
    <pivotField showAll="0"/>
    <pivotField showAll="0"/>
    <pivotField showAll="0"/>
    <pivotField dataField="1" showAll="0"/>
    <pivotField showAll="0"/>
  </pivotFields>
  <rowFields count="1">
    <field x="10"/>
  </rowFields>
  <rowItems count="3">
    <i>
      <x/>
    </i>
    <i>
      <x v="1"/>
    </i>
    <i>
      <x v="2"/>
    </i>
  </rowItems>
  <colFields count="1">
    <field x="-2"/>
  </colFields>
  <colItems count="2">
    <i>
      <x/>
    </i>
    <i i="1">
      <x v="1"/>
    </i>
  </colItems>
  <dataFields count="2">
    <dataField name="Average of Pct_Correct" fld="17" subtotal="average" baseField="0" baseItem="0"/>
    <dataField name="Count" fld="0" subtotal="count" baseField="0" baseItem="0"/>
  </dataFields>
  <formats count="5">
    <format dxfId="42">
      <pivotArea collapsedLevelsAreSubtotals="1" fieldPosition="0">
        <references count="2">
          <reference field="4294967294" count="1" selected="0">
            <x v="0"/>
          </reference>
          <reference field="10" count="2">
            <x v="1"/>
            <x v="2"/>
          </reference>
        </references>
      </pivotArea>
    </format>
    <format dxfId="41">
      <pivotArea outline="0" collapsedLevelsAreSubtotals="1" fieldPosition="0">
        <references count="1">
          <reference field="4294967294" count="1" selected="0">
            <x v="0"/>
          </reference>
        </references>
      </pivotArea>
    </format>
    <format dxfId="40">
      <pivotArea dataOnly="0" labelOnly="1" outline="0" fieldPosition="0">
        <references count="1">
          <reference field="4294967294" count="1">
            <x v="0"/>
          </reference>
        </references>
      </pivotArea>
    </format>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C64AA4-53A8-D048-A422-94B9577ACB4E}"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Stimulus Type">
  <location ref="B3:D7" firstHeaderRow="0" firstDataRow="1" firstDataCol="1"/>
  <pivotFields count="19">
    <pivotField dataField="1"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showAll="0"/>
    <pivotField showAll="0"/>
    <pivotField showAll="0"/>
    <pivotField dataField="1" showAll="0"/>
    <pivotField showAll="0"/>
  </pivotFields>
  <rowFields count="1">
    <field x="9"/>
  </rowFields>
  <rowItems count="4">
    <i>
      <x/>
    </i>
    <i>
      <x v="1"/>
    </i>
    <i>
      <x v="2"/>
    </i>
    <i>
      <x v="3"/>
    </i>
  </rowItems>
  <colFields count="1">
    <field x="-2"/>
  </colFields>
  <colItems count="2">
    <i>
      <x/>
    </i>
    <i i="1">
      <x v="1"/>
    </i>
  </colItems>
  <dataFields count="2">
    <dataField name="Average of Pct_Correct" fld="17" subtotal="average" baseField="0" baseItem="0" numFmtId="10"/>
    <dataField name="Count" fld="0" subtotal="count" baseField="0" baseItem="0"/>
  </dataFields>
  <formats count="5">
    <format dxfId="47">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4">
      <pivotArea outline="0" collapsedLevelsAreSubtotals="1"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s>
  <pivotTableStyleInfo name="Light and Airy"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B8BAB4-6F86-2C44-A814-1508412BEE79}" name="Scores" displayName="Scores" ref="A1:BY250" totalsRowCount="1">
  <autoFilter ref="A1:BY249" xr:uid="{5DB8BAB4-6F86-2C44-A814-1508412BEE79}"/>
  <tableColumns count="77">
    <tableColumn id="7" xr3:uid="{DCB11C21-D7E6-4549-8D5E-DCE1B022B555}" name="ID" dataDxfId="278" totalsRowDxfId="277"/>
    <tableColumn id="1" xr3:uid="{61FAEDDD-AB6A-5C45-8F01-555D3C8DD3D6}" name="Grade" dataDxfId="276" totalsRowDxfId="275"/>
    <tableColumn id="2" xr3:uid="{9632A984-2489-4A8E-BF58-D98BBE888EC7}" name="Class" dataDxfId="274" totalsRowDxfId="273"/>
    <tableColumn id="8" xr3:uid="{3313EE5D-B080-0244-946F-B092099EA412}" name="ELL" dataDxfId="272" totalsRowDxfId="271"/>
    <tableColumn id="9" xr3:uid="{BDA43F7C-0B9B-6745-A317-7D08A653608B}" name="IEP" dataDxfId="270" totalsRowDxfId="269"/>
    <tableColumn id="10" xr3:uid="{AD35E5FE-E9FE-1E4A-B7D1-4FD009FDAFA5}" name="MC" dataDxfId="268" totalsRowDxfId="267">
      <calculatedColumnFormula>SUM(Scores[[#This Row],[Q1]:[Q28]])</calculatedColumnFormula>
    </tableColumn>
    <tableColumn id="11" xr3:uid="{6AE9E74A-2A79-8743-B23E-E43D74D0440E}" name="SEQ" dataDxfId="266" totalsRowDxfId="265">
      <calculatedColumnFormula>SUM(Scores[[#This Row],[29]]:Scores[[#This Row],[30]])</calculatedColumnFormula>
    </tableColumn>
    <tableColumn id="13" xr3:uid="{2D175AC5-FD14-BF4C-82B7-01885337EBDC}" name="IIIA" dataDxfId="264" totalsRowDxfId="263">
      <calculatedColumnFormula>SUM(Scores[[#This Row],[31]:[36]])</calculatedColumnFormula>
    </tableColumn>
    <tableColumn id="14" xr3:uid="{D24D7D15-23BE-7B4C-930F-C2F002313E13}" name="IIIB" dataDxfId="262" totalsRowDxfId="261">
      <calculatedColumnFormula>Scores[[#This Row],[37]]</calculatedColumnFormula>
    </tableColumn>
    <tableColumn id="15" xr3:uid="{97A64074-81BA-7F43-A207-1284A67787CF}" name="Final" dataDxfId="260" totalsRowDxfId="259">
      <calculatedColumnFormula>INDEX('Conversion Chart'!$C$3:$M$47,MATCH(SUM(Scores[[#This Row],[MC]:[IIIA]]),'Conversion Chart'!$B$3:$B$47),MATCH(Scores[[#This Row],[IIIB]],'Conversion Chart'!$C$2:$M$2))</calculatedColumnFormula>
    </tableColumn>
    <tableColumn id="16" xr3:uid="{5F99D494-D2DF-BF4B-B8DC-9F3C54081AE9}" name="1" dataDxfId="258" totalsRowDxfId="257"/>
    <tableColumn id="17" xr3:uid="{95238458-8341-3645-BF8D-0D1DDF36F331}" name="2" dataDxfId="256" totalsRowDxfId="255"/>
    <tableColumn id="18" xr3:uid="{C602AF72-B16C-0D42-908E-16911C248AA6}" name="3" dataDxfId="254" totalsRowDxfId="253"/>
    <tableColumn id="19" xr3:uid="{AE3B5ADD-B6B3-0445-961B-79D168F992F5}" name="4" dataDxfId="252" totalsRowDxfId="251"/>
    <tableColumn id="20" xr3:uid="{726BDCF4-3B64-1A40-9A0E-16A00F7FC9FE}" name="5" dataDxfId="250" totalsRowDxfId="249"/>
    <tableColumn id="21" xr3:uid="{11DAFBF7-01DF-9E40-AB00-62F58350CDF1}" name="6" dataDxfId="248" totalsRowDxfId="247"/>
    <tableColumn id="22" xr3:uid="{93503E36-9D37-CD49-9A23-518635969CC2}" name="7" dataDxfId="246" totalsRowDxfId="245"/>
    <tableColumn id="23" xr3:uid="{01005B6B-E54C-0645-BFD6-8151183960C2}" name="8" dataDxfId="244" totalsRowDxfId="243"/>
    <tableColumn id="24" xr3:uid="{168DF746-2472-C846-A60C-91F8846817A6}" name="9" dataDxfId="242" totalsRowDxfId="241"/>
    <tableColumn id="25" xr3:uid="{6774BD2C-6D41-CA44-A231-A03D007C28B3}" name="10" dataDxfId="240" totalsRowDxfId="239"/>
    <tableColumn id="26" xr3:uid="{4A3A62FE-B811-6F4B-B842-5930DD60648D}" name="11" dataDxfId="238" totalsRowDxfId="237"/>
    <tableColumn id="27" xr3:uid="{9640DBC3-8212-084D-A5DC-33EFD0A14379}" name="12" dataDxfId="236" totalsRowDxfId="235"/>
    <tableColumn id="28" xr3:uid="{F5635563-A126-8546-B9DA-E96213D9381F}" name="13" dataDxfId="234" totalsRowDxfId="233"/>
    <tableColumn id="29" xr3:uid="{35CE1920-234B-224A-BA48-A892AAE983B3}" name="14" dataDxfId="232" totalsRowDxfId="231"/>
    <tableColumn id="30" xr3:uid="{8EDF549E-2CA3-FC4A-86C9-FD070B139F77}" name="15" dataDxfId="230" totalsRowDxfId="229"/>
    <tableColumn id="31" xr3:uid="{7DD32768-1305-6C40-A6AD-869A25CB68CD}" name="16" dataDxfId="228" totalsRowDxfId="227"/>
    <tableColumn id="32" xr3:uid="{541F47C9-F24E-814A-A00E-985D1F840A7A}" name="17" dataDxfId="226" totalsRowDxfId="225"/>
    <tableColumn id="33" xr3:uid="{349B7021-F6C6-474A-AB02-71B4A3599FB2}" name="18" dataDxfId="224" totalsRowDxfId="223"/>
    <tableColumn id="34" xr3:uid="{621E32D5-1A93-AA44-8674-2456E66665D4}" name="19" dataDxfId="222" totalsRowDxfId="221"/>
    <tableColumn id="35" xr3:uid="{2B31DC22-20F6-5F41-BC96-A7B2871C66A8}" name="20" dataDxfId="220" totalsRowDxfId="219"/>
    <tableColumn id="36" xr3:uid="{161CEA0E-78AE-794E-A3F0-4056F6C5D289}" name="21" dataDxfId="218" totalsRowDxfId="217"/>
    <tableColumn id="37" xr3:uid="{B8DFEE23-8B6D-D64E-A2DB-D94628FC5B02}" name="22" dataDxfId="216" totalsRowDxfId="215"/>
    <tableColumn id="38" xr3:uid="{CDF7B995-4598-7D4E-9618-E6D7CCF6D1DC}" name="23" dataDxfId="214" totalsRowDxfId="213"/>
    <tableColumn id="39" xr3:uid="{E81EE4F2-058C-C748-85D5-061B93C3E4ED}" name="24" dataDxfId="212" totalsRowDxfId="211"/>
    <tableColumn id="40" xr3:uid="{29971DD1-FC8D-BC47-A3FB-305DC4732C8B}" name="25" dataDxfId="210" totalsRowDxfId="209"/>
    <tableColumn id="41" xr3:uid="{D1F67E2C-B3E7-494B-8684-277E2E04D62A}" name="26" dataDxfId="208" totalsRowDxfId="207"/>
    <tableColumn id="42" xr3:uid="{C4FD56A4-4549-B745-ADCB-38D59801A40D}" name="27" dataDxfId="206" totalsRowDxfId="205"/>
    <tableColumn id="43" xr3:uid="{F6899D93-7856-FD4D-B976-81C1F1AB971F}" name="28" dataDxfId="204" totalsRowDxfId="203"/>
    <tableColumn id="44" xr3:uid="{EFCA4685-997A-534E-AF83-47A186A757B2}" name="29" dataDxfId="202" totalsRowDxfId="201"/>
    <tableColumn id="45" xr3:uid="{9F4965D5-8FDD-874B-BAF8-E8E1B3CD5C93}" name="30" dataDxfId="200" totalsRowDxfId="199"/>
    <tableColumn id="46" xr3:uid="{96F2228A-23B1-0A4D-8CA7-602C5D7CD219}" name="31" dataDxfId="198" totalsRowDxfId="197"/>
    <tableColumn id="78" xr3:uid="{7CC75C13-474D-F847-9A1E-257836660F79}" name="32" dataDxfId="196" totalsRowDxfId="195"/>
    <tableColumn id="79" xr3:uid="{54B9290B-9125-324B-AA19-D636AC16E1C6}" name="33" dataDxfId="194" totalsRowDxfId="193"/>
    <tableColumn id="80" xr3:uid="{F8DEC866-9B69-2D4F-8F84-1605E2C72DA9}" name="34" dataDxfId="192" totalsRowDxfId="191"/>
    <tableColumn id="47" xr3:uid="{175FDE45-8DD7-1346-A45D-B4ECEC962021}" name="35" dataDxfId="190" totalsRowDxfId="189"/>
    <tableColumn id="48" xr3:uid="{727360A4-EFD0-1849-AC66-3D2C2C135506}" name="36" dataDxfId="188" totalsRowDxfId="187"/>
    <tableColumn id="82" xr3:uid="{9A1AED1F-31C8-884D-8E6C-161D677FC60C}" name="37" dataDxfId="186" totalsRowDxfId="185"/>
    <tableColumn id="50" xr3:uid="{A9193F63-C60A-F841-8AF7-083F10EDCF81}" name="Q1" dataDxfId="184" totalsRowDxfId="183">
      <calculatedColumnFormula>IF(K2=VLOOKUP(VALUE(K$1),Questions!$A:$E,5,FALSE),1,0)</calculatedColumnFormula>
    </tableColumn>
    <tableColumn id="51" xr3:uid="{BBA120F5-4B07-8C4D-BCFD-41302D803D0E}" name="Q2" dataDxfId="182" totalsRowDxfId="181">
      <calculatedColumnFormula>IF(L2=VLOOKUP(VALUE(L$1),Questions!$A:$E,5,FALSE),1,0)</calculatedColumnFormula>
    </tableColumn>
    <tableColumn id="52" xr3:uid="{D220B84C-66B6-2C43-8780-802E711E3B0C}" name="Q3" dataDxfId="180" totalsRowDxfId="179">
      <calculatedColumnFormula>IF(M2=VLOOKUP(VALUE(M$1),Questions!$A:$E,5,FALSE),1,0)</calculatedColumnFormula>
    </tableColumn>
    <tableColumn id="53" xr3:uid="{B7C45686-6904-964B-B4E1-05ED802CFE72}" name="Q4" dataDxfId="178" totalsRowDxfId="177">
      <calculatedColumnFormula>IF(N2=VLOOKUP(VALUE(N$1),Questions!$A:$E,5,FALSE),1,0)</calculatedColumnFormula>
    </tableColumn>
    <tableColumn id="54" xr3:uid="{DC167D51-24DD-514E-8AF9-D9EBC8D59B60}" name="Q5" dataDxfId="176" totalsRowDxfId="175">
      <calculatedColumnFormula>IF(O2=VLOOKUP(VALUE(O$1),Questions!$A:$E,5,FALSE),1,0)</calculatedColumnFormula>
    </tableColumn>
    <tableColumn id="55" xr3:uid="{9D33FC3C-F41C-0D43-BB88-38CB15D8FEB3}" name="Q6" dataDxfId="174" totalsRowDxfId="173">
      <calculatedColumnFormula>IF(P2=VLOOKUP(VALUE(P$1),Questions!$A:$E,5,FALSE),1,0)</calculatedColumnFormula>
    </tableColumn>
    <tableColumn id="56" xr3:uid="{396E9832-78B5-A74C-887F-57391FEA5669}" name="Q7" dataDxfId="172" totalsRowDxfId="171">
      <calculatedColumnFormula>IF(Q2=VLOOKUP(VALUE(Q$1),Questions!$A:$E,5,FALSE),1,0)</calculatedColumnFormula>
    </tableColumn>
    <tableColumn id="57" xr3:uid="{1D5DC549-C62F-7647-8D31-5482A0BCB775}" name="Q8" dataDxfId="170" totalsRowDxfId="169">
      <calculatedColumnFormula>IF(R2=VLOOKUP(VALUE(R$1),Questions!$A:$E,5,FALSE),1,0)</calculatedColumnFormula>
    </tableColumn>
    <tableColumn id="58" xr3:uid="{10212FDF-AFA7-774D-BB6B-FBF5031EA523}" name="Q9" dataDxfId="168" totalsRowDxfId="167">
      <calculatedColumnFormula>IF(S2=VLOOKUP(VALUE(S$1),Questions!$A:$E,5,FALSE),1,0)</calculatedColumnFormula>
    </tableColumn>
    <tableColumn id="59" xr3:uid="{9E2316DB-52B2-124E-A189-2EF75F3C8E7D}" name="Q10" dataDxfId="166" totalsRowDxfId="165">
      <calculatedColumnFormula>IF(T2=VLOOKUP(VALUE(T$1),Questions!$A:$E,5,FALSE),1,0)</calculatedColumnFormula>
    </tableColumn>
    <tableColumn id="60" xr3:uid="{6D02E736-F8EF-3A42-A882-C472C4B6E110}" name="Q11" dataDxfId="164" totalsRowDxfId="163">
      <calculatedColumnFormula>IF(U2=VLOOKUP(VALUE(U$1),Questions!$A:$E,5,FALSE),1,0)</calculatedColumnFormula>
    </tableColumn>
    <tableColumn id="61" xr3:uid="{DBEA05D2-D57D-C949-9FF9-FF94B8676852}" name="Q12" dataDxfId="162" totalsRowDxfId="161">
      <calculatedColumnFormula>IF(V2=VLOOKUP(VALUE(V$1),Questions!$A:$E,5,FALSE),1,0)</calculatedColumnFormula>
    </tableColumn>
    <tableColumn id="62" xr3:uid="{48D0CC37-CB51-3746-B664-AEEB195981FD}" name="Q13" dataDxfId="160" totalsRowDxfId="159">
      <calculatedColumnFormula>IF(W2=VLOOKUP(VALUE(W$1),Questions!$A:$E,5,FALSE),1,0)</calculatedColumnFormula>
    </tableColumn>
    <tableColumn id="63" xr3:uid="{A6963F14-4304-1D48-B1A5-DA798651FE45}" name="Q14" dataDxfId="158" totalsRowDxfId="157">
      <calculatedColumnFormula>IF(X2=VLOOKUP(VALUE(X$1),Questions!$A:$E,5,FALSE),1,0)</calculatedColumnFormula>
    </tableColumn>
    <tableColumn id="64" xr3:uid="{6FE8D996-D1D0-A944-8338-537F4235C4B5}" name="Q15" dataDxfId="156" totalsRowDxfId="155">
      <calculatedColumnFormula>IF(Y2=VLOOKUP(VALUE(Y$1),Questions!$A:$E,5,FALSE),1,0)</calculatedColumnFormula>
    </tableColumn>
    <tableColumn id="65" xr3:uid="{36111BC2-4741-A342-ABA7-4B05EDDA148A}" name="Q16" dataDxfId="154" totalsRowDxfId="153">
      <calculatedColumnFormula>IF(Z2=VLOOKUP(VALUE(Z$1),Questions!$A:$E,5,FALSE),1,0)</calculatedColumnFormula>
    </tableColumn>
    <tableColumn id="66" xr3:uid="{47D74AF4-95E4-3D44-AA1C-96909943C735}" name="Q17" dataDxfId="152" totalsRowDxfId="151">
      <calculatedColumnFormula>IF(AA2=VLOOKUP(VALUE(AA$1),Questions!$A:$E,5,FALSE),1,0)</calculatedColumnFormula>
    </tableColumn>
    <tableColumn id="67" xr3:uid="{CF041B2A-191A-8548-A5F3-1DA7FDA5D735}" name="Q18" dataDxfId="150" totalsRowDxfId="149">
      <calculatedColumnFormula>IF(AB2=VLOOKUP(VALUE(AB$1),Questions!$A:$E,5,FALSE),1,0)</calculatedColumnFormula>
    </tableColumn>
    <tableColumn id="68" xr3:uid="{F000C20E-2888-4449-BFE8-50ED3EC8DEA5}" name="Q19" dataDxfId="148" totalsRowDxfId="147">
      <calculatedColumnFormula>IF(AC2=VLOOKUP(VALUE(AC$1),Questions!$A:$E,5,FALSE),1,0)</calculatedColumnFormula>
    </tableColumn>
    <tableColumn id="69" xr3:uid="{F9EA4391-84A9-894A-9239-5D4576AA80E1}" name="Q20" dataDxfId="146" totalsRowDxfId="145">
      <calculatedColumnFormula>IF(AD2=VLOOKUP(VALUE(AD$1),Questions!$A:$E,5,FALSE),1,0)</calculatedColumnFormula>
    </tableColumn>
    <tableColumn id="70" xr3:uid="{7AEB3220-7BBB-3C4E-B077-0F8630CE1132}" name="Q21" dataDxfId="144" totalsRowDxfId="143">
      <calculatedColumnFormula>IF(AE2=VLOOKUP(VALUE(AE$1),Questions!$A:$E,5,FALSE),1,0)</calculatedColumnFormula>
    </tableColumn>
    <tableColumn id="71" xr3:uid="{F6494367-DD8A-3246-915A-3588AD62A5DF}" name="Q22" dataDxfId="142" totalsRowDxfId="141">
      <calculatedColumnFormula>IF(AF2=VLOOKUP(VALUE(AF$1),Questions!$A:$E,5,FALSE),1,0)</calculatedColumnFormula>
    </tableColumn>
    <tableColumn id="72" xr3:uid="{7D5C0CE7-FF6A-0D44-A80B-F79DC2BE7944}" name="Q23" dataDxfId="140" totalsRowDxfId="139">
      <calculatedColumnFormula>IF(AG2=VLOOKUP(VALUE(AG$1),Questions!$A:$E,5,FALSE),1,0)</calculatedColumnFormula>
    </tableColumn>
    <tableColumn id="73" xr3:uid="{49409B79-F8D1-654D-9A50-EA9A17C596DE}" name="Q24" dataDxfId="138" totalsRowDxfId="137">
      <calculatedColumnFormula>IF(AH2=VLOOKUP(VALUE(AH$1),Questions!$A:$E,5,FALSE),1,0)</calculatedColumnFormula>
    </tableColumn>
    <tableColumn id="74" xr3:uid="{3EB2D48D-36F2-3542-BF56-7BA9E6FBADD6}" name="Q25" dataDxfId="136" totalsRowDxfId="135">
      <calculatedColumnFormula>IF(AI2=VLOOKUP(VALUE(AI$1),Questions!$A:$E,5,FALSE),1,0)</calculatedColumnFormula>
    </tableColumn>
    <tableColumn id="75" xr3:uid="{6B81BA87-3D8D-8B41-86BD-1D650206A9CA}" name="Q26" dataDxfId="134" totalsRowDxfId="133">
      <calculatedColumnFormula>IF(AJ2=VLOOKUP(VALUE(AJ$1),Questions!$A:$E,5,FALSE),1,0)</calculatedColumnFormula>
    </tableColumn>
    <tableColumn id="76" xr3:uid="{6176766D-D5D4-3D45-8DA3-0E2542BCE669}" name="Q27" dataDxfId="132" totalsRowDxfId="131">
      <calculatedColumnFormula>IF(AK2=VLOOKUP(VALUE(AK$1),Questions!$A:$E,5,FALSE),1,0)</calculatedColumnFormula>
    </tableColumn>
    <tableColumn id="77" xr3:uid="{4BD592C0-6BB8-6F4C-BCC4-79CF5F35BCA5}" name="Q28" dataDxfId="130" totalsRowDxfId="129">
      <calculatedColumnFormula>IF(AL2=VLOOKUP(VALUE(AL$1),Questions!$A:$E,5,FALSE),1,0)</calculatedColumnFormula>
    </tableColumn>
    <tableColumn id="3" xr3:uid="{15E01BBB-A675-EA4E-81E1-4C8EB7E39C90}" name="Passed?" dataDxfId="128" totalsRowDxfId="127">
      <calculatedColumnFormula>IF(Scores[[#This Row],[Final]]&gt;=65,1,0)</calculatedColumnFormula>
    </tableColumn>
    <tableColumn id="12" xr3:uid="{4A34BBBE-2B39-0E45-8AAB-E65C8BF9641A}" name="Passed*" dataDxfId="126" totalsRowDxfId="125">
      <calculatedColumnFormula>IF(Scores[[#This Row],[Final]]&gt;=IF(Scores[[#This Row],[IEP]],55,65),1,0)</calculatedColumnFormula>
    </tableColumn>
  </tableColumns>
  <tableStyleInfo name="Light and Ai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A97502-99D1-2243-B0FF-88F81BB6D54B}" name="Questions" displayName="Questions" ref="A1:S39" totalsRowShown="0" dataDxfId="0" tableBorderDxfId="21" headerRowCellStyle="Normal" dataCellStyle="Normal">
  <autoFilter ref="A1:S39" xr:uid="{74A97502-99D1-2243-B0FF-88F81BB6D54B}"/>
  <tableColumns count="19">
    <tableColumn id="1" xr3:uid="{5536C8DB-3E68-4E4C-A696-D5B9D6643E11}" name="#" dataDxfId="9" dataCellStyle="Normal"/>
    <tableColumn id="18" xr3:uid="{3A3BEE1B-B0DC-BA4B-9571-3617CE36FBAB}" name="Part" dataDxfId="8" dataCellStyle="Normal"/>
    <tableColumn id="2" xr3:uid="{52F91FE3-9B09-9B46-BE07-533A33BEBF3C}" name="Stimulus" dataCellStyle="Normal"/>
    <tableColumn id="3" xr3:uid="{85D8388F-EBD6-0B42-8E17-1D026705894C}" name="Question" dataCellStyle="Normal"/>
    <tableColumn id="4" xr3:uid="{7A927C84-383D-6E43-B20B-582CBC68914E}" name="Key" dataDxfId="7" dataCellStyle="Normal"/>
    <tableColumn id="5" xr3:uid="{758CDFE1-9C21-1A4A-BC95-23C1C069913A}" name="Option_1" dataCellStyle="Normal"/>
    <tableColumn id="6" xr3:uid="{DFD8BC4F-6CC5-2344-9B94-64E357348EE5}" name="Option_2" dataCellStyle="Normal"/>
    <tableColumn id="7" xr3:uid="{681F43DB-3D00-7848-A1B3-A4E6CF34B934}" name="Option_3" dataCellStyle="Normal"/>
    <tableColumn id="8" xr3:uid="{9F4EF63C-0A1F-0843-80B1-53FB22470E25}" name="Option_4" dataCellStyle="Normal"/>
    <tableColumn id="9" xr3:uid="{85A210E3-083E-644E-89E5-68AB2B465684}" name="Stimulus_type" dataDxfId="6" dataCellStyle="Normal"/>
    <tableColumn id="10" xr3:uid="{944E3D12-A21E-9949-8EFB-6CA21E095B70}" name="Source_type" dataDxfId="5" dataCellStyle="Normal"/>
    <tableColumn id="11" xr3:uid="{E729FDA2-26ED-9B41-95DD-3C571FD46DE3}" name="Task_model" dataCellStyle="Normal"/>
    <tableColumn id="13" xr3:uid="{2C3E0546-55E2-4245-A5B7-BE43810EA20B}" name="Skill_standard" dataCellStyle="Normal"/>
    <tableColumn id="14" xr3:uid="{62BBD6A3-6BE6-4D4B-9E23-2CCBE035D956}" name="Need_OI?" dataDxfId="4" dataCellStyle="Normal"/>
    <tableColumn id="17" xr3:uid="{DD06A7E8-8171-B84F-B464-E58756199F3F}" name="Content_standard" dataCellStyle="Normal"/>
    <tableColumn id="19" xr3:uid="{9099BE66-1E1C-E041-BC93-849A276BCD02}" name="Unit" dataDxfId="3" dataCellStyle="Normal"/>
    <tableColumn id="16" xr3:uid="{C5FC5650-5986-FF4A-B423-C3ACEB1817D7}" name="Specification" dataCellStyle="Normal"/>
    <tableColumn id="12" xr3:uid="{88C13B1F-FC9E-AA47-B8A6-280F894999F7}" name="Pct_Correct" dataDxfId="2" dataCellStyle="Normal"/>
    <tableColumn id="15" xr3:uid="{7A81AB39-9824-8941-8ED0-441C9CF8CF5E}" name="Point_Biserial" dataDxfId="1" dataCellStyle="Normal"/>
  </tableColumns>
  <tableStyleInfo name="Light and Ai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159A43-94DE-4438-8A8E-AAEEDE99194B}" name="Table6" displayName="Table6" ref="L42:L46" totalsRowCount="1" headerRowDxfId="52" dataDxfId="51" totalsRowDxfId="50">
  <autoFilter ref="L42:L45" xr:uid="{E6159A43-94DE-4438-8A8E-AAEEDE99194B}"/>
  <tableColumns count="1">
    <tableColumn id="1" xr3:uid="{64F8272F-EF36-4D5E-A6CD-BB069F41B65F}" name="Difference" totalsRowFunction="custom" dataDxfId="49" totalsRowDxfId="48">
      <calculatedColumnFormula>J43-K43</calculatedColumnFormula>
      <totalsRowFormula>AVERAGE(Table6[Difference])</totalsRowFormula>
    </tableColumn>
  </tableColumns>
  <tableStyleInfo name="Light and Ai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0A06A6-D827-7745-BAB7-06A2EE76F7CF}" name="Task_Models" displayName="Task_Models" ref="A1:B19" totalsRowShown="0" headerRowCellStyle="Normal" dataCellStyle="Normal">
  <autoFilter ref="A1:B19" xr:uid="{A70A06A6-D827-7745-BAB7-06A2EE76F7CF}"/>
  <tableColumns count="2">
    <tableColumn id="1" xr3:uid="{1ED7C801-8C12-4547-8A21-043648FC222B}" name="Model" dataDxfId="32" dataCellStyle="Normal"/>
    <tableColumn id="2" xr3:uid="{EEAF2FCD-AC27-1142-B84A-8C9DC7EA38CE}" name="Detail" dataDxfId="31" dataCellStyle="Normal"/>
  </tableColumns>
  <tableStyleInfo name="Light and Air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8A4174-310B-B048-AF9B-E35E3CBFCF7B}" name="Skill_Standards" displayName="Skill_Standards" ref="A1:C42" totalsRowShown="0" headerRowBorderDxfId="30" tableBorderDxfId="29" totalsRowBorderDxfId="28">
  <autoFilter ref="A1:C42" xr:uid="{C18A4174-310B-B048-AF9B-E35E3CBFCF7B}"/>
  <tableColumns count="3">
    <tableColumn id="1" xr3:uid="{A7A68162-DDD9-FD4F-ACB4-AFD99DC7BC18}" name="Standard" dataDxfId="27"/>
    <tableColumn id="2" xr3:uid="{30659EE5-AED3-2648-AA44-44D3CBA65E25}" name="Concept" dataDxfId="26"/>
    <tableColumn id="3" xr3:uid="{3E4C984E-3C7B-024A-8920-613C5FC46E2F}" name="Specification" dataDxfId="25"/>
  </tableColumns>
  <tableStyleInfo name="Light and Airy"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05F26E-163F-1A40-AC13-2CC7B71582B1}" name="Content_Standards" displayName="Content_Standards" ref="A1:C178" totalsRowShown="0" headerRowCellStyle="Normal" dataCellStyle="Normal">
  <autoFilter ref="A1:C178" xr:uid="{4005F26E-163F-1A40-AC13-2CC7B71582B1}"/>
  <tableColumns count="3">
    <tableColumn id="1" xr3:uid="{AAC76080-BCE6-7945-8131-9CB3649EDBE1}" name="#" dataDxfId="24" dataCellStyle="Normal"/>
    <tableColumn id="2" xr3:uid="{43FA2F29-0C28-5549-AF7E-AA2C8CCC8AAB}" name="Framework" dataDxfId="23" dataCellStyle="Normal"/>
    <tableColumn id="4" xr3:uid="{619ACD92-F1C5-E44A-AE5C-F9C36F8CF4BB}" name="Specifications" dataDxfId="22" dataCellStyle="Normal"/>
  </tableColumns>
  <tableStyleInfo name="Light and Airy"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CC1277-9526-6D44-B7D4-2AF9C1950B50}">
  <we:reference id="wa200009404" version="1.0.0.8" store="en-US" storeType="OMEX"/>
  <we:alternateReferences>
    <we:reference id="WA200009404" version="1.0.0.8" store="WA200009404" storeType="OMEX"/>
  </we:alternateReferences>
  <we:properties>
    <we:property name="claude.fileId" value="&quot;a1febebc-05db-4e9f-9714-9e57fb8f6d6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3270-5BC8-1A41-A8ED-EDBB49F048A5}">
  <sheetPr codeName="Sheet1"/>
  <dimension ref="A1:BY250"/>
  <sheetViews>
    <sheetView showGridLines="0" zoomScale="99" zoomScaleNormal="85" workbookViewId="0">
      <selection activeCell="AS243" sqref="AS243"/>
    </sheetView>
  </sheetViews>
  <sheetFormatPr baseColWidth="10" defaultColWidth="10.83203125" defaultRowHeight="16" x14ac:dyDescent="0.2"/>
  <cols>
    <col min="1" max="1" width="11.1640625" style="6" bestFit="1" customWidth="1"/>
    <col min="2" max="3" width="11.1640625" style="4" customWidth="1"/>
    <col min="4" max="10" width="10.83203125" style="4"/>
    <col min="11" max="38" width="8.83203125" style="4" hidden="1" customWidth="1"/>
    <col min="39" max="47" width="8.83203125" style="4" customWidth="1"/>
    <col min="48" max="75" width="8.83203125" style="4" hidden="1" customWidth="1"/>
    <col min="76" max="77" width="0" hidden="1" customWidth="1"/>
  </cols>
  <sheetData>
    <row r="1" spans="1:77" x14ac:dyDescent="0.2">
      <c r="A1" s="6" t="s">
        <v>0</v>
      </c>
      <c r="B1" s="4" t="s">
        <v>3</v>
      </c>
      <c r="C1" s="4" t="s">
        <v>961</v>
      </c>
      <c r="D1" s="4" t="s">
        <v>1</v>
      </c>
      <c r="E1" s="4" t="s">
        <v>2</v>
      </c>
      <c r="F1" s="86" t="s">
        <v>36</v>
      </c>
      <c r="G1" s="4" t="s">
        <v>78</v>
      </c>
      <c r="H1" s="4" t="s">
        <v>37</v>
      </c>
      <c r="I1" s="4" t="s">
        <v>38</v>
      </c>
      <c r="J1" s="87" t="s">
        <v>35</v>
      </c>
      <c r="K1" s="4" t="s">
        <v>44</v>
      </c>
      <c r="L1" s="4" t="s">
        <v>45</v>
      </c>
      <c r="M1" s="4" t="s">
        <v>46</v>
      </c>
      <c r="N1" s="4" t="s">
        <v>47</v>
      </c>
      <c r="O1" s="4" t="s">
        <v>48</v>
      </c>
      <c r="P1" s="4" t="s">
        <v>49</v>
      </c>
      <c r="Q1" s="4" t="s">
        <v>50</v>
      </c>
      <c r="R1" s="4" t="s">
        <v>51</v>
      </c>
      <c r="S1" s="4" t="s">
        <v>52</v>
      </c>
      <c r="T1" s="4" t="s">
        <v>53</v>
      </c>
      <c r="U1" s="4" t="s">
        <v>54</v>
      </c>
      <c r="V1" s="4" t="s">
        <v>55</v>
      </c>
      <c r="W1" s="4" t="s">
        <v>56</v>
      </c>
      <c r="X1" s="4" t="s">
        <v>57</v>
      </c>
      <c r="Y1" s="4" t="s">
        <v>58</v>
      </c>
      <c r="Z1" s="4" t="s">
        <v>59</v>
      </c>
      <c r="AA1" s="4" t="s">
        <v>60</v>
      </c>
      <c r="AB1" s="4" t="s">
        <v>61</v>
      </c>
      <c r="AC1" s="4" t="s">
        <v>62</v>
      </c>
      <c r="AD1" s="4" t="s">
        <v>63</v>
      </c>
      <c r="AE1" s="4" t="s">
        <v>64</v>
      </c>
      <c r="AF1" s="4" t="s">
        <v>65</v>
      </c>
      <c r="AG1" s="4" t="s">
        <v>66</v>
      </c>
      <c r="AH1" s="4" t="s">
        <v>67</v>
      </c>
      <c r="AI1" s="4" t="s">
        <v>68</v>
      </c>
      <c r="AJ1" s="4" t="s">
        <v>69</v>
      </c>
      <c r="AK1" s="4" t="s">
        <v>70</v>
      </c>
      <c r="AL1" s="87" t="s">
        <v>71</v>
      </c>
      <c r="AM1" s="4" t="s">
        <v>72</v>
      </c>
      <c r="AN1" s="87" t="s">
        <v>73</v>
      </c>
      <c r="AO1" s="4" t="s">
        <v>74</v>
      </c>
      <c r="AP1" s="4" t="s">
        <v>75</v>
      </c>
      <c r="AQ1" s="4" t="s">
        <v>76</v>
      </c>
      <c r="AR1" s="4" t="s">
        <v>77</v>
      </c>
      <c r="AS1" s="4" t="s">
        <v>79</v>
      </c>
      <c r="AT1" s="4" t="s">
        <v>80</v>
      </c>
      <c r="AU1" s="107" t="s">
        <v>81</v>
      </c>
      <c r="AV1" s="4" t="s">
        <v>4</v>
      </c>
      <c r="AW1" s="4" t="s">
        <v>5</v>
      </c>
      <c r="AX1" s="4" t="s">
        <v>6</v>
      </c>
      <c r="AY1" s="4" t="s">
        <v>7</v>
      </c>
      <c r="AZ1" s="4" t="s">
        <v>8</v>
      </c>
      <c r="BA1" s="4" t="s">
        <v>9</v>
      </c>
      <c r="BB1" s="4" t="s">
        <v>10</v>
      </c>
      <c r="BC1" s="4" t="s">
        <v>11</v>
      </c>
      <c r="BD1" s="4" t="s">
        <v>12</v>
      </c>
      <c r="BE1" s="4" t="s">
        <v>13</v>
      </c>
      <c r="BF1" s="4" t="s">
        <v>14</v>
      </c>
      <c r="BG1" s="4" t="s">
        <v>15</v>
      </c>
      <c r="BH1" s="4" t="s">
        <v>16</v>
      </c>
      <c r="BI1" s="4" t="s">
        <v>17</v>
      </c>
      <c r="BJ1" s="4" t="s">
        <v>18</v>
      </c>
      <c r="BK1" s="4" t="s">
        <v>19</v>
      </c>
      <c r="BL1" s="4" t="s">
        <v>20</v>
      </c>
      <c r="BM1" s="4" t="s">
        <v>21</v>
      </c>
      <c r="BN1" s="4" t="s">
        <v>22</v>
      </c>
      <c r="BO1" s="4" t="s">
        <v>23</v>
      </c>
      <c r="BP1" s="4" t="s">
        <v>24</v>
      </c>
      <c r="BQ1" s="4" t="s">
        <v>25</v>
      </c>
      <c r="BR1" s="4" t="s">
        <v>26</v>
      </c>
      <c r="BS1" s="4" t="s">
        <v>27</v>
      </c>
      <c r="BT1" s="4" t="s">
        <v>28</v>
      </c>
      <c r="BU1" s="4" t="s">
        <v>29</v>
      </c>
      <c r="BV1" s="4" t="s">
        <v>30</v>
      </c>
      <c r="BW1" s="87" t="s">
        <v>31</v>
      </c>
      <c r="BX1" t="s">
        <v>969</v>
      </c>
      <c r="BY1" t="s">
        <v>970</v>
      </c>
    </row>
    <row r="2" spans="1:77" x14ac:dyDescent="0.2">
      <c r="A2" s="6">
        <v>1</v>
      </c>
      <c r="B2" s="4">
        <v>11</v>
      </c>
      <c r="C2" s="4" t="s">
        <v>962</v>
      </c>
      <c r="D2" s="105" t="b">
        <v>0</v>
      </c>
      <c r="E2" s="105" t="b">
        <v>0</v>
      </c>
      <c r="F2" s="86">
        <f>SUM(Scores[[#This Row],[Q1]:[Q28]])</f>
        <v>21</v>
      </c>
      <c r="G2" s="4">
        <f>SUM(Scores[[#This Row],[29]]:Scores[[#This Row],[30]])</f>
        <v>6</v>
      </c>
      <c r="H2" s="4">
        <f>SUM(Scores[[#This Row],[31]:[36]])</f>
        <v>4</v>
      </c>
      <c r="I2" s="4">
        <f>Scores[[#This Row],[37]]</f>
        <v>1</v>
      </c>
      <c r="J2" s="87">
        <f>INDEX('Conversion Chart'!$C$3:$M$47,MATCH(SUM(Scores[[#This Row],[MC]:[IIIA]]),'Conversion Chart'!$B$3:$B$47),MATCH(Scores[[#This Row],[IIIB]],'Conversion Chart'!$C$2:$M$2))</f>
        <v>71</v>
      </c>
      <c r="K2" s="103">
        <v>4</v>
      </c>
      <c r="L2" s="103">
        <v>2</v>
      </c>
      <c r="M2" s="103"/>
      <c r="N2" s="103">
        <v>3</v>
      </c>
      <c r="O2" s="103">
        <v>1</v>
      </c>
      <c r="P2" s="103">
        <v>4</v>
      </c>
      <c r="Q2" s="103">
        <v>3</v>
      </c>
      <c r="R2" s="103">
        <v>1</v>
      </c>
      <c r="S2" s="103">
        <v>1</v>
      </c>
      <c r="T2" s="103">
        <v>1</v>
      </c>
      <c r="U2" s="103">
        <v>2</v>
      </c>
      <c r="V2" s="103">
        <v>4</v>
      </c>
      <c r="W2" s="103">
        <v>2</v>
      </c>
      <c r="X2" s="103">
        <v>4</v>
      </c>
      <c r="Y2" s="103">
        <v>3</v>
      </c>
      <c r="Z2" s="103">
        <v>1</v>
      </c>
      <c r="AA2" s="103">
        <v>1</v>
      </c>
      <c r="AB2" s="103">
        <v>4</v>
      </c>
      <c r="AC2" s="103">
        <v>3</v>
      </c>
      <c r="AD2" s="103">
        <v>4</v>
      </c>
      <c r="AE2" s="103">
        <v>3</v>
      </c>
      <c r="AF2" s="103">
        <v>4</v>
      </c>
      <c r="AG2" s="103">
        <v>3</v>
      </c>
      <c r="AH2" s="103">
        <v>1</v>
      </c>
      <c r="AI2" s="103">
        <v>1</v>
      </c>
      <c r="AJ2" s="103">
        <v>4</v>
      </c>
      <c r="AK2" s="103">
        <v>4</v>
      </c>
      <c r="AL2" s="104">
        <v>3</v>
      </c>
      <c r="AM2" s="4">
        <v>3</v>
      </c>
      <c r="AN2" s="87">
        <v>3</v>
      </c>
      <c r="AO2" s="4">
        <v>0</v>
      </c>
      <c r="AP2" s="4">
        <v>1</v>
      </c>
      <c r="AQ2" s="4">
        <v>1</v>
      </c>
      <c r="AR2" s="4">
        <v>0</v>
      </c>
      <c r="AS2" s="4">
        <v>1</v>
      </c>
      <c r="AT2" s="4">
        <v>1</v>
      </c>
      <c r="AU2" s="107">
        <v>1</v>
      </c>
      <c r="AV2" s="4">
        <f>IF(K2=VLOOKUP(VALUE(K$1),Questions!$A:$E,5,FALSE),1,0)</f>
        <v>1</v>
      </c>
      <c r="AW2" s="4">
        <f>IF(L2=VLOOKUP(VALUE(L$1),Questions!$A:$E,5,FALSE),1,0)</f>
        <v>1</v>
      </c>
      <c r="AX2" s="4">
        <f>IF(M2=VLOOKUP(VALUE(M$1),Questions!$A:$E,5,FALSE),1,0)</f>
        <v>0</v>
      </c>
      <c r="AY2" s="4">
        <f>IF(N2=VLOOKUP(VALUE(N$1),Questions!$A:$E,5,FALSE),1,0)</f>
        <v>1</v>
      </c>
      <c r="AZ2" s="4">
        <f>IF(O2=VLOOKUP(VALUE(O$1),Questions!$A:$E,5,FALSE),1,0)</f>
        <v>1</v>
      </c>
      <c r="BA2" s="4">
        <f>IF(P2=VLOOKUP(VALUE(P$1),Questions!$A:$E,5,FALSE),1,0)</f>
        <v>1</v>
      </c>
      <c r="BB2" s="4">
        <f>IF(Q2=VLOOKUP(VALUE(Q$1),Questions!$A:$E,5,FALSE),1,0)</f>
        <v>1</v>
      </c>
      <c r="BC2" s="4">
        <f>IF(R2=VLOOKUP(VALUE(R$1),Questions!$A:$E,5,FALSE),1,0)</f>
        <v>0</v>
      </c>
      <c r="BD2" s="4">
        <f>IF(S2=VLOOKUP(VALUE(S$1),Questions!$A:$E,5,FALSE),1,0)</f>
        <v>0</v>
      </c>
      <c r="BE2" s="4">
        <f>IF(T2=VLOOKUP(VALUE(T$1),Questions!$A:$E,5,FALSE),1,0)</f>
        <v>1</v>
      </c>
      <c r="BF2" s="4">
        <f>IF(U2=VLOOKUP(VALUE(U$1),Questions!$A:$E,5,FALSE),1,0)</f>
        <v>1</v>
      </c>
      <c r="BG2" s="4">
        <f>IF(V2=VLOOKUP(VALUE(V$1),Questions!$A:$E,5,FALSE),1,0)</f>
        <v>1</v>
      </c>
      <c r="BH2" s="4">
        <f>IF(W2=VLOOKUP(VALUE(W$1),Questions!$A:$E,5,FALSE),1,0)</f>
        <v>1</v>
      </c>
      <c r="BI2" s="4">
        <f>IF(X2=VLOOKUP(VALUE(X$1),Questions!$A:$E,5,FALSE),1,0)</f>
        <v>1</v>
      </c>
      <c r="BJ2" s="4">
        <f>IF(Y2=VLOOKUP(VALUE(Y$1),Questions!$A:$E,5,FALSE),1,0)</f>
        <v>1</v>
      </c>
      <c r="BK2" s="4">
        <f>IF(Z2=VLOOKUP(VALUE(Z$1),Questions!$A:$E,5,FALSE),1,0)</f>
        <v>1</v>
      </c>
      <c r="BL2" s="4">
        <f>IF(AA2=VLOOKUP(VALUE(AA$1),Questions!$A:$E,5,FALSE),1,0)</f>
        <v>1</v>
      </c>
      <c r="BM2" s="4">
        <f>IF(AB2=VLOOKUP(VALUE(AB$1),Questions!$A:$E,5,FALSE),1,0)</f>
        <v>1</v>
      </c>
      <c r="BN2" s="4">
        <f>IF(AC2=VLOOKUP(VALUE(AC$1),Questions!$A:$E,5,FALSE),1,0)</f>
        <v>1</v>
      </c>
      <c r="BO2" s="4">
        <f>IF(AD2=VLOOKUP(VALUE(AD$1),Questions!$A:$E,5,FALSE),1,0)</f>
        <v>1</v>
      </c>
      <c r="BP2" s="4">
        <f>IF(AE2=VLOOKUP(VALUE(AE$1),Questions!$A:$E,5,FALSE),1,0)</f>
        <v>0</v>
      </c>
      <c r="BQ2" s="4">
        <f>IF(AF2=VLOOKUP(VALUE(AF$1),Questions!$A:$E,5,FALSE),1,0)</f>
        <v>0</v>
      </c>
      <c r="BR2" s="4">
        <f>IF(AG2=VLOOKUP(VALUE(AG$1),Questions!$A:$E,5,FALSE),1,0)</f>
        <v>1</v>
      </c>
      <c r="BS2" s="4">
        <f>IF(AH2=VLOOKUP(VALUE(AH$1),Questions!$A:$E,5,FALSE),1,0)</f>
        <v>0</v>
      </c>
      <c r="BT2" s="4">
        <f>IF(AI2=VLOOKUP(VALUE(AI$1),Questions!$A:$E,5,FALSE),1,0)</f>
        <v>1</v>
      </c>
      <c r="BU2" s="4">
        <f>IF(AJ2=VLOOKUP(VALUE(AJ$1),Questions!$A:$E,5,FALSE),1,0)</f>
        <v>1</v>
      </c>
      <c r="BV2" s="4">
        <f>IF(AK2=VLOOKUP(VALUE(AK$1),Questions!$A:$E,5,FALSE),1,0)</f>
        <v>0</v>
      </c>
      <c r="BW2" s="87">
        <f>IF(AL2=VLOOKUP(VALUE(AL$1),Questions!$A:$E,5,FALSE),1,0)</f>
        <v>1</v>
      </c>
      <c r="BX2" s="4">
        <f>IF(Scores[[#This Row],[Final]]&gt;=65,1,0)</f>
        <v>1</v>
      </c>
      <c r="BY2" s="4">
        <f>IF(Scores[[#This Row],[Final]]&gt;=IF(Scores[[#This Row],[IEP]],55,65),1,0)</f>
        <v>1</v>
      </c>
    </row>
    <row r="3" spans="1:77" x14ac:dyDescent="0.2">
      <c r="A3" s="6">
        <v>2</v>
      </c>
      <c r="B3" s="4">
        <v>11</v>
      </c>
      <c r="C3" s="4" t="s">
        <v>964</v>
      </c>
      <c r="D3" s="105" t="b">
        <v>0</v>
      </c>
      <c r="E3" s="105" t="b">
        <v>1</v>
      </c>
      <c r="F3" s="86">
        <f>SUM(Scores[[#This Row],[Q1]:[Q28]])</f>
        <v>13</v>
      </c>
      <c r="G3" s="4">
        <f>SUM(Scores[[#This Row],[29]]:Scores[[#This Row],[30]])</f>
        <v>4</v>
      </c>
      <c r="H3" s="4">
        <f>SUM(Scores[[#This Row],[31]:[36]])</f>
        <v>6</v>
      </c>
      <c r="I3" s="4">
        <f>Scores[[#This Row],[37]]</f>
        <v>1</v>
      </c>
      <c r="J3" s="87">
        <f>INDEX('Conversion Chart'!$C$3:$M$47,MATCH(SUM(Scores[[#This Row],[MC]:[IIIA]]),'Conversion Chart'!$B$3:$B$47),MATCH(Scores[[#This Row],[IIIB]],'Conversion Chart'!$C$2:$M$2))</f>
        <v>61</v>
      </c>
      <c r="K3" s="103">
        <v>1</v>
      </c>
      <c r="L3" s="103">
        <v>3</v>
      </c>
      <c r="M3" s="103">
        <v>3</v>
      </c>
      <c r="N3" s="103">
        <v>1</v>
      </c>
      <c r="O3" s="103">
        <v>1</v>
      </c>
      <c r="P3" s="103">
        <v>3</v>
      </c>
      <c r="Q3" s="103">
        <v>2</v>
      </c>
      <c r="R3" s="103">
        <v>2</v>
      </c>
      <c r="S3" s="103">
        <v>2</v>
      </c>
      <c r="T3" s="103">
        <v>1</v>
      </c>
      <c r="U3" s="103">
        <v>2</v>
      </c>
      <c r="V3" s="103">
        <v>3</v>
      </c>
      <c r="W3" s="103">
        <v>2</v>
      </c>
      <c r="X3" s="103">
        <v>3</v>
      </c>
      <c r="Y3" s="103">
        <v>2</v>
      </c>
      <c r="Z3" s="103">
        <v>3</v>
      </c>
      <c r="AA3" s="103">
        <v>3</v>
      </c>
      <c r="AB3" s="103">
        <v>1</v>
      </c>
      <c r="AC3" s="103">
        <v>3</v>
      </c>
      <c r="AD3" s="103">
        <v>2</v>
      </c>
      <c r="AE3" s="103">
        <v>3</v>
      </c>
      <c r="AF3" s="103">
        <v>2</v>
      </c>
      <c r="AG3" s="103">
        <v>3</v>
      </c>
      <c r="AH3" s="103">
        <v>4</v>
      </c>
      <c r="AI3" s="103">
        <v>1</v>
      </c>
      <c r="AJ3" s="103">
        <v>1</v>
      </c>
      <c r="AK3" s="103">
        <v>1</v>
      </c>
      <c r="AL3" s="104">
        <v>3</v>
      </c>
      <c r="AM3" s="4">
        <v>2</v>
      </c>
      <c r="AN3" s="87">
        <v>2</v>
      </c>
      <c r="AO3" s="4">
        <v>1</v>
      </c>
      <c r="AP3" s="4">
        <v>1</v>
      </c>
      <c r="AQ3" s="4">
        <v>1</v>
      </c>
      <c r="AR3" s="4">
        <v>1</v>
      </c>
      <c r="AS3" s="4">
        <v>1</v>
      </c>
      <c r="AT3" s="4">
        <v>1</v>
      </c>
      <c r="AU3" s="107">
        <v>1</v>
      </c>
      <c r="AV3" s="4">
        <f>IF(K3=VLOOKUP(VALUE(K$1),Questions!$A:$E,5,FALSE),1,0)</f>
        <v>0</v>
      </c>
      <c r="AW3" s="4">
        <f>IF(L3=VLOOKUP(VALUE(L$1),Questions!$A:$E,5,FALSE),1,0)</f>
        <v>0</v>
      </c>
      <c r="AX3" s="4">
        <f>IF(M3=VLOOKUP(VALUE(M$1),Questions!$A:$E,5,FALSE),1,0)</f>
        <v>1</v>
      </c>
      <c r="AY3" s="4">
        <f>IF(N3=VLOOKUP(VALUE(N$1),Questions!$A:$E,5,FALSE),1,0)</f>
        <v>0</v>
      </c>
      <c r="AZ3" s="4">
        <f>IF(O3=VLOOKUP(VALUE(O$1),Questions!$A:$E,5,FALSE),1,0)</f>
        <v>1</v>
      </c>
      <c r="BA3" s="4">
        <f>IF(P3=VLOOKUP(VALUE(P$1),Questions!$A:$E,5,FALSE),1,0)</f>
        <v>0</v>
      </c>
      <c r="BB3" s="4">
        <f>IF(Q3=VLOOKUP(VALUE(Q$1),Questions!$A:$E,5,FALSE),1,0)</f>
        <v>0</v>
      </c>
      <c r="BC3" s="4">
        <f>IF(R3=VLOOKUP(VALUE(R$1),Questions!$A:$E,5,FALSE),1,0)</f>
        <v>1</v>
      </c>
      <c r="BD3" s="4">
        <f>IF(S3=VLOOKUP(VALUE(S$1),Questions!$A:$E,5,FALSE),1,0)</f>
        <v>1</v>
      </c>
      <c r="BE3" s="4">
        <f>IF(T3=VLOOKUP(VALUE(T$1),Questions!$A:$E,5,FALSE),1,0)</f>
        <v>1</v>
      </c>
      <c r="BF3" s="4">
        <f>IF(U3=VLOOKUP(VALUE(U$1),Questions!$A:$E,5,FALSE),1,0)</f>
        <v>1</v>
      </c>
      <c r="BG3" s="4">
        <f>IF(V3=VLOOKUP(VALUE(V$1),Questions!$A:$E,5,FALSE),1,0)</f>
        <v>0</v>
      </c>
      <c r="BH3" s="4">
        <f>IF(W3=VLOOKUP(VALUE(W$1),Questions!$A:$E,5,FALSE),1,0)</f>
        <v>1</v>
      </c>
      <c r="BI3" s="4">
        <f>IF(X3=VLOOKUP(VALUE(X$1),Questions!$A:$E,5,FALSE),1,0)</f>
        <v>0</v>
      </c>
      <c r="BJ3" s="4">
        <f>IF(Y3=VLOOKUP(VALUE(Y$1),Questions!$A:$E,5,FALSE),1,0)</f>
        <v>0</v>
      </c>
      <c r="BK3" s="4">
        <f>IF(Z3=VLOOKUP(VALUE(Z$1),Questions!$A:$E,5,FALSE),1,0)</f>
        <v>0</v>
      </c>
      <c r="BL3" s="4">
        <f>IF(AA3=VLOOKUP(VALUE(AA$1),Questions!$A:$E,5,FALSE),1,0)</f>
        <v>0</v>
      </c>
      <c r="BM3" s="4">
        <f>IF(AB3=VLOOKUP(VALUE(AB$1),Questions!$A:$E,5,FALSE),1,0)</f>
        <v>0</v>
      </c>
      <c r="BN3" s="4">
        <f>IF(AC3=VLOOKUP(VALUE(AC$1),Questions!$A:$E,5,FALSE),1,0)</f>
        <v>1</v>
      </c>
      <c r="BO3" s="4">
        <f>IF(AD3=VLOOKUP(VALUE(AD$1),Questions!$A:$E,5,FALSE),1,0)</f>
        <v>0</v>
      </c>
      <c r="BP3" s="4">
        <f>IF(AE3=VLOOKUP(VALUE(AE$1),Questions!$A:$E,5,FALSE),1,0)</f>
        <v>0</v>
      </c>
      <c r="BQ3" s="4">
        <f>IF(AF3=VLOOKUP(VALUE(AF$1),Questions!$A:$E,5,FALSE),1,0)</f>
        <v>1</v>
      </c>
      <c r="BR3" s="4">
        <f>IF(AG3=VLOOKUP(VALUE(AG$1),Questions!$A:$E,5,FALSE),1,0)</f>
        <v>1</v>
      </c>
      <c r="BS3" s="4">
        <f>IF(AH3=VLOOKUP(VALUE(AH$1),Questions!$A:$E,5,FALSE),1,0)</f>
        <v>0</v>
      </c>
      <c r="BT3" s="4">
        <f>IF(AI3=VLOOKUP(VALUE(AI$1),Questions!$A:$E,5,FALSE),1,0)</f>
        <v>1</v>
      </c>
      <c r="BU3" s="4">
        <f>IF(AJ3=VLOOKUP(VALUE(AJ$1),Questions!$A:$E,5,FALSE),1,0)</f>
        <v>0</v>
      </c>
      <c r="BV3" s="4">
        <f>IF(AK3=VLOOKUP(VALUE(AK$1),Questions!$A:$E,5,FALSE),1,0)</f>
        <v>1</v>
      </c>
      <c r="BW3" s="87">
        <f>IF(AL3=VLOOKUP(VALUE(AL$1),Questions!$A:$E,5,FALSE),1,0)</f>
        <v>1</v>
      </c>
      <c r="BX3" s="4">
        <f>IF(Scores[[#This Row],[Final]]&gt;=65,1,0)</f>
        <v>0</v>
      </c>
      <c r="BY3" s="4">
        <f>IF(Scores[[#This Row],[Final]]&gt;=IF(Scores[[#This Row],[IEP]],55,65),1,0)</f>
        <v>1</v>
      </c>
    </row>
    <row r="4" spans="1:77" x14ac:dyDescent="0.2">
      <c r="A4" s="6">
        <v>3</v>
      </c>
      <c r="B4" s="4">
        <v>9</v>
      </c>
      <c r="C4" s="4" t="s">
        <v>964</v>
      </c>
      <c r="D4" s="105" t="b">
        <v>0</v>
      </c>
      <c r="E4" s="105" t="b">
        <v>0</v>
      </c>
      <c r="F4" s="86">
        <f>SUM(Scores[[#This Row],[Q1]:[Q28]])</f>
        <v>0</v>
      </c>
      <c r="G4" s="4">
        <f>SUM(Scores[[#This Row],[29]]:Scores[[#This Row],[30]])</f>
        <v>0</v>
      </c>
      <c r="H4" s="4">
        <f>SUM(Scores[[#This Row],[31]:[36]])</f>
        <v>0</v>
      </c>
      <c r="I4" s="4">
        <f>Scores[[#This Row],[37]]</f>
        <v>0</v>
      </c>
      <c r="J4" s="87">
        <f>INDEX('Conversion Chart'!$C$3:$M$47,MATCH(SUM(Scores[[#This Row],[MC]:[IIIA]]),'Conversion Chart'!$B$3:$B$47),MATCH(Scores[[#This Row],[IIIB]],'Conversion Chart'!$C$2:$M$2))</f>
        <v>0</v>
      </c>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4"/>
      <c r="AN4" s="87"/>
      <c r="AU4" s="107"/>
      <c r="AV4" s="4">
        <f>IF(K4=VLOOKUP(VALUE(K$1),Questions!$A:$E,5,FALSE),1,0)</f>
        <v>0</v>
      </c>
      <c r="AW4" s="4">
        <f>IF(L4=VLOOKUP(VALUE(L$1),Questions!$A:$E,5,FALSE),1,0)</f>
        <v>0</v>
      </c>
      <c r="AX4" s="4">
        <f>IF(M4=VLOOKUP(VALUE(M$1),Questions!$A:$E,5,FALSE),1,0)</f>
        <v>0</v>
      </c>
      <c r="AY4" s="4">
        <f>IF(N4=VLOOKUP(VALUE(N$1),Questions!$A:$E,5,FALSE),1,0)</f>
        <v>0</v>
      </c>
      <c r="AZ4" s="4">
        <f>IF(O4=VLOOKUP(VALUE(O$1),Questions!$A:$E,5,FALSE),1,0)</f>
        <v>0</v>
      </c>
      <c r="BA4" s="4">
        <f>IF(P4=VLOOKUP(VALUE(P$1),Questions!$A:$E,5,FALSE),1,0)</f>
        <v>0</v>
      </c>
      <c r="BB4" s="4">
        <f>IF(Q4=VLOOKUP(VALUE(Q$1),Questions!$A:$E,5,FALSE),1,0)</f>
        <v>0</v>
      </c>
      <c r="BC4" s="4">
        <f>IF(R4=VLOOKUP(VALUE(R$1),Questions!$A:$E,5,FALSE),1,0)</f>
        <v>0</v>
      </c>
      <c r="BD4" s="4">
        <f>IF(S4=VLOOKUP(VALUE(S$1),Questions!$A:$E,5,FALSE),1,0)</f>
        <v>0</v>
      </c>
      <c r="BE4" s="4">
        <f>IF(T4=VLOOKUP(VALUE(T$1),Questions!$A:$E,5,FALSE),1,0)</f>
        <v>0</v>
      </c>
      <c r="BF4" s="4">
        <f>IF(U4=VLOOKUP(VALUE(U$1),Questions!$A:$E,5,FALSE),1,0)</f>
        <v>0</v>
      </c>
      <c r="BG4" s="4">
        <f>IF(V4=VLOOKUP(VALUE(V$1),Questions!$A:$E,5,FALSE),1,0)</f>
        <v>0</v>
      </c>
      <c r="BH4" s="4">
        <f>IF(W4=VLOOKUP(VALUE(W$1),Questions!$A:$E,5,FALSE),1,0)</f>
        <v>0</v>
      </c>
      <c r="BI4" s="4">
        <f>IF(X4=VLOOKUP(VALUE(X$1),Questions!$A:$E,5,FALSE),1,0)</f>
        <v>0</v>
      </c>
      <c r="BJ4" s="4">
        <f>IF(Y4=VLOOKUP(VALUE(Y$1),Questions!$A:$E,5,FALSE),1,0)</f>
        <v>0</v>
      </c>
      <c r="BK4" s="4">
        <f>IF(Z4=VLOOKUP(VALUE(Z$1),Questions!$A:$E,5,FALSE),1,0)</f>
        <v>0</v>
      </c>
      <c r="BL4" s="4">
        <f>IF(AA4=VLOOKUP(VALUE(AA$1),Questions!$A:$E,5,FALSE),1,0)</f>
        <v>0</v>
      </c>
      <c r="BM4" s="4">
        <f>IF(AB4=VLOOKUP(VALUE(AB$1),Questions!$A:$E,5,FALSE),1,0)</f>
        <v>0</v>
      </c>
      <c r="BN4" s="4">
        <f>IF(AC4=VLOOKUP(VALUE(AC$1),Questions!$A:$E,5,FALSE),1,0)</f>
        <v>0</v>
      </c>
      <c r="BO4" s="4">
        <f>IF(AD4=VLOOKUP(VALUE(AD$1),Questions!$A:$E,5,FALSE),1,0)</f>
        <v>0</v>
      </c>
      <c r="BP4" s="4">
        <f>IF(AE4=VLOOKUP(VALUE(AE$1),Questions!$A:$E,5,FALSE),1,0)</f>
        <v>0</v>
      </c>
      <c r="BQ4" s="4">
        <f>IF(AF4=VLOOKUP(VALUE(AF$1),Questions!$A:$E,5,FALSE),1,0)</f>
        <v>0</v>
      </c>
      <c r="BR4" s="4">
        <f>IF(AG4=VLOOKUP(VALUE(AG$1),Questions!$A:$E,5,FALSE),1,0)</f>
        <v>0</v>
      </c>
      <c r="BS4" s="4">
        <f>IF(AH4=VLOOKUP(VALUE(AH$1),Questions!$A:$E,5,FALSE),1,0)</f>
        <v>0</v>
      </c>
      <c r="BT4" s="4">
        <f>IF(AI4=VLOOKUP(VALUE(AI$1),Questions!$A:$E,5,FALSE),1,0)</f>
        <v>0</v>
      </c>
      <c r="BU4" s="4">
        <f>IF(AJ4=VLOOKUP(VALUE(AJ$1),Questions!$A:$E,5,FALSE),1,0)</f>
        <v>0</v>
      </c>
      <c r="BV4" s="4">
        <f>IF(AK4=VLOOKUP(VALUE(AK$1),Questions!$A:$E,5,FALSE),1,0)</f>
        <v>0</v>
      </c>
      <c r="BW4" s="87">
        <f>IF(AL4=VLOOKUP(VALUE(AL$1),Questions!$A:$E,5,FALSE),1,0)</f>
        <v>0</v>
      </c>
      <c r="BX4" s="4">
        <f>IF(Scores[[#This Row],[Final]]&gt;=65,1,0)</f>
        <v>0</v>
      </c>
      <c r="BY4" s="4">
        <f>IF(Scores[[#This Row],[Final]]&gt;=IF(Scores[[#This Row],[IEP]],55,65),1,0)</f>
        <v>0</v>
      </c>
    </row>
    <row r="5" spans="1:77" x14ac:dyDescent="0.2">
      <c r="A5" s="6">
        <v>4</v>
      </c>
      <c r="B5" s="4">
        <v>9</v>
      </c>
      <c r="C5" s="4" t="s">
        <v>964</v>
      </c>
      <c r="D5" s="105" t="b">
        <v>0</v>
      </c>
      <c r="E5" s="105" t="b">
        <v>0</v>
      </c>
      <c r="F5" s="86">
        <f>SUM(Scores[[#This Row],[Q1]:[Q28]])</f>
        <v>8</v>
      </c>
      <c r="G5" s="4">
        <f>SUM(Scores[[#This Row],[29]]:Scores[[#This Row],[30]])</f>
        <v>0</v>
      </c>
      <c r="H5" s="4">
        <f>SUM(Scores[[#This Row],[31]:[36]])</f>
        <v>6</v>
      </c>
      <c r="I5" s="4">
        <f>Scores[[#This Row],[37]]</f>
        <v>0</v>
      </c>
      <c r="J5" s="87">
        <f>INDEX('Conversion Chart'!$C$3:$M$47,MATCH(SUM(Scores[[#This Row],[MC]:[IIIA]]),'Conversion Chart'!$B$3:$B$47),MATCH(Scores[[#This Row],[IIIB]],'Conversion Chart'!$C$2:$M$2))</f>
        <v>40</v>
      </c>
      <c r="K5" s="103">
        <v>2</v>
      </c>
      <c r="L5" s="103">
        <v>1</v>
      </c>
      <c r="M5" s="103">
        <v>3</v>
      </c>
      <c r="N5" s="103">
        <v>1</v>
      </c>
      <c r="O5" s="103">
        <v>1</v>
      </c>
      <c r="P5" s="103">
        <v>4</v>
      </c>
      <c r="Q5" s="103">
        <v>2</v>
      </c>
      <c r="R5" s="103">
        <v>3</v>
      </c>
      <c r="S5" s="103">
        <v>2</v>
      </c>
      <c r="T5" s="103">
        <v>1</v>
      </c>
      <c r="U5" s="103">
        <v>3</v>
      </c>
      <c r="V5" s="103">
        <v>1</v>
      </c>
      <c r="W5" s="103">
        <v>4</v>
      </c>
      <c r="X5" s="103">
        <v>2</v>
      </c>
      <c r="Y5" s="103">
        <v>1</v>
      </c>
      <c r="Z5" s="103">
        <v>2</v>
      </c>
      <c r="AA5" s="103">
        <v>2</v>
      </c>
      <c r="AB5" s="103">
        <v>4</v>
      </c>
      <c r="AC5" s="103">
        <v>3</v>
      </c>
      <c r="AD5" s="103">
        <v>4</v>
      </c>
      <c r="AE5" s="103">
        <v>1</v>
      </c>
      <c r="AF5" s="103">
        <v>3</v>
      </c>
      <c r="AG5" s="103">
        <v>2</v>
      </c>
      <c r="AH5" s="103">
        <v>1</v>
      </c>
      <c r="AI5" s="103">
        <v>4</v>
      </c>
      <c r="AJ5" s="103">
        <v>2</v>
      </c>
      <c r="AK5" s="103">
        <v>4</v>
      </c>
      <c r="AL5" s="104">
        <v>1</v>
      </c>
      <c r="AM5" s="4">
        <v>0</v>
      </c>
      <c r="AN5" s="87">
        <v>0</v>
      </c>
      <c r="AO5" s="4">
        <v>1</v>
      </c>
      <c r="AP5" s="4">
        <v>1</v>
      </c>
      <c r="AQ5" s="4">
        <v>1</v>
      </c>
      <c r="AR5" s="4">
        <v>1</v>
      </c>
      <c r="AS5" s="4">
        <v>1</v>
      </c>
      <c r="AT5" s="4">
        <v>1</v>
      </c>
      <c r="AU5" s="107">
        <v>0</v>
      </c>
      <c r="AV5" s="4">
        <f>IF(K5=VLOOKUP(VALUE(K$1),Questions!$A:$E,5,FALSE),1,0)</f>
        <v>0</v>
      </c>
      <c r="AW5" s="4">
        <f>IF(L5=VLOOKUP(VALUE(L$1),Questions!$A:$E,5,FALSE),1,0)</f>
        <v>0</v>
      </c>
      <c r="AX5" s="4">
        <f>IF(M5=VLOOKUP(VALUE(M$1),Questions!$A:$E,5,FALSE),1,0)</f>
        <v>1</v>
      </c>
      <c r="AY5" s="4">
        <f>IF(N5=VLOOKUP(VALUE(N$1),Questions!$A:$E,5,FALSE),1,0)</f>
        <v>0</v>
      </c>
      <c r="AZ5" s="4">
        <f>IF(O5=VLOOKUP(VALUE(O$1),Questions!$A:$E,5,FALSE),1,0)</f>
        <v>1</v>
      </c>
      <c r="BA5" s="4">
        <f>IF(P5=VLOOKUP(VALUE(P$1),Questions!$A:$E,5,FALSE),1,0)</f>
        <v>1</v>
      </c>
      <c r="BB5" s="4">
        <f>IF(Q5=VLOOKUP(VALUE(Q$1),Questions!$A:$E,5,FALSE),1,0)</f>
        <v>0</v>
      </c>
      <c r="BC5" s="4">
        <f>IF(R5=VLOOKUP(VALUE(R$1),Questions!$A:$E,5,FALSE),1,0)</f>
        <v>0</v>
      </c>
      <c r="BD5" s="4">
        <f>IF(S5=VLOOKUP(VALUE(S$1),Questions!$A:$E,5,FALSE),1,0)</f>
        <v>1</v>
      </c>
      <c r="BE5" s="4">
        <f>IF(T5=VLOOKUP(VALUE(T$1),Questions!$A:$E,5,FALSE),1,0)</f>
        <v>1</v>
      </c>
      <c r="BF5" s="4">
        <f>IF(U5=VLOOKUP(VALUE(U$1),Questions!$A:$E,5,FALSE),1,0)</f>
        <v>0</v>
      </c>
      <c r="BG5" s="4">
        <f>IF(V5=VLOOKUP(VALUE(V$1),Questions!$A:$E,5,FALSE),1,0)</f>
        <v>0</v>
      </c>
      <c r="BH5" s="4">
        <f>IF(W5=VLOOKUP(VALUE(W$1),Questions!$A:$E,5,FALSE),1,0)</f>
        <v>0</v>
      </c>
      <c r="BI5" s="4">
        <f>IF(X5=VLOOKUP(VALUE(X$1),Questions!$A:$E,5,FALSE),1,0)</f>
        <v>0</v>
      </c>
      <c r="BJ5" s="4">
        <f>IF(Y5=VLOOKUP(VALUE(Y$1),Questions!$A:$E,5,FALSE),1,0)</f>
        <v>0</v>
      </c>
      <c r="BK5" s="4">
        <f>IF(Z5=VLOOKUP(VALUE(Z$1),Questions!$A:$E,5,FALSE),1,0)</f>
        <v>0</v>
      </c>
      <c r="BL5" s="4">
        <f>IF(AA5=VLOOKUP(VALUE(AA$1),Questions!$A:$E,5,FALSE),1,0)</f>
        <v>0</v>
      </c>
      <c r="BM5" s="4">
        <f>IF(AB5=VLOOKUP(VALUE(AB$1),Questions!$A:$E,5,FALSE),1,0)</f>
        <v>1</v>
      </c>
      <c r="BN5" s="4">
        <f>IF(AC5=VLOOKUP(VALUE(AC$1),Questions!$A:$E,5,FALSE),1,0)</f>
        <v>1</v>
      </c>
      <c r="BO5" s="4">
        <f>IF(AD5=VLOOKUP(VALUE(AD$1),Questions!$A:$E,5,FALSE),1,0)</f>
        <v>1</v>
      </c>
      <c r="BP5" s="4">
        <f>IF(AE5=VLOOKUP(VALUE(AE$1),Questions!$A:$E,5,FALSE),1,0)</f>
        <v>0</v>
      </c>
      <c r="BQ5" s="4">
        <f>IF(AF5=VLOOKUP(VALUE(AF$1),Questions!$A:$E,5,FALSE),1,0)</f>
        <v>0</v>
      </c>
      <c r="BR5" s="4">
        <f>IF(AG5=VLOOKUP(VALUE(AG$1),Questions!$A:$E,5,FALSE),1,0)</f>
        <v>0</v>
      </c>
      <c r="BS5" s="4">
        <f>IF(AH5=VLOOKUP(VALUE(AH$1),Questions!$A:$E,5,FALSE),1,0)</f>
        <v>0</v>
      </c>
      <c r="BT5" s="4">
        <f>IF(AI5=VLOOKUP(VALUE(AI$1),Questions!$A:$E,5,FALSE),1,0)</f>
        <v>0</v>
      </c>
      <c r="BU5" s="4">
        <f>IF(AJ5=VLOOKUP(VALUE(AJ$1),Questions!$A:$E,5,FALSE),1,0)</f>
        <v>0</v>
      </c>
      <c r="BV5" s="4">
        <f>IF(AK5=VLOOKUP(VALUE(AK$1),Questions!$A:$E,5,FALSE),1,0)</f>
        <v>0</v>
      </c>
      <c r="BW5" s="87">
        <f>IF(AL5=VLOOKUP(VALUE(AL$1),Questions!$A:$E,5,FALSE),1,0)</f>
        <v>0</v>
      </c>
      <c r="BX5" s="4">
        <f>IF(Scores[[#This Row],[Final]]&gt;=65,1,0)</f>
        <v>0</v>
      </c>
      <c r="BY5" s="4">
        <f>IF(Scores[[#This Row],[Final]]&gt;=IF(Scores[[#This Row],[IEP]],55,65),1,0)</f>
        <v>0</v>
      </c>
    </row>
    <row r="6" spans="1:77" x14ac:dyDescent="0.2">
      <c r="A6" s="6">
        <v>5</v>
      </c>
      <c r="B6" s="4">
        <v>11</v>
      </c>
      <c r="C6" s="4" t="s">
        <v>962</v>
      </c>
      <c r="D6" s="105" t="b">
        <v>0</v>
      </c>
      <c r="E6" s="105" t="b">
        <v>0</v>
      </c>
      <c r="F6" s="86">
        <f>SUM(Scores[[#This Row],[Q1]:[Q28]])</f>
        <v>21</v>
      </c>
      <c r="G6" s="4">
        <f>SUM(Scores[[#This Row],[29]]:Scores[[#This Row],[30]])</f>
        <v>6</v>
      </c>
      <c r="H6" s="4">
        <f>SUM(Scores[[#This Row],[31]:[36]])</f>
        <v>6</v>
      </c>
      <c r="I6" s="4">
        <f>Scores[[#This Row],[37]]</f>
        <v>3</v>
      </c>
      <c r="J6" s="87">
        <f>INDEX('Conversion Chart'!$C$3:$M$47,MATCH(SUM(Scores[[#This Row],[MC]:[IIIA]]),'Conversion Chart'!$B$3:$B$47),MATCH(Scores[[#This Row],[IIIB]],'Conversion Chart'!$C$2:$M$2))</f>
        <v>79</v>
      </c>
      <c r="K6" s="103">
        <v>4</v>
      </c>
      <c r="L6" s="103">
        <v>2</v>
      </c>
      <c r="M6" s="103">
        <v>3</v>
      </c>
      <c r="N6" s="103">
        <v>3</v>
      </c>
      <c r="O6" s="103">
        <v>1</v>
      </c>
      <c r="P6" s="103">
        <v>2</v>
      </c>
      <c r="Q6" s="103">
        <v>3</v>
      </c>
      <c r="R6" s="103">
        <v>2</v>
      </c>
      <c r="S6" s="103">
        <v>2</v>
      </c>
      <c r="T6" s="103">
        <v>1</v>
      </c>
      <c r="U6" s="103">
        <v>2</v>
      </c>
      <c r="V6" s="103">
        <v>4</v>
      </c>
      <c r="W6" s="103">
        <v>2</v>
      </c>
      <c r="X6" s="103">
        <v>4</v>
      </c>
      <c r="Y6" s="103">
        <v>1</v>
      </c>
      <c r="Z6" s="103">
        <v>2</v>
      </c>
      <c r="AA6" s="103">
        <v>1</v>
      </c>
      <c r="AB6" s="103">
        <v>4</v>
      </c>
      <c r="AC6" s="103">
        <v>2</v>
      </c>
      <c r="AD6" s="103">
        <v>4</v>
      </c>
      <c r="AE6" s="103">
        <v>2</v>
      </c>
      <c r="AF6" s="103">
        <v>2</v>
      </c>
      <c r="AG6" s="103">
        <v>3</v>
      </c>
      <c r="AH6" s="103">
        <v>3</v>
      </c>
      <c r="AI6" s="103">
        <v>3</v>
      </c>
      <c r="AJ6" s="103">
        <v>4</v>
      </c>
      <c r="AK6" s="103">
        <v>4</v>
      </c>
      <c r="AL6" s="104">
        <v>2</v>
      </c>
      <c r="AM6" s="4">
        <v>3</v>
      </c>
      <c r="AN6" s="87">
        <v>3</v>
      </c>
      <c r="AO6" s="4">
        <v>1</v>
      </c>
      <c r="AP6" s="4">
        <v>1</v>
      </c>
      <c r="AQ6" s="4">
        <v>1</v>
      </c>
      <c r="AR6" s="4">
        <v>1</v>
      </c>
      <c r="AS6" s="4">
        <v>1</v>
      </c>
      <c r="AT6" s="4">
        <v>1</v>
      </c>
      <c r="AU6" s="107">
        <v>3</v>
      </c>
      <c r="AV6" s="4">
        <f>IF(K6=VLOOKUP(VALUE(K$1),Questions!$A:$E,5,FALSE),1,0)</f>
        <v>1</v>
      </c>
      <c r="AW6" s="4">
        <f>IF(L6=VLOOKUP(VALUE(L$1),Questions!$A:$E,5,FALSE),1,0)</f>
        <v>1</v>
      </c>
      <c r="AX6" s="4">
        <f>IF(M6=VLOOKUP(VALUE(M$1),Questions!$A:$E,5,FALSE),1,0)</f>
        <v>1</v>
      </c>
      <c r="AY6" s="4">
        <f>IF(N6=VLOOKUP(VALUE(N$1),Questions!$A:$E,5,FALSE),1,0)</f>
        <v>1</v>
      </c>
      <c r="AZ6" s="4">
        <f>IF(O6=VLOOKUP(VALUE(O$1),Questions!$A:$E,5,FALSE),1,0)</f>
        <v>1</v>
      </c>
      <c r="BA6" s="4">
        <f>IF(P6=VLOOKUP(VALUE(P$1),Questions!$A:$E,5,FALSE),1,0)</f>
        <v>0</v>
      </c>
      <c r="BB6" s="4">
        <f>IF(Q6=VLOOKUP(VALUE(Q$1),Questions!$A:$E,5,FALSE),1,0)</f>
        <v>1</v>
      </c>
      <c r="BC6" s="4">
        <f>IF(R6=VLOOKUP(VALUE(R$1),Questions!$A:$E,5,FALSE),1,0)</f>
        <v>1</v>
      </c>
      <c r="BD6" s="4">
        <f>IF(S6=VLOOKUP(VALUE(S$1),Questions!$A:$E,5,FALSE),1,0)</f>
        <v>1</v>
      </c>
      <c r="BE6" s="4">
        <f>IF(T6=VLOOKUP(VALUE(T$1),Questions!$A:$E,5,FALSE),1,0)</f>
        <v>1</v>
      </c>
      <c r="BF6" s="4">
        <f>IF(U6=VLOOKUP(VALUE(U$1),Questions!$A:$E,5,FALSE),1,0)</f>
        <v>1</v>
      </c>
      <c r="BG6" s="4">
        <f>IF(V6=VLOOKUP(VALUE(V$1),Questions!$A:$E,5,FALSE),1,0)</f>
        <v>1</v>
      </c>
      <c r="BH6" s="4">
        <f>IF(W6=VLOOKUP(VALUE(W$1),Questions!$A:$E,5,FALSE),1,0)</f>
        <v>1</v>
      </c>
      <c r="BI6" s="4">
        <f>IF(X6=VLOOKUP(VALUE(X$1),Questions!$A:$E,5,FALSE),1,0)</f>
        <v>1</v>
      </c>
      <c r="BJ6" s="4">
        <f>IF(Y6=VLOOKUP(VALUE(Y$1),Questions!$A:$E,5,FALSE),1,0)</f>
        <v>0</v>
      </c>
      <c r="BK6" s="4">
        <f>IF(Z6=VLOOKUP(VALUE(Z$1),Questions!$A:$E,5,FALSE),1,0)</f>
        <v>0</v>
      </c>
      <c r="BL6" s="4">
        <f>IF(AA6=VLOOKUP(VALUE(AA$1),Questions!$A:$E,5,FALSE),1,0)</f>
        <v>1</v>
      </c>
      <c r="BM6" s="4">
        <f>IF(AB6=VLOOKUP(VALUE(AB$1),Questions!$A:$E,5,FALSE),1,0)</f>
        <v>1</v>
      </c>
      <c r="BN6" s="4">
        <f>IF(AC6=VLOOKUP(VALUE(AC$1),Questions!$A:$E,5,FALSE),1,0)</f>
        <v>0</v>
      </c>
      <c r="BO6" s="4">
        <f>IF(AD6=VLOOKUP(VALUE(AD$1),Questions!$A:$E,5,FALSE),1,0)</f>
        <v>1</v>
      </c>
      <c r="BP6" s="4">
        <f>IF(AE6=VLOOKUP(VALUE(AE$1),Questions!$A:$E,5,FALSE),1,0)</f>
        <v>1</v>
      </c>
      <c r="BQ6" s="4">
        <f>IF(AF6=VLOOKUP(VALUE(AF$1),Questions!$A:$E,5,FALSE),1,0)</f>
        <v>1</v>
      </c>
      <c r="BR6" s="4">
        <f>IF(AG6=VLOOKUP(VALUE(AG$1),Questions!$A:$E,5,FALSE),1,0)</f>
        <v>1</v>
      </c>
      <c r="BS6" s="4">
        <f>IF(AH6=VLOOKUP(VALUE(AH$1),Questions!$A:$E,5,FALSE),1,0)</f>
        <v>1</v>
      </c>
      <c r="BT6" s="4">
        <f>IF(AI6=VLOOKUP(VALUE(AI$1),Questions!$A:$E,5,FALSE),1,0)</f>
        <v>0</v>
      </c>
      <c r="BU6" s="4">
        <f>IF(AJ6=VLOOKUP(VALUE(AJ$1),Questions!$A:$E,5,FALSE),1,0)</f>
        <v>1</v>
      </c>
      <c r="BV6" s="4">
        <f>IF(AK6=VLOOKUP(VALUE(AK$1),Questions!$A:$E,5,FALSE),1,0)</f>
        <v>0</v>
      </c>
      <c r="BW6" s="87">
        <f>IF(AL6=VLOOKUP(VALUE(AL$1),Questions!$A:$E,5,FALSE),1,0)</f>
        <v>0</v>
      </c>
      <c r="BX6" s="4">
        <f>IF(Scores[[#This Row],[Final]]&gt;=65,1,0)</f>
        <v>1</v>
      </c>
      <c r="BY6" s="4">
        <f>IF(Scores[[#This Row],[Final]]&gt;=IF(Scores[[#This Row],[IEP]],55,65),1,0)</f>
        <v>1</v>
      </c>
    </row>
    <row r="7" spans="1:77" x14ac:dyDescent="0.2">
      <c r="A7" s="6">
        <v>6</v>
      </c>
      <c r="B7" s="4">
        <v>11</v>
      </c>
      <c r="C7" s="4" t="s">
        <v>962</v>
      </c>
      <c r="D7" s="105" t="b">
        <v>0</v>
      </c>
      <c r="E7" s="105" t="b">
        <v>0</v>
      </c>
      <c r="F7" s="86">
        <f>SUM(Scores[[#This Row],[Q1]:[Q28]])</f>
        <v>15</v>
      </c>
      <c r="G7" s="4">
        <f>SUM(Scores[[#This Row],[29]]:Scores[[#This Row],[30]])</f>
        <v>3</v>
      </c>
      <c r="H7" s="4">
        <f>SUM(Scores[[#This Row],[31]:[36]])</f>
        <v>6</v>
      </c>
      <c r="I7" s="4">
        <f>Scores[[#This Row],[37]]</f>
        <v>2</v>
      </c>
      <c r="J7" s="87">
        <f>INDEX('Conversion Chart'!$C$3:$M$47,MATCH(SUM(Scores[[#This Row],[MC]:[IIIA]]),'Conversion Chart'!$B$3:$B$47),MATCH(Scores[[#This Row],[IIIB]],'Conversion Chart'!$C$2:$M$2))</f>
        <v>67</v>
      </c>
      <c r="K7" s="103">
        <v>4</v>
      </c>
      <c r="L7" s="103">
        <v>3</v>
      </c>
      <c r="M7" s="103">
        <v>3</v>
      </c>
      <c r="N7" s="103">
        <v>1</v>
      </c>
      <c r="O7" s="103">
        <v>1</v>
      </c>
      <c r="P7" s="103">
        <v>2</v>
      </c>
      <c r="Q7" s="103">
        <v>1</v>
      </c>
      <c r="R7" s="103">
        <v>4</v>
      </c>
      <c r="S7" s="103">
        <v>3</v>
      </c>
      <c r="T7" s="103">
        <v>1</v>
      </c>
      <c r="U7" s="103">
        <v>3</v>
      </c>
      <c r="V7" s="103">
        <v>4</v>
      </c>
      <c r="W7" s="103">
        <v>1</v>
      </c>
      <c r="X7" s="103">
        <v>4</v>
      </c>
      <c r="Y7" s="103">
        <v>3</v>
      </c>
      <c r="Z7" s="103">
        <v>1</v>
      </c>
      <c r="AA7" s="103">
        <v>1</v>
      </c>
      <c r="AB7" s="103">
        <v>4</v>
      </c>
      <c r="AC7" s="103">
        <v>3</v>
      </c>
      <c r="AD7" s="103">
        <v>3</v>
      </c>
      <c r="AE7" s="103">
        <v>1</v>
      </c>
      <c r="AF7" s="103">
        <v>2</v>
      </c>
      <c r="AG7" s="103">
        <v>3</v>
      </c>
      <c r="AH7" s="103">
        <v>2</v>
      </c>
      <c r="AI7" s="103">
        <v>3</v>
      </c>
      <c r="AJ7" s="103">
        <v>4</v>
      </c>
      <c r="AK7" s="103">
        <v>4</v>
      </c>
      <c r="AL7" s="104">
        <v>3</v>
      </c>
      <c r="AM7" s="4">
        <v>2</v>
      </c>
      <c r="AN7" s="87">
        <v>1</v>
      </c>
      <c r="AO7" s="4">
        <v>1</v>
      </c>
      <c r="AP7" s="4">
        <v>1</v>
      </c>
      <c r="AQ7" s="4">
        <v>1</v>
      </c>
      <c r="AR7" s="4">
        <v>1</v>
      </c>
      <c r="AS7" s="4">
        <v>1</v>
      </c>
      <c r="AT7" s="4">
        <v>1</v>
      </c>
      <c r="AU7" s="107">
        <v>2</v>
      </c>
      <c r="AV7" s="4">
        <f>IF(K7=VLOOKUP(VALUE(K$1),Questions!$A:$E,5,FALSE),1,0)</f>
        <v>1</v>
      </c>
      <c r="AW7" s="4">
        <f>IF(L7=VLOOKUP(VALUE(L$1),Questions!$A:$E,5,FALSE),1,0)</f>
        <v>0</v>
      </c>
      <c r="AX7" s="4">
        <f>IF(M7=VLOOKUP(VALUE(M$1),Questions!$A:$E,5,FALSE),1,0)</f>
        <v>1</v>
      </c>
      <c r="AY7" s="4">
        <f>IF(N7=VLOOKUP(VALUE(N$1),Questions!$A:$E,5,FALSE),1,0)</f>
        <v>0</v>
      </c>
      <c r="AZ7" s="4">
        <f>IF(O7=VLOOKUP(VALUE(O$1),Questions!$A:$E,5,FALSE),1,0)</f>
        <v>1</v>
      </c>
      <c r="BA7" s="4">
        <f>IF(P7=VLOOKUP(VALUE(P$1),Questions!$A:$E,5,FALSE),1,0)</f>
        <v>0</v>
      </c>
      <c r="BB7" s="4">
        <f>IF(Q7=VLOOKUP(VALUE(Q$1),Questions!$A:$E,5,FALSE),1,0)</f>
        <v>0</v>
      </c>
      <c r="BC7" s="4">
        <f>IF(R7=VLOOKUP(VALUE(R$1),Questions!$A:$E,5,FALSE),1,0)</f>
        <v>0</v>
      </c>
      <c r="BD7" s="4">
        <f>IF(S7=VLOOKUP(VALUE(S$1),Questions!$A:$E,5,FALSE),1,0)</f>
        <v>0</v>
      </c>
      <c r="BE7" s="4">
        <f>IF(T7=VLOOKUP(VALUE(T$1),Questions!$A:$E,5,FALSE),1,0)</f>
        <v>1</v>
      </c>
      <c r="BF7" s="4">
        <f>IF(U7=VLOOKUP(VALUE(U$1),Questions!$A:$E,5,FALSE),1,0)</f>
        <v>0</v>
      </c>
      <c r="BG7" s="4">
        <f>IF(V7=VLOOKUP(VALUE(V$1),Questions!$A:$E,5,FALSE),1,0)</f>
        <v>1</v>
      </c>
      <c r="BH7" s="4">
        <f>IF(W7=VLOOKUP(VALUE(W$1),Questions!$A:$E,5,FALSE),1,0)</f>
        <v>0</v>
      </c>
      <c r="BI7" s="4">
        <f>IF(X7=VLOOKUP(VALUE(X$1),Questions!$A:$E,5,FALSE),1,0)</f>
        <v>1</v>
      </c>
      <c r="BJ7" s="4">
        <f>IF(Y7=VLOOKUP(VALUE(Y$1),Questions!$A:$E,5,FALSE),1,0)</f>
        <v>1</v>
      </c>
      <c r="BK7" s="4">
        <f>IF(Z7=VLOOKUP(VALUE(Z$1),Questions!$A:$E,5,FALSE),1,0)</f>
        <v>1</v>
      </c>
      <c r="BL7" s="4">
        <f>IF(AA7=VLOOKUP(VALUE(AA$1),Questions!$A:$E,5,FALSE),1,0)</f>
        <v>1</v>
      </c>
      <c r="BM7" s="4">
        <f>IF(AB7=VLOOKUP(VALUE(AB$1),Questions!$A:$E,5,FALSE),1,0)</f>
        <v>1</v>
      </c>
      <c r="BN7" s="4">
        <f>IF(AC7=VLOOKUP(VALUE(AC$1),Questions!$A:$E,5,FALSE),1,0)</f>
        <v>1</v>
      </c>
      <c r="BO7" s="4">
        <f>IF(AD7=VLOOKUP(VALUE(AD$1),Questions!$A:$E,5,FALSE),1,0)</f>
        <v>0</v>
      </c>
      <c r="BP7" s="4">
        <f>IF(AE7=VLOOKUP(VALUE(AE$1),Questions!$A:$E,5,FALSE),1,0)</f>
        <v>0</v>
      </c>
      <c r="BQ7" s="4">
        <f>IF(AF7=VLOOKUP(VALUE(AF$1),Questions!$A:$E,5,FALSE),1,0)</f>
        <v>1</v>
      </c>
      <c r="BR7" s="4">
        <f>IF(AG7=VLOOKUP(VALUE(AG$1),Questions!$A:$E,5,FALSE),1,0)</f>
        <v>1</v>
      </c>
      <c r="BS7" s="4">
        <f>IF(AH7=VLOOKUP(VALUE(AH$1),Questions!$A:$E,5,FALSE),1,0)</f>
        <v>0</v>
      </c>
      <c r="BT7" s="4">
        <f>IF(AI7=VLOOKUP(VALUE(AI$1),Questions!$A:$E,5,FALSE),1,0)</f>
        <v>0</v>
      </c>
      <c r="BU7" s="4">
        <f>IF(AJ7=VLOOKUP(VALUE(AJ$1),Questions!$A:$E,5,FALSE),1,0)</f>
        <v>1</v>
      </c>
      <c r="BV7" s="4">
        <f>IF(AK7=VLOOKUP(VALUE(AK$1),Questions!$A:$E,5,FALSE),1,0)</f>
        <v>0</v>
      </c>
      <c r="BW7" s="87">
        <f>IF(AL7=VLOOKUP(VALUE(AL$1),Questions!$A:$E,5,FALSE),1,0)</f>
        <v>1</v>
      </c>
      <c r="BX7" s="4">
        <f>IF(Scores[[#This Row],[Final]]&gt;=65,1,0)</f>
        <v>1</v>
      </c>
      <c r="BY7" s="4">
        <f>IF(Scores[[#This Row],[Final]]&gt;=IF(Scores[[#This Row],[IEP]],55,65),1,0)</f>
        <v>1</v>
      </c>
    </row>
    <row r="8" spans="1:77" x14ac:dyDescent="0.2">
      <c r="A8" s="6">
        <v>7</v>
      </c>
      <c r="B8" s="4">
        <v>11</v>
      </c>
      <c r="C8" s="4" t="s">
        <v>968</v>
      </c>
      <c r="D8" s="105" t="b">
        <v>0</v>
      </c>
      <c r="E8" s="105" t="b">
        <v>0</v>
      </c>
      <c r="F8" s="86">
        <f>SUM(Scores[[#This Row],[Q1]:[Q28]])</f>
        <v>25</v>
      </c>
      <c r="G8" s="4">
        <f>SUM(Scores[[#This Row],[29]]:Scores[[#This Row],[30]])</f>
        <v>6</v>
      </c>
      <c r="H8" s="4">
        <f>SUM(Scores[[#This Row],[31]:[36]])</f>
        <v>6</v>
      </c>
      <c r="I8" s="4">
        <f>Scores[[#This Row],[37]]</f>
        <v>4</v>
      </c>
      <c r="J8" s="87">
        <f>INDEX('Conversion Chart'!$C$3:$M$47,MATCH(SUM(Scores[[#This Row],[MC]:[IIIA]]),'Conversion Chart'!$B$3:$B$47),MATCH(Scores[[#This Row],[IIIB]],'Conversion Chart'!$C$2:$M$2))</f>
        <v>86</v>
      </c>
      <c r="K8" s="103">
        <v>4</v>
      </c>
      <c r="L8" s="103">
        <v>1</v>
      </c>
      <c r="M8" s="103">
        <v>3</v>
      </c>
      <c r="N8" s="103">
        <v>3</v>
      </c>
      <c r="O8" s="103">
        <v>1</v>
      </c>
      <c r="P8" s="103">
        <v>4</v>
      </c>
      <c r="Q8" s="103">
        <v>3</v>
      </c>
      <c r="R8" s="103">
        <v>2</v>
      </c>
      <c r="S8" s="103">
        <v>2</v>
      </c>
      <c r="T8" s="103">
        <v>1</v>
      </c>
      <c r="U8" s="103">
        <v>2</v>
      </c>
      <c r="V8" s="103">
        <v>4</v>
      </c>
      <c r="W8" s="103">
        <v>2</v>
      </c>
      <c r="X8" s="103">
        <v>4</v>
      </c>
      <c r="Y8" s="103">
        <v>3</v>
      </c>
      <c r="Z8" s="103">
        <v>1</v>
      </c>
      <c r="AA8" s="103">
        <v>1</v>
      </c>
      <c r="AB8" s="103">
        <v>4</v>
      </c>
      <c r="AC8" s="103">
        <v>3</v>
      </c>
      <c r="AD8" s="103">
        <v>1</v>
      </c>
      <c r="AE8" s="103">
        <v>2</v>
      </c>
      <c r="AF8" s="103">
        <v>2</v>
      </c>
      <c r="AG8" s="103">
        <v>3</v>
      </c>
      <c r="AH8" s="103">
        <v>2</v>
      </c>
      <c r="AI8" s="103">
        <v>1</v>
      </c>
      <c r="AJ8" s="103">
        <v>4</v>
      </c>
      <c r="AK8" s="103">
        <v>1</v>
      </c>
      <c r="AL8" s="104">
        <v>3</v>
      </c>
      <c r="AM8" s="4">
        <v>3</v>
      </c>
      <c r="AN8" s="87">
        <v>3</v>
      </c>
      <c r="AO8" s="4">
        <v>1</v>
      </c>
      <c r="AP8" s="4">
        <v>1</v>
      </c>
      <c r="AQ8" s="4">
        <v>1</v>
      </c>
      <c r="AR8" s="4">
        <v>1</v>
      </c>
      <c r="AS8" s="4">
        <v>1</v>
      </c>
      <c r="AT8" s="4">
        <v>1</v>
      </c>
      <c r="AU8" s="107">
        <v>4</v>
      </c>
      <c r="AV8" s="4">
        <f>IF(K8=VLOOKUP(VALUE(K$1),Questions!$A:$E,5,FALSE),1,0)</f>
        <v>1</v>
      </c>
      <c r="AW8" s="4">
        <f>IF(L8=VLOOKUP(VALUE(L$1),Questions!$A:$E,5,FALSE),1,0)</f>
        <v>0</v>
      </c>
      <c r="AX8" s="4">
        <f>IF(M8=VLOOKUP(VALUE(M$1),Questions!$A:$E,5,FALSE),1,0)</f>
        <v>1</v>
      </c>
      <c r="AY8" s="4">
        <f>IF(N8=VLOOKUP(VALUE(N$1),Questions!$A:$E,5,FALSE),1,0)</f>
        <v>1</v>
      </c>
      <c r="AZ8" s="4">
        <f>IF(O8=VLOOKUP(VALUE(O$1),Questions!$A:$E,5,FALSE),1,0)</f>
        <v>1</v>
      </c>
      <c r="BA8" s="4">
        <f>IF(P8=VLOOKUP(VALUE(P$1),Questions!$A:$E,5,FALSE),1,0)</f>
        <v>1</v>
      </c>
      <c r="BB8" s="4">
        <f>IF(Q8=VLOOKUP(VALUE(Q$1),Questions!$A:$E,5,FALSE),1,0)</f>
        <v>1</v>
      </c>
      <c r="BC8" s="4">
        <f>IF(R8=VLOOKUP(VALUE(R$1),Questions!$A:$E,5,FALSE),1,0)</f>
        <v>1</v>
      </c>
      <c r="BD8" s="4">
        <f>IF(S8=VLOOKUP(VALUE(S$1),Questions!$A:$E,5,FALSE),1,0)</f>
        <v>1</v>
      </c>
      <c r="BE8" s="4">
        <f>IF(T8=VLOOKUP(VALUE(T$1),Questions!$A:$E,5,FALSE),1,0)</f>
        <v>1</v>
      </c>
      <c r="BF8" s="4">
        <f>IF(U8=VLOOKUP(VALUE(U$1),Questions!$A:$E,5,FALSE),1,0)</f>
        <v>1</v>
      </c>
      <c r="BG8" s="4">
        <f>IF(V8=VLOOKUP(VALUE(V$1),Questions!$A:$E,5,FALSE),1,0)</f>
        <v>1</v>
      </c>
      <c r="BH8" s="4">
        <f>IF(W8=VLOOKUP(VALUE(W$1),Questions!$A:$E,5,FALSE),1,0)</f>
        <v>1</v>
      </c>
      <c r="BI8" s="4">
        <f>IF(X8=VLOOKUP(VALUE(X$1),Questions!$A:$E,5,FALSE),1,0)</f>
        <v>1</v>
      </c>
      <c r="BJ8" s="4">
        <f>IF(Y8=VLOOKUP(VALUE(Y$1),Questions!$A:$E,5,FALSE),1,0)</f>
        <v>1</v>
      </c>
      <c r="BK8" s="4">
        <f>IF(Z8=VLOOKUP(VALUE(Z$1),Questions!$A:$E,5,FALSE),1,0)</f>
        <v>1</v>
      </c>
      <c r="BL8" s="4">
        <f>IF(AA8=VLOOKUP(VALUE(AA$1),Questions!$A:$E,5,FALSE),1,0)</f>
        <v>1</v>
      </c>
      <c r="BM8" s="4">
        <f>IF(AB8=VLOOKUP(VALUE(AB$1),Questions!$A:$E,5,FALSE),1,0)</f>
        <v>1</v>
      </c>
      <c r="BN8" s="4">
        <f>IF(AC8=VLOOKUP(VALUE(AC$1),Questions!$A:$E,5,FALSE),1,0)</f>
        <v>1</v>
      </c>
      <c r="BO8" s="4">
        <f>IF(AD8=VLOOKUP(VALUE(AD$1),Questions!$A:$E,5,FALSE),1,0)</f>
        <v>0</v>
      </c>
      <c r="BP8" s="4">
        <f>IF(AE8=VLOOKUP(VALUE(AE$1),Questions!$A:$E,5,FALSE),1,0)</f>
        <v>1</v>
      </c>
      <c r="BQ8" s="4">
        <f>IF(AF8=VLOOKUP(VALUE(AF$1),Questions!$A:$E,5,FALSE),1,0)</f>
        <v>1</v>
      </c>
      <c r="BR8" s="4">
        <f>IF(AG8=VLOOKUP(VALUE(AG$1),Questions!$A:$E,5,FALSE),1,0)</f>
        <v>1</v>
      </c>
      <c r="BS8" s="4">
        <f>IF(AH8=VLOOKUP(VALUE(AH$1),Questions!$A:$E,5,FALSE),1,0)</f>
        <v>0</v>
      </c>
      <c r="BT8" s="4">
        <f>IF(AI8=VLOOKUP(VALUE(AI$1),Questions!$A:$E,5,FALSE),1,0)</f>
        <v>1</v>
      </c>
      <c r="BU8" s="4">
        <f>IF(AJ8=VLOOKUP(VALUE(AJ$1),Questions!$A:$E,5,FALSE),1,0)</f>
        <v>1</v>
      </c>
      <c r="BV8" s="4">
        <f>IF(AK8=VLOOKUP(VALUE(AK$1),Questions!$A:$E,5,FALSE),1,0)</f>
        <v>1</v>
      </c>
      <c r="BW8" s="87">
        <f>IF(AL8=VLOOKUP(VALUE(AL$1),Questions!$A:$E,5,FALSE),1,0)</f>
        <v>1</v>
      </c>
      <c r="BX8" s="4">
        <f>IF(Scores[[#This Row],[Final]]&gt;=65,1,0)</f>
        <v>1</v>
      </c>
      <c r="BY8" s="4">
        <f>IF(Scores[[#This Row],[Final]]&gt;=IF(Scores[[#This Row],[IEP]],55,65),1,0)</f>
        <v>1</v>
      </c>
    </row>
    <row r="9" spans="1:77" x14ac:dyDescent="0.2">
      <c r="A9" s="6">
        <v>8</v>
      </c>
      <c r="B9" s="4">
        <v>9</v>
      </c>
      <c r="C9" s="4" t="s">
        <v>963</v>
      </c>
      <c r="D9" s="105" t="b">
        <v>0</v>
      </c>
      <c r="E9" s="105" t="b">
        <v>0</v>
      </c>
      <c r="F9" s="86">
        <f>SUM(Scores[[#This Row],[Q1]:[Q28]])</f>
        <v>21</v>
      </c>
      <c r="G9" s="4">
        <f>SUM(Scores[[#This Row],[29]]:Scores[[#This Row],[30]])</f>
        <v>6</v>
      </c>
      <c r="H9" s="4">
        <f>SUM(Scores[[#This Row],[31]:[36]])</f>
        <v>6</v>
      </c>
      <c r="I9" s="4">
        <f>Scores[[#This Row],[37]]</f>
        <v>2</v>
      </c>
      <c r="J9" s="87">
        <f>INDEX('Conversion Chart'!$C$3:$M$47,MATCH(SUM(Scores[[#This Row],[MC]:[IIIA]]),'Conversion Chart'!$B$3:$B$47),MATCH(Scores[[#This Row],[IIIB]],'Conversion Chart'!$C$2:$M$2))</f>
        <v>77</v>
      </c>
      <c r="K9" s="103">
        <v>3</v>
      </c>
      <c r="L9" s="103">
        <v>1</v>
      </c>
      <c r="M9" s="103">
        <v>3</v>
      </c>
      <c r="N9" s="103">
        <v>3</v>
      </c>
      <c r="O9" s="103">
        <v>1</v>
      </c>
      <c r="P9" s="103">
        <v>2</v>
      </c>
      <c r="Q9" s="103">
        <v>3</v>
      </c>
      <c r="R9" s="103">
        <v>2</v>
      </c>
      <c r="S9" s="103">
        <v>2</v>
      </c>
      <c r="T9" s="103">
        <v>1</v>
      </c>
      <c r="U9" s="103">
        <v>2</v>
      </c>
      <c r="V9" s="103">
        <v>4</v>
      </c>
      <c r="W9" s="103">
        <v>2</v>
      </c>
      <c r="X9" s="103">
        <v>4</v>
      </c>
      <c r="Y9" s="103">
        <v>3</v>
      </c>
      <c r="Z9" s="103">
        <v>1</v>
      </c>
      <c r="AA9" s="103">
        <v>1</v>
      </c>
      <c r="AB9" s="103">
        <v>4</v>
      </c>
      <c r="AC9" s="103">
        <v>3</v>
      </c>
      <c r="AD9" s="103">
        <v>1</v>
      </c>
      <c r="AE9" s="103">
        <v>2</v>
      </c>
      <c r="AF9" s="103">
        <v>2</v>
      </c>
      <c r="AG9" s="103">
        <v>3</v>
      </c>
      <c r="AH9" s="103">
        <v>2</v>
      </c>
      <c r="AI9" s="103">
        <v>3</v>
      </c>
      <c r="AJ9" s="103">
        <v>4</v>
      </c>
      <c r="AK9" s="103">
        <v>4</v>
      </c>
      <c r="AL9" s="104">
        <v>3</v>
      </c>
      <c r="AM9" s="4">
        <v>3</v>
      </c>
      <c r="AN9" s="87">
        <v>3</v>
      </c>
      <c r="AO9" s="4">
        <v>1</v>
      </c>
      <c r="AP9" s="4">
        <v>1</v>
      </c>
      <c r="AQ9" s="4">
        <v>1</v>
      </c>
      <c r="AR9" s="4">
        <v>1</v>
      </c>
      <c r="AS9" s="4">
        <v>1</v>
      </c>
      <c r="AT9" s="4">
        <v>1</v>
      </c>
      <c r="AU9" s="107">
        <v>2</v>
      </c>
      <c r="AV9" s="4">
        <f>IF(K9=VLOOKUP(VALUE(K$1),Questions!$A:$E,5,FALSE),1,0)</f>
        <v>0</v>
      </c>
      <c r="AW9" s="4">
        <f>IF(L9=VLOOKUP(VALUE(L$1),Questions!$A:$E,5,FALSE),1,0)</f>
        <v>0</v>
      </c>
      <c r="AX9" s="4">
        <f>IF(M9=VLOOKUP(VALUE(M$1),Questions!$A:$E,5,FALSE),1,0)</f>
        <v>1</v>
      </c>
      <c r="AY9" s="4">
        <f>IF(N9=VLOOKUP(VALUE(N$1),Questions!$A:$E,5,FALSE),1,0)</f>
        <v>1</v>
      </c>
      <c r="AZ9" s="4">
        <f>IF(O9=VLOOKUP(VALUE(O$1),Questions!$A:$E,5,FALSE),1,0)</f>
        <v>1</v>
      </c>
      <c r="BA9" s="4">
        <f>IF(P9=VLOOKUP(VALUE(P$1),Questions!$A:$E,5,FALSE),1,0)</f>
        <v>0</v>
      </c>
      <c r="BB9" s="4">
        <f>IF(Q9=VLOOKUP(VALUE(Q$1),Questions!$A:$E,5,FALSE),1,0)</f>
        <v>1</v>
      </c>
      <c r="BC9" s="4">
        <f>IF(R9=VLOOKUP(VALUE(R$1),Questions!$A:$E,5,FALSE),1,0)</f>
        <v>1</v>
      </c>
      <c r="BD9" s="4">
        <f>IF(S9=VLOOKUP(VALUE(S$1),Questions!$A:$E,5,FALSE),1,0)</f>
        <v>1</v>
      </c>
      <c r="BE9" s="4">
        <f>IF(T9=VLOOKUP(VALUE(T$1),Questions!$A:$E,5,FALSE),1,0)</f>
        <v>1</v>
      </c>
      <c r="BF9" s="4">
        <f>IF(U9=VLOOKUP(VALUE(U$1),Questions!$A:$E,5,FALSE),1,0)</f>
        <v>1</v>
      </c>
      <c r="BG9" s="4">
        <f>IF(V9=VLOOKUP(VALUE(V$1),Questions!$A:$E,5,FALSE),1,0)</f>
        <v>1</v>
      </c>
      <c r="BH9" s="4">
        <f>IF(W9=VLOOKUP(VALUE(W$1),Questions!$A:$E,5,FALSE),1,0)</f>
        <v>1</v>
      </c>
      <c r="BI9" s="4">
        <f>IF(X9=VLOOKUP(VALUE(X$1),Questions!$A:$E,5,FALSE),1,0)</f>
        <v>1</v>
      </c>
      <c r="BJ9" s="4">
        <f>IF(Y9=VLOOKUP(VALUE(Y$1),Questions!$A:$E,5,FALSE),1,0)</f>
        <v>1</v>
      </c>
      <c r="BK9" s="4">
        <f>IF(Z9=VLOOKUP(VALUE(Z$1),Questions!$A:$E,5,FALSE),1,0)</f>
        <v>1</v>
      </c>
      <c r="BL9" s="4">
        <f>IF(AA9=VLOOKUP(VALUE(AA$1),Questions!$A:$E,5,FALSE),1,0)</f>
        <v>1</v>
      </c>
      <c r="BM9" s="4">
        <f>IF(AB9=VLOOKUP(VALUE(AB$1),Questions!$A:$E,5,FALSE),1,0)</f>
        <v>1</v>
      </c>
      <c r="BN9" s="4">
        <f>IF(AC9=VLOOKUP(VALUE(AC$1),Questions!$A:$E,5,FALSE),1,0)</f>
        <v>1</v>
      </c>
      <c r="BO9" s="4">
        <f>IF(AD9=VLOOKUP(VALUE(AD$1),Questions!$A:$E,5,FALSE),1,0)</f>
        <v>0</v>
      </c>
      <c r="BP9" s="4">
        <f>IF(AE9=VLOOKUP(VALUE(AE$1),Questions!$A:$E,5,FALSE),1,0)</f>
        <v>1</v>
      </c>
      <c r="BQ9" s="4">
        <f>IF(AF9=VLOOKUP(VALUE(AF$1),Questions!$A:$E,5,FALSE),1,0)</f>
        <v>1</v>
      </c>
      <c r="BR9" s="4">
        <f>IF(AG9=VLOOKUP(VALUE(AG$1),Questions!$A:$E,5,FALSE),1,0)</f>
        <v>1</v>
      </c>
      <c r="BS9" s="4">
        <f>IF(AH9=VLOOKUP(VALUE(AH$1),Questions!$A:$E,5,FALSE),1,0)</f>
        <v>0</v>
      </c>
      <c r="BT9" s="4">
        <f>IF(AI9=VLOOKUP(VALUE(AI$1),Questions!$A:$E,5,FALSE),1,0)</f>
        <v>0</v>
      </c>
      <c r="BU9" s="4">
        <f>IF(AJ9=VLOOKUP(VALUE(AJ$1),Questions!$A:$E,5,FALSE),1,0)</f>
        <v>1</v>
      </c>
      <c r="BV9" s="4">
        <f>IF(AK9=VLOOKUP(VALUE(AK$1),Questions!$A:$E,5,FALSE),1,0)</f>
        <v>0</v>
      </c>
      <c r="BW9" s="87">
        <f>IF(AL9=VLOOKUP(VALUE(AL$1),Questions!$A:$E,5,FALSE),1,0)</f>
        <v>1</v>
      </c>
      <c r="BX9" s="4">
        <f>IF(Scores[[#This Row],[Final]]&gt;=65,1,0)</f>
        <v>1</v>
      </c>
      <c r="BY9" s="4">
        <f>IF(Scores[[#This Row],[Final]]&gt;=IF(Scores[[#This Row],[IEP]],55,65),1,0)</f>
        <v>1</v>
      </c>
    </row>
    <row r="10" spans="1:77" x14ac:dyDescent="0.2">
      <c r="A10" s="6">
        <v>9</v>
      </c>
      <c r="B10" s="4">
        <v>11</v>
      </c>
      <c r="C10" s="4" t="s">
        <v>968</v>
      </c>
      <c r="D10" s="105" t="b">
        <v>0</v>
      </c>
      <c r="E10" s="105" t="b">
        <v>0</v>
      </c>
      <c r="F10" s="86">
        <f>SUM(Scores[[#This Row],[Q1]:[Q28]])</f>
        <v>22</v>
      </c>
      <c r="G10" s="4">
        <f>SUM(Scores[[#This Row],[29]]:Scores[[#This Row],[30]])</f>
        <v>6</v>
      </c>
      <c r="H10" s="4">
        <f>SUM(Scores[[#This Row],[31]:[36]])</f>
        <v>6</v>
      </c>
      <c r="I10" s="4">
        <f>Scores[[#This Row],[37]]</f>
        <v>2</v>
      </c>
      <c r="J10" s="87">
        <f>INDEX('Conversion Chart'!$C$3:$M$47,MATCH(SUM(Scores[[#This Row],[MC]:[IIIA]]),'Conversion Chart'!$B$3:$B$47),MATCH(Scores[[#This Row],[IIIB]],'Conversion Chart'!$C$2:$M$2))</f>
        <v>77</v>
      </c>
      <c r="K10" s="103">
        <v>4</v>
      </c>
      <c r="L10" s="103">
        <v>2</v>
      </c>
      <c r="M10" s="103">
        <v>4</v>
      </c>
      <c r="N10" s="103">
        <v>3</v>
      </c>
      <c r="O10" s="103">
        <v>1</v>
      </c>
      <c r="P10" s="103">
        <v>4</v>
      </c>
      <c r="Q10" s="103">
        <v>3</v>
      </c>
      <c r="R10" s="103">
        <v>3</v>
      </c>
      <c r="S10" s="103">
        <v>2</v>
      </c>
      <c r="T10" s="103">
        <v>1</v>
      </c>
      <c r="U10" s="103">
        <v>2</v>
      </c>
      <c r="V10" s="103">
        <v>4</v>
      </c>
      <c r="W10" s="103">
        <v>1</v>
      </c>
      <c r="X10" s="103">
        <v>4</v>
      </c>
      <c r="Y10" s="103">
        <v>3</v>
      </c>
      <c r="Z10" s="103">
        <v>1</v>
      </c>
      <c r="AA10" s="103">
        <v>1</v>
      </c>
      <c r="AB10" s="103">
        <v>4</v>
      </c>
      <c r="AC10" s="103">
        <v>3</v>
      </c>
      <c r="AD10" s="103">
        <v>1</v>
      </c>
      <c r="AE10" s="103">
        <v>3</v>
      </c>
      <c r="AF10" s="103">
        <v>2</v>
      </c>
      <c r="AG10" s="103">
        <v>3</v>
      </c>
      <c r="AH10" s="103">
        <v>2</v>
      </c>
      <c r="AI10" s="103">
        <v>1</v>
      </c>
      <c r="AJ10" s="103">
        <v>4</v>
      </c>
      <c r="AK10" s="103">
        <v>1</v>
      </c>
      <c r="AL10" s="104">
        <v>3</v>
      </c>
      <c r="AM10" s="4">
        <v>3</v>
      </c>
      <c r="AN10" s="87">
        <v>3</v>
      </c>
      <c r="AO10" s="4">
        <v>1</v>
      </c>
      <c r="AP10" s="4">
        <v>1</v>
      </c>
      <c r="AQ10" s="4">
        <v>1</v>
      </c>
      <c r="AR10" s="4">
        <v>1</v>
      </c>
      <c r="AS10" s="4">
        <v>1</v>
      </c>
      <c r="AT10" s="4">
        <v>1</v>
      </c>
      <c r="AU10" s="107">
        <v>2</v>
      </c>
      <c r="AV10" s="4">
        <f>IF(K10=VLOOKUP(VALUE(K$1),Questions!$A:$E,5,FALSE),1,0)</f>
        <v>1</v>
      </c>
      <c r="AW10" s="4">
        <f>IF(L10=VLOOKUP(VALUE(L$1),Questions!$A:$E,5,FALSE),1,0)</f>
        <v>1</v>
      </c>
      <c r="AX10" s="4">
        <f>IF(M10=VLOOKUP(VALUE(M$1),Questions!$A:$E,5,FALSE),1,0)</f>
        <v>0</v>
      </c>
      <c r="AY10" s="4">
        <f>IF(N10=VLOOKUP(VALUE(N$1),Questions!$A:$E,5,FALSE),1,0)</f>
        <v>1</v>
      </c>
      <c r="AZ10" s="4">
        <f>IF(O10=VLOOKUP(VALUE(O$1),Questions!$A:$E,5,FALSE),1,0)</f>
        <v>1</v>
      </c>
      <c r="BA10" s="4">
        <f>IF(P10=VLOOKUP(VALUE(P$1),Questions!$A:$E,5,FALSE),1,0)</f>
        <v>1</v>
      </c>
      <c r="BB10" s="4">
        <f>IF(Q10=VLOOKUP(VALUE(Q$1),Questions!$A:$E,5,FALSE),1,0)</f>
        <v>1</v>
      </c>
      <c r="BC10" s="4">
        <f>IF(R10=VLOOKUP(VALUE(R$1),Questions!$A:$E,5,FALSE),1,0)</f>
        <v>0</v>
      </c>
      <c r="BD10" s="4">
        <f>IF(S10=VLOOKUP(VALUE(S$1),Questions!$A:$E,5,FALSE),1,0)</f>
        <v>1</v>
      </c>
      <c r="BE10" s="4">
        <f>IF(T10=VLOOKUP(VALUE(T$1),Questions!$A:$E,5,FALSE),1,0)</f>
        <v>1</v>
      </c>
      <c r="BF10" s="4">
        <f>IF(U10=VLOOKUP(VALUE(U$1),Questions!$A:$E,5,FALSE),1,0)</f>
        <v>1</v>
      </c>
      <c r="BG10" s="4">
        <f>IF(V10=VLOOKUP(VALUE(V$1),Questions!$A:$E,5,FALSE),1,0)</f>
        <v>1</v>
      </c>
      <c r="BH10" s="4">
        <f>IF(W10=VLOOKUP(VALUE(W$1),Questions!$A:$E,5,FALSE),1,0)</f>
        <v>0</v>
      </c>
      <c r="BI10" s="4">
        <f>IF(X10=VLOOKUP(VALUE(X$1),Questions!$A:$E,5,FALSE),1,0)</f>
        <v>1</v>
      </c>
      <c r="BJ10" s="4">
        <f>IF(Y10=VLOOKUP(VALUE(Y$1),Questions!$A:$E,5,FALSE),1,0)</f>
        <v>1</v>
      </c>
      <c r="BK10" s="4">
        <f>IF(Z10=VLOOKUP(VALUE(Z$1),Questions!$A:$E,5,FALSE),1,0)</f>
        <v>1</v>
      </c>
      <c r="BL10" s="4">
        <f>IF(AA10=VLOOKUP(VALUE(AA$1),Questions!$A:$E,5,FALSE),1,0)</f>
        <v>1</v>
      </c>
      <c r="BM10" s="4">
        <f>IF(AB10=VLOOKUP(VALUE(AB$1),Questions!$A:$E,5,FALSE),1,0)</f>
        <v>1</v>
      </c>
      <c r="BN10" s="4">
        <f>IF(AC10=VLOOKUP(VALUE(AC$1),Questions!$A:$E,5,FALSE),1,0)</f>
        <v>1</v>
      </c>
      <c r="BO10" s="4">
        <f>IF(AD10=VLOOKUP(VALUE(AD$1),Questions!$A:$E,5,FALSE),1,0)</f>
        <v>0</v>
      </c>
      <c r="BP10" s="4">
        <f>IF(AE10=VLOOKUP(VALUE(AE$1),Questions!$A:$E,5,FALSE),1,0)</f>
        <v>0</v>
      </c>
      <c r="BQ10" s="4">
        <f>IF(AF10=VLOOKUP(VALUE(AF$1),Questions!$A:$E,5,FALSE),1,0)</f>
        <v>1</v>
      </c>
      <c r="BR10" s="4">
        <f>IF(AG10=VLOOKUP(VALUE(AG$1),Questions!$A:$E,5,FALSE),1,0)</f>
        <v>1</v>
      </c>
      <c r="BS10" s="4">
        <f>IF(AH10=VLOOKUP(VALUE(AH$1),Questions!$A:$E,5,FALSE),1,0)</f>
        <v>0</v>
      </c>
      <c r="BT10" s="4">
        <f>IF(AI10=VLOOKUP(VALUE(AI$1),Questions!$A:$E,5,FALSE),1,0)</f>
        <v>1</v>
      </c>
      <c r="BU10" s="4">
        <f>IF(AJ10=VLOOKUP(VALUE(AJ$1),Questions!$A:$E,5,FALSE),1,0)</f>
        <v>1</v>
      </c>
      <c r="BV10" s="4">
        <f>IF(AK10=VLOOKUP(VALUE(AK$1),Questions!$A:$E,5,FALSE),1,0)</f>
        <v>1</v>
      </c>
      <c r="BW10" s="87">
        <f>IF(AL10=VLOOKUP(VALUE(AL$1),Questions!$A:$E,5,FALSE),1,0)</f>
        <v>1</v>
      </c>
      <c r="BX10" s="4">
        <f>IF(Scores[[#This Row],[Final]]&gt;=65,1,0)</f>
        <v>1</v>
      </c>
      <c r="BY10" s="4">
        <f>IF(Scores[[#This Row],[Final]]&gt;=IF(Scores[[#This Row],[IEP]],55,65),1,0)</f>
        <v>1</v>
      </c>
    </row>
    <row r="11" spans="1:77" x14ac:dyDescent="0.2">
      <c r="A11" s="6">
        <v>10</v>
      </c>
      <c r="B11" s="4">
        <v>9</v>
      </c>
      <c r="C11" s="4" t="s">
        <v>963</v>
      </c>
      <c r="D11" s="105" t="b">
        <v>0</v>
      </c>
      <c r="E11" s="105" t="b">
        <v>0</v>
      </c>
      <c r="F11" s="86">
        <f>SUM(Scores[[#This Row],[Q1]:[Q28]])</f>
        <v>0</v>
      </c>
      <c r="G11" s="4">
        <f>SUM(Scores[[#This Row],[29]]:Scores[[#This Row],[30]])</f>
        <v>0</v>
      </c>
      <c r="H11" s="4">
        <f>SUM(Scores[[#This Row],[31]:[36]])</f>
        <v>0</v>
      </c>
      <c r="I11" s="4">
        <f>Scores[[#This Row],[37]]</f>
        <v>0</v>
      </c>
      <c r="J11" s="87">
        <f>INDEX('Conversion Chart'!$C$3:$M$47,MATCH(SUM(Scores[[#This Row],[MC]:[IIIA]]),'Conversion Chart'!$B$3:$B$47),MATCH(Scores[[#This Row],[IIIB]],'Conversion Chart'!$C$2:$M$2))</f>
        <v>0</v>
      </c>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4"/>
      <c r="AN11" s="87"/>
      <c r="AU11" s="107"/>
      <c r="AV11" s="4">
        <f>IF(K11=VLOOKUP(VALUE(K$1),Questions!$A:$E,5,FALSE),1,0)</f>
        <v>0</v>
      </c>
      <c r="AW11" s="4">
        <f>IF(L11=VLOOKUP(VALUE(L$1),Questions!$A:$E,5,FALSE),1,0)</f>
        <v>0</v>
      </c>
      <c r="AX11" s="4">
        <f>IF(M11=VLOOKUP(VALUE(M$1),Questions!$A:$E,5,FALSE),1,0)</f>
        <v>0</v>
      </c>
      <c r="AY11" s="4">
        <f>IF(N11=VLOOKUP(VALUE(N$1),Questions!$A:$E,5,FALSE),1,0)</f>
        <v>0</v>
      </c>
      <c r="AZ11" s="4">
        <f>IF(O11=VLOOKUP(VALUE(O$1),Questions!$A:$E,5,FALSE),1,0)</f>
        <v>0</v>
      </c>
      <c r="BA11" s="4">
        <f>IF(P11=VLOOKUP(VALUE(P$1),Questions!$A:$E,5,FALSE),1,0)</f>
        <v>0</v>
      </c>
      <c r="BB11" s="4">
        <f>IF(Q11=VLOOKUP(VALUE(Q$1),Questions!$A:$E,5,FALSE),1,0)</f>
        <v>0</v>
      </c>
      <c r="BC11" s="4">
        <f>IF(R11=VLOOKUP(VALUE(R$1),Questions!$A:$E,5,FALSE),1,0)</f>
        <v>0</v>
      </c>
      <c r="BD11" s="4">
        <f>IF(S11=VLOOKUP(VALUE(S$1),Questions!$A:$E,5,FALSE),1,0)</f>
        <v>0</v>
      </c>
      <c r="BE11" s="4">
        <f>IF(T11=VLOOKUP(VALUE(T$1),Questions!$A:$E,5,FALSE),1,0)</f>
        <v>0</v>
      </c>
      <c r="BF11" s="4">
        <f>IF(U11=VLOOKUP(VALUE(U$1),Questions!$A:$E,5,FALSE),1,0)</f>
        <v>0</v>
      </c>
      <c r="BG11" s="4">
        <f>IF(V11=VLOOKUP(VALUE(V$1),Questions!$A:$E,5,FALSE),1,0)</f>
        <v>0</v>
      </c>
      <c r="BH11" s="4">
        <f>IF(W11=VLOOKUP(VALUE(W$1),Questions!$A:$E,5,FALSE),1,0)</f>
        <v>0</v>
      </c>
      <c r="BI11" s="4">
        <f>IF(X11=VLOOKUP(VALUE(X$1),Questions!$A:$E,5,FALSE),1,0)</f>
        <v>0</v>
      </c>
      <c r="BJ11" s="4">
        <f>IF(Y11=VLOOKUP(VALUE(Y$1),Questions!$A:$E,5,FALSE),1,0)</f>
        <v>0</v>
      </c>
      <c r="BK11" s="4">
        <f>IF(Z11=VLOOKUP(VALUE(Z$1),Questions!$A:$E,5,FALSE),1,0)</f>
        <v>0</v>
      </c>
      <c r="BL11" s="4">
        <f>IF(AA11=VLOOKUP(VALUE(AA$1),Questions!$A:$E,5,FALSE),1,0)</f>
        <v>0</v>
      </c>
      <c r="BM11" s="4">
        <f>IF(AB11=VLOOKUP(VALUE(AB$1),Questions!$A:$E,5,FALSE),1,0)</f>
        <v>0</v>
      </c>
      <c r="BN11" s="4">
        <f>IF(AC11=VLOOKUP(VALUE(AC$1),Questions!$A:$E,5,FALSE),1,0)</f>
        <v>0</v>
      </c>
      <c r="BO11" s="4">
        <f>IF(AD11=VLOOKUP(VALUE(AD$1),Questions!$A:$E,5,FALSE),1,0)</f>
        <v>0</v>
      </c>
      <c r="BP11" s="4">
        <f>IF(AE11=VLOOKUP(VALUE(AE$1),Questions!$A:$E,5,FALSE),1,0)</f>
        <v>0</v>
      </c>
      <c r="BQ11" s="4">
        <f>IF(AF11=VLOOKUP(VALUE(AF$1),Questions!$A:$E,5,FALSE),1,0)</f>
        <v>0</v>
      </c>
      <c r="BR11" s="4">
        <f>IF(AG11=VLOOKUP(VALUE(AG$1),Questions!$A:$E,5,FALSE),1,0)</f>
        <v>0</v>
      </c>
      <c r="BS11" s="4">
        <f>IF(AH11=VLOOKUP(VALUE(AH$1),Questions!$A:$E,5,FALSE),1,0)</f>
        <v>0</v>
      </c>
      <c r="BT11" s="4">
        <f>IF(AI11=VLOOKUP(VALUE(AI$1),Questions!$A:$E,5,FALSE),1,0)</f>
        <v>0</v>
      </c>
      <c r="BU11" s="4">
        <f>IF(AJ11=VLOOKUP(VALUE(AJ$1),Questions!$A:$E,5,FALSE),1,0)</f>
        <v>0</v>
      </c>
      <c r="BV11" s="4">
        <f>IF(AK11=VLOOKUP(VALUE(AK$1),Questions!$A:$E,5,FALSE),1,0)</f>
        <v>0</v>
      </c>
      <c r="BW11" s="87">
        <f>IF(AL11=VLOOKUP(VALUE(AL$1),Questions!$A:$E,5,FALSE),1,0)</f>
        <v>0</v>
      </c>
      <c r="BX11" s="4">
        <f>IF(Scores[[#This Row],[Final]]&gt;=65,1,0)</f>
        <v>0</v>
      </c>
      <c r="BY11" s="4">
        <f>IF(Scores[[#This Row],[Final]]&gt;=IF(Scores[[#This Row],[IEP]],55,65),1,0)</f>
        <v>0</v>
      </c>
    </row>
    <row r="12" spans="1:77" x14ac:dyDescent="0.2">
      <c r="A12" s="6">
        <v>11</v>
      </c>
      <c r="B12" s="4">
        <v>9</v>
      </c>
      <c r="C12" s="4" t="s">
        <v>964</v>
      </c>
      <c r="D12" s="105" t="b">
        <v>0</v>
      </c>
      <c r="E12" s="105" t="b">
        <v>1</v>
      </c>
      <c r="F12" s="86">
        <f>SUM(Scores[[#This Row],[Q1]:[Q28]])</f>
        <v>8</v>
      </c>
      <c r="G12" s="4">
        <f>SUM(Scores[[#This Row],[29]]:Scores[[#This Row],[30]])</f>
        <v>5</v>
      </c>
      <c r="H12" s="4">
        <f>SUM(Scores[[#This Row],[31]:[36]])</f>
        <v>6</v>
      </c>
      <c r="I12" s="4">
        <f>Scores[[#This Row],[37]]</f>
        <v>1</v>
      </c>
      <c r="J12" s="87">
        <f>INDEX('Conversion Chart'!$C$3:$M$47,MATCH(SUM(Scores[[#This Row],[MC]:[IIIA]]),'Conversion Chart'!$B$3:$B$47),MATCH(Scores[[#This Row],[IIIB]],'Conversion Chart'!$C$2:$M$2))</f>
        <v>55</v>
      </c>
      <c r="K12" s="103">
        <v>4</v>
      </c>
      <c r="L12" s="103">
        <v>1</v>
      </c>
      <c r="M12" s="103">
        <v>3</v>
      </c>
      <c r="N12" s="103">
        <v>2</v>
      </c>
      <c r="O12" s="103">
        <v>4</v>
      </c>
      <c r="P12" s="103">
        <v>2</v>
      </c>
      <c r="Q12" s="103">
        <v>3</v>
      </c>
      <c r="R12" s="103">
        <v>2</v>
      </c>
      <c r="S12" s="103">
        <v>3</v>
      </c>
      <c r="T12" s="103">
        <v>1</v>
      </c>
      <c r="U12" s="103">
        <v>4</v>
      </c>
      <c r="V12" s="103">
        <v>2</v>
      </c>
      <c r="W12" s="103">
        <v>2</v>
      </c>
      <c r="X12" s="103">
        <v>3</v>
      </c>
      <c r="Y12" s="103">
        <v>1</v>
      </c>
      <c r="Z12" s="103">
        <v>4</v>
      </c>
      <c r="AA12" s="103">
        <v>1</v>
      </c>
      <c r="AB12" s="103">
        <v>4</v>
      </c>
      <c r="AC12" s="103">
        <v>2</v>
      </c>
      <c r="AD12" s="103">
        <v>3</v>
      </c>
      <c r="AE12" s="103">
        <v>1</v>
      </c>
      <c r="AF12" s="103">
        <v>4</v>
      </c>
      <c r="AG12" s="103">
        <v>4</v>
      </c>
      <c r="AH12" s="103">
        <v>2</v>
      </c>
      <c r="AI12" s="103">
        <v>3</v>
      </c>
      <c r="AJ12" s="103">
        <v>1</v>
      </c>
      <c r="AK12" s="103">
        <v>4</v>
      </c>
      <c r="AL12" s="104">
        <v>4</v>
      </c>
      <c r="AM12" s="4">
        <v>3</v>
      </c>
      <c r="AN12" s="87">
        <v>2</v>
      </c>
      <c r="AO12" s="4">
        <v>1</v>
      </c>
      <c r="AP12" s="4">
        <v>1</v>
      </c>
      <c r="AQ12" s="4">
        <v>1</v>
      </c>
      <c r="AR12" s="4">
        <v>1</v>
      </c>
      <c r="AS12" s="4">
        <v>1</v>
      </c>
      <c r="AT12" s="4">
        <v>1</v>
      </c>
      <c r="AU12" s="107">
        <v>1</v>
      </c>
      <c r="AV12" s="4">
        <f>IF(K12=VLOOKUP(VALUE(K$1),Questions!$A:$E,5,FALSE),1,0)</f>
        <v>1</v>
      </c>
      <c r="AW12" s="4">
        <f>IF(L12=VLOOKUP(VALUE(L$1),Questions!$A:$E,5,FALSE),1,0)</f>
        <v>0</v>
      </c>
      <c r="AX12" s="4">
        <f>IF(M12=VLOOKUP(VALUE(M$1),Questions!$A:$E,5,FALSE),1,0)</f>
        <v>1</v>
      </c>
      <c r="AY12" s="4">
        <f>IF(N12=VLOOKUP(VALUE(N$1),Questions!$A:$E,5,FALSE),1,0)</f>
        <v>0</v>
      </c>
      <c r="AZ12" s="4">
        <f>IF(O12=VLOOKUP(VALUE(O$1),Questions!$A:$E,5,FALSE),1,0)</f>
        <v>0</v>
      </c>
      <c r="BA12" s="4">
        <f>IF(P12=VLOOKUP(VALUE(P$1),Questions!$A:$E,5,FALSE),1,0)</f>
        <v>0</v>
      </c>
      <c r="BB12" s="4">
        <f>IF(Q12=VLOOKUP(VALUE(Q$1),Questions!$A:$E,5,FALSE),1,0)</f>
        <v>1</v>
      </c>
      <c r="BC12" s="4">
        <f>IF(R12=VLOOKUP(VALUE(R$1),Questions!$A:$E,5,FALSE),1,0)</f>
        <v>1</v>
      </c>
      <c r="BD12" s="4">
        <f>IF(S12=VLOOKUP(VALUE(S$1),Questions!$A:$E,5,FALSE),1,0)</f>
        <v>0</v>
      </c>
      <c r="BE12" s="4">
        <f>IF(T12=VLOOKUP(VALUE(T$1),Questions!$A:$E,5,FALSE),1,0)</f>
        <v>1</v>
      </c>
      <c r="BF12" s="4">
        <f>IF(U12=VLOOKUP(VALUE(U$1),Questions!$A:$E,5,FALSE),1,0)</f>
        <v>0</v>
      </c>
      <c r="BG12" s="4">
        <f>IF(V12=VLOOKUP(VALUE(V$1),Questions!$A:$E,5,FALSE),1,0)</f>
        <v>0</v>
      </c>
      <c r="BH12" s="4">
        <f>IF(W12=VLOOKUP(VALUE(W$1),Questions!$A:$E,5,FALSE),1,0)</f>
        <v>1</v>
      </c>
      <c r="BI12" s="4">
        <f>IF(X12=VLOOKUP(VALUE(X$1),Questions!$A:$E,5,FALSE),1,0)</f>
        <v>0</v>
      </c>
      <c r="BJ12" s="4">
        <f>IF(Y12=VLOOKUP(VALUE(Y$1),Questions!$A:$E,5,FALSE),1,0)</f>
        <v>0</v>
      </c>
      <c r="BK12" s="4">
        <f>IF(Z12=VLOOKUP(VALUE(Z$1),Questions!$A:$E,5,FALSE),1,0)</f>
        <v>0</v>
      </c>
      <c r="BL12" s="4">
        <f>IF(AA12=VLOOKUP(VALUE(AA$1),Questions!$A:$E,5,FALSE),1,0)</f>
        <v>1</v>
      </c>
      <c r="BM12" s="4">
        <f>IF(AB12=VLOOKUP(VALUE(AB$1),Questions!$A:$E,5,FALSE),1,0)</f>
        <v>1</v>
      </c>
      <c r="BN12" s="4">
        <f>IF(AC12=VLOOKUP(VALUE(AC$1),Questions!$A:$E,5,FALSE),1,0)</f>
        <v>0</v>
      </c>
      <c r="BO12" s="4">
        <f>IF(AD12=VLOOKUP(VALUE(AD$1),Questions!$A:$E,5,FALSE),1,0)</f>
        <v>0</v>
      </c>
      <c r="BP12" s="4">
        <f>IF(AE12=VLOOKUP(VALUE(AE$1),Questions!$A:$E,5,FALSE),1,0)</f>
        <v>0</v>
      </c>
      <c r="BQ12" s="4">
        <f>IF(AF12=VLOOKUP(VALUE(AF$1),Questions!$A:$E,5,FALSE),1,0)</f>
        <v>0</v>
      </c>
      <c r="BR12" s="4">
        <f>IF(AG12=VLOOKUP(VALUE(AG$1),Questions!$A:$E,5,FALSE),1,0)</f>
        <v>0</v>
      </c>
      <c r="BS12" s="4">
        <f>IF(AH12=VLOOKUP(VALUE(AH$1),Questions!$A:$E,5,FALSE),1,0)</f>
        <v>0</v>
      </c>
      <c r="BT12" s="4">
        <f>IF(AI12=VLOOKUP(VALUE(AI$1),Questions!$A:$E,5,FALSE),1,0)</f>
        <v>0</v>
      </c>
      <c r="BU12" s="4">
        <f>IF(AJ12=VLOOKUP(VALUE(AJ$1),Questions!$A:$E,5,FALSE),1,0)</f>
        <v>0</v>
      </c>
      <c r="BV12" s="4">
        <f>IF(AK12=VLOOKUP(VALUE(AK$1),Questions!$A:$E,5,FALSE),1,0)</f>
        <v>0</v>
      </c>
      <c r="BW12" s="87">
        <f>IF(AL12=VLOOKUP(VALUE(AL$1),Questions!$A:$E,5,FALSE),1,0)</f>
        <v>0</v>
      </c>
      <c r="BX12" s="4">
        <f>IF(Scores[[#This Row],[Final]]&gt;=65,1,0)</f>
        <v>0</v>
      </c>
      <c r="BY12" s="4">
        <f>IF(Scores[[#This Row],[Final]]&gt;=IF(Scores[[#This Row],[IEP]],55,65),1,0)</f>
        <v>1</v>
      </c>
    </row>
    <row r="13" spans="1:77" x14ac:dyDescent="0.2">
      <c r="A13" s="6">
        <v>12</v>
      </c>
      <c r="B13" s="4">
        <v>11</v>
      </c>
      <c r="C13" s="4" t="s">
        <v>968</v>
      </c>
      <c r="D13" s="105" t="b">
        <v>0</v>
      </c>
      <c r="E13" s="105" t="b">
        <v>0</v>
      </c>
      <c r="F13" s="86">
        <f>SUM(Scores[[#This Row],[Q1]:[Q28]])</f>
        <v>15</v>
      </c>
      <c r="G13" s="4">
        <f>SUM(Scores[[#This Row],[29]]:Scores[[#This Row],[30]])</f>
        <v>4</v>
      </c>
      <c r="H13" s="4">
        <f>SUM(Scores[[#This Row],[31]:[36]])</f>
        <v>6</v>
      </c>
      <c r="I13" s="4">
        <f>Scores[[#This Row],[37]]</f>
        <v>2</v>
      </c>
      <c r="J13" s="87">
        <f>INDEX('Conversion Chart'!$C$3:$M$47,MATCH(SUM(Scores[[#This Row],[MC]:[IIIA]]),'Conversion Chart'!$B$3:$B$47),MATCH(Scores[[#This Row],[IIIB]],'Conversion Chart'!$C$2:$M$2))</f>
        <v>68</v>
      </c>
      <c r="K13" s="103">
        <v>4</v>
      </c>
      <c r="L13" s="103">
        <v>2</v>
      </c>
      <c r="M13" s="103">
        <v>3</v>
      </c>
      <c r="N13" s="103">
        <v>3</v>
      </c>
      <c r="O13" s="103">
        <v>2</v>
      </c>
      <c r="P13" s="103">
        <v>2</v>
      </c>
      <c r="Q13" s="103">
        <v>2</v>
      </c>
      <c r="R13" s="103">
        <v>2</v>
      </c>
      <c r="S13" s="103">
        <v>3</v>
      </c>
      <c r="T13" s="103">
        <v>1</v>
      </c>
      <c r="U13" s="103">
        <v>2</v>
      </c>
      <c r="V13" s="103">
        <v>3</v>
      </c>
      <c r="W13" s="103">
        <v>2</v>
      </c>
      <c r="X13" s="103">
        <v>4</v>
      </c>
      <c r="Y13" s="103">
        <v>3</v>
      </c>
      <c r="Z13" s="103">
        <v>1</v>
      </c>
      <c r="AA13" s="103">
        <v>4</v>
      </c>
      <c r="AB13" s="103">
        <v>4</v>
      </c>
      <c r="AC13" s="103">
        <v>1</v>
      </c>
      <c r="AD13" s="103">
        <v>2</v>
      </c>
      <c r="AE13" s="103">
        <v>1</v>
      </c>
      <c r="AF13" s="103">
        <v>2</v>
      </c>
      <c r="AG13" s="103">
        <v>3</v>
      </c>
      <c r="AH13" s="103">
        <v>1</v>
      </c>
      <c r="AI13" s="103">
        <v>4</v>
      </c>
      <c r="AJ13" s="103">
        <v>4</v>
      </c>
      <c r="AK13" s="103">
        <v>3</v>
      </c>
      <c r="AL13" s="104">
        <v>2</v>
      </c>
      <c r="AM13" s="4">
        <v>2</v>
      </c>
      <c r="AN13" s="87">
        <v>2</v>
      </c>
      <c r="AO13" s="4">
        <v>1</v>
      </c>
      <c r="AP13" s="4">
        <v>1</v>
      </c>
      <c r="AQ13" s="4">
        <v>1</v>
      </c>
      <c r="AR13" s="4">
        <v>1</v>
      </c>
      <c r="AS13" s="4">
        <v>1</v>
      </c>
      <c r="AT13" s="4">
        <v>1</v>
      </c>
      <c r="AU13" s="107">
        <v>2</v>
      </c>
      <c r="AV13" s="4">
        <f>IF(K13=VLOOKUP(VALUE(K$1),Questions!$A:$E,5,FALSE),1,0)</f>
        <v>1</v>
      </c>
      <c r="AW13" s="4">
        <f>IF(L13=VLOOKUP(VALUE(L$1),Questions!$A:$E,5,FALSE),1,0)</f>
        <v>1</v>
      </c>
      <c r="AX13" s="4">
        <f>IF(M13=VLOOKUP(VALUE(M$1),Questions!$A:$E,5,FALSE),1,0)</f>
        <v>1</v>
      </c>
      <c r="AY13" s="4">
        <f>IF(N13=VLOOKUP(VALUE(N$1),Questions!$A:$E,5,FALSE),1,0)</f>
        <v>1</v>
      </c>
      <c r="AZ13" s="4">
        <f>IF(O13=VLOOKUP(VALUE(O$1),Questions!$A:$E,5,FALSE),1,0)</f>
        <v>0</v>
      </c>
      <c r="BA13" s="4">
        <f>IF(P13=VLOOKUP(VALUE(P$1),Questions!$A:$E,5,FALSE),1,0)</f>
        <v>0</v>
      </c>
      <c r="BB13" s="4">
        <f>IF(Q13=VLOOKUP(VALUE(Q$1),Questions!$A:$E,5,FALSE),1,0)</f>
        <v>0</v>
      </c>
      <c r="BC13" s="4">
        <f>IF(R13=VLOOKUP(VALUE(R$1),Questions!$A:$E,5,FALSE),1,0)</f>
        <v>1</v>
      </c>
      <c r="BD13" s="4">
        <f>IF(S13=VLOOKUP(VALUE(S$1),Questions!$A:$E,5,FALSE),1,0)</f>
        <v>0</v>
      </c>
      <c r="BE13" s="4">
        <f>IF(T13=VLOOKUP(VALUE(T$1),Questions!$A:$E,5,FALSE),1,0)</f>
        <v>1</v>
      </c>
      <c r="BF13" s="4">
        <f>IF(U13=VLOOKUP(VALUE(U$1),Questions!$A:$E,5,FALSE),1,0)</f>
        <v>1</v>
      </c>
      <c r="BG13" s="4">
        <f>IF(V13=VLOOKUP(VALUE(V$1),Questions!$A:$E,5,FALSE),1,0)</f>
        <v>0</v>
      </c>
      <c r="BH13" s="4">
        <f>IF(W13=VLOOKUP(VALUE(W$1),Questions!$A:$E,5,FALSE),1,0)</f>
        <v>1</v>
      </c>
      <c r="BI13" s="4">
        <f>IF(X13=VLOOKUP(VALUE(X$1),Questions!$A:$E,5,FALSE),1,0)</f>
        <v>1</v>
      </c>
      <c r="BJ13" s="4">
        <f>IF(Y13=VLOOKUP(VALUE(Y$1),Questions!$A:$E,5,FALSE),1,0)</f>
        <v>1</v>
      </c>
      <c r="BK13" s="4">
        <f>IF(Z13=VLOOKUP(VALUE(Z$1),Questions!$A:$E,5,FALSE),1,0)</f>
        <v>1</v>
      </c>
      <c r="BL13" s="4">
        <f>IF(AA13=VLOOKUP(VALUE(AA$1),Questions!$A:$E,5,FALSE),1,0)</f>
        <v>0</v>
      </c>
      <c r="BM13" s="4">
        <f>IF(AB13=VLOOKUP(VALUE(AB$1),Questions!$A:$E,5,FALSE),1,0)</f>
        <v>1</v>
      </c>
      <c r="BN13" s="4">
        <f>IF(AC13=VLOOKUP(VALUE(AC$1),Questions!$A:$E,5,FALSE),1,0)</f>
        <v>0</v>
      </c>
      <c r="BO13" s="4">
        <f>IF(AD13=VLOOKUP(VALUE(AD$1),Questions!$A:$E,5,FALSE),1,0)</f>
        <v>0</v>
      </c>
      <c r="BP13" s="4">
        <f>IF(AE13=VLOOKUP(VALUE(AE$1),Questions!$A:$E,5,FALSE),1,0)</f>
        <v>0</v>
      </c>
      <c r="BQ13" s="4">
        <f>IF(AF13=VLOOKUP(VALUE(AF$1),Questions!$A:$E,5,FALSE),1,0)</f>
        <v>1</v>
      </c>
      <c r="BR13" s="4">
        <f>IF(AG13=VLOOKUP(VALUE(AG$1),Questions!$A:$E,5,FALSE),1,0)</f>
        <v>1</v>
      </c>
      <c r="BS13" s="4">
        <f>IF(AH13=VLOOKUP(VALUE(AH$1),Questions!$A:$E,5,FALSE),1,0)</f>
        <v>0</v>
      </c>
      <c r="BT13" s="4">
        <f>IF(AI13=VLOOKUP(VALUE(AI$1),Questions!$A:$E,5,FALSE),1,0)</f>
        <v>0</v>
      </c>
      <c r="BU13" s="4">
        <f>IF(AJ13=VLOOKUP(VALUE(AJ$1),Questions!$A:$E,5,FALSE),1,0)</f>
        <v>1</v>
      </c>
      <c r="BV13" s="4">
        <f>IF(AK13=VLOOKUP(VALUE(AK$1),Questions!$A:$E,5,FALSE),1,0)</f>
        <v>0</v>
      </c>
      <c r="BW13" s="87">
        <f>IF(AL13=VLOOKUP(VALUE(AL$1),Questions!$A:$E,5,FALSE),1,0)</f>
        <v>0</v>
      </c>
      <c r="BX13" s="4">
        <f>IF(Scores[[#This Row],[Final]]&gt;=65,1,0)</f>
        <v>1</v>
      </c>
      <c r="BY13" s="4">
        <f>IF(Scores[[#This Row],[Final]]&gt;=IF(Scores[[#This Row],[IEP]],55,65),1,0)</f>
        <v>1</v>
      </c>
    </row>
    <row r="14" spans="1:77" x14ac:dyDescent="0.2">
      <c r="A14" s="6">
        <v>13</v>
      </c>
      <c r="B14" s="4">
        <v>11</v>
      </c>
      <c r="C14" s="4" t="s">
        <v>962</v>
      </c>
      <c r="D14" s="105" t="b">
        <v>0</v>
      </c>
      <c r="E14" s="105" t="b">
        <v>1</v>
      </c>
      <c r="F14" s="86">
        <f>SUM(Scores[[#This Row],[Q1]:[Q28]])</f>
        <v>10</v>
      </c>
      <c r="G14" s="4">
        <f>SUM(Scores[[#This Row],[29]]:Scores[[#This Row],[30]])</f>
        <v>4</v>
      </c>
      <c r="H14" s="4">
        <f>SUM(Scores[[#This Row],[31]:[36]])</f>
        <v>5</v>
      </c>
      <c r="I14" s="4">
        <f>Scores[[#This Row],[37]]</f>
        <v>2</v>
      </c>
      <c r="J14" s="87">
        <f>INDEX('Conversion Chart'!$C$3:$M$47,MATCH(SUM(Scores[[#This Row],[MC]:[IIIA]]),'Conversion Chart'!$B$3:$B$47),MATCH(Scores[[#This Row],[IIIB]],'Conversion Chart'!$C$2:$M$2))</f>
        <v>60</v>
      </c>
      <c r="K14" s="103">
        <v>3</v>
      </c>
      <c r="L14" s="103">
        <v>1</v>
      </c>
      <c r="M14" s="103">
        <v>1</v>
      </c>
      <c r="N14" s="103">
        <v>2</v>
      </c>
      <c r="O14" s="103">
        <v>1</v>
      </c>
      <c r="P14" s="103">
        <v>1</v>
      </c>
      <c r="Q14" s="103">
        <v>4</v>
      </c>
      <c r="R14" s="103">
        <v>2</v>
      </c>
      <c r="S14" s="103">
        <v>2</v>
      </c>
      <c r="T14" s="103">
        <v>3</v>
      </c>
      <c r="U14" s="103">
        <v>1</v>
      </c>
      <c r="V14" s="103">
        <v>3</v>
      </c>
      <c r="W14" s="103">
        <v>4</v>
      </c>
      <c r="X14" s="103">
        <v>3</v>
      </c>
      <c r="Y14" s="103">
        <v>2</v>
      </c>
      <c r="Z14" s="103">
        <v>3</v>
      </c>
      <c r="AA14" s="103">
        <v>1</v>
      </c>
      <c r="AB14" s="103">
        <v>4</v>
      </c>
      <c r="AC14" s="103">
        <v>2</v>
      </c>
      <c r="AD14" s="103">
        <v>3</v>
      </c>
      <c r="AE14" s="103">
        <v>3</v>
      </c>
      <c r="AF14" s="103">
        <v>2</v>
      </c>
      <c r="AG14" s="103">
        <v>3</v>
      </c>
      <c r="AH14" s="103">
        <v>3</v>
      </c>
      <c r="AI14" s="103">
        <v>4</v>
      </c>
      <c r="AJ14" s="103">
        <v>4</v>
      </c>
      <c r="AK14" s="103">
        <v>1</v>
      </c>
      <c r="AL14" s="104">
        <v>4</v>
      </c>
      <c r="AM14" s="4">
        <v>2</v>
      </c>
      <c r="AN14" s="87">
        <v>2</v>
      </c>
      <c r="AO14" s="4">
        <v>1</v>
      </c>
      <c r="AP14" s="4">
        <v>1</v>
      </c>
      <c r="AQ14" s="4">
        <v>1</v>
      </c>
      <c r="AR14" s="4">
        <v>0</v>
      </c>
      <c r="AS14" s="4">
        <v>1</v>
      </c>
      <c r="AT14" s="4">
        <v>1</v>
      </c>
      <c r="AU14" s="107">
        <v>2</v>
      </c>
      <c r="AV14" s="4">
        <f>IF(K14=VLOOKUP(VALUE(K$1),Questions!$A:$E,5,FALSE),1,0)</f>
        <v>0</v>
      </c>
      <c r="AW14" s="4">
        <f>IF(L14=VLOOKUP(VALUE(L$1),Questions!$A:$E,5,FALSE),1,0)</f>
        <v>0</v>
      </c>
      <c r="AX14" s="4">
        <f>IF(M14=VLOOKUP(VALUE(M$1),Questions!$A:$E,5,FALSE),1,0)</f>
        <v>0</v>
      </c>
      <c r="AY14" s="4">
        <f>IF(N14=VLOOKUP(VALUE(N$1),Questions!$A:$E,5,FALSE),1,0)</f>
        <v>0</v>
      </c>
      <c r="AZ14" s="4">
        <f>IF(O14=VLOOKUP(VALUE(O$1),Questions!$A:$E,5,FALSE),1,0)</f>
        <v>1</v>
      </c>
      <c r="BA14" s="4">
        <f>IF(P14=VLOOKUP(VALUE(P$1),Questions!$A:$E,5,FALSE),1,0)</f>
        <v>0</v>
      </c>
      <c r="BB14" s="4">
        <f>IF(Q14=VLOOKUP(VALUE(Q$1),Questions!$A:$E,5,FALSE),1,0)</f>
        <v>0</v>
      </c>
      <c r="BC14" s="4">
        <f>IF(R14=VLOOKUP(VALUE(R$1),Questions!$A:$E,5,FALSE),1,0)</f>
        <v>1</v>
      </c>
      <c r="BD14" s="4">
        <f>IF(S14=VLOOKUP(VALUE(S$1),Questions!$A:$E,5,FALSE),1,0)</f>
        <v>1</v>
      </c>
      <c r="BE14" s="4">
        <f>IF(T14=VLOOKUP(VALUE(T$1),Questions!$A:$E,5,FALSE),1,0)</f>
        <v>0</v>
      </c>
      <c r="BF14" s="4">
        <f>IF(U14=VLOOKUP(VALUE(U$1),Questions!$A:$E,5,FALSE),1,0)</f>
        <v>0</v>
      </c>
      <c r="BG14" s="4">
        <f>IF(V14=VLOOKUP(VALUE(V$1),Questions!$A:$E,5,FALSE),1,0)</f>
        <v>0</v>
      </c>
      <c r="BH14" s="4">
        <f>IF(W14=VLOOKUP(VALUE(W$1),Questions!$A:$E,5,FALSE),1,0)</f>
        <v>0</v>
      </c>
      <c r="BI14" s="4">
        <f>IF(X14=VLOOKUP(VALUE(X$1),Questions!$A:$E,5,FALSE),1,0)</f>
        <v>0</v>
      </c>
      <c r="BJ14" s="4">
        <f>IF(Y14=VLOOKUP(VALUE(Y$1),Questions!$A:$E,5,FALSE),1,0)</f>
        <v>0</v>
      </c>
      <c r="BK14" s="4">
        <f>IF(Z14=VLOOKUP(VALUE(Z$1),Questions!$A:$E,5,FALSE),1,0)</f>
        <v>0</v>
      </c>
      <c r="BL14" s="4">
        <f>IF(AA14=VLOOKUP(VALUE(AA$1),Questions!$A:$E,5,FALSE),1,0)</f>
        <v>1</v>
      </c>
      <c r="BM14" s="4">
        <f>IF(AB14=VLOOKUP(VALUE(AB$1),Questions!$A:$E,5,FALSE),1,0)</f>
        <v>1</v>
      </c>
      <c r="BN14" s="4">
        <f>IF(AC14=VLOOKUP(VALUE(AC$1),Questions!$A:$E,5,FALSE),1,0)</f>
        <v>0</v>
      </c>
      <c r="BO14" s="4">
        <f>IF(AD14=VLOOKUP(VALUE(AD$1),Questions!$A:$E,5,FALSE),1,0)</f>
        <v>0</v>
      </c>
      <c r="BP14" s="4">
        <f>IF(AE14=VLOOKUP(VALUE(AE$1),Questions!$A:$E,5,FALSE),1,0)</f>
        <v>0</v>
      </c>
      <c r="BQ14" s="4">
        <f>IF(AF14=VLOOKUP(VALUE(AF$1),Questions!$A:$E,5,FALSE),1,0)</f>
        <v>1</v>
      </c>
      <c r="BR14" s="4">
        <f>IF(AG14=VLOOKUP(VALUE(AG$1),Questions!$A:$E,5,FALSE),1,0)</f>
        <v>1</v>
      </c>
      <c r="BS14" s="4">
        <f>IF(AH14=VLOOKUP(VALUE(AH$1),Questions!$A:$E,5,FALSE),1,0)</f>
        <v>1</v>
      </c>
      <c r="BT14" s="4">
        <f>IF(AI14=VLOOKUP(VALUE(AI$1),Questions!$A:$E,5,FALSE),1,0)</f>
        <v>0</v>
      </c>
      <c r="BU14" s="4">
        <f>IF(AJ14=VLOOKUP(VALUE(AJ$1),Questions!$A:$E,5,FALSE),1,0)</f>
        <v>1</v>
      </c>
      <c r="BV14" s="4">
        <f>IF(AK14=VLOOKUP(VALUE(AK$1),Questions!$A:$E,5,FALSE),1,0)</f>
        <v>1</v>
      </c>
      <c r="BW14" s="87">
        <f>IF(AL14=VLOOKUP(VALUE(AL$1),Questions!$A:$E,5,FALSE),1,0)</f>
        <v>0</v>
      </c>
      <c r="BX14" s="4">
        <f>IF(Scores[[#This Row],[Final]]&gt;=65,1,0)</f>
        <v>0</v>
      </c>
      <c r="BY14" s="4">
        <f>IF(Scores[[#This Row],[Final]]&gt;=IF(Scores[[#This Row],[IEP]],55,65),1,0)</f>
        <v>1</v>
      </c>
    </row>
    <row r="15" spans="1:77" x14ac:dyDescent="0.2">
      <c r="A15" s="6">
        <v>14</v>
      </c>
      <c r="B15" s="4">
        <v>9</v>
      </c>
      <c r="C15" s="4" t="s">
        <v>963</v>
      </c>
      <c r="D15" s="105" t="b">
        <v>0</v>
      </c>
      <c r="E15" s="105" t="b">
        <v>0</v>
      </c>
      <c r="F15" s="86">
        <f>SUM(Scores[[#This Row],[Q1]:[Q28]])</f>
        <v>11</v>
      </c>
      <c r="G15" s="4">
        <f>SUM(Scores[[#This Row],[29]]:Scores[[#This Row],[30]])</f>
        <v>3</v>
      </c>
      <c r="H15" s="4">
        <f>SUM(Scores[[#This Row],[31]:[36]])</f>
        <v>5</v>
      </c>
      <c r="I15" s="4">
        <f>Scores[[#This Row],[37]]</f>
        <v>1</v>
      </c>
      <c r="J15" s="87">
        <f>INDEX('Conversion Chart'!$C$3:$M$47,MATCH(SUM(Scores[[#This Row],[MC]:[IIIA]]),'Conversion Chart'!$B$3:$B$47),MATCH(Scores[[#This Row],[IIIB]],'Conversion Chart'!$C$2:$M$2))</f>
        <v>55</v>
      </c>
      <c r="K15" s="103">
        <v>4</v>
      </c>
      <c r="L15" s="103">
        <v>1</v>
      </c>
      <c r="M15" s="103">
        <v>3</v>
      </c>
      <c r="N15" s="103">
        <v>1</v>
      </c>
      <c r="O15" s="103">
        <v>1</v>
      </c>
      <c r="P15" s="103">
        <v>2</v>
      </c>
      <c r="Q15" s="103">
        <v>1</v>
      </c>
      <c r="R15" s="103">
        <v>2</v>
      </c>
      <c r="S15" s="103">
        <v>3</v>
      </c>
      <c r="T15" s="103">
        <v>1</v>
      </c>
      <c r="U15" s="103">
        <v>2</v>
      </c>
      <c r="V15" s="103">
        <v>3</v>
      </c>
      <c r="W15" s="103">
        <v>2</v>
      </c>
      <c r="X15" s="103">
        <v>3</v>
      </c>
      <c r="Y15" s="103">
        <v>3</v>
      </c>
      <c r="Z15" s="103">
        <v>4</v>
      </c>
      <c r="AA15" s="103">
        <v>2</v>
      </c>
      <c r="AB15" s="103">
        <v>1</v>
      </c>
      <c r="AC15" s="103">
        <v>2</v>
      </c>
      <c r="AD15" s="103">
        <v>4</v>
      </c>
      <c r="AE15" s="103">
        <v>3</v>
      </c>
      <c r="AF15" s="103">
        <v>1</v>
      </c>
      <c r="AG15" s="103">
        <v>4</v>
      </c>
      <c r="AH15" s="103">
        <v>2</v>
      </c>
      <c r="AI15" s="103">
        <v>3</v>
      </c>
      <c r="AJ15" s="103">
        <v>4</v>
      </c>
      <c r="AK15" s="103">
        <v>4</v>
      </c>
      <c r="AL15" s="104">
        <v>3</v>
      </c>
      <c r="AM15" s="4">
        <v>2</v>
      </c>
      <c r="AN15" s="87">
        <v>1</v>
      </c>
      <c r="AO15" s="4">
        <v>0</v>
      </c>
      <c r="AP15" s="4">
        <v>1</v>
      </c>
      <c r="AQ15" s="4">
        <v>1</v>
      </c>
      <c r="AR15" s="4">
        <v>1</v>
      </c>
      <c r="AS15" s="4">
        <v>1</v>
      </c>
      <c r="AT15" s="4">
        <v>1</v>
      </c>
      <c r="AU15" s="107">
        <v>1</v>
      </c>
      <c r="AV15" s="4">
        <f>IF(K15=VLOOKUP(VALUE(K$1),Questions!$A:$E,5,FALSE),1,0)</f>
        <v>1</v>
      </c>
      <c r="AW15" s="4">
        <f>IF(L15=VLOOKUP(VALUE(L$1),Questions!$A:$E,5,FALSE),1,0)</f>
        <v>0</v>
      </c>
      <c r="AX15" s="4">
        <f>IF(M15=VLOOKUP(VALUE(M$1),Questions!$A:$E,5,FALSE),1,0)</f>
        <v>1</v>
      </c>
      <c r="AY15" s="4">
        <f>IF(N15=VLOOKUP(VALUE(N$1),Questions!$A:$E,5,FALSE),1,0)</f>
        <v>0</v>
      </c>
      <c r="AZ15" s="4">
        <f>IF(O15=VLOOKUP(VALUE(O$1),Questions!$A:$E,5,FALSE),1,0)</f>
        <v>1</v>
      </c>
      <c r="BA15" s="4">
        <f>IF(P15=VLOOKUP(VALUE(P$1),Questions!$A:$E,5,FALSE),1,0)</f>
        <v>0</v>
      </c>
      <c r="BB15" s="4">
        <f>IF(Q15=VLOOKUP(VALUE(Q$1),Questions!$A:$E,5,FALSE),1,0)</f>
        <v>0</v>
      </c>
      <c r="BC15" s="4">
        <f>IF(R15=VLOOKUP(VALUE(R$1),Questions!$A:$E,5,FALSE),1,0)</f>
        <v>1</v>
      </c>
      <c r="BD15" s="4">
        <f>IF(S15=VLOOKUP(VALUE(S$1),Questions!$A:$E,5,FALSE),1,0)</f>
        <v>0</v>
      </c>
      <c r="BE15" s="4">
        <f>IF(T15=VLOOKUP(VALUE(T$1),Questions!$A:$E,5,FALSE),1,0)</f>
        <v>1</v>
      </c>
      <c r="BF15" s="4">
        <f>IF(U15=VLOOKUP(VALUE(U$1),Questions!$A:$E,5,FALSE),1,0)</f>
        <v>1</v>
      </c>
      <c r="BG15" s="4">
        <f>IF(V15=VLOOKUP(VALUE(V$1),Questions!$A:$E,5,FALSE),1,0)</f>
        <v>0</v>
      </c>
      <c r="BH15" s="4">
        <f>IF(W15=VLOOKUP(VALUE(W$1),Questions!$A:$E,5,FALSE),1,0)</f>
        <v>1</v>
      </c>
      <c r="BI15" s="4">
        <f>IF(X15=VLOOKUP(VALUE(X$1),Questions!$A:$E,5,FALSE),1,0)</f>
        <v>0</v>
      </c>
      <c r="BJ15" s="4">
        <f>IF(Y15=VLOOKUP(VALUE(Y$1),Questions!$A:$E,5,FALSE),1,0)</f>
        <v>1</v>
      </c>
      <c r="BK15" s="4">
        <f>IF(Z15=VLOOKUP(VALUE(Z$1),Questions!$A:$E,5,FALSE),1,0)</f>
        <v>0</v>
      </c>
      <c r="BL15" s="4">
        <f>IF(AA15=VLOOKUP(VALUE(AA$1),Questions!$A:$E,5,FALSE),1,0)</f>
        <v>0</v>
      </c>
      <c r="BM15" s="4">
        <f>IF(AB15=VLOOKUP(VALUE(AB$1),Questions!$A:$E,5,FALSE),1,0)</f>
        <v>0</v>
      </c>
      <c r="BN15" s="4">
        <f>IF(AC15=VLOOKUP(VALUE(AC$1),Questions!$A:$E,5,FALSE),1,0)</f>
        <v>0</v>
      </c>
      <c r="BO15" s="4">
        <f>IF(AD15=VLOOKUP(VALUE(AD$1),Questions!$A:$E,5,FALSE),1,0)</f>
        <v>1</v>
      </c>
      <c r="BP15" s="4">
        <f>IF(AE15=VLOOKUP(VALUE(AE$1),Questions!$A:$E,5,FALSE),1,0)</f>
        <v>0</v>
      </c>
      <c r="BQ15" s="4">
        <f>IF(AF15=VLOOKUP(VALUE(AF$1),Questions!$A:$E,5,FALSE),1,0)</f>
        <v>0</v>
      </c>
      <c r="BR15" s="4">
        <f>IF(AG15=VLOOKUP(VALUE(AG$1),Questions!$A:$E,5,FALSE),1,0)</f>
        <v>0</v>
      </c>
      <c r="BS15" s="4">
        <f>IF(AH15=VLOOKUP(VALUE(AH$1),Questions!$A:$E,5,FALSE),1,0)</f>
        <v>0</v>
      </c>
      <c r="BT15" s="4">
        <f>IF(AI15=VLOOKUP(VALUE(AI$1),Questions!$A:$E,5,FALSE),1,0)</f>
        <v>0</v>
      </c>
      <c r="BU15" s="4">
        <f>IF(AJ15=VLOOKUP(VALUE(AJ$1),Questions!$A:$E,5,FALSE),1,0)</f>
        <v>1</v>
      </c>
      <c r="BV15" s="4">
        <f>IF(AK15=VLOOKUP(VALUE(AK$1),Questions!$A:$E,5,FALSE),1,0)</f>
        <v>0</v>
      </c>
      <c r="BW15" s="87">
        <f>IF(AL15=VLOOKUP(VALUE(AL$1),Questions!$A:$E,5,FALSE),1,0)</f>
        <v>1</v>
      </c>
      <c r="BX15" s="4">
        <f>IF(Scores[[#This Row],[Final]]&gt;=65,1,0)</f>
        <v>0</v>
      </c>
      <c r="BY15" s="4">
        <f>IF(Scores[[#This Row],[Final]]&gt;=IF(Scores[[#This Row],[IEP]],55,65),1,0)</f>
        <v>0</v>
      </c>
    </row>
    <row r="16" spans="1:77" x14ac:dyDescent="0.2">
      <c r="A16" s="6">
        <v>15</v>
      </c>
      <c r="B16" s="4">
        <v>11</v>
      </c>
      <c r="C16" s="4" t="s">
        <v>962</v>
      </c>
      <c r="D16" s="105" t="b">
        <v>0</v>
      </c>
      <c r="E16" s="105" t="b">
        <v>0</v>
      </c>
      <c r="F16" s="86">
        <f>SUM(Scores[[#This Row],[Q1]:[Q28]])</f>
        <v>13</v>
      </c>
      <c r="G16" s="4">
        <f>SUM(Scores[[#This Row],[29]]:Scores[[#This Row],[30]])</f>
        <v>5</v>
      </c>
      <c r="H16" s="4">
        <f>SUM(Scores[[#This Row],[31]:[36]])</f>
        <v>5</v>
      </c>
      <c r="I16" s="4">
        <f>Scores[[#This Row],[37]]</f>
        <v>1</v>
      </c>
      <c r="J16" s="87">
        <f>INDEX('Conversion Chart'!$C$3:$M$47,MATCH(SUM(Scores[[#This Row],[MC]:[IIIA]]),'Conversion Chart'!$B$3:$B$47),MATCH(Scores[[#This Row],[IIIB]],'Conversion Chart'!$C$2:$M$2))</f>
        <v>61</v>
      </c>
      <c r="K16" s="103">
        <v>2</v>
      </c>
      <c r="L16" s="103">
        <v>2</v>
      </c>
      <c r="M16" s="103">
        <v>2</v>
      </c>
      <c r="N16" s="103">
        <v>3</v>
      </c>
      <c r="O16" s="103">
        <v>1</v>
      </c>
      <c r="P16" s="103">
        <v>1</v>
      </c>
      <c r="Q16" s="103">
        <v>2</v>
      </c>
      <c r="R16" s="103">
        <v>2</v>
      </c>
      <c r="S16" s="103">
        <v>2</v>
      </c>
      <c r="T16" s="103">
        <v>1</v>
      </c>
      <c r="U16" s="103">
        <v>4</v>
      </c>
      <c r="V16" s="103">
        <v>2</v>
      </c>
      <c r="W16" s="103">
        <v>3</v>
      </c>
      <c r="X16" s="103">
        <v>3</v>
      </c>
      <c r="Y16" s="103">
        <v>2</v>
      </c>
      <c r="Z16" s="103">
        <v>1</v>
      </c>
      <c r="AA16" s="103">
        <v>1</v>
      </c>
      <c r="AB16" s="103">
        <v>4</v>
      </c>
      <c r="AC16" s="103">
        <v>3</v>
      </c>
      <c r="AD16" s="103">
        <v>2</v>
      </c>
      <c r="AE16" s="103">
        <v>4</v>
      </c>
      <c r="AF16" s="103">
        <v>4</v>
      </c>
      <c r="AG16" s="103">
        <v>4</v>
      </c>
      <c r="AH16" s="103">
        <v>2</v>
      </c>
      <c r="AI16" s="103">
        <v>1</v>
      </c>
      <c r="AJ16" s="103">
        <v>4</v>
      </c>
      <c r="AK16" s="103">
        <v>1</v>
      </c>
      <c r="AL16" s="104">
        <v>4</v>
      </c>
      <c r="AM16" s="4">
        <v>3</v>
      </c>
      <c r="AN16" s="87">
        <v>2</v>
      </c>
      <c r="AO16" s="4">
        <v>0</v>
      </c>
      <c r="AP16" s="4">
        <v>1</v>
      </c>
      <c r="AQ16" s="4">
        <v>1</v>
      </c>
      <c r="AR16" s="4">
        <v>1</v>
      </c>
      <c r="AS16" s="4">
        <v>1</v>
      </c>
      <c r="AT16" s="4">
        <v>1</v>
      </c>
      <c r="AU16" s="107">
        <v>1</v>
      </c>
      <c r="AV16" s="4">
        <f>IF(K16=VLOOKUP(VALUE(K$1),Questions!$A:$E,5,FALSE),1,0)</f>
        <v>0</v>
      </c>
      <c r="AW16" s="4">
        <f>IF(L16=VLOOKUP(VALUE(L$1),Questions!$A:$E,5,FALSE),1,0)</f>
        <v>1</v>
      </c>
      <c r="AX16" s="4">
        <f>IF(M16=VLOOKUP(VALUE(M$1),Questions!$A:$E,5,FALSE),1,0)</f>
        <v>0</v>
      </c>
      <c r="AY16" s="4">
        <f>IF(N16=VLOOKUP(VALUE(N$1),Questions!$A:$E,5,FALSE),1,0)</f>
        <v>1</v>
      </c>
      <c r="AZ16" s="4">
        <f>IF(O16=VLOOKUP(VALUE(O$1),Questions!$A:$E,5,FALSE),1,0)</f>
        <v>1</v>
      </c>
      <c r="BA16" s="4">
        <f>IF(P16=VLOOKUP(VALUE(P$1),Questions!$A:$E,5,FALSE),1,0)</f>
        <v>0</v>
      </c>
      <c r="BB16" s="4">
        <f>IF(Q16=VLOOKUP(VALUE(Q$1),Questions!$A:$E,5,FALSE),1,0)</f>
        <v>0</v>
      </c>
      <c r="BC16" s="4">
        <f>IF(R16=VLOOKUP(VALUE(R$1),Questions!$A:$E,5,FALSE),1,0)</f>
        <v>1</v>
      </c>
      <c r="BD16" s="4">
        <f>IF(S16=VLOOKUP(VALUE(S$1),Questions!$A:$E,5,FALSE),1,0)</f>
        <v>1</v>
      </c>
      <c r="BE16" s="4">
        <f>IF(T16=VLOOKUP(VALUE(T$1),Questions!$A:$E,5,FALSE),1,0)</f>
        <v>1</v>
      </c>
      <c r="BF16" s="4">
        <f>IF(U16=VLOOKUP(VALUE(U$1),Questions!$A:$E,5,FALSE),1,0)</f>
        <v>0</v>
      </c>
      <c r="BG16" s="4">
        <f>IF(V16=VLOOKUP(VALUE(V$1),Questions!$A:$E,5,FALSE),1,0)</f>
        <v>0</v>
      </c>
      <c r="BH16" s="4">
        <f>IF(W16=VLOOKUP(VALUE(W$1),Questions!$A:$E,5,FALSE),1,0)</f>
        <v>0</v>
      </c>
      <c r="BI16" s="4">
        <f>IF(X16=VLOOKUP(VALUE(X$1),Questions!$A:$E,5,FALSE),1,0)</f>
        <v>0</v>
      </c>
      <c r="BJ16" s="4">
        <f>IF(Y16=VLOOKUP(VALUE(Y$1),Questions!$A:$E,5,FALSE),1,0)</f>
        <v>0</v>
      </c>
      <c r="BK16" s="4">
        <f>IF(Z16=VLOOKUP(VALUE(Z$1),Questions!$A:$E,5,FALSE),1,0)</f>
        <v>1</v>
      </c>
      <c r="BL16" s="4">
        <f>IF(AA16=VLOOKUP(VALUE(AA$1),Questions!$A:$E,5,FALSE),1,0)</f>
        <v>1</v>
      </c>
      <c r="BM16" s="4">
        <f>IF(AB16=VLOOKUP(VALUE(AB$1),Questions!$A:$E,5,FALSE),1,0)</f>
        <v>1</v>
      </c>
      <c r="BN16" s="4">
        <f>IF(AC16=VLOOKUP(VALUE(AC$1),Questions!$A:$E,5,FALSE),1,0)</f>
        <v>1</v>
      </c>
      <c r="BO16" s="4">
        <f>IF(AD16=VLOOKUP(VALUE(AD$1),Questions!$A:$E,5,FALSE),1,0)</f>
        <v>0</v>
      </c>
      <c r="BP16" s="4">
        <f>IF(AE16=VLOOKUP(VALUE(AE$1),Questions!$A:$E,5,FALSE),1,0)</f>
        <v>0</v>
      </c>
      <c r="BQ16" s="4">
        <f>IF(AF16=VLOOKUP(VALUE(AF$1),Questions!$A:$E,5,FALSE),1,0)</f>
        <v>0</v>
      </c>
      <c r="BR16" s="4">
        <f>IF(AG16=VLOOKUP(VALUE(AG$1),Questions!$A:$E,5,FALSE),1,0)</f>
        <v>0</v>
      </c>
      <c r="BS16" s="4">
        <f>IF(AH16=VLOOKUP(VALUE(AH$1),Questions!$A:$E,5,FALSE),1,0)</f>
        <v>0</v>
      </c>
      <c r="BT16" s="4">
        <f>IF(AI16=VLOOKUP(VALUE(AI$1),Questions!$A:$E,5,FALSE),1,0)</f>
        <v>1</v>
      </c>
      <c r="BU16" s="4">
        <f>IF(AJ16=VLOOKUP(VALUE(AJ$1),Questions!$A:$E,5,FALSE),1,0)</f>
        <v>1</v>
      </c>
      <c r="BV16" s="4">
        <f>IF(AK16=VLOOKUP(VALUE(AK$1),Questions!$A:$E,5,FALSE),1,0)</f>
        <v>1</v>
      </c>
      <c r="BW16" s="87">
        <f>IF(AL16=VLOOKUP(VALUE(AL$1),Questions!$A:$E,5,FALSE),1,0)</f>
        <v>0</v>
      </c>
      <c r="BX16" s="4">
        <f>IF(Scores[[#This Row],[Final]]&gt;=65,1,0)</f>
        <v>0</v>
      </c>
      <c r="BY16" s="4">
        <f>IF(Scores[[#This Row],[Final]]&gt;=IF(Scores[[#This Row],[IEP]],55,65),1,0)</f>
        <v>0</v>
      </c>
    </row>
    <row r="17" spans="1:77" x14ac:dyDescent="0.2">
      <c r="A17" s="6">
        <v>16</v>
      </c>
      <c r="B17" s="4">
        <v>11</v>
      </c>
      <c r="C17" s="4" t="s">
        <v>962</v>
      </c>
      <c r="D17" s="105" t="b">
        <v>0</v>
      </c>
      <c r="E17" s="105" t="b">
        <v>0</v>
      </c>
      <c r="F17" s="86">
        <f>SUM(Scores[[#This Row],[Q1]:[Q28]])</f>
        <v>26</v>
      </c>
      <c r="G17" s="4">
        <f>SUM(Scores[[#This Row],[29]]:Scores[[#This Row],[30]])</f>
        <v>10</v>
      </c>
      <c r="H17" s="4">
        <f>SUM(Scores[[#This Row],[31]:[36]])</f>
        <v>6</v>
      </c>
      <c r="I17" s="4">
        <f>Scores[[#This Row],[37]]</f>
        <v>2.5</v>
      </c>
      <c r="J17" s="87">
        <f>INDEX('Conversion Chart'!$C$3:$M$47,MATCH(SUM(Scores[[#This Row],[MC]:[IIIA]]),'Conversion Chart'!$B$3:$B$47),MATCH(Scores[[#This Row],[IIIB]],'Conversion Chart'!$C$2:$M$2))</f>
        <v>86</v>
      </c>
      <c r="K17" s="103">
        <v>4</v>
      </c>
      <c r="L17" s="103">
        <v>2</v>
      </c>
      <c r="M17" s="103">
        <v>3</v>
      </c>
      <c r="N17" s="103">
        <v>3</v>
      </c>
      <c r="O17" s="103">
        <v>1</v>
      </c>
      <c r="P17" s="103">
        <v>4</v>
      </c>
      <c r="Q17" s="103">
        <v>3</v>
      </c>
      <c r="R17" s="103">
        <v>2</v>
      </c>
      <c r="S17" s="103">
        <v>2</v>
      </c>
      <c r="T17" s="103">
        <v>1</v>
      </c>
      <c r="U17" s="103">
        <v>2</v>
      </c>
      <c r="V17" s="103">
        <v>3</v>
      </c>
      <c r="W17" s="103">
        <v>2</v>
      </c>
      <c r="X17" s="103">
        <v>4</v>
      </c>
      <c r="Y17" s="103">
        <v>3</v>
      </c>
      <c r="Z17" s="103">
        <v>1</v>
      </c>
      <c r="AA17" s="103">
        <v>1</v>
      </c>
      <c r="AB17" s="103">
        <v>4</v>
      </c>
      <c r="AC17" s="103">
        <v>3</v>
      </c>
      <c r="AD17" s="103">
        <v>4</v>
      </c>
      <c r="AE17" s="103">
        <v>2</v>
      </c>
      <c r="AF17" s="103">
        <v>2</v>
      </c>
      <c r="AG17" s="103">
        <v>3</v>
      </c>
      <c r="AH17" s="103">
        <v>3</v>
      </c>
      <c r="AI17" s="103">
        <v>4</v>
      </c>
      <c r="AJ17" s="103">
        <v>4</v>
      </c>
      <c r="AK17" s="103">
        <v>1</v>
      </c>
      <c r="AL17" s="104">
        <v>3</v>
      </c>
      <c r="AM17" s="4">
        <v>5</v>
      </c>
      <c r="AN17" s="87">
        <v>5</v>
      </c>
      <c r="AO17" s="4">
        <v>1</v>
      </c>
      <c r="AP17" s="4">
        <v>1</v>
      </c>
      <c r="AQ17" s="4">
        <v>1</v>
      </c>
      <c r="AR17" s="4">
        <v>1</v>
      </c>
      <c r="AS17" s="4">
        <v>1</v>
      </c>
      <c r="AT17" s="4">
        <v>1</v>
      </c>
      <c r="AU17" s="107">
        <v>2.5</v>
      </c>
      <c r="AV17" s="4">
        <f>IF(K17=VLOOKUP(VALUE(K$1),Questions!$A:$E,5,FALSE),1,0)</f>
        <v>1</v>
      </c>
      <c r="AW17" s="4">
        <f>IF(L17=VLOOKUP(VALUE(L$1),Questions!$A:$E,5,FALSE),1,0)</f>
        <v>1</v>
      </c>
      <c r="AX17" s="4">
        <f>IF(M17=VLOOKUP(VALUE(M$1),Questions!$A:$E,5,FALSE),1,0)</f>
        <v>1</v>
      </c>
      <c r="AY17" s="4">
        <f>IF(N17=VLOOKUP(VALUE(N$1),Questions!$A:$E,5,FALSE),1,0)</f>
        <v>1</v>
      </c>
      <c r="AZ17" s="4">
        <f>IF(O17=VLOOKUP(VALUE(O$1),Questions!$A:$E,5,FALSE),1,0)</f>
        <v>1</v>
      </c>
      <c r="BA17" s="4">
        <f>IF(P17=VLOOKUP(VALUE(P$1),Questions!$A:$E,5,FALSE),1,0)</f>
        <v>1</v>
      </c>
      <c r="BB17" s="4">
        <f>IF(Q17=VLOOKUP(VALUE(Q$1),Questions!$A:$E,5,FALSE),1,0)</f>
        <v>1</v>
      </c>
      <c r="BC17" s="4">
        <f>IF(R17=VLOOKUP(VALUE(R$1),Questions!$A:$E,5,FALSE),1,0)</f>
        <v>1</v>
      </c>
      <c r="BD17" s="4">
        <f>IF(S17=VLOOKUP(VALUE(S$1),Questions!$A:$E,5,FALSE),1,0)</f>
        <v>1</v>
      </c>
      <c r="BE17" s="4">
        <f>IF(T17=VLOOKUP(VALUE(T$1),Questions!$A:$E,5,FALSE),1,0)</f>
        <v>1</v>
      </c>
      <c r="BF17" s="4">
        <f>IF(U17=VLOOKUP(VALUE(U$1),Questions!$A:$E,5,FALSE),1,0)</f>
        <v>1</v>
      </c>
      <c r="BG17" s="4">
        <f>IF(V17=VLOOKUP(VALUE(V$1),Questions!$A:$E,5,FALSE),1,0)</f>
        <v>0</v>
      </c>
      <c r="BH17" s="4">
        <f>IF(W17=VLOOKUP(VALUE(W$1),Questions!$A:$E,5,FALSE),1,0)</f>
        <v>1</v>
      </c>
      <c r="BI17" s="4">
        <f>IF(X17=VLOOKUP(VALUE(X$1),Questions!$A:$E,5,FALSE),1,0)</f>
        <v>1</v>
      </c>
      <c r="BJ17" s="4">
        <f>IF(Y17=VLOOKUP(VALUE(Y$1),Questions!$A:$E,5,FALSE),1,0)</f>
        <v>1</v>
      </c>
      <c r="BK17" s="4">
        <f>IF(Z17=VLOOKUP(VALUE(Z$1),Questions!$A:$E,5,FALSE),1,0)</f>
        <v>1</v>
      </c>
      <c r="BL17" s="4">
        <f>IF(AA17=VLOOKUP(VALUE(AA$1),Questions!$A:$E,5,FALSE),1,0)</f>
        <v>1</v>
      </c>
      <c r="BM17" s="4">
        <f>IF(AB17=VLOOKUP(VALUE(AB$1),Questions!$A:$E,5,FALSE),1,0)</f>
        <v>1</v>
      </c>
      <c r="BN17" s="4">
        <f>IF(AC17=VLOOKUP(VALUE(AC$1),Questions!$A:$E,5,FALSE),1,0)</f>
        <v>1</v>
      </c>
      <c r="BO17" s="4">
        <f>IF(AD17=VLOOKUP(VALUE(AD$1),Questions!$A:$E,5,FALSE),1,0)</f>
        <v>1</v>
      </c>
      <c r="BP17" s="4">
        <f>IF(AE17=VLOOKUP(VALUE(AE$1),Questions!$A:$E,5,FALSE),1,0)</f>
        <v>1</v>
      </c>
      <c r="BQ17" s="4">
        <f>IF(AF17=VLOOKUP(VALUE(AF$1),Questions!$A:$E,5,FALSE),1,0)</f>
        <v>1</v>
      </c>
      <c r="BR17" s="4">
        <f>IF(AG17=VLOOKUP(VALUE(AG$1),Questions!$A:$E,5,FALSE),1,0)</f>
        <v>1</v>
      </c>
      <c r="BS17" s="4">
        <f>IF(AH17=VLOOKUP(VALUE(AH$1),Questions!$A:$E,5,FALSE),1,0)</f>
        <v>1</v>
      </c>
      <c r="BT17" s="4">
        <f>IF(AI17=VLOOKUP(VALUE(AI$1),Questions!$A:$E,5,FALSE),1,0)</f>
        <v>0</v>
      </c>
      <c r="BU17" s="4">
        <f>IF(AJ17=VLOOKUP(VALUE(AJ$1),Questions!$A:$E,5,FALSE),1,0)</f>
        <v>1</v>
      </c>
      <c r="BV17" s="4">
        <f>IF(AK17=VLOOKUP(VALUE(AK$1),Questions!$A:$E,5,FALSE),1,0)</f>
        <v>1</v>
      </c>
      <c r="BW17" s="87">
        <f>IF(AL17=VLOOKUP(VALUE(AL$1),Questions!$A:$E,5,FALSE),1,0)</f>
        <v>1</v>
      </c>
      <c r="BX17" s="4">
        <f>IF(Scores[[#This Row],[Final]]&gt;=65,1,0)</f>
        <v>1</v>
      </c>
      <c r="BY17" s="4">
        <f>IF(Scores[[#This Row],[Final]]&gt;=IF(Scores[[#This Row],[IEP]],55,65),1,0)</f>
        <v>1</v>
      </c>
    </row>
    <row r="18" spans="1:77" x14ac:dyDescent="0.2">
      <c r="A18" s="6">
        <v>17</v>
      </c>
      <c r="B18" s="4">
        <v>9</v>
      </c>
      <c r="C18" s="4" t="s">
        <v>963</v>
      </c>
      <c r="D18" s="105" t="b">
        <v>0</v>
      </c>
      <c r="E18" s="105" t="b">
        <v>0</v>
      </c>
      <c r="F18" s="86">
        <f>SUM(Scores[[#This Row],[Q1]:[Q28]])</f>
        <v>13</v>
      </c>
      <c r="G18" s="4">
        <f>SUM(Scores[[#This Row],[29]]:Scores[[#This Row],[30]])</f>
        <v>0</v>
      </c>
      <c r="H18" s="4">
        <f>SUM(Scores[[#This Row],[31]:[36]])</f>
        <v>5</v>
      </c>
      <c r="I18" s="4">
        <f>Scores[[#This Row],[37]]</f>
        <v>0</v>
      </c>
      <c r="J18" s="87">
        <f>INDEX('Conversion Chart'!$C$3:$M$47,MATCH(SUM(Scores[[#This Row],[MC]:[IIIA]]),'Conversion Chart'!$B$3:$B$47),MATCH(Scores[[#This Row],[IIIB]],'Conversion Chart'!$C$2:$M$2))</f>
        <v>48</v>
      </c>
      <c r="K18" s="103">
        <v>4</v>
      </c>
      <c r="L18" s="103">
        <v>2</v>
      </c>
      <c r="M18" s="103">
        <v>4</v>
      </c>
      <c r="N18" s="103">
        <v>1</v>
      </c>
      <c r="O18" s="103">
        <v>4</v>
      </c>
      <c r="P18" s="103">
        <v>2</v>
      </c>
      <c r="Q18" s="103">
        <v>3</v>
      </c>
      <c r="R18" s="103">
        <v>1</v>
      </c>
      <c r="S18" s="103">
        <v>4</v>
      </c>
      <c r="T18" s="103">
        <v>2</v>
      </c>
      <c r="U18" s="103">
        <v>2</v>
      </c>
      <c r="V18" s="103">
        <v>4</v>
      </c>
      <c r="W18" s="103">
        <v>2</v>
      </c>
      <c r="X18" s="103">
        <v>3</v>
      </c>
      <c r="Y18" s="103">
        <v>3</v>
      </c>
      <c r="Z18" s="103">
        <v>1</v>
      </c>
      <c r="AA18" s="103">
        <v>1</v>
      </c>
      <c r="AB18" s="103">
        <v>3</v>
      </c>
      <c r="AC18" s="103">
        <v>2</v>
      </c>
      <c r="AD18" s="103">
        <v>4</v>
      </c>
      <c r="AE18" s="103">
        <v>2</v>
      </c>
      <c r="AF18" s="103">
        <v>2</v>
      </c>
      <c r="AG18" s="103">
        <v>1</v>
      </c>
      <c r="AH18" s="103">
        <v>4</v>
      </c>
      <c r="AI18" s="103">
        <v>2</v>
      </c>
      <c r="AJ18" s="103">
        <v>3</v>
      </c>
      <c r="AK18" s="103">
        <v>1</v>
      </c>
      <c r="AL18" s="104">
        <v>4</v>
      </c>
      <c r="AM18" s="4">
        <v>0</v>
      </c>
      <c r="AN18" s="87">
        <v>0</v>
      </c>
      <c r="AO18" s="4">
        <v>0</v>
      </c>
      <c r="AP18" s="4">
        <v>1</v>
      </c>
      <c r="AQ18" s="4">
        <v>1</v>
      </c>
      <c r="AR18" s="4">
        <v>1</v>
      </c>
      <c r="AS18" s="4">
        <v>1</v>
      </c>
      <c r="AT18" s="4">
        <v>1</v>
      </c>
      <c r="AU18" s="107">
        <v>0</v>
      </c>
      <c r="AV18" s="4">
        <f>IF(K18=VLOOKUP(VALUE(K$1),Questions!$A:$E,5,FALSE),1,0)</f>
        <v>1</v>
      </c>
      <c r="AW18" s="4">
        <f>IF(L18=VLOOKUP(VALUE(L$1),Questions!$A:$E,5,FALSE),1,0)</f>
        <v>1</v>
      </c>
      <c r="AX18" s="4">
        <f>IF(M18=VLOOKUP(VALUE(M$1),Questions!$A:$E,5,FALSE),1,0)</f>
        <v>0</v>
      </c>
      <c r="AY18" s="4">
        <f>IF(N18=VLOOKUP(VALUE(N$1),Questions!$A:$E,5,FALSE),1,0)</f>
        <v>0</v>
      </c>
      <c r="AZ18" s="4">
        <f>IF(O18=VLOOKUP(VALUE(O$1),Questions!$A:$E,5,FALSE),1,0)</f>
        <v>0</v>
      </c>
      <c r="BA18" s="4">
        <f>IF(P18=VLOOKUP(VALUE(P$1),Questions!$A:$E,5,FALSE),1,0)</f>
        <v>0</v>
      </c>
      <c r="BB18" s="4">
        <f>IF(Q18=VLOOKUP(VALUE(Q$1),Questions!$A:$E,5,FALSE),1,0)</f>
        <v>1</v>
      </c>
      <c r="BC18" s="4">
        <f>IF(R18=VLOOKUP(VALUE(R$1),Questions!$A:$E,5,FALSE),1,0)</f>
        <v>0</v>
      </c>
      <c r="BD18" s="4">
        <f>IF(S18=VLOOKUP(VALUE(S$1),Questions!$A:$E,5,FALSE),1,0)</f>
        <v>0</v>
      </c>
      <c r="BE18" s="4">
        <f>IF(T18=VLOOKUP(VALUE(T$1),Questions!$A:$E,5,FALSE),1,0)</f>
        <v>0</v>
      </c>
      <c r="BF18" s="4">
        <f>IF(U18=VLOOKUP(VALUE(U$1),Questions!$A:$E,5,FALSE),1,0)</f>
        <v>1</v>
      </c>
      <c r="BG18" s="4">
        <f>IF(V18=VLOOKUP(VALUE(V$1),Questions!$A:$E,5,FALSE),1,0)</f>
        <v>1</v>
      </c>
      <c r="BH18" s="4">
        <f>IF(W18=VLOOKUP(VALUE(W$1),Questions!$A:$E,5,FALSE),1,0)</f>
        <v>1</v>
      </c>
      <c r="BI18" s="4">
        <f>IF(X18=VLOOKUP(VALUE(X$1),Questions!$A:$E,5,FALSE),1,0)</f>
        <v>0</v>
      </c>
      <c r="BJ18" s="4">
        <f>IF(Y18=VLOOKUP(VALUE(Y$1),Questions!$A:$E,5,FALSE),1,0)</f>
        <v>1</v>
      </c>
      <c r="BK18" s="4">
        <f>IF(Z18=VLOOKUP(VALUE(Z$1),Questions!$A:$E,5,FALSE),1,0)</f>
        <v>1</v>
      </c>
      <c r="BL18" s="4">
        <f>IF(AA18=VLOOKUP(VALUE(AA$1),Questions!$A:$E,5,FALSE),1,0)</f>
        <v>1</v>
      </c>
      <c r="BM18" s="4">
        <f>IF(AB18=VLOOKUP(VALUE(AB$1),Questions!$A:$E,5,FALSE),1,0)</f>
        <v>0</v>
      </c>
      <c r="BN18" s="4">
        <f>IF(AC18=VLOOKUP(VALUE(AC$1),Questions!$A:$E,5,FALSE),1,0)</f>
        <v>0</v>
      </c>
      <c r="BO18" s="4">
        <f>IF(AD18=VLOOKUP(VALUE(AD$1),Questions!$A:$E,5,FALSE),1,0)</f>
        <v>1</v>
      </c>
      <c r="BP18" s="4">
        <f>IF(AE18=VLOOKUP(VALUE(AE$1),Questions!$A:$E,5,FALSE),1,0)</f>
        <v>1</v>
      </c>
      <c r="BQ18" s="4">
        <f>IF(AF18=VLOOKUP(VALUE(AF$1),Questions!$A:$E,5,FALSE),1,0)</f>
        <v>1</v>
      </c>
      <c r="BR18" s="4">
        <f>IF(AG18=VLOOKUP(VALUE(AG$1),Questions!$A:$E,5,FALSE),1,0)</f>
        <v>0</v>
      </c>
      <c r="BS18" s="4">
        <f>IF(AH18=VLOOKUP(VALUE(AH$1),Questions!$A:$E,5,FALSE),1,0)</f>
        <v>0</v>
      </c>
      <c r="BT18" s="4">
        <f>IF(AI18=VLOOKUP(VALUE(AI$1),Questions!$A:$E,5,FALSE),1,0)</f>
        <v>0</v>
      </c>
      <c r="BU18" s="4">
        <f>IF(AJ18=VLOOKUP(VALUE(AJ$1),Questions!$A:$E,5,FALSE),1,0)</f>
        <v>0</v>
      </c>
      <c r="BV18" s="4">
        <f>IF(AK18=VLOOKUP(VALUE(AK$1),Questions!$A:$E,5,FALSE),1,0)</f>
        <v>1</v>
      </c>
      <c r="BW18" s="87">
        <f>IF(AL18=VLOOKUP(VALUE(AL$1),Questions!$A:$E,5,FALSE),1,0)</f>
        <v>0</v>
      </c>
      <c r="BX18" s="4">
        <f>IF(Scores[[#This Row],[Final]]&gt;=65,1,0)</f>
        <v>0</v>
      </c>
      <c r="BY18" s="4">
        <f>IF(Scores[[#This Row],[Final]]&gt;=IF(Scores[[#This Row],[IEP]],55,65),1,0)</f>
        <v>0</v>
      </c>
    </row>
    <row r="19" spans="1:77" x14ac:dyDescent="0.2">
      <c r="A19" s="6">
        <v>18</v>
      </c>
      <c r="B19" s="4">
        <v>11</v>
      </c>
      <c r="C19" s="4" t="s">
        <v>962</v>
      </c>
      <c r="D19" s="105" t="b">
        <v>0</v>
      </c>
      <c r="E19" s="105" t="b">
        <v>0</v>
      </c>
      <c r="F19" s="86">
        <f>SUM(Scores[[#This Row],[Q1]:[Q28]])</f>
        <v>11</v>
      </c>
      <c r="G19" s="4">
        <f>SUM(Scores[[#This Row],[29]]:Scores[[#This Row],[30]])</f>
        <v>3</v>
      </c>
      <c r="H19" s="4">
        <f>SUM(Scores[[#This Row],[31]:[36]])</f>
        <v>5</v>
      </c>
      <c r="I19" s="4">
        <f>Scores[[#This Row],[37]]</f>
        <v>1</v>
      </c>
      <c r="J19" s="87">
        <f>INDEX('Conversion Chart'!$C$3:$M$47,MATCH(SUM(Scores[[#This Row],[MC]:[IIIA]]),'Conversion Chart'!$B$3:$B$47),MATCH(Scores[[#This Row],[IIIB]],'Conversion Chart'!$C$2:$M$2))</f>
        <v>55</v>
      </c>
      <c r="K19" s="103">
        <v>4</v>
      </c>
      <c r="L19" s="103">
        <v>2</v>
      </c>
      <c r="M19" s="103">
        <v>2</v>
      </c>
      <c r="N19" s="103">
        <v>4</v>
      </c>
      <c r="O19" s="103">
        <v>2</v>
      </c>
      <c r="P19" s="103">
        <v>4</v>
      </c>
      <c r="Q19" s="103">
        <v>2</v>
      </c>
      <c r="R19" s="103">
        <v>3</v>
      </c>
      <c r="S19" s="103">
        <v>2</v>
      </c>
      <c r="T19" s="103">
        <v>1</v>
      </c>
      <c r="U19" s="103">
        <v>3</v>
      </c>
      <c r="V19" s="103">
        <v>4</v>
      </c>
      <c r="W19" s="103">
        <v>1</v>
      </c>
      <c r="X19" s="103">
        <v>1</v>
      </c>
      <c r="Y19" s="103">
        <v>3</v>
      </c>
      <c r="Z19" s="103">
        <v>2</v>
      </c>
      <c r="AA19" s="103">
        <v>4</v>
      </c>
      <c r="AB19" s="103">
        <v>4</v>
      </c>
      <c r="AC19" s="103">
        <v>2</v>
      </c>
      <c r="AD19" s="103">
        <v>3</v>
      </c>
      <c r="AE19" s="103">
        <v>2</v>
      </c>
      <c r="AF19" s="103">
        <v>1</v>
      </c>
      <c r="AG19" s="103">
        <v>2</v>
      </c>
      <c r="AH19" s="103">
        <v>4</v>
      </c>
      <c r="AI19" s="103">
        <v>1</v>
      </c>
      <c r="AJ19" s="103">
        <v>4</v>
      </c>
      <c r="AK19" s="103">
        <v>2</v>
      </c>
      <c r="AL19" s="104">
        <v>4</v>
      </c>
      <c r="AM19" s="4">
        <v>2</v>
      </c>
      <c r="AN19" s="87">
        <v>1</v>
      </c>
      <c r="AO19" s="4">
        <v>1</v>
      </c>
      <c r="AP19" s="4">
        <v>1</v>
      </c>
      <c r="AQ19" s="4">
        <v>1</v>
      </c>
      <c r="AR19" s="4">
        <v>1</v>
      </c>
      <c r="AS19" s="4">
        <v>1</v>
      </c>
      <c r="AT19" s="4">
        <v>0</v>
      </c>
      <c r="AU19" s="107">
        <v>1</v>
      </c>
      <c r="AV19" s="4">
        <f>IF(K19=VLOOKUP(VALUE(K$1),Questions!$A:$E,5,FALSE),1,0)</f>
        <v>1</v>
      </c>
      <c r="AW19" s="4">
        <f>IF(L19=VLOOKUP(VALUE(L$1),Questions!$A:$E,5,FALSE),1,0)</f>
        <v>1</v>
      </c>
      <c r="AX19" s="4">
        <f>IF(M19=VLOOKUP(VALUE(M$1),Questions!$A:$E,5,FALSE),1,0)</f>
        <v>0</v>
      </c>
      <c r="AY19" s="4">
        <f>IF(N19=VLOOKUP(VALUE(N$1),Questions!$A:$E,5,FALSE),1,0)</f>
        <v>0</v>
      </c>
      <c r="AZ19" s="4">
        <f>IF(O19=VLOOKUP(VALUE(O$1),Questions!$A:$E,5,FALSE),1,0)</f>
        <v>0</v>
      </c>
      <c r="BA19" s="4">
        <f>IF(P19=VLOOKUP(VALUE(P$1),Questions!$A:$E,5,FALSE),1,0)</f>
        <v>1</v>
      </c>
      <c r="BB19" s="4">
        <f>IF(Q19=VLOOKUP(VALUE(Q$1),Questions!$A:$E,5,FALSE),1,0)</f>
        <v>0</v>
      </c>
      <c r="BC19" s="4">
        <f>IF(R19=VLOOKUP(VALUE(R$1),Questions!$A:$E,5,FALSE),1,0)</f>
        <v>0</v>
      </c>
      <c r="BD19" s="4">
        <f>IF(S19=VLOOKUP(VALUE(S$1),Questions!$A:$E,5,FALSE),1,0)</f>
        <v>1</v>
      </c>
      <c r="BE19" s="4">
        <f>IF(T19=VLOOKUP(VALUE(T$1),Questions!$A:$E,5,FALSE),1,0)</f>
        <v>1</v>
      </c>
      <c r="BF19" s="4">
        <f>IF(U19=VLOOKUP(VALUE(U$1),Questions!$A:$E,5,FALSE),1,0)</f>
        <v>0</v>
      </c>
      <c r="BG19" s="4">
        <f>IF(V19=VLOOKUP(VALUE(V$1),Questions!$A:$E,5,FALSE),1,0)</f>
        <v>1</v>
      </c>
      <c r="BH19" s="4">
        <f>IF(W19=VLOOKUP(VALUE(W$1),Questions!$A:$E,5,FALSE),1,0)</f>
        <v>0</v>
      </c>
      <c r="BI19" s="4">
        <f>IF(X19=VLOOKUP(VALUE(X$1),Questions!$A:$E,5,FALSE),1,0)</f>
        <v>0</v>
      </c>
      <c r="BJ19" s="4">
        <f>IF(Y19=VLOOKUP(VALUE(Y$1),Questions!$A:$E,5,FALSE),1,0)</f>
        <v>1</v>
      </c>
      <c r="BK19" s="4">
        <f>IF(Z19=VLOOKUP(VALUE(Z$1),Questions!$A:$E,5,FALSE),1,0)</f>
        <v>0</v>
      </c>
      <c r="BL19" s="4">
        <f>IF(AA19=VLOOKUP(VALUE(AA$1),Questions!$A:$E,5,FALSE),1,0)</f>
        <v>0</v>
      </c>
      <c r="BM19" s="4">
        <f>IF(AB19=VLOOKUP(VALUE(AB$1),Questions!$A:$E,5,FALSE),1,0)</f>
        <v>1</v>
      </c>
      <c r="BN19" s="4">
        <f>IF(AC19=VLOOKUP(VALUE(AC$1),Questions!$A:$E,5,FALSE),1,0)</f>
        <v>0</v>
      </c>
      <c r="BO19" s="4">
        <f>IF(AD19=VLOOKUP(VALUE(AD$1),Questions!$A:$E,5,FALSE),1,0)</f>
        <v>0</v>
      </c>
      <c r="BP19" s="4">
        <f>IF(AE19=VLOOKUP(VALUE(AE$1),Questions!$A:$E,5,FALSE),1,0)</f>
        <v>1</v>
      </c>
      <c r="BQ19" s="4">
        <f>IF(AF19=VLOOKUP(VALUE(AF$1),Questions!$A:$E,5,FALSE),1,0)</f>
        <v>0</v>
      </c>
      <c r="BR19" s="4">
        <f>IF(AG19=VLOOKUP(VALUE(AG$1),Questions!$A:$E,5,FALSE),1,0)</f>
        <v>0</v>
      </c>
      <c r="BS19" s="4">
        <f>IF(AH19=VLOOKUP(VALUE(AH$1),Questions!$A:$E,5,FALSE),1,0)</f>
        <v>0</v>
      </c>
      <c r="BT19" s="4">
        <f>IF(AI19=VLOOKUP(VALUE(AI$1),Questions!$A:$E,5,FALSE),1,0)</f>
        <v>1</v>
      </c>
      <c r="BU19" s="4">
        <f>IF(AJ19=VLOOKUP(VALUE(AJ$1),Questions!$A:$E,5,FALSE),1,0)</f>
        <v>1</v>
      </c>
      <c r="BV19" s="4">
        <f>IF(AK19=VLOOKUP(VALUE(AK$1),Questions!$A:$E,5,FALSE),1,0)</f>
        <v>0</v>
      </c>
      <c r="BW19" s="87">
        <f>IF(AL19=VLOOKUP(VALUE(AL$1),Questions!$A:$E,5,FALSE),1,0)</f>
        <v>0</v>
      </c>
      <c r="BX19" s="4">
        <f>IF(Scores[[#This Row],[Final]]&gt;=65,1,0)</f>
        <v>0</v>
      </c>
      <c r="BY19" s="4">
        <f>IF(Scores[[#This Row],[Final]]&gt;=IF(Scores[[#This Row],[IEP]],55,65),1,0)</f>
        <v>0</v>
      </c>
    </row>
    <row r="20" spans="1:77" x14ac:dyDescent="0.2">
      <c r="A20" s="6">
        <v>19</v>
      </c>
      <c r="B20" s="4">
        <v>9</v>
      </c>
      <c r="C20" s="4" t="s">
        <v>963</v>
      </c>
      <c r="D20" s="105" t="b">
        <v>0</v>
      </c>
      <c r="E20" s="105" t="b">
        <v>0</v>
      </c>
      <c r="F20" s="86">
        <f>SUM(Scores[[#This Row],[Q1]:[Q28]])</f>
        <v>6</v>
      </c>
      <c r="G20" s="4">
        <f>SUM(Scores[[#This Row],[29]]:Scores[[#This Row],[30]])</f>
        <v>2</v>
      </c>
      <c r="H20" s="4">
        <f>SUM(Scores[[#This Row],[31]:[36]])</f>
        <v>0</v>
      </c>
      <c r="I20" s="4">
        <f>Scores[[#This Row],[37]]</f>
        <v>0</v>
      </c>
      <c r="J20" s="87">
        <f>INDEX('Conversion Chart'!$C$3:$M$47,MATCH(SUM(Scores[[#This Row],[MC]:[IIIA]]),'Conversion Chart'!$B$3:$B$47),MATCH(Scores[[#This Row],[IIIB]],'Conversion Chart'!$C$2:$M$2))</f>
        <v>25</v>
      </c>
      <c r="K20" s="103">
        <v>2</v>
      </c>
      <c r="L20" s="103">
        <v>4</v>
      </c>
      <c r="M20" s="103">
        <v>1</v>
      </c>
      <c r="N20" s="103">
        <v>1</v>
      </c>
      <c r="O20" s="103">
        <v>2</v>
      </c>
      <c r="P20" s="103">
        <v>3</v>
      </c>
      <c r="Q20" s="103">
        <v>2</v>
      </c>
      <c r="R20" s="103">
        <v>4</v>
      </c>
      <c r="S20" s="103">
        <v>3</v>
      </c>
      <c r="T20" s="103">
        <v>1</v>
      </c>
      <c r="U20" s="103">
        <v>2</v>
      </c>
      <c r="V20" s="103">
        <v>4</v>
      </c>
      <c r="W20" s="103">
        <v>1</v>
      </c>
      <c r="X20" s="103">
        <v>4</v>
      </c>
      <c r="Y20" s="103">
        <v>2</v>
      </c>
      <c r="Z20" s="103">
        <v>3</v>
      </c>
      <c r="AA20" s="103">
        <v>2</v>
      </c>
      <c r="AB20" s="103">
        <v>1</v>
      </c>
      <c r="AC20" s="103">
        <v>4</v>
      </c>
      <c r="AD20" s="103">
        <v>2</v>
      </c>
      <c r="AE20" s="103">
        <v>2</v>
      </c>
      <c r="AF20" s="103">
        <v>1</v>
      </c>
      <c r="AG20" s="103">
        <v>3</v>
      </c>
      <c r="AH20" s="103">
        <v>1</v>
      </c>
      <c r="AI20" s="103">
        <v>3</v>
      </c>
      <c r="AJ20" s="103">
        <v>2</v>
      </c>
      <c r="AK20" s="103">
        <v>4</v>
      </c>
      <c r="AL20" s="104">
        <v>1</v>
      </c>
      <c r="AM20" s="4">
        <v>1</v>
      </c>
      <c r="AN20" s="87">
        <v>1</v>
      </c>
      <c r="AO20" s="4">
        <v>0</v>
      </c>
      <c r="AP20" s="4">
        <v>0</v>
      </c>
      <c r="AQ20" s="4">
        <v>0</v>
      </c>
      <c r="AR20" s="4">
        <v>0</v>
      </c>
      <c r="AS20" s="4">
        <v>0</v>
      </c>
      <c r="AT20" s="4">
        <v>0</v>
      </c>
      <c r="AU20" s="107">
        <v>0</v>
      </c>
      <c r="AV20" s="4">
        <f>IF(K20=VLOOKUP(VALUE(K$1),Questions!$A:$E,5,FALSE),1,0)</f>
        <v>0</v>
      </c>
      <c r="AW20" s="4">
        <f>IF(L20=VLOOKUP(VALUE(L$1),Questions!$A:$E,5,FALSE),1,0)</f>
        <v>0</v>
      </c>
      <c r="AX20" s="4">
        <f>IF(M20=VLOOKUP(VALUE(M$1),Questions!$A:$E,5,FALSE),1,0)</f>
        <v>0</v>
      </c>
      <c r="AY20" s="4">
        <f>IF(N20=VLOOKUP(VALUE(N$1),Questions!$A:$E,5,FALSE),1,0)</f>
        <v>0</v>
      </c>
      <c r="AZ20" s="4">
        <f>IF(O20=VLOOKUP(VALUE(O$1),Questions!$A:$E,5,FALSE),1,0)</f>
        <v>0</v>
      </c>
      <c r="BA20" s="4">
        <f>IF(P20=VLOOKUP(VALUE(P$1),Questions!$A:$E,5,FALSE),1,0)</f>
        <v>0</v>
      </c>
      <c r="BB20" s="4">
        <f>IF(Q20=VLOOKUP(VALUE(Q$1),Questions!$A:$E,5,FALSE),1,0)</f>
        <v>0</v>
      </c>
      <c r="BC20" s="4">
        <f>IF(R20=VLOOKUP(VALUE(R$1),Questions!$A:$E,5,FALSE),1,0)</f>
        <v>0</v>
      </c>
      <c r="BD20" s="4">
        <f>IF(S20=VLOOKUP(VALUE(S$1),Questions!$A:$E,5,FALSE),1,0)</f>
        <v>0</v>
      </c>
      <c r="BE20" s="4">
        <f>IF(T20=VLOOKUP(VALUE(T$1),Questions!$A:$E,5,FALSE),1,0)</f>
        <v>1</v>
      </c>
      <c r="BF20" s="4">
        <f>IF(U20=VLOOKUP(VALUE(U$1),Questions!$A:$E,5,FALSE),1,0)</f>
        <v>1</v>
      </c>
      <c r="BG20" s="4">
        <f>IF(V20=VLOOKUP(VALUE(V$1),Questions!$A:$E,5,FALSE),1,0)</f>
        <v>1</v>
      </c>
      <c r="BH20" s="4">
        <f>IF(W20=VLOOKUP(VALUE(W$1),Questions!$A:$E,5,FALSE),1,0)</f>
        <v>0</v>
      </c>
      <c r="BI20" s="4">
        <f>IF(X20=VLOOKUP(VALUE(X$1),Questions!$A:$E,5,FALSE),1,0)</f>
        <v>1</v>
      </c>
      <c r="BJ20" s="4">
        <f>IF(Y20=VLOOKUP(VALUE(Y$1),Questions!$A:$E,5,FALSE),1,0)</f>
        <v>0</v>
      </c>
      <c r="BK20" s="4">
        <f>IF(Z20=VLOOKUP(VALUE(Z$1),Questions!$A:$E,5,FALSE),1,0)</f>
        <v>0</v>
      </c>
      <c r="BL20" s="4">
        <f>IF(AA20=VLOOKUP(VALUE(AA$1),Questions!$A:$E,5,FALSE),1,0)</f>
        <v>0</v>
      </c>
      <c r="BM20" s="4">
        <f>IF(AB20=VLOOKUP(VALUE(AB$1),Questions!$A:$E,5,FALSE),1,0)</f>
        <v>0</v>
      </c>
      <c r="BN20" s="4">
        <f>IF(AC20=VLOOKUP(VALUE(AC$1),Questions!$A:$E,5,FALSE),1,0)</f>
        <v>0</v>
      </c>
      <c r="BO20" s="4">
        <f>IF(AD20=VLOOKUP(VALUE(AD$1),Questions!$A:$E,5,FALSE),1,0)</f>
        <v>0</v>
      </c>
      <c r="BP20" s="4">
        <f>IF(AE20=VLOOKUP(VALUE(AE$1),Questions!$A:$E,5,FALSE),1,0)</f>
        <v>1</v>
      </c>
      <c r="BQ20" s="4">
        <f>IF(AF20=VLOOKUP(VALUE(AF$1),Questions!$A:$E,5,FALSE),1,0)</f>
        <v>0</v>
      </c>
      <c r="BR20" s="4">
        <f>IF(AG20=VLOOKUP(VALUE(AG$1),Questions!$A:$E,5,FALSE),1,0)</f>
        <v>1</v>
      </c>
      <c r="BS20" s="4">
        <f>IF(AH20=VLOOKUP(VALUE(AH$1),Questions!$A:$E,5,FALSE),1,0)</f>
        <v>0</v>
      </c>
      <c r="BT20" s="4">
        <f>IF(AI20=VLOOKUP(VALUE(AI$1),Questions!$A:$E,5,FALSE),1,0)</f>
        <v>0</v>
      </c>
      <c r="BU20" s="4">
        <f>IF(AJ20=VLOOKUP(VALUE(AJ$1),Questions!$A:$E,5,FALSE),1,0)</f>
        <v>0</v>
      </c>
      <c r="BV20" s="4">
        <f>IF(AK20=VLOOKUP(VALUE(AK$1),Questions!$A:$E,5,FALSE),1,0)</f>
        <v>0</v>
      </c>
      <c r="BW20" s="87">
        <f>IF(AL20=VLOOKUP(VALUE(AL$1),Questions!$A:$E,5,FALSE),1,0)</f>
        <v>0</v>
      </c>
      <c r="BX20" s="4">
        <f>IF(Scores[[#This Row],[Final]]&gt;=65,1,0)</f>
        <v>0</v>
      </c>
      <c r="BY20" s="4">
        <f>IF(Scores[[#This Row],[Final]]&gt;=IF(Scores[[#This Row],[IEP]],55,65),1,0)</f>
        <v>0</v>
      </c>
    </row>
    <row r="21" spans="1:77" x14ac:dyDescent="0.2">
      <c r="A21" s="6">
        <v>20</v>
      </c>
      <c r="B21" s="4">
        <v>9</v>
      </c>
      <c r="C21" s="4" t="s">
        <v>963</v>
      </c>
      <c r="D21" s="105" t="b">
        <v>0</v>
      </c>
      <c r="E21" s="105" t="b">
        <v>0</v>
      </c>
      <c r="F21" s="86">
        <f>SUM(Scores[[#This Row],[Q1]:[Q28]])</f>
        <v>0</v>
      </c>
      <c r="G21" s="4">
        <f>SUM(Scores[[#This Row],[29]]:Scores[[#This Row],[30]])</f>
        <v>0</v>
      </c>
      <c r="H21" s="4">
        <f>SUM(Scores[[#This Row],[31]:[36]])</f>
        <v>0</v>
      </c>
      <c r="I21" s="4">
        <f>Scores[[#This Row],[37]]</f>
        <v>0</v>
      </c>
      <c r="J21" s="87">
        <f>INDEX('Conversion Chart'!$C$3:$M$47,MATCH(SUM(Scores[[#This Row],[MC]:[IIIA]]),'Conversion Chart'!$B$3:$B$47),MATCH(Scores[[#This Row],[IIIB]],'Conversion Chart'!$C$2:$M$2))</f>
        <v>0</v>
      </c>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4"/>
      <c r="AN21" s="87"/>
      <c r="AU21" s="107"/>
      <c r="AV21" s="4">
        <f>IF(K21=VLOOKUP(VALUE(K$1),Questions!$A:$E,5,FALSE),1,0)</f>
        <v>0</v>
      </c>
      <c r="AW21" s="4">
        <f>IF(L21=VLOOKUP(VALUE(L$1),Questions!$A:$E,5,FALSE),1,0)</f>
        <v>0</v>
      </c>
      <c r="AX21" s="4">
        <f>IF(M21=VLOOKUP(VALUE(M$1),Questions!$A:$E,5,FALSE),1,0)</f>
        <v>0</v>
      </c>
      <c r="AY21" s="4">
        <f>IF(N21=VLOOKUP(VALUE(N$1),Questions!$A:$E,5,FALSE),1,0)</f>
        <v>0</v>
      </c>
      <c r="AZ21" s="4">
        <f>IF(O21=VLOOKUP(VALUE(O$1),Questions!$A:$E,5,FALSE),1,0)</f>
        <v>0</v>
      </c>
      <c r="BA21" s="4">
        <f>IF(P21=VLOOKUP(VALUE(P$1),Questions!$A:$E,5,FALSE),1,0)</f>
        <v>0</v>
      </c>
      <c r="BB21" s="4">
        <f>IF(Q21=VLOOKUP(VALUE(Q$1),Questions!$A:$E,5,FALSE),1,0)</f>
        <v>0</v>
      </c>
      <c r="BC21" s="4">
        <f>IF(R21=VLOOKUP(VALUE(R$1),Questions!$A:$E,5,FALSE),1,0)</f>
        <v>0</v>
      </c>
      <c r="BD21" s="4">
        <f>IF(S21=VLOOKUP(VALUE(S$1),Questions!$A:$E,5,FALSE),1,0)</f>
        <v>0</v>
      </c>
      <c r="BE21" s="4">
        <f>IF(T21=VLOOKUP(VALUE(T$1),Questions!$A:$E,5,FALSE),1,0)</f>
        <v>0</v>
      </c>
      <c r="BF21" s="4">
        <f>IF(U21=VLOOKUP(VALUE(U$1),Questions!$A:$E,5,FALSE),1,0)</f>
        <v>0</v>
      </c>
      <c r="BG21" s="4">
        <f>IF(V21=VLOOKUP(VALUE(V$1),Questions!$A:$E,5,FALSE),1,0)</f>
        <v>0</v>
      </c>
      <c r="BH21" s="4">
        <f>IF(W21=VLOOKUP(VALUE(W$1),Questions!$A:$E,5,FALSE),1,0)</f>
        <v>0</v>
      </c>
      <c r="BI21" s="4">
        <f>IF(X21=VLOOKUP(VALUE(X$1),Questions!$A:$E,5,FALSE),1,0)</f>
        <v>0</v>
      </c>
      <c r="BJ21" s="4">
        <f>IF(Y21=VLOOKUP(VALUE(Y$1),Questions!$A:$E,5,FALSE),1,0)</f>
        <v>0</v>
      </c>
      <c r="BK21" s="4">
        <f>IF(Z21=VLOOKUP(VALUE(Z$1),Questions!$A:$E,5,FALSE),1,0)</f>
        <v>0</v>
      </c>
      <c r="BL21" s="4">
        <f>IF(AA21=VLOOKUP(VALUE(AA$1),Questions!$A:$E,5,FALSE),1,0)</f>
        <v>0</v>
      </c>
      <c r="BM21" s="4">
        <f>IF(AB21=VLOOKUP(VALUE(AB$1),Questions!$A:$E,5,FALSE),1,0)</f>
        <v>0</v>
      </c>
      <c r="BN21" s="4">
        <f>IF(AC21=VLOOKUP(VALUE(AC$1),Questions!$A:$E,5,FALSE),1,0)</f>
        <v>0</v>
      </c>
      <c r="BO21" s="4">
        <f>IF(AD21=VLOOKUP(VALUE(AD$1),Questions!$A:$E,5,FALSE),1,0)</f>
        <v>0</v>
      </c>
      <c r="BP21" s="4">
        <f>IF(AE21=VLOOKUP(VALUE(AE$1),Questions!$A:$E,5,FALSE),1,0)</f>
        <v>0</v>
      </c>
      <c r="BQ21" s="4">
        <f>IF(AF21=VLOOKUP(VALUE(AF$1),Questions!$A:$E,5,FALSE),1,0)</f>
        <v>0</v>
      </c>
      <c r="BR21" s="4">
        <f>IF(AG21=VLOOKUP(VALUE(AG$1),Questions!$A:$E,5,FALSE),1,0)</f>
        <v>0</v>
      </c>
      <c r="BS21" s="4">
        <f>IF(AH21=VLOOKUP(VALUE(AH$1),Questions!$A:$E,5,FALSE),1,0)</f>
        <v>0</v>
      </c>
      <c r="BT21" s="4">
        <f>IF(AI21=VLOOKUP(VALUE(AI$1),Questions!$A:$E,5,FALSE),1,0)</f>
        <v>0</v>
      </c>
      <c r="BU21" s="4">
        <f>IF(AJ21=VLOOKUP(VALUE(AJ$1),Questions!$A:$E,5,FALSE),1,0)</f>
        <v>0</v>
      </c>
      <c r="BV21" s="4">
        <f>IF(AK21=VLOOKUP(VALUE(AK$1),Questions!$A:$E,5,FALSE),1,0)</f>
        <v>0</v>
      </c>
      <c r="BW21" s="87">
        <f>IF(AL21=VLOOKUP(VALUE(AL$1),Questions!$A:$E,5,FALSE),1,0)</f>
        <v>0</v>
      </c>
      <c r="BX21" s="4">
        <f>IF(Scores[[#This Row],[Final]]&gt;=65,1,0)</f>
        <v>0</v>
      </c>
      <c r="BY21" s="4">
        <f>IF(Scores[[#This Row],[Final]]&gt;=IF(Scores[[#This Row],[IEP]],55,65),1,0)</f>
        <v>0</v>
      </c>
    </row>
    <row r="22" spans="1:77" x14ac:dyDescent="0.2">
      <c r="A22" s="6">
        <v>21</v>
      </c>
      <c r="B22" s="4">
        <v>9</v>
      </c>
      <c r="C22" s="4" t="s">
        <v>963</v>
      </c>
      <c r="D22" s="105" t="b">
        <v>0</v>
      </c>
      <c r="E22" s="105" t="b">
        <v>0</v>
      </c>
      <c r="F22" s="86">
        <f>SUM(Scores[[#This Row],[Q1]:[Q28]])</f>
        <v>22</v>
      </c>
      <c r="G22" s="4">
        <f>SUM(Scores[[#This Row],[29]]:Scores[[#This Row],[30]])</f>
        <v>2</v>
      </c>
      <c r="H22" s="4">
        <f>SUM(Scores[[#This Row],[31]:[36]])</f>
        <v>5</v>
      </c>
      <c r="I22" s="4">
        <f>Scores[[#This Row],[37]]</f>
        <v>2</v>
      </c>
      <c r="J22" s="87">
        <f>INDEX('Conversion Chart'!$C$3:$M$47,MATCH(SUM(Scores[[#This Row],[MC]:[IIIA]]),'Conversion Chart'!$B$3:$B$47),MATCH(Scores[[#This Row],[IIIB]],'Conversion Chart'!$C$2:$M$2))</f>
        <v>72</v>
      </c>
      <c r="K22" s="103">
        <v>4</v>
      </c>
      <c r="L22" s="103">
        <v>2</v>
      </c>
      <c r="M22" s="103">
        <v>3</v>
      </c>
      <c r="N22" s="103">
        <v>3</v>
      </c>
      <c r="O22" s="103">
        <v>1</v>
      </c>
      <c r="P22" s="103">
        <v>3</v>
      </c>
      <c r="Q22" s="103">
        <v>3</v>
      </c>
      <c r="R22" s="103">
        <v>2</v>
      </c>
      <c r="S22" s="103">
        <v>2</v>
      </c>
      <c r="T22" s="103">
        <v>1</v>
      </c>
      <c r="U22" s="103">
        <v>2</v>
      </c>
      <c r="V22" s="103">
        <v>4</v>
      </c>
      <c r="W22" s="103">
        <v>3</v>
      </c>
      <c r="X22" s="103">
        <v>4</v>
      </c>
      <c r="Y22" s="103">
        <v>4</v>
      </c>
      <c r="Z22" s="103">
        <v>1</v>
      </c>
      <c r="AA22" s="103">
        <v>1</v>
      </c>
      <c r="AB22" s="103">
        <v>4</v>
      </c>
      <c r="AC22" s="103">
        <v>3</v>
      </c>
      <c r="AD22" s="103">
        <v>2</v>
      </c>
      <c r="AE22" s="103">
        <v>2</v>
      </c>
      <c r="AF22" s="103">
        <v>2</v>
      </c>
      <c r="AG22" s="103">
        <v>3</v>
      </c>
      <c r="AH22" s="103">
        <v>3</v>
      </c>
      <c r="AI22" s="103">
        <v>4</v>
      </c>
      <c r="AJ22" s="103">
        <v>4</v>
      </c>
      <c r="AK22" s="103">
        <v>1</v>
      </c>
      <c r="AL22" s="104">
        <v>2</v>
      </c>
      <c r="AM22" s="4">
        <v>1</v>
      </c>
      <c r="AN22" s="87">
        <v>1</v>
      </c>
      <c r="AO22" s="4">
        <v>0</v>
      </c>
      <c r="AP22" s="4">
        <v>1</v>
      </c>
      <c r="AQ22" s="4">
        <v>1</v>
      </c>
      <c r="AR22" s="4">
        <v>1</v>
      </c>
      <c r="AS22" s="4">
        <v>1</v>
      </c>
      <c r="AT22" s="4">
        <v>1</v>
      </c>
      <c r="AU22" s="107">
        <v>2</v>
      </c>
      <c r="AV22" s="4">
        <f>IF(K22=VLOOKUP(VALUE(K$1),Questions!$A:$E,5,FALSE),1,0)</f>
        <v>1</v>
      </c>
      <c r="AW22" s="4">
        <f>IF(L22=VLOOKUP(VALUE(L$1),Questions!$A:$E,5,FALSE),1,0)</f>
        <v>1</v>
      </c>
      <c r="AX22" s="4">
        <f>IF(M22=VLOOKUP(VALUE(M$1),Questions!$A:$E,5,FALSE),1,0)</f>
        <v>1</v>
      </c>
      <c r="AY22" s="4">
        <f>IF(N22=VLOOKUP(VALUE(N$1),Questions!$A:$E,5,FALSE),1,0)</f>
        <v>1</v>
      </c>
      <c r="AZ22" s="4">
        <f>IF(O22=VLOOKUP(VALUE(O$1),Questions!$A:$E,5,FALSE),1,0)</f>
        <v>1</v>
      </c>
      <c r="BA22" s="4">
        <f>IF(P22=VLOOKUP(VALUE(P$1),Questions!$A:$E,5,FALSE),1,0)</f>
        <v>0</v>
      </c>
      <c r="BB22" s="4">
        <f>IF(Q22=VLOOKUP(VALUE(Q$1),Questions!$A:$E,5,FALSE),1,0)</f>
        <v>1</v>
      </c>
      <c r="BC22" s="4">
        <f>IF(R22=VLOOKUP(VALUE(R$1),Questions!$A:$E,5,FALSE),1,0)</f>
        <v>1</v>
      </c>
      <c r="BD22" s="4">
        <f>IF(S22=VLOOKUP(VALUE(S$1),Questions!$A:$E,5,FALSE),1,0)</f>
        <v>1</v>
      </c>
      <c r="BE22" s="4">
        <f>IF(T22=VLOOKUP(VALUE(T$1),Questions!$A:$E,5,FALSE),1,0)</f>
        <v>1</v>
      </c>
      <c r="BF22" s="4">
        <f>IF(U22=VLOOKUP(VALUE(U$1),Questions!$A:$E,5,FALSE),1,0)</f>
        <v>1</v>
      </c>
      <c r="BG22" s="4">
        <f>IF(V22=VLOOKUP(VALUE(V$1),Questions!$A:$E,5,FALSE),1,0)</f>
        <v>1</v>
      </c>
      <c r="BH22" s="4">
        <f>IF(W22=VLOOKUP(VALUE(W$1),Questions!$A:$E,5,FALSE),1,0)</f>
        <v>0</v>
      </c>
      <c r="BI22" s="4">
        <f>IF(X22=VLOOKUP(VALUE(X$1),Questions!$A:$E,5,FALSE),1,0)</f>
        <v>1</v>
      </c>
      <c r="BJ22" s="4">
        <f>IF(Y22=VLOOKUP(VALUE(Y$1),Questions!$A:$E,5,FALSE),1,0)</f>
        <v>0</v>
      </c>
      <c r="BK22" s="4">
        <f>IF(Z22=VLOOKUP(VALUE(Z$1),Questions!$A:$E,5,FALSE),1,0)</f>
        <v>1</v>
      </c>
      <c r="BL22" s="4">
        <f>IF(AA22=VLOOKUP(VALUE(AA$1),Questions!$A:$E,5,FALSE),1,0)</f>
        <v>1</v>
      </c>
      <c r="BM22" s="4">
        <f>IF(AB22=VLOOKUP(VALUE(AB$1),Questions!$A:$E,5,FALSE),1,0)</f>
        <v>1</v>
      </c>
      <c r="BN22" s="4">
        <f>IF(AC22=VLOOKUP(VALUE(AC$1),Questions!$A:$E,5,FALSE),1,0)</f>
        <v>1</v>
      </c>
      <c r="BO22" s="4">
        <f>IF(AD22=VLOOKUP(VALUE(AD$1),Questions!$A:$E,5,FALSE),1,0)</f>
        <v>0</v>
      </c>
      <c r="BP22" s="4">
        <f>IF(AE22=VLOOKUP(VALUE(AE$1),Questions!$A:$E,5,FALSE),1,0)</f>
        <v>1</v>
      </c>
      <c r="BQ22" s="4">
        <f>IF(AF22=VLOOKUP(VALUE(AF$1),Questions!$A:$E,5,FALSE),1,0)</f>
        <v>1</v>
      </c>
      <c r="BR22" s="4">
        <f>IF(AG22=VLOOKUP(VALUE(AG$1),Questions!$A:$E,5,FALSE),1,0)</f>
        <v>1</v>
      </c>
      <c r="BS22" s="4">
        <f>IF(AH22=VLOOKUP(VALUE(AH$1),Questions!$A:$E,5,FALSE),1,0)</f>
        <v>1</v>
      </c>
      <c r="BT22" s="4">
        <f>IF(AI22=VLOOKUP(VALUE(AI$1),Questions!$A:$E,5,FALSE),1,0)</f>
        <v>0</v>
      </c>
      <c r="BU22" s="4">
        <f>IF(AJ22=VLOOKUP(VALUE(AJ$1),Questions!$A:$E,5,FALSE),1,0)</f>
        <v>1</v>
      </c>
      <c r="BV22" s="4">
        <f>IF(AK22=VLOOKUP(VALUE(AK$1),Questions!$A:$E,5,FALSE),1,0)</f>
        <v>1</v>
      </c>
      <c r="BW22" s="87">
        <f>IF(AL22=VLOOKUP(VALUE(AL$1),Questions!$A:$E,5,FALSE),1,0)</f>
        <v>0</v>
      </c>
      <c r="BX22" s="4">
        <f>IF(Scores[[#This Row],[Final]]&gt;=65,1,0)</f>
        <v>1</v>
      </c>
      <c r="BY22" s="4">
        <f>IF(Scores[[#This Row],[Final]]&gt;=IF(Scores[[#This Row],[IEP]],55,65),1,0)</f>
        <v>1</v>
      </c>
    </row>
    <row r="23" spans="1:77" x14ac:dyDescent="0.2">
      <c r="A23" s="6">
        <v>22</v>
      </c>
      <c r="B23" s="4">
        <v>11</v>
      </c>
      <c r="C23" s="4" t="s">
        <v>962</v>
      </c>
      <c r="D23" s="105" t="b">
        <v>0</v>
      </c>
      <c r="E23" s="105" t="b">
        <v>0</v>
      </c>
      <c r="F23" s="86">
        <f>SUM(Scores[[#This Row],[Q1]:[Q28]])</f>
        <v>20</v>
      </c>
      <c r="G23" s="4">
        <f>SUM(Scores[[#This Row],[29]]:Scores[[#This Row],[30]])</f>
        <v>6</v>
      </c>
      <c r="H23" s="4">
        <f>SUM(Scores[[#This Row],[31]:[36]])</f>
        <v>4</v>
      </c>
      <c r="I23" s="4">
        <f>Scores[[#This Row],[37]]</f>
        <v>2.5</v>
      </c>
      <c r="J23" s="87">
        <f>INDEX('Conversion Chart'!$C$3:$M$47,MATCH(SUM(Scores[[#This Row],[MC]:[IIIA]]),'Conversion Chart'!$B$3:$B$47),MATCH(Scores[[#This Row],[IIIB]],'Conversion Chart'!$C$2:$M$2))</f>
        <v>75</v>
      </c>
      <c r="K23" s="103">
        <v>4</v>
      </c>
      <c r="L23" s="103">
        <v>2</v>
      </c>
      <c r="M23" s="103">
        <v>3</v>
      </c>
      <c r="N23" s="103">
        <v>3</v>
      </c>
      <c r="O23" s="103">
        <v>1</v>
      </c>
      <c r="P23" s="103">
        <v>3</v>
      </c>
      <c r="Q23" s="103">
        <v>3</v>
      </c>
      <c r="R23" s="103">
        <v>2</v>
      </c>
      <c r="S23" s="103">
        <v>2</v>
      </c>
      <c r="T23" s="103">
        <v>1</v>
      </c>
      <c r="U23" s="103">
        <v>2</v>
      </c>
      <c r="V23" s="103">
        <v>4</v>
      </c>
      <c r="W23" s="103">
        <v>3</v>
      </c>
      <c r="X23" s="103">
        <v>3</v>
      </c>
      <c r="Y23" s="103">
        <v>4</v>
      </c>
      <c r="Z23" s="103">
        <v>4</v>
      </c>
      <c r="AA23" s="103">
        <v>1</v>
      </c>
      <c r="AB23" s="103">
        <v>4</v>
      </c>
      <c r="AC23" s="103">
        <v>3</v>
      </c>
      <c r="AD23" s="103">
        <v>2</v>
      </c>
      <c r="AE23" s="103">
        <v>4</v>
      </c>
      <c r="AF23" s="103">
        <v>2</v>
      </c>
      <c r="AG23" s="103">
        <v>3</v>
      </c>
      <c r="AH23" s="103">
        <v>3</v>
      </c>
      <c r="AI23" s="103">
        <v>1</v>
      </c>
      <c r="AJ23" s="103">
        <v>4</v>
      </c>
      <c r="AK23" s="103">
        <v>1</v>
      </c>
      <c r="AL23" s="104">
        <v>2</v>
      </c>
      <c r="AM23" s="4">
        <v>4</v>
      </c>
      <c r="AN23" s="87">
        <v>2</v>
      </c>
      <c r="AO23" s="4">
        <v>1</v>
      </c>
      <c r="AP23" s="4">
        <v>0</v>
      </c>
      <c r="AQ23" s="4">
        <v>1</v>
      </c>
      <c r="AR23" s="4">
        <v>1</v>
      </c>
      <c r="AS23" s="4">
        <v>1</v>
      </c>
      <c r="AT23" s="4">
        <v>0</v>
      </c>
      <c r="AU23" s="107">
        <v>2.5</v>
      </c>
      <c r="AV23" s="4">
        <f>IF(K23=VLOOKUP(VALUE(K$1),Questions!$A:$E,5,FALSE),1,0)</f>
        <v>1</v>
      </c>
      <c r="AW23" s="4">
        <f>IF(L23=VLOOKUP(VALUE(L$1),Questions!$A:$E,5,FALSE),1,0)</f>
        <v>1</v>
      </c>
      <c r="AX23" s="4">
        <f>IF(M23=VLOOKUP(VALUE(M$1),Questions!$A:$E,5,FALSE),1,0)</f>
        <v>1</v>
      </c>
      <c r="AY23" s="4">
        <f>IF(N23=VLOOKUP(VALUE(N$1),Questions!$A:$E,5,FALSE),1,0)</f>
        <v>1</v>
      </c>
      <c r="AZ23" s="4">
        <f>IF(O23=VLOOKUP(VALUE(O$1),Questions!$A:$E,5,FALSE),1,0)</f>
        <v>1</v>
      </c>
      <c r="BA23" s="4">
        <f>IF(P23=VLOOKUP(VALUE(P$1),Questions!$A:$E,5,FALSE),1,0)</f>
        <v>0</v>
      </c>
      <c r="BB23" s="4">
        <f>IF(Q23=VLOOKUP(VALUE(Q$1),Questions!$A:$E,5,FALSE),1,0)</f>
        <v>1</v>
      </c>
      <c r="BC23" s="4">
        <f>IF(R23=VLOOKUP(VALUE(R$1),Questions!$A:$E,5,FALSE),1,0)</f>
        <v>1</v>
      </c>
      <c r="BD23" s="4">
        <f>IF(S23=VLOOKUP(VALUE(S$1),Questions!$A:$E,5,FALSE),1,0)</f>
        <v>1</v>
      </c>
      <c r="BE23" s="4">
        <f>IF(T23=VLOOKUP(VALUE(T$1),Questions!$A:$E,5,FALSE),1,0)</f>
        <v>1</v>
      </c>
      <c r="BF23" s="4">
        <f>IF(U23=VLOOKUP(VALUE(U$1),Questions!$A:$E,5,FALSE),1,0)</f>
        <v>1</v>
      </c>
      <c r="BG23" s="4">
        <f>IF(V23=VLOOKUP(VALUE(V$1),Questions!$A:$E,5,FALSE),1,0)</f>
        <v>1</v>
      </c>
      <c r="BH23" s="4">
        <f>IF(W23=VLOOKUP(VALUE(W$1),Questions!$A:$E,5,FALSE),1,0)</f>
        <v>0</v>
      </c>
      <c r="BI23" s="4">
        <f>IF(X23=VLOOKUP(VALUE(X$1),Questions!$A:$E,5,FALSE),1,0)</f>
        <v>0</v>
      </c>
      <c r="BJ23" s="4">
        <f>IF(Y23=VLOOKUP(VALUE(Y$1),Questions!$A:$E,5,FALSE),1,0)</f>
        <v>0</v>
      </c>
      <c r="BK23" s="4">
        <f>IF(Z23=VLOOKUP(VALUE(Z$1),Questions!$A:$E,5,FALSE),1,0)</f>
        <v>0</v>
      </c>
      <c r="BL23" s="4">
        <f>IF(AA23=VLOOKUP(VALUE(AA$1),Questions!$A:$E,5,FALSE),1,0)</f>
        <v>1</v>
      </c>
      <c r="BM23" s="4">
        <f>IF(AB23=VLOOKUP(VALUE(AB$1),Questions!$A:$E,5,FALSE),1,0)</f>
        <v>1</v>
      </c>
      <c r="BN23" s="4">
        <f>IF(AC23=VLOOKUP(VALUE(AC$1),Questions!$A:$E,5,FALSE),1,0)</f>
        <v>1</v>
      </c>
      <c r="BO23" s="4">
        <f>IF(AD23=VLOOKUP(VALUE(AD$1),Questions!$A:$E,5,FALSE),1,0)</f>
        <v>0</v>
      </c>
      <c r="BP23" s="4">
        <f>IF(AE23=VLOOKUP(VALUE(AE$1),Questions!$A:$E,5,FALSE),1,0)</f>
        <v>0</v>
      </c>
      <c r="BQ23" s="4">
        <f>IF(AF23=VLOOKUP(VALUE(AF$1),Questions!$A:$E,5,FALSE),1,0)</f>
        <v>1</v>
      </c>
      <c r="BR23" s="4">
        <f>IF(AG23=VLOOKUP(VALUE(AG$1),Questions!$A:$E,5,FALSE),1,0)</f>
        <v>1</v>
      </c>
      <c r="BS23" s="4">
        <f>IF(AH23=VLOOKUP(VALUE(AH$1),Questions!$A:$E,5,FALSE),1,0)</f>
        <v>1</v>
      </c>
      <c r="BT23" s="4">
        <f>IF(AI23=VLOOKUP(VALUE(AI$1),Questions!$A:$E,5,FALSE),1,0)</f>
        <v>1</v>
      </c>
      <c r="BU23" s="4">
        <f>IF(AJ23=VLOOKUP(VALUE(AJ$1),Questions!$A:$E,5,FALSE),1,0)</f>
        <v>1</v>
      </c>
      <c r="BV23" s="4">
        <f>IF(AK23=VLOOKUP(VALUE(AK$1),Questions!$A:$E,5,FALSE),1,0)</f>
        <v>1</v>
      </c>
      <c r="BW23" s="87">
        <f>IF(AL23=VLOOKUP(VALUE(AL$1),Questions!$A:$E,5,FALSE),1,0)</f>
        <v>0</v>
      </c>
      <c r="BX23" s="4">
        <f>IF(Scores[[#This Row],[Final]]&gt;=65,1,0)</f>
        <v>1</v>
      </c>
      <c r="BY23" s="4">
        <f>IF(Scores[[#This Row],[Final]]&gt;=IF(Scores[[#This Row],[IEP]],55,65),1,0)</f>
        <v>1</v>
      </c>
    </row>
    <row r="24" spans="1:77" x14ac:dyDescent="0.2">
      <c r="A24" s="6">
        <v>23</v>
      </c>
      <c r="B24" s="4">
        <v>9</v>
      </c>
      <c r="C24" s="4" t="s">
        <v>963</v>
      </c>
      <c r="D24" s="105" t="b">
        <v>0</v>
      </c>
      <c r="E24" s="105" t="b">
        <v>1</v>
      </c>
      <c r="F24" s="86">
        <f>SUM(Scores[[#This Row],[Q1]:[Q28]])</f>
        <v>7</v>
      </c>
      <c r="G24" s="4">
        <f>SUM(Scores[[#This Row],[29]]:Scores[[#This Row],[30]])</f>
        <v>1</v>
      </c>
      <c r="H24" s="4">
        <f>SUM(Scores[[#This Row],[31]:[36]])</f>
        <v>3</v>
      </c>
      <c r="I24" s="4">
        <f>Scores[[#This Row],[37]]</f>
        <v>0</v>
      </c>
      <c r="J24" s="87">
        <f>INDEX('Conversion Chart'!$C$3:$M$47,MATCH(SUM(Scores[[#This Row],[MC]:[IIIA]]),'Conversion Chart'!$B$3:$B$47),MATCH(Scores[[#This Row],[IIIB]],'Conversion Chart'!$C$2:$M$2))</f>
        <v>33</v>
      </c>
      <c r="K24" s="103">
        <v>1</v>
      </c>
      <c r="L24" s="103">
        <v>2</v>
      </c>
      <c r="M24" s="103">
        <v>1</v>
      </c>
      <c r="N24" s="103">
        <v>2</v>
      </c>
      <c r="O24" s="103">
        <v>1</v>
      </c>
      <c r="P24" s="103">
        <v>2</v>
      </c>
      <c r="Q24" s="103">
        <v>3</v>
      </c>
      <c r="R24" s="103">
        <v>3</v>
      </c>
      <c r="S24" s="103">
        <v>1</v>
      </c>
      <c r="T24" s="103">
        <v>1</v>
      </c>
      <c r="U24" s="103">
        <v>3</v>
      </c>
      <c r="V24" s="103">
        <v>3</v>
      </c>
      <c r="W24" s="103">
        <v>4</v>
      </c>
      <c r="X24" s="103">
        <v>2</v>
      </c>
      <c r="Y24" s="103">
        <v>1</v>
      </c>
      <c r="Z24" s="103">
        <v>2</v>
      </c>
      <c r="AA24" s="103">
        <v>1</v>
      </c>
      <c r="AB24" s="103">
        <v>4</v>
      </c>
      <c r="AC24" s="103">
        <v>2</v>
      </c>
      <c r="AD24" s="103">
        <v>3</v>
      </c>
      <c r="AE24" s="103">
        <v>1</v>
      </c>
      <c r="AF24" s="103">
        <v>4</v>
      </c>
      <c r="AG24" s="103">
        <v>2</v>
      </c>
      <c r="AH24" s="103">
        <v>1</v>
      </c>
      <c r="AI24" s="103">
        <v>3</v>
      </c>
      <c r="AJ24" s="103">
        <v>1</v>
      </c>
      <c r="AK24" s="103">
        <v>4</v>
      </c>
      <c r="AL24" s="104">
        <v>3</v>
      </c>
      <c r="AM24" s="4">
        <v>1</v>
      </c>
      <c r="AN24" s="87">
        <v>0</v>
      </c>
      <c r="AO24" s="4">
        <v>0</v>
      </c>
      <c r="AP24" s="4">
        <v>1</v>
      </c>
      <c r="AQ24" s="4">
        <v>0</v>
      </c>
      <c r="AR24" s="4">
        <v>1</v>
      </c>
      <c r="AS24" s="4">
        <v>0</v>
      </c>
      <c r="AT24" s="4">
        <v>1</v>
      </c>
      <c r="AU24" s="107">
        <v>0</v>
      </c>
      <c r="AV24" s="4">
        <f>IF(K24=VLOOKUP(VALUE(K$1),Questions!$A:$E,5,FALSE),1,0)</f>
        <v>0</v>
      </c>
      <c r="AW24" s="4">
        <f>IF(L24=VLOOKUP(VALUE(L$1),Questions!$A:$E,5,FALSE),1,0)</f>
        <v>1</v>
      </c>
      <c r="AX24" s="4">
        <f>IF(M24=VLOOKUP(VALUE(M$1),Questions!$A:$E,5,FALSE),1,0)</f>
        <v>0</v>
      </c>
      <c r="AY24" s="4">
        <f>IF(N24=VLOOKUP(VALUE(N$1),Questions!$A:$E,5,FALSE),1,0)</f>
        <v>0</v>
      </c>
      <c r="AZ24" s="4">
        <f>IF(O24=VLOOKUP(VALUE(O$1),Questions!$A:$E,5,FALSE),1,0)</f>
        <v>1</v>
      </c>
      <c r="BA24" s="4">
        <f>IF(P24=VLOOKUP(VALUE(P$1),Questions!$A:$E,5,FALSE),1,0)</f>
        <v>0</v>
      </c>
      <c r="BB24" s="4">
        <f>IF(Q24=VLOOKUP(VALUE(Q$1),Questions!$A:$E,5,FALSE),1,0)</f>
        <v>1</v>
      </c>
      <c r="BC24" s="4">
        <f>IF(R24=VLOOKUP(VALUE(R$1),Questions!$A:$E,5,FALSE),1,0)</f>
        <v>0</v>
      </c>
      <c r="BD24" s="4">
        <f>IF(S24=VLOOKUP(VALUE(S$1),Questions!$A:$E,5,FALSE),1,0)</f>
        <v>0</v>
      </c>
      <c r="BE24" s="4">
        <f>IF(T24=VLOOKUP(VALUE(T$1),Questions!$A:$E,5,FALSE),1,0)</f>
        <v>1</v>
      </c>
      <c r="BF24" s="4">
        <f>IF(U24=VLOOKUP(VALUE(U$1),Questions!$A:$E,5,FALSE),1,0)</f>
        <v>0</v>
      </c>
      <c r="BG24" s="4">
        <f>IF(V24=VLOOKUP(VALUE(V$1),Questions!$A:$E,5,FALSE),1,0)</f>
        <v>0</v>
      </c>
      <c r="BH24" s="4">
        <f>IF(W24=VLOOKUP(VALUE(W$1),Questions!$A:$E,5,FALSE),1,0)</f>
        <v>0</v>
      </c>
      <c r="BI24" s="4">
        <f>IF(X24=VLOOKUP(VALUE(X$1),Questions!$A:$E,5,FALSE),1,0)</f>
        <v>0</v>
      </c>
      <c r="BJ24" s="4">
        <f>IF(Y24=VLOOKUP(VALUE(Y$1),Questions!$A:$E,5,FALSE),1,0)</f>
        <v>0</v>
      </c>
      <c r="BK24" s="4">
        <f>IF(Z24=VLOOKUP(VALUE(Z$1),Questions!$A:$E,5,FALSE),1,0)</f>
        <v>0</v>
      </c>
      <c r="BL24" s="4">
        <f>IF(AA24=VLOOKUP(VALUE(AA$1),Questions!$A:$E,5,FALSE),1,0)</f>
        <v>1</v>
      </c>
      <c r="BM24" s="4">
        <f>IF(AB24=VLOOKUP(VALUE(AB$1),Questions!$A:$E,5,FALSE),1,0)</f>
        <v>1</v>
      </c>
      <c r="BN24" s="4">
        <f>IF(AC24=VLOOKUP(VALUE(AC$1),Questions!$A:$E,5,FALSE),1,0)</f>
        <v>0</v>
      </c>
      <c r="BO24" s="4">
        <f>IF(AD24=VLOOKUP(VALUE(AD$1),Questions!$A:$E,5,FALSE),1,0)</f>
        <v>0</v>
      </c>
      <c r="BP24" s="4">
        <f>IF(AE24=VLOOKUP(VALUE(AE$1),Questions!$A:$E,5,FALSE),1,0)</f>
        <v>0</v>
      </c>
      <c r="BQ24" s="4">
        <f>IF(AF24=VLOOKUP(VALUE(AF$1),Questions!$A:$E,5,FALSE),1,0)</f>
        <v>0</v>
      </c>
      <c r="BR24" s="4">
        <f>IF(AG24=VLOOKUP(VALUE(AG$1),Questions!$A:$E,5,FALSE),1,0)</f>
        <v>0</v>
      </c>
      <c r="BS24" s="4">
        <f>IF(AH24=VLOOKUP(VALUE(AH$1),Questions!$A:$E,5,FALSE),1,0)</f>
        <v>0</v>
      </c>
      <c r="BT24" s="4">
        <f>IF(AI24=VLOOKUP(VALUE(AI$1),Questions!$A:$E,5,FALSE),1,0)</f>
        <v>0</v>
      </c>
      <c r="BU24" s="4">
        <f>IF(AJ24=VLOOKUP(VALUE(AJ$1),Questions!$A:$E,5,FALSE),1,0)</f>
        <v>0</v>
      </c>
      <c r="BV24" s="4">
        <f>IF(AK24=VLOOKUP(VALUE(AK$1),Questions!$A:$E,5,FALSE),1,0)</f>
        <v>0</v>
      </c>
      <c r="BW24" s="87">
        <f>IF(AL24=VLOOKUP(VALUE(AL$1),Questions!$A:$E,5,FALSE),1,0)</f>
        <v>1</v>
      </c>
      <c r="BX24" s="4">
        <f>IF(Scores[[#This Row],[Final]]&gt;=65,1,0)</f>
        <v>0</v>
      </c>
      <c r="BY24" s="4">
        <f>IF(Scores[[#This Row],[Final]]&gt;=IF(Scores[[#This Row],[IEP]],55,65),1,0)</f>
        <v>0</v>
      </c>
    </row>
    <row r="25" spans="1:77" x14ac:dyDescent="0.2">
      <c r="A25" s="6">
        <v>24</v>
      </c>
      <c r="B25" s="4">
        <v>11</v>
      </c>
      <c r="C25" s="4" t="s">
        <v>962</v>
      </c>
      <c r="D25" s="105" t="b">
        <v>0</v>
      </c>
      <c r="E25" s="105" t="b">
        <v>0</v>
      </c>
      <c r="F25" s="86">
        <f>SUM(Scores[[#This Row],[Q1]:[Q28]])</f>
        <v>18</v>
      </c>
      <c r="G25" s="4">
        <f>SUM(Scores[[#This Row],[29]]:Scores[[#This Row],[30]])</f>
        <v>4</v>
      </c>
      <c r="H25" s="4">
        <f>SUM(Scores[[#This Row],[31]:[36]])</f>
        <v>6</v>
      </c>
      <c r="I25" s="4">
        <f>Scores[[#This Row],[37]]</f>
        <v>1</v>
      </c>
      <c r="J25" s="87">
        <f>INDEX('Conversion Chart'!$C$3:$M$47,MATCH(SUM(Scores[[#This Row],[MC]:[IIIA]]),'Conversion Chart'!$B$3:$B$47),MATCH(Scores[[#This Row],[IIIB]],'Conversion Chart'!$C$2:$M$2))</f>
        <v>68</v>
      </c>
      <c r="K25" s="103">
        <v>3</v>
      </c>
      <c r="L25" s="103">
        <v>4</v>
      </c>
      <c r="M25" s="103">
        <v>2</v>
      </c>
      <c r="N25" s="103">
        <v>3</v>
      </c>
      <c r="O25" s="103">
        <v>1</v>
      </c>
      <c r="P25" s="103">
        <v>2</v>
      </c>
      <c r="Q25" s="103">
        <v>3</v>
      </c>
      <c r="R25" s="103">
        <v>2</v>
      </c>
      <c r="S25" s="103">
        <v>2</v>
      </c>
      <c r="T25" s="103">
        <v>1</v>
      </c>
      <c r="U25" s="103">
        <v>2</v>
      </c>
      <c r="V25" s="103">
        <v>1</v>
      </c>
      <c r="W25" s="103">
        <v>2</v>
      </c>
      <c r="X25" s="103">
        <v>4</v>
      </c>
      <c r="Y25" s="103">
        <v>3</v>
      </c>
      <c r="Z25" s="103">
        <v>4</v>
      </c>
      <c r="AA25" s="103">
        <v>1</v>
      </c>
      <c r="AB25" s="103">
        <v>4</v>
      </c>
      <c r="AC25" s="103">
        <v>3</v>
      </c>
      <c r="AD25" s="103">
        <v>1</v>
      </c>
      <c r="AE25" s="103">
        <v>2</v>
      </c>
      <c r="AF25" s="103">
        <v>2</v>
      </c>
      <c r="AG25" s="103">
        <v>3</v>
      </c>
      <c r="AH25" s="103">
        <v>2</v>
      </c>
      <c r="AI25" s="103">
        <v>3</v>
      </c>
      <c r="AJ25" s="103">
        <v>4</v>
      </c>
      <c r="AK25" s="103">
        <v>2</v>
      </c>
      <c r="AL25" s="104">
        <v>3</v>
      </c>
      <c r="AM25" s="4">
        <v>2</v>
      </c>
      <c r="AN25" s="87">
        <v>2</v>
      </c>
      <c r="AO25" s="4">
        <v>1</v>
      </c>
      <c r="AP25" s="4">
        <v>1</v>
      </c>
      <c r="AQ25" s="4">
        <v>1</v>
      </c>
      <c r="AR25" s="4">
        <v>1</v>
      </c>
      <c r="AS25" s="4">
        <v>1</v>
      </c>
      <c r="AT25" s="4">
        <v>1</v>
      </c>
      <c r="AU25" s="107">
        <v>1</v>
      </c>
      <c r="AV25" s="4">
        <f>IF(K25=VLOOKUP(VALUE(K$1),Questions!$A:$E,5,FALSE),1,0)</f>
        <v>0</v>
      </c>
      <c r="AW25" s="4">
        <f>IF(L25=VLOOKUP(VALUE(L$1),Questions!$A:$E,5,FALSE),1,0)</f>
        <v>0</v>
      </c>
      <c r="AX25" s="4">
        <f>IF(M25=VLOOKUP(VALUE(M$1),Questions!$A:$E,5,FALSE),1,0)</f>
        <v>0</v>
      </c>
      <c r="AY25" s="4">
        <f>IF(N25=VLOOKUP(VALUE(N$1),Questions!$A:$E,5,FALSE),1,0)</f>
        <v>1</v>
      </c>
      <c r="AZ25" s="4">
        <f>IF(O25=VLOOKUP(VALUE(O$1),Questions!$A:$E,5,FALSE),1,0)</f>
        <v>1</v>
      </c>
      <c r="BA25" s="4">
        <f>IF(P25=VLOOKUP(VALUE(P$1),Questions!$A:$E,5,FALSE),1,0)</f>
        <v>0</v>
      </c>
      <c r="BB25" s="4">
        <f>IF(Q25=VLOOKUP(VALUE(Q$1),Questions!$A:$E,5,FALSE),1,0)</f>
        <v>1</v>
      </c>
      <c r="BC25" s="4">
        <f>IF(R25=VLOOKUP(VALUE(R$1),Questions!$A:$E,5,FALSE),1,0)</f>
        <v>1</v>
      </c>
      <c r="BD25" s="4">
        <f>IF(S25=VLOOKUP(VALUE(S$1),Questions!$A:$E,5,FALSE),1,0)</f>
        <v>1</v>
      </c>
      <c r="BE25" s="4">
        <f>IF(T25=VLOOKUP(VALUE(T$1),Questions!$A:$E,5,FALSE),1,0)</f>
        <v>1</v>
      </c>
      <c r="BF25" s="4">
        <f>IF(U25=VLOOKUP(VALUE(U$1),Questions!$A:$E,5,FALSE),1,0)</f>
        <v>1</v>
      </c>
      <c r="BG25" s="4">
        <f>IF(V25=VLOOKUP(VALUE(V$1),Questions!$A:$E,5,FALSE),1,0)</f>
        <v>0</v>
      </c>
      <c r="BH25" s="4">
        <f>IF(W25=VLOOKUP(VALUE(W$1),Questions!$A:$E,5,FALSE),1,0)</f>
        <v>1</v>
      </c>
      <c r="BI25" s="4">
        <f>IF(X25=VLOOKUP(VALUE(X$1),Questions!$A:$E,5,FALSE),1,0)</f>
        <v>1</v>
      </c>
      <c r="BJ25" s="4">
        <f>IF(Y25=VLOOKUP(VALUE(Y$1),Questions!$A:$E,5,FALSE),1,0)</f>
        <v>1</v>
      </c>
      <c r="BK25" s="4">
        <f>IF(Z25=VLOOKUP(VALUE(Z$1),Questions!$A:$E,5,FALSE),1,0)</f>
        <v>0</v>
      </c>
      <c r="BL25" s="4">
        <f>IF(AA25=VLOOKUP(VALUE(AA$1),Questions!$A:$E,5,FALSE),1,0)</f>
        <v>1</v>
      </c>
      <c r="BM25" s="4">
        <f>IF(AB25=VLOOKUP(VALUE(AB$1),Questions!$A:$E,5,FALSE),1,0)</f>
        <v>1</v>
      </c>
      <c r="BN25" s="4">
        <f>IF(AC25=VLOOKUP(VALUE(AC$1),Questions!$A:$E,5,FALSE),1,0)</f>
        <v>1</v>
      </c>
      <c r="BO25" s="4">
        <f>IF(AD25=VLOOKUP(VALUE(AD$1),Questions!$A:$E,5,FALSE),1,0)</f>
        <v>0</v>
      </c>
      <c r="BP25" s="4">
        <f>IF(AE25=VLOOKUP(VALUE(AE$1),Questions!$A:$E,5,FALSE),1,0)</f>
        <v>1</v>
      </c>
      <c r="BQ25" s="4">
        <f>IF(AF25=VLOOKUP(VALUE(AF$1),Questions!$A:$E,5,FALSE),1,0)</f>
        <v>1</v>
      </c>
      <c r="BR25" s="4">
        <f>IF(AG25=VLOOKUP(VALUE(AG$1),Questions!$A:$E,5,FALSE),1,0)</f>
        <v>1</v>
      </c>
      <c r="BS25" s="4">
        <f>IF(AH25=VLOOKUP(VALUE(AH$1),Questions!$A:$E,5,FALSE),1,0)</f>
        <v>0</v>
      </c>
      <c r="BT25" s="4">
        <f>IF(AI25=VLOOKUP(VALUE(AI$1),Questions!$A:$E,5,FALSE),1,0)</f>
        <v>0</v>
      </c>
      <c r="BU25" s="4">
        <f>IF(AJ25=VLOOKUP(VALUE(AJ$1),Questions!$A:$E,5,FALSE),1,0)</f>
        <v>1</v>
      </c>
      <c r="BV25" s="4">
        <f>IF(AK25=VLOOKUP(VALUE(AK$1),Questions!$A:$E,5,FALSE),1,0)</f>
        <v>0</v>
      </c>
      <c r="BW25" s="87">
        <f>IF(AL25=VLOOKUP(VALUE(AL$1),Questions!$A:$E,5,FALSE),1,0)</f>
        <v>1</v>
      </c>
      <c r="BX25" s="4">
        <f>IF(Scores[[#This Row],[Final]]&gt;=65,1,0)</f>
        <v>1</v>
      </c>
      <c r="BY25" s="4">
        <f>IF(Scores[[#This Row],[Final]]&gt;=IF(Scores[[#This Row],[IEP]],55,65),1,0)</f>
        <v>1</v>
      </c>
    </row>
    <row r="26" spans="1:77" x14ac:dyDescent="0.2">
      <c r="A26" s="6">
        <v>25</v>
      </c>
      <c r="B26" s="4">
        <v>11</v>
      </c>
      <c r="C26" s="4" t="s">
        <v>962</v>
      </c>
      <c r="D26" s="105" t="b">
        <v>0</v>
      </c>
      <c r="E26" s="105" t="b">
        <v>0</v>
      </c>
      <c r="F26" s="86">
        <f>SUM(Scores[[#This Row],[Q1]:[Q28]])</f>
        <v>11</v>
      </c>
      <c r="G26" s="4">
        <f>SUM(Scores[[#This Row],[29]]:Scores[[#This Row],[30]])</f>
        <v>3</v>
      </c>
      <c r="H26" s="4">
        <f>SUM(Scores[[#This Row],[31]:[36]])</f>
        <v>4</v>
      </c>
      <c r="I26" s="4">
        <f>Scores[[#This Row],[37]]</f>
        <v>1</v>
      </c>
      <c r="J26" s="87">
        <f>INDEX('Conversion Chart'!$C$3:$M$47,MATCH(SUM(Scores[[#This Row],[MC]:[IIIA]]),'Conversion Chart'!$B$3:$B$47),MATCH(Scores[[#This Row],[IIIB]],'Conversion Chart'!$C$2:$M$2))</f>
        <v>54</v>
      </c>
      <c r="K26" s="103">
        <v>2</v>
      </c>
      <c r="L26" s="103">
        <v>1</v>
      </c>
      <c r="M26" s="103">
        <v>2</v>
      </c>
      <c r="N26" s="103">
        <v>3</v>
      </c>
      <c r="O26" s="103">
        <v>2</v>
      </c>
      <c r="P26" s="103">
        <v>2</v>
      </c>
      <c r="Q26" s="103">
        <v>3</v>
      </c>
      <c r="R26" s="103">
        <v>2</v>
      </c>
      <c r="S26" s="103">
        <v>3</v>
      </c>
      <c r="T26" s="103">
        <v>1</v>
      </c>
      <c r="U26" s="103">
        <v>2</v>
      </c>
      <c r="V26" s="103">
        <v>1</v>
      </c>
      <c r="W26" s="103">
        <v>3</v>
      </c>
      <c r="X26" s="103">
        <v>4</v>
      </c>
      <c r="Y26" s="103">
        <v>3</v>
      </c>
      <c r="Z26" s="103">
        <v>4</v>
      </c>
      <c r="AA26" s="103">
        <v>1</v>
      </c>
      <c r="AB26" s="103">
        <v>1</v>
      </c>
      <c r="AC26" s="103">
        <v>2</v>
      </c>
      <c r="AD26" s="103">
        <v>2</v>
      </c>
      <c r="AE26" s="103">
        <v>1</v>
      </c>
      <c r="AF26" s="103">
        <v>4</v>
      </c>
      <c r="AG26" s="103">
        <v>3</v>
      </c>
      <c r="AH26" s="103">
        <v>2</v>
      </c>
      <c r="AI26" s="103">
        <v>3</v>
      </c>
      <c r="AJ26" s="103">
        <v>4</v>
      </c>
      <c r="AK26" s="103">
        <v>4</v>
      </c>
      <c r="AL26" s="104">
        <v>3</v>
      </c>
      <c r="AM26" s="4">
        <v>2</v>
      </c>
      <c r="AN26" s="87">
        <v>1</v>
      </c>
      <c r="AO26" s="4">
        <v>0</v>
      </c>
      <c r="AP26" s="4">
        <v>0</v>
      </c>
      <c r="AQ26" s="4">
        <v>1</v>
      </c>
      <c r="AR26" s="4">
        <v>1</v>
      </c>
      <c r="AS26" s="4">
        <v>1</v>
      </c>
      <c r="AT26" s="4">
        <v>1</v>
      </c>
      <c r="AU26" s="107">
        <v>1</v>
      </c>
      <c r="AV26" s="4">
        <f>IF(K26=VLOOKUP(VALUE(K$1),Questions!$A:$E,5,FALSE),1,0)</f>
        <v>0</v>
      </c>
      <c r="AW26" s="4">
        <f>IF(L26=VLOOKUP(VALUE(L$1),Questions!$A:$E,5,FALSE),1,0)</f>
        <v>0</v>
      </c>
      <c r="AX26" s="4">
        <f>IF(M26=VLOOKUP(VALUE(M$1),Questions!$A:$E,5,FALSE),1,0)</f>
        <v>0</v>
      </c>
      <c r="AY26" s="4">
        <f>IF(N26=VLOOKUP(VALUE(N$1),Questions!$A:$E,5,FALSE),1,0)</f>
        <v>1</v>
      </c>
      <c r="AZ26" s="4">
        <f>IF(O26=VLOOKUP(VALUE(O$1),Questions!$A:$E,5,FALSE),1,0)</f>
        <v>0</v>
      </c>
      <c r="BA26" s="4">
        <f>IF(P26=VLOOKUP(VALUE(P$1),Questions!$A:$E,5,FALSE),1,0)</f>
        <v>0</v>
      </c>
      <c r="BB26" s="4">
        <f>IF(Q26=VLOOKUP(VALUE(Q$1),Questions!$A:$E,5,FALSE),1,0)</f>
        <v>1</v>
      </c>
      <c r="BC26" s="4">
        <f>IF(R26=VLOOKUP(VALUE(R$1),Questions!$A:$E,5,FALSE),1,0)</f>
        <v>1</v>
      </c>
      <c r="BD26" s="4">
        <f>IF(S26=VLOOKUP(VALUE(S$1),Questions!$A:$E,5,FALSE),1,0)</f>
        <v>0</v>
      </c>
      <c r="BE26" s="4">
        <f>IF(T26=VLOOKUP(VALUE(T$1),Questions!$A:$E,5,FALSE),1,0)</f>
        <v>1</v>
      </c>
      <c r="BF26" s="4">
        <f>IF(U26=VLOOKUP(VALUE(U$1),Questions!$A:$E,5,FALSE),1,0)</f>
        <v>1</v>
      </c>
      <c r="BG26" s="4">
        <f>IF(V26=VLOOKUP(VALUE(V$1),Questions!$A:$E,5,FALSE),1,0)</f>
        <v>0</v>
      </c>
      <c r="BH26" s="4">
        <f>IF(W26=VLOOKUP(VALUE(W$1),Questions!$A:$E,5,FALSE),1,0)</f>
        <v>0</v>
      </c>
      <c r="BI26" s="4">
        <f>IF(X26=VLOOKUP(VALUE(X$1),Questions!$A:$E,5,FALSE),1,0)</f>
        <v>1</v>
      </c>
      <c r="BJ26" s="4">
        <f>IF(Y26=VLOOKUP(VALUE(Y$1),Questions!$A:$E,5,FALSE),1,0)</f>
        <v>1</v>
      </c>
      <c r="BK26" s="4">
        <f>IF(Z26=VLOOKUP(VALUE(Z$1),Questions!$A:$E,5,FALSE),1,0)</f>
        <v>0</v>
      </c>
      <c r="BL26" s="4">
        <f>IF(AA26=VLOOKUP(VALUE(AA$1),Questions!$A:$E,5,FALSE),1,0)</f>
        <v>1</v>
      </c>
      <c r="BM26" s="4">
        <f>IF(AB26=VLOOKUP(VALUE(AB$1),Questions!$A:$E,5,FALSE),1,0)</f>
        <v>0</v>
      </c>
      <c r="BN26" s="4">
        <f>IF(AC26=VLOOKUP(VALUE(AC$1),Questions!$A:$E,5,FALSE),1,0)</f>
        <v>0</v>
      </c>
      <c r="BO26" s="4">
        <f>IF(AD26=VLOOKUP(VALUE(AD$1),Questions!$A:$E,5,FALSE),1,0)</f>
        <v>0</v>
      </c>
      <c r="BP26" s="4">
        <f>IF(AE26=VLOOKUP(VALUE(AE$1),Questions!$A:$E,5,FALSE),1,0)</f>
        <v>0</v>
      </c>
      <c r="BQ26" s="4">
        <f>IF(AF26=VLOOKUP(VALUE(AF$1),Questions!$A:$E,5,FALSE),1,0)</f>
        <v>0</v>
      </c>
      <c r="BR26" s="4">
        <f>IF(AG26=VLOOKUP(VALUE(AG$1),Questions!$A:$E,5,FALSE),1,0)</f>
        <v>1</v>
      </c>
      <c r="BS26" s="4">
        <f>IF(AH26=VLOOKUP(VALUE(AH$1),Questions!$A:$E,5,FALSE),1,0)</f>
        <v>0</v>
      </c>
      <c r="BT26" s="4">
        <f>IF(AI26=VLOOKUP(VALUE(AI$1),Questions!$A:$E,5,FALSE),1,0)</f>
        <v>0</v>
      </c>
      <c r="BU26" s="4">
        <f>IF(AJ26=VLOOKUP(VALUE(AJ$1),Questions!$A:$E,5,FALSE),1,0)</f>
        <v>1</v>
      </c>
      <c r="BV26" s="4">
        <f>IF(AK26=VLOOKUP(VALUE(AK$1),Questions!$A:$E,5,FALSE),1,0)</f>
        <v>0</v>
      </c>
      <c r="BW26" s="87">
        <f>IF(AL26=VLOOKUP(VALUE(AL$1),Questions!$A:$E,5,FALSE),1,0)</f>
        <v>1</v>
      </c>
      <c r="BX26" s="4">
        <f>IF(Scores[[#This Row],[Final]]&gt;=65,1,0)</f>
        <v>0</v>
      </c>
      <c r="BY26" s="4">
        <f>IF(Scores[[#This Row],[Final]]&gt;=IF(Scores[[#This Row],[IEP]],55,65),1,0)</f>
        <v>0</v>
      </c>
    </row>
    <row r="27" spans="1:77" x14ac:dyDescent="0.2">
      <c r="A27" s="6">
        <v>26</v>
      </c>
      <c r="B27" s="4">
        <v>11</v>
      </c>
      <c r="C27" s="4" t="s">
        <v>964</v>
      </c>
      <c r="D27" s="105" t="b">
        <v>0</v>
      </c>
      <c r="E27" s="105" t="b">
        <v>0</v>
      </c>
      <c r="F27" s="86">
        <f>SUM(Scores[[#This Row],[Q1]:[Q28]])</f>
        <v>11</v>
      </c>
      <c r="G27" s="4">
        <f>SUM(Scores[[#This Row],[29]]:Scores[[#This Row],[30]])</f>
        <v>0</v>
      </c>
      <c r="H27" s="4">
        <f>SUM(Scores[[#This Row],[31]:[36]])</f>
        <v>6</v>
      </c>
      <c r="I27" s="4">
        <f>Scores[[#This Row],[37]]</f>
        <v>2</v>
      </c>
      <c r="J27" s="87">
        <f>INDEX('Conversion Chart'!$C$3:$M$47,MATCH(SUM(Scores[[#This Row],[MC]:[IIIA]]),'Conversion Chart'!$B$3:$B$47),MATCH(Scores[[#This Row],[IIIB]],'Conversion Chart'!$C$2:$M$2))</f>
        <v>57</v>
      </c>
      <c r="K27" s="103">
        <v>4</v>
      </c>
      <c r="L27" s="103">
        <v>2</v>
      </c>
      <c r="M27" s="103">
        <v>4</v>
      </c>
      <c r="N27" s="103">
        <v>3</v>
      </c>
      <c r="O27" s="103">
        <v>2</v>
      </c>
      <c r="P27" s="103">
        <v>2</v>
      </c>
      <c r="Q27" s="103">
        <v>3</v>
      </c>
      <c r="R27" s="103">
        <v>2</v>
      </c>
      <c r="S27" s="103">
        <v>3</v>
      </c>
      <c r="T27" s="103">
        <v>1</v>
      </c>
      <c r="U27" s="103">
        <v>2</v>
      </c>
      <c r="V27" s="103">
        <v>2</v>
      </c>
      <c r="W27" s="103">
        <v>1</v>
      </c>
      <c r="X27" s="103">
        <v>4</v>
      </c>
      <c r="Y27" s="103">
        <v>4</v>
      </c>
      <c r="Z27" s="103">
        <v>4</v>
      </c>
      <c r="AA27" s="103">
        <v>2</v>
      </c>
      <c r="AB27" s="103">
        <v>1</v>
      </c>
      <c r="AC27" s="103">
        <v>2</v>
      </c>
      <c r="AD27" s="103">
        <v>3</v>
      </c>
      <c r="AE27" s="103">
        <v>3</v>
      </c>
      <c r="AF27" s="103">
        <v>2</v>
      </c>
      <c r="AG27" s="103" t="s">
        <v>953</v>
      </c>
      <c r="AH27" s="103" t="s">
        <v>952</v>
      </c>
      <c r="AI27" s="103">
        <v>3</v>
      </c>
      <c r="AJ27" s="103">
        <v>4</v>
      </c>
      <c r="AK27" s="103">
        <v>2</v>
      </c>
      <c r="AL27" s="104">
        <v>3</v>
      </c>
      <c r="AM27" s="4">
        <v>0</v>
      </c>
      <c r="AN27" s="87">
        <v>0</v>
      </c>
      <c r="AO27" s="4">
        <v>1</v>
      </c>
      <c r="AP27" s="4">
        <v>1</v>
      </c>
      <c r="AQ27" s="4">
        <v>1</v>
      </c>
      <c r="AR27" s="4">
        <v>1</v>
      </c>
      <c r="AS27" s="4">
        <v>1</v>
      </c>
      <c r="AT27" s="4">
        <v>1</v>
      </c>
      <c r="AU27" s="107">
        <v>2</v>
      </c>
      <c r="AV27" s="4">
        <f>IF(K27=VLOOKUP(VALUE(K$1),Questions!$A:$E,5,FALSE),1,0)</f>
        <v>1</v>
      </c>
      <c r="AW27" s="4">
        <f>IF(L27=VLOOKUP(VALUE(L$1),Questions!$A:$E,5,FALSE),1,0)</f>
        <v>1</v>
      </c>
      <c r="AX27" s="4">
        <f>IF(M27=VLOOKUP(VALUE(M$1),Questions!$A:$E,5,FALSE),1,0)</f>
        <v>0</v>
      </c>
      <c r="AY27" s="4">
        <f>IF(N27=VLOOKUP(VALUE(N$1),Questions!$A:$E,5,FALSE),1,0)</f>
        <v>1</v>
      </c>
      <c r="AZ27" s="4">
        <f>IF(O27=VLOOKUP(VALUE(O$1),Questions!$A:$E,5,FALSE),1,0)</f>
        <v>0</v>
      </c>
      <c r="BA27" s="4">
        <f>IF(P27=VLOOKUP(VALUE(P$1),Questions!$A:$E,5,FALSE),1,0)</f>
        <v>0</v>
      </c>
      <c r="BB27" s="4">
        <f>IF(Q27=VLOOKUP(VALUE(Q$1),Questions!$A:$E,5,FALSE),1,0)</f>
        <v>1</v>
      </c>
      <c r="BC27" s="4">
        <f>IF(R27=VLOOKUP(VALUE(R$1),Questions!$A:$E,5,FALSE),1,0)</f>
        <v>1</v>
      </c>
      <c r="BD27" s="4">
        <f>IF(S27=VLOOKUP(VALUE(S$1),Questions!$A:$E,5,FALSE),1,0)</f>
        <v>0</v>
      </c>
      <c r="BE27" s="4">
        <f>IF(T27=VLOOKUP(VALUE(T$1),Questions!$A:$E,5,FALSE),1,0)</f>
        <v>1</v>
      </c>
      <c r="BF27" s="4">
        <f>IF(U27=VLOOKUP(VALUE(U$1),Questions!$A:$E,5,FALSE),1,0)</f>
        <v>1</v>
      </c>
      <c r="BG27" s="4">
        <f>IF(V27=VLOOKUP(VALUE(V$1),Questions!$A:$E,5,FALSE),1,0)</f>
        <v>0</v>
      </c>
      <c r="BH27" s="4">
        <f>IF(W27=VLOOKUP(VALUE(W$1),Questions!$A:$E,5,FALSE),1,0)</f>
        <v>0</v>
      </c>
      <c r="BI27" s="4">
        <f>IF(X27=VLOOKUP(VALUE(X$1),Questions!$A:$E,5,FALSE),1,0)</f>
        <v>1</v>
      </c>
      <c r="BJ27" s="4">
        <f>IF(Y27=VLOOKUP(VALUE(Y$1),Questions!$A:$E,5,FALSE),1,0)</f>
        <v>0</v>
      </c>
      <c r="BK27" s="4">
        <f>IF(Z27=VLOOKUP(VALUE(Z$1),Questions!$A:$E,5,FALSE),1,0)</f>
        <v>0</v>
      </c>
      <c r="BL27" s="4">
        <f>IF(AA27=VLOOKUP(VALUE(AA$1),Questions!$A:$E,5,FALSE),1,0)</f>
        <v>0</v>
      </c>
      <c r="BM27" s="4">
        <f>IF(AB27=VLOOKUP(VALUE(AB$1),Questions!$A:$E,5,FALSE),1,0)</f>
        <v>0</v>
      </c>
      <c r="BN27" s="4">
        <f>IF(AC27=VLOOKUP(VALUE(AC$1),Questions!$A:$E,5,FALSE),1,0)</f>
        <v>0</v>
      </c>
      <c r="BO27" s="4">
        <f>IF(AD27=VLOOKUP(VALUE(AD$1),Questions!$A:$E,5,FALSE),1,0)</f>
        <v>0</v>
      </c>
      <c r="BP27" s="4">
        <f>IF(AE27=VLOOKUP(VALUE(AE$1),Questions!$A:$E,5,FALSE),1,0)</f>
        <v>0</v>
      </c>
      <c r="BQ27" s="4">
        <f>IF(AF27=VLOOKUP(VALUE(AF$1),Questions!$A:$E,5,FALSE),1,0)</f>
        <v>1</v>
      </c>
      <c r="BR27" s="4">
        <f>IF(AG27=VLOOKUP(VALUE(AG$1),Questions!$A:$E,5,FALSE),1,0)</f>
        <v>0</v>
      </c>
      <c r="BS27" s="4">
        <f>IF(AH27=VLOOKUP(VALUE(AH$1),Questions!$A:$E,5,FALSE),1,0)</f>
        <v>0</v>
      </c>
      <c r="BT27" s="4">
        <f>IF(AI27=VLOOKUP(VALUE(AI$1),Questions!$A:$E,5,FALSE),1,0)</f>
        <v>0</v>
      </c>
      <c r="BU27" s="4">
        <f>IF(AJ27=VLOOKUP(VALUE(AJ$1),Questions!$A:$E,5,FALSE),1,0)</f>
        <v>1</v>
      </c>
      <c r="BV27" s="4">
        <f>IF(AK27=VLOOKUP(VALUE(AK$1),Questions!$A:$E,5,FALSE),1,0)</f>
        <v>0</v>
      </c>
      <c r="BW27" s="87">
        <f>IF(AL27=VLOOKUP(VALUE(AL$1),Questions!$A:$E,5,FALSE),1,0)</f>
        <v>1</v>
      </c>
      <c r="BX27" s="4">
        <f>IF(Scores[[#This Row],[Final]]&gt;=65,1,0)</f>
        <v>0</v>
      </c>
      <c r="BY27" s="4">
        <f>IF(Scores[[#This Row],[Final]]&gt;=IF(Scores[[#This Row],[IEP]],55,65),1,0)</f>
        <v>0</v>
      </c>
    </row>
    <row r="28" spans="1:77" x14ac:dyDescent="0.2">
      <c r="A28" s="6">
        <v>27</v>
      </c>
      <c r="B28" s="4">
        <v>11</v>
      </c>
      <c r="C28" s="4" t="s">
        <v>962</v>
      </c>
      <c r="D28" s="105" t="b">
        <v>0</v>
      </c>
      <c r="E28" s="105" t="b">
        <v>0</v>
      </c>
      <c r="F28" s="86">
        <f>SUM(Scores[[#This Row],[Q1]:[Q28]])</f>
        <v>20</v>
      </c>
      <c r="G28" s="4">
        <f>SUM(Scores[[#This Row],[29]]:Scores[[#This Row],[30]])</f>
        <v>5</v>
      </c>
      <c r="H28" s="4">
        <f>SUM(Scores[[#This Row],[31]:[36]])</f>
        <v>4</v>
      </c>
      <c r="I28" s="4">
        <f>Scores[[#This Row],[37]]</f>
        <v>1</v>
      </c>
      <c r="J28" s="87">
        <f>INDEX('Conversion Chart'!$C$3:$M$47,MATCH(SUM(Scores[[#This Row],[MC]:[IIIA]]),'Conversion Chart'!$B$3:$B$47),MATCH(Scores[[#This Row],[IIIB]],'Conversion Chart'!$C$2:$M$2))</f>
        <v>69</v>
      </c>
      <c r="K28" s="103">
        <v>4</v>
      </c>
      <c r="L28" s="103">
        <v>2</v>
      </c>
      <c r="M28" s="103">
        <v>3</v>
      </c>
      <c r="N28" s="103">
        <v>3</v>
      </c>
      <c r="O28" s="103">
        <v>1</v>
      </c>
      <c r="P28" s="103">
        <v>3</v>
      </c>
      <c r="Q28" s="103">
        <v>3</v>
      </c>
      <c r="R28" s="103">
        <v>2</v>
      </c>
      <c r="S28" s="103">
        <v>3</v>
      </c>
      <c r="T28" s="103">
        <v>1</v>
      </c>
      <c r="U28" s="103">
        <v>2</v>
      </c>
      <c r="V28" s="103">
        <v>4</v>
      </c>
      <c r="W28" s="103">
        <v>1</v>
      </c>
      <c r="X28" s="103">
        <v>4</v>
      </c>
      <c r="Y28" s="103">
        <v>4</v>
      </c>
      <c r="Z28" s="103">
        <v>1</v>
      </c>
      <c r="AA28" s="103">
        <v>1</v>
      </c>
      <c r="AB28" s="103">
        <v>1</v>
      </c>
      <c r="AC28" s="103">
        <v>3</v>
      </c>
      <c r="AD28" s="103">
        <v>1</v>
      </c>
      <c r="AE28" s="103">
        <v>2</v>
      </c>
      <c r="AF28" s="103">
        <v>2</v>
      </c>
      <c r="AG28" s="103">
        <v>3</v>
      </c>
      <c r="AH28" s="103">
        <v>2</v>
      </c>
      <c r="AI28" s="103">
        <v>3</v>
      </c>
      <c r="AJ28" s="103">
        <v>4</v>
      </c>
      <c r="AK28" s="103">
        <v>1</v>
      </c>
      <c r="AL28" s="104">
        <v>3</v>
      </c>
      <c r="AM28" s="4">
        <v>2</v>
      </c>
      <c r="AN28" s="87">
        <v>3</v>
      </c>
      <c r="AO28" s="4">
        <v>0</v>
      </c>
      <c r="AP28" s="4">
        <v>1</v>
      </c>
      <c r="AQ28" s="4">
        <v>1</v>
      </c>
      <c r="AR28" s="4">
        <v>1</v>
      </c>
      <c r="AS28" s="4">
        <v>0</v>
      </c>
      <c r="AT28" s="4">
        <v>1</v>
      </c>
      <c r="AU28" s="107">
        <v>1</v>
      </c>
      <c r="AV28" s="4">
        <f>IF(K28=VLOOKUP(VALUE(K$1),Questions!$A:$E,5,FALSE),1,0)</f>
        <v>1</v>
      </c>
      <c r="AW28" s="4">
        <f>IF(L28=VLOOKUP(VALUE(L$1),Questions!$A:$E,5,FALSE),1,0)</f>
        <v>1</v>
      </c>
      <c r="AX28" s="4">
        <f>IF(M28=VLOOKUP(VALUE(M$1),Questions!$A:$E,5,FALSE),1,0)</f>
        <v>1</v>
      </c>
      <c r="AY28" s="4">
        <f>IF(N28=VLOOKUP(VALUE(N$1),Questions!$A:$E,5,FALSE),1,0)</f>
        <v>1</v>
      </c>
      <c r="AZ28" s="4">
        <f>IF(O28=VLOOKUP(VALUE(O$1),Questions!$A:$E,5,FALSE),1,0)</f>
        <v>1</v>
      </c>
      <c r="BA28" s="4">
        <f>IF(P28=VLOOKUP(VALUE(P$1),Questions!$A:$E,5,FALSE),1,0)</f>
        <v>0</v>
      </c>
      <c r="BB28" s="4">
        <f>IF(Q28=VLOOKUP(VALUE(Q$1),Questions!$A:$E,5,FALSE),1,0)</f>
        <v>1</v>
      </c>
      <c r="BC28" s="4">
        <f>IF(R28=VLOOKUP(VALUE(R$1),Questions!$A:$E,5,FALSE),1,0)</f>
        <v>1</v>
      </c>
      <c r="BD28" s="4">
        <f>IF(S28=VLOOKUP(VALUE(S$1),Questions!$A:$E,5,FALSE),1,0)</f>
        <v>0</v>
      </c>
      <c r="BE28" s="4">
        <f>IF(T28=VLOOKUP(VALUE(T$1),Questions!$A:$E,5,FALSE),1,0)</f>
        <v>1</v>
      </c>
      <c r="BF28" s="4">
        <f>IF(U28=VLOOKUP(VALUE(U$1),Questions!$A:$E,5,FALSE),1,0)</f>
        <v>1</v>
      </c>
      <c r="BG28" s="4">
        <f>IF(V28=VLOOKUP(VALUE(V$1),Questions!$A:$E,5,FALSE),1,0)</f>
        <v>1</v>
      </c>
      <c r="BH28" s="4">
        <f>IF(W28=VLOOKUP(VALUE(W$1),Questions!$A:$E,5,FALSE),1,0)</f>
        <v>0</v>
      </c>
      <c r="BI28" s="4">
        <f>IF(X28=VLOOKUP(VALUE(X$1),Questions!$A:$E,5,FALSE),1,0)</f>
        <v>1</v>
      </c>
      <c r="BJ28" s="4">
        <f>IF(Y28=VLOOKUP(VALUE(Y$1),Questions!$A:$E,5,FALSE),1,0)</f>
        <v>0</v>
      </c>
      <c r="BK28" s="4">
        <f>IF(Z28=VLOOKUP(VALUE(Z$1),Questions!$A:$E,5,FALSE),1,0)</f>
        <v>1</v>
      </c>
      <c r="BL28" s="4">
        <f>IF(AA28=VLOOKUP(VALUE(AA$1),Questions!$A:$E,5,FALSE),1,0)</f>
        <v>1</v>
      </c>
      <c r="BM28" s="4">
        <f>IF(AB28=VLOOKUP(VALUE(AB$1),Questions!$A:$E,5,FALSE),1,0)</f>
        <v>0</v>
      </c>
      <c r="BN28" s="4">
        <f>IF(AC28=VLOOKUP(VALUE(AC$1),Questions!$A:$E,5,FALSE),1,0)</f>
        <v>1</v>
      </c>
      <c r="BO28" s="4">
        <f>IF(AD28=VLOOKUP(VALUE(AD$1),Questions!$A:$E,5,FALSE),1,0)</f>
        <v>0</v>
      </c>
      <c r="BP28" s="4">
        <f>IF(AE28=VLOOKUP(VALUE(AE$1),Questions!$A:$E,5,FALSE),1,0)</f>
        <v>1</v>
      </c>
      <c r="BQ28" s="4">
        <f>IF(AF28=VLOOKUP(VALUE(AF$1),Questions!$A:$E,5,FALSE),1,0)</f>
        <v>1</v>
      </c>
      <c r="BR28" s="4">
        <f>IF(AG28=VLOOKUP(VALUE(AG$1),Questions!$A:$E,5,FALSE),1,0)</f>
        <v>1</v>
      </c>
      <c r="BS28" s="4">
        <f>IF(AH28=VLOOKUP(VALUE(AH$1),Questions!$A:$E,5,FALSE),1,0)</f>
        <v>0</v>
      </c>
      <c r="BT28" s="4">
        <f>IF(AI28=VLOOKUP(VALUE(AI$1),Questions!$A:$E,5,FALSE),1,0)</f>
        <v>0</v>
      </c>
      <c r="BU28" s="4">
        <f>IF(AJ28=VLOOKUP(VALUE(AJ$1),Questions!$A:$E,5,FALSE),1,0)</f>
        <v>1</v>
      </c>
      <c r="BV28" s="4">
        <f>IF(AK28=VLOOKUP(VALUE(AK$1),Questions!$A:$E,5,FALSE),1,0)</f>
        <v>1</v>
      </c>
      <c r="BW28" s="87">
        <f>IF(AL28=VLOOKUP(VALUE(AL$1),Questions!$A:$E,5,FALSE),1,0)</f>
        <v>1</v>
      </c>
      <c r="BX28" s="4">
        <f>IF(Scores[[#This Row],[Final]]&gt;=65,1,0)</f>
        <v>1</v>
      </c>
      <c r="BY28" s="4">
        <f>IF(Scores[[#This Row],[Final]]&gt;=IF(Scores[[#This Row],[IEP]],55,65),1,0)</f>
        <v>1</v>
      </c>
    </row>
    <row r="29" spans="1:77" x14ac:dyDescent="0.2">
      <c r="A29" s="6">
        <v>28</v>
      </c>
      <c r="B29" s="4">
        <v>9</v>
      </c>
      <c r="C29" s="4" t="s">
        <v>963</v>
      </c>
      <c r="D29" s="105" t="b">
        <v>0</v>
      </c>
      <c r="E29" s="105" t="b">
        <v>0</v>
      </c>
      <c r="F29" s="86">
        <f>SUM(Scores[[#This Row],[Q1]:[Q28]])</f>
        <v>16</v>
      </c>
      <c r="G29" s="4">
        <f>SUM(Scores[[#This Row],[29]]:Scores[[#This Row],[30]])</f>
        <v>4</v>
      </c>
      <c r="H29" s="4">
        <f>SUM(Scores[[#This Row],[31]:[36]])</f>
        <v>5</v>
      </c>
      <c r="I29" s="4">
        <f>Scores[[#This Row],[37]]</f>
        <v>2.5</v>
      </c>
      <c r="J29" s="87">
        <f>INDEX('Conversion Chart'!$C$3:$M$47,MATCH(SUM(Scores[[#This Row],[MC]:[IIIA]]),'Conversion Chart'!$B$3:$B$47),MATCH(Scores[[#This Row],[IIIB]],'Conversion Chart'!$C$2:$M$2))</f>
        <v>70</v>
      </c>
      <c r="K29" s="103">
        <v>4</v>
      </c>
      <c r="L29" s="103">
        <v>2</v>
      </c>
      <c r="M29" s="103">
        <v>3</v>
      </c>
      <c r="N29" s="103">
        <v>3</v>
      </c>
      <c r="O29" s="103">
        <v>1</v>
      </c>
      <c r="P29" s="103">
        <v>4</v>
      </c>
      <c r="Q29" s="103">
        <v>3</v>
      </c>
      <c r="R29" s="103">
        <v>3</v>
      </c>
      <c r="S29" s="103">
        <v>2</v>
      </c>
      <c r="T29" s="103">
        <v>1</v>
      </c>
      <c r="U29" s="103">
        <v>1</v>
      </c>
      <c r="V29" s="103">
        <v>3</v>
      </c>
      <c r="W29" s="103">
        <v>2</v>
      </c>
      <c r="X29" s="103">
        <v>4</v>
      </c>
      <c r="Y29" s="103">
        <v>4</v>
      </c>
      <c r="Z29" s="103">
        <v>4</v>
      </c>
      <c r="AA29" s="103">
        <v>1</v>
      </c>
      <c r="AB29" s="103">
        <v>3</v>
      </c>
      <c r="AC29" s="103">
        <v>2</v>
      </c>
      <c r="AD29" s="103">
        <v>3</v>
      </c>
      <c r="AE29" s="103">
        <v>2</v>
      </c>
      <c r="AF29" s="103">
        <v>2</v>
      </c>
      <c r="AG29" s="103">
        <v>4</v>
      </c>
      <c r="AH29" s="103">
        <v>2</v>
      </c>
      <c r="AI29" s="103">
        <v>3</v>
      </c>
      <c r="AJ29" s="103">
        <v>4</v>
      </c>
      <c r="AK29" s="103">
        <v>4</v>
      </c>
      <c r="AL29" s="104">
        <v>3</v>
      </c>
      <c r="AM29" s="4">
        <v>2</v>
      </c>
      <c r="AN29" s="87">
        <v>2</v>
      </c>
      <c r="AO29" s="4">
        <v>0</v>
      </c>
      <c r="AP29" s="4">
        <v>1</v>
      </c>
      <c r="AQ29" s="4">
        <v>1</v>
      </c>
      <c r="AR29" s="4">
        <v>1</v>
      </c>
      <c r="AS29" s="4">
        <v>1</v>
      </c>
      <c r="AT29" s="4">
        <v>1</v>
      </c>
      <c r="AU29" s="107">
        <v>2.5</v>
      </c>
      <c r="AV29" s="4">
        <f>IF(K29=VLOOKUP(VALUE(K$1),Questions!$A:$E,5,FALSE),1,0)</f>
        <v>1</v>
      </c>
      <c r="AW29" s="4">
        <f>IF(L29=VLOOKUP(VALUE(L$1),Questions!$A:$E,5,FALSE),1,0)</f>
        <v>1</v>
      </c>
      <c r="AX29" s="4">
        <f>IF(M29=VLOOKUP(VALUE(M$1),Questions!$A:$E,5,FALSE),1,0)</f>
        <v>1</v>
      </c>
      <c r="AY29" s="4">
        <f>IF(N29=VLOOKUP(VALUE(N$1),Questions!$A:$E,5,FALSE),1,0)</f>
        <v>1</v>
      </c>
      <c r="AZ29" s="4">
        <f>IF(O29=VLOOKUP(VALUE(O$1),Questions!$A:$E,5,FALSE),1,0)</f>
        <v>1</v>
      </c>
      <c r="BA29" s="4">
        <f>IF(P29=VLOOKUP(VALUE(P$1),Questions!$A:$E,5,FALSE),1,0)</f>
        <v>1</v>
      </c>
      <c r="BB29" s="4">
        <f>IF(Q29=VLOOKUP(VALUE(Q$1),Questions!$A:$E,5,FALSE),1,0)</f>
        <v>1</v>
      </c>
      <c r="BC29" s="4">
        <f>IF(R29=VLOOKUP(VALUE(R$1),Questions!$A:$E,5,FALSE),1,0)</f>
        <v>0</v>
      </c>
      <c r="BD29" s="4">
        <f>IF(S29=VLOOKUP(VALUE(S$1),Questions!$A:$E,5,FALSE),1,0)</f>
        <v>1</v>
      </c>
      <c r="BE29" s="4">
        <f>IF(T29=VLOOKUP(VALUE(T$1),Questions!$A:$E,5,FALSE),1,0)</f>
        <v>1</v>
      </c>
      <c r="BF29" s="4">
        <f>IF(U29=VLOOKUP(VALUE(U$1),Questions!$A:$E,5,FALSE),1,0)</f>
        <v>0</v>
      </c>
      <c r="BG29" s="4">
        <f>IF(V29=VLOOKUP(VALUE(V$1),Questions!$A:$E,5,FALSE),1,0)</f>
        <v>0</v>
      </c>
      <c r="BH29" s="4">
        <f>IF(W29=VLOOKUP(VALUE(W$1),Questions!$A:$E,5,FALSE),1,0)</f>
        <v>1</v>
      </c>
      <c r="BI29" s="4">
        <f>IF(X29=VLOOKUP(VALUE(X$1),Questions!$A:$E,5,FALSE),1,0)</f>
        <v>1</v>
      </c>
      <c r="BJ29" s="4">
        <f>IF(Y29=VLOOKUP(VALUE(Y$1),Questions!$A:$E,5,FALSE),1,0)</f>
        <v>0</v>
      </c>
      <c r="BK29" s="4">
        <f>IF(Z29=VLOOKUP(VALUE(Z$1),Questions!$A:$E,5,FALSE),1,0)</f>
        <v>0</v>
      </c>
      <c r="BL29" s="4">
        <f>IF(AA29=VLOOKUP(VALUE(AA$1),Questions!$A:$E,5,FALSE),1,0)</f>
        <v>1</v>
      </c>
      <c r="BM29" s="4">
        <f>IF(AB29=VLOOKUP(VALUE(AB$1),Questions!$A:$E,5,FALSE),1,0)</f>
        <v>0</v>
      </c>
      <c r="BN29" s="4">
        <f>IF(AC29=VLOOKUP(VALUE(AC$1),Questions!$A:$E,5,FALSE),1,0)</f>
        <v>0</v>
      </c>
      <c r="BO29" s="4">
        <f>IF(AD29=VLOOKUP(VALUE(AD$1),Questions!$A:$E,5,FALSE),1,0)</f>
        <v>0</v>
      </c>
      <c r="BP29" s="4">
        <f>IF(AE29=VLOOKUP(VALUE(AE$1),Questions!$A:$E,5,FALSE),1,0)</f>
        <v>1</v>
      </c>
      <c r="BQ29" s="4">
        <f>IF(AF29=VLOOKUP(VALUE(AF$1),Questions!$A:$E,5,FALSE),1,0)</f>
        <v>1</v>
      </c>
      <c r="BR29" s="4">
        <f>IF(AG29=VLOOKUP(VALUE(AG$1),Questions!$A:$E,5,FALSE),1,0)</f>
        <v>0</v>
      </c>
      <c r="BS29" s="4">
        <f>IF(AH29=VLOOKUP(VALUE(AH$1),Questions!$A:$E,5,FALSE),1,0)</f>
        <v>0</v>
      </c>
      <c r="BT29" s="4">
        <f>IF(AI29=VLOOKUP(VALUE(AI$1),Questions!$A:$E,5,FALSE),1,0)</f>
        <v>0</v>
      </c>
      <c r="BU29" s="4">
        <f>IF(AJ29=VLOOKUP(VALUE(AJ$1),Questions!$A:$E,5,FALSE),1,0)</f>
        <v>1</v>
      </c>
      <c r="BV29" s="4">
        <f>IF(AK29=VLOOKUP(VALUE(AK$1),Questions!$A:$E,5,FALSE),1,0)</f>
        <v>0</v>
      </c>
      <c r="BW29" s="87">
        <f>IF(AL29=VLOOKUP(VALUE(AL$1),Questions!$A:$E,5,FALSE),1,0)</f>
        <v>1</v>
      </c>
      <c r="BX29" s="4">
        <f>IF(Scores[[#This Row],[Final]]&gt;=65,1,0)</f>
        <v>1</v>
      </c>
      <c r="BY29" s="4">
        <f>IF(Scores[[#This Row],[Final]]&gt;=IF(Scores[[#This Row],[IEP]],55,65),1,0)</f>
        <v>1</v>
      </c>
    </row>
    <row r="30" spans="1:77" x14ac:dyDescent="0.2">
      <c r="A30" s="6">
        <v>29</v>
      </c>
      <c r="B30" s="4">
        <v>11</v>
      </c>
      <c r="C30" s="4" t="s">
        <v>962</v>
      </c>
      <c r="D30" s="105" t="b">
        <v>0</v>
      </c>
      <c r="E30" s="105" t="b">
        <v>0</v>
      </c>
      <c r="F30" s="86">
        <f>SUM(Scores[[#This Row],[Q1]:[Q28]])</f>
        <v>13</v>
      </c>
      <c r="G30" s="4">
        <f>SUM(Scores[[#This Row],[29]]:Scores[[#This Row],[30]])</f>
        <v>3</v>
      </c>
      <c r="H30" s="4">
        <f>SUM(Scores[[#This Row],[31]:[36]])</f>
        <v>6</v>
      </c>
      <c r="I30" s="4">
        <f>Scores[[#This Row],[37]]</f>
        <v>1</v>
      </c>
      <c r="J30" s="87">
        <f>INDEX('Conversion Chart'!$C$3:$M$47,MATCH(SUM(Scores[[#This Row],[MC]:[IIIA]]),'Conversion Chart'!$B$3:$B$47),MATCH(Scores[[#This Row],[IIIB]],'Conversion Chart'!$C$2:$M$2))</f>
        <v>60</v>
      </c>
      <c r="K30" s="103">
        <v>1</v>
      </c>
      <c r="L30" s="103">
        <v>1</v>
      </c>
      <c r="M30" s="103">
        <v>4</v>
      </c>
      <c r="N30" s="103">
        <v>1</v>
      </c>
      <c r="O30" s="103">
        <v>1</v>
      </c>
      <c r="P30" s="103">
        <v>4</v>
      </c>
      <c r="Q30" s="103">
        <v>2</v>
      </c>
      <c r="R30" s="103">
        <v>1</v>
      </c>
      <c r="S30" s="103">
        <v>2</v>
      </c>
      <c r="T30" s="103">
        <v>1</v>
      </c>
      <c r="U30" s="103">
        <v>2</v>
      </c>
      <c r="V30" s="103">
        <v>3</v>
      </c>
      <c r="W30" s="103">
        <v>1</v>
      </c>
      <c r="X30" s="103">
        <v>4</v>
      </c>
      <c r="Y30" s="103">
        <v>4</v>
      </c>
      <c r="Z30" s="103">
        <v>2</v>
      </c>
      <c r="AA30" s="103">
        <v>1</v>
      </c>
      <c r="AB30" s="103">
        <v>4</v>
      </c>
      <c r="AC30" s="103">
        <v>1</v>
      </c>
      <c r="AD30" s="103">
        <v>3</v>
      </c>
      <c r="AE30" s="103">
        <v>4</v>
      </c>
      <c r="AF30" s="103">
        <v>2</v>
      </c>
      <c r="AG30" s="103">
        <v>3</v>
      </c>
      <c r="AH30" s="103">
        <v>2</v>
      </c>
      <c r="AI30" s="103">
        <v>3</v>
      </c>
      <c r="AJ30" s="103">
        <v>4</v>
      </c>
      <c r="AK30" s="103">
        <v>1</v>
      </c>
      <c r="AL30" s="104">
        <v>3</v>
      </c>
      <c r="AM30" s="4">
        <v>2</v>
      </c>
      <c r="AN30" s="87">
        <v>1</v>
      </c>
      <c r="AO30" s="4">
        <v>1</v>
      </c>
      <c r="AP30" s="4">
        <v>1</v>
      </c>
      <c r="AQ30" s="4">
        <v>1</v>
      </c>
      <c r="AR30" s="4">
        <v>1</v>
      </c>
      <c r="AS30" s="4">
        <v>1</v>
      </c>
      <c r="AT30" s="4">
        <v>1</v>
      </c>
      <c r="AU30" s="107">
        <v>1</v>
      </c>
      <c r="AV30" s="4">
        <f>IF(K30=VLOOKUP(VALUE(K$1),Questions!$A:$E,5,FALSE),1,0)</f>
        <v>0</v>
      </c>
      <c r="AW30" s="4">
        <f>IF(L30=VLOOKUP(VALUE(L$1),Questions!$A:$E,5,FALSE),1,0)</f>
        <v>0</v>
      </c>
      <c r="AX30" s="4">
        <f>IF(M30=VLOOKUP(VALUE(M$1),Questions!$A:$E,5,FALSE),1,0)</f>
        <v>0</v>
      </c>
      <c r="AY30" s="4">
        <f>IF(N30=VLOOKUP(VALUE(N$1),Questions!$A:$E,5,FALSE),1,0)</f>
        <v>0</v>
      </c>
      <c r="AZ30" s="4">
        <f>IF(O30=VLOOKUP(VALUE(O$1),Questions!$A:$E,5,FALSE),1,0)</f>
        <v>1</v>
      </c>
      <c r="BA30" s="4">
        <f>IF(P30=VLOOKUP(VALUE(P$1),Questions!$A:$E,5,FALSE),1,0)</f>
        <v>1</v>
      </c>
      <c r="BB30" s="4">
        <f>IF(Q30=VLOOKUP(VALUE(Q$1),Questions!$A:$E,5,FALSE),1,0)</f>
        <v>0</v>
      </c>
      <c r="BC30" s="4">
        <f>IF(R30=VLOOKUP(VALUE(R$1),Questions!$A:$E,5,FALSE),1,0)</f>
        <v>0</v>
      </c>
      <c r="BD30" s="4">
        <f>IF(S30=VLOOKUP(VALUE(S$1),Questions!$A:$E,5,FALSE),1,0)</f>
        <v>1</v>
      </c>
      <c r="BE30" s="4">
        <f>IF(T30=VLOOKUP(VALUE(T$1),Questions!$A:$E,5,FALSE),1,0)</f>
        <v>1</v>
      </c>
      <c r="BF30" s="4">
        <f>IF(U30=VLOOKUP(VALUE(U$1),Questions!$A:$E,5,FALSE),1,0)</f>
        <v>1</v>
      </c>
      <c r="BG30" s="4">
        <f>IF(V30=VLOOKUP(VALUE(V$1),Questions!$A:$E,5,FALSE),1,0)</f>
        <v>0</v>
      </c>
      <c r="BH30" s="4">
        <f>IF(W30=VLOOKUP(VALUE(W$1),Questions!$A:$E,5,FALSE),1,0)</f>
        <v>0</v>
      </c>
      <c r="BI30" s="4">
        <f>IF(X30=VLOOKUP(VALUE(X$1),Questions!$A:$E,5,FALSE),1,0)</f>
        <v>1</v>
      </c>
      <c r="BJ30" s="4">
        <f>IF(Y30=VLOOKUP(VALUE(Y$1),Questions!$A:$E,5,FALSE),1,0)</f>
        <v>0</v>
      </c>
      <c r="BK30" s="4">
        <f>IF(Z30=VLOOKUP(VALUE(Z$1),Questions!$A:$E,5,FALSE),1,0)</f>
        <v>0</v>
      </c>
      <c r="BL30" s="4">
        <f>IF(AA30=VLOOKUP(VALUE(AA$1),Questions!$A:$E,5,FALSE),1,0)</f>
        <v>1</v>
      </c>
      <c r="BM30" s="4">
        <f>IF(AB30=VLOOKUP(VALUE(AB$1),Questions!$A:$E,5,FALSE),1,0)</f>
        <v>1</v>
      </c>
      <c r="BN30" s="4">
        <f>IF(AC30=VLOOKUP(VALUE(AC$1),Questions!$A:$E,5,FALSE),1,0)</f>
        <v>0</v>
      </c>
      <c r="BO30" s="4">
        <f>IF(AD30=VLOOKUP(VALUE(AD$1),Questions!$A:$E,5,FALSE),1,0)</f>
        <v>0</v>
      </c>
      <c r="BP30" s="4">
        <f>IF(AE30=VLOOKUP(VALUE(AE$1),Questions!$A:$E,5,FALSE),1,0)</f>
        <v>0</v>
      </c>
      <c r="BQ30" s="4">
        <f>IF(AF30=VLOOKUP(VALUE(AF$1),Questions!$A:$E,5,FALSE),1,0)</f>
        <v>1</v>
      </c>
      <c r="BR30" s="4">
        <f>IF(AG30=VLOOKUP(VALUE(AG$1),Questions!$A:$E,5,FALSE),1,0)</f>
        <v>1</v>
      </c>
      <c r="BS30" s="4">
        <f>IF(AH30=VLOOKUP(VALUE(AH$1),Questions!$A:$E,5,FALSE),1,0)</f>
        <v>0</v>
      </c>
      <c r="BT30" s="4">
        <f>IF(AI30=VLOOKUP(VALUE(AI$1),Questions!$A:$E,5,FALSE),1,0)</f>
        <v>0</v>
      </c>
      <c r="BU30" s="4">
        <f>IF(AJ30=VLOOKUP(VALUE(AJ$1),Questions!$A:$E,5,FALSE),1,0)</f>
        <v>1</v>
      </c>
      <c r="BV30" s="4">
        <f>IF(AK30=VLOOKUP(VALUE(AK$1),Questions!$A:$E,5,FALSE),1,0)</f>
        <v>1</v>
      </c>
      <c r="BW30" s="87">
        <f>IF(AL30=VLOOKUP(VALUE(AL$1),Questions!$A:$E,5,FALSE),1,0)</f>
        <v>1</v>
      </c>
      <c r="BX30" s="4">
        <f>IF(Scores[[#This Row],[Final]]&gt;=65,1,0)</f>
        <v>0</v>
      </c>
      <c r="BY30" s="4">
        <f>IF(Scores[[#This Row],[Final]]&gt;=IF(Scores[[#This Row],[IEP]],55,65),1,0)</f>
        <v>0</v>
      </c>
    </row>
    <row r="31" spans="1:77" x14ac:dyDescent="0.2">
      <c r="A31" s="6">
        <v>30</v>
      </c>
      <c r="B31" s="4">
        <v>9</v>
      </c>
      <c r="C31" s="4" t="s">
        <v>963</v>
      </c>
      <c r="D31" s="105" t="b">
        <v>0</v>
      </c>
      <c r="E31" s="105" t="b">
        <v>1</v>
      </c>
      <c r="F31" s="86">
        <f>SUM(Scores[[#This Row],[Q1]:[Q28]])</f>
        <v>11</v>
      </c>
      <c r="G31" s="4">
        <f>SUM(Scores[[#This Row],[29]]:Scores[[#This Row],[30]])</f>
        <v>3</v>
      </c>
      <c r="H31" s="4">
        <f>SUM(Scores[[#This Row],[31]:[36]])</f>
        <v>5</v>
      </c>
      <c r="I31" s="4">
        <f>Scores[[#This Row],[37]]</f>
        <v>1</v>
      </c>
      <c r="J31" s="87">
        <f>INDEX('Conversion Chart'!$C$3:$M$47,MATCH(SUM(Scores[[#This Row],[MC]:[IIIA]]),'Conversion Chart'!$B$3:$B$47),MATCH(Scores[[#This Row],[IIIB]],'Conversion Chart'!$C$2:$M$2))</f>
        <v>55</v>
      </c>
      <c r="K31" s="103">
        <v>4</v>
      </c>
      <c r="L31" s="103">
        <v>2</v>
      </c>
      <c r="M31" s="103">
        <v>3</v>
      </c>
      <c r="N31" s="103">
        <v>3</v>
      </c>
      <c r="O31" s="103">
        <v>3</v>
      </c>
      <c r="P31" s="103">
        <v>2</v>
      </c>
      <c r="Q31" s="103">
        <v>3</v>
      </c>
      <c r="R31" s="103">
        <v>3</v>
      </c>
      <c r="S31" s="103">
        <v>2</v>
      </c>
      <c r="T31" s="103">
        <v>2</v>
      </c>
      <c r="U31" s="103">
        <v>2</v>
      </c>
      <c r="V31" s="103">
        <v>3</v>
      </c>
      <c r="W31" s="103">
        <v>1</v>
      </c>
      <c r="X31" s="103">
        <v>2</v>
      </c>
      <c r="Y31" s="103">
        <v>4</v>
      </c>
      <c r="Z31" s="103">
        <v>4</v>
      </c>
      <c r="AA31" s="103">
        <v>1</v>
      </c>
      <c r="AB31" s="103">
        <v>3</v>
      </c>
      <c r="AC31" s="103">
        <v>3</v>
      </c>
      <c r="AD31" s="103">
        <v>1</v>
      </c>
      <c r="AE31" s="103">
        <v>2</v>
      </c>
      <c r="AF31" s="103">
        <v>1</v>
      </c>
      <c r="AG31" s="103">
        <v>4</v>
      </c>
      <c r="AH31" s="103">
        <v>2</v>
      </c>
      <c r="AI31" s="103">
        <v>3</v>
      </c>
      <c r="AJ31" s="103">
        <v>1</v>
      </c>
      <c r="AK31" s="103">
        <v>4</v>
      </c>
      <c r="AL31" s="104">
        <v>3</v>
      </c>
      <c r="AM31" s="4">
        <v>2</v>
      </c>
      <c r="AN31" s="87">
        <v>1</v>
      </c>
      <c r="AO31" s="4">
        <v>1</v>
      </c>
      <c r="AP31" s="4">
        <v>0</v>
      </c>
      <c r="AQ31" s="4">
        <v>1</v>
      </c>
      <c r="AR31" s="4">
        <v>1</v>
      </c>
      <c r="AS31" s="4">
        <v>1</v>
      </c>
      <c r="AT31" s="4">
        <v>1</v>
      </c>
      <c r="AU31" s="107">
        <v>1</v>
      </c>
      <c r="AV31" s="4">
        <f>IF(K31=VLOOKUP(VALUE(K$1),Questions!$A:$E,5,FALSE),1,0)</f>
        <v>1</v>
      </c>
      <c r="AW31" s="4">
        <f>IF(L31=VLOOKUP(VALUE(L$1),Questions!$A:$E,5,FALSE),1,0)</f>
        <v>1</v>
      </c>
      <c r="AX31" s="4">
        <f>IF(M31=VLOOKUP(VALUE(M$1),Questions!$A:$E,5,FALSE),1,0)</f>
        <v>1</v>
      </c>
      <c r="AY31" s="4">
        <f>IF(N31=VLOOKUP(VALUE(N$1),Questions!$A:$E,5,FALSE),1,0)</f>
        <v>1</v>
      </c>
      <c r="AZ31" s="4">
        <f>IF(O31=VLOOKUP(VALUE(O$1),Questions!$A:$E,5,FALSE),1,0)</f>
        <v>0</v>
      </c>
      <c r="BA31" s="4">
        <f>IF(P31=VLOOKUP(VALUE(P$1),Questions!$A:$E,5,FALSE),1,0)</f>
        <v>0</v>
      </c>
      <c r="BB31" s="4">
        <f>IF(Q31=VLOOKUP(VALUE(Q$1),Questions!$A:$E,5,FALSE),1,0)</f>
        <v>1</v>
      </c>
      <c r="BC31" s="4">
        <f>IF(R31=VLOOKUP(VALUE(R$1),Questions!$A:$E,5,FALSE),1,0)</f>
        <v>0</v>
      </c>
      <c r="BD31" s="4">
        <f>IF(S31=VLOOKUP(VALUE(S$1),Questions!$A:$E,5,FALSE),1,0)</f>
        <v>1</v>
      </c>
      <c r="BE31" s="4">
        <f>IF(T31=VLOOKUP(VALUE(T$1),Questions!$A:$E,5,FALSE),1,0)</f>
        <v>0</v>
      </c>
      <c r="BF31" s="4">
        <f>IF(U31=VLOOKUP(VALUE(U$1),Questions!$A:$E,5,FALSE),1,0)</f>
        <v>1</v>
      </c>
      <c r="BG31" s="4">
        <f>IF(V31=VLOOKUP(VALUE(V$1),Questions!$A:$E,5,FALSE),1,0)</f>
        <v>0</v>
      </c>
      <c r="BH31" s="4">
        <f>IF(W31=VLOOKUP(VALUE(W$1),Questions!$A:$E,5,FALSE),1,0)</f>
        <v>0</v>
      </c>
      <c r="BI31" s="4">
        <f>IF(X31=VLOOKUP(VALUE(X$1),Questions!$A:$E,5,FALSE),1,0)</f>
        <v>0</v>
      </c>
      <c r="BJ31" s="4">
        <f>IF(Y31=VLOOKUP(VALUE(Y$1),Questions!$A:$E,5,FALSE),1,0)</f>
        <v>0</v>
      </c>
      <c r="BK31" s="4">
        <f>IF(Z31=VLOOKUP(VALUE(Z$1),Questions!$A:$E,5,FALSE),1,0)</f>
        <v>0</v>
      </c>
      <c r="BL31" s="4">
        <f>IF(AA31=VLOOKUP(VALUE(AA$1),Questions!$A:$E,5,FALSE),1,0)</f>
        <v>1</v>
      </c>
      <c r="BM31" s="4">
        <f>IF(AB31=VLOOKUP(VALUE(AB$1),Questions!$A:$E,5,FALSE),1,0)</f>
        <v>0</v>
      </c>
      <c r="BN31" s="4">
        <f>IF(AC31=VLOOKUP(VALUE(AC$1),Questions!$A:$E,5,FALSE),1,0)</f>
        <v>1</v>
      </c>
      <c r="BO31" s="4">
        <f>IF(AD31=VLOOKUP(VALUE(AD$1),Questions!$A:$E,5,FALSE),1,0)</f>
        <v>0</v>
      </c>
      <c r="BP31" s="4">
        <f>IF(AE31=VLOOKUP(VALUE(AE$1),Questions!$A:$E,5,FALSE),1,0)</f>
        <v>1</v>
      </c>
      <c r="BQ31" s="4">
        <f>IF(AF31=VLOOKUP(VALUE(AF$1),Questions!$A:$E,5,FALSE),1,0)</f>
        <v>0</v>
      </c>
      <c r="BR31" s="4">
        <f>IF(AG31=VLOOKUP(VALUE(AG$1),Questions!$A:$E,5,FALSE),1,0)</f>
        <v>0</v>
      </c>
      <c r="BS31" s="4">
        <f>IF(AH31=VLOOKUP(VALUE(AH$1),Questions!$A:$E,5,FALSE),1,0)</f>
        <v>0</v>
      </c>
      <c r="BT31" s="4">
        <f>IF(AI31=VLOOKUP(VALUE(AI$1),Questions!$A:$E,5,FALSE),1,0)</f>
        <v>0</v>
      </c>
      <c r="BU31" s="4">
        <f>IF(AJ31=VLOOKUP(VALUE(AJ$1),Questions!$A:$E,5,FALSE),1,0)</f>
        <v>0</v>
      </c>
      <c r="BV31" s="4">
        <f>IF(AK31=VLOOKUP(VALUE(AK$1),Questions!$A:$E,5,FALSE),1,0)</f>
        <v>0</v>
      </c>
      <c r="BW31" s="87">
        <f>IF(AL31=VLOOKUP(VALUE(AL$1),Questions!$A:$E,5,FALSE),1,0)</f>
        <v>1</v>
      </c>
      <c r="BX31" s="4">
        <f>IF(Scores[[#This Row],[Final]]&gt;=65,1,0)</f>
        <v>0</v>
      </c>
      <c r="BY31" s="4">
        <f>IF(Scores[[#This Row],[Final]]&gt;=IF(Scores[[#This Row],[IEP]],55,65),1,0)</f>
        <v>1</v>
      </c>
    </row>
    <row r="32" spans="1:77" x14ac:dyDescent="0.2">
      <c r="A32" s="6">
        <v>31</v>
      </c>
      <c r="B32" s="4">
        <v>9</v>
      </c>
      <c r="C32" s="4" t="s">
        <v>964</v>
      </c>
      <c r="D32" s="105" t="b">
        <v>0</v>
      </c>
      <c r="E32" s="105" t="b">
        <v>0</v>
      </c>
      <c r="F32" s="86">
        <f>SUM(Scores[[#This Row],[Q1]:[Q28]])</f>
        <v>20</v>
      </c>
      <c r="G32" s="4">
        <f>SUM(Scores[[#This Row],[29]]:Scores[[#This Row],[30]])</f>
        <v>2</v>
      </c>
      <c r="H32" s="4">
        <f>SUM(Scores[[#This Row],[31]:[36]])</f>
        <v>6</v>
      </c>
      <c r="I32" s="4">
        <f>Scores[[#This Row],[37]]</f>
        <v>1.5</v>
      </c>
      <c r="J32" s="87">
        <f>INDEX('Conversion Chart'!$C$3:$M$47,MATCH(SUM(Scores[[#This Row],[MC]:[IIIA]]),'Conversion Chart'!$B$3:$B$47),MATCH(Scores[[#This Row],[IIIB]],'Conversion Chart'!$C$2:$M$2))</f>
        <v>70</v>
      </c>
      <c r="K32" s="103">
        <v>4</v>
      </c>
      <c r="L32" s="103">
        <v>2</v>
      </c>
      <c r="M32" s="103">
        <v>3</v>
      </c>
      <c r="N32" s="103">
        <v>3</v>
      </c>
      <c r="O32" s="103">
        <v>1</v>
      </c>
      <c r="P32" s="103">
        <v>3</v>
      </c>
      <c r="Q32" s="103">
        <v>3</v>
      </c>
      <c r="R32" s="103">
        <v>2</v>
      </c>
      <c r="S32" s="103">
        <v>3</v>
      </c>
      <c r="T32" s="103">
        <v>1</v>
      </c>
      <c r="U32" s="103">
        <v>1</v>
      </c>
      <c r="V32" s="103">
        <v>4</v>
      </c>
      <c r="W32" s="103">
        <v>1</v>
      </c>
      <c r="X32" s="103">
        <v>4</v>
      </c>
      <c r="Y32" s="103">
        <v>3</v>
      </c>
      <c r="Z32" s="103">
        <v>1</v>
      </c>
      <c r="AA32" s="103">
        <v>1</v>
      </c>
      <c r="AB32" s="103">
        <v>4</v>
      </c>
      <c r="AC32" s="103">
        <v>3</v>
      </c>
      <c r="AD32" s="103">
        <v>1</v>
      </c>
      <c r="AE32" s="103">
        <v>3</v>
      </c>
      <c r="AF32" s="103">
        <v>2</v>
      </c>
      <c r="AG32" s="103">
        <v>3</v>
      </c>
      <c r="AH32" s="103">
        <v>3</v>
      </c>
      <c r="AI32" s="103">
        <v>1</v>
      </c>
      <c r="AJ32" s="103">
        <v>1</v>
      </c>
      <c r="AK32" s="103">
        <v>2</v>
      </c>
      <c r="AL32" s="104">
        <v>3</v>
      </c>
      <c r="AM32" s="4">
        <v>2</v>
      </c>
      <c r="AN32" s="87">
        <v>0</v>
      </c>
      <c r="AO32" s="4">
        <v>1</v>
      </c>
      <c r="AP32" s="4">
        <v>1</v>
      </c>
      <c r="AQ32" s="4">
        <v>1</v>
      </c>
      <c r="AR32" s="4">
        <v>1</v>
      </c>
      <c r="AS32" s="4">
        <v>1</v>
      </c>
      <c r="AT32" s="4">
        <v>1</v>
      </c>
      <c r="AU32" s="107">
        <v>1.5</v>
      </c>
      <c r="AV32" s="4">
        <f>IF(K32=VLOOKUP(VALUE(K$1),Questions!$A:$E,5,FALSE),1,0)</f>
        <v>1</v>
      </c>
      <c r="AW32" s="4">
        <f>IF(L32=VLOOKUP(VALUE(L$1),Questions!$A:$E,5,FALSE),1,0)</f>
        <v>1</v>
      </c>
      <c r="AX32" s="4">
        <f>IF(M32=VLOOKUP(VALUE(M$1),Questions!$A:$E,5,FALSE),1,0)</f>
        <v>1</v>
      </c>
      <c r="AY32" s="4">
        <f>IF(N32=VLOOKUP(VALUE(N$1),Questions!$A:$E,5,FALSE),1,0)</f>
        <v>1</v>
      </c>
      <c r="AZ32" s="4">
        <f>IF(O32=VLOOKUP(VALUE(O$1),Questions!$A:$E,5,FALSE),1,0)</f>
        <v>1</v>
      </c>
      <c r="BA32" s="4">
        <f>IF(P32=VLOOKUP(VALUE(P$1),Questions!$A:$E,5,FALSE),1,0)</f>
        <v>0</v>
      </c>
      <c r="BB32" s="4">
        <f>IF(Q32=VLOOKUP(VALUE(Q$1),Questions!$A:$E,5,FALSE),1,0)</f>
        <v>1</v>
      </c>
      <c r="BC32" s="4">
        <f>IF(R32=VLOOKUP(VALUE(R$1),Questions!$A:$E,5,FALSE),1,0)</f>
        <v>1</v>
      </c>
      <c r="BD32" s="4">
        <f>IF(S32=VLOOKUP(VALUE(S$1),Questions!$A:$E,5,FALSE),1,0)</f>
        <v>0</v>
      </c>
      <c r="BE32" s="4">
        <f>IF(T32=VLOOKUP(VALUE(T$1),Questions!$A:$E,5,FALSE),1,0)</f>
        <v>1</v>
      </c>
      <c r="BF32" s="4">
        <f>IF(U32=VLOOKUP(VALUE(U$1),Questions!$A:$E,5,FALSE),1,0)</f>
        <v>0</v>
      </c>
      <c r="BG32" s="4">
        <f>IF(V32=VLOOKUP(VALUE(V$1),Questions!$A:$E,5,FALSE),1,0)</f>
        <v>1</v>
      </c>
      <c r="BH32" s="4">
        <f>IF(W32=VLOOKUP(VALUE(W$1),Questions!$A:$E,5,FALSE),1,0)</f>
        <v>0</v>
      </c>
      <c r="BI32" s="4">
        <f>IF(X32=VLOOKUP(VALUE(X$1),Questions!$A:$E,5,FALSE),1,0)</f>
        <v>1</v>
      </c>
      <c r="BJ32" s="4">
        <f>IF(Y32=VLOOKUP(VALUE(Y$1),Questions!$A:$E,5,FALSE),1,0)</f>
        <v>1</v>
      </c>
      <c r="BK32" s="4">
        <f>IF(Z32=VLOOKUP(VALUE(Z$1),Questions!$A:$E,5,FALSE),1,0)</f>
        <v>1</v>
      </c>
      <c r="BL32" s="4">
        <f>IF(AA32=VLOOKUP(VALUE(AA$1),Questions!$A:$E,5,FALSE),1,0)</f>
        <v>1</v>
      </c>
      <c r="BM32" s="4">
        <f>IF(AB32=VLOOKUP(VALUE(AB$1),Questions!$A:$E,5,FALSE),1,0)</f>
        <v>1</v>
      </c>
      <c r="BN32" s="4">
        <f>IF(AC32=VLOOKUP(VALUE(AC$1),Questions!$A:$E,5,FALSE),1,0)</f>
        <v>1</v>
      </c>
      <c r="BO32" s="4">
        <f>IF(AD32=VLOOKUP(VALUE(AD$1),Questions!$A:$E,5,FALSE),1,0)</f>
        <v>0</v>
      </c>
      <c r="BP32" s="4">
        <f>IF(AE32=VLOOKUP(VALUE(AE$1),Questions!$A:$E,5,FALSE),1,0)</f>
        <v>0</v>
      </c>
      <c r="BQ32" s="4">
        <f>IF(AF32=VLOOKUP(VALUE(AF$1),Questions!$A:$E,5,FALSE),1,0)</f>
        <v>1</v>
      </c>
      <c r="BR32" s="4">
        <f>IF(AG32=VLOOKUP(VALUE(AG$1),Questions!$A:$E,5,FALSE),1,0)</f>
        <v>1</v>
      </c>
      <c r="BS32" s="4">
        <f>IF(AH32=VLOOKUP(VALUE(AH$1),Questions!$A:$E,5,FALSE),1,0)</f>
        <v>1</v>
      </c>
      <c r="BT32" s="4">
        <f>IF(AI32=VLOOKUP(VALUE(AI$1),Questions!$A:$E,5,FALSE),1,0)</f>
        <v>1</v>
      </c>
      <c r="BU32" s="4">
        <f>IF(AJ32=VLOOKUP(VALUE(AJ$1),Questions!$A:$E,5,FALSE),1,0)</f>
        <v>0</v>
      </c>
      <c r="BV32" s="4">
        <f>IF(AK32=VLOOKUP(VALUE(AK$1),Questions!$A:$E,5,FALSE),1,0)</f>
        <v>0</v>
      </c>
      <c r="BW32" s="87">
        <f>IF(AL32=VLOOKUP(VALUE(AL$1),Questions!$A:$E,5,FALSE),1,0)</f>
        <v>1</v>
      </c>
      <c r="BX32" s="4">
        <f>IF(Scores[[#This Row],[Final]]&gt;=65,1,0)</f>
        <v>1</v>
      </c>
      <c r="BY32" s="4">
        <f>IF(Scores[[#This Row],[Final]]&gt;=IF(Scores[[#This Row],[IEP]],55,65),1,0)</f>
        <v>1</v>
      </c>
    </row>
    <row r="33" spans="1:77" x14ac:dyDescent="0.2">
      <c r="A33" s="6">
        <v>32</v>
      </c>
      <c r="B33" s="4">
        <v>9</v>
      </c>
      <c r="C33" s="4" t="s">
        <v>963</v>
      </c>
      <c r="D33" s="105" t="b">
        <v>0</v>
      </c>
      <c r="E33" s="105" t="b">
        <v>0</v>
      </c>
      <c r="F33" s="86">
        <f>SUM(Scores[[#This Row],[Q1]:[Q28]])</f>
        <v>12</v>
      </c>
      <c r="G33" s="4">
        <f>SUM(Scores[[#This Row],[29]]:Scores[[#This Row],[30]])</f>
        <v>3</v>
      </c>
      <c r="H33" s="4">
        <f>SUM(Scores[[#This Row],[31]:[36]])</f>
        <v>6</v>
      </c>
      <c r="I33" s="4">
        <f>Scores[[#This Row],[37]]</f>
        <v>1</v>
      </c>
      <c r="J33" s="87">
        <f>INDEX('Conversion Chart'!$C$3:$M$47,MATCH(SUM(Scores[[#This Row],[MC]:[IIIA]]),'Conversion Chart'!$B$3:$B$47),MATCH(Scores[[#This Row],[IIIB]],'Conversion Chart'!$C$2:$M$2))</f>
        <v>58</v>
      </c>
      <c r="K33" s="103">
        <v>4</v>
      </c>
      <c r="L33" s="103">
        <v>3</v>
      </c>
      <c r="M33" s="103">
        <v>1</v>
      </c>
      <c r="N33" s="103">
        <v>1</v>
      </c>
      <c r="O33" s="103">
        <v>2</v>
      </c>
      <c r="P33" s="103">
        <v>1</v>
      </c>
      <c r="Q33" s="103">
        <v>3</v>
      </c>
      <c r="R33" s="103">
        <v>1</v>
      </c>
      <c r="S33" s="103">
        <v>4</v>
      </c>
      <c r="T33" s="103">
        <v>1</v>
      </c>
      <c r="U33" s="103">
        <v>2</v>
      </c>
      <c r="V33" s="103">
        <v>3</v>
      </c>
      <c r="W33" s="103">
        <v>4</v>
      </c>
      <c r="X33" s="103">
        <v>2</v>
      </c>
      <c r="Y33" s="103">
        <v>4</v>
      </c>
      <c r="Z33" s="103">
        <v>4</v>
      </c>
      <c r="AA33" s="103">
        <v>1</v>
      </c>
      <c r="AB33" s="103">
        <v>4</v>
      </c>
      <c r="AC33" s="103">
        <v>3</v>
      </c>
      <c r="AD33" s="103">
        <v>4</v>
      </c>
      <c r="AE33" s="103">
        <v>1</v>
      </c>
      <c r="AF33" s="103">
        <v>2</v>
      </c>
      <c r="AG33" s="103">
        <v>3</v>
      </c>
      <c r="AH33" s="103">
        <v>2</v>
      </c>
      <c r="AI33" s="103">
        <v>4</v>
      </c>
      <c r="AJ33" s="103">
        <v>4</v>
      </c>
      <c r="AK33" s="103">
        <v>2</v>
      </c>
      <c r="AL33" s="104">
        <v>3</v>
      </c>
      <c r="AM33" s="4">
        <v>2</v>
      </c>
      <c r="AN33" s="87">
        <v>1</v>
      </c>
      <c r="AO33" s="4">
        <v>1</v>
      </c>
      <c r="AP33" s="4">
        <v>1</v>
      </c>
      <c r="AQ33" s="4">
        <v>1</v>
      </c>
      <c r="AR33" s="4">
        <v>1</v>
      </c>
      <c r="AS33" s="4">
        <v>1</v>
      </c>
      <c r="AT33" s="4">
        <v>1</v>
      </c>
      <c r="AU33" s="107">
        <v>1</v>
      </c>
      <c r="AV33" s="4">
        <f>IF(K33=VLOOKUP(VALUE(K$1),Questions!$A:$E,5,FALSE),1,0)</f>
        <v>1</v>
      </c>
      <c r="AW33" s="4">
        <f>IF(L33=VLOOKUP(VALUE(L$1),Questions!$A:$E,5,FALSE),1,0)</f>
        <v>0</v>
      </c>
      <c r="AX33" s="4">
        <f>IF(M33=VLOOKUP(VALUE(M$1),Questions!$A:$E,5,FALSE),1,0)</f>
        <v>0</v>
      </c>
      <c r="AY33" s="4">
        <f>IF(N33=VLOOKUP(VALUE(N$1),Questions!$A:$E,5,FALSE),1,0)</f>
        <v>0</v>
      </c>
      <c r="AZ33" s="4">
        <f>IF(O33=VLOOKUP(VALUE(O$1),Questions!$A:$E,5,FALSE),1,0)</f>
        <v>0</v>
      </c>
      <c r="BA33" s="4">
        <f>IF(P33=VLOOKUP(VALUE(P$1),Questions!$A:$E,5,FALSE),1,0)</f>
        <v>0</v>
      </c>
      <c r="BB33" s="4">
        <f>IF(Q33=VLOOKUP(VALUE(Q$1),Questions!$A:$E,5,FALSE),1,0)</f>
        <v>1</v>
      </c>
      <c r="BC33" s="4">
        <f>IF(R33=VLOOKUP(VALUE(R$1),Questions!$A:$E,5,FALSE),1,0)</f>
        <v>0</v>
      </c>
      <c r="BD33" s="4">
        <f>IF(S33=VLOOKUP(VALUE(S$1),Questions!$A:$E,5,FALSE),1,0)</f>
        <v>0</v>
      </c>
      <c r="BE33" s="4">
        <f>IF(T33=VLOOKUP(VALUE(T$1),Questions!$A:$E,5,FALSE),1,0)</f>
        <v>1</v>
      </c>
      <c r="BF33" s="4">
        <f>IF(U33=VLOOKUP(VALUE(U$1),Questions!$A:$E,5,FALSE),1,0)</f>
        <v>1</v>
      </c>
      <c r="BG33" s="4">
        <f>IF(V33=VLOOKUP(VALUE(V$1),Questions!$A:$E,5,FALSE),1,0)</f>
        <v>0</v>
      </c>
      <c r="BH33" s="4">
        <f>IF(W33=VLOOKUP(VALUE(W$1),Questions!$A:$E,5,FALSE),1,0)</f>
        <v>0</v>
      </c>
      <c r="BI33" s="4">
        <f>IF(X33=VLOOKUP(VALUE(X$1),Questions!$A:$E,5,FALSE),1,0)</f>
        <v>0</v>
      </c>
      <c r="BJ33" s="4">
        <f>IF(Y33=VLOOKUP(VALUE(Y$1),Questions!$A:$E,5,FALSE),1,0)</f>
        <v>0</v>
      </c>
      <c r="BK33" s="4">
        <f>IF(Z33=VLOOKUP(VALUE(Z$1),Questions!$A:$E,5,FALSE),1,0)</f>
        <v>0</v>
      </c>
      <c r="BL33" s="4">
        <f>IF(AA33=VLOOKUP(VALUE(AA$1),Questions!$A:$E,5,FALSE),1,0)</f>
        <v>1</v>
      </c>
      <c r="BM33" s="4">
        <f>IF(AB33=VLOOKUP(VALUE(AB$1),Questions!$A:$E,5,FALSE),1,0)</f>
        <v>1</v>
      </c>
      <c r="BN33" s="4">
        <f>IF(AC33=VLOOKUP(VALUE(AC$1),Questions!$A:$E,5,FALSE),1,0)</f>
        <v>1</v>
      </c>
      <c r="BO33" s="4">
        <f>IF(AD33=VLOOKUP(VALUE(AD$1),Questions!$A:$E,5,FALSE),1,0)</f>
        <v>1</v>
      </c>
      <c r="BP33" s="4">
        <f>IF(AE33=VLOOKUP(VALUE(AE$1),Questions!$A:$E,5,FALSE),1,0)</f>
        <v>0</v>
      </c>
      <c r="BQ33" s="4">
        <f>IF(AF33=VLOOKUP(VALUE(AF$1),Questions!$A:$E,5,FALSE),1,0)</f>
        <v>1</v>
      </c>
      <c r="BR33" s="4">
        <f>IF(AG33=VLOOKUP(VALUE(AG$1),Questions!$A:$E,5,FALSE),1,0)</f>
        <v>1</v>
      </c>
      <c r="BS33" s="4">
        <f>IF(AH33=VLOOKUP(VALUE(AH$1),Questions!$A:$E,5,FALSE),1,0)</f>
        <v>0</v>
      </c>
      <c r="BT33" s="4">
        <f>IF(AI33=VLOOKUP(VALUE(AI$1),Questions!$A:$E,5,FALSE),1,0)</f>
        <v>0</v>
      </c>
      <c r="BU33" s="4">
        <f>IF(AJ33=VLOOKUP(VALUE(AJ$1),Questions!$A:$E,5,FALSE),1,0)</f>
        <v>1</v>
      </c>
      <c r="BV33" s="4">
        <f>IF(AK33=VLOOKUP(VALUE(AK$1),Questions!$A:$E,5,FALSE),1,0)</f>
        <v>0</v>
      </c>
      <c r="BW33" s="87">
        <f>IF(AL33=VLOOKUP(VALUE(AL$1),Questions!$A:$E,5,FALSE),1,0)</f>
        <v>1</v>
      </c>
      <c r="BX33" s="4">
        <f>IF(Scores[[#This Row],[Final]]&gt;=65,1,0)</f>
        <v>0</v>
      </c>
      <c r="BY33" s="4">
        <f>IF(Scores[[#This Row],[Final]]&gt;=IF(Scores[[#This Row],[IEP]],55,65),1,0)</f>
        <v>0</v>
      </c>
    </row>
    <row r="34" spans="1:77" x14ac:dyDescent="0.2">
      <c r="A34" s="6">
        <v>33</v>
      </c>
      <c r="B34" s="4">
        <v>11</v>
      </c>
      <c r="C34" s="4" t="s">
        <v>962</v>
      </c>
      <c r="D34" s="105" t="b">
        <v>0</v>
      </c>
      <c r="E34" s="105" t="b">
        <v>0</v>
      </c>
      <c r="F34" s="86">
        <f>SUM(Scores[[#This Row],[Q1]:[Q28]])</f>
        <v>20</v>
      </c>
      <c r="G34" s="4">
        <f>SUM(Scores[[#This Row],[29]]:Scores[[#This Row],[30]])</f>
        <v>5</v>
      </c>
      <c r="H34" s="4">
        <f>SUM(Scores[[#This Row],[31]:[36]])</f>
        <v>5</v>
      </c>
      <c r="I34" s="4">
        <f>Scores[[#This Row],[37]]</f>
        <v>1</v>
      </c>
      <c r="J34" s="87">
        <f>INDEX('Conversion Chart'!$C$3:$M$47,MATCH(SUM(Scores[[#This Row],[MC]:[IIIA]]),'Conversion Chart'!$B$3:$B$47),MATCH(Scores[[#This Row],[IIIB]],'Conversion Chart'!$C$2:$M$2))</f>
        <v>70</v>
      </c>
      <c r="K34" s="103">
        <v>4</v>
      </c>
      <c r="L34" s="103">
        <v>2</v>
      </c>
      <c r="M34" s="103">
        <v>1</v>
      </c>
      <c r="N34" s="103">
        <v>3</v>
      </c>
      <c r="O34" s="103">
        <v>2</v>
      </c>
      <c r="P34" s="103">
        <v>4</v>
      </c>
      <c r="Q34" s="103">
        <v>2</v>
      </c>
      <c r="R34" s="103">
        <v>1</v>
      </c>
      <c r="S34" s="103">
        <v>2</v>
      </c>
      <c r="T34" s="103">
        <v>1</v>
      </c>
      <c r="U34" s="103">
        <v>2</v>
      </c>
      <c r="V34" s="103">
        <v>4</v>
      </c>
      <c r="W34" s="103">
        <v>2</v>
      </c>
      <c r="X34" s="103">
        <v>1</v>
      </c>
      <c r="Y34" s="103">
        <v>3</v>
      </c>
      <c r="Z34" s="103">
        <v>1</v>
      </c>
      <c r="AA34" s="103">
        <v>1</v>
      </c>
      <c r="AB34" s="103">
        <v>4</v>
      </c>
      <c r="AC34" s="103">
        <v>3</v>
      </c>
      <c r="AD34" s="103">
        <v>1</v>
      </c>
      <c r="AE34" s="103">
        <v>2</v>
      </c>
      <c r="AF34" s="103">
        <v>1</v>
      </c>
      <c r="AG34" s="103">
        <v>2</v>
      </c>
      <c r="AH34" s="103">
        <v>3</v>
      </c>
      <c r="AI34" s="103">
        <v>1</v>
      </c>
      <c r="AJ34" s="103">
        <v>4</v>
      </c>
      <c r="AK34" s="103">
        <v>1</v>
      </c>
      <c r="AL34" s="104">
        <v>3</v>
      </c>
      <c r="AM34" s="4">
        <v>3</v>
      </c>
      <c r="AN34" s="87">
        <v>2</v>
      </c>
      <c r="AO34" s="4">
        <v>0</v>
      </c>
      <c r="AP34" s="4">
        <v>1</v>
      </c>
      <c r="AQ34" s="4">
        <v>1</v>
      </c>
      <c r="AR34" s="4">
        <v>1</v>
      </c>
      <c r="AS34" s="4">
        <v>1</v>
      </c>
      <c r="AT34" s="4">
        <v>1</v>
      </c>
      <c r="AU34" s="107">
        <v>1</v>
      </c>
      <c r="AV34" s="4">
        <f>IF(K34=VLOOKUP(VALUE(K$1),Questions!$A:$E,5,FALSE),1,0)</f>
        <v>1</v>
      </c>
      <c r="AW34" s="4">
        <f>IF(L34=VLOOKUP(VALUE(L$1),Questions!$A:$E,5,FALSE),1,0)</f>
        <v>1</v>
      </c>
      <c r="AX34" s="4">
        <f>IF(M34=VLOOKUP(VALUE(M$1),Questions!$A:$E,5,FALSE),1,0)</f>
        <v>0</v>
      </c>
      <c r="AY34" s="4">
        <f>IF(N34=VLOOKUP(VALUE(N$1),Questions!$A:$E,5,FALSE),1,0)</f>
        <v>1</v>
      </c>
      <c r="AZ34" s="4">
        <f>IF(O34=VLOOKUP(VALUE(O$1),Questions!$A:$E,5,FALSE),1,0)</f>
        <v>0</v>
      </c>
      <c r="BA34" s="4">
        <f>IF(P34=VLOOKUP(VALUE(P$1),Questions!$A:$E,5,FALSE),1,0)</f>
        <v>1</v>
      </c>
      <c r="BB34" s="4">
        <f>IF(Q34=VLOOKUP(VALUE(Q$1),Questions!$A:$E,5,FALSE),1,0)</f>
        <v>0</v>
      </c>
      <c r="BC34" s="4">
        <f>IF(R34=VLOOKUP(VALUE(R$1),Questions!$A:$E,5,FALSE),1,0)</f>
        <v>0</v>
      </c>
      <c r="BD34" s="4">
        <f>IF(S34=VLOOKUP(VALUE(S$1),Questions!$A:$E,5,FALSE),1,0)</f>
        <v>1</v>
      </c>
      <c r="BE34" s="4">
        <f>IF(T34=VLOOKUP(VALUE(T$1),Questions!$A:$E,5,FALSE),1,0)</f>
        <v>1</v>
      </c>
      <c r="BF34" s="4">
        <f>IF(U34=VLOOKUP(VALUE(U$1),Questions!$A:$E,5,FALSE),1,0)</f>
        <v>1</v>
      </c>
      <c r="BG34" s="4">
        <f>IF(V34=VLOOKUP(VALUE(V$1),Questions!$A:$E,5,FALSE),1,0)</f>
        <v>1</v>
      </c>
      <c r="BH34" s="4">
        <f>IF(W34=VLOOKUP(VALUE(W$1),Questions!$A:$E,5,FALSE),1,0)</f>
        <v>1</v>
      </c>
      <c r="BI34" s="4">
        <f>IF(X34=VLOOKUP(VALUE(X$1),Questions!$A:$E,5,FALSE),1,0)</f>
        <v>0</v>
      </c>
      <c r="BJ34" s="4">
        <f>IF(Y34=VLOOKUP(VALUE(Y$1),Questions!$A:$E,5,FALSE),1,0)</f>
        <v>1</v>
      </c>
      <c r="BK34" s="4">
        <f>IF(Z34=VLOOKUP(VALUE(Z$1),Questions!$A:$E,5,FALSE),1,0)</f>
        <v>1</v>
      </c>
      <c r="BL34" s="4">
        <f>IF(AA34=VLOOKUP(VALUE(AA$1),Questions!$A:$E,5,FALSE),1,0)</f>
        <v>1</v>
      </c>
      <c r="BM34" s="4">
        <f>IF(AB34=VLOOKUP(VALUE(AB$1),Questions!$A:$E,5,FALSE),1,0)</f>
        <v>1</v>
      </c>
      <c r="BN34" s="4">
        <f>IF(AC34=VLOOKUP(VALUE(AC$1),Questions!$A:$E,5,FALSE),1,0)</f>
        <v>1</v>
      </c>
      <c r="BO34" s="4">
        <f>IF(AD34=VLOOKUP(VALUE(AD$1),Questions!$A:$E,5,FALSE),1,0)</f>
        <v>0</v>
      </c>
      <c r="BP34" s="4">
        <f>IF(AE34=VLOOKUP(VALUE(AE$1),Questions!$A:$E,5,FALSE),1,0)</f>
        <v>1</v>
      </c>
      <c r="BQ34" s="4">
        <f>IF(AF34=VLOOKUP(VALUE(AF$1),Questions!$A:$E,5,FALSE),1,0)</f>
        <v>0</v>
      </c>
      <c r="BR34" s="4">
        <f>IF(AG34=VLOOKUP(VALUE(AG$1),Questions!$A:$E,5,FALSE),1,0)</f>
        <v>0</v>
      </c>
      <c r="BS34" s="4">
        <f>IF(AH34=VLOOKUP(VALUE(AH$1),Questions!$A:$E,5,FALSE),1,0)</f>
        <v>1</v>
      </c>
      <c r="BT34" s="4">
        <f>IF(AI34=VLOOKUP(VALUE(AI$1),Questions!$A:$E,5,FALSE),1,0)</f>
        <v>1</v>
      </c>
      <c r="BU34" s="4">
        <f>IF(AJ34=VLOOKUP(VALUE(AJ$1),Questions!$A:$E,5,FALSE),1,0)</f>
        <v>1</v>
      </c>
      <c r="BV34" s="4">
        <f>IF(AK34=VLOOKUP(VALUE(AK$1),Questions!$A:$E,5,FALSE),1,0)</f>
        <v>1</v>
      </c>
      <c r="BW34" s="87">
        <f>IF(AL34=VLOOKUP(VALUE(AL$1),Questions!$A:$E,5,FALSE),1,0)</f>
        <v>1</v>
      </c>
      <c r="BX34" s="4">
        <f>IF(Scores[[#This Row],[Final]]&gt;=65,1,0)</f>
        <v>1</v>
      </c>
      <c r="BY34" s="4">
        <f>IF(Scores[[#This Row],[Final]]&gt;=IF(Scores[[#This Row],[IEP]],55,65),1,0)</f>
        <v>1</v>
      </c>
    </row>
    <row r="35" spans="1:77" x14ac:dyDescent="0.2">
      <c r="A35" s="6">
        <v>34</v>
      </c>
      <c r="B35" s="4">
        <v>11</v>
      </c>
      <c r="C35" s="4" t="s">
        <v>968</v>
      </c>
      <c r="D35" s="105" t="b">
        <v>0</v>
      </c>
      <c r="E35" s="105" t="b">
        <v>0</v>
      </c>
      <c r="F35" s="86">
        <f>SUM(Scores[[#This Row],[Q1]:[Q28]])</f>
        <v>20</v>
      </c>
      <c r="G35" s="4">
        <f>SUM(Scores[[#This Row],[29]]:Scores[[#This Row],[30]])</f>
        <v>5</v>
      </c>
      <c r="H35" s="4">
        <f>SUM(Scores[[#This Row],[31]:[36]])</f>
        <v>6</v>
      </c>
      <c r="I35" s="4">
        <f>Scores[[#This Row],[37]]</f>
        <v>3</v>
      </c>
      <c r="J35" s="87">
        <f>INDEX('Conversion Chart'!$C$3:$M$47,MATCH(SUM(Scores[[#This Row],[MC]:[IIIA]]),'Conversion Chart'!$B$3:$B$47),MATCH(Scores[[#This Row],[IIIB]],'Conversion Chart'!$C$2:$M$2))</f>
        <v>77</v>
      </c>
      <c r="K35" s="103">
        <v>4</v>
      </c>
      <c r="L35" s="103">
        <v>2</v>
      </c>
      <c r="M35" s="103">
        <v>3</v>
      </c>
      <c r="N35" s="103">
        <v>4</v>
      </c>
      <c r="O35" s="103">
        <v>1</v>
      </c>
      <c r="P35" s="103">
        <v>3</v>
      </c>
      <c r="Q35" s="103">
        <v>3</v>
      </c>
      <c r="R35" s="103">
        <v>2</v>
      </c>
      <c r="S35" s="103">
        <v>2</v>
      </c>
      <c r="T35" s="103">
        <v>1</v>
      </c>
      <c r="U35" s="103">
        <v>1</v>
      </c>
      <c r="V35" s="103">
        <v>4</v>
      </c>
      <c r="W35" s="103">
        <v>2</v>
      </c>
      <c r="X35" s="103">
        <v>4</v>
      </c>
      <c r="Y35" s="103">
        <v>3</v>
      </c>
      <c r="Z35" s="103">
        <v>2</v>
      </c>
      <c r="AA35" s="103">
        <v>1</v>
      </c>
      <c r="AB35" s="103">
        <v>4</v>
      </c>
      <c r="AC35" s="103">
        <v>1</v>
      </c>
      <c r="AD35" s="103">
        <v>1</v>
      </c>
      <c r="AE35" s="103">
        <v>2</v>
      </c>
      <c r="AF35" s="103">
        <v>2</v>
      </c>
      <c r="AG35" s="103">
        <v>3</v>
      </c>
      <c r="AH35" s="103">
        <v>3</v>
      </c>
      <c r="AI35" s="103">
        <v>4</v>
      </c>
      <c r="AJ35" s="103">
        <v>4</v>
      </c>
      <c r="AK35" s="103">
        <v>1</v>
      </c>
      <c r="AL35" s="104">
        <v>2</v>
      </c>
      <c r="AM35" s="4">
        <v>2</v>
      </c>
      <c r="AN35" s="87">
        <v>3</v>
      </c>
      <c r="AO35" s="4">
        <v>1</v>
      </c>
      <c r="AP35" s="4">
        <v>1</v>
      </c>
      <c r="AQ35" s="4">
        <v>1</v>
      </c>
      <c r="AR35" s="4">
        <v>1</v>
      </c>
      <c r="AS35" s="4">
        <v>1</v>
      </c>
      <c r="AT35" s="4">
        <v>1</v>
      </c>
      <c r="AU35" s="107">
        <v>3</v>
      </c>
      <c r="AV35" s="4">
        <f>IF(K35=VLOOKUP(VALUE(K$1),Questions!$A:$E,5,FALSE),1,0)</f>
        <v>1</v>
      </c>
      <c r="AW35" s="4">
        <f>IF(L35=VLOOKUP(VALUE(L$1),Questions!$A:$E,5,FALSE),1,0)</f>
        <v>1</v>
      </c>
      <c r="AX35" s="4">
        <f>IF(M35=VLOOKUP(VALUE(M$1),Questions!$A:$E,5,FALSE),1,0)</f>
        <v>1</v>
      </c>
      <c r="AY35" s="4">
        <f>IF(N35=VLOOKUP(VALUE(N$1),Questions!$A:$E,5,FALSE),1,0)</f>
        <v>0</v>
      </c>
      <c r="AZ35" s="4">
        <f>IF(O35=VLOOKUP(VALUE(O$1),Questions!$A:$E,5,FALSE),1,0)</f>
        <v>1</v>
      </c>
      <c r="BA35" s="4">
        <f>IF(P35=VLOOKUP(VALUE(P$1),Questions!$A:$E,5,FALSE),1,0)</f>
        <v>0</v>
      </c>
      <c r="BB35" s="4">
        <f>IF(Q35=VLOOKUP(VALUE(Q$1),Questions!$A:$E,5,FALSE),1,0)</f>
        <v>1</v>
      </c>
      <c r="BC35" s="4">
        <f>IF(R35=VLOOKUP(VALUE(R$1),Questions!$A:$E,5,FALSE),1,0)</f>
        <v>1</v>
      </c>
      <c r="BD35" s="4">
        <f>IF(S35=VLOOKUP(VALUE(S$1),Questions!$A:$E,5,FALSE),1,0)</f>
        <v>1</v>
      </c>
      <c r="BE35" s="4">
        <f>IF(T35=VLOOKUP(VALUE(T$1),Questions!$A:$E,5,FALSE),1,0)</f>
        <v>1</v>
      </c>
      <c r="BF35" s="4">
        <f>IF(U35=VLOOKUP(VALUE(U$1),Questions!$A:$E,5,FALSE),1,0)</f>
        <v>0</v>
      </c>
      <c r="BG35" s="4">
        <f>IF(V35=VLOOKUP(VALUE(V$1),Questions!$A:$E,5,FALSE),1,0)</f>
        <v>1</v>
      </c>
      <c r="BH35" s="4">
        <f>IF(W35=VLOOKUP(VALUE(W$1),Questions!$A:$E,5,FALSE),1,0)</f>
        <v>1</v>
      </c>
      <c r="BI35" s="4">
        <f>IF(X35=VLOOKUP(VALUE(X$1),Questions!$A:$E,5,FALSE),1,0)</f>
        <v>1</v>
      </c>
      <c r="BJ35" s="4">
        <f>IF(Y35=VLOOKUP(VALUE(Y$1),Questions!$A:$E,5,FALSE),1,0)</f>
        <v>1</v>
      </c>
      <c r="BK35" s="4">
        <f>IF(Z35=VLOOKUP(VALUE(Z$1),Questions!$A:$E,5,FALSE),1,0)</f>
        <v>0</v>
      </c>
      <c r="BL35" s="4">
        <f>IF(AA35=VLOOKUP(VALUE(AA$1),Questions!$A:$E,5,FALSE),1,0)</f>
        <v>1</v>
      </c>
      <c r="BM35" s="4">
        <f>IF(AB35=VLOOKUP(VALUE(AB$1),Questions!$A:$E,5,FALSE),1,0)</f>
        <v>1</v>
      </c>
      <c r="BN35" s="4">
        <f>IF(AC35=VLOOKUP(VALUE(AC$1),Questions!$A:$E,5,FALSE),1,0)</f>
        <v>0</v>
      </c>
      <c r="BO35" s="4">
        <f>IF(AD35=VLOOKUP(VALUE(AD$1),Questions!$A:$E,5,FALSE),1,0)</f>
        <v>0</v>
      </c>
      <c r="BP35" s="4">
        <f>IF(AE35=VLOOKUP(VALUE(AE$1),Questions!$A:$E,5,FALSE),1,0)</f>
        <v>1</v>
      </c>
      <c r="BQ35" s="4">
        <f>IF(AF35=VLOOKUP(VALUE(AF$1),Questions!$A:$E,5,FALSE),1,0)</f>
        <v>1</v>
      </c>
      <c r="BR35" s="4">
        <f>IF(AG35=VLOOKUP(VALUE(AG$1),Questions!$A:$E,5,FALSE),1,0)</f>
        <v>1</v>
      </c>
      <c r="BS35" s="4">
        <f>IF(AH35=VLOOKUP(VALUE(AH$1),Questions!$A:$E,5,FALSE),1,0)</f>
        <v>1</v>
      </c>
      <c r="BT35" s="4">
        <f>IF(AI35=VLOOKUP(VALUE(AI$1),Questions!$A:$E,5,FALSE),1,0)</f>
        <v>0</v>
      </c>
      <c r="BU35" s="4">
        <f>IF(AJ35=VLOOKUP(VALUE(AJ$1),Questions!$A:$E,5,FALSE),1,0)</f>
        <v>1</v>
      </c>
      <c r="BV35" s="4">
        <f>IF(AK35=VLOOKUP(VALUE(AK$1),Questions!$A:$E,5,FALSE),1,0)</f>
        <v>1</v>
      </c>
      <c r="BW35" s="87">
        <f>IF(AL35=VLOOKUP(VALUE(AL$1),Questions!$A:$E,5,FALSE),1,0)</f>
        <v>0</v>
      </c>
      <c r="BX35" s="4">
        <f>IF(Scores[[#This Row],[Final]]&gt;=65,1,0)</f>
        <v>1</v>
      </c>
      <c r="BY35" s="4">
        <f>IF(Scores[[#This Row],[Final]]&gt;=IF(Scores[[#This Row],[IEP]],55,65),1,0)</f>
        <v>1</v>
      </c>
    </row>
    <row r="36" spans="1:77" x14ac:dyDescent="0.2">
      <c r="A36" s="6">
        <v>35</v>
      </c>
      <c r="B36" s="4">
        <v>9</v>
      </c>
      <c r="C36" s="4" t="s">
        <v>963</v>
      </c>
      <c r="D36" s="105" t="b">
        <v>0</v>
      </c>
      <c r="E36" s="105" t="b">
        <v>0</v>
      </c>
      <c r="F36" s="86">
        <f>SUM(Scores[[#This Row],[Q1]:[Q28]])</f>
        <v>15</v>
      </c>
      <c r="G36" s="4">
        <f>SUM(Scores[[#This Row],[29]]:Scores[[#This Row],[30]])</f>
        <v>6</v>
      </c>
      <c r="H36" s="4">
        <f>SUM(Scores[[#This Row],[31]:[36]])</f>
        <v>6</v>
      </c>
      <c r="I36" s="4">
        <f>Scores[[#This Row],[37]]</f>
        <v>2.5</v>
      </c>
      <c r="J36" s="87">
        <f>INDEX('Conversion Chart'!$C$3:$M$47,MATCH(SUM(Scores[[#This Row],[MC]:[IIIA]]),'Conversion Chart'!$B$3:$B$47),MATCH(Scores[[#This Row],[IIIB]],'Conversion Chart'!$C$2:$M$2))</f>
        <v>72</v>
      </c>
      <c r="K36" s="103">
        <v>4</v>
      </c>
      <c r="L36" s="103">
        <v>2</v>
      </c>
      <c r="M36" s="103">
        <v>3</v>
      </c>
      <c r="N36" s="103">
        <v>1</v>
      </c>
      <c r="O36" s="103">
        <v>1</v>
      </c>
      <c r="P36" s="103">
        <v>2</v>
      </c>
      <c r="Q36" s="103">
        <v>2</v>
      </c>
      <c r="R36" s="103">
        <v>2</v>
      </c>
      <c r="S36" s="103">
        <v>2</v>
      </c>
      <c r="T36" s="103">
        <v>1</v>
      </c>
      <c r="U36" s="103">
        <v>2</v>
      </c>
      <c r="V36" s="103">
        <v>4</v>
      </c>
      <c r="W36" s="103">
        <v>1</v>
      </c>
      <c r="X36" s="103">
        <v>2</v>
      </c>
      <c r="Y36" s="103">
        <v>4</v>
      </c>
      <c r="Z36" s="103">
        <v>4</v>
      </c>
      <c r="AA36" s="103">
        <v>3</v>
      </c>
      <c r="AB36" s="103">
        <v>4</v>
      </c>
      <c r="AC36" s="103">
        <v>1</v>
      </c>
      <c r="AD36" s="103">
        <v>4</v>
      </c>
      <c r="AE36" s="103">
        <v>2</v>
      </c>
      <c r="AF36" s="103">
        <v>1</v>
      </c>
      <c r="AG36" s="103">
        <v>3</v>
      </c>
      <c r="AH36" s="103">
        <v>2</v>
      </c>
      <c r="AI36" s="103">
        <v>3</v>
      </c>
      <c r="AJ36" s="103">
        <v>4</v>
      </c>
      <c r="AK36" s="103">
        <v>4</v>
      </c>
      <c r="AL36" s="104">
        <v>3</v>
      </c>
      <c r="AM36" s="4">
        <v>3</v>
      </c>
      <c r="AN36" s="87">
        <v>3</v>
      </c>
      <c r="AO36" s="4">
        <v>1</v>
      </c>
      <c r="AP36" s="4">
        <v>1</v>
      </c>
      <c r="AQ36" s="4">
        <v>1</v>
      </c>
      <c r="AR36" s="4">
        <v>1</v>
      </c>
      <c r="AS36" s="4">
        <v>1</v>
      </c>
      <c r="AT36" s="4">
        <v>1</v>
      </c>
      <c r="AU36" s="107">
        <v>2.5</v>
      </c>
      <c r="AV36" s="4">
        <f>IF(K36=VLOOKUP(VALUE(K$1),Questions!$A:$E,5,FALSE),1,0)</f>
        <v>1</v>
      </c>
      <c r="AW36" s="4">
        <f>IF(L36=VLOOKUP(VALUE(L$1),Questions!$A:$E,5,FALSE),1,0)</f>
        <v>1</v>
      </c>
      <c r="AX36" s="4">
        <f>IF(M36=VLOOKUP(VALUE(M$1),Questions!$A:$E,5,FALSE),1,0)</f>
        <v>1</v>
      </c>
      <c r="AY36" s="4">
        <f>IF(N36=VLOOKUP(VALUE(N$1),Questions!$A:$E,5,FALSE),1,0)</f>
        <v>0</v>
      </c>
      <c r="AZ36" s="4">
        <f>IF(O36=VLOOKUP(VALUE(O$1),Questions!$A:$E,5,FALSE),1,0)</f>
        <v>1</v>
      </c>
      <c r="BA36" s="4">
        <f>IF(P36=VLOOKUP(VALUE(P$1),Questions!$A:$E,5,FALSE),1,0)</f>
        <v>0</v>
      </c>
      <c r="BB36" s="4">
        <f>IF(Q36=VLOOKUP(VALUE(Q$1),Questions!$A:$E,5,FALSE),1,0)</f>
        <v>0</v>
      </c>
      <c r="BC36" s="4">
        <f>IF(R36=VLOOKUP(VALUE(R$1),Questions!$A:$E,5,FALSE),1,0)</f>
        <v>1</v>
      </c>
      <c r="BD36" s="4">
        <f>IF(S36=VLOOKUP(VALUE(S$1),Questions!$A:$E,5,FALSE),1,0)</f>
        <v>1</v>
      </c>
      <c r="BE36" s="4">
        <f>IF(T36=VLOOKUP(VALUE(T$1),Questions!$A:$E,5,FALSE),1,0)</f>
        <v>1</v>
      </c>
      <c r="BF36" s="4">
        <f>IF(U36=VLOOKUP(VALUE(U$1),Questions!$A:$E,5,FALSE),1,0)</f>
        <v>1</v>
      </c>
      <c r="BG36" s="4">
        <f>IF(V36=VLOOKUP(VALUE(V$1),Questions!$A:$E,5,FALSE),1,0)</f>
        <v>1</v>
      </c>
      <c r="BH36" s="4">
        <f>IF(W36=VLOOKUP(VALUE(W$1),Questions!$A:$E,5,FALSE),1,0)</f>
        <v>0</v>
      </c>
      <c r="BI36" s="4">
        <f>IF(X36=VLOOKUP(VALUE(X$1),Questions!$A:$E,5,FALSE),1,0)</f>
        <v>0</v>
      </c>
      <c r="BJ36" s="4">
        <f>IF(Y36=VLOOKUP(VALUE(Y$1),Questions!$A:$E,5,FALSE),1,0)</f>
        <v>0</v>
      </c>
      <c r="BK36" s="4">
        <f>IF(Z36=VLOOKUP(VALUE(Z$1),Questions!$A:$E,5,FALSE),1,0)</f>
        <v>0</v>
      </c>
      <c r="BL36" s="4">
        <f>IF(AA36=VLOOKUP(VALUE(AA$1),Questions!$A:$E,5,FALSE),1,0)</f>
        <v>0</v>
      </c>
      <c r="BM36" s="4">
        <f>IF(AB36=VLOOKUP(VALUE(AB$1),Questions!$A:$E,5,FALSE),1,0)</f>
        <v>1</v>
      </c>
      <c r="BN36" s="4">
        <f>IF(AC36=VLOOKUP(VALUE(AC$1),Questions!$A:$E,5,FALSE),1,0)</f>
        <v>0</v>
      </c>
      <c r="BO36" s="4">
        <f>IF(AD36=VLOOKUP(VALUE(AD$1),Questions!$A:$E,5,FALSE),1,0)</f>
        <v>1</v>
      </c>
      <c r="BP36" s="4">
        <f>IF(AE36=VLOOKUP(VALUE(AE$1),Questions!$A:$E,5,FALSE),1,0)</f>
        <v>1</v>
      </c>
      <c r="BQ36" s="4">
        <f>IF(AF36=VLOOKUP(VALUE(AF$1),Questions!$A:$E,5,FALSE),1,0)</f>
        <v>0</v>
      </c>
      <c r="BR36" s="4">
        <f>IF(AG36=VLOOKUP(VALUE(AG$1),Questions!$A:$E,5,FALSE),1,0)</f>
        <v>1</v>
      </c>
      <c r="BS36" s="4">
        <f>IF(AH36=VLOOKUP(VALUE(AH$1),Questions!$A:$E,5,FALSE),1,0)</f>
        <v>0</v>
      </c>
      <c r="BT36" s="4">
        <f>IF(AI36=VLOOKUP(VALUE(AI$1),Questions!$A:$E,5,FALSE),1,0)</f>
        <v>0</v>
      </c>
      <c r="BU36" s="4">
        <f>IF(AJ36=VLOOKUP(VALUE(AJ$1),Questions!$A:$E,5,FALSE),1,0)</f>
        <v>1</v>
      </c>
      <c r="BV36" s="4">
        <f>IF(AK36=VLOOKUP(VALUE(AK$1),Questions!$A:$E,5,FALSE),1,0)</f>
        <v>0</v>
      </c>
      <c r="BW36" s="87">
        <f>IF(AL36=VLOOKUP(VALUE(AL$1),Questions!$A:$E,5,FALSE),1,0)</f>
        <v>1</v>
      </c>
      <c r="BX36" s="4">
        <f>IF(Scores[[#This Row],[Final]]&gt;=65,1,0)</f>
        <v>1</v>
      </c>
      <c r="BY36" s="4">
        <f>IF(Scores[[#This Row],[Final]]&gt;=IF(Scores[[#This Row],[IEP]],55,65),1,0)</f>
        <v>1</v>
      </c>
    </row>
    <row r="37" spans="1:77" x14ac:dyDescent="0.2">
      <c r="A37" s="6">
        <v>36</v>
      </c>
      <c r="B37" s="4">
        <v>11</v>
      </c>
      <c r="C37" s="4" t="s">
        <v>967</v>
      </c>
      <c r="D37" s="105" t="b">
        <v>0</v>
      </c>
      <c r="E37" s="105" t="b">
        <v>0</v>
      </c>
      <c r="F37" s="86">
        <f>SUM(Scores[[#This Row],[Q1]:[Q28]])</f>
        <v>0</v>
      </c>
      <c r="G37" s="4">
        <f>SUM(Scores[[#This Row],[29]]:Scores[[#This Row],[30]])</f>
        <v>0</v>
      </c>
      <c r="H37" s="4">
        <f>SUM(Scores[[#This Row],[31]:[36]])</f>
        <v>0</v>
      </c>
      <c r="I37" s="4">
        <f>Scores[[#This Row],[37]]</f>
        <v>0</v>
      </c>
      <c r="J37" s="87">
        <f>INDEX('Conversion Chart'!$C$3:$M$47,MATCH(SUM(Scores[[#This Row],[MC]:[IIIA]]),'Conversion Chart'!$B$3:$B$47),MATCH(Scores[[#This Row],[IIIB]],'Conversion Chart'!$C$2:$M$2))</f>
        <v>0</v>
      </c>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4"/>
      <c r="AN37" s="87"/>
      <c r="AU37" s="107"/>
      <c r="AV37" s="4">
        <f>IF(K37=VLOOKUP(VALUE(K$1),Questions!$A:$E,5,FALSE),1,0)</f>
        <v>0</v>
      </c>
      <c r="AW37" s="4">
        <f>IF(L37=VLOOKUP(VALUE(L$1),Questions!$A:$E,5,FALSE),1,0)</f>
        <v>0</v>
      </c>
      <c r="AX37" s="4">
        <f>IF(M37=VLOOKUP(VALUE(M$1),Questions!$A:$E,5,FALSE),1,0)</f>
        <v>0</v>
      </c>
      <c r="AY37" s="4">
        <f>IF(N37=VLOOKUP(VALUE(N$1),Questions!$A:$E,5,FALSE),1,0)</f>
        <v>0</v>
      </c>
      <c r="AZ37" s="4">
        <f>IF(O37=VLOOKUP(VALUE(O$1),Questions!$A:$E,5,FALSE),1,0)</f>
        <v>0</v>
      </c>
      <c r="BA37" s="4">
        <f>IF(P37=VLOOKUP(VALUE(P$1),Questions!$A:$E,5,FALSE),1,0)</f>
        <v>0</v>
      </c>
      <c r="BB37" s="4">
        <f>IF(Q37=VLOOKUP(VALUE(Q$1),Questions!$A:$E,5,FALSE),1,0)</f>
        <v>0</v>
      </c>
      <c r="BC37" s="4">
        <f>IF(R37=VLOOKUP(VALUE(R$1),Questions!$A:$E,5,FALSE),1,0)</f>
        <v>0</v>
      </c>
      <c r="BD37" s="4">
        <f>IF(S37=VLOOKUP(VALUE(S$1),Questions!$A:$E,5,FALSE),1,0)</f>
        <v>0</v>
      </c>
      <c r="BE37" s="4">
        <f>IF(T37=VLOOKUP(VALUE(T$1),Questions!$A:$E,5,FALSE),1,0)</f>
        <v>0</v>
      </c>
      <c r="BF37" s="4">
        <f>IF(U37=VLOOKUP(VALUE(U$1),Questions!$A:$E,5,FALSE),1,0)</f>
        <v>0</v>
      </c>
      <c r="BG37" s="4">
        <f>IF(V37=VLOOKUP(VALUE(V$1),Questions!$A:$E,5,FALSE),1,0)</f>
        <v>0</v>
      </c>
      <c r="BH37" s="4">
        <f>IF(W37=VLOOKUP(VALUE(W$1),Questions!$A:$E,5,FALSE),1,0)</f>
        <v>0</v>
      </c>
      <c r="BI37" s="4">
        <f>IF(X37=VLOOKUP(VALUE(X$1),Questions!$A:$E,5,FALSE),1,0)</f>
        <v>0</v>
      </c>
      <c r="BJ37" s="4">
        <f>IF(Y37=VLOOKUP(VALUE(Y$1),Questions!$A:$E,5,FALSE),1,0)</f>
        <v>0</v>
      </c>
      <c r="BK37" s="4">
        <f>IF(Z37=VLOOKUP(VALUE(Z$1),Questions!$A:$E,5,FALSE),1,0)</f>
        <v>0</v>
      </c>
      <c r="BL37" s="4">
        <f>IF(AA37=VLOOKUP(VALUE(AA$1),Questions!$A:$E,5,FALSE),1,0)</f>
        <v>0</v>
      </c>
      <c r="BM37" s="4">
        <f>IF(AB37=VLOOKUP(VALUE(AB$1),Questions!$A:$E,5,FALSE),1,0)</f>
        <v>0</v>
      </c>
      <c r="BN37" s="4">
        <f>IF(AC37=VLOOKUP(VALUE(AC$1),Questions!$A:$E,5,FALSE),1,0)</f>
        <v>0</v>
      </c>
      <c r="BO37" s="4">
        <f>IF(AD37=VLOOKUP(VALUE(AD$1),Questions!$A:$E,5,FALSE),1,0)</f>
        <v>0</v>
      </c>
      <c r="BP37" s="4">
        <f>IF(AE37=VLOOKUP(VALUE(AE$1),Questions!$A:$E,5,FALSE),1,0)</f>
        <v>0</v>
      </c>
      <c r="BQ37" s="4">
        <f>IF(AF37=VLOOKUP(VALUE(AF$1),Questions!$A:$E,5,FALSE),1,0)</f>
        <v>0</v>
      </c>
      <c r="BR37" s="4">
        <f>IF(AG37=VLOOKUP(VALUE(AG$1),Questions!$A:$E,5,FALSE),1,0)</f>
        <v>0</v>
      </c>
      <c r="BS37" s="4">
        <f>IF(AH37=VLOOKUP(VALUE(AH$1),Questions!$A:$E,5,FALSE),1,0)</f>
        <v>0</v>
      </c>
      <c r="BT37" s="4">
        <f>IF(AI37=VLOOKUP(VALUE(AI$1),Questions!$A:$E,5,FALSE),1,0)</f>
        <v>0</v>
      </c>
      <c r="BU37" s="4">
        <f>IF(AJ37=VLOOKUP(VALUE(AJ$1),Questions!$A:$E,5,FALSE),1,0)</f>
        <v>0</v>
      </c>
      <c r="BV37" s="4">
        <f>IF(AK37=VLOOKUP(VALUE(AK$1),Questions!$A:$E,5,FALSE),1,0)</f>
        <v>0</v>
      </c>
      <c r="BW37" s="87">
        <f>IF(AL37=VLOOKUP(VALUE(AL$1),Questions!$A:$E,5,FALSE),1,0)</f>
        <v>0</v>
      </c>
      <c r="BX37" s="4">
        <f>IF(Scores[[#This Row],[Final]]&gt;=65,1,0)</f>
        <v>0</v>
      </c>
      <c r="BY37" s="4">
        <f>IF(Scores[[#This Row],[Final]]&gt;=IF(Scores[[#This Row],[IEP]],55,65),1,0)</f>
        <v>0</v>
      </c>
    </row>
    <row r="38" spans="1:77" x14ac:dyDescent="0.2">
      <c r="A38" s="6">
        <v>37</v>
      </c>
      <c r="B38" s="4">
        <v>11</v>
      </c>
      <c r="C38" s="4" t="s">
        <v>967</v>
      </c>
      <c r="D38" s="105" t="b">
        <v>0</v>
      </c>
      <c r="E38" s="105" t="b">
        <v>0</v>
      </c>
      <c r="F38" s="86">
        <f>SUM(Scores[[#This Row],[Q1]:[Q28]])</f>
        <v>10</v>
      </c>
      <c r="G38" s="4">
        <f>SUM(Scores[[#This Row],[29]]:Scores[[#This Row],[30]])</f>
        <v>3</v>
      </c>
      <c r="H38" s="4">
        <f>SUM(Scores[[#This Row],[31]:[36]])</f>
        <v>3</v>
      </c>
      <c r="I38" s="4">
        <f>Scores[[#This Row],[37]]</f>
        <v>0.5</v>
      </c>
      <c r="J38" s="87">
        <f>INDEX('Conversion Chart'!$C$3:$M$47,MATCH(SUM(Scores[[#This Row],[MC]:[IIIA]]),'Conversion Chart'!$B$3:$B$47),MATCH(Scores[[#This Row],[IIIB]],'Conversion Chart'!$C$2:$M$2))</f>
        <v>47</v>
      </c>
      <c r="K38" s="103">
        <v>4</v>
      </c>
      <c r="L38" s="103">
        <v>2</v>
      </c>
      <c r="M38" s="103">
        <v>3</v>
      </c>
      <c r="N38" s="103">
        <v>1</v>
      </c>
      <c r="O38" s="103">
        <v>1</v>
      </c>
      <c r="P38" s="103">
        <v>2</v>
      </c>
      <c r="Q38" s="103">
        <v>2</v>
      </c>
      <c r="R38" s="103">
        <v>1</v>
      </c>
      <c r="S38" s="103">
        <v>4</v>
      </c>
      <c r="T38" s="103">
        <v>1</v>
      </c>
      <c r="U38" s="103">
        <v>4</v>
      </c>
      <c r="V38" s="103">
        <v>3</v>
      </c>
      <c r="W38" s="103">
        <v>3</v>
      </c>
      <c r="X38" s="103">
        <v>1</v>
      </c>
      <c r="Y38" s="103">
        <v>4</v>
      </c>
      <c r="Z38" s="103">
        <v>4</v>
      </c>
      <c r="AA38" s="103">
        <v>1</v>
      </c>
      <c r="AB38" s="103">
        <v>4</v>
      </c>
      <c r="AC38" s="103">
        <v>1</v>
      </c>
      <c r="AD38" s="103">
        <v>3</v>
      </c>
      <c r="AE38" s="103">
        <v>3</v>
      </c>
      <c r="AF38" s="103">
        <v>2</v>
      </c>
      <c r="AG38" s="103">
        <v>3</v>
      </c>
      <c r="AH38" s="103">
        <v>4</v>
      </c>
      <c r="AI38" s="103">
        <v>3</v>
      </c>
      <c r="AJ38" s="103">
        <v>4</v>
      </c>
      <c r="AK38" s="103">
        <v>4</v>
      </c>
      <c r="AL38" s="104">
        <v>4</v>
      </c>
      <c r="AM38" s="4">
        <v>2</v>
      </c>
      <c r="AN38" s="87">
        <v>1</v>
      </c>
      <c r="AO38" s="4">
        <v>0</v>
      </c>
      <c r="AP38" s="4">
        <v>1</v>
      </c>
      <c r="AQ38" s="4">
        <v>0</v>
      </c>
      <c r="AR38" s="4">
        <v>1</v>
      </c>
      <c r="AS38" s="4">
        <v>0</v>
      </c>
      <c r="AT38" s="4">
        <v>1</v>
      </c>
      <c r="AU38" s="107">
        <v>0.5</v>
      </c>
      <c r="AV38" s="4">
        <f>IF(K38=VLOOKUP(VALUE(K$1),Questions!$A:$E,5,FALSE),1,0)</f>
        <v>1</v>
      </c>
      <c r="AW38" s="4">
        <f>IF(L38=VLOOKUP(VALUE(L$1),Questions!$A:$E,5,FALSE),1,0)</f>
        <v>1</v>
      </c>
      <c r="AX38" s="4">
        <f>IF(M38=VLOOKUP(VALUE(M$1),Questions!$A:$E,5,FALSE),1,0)</f>
        <v>1</v>
      </c>
      <c r="AY38" s="4">
        <f>IF(N38=VLOOKUP(VALUE(N$1),Questions!$A:$E,5,FALSE),1,0)</f>
        <v>0</v>
      </c>
      <c r="AZ38" s="4">
        <f>IF(O38=VLOOKUP(VALUE(O$1),Questions!$A:$E,5,FALSE),1,0)</f>
        <v>1</v>
      </c>
      <c r="BA38" s="4">
        <f>IF(P38=VLOOKUP(VALUE(P$1),Questions!$A:$E,5,FALSE),1,0)</f>
        <v>0</v>
      </c>
      <c r="BB38" s="4">
        <f>IF(Q38=VLOOKUP(VALUE(Q$1),Questions!$A:$E,5,FALSE),1,0)</f>
        <v>0</v>
      </c>
      <c r="BC38" s="4">
        <f>IF(R38=VLOOKUP(VALUE(R$1),Questions!$A:$E,5,FALSE),1,0)</f>
        <v>0</v>
      </c>
      <c r="BD38" s="4">
        <f>IF(S38=VLOOKUP(VALUE(S$1),Questions!$A:$E,5,FALSE),1,0)</f>
        <v>0</v>
      </c>
      <c r="BE38" s="4">
        <f>IF(T38=VLOOKUP(VALUE(T$1),Questions!$A:$E,5,FALSE),1,0)</f>
        <v>1</v>
      </c>
      <c r="BF38" s="4">
        <f>IF(U38=VLOOKUP(VALUE(U$1),Questions!$A:$E,5,FALSE),1,0)</f>
        <v>0</v>
      </c>
      <c r="BG38" s="4">
        <f>IF(V38=VLOOKUP(VALUE(V$1),Questions!$A:$E,5,FALSE),1,0)</f>
        <v>0</v>
      </c>
      <c r="BH38" s="4">
        <f>IF(W38=VLOOKUP(VALUE(W$1),Questions!$A:$E,5,FALSE),1,0)</f>
        <v>0</v>
      </c>
      <c r="BI38" s="4">
        <f>IF(X38=VLOOKUP(VALUE(X$1),Questions!$A:$E,5,FALSE),1,0)</f>
        <v>0</v>
      </c>
      <c r="BJ38" s="4">
        <f>IF(Y38=VLOOKUP(VALUE(Y$1),Questions!$A:$E,5,FALSE),1,0)</f>
        <v>0</v>
      </c>
      <c r="BK38" s="4">
        <f>IF(Z38=VLOOKUP(VALUE(Z$1),Questions!$A:$E,5,FALSE),1,0)</f>
        <v>0</v>
      </c>
      <c r="BL38" s="4">
        <f>IF(AA38=VLOOKUP(VALUE(AA$1),Questions!$A:$E,5,FALSE),1,0)</f>
        <v>1</v>
      </c>
      <c r="BM38" s="4">
        <f>IF(AB38=VLOOKUP(VALUE(AB$1),Questions!$A:$E,5,FALSE),1,0)</f>
        <v>1</v>
      </c>
      <c r="BN38" s="4">
        <f>IF(AC38=VLOOKUP(VALUE(AC$1),Questions!$A:$E,5,FALSE),1,0)</f>
        <v>0</v>
      </c>
      <c r="BO38" s="4">
        <f>IF(AD38=VLOOKUP(VALUE(AD$1),Questions!$A:$E,5,FALSE),1,0)</f>
        <v>0</v>
      </c>
      <c r="BP38" s="4">
        <f>IF(AE38=VLOOKUP(VALUE(AE$1),Questions!$A:$E,5,FALSE),1,0)</f>
        <v>0</v>
      </c>
      <c r="BQ38" s="4">
        <f>IF(AF38=VLOOKUP(VALUE(AF$1),Questions!$A:$E,5,FALSE),1,0)</f>
        <v>1</v>
      </c>
      <c r="BR38" s="4">
        <f>IF(AG38=VLOOKUP(VALUE(AG$1),Questions!$A:$E,5,FALSE),1,0)</f>
        <v>1</v>
      </c>
      <c r="BS38" s="4">
        <f>IF(AH38=VLOOKUP(VALUE(AH$1),Questions!$A:$E,5,FALSE),1,0)</f>
        <v>0</v>
      </c>
      <c r="BT38" s="4">
        <f>IF(AI38=VLOOKUP(VALUE(AI$1),Questions!$A:$E,5,FALSE),1,0)</f>
        <v>0</v>
      </c>
      <c r="BU38" s="4">
        <f>IF(AJ38=VLOOKUP(VALUE(AJ$1),Questions!$A:$E,5,FALSE),1,0)</f>
        <v>1</v>
      </c>
      <c r="BV38" s="4">
        <f>IF(AK38=VLOOKUP(VALUE(AK$1),Questions!$A:$E,5,FALSE),1,0)</f>
        <v>0</v>
      </c>
      <c r="BW38" s="87">
        <f>IF(AL38=VLOOKUP(VALUE(AL$1),Questions!$A:$E,5,FALSE),1,0)</f>
        <v>0</v>
      </c>
      <c r="BX38" s="4">
        <f>IF(Scores[[#This Row],[Final]]&gt;=65,1,0)</f>
        <v>0</v>
      </c>
      <c r="BY38" s="4">
        <f>IF(Scores[[#This Row],[Final]]&gt;=IF(Scores[[#This Row],[IEP]],55,65),1,0)</f>
        <v>0</v>
      </c>
    </row>
    <row r="39" spans="1:77" x14ac:dyDescent="0.2">
      <c r="A39" s="6">
        <v>38</v>
      </c>
      <c r="B39" s="4">
        <v>9</v>
      </c>
      <c r="C39" s="4" t="s">
        <v>963</v>
      </c>
      <c r="D39" s="105" t="b">
        <v>0</v>
      </c>
      <c r="E39" s="105" t="b">
        <v>0</v>
      </c>
      <c r="F39" s="86">
        <f>SUM(Scores[[#This Row],[Q1]:[Q28]])</f>
        <v>23</v>
      </c>
      <c r="G39" s="4">
        <f>SUM(Scores[[#This Row],[29]]:Scores[[#This Row],[30]])</f>
        <v>9</v>
      </c>
      <c r="H39" s="4">
        <f>SUM(Scores[[#This Row],[31]:[36]])</f>
        <v>6</v>
      </c>
      <c r="I39" s="4">
        <f>Scores[[#This Row],[37]]</f>
        <v>2</v>
      </c>
      <c r="J39" s="87">
        <f>INDEX('Conversion Chart'!$C$3:$M$47,MATCH(SUM(Scores[[#This Row],[MC]:[IIIA]]),'Conversion Chart'!$B$3:$B$47),MATCH(Scores[[#This Row],[IIIB]],'Conversion Chart'!$C$2:$M$2))</f>
        <v>81</v>
      </c>
      <c r="K39" s="103">
        <v>4</v>
      </c>
      <c r="L39" s="103">
        <v>2</v>
      </c>
      <c r="M39" s="103">
        <v>3</v>
      </c>
      <c r="N39" s="103">
        <v>3</v>
      </c>
      <c r="O39" s="103">
        <v>1</v>
      </c>
      <c r="P39" s="103">
        <v>4</v>
      </c>
      <c r="Q39" s="103">
        <v>3</v>
      </c>
      <c r="R39" s="103">
        <v>2</v>
      </c>
      <c r="S39" s="103">
        <v>2</v>
      </c>
      <c r="T39" s="103">
        <v>1</v>
      </c>
      <c r="U39" s="103">
        <v>2</v>
      </c>
      <c r="V39" s="103">
        <v>4</v>
      </c>
      <c r="W39" s="103">
        <v>2</v>
      </c>
      <c r="X39" s="103">
        <v>2</v>
      </c>
      <c r="Y39" s="103">
        <v>3</v>
      </c>
      <c r="Z39" s="103">
        <v>1</v>
      </c>
      <c r="AA39" s="103">
        <v>1</v>
      </c>
      <c r="AB39" s="103">
        <v>3</v>
      </c>
      <c r="AC39" s="103">
        <v>3</v>
      </c>
      <c r="AD39" s="103">
        <v>4</v>
      </c>
      <c r="AE39" s="103">
        <v>3</v>
      </c>
      <c r="AF39" s="103">
        <v>2</v>
      </c>
      <c r="AG39" s="103">
        <v>3</v>
      </c>
      <c r="AH39" s="103">
        <v>2</v>
      </c>
      <c r="AI39" s="103">
        <v>1</v>
      </c>
      <c r="AJ39" s="103">
        <v>4</v>
      </c>
      <c r="AK39" s="103">
        <v>4</v>
      </c>
      <c r="AL39" s="104">
        <v>3</v>
      </c>
      <c r="AM39" s="4">
        <v>5</v>
      </c>
      <c r="AN39" s="87">
        <v>4</v>
      </c>
      <c r="AO39" s="4">
        <v>1</v>
      </c>
      <c r="AP39" s="4">
        <v>1</v>
      </c>
      <c r="AQ39" s="4">
        <v>1</v>
      </c>
      <c r="AR39" s="4">
        <v>1</v>
      </c>
      <c r="AS39" s="4">
        <v>1</v>
      </c>
      <c r="AT39" s="4">
        <v>1</v>
      </c>
      <c r="AU39" s="107">
        <v>2</v>
      </c>
      <c r="AV39" s="4">
        <f>IF(K39=VLOOKUP(VALUE(K$1),Questions!$A:$E,5,FALSE),1,0)</f>
        <v>1</v>
      </c>
      <c r="AW39" s="4">
        <f>IF(L39=VLOOKUP(VALUE(L$1),Questions!$A:$E,5,FALSE),1,0)</f>
        <v>1</v>
      </c>
      <c r="AX39" s="4">
        <f>IF(M39=VLOOKUP(VALUE(M$1),Questions!$A:$E,5,FALSE),1,0)</f>
        <v>1</v>
      </c>
      <c r="AY39" s="4">
        <f>IF(N39=VLOOKUP(VALUE(N$1),Questions!$A:$E,5,FALSE),1,0)</f>
        <v>1</v>
      </c>
      <c r="AZ39" s="4">
        <f>IF(O39=VLOOKUP(VALUE(O$1),Questions!$A:$E,5,FALSE),1,0)</f>
        <v>1</v>
      </c>
      <c r="BA39" s="4">
        <f>IF(P39=VLOOKUP(VALUE(P$1),Questions!$A:$E,5,FALSE),1,0)</f>
        <v>1</v>
      </c>
      <c r="BB39" s="4">
        <f>IF(Q39=VLOOKUP(VALUE(Q$1),Questions!$A:$E,5,FALSE),1,0)</f>
        <v>1</v>
      </c>
      <c r="BC39" s="4">
        <f>IF(R39=VLOOKUP(VALUE(R$1),Questions!$A:$E,5,FALSE),1,0)</f>
        <v>1</v>
      </c>
      <c r="BD39" s="4">
        <f>IF(S39=VLOOKUP(VALUE(S$1),Questions!$A:$E,5,FALSE),1,0)</f>
        <v>1</v>
      </c>
      <c r="BE39" s="4">
        <f>IF(T39=VLOOKUP(VALUE(T$1),Questions!$A:$E,5,FALSE),1,0)</f>
        <v>1</v>
      </c>
      <c r="BF39" s="4">
        <f>IF(U39=VLOOKUP(VALUE(U$1),Questions!$A:$E,5,FALSE),1,0)</f>
        <v>1</v>
      </c>
      <c r="BG39" s="4">
        <f>IF(V39=VLOOKUP(VALUE(V$1),Questions!$A:$E,5,FALSE),1,0)</f>
        <v>1</v>
      </c>
      <c r="BH39" s="4">
        <f>IF(W39=VLOOKUP(VALUE(W$1),Questions!$A:$E,5,FALSE),1,0)</f>
        <v>1</v>
      </c>
      <c r="BI39" s="4">
        <f>IF(X39=VLOOKUP(VALUE(X$1),Questions!$A:$E,5,FALSE),1,0)</f>
        <v>0</v>
      </c>
      <c r="BJ39" s="4">
        <f>IF(Y39=VLOOKUP(VALUE(Y$1),Questions!$A:$E,5,FALSE),1,0)</f>
        <v>1</v>
      </c>
      <c r="BK39" s="4">
        <f>IF(Z39=VLOOKUP(VALUE(Z$1),Questions!$A:$E,5,FALSE),1,0)</f>
        <v>1</v>
      </c>
      <c r="BL39" s="4">
        <f>IF(AA39=VLOOKUP(VALUE(AA$1),Questions!$A:$E,5,FALSE),1,0)</f>
        <v>1</v>
      </c>
      <c r="BM39" s="4">
        <f>IF(AB39=VLOOKUP(VALUE(AB$1),Questions!$A:$E,5,FALSE),1,0)</f>
        <v>0</v>
      </c>
      <c r="BN39" s="4">
        <f>IF(AC39=VLOOKUP(VALUE(AC$1),Questions!$A:$E,5,FALSE),1,0)</f>
        <v>1</v>
      </c>
      <c r="BO39" s="4">
        <f>IF(AD39=VLOOKUP(VALUE(AD$1),Questions!$A:$E,5,FALSE),1,0)</f>
        <v>1</v>
      </c>
      <c r="BP39" s="4">
        <f>IF(AE39=VLOOKUP(VALUE(AE$1),Questions!$A:$E,5,FALSE),1,0)</f>
        <v>0</v>
      </c>
      <c r="BQ39" s="4">
        <f>IF(AF39=VLOOKUP(VALUE(AF$1),Questions!$A:$E,5,FALSE),1,0)</f>
        <v>1</v>
      </c>
      <c r="BR39" s="4">
        <f>IF(AG39=VLOOKUP(VALUE(AG$1),Questions!$A:$E,5,FALSE),1,0)</f>
        <v>1</v>
      </c>
      <c r="BS39" s="4">
        <f>IF(AH39=VLOOKUP(VALUE(AH$1),Questions!$A:$E,5,FALSE),1,0)</f>
        <v>0</v>
      </c>
      <c r="BT39" s="4">
        <f>IF(AI39=VLOOKUP(VALUE(AI$1),Questions!$A:$E,5,FALSE),1,0)</f>
        <v>1</v>
      </c>
      <c r="BU39" s="4">
        <f>IF(AJ39=VLOOKUP(VALUE(AJ$1),Questions!$A:$E,5,FALSE),1,0)</f>
        <v>1</v>
      </c>
      <c r="BV39" s="4">
        <f>IF(AK39=VLOOKUP(VALUE(AK$1),Questions!$A:$E,5,FALSE),1,0)</f>
        <v>0</v>
      </c>
      <c r="BW39" s="87">
        <f>IF(AL39=VLOOKUP(VALUE(AL$1),Questions!$A:$E,5,FALSE),1,0)</f>
        <v>1</v>
      </c>
      <c r="BX39" s="4">
        <f>IF(Scores[[#This Row],[Final]]&gt;=65,1,0)</f>
        <v>1</v>
      </c>
      <c r="BY39" s="4">
        <f>IF(Scores[[#This Row],[Final]]&gt;=IF(Scores[[#This Row],[IEP]],55,65),1,0)</f>
        <v>1</v>
      </c>
    </row>
    <row r="40" spans="1:77" x14ac:dyDescent="0.2">
      <c r="A40" s="6">
        <v>39</v>
      </c>
      <c r="B40" s="4">
        <v>9</v>
      </c>
      <c r="C40" s="4" t="s">
        <v>963</v>
      </c>
      <c r="D40" s="105" t="b">
        <v>0</v>
      </c>
      <c r="E40" s="105" t="b">
        <v>0</v>
      </c>
      <c r="F40" s="86">
        <f>SUM(Scores[[#This Row],[Q1]:[Q28]])</f>
        <v>20</v>
      </c>
      <c r="G40" s="4">
        <f>SUM(Scores[[#This Row],[29]]:Scores[[#This Row],[30]])</f>
        <v>2</v>
      </c>
      <c r="H40" s="4">
        <f>SUM(Scores[[#This Row],[31]:[36]])</f>
        <v>4</v>
      </c>
      <c r="I40" s="4">
        <f>Scores[[#This Row],[37]]</f>
        <v>2</v>
      </c>
      <c r="J40" s="87">
        <f>INDEX('Conversion Chart'!$C$3:$M$47,MATCH(SUM(Scores[[#This Row],[MC]:[IIIA]]),'Conversion Chart'!$B$3:$B$47),MATCH(Scores[[#This Row],[IIIB]],'Conversion Chart'!$C$2:$M$2))</f>
        <v>69</v>
      </c>
      <c r="K40" s="103">
        <v>4</v>
      </c>
      <c r="L40" s="103">
        <v>2</v>
      </c>
      <c r="M40" s="103">
        <v>3</v>
      </c>
      <c r="N40" s="103">
        <v>3</v>
      </c>
      <c r="O40" s="103">
        <v>1</v>
      </c>
      <c r="P40" s="103">
        <v>2</v>
      </c>
      <c r="Q40" s="103">
        <v>4</v>
      </c>
      <c r="R40" s="103">
        <v>2</v>
      </c>
      <c r="S40" s="103">
        <v>2</v>
      </c>
      <c r="T40" s="103">
        <v>2</v>
      </c>
      <c r="U40" s="103">
        <v>2</v>
      </c>
      <c r="V40" s="103">
        <v>4</v>
      </c>
      <c r="W40" s="103">
        <v>2</v>
      </c>
      <c r="X40" s="103">
        <v>4</v>
      </c>
      <c r="Y40" s="103">
        <v>2</v>
      </c>
      <c r="Z40" s="103">
        <v>1</v>
      </c>
      <c r="AA40" s="103">
        <v>1</v>
      </c>
      <c r="AB40" s="103">
        <v>3</v>
      </c>
      <c r="AC40" s="103">
        <v>3</v>
      </c>
      <c r="AD40" s="103">
        <v>4</v>
      </c>
      <c r="AE40" s="103">
        <v>3</v>
      </c>
      <c r="AF40" s="103">
        <v>2</v>
      </c>
      <c r="AG40" s="103">
        <v>3</v>
      </c>
      <c r="AH40" s="103">
        <v>3</v>
      </c>
      <c r="AI40" s="103">
        <v>2</v>
      </c>
      <c r="AJ40" s="103">
        <v>4</v>
      </c>
      <c r="AK40" s="103">
        <v>4</v>
      </c>
      <c r="AL40" s="104">
        <v>3</v>
      </c>
      <c r="AM40" s="4">
        <v>1</v>
      </c>
      <c r="AN40" s="87">
        <v>1</v>
      </c>
      <c r="AO40" s="4">
        <v>1</v>
      </c>
      <c r="AP40" s="4">
        <v>1</v>
      </c>
      <c r="AQ40" s="4">
        <v>0</v>
      </c>
      <c r="AR40" s="4">
        <v>1</v>
      </c>
      <c r="AS40" s="4">
        <v>1</v>
      </c>
      <c r="AT40" s="4">
        <v>0</v>
      </c>
      <c r="AU40" s="107">
        <v>2</v>
      </c>
      <c r="AV40" s="4">
        <f>IF(K40=VLOOKUP(VALUE(K$1),Questions!$A:$E,5,FALSE),1,0)</f>
        <v>1</v>
      </c>
      <c r="AW40" s="4">
        <f>IF(L40=VLOOKUP(VALUE(L$1),Questions!$A:$E,5,FALSE),1,0)</f>
        <v>1</v>
      </c>
      <c r="AX40" s="4">
        <f>IF(M40=VLOOKUP(VALUE(M$1),Questions!$A:$E,5,FALSE),1,0)</f>
        <v>1</v>
      </c>
      <c r="AY40" s="4">
        <f>IF(N40=VLOOKUP(VALUE(N$1),Questions!$A:$E,5,FALSE),1,0)</f>
        <v>1</v>
      </c>
      <c r="AZ40" s="4">
        <f>IF(O40=VLOOKUP(VALUE(O$1),Questions!$A:$E,5,FALSE),1,0)</f>
        <v>1</v>
      </c>
      <c r="BA40" s="4">
        <f>IF(P40=VLOOKUP(VALUE(P$1),Questions!$A:$E,5,FALSE),1,0)</f>
        <v>0</v>
      </c>
      <c r="BB40" s="4">
        <f>IF(Q40=VLOOKUP(VALUE(Q$1),Questions!$A:$E,5,FALSE),1,0)</f>
        <v>0</v>
      </c>
      <c r="BC40" s="4">
        <f>IF(R40=VLOOKUP(VALUE(R$1),Questions!$A:$E,5,FALSE),1,0)</f>
        <v>1</v>
      </c>
      <c r="BD40" s="4">
        <f>IF(S40=VLOOKUP(VALUE(S$1),Questions!$A:$E,5,FALSE),1,0)</f>
        <v>1</v>
      </c>
      <c r="BE40" s="4">
        <f>IF(T40=VLOOKUP(VALUE(T$1),Questions!$A:$E,5,FALSE),1,0)</f>
        <v>0</v>
      </c>
      <c r="BF40" s="4">
        <f>IF(U40=VLOOKUP(VALUE(U$1),Questions!$A:$E,5,FALSE),1,0)</f>
        <v>1</v>
      </c>
      <c r="BG40" s="4">
        <f>IF(V40=VLOOKUP(VALUE(V$1),Questions!$A:$E,5,FALSE),1,0)</f>
        <v>1</v>
      </c>
      <c r="BH40" s="4">
        <f>IF(W40=VLOOKUP(VALUE(W$1),Questions!$A:$E,5,FALSE),1,0)</f>
        <v>1</v>
      </c>
      <c r="BI40" s="4">
        <f>IF(X40=VLOOKUP(VALUE(X$1),Questions!$A:$E,5,FALSE),1,0)</f>
        <v>1</v>
      </c>
      <c r="BJ40" s="4">
        <f>IF(Y40=VLOOKUP(VALUE(Y$1),Questions!$A:$E,5,FALSE),1,0)</f>
        <v>0</v>
      </c>
      <c r="BK40" s="4">
        <f>IF(Z40=VLOOKUP(VALUE(Z$1),Questions!$A:$E,5,FALSE),1,0)</f>
        <v>1</v>
      </c>
      <c r="BL40" s="4">
        <f>IF(AA40=VLOOKUP(VALUE(AA$1),Questions!$A:$E,5,FALSE),1,0)</f>
        <v>1</v>
      </c>
      <c r="BM40" s="4">
        <f>IF(AB40=VLOOKUP(VALUE(AB$1),Questions!$A:$E,5,FALSE),1,0)</f>
        <v>0</v>
      </c>
      <c r="BN40" s="4">
        <f>IF(AC40=VLOOKUP(VALUE(AC$1),Questions!$A:$E,5,FALSE),1,0)</f>
        <v>1</v>
      </c>
      <c r="BO40" s="4">
        <f>IF(AD40=VLOOKUP(VALUE(AD$1),Questions!$A:$E,5,FALSE),1,0)</f>
        <v>1</v>
      </c>
      <c r="BP40" s="4">
        <f>IF(AE40=VLOOKUP(VALUE(AE$1),Questions!$A:$E,5,FALSE),1,0)</f>
        <v>0</v>
      </c>
      <c r="BQ40" s="4">
        <f>IF(AF40=VLOOKUP(VALUE(AF$1),Questions!$A:$E,5,FALSE),1,0)</f>
        <v>1</v>
      </c>
      <c r="BR40" s="4">
        <f>IF(AG40=VLOOKUP(VALUE(AG$1),Questions!$A:$E,5,FALSE),1,0)</f>
        <v>1</v>
      </c>
      <c r="BS40" s="4">
        <f>IF(AH40=VLOOKUP(VALUE(AH$1),Questions!$A:$E,5,FALSE),1,0)</f>
        <v>1</v>
      </c>
      <c r="BT40" s="4">
        <f>IF(AI40=VLOOKUP(VALUE(AI$1),Questions!$A:$E,5,FALSE),1,0)</f>
        <v>0</v>
      </c>
      <c r="BU40" s="4">
        <f>IF(AJ40=VLOOKUP(VALUE(AJ$1),Questions!$A:$E,5,FALSE),1,0)</f>
        <v>1</v>
      </c>
      <c r="BV40" s="4">
        <f>IF(AK40=VLOOKUP(VALUE(AK$1),Questions!$A:$E,5,FALSE),1,0)</f>
        <v>0</v>
      </c>
      <c r="BW40" s="87">
        <f>IF(AL40=VLOOKUP(VALUE(AL$1),Questions!$A:$E,5,FALSE),1,0)</f>
        <v>1</v>
      </c>
      <c r="BX40" s="4">
        <f>IF(Scores[[#This Row],[Final]]&gt;=65,1,0)</f>
        <v>1</v>
      </c>
      <c r="BY40" s="4">
        <f>IF(Scores[[#This Row],[Final]]&gt;=IF(Scores[[#This Row],[IEP]],55,65),1,0)</f>
        <v>1</v>
      </c>
    </row>
    <row r="41" spans="1:77" x14ac:dyDescent="0.2">
      <c r="A41" s="6">
        <v>40</v>
      </c>
      <c r="B41" s="4">
        <v>9</v>
      </c>
      <c r="C41" s="4" t="s">
        <v>964</v>
      </c>
      <c r="D41" s="105" t="b">
        <v>0</v>
      </c>
      <c r="E41" s="105" t="b">
        <v>0</v>
      </c>
      <c r="F41" s="86">
        <f>SUM(Scores[[#This Row],[Q1]:[Q28]])</f>
        <v>9</v>
      </c>
      <c r="G41" s="4">
        <f>SUM(Scores[[#This Row],[29]]:Scores[[#This Row],[30]])</f>
        <v>2</v>
      </c>
      <c r="H41" s="4">
        <f>SUM(Scores[[#This Row],[31]:[36]])</f>
        <v>4</v>
      </c>
      <c r="I41" s="4">
        <f>Scores[[#This Row],[37]]</f>
        <v>1</v>
      </c>
      <c r="J41" s="87">
        <f>INDEX('Conversion Chart'!$C$3:$M$47,MATCH(SUM(Scores[[#This Row],[MC]:[IIIA]]),'Conversion Chart'!$B$3:$B$47),MATCH(Scores[[#This Row],[IIIB]],'Conversion Chart'!$C$2:$M$2))</f>
        <v>48</v>
      </c>
      <c r="K41" s="103">
        <v>4</v>
      </c>
      <c r="L41" s="103">
        <v>4</v>
      </c>
      <c r="M41" s="103">
        <v>3</v>
      </c>
      <c r="N41" s="103">
        <v>1</v>
      </c>
      <c r="O41" s="103">
        <v>1</v>
      </c>
      <c r="P41" s="103">
        <v>3</v>
      </c>
      <c r="Q41" s="103">
        <v>3</v>
      </c>
      <c r="R41" s="103">
        <v>2</v>
      </c>
      <c r="S41" s="103">
        <v>2</v>
      </c>
      <c r="T41" s="103">
        <v>4</v>
      </c>
      <c r="U41" s="103">
        <v>2</v>
      </c>
      <c r="V41" s="103">
        <v>2</v>
      </c>
      <c r="W41" s="103">
        <v>1</v>
      </c>
      <c r="X41" s="103">
        <v>2</v>
      </c>
      <c r="Y41" s="103">
        <v>1</v>
      </c>
      <c r="Z41" s="103">
        <v>1</v>
      </c>
      <c r="AA41" s="103">
        <v>4</v>
      </c>
      <c r="AB41" s="103">
        <v>1</v>
      </c>
      <c r="AC41" s="103">
        <v>2</v>
      </c>
      <c r="AD41" s="103">
        <v>3</v>
      </c>
      <c r="AE41" s="103">
        <v>2</v>
      </c>
      <c r="AF41" s="103">
        <v>1</v>
      </c>
      <c r="AG41" s="103">
        <v>1</v>
      </c>
      <c r="AH41" s="103">
        <v>2</v>
      </c>
      <c r="AI41" s="103">
        <v>3</v>
      </c>
      <c r="AJ41" s="103">
        <v>1</v>
      </c>
      <c r="AK41" s="103">
        <v>4</v>
      </c>
      <c r="AL41" s="104">
        <v>1</v>
      </c>
      <c r="AM41" s="4">
        <v>1</v>
      </c>
      <c r="AN41" s="87">
        <v>1</v>
      </c>
      <c r="AO41" s="4">
        <v>1</v>
      </c>
      <c r="AP41" s="4">
        <v>1</v>
      </c>
      <c r="AQ41" s="4">
        <v>1</v>
      </c>
      <c r="AR41" s="4">
        <v>0</v>
      </c>
      <c r="AS41" s="4">
        <v>0</v>
      </c>
      <c r="AT41" s="4">
        <v>1</v>
      </c>
      <c r="AU41" s="107">
        <v>1</v>
      </c>
      <c r="AV41" s="4">
        <f>IF(K41=VLOOKUP(VALUE(K$1),Questions!$A:$E,5,FALSE),1,0)</f>
        <v>1</v>
      </c>
      <c r="AW41" s="4">
        <f>IF(L41=VLOOKUP(VALUE(L$1),Questions!$A:$E,5,FALSE),1,0)</f>
        <v>0</v>
      </c>
      <c r="AX41" s="4">
        <f>IF(M41=VLOOKUP(VALUE(M$1),Questions!$A:$E,5,FALSE),1,0)</f>
        <v>1</v>
      </c>
      <c r="AY41" s="4">
        <f>IF(N41=VLOOKUP(VALUE(N$1),Questions!$A:$E,5,FALSE),1,0)</f>
        <v>0</v>
      </c>
      <c r="AZ41" s="4">
        <f>IF(O41=VLOOKUP(VALUE(O$1),Questions!$A:$E,5,FALSE),1,0)</f>
        <v>1</v>
      </c>
      <c r="BA41" s="4">
        <f>IF(P41=VLOOKUP(VALUE(P$1),Questions!$A:$E,5,FALSE),1,0)</f>
        <v>0</v>
      </c>
      <c r="BB41" s="4">
        <f>IF(Q41=VLOOKUP(VALUE(Q$1),Questions!$A:$E,5,FALSE),1,0)</f>
        <v>1</v>
      </c>
      <c r="BC41" s="4">
        <f>IF(R41=VLOOKUP(VALUE(R$1),Questions!$A:$E,5,FALSE),1,0)</f>
        <v>1</v>
      </c>
      <c r="BD41" s="4">
        <f>IF(S41=VLOOKUP(VALUE(S$1),Questions!$A:$E,5,FALSE),1,0)</f>
        <v>1</v>
      </c>
      <c r="BE41" s="4">
        <f>IF(T41=VLOOKUP(VALUE(T$1),Questions!$A:$E,5,FALSE),1,0)</f>
        <v>0</v>
      </c>
      <c r="BF41" s="4">
        <f>IF(U41=VLOOKUP(VALUE(U$1),Questions!$A:$E,5,FALSE),1,0)</f>
        <v>1</v>
      </c>
      <c r="BG41" s="4">
        <f>IF(V41=VLOOKUP(VALUE(V$1),Questions!$A:$E,5,FALSE),1,0)</f>
        <v>0</v>
      </c>
      <c r="BH41" s="4">
        <f>IF(W41=VLOOKUP(VALUE(W$1),Questions!$A:$E,5,FALSE),1,0)</f>
        <v>0</v>
      </c>
      <c r="BI41" s="4">
        <f>IF(X41=VLOOKUP(VALUE(X$1),Questions!$A:$E,5,FALSE),1,0)</f>
        <v>0</v>
      </c>
      <c r="BJ41" s="4">
        <f>IF(Y41=VLOOKUP(VALUE(Y$1),Questions!$A:$E,5,FALSE),1,0)</f>
        <v>0</v>
      </c>
      <c r="BK41" s="4">
        <f>IF(Z41=VLOOKUP(VALUE(Z$1),Questions!$A:$E,5,FALSE),1,0)</f>
        <v>1</v>
      </c>
      <c r="BL41" s="4">
        <f>IF(AA41=VLOOKUP(VALUE(AA$1),Questions!$A:$E,5,FALSE),1,0)</f>
        <v>0</v>
      </c>
      <c r="BM41" s="4">
        <f>IF(AB41=VLOOKUP(VALUE(AB$1),Questions!$A:$E,5,FALSE),1,0)</f>
        <v>0</v>
      </c>
      <c r="BN41" s="4">
        <f>IF(AC41=VLOOKUP(VALUE(AC$1),Questions!$A:$E,5,FALSE),1,0)</f>
        <v>0</v>
      </c>
      <c r="BO41" s="4">
        <f>IF(AD41=VLOOKUP(VALUE(AD$1),Questions!$A:$E,5,FALSE),1,0)</f>
        <v>0</v>
      </c>
      <c r="BP41" s="4">
        <f>IF(AE41=VLOOKUP(VALUE(AE$1),Questions!$A:$E,5,FALSE),1,0)</f>
        <v>1</v>
      </c>
      <c r="BQ41" s="4">
        <f>IF(AF41=VLOOKUP(VALUE(AF$1),Questions!$A:$E,5,FALSE),1,0)</f>
        <v>0</v>
      </c>
      <c r="BR41" s="4">
        <f>IF(AG41=VLOOKUP(VALUE(AG$1),Questions!$A:$E,5,FALSE),1,0)</f>
        <v>0</v>
      </c>
      <c r="BS41" s="4">
        <f>IF(AH41=VLOOKUP(VALUE(AH$1),Questions!$A:$E,5,FALSE),1,0)</f>
        <v>0</v>
      </c>
      <c r="BT41" s="4">
        <f>IF(AI41=VLOOKUP(VALUE(AI$1),Questions!$A:$E,5,FALSE),1,0)</f>
        <v>0</v>
      </c>
      <c r="BU41" s="4">
        <f>IF(AJ41=VLOOKUP(VALUE(AJ$1),Questions!$A:$E,5,FALSE),1,0)</f>
        <v>0</v>
      </c>
      <c r="BV41" s="4">
        <f>IF(AK41=VLOOKUP(VALUE(AK$1),Questions!$A:$E,5,FALSE),1,0)</f>
        <v>0</v>
      </c>
      <c r="BW41" s="87">
        <f>IF(AL41=VLOOKUP(VALUE(AL$1),Questions!$A:$E,5,FALSE),1,0)</f>
        <v>0</v>
      </c>
      <c r="BX41" s="4">
        <f>IF(Scores[[#This Row],[Final]]&gt;=65,1,0)</f>
        <v>0</v>
      </c>
      <c r="BY41" s="4">
        <f>IF(Scores[[#This Row],[Final]]&gt;=IF(Scores[[#This Row],[IEP]],55,65),1,0)</f>
        <v>0</v>
      </c>
    </row>
    <row r="42" spans="1:77" x14ac:dyDescent="0.2">
      <c r="A42" s="6">
        <v>41</v>
      </c>
      <c r="B42" s="4">
        <v>11</v>
      </c>
      <c r="C42" s="4" t="s">
        <v>962</v>
      </c>
      <c r="D42" s="105" t="b">
        <v>0</v>
      </c>
      <c r="E42" s="105" t="b">
        <v>0</v>
      </c>
      <c r="F42" s="86">
        <f>SUM(Scores[[#This Row],[Q1]:[Q28]])</f>
        <v>24</v>
      </c>
      <c r="G42" s="4">
        <f>SUM(Scores[[#This Row],[29]]:Scores[[#This Row],[30]])</f>
        <v>6</v>
      </c>
      <c r="H42" s="4">
        <f>SUM(Scores[[#This Row],[31]:[36]])</f>
        <v>6</v>
      </c>
      <c r="I42" s="4">
        <f>Scores[[#This Row],[37]]</f>
        <v>3.5</v>
      </c>
      <c r="J42" s="87">
        <f>INDEX('Conversion Chart'!$C$3:$M$47,MATCH(SUM(Scores[[#This Row],[MC]:[IIIA]]),'Conversion Chart'!$B$3:$B$47),MATCH(Scores[[#This Row],[IIIB]],'Conversion Chart'!$C$2:$M$2))</f>
        <v>84</v>
      </c>
      <c r="K42" s="103">
        <v>4</v>
      </c>
      <c r="L42" s="103">
        <v>2</v>
      </c>
      <c r="M42" s="103">
        <v>3</v>
      </c>
      <c r="N42" s="103">
        <v>3</v>
      </c>
      <c r="O42" s="103">
        <v>1</v>
      </c>
      <c r="P42" s="103">
        <v>4</v>
      </c>
      <c r="Q42" s="103">
        <v>3</v>
      </c>
      <c r="R42" s="103">
        <v>2</v>
      </c>
      <c r="S42" s="103">
        <v>2</v>
      </c>
      <c r="T42" s="103">
        <v>1</v>
      </c>
      <c r="U42" s="103">
        <v>2</v>
      </c>
      <c r="V42" s="103">
        <v>4</v>
      </c>
      <c r="W42" s="103">
        <v>2</v>
      </c>
      <c r="X42" s="103">
        <v>1</v>
      </c>
      <c r="Y42" s="103">
        <v>3</v>
      </c>
      <c r="Z42" s="103">
        <v>1</v>
      </c>
      <c r="AA42" s="103">
        <v>1</v>
      </c>
      <c r="AB42" s="103">
        <v>4</v>
      </c>
      <c r="AC42" s="103">
        <v>1</v>
      </c>
      <c r="AD42" s="103">
        <v>4</v>
      </c>
      <c r="AE42" s="103">
        <v>2</v>
      </c>
      <c r="AF42" s="103">
        <v>2</v>
      </c>
      <c r="AG42" s="103">
        <v>1</v>
      </c>
      <c r="AH42" s="103">
        <v>3</v>
      </c>
      <c r="AI42" s="103">
        <v>3</v>
      </c>
      <c r="AJ42" s="103">
        <v>4</v>
      </c>
      <c r="AK42" s="103">
        <v>1</v>
      </c>
      <c r="AL42" s="104">
        <v>3</v>
      </c>
      <c r="AM42" s="4">
        <v>4</v>
      </c>
      <c r="AN42" s="87">
        <v>2</v>
      </c>
      <c r="AO42" s="4">
        <v>1</v>
      </c>
      <c r="AP42" s="4">
        <v>1</v>
      </c>
      <c r="AQ42" s="4">
        <v>1</v>
      </c>
      <c r="AR42" s="4">
        <v>1</v>
      </c>
      <c r="AS42" s="4">
        <v>1</v>
      </c>
      <c r="AT42" s="4">
        <v>1</v>
      </c>
      <c r="AU42" s="107">
        <v>3.5</v>
      </c>
      <c r="AV42" s="4">
        <f>IF(K42=VLOOKUP(VALUE(K$1),Questions!$A:$E,5,FALSE),1,0)</f>
        <v>1</v>
      </c>
      <c r="AW42" s="4">
        <f>IF(L42=VLOOKUP(VALUE(L$1),Questions!$A:$E,5,FALSE),1,0)</f>
        <v>1</v>
      </c>
      <c r="AX42" s="4">
        <f>IF(M42=VLOOKUP(VALUE(M$1),Questions!$A:$E,5,FALSE),1,0)</f>
        <v>1</v>
      </c>
      <c r="AY42" s="4">
        <f>IF(N42=VLOOKUP(VALUE(N$1),Questions!$A:$E,5,FALSE),1,0)</f>
        <v>1</v>
      </c>
      <c r="AZ42" s="4">
        <f>IF(O42=VLOOKUP(VALUE(O$1),Questions!$A:$E,5,FALSE),1,0)</f>
        <v>1</v>
      </c>
      <c r="BA42" s="4">
        <f>IF(P42=VLOOKUP(VALUE(P$1),Questions!$A:$E,5,FALSE),1,0)</f>
        <v>1</v>
      </c>
      <c r="BB42" s="4">
        <f>IF(Q42=VLOOKUP(VALUE(Q$1),Questions!$A:$E,5,FALSE),1,0)</f>
        <v>1</v>
      </c>
      <c r="BC42" s="4">
        <f>IF(R42=VLOOKUP(VALUE(R$1),Questions!$A:$E,5,FALSE),1,0)</f>
        <v>1</v>
      </c>
      <c r="BD42" s="4">
        <f>IF(S42=VLOOKUP(VALUE(S$1),Questions!$A:$E,5,FALSE),1,0)</f>
        <v>1</v>
      </c>
      <c r="BE42" s="4">
        <f>IF(T42=VLOOKUP(VALUE(T$1),Questions!$A:$E,5,FALSE),1,0)</f>
        <v>1</v>
      </c>
      <c r="BF42" s="4">
        <f>IF(U42=VLOOKUP(VALUE(U$1),Questions!$A:$E,5,FALSE),1,0)</f>
        <v>1</v>
      </c>
      <c r="BG42" s="4">
        <f>IF(V42=VLOOKUP(VALUE(V$1),Questions!$A:$E,5,FALSE),1,0)</f>
        <v>1</v>
      </c>
      <c r="BH42" s="4">
        <f>IF(W42=VLOOKUP(VALUE(W$1),Questions!$A:$E,5,FALSE),1,0)</f>
        <v>1</v>
      </c>
      <c r="BI42" s="4">
        <f>IF(X42=VLOOKUP(VALUE(X$1),Questions!$A:$E,5,FALSE),1,0)</f>
        <v>0</v>
      </c>
      <c r="BJ42" s="4">
        <f>IF(Y42=VLOOKUP(VALUE(Y$1),Questions!$A:$E,5,FALSE),1,0)</f>
        <v>1</v>
      </c>
      <c r="BK42" s="4">
        <f>IF(Z42=VLOOKUP(VALUE(Z$1),Questions!$A:$E,5,FALSE),1,0)</f>
        <v>1</v>
      </c>
      <c r="BL42" s="4">
        <f>IF(AA42=VLOOKUP(VALUE(AA$1),Questions!$A:$E,5,FALSE),1,0)</f>
        <v>1</v>
      </c>
      <c r="BM42" s="4">
        <f>IF(AB42=VLOOKUP(VALUE(AB$1),Questions!$A:$E,5,FALSE),1,0)</f>
        <v>1</v>
      </c>
      <c r="BN42" s="4">
        <f>IF(AC42=VLOOKUP(VALUE(AC$1),Questions!$A:$E,5,FALSE),1,0)</f>
        <v>0</v>
      </c>
      <c r="BO42" s="4">
        <f>IF(AD42=VLOOKUP(VALUE(AD$1),Questions!$A:$E,5,FALSE),1,0)</f>
        <v>1</v>
      </c>
      <c r="BP42" s="4">
        <f>IF(AE42=VLOOKUP(VALUE(AE$1),Questions!$A:$E,5,FALSE),1,0)</f>
        <v>1</v>
      </c>
      <c r="BQ42" s="4">
        <f>IF(AF42=VLOOKUP(VALUE(AF$1),Questions!$A:$E,5,FALSE),1,0)</f>
        <v>1</v>
      </c>
      <c r="BR42" s="4">
        <f>IF(AG42=VLOOKUP(VALUE(AG$1),Questions!$A:$E,5,FALSE),1,0)</f>
        <v>0</v>
      </c>
      <c r="BS42" s="4">
        <f>IF(AH42=VLOOKUP(VALUE(AH$1),Questions!$A:$E,5,FALSE),1,0)</f>
        <v>1</v>
      </c>
      <c r="BT42" s="4">
        <f>IF(AI42=VLOOKUP(VALUE(AI$1),Questions!$A:$E,5,FALSE),1,0)</f>
        <v>0</v>
      </c>
      <c r="BU42" s="4">
        <f>IF(AJ42=VLOOKUP(VALUE(AJ$1),Questions!$A:$E,5,FALSE),1,0)</f>
        <v>1</v>
      </c>
      <c r="BV42" s="4">
        <f>IF(AK42=VLOOKUP(VALUE(AK$1),Questions!$A:$E,5,FALSE),1,0)</f>
        <v>1</v>
      </c>
      <c r="BW42" s="87">
        <f>IF(AL42=VLOOKUP(VALUE(AL$1),Questions!$A:$E,5,FALSE),1,0)</f>
        <v>1</v>
      </c>
      <c r="BX42" s="4">
        <f>IF(Scores[[#This Row],[Final]]&gt;=65,1,0)</f>
        <v>1</v>
      </c>
      <c r="BY42" s="4">
        <f>IF(Scores[[#This Row],[Final]]&gt;=IF(Scores[[#This Row],[IEP]],55,65),1,0)</f>
        <v>1</v>
      </c>
    </row>
    <row r="43" spans="1:77" x14ac:dyDescent="0.2">
      <c r="A43" s="6">
        <v>42</v>
      </c>
      <c r="B43" s="4">
        <v>11</v>
      </c>
      <c r="C43" s="4" t="s">
        <v>967</v>
      </c>
      <c r="D43" s="105" t="b">
        <v>0</v>
      </c>
      <c r="E43" s="105" t="b">
        <v>0</v>
      </c>
      <c r="F43" s="86">
        <f>SUM(Scores[[#This Row],[Q1]:[Q28]])</f>
        <v>19</v>
      </c>
      <c r="G43" s="4">
        <f>SUM(Scores[[#This Row],[29]]:Scores[[#This Row],[30]])</f>
        <v>3</v>
      </c>
      <c r="H43" s="4">
        <f>SUM(Scores[[#This Row],[31]:[36]])</f>
        <v>5</v>
      </c>
      <c r="I43" s="4">
        <f>Scores[[#This Row],[37]]</f>
        <v>0</v>
      </c>
      <c r="J43" s="87">
        <f>INDEX('Conversion Chart'!$C$3:$M$47,MATCH(SUM(Scores[[#This Row],[MC]:[IIIA]]),'Conversion Chart'!$B$3:$B$47),MATCH(Scores[[#This Row],[IIIB]],'Conversion Chart'!$C$2:$M$2))</f>
        <v>63</v>
      </c>
      <c r="K43" s="103">
        <v>4</v>
      </c>
      <c r="L43" s="103">
        <v>3</v>
      </c>
      <c r="M43" s="103">
        <v>3</v>
      </c>
      <c r="N43" s="103">
        <v>3</v>
      </c>
      <c r="O43" s="103">
        <v>1</v>
      </c>
      <c r="P43" s="103">
        <v>4</v>
      </c>
      <c r="Q43" s="103">
        <v>3</v>
      </c>
      <c r="R43" s="103">
        <v>2</v>
      </c>
      <c r="S43" s="103">
        <v>2</v>
      </c>
      <c r="T43" s="103">
        <v>1</v>
      </c>
      <c r="U43" s="103">
        <v>2</v>
      </c>
      <c r="V43" s="103">
        <v>3</v>
      </c>
      <c r="W43" s="103">
        <v>3</v>
      </c>
      <c r="X43" s="103">
        <v>1</v>
      </c>
      <c r="Y43" s="103">
        <v>4</v>
      </c>
      <c r="Z43" s="103">
        <v>1</v>
      </c>
      <c r="AA43" s="103">
        <v>1</v>
      </c>
      <c r="AB43" s="103">
        <v>4</v>
      </c>
      <c r="AC43" s="103">
        <v>3</v>
      </c>
      <c r="AD43" s="103">
        <v>1</v>
      </c>
      <c r="AE43" s="103">
        <v>2</v>
      </c>
      <c r="AF43" s="103">
        <v>2</v>
      </c>
      <c r="AG43" s="103">
        <v>3</v>
      </c>
      <c r="AH43" s="103">
        <v>2</v>
      </c>
      <c r="AI43" s="103">
        <v>4</v>
      </c>
      <c r="AJ43" s="103">
        <v>4</v>
      </c>
      <c r="AK43" s="103">
        <v>2</v>
      </c>
      <c r="AL43" s="104">
        <v>3</v>
      </c>
      <c r="AM43" s="4">
        <v>1</v>
      </c>
      <c r="AN43" s="87">
        <v>2</v>
      </c>
      <c r="AO43" s="4">
        <v>1</v>
      </c>
      <c r="AP43" s="4">
        <v>0</v>
      </c>
      <c r="AQ43" s="4">
        <v>1</v>
      </c>
      <c r="AR43" s="4">
        <v>1</v>
      </c>
      <c r="AS43" s="4">
        <v>1</v>
      </c>
      <c r="AT43" s="4">
        <v>1</v>
      </c>
      <c r="AU43" s="107">
        <v>0</v>
      </c>
      <c r="AV43" s="4">
        <f>IF(K43=VLOOKUP(VALUE(K$1),Questions!$A:$E,5,FALSE),1,0)</f>
        <v>1</v>
      </c>
      <c r="AW43" s="4">
        <f>IF(L43=VLOOKUP(VALUE(L$1),Questions!$A:$E,5,FALSE),1,0)</f>
        <v>0</v>
      </c>
      <c r="AX43" s="4">
        <f>IF(M43=VLOOKUP(VALUE(M$1),Questions!$A:$E,5,FALSE),1,0)</f>
        <v>1</v>
      </c>
      <c r="AY43" s="4">
        <f>IF(N43=VLOOKUP(VALUE(N$1),Questions!$A:$E,5,FALSE),1,0)</f>
        <v>1</v>
      </c>
      <c r="AZ43" s="4">
        <f>IF(O43=VLOOKUP(VALUE(O$1),Questions!$A:$E,5,FALSE),1,0)</f>
        <v>1</v>
      </c>
      <c r="BA43" s="4">
        <f>IF(P43=VLOOKUP(VALUE(P$1),Questions!$A:$E,5,FALSE),1,0)</f>
        <v>1</v>
      </c>
      <c r="BB43" s="4">
        <f>IF(Q43=VLOOKUP(VALUE(Q$1),Questions!$A:$E,5,FALSE),1,0)</f>
        <v>1</v>
      </c>
      <c r="BC43" s="4">
        <f>IF(R43=VLOOKUP(VALUE(R$1),Questions!$A:$E,5,FALSE),1,0)</f>
        <v>1</v>
      </c>
      <c r="BD43" s="4">
        <f>IF(S43=VLOOKUP(VALUE(S$1),Questions!$A:$E,5,FALSE),1,0)</f>
        <v>1</v>
      </c>
      <c r="BE43" s="4">
        <f>IF(T43=VLOOKUP(VALUE(T$1),Questions!$A:$E,5,FALSE),1,0)</f>
        <v>1</v>
      </c>
      <c r="BF43" s="4">
        <f>IF(U43=VLOOKUP(VALUE(U$1),Questions!$A:$E,5,FALSE),1,0)</f>
        <v>1</v>
      </c>
      <c r="BG43" s="4">
        <f>IF(V43=VLOOKUP(VALUE(V$1),Questions!$A:$E,5,FALSE),1,0)</f>
        <v>0</v>
      </c>
      <c r="BH43" s="4">
        <f>IF(W43=VLOOKUP(VALUE(W$1),Questions!$A:$E,5,FALSE),1,0)</f>
        <v>0</v>
      </c>
      <c r="BI43" s="4">
        <f>IF(X43=VLOOKUP(VALUE(X$1),Questions!$A:$E,5,FALSE),1,0)</f>
        <v>0</v>
      </c>
      <c r="BJ43" s="4">
        <f>IF(Y43=VLOOKUP(VALUE(Y$1),Questions!$A:$E,5,FALSE),1,0)</f>
        <v>0</v>
      </c>
      <c r="BK43" s="4">
        <f>IF(Z43=VLOOKUP(VALUE(Z$1),Questions!$A:$E,5,FALSE),1,0)</f>
        <v>1</v>
      </c>
      <c r="BL43" s="4">
        <f>IF(AA43=VLOOKUP(VALUE(AA$1),Questions!$A:$E,5,FALSE),1,0)</f>
        <v>1</v>
      </c>
      <c r="BM43" s="4">
        <f>IF(AB43=VLOOKUP(VALUE(AB$1),Questions!$A:$E,5,FALSE),1,0)</f>
        <v>1</v>
      </c>
      <c r="BN43" s="4">
        <f>IF(AC43=VLOOKUP(VALUE(AC$1),Questions!$A:$E,5,FALSE),1,0)</f>
        <v>1</v>
      </c>
      <c r="BO43" s="4">
        <f>IF(AD43=VLOOKUP(VALUE(AD$1),Questions!$A:$E,5,FALSE),1,0)</f>
        <v>0</v>
      </c>
      <c r="BP43" s="4">
        <f>IF(AE43=VLOOKUP(VALUE(AE$1),Questions!$A:$E,5,FALSE),1,0)</f>
        <v>1</v>
      </c>
      <c r="BQ43" s="4">
        <f>IF(AF43=VLOOKUP(VALUE(AF$1),Questions!$A:$E,5,FALSE),1,0)</f>
        <v>1</v>
      </c>
      <c r="BR43" s="4">
        <f>IF(AG43=VLOOKUP(VALUE(AG$1),Questions!$A:$E,5,FALSE),1,0)</f>
        <v>1</v>
      </c>
      <c r="BS43" s="4">
        <f>IF(AH43=VLOOKUP(VALUE(AH$1),Questions!$A:$E,5,FALSE),1,0)</f>
        <v>0</v>
      </c>
      <c r="BT43" s="4">
        <f>IF(AI43=VLOOKUP(VALUE(AI$1),Questions!$A:$E,5,FALSE),1,0)</f>
        <v>0</v>
      </c>
      <c r="BU43" s="4">
        <f>IF(AJ43=VLOOKUP(VALUE(AJ$1),Questions!$A:$E,5,FALSE),1,0)</f>
        <v>1</v>
      </c>
      <c r="BV43" s="4">
        <f>IF(AK43=VLOOKUP(VALUE(AK$1),Questions!$A:$E,5,FALSE),1,0)</f>
        <v>0</v>
      </c>
      <c r="BW43" s="87">
        <f>IF(AL43=VLOOKUP(VALUE(AL$1),Questions!$A:$E,5,FALSE),1,0)</f>
        <v>1</v>
      </c>
      <c r="BX43" s="4">
        <f>IF(Scores[[#This Row],[Final]]&gt;=65,1,0)</f>
        <v>0</v>
      </c>
      <c r="BY43" s="4">
        <f>IF(Scores[[#This Row],[Final]]&gt;=IF(Scores[[#This Row],[IEP]],55,65),1,0)</f>
        <v>0</v>
      </c>
    </row>
    <row r="44" spans="1:77" x14ac:dyDescent="0.2">
      <c r="A44" s="6">
        <v>43</v>
      </c>
      <c r="B44" s="4">
        <v>11</v>
      </c>
      <c r="C44" s="4" t="s">
        <v>962</v>
      </c>
      <c r="D44" s="105" t="b">
        <v>0</v>
      </c>
      <c r="E44" s="105" t="b">
        <v>0</v>
      </c>
      <c r="F44" s="86">
        <f>SUM(Scores[[#This Row],[Q1]:[Q28]])</f>
        <v>21</v>
      </c>
      <c r="G44" s="4">
        <f>SUM(Scores[[#This Row],[29]]:Scores[[#This Row],[30]])</f>
        <v>4</v>
      </c>
      <c r="H44" s="4">
        <f>SUM(Scores[[#This Row],[31]:[36]])</f>
        <v>3</v>
      </c>
      <c r="I44" s="4">
        <f>Scores[[#This Row],[37]]</f>
        <v>0</v>
      </c>
      <c r="J44" s="87">
        <f>INDEX('Conversion Chart'!$C$3:$M$47,MATCH(SUM(Scores[[#This Row],[MC]:[IIIA]]),'Conversion Chart'!$B$3:$B$47),MATCH(Scores[[#This Row],[IIIB]],'Conversion Chart'!$C$2:$M$2))</f>
        <v>64</v>
      </c>
      <c r="K44" s="103">
        <v>4</v>
      </c>
      <c r="L44" s="103">
        <v>2</v>
      </c>
      <c r="M44" s="103">
        <v>3</v>
      </c>
      <c r="N44" s="103">
        <v>4</v>
      </c>
      <c r="O44" s="103">
        <v>1</v>
      </c>
      <c r="P44" s="103">
        <v>2</v>
      </c>
      <c r="Q44" s="103">
        <v>3</v>
      </c>
      <c r="R44" s="103">
        <v>2</v>
      </c>
      <c r="S44" s="103">
        <v>2</v>
      </c>
      <c r="T44" s="103">
        <v>1</v>
      </c>
      <c r="U44" s="103">
        <v>2</v>
      </c>
      <c r="V44" s="103">
        <v>4</v>
      </c>
      <c r="W44" s="103">
        <v>1</v>
      </c>
      <c r="X44" s="103">
        <v>3</v>
      </c>
      <c r="Y44" s="103">
        <v>3</v>
      </c>
      <c r="Z44" s="103">
        <v>2</v>
      </c>
      <c r="AA44" s="103">
        <v>1</v>
      </c>
      <c r="AB44" s="103">
        <v>4</v>
      </c>
      <c r="AC44" s="103">
        <v>3</v>
      </c>
      <c r="AD44" s="103">
        <v>2</v>
      </c>
      <c r="AE44" s="103">
        <v>4</v>
      </c>
      <c r="AF44" s="103">
        <v>2</v>
      </c>
      <c r="AG44" s="103">
        <v>3</v>
      </c>
      <c r="AH44" s="103">
        <v>3</v>
      </c>
      <c r="AI44" s="103">
        <v>1</v>
      </c>
      <c r="AJ44" s="103">
        <v>4</v>
      </c>
      <c r="AK44" s="103">
        <v>1</v>
      </c>
      <c r="AL44" s="104">
        <v>3</v>
      </c>
      <c r="AM44" s="4">
        <v>3</v>
      </c>
      <c r="AN44" s="87">
        <v>1</v>
      </c>
      <c r="AO44" s="4">
        <v>0</v>
      </c>
      <c r="AP44" s="4">
        <v>1</v>
      </c>
      <c r="AQ44" s="4">
        <v>0</v>
      </c>
      <c r="AR44" s="4">
        <v>1</v>
      </c>
      <c r="AS44" s="4">
        <v>0</v>
      </c>
      <c r="AT44" s="4">
        <v>1</v>
      </c>
      <c r="AU44" s="107">
        <v>0</v>
      </c>
      <c r="AV44" s="4">
        <f>IF(K44=VLOOKUP(VALUE(K$1),Questions!$A:$E,5,FALSE),1,0)</f>
        <v>1</v>
      </c>
      <c r="AW44" s="4">
        <f>IF(L44=VLOOKUP(VALUE(L$1),Questions!$A:$E,5,FALSE),1,0)</f>
        <v>1</v>
      </c>
      <c r="AX44" s="4">
        <f>IF(M44=VLOOKUP(VALUE(M$1),Questions!$A:$E,5,FALSE),1,0)</f>
        <v>1</v>
      </c>
      <c r="AY44" s="4">
        <f>IF(N44=VLOOKUP(VALUE(N$1),Questions!$A:$E,5,FALSE),1,0)</f>
        <v>0</v>
      </c>
      <c r="AZ44" s="4">
        <f>IF(O44=VLOOKUP(VALUE(O$1),Questions!$A:$E,5,FALSE),1,0)</f>
        <v>1</v>
      </c>
      <c r="BA44" s="4">
        <f>IF(P44=VLOOKUP(VALUE(P$1),Questions!$A:$E,5,FALSE),1,0)</f>
        <v>0</v>
      </c>
      <c r="BB44" s="4">
        <f>IF(Q44=VLOOKUP(VALUE(Q$1),Questions!$A:$E,5,FALSE),1,0)</f>
        <v>1</v>
      </c>
      <c r="BC44" s="4">
        <f>IF(R44=VLOOKUP(VALUE(R$1),Questions!$A:$E,5,FALSE),1,0)</f>
        <v>1</v>
      </c>
      <c r="BD44" s="4">
        <f>IF(S44=VLOOKUP(VALUE(S$1),Questions!$A:$E,5,FALSE),1,0)</f>
        <v>1</v>
      </c>
      <c r="BE44" s="4">
        <f>IF(T44=VLOOKUP(VALUE(T$1),Questions!$A:$E,5,FALSE),1,0)</f>
        <v>1</v>
      </c>
      <c r="BF44" s="4">
        <f>IF(U44=VLOOKUP(VALUE(U$1),Questions!$A:$E,5,FALSE),1,0)</f>
        <v>1</v>
      </c>
      <c r="BG44" s="4">
        <f>IF(V44=VLOOKUP(VALUE(V$1),Questions!$A:$E,5,FALSE),1,0)</f>
        <v>1</v>
      </c>
      <c r="BH44" s="4">
        <f>IF(W44=VLOOKUP(VALUE(W$1),Questions!$A:$E,5,FALSE),1,0)</f>
        <v>0</v>
      </c>
      <c r="BI44" s="4">
        <f>IF(X44=VLOOKUP(VALUE(X$1),Questions!$A:$E,5,FALSE),1,0)</f>
        <v>0</v>
      </c>
      <c r="BJ44" s="4">
        <f>IF(Y44=VLOOKUP(VALUE(Y$1),Questions!$A:$E,5,FALSE),1,0)</f>
        <v>1</v>
      </c>
      <c r="BK44" s="4">
        <f>IF(Z44=VLOOKUP(VALUE(Z$1),Questions!$A:$E,5,FALSE),1,0)</f>
        <v>0</v>
      </c>
      <c r="BL44" s="4">
        <f>IF(AA44=VLOOKUP(VALUE(AA$1),Questions!$A:$E,5,FALSE),1,0)</f>
        <v>1</v>
      </c>
      <c r="BM44" s="4">
        <f>IF(AB44=VLOOKUP(VALUE(AB$1),Questions!$A:$E,5,FALSE),1,0)</f>
        <v>1</v>
      </c>
      <c r="BN44" s="4">
        <f>IF(AC44=VLOOKUP(VALUE(AC$1),Questions!$A:$E,5,FALSE),1,0)</f>
        <v>1</v>
      </c>
      <c r="BO44" s="4">
        <f>IF(AD44=VLOOKUP(VALUE(AD$1),Questions!$A:$E,5,FALSE),1,0)</f>
        <v>0</v>
      </c>
      <c r="BP44" s="4">
        <f>IF(AE44=VLOOKUP(VALUE(AE$1),Questions!$A:$E,5,FALSE),1,0)</f>
        <v>0</v>
      </c>
      <c r="BQ44" s="4">
        <f>IF(AF44=VLOOKUP(VALUE(AF$1),Questions!$A:$E,5,FALSE),1,0)</f>
        <v>1</v>
      </c>
      <c r="BR44" s="4">
        <f>IF(AG44=VLOOKUP(VALUE(AG$1),Questions!$A:$E,5,FALSE),1,0)</f>
        <v>1</v>
      </c>
      <c r="BS44" s="4">
        <f>IF(AH44=VLOOKUP(VALUE(AH$1),Questions!$A:$E,5,FALSE),1,0)</f>
        <v>1</v>
      </c>
      <c r="BT44" s="4">
        <f>IF(AI44=VLOOKUP(VALUE(AI$1),Questions!$A:$E,5,FALSE),1,0)</f>
        <v>1</v>
      </c>
      <c r="BU44" s="4">
        <f>IF(AJ44=VLOOKUP(VALUE(AJ$1),Questions!$A:$E,5,FALSE),1,0)</f>
        <v>1</v>
      </c>
      <c r="BV44" s="4">
        <f>IF(AK44=VLOOKUP(VALUE(AK$1),Questions!$A:$E,5,FALSE),1,0)</f>
        <v>1</v>
      </c>
      <c r="BW44" s="87">
        <f>IF(AL44=VLOOKUP(VALUE(AL$1),Questions!$A:$E,5,FALSE),1,0)</f>
        <v>1</v>
      </c>
      <c r="BX44" s="4">
        <f>IF(Scores[[#This Row],[Final]]&gt;=65,1,0)</f>
        <v>0</v>
      </c>
      <c r="BY44" s="4">
        <f>IF(Scores[[#This Row],[Final]]&gt;=IF(Scores[[#This Row],[IEP]],55,65),1,0)</f>
        <v>0</v>
      </c>
    </row>
    <row r="45" spans="1:77" x14ac:dyDescent="0.2">
      <c r="A45" s="6">
        <v>44</v>
      </c>
      <c r="B45" s="4">
        <v>11</v>
      </c>
      <c r="C45" s="4" t="s">
        <v>968</v>
      </c>
      <c r="D45" s="105" t="b">
        <v>0</v>
      </c>
      <c r="E45" s="105" t="b">
        <v>0</v>
      </c>
      <c r="F45" s="86">
        <f>SUM(Scores[[#This Row],[Q1]:[Q28]])</f>
        <v>22</v>
      </c>
      <c r="G45" s="4">
        <f>SUM(Scores[[#This Row],[29]]:Scores[[#This Row],[30]])</f>
        <v>3</v>
      </c>
      <c r="H45" s="4">
        <f>SUM(Scores[[#This Row],[31]:[36]])</f>
        <v>5</v>
      </c>
      <c r="I45" s="4">
        <f>Scores[[#This Row],[37]]</f>
        <v>1.5</v>
      </c>
      <c r="J45" s="87">
        <f>INDEX('Conversion Chart'!$C$3:$M$47,MATCH(SUM(Scores[[#This Row],[MC]:[IIIA]]),'Conversion Chart'!$B$3:$B$47),MATCH(Scores[[#This Row],[IIIB]],'Conversion Chart'!$C$2:$M$2))</f>
        <v>72</v>
      </c>
      <c r="K45" s="103">
        <v>4</v>
      </c>
      <c r="L45" s="103">
        <v>1</v>
      </c>
      <c r="M45" s="103">
        <v>3</v>
      </c>
      <c r="N45" s="103">
        <v>3</v>
      </c>
      <c r="O45" s="103">
        <v>1</v>
      </c>
      <c r="P45" s="103">
        <v>4</v>
      </c>
      <c r="Q45" s="103">
        <v>3</v>
      </c>
      <c r="R45" s="103">
        <v>2</v>
      </c>
      <c r="S45" s="103">
        <v>3</v>
      </c>
      <c r="T45" s="103">
        <v>1</v>
      </c>
      <c r="U45" s="103">
        <v>2</v>
      </c>
      <c r="V45" s="103">
        <v>4</v>
      </c>
      <c r="W45" s="103">
        <v>2</v>
      </c>
      <c r="X45" s="103">
        <v>4</v>
      </c>
      <c r="Y45" s="103">
        <v>3</v>
      </c>
      <c r="Z45" s="103">
        <v>4</v>
      </c>
      <c r="AA45" s="103">
        <v>1</v>
      </c>
      <c r="AB45" s="103">
        <v>4</v>
      </c>
      <c r="AC45" s="103">
        <v>3</v>
      </c>
      <c r="AD45" s="103">
        <v>1</v>
      </c>
      <c r="AE45" s="103">
        <v>2</v>
      </c>
      <c r="AF45" s="103">
        <v>2</v>
      </c>
      <c r="AG45" s="103">
        <v>3</v>
      </c>
      <c r="AH45" s="103">
        <v>2</v>
      </c>
      <c r="AI45" s="103">
        <v>1</v>
      </c>
      <c r="AJ45" s="103">
        <v>2</v>
      </c>
      <c r="AK45" s="103">
        <v>1</v>
      </c>
      <c r="AL45" s="104">
        <v>3</v>
      </c>
      <c r="AM45" s="4">
        <v>1</v>
      </c>
      <c r="AN45" s="87">
        <v>2</v>
      </c>
      <c r="AO45" s="4">
        <v>1</v>
      </c>
      <c r="AP45" s="4">
        <v>1</v>
      </c>
      <c r="AQ45" s="4">
        <v>1</v>
      </c>
      <c r="AR45" s="4">
        <v>1</v>
      </c>
      <c r="AS45" s="4">
        <v>1</v>
      </c>
      <c r="AT45" s="4">
        <v>0</v>
      </c>
      <c r="AU45" s="107">
        <v>1.5</v>
      </c>
      <c r="AV45" s="4">
        <f>IF(K45=VLOOKUP(VALUE(K$1),Questions!$A:$E,5,FALSE),1,0)</f>
        <v>1</v>
      </c>
      <c r="AW45" s="4">
        <f>IF(L45=VLOOKUP(VALUE(L$1),Questions!$A:$E,5,FALSE),1,0)</f>
        <v>0</v>
      </c>
      <c r="AX45" s="4">
        <f>IF(M45=VLOOKUP(VALUE(M$1),Questions!$A:$E,5,FALSE),1,0)</f>
        <v>1</v>
      </c>
      <c r="AY45" s="4">
        <f>IF(N45=VLOOKUP(VALUE(N$1),Questions!$A:$E,5,FALSE),1,0)</f>
        <v>1</v>
      </c>
      <c r="AZ45" s="4">
        <f>IF(O45=VLOOKUP(VALUE(O$1),Questions!$A:$E,5,FALSE),1,0)</f>
        <v>1</v>
      </c>
      <c r="BA45" s="4">
        <f>IF(P45=VLOOKUP(VALUE(P$1),Questions!$A:$E,5,FALSE),1,0)</f>
        <v>1</v>
      </c>
      <c r="BB45" s="4">
        <f>IF(Q45=VLOOKUP(VALUE(Q$1),Questions!$A:$E,5,FALSE),1,0)</f>
        <v>1</v>
      </c>
      <c r="BC45" s="4">
        <f>IF(R45=VLOOKUP(VALUE(R$1),Questions!$A:$E,5,FALSE),1,0)</f>
        <v>1</v>
      </c>
      <c r="BD45" s="4">
        <f>IF(S45=VLOOKUP(VALUE(S$1),Questions!$A:$E,5,FALSE),1,0)</f>
        <v>0</v>
      </c>
      <c r="BE45" s="4">
        <f>IF(T45=VLOOKUP(VALUE(T$1),Questions!$A:$E,5,FALSE),1,0)</f>
        <v>1</v>
      </c>
      <c r="BF45" s="4">
        <f>IF(U45=VLOOKUP(VALUE(U$1),Questions!$A:$E,5,FALSE),1,0)</f>
        <v>1</v>
      </c>
      <c r="BG45" s="4">
        <f>IF(V45=VLOOKUP(VALUE(V$1),Questions!$A:$E,5,FALSE),1,0)</f>
        <v>1</v>
      </c>
      <c r="BH45" s="4">
        <f>IF(W45=VLOOKUP(VALUE(W$1),Questions!$A:$E,5,FALSE),1,0)</f>
        <v>1</v>
      </c>
      <c r="BI45" s="4">
        <f>IF(X45=VLOOKUP(VALUE(X$1),Questions!$A:$E,5,FALSE),1,0)</f>
        <v>1</v>
      </c>
      <c r="BJ45" s="4">
        <f>IF(Y45=VLOOKUP(VALUE(Y$1),Questions!$A:$E,5,FALSE),1,0)</f>
        <v>1</v>
      </c>
      <c r="BK45" s="4">
        <f>IF(Z45=VLOOKUP(VALUE(Z$1),Questions!$A:$E,5,FALSE),1,0)</f>
        <v>0</v>
      </c>
      <c r="BL45" s="4">
        <f>IF(AA45=VLOOKUP(VALUE(AA$1),Questions!$A:$E,5,FALSE),1,0)</f>
        <v>1</v>
      </c>
      <c r="BM45" s="4">
        <f>IF(AB45=VLOOKUP(VALUE(AB$1),Questions!$A:$E,5,FALSE),1,0)</f>
        <v>1</v>
      </c>
      <c r="BN45" s="4">
        <f>IF(AC45=VLOOKUP(VALUE(AC$1),Questions!$A:$E,5,FALSE),1,0)</f>
        <v>1</v>
      </c>
      <c r="BO45" s="4">
        <f>IF(AD45=VLOOKUP(VALUE(AD$1),Questions!$A:$E,5,FALSE),1,0)</f>
        <v>0</v>
      </c>
      <c r="BP45" s="4">
        <f>IF(AE45=VLOOKUP(VALUE(AE$1),Questions!$A:$E,5,FALSE),1,0)</f>
        <v>1</v>
      </c>
      <c r="BQ45" s="4">
        <f>IF(AF45=VLOOKUP(VALUE(AF$1),Questions!$A:$E,5,FALSE),1,0)</f>
        <v>1</v>
      </c>
      <c r="BR45" s="4">
        <f>IF(AG45=VLOOKUP(VALUE(AG$1),Questions!$A:$E,5,FALSE),1,0)</f>
        <v>1</v>
      </c>
      <c r="BS45" s="4">
        <f>IF(AH45=VLOOKUP(VALUE(AH$1),Questions!$A:$E,5,FALSE),1,0)</f>
        <v>0</v>
      </c>
      <c r="BT45" s="4">
        <f>IF(AI45=VLOOKUP(VALUE(AI$1),Questions!$A:$E,5,FALSE),1,0)</f>
        <v>1</v>
      </c>
      <c r="BU45" s="4">
        <f>IF(AJ45=VLOOKUP(VALUE(AJ$1),Questions!$A:$E,5,FALSE),1,0)</f>
        <v>0</v>
      </c>
      <c r="BV45" s="4">
        <f>IF(AK45=VLOOKUP(VALUE(AK$1),Questions!$A:$E,5,FALSE),1,0)</f>
        <v>1</v>
      </c>
      <c r="BW45" s="87">
        <f>IF(AL45=VLOOKUP(VALUE(AL$1),Questions!$A:$E,5,FALSE),1,0)</f>
        <v>1</v>
      </c>
      <c r="BX45" s="4">
        <f>IF(Scores[[#This Row],[Final]]&gt;=65,1,0)</f>
        <v>1</v>
      </c>
      <c r="BY45" s="4">
        <f>IF(Scores[[#This Row],[Final]]&gt;=IF(Scores[[#This Row],[IEP]],55,65),1,0)</f>
        <v>1</v>
      </c>
    </row>
    <row r="46" spans="1:77" x14ac:dyDescent="0.2">
      <c r="A46" s="6">
        <v>45</v>
      </c>
      <c r="B46" s="4">
        <v>11</v>
      </c>
      <c r="C46" s="4" t="s">
        <v>968</v>
      </c>
      <c r="D46" s="105" t="b">
        <v>0</v>
      </c>
      <c r="E46" s="105" t="b">
        <v>0</v>
      </c>
      <c r="F46" s="86">
        <f>SUM(Scores[[#This Row],[Q1]:[Q28]])</f>
        <v>19</v>
      </c>
      <c r="G46" s="4">
        <f>SUM(Scores[[#This Row],[29]]:Scores[[#This Row],[30]])</f>
        <v>5</v>
      </c>
      <c r="H46" s="4">
        <f>SUM(Scores[[#This Row],[31]:[36]])</f>
        <v>6</v>
      </c>
      <c r="I46" s="4">
        <f>Scores[[#This Row],[37]]</f>
        <v>2.5</v>
      </c>
      <c r="J46" s="87">
        <f>INDEX('Conversion Chart'!$C$3:$M$47,MATCH(SUM(Scores[[#This Row],[MC]:[IIIA]]),'Conversion Chart'!$B$3:$B$47),MATCH(Scores[[#This Row],[IIIB]],'Conversion Chart'!$C$2:$M$2))</f>
        <v>75</v>
      </c>
      <c r="K46" s="103">
        <v>4</v>
      </c>
      <c r="L46" s="103">
        <v>1</v>
      </c>
      <c r="M46" s="103">
        <v>3</v>
      </c>
      <c r="N46" s="103">
        <v>3</v>
      </c>
      <c r="O46" s="103">
        <v>1</v>
      </c>
      <c r="P46" s="103">
        <v>3</v>
      </c>
      <c r="Q46" s="103">
        <v>3</v>
      </c>
      <c r="R46" s="103">
        <v>1</v>
      </c>
      <c r="S46" s="103">
        <v>2</v>
      </c>
      <c r="T46" s="103">
        <v>1</v>
      </c>
      <c r="U46" s="103">
        <v>2</v>
      </c>
      <c r="V46" s="103">
        <v>4</v>
      </c>
      <c r="W46" s="103">
        <v>2</v>
      </c>
      <c r="X46" s="103">
        <v>4</v>
      </c>
      <c r="Y46" s="103">
        <v>3</v>
      </c>
      <c r="Z46" s="103">
        <v>1</v>
      </c>
      <c r="AA46" s="103">
        <v>2</v>
      </c>
      <c r="AB46" s="103">
        <v>3</v>
      </c>
      <c r="AC46" s="103">
        <v>1</v>
      </c>
      <c r="AD46" s="103">
        <v>1</v>
      </c>
      <c r="AE46" s="103">
        <v>3</v>
      </c>
      <c r="AF46" s="103">
        <v>2</v>
      </c>
      <c r="AG46" s="103">
        <v>3</v>
      </c>
      <c r="AH46" s="103">
        <v>2</v>
      </c>
      <c r="AI46" s="103">
        <v>1</v>
      </c>
      <c r="AJ46" s="103">
        <v>4</v>
      </c>
      <c r="AK46" s="103">
        <v>1</v>
      </c>
      <c r="AL46" s="104">
        <v>3</v>
      </c>
      <c r="AM46" s="4">
        <v>3</v>
      </c>
      <c r="AN46" s="87">
        <v>2</v>
      </c>
      <c r="AO46" s="4">
        <v>1</v>
      </c>
      <c r="AP46" s="4">
        <v>1</v>
      </c>
      <c r="AQ46" s="4">
        <v>1</v>
      </c>
      <c r="AR46" s="4">
        <v>1</v>
      </c>
      <c r="AS46" s="4">
        <v>1</v>
      </c>
      <c r="AT46" s="4">
        <v>1</v>
      </c>
      <c r="AU46" s="107">
        <v>2.5</v>
      </c>
      <c r="AV46" s="4">
        <f>IF(K46=VLOOKUP(VALUE(K$1),Questions!$A:$E,5,FALSE),1,0)</f>
        <v>1</v>
      </c>
      <c r="AW46" s="4">
        <f>IF(L46=VLOOKUP(VALUE(L$1),Questions!$A:$E,5,FALSE),1,0)</f>
        <v>0</v>
      </c>
      <c r="AX46" s="4">
        <f>IF(M46=VLOOKUP(VALUE(M$1),Questions!$A:$E,5,FALSE),1,0)</f>
        <v>1</v>
      </c>
      <c r="AY46" s="4">
        <f>IF(N46=VLOOKUP(VALUE(N$1),Questions!$A:$E,5,FALSE),1,0)</f>
        <v>1</v>
      </c>
      <c r="AZ46" s="4">
        <f>IF(O46=VLOOKUP(VALUE(O$1),Questions!$A:$E,5,FALSE),1,0)</f>
        <v>1</v>
      </c>
      <c r="BA46" s="4">
        <f>IF(P46=VLOOKUP(VALUE(P$1),Questions!$A:$E,5,FALSE),1,0)</f>
        <v>0</v>
      </c>
      <c r="BB46" s="4">
        <f>IF(Q46=VLOOKUP(VALUE(Q$1),Questions!$A:$E,5,FALSE),1,0)</f>
        <v>1</v>
      </c>
      <c r="BC46" s="4">
        <f>IF(R46=VLOOKUP(VALUE(R$1),Questions!$A:$E,5,FALSE),1,0)</f>
        <v>0</v>
      </c>
      <c r="BD46" s="4">
        <f>IF(S46=VLOOKUP(VALUE(S$1),Questions!$A:$E,5,FALSE),1,0)</f>
        <v>1</v>
      </c>
      <c r="BE46" s="4">
        <f>IF(T46=VLOOKUP(VALUE(T$1),Questions!$A:$E,5,FALSE),1,0)</f>
        <v>1</v>
      </c>
      <c r="BF46" s="4">
        <f>IF(U46=VLOOKUP(VALUE(U$1),Questions!$A:$E,5,FALSE),1,0)</f>
        <v>1</v>
      </c>
      <c r="BG46" s="4">
        <f>IF(V46=VLOOKUP(VALUE(V$1),Questions!$A:$E,5,FALSE),1,0)</f>
        <v>1</v>
      </c>
      <c r="BH46" s="4">
        <f>IF(W46=VLOOKUP(VALUE(W$1),Questions!$A:$E,5,FALSE),1,0)</f>
        <v>1</v>
      </c>
      <c r="BI46" s="4">
        <f>IF(X46=VLOOKUP(VALUE(X$1),Questions!$A:$E,5,FALSE),1,0)</f>
        <v>1</v>
      </c>
      <c r="BJ46" s="4">
        <f>IF(Y46=VLOOKUP(VALUE(Y$1),Questions!$A:$E,5,FALSE),1,0)</f>
        <v>1</v>
      </c>
      <c r="BK46" s="4">
        <f>IF(Z46=VLOOKUP(VALUE(Z$1),Questions!$A:$E,5,FALSE),1,0)</f>
        <v>1</v>
      </c>
      <c r="BL46" s="4">
        <f>IF(AA46=VLOOKUP(VALUE(AA$1),Questions!$A:$E,5,FALSE),1,0)</f>
        <v>0</v>
      </c>
      <c r="BM46" s="4">
        <f>IF(AB46=VLOOKUP(VALUE(AB$1),Questions!$A:$E,5,FALSE),1,0)</f>
        <v>0</v>
      </c>
      <c r="BN46" s="4">
        <f>IF(AC46=VLOOKUP(VALUE(AC$1),Questions!$A:$E,5,FALSE),1,0)</f>
        <v>0</v>
      </c>
      <c r="BO46" s="4">
        <f>IF(AD46=VLOOKUP(VALUE(AD$1),Questions!$A:$E,5,FALSE),1,0)</f>
        <v>0</v>
      </c>
      <c r="BP46" s="4">
        <f>IF(AE46=VLOOKUP(VALUE(AE$1),Questions!$A:$E,5,FALSE),1,0)</f>
        <v>0</v>
      </c>
      <c r="BQ46" s="4">
        <f>IF(AF46=VLOOKUP(VALUE(AF$1),Questions!$A:$E,5,FALSE),1,0)</f>
        <v>1</v>
      </c>
      <c r="BR46" s="4">
        <f>IF(AG46=VLOOKUP(VALUE(AG$1),Questions!$A:$E,5,FALSE),1,0)</f>
        <v>1</v>
      </c>
      <c r="BS46" s="4">
        <f>IF(AH46=VLOOKUP(VALUE(AH$1),Questions!$A:$E,5,FALSE),1,0)</f>
        <v>0</v>
      </c>
      <c r="BT46" s="4">
        <f>IF(AI46=VLOOKUP(VALUE(AI$1),Questions!$A:$E,5,FALSE),1,0)</f>
        <v>1</v>
      </c>
      <c r="BU46" s="4">
        <f>IF(AJ46=VLOOKUP(VALUE(AJ$1),Questions!$A:$E,5,FALSE),1,0)</f>
        <v>1</v>
      </c>
      <c r="BV46" s="4">
        <f>IF(AK46=VLOOKUP(VALUE(AK$1),Questions!$A:$E,5,FALSE),1,0)</f>
        <v>1</v>
      </c>
      <c r="BW46" s="87">
        <f>IF(AL46=VLOOKUP(VALUE(AL$1),Questions!$A:$E,5,FALSE),1,0)</f>
        <v>1</v>
      </c>
      <c r="BX46" s="4">
        <f>IF(Scores[[#This Row],[Final]]&gt;=65,1,0)</f>
        <v>1</v>
      </c>
      <c r="BY46" s="4">
        <f>IF(Scores[[#This Row],[Final]]&gt;=IF(Scores[[#This Row],[IEP]],55,65),1,0)</f>
        <v>1</v>
      </c>
    </row>
    <row r="47" spans="1:77" x14ac:dyDescent="0.2">
      <c r="A47" s="6">
        <v>46</v>
      </c>
      <c r="B47" s="4">
        <v>9</v>
      </c>
      <c r="C47" s="4" t="s">
        <v>964</v>
      </c>
      <c r="D47" s="105" t="b">
        <v>0</v>
      </c>
      <c r="E47" s="105" t="b">
        <v>0</v>
      </c>
      <c r="F47" s="86">
        <f>SUM(Scores[[#This Row],[Q1]:[Q28]])</f>
        <v>15</v>
      </c>
      <c r="G47" s="4">
        <f>SUM(Scores[[#This Row],[29]]:Scores[[#This Row],[30]])</f>
        <v>3</v>
      </c>
      <c r="H47" s="4">
        <f>SUM(Scores[[#This Row],[31]:[36]])</f>
        <v>5</v>
      </c>
      <c r="I47" s="4">
        <f>Scores[[#This Row],[37]]</f>
        <v>2.5</v>
      </c>
      <c r="J47" s="87">
        <f>INDEX('Conversion Chart'!$C$3:$M$47,MATCH(SUM(Scores[[#This Row],[MC]:[IIIA]]),'Conversion Chart'!$B$3:$B$47),MATCH(Scores[[#This Row],[IIIB]],'Conversion Chart'!$C$2:$M$2))</f>
        <v>67</v>
      </c>
      <c r="K47" s="103">
        <v>4</v>
      </c>
      <c r="L47" s="103">
        <v>1</v>
      </c>
      <c r="M47" s="103">
        <v>1</v>
      </c>
      <c r="N47" s="103">
        <v>1</v>
      </c>
      <c r="O47" s="103">
        <v>1</v>
      </c>
      <c r="P47" s="103">
        <v>3</v>
      </c>
      <c r="Q47" s="103">
        <v>4</v>
      </c>
      <c r="R47" s="103">
        <v>2</v>
      </c>
      <c r="S47" s="103">
        <v>4</v>
      </c>
      <c r="T47" s="103">
        <v>1</v>
      </c>
      <c r="U47" s="103">
        <v>2</v>
      </c>
      <c r="V47" s="103">
        <v>4</v>
      </c>
      <c r="W47" s="103">
        <v>1</v>
      </c>
      <c r="X47" s="103">
        <v>4</v>
      </c>
      <c r="Y47" s="103">
        <v>1</v>
      </c>
      <c r="Z47" s="103">
        <v>4</v>
      </c>
      <c r="AA47" s="103">
        <v>1</v>
      </c>
      <c r="AB47" s="103">
        <v>3</v>
      </c>
      <c r="AC47" s="103">
        <v>3</v>
      </c>
      <c r="AD47" s="103">
        <v>4</v>
      </c>
      <c r="AE47" s="103">
        <v>2</v>
      </c>
      <c r="AF47" s="103">
        <v>2</v>
      </c>
      <c r="AG47" s="103">
        <v>4</v>
      </c>
      <c r="AH47" s="103">
        <v>4</v>
      </c>
      <c r="AI47" s="103">
        <v>3</v>
      </c>
      <c r="AJ47" s="103">
        <v>4</v>
      </c>
      <c r="AK47" s="103">
        <v>1</v>
      </c>
      <c r="AL47" s="104">
        <v>3</v>
      </c>
      <c r="AM47" s="4">
        <v>2</v>
      </c>
      <c r="AN47" s="87">
        <v>1</v>
      </c>
      <c r="AO47" s="4">
        <v>1</v>
      </c>
      <c r="AP47" s="4">
        <v>1</v>
      </c>
      <c r="AQ47" s="4">
        <v>1</v>
      </c>
      <c r="AR47" s="4">
        <v>1</v>
      </c>
      <c r="AS47" s="4">
        <v>1</v>
      </c>
      <c r="AT47" s="4">
        <v>0</v>
      </c>
      <c r="AU47" s="107">
        <v>2.5</v>
      </c>
      <c r="AV47" s="4">
        <f>IF(K47=VLOOKUP(VALUE(K$1),Questions!$A:$E,5,FALSE),1,0)</f>
        <v>1</v>
      </c>
      <c r="AW47" s="4">
        <f>IF(L47=VLOOKUP(VALUE(L$1),Questions!$A:$E,5,FALSE),1,0)</f>
        <v>0</v>
      </c>
      <c r="AX47" s="4">
        <f>IF(M47=VLOOKUP(VALUE(M$1),Questions!$A:$E,5,FALSE),1,0)</f>
        <v>0</v>
      </c>
      <c r="AY47" s="4">
        <f>IF(N47=VLOOKUP(VALUE(N$1),Questions!$A:$E,5,FALSE),1,0)</f>
        <v>0</v>
      </c>
      <c r="AZ47" s="4">
        <f>IF(O47=VLOOKUP(VALUE(O$1),Questions!$A:$E,5,FALSE),1,0)</f>
        <v>1</v>
      </c>
      <c r="BA47" s="4">
        <f>IF(P47=VLOOKUP(VALUE(P$1),Questions!$A:$E,5,FALSE),1,0)</f>
        <v>0</v>
      </c>
      <c r="BB47" s="4">
        <f>IF(Q47=VLOOKUP(VALUE(Q$1),Questions!$A:$E,5,FALSE),1,0)</f>
        <v>0</v>
      </c>
      <c r="BC47" s="4">
        <f>IF(R47=VLOOKUP(VALUE(R$1),Questions!$A:$E,5,FALSE),1,0)</f>
        <v>1</v>
      </c>
      <c r="BD47" s="4">
        <f>IF(S47=VLOOKUP(VALUE(S$1),Questions!$A:$E,5,FALSE),1,0)</f>
        <v>0</v>
      </c>
      <c r="BE47" s="4">
        <f>IF(T47=VLOOKUP(VALUE(T$1),Questions!$A:$E,5,FALSE),1,0)</f>
        <v>1</v>
      </c>
      <c r="BF47" s="4">
        <f>IF(U47=VLOOKUP(VALUE(U$1),Questions!$A:$E,5,FALSE),1,0)</f>
        <v>1</v>
      </c>
      <c r="BG47" s="4">
        <f>IF(V47=VLOOKUP(VALUE(V$1),Questions!$A:$E,5,FALSE),1,0)</f>
        <v>1</v>
      </c>
      <c r="BH47" s="4">
        <f>IF(W47=VLOOKUP(VALUE(W$1),Questions!$A:$E,5,FALSE),1,0)</f>
        <v>0</v>
      </c>
      <c r="BI47" s="4">
        <f>IF(X47=VLOOKUP(VALUE(X$1),Questions!$A:$E,5,FALSE),1,0)</f>
        <v>1</v>
      </c>
      <c r="BJ47" s="4">
        <f>IF(Y47=VLOOKUP(VALUE(Y$1),Questions!$A:$E,5,FALSE),1,0)</f>
        <v>0</v>
      </c>
      <c r="BK47" s="4">
        <f>IF(Z47=VLOOKUP(VALUE(Z$1),Questions!$A:$E,5,FALSE),1,0)</f>
        <v>0</v>
      </c>
      <c r="BL47" s="4">
        <f>IF(AA47=VLOOKUP(VALUE(AA$1),Questions!$A:$E,5,FALSE),1,0)</f>
        <v>1</v>
      </c>
      <c r="BM47" s="4">
        <f>IF(AB47=VLOOKUP(VALUE(AB$1),Questions!$A:$E,5,FALSE),1,0)</f>
        <v>0</v>
      </c>
      <c r="BN47" s="4">
        <f>IF(AC47=VLOOKUP(VALUE(AC$1),Questions!$A:$E,5,FALSE),1,0)</f>
        <v>1</v>
      </c>
      <c r="BO47" s="4">
        <f>IF(AD47=VLOOKUP(VALUE(AD$1),Questions!$A:$E,5,FALSE),1,0)</f>
        <v>1</v>
      </c>
      <c r="BP47" s="4">
        <f>IF(AE47=VLOOKUP(VALUE(AE$1),Questions!$A:$E,5,FALSE),1,0)</f>
        <v>1</v>
      </c>
      <c r="BQ47" s="4">
        <f>IF(AF47=VLOOKUP(VALUE(AF$1),Questions!$A:$E,5,FALSE),1,0)</f>
        <v>1</v>
      </c>
      <c r="BR47" s="4">
        <f>IF(AG47=VLOOKUP(VALUE(AG$1),Questions!$A:$E,5,FALSE),1,0)</f>
        <v>0</v>
      </c>
      <c r="BS47" s="4">
        <f>IF(AH47=VLOOKUP(VALUE(AH$1),Questions!$A:$E,5,FALSE),1,0)</f>
        <v>0</v>
      </c>
      <c r="BT47" s="4">
        <f>IF(AI47=VLOOKUP(VALUE(AI$1),Questions!$A:$E,5,FALSE),1,0)</f>
        <v>0</v>
      </c>
      <c r="BU47" s="4">
        <f>IF(AJ47=VLOOKUP(VALUE(AJ$1),Questions!$A:$E,5,FALSE),1,0)</f>
        <v>1</v>
      </c>
      <c r="BV47" s="4">
        <f>IF(AK47=VLOOKUP(VALUE(AK$1),Questions!$A:$E,5,FALSE),1,0)</f>
        <v>1</v>
      </c>
      <c r="BW47" s="87">
        <f>IF(AL47=VLOOKUP(VALUE(AL$1),Questions!$A:$E,5,FALSE),1,0)</f>
        <v>1</v>
      </c>
      <c r="BX47" s="4">
        <f>IF(Scores[[#This Row],[Final]]&gt;=65,1,0)</f>
        <v>1</v>
      </c>
      <c r="BY47" s="4">
        <f>IF(Scores[[#This Row],[Final]]&gt;=IF(Scores[[#This Row],[IEP]],55,65),1,0)</f>
        <v>1</v>
      </c>
    </row>
    <row r="48" spans="1:77" x14ac:dyDescent="0.2">
      <c r="A48" s="6">
        <v>47</v>
      </c>
      <c r="B48" s="4">
        <v>9</v>
      </c>
      <c r="C48" s="4" t="s">
        <v>963</v>
      </c>
      <c r="D48" s="105" t="b">
        <v>0</v>
      </c>
      <c r="E48" s="105" t="b">
        <v>0</v>
      </c>
      <c r="F48" s="86">
        <f>SUM(Scores[[#This Row],[Q1]:[Q28]])</f>
        <v>19</v>
      </c>
      <c r="G48" s="4">
        <f>SUM(Scores[[#This Row],[29]]:Scores[[#This Row],[30]])</f>
        <v>5</v>
      </c>
      <c r="H48" s="4">
        <f>SUM(Scores[[#This Row],[31]:[36]])</f>
        <v>6</v>
      </c>
      <c r="I48" s="4">
        <f>Scores[[#This Row],[37]]</f>
        <v>2</v>
      </c>
      <c r="J48" s="87">
        <f>INDEX('Conversion Chart'!$C$3:$M$47,MATCH(SUM(Scores[[#This Row],[MC]:[IIIA]]),'Conversion Chart'!$B$3:$B$47),MATCH(Scores[[#This Row],[IIIB]],'Conversion Chart'!$C$2:$M$2))</f>
        <v>73</v>
      </c>
      <c r="K48" s="103">
        <v>3</v>
      </c>
      <c r="L48" s="103">
        <v>2</v>
      </c>
      <c r="M48" s="103">
        <v>4</v>
      </c>
      <c r="N48" s="103">
        <v>3</v>
      </c>
      <c r="O48" s="103">
        <v>1</v>
      </c>
      <c r="P48" s="103">
        <v>4</v>
      </c>
      <c r="Q48" s="103">
        <v>3</v>
      </c>
      <c r="R48" s="103">
        <v>3</v>
      </c>
      <c r="S48" s="103">
        <v>2</v>
      </c>
      <c r="T48" s="103">
        <v>1</v>
      </c>
      <c r="U48" s="103">
        <v>2</v>
      </c>
      <c r="V48" s="103">
        <v>4</v>
      </c>
      <c r="W48" s="103">
        <v>2</v>
      </c>
      <c r="X48" s="103">
        <v>4</v>
      </c>
      <c r="Y48" s="103">
        <v>3</v>
      </c>
      <c r="Z48" s="103">
        <v>4</v>
      </c>
      <c r="AA48" s="103">
        <v>1</v>
      </c>
      <c r="AB48" s="103">
        <v>4</v>
      </c>
      <c r="AC48" s="103">
        <v>1</v>
      </c>
      <c r="AD48" s="103">
        <v>4</v>
      </c>
      <c r="AE48" s="103">
        <v>2</v>
      </c>
      <c r="AF48" s="103">
        <v>1</v>
      </c>
      <c r="AG48" s="103">
        <v>3</v>
      </c>
      <c r="AH48" s="103">
        <v>1</v>
      </c>
      <c r="AI48" s="103">
        <v>4</v>
      </c>
      <c r="AJ48" s="103">
        <v>4</v>
      </c>
      <c r="AK48" s="103">
        <v>4</v>
      </c>
      <c r="AL48" s="104">
        <v>3</v>
      </c>
      <c r="AM48" s="4">
        <v>3</v>
      </c>
      <c r="AN48" s="87">
        <v>2</v>
      </c>
      <c r="AO48" s="4">
        <v>1</v>
      </c>
      <c r="AP48" s="4">
        <v>1</v>
      </c>
      <c r="AQ48" s="4">
        <v>1</v>
      </c>
      <c r="AR48" s="4">
        <v>1</v>
      </c>
      <c r="AS48" s="4">
        <v>1</v>
      </c>
      <c r="AT48" s="4">
        <v>1</v>
      </c>
      <c r="AU48" s="107">
        <v>2</v>
      </c>
      <c r="AV48" s="4">
        <f>IF(K48=VLOOKUP(VALUE(K$1),Questions!$A:$E,5,FALSE),1,0)</f>
        <v>0</v>
      </c>
      <c r="AW48" s="4">
        <f>IF(L48=VLOOKUP(VALUE(L$1),Questions!$A:$E,5,FALSE),1,0)</f>
        <v>1</v>
      </c>
      <c r="AX48" s="4">
        <f>IF(M48=VLOOKUP(VALUE(M$1),Questions!$A:$E,5,FALSE),1,0)</f>
        <v>0</v>
      </c>
      <c r="AY48" s="4">
        <f>IF(N48=VLOOKUP(VALUE(N$1),Questions!$A:$E,5,FALSE),1,0)</f>
        <v>1</v>
      </c>
      <c r="AZ48" s="4">
        <f>IF(O48=VLOOKUP(VALUE(O$1),Questions!$A:$E,5,FALSE),1,0)</f>
        <v>1</v>
      </c>
      <c r="BA48" s="4">
        <f>IF(P48=VLOOKUP(VALUE(P$1),Questions!$A:$E,5,FALSE),1,0)</f>
        <v>1</v>
      </c>
      <c r="BB48" s="4">
        <f>IF(Q48=VLOOKUP(VALUE(Q$1),Questions!$A:$E,5,FALSE),1,0)</f>
        <v>1</v>
      </c>
      <c r="BC48" s="4">
        <f>IF(R48=VLOOKUP(VALUE(R$1),Questions!$A:$E,5,FALSE),1,0)</f>
        <v>0</v>
      </c>
      <c r="BD48" s="4">
        <f>IF(S48=VLOOKUP(VALUE(S$1),Questions!$A:$E,5,FALSE),1,0)</f>
        <v>1</v>
      </c>
      <c r="BE48" s="4">
        <f>IF(T48=VLOOKUP(VALUE(T$1),Questions!$A:$E,5,FALSE),1,0)</f>
        <v>1</v>
      </c>
      <c r="BF48" s="4">
        <f>IF(U48=VLOOKUP(VALUE(U$1),Questions!$A:$E,5,FALSE),1,0)</f>
        <v>1</v>
      </c>
      <c r="BG48" s="4">
        <f>IF(V48=VLOOKUP(VALUE(V$1),Questions!$A:$E,5,FALSE),1,0)</f>
        <v>1</v>
      </c>
      <c r="BH48" s="4">
        <f>IF(W48=VLOOKUP(VALUE(W$1),Questions!$A:$E,5,FALSE),1,0)</f>
        <v>1</v>
      </c>
      <c r="BI48" s="4">
        <f>IF(X48=VLOOKUP(VALUE(X$1),Questions!$A:$E,5,FALSE),1,0)</f>
        <v>1</v>
      </c>
      <c r="BJ48" s="4">
        <f>IF(Y48=VLOOKUP(VALUE(Y$1),Questions!$A:$E,5,FALSE),1,0)</f>
        <v>1</v>
      </c>
      <c r="BK48" s="4">
        <f>IF(Z48=VLOOKUP(VALUE(Z$1),Questions!$A:$E,5,FALSE),1,0)</f>
        <v>0</v>
      </c>
      <c r="BL48" s="4">
        <f>IF(AA48=VLOOKUP(VALUE(AA$1),Questions!$A:$E,5,FALSE),1,0)</f>
        <v>1</v>
      </c>
      <c r="BM48" s="4">
        <f>IF(AB48=VLOOKUP(VALUE(AB$1),Questions!$A:$E,5,FALSE),1,0)</f>
        <v>1</v>
      </c>
      <c r="BN48" s="4">
        <f>IF(AC48=VLOOKUP(VALUE(AC$1),Questions!$A:$E,5,FALSE),1,0)</f>
        <v>0</v>
      </c>
      <c r="BO48" s="4">
        <f>IF(AD48=VLOOKUP(VALUE(AD$1),Questions!$A:$E,5,FALSE),1,0)</f>
        <v>1</v>
      </c>
      <c r="BP48" s="4">
        <f>IF(AE48=VLOOKUP(VALUE(AE$1),Questions!$A:$E,5,FALSE),1,0)</f>
        <v>1</v>
      </c>
      <c r="BQ48" s="4">
        <f>IF(AF48=VLOOKUP(VALUE(AF$1),Questions!$A:$E,5,FALSE),1,0)</f>
        <v>0</v>
      </c>
      <c r="BR48" s="4">
        <f>IF(AG48=VLOOKUP(VALUE(AG$1),Questions!$A:$E,5,FALSE),1,0)</f>
        <v>1</v>
      </c>
      <c r="BS48" s="4">
        <f>IF(AH48=VLOOKUP(VALUE(AH$1),Questions!$A:$E,5,FALSE),1,0)</f>
        <v>0</v>
      </c>
      <c r="BT48" s="4">
        <f>IF(AI48=VLOOKUP(VALUE(AI$1),Questions!$A:$E,5,FALSE),1,0)</f>
        <v>0</v>
      </c>
      <c r="BU48" s="4">
        <f>IF(AJ48=VLOOKUP(VALUE(AJ$1),Questions!$A:$E,5,FALSE),1,0)</f>
        <v>1</v>
      </c>
      <c r="BV48" s="4">
        <f>IF(AK48=VLOOKUP(VALUE(AK$1),Questions!$A:$E,5,FALSE),1,0)</f>
        <v>0</v>
      </c>
      <c r="BW48" s="87">
        <f>IF(AL48=VLOOKUP(VALUE(AL$1),Questions!$A:$E,5,FALSE),1,0)</f>
        <v>1</v>
      </c>
      <c r="BX48" s="4">
        <f>IF(Scores[[#This Row],[Final]]&gt;=65,1,0)</f>
        <v>1</v>
      </c>
      <c r="BY48" s="4">
        <f>IF(Scores[[#This Row],[Final]]&gt;=IF(Scores[[#This Row],[IEP]],55,65),1,0)</f>
        <v>1</v>
      </c>
    </row>
    <row r="49" spans="1:77" x14ac:dyDescent="0.2">
      <c r="A49" s="6">
        <v>48</v>
      </c>
      <c r="B49" s="4">
        <v>9</v>
      </c>
      <c r="C49" s="4" t="s">
        <v>963</v>
      </c>
      <c r="D49" s="105" t="b">
        <v>0</v>
      </c>
      <c r="E49" s="105" t="b">
        <v>0</v>
      </c>
      <c r="F49" s="86">
        <f>SUM(Scores[[#This Row],[Q1]:[Q28]])</f>
        <v>23</v>
      </c>
      <c r="G49" s="4">
        <f>SUM(Scores[[#This Row],[29]]:Scores[[#This Row],[30]])</f>
        <v>3</v>
      </c>
      <c r="H49" s="4">
        <f>SUM(Scores[[#This Row],[31]:[36]])</f>
        <v>6</v>
      </c>
      <c r="I49" s="4">
        <f>Scores[[#This Row],[37]]</f>
        <v>1</v>
      </c>
      <c r="J49" s="87">
        <f>INDEX('Conversion Chart'!$C$3:$M$47,MATCH(SUM(Scores[[#This Row],[MC]:[IIIA]]),'Conversion Chart'!$B$3:$B$47),MATCH(Scores[[#This Row],[IIIB]],'Conversion Chart'!$C$2:$M$2))</f>
        <v>72</v>
      </c>
      <c r="K49" s="103">
        <v>4</v>
      </c>
      <c r="L49" s="103">
        <v>2</v>
      </c>
      <c r="M49" s="103">
        <v>3</v>
      </c>
      <c r="N49" s="103">
        <v>3</v>
      </c>
      <c r="O49" s="103">
        <v>1</v>
      </c>
      <c r="P49" s="103">
        <v>2</v>
      </c>
      <c r="Q49" s="103">
        <v>3</v>
      </c>
      <c r="R49" s="103">
        <v>2</v>
      </c>
      <c r="S49" s="103">
        <v>4</v>
      </c>
      <c r="T49" s="103">
        <v>1</v>
      </c>
      <c r="U49" s="103">
        <v>2</v>
      </c>
      <c r="V49" s="103">
        <v>4</v>
      </c>
      <c r="W49" s="103">
        <v>2</v>
      </c>
      <c r="X49" s="103">
        <v>4</v>
      </c>
      <c r="Y49" s="103">
        <v>3</v>
      </c>
      <c r="Z49" s="103">
        <v>1</v>
      </c>
      <c r="AA49" s="103">
        <v>1</v>
      </c>
      <c r="AB49" s="103">
        <v>3</v>
      </c>
      <c r="AC49" s="103">
        <v>3</v>
      </c>
      <c r="AD49" s="103">
        <v>4</v>
      </c>
      <c r="AE49" s="103">
        <v>3</v>
      </c>
      <c r="AF49" s="103">
        <v>2</v>
      </c>
      <c r="AG49" s="103">
        <v>3</v>
      </c>
      <c r="AH49" s="103">
        <v>3</v>
      </c>
      <c r="AI49" s="103">
        <v>1</v>
      </c>
      <c r="AJ49" s="103">
        <v>4</v>
      </c>
      <c r="AK49" s="103">
        <v>2</v>
      </c>
      <c r="AL49" s="104">
        <v>3</v>
      </c>
      <c r="AM49" s="4">
        <v>2</v>
      </c>
      <c r="AN49" s="87">
        <v>1</v>
      </c>
      <c r="AO49" s="4">
        <v>1</v>
      </c>
      <c r="AP49" s="4">
        <v>1</v>
      </c>
      <c r="AQ49" s="4">
        <v>1</v>
      </c>
      <c r="AR49" s="4">
        <v>1</v>
      </c>
      <c r="AS49" s="4">
        <v>1</v>
      </c>
      <c r="AT49" s="4">
        <v>1</v>
      </c>
      <c r="AU49" s="107">
        <v>1</v>
      </c>
      <c r="AV49" s="4">
        <f>IF(K49=VLOOKUP(VALUE(K$1),Questions!$A:$E,5,FALSE),1,0)</f>
        <v>1</v>
      </c>
      <c r="AW49" s="4">
        <f>IF(L49=VLOOKUP(VALUE(L$1),Questions!$A:$E,5,FALSE),1,0)</f>
        <v>1</v>
      </c>
      <c r="AX49" s="4">
        <f>IF(M49=VLOOKUP(VALUE(M$1),Questions!$A:$E,5,FALSE),1,0)</f>
        <v>1</v>
      </c>
      <c r="AY49" s="4">
        <f>IF(N49=VLOOKUP(VALUE(N$1),Questions!$A:$E,5,FALSE),1,0)</f>
        <v>1</v>
      </c>
      <c r="AZ49" s="4">
        <f>IF(O49=VLOOKUP(VALUE(O$1),Questions!$A:$E,5,FALSE),1,0)</f>
        <v>1</v>
      </c>
      <c r="BA49" s="4">
        <f>IF(P49=VLOOKUP(VALUE(P$1),Questions!$A:$E,5,FALSE),1,0)</f>
        <v>0</v>
      </c>
      <c r="BB49" s="4">
        <f>IF(Q49=VLOOKUP(VALUE(Q$1),Questions!$A:$E,5,FALSE),1,0)</f>
        <v>1</v>
      </c>
      <c r="BC49" s="4">
        <f>IF(R49=VLOOKUP(VALUE(R$1),Questions!$A:$E,5,FALSE),1,0)</f>
        <v>1</v>
      </c>
      <c r="BD49" s="4">
        <f>IF(S49=VLOOKUP(VALUE(S$1),Questions!$A:$E,5,FALSE),1,0)</f>
        <v>0</v>
      </c>
      <c r="BE49" s="4">
        <f>IF(T49=VLOOKUP(VALUE(T$1),Questions!$A:$E,5,FALSE),1,0)</f>
        <v>1</v>
      </c>
      <c r="BF49" s="4">
        <f>IF(U49=VLOOKUP(VALUE(U$1),Questions!$A:$E,5,FALSE),1,0)</f>
        <v>1</v>
      </c>
      <c r="BG49" s="4">
        <f>IF(V49=VLOOKUP(VALUE(V$1),Questions!$A:$E,5,FALSE),1,0)</f>
        <v>1</v>
      </c>
      <c r="BH49" s="4">
        <f>IF(W49=VLOOKUP(VALUE(W$1),Questions!$A:$E,5,FALSE),1,0)</f>
        <v>1</v>
      </c>
      <c r="BI49" s="4">
        <f>IF(X49=VLOOKUP(VALUE(X$1),Questions!$A:$E,5,FALSE),1,0)</f>
        <v>1</v>
      </c>
      <c r="BJ49" s="4">
        <f>IF(Y49=VLOOKUP(VALUE(Y$1),Questions!$A:$E,5,FALSE),1,0)</f>
        <v>1</v>
      </c>
      <c r="BK49" s="4">
        <f>IF(Z49=VLOOKUP(VALUE(Z$1),Questions!$A:$E,5,FALSE),1,0)</f>
        <v>1</v>
      </c>
      <c r="BL49" s="4">
        <f>IF(AA49=VLOOKUP(VALUE(AA$1),Questions!$A:$E,5,FALSE),1,0)</f>
        <v>1</v>
      </c>
      <c r="BM49" s="4">
        <f>IF(AB49=VLOOKUP(VALUE(AB$1),Questions!$A:$E,5,FALSE),1,0)</f>
        <v>0</v>
      </c>
      <c r="BN49" s="4">
        <f>IF(AC49=VLOOKUP(VALUE(AC$1),Questions!$A:$E,5,FALSE),1,0)</f>
        <v>1</v>
      </c>
      <c r="BO49" s="4">
        <f>IF(AD49=VLOOKUP(VALUE(AD$1),Questions!$A:$E,5,FALSE),1,0)</f>
        <v>1</v>
      </c>
      <c r="BP49" s="4">
        <f>IF(AE49=VLOOKUP(VALUE(AE$1),Questions!$A:$E,5,FALSE),1,0)</f>
        <v>0</v>
      </c>
      <c r="BQ49" s="4">
        <f>IF(AF49=VLOOKUP(VALUE(AF$1),Questions!$A:$E,5,FALSE),1,0)</f>
        <v>1</v>
      </c>
      <c r="BR49" s="4">
        <f>IF(AG49=VLOOKUP(VALUE(AG$1),Questions!$A:$E,5,FALSE),1,0)</f>
        <v>1</v>
      </c>
      <c r="BS49" s="4">
        <f>IF(AH49=VLOOKUP(VALUE(AH$1),Questions!$A:$E,5,FALSE),1,0)</f>
        <v>1</v>
      </c>
      <c r="BT49" s="4">
        <f>IF(AI49=VLOOKUP(VALUE(AI$1),Questions!$A:$E,5,FALSE),1,0)</f>
        <v>1</v>
      </c>
      <c r="BU49" s="4">
        <f>IF(AJ49=VLOOKUP(VALUE(AJ$1),Questions!$A:$E,5,FALSE),1,0)</f>
        <v>1</v>
      </c>
      <c r="BV49" s="4">
        <f>IF(AK49=VLOOKUP(VALUE(AK$1),Questions!$A:$E,5,FALSE),1,0)</f>
        <v>0</v>
      </c>
      <c r="BW49" s="87">
        <f>IF(AL49=VLOOKUP(VALUE(AL$1),Questions!$A:$E,5,FALSE),1,0)</f>
        <v>1</v>
      </c>
      <c r="BX49" s="4">
        <f>IF(Scores[[#This Row],[Final]]&gt;=65,1,0)</f>
        <v>1</v>
      </c>
      <c r="BY49" s="4">
        <f>IF(Scores[[#This Row],[Final]]&gt;=IF(Scores[[#This Row],[IEP]],55,65),1,0)</f>
        <v>1</v>
      </c>
    </row>
    <row r="50" spans="1:77" x14ac:dyDescent="0.2">
      <c r="A50" s="6">
        <v>49</v>
      </c>
      <c r="B50" s="4">
        <v>11</v>
      </c>
      <c r="C50" s="4" t="s">
        <v>962</v>
      </c>
      <c r="D50" s="105" t="b">
        <v>0</v>
      </c>
      <c r="E50" s="105" t="b">
        <v>0</v>
      </c>
      <c r="F50" s="86">
        <f>SUM(Scores[[#This Row],[Q1]:[Q28]])</f>
        <v>18</v>
      </c>
      <c r="G50" s="4">
        <f>SUM(Scores[[#This Row],[29]]:Scores[[#This Row],[30]])</f>
        <v>10</v>
      </c>
      <c r="H50" s="4">
        <f>SUM(Scores[[#This Row],[31]:[36]])</f>
        <v>6</v>
      </c>
      <c r="I50" s="4">
        <f>Scores[[#This Row],[37]]</f>
        <v>5</v>
      </c>
      <c r="J50" s="87">
        <f>INDEX('Conversion Chart'!$C$3:$M$47,MATCH(SUM(Scores[[#This Row],[MC]:[IIIA]]),'Conversion Chart'!$B$3:$B$47),MATCH(Scores[[#This Row],[IIIB]],'Conversion Chart'!$C$2:$M$2))</f>
        <v>86</v>
      </c>
      <c r="K50" s="103">
        <v>4</v>
      </c>
      <c r="L50" s="103">
        <v>1</v>
      </c>
      <c r="M50" s="103">
        <v>3</v>
      </c>
      <c r="N50" s="103">
        <v>4</v>
      </c>
      <c r="O50" s="103">
        <v>1</v>
      </c>
      <c r="P50" s="103">
        <v>3</v>
      </c>
      <c r="Q50" s="103">
        <v>3</v>
      </c>
      <c r="R50" s="103">
        <v>2</v>
      </c>
      <c r="S50" s="103">
        <v>2</v>
      </c>
      <c r="T50" s="103">
        <v>1</v>
      </c>
      <c r="U50" s="103">
        <v>2</v>
      </c>
      <c r="V50" s="103">
        <v>1</v>
      </c>
      <c r="W50" s="103">
        <v>4</v>
      </c>
      <c r="X50" s="103">
        <v>1</v>
      </c>
      <c r="Y50" s="103">
        <v>4</v>
      </c>
      <c r="Z50" s="103">
        <v>1</v>
      </c>
      <c r="AA50" s="103">
        <v>1</v>
      </c>
      <c r="AB50" s="103">
        <v>4</v>
      </c>
      <c r="AC50" s="103">
        <v>3</v>
      </c>
      <c r="AD50" s="103">
        <v>1</v>
      </c>
      <c r="AE50" s="103">
        <v>3</v>
      </c>
      <c r="AF50" s="103">
        <v>2</v>
      </c>
      <c r="AG50" s="103">
        <v>3</v>
      </c>
      <c r="AH50" s="103">
        <v>3</v>
      </c>
      <c r="AI50" s="103">
        <v>3</v>
      </c>
      <c r="AJ50" s="103">
        <v>4</v>
      </c>
      <c r="AK50" s="103">
        <v>1</v>
      </c>
      <c r="AL50" s="104">
        <v>3</v>
      </c>
      <c r="AM50" s="4">
        <v>5</v>
      </c>
      <c r="AN50" s="87">
        <v>5</v>
      </c>
      <c r="AO50" s="4">
        <v>1</v>
      </c>
      <c r="AP50" s="4">
        <v>1</v>
      </c>
      <c r="AQ50" s="4">
        <v>1</v>
      </c>
      <c r="AR50" s="4">
        <v>1</v>
      </c>
      <c r="AS50" s="4">
        <v>1</v>
      </c>
      <c r="AT50" s="4">
        <v>1</v>
      </c>
      <c r="AU50" s="107">
        <v>5</v>
      </c>
      <c r="AV50" s="4">
        <f>IF(K50=VLOOKUP(VALUE(K$1),Questions!$A:$E,5,FALSE),1,0)</f>
        <v>1</v>
      </c>
      <c r="AW50" s="4">
        <f>IF(L50=VLOOKUP(VALUE(L$1),Questions!$A:$E,5,FALSE),1,0)</f>
        <v>0</v>
      </c>
      <c r="AX50" s="4">
        <f>IF(M50=VLOOKUP(VALUE(M$1),Questions!$A:$E,5,FALSE),1,0)</f>
        <v>1</v>
      </c>
      <c r="AY50" s="4">
        <f>IF(N50=VLOOKUP(VALUE(N$1),Questions!$A:$E,5,FALSE),1,0)</f>
        <v>0</v>
      </c>
      <c r="AZ50" s="4">
        <f>IF(O50=VLOOKUP(VALUE(O$1),Questions!$A:$E,5,FALSE),1,0)</f>
        <v>1</v>
      </c>
      <c r="BA50" s="4">
        <f>IF(P50=VLOOKUP(VALUE(P$1),Questions!$A:$E,5,FALSE),1,0)</f>
        <v>0</v>
      </c>
      <c r="BB50" s="4">
        <f>IF(Q50=VLOOKUP(VALUE(Q$1),Questions!$A:$E,5,FALSE),1,0)</f>
        <v>1</v>
      </c>
      <c r="BC50" s="4">
        <f>IF(R50=VLOOKUP(VALUE(R$1),Questions!$A:$E,5,FALSE),1,0)</f>
        <v>1</v>
      </c>
      <c r="BD50" s="4">
        <f>IF(S50=VLOOKUP(VALUE(S$1),Questions!$A:$E,5,FALSE),1,0)</f>
        <v>1</v>
      </c>
      <c r="BE50" s="4">
        <f>IF(T50=VLOOKUP(VALUE(T$1),Questions!$A:$E,5,FALSE),1,0)</f>
        <v>1</v>
      </c>
      <c r="BF50" s="4">
        <f>IF(U50=VLOOKUP(VALUE(U$1),Questions!$A:$E,5,FALSE),1,0)</f>
        <v>1</v>
      </c>
      <c r="BG50" s="4">
        <f>IF(V50=VLOOKUP(VALUE(V$1),Questions!$A:$E,5,FALSE),1,0)</f>
        <v>0</v>
      </c>
      <c r="BH50" s="4">
        <f>IF(W50=VLOOKUP(VALUE(W$1),Questions!$A:$E,5,FALSE),1,0)</f>
        <v>0</v>
      </c>
      <c r="BI50" s="4">
        <f>IF(X50=VLOOKUP(VALUE(X$1),Questions!$A:$E,5,FALSE),1,0)</f>
        <v>0</v>
      </c>
      <c r="BJ50" s="4">
        <f>IF(Y50=VLOOKUP(VALUE(Y$1),Questions!$A:$E,5,FALSE),1,0)</f>
        <v>0</v>
      </c>
      <c r="BK50" s="4">
        <f>IF(Z50=VLOOKUP(VALUE(Z$1),Questions!$A:$E,5,FALSE),1,0)</f>
        <v>1</v>
      </c>
      <c r="BL50" s="4">
        <f>IF(AA50=VLOOKUP(VALUE(AA$1),Questions!$A:$E,5,FALSE),1,0)</f>
        <v>1</v>
      </c>
      <c r="BM50" s="4">
        <f>IF(AB50=VLOOKUP(VALUE(AB$1),Questions!$A:$E,5,FALSE),1,0)</f>
        <v>1</v>
      </c>
      <c r="BN50" s="4">
        <f>IF(AC50=VLOOKUP(VALUE(AC$1),Questions!$A:$E,5,FALSE),1,0)</f>
        <v>1</v>
      </c>
      <c r="BO50" s="4">
        <f>IF(AD50=VLOOKUP(VALUE(AD$1),Questions!$A:$E,5,FALSE),1,0)</f>
        <v>0</v>
      </c>
      <c r="BP50" s="4">
        <f>IF(AE50=VLOOKUP(VALUE(AE$1),Questions!$A:$E,5,FALSE),1,0)</f>
        <v>0</v>
      </c>
      <c r="BQ50" s="4">
        <f>IF(AF50=VLOOKUP(VALUE(AF$1),Questions!$A:$E,5,FALSE),1,0)</f>
        <v>1</v>
      </c>
      <c r="BR50" s="4">
        <f>IF(AG50=VLOOKUP(VALUE(AG$1),Questions!$A:$E,5,FALSE),1,0)</f>
        <v>1</v>
      </c>
      <c r="BS50" s="4">
        <f>IF(AH50=VLOOKUP(VALUE(AH$1),Questions!$A:$E,5,FALSE),1,0)</f>
        <v>1</v>
      </c>
      <c r="BT50" s="4">
        <f>IF(AI50=VLOOKUP(VALUE(AI$1),Questions!$A:$E,5,FALSE),1,0)</f>
        <v>0</v>
      </c>
      <c r="BU50" s="4">
        <f>IF(AJ50=VLOOKUP(VALUE(AJ$1),Questions!$A:$E,5,FALSE),1,0)</f>
        <v>1</v>
      </c>
      <c r="BV50" s="4">
        <f>IF(AK50=VLOOKUP(VALUE(AK$1),Questions!$A:$E,5,FALSE),1,0)</f>
        <v>1</v>
      </c>
      <c r="BW50" s="87">
        <f>IF(AL50=VLOOKUP(VALUE(AL$1),Questions!$A:$E,5,FALSE),1,0)</f>
        <v>1</v>
      </c>
      <c r="BX50" s="4">
        <f>IF(Scores[[#This Row],[Final]]&gt;=65,1,0)</f>
        <v>1</v>
      </c>
      <c r="BY50" s="4">
        <f>IF(Scores[[#This Row],[Final]]&gt;=IF(Scores[[#This Row],[IEP]],55,65),1,0)</f>
        <v>1</v>
      </c>
    </row>
    <row r="51" spans="1:77" x14ac:dyDescent="0.2">
      <c r="A51" s="6">
        <v>50</v>
      </c>
      <c r="B51" s="4">
        <v>11</v>
      </c>
      <c r="C51" s="4" t="s">
        <v>962</v>
      </c>
      <c r="D51" s="105" t="b">
        <v>0</v>
      </c>
      <c r="E51" s="105" t="b">
        <v>0</v>
      </c>
      <c r="F51" s="86">
        <f>SUM(Scores[[#This Row],[Q1]:[Q28]])</f>
        <v>19</v>
      </c>
      <c r="G51" s="4">
        <f>SUM(Scores[[#This Row],[29]]:Scores[[#This Row],[30]])</f>
        <v>4</v>
      </c>
      <c r="H51" s="4">
        <f>SUM(Scores[[#This Row],[31]:[36]])</f>
        <v>6</v>
      </c>
      <c r="I51" s="4">
        <f>Scores[[#This Row],[37]]</f>
        <v>2.5</v>
      </c>
      <c r="J51" s="87">
        <f>INDEX('Conversion Chart'!$C$3:$M$47,MATCH(SUM(Scores[[#This Row],[MC]:[IIIA]]),'Conversion Chart'!$B$3:$B$47),MATCH(Scores[[#This Row],[IIIB]],'Conversion Chart'!$C$2:$M$2))</f>
        <v>74</v>
      </c>
      <c r="K51" s="103">
        <v>4</v>
      </c>
      <c r="L51" s="103">
        <v>1</v>
      </c>
      <c r="M51" s="103">
        <v>3</v>
      </c>
      <c r="N51" s="103">
        <v>2</v>
      </c>
      <c r="O51" s="103">
        <v>1</v>
      </c>
      <c r="P51" s="103">
        <v>2</v>
      </c>
      <c r="Q51" s="103">
        <v>3</v>
      </c>
      <c r="R51" s="103">
        <v>2</v>
      </c>
      <c r="S51" s="103">
        <v>3</v>
      </c>
      <c r="T51" s="103">
        <v>1</v>
      </c>
      <c r="U51" s="103">
        <v>2</v>
      </c>
      <c r="V51" s="103">
        <v>4</v>
      </c>
      <c r="W51" s="103">
        <v>2</v>
      </c>
      <c r="X51" s="103">
        <v>4</v>
      </c>
      <c r="Y51" s="103">
        <v>2</v>
      </c>
      <c r="Z51" s="103">
        <v>4</v>
      </c>
      <c r="AA51" s="103">
        <v>1</v>
      </c>
      <c r="AB51" s="103">
        <v>4</v>
      </c>
      <c r="AC51" s="103">
        <v>1</v>
      </c>
      <c r="AD51" s="103">
        <v>4</v>
      </c>
      <c r="AE51" s="103">
        <v>1</v>
      </c>
      <c r="AF51" s="103">
        <v>4</v>
      </c>
      <c r="AG51" s="103">
        <v>3</v>
      </c>
      <c r="AH51" s="103">
        <v>3</v>
      </c>
      <c r="AI51" s="103">
        <v>1</v>
      </c>
      <c r="AJ51" s="103">
        <v>4</v>
      </c>
      <c r="AK51" s="103">
        <v>1</v>
      </c>
      <c r="AL51" s="104">
        <v>3</v>
      </c>
      <c r="AM51" s="4">
        <v>2</v>
      </c>
      <c r="AN51" s="87">
        <v>2</v>
      </c>
      <c r="AO51" s="4">
        <v>1</v>
      </c>
      <c r="AP51" s="4">
        <v>1</v>
      </c>
      <c r="AQ51" s="4">
        <v>1</v>
      </c>
      <c r="AR51" s="4">
        <v>1</v>
      </c>
      <c r="AS51" s="4">
        <v>1</v>
      </c>
      <c r="AT51" s="4">
        <v>1</v>
      </c>
      <c r="AU51" s="107">
        <v>2.5</v>
      </c>
      <c r="AV51" s="4">
        <f>IF(K51=VLOOKUP(VALUE(K$1),Questions!$A:$E,5,FALSE),1,0)</f>
        <v>1</v>
      </c>
      <c r="AW51" s="4">
        <f>IF(L51=VLOOKUP(VALUE(L$1),Questions!$A:$E,5,FALSE),1,0)</f>
        <v>0</v>
      </c>
      <c r="AX51" s="4">
        <f>IF(M51=VLOOKUP(VALUE(M$1),Questions!$A:$E,5,FALSE),1,0)</f>
        <v>1</v>
      </c>
      <c r="AY51" s="4">
        <f>IF(N51=VLOOKUP(VALUE(N$1),Questions!$A:$E,5,FALSE),1,0)</f>
        <v>0</v>
      </c>
      <c r="AZ51" s="4">
        <f>IF(O51=VLOOKUP(VALUE(O$1),Questions!$A:$E,5,FALSE),1,0)</f>
        <v>1</v>
      </c>
      <c r="BA51" s="4">
        <f>IF(P51=VLOOKUP(VALUE(P$1),Questions!$A:$E,5,FALSE),1,0)</f>
        <v>0</v>
      </c>
      <c r="BB51" s="4">
        <f>IF(Q51=VLOOKUP(VALUE(Q$1),Questions!$A:$E,5,FALSE),1,0)</f>
        <v>1</v>
      </c>
      <c r="BC51" s="4">
        <f>IF(R51=VLOOKUP(VALUE(R$1),Questions!$A:$E,5,FALSE),1,0)</f>
        <v>1</v>
      </c>
      <c r="BD51" s="4">
        <f>IF(S51=VLOOKUP(VALUE(S$1),Questions!$A:$E,5,FALSE),1,0)</f>
        <v>0</v>
      </c>
      <c r="BE51" s="4">
        <f>IF(T51=VLOOKUP(VALUE(T$1),Questions!$A:$E,5,FALSE),1,0)</f>
        <v>1</v>
      </c>
      <c r="BF51" s="4">
        <f>IF(U51=VLOOKUP(VALUE(U$1),Questions!$A:$E,5,FALSE),1,0)</f>
        <v>1</v>
      </c>
      <c r="BG51" s="4">
        <f>IF(V51=VLOOKUP(VALUE(V$1),Questions!$A:$E,5,FALSE),1,0)</f>
        <v>1</v>
      </c>
      <c r="BH51" s="4">
        <f>IF(W51=VLOOKUP(VALUE(W$1),Questions!$A:$E,5,FALSE),1,0)</f>
        <v>1</v>
      </c>
      <c r="BI51" s="4">
        <f>IF(X51=VLOOKUP(VALUE(X$1),Questions!$A:$E,5,FALSE),1,0)</f>
        <v>1</v>
      </c>
      <c r="BJ51" s="4">
        <f>IF(Y51=VLOOKUP(VALUE(Y$1),Questions!$A:$E,5,FALSE),1,0)</f>
        <v>0</v>
      </c>
      <c r="BK51" s="4">
        <f>IF(Z51=VLOOKUP(VALUE(Z$1),Questions!$A:$E,5,FALSE),1,0)</f>
        <v>0</v>
      </c>
      <c r="BL51" s="4">
        <f>IF(AA51=VLOOKUP(VALUE(AA$1),Questions!$A:$E,5,FALSE),1,0)</f>
        <v>1</v>
      </c>
      <c r="BM51" s="4">
        <f>IF(AB51=VLOOKUP(VALUE(AB$1),Questions!$A:$E,5,FALSE),1,0)</f>
        <v>1</v>
      </c>
      <c r="BN51" s="4">
        <f>IF(AC51=VLOOKUP(VALUE(AC$1),Questions!$A:$E,5,FALSE),1,0)</f>
        <v>0</v>
      </c>
      <c r="BO51" s="4">
        <f>IF(AD51=VLOOKUP(VALUE(AD$1),Questions!$A:$E,5,FALSE),1,0)</f>
        <v>1</v>
      </c>
      <c r="BP51" s="4">
        <f>IF(AE51=VLOOKUP(VALUE(AE$1),Questions!$A:$E,5,FALSE),1,0)</f>
        <v>0</v>
      </c>
      <c r="BQ51" s="4">
        <f>IF(AF51=VLOOKUP(VALUE(AF$1),Questions!$A:$E,5,FALSE),1,0)</f>
        <v>0</v>
      </c>
      <c r="BR51" s="4">
        <f>IF(AG51=VLOOKUP(VALUE(AG$1),Questions!$A:$E,5,FALSE),1,0)</f>
        <v>1</v>
      </c>
      <c r="BS51" s="4">
        <f>IF(AH51=VLOOKUP(VALUE(AH$1),Questions!$A:$E,5,FALSE),1,0)</f>
        <v>1</v>
      </c>
      <c r="BT51" s="4">
        <f>IF(AI51=VLOOKUP(VALUE(AI$1),Questions!$A:$E,5,FALSE),1,0)</f>
        <v>1</v>
      </c>
      <c r="BU51" s="4">
        <f>IF(AJ51=VLOOKUP(VALUE(AJ$1),Questions!$A:$E,5,FALSE),1,0)</f>
        <v>1</v>
      </c>
      <c r="BV51" s="4">
        <f>IF(AK51=VLOOKUP(VALUE(AK$1),Questions!$A:$E,5,FALSE),1,0)</f>
        <v>1</v>
      </c>
      <c r="BW51" s="87">
        <f>IF(AL51=VLOOKUP(VALUE(AL$1),Questions!$A:$E,5,FALSE),1,0)</f>
        <v>1</v>
      </c>
      <c r="BX51" s="4">
        <f>IF(Scores[[#This Row],[Final]]&gt;=65,1,0)</f>
        <v>1</v>
      </c>
      <c r="BY51" s="4">
        <f>IF(Scores[[#This Row],[Final]]&gt;=IF(Scores[[#This Row],[IEP]],55,65),1,0)</f>
        <v>1</v>
      </c>
    </row>
    <row r="52" spans="1:77" x14ac:dyDescent="0.2">
      <c r="A52" s="6">
        <v>51</v>
      </c>
      <c r="B52" s="4">
        <v>11</v>
      </c>
      <c r="C52" s="4" t="s">
        <v>964</v>
      </c>
      <c r="D52" s="105" t="b">
        <v>0</v>
      </c>
      <c r="E52" s="105" t="b">
        <v>0</v>
      </c>
      <c r="F52" s="86">
        <f>SUM(Scores[[#This Row],[Q1]:[Q28]])</f>
        <v>20</v>
      </c>
      <c r="G52" s="4">
        <f>SUM(Scores[[#This Row],[29]]:Scores[[#This Row],[30]])</f>
        <v>3</v>
      </c>
      <c r="H52" s="4">
        <f>SUM(Scores[[#This Row],[31]:[36]])</f>
        <v>4</v>
      </c>
      <c r="I52" s="4">
        <f>Scores[[#This Row],[37]]</f>
        <v>1.5</v>
      </c>
      <c r="J52" s="87">
        <f>INDEX('Conversion Chart'!$C$3:$M$47,MATCH(SUM(Scores[[#This Row],[MC]:[IIIA]]),'Conversion Chart'!$B$3:$B$47),MATCH(Scores[[#This Row],[IIIB]],'Conversion Chart'!$C$2:$M$2))</f>
        <v>68</v>
      </c>
      <c r="K52" s="103">
        <v>4</v>
      </c>
      <c r="L52" s="103">
        <v>2</v>
      </c>
      <c r="M52" s="103">
        <v>3</v>
      </c>
      <c r="N52" s="103">
        <v>3</v>
      </c>
      <c r="O52" s="103">
        <v>1</v>
      </c>
      <c r="P52" s="103">
        <v>4</v>
      </c>
      <c r="Q52" s="103">
        <v>3</v>
      </c>
      <c r="R52" s="103">
        <v>3</v>
      </c>
      <c r="S52" s="103">
        <v>2</v>
      </c>
      <c r="T52" s="103">
        <v>1</v>
      </c>
      <c r="U52" s="103">
        <v>2</v>
      </c>
      <c r="V52" s="103">
        <v>4</v>
      </c>
      <c r="W52" s="103">
        <v>1</v>
      </c>
      <c r="X52" s="103">
        <v>4</v>
      </c>
      <c r="Y52" s="103">
        <v>1</v>
      </c>
      <c r="Z52" s="103">
        <v>4</v>
      </c>
      <c r="AA52" s="103">
        <v>1</v>
      </c>
      <c r="AB52" s="103">
        <v>4</v>
      </c>
      <c r="AC52" s="103">
        <v>3</v>
      </c>
      <c r="AD52" s="103">
        <v>2</v>
      </c>
      <c r="AE52" s="103">
        <v>2</v>
      </c>
      <c r="AF52" s="103">
        <v>2</v>
      </c>
      <c r="AG52" s="103">
        <v>1</v>
      </c>
      <c r="AH52" s="103">
        <v>3</v>
      </c>
      <c r="AI52" s="103">
        <v>2</v>
      </c>
      <c r="AJ52" s="103">
        <v>4</v>
      </c>
      <c r="AK52" s="103">
        <v>2</v>
      </c>
      <c r="AL52" s="104">
        <v>3</v>
      </c>
      <c r="AM52" s="4">
        <v>2</v>
      </c>
      <c r="AN52" s="87">
        <v>1</v>
      </c>
      <c r="AO52" s="4">
        <v>0</v>
      </c>
      <c r="AP52" s="4">
        <v>1</v>
      </c>
      <c r="AQ52" s="4">
        <v>1</v>
      </c>
      <c r="AR52" s="4">
        <v>1</v>
      </c>
      <c r="AS52" s="4">
        <v>1</v>
      </c>
      <c r="AT52" s="4">
        <v>0</v>
      </c>
      <c r="AU52" s="107">
        <v>1.5</v>
      </c>
      <c r="AV52" s="4">
        <f>IF(K52=VLOOKUP(VALUE(K$1),Questions!$A:$E,5,FALSE),1,0)</f>
        <v>1</v>
      </c>
      <c r="AW52" s="4">
        <f>IF(L52=VLOOKUP(VALUE(L$1),Questions!$A:$E,5,FALSE),1,0)</f>
        <v>1</v>
      </c>
      <c r="AX52" s="4">
        <f>IF(M52=VLOOKUP(VALUE(M$1),Questions!$A:$E,5,FALSE),1,0)</f>
        <v>1</v>
      </c>
      <c r="AY52" s="4">
        <f>IF(N52=VLOOKUP(VALUE(N$1),Questions!$A:$E,5,FALSE),1,0)</f>
        <v>1</v>
      </c>
      <c r="AZ52" s="4">
        <f>IF(O52=VLOOKUP(VALUE(O$1),Questions!$A:$E,5,FALSE),1,0)</f>
        <v>1</v>
      </c>
      <c r="BA52" s="4">
        <f>IF(P52=VLOOKUP(VALUE(P$1),Questions!$A:$E,5,FALSE),1,0)</f>
        <v>1</v>
      </c>
      <c r="BB52" s="4">
        <f>IF(Q52=VLOOKUP(VALUE(Q$1),Questions!$A:$E,5,FALSE),1,0)</f>
        <v>1</v>
      </c>
      <c r="BC52" s="4">
        <f>IF(R52=VLOOKUP(VALUE(R$1),Questions!$A:$E,5,FALSE),1,0)</f>
        <v>0</v>
      </c>
      <c r="BD52" s="4">
        <f>IF(S52=VLOOKUP(VALUE(S$1),Questions!$A:$E,5,FALSE),1,0)</f>
        <v>1</v>
      </c>
      <c r="BE52" s="4">
        <f>IF(T52=VLOOKUP(VALUE(T$1),Questions!$A:$E,5,FALSE),1,0)</f>
        <v>1</v>
      </c>
      <c r="BF52" s="4">
        <f>IF(U52=VLOOKUP(VALUE(U$1),Questions!$A:$E,5,FALSE),1,0)</f>
        <v>1</v>
      </c>
      <c r="BG52" s="4">
        <f>IF(V52=VLOOKUP(VALUE(V$1),Questions!$A:$E,5,FALSE),1,0)</f>
        <v>1</v>
      </c>
      <c r="BH52" s="4">
        <f>IF(W52=VLOOKUP(VALUE(W$1),Questions!$A:$E,5,FALSE),1,0)</f>
        <v>0</v>
      </c>
      <c r="BI52" s="4">
        <f>IF(X52=VLOOKUP(VALUE(X$1),Questions!$A:$E,5,FALSE),1,0)</f>
        <v>1</v>
      </c>
      <c r="BJ52" s="4">
        <f>IF(Y52=VLOOKUP(VALUE(Y$1),Questions!$A:$E,5,FALSE),1,0)</f>
        <v>0</v>
      </c>
      <c r="BK52" s="4">
        <f>IF(Z52=VLOOKUP(VALUE(Z$1),Questions!$A:$E,5,FALSE),1,0)</f>
        <v>0</v>
      </c>
      <c r="BL52" s="4">
        <f>IF(AA52=VLOOKUP(VALUE(AA$1),Questions!$A:$E,5,FALSE),1,0)</f>
        <v>1</v>
      </c>
      <c r="BM52" s="4">
        <f>IF(AB52=VLOOKUP(VALUE(AB$1),Questions!$A:$E,5,FALSE),1,0)</f>
        <v>1</v>
      </c>
      <c r="BN52" s="4">
        <f>IF(AC52=VLOOKUP(VALUE(AC$1),Questions!$A:$E,5,FALSE),1,0)</f>
        <v>1</v>
      </c>
      <c r="BO52" s="4">
        <f>IF(AD52=VLOOKUP(VALUE(AD$1),Questions!$A:$E,5,FALSE),1,0)</f>
        <v>0</v>
      </c>
      <c r="BP52" s="4">
        <f>IF(AE52=VLOOKUP(VALUE(AE$1),Questions!$A:$E,5,FALSE),1,0)</f>
        <v>1</v>
      </c>
      <c r="BQ52" s="4">
        <f>IF(AF52=VLOOKUP(VALUE(AF$1),Questions!$A:$E,5,FALSE),1,0)</f>
        <v>1</v>
      </c>
      <c r="BR52" s="4">
        <f>IF(AG52=VLOOKUP(VALUE(AG$1),Questions!$A:$E,5,FALSE),1,0)</f>
        <v>0</v>
      </c>
      <c r="BS52" s="4">
        <f>IF(AH52=VLOOKUP(VALUE(AH$1),Questions!$A:$E,5,FALSE),1,0)</f>
        <v>1</v>
      </c>
      <c r="BT52" s="4">
        <f>IF(AI52=VLOOKUP(VALUE(AI$1),Questions!$A:$E,5,FALSE),1,0)</f>
        <v>0</v>
      </c>
      <c r="BU52" s="4">
        <f>IF(AJ52=VLOOKUP(VALUE(AJ$1),Questions!$A:$E,5,FALSE),1,0)</f>
        <v>1</v>
      </c>
      <c r="BV52" s="4">
        <f>IF(AK52=VLOOKUP(VALUE(AK$1),Questions!$A:$E,5,FALSE),1,0)</f>
        <v>0</v>
      </c>
      <c r="BW52" s="87">
        <f>IF(AL52=VLOOKUP(VALUE(AL$1),Questions!$A:$E,5,FALSE),1,0)</f>
        <v>1</v>
      </c>
      <c r="BX52" s="4">
        <f>IF(Scores[[#This Row],[Final]]&gt;=65,1,0)</f>
        <v>1</v>
      </c>
      <c r="BY52" s="4">
        <f>IF(Scores[[#This Row],[Final]]&gt;=IF(Scores[[#This Row],[IEP]],55,65),1,0)</f>
        <v>1</v>
      </c>
    </row>
    <row r="53" spans="1:77" x14ac:dyDescent="0.2">
      <c r="A53" s="6">
        <v>52</v>
      </c>
      <c r="B53" s="4">
        <v>11</v>
      </c>
      <c r="C53" s="4" t="s">
        <v>962</v>
      </c>
      <c r="D53" s="105" t="b">
        <v>0</v>
      </c>
      <c r="E53" s="105" t="b">
        <v>1</v>
      </c>
      <c r="F53" s="86">
        <f>SUM(Scores[[#This Row],[Q1]:[Q28]])</f>
        <v>12</v>
      </c>
      <c r="G53" s="4">
        <f>SUM(Scores[[#This Row],[29]]:Scores[[#This Row],[30]])</f>
        <v>1</v>
      </c>
      <c r="H53" s="4">
        <f>SUM(Scores[[#This Row],[31]:[36]])</f>
        <v>0</v>
      </c>
      <c r="I53" s="4">
        <f>Scores[[#This Row],[37]]</f>
        <v>0</v>
      </c>
      <c r="J53" s="87">
        <f>INDEX('Conversion Chart'!$C$3:$M$47,MATCH(SUM(Scores[[#This Row],[MC]:[IIIA]]),'Conversion Chart'!$B$3:$B$47),MATCH(Scores[[#This Row],[IIIB]],'Conversion Chart'!$C$2:$M$2))</f>
        <v>38</v>
      </c>
      <c r="K53" s="103">
        <v>4</v>
      </c>
      <c r="L53" s="103">
        <v>2</v>
      </c>
      <c r="M53" s="103">
        <v>3</v>
      </c>
      <c r="N53" s="103">
        <v>3</v>
      </c>
      <c r="O53" s="103">
        <v>3</v>
      </c>
      <c r="P53" s="103">
        <v>2</v>
      </c>
      <c r="Q53" s="103">
        <v>4</v>
      </c>
      <c r="R53" s="103">
        <v>1</v>
      </c>
      <c r="S53" s="103">
        <v>2</v>
      </c>
      <c r="T53" s="103">
        <v>1</v>
      </c>
      <c r="U53" s="103">
        <v>2</v>
      </c>
      <c r="V53" s="103">
        <v>3</v>
      </c>
      <c r="W53" s="103">
        <v>1</v>
      </c>
      <c r="X53" s="103">
        <v>3</v>
      </c>
      <c r="Y53" s="103">
        <v>3</v>
      </c>
      <c r="Z53" s="103">
        <v>1</v>
      </c>
      <c r="AA53" s="103">
        <v>1</v>
      </c>
      <c r="AB53" s="103">
        <v>4</v>
      </c>
      <c r="AC53" s="103">
        <v>2</v>
      </c>
      <c r="AD53" s="103">
        <v>3</v>
      </c>
      <c r="AE53" s="103">
        <v>1</v>
      </c>
      <c r="AF53" s="103">
        <v>3</v>
      </c>
      <c r="AG53" s="103">
        <v>4</v>
      </c>
      <c r="AH53" s="103">
        <v>2</v>
      </c>
      <c r="AI53" s="103">
        <v>1</v>
      </c>
      <c r="AJ53" s="103">
        <v>3</v>
      </c>
      <c r="AK53" s="103">
        <v>3</v>
      </c>
      <c r="AL53" s="104">
        <v>4</v>
      </c>
      <c r="AM53" s="4">
        <v>1</v>
      </c>
      <c r="AN53" s="87">
        <v>0</v>
      </c>
      <c r="AO53" s="4">
        <v>0</v>
      </c>
      <c r="AP53" s="4">
        <v>0</v>
      </c>
      <c r="AQ53" s="4">
        <v>0</v>
      </c>
      <c r="AR53" s="4">
        <v>0</v>
      </c>
      <c r="AS53" s="4">
        <v>0</v>
      </c>
      <c r="AT53" s="4">
        <v>0</v>
      </c>
      <c r="AU53" s="107">
        <v>0</v>
      </c>
      <c r="AV53" s="4">
        <f>IF(K53=VLOOKUP(VALUE(K$1),Questions!$A:$E,5,FALSE),1,0)</f>
        <v>1</v>
      </c>
      <c r="AW53" s="4">
        <f>IF(L53=VLOOKUP(VALUE(L$1),Questions!$A:$E,5,FALSE),1,0)</f>
        <v>1</v>
      </c>
      <c r="AX53" s="4">
        <f>IF(M53=VLOOKUP(VALUE(M$1),Questions!$A:$E,5,FALSE),1,0)</f>
        <v>1</v>
      </c>
      <c r="AY53" s="4">
        <f>IF(N53=VLOOKUP(VALUE(N$1),Questions!$A:$E,5,FALSE),1,0)</f>
        <v>1</v>
      </c>
      <c r="AZ53" s="4">
        <f>IF(O53=VLOOKUP(VALUE(O$1),Questions!$A:$E,5,FALSE),1,0)</f>
        <v>0</v>
      </c>
      <c r="BA53" s="4">
        <f>IF(P53=VLOOKUP(VALUE(P$1),Questions!$A:$E,5,FALSE),1,0)</f>
        <v>0</v>
      </c>
      <c r="BB53" s="4">
        <f>IF(Q53=VLOOKUP(VALUE(Q$1),Questions!$A:$E,5,FALSE),1,0)</f>
        <v>0</v>
      </c>
      <c r="BC53" s="4">
        <f>IF(R53=VLOOKUP(VALUE(R$1),Questions!$A:$E,5,FALSE),1,0)</f>
        <v>0</v>
      </c>
      <c r="BD53" s="4">
        <f>IF(S53=VLOOKUP(VALUE(S$1),Questions!$A:$E,5,FALSE),1,0)</f>
        <v>1</v>
      </c>
      <c r="BE53" s="4">
        <f>IF(T53=VLOOKUP(VALUE(T$1),Questions!$A:$E,5,FALSE),1,0)</f>
        <v>1</v>
      </c>
      <c r="BF53" s="4">
        <f>IF(U53=VLOOKUP(VALUE(U$1),Questions!$A:$E,5,FALSE),1,0)</f>
        <v>1</v>
      </c>
      <c r="BG53" s="4">
        <f>IF(V53=VLOOKUP(VALUE(V$1),Questions!$A:$E,5,FALSE),1,0)</f>
        <v>0</v>
      </c>
      <c r="BH53" s="4">
        <f>IF(W53=VLOOKUP(VALUE(W$1),Questions!$A:$E,5,FALSE),1,0)</f>
        <v>0</v>
      </c>
      <c r="BI53" s="4">
        <f>IF(X53=VLOOKUP(VALUE(X$1),Questions!$A:$E,5,FALSE),1,0)</f>
        <v>0</v>
      </c>
      <c r="BJ53" s="4">
        <f>IF(Y53=VLOOKUP(VALUE(Y$1),Questions!$A:$E,5,FALSE),1,0)</f>
        <v>1</v>
      </c>
      <c r="BK53" s="4">
        <f>IF(Z53=VLOOKUP(VALUE(Z$1),Questions!$A:$E,5,FALSE),1,0)</f>
        <v>1</v>
      </c>
      <c r="BL53" s="4">
        <f>IF(AA53=VLOOKUP(VALUE(AA$1),Questions!$A:$E,5,FALSE),1,0)</f>
        <v>1</v>
      </c>
      <c r="BM53" s="4">
        <f>IF(AB53=VLOOKUP(VALUE(AB$1),Questions!$A:$E,5,FALSE),1,0)</f>
        <v>1</v>
      </c>
      <c r="BN53" s="4">
        <f>IF(AC53=VLOOKUP(VALUE(AC$1),Questions!$A:$E,5,FALSE),1,0)</f>
        <v>0</v>
      </c>
      <c r="BO53" s="4">
        <f>IF(AD53=VLOOKUP(VALUE(AD$1),Questions!$A:$E,5,FALSE),1,0)</f>
        <v>0</v>
      </c>
      <c r="BP53" s="4">
        <f>IF(AE53=VLOOKUP(VALUE(AE$1),Questions!$A:$E,5,FALSE),1,0)</f>
        <v>0</v>
      </c>
      <c r="BQ53" s="4">
        <f>IF(AF53=VLOOKUP(VALUE(AF$1),Questions!$A:$E,5,FALSE),1,0)</f>
        <v>0</v>
      </c>
      <c r="BR53" s="4">
        <f>IF(AG53=VLOOKUP(VALUE(AG$1),Questions!$A:$E,5,FALSE),1,0)</f>
        <v>0</v>
      </c>
      <c r="BS53" s="4">
        <f>IF(AH53=VLOOKUP(VALUE(AH$1),Questions!$A:$E,5,FALSE),1,0)</f>
        <v>0</v>
      </c>
      <c r="BT53" s="4">
        <f>IF(AI53=VLOOKUP(VALUE(AI$1),Questions!$A:$E,5,FALSE),1,0)</f>
        <v>1</v>
      </c>
      <c r="BU53" s="4">
        <f>IF(AJ53=VLOOKUP(VALUE(AJ$1),Questions!$A:$E,5,FALSE),1,0)</f>
        <v>0</v>
      </c>
      <c r="BV53" s="4">
        <f>IF(AK53=VLOOKUP(VALUE(AK$1),Questions!$A:$E,5,FALSE),1,0)</f>
        <v>0</v>
      </c>
      <c r="BW53" s="87">
        <f>IF(AL53=VLOOKUP(VALUE(AL$1),Questions!$A:$E,5,FALSE),1,0)</f>
        <v>0</v>
      </c>
      <c r="BX53" s="4">
        <f>IF(Scores[[#This Row],[Final]]&gt;=65,1,0)</f>
        <v>0</v>
      </c>
      <c r="BY53" s="4">
        <f>IF(Scores[[#This Row],[Final]]&gt;=IF(Scores[[#This Row],[IEP]],55,65),1,0)</f>
        <v>0</v>
      </c>
    </row>
    <row r="54" spans="1:77" x14ac:dyDescent="0.2">
      <c r="A54" s="6">
        <v>53</v>
      </c>
      <c r="B54" s="4">
        <v>9</v>
      </c>
      <c r="C54" s="4" t="s">
        <v>963</v>
      </c>
      <c r="D54" s="105" t="b">
        <v>0</v>
      </c>
      <c r="E54" s="105" t="b">
        <v>0</v>
      </c>
      <c r="F54" s="86">
        <f>SUM(Scores[[#This Row],[Q1]:[Q28]])</f>
        <v>17</v>
      </c>
      <c r="G54" s="4">
        <f>SUM(Scores[[#This Row],[29]]:Scores[[#This Row],[30]])</f>
        <v>2</v>
      </c>
      <c r="H54" s="4">
        <f>SUM(Scores[[#This Row],[31]:[36]])</f>
        <v>3</v>
      </c>
      <c r="I54" s="4">
        <f>Scores[[#This Row],[37]]</f>
        <v>0.5</v>
      </c>
      <c r="J54" s="87">
        <f>INDEX('Conversion Chart'!$C$3:$M$47,MATCH(SUM(Scores[[#This Row],[MC]:[IIIA]]),'Conversion Chart'!$B$3:$B$47),MATCH(Scores[[#This Row],[IIIB]],'Conversion Chart'!$C$2:$M$2))</f>
        <v>58</v>
      </c>
      <c r="K54" s="103">
        <v>4</v>
      </c>
      <c r="L54" s="103">
        <v>3</v>
      </c>
      <c r="M54" s="103">
        <v>3</v>
      </c>
      <c r="N54" s="103">
        <v>3</v>
      </c>
      <c r="O54" s="103">
        <v>3</v>
      </c>
      <c r="P54" s="103">
        <v>1</v>
      </c>
      <c r="Q54" s="103">
        <v>2</v>
      </c>
      <c r="R54" s="103">
        <v>2</v>
      </c>
      <c r="S54" s="103">
        <v>3</v>
      </c>
      <c r="T54" s="103">
        <v>4</v>
      </c>
      <c r="U54" s="103">
        <v>2</v>
      </c>
      <c r="V54" s="103">
        <v>4</v>
      </c>
      <c r="W54" s="103">
        <v>2</v>
      </c>
      <c r="X54" s="103">
        <v>4</v>
      </c>
      <c r="Y54" s="103">
        <v>1</v>
      </c>
      <c r="Z54" s="103">
        <v>1</v>
      </c>
      <c r="AA54" s="103">
        <v>1</v>
      </c>
      <c r="AB54" s="103">
        <v>3</v>
      </c>
      <c r="AC54" s="103">
        <v>3</v>
      </c>
      <c r="AD54" s="103">
        <v>4</v>
      </c>
      <c r="AE54" s="103">
        <v>3</v>
      </c>
      <c r="AF54" s="103">
        <v>2</v>
      </c>
      <c r="AG54" s="103">
        <v>3</v>
      </c>
      <c r="AH54" s="103">
        <v>3</v>
      </c>
      <c r="AI54" s="103">
        <v>3</v>
      </c>
      <c r="AJ54" s="103">
        <v>4</v>
      </c>
      <c r="AK54" s="103">
        <v>1</v>
      </c>
      <c r="AL54" s="104">
        <v>2</v>
      </c>
      <c r="AM54" s="4">
        <v>1</v>
      </c>
      <c r="AN54" s="87">
        <v>1</v>
      </c>
      <c r="AO54" s="4">
        <v>0</v>
      </c>
      <c r="AP54" s="4">
        <v>0</v>
      </c>
      <c r="AQ54" s="4">
        <v>1</v>
      </c>
      <c r="AR54" s="4">
        <v>0</v>
      </c>
      <c r="AS54" s="4">
        <v>1</v>
      </c>
      <c r="AT54" s="4">
        <v>1</v>
      </c>
      <c r="AU54" s="107">
        <v>0.5</v>
      </c>
      <c r="AV54" s="4">
        <f>IF(K54=VLOOKUP(VALUE(K$1),Questions!$A:$E,5,FALSE),1,0)</f>
        <v>1</v>
      </c>
      <c r="AW54" s="4">
        <f>IF(L54=VLOOKUP(VALUE(L$1),Questions!$A:$E,5,FALSE),1,0)</f>
        <v>0</v>
      </c>
      <c r="AX54" s="4">
        <f>IF(M54=VLOOKUP(VALUE(M$1),Questions!$A:$E,5,FALSE),1,0)</f>
        <v>1</v>
      </c>
      <c r="AY54" s="4">
        <f>IF(N54=VLOOKUP(VALUE(N$1),Questions!$A:$E,5,FALSE),1,0)</f>
        <v>1</v>
      </c>
      <c r="AZ54" s="4">
        <f>IF(O54=VLOOKUP(VALUE(O$1),Questions!$A:$E,5,FALSE),1,0)</f>
        <v>0</v>
      </c>
      <c r="BA54" s="4">
        <f>IF(P54=VLOOKUP(VALUE(P$1),Questions!$A:$E,5,FALSE),1,0)</f>
        <v>0</v>
      </c>
      <c r="BB54" s="4">
        <f>IF(Q54=VLOOKUP(VALUE(Q$1),Questions!$A:$E,5,FALSE),1,0)</f>
        <v>0</v>
      </c>
      <c r="BC54" s="4">
        <f>IF(R54=VLOOKUP(VALUE(R$1),Questions!$A:$E,5,FALSE),1,0)</f>
        <v>1</v>
      </c>
      <c r="BD54" s="4">
        <f>IF(S54=VLOOKUP(VALUE(S$1),Questions!$A:$E,5,FALSE),1,0)</f>
        <v>0</v>
      </c>
      <c r="BE54" s="4">
        <f>IF(T54=VLOOKUP(VALUE(T$1),Questions!$A:$E,5,FALSE),1,0)</f>
        <v>0</v>
      </c>
      <c r="BF54" s="4">
        <f>IF(U54=VLOOKUP(VALUE(U$1),Questions!$A:$E,5,FALSE),1,0)</f>
        <v>1</v>
      </c>
      <c r="BG54" s="4">
        <f>IF(V54=VLOOKUP(VALUE(V$1),Questions!$A:$E,5,FALSE),1,0)</f>
        <v>1</v>
      </c>
      <c r="BH54" s="4">
        <f>IF(W54=VLOOKUP(VALUE(W$1),Questions!$A:$E,5,FALSE),1,0)</f>
        <v>1</v>
      </c>
      <c r="BI54" s="4">
        <f>IF(X54=VLOOKUP(VALUE(X$1),Questions!$A:$E,5,FALSE),1,0)</f>
        <v>1</v>
      </c>
      <c r="BJ54" s="4">
        <f>IF(Y54=VLOOKUP(VALUE(Y$1),Questions!$A:$E,5,FALSE),1,0)</f>
        <v>0</v>
      </c>
      <c r="BK54" s="4">
        <f>IF(Z54=VLOOKUP(VALUE(Z$1),Questions!$A:$E,5,FALSE),1,0)</f>
        <v>1</v>
      </c>
      <c r="BL54" s="4">
        <f>IF(AA54=VLOOKUP(VALUE(AA$1),Questions!$A:$E,5,FALSE),1,0)</f>
        <v>1</v>
      </c>
      <c r="BM54" s="4">
        <f>IF(AB54=VLOOKUP(VALUE(AB$1),Questions!$A:$E,5,FALSE),1,0)</f>
        <v>0</v>
      </c>
      <c r="BN54" s="4">
        <f>IF(AC54=VLOOKUP(VALUE(AC$1),Questions!$A:$E,5,FALSE),1,0)</f>
        <v>1</v>
      </c>
      <c r="BO54" s="4">
        <f>IF(AD54=VLOOKUP(VALUE(AD$1),Questions!$A:$E,5,FALSE),1,0)</f>
        <v>1</v>
      </c>
      <c r="BP54" s="4">
        <f>IF(AE54=VLOOKUP(VALUE(AE$1),Questions!$A:$E,5,FALSE),1,0)</f>
        <v>0</v>
      </c>
      <c r="BQ54" s="4">
        <f>IF(AF54=VLOOKUP(VALUE(AF$1),Questions!$A:$E,5,FALSE),1,0)</f>
        <v>1</v>
      </c>
      <c r="BR54" s="4">
        <f>IF(AG54=VLOOKUP(VALUE(AG$1),Questions!$A:$E,5,FALSE),1,0)</f>
        <v>1</v>
      </c>
      <c r="BS54" s="4">
        <f>IF(AH54=VLOOKUP(VALUE(AH$1),Questions!$A:$E,5,FALSE),1,0)</f>
        <v>1</v>
      </c>
      <c r="BT54" s="4">
        <f>IF(AI54=VLOOKUP(VALUE(AI$1),Questions!$A:$E,5,FALSE),1,0)</f>
        <v>0</v>
      </c>
      <c r="BU54" s="4">
        <f>IF(AJ54=VLOOKUP(VALUE(AJ$1),Questions!$A:$E,5,FALSE),1,0)</f>
        <v>1</v>
      </c>
      <c r="BV54" s="4">
        <f>IF(AK54=VLOOKUP(VALUE(AK$1),Questions!$A:$E,5,FALSE),1,0)</f>
        <v>1</v>
      </c>
      <c r="BW54" s="87">
        <f>IF(AL54=VLOOKUP(VALUE(AL$1),Questions!$A:$E,5,FALSE),1,0)</f>
        <v>0</v>
      </c>
      <c r="BX54" s="4">
        <f>IF(Scores[[#This Row],[Final]]&gt;=65,1,0)</f>
        <v>0</v>
      </c>
      <c r="BY54" s="4">
        <f>IF(Scores[[#This Row],[Final]]&gt;=IF(Scores[[#This Row],[IEP]],55,65),1,0)</f>
        <v>0</v>
      </c>
    </row>
    <row r="55" spans="1:77" x14ac:dyDescent="0.2">
      <c r="A55" s="6">
        <v>54</v>
      </c>
      <c r="B55" s="4">
        <v>11</v>
      </c>
      <c r="C55" s="4" t="s">
        <v>968</v>
      </c>
      <c r="D55" s="105" t="b">
        <v>0</v>
      </c>
      <c r="E55" s="105" t="b">
        <v>0</v>
      </c>
      <c r="F55" s="86">
        <f>SUM(Scores[[#This Row],[Q1]:[Q28]])</f>
        <v>16</v>
      </c>
      <c r="G55" s="4">
        <f>SUM(Scores[[#This Row],[29]]:Scores[[#This Row],[30]])</f>
        <v>3</v>
      </c>
      <c r="H55" s="4">
        <f>SUM(Scores[[#This Row],[31]:[36]])</f>
        <v>6</v>
      </c>
      <c r="I55" s="4">
        <f>Scores[[#This Row],[37]]</f>
        <v>1</v>
      </c>
      <c r="J55" s="87">
        <f>INDEX('Conversion Chart'!$C$3:$M$47,MATCH(SUM(Scores[[#This Row],[MC]:[IIIA]]),'Conversion Chart'!$B$3:$B$47),MATCH(Scores[[#This Row],[IIIB]],'Conversion Chart'!$C$2:$M$2))</f>
        <v>64</v>
      </c>
      <c r="K55" s="103">
        <v>1</v>
      </c>
      <c r="L55" s="103">
        <v>2</v>
      </c>
      <c r="M55" s="103">
        <v>4</v>
      </c>
      <c r="N55" s="103">
        <v>2</v>
      </c>
      <c r="O55" s="103">
        <v>1</v>
      </c>
      <c r="P55" s="103">
        <v>4</v>
      </c>
      <c r="Q55" s="103">
        <v>3</v>
      </c>
      <c r="R55" s="103">
        <v>2</v>
      </c>
      <c r="S55" s="103">
        <v>3</v>
      </c>
      <c r="T55" s="103">
        <v>1</v>
      </c>
      <c r="U55" s="103">
        <v>2</v>
      </c>
      <c r="V55" s="103">
        <v>4</v>
      </c>
      <c r="W55" s="103">
        <v>2</v>
      </c>
      <c r="X55" s="103">
        <v>4</v>
      </c>
      <c r="Y55" s="103">
        <v>3</v>
      </c>
      <c r="Z55" s="103">
        <v>4</v>
      </c>
      <c r="AA55" s="103">
        <v>4</v>
      </c>
      <c r="AB55" s="103">
        <v>4</v>
      </c>
      <c r="AC55" s="103">
        <v>3</v>
      </c>
      <c r="AD55" s="103">
        <v>1</v>
      </c>
      <c r="AE55" s="103">
        <v>2</v>
      </c>
      <c r="AF55" s="103">
        <v>4</v>
      </c>
      <c r="AG55" s="103">
        <v>4</v>
      </c>
      <c r="AH55" s="103">
        <v>4</v>
      </c>
      <c r="AI55" s="103">
        <v>3</v>
      </c>
      <c r="AJ55" s="103">
        <v>4</v>
      </c>
      <c r="AK55" s="103">
        <v>2</v>
      </c>
      <c r="AL55" s="104">
        <v>3</v>
      </c>
      <c r="AM55" s="4">
        <v>2</v>
      </c>
      <c r="AN55" s="87">
        <v>1</v>
      </c>
      <c r="AO55" s="4">
        <v>1</v>
      </c>
      <c r="AP55" s="4">
        <v>1</v>
      </c>
      <c r="AQ55" s="4">
        <v>1</v>
      </c>
      <c r="AR55" s="4">
        <v>1</v>
      </c>
      <c r="AS55" s="4">
        <v>1</v>
      </c>
      <c r="AT55" s="4">
        <v>1</v>
      </c>
      <c r="AU55" s="107">
        <v>1</v>
      </c>
      <c r="AV55" s="4">
        <f>IF(K55=VLOOKUP(VALUE(K$1),Questions!$A:$E,5,FALSE),1,0)</f>
        <v>0</v>
      </c>
      <c r="AW55" s="4">
        <f>IF(L55=VLOOKUP(VALUE(L$1),Questions!$A:$E,5,FALSE),1,0)</f>
        <v>1</v>
      </c>
      <c r="AX55" s="4">
        <f>IF(M55=VLOOKUP(VALUE(M$1),Questions!$A:$E,5,FALSE),1,0)</f>
        <v>0</v>
      </c>
      <c r="AY55" s="4">
        <f>IF(N55=VLOOKUP(VALUE(N$1),Questions!$A:$E,5,FALSE),1,0)</f>
        <v>0</v>
      </c>
      <c r="AZ55" s="4">
        <f>IF(O55=VLOOKUP(VALUE(O$1),Questions!$A:$E,5,FALSE),1,0)</f>
        <v>1</v>
      </c>
      <c r="BA55" s="4">
        <f>IF(P55=VLOOKUP(VALUE(P$1),Questions!$A:$E,5,FALSE),1,0)</f>
        <v>1</v>
      </c>
      <c r="BB55" s="4">
        <f>IF(Q55=VLOOKUP(VALUE(Q$1),Questions!$A:$E,5,FALSE),1,0)</f>
        <v>1</v>
      </c>
      <c r="BC55" s="4">
        <f>IF(R55=VLOOKUP(VALUE(R$1),Questions!$A:$E,5,FALSE),1,0)</f>
        <v>1</v>
      </c>
      <c r="BD55" s="4">
        <f>IF(S55=VLOOKUP(VALUE(S$1),Questions!$A:$E,5,FALSE),1,0)</f>
        <v>0</v>
      </c>
      <c r="BE55" s="4">
        <f>IF(T55=VLOOKUP(VALUE(T$1),Questions!$A:$E,5,FALSE),1,0)</f>
        <v>1</v>
      </c>
      <c r="BF55" s="4">
        <f>IF(U55=VLOOKUP(VALUE(U$1),Questions!$A:$E,5,FALSE),1,0)</f>
        <v>1</v>
      </c>
      <c r="BG55" s="4">
        <f>IF(V55=VLOOKUP(VALUE(V$1),Questions!$A:$E,5,FALSE),1,0)</f>
        <v>1</v>
      </c>
      <c r="BH55" s="4">
        <f>IF(W55=VLOOKUP(VALUE(W$1),Questions!$A:$E,5,FALSE),1,0)</f>
        <v>1</v>
      </c>
      <c r="BI55" s="4">
        <f>IF(X55=VLOOKUP(VALUE(X$1),Questions!$A:$E,5,FALSE),1,0)</f>
        <v>1</v>
      </c>
      <c r="BJ55" s="4">
        <f>IF(Y55=VLOOKUP(VALUE(Y$1),Questions!$A:$E,5,FALSE),1,0)</f>
        <v>1</v>
      </c>
      <c r="BK55" s="4">
        <f>IF(Z55=VLOOKUP(VALUE(Z$1),Questions!$A:$E,5,FALSE),1,0)</f>
        <v>0</v>
      </c>
      <c r="BL55" s="4">
        <f>IF(AA55=VLOOKUP(VALUE(AA$1),Questions!$A:$E,5,FALSE),1,0)</f>
        <v>0</v>
      </c>
      <c r="BM55" s="4">
        <f>IF(AB55=VLOOKUP(VALUE(AB$1),Questions!$A:$E,5,FALSE),1,0)</f>
        <v>1</v>
      </c>
      <c r="BN55" s="4">
        <f>IF(AC55=VLOOKUP(VALUE(AC$1),Questions!$A:$E,5,FALSE),1,0)</f>
        <v>1</v>
      </c>
      <c r="BO55" s="4">
        <f>IF(AD55=VLOOKUP(VALUE(AD$1),Questions!$A:$E,5,FALSE),1,0)</f>
        <v>0</v>
      </c>
      <c r="BP55" s="4">
        <f>IF(AE55=VLOOKUP(VALUE(AE$1),Questions!$A:$E,5,FALSE),1,0)</f>
        <v>1</v>
      </c>
      <c r="BQ55" s="4">
        <f>IF(AF55=VLOOKUP(VALUE(AF$1),Questions!$A:$E,5,FALSE),1,0)</f>
        <v>0</v>
      </c>
      <c r="BR55" s="4">
        <f>IF(AG55=VLOOKUP(VALUE(AG$1),Questions!$A:$E,5,FALSE),1,0)</f>
        <v>0</v>
      </c>
      <c r="BS55" s="4">
        <f>IF(AH55=VLOOKUP(VALUE(AH$1),Questions!$A:$E,5,FALSE),1,0)</f>
        <v>0</v>
      </c>
      <c r="BT55" s="4">
        <f>IF(AI55=VLOOKUP(VALUE(AI$1),Questions!$A:$E,5,FALSE),1,0)</f>
        <v>0</v>
      </c>
      <c r="BU55" s="4">
        <f>IF(AJ55=VLOOKUP(VALUE(AJ$1),Questions!$A:$E,5,FALSE),1,0)</f>
        <v>1</v>
      </c>
      <c r="BV55" s="4">
        <f>IF(AK55=VLOOKUP(VALUE(AK$1),Questions!$A:$E,5,FALSE),1,0)</f>
        <v>0</v>
      </c>
      <c r="BW55" s="87">
        <f>IF(AL55=VLOOKUP(VALUE(AL$1),Questions!$A:$E,5,FALSE),1,0)</f>
        <v>1</v>
      </c>
      <c r="BX55" s="4">
        <f>IF(Scores[[#This Row],[Final]]&gt;=65,1,0)</f>
        <v>0</v>
      </c>
      <c r="BY55" s="4">
        <f>IF(Scores[[#This Row],[Final]]&gt;=IF(Scores[[#This Row],[IEP]],55,65),1,0)</f>
        <v>0</v>
      </c>
    </row>
    <row r="56" spans="1:77" x14ac:dyDescent="0.2">
      <c r="A56" s="6">
        <v>55</v>
      </c>
      <c r="B56" s="4">
        <v>9</v>
      </c>
      <c r="C56" s="4" t="s">
        <v>963</v>
      </c>
      <c r="D56" s="105" t="b">
        <v>0</v>
      </c>
      <c r="E56" s="105" t="b">
        <v>0</v>
      </c>
      <c r="F56" s="86">
        <f>SUM(Scores[[#This Row],[Q1]:[Q28]])</f>
        <v>12</v>
      </c>
      <c r="G56" s="4">
        <f>SUM(Scores[[#This Row],[29]]:Scores[[#This Row],[30]])</f>
        <v>2</v>
      </c>
      <c r="H56" s="4">
        <f>SUM(Scores[[#This Row],[31]:[36]])</f>
        <v>6</v>
      </c>
      <c r="I56" s="4">
        <f>Scores[[#This Row],[37]]</f>
        <v>1</v>
      </c>
      <c r="J56" s="87">
        <f>INDEX('Conversion Chart'!$C$3:$M$47,MATCH(SUM(Scores[[#This Row],[MC]:[IIIA]]),'Conversion Chart'!$B$3:$B$47),MATCH(Scores[[#This Row],[IIIB]],'Conversion Chart'!$C$2:$M$2))</f>
        <v>57</v>
      </c>
      <c r="K56" s="103">
        <v>4</v>
      </c>
      <c r="L56" s="103">
        <v>2</v>
      </c>
      <c r="M56" s="103">
        <v>2</v>
      </c>
      <c r="N56" s="103">
        <v>4</v>
      </c>
      <c r="O56" s="103">
        <v>1</v>
      </c>
      <c r="P56" s="103">
        <v>3</v>
      </c>
      <c r="Q56" s="103">
        <v>2</v>
      </c>
      <c r="R56" s="103">
        <v>4</v>
      </c>
      <c r="S56" s="103">
        <v>2</v>
      </c>
      <c r="T56" s="103">
        <v>4</v>
      </c>
      <c r="U56" s="103">
        <v>2</v>
      </c>
      <c r="V56" s="103">
        <v>4</v>
      </c>
      <c r="W56" s="103">
        <v>2</v>
      </c>
      <c r="X56" s="103">
        <v>4</v>
      </c>
      <c r="Y56" s="103">
        <v>1</v>
      </c>
      <c r="Z56" s="103">
        <v>3</v>
      </c>
      <c r="AA56" s="103">
        <v>4</v>
      </c>
      <c r="AB56" s="103">
        <v>1</v>
      </c>
      <c r="AC56" s="103">
        <v>3</v>
      </c>
      <c r="AD56" s="103">
        <v>4</v>
      </c>
      <c r="AE56" s="103">
        <v>1</v>
      </c>
      <c r="AF56" s="103">
        <v>2</v>
      </c>
      <c r="AG56" s="103">
        <v>3</v>
      </c>
      <c r="AH56" s="103">
        <v>4</v>
      </c>
      <c r="AI56" s="103">
        <v>3</v>
      </c>
      <c r="AJ56" s="103">
        <v>1</v>
      </c>
      <c r="AK56" s="103">
        <v>2</v>
      </c>
      <c r="AL56" s="104">
        <v>1</v>
      </c>
      <c r="AM56" s="4">
        <v>2</v>
      </c>
      <c r="AN56" s="87">
        <v>0</v>
      </c>
      <c r="AO56" s="4">
        <v>1</v>
      </c>
      <c r="AP56" s="4">
        <v>1</v>
      </c>
      <c r="AQ56" s="4">
        <v>1</v>
      </c>
      <c r="AR56" s="4">
        <v>1</v>
      </c>
      <c r="AS56" s="4">
        <v>1</v>
      </c>
      <c r="AT56" s="4">
        <v>1</v>
      </c>
      <c r="AU56" s="107">
        <v>1</v>
      </c>
      <c r="AV56" s="4">
        <f>IF(K56=VLOOKUP(VALUE(K$1),Questions!$A:$E,5,FALSE),1,0)</f>
        <v>1</v>
      </c>
      <c r="AW56" s="4">
        <f>IF(L56=VLOOKUP(VALUE(L$1),Questions!$A:$E,5,FALSE),1,0)</f>
        <v>1</v>
      </c>
      <c r="AX56" s="4">
        <f>IF(M56=VLOOKUP(VALUE(M$1),Questions!$A:$E,5,FALSE),1,0)</f>
        <v>0</v>
      </c>
      <c r="AY56" s="4">
        <f>IF(N56=VLOOKUP(VALUE(N$1),Questions!$A:$E,5,FALSE),1,0)</f>
        <v>0</v>
      </c>
      <c r="AZ56" s="4">
        <f>IF(O56=VLOOKUP(VALUE(O$1),Questions!$A:$E,5,FALSE),1,0)</f>
        <v>1</v>
      </c>
      <c r="BA56" s="4">
        <f>IF(P56=VLOOKUP(VALUE(P$1),Questions!$A:$E,5,FALSE),1,0)</f>
        <v>0</v>
      </c>
      <c r="BB56" s="4">
        <f>IF(Q56=VLOOKUP(VALUE(Q$1),Questions!$A:$E,5,FALSE),1,0)</f>
        <v>0</v>
      </c>
      <c r="BC56" s="4">
        <f>IF(R56=VLOOKUP(VALUE(R$1),Questions!$A:$E,5,FALSE),1,0)</f>
        <v>0</v>
      </c>
      <c r="BD56" s="4">
        <f>IF(S56=VLOOKUP(VALUE(S$1),Questions!$A:$E,5,FALSE),1,0)</f>
        <v>1</v>
      </c>
      <c r="BE56" s="4">
        <f>IF(T56=VLOOKUP(VALUE(T$1),Questions!$A:$E,5,FALSE),1,0)</f>
        <v>0</v>
      </c>
      <c r="BF56" s="4">
        <f>IF(U56=VLOOKUP(VALUE(U$1),Questions!$A:$E,5,FALSE),1,0)</f>
        <v>1</v>
      </c>
      <c r="BG56" s="4">
        <f>IF(V56=VLOOKUP(VALUE(V$1),Questions!$A:$E,5,FALSE),1,0)</f>
        <v>1</v>
      </c>
      <c r="BH56" s="4">
        <f>IF(W56=VLOOKUP(VALUE(W$1),Questions!$A:$E,5,FALSE),1,0)</f>
        <v>1</v>
      </c>
      <c r="BI56" s="4">
        <f>IF(X56=VLOOKUP(VALUE(X$1),Questions!$A:$E,5,FALSE),1,0)</f>
        <v>1</v>
      </c>
      <c r="BJ56" s="4">
        <f>IF(Y56=VLOOKUP(VALUE(Y$1),Questions!$A:$E,5,FALSE),1,0)</f>
        <v>0</v>
      </c>
      <c r="BK56" s="4">
        <f>IF(Z56=VLOOKUP(VALUE(Z$1),Questions!$A:$E,5,FALSE),1,0)</f>
        <v>0</v>
      </c>
      <c r="BL56" s="4">
        <f>IF(AA56=VLOOKUP(VALUE(AA$1),Questions!$A:$E,5,FALSE),1,0)</f>
        <v>0</v>
      </c>
      <c r="BM56" s="4">
        <f>IF(AB56=VLOOKUP(VALUE(AB$1),Questions!$A:$E,5,FALSE),1,0)</f>
        <v>0</v>
      </c>
      <c r="BN56" s="4">
        <f>IF(AC56=VLOOKUP(VALUE(AC$1),Questions!$A:$E,5,FALSE),1,0)</f>
        <v>1</v>
      </c>
      <c r="BO56" s="4">
        <f>IF(AD56=VLOOKUP(VALUE(AD$1),Questions!$A:$E,5,FALSE),1,0)</f>
        <v>1</v>
      </c>
      <c r="BP56" s="4">
        <f>IF(AE56=VLOOKUP(VALUE(AE$1),Questions!$A:$E,5,FALSE),1,0)</f>
        <v>0</v>
      </c>
      <c r="BQ56" s="4">
        <f>IF(AF56=VLOOKUP(VALUE(AF$1),Questions!$A:$E,5,FALSE),1,0)</f>
        <v>1</v>
      </c>
      <c r="BR56" s="4">
        <f>IF(AG56=VLOOKUP(VALUE(AG$1),Questions!$A:$E,5,FALSE),1,0)</f>
        <v>1</v>
      </c>
      <c r="BS56" s="4">
        <f>IF(AH56=VLOOKUP(VALUE(AH$1),Questions!$A:$E,5,FALSE),1,0)</f>
        <v>0</v>
      </c>
      <c r="BT56" s="4">
        <f>IF(AI56=VLOOKUP(VALUE(AI$1),Questions!$A:$E,5,FALSE),1,0)</f>
        <v>0</v>
      </c>
      <c r="BU56" s="4">
        <f>IF(AJ56=VLOOKUP(VALUE(AJ$1),Questions!$A:$E,5,FALSE),1,0)</f>
        <v>0</v>
      </c>
      <c r="BV56" s="4">
        <f>IF(AK56=VLOOKUP(VALUE(AK$1),Questions!$A:$E,5,FALSE),1,0)</f>
        <v>0</v>
      </c>
      <c r="BW56" s="87">
        <f>IF(AL56=VLOOKUP(VALUE(AL$1),Questions!$A:$E,5,FALSE),1,0)</f>
        <v>0</v>
      </c>
      <c r="BX56" s="4">
        <f>IF(Scores[[#This Row],[Final]]&gt;=65,1,0)</f>
        <v>0</v>
      </c>
      <c r="BY56" s="4">
        <f>IF(Scores[[#This Row],[Final]]&gt;=IF(Scores[[#This Row],[IEP]],55,65),1,0)</f>
        <v>0</v>
      </c>
    </row>
    <row r="57" spans="1:77" x14ac:dyDescent="0.2">
      <c r="A57" s="6">
        <v>56</v>
      </c>
      <c r="B57" s="4">
        <v>9</v>
      </c>
      <c r="C57" s="4" t="s">
        <v>963</v>
      </c>
      <c r="D57" s="105" t="b">
        <v>0</v>
      </c>
      <c r="E57" s="105" t="b">
        <v>0</v>
      </c>
      <c r="F57" s="86">
        <f>SUM(Scores[[#This Row],[Q1]:[Q28]])</f>
        <v>0</v>
      </c>
      <c r="G57" s="4">
        <f>SUM(Scores[[#This Row],[29]]:Scores[[#This Row],[30]])</f>
        <v>0</v>
      </c>
      <c r="H57" s="4">
        <f>SUM(Scores[[#This Row],[31]:[36]])</f>
        <v>0</v>
      </c>
      <c r="I57" s="4">
        <f>Scores[[#This Row],[37]]</f>
        <v>0</v>
      </c>
      <c r="J57" s="87">
        <f>INDEX('Conversion Chart'!$C$3:$M$47,MATCH(SUM(Scores[[#This Row],[MC]:[IIIA]]),'Conversion Chart'!$B$3:$B$47),MATCH(Scores[[#This Row],[IIIB]],'Conversion Chart'!$C$2:$M$2))</f>
        <v>0</v>
      </c>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4"/>
      <c r="AN57" s="87"/>
      <c r="AU57" s="107"/>
      <c r="AV57" s="4">
        <f>IF(K57=VLOOKUP(VALUE(K$1),Questions!$A:$E,5,FALSE),1,0)</f>
        <v>0</v>
      </c>
      <c r="AW57" s="4">
        <f>IF(L57=VLOOKUP(VALUE(L$1),Questions!$A:$E,5,FALSE),1,0)</f>
        <v>0</v>
      </c>
      <c r="AX57" s="4">
        <f>IF(M57=VLOOKUP(VALUE(M$1),Questions!$A:$E,5,FALSE),1,0)</f>
        <v>0</v>
      </c>
      <c r="AY57" s="4">
        <f>IF(N57=VLOOKUP(VALUE(N$1),Questions!$A:$E,5,FALSE),1,0)</f>
        <v>0</v>
      </c>
      <c r="AZ57" s="4">
        <f>IF(O57=VLOOKUP(VALUE(O$1),Questions!$A:$E,5,FALSE),1,0)</f>
        <v>0</v>
      </c>
      <c r="BA57" s="4">
        <f>IF(P57=VLOOKUP(VALUE(P$1),Questions!$A:$E,5,FALSE),1,0)</f>
        <v>0</v>
      </c>
      <c r="BB57" s="4">
        <f>IF(Q57=VLOOKUP(VALUE(Q$1),Questions!$A:$E,5,FALSE),1,0)</f>
        <v>0</v>
      </c>
      <c r="BC57" s="4">
        <f>IF(R57=VLOOKUP(VALUE(R$1),Questions!$A:$E,5,FALSE),1,0)</f>
        <v>0</v>
      </c>
      <c r="BD57" s="4">
        <f>IF(S57=VLOOKUP(VALUE(S$1),Questions!$A:$E,5,FALSE),1,0)</f>
        <v>0</v>
      </c>
      <c r="BE57" s="4">
        <f>IF(T57=VLOOKUP(VALUE(T$1),Questions!$A:$E,5,FALSE),1,0)</f>
        <v>0</v>
      </c>
      <c r="BF57" s="4">
        <f>IF(U57=VLOOKUP(VALUE(U$1),Questions!$A:$E,5,FALSE),1,0)</f>
        <v>0</v>
      </c>
      <c r="BG57" s="4">
        <f>IF(V57=VLOOKUP(VALUE(V$1),Questions!$A:$E,5,FALSE),1,0)</f>
        <v>0</v>
      </c>
      <c r="BH57" s="4">
        <f>IF(W57=VLOOKUP(VALUE(W$1),Questions!$A:$E,5,FALSE),1,0)</f>
        <v>0</v>
      </c>
      <c r="BI57" s="4">
        <f>IF(X57=VLOOKUP(VALUE(X$1),Questions!$A:$E,5,FALSE),1,0)</f>
        <v>0</v>
      </c>
      <c r="BJ57" s="4">
        <f>IF(Y57=VLOOKUP(VALUE(Y$1),Questions!$A:$E,5,FALSE),1,0)</f>
        <v>0</v>
      </c>
      <c r="BK57" s="4">
        <f>IF(Z57=VLOOKUP(VALUE(Z$1),Questions!$A:$E,5,FALSE),1,0)</f>
        <v>0</v>
      </c>
      <c r="BL57" s="4">
        <f>IF(AA57=VLOOKUP(VALUE(AA$1),Questions!$A:$E,5,FALSE),1,0)</f>
        <v>0</v>
      </c>
      <c r="BM57" s="4">
        <f>IF(AB57=VLOOKUP(VALUE(AB$1),Questions!$A:$E,5,FALSE),1,0)</f>
        <v>0</v>
      </c>
      <c r="BN57" s="4">
        <f>IF(AC57=VLOOKUP(VALUE(AC$1),Questions!$A:$E,5,FALSE),1,0)</f>
        <v>0</v>
      </c>
      <c r="BO57" s="4">
        <f>IF(AD57=VLOOKUP(VALUE(AD$1),Questions!$A:$E,5,FALSE),1,0)</f>
        <v>0</v>
      </c>
      <c r="BP57" s="4">
        <f>IF(AE57=VLOOKUP(VALUE(AE$1),Questions!$A:$E,5,FALSE),1,0)</f>
        <v>0</v>
      </c>
      <c r="BQ57" s="4">
        <f>IF(AF57=VLOOKUP(VALUE(AF$1),Questions!$A:$E,5,FALSE),1,0)</f>
        <v>0</v>
      </c>
      <c r="BR57" s="4">
        <f>IF(AG57=VLOOKUP(VALUE(AG$1),Questions!$A:$E,5,FALSE),1,0)</f>
        <v>0</v>
      </c>
      <c r="BS57" s="4">
        <f>IF(AH57=VLOOKUP(VALUE(AH$1),Questions!$A:$E,5,FALSE),1,0)</f>
        <v>0</v>
      </c>
      <c r="BT57" s="4">
        <f>IF(AI57=VLOOKUP(VALUE(AI$1),Questions!$A:$E,5,FALSE),1,0)</f>
        <v>0</v>
      </c>
      <c r="BU57" s="4">
        <f>IF(AJ57=VLOOKUP(VALUE(AJ$1),Questions!$A:$E,5,FALSE),1,0)</f>
        <v>0</v>
      </c>
      <c r="BV57" s="4">
        <f>IF(AK57=VLOOKUP(VALUE(AK$1),Questions!$A:$E,5,FALSE),1,0)</f>
        <v>0</v>
      </c>
      <c r="BW57" s="87">
        <f>IF(AL57=VLOOKUP(VALUE(AL$1),Questions!$A:$E,5,FALSE),1,0)</f>
        <v>0</v>
      </c>
      <c r="BX57" s="4">
        <f>IF(Scores[[#This Row],[Final]]&gt;=65,1,0)</f>
        <v>0</v>
      </c>
      <c r="BY57" s="4">
        <f>IF(Scores[[#This Row],[Final]]&gt;=IF(Scores[[#This Row],[IEP]],55,65),1,0)</f>
        <v>0</v>
      </c>
    </row>
    <row r="58" spans="1:77" x14ac:dyDescent="0.2">
      <c r="A58" s="6">
        <v>57</v>
      </c>
      <c r="B58" s="4">
        <v>9</v>
      </c>
      <c r="C58" s="4" t="s">
        <v>963</v>
      </c>
      <c r="D58" s="105" t="b">
        <v>0</v>
      </c>
      <c r="E58" s="105" t="b">
        <v>0</v>
      </c>
      <c r="F58" s="86">
        <f>SUM(Scores[[#This Row],[Q1]:[Q28]])</f>
        <v>19</v>
      </c>
      <c r="G58" s="4">
        <f>SUM(Scores[[#This Row],[29]]:Scores[[#This Row],[30]])</f>
        <v>3</v>
      </c>
      <c r="H58" s="4">
        <f>SUM(Scores[[#This Row],[31]:[36]])</f>
        <v>6</v>
      </c>
      <c r="I58" s="4">
        <f>Scores[[#This Row],[37]]</f>
        <v>2.5</v>
      </c>
      <c r="J58" s="87">
        <f>INDEX('Conversion Chart'!$C$3:$M$47,MATCH(SUM(Scores[[#This Row],[MC]:[IIIA]]),'Conversion Chart'!$B$3:$B$47),MATCH(Scores[[#This Row],[IIIB]],'Conversion Chart'!$C$2:$M$2))</f>
        <v>73</v>
      </c>
      <c r="K58" s="103">
        <v>3</v>
      </c>
      <c r="L58" s="103">
        <v>2</v>
      </c>
      <c r="M58" s="103">
        <v>1</v>
      </c>
      <c r="N58" s="103">
        <v>2</v>
      </c>
      <c r="O58" s="103">
        <v>1</v>
      </c>
      <c r="P58" s="103">
        <v>4</v>
      </c>
      <c r="Q58" s="103">
        <v>3</v>
      </c>
      <c r="R58" s="103">
        <v>2</v>
      </c>
      <c r="S58" s="103">
        <v>2</v>
      </c>
      <c r="T58" s="103">
        <v>1</v>
      </c>
      <c r="U58" s="103">
        <v>2</v>
      </c>
      <c r="V58" s="103">
        <v>2</v>
      </c>
      <c r="W58" s="103">
        <v>2</v>
      </c>
      <c r="X58" s="103">
        <v>4</v>
      </c>
      <c r="Y58" s="103">
        <v>3</v>
      </c>
      <c r="Z58" s="103">
        <v>4</v>
      </c>
      <c r="AA58" s="103">
        <v>1</v>
      </c>
      <c r="AB58" s="103">
        <v>4</v>
      </c>
      <c r="AC58" s="103">
        <v>3</v>
      </c>
      <c r="AD58" s="103">
        <v>1</v>
      </c>
      <c r="AE58" s="103">
        <v>2</v>
      </c>
      <c r="AF58" s="103">
        <v>4</v>
      </c>
      <c r="AG58" s="103">
        <v>3</v>
      </c>
      <c r="AH58" s="103">
        <v>3</v>
      </c>
      <c r="AI58" s="103">
        <v>4</v>
      </c>
      <c r="AJ58" s="103">
        <v>4</v>
      </c>
      <c r="AK58" s="103">
        <v>4</v>
      </c>
      <c r="AL58" s="104">
        <v>3</v>
      </c>
      <c r="AM58" s="4">
        <v>2</v>
      </c>
      <c r="AN58" s="87">
        <v>1</v>
      </c>
      <c r="AO58" s="4">
        <v>1</v>
      </c>
      <c r="AP58" s="4">
        <v>1</v>
      </c>
      <c r="AQ58" s="4">
        <v>1</v>
      </c>
      <c r="AR58" s="4">
        <v>1</v>
      </c>
      <c r="AS58" s="4">
        <v>1</v>
      </c>
      <c r="AT58" s="4">
        <v>1</v>
      </c>
      <c r="AU58" s="107">
        <v>2.5</v>
      </c>
      <c r="AV58" s="4">
        <f>IF(K58=VLOOKUP(VALUE(K$1),Questions!$A:$E,5,FALSE),1,0)</f>
        <v>0</v>
      </c>
      <c r="AW58" s="4">
        <f>IF(L58=VLOOKUP(VALUE(L$1),Questions!$A:$E,5,FALSE),1,0)</f>
        <v>1</v>
      </c>
      <c r="AX58" s="4">
        <f>IF(M58=VLOOKUP(VALUE(M$1),Questions!$A:$E,5,FALSE),1,0)</f>
        <v>0</v>
      </c>
      <c r="AY58" s="4">
        <f>IF(N58=VLOOKUP(VALUE(N$1),Questions!$A:$E,5,FALSE),1,0)</f>
        <v>0</v>
      </c>
      <c r="AZ58" s="4">
        <f>IF(O58=VLOOKUP(VALUE(O$1),Questions!$A:$E,5,FALSE),1,0)</f>
        <v>1</v>
      </c>
      <c r="BA58" s="4">
        <f>IF(P58=VLOOKUP(VALUE(P$1),Questions!$A:$E,5,FALSE),1,0)</f>
        <v>1</v>
      </c>
      <c r="BB58" s="4">
        <f>IF(Q58=VLOOKUP(VALUE(Q$1),Questions!$A:$E,5,FALSE),1,0)</f>
        <v>1</v>
      </c>
      <c r="BC58" s="4">
        <f>IF(R58=VLOOKUP(VALUE(R$1),Questions!$A:$E,5,FALSE),1,0)</f>
        <v>1</v>
      </c>
      <c r="BD58" s="4">
        <f>IF(S58=VLOOKUP(VALUE(S$1),Questions!$A:$E,5,FALSE),1,0)</f>
        <v>1</v>
      </c>
      <c r="BE58" s="4">
        <f>IF(T58=VLOOKUP(VALUE(T$1),Questions!$A:$E,5,FALSE),1,0)</f>
        <v>1</v>
      </c>
      <c r="BF58" s="4">
        <f>IF(U58=VLOOKUP(VALUE(U$1),Questions!$A:$E,5,FALSE),1,0)</f>
        <v>1</v>
      </c>
      <c r="BG58" s="4">
        <f>IF(V58=VLOOKUP(VALUE(V$1),Questions!$A:$E,5,FALSE),1,0)</f>
        <v>0</v>
      </c>
      <c r="BH58" s="4">
        <f>IF(W58=VLOOKUP(VALUE(W$1),Questions!$A:$E,5,FALSE),1,0)</f>
        <v>1</v>
      </c>
      <c r="BI58" s="4">
        <f>IF(X58=VLOOKUP(VALUE(X$1),Questions!$A:$E,5,FALSE),1,0)</f>
        <v>1</v>
      </c>
      <c r="BJ58" s="4">
        <f>IF(Y58=VLOOKUP(VALUE(Y$1),Questions!$A:$E,5,FALSE),1,0)</f>
        <v>1</v>
      </c>
      <c r="BK58" s="4">
        <f>IF(Z58=VLOOKUP(VALUE(Z$1),Questions!$A:$E,5,FALSE),1,0)</f>
        <v>0</v>
      </c>
      <c r="BL58" s="4">
        <f>IF(AA58=VLOOKUP(VALUE(AA$1),Questions!$A:$E,5,FALSE),1,0)</f>
        <v>1</v>
      </c>
      <c r="BM58" s="4">
        <f>IF(AB58=VLOOKUP(VALUE(AB$1),Questions!$A:$E,5,FALSE),1,0)</f>
        <v>1</v>
      </c>
      <c r="BN58" s="4">
        <f>IF(AC58=VLOOKUP(VALUE(AC$1),Questions!$A:$E,5,FALSE),1,0)</f>
        <v>1</v>
      </c>
      <c r="BO58" s="4">
        <f>IF(AD58=VLOOKUP(VALUE(AD$1),Questions!$A:$E,5,FALSE),1,0)</f>
        <v>0</v>
      </c>
      <c r="BP58" s="4">
        <f>IF(AE58=VLOOKUP(VALUE(AE$1),Questions!$A:$E,5,FALSE),1,0)</f>
        <v>1</v>
      </c>
      <c r="BQ58" s="4">
        <f>IF(AF58=VLOOKUP(VALUE(AF$1),Questions!$A:$E,5,FALSE),1,0)</f>
        <v>0</v>
      </c>
      <c r="BR58" s="4">
        <f>IF(AG58=VLOOKUP(VALUE(AG$1),Questions!$A:$E,5,FALSE),1,0)</f>
        <v>1</v>
      </c>
      <c r="BS58" s="4">
        <f>IF(AH58=VLOOKUP(VALUE(AH$1),Questions!$A:$E,5,FALSE),1,0)</f>
        <v>1</v>
      </c>
      <c r="BT58" s="4">
        <f>IF(AI58=VLOOKUP(VALUE(AI$1),Questions!$A:$E,5,FALSE),1,0)</f>
        <v>0</v>
      </c>
      <c r="BU58" s="4">
        <f>IF(AJ58=VLOOKUP(VALUE(AJ$1),Questions!$A:$E,5,FALSE),1,0)</f>
        <v>1</v>
      </c>
      <c r="BV58" s="4">
        <f>IF(AK58=VLOOKUP(VALUE(AK$1),Questions!$A:$E,5,FALSE),1,0)</f>
        <v>0</v>
      </c>
      <c r="BW58" s="87">
        <f>IF(AL58=VLOOKUP(VALUE(AL$1),Questions!$A:$E,5,FALSE),1,0)</f>
        <v>1</v>
      </c>
      <c r="BX58" s="4">
        <f>IF(Scores[[#This Row],[Final]]&gt;=65,1,0)</f>
        <v>1</v>
      </c>
      <c r="BY58" s="4">
        <f>IF(Scores[[#This Row],[Final]]&gt;=IF(Scores[[#This Row],[IEP]],55,65),1,0)</f>
        <v>1</v>
      </c>
    </row>
    <row r="59" spans="1:77" x14ac:dyDescent="0.2">
      <c r="A59" s="6">
        <v>58</v>
      </c>
      <c r="B59" s="4">
        <v>9</v>
      </c>
      <c r="C59" s="4" t="s">
        <v>963</v>
      </c>
      <c r="D59" s="105" t="b">
        <v>0</v>
      </c>
      <c r="E59" s="105" t="b">
        <v>0</v>
      </c>
      <c r="F59" s="86">
        <f>SUM(Scores[[#This Row],[Q1]:[Q28]])</f>
        <v>0</v>
      </c>
      <c r="G59" s="4">
        <f>SUM(Scores[[#This Row],[29]]:Scores[[#This Row],[30]])</f>
        <v>0</v>
      </c>
      <c r="H59" s="4">
        <f>SUM(Scores[[#This Row],[31]:[36]])</f>
        <v>0</v>
      </c>
      <c r="I59" s="4">
        <f>Scores[[#This Row],[37]]</f>
        <v>0</v>
      </c>
      <c r="J59" s="87">
        <f>INDEX('Conversion Chart'!$C$3:$M$47,MATCH(SUM(Scores[[#This Row],[MC]:[IIIA]]),'Conversion Chart'!$B$3:$B$47),MATCH(Scores[[#This Row],[IIIB]],'Conversion Chart'!$C$2:$M$2))</f>
        <v>0</v>
      </c>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4"/>
      <c r="AN59" s="87"/>
      <c r="AU59" s="107"/>
      <c r="AV59" s="4">
        <f>IF(K59=VLOOKUP(VALUE(K$1),Questions!$A:$E,5,FALSE),1,0)</f>
        <v>0</v>
      </c>
      <c r="AW59" s="4">
        <f>IF(L59=VLOOKUP(VALUE(L$1),Questions!$A:$E,5,FALSE),1,0)</f>
        <v>0</v>
      </c>
      <c r="AX59" s="4">
        <f>IF(M59=VLOOKUP(VALUE(M$1),Questions!$A:$E,5,FALSE),1,0)</f>
        <v>0</v>
      </c>
      <c r="AY59" s="4">
        <f>IF(N59=VLOOKUP(VALUE(N$1),Questions!$A:$E,5,FALSE),1,0)</f>
        <v>0</v>
      </c>
      <c r="AZ59" s="4">
        <f>IF(O59=VLOOKUP(VALUE(O$1),Questions!$A:$E,5,FALSE),1,0)</f>
        <v>0</v>
      </c>
      <c r="BA59" s="4">
        <f>IF(P59=VLOOKUP(VALUE(P$1),Questions!$A:$E,5,FALSE),1,0)</f>
        <v>0</v>
      </c>
      <c r="BB59" s="4">
        <f>IF(Q59=VLOOKUP(VALUE(Q$1),Questions!$A:$E,5,FALSE),1,0)</f>
        <v>0</v>
      </c>
      <c r="BC59" s="4">
        <f>IF(R59=VLOOKUP(VALUE(R$1),Questions!$A:$E,5,FALSE),1,0)</f>
        <v>0</v>
      </c>
      <c r="BD59" s="4">
        <f>IF(S59=VLOOKUP(VALUE(S$1),Questions!$A:$E,5,FALSE),1,0)</f>
        <v>0</v>
      </c>
      <c r="BE59" s="4">
        <f>IF(T59=VLOOKUP(VALUE(T$1),Questions!$A:$E,5,FALSE),1,0)</f>
        <v>0</v>
      </c>
      <c r="BF59" s="4">
        <f>IF(U59=VLOOKUP(VALUE(U$1),Questions!$A:$E,5,FALSE),1,0)</f>
        <v>0</v>
      </c>
      <c r="BG59" s="4">
        <f>IF(V59=VLOOKUP(VALUE(V$1),Questions!$A:$E,5,FALSE),1,0)</f>
        <v>0</v>
      </c>
      <c r="BH59" s="4">
        <f>IF(W59=VLOOKUP(VALUE(W$1),Questions!$A:$E,5,FALSE),1,0)</f>
        <v>0</v>
      </c>
      <c r="BI59" s="4">
        <f>IF(X59=VLOOKUP(VALUE(X$1),Questions!$A:$E,5,FALSE),1,0)</f>
        <v>0</v>
      </c>
      <c r="BJ59" s="4">
        <f>IF(Y59=VLOOKUP(VALUE(Y$1),Questions!$A:$E,5,FALSE),1,0)</f>
        <v>0</v>
      </c>
      <c r="BK59" s="4">
        <f>IF(Z59=VLOOKUP(VALUE(Z$1),Questions!$A:$E,5,FALSE),1,0)</f>
        <v>0</v>
      </c>
      <c r="BL59" s="4">
        <f>IF(AA59=VLOOKUP(VALUE(AA$1),Questions!$A:$E,5,FALSE),1,0)</f>
        <v>0</v>
      </c>
      <c r="BM59" s="4">
        <f>IF(AB59=VLOOKUP(VALUE(AB$1),Questions!$A:$E,5,FALSE),1,0)</f>
        <v>0</v>
      </c>
      <c r="BN59" s="4">
        <f>IF(AC59=VLOOKUP(VALUE(AC$1),Questions!$A:$E,5,FALSE),1,0)</f>
        <v>0</v>
      </c>
      <c r="BO59" s="4">
        <f>IF(AD59=VLOOKUP(VALUE(AD$1),Questions!$A:$E,5,FALSE),1,0)</f>
        <v>0</v>
      </c>
      <c r="BP59" s="4">
        <f>IF(AE59=VLOOKUP(VALUE(AE$1),Questions!$A:$E,5,FALSE),1,0)</f>
        <v>0</v>
      </c>
      <c r="BQ59" s="4">
        <f>IF(AF59=VLOOKUP(VALUE(AF$1),Questions!$A:$E,5,FALSE),1,0)</f>
        <v>0</v>
      </c>
      <c r="BR59" s="4">
        <f>IF(AG59=VLOOKUP(VALUE(AG$1),Questions!$A:$E,5,FALSE),1,0)</f>
        <v>0</v>
      </c>
      <c r="BS59" s="4">
        <f>IF(AH59=VLOOKUP(VALUE(AH$1),Questions!$A:$E,5,FALSE),1,0)</f>
        <v>0</v>
      </c>
      <c r="BT59" s="4">
        <f>IF(AI59=VLOOKUP(VALUE(AI$1),Questions!$A:$E,5,FALSE),1,0)</f>
        <v>0</v>
      </c>
      <c r="BU59" s="4">
        <f>IF(AJ59=VLOOKUP(VALUE(AJ$1),Questions!$A:$E,5,FALSE),1,0)</f>
        <v>0</v>
      </c>
      <c r="BV59" s="4">
        <f>IF(AK59=VLOOKUP(VALUE(AK$1),Questions!$A:$E,5,FALSE),1,0)</f>
        <v>0</v>
      </c>
      <c r="BW59" s="87">
        <f>IF(AL59=VLOOKUP(VALUE(AL$1),Questions!$A:$E,5,FALSE),1,0)</f>
        <v>0</v>
      </c>
      <c r="BX59" s="4">
        <f>IF(Scores[[#This Row],[Final]]&gt;=65,1,0)</f>
        <v>0</v>
      </c>
      <c r="BY59" s="4">
        <f>IF(Scores[[#This Row],[Final]]&gt;=IF(Scores[[#This Row],[IEP]],55,65),1,0)</f>
        <v>0</v>
      </c>
    </row>
    <row r="60" spans="1:77" x14ac:dyDescent="0.2">
      <c r="A60" s="6">
        <v>59</v>
      </c>
      <c r="B60" s="4">
        <v>9</v>
      </c>
      <c r="C60" s="4" t="s">
        <v>963</v>
      </c>
      <c r="D60" s="105" t="b">
        <v>0</v>
      </c>
      <c r="E60" s="105" t="b">
        <v>0</v>
      </c>
      <c r="F60" s="86">
        <f>SUM(Scores[[#This Row],[Q1]:[Q28]])</f>
        <v>0</v>
      </c>
      <c r="G60" s="4">
        <f>SUM(Scores[[#This Row],[29]]:Scores[[#This Row],[30]])</f>
        <v>0</v>
      </c>
      <c r="H60" s="4">
        <f>SUM(Scores[[#This Row],[31]:[36]])</f>
        <v>0</v>
      </c>
      <c r="I60" s="4">
        <f>Scores[[#This Row],[37]]</f>
        <v>0</v>
      </c>
      <c r="J60" s="87">
        <f>INDEX('Conversion Chart'!$C$3:$M$47,MATCH(SUM(Scores[[#This Row],[MC]:[IIIA]]),'Conversion Chart'!$B$3:$B$47),MATCH(Scores[[#This Row],[IIIB]],'Conversion Chart'!$C$2:$M$2))</f>
        <v>0</v>
      </c>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4"/>
      <c r="AN60" s="87"/>
      <c r="AU60" s="107"/>
      <c r="AV60" s="4">
        <f>IF(K60=VLOOKUP(VALUE(K$1),Questions!$A:$E,5,FALSE),1,0)</f>
        <v>0</v>
      </c>
      <c r="AW60" s="4">
        <f>IF(L60=VLOOKUP(VALUE(L$1),Questions!$A:$E,5,FALSE),1,0)</f>
        <v>0</v>
      </c>
      <c r="AX60" s="4">
        <f>IF(M60=VLOOKUP(VALUE(M$1),Questions!$A:$E,5,FALSE),1,0)</f>
        <v>0</v>
      </c>
      <c r="AY60" s="4">
        <f>IF(N60=VLOOKUP(VALUE(N$1),Questions!$A:$E,5,FALSE),1,0)</f>
        <v>0</v>
      </c>
      <c r="AZ60" s="4">
        <f>IF(O60=VLOOKUP(VALUE(O$1),Questions!$A:$E,5,FALSE),1,0)</f>
        <v>0</v>
      </c>
      <c r="BA60" s="4">
        <f>IF(P60=VLOOKUP(VALUE(P$1),Questions!$A:$E,5,FALSE),1,0)</f>
        <v>0</v>
      </c>
      <c r="BB60" s="4">
        <f>IF(Q60=VLOOKUP(VALUE(Q$1),Questions!$A:$E,5,FALSE),1,0)</f>
        <v>0</v>
      </c>
      <c r="BC60" s="4">
        <f>IF(R60=VLOOKUP(VALUE(R$1),Questions!$A:$E,5,FALSE),1,0)</f>
        <v>0</v>
      </c>
      <c r="BD60" s="4">
        <f>IF(S60=VLOOKUP(VALUE(S$1),Questions!$A:$E,5,FALSE),1,0)</f>
        <v>0</v>
      </c>
      <c r="BE60" s="4">
        <f>IF(T60=VLOOKUP(VALUE(T$1),Questions!$A:$E,5,FALSE),1,0)</f>
        <v>0</v>
      </c>
      <c r="BF60" s="4">
        <f>IF(U60=VLOOKUP(VALUE(U$1),Questions!$A:$E,5,FALSE),1,0)</f>
        <v>0</v>
      </c>
      <c r="BG60" s="4">
        <f>IF(V60=VLOOKUP(VALUE(V$1),Questions!$A:$E,5,FALSE),1,0)</f>
        <v>0</v>
      </c>
      <c r="BH60" s="4">
        <f>IF(W60=VLOOKUP(VALUE(W$1),Questions!$A:$E,5,FALSE),1,0)</f>
        <v>0</v>
      </c>
      <c r="BI60" s="4">
        <f>IF(X60=VLOOKUP(VALUE(X$1),Questions!$A:$E,5,FALSE),1,0)</f>
        <v>0</v>
      </c>
      <c r="BJ60" s="4">
        <f>IF(Y60=VLOOKUP(VALUE(Y$1),Questions!$A:$E,5,FALSE),1,0)</f>
        <v>0</v>
      </c>
      <c r="BK60" s="4">
        <f>IF(Z60=VLOOKUP(VALUE(Z$1),Questions!$A:$E,5,FALSE),1,0)</f>
        <v>0</v>
      </c>
      <c r="BL60" s="4">
        <f>IF(AA60=VLOOKUP(VALUE(AA$1),Questions!$A:$E,5,FALSE),1,0)</f>
        <v>0</v>
      </c>
      <c r="BM60" s="4">
        <f>IF(AB60=VLOOKUP(VALUE(AB$1),Questions!$A:$E,5,FALSE),1,0)</f>
        <v>0</v>
      </c>
      <c r="BN60" s="4">
        <f>IF(AC60=VLOOKUP(VALUE(AC$1),Questions!$A:$E,5,FALSE),1,0)</f>
        <v>0</v>
      </c>
      <c r="BO60" s="4">
        <f>IF(AD60=VLOOKUP(VALUE(AD$1),Questions!$A:$E,5,FALSE),1,0)</f>
        <v>0</v>
      </c>
      <c r="BP60" s="4">
        <f>IF(AE60=VLOOKUP(VALUE(AE$1),Questions!$A:$E,5,FALSE),1,0)</f>
        <v>0</v>
      </c>
      <c r="BQ60" s="4">
        <f>IF(AF60=VLOOKUP(VALUE(AF$1),Questions!$A:$E,5,FALSE),1,0)</f>
        <v>0</v>
      </c>
      <c r="BR60" s="4">
        <f>IF(AG60=VLOOKUP(VALUE(AG$1),Questions!$A:$E,5,FALSE),1,0)</f>
        <v>0</v>
      </c>
      <c r="BS60" s="4">
        <f>IF(AH60=VLOOKUP(VALUE(AH$1),Questions!$A:$E,5,FALSE),1,0)</f>
        <v>0</v>
      </c>
      <c r="BT60" s="4">
        <f>IF(AI60=VLOOKUP(VALUE(AI$1),Questions!$A:$E,5,FALSE),1,0)</f>
        <v>0</v>
      </c>
      <c r="BU60" s="4">
        <f>IF(AJ60=VLOOKUP(VALUE(AJ$1),Questions!$A:$E,5,FALSE),1,0)</f>
        <v>0</v>
      </c>
      <c r="BV60" s="4">
        <f>IF(AK60=VLOOKUP(VALUE(AK$1),Questions!$A:$E,5,FALSE),1,0)</f>
        <v>0</v>
      </c>
      <c r="BW60" s="87">
        <f>IF(AL60=VLOOKUP(VALUE(AL$1),Questions!$A:$E,5,FALSE),1,0)</f>
        <v>0</v>
      </c>
      <c r="BX60" s="4">
        <f>IF(Scores[[#This Row],[Final]]&gt;=65,1,0)</f>
        <v>0</v>
      </c>
      <c r="BY60" s="4">
        <f>IF(Scores[[#This Row],[Final]]&gt;=IF(Scores[[#This Row],[IEP]],55,65),1,0)</f>
        <v>0</v>
      </c>
    </row>
    <row r="61" spans="1:77" x14ac:dyDescent="0.2">
      <c r="A61" s="6">
        <v>60</v>
      </c>
      <c r="B61" s="4">
        <v>11</v>
      </c>
      <c r="C61" s="4" t="s">
        <v>964</v>
      </c>
      <c r="D61" s="105" t="b">
        <v>0</v>
      </c>
      <c r="E61" s="105" t="b">
        <v>0</v>
      </c>
      <c r="F61" s="86">
        <f>SUM(Scores[[#This Row],[Q1]:[Q28]])</f>
        <v>16</v>
      </c>
      <c r="G61" s="4">
        <f>SUM(Scores[[#This Row],[29]]:Scores[[#This Row],[30]])</f>
        <v>2</v>
      </c>
      <c r="H61" s="4">
        <f>SUM(Scores[[#This Row],[31]:[36]])</f>
        <v>5</v>
      </c>
      <c r="I61" s="4">
        <f>Scores[[#This Row],[37]]</f>
        <v>2.5</v>
      </c>
      <c r="J61" s="87">
        <f>INDEX('Conversion Chart'!$C$3:$M$47,MATCH(SUM(Scores[[#This Row],[MC]:[IIIA]]),'Conversion Chart'!$B$3:$B$47),MATCH(Scores[[#This Row],[IIIB]],'Conversion Chart'!$C$2:$M$2))</f>
        <v>67</v>
      </c>
      <c r="K61" s="103">
        <v>3</v>
      </c>
      <c r="L61" s="103">
        <v>1</v>
      </c>
      <c r="M61" s="103">
        <v>4</v>
      </c>
      <c r="N61" s="103">
        <v>3</v>
      </c>
      <c r="O61" s="103">
        <v>1</v>
      </c>
      <c r="P61" s="103">
        <v>2</v>
      </c>
      <c r="Q61" s="103">
        <v>3</v>
      </c>
      <c r="R61" s="103">
        <v>2</v>
      </c>
      <c r="S61" s="103">
        <v>2</v>
      </c>
      <c r="T61" s="103">
        <v>1</v>
      </c>
      <c r="U61" s="103">
        <v>2</v>
      </c>
      <c r="V61" s="103">
        <v>3</v>
      </c>
      <c r="W61" s="103">
        <v>2</v>
      </c>
      <c r="X61" s="103">
        <v>4</v>
      </c>
      <c r="Y61" s="103">
        <v>1</v>
      </c>
      <c r="Z61" s="103">
        <v>1</v>
      </c>
      <c r="AA61" s="103">
        <v>2</v>
      </c>
      <c r="AB61" s="103">
        <v>4</v>
      </c>
      <c r="AC61" s="103">
        <v>3</v>
      </c>
      <c r="AD61" s="103">
        <v>1</v>
      </c>
      <c r="AE61" s="103">
        <v>4</v>
      </c>
      <c r="AF61" s="103">
        <v>4</v>
      </c>
      <c r="AG61" s="103">
        <v>3</v>
      </c>
      <c r="AH61" s="103">
        <v>3</v>
      </c>
      <c r="AI61" s="103">
        <v>3</v>
      </c>
      <c r="AJ61" s="103">
        <v>4</v>
      </c>
      <c r="AK61" s="103">
        <v>4</v>
      </c>
      <c r="AL61" s="104">
        <v>3</v>
      </c>
      <c r="AM61" s="4">
        <v>2</v>
      </c>
      <c r="AN61" s="87">
        <v>0</v>
      </c>
      <c r="AO61" s="4">
        <v>1</v>
      </c>
      <c r="AP61" s="4">
        <v>1</v>
      </c>
      <c r="AQ61" s="4">
        <v>0</v>
      </c>
      <c r="AR61" s="4">
        <v>1</v>
      </c>
      <c r="AS61" s="4">
        <v>1</v>
      </c>
      <c r="AT61" s="4">
        <v>1</v>
      </c>
      <c r="AU61" s="107">
        <v>2.5</v>
      </c>
      <c r="AV61" s="4">
        <f>IF(K61=VLOOKUP(VALUE(K$1),Questions!$A:$E,5,FALSE),1,0)</f>
        <v>0</v>
      </c>
      <c r="AW61" s="4">
        <f>IF(L61=VLOOKUP(VALUE(L$1),Questions!$A:$E,5,FALSE),1,0)</f>
        <v>0</v>
      </c>
      <c r="AX61" s="4">
        <f>IF(M61=VLOOKUP(VALUE(M$1),Questions!$A:$E,5,FALSE),1,0)</f>
        <v>0</v>
      </c>
      <c r="AY61" s="4">
        <f>IF(N61=VLOOKUP(VALUE(N$1),Questions!$A:$E,5,FALSE),1,0)</f>
        <v>1</v>
      </c>
      <c r="AZ61" s="4">
        <f>IF(O61=VLOOKUP(VALUE(O$1),Questions!$A:$E,5,FALSE),1,0)</f>
        <v>1</v>
      </c>
      <c r="BA61" s="4">
        <f>IF(P61=VLOOKUP(VALUE(P$1),Questions!$A:$E,5,FALSE),1,0)</f>
        <v>0</v>
      </c>
      <c r="BB61" s="4">
        <f>IF(Q61=VLOOKUP(VALUE(Q$1),Questions!$A:$E,5,FALSE),1,0)</f>
        <v>1</v>
      </c>
      <c r="BC61" s="4">
        <f>IF(R61=VLOOKUP(VALUE(R$1),Questions!$A:$E,5,FALSE),1,0)</f>
        <v>1</v>
      </c>
      <c r="BD61" s="4">
        <f>IF(S61=VLOOKUP(VALUE(S$1),Questions!$A:$E,5,FALSE),1,0)</f>
        <v>1</v>
      </c>
      <c r="BE61" s="4">
        <f>IF(T61=VLOOKUP(VALUE(T$1),Questions!$A:$E,5,FALSE),1,0)</f>
        <v>1</v>
      </c>
      <c r="BF61" s="4">
        <f>IF(U61=VLOOKUP(VALUE(U$1),Questions!$A:$E,5,FALSE),1,0)</f>
        <v>1</v>
      </c>
      <c r="BG61" s="4">
        <f>IF(V61=VLOOKUP(VALUE(V$1),Questions!$A:$E,5,FALSE),1,0)</f>
        <v>0</v>
      </c>
      <c r="BH61" s="4">
        <f>IF(W61=VLOOKUP(VALUE(W$1),Questions!$A:$E,5,FALSE),1,0)</f>
        <v>1</v>
      </c>
      <c r="BI61" s="4">
        <f>IF(X61=VLOOKUP(VALUE(X$1),Questions!$A:$E,5,FALSE),1,0)</f>
        <v>1</v>
      </c>
      <c r="BJ61" s="4">
        <f>IF(Y61=VLOOKUP(VALUE(Y$1),Questions!$A:$E,5,FALSE),1,0)</f>
        <v>0</v>
      </c>
      <c r="BK61" s="4">
        <f>IF(Z61=VLOOKUP(VALUE(Z$1),Questions!$A:$E,5,FALSE),1,0)</f>
        <v>1</v>
      </c>
      <c r="BL61" s="4">
        <f>IF(AA61=VLOOKUP(VALUE(AA$1),Questions!$A:$E,5,FALSE),1,0)</f>
        <v>0</v>
      </c>
      <c r="BM61" s="4">
        <f>IF(AB61=VLOOKUP(VALUE(AB$1),Questions!$A:$E,5,FALSE),1,0)</f>
        <v>1</v>
      </c>
      <c r="BN61" s="4">
        <f>IF(AC61=VLOOKUP(VALUE(AC$1),Questions!$A:$E,5,FALSE),1,0)</f>
        <v>1</v>
      </c>
      <c r="BO61" s="4">
        <f>IF(AD61=VLOOKUP(VALUE(AD$1),Questions!$A:$E,5,FALSE),1,0)</f>
        <v>0</v>
      </c>
      <c r="BP61" s="4">
        <f>IF(AE61=VLOOKUP(VALUE(AE$1),Questions!$A:$E,5,FALSE),1,0)</f>
        <v>0</v>
      </c>
      <c r="BQ61" s="4">
        <f>IF(AF61=VLOOKUP(VALUE(AF$1),Questions!$A:$E,5,FALSE),1,0)</f>
        <v>0</v>
      </c>
      <c r="BR61" s="4">
        <f>IF(AG61=VLOOKUP(VALUE(AG$1),Questions!$A:$E,5,FALSE),1,0)</f>
        <v>1</v>
      </c>
      <c r="BS61" s="4">
        <f>IF(AH61=VLOOKUP(VALUE(AH$1),Questions!$A:$E,5,FALSE),1,0)</f>
        <v>1</v>
      </c>
      <c r="BT61" s="4">
        <f>IF(AI61=VLOOKUP(VALUE(AI$1),Questions!$A:$E,5,FALSE),1,0)</f>
        <v>0</v>
      </c>
      <c r="BU61" s="4">
        <f>IF(AJ61=VLOOKUP(VALUE(AJ$1),Questions!$A:$E,5,FALSE),1,0)</f>
        <v>1</v>
      </c>
      <c r="BV61" s="4">
        <f>IF(AK61=VLOOKUP(VALUE(AK$1),Questions!$A:$E,5,FALSE),1,0)</f>
        <v>0</v>
      </c>
      <c r="BW61" s="87">
        <f>IF(AL61=VLOOKUP(VALUE(AL$1),Questions!$A:$E,5,FALSE),1,0)</f>
        <v>1</v>
      </c>
      <c r="BX61" s="4">
        <f>IF(Scores[[#This Row],[Final]]&gt;=65,1,0)</f>
        <v>1</v>
      </c>
      <c r="BY61" s="4">
        <f>IF(Scores[[#This Row],[Final]]&gt;=IF(Scores[[#This Row],[IEP]],55,65),1,0)</f>
        <v>1</v>
      </c>
    </row>
    <row r="62" spans="1:77" x14ac:dyDescent="0.2">
      <c r="A62" s="6">
        <v>61</v>
      </c>
      <c r="B62" s="4">
        <v>11</v>
      </c>
      <c r="C62" s="4" t="s">
        <v>964</v>
      </c>
      <c r="D62" s="105" t="b">
        <v>0</v>
      </c>
      <c r="E62" s="105" t="b">
        <v>0</v>
      </c>
      <c r="F62" s="86">
        <f>SUM(Scores[[#This Row],[Q1]:[Q28]])</f>
        <v>20</v>
      </c>
      <c r="G62" s="4">
        <f>SUM(Scores[[#This Row],[29]]:Scores[[#This Row],[30]])</f>
        <v>3</v>
      </c>
      <c r="H62" s="4">
        <f>SUM(Scores[[#This Row],[31]:[36]])</f>
        <v>2</v>
      </c>
      <c r="I62" s="4">
        <f>Scores[[#This Row],[37]]</f>
        <v>0</v>
      </c>
      <c r="J62" s="87">
        <f>INDEX('Conversion Chart'!$C$3:$M$47,MATCH(SUM(Scores[[#This Row],[MC]:[IIIA]]),'Conversion Chart'!$B$3:$B$47),MATCH(Scores[[#This Row],[IIIB]],'Conversion Chart'!$C$2:$M$2))</f>
        <v>60</v>
      </c>
      <c r="K62" s="103">
        <v>4</v>
      </c>
      <c r="L62" s="103">
        <v>2</v>
      </c>
      <c r="M62" s="103">
        <v>3</v>
      </c>
      <c r="N62" s="103">
        <v>4</v>
      </c>
      <c r="O62" s="103">
        <v>1</v>
      </c>
      <c r="P62" s="103">
        <v>2</v>
      </c>
      <c r="Q62" s="103">
        <v>3</v>
      </c>
      <c r="R62" s="103">
        <v>3</v>
      </c>
      <c r="S62" s="103">
        <v>2</v>
      </c>
      <c r="T62" s="103">
        <v>1</v>
      </c>
      <c r="U62" s="103">
        <v>2</v>
      </c>
      <c r="V62" s="103">
        <v>4</v>
      </c>
      <c r="W62" s="103">
        <v>2</v>
      </c>
      <c r="X62" s="103">
        <v>4</v>
      </c>
      <c r="Y62" s="103">
        <v>3</v>
      </c>
      <c r="Z62" s="103">
        <v>1</v>
      </c>
      <c r="AA62" s="103">
        <v>1</v>
      </c>
      <c r="AB62" s="103">
        <v>2</v>
      </c>
      <c r="AC62" s="103">
        <v>2</v>
      </c>
      <c r="AD62" s="103">
        <v>4</v>
      </c>
      <c r="AE62" s="103">
        <v>2</v>
      </c>
      <c r="AF62" s="103">
        <v>2</v>
      </c>
      <c r="AG62" s="103">
        <v>3</v>
      </c>
      <c r="AH62" s="103">
        <v>2</v>
      </c>
      <c r="AI62" s="103">
        <v>1</v>
      </c>
      <c r="AJ62" s="103">
        <v>4</v>
      </c>
      <c r="AK62" s="103">
        <v>4</v>
      </c>
      <c r="AL62" s="104">
        <v>1</v>
      </c>
      <c r="AM62" s="4">
        <v>2</v>
      </c>
      <c r="AN62" s="87">
        <v>1</v>
      </c>
      <c r="AO62" s="4">
        <v>0</v>
      </c>
      <c r="AP62" s="4">
        <v>0</v>
      </c>
      <c r="AQ62" s="4">
        <v>1</v>
      </c>
      <c r="AR62" s="4">
        <v>1</v>
      </c>
      <c r="AS62" s="4">
        <v>0</v>
      </c>
      <c r="AT62" s="4">
        <v>0</v>
      </c>
      <c r="AU62" s="107">
        <v>0</v>
      </c>
      <c r="AV62" s="4">
        <f>IF(K62=VLOOKUP(VALUE(K$1),Questions!$A:$E,5,FALSE),1,0)</f>
        <v>1</v>
      </c>
      <c r="AW62" s="4">
        <f>IF(L62=VLOOKUP(VALUE(L$1),Questions!$A:$E,5,FALSE),1,0)</f>
        <v>1</v>
      </c>
      <c r="AX62" s="4">
        <f>IF(M62=VLOOKUP(VALUE(M$1),Questions!$A:$E,5,FALSE),1,0)</f>
        <v>1</v>
      </c>
      <c r="AY62" s="4">
        <f>IF(N62=VLOOKUP(VALUE(N$1),Questions!$A:$E,5,FALSE),1,0)</f>
        <v>0</v>
      </c>
      <c r="AZ62" s="4">
        <f>IF(O62=VLOOKUP(VALUE(O$1),Questions!$A:$E,5,FALSE),1,0)</f>
        <v>1</v>
      </c>
      <c r="BA62" s="4">
        <f>IF(P62=VLOOKUP(VALUE(P$1),Questions!$A:$E,5,FALSE),1,0)</f>
        <v>0</v>
      </c>
      <c r="BB62" s="4">
        <f>IF(Q62=VLOOKUP(VALUE(Q$1),Questions!$A:$E,5,FALSE),1,0)</f>
        <v>1</v>
      </c>
      <c r="BC62" s="4">
        <f>IF(R62=VLOOKUP(VALUE(R$1),Questions!$A:$E,5,FALSE),1,0)</f>
        <v>0</v>
      </c>
      <c r="BD62" s="4">
        <f>IF(S62=VLOOKUP(VALUE(S$1),Questions!$A:$E,5,FALSE),1,0)</f>
        <v>1</v>
      </c>
      <c r="BE62" s="4">
        <f>IF(T62=VLOOKUP(VALUE(T$1),Questions!$A:$E,5,FALSE),1,0)</f>
        <v>1</v>
      </c>
      <c r="BF62" s="4">
        <f>IF(U62=VLOOKUP(VALUE(U$1),Questions!$A:$E,5,FALSE),1,0)</f>
        <v>1</v>
      </c>
      <c r="BG62" s="4">
        <f>IF(V62=VLOOKUP(VALUE(V$1),Questions!$A:$E,5,FALSE),1,0)</f>
        <v>1</v>
      </c>
      <c r="BH62" s="4">
        <f>IF(W62=VLOOKUP(VALUE(W$1),Questions!$A:$E,5,FALSE),1,0)</f>
        <v>1</v>
      </c>
      <c r="BI62" s="4">
        <f>IF(X62=VLOOKUP(VALUE(X$1),Questions!$A:$E,5,FALSE),1,0)</f>
        <v>1</v>
      </c>
      <c r="BJ62" s="4">
        <f>IF(Y62=VLOOKUP(VALUE(Y$1),Questions!$A:$E,5,FALSE),1,0)</f>
        <v>1</v>
      </c>
      <c r="BK62" s="4">
        <f>IF(Z62=VLOOKUP(VALUE(Z$1),Questions!$A:$E,5,FALSE),1,0)</f>
        <v>1</v>
      </c>
      <c r="BL62" s="4">
        <f>IF(AA62=VLOOKUP(VALUE(AA$1),Questions!$A:$E,5,FALSE),1,0)</f>
        <v>1</v>
      </c>
      <c r="BM62" s="4">
        <f>IF(AB62=VLOOKUP(VALUE(AB$1),Questions!$A:$E,5,FALSE),1,0)</f>
        <v>0</v>
      </c>
      <c r="BN62" s="4">
        <f>IF(AC62=VLOOKUP(VALUE(AC$1),Questions!$A:$E,5,FALSE),1,0)</f>
        <v>0</v>
      </c>
      <c r="BO62" s="4">
        <f>IF(AD62=VLOOKUP(VALUE(AD$1),Questions!$A:$E,5,FALSE),1,0)</f>
        <v>1</v>
      </c>
      <c r="BP62" s="4">
        <f>IF(AE62=VLOOKUP(VALUE(AE$1),Questions!$A:$E,5,FALSE),1,0)</f>
        <v>1</v>
      </c>
      <c r="BQ62" s="4">
        <f>IF(AF62=VLOOKUP(VALUE(AF$1),Questions!$A:$E,5,FALSE),1,0)</f>
        <v>1</v>
      </c>
      <c r="BR62" s="4">
        <f>IF(AG62=VLOOKUP(VALUE(AG$1),Questions!$A:$E,5,FALSE),1,0)</f>
        <v>1</v>
      </c>
      <c r="BS62" s="4">
        <f>IF(AH62=VLOOKUP(VALUE(AH$1),Questions!$A:$E,5,FALSE),1,0)</f>
        <v>0</v>
      </c>
      <c r="BT62" s="4">
        <f>IF(AI62=VLOOKUP(VALUE(AI$1),Questions!$A:$E,5,FALSE),1,0)</f>
        <v>1</v>
      </c>
      <c r="BU62" s="4">
        <f>IF(AJ62=VLOOKUP(VALUE(AJ$1),Questions!$A:$E,5,FALSE),1,0)</f>
        <v>1</v>
      </c>
      <c r="BV62" s="4">
        <f>IF(AK62=VLOOKUP(VALUE(AK$1),Questions!$A:$E,5,FALSE),1,0)</f>
        <v>0</v>
      </c>
      <c r="BW62" s="87">
        <f>IF(AL62=VLOOKUP(VALUE(AL$1),Questions!$A:$E,5,FALSE),1,0)</f>
        <v>0</v>
      </c>
      <c r="BX62" s="4">
        <f>IF(Scores[[#This Row],[Final]]&gt;=65,1,0)</f>
        <v>0</v>
      </c>
      <c r="BY62" s="4">
        <f>IF(Scores[[#This Row],[Final]]&gt;=IF(Scores[[#This Row],[IEP]],55,65),1,0)</f>
        <v>0</v>
      </c>
    </row>
    <row r="63" spans="1:77" x14ac:dyDescent="0.2">
      <c r="A63" s="6">
        <v>62</v>
      </c>
      <c r="B63" s="4">
        <v>11</v>
      </c>
      <c r="C63" s="4" t="s">
        <v>962</v>
      </c>
      <c r="D63" s="105" t="b">
        <v>0</v>
      </c>
      <c r="E63" s="105" t="b">
        <v>1</v>
      </c>
      <c r="F63" s="86">
        <f>SUM(Scores[[#This Row],[Q1]:[Q28]])</f>
        <v>16</v>
      </c>
      <c r="G63" s="4">
        <f>SUM(Scores[[#This Row],[29]]:Scores[[#This Row],[30]])</f>
        <v>6</v>
      </c>
      <c r="H63" s="4">
        <f>SUM(Scores[[#This Row],[31]:[36]])</f>
        <v>6</v>
      </c>
      <c r="I63" s="4">
        <f>Scores[[#This Row],[37]]</f>
        <v>4</v>
      </c>
      <c r="J63" s="87">
        <f>INDEX('Conversion Chart'!$C$3:$M$47,MATCH(SUM(Scores[[#This Row],[MC]:[IIIA]]),'Conversion Chart'!$B$3:$B$47),MATCH(Scores[[#This Row],[IIIB]],'Conversion Chart'!$C$2:$M$2))</f>
        <v>77</v>
      </c>
      <c r="K63" s="103">
        <v>4</v>
      </c>
      <c r="L63" s="103">
        <v>1</v>
      </c>
      <c r="M63" s="103">
        <v>3</v>
      </c>
      <c r="N63" s="103">
        <v>3</v>
      </c>
      <c r="O63" s="103">
        <v>1</v>
      </c>
      <c r="P63" s="103">
        <v>2</v>
      </c>
      <c r="Q63" s="103">
        <v>3</v>
      </c>
      <c r="R63" s="103">
        <v>3</v>
      </c>
      <c r="S63" s="103">
        <v>2</v>
      </c>
      <c r="T63" s="103">
        <v>1</v>
      </c>
      <c r="U63" s="103">
        <v>2</v>
      </c>
      <c r="V63" s="103">
        <v>3</v>
      </c>
      <c r="W63" s="103">
        <v>2</v>
      </c>
      <c r="X63" s="103">
        <v>2</v>
      </c>
      <c r="Y63" s="103">
        <v>4</v>
      </c>
      <c r="Z63" s="103">
        <v>1</v>
      </c>
      <c r="AA63" s="103">
        <v>3</v>
      </c>
      <c r="AB63" s="103">
        <v>1</v>
      </c>
      <c r="AC63" s="103">
        <v>3</v>
      </c>
      <c r="AD63" s="103">
        <v>3</v>
      </c>
      <c r="AE63" s="103">
        <v>2</v>
      </c>
      <c r="AF63" s="103">
        <v>4</v>
      </c>
      <c r="AG63" s="103">
        <v>3</v>
      </c>
      <c r="AH63" s="103">
        <v>3</v>
      </c>
      <c r="AI63" s="103">
        <v>1</v>
      </c>
      <c r="AJ63" s="103">
        <v>4</v>
      </c>
      <c r="AK63" s="103">
        <v>4</v>
      </c>
      <c r="AL63" s="104">
        <v>2</v>
      </c>
      <c r="AM63" s="4">
        <v>3</v>
      </c>
      <c r="AN63" s="87">
        <v>3</v>
      </c>
      <c r="AO63" s="4">
        <v>1</v>
      </c>
      <c r="AP63" s="4">
        <v>1</v>
      </c>
      <c r="AQ63" s="4">
        <v>1</v>
      </c>
      <c r="AR63" s="4">
        <v>1</v>
      </c>
      <c r="AS63" s="4">
        <v>1</v>
      </c>
      <c r="AT63" s="4">
        <v>1</v>
      </c>
      <c r="AU63" s="107">
        <v>4</v>
      </c>
      <c r="AV63" s="4">
        <f>IF(K63=VLOOKUP(VALUE(K$1),Questions!$A:$E,5,FALSE),1,0)</f>
        <v>1</v>
      </c>
      <c r="AW63" s="4">
        <f>IF(L63=VLOOKUP(VALUE(L$1),Questions!$A:$E,5,FALSE),1,0)</f>
        <v>0</v>
      </c>
      <c r="AX63" s="4">
        <f>IF(M63=VLOOKUP(VALUE(M$1),Questions!$A:$E,5,FALSE),1,0)</f>
        <v>1</v>
      </c>
      <c r="AY63" s="4">
        <f>IF(N63=VLOOKUP(VALUE(N$1),Questions!$A:$E,5,FALSE),1,0)</f>
        <v>1</v>
      </c>
      <c r="AZ63" s="4">
        <f>IF(O63=VLOOKUP(VALUE(O$1),Questions!$A:$E,5,FALSE),1,0)</f>
        <v>1</v>
      </c>
      <c r="BA63" s="4">
        <f>IF(P63=VLOOKUP(VALUE(P$1),Questions!$A:$E,5,FALSE),1,0)</f>
        <v>0</v>
      </c>
      <c r="BB63" s="4">
        <f>IF(Q63=VLOOKUP(VALUE(Q$1),Questions!$A:$E,5,FALSE),1,0)</f>
        <v>1</v>
      </c>
      <c r="BC63" s="4">
        <f>IF(R63=VLOOKUP(VALUE(R$1),Questions!$A:$E,5,FALSE),1,0)</f>
        <v>0</v>
      </c>
      <c r="BD63" s="4">
        <f>IF(S63=VLOOKUP(VALUE(S$1),Questions!$A:$E,5,FALSE),1,0)</f>
        <v>1</v>
      </c>
      <c r="BE63" s="4">
        <f>IF(T63=VLOOKUP(VALUE(T$1),Questions!$A:$E,5,FALSE),1,0)</f>
        <v>1</v>
      </c>
      <c r="BF63" s="4">
        <f>IF(U63=VLOOKUP(VALUE(U$1),Questions!$A:$E,5,FALSE),1,0)</f>
        <v>1</v>
      </c>
      <c r="BG63" s="4">
        <f>IF(V63=VLOOKUP(VALUE(V$1),Questions!$A:$E,5,FALSE),1,0)</f>
        <v>0</v>
      </c>
      <c r="BH63" s="4">
        <f>IF(W63=VLOOKUP(VALUE(W$1),Questions!$A:$E,5,FALSE),1,0)</f>
        <v>1</v>
      </c>
      <c r="BI63" s="4">
        <f>IF(X63=VLOOKUP(VALUE(X$1),Questions!$A:$E,5,FALSE),1,0)</f>
        <v>0</v>
      </c>
      <c r="BJ63" s="4">
        <f>IF(Y63=VLOOKUP(VALUE(Y$1),Questions!$A:$E,5,FALSE),1,0)</f>
        <v>0</v>
      </c>
      <c r="BK63" s="4">
        <f>IF(Z63=VLOOKUP(VALUE(Z$1),Questions!$A:$E,5,FALSE),1,0)</f>
        <v>1</v>
      </c>
      <c r="BL63" s="4">
        <f>IF(AA63=VLOOKUP(VALUE(AA$1),Questions!$A:$E,5,FALSE),1,0)</f>
        <v>0</v>
      </c>
      <c r="BM63" s="4">
        <f>IF(AB63=VLOOKUP(VALUE(AB$1),Questions!$A:$E,5,FALSE),1,0)</f>
        <v>0</v>
      </c>
      <c r="BN63" s="4">
        <f>IF(AC63=VLOOKUP(VALUE(AC$1),Questions!$A:$E,5,FALSE),1,0)</f>
        <v>1</v>
      </c>
      <c r="BO63" s="4">
        <f>IF(AD63=VLOOKUP(VALUE(AD$1),Questions!$A:$E,5,FALSE),1,0)</f>
        <v>0</v>
      </c>
      <c r="BP63" s="4">
        <f>IF(AE63=VLOOKUP(VALUE(AE$1),Questions!$A:$E,5,FALSE),1,0)</f>
        <v>1</v>
      </c>
      <c r="BQ63" s="4">
        <f>IF(AF63=VLOOKUP(VALUE(AF$1),Questions!$A:$E,5,FALSE),1,0)</f>
        <v>0</v>
      </c>
      <c r="BR63" s="4">
        <f>IF(AG63=VLOOKUP(VALUE(AG$1),Questions!$A:$E,5,FALSE),1,0)</f>
        <v>1</v>
      </c>
      <c r="BS63" s="4">
        <f>IF(AH63=VLOOKUP(VALUE(AH$1),Questions!$A:$E,5,FALSE),1,0)</f>
        <v>1</v>
      </c>
      <c r="BT63" s="4">
        <f>IF(AI63=VLOOKUP(VALUE(AI$1),Questions!$A:$E,5,FALSE),1,0)</f>
        <v>1</v>
      </c>
      <c r="BU63" s="4">
        <f>IF(AJ63=VLOOKUP(VALUE(AJ$1),Questions!$A:$E,5,FALSE),1,0)</f>
        <v>1</v>
      </c>
      <c r="BV63" s="4">
        <f>IF(AK63=VLOOKUP(VALUE(AK$1),Questions!$A:$E,5,FALSE),1,0)</f>
        <v>0</v>
      </c>
      <c r="BW63" s="87">
        <f>IF(AL63=VLOOKUP(VALUE(AL$1),Questions!$A:$E,5,FALSE),1,0)</f>
        <v>0</v>
      </c>
      <c r="BX63" s="4">
        <f>IF(Scores[[#This Row],[Final]]&gt;=65,1,0)</f>
        <v>1</v>
      </c>
      <c r="BY63" s="4">
        <f>IF(Scores[[#This Row],[Final]]&gt;=IF(Scores[[#This Row],[IEP]],55,65),1,0)</f>
        <v>1</v>
      </c>
    </row>
    <row r="64" spans="1:77" x14ac:dyDescent="0.2">
      <c r="A64" s="6">
        <v>63</v>
      </c>
      <c r="B64" s="4">
        <v>9</v>
      </c>
      <c r="C64" s="4" t="s">
        <v>963</v>
      </c>
      <c r="D64" s="105" t="b">
        <v>0</v>
      </c>
      <c r="E64" s="105" t="b">
        <v>0</v>
      </c>
      <c r="F64" s="86">
        <f>SUM(Scores[[#This Row],[Q1]:[Q28]])</f>
        <v>16</v>
      </c>
      <c r="G64" s="4">
        <f>SUM(Scores[[#This Row],[29]]:Scores[[#This Row],[30]])</f>
        <v>2</v>
      </c>
      <c r="H64" s="4">
        <f>SUM(Scores[[#This Row],[31]:[36]])</f>
        <v>3</v>
      </c>
      <c r="I64" s="4">
        <f>Scores[[#This Row],[37]]</f>
        <v>1</v>
      </c>
      <c r="J64" s="87">
        <f>INDEX('Conversion Chart'!$C$3:$M$47,MATCH(SUM(Scores[[#This Row],[MC]:[IIIA]]),'Conversion Chart'!$B$3:$B$47),MATCH(Scores[[#This Row],[IIIB]],'Conversion Chart'!$C$2:$M$2))</f>
        <v>58</v>
      </c>
      <c r="K64" s="103">
        <v>4</v>
      </c>
      <c r="L64" s="103">
        <v>2</v>
      </c>
      <c r="M64" s="103">
        <v>3</v>
      </c>
      <c r="N64" s="103">
        <v>3</v>
      </c>
      <c r="O64" s="103">
        <v>1</v>
      </c>
      <c r="P64" s="103">
        <v>2</v>
      </c>
      <c r="Q64" s="103">
        <v>3</v>
      </c>
      <c r="R64" s="103">
        <v>2</v>
      </c>
      <c r="S64" s="103">
        <v>2</v>
      </c>
      <c r="T64" s="103">
        <v>1</v>
      </c>
      <c r="U64" s="103">
        <v>2</v>
      </c>
      <c r="V64" s="103">
        <v>4</v>
      </c>
      <c r="W64" s="103">
        <v>2</v>
      </c>
      <c r="X64" s="103">
        <v>3</v>
      </c>
      <c r="Y64" s="103">
        <v>4</v>
      </c>
      <c r="Z64" s="103">
        <v>1</v>
      </c>
      <c r="AA64" s="103">
        <v>3</v>
      </c>
      <c r="AB64" s="103">
        <v>2</v>
      </c>
      <c r="AC64" s="103">
        <v>2</v>
      </c>
      <c r="AD64" s="103">
        <v>3</v>
      </c>
      <c r="AE64" s="103">
        <v>2</v>
      </c>
      <c r="AF64" s="103">
        <v>2</v>
      </c>
      <c r="AG64" s="103">
        <v>3</v>
      </c>
      <c r="AH64" s="103">
        <v>1</v>
      </c>
      <c r="AI64" s="103">
        <v>2</v>
      </c>
      <c r="AJ64" s="103">
        <v>3</v>
      </c>
      <c r="AK64" s="103">
        <v>2</v>
      </c>
      <c r="AL64" s="104">
        <v>4</v>
      </c>
      <c r="AM64" s="4">
        <v>1</v>
      </c>
      <c r="AN64" s="87">
        <v>1</v>
      </c>
      <c r="AO64" s="4">
        <v>0</v>
      </c>
      <c r="AP64" s="4">
        <v>0</v>
      </c>
      <c r="AQ64" s="4">
        <v>1</v>
      </c>
      <c r="AR64" s="4">
        <v>0</v>
      </c>
      <c r="AS64" s="4">
        <v>1</v>
      </c>
      <c r="AT64" s="4">
        <v>1</v>
      </c>
      <c r="AU64" s="107">
        <v>1</v>
      </c>
      <c r="AV64" s="4">
        <f>IF(K64=VLOOKUP(VALUE(K$1),Questions!$A:$E,5,FALSE),1,0)</f>
        <v>1</v>
      </c>
      <c r="AW64" s="4">
        <f>IF(L64=VLOOKUP(VALUE(L$1),Questions!$A:$E,5,FALSE),1,0)</f>
        <v>1</v>
      </c>
      <c r="AX64" s="4">
        <f>IF(M64=VLOOKUP(VALUE(M$1),Questions!$A:$E,5,FALSE),1,0)</f>
        <v>1</v>
      </c>
      <c r="AY64" s="4">
        <f>IF(N64=VLOOKUP(VALUE(N$1),Questions!$A:$E,5,FALSE),1,0)</f>
        <v>1</v>
      </c>
      <c r="AZ64" s="4">
        <f>IF(O64=VLOOKUP(VALUE(O$1),Questions!$A:$E,5,FALSE),1,0)</f>
        <v>1</v>
      </c>
      <c r="BA64" s="4">
        <f>IF(P64=VLOOKUP(VALUE(P$1),Questions!$A:$E,5,FALSE),1,0)</f>
        <v>0</v>
      </c>
      <c r="BB64" s="4">
        <f>IF(Q64=VLOOKUP(VALUE(Q$1),Questions!$A:$E,5,FALSE),1,0)</f>
        <v>1</v>
      </c>
      <c r="BC64" s="4">
        <f>IF(R64=VLOOKUP(VALUE(R$1),Questions!$A:$E,5,FALSE),1,0)</f>
        <v>1</v>
      </c>
      <c r="BD64" s="4">
        <f>IF(S64=VLOOKUP(VALUE(S$1),Questions!$A:$E,5,FALSE),1,0)</f>
        <v>1</v>
      </c>
      <c r="BE64" s="4">
        <f>IF(T64=VLOOKUP(VALUE(T$1),Questions!$A:$E,5,FALSE),1,0)</f>
        <v>1</v>
      </c>
      <c r="BF64" s="4">
        <f>IF(U64=VLOOKUP(VALUE(U$1),Questions!$A:$E,5,FALSE),1,0)</f>
        <v>1</v>
      </c>
      <c r="BG64" s="4">
        <f>IF(V64=VLOOKUP(VALUE(V$1),Questions!$A:$E,5,FALSE),1,0)</f>
        <v>1</v>
      </c>
      <c r="BH64" s="4">
        <f>IF(W64=VLOOKUP(VALUE(W$1),Questions!$A:$E,5,FALSE),1,0)</f>
        <v>1</v>
      </c>
      <c r="BI64" s="4">
        <f>IF(X64=VLOOKUP(VALUE(X$1),Questions!$A:$E,5,FALSE),1,0)</f>
        <v>0</v>
      </c>
      <c r="BJ64" s="4">
        <f>IF(Y64=VLOOKUP(VALUE(Y$1),Questions!$A:$E,5,FALSE),1,0)</f>
        <v>0</v>
      </c>
      <c r="BK64" s="4">
        <f>IF(Z64=VLOOKUP(VALUE(Z$1),Questions!$A:$E,5,FALSE),1,0)</f>
        <v>1</v>
      </c>
      <c r="BL64" s="4">
        <f>IF(AA64=VLOOKUP(VALUE(AA$1),Questions!$A:$E,5,FALSE),1,0)</f>
        <v>0</v>
      </c>
      <c r="BM64" s="4">
        <f>IF(AB64=VLOOKUP(VALUE(AB$1),Questions!$A:$E,5,FALSE),1,0)</f>
        <v>0</v>
      </c>
      <c r="BN64" s="4">
        <f>IF(AC64=VLOOKUP(VALUE(AC$1),Questions!$A:$E,5,FALSE),1,0)</f>
        <v>0</v>
      </c>
      <c r="BO64" s="4">
        <f>IF(AD64=VLOOKUP(VALUE(AD$1),Questions!$A:$E,5,FALSE),1,0)</f>
        <v>0</v>
      </c>
      <c r="BP64" s="4">
        <f>IF(AE64=VLOOKUP(VALUE(AE$1),Questions!$A:$E,5,FALSE),1,0)</f>
        <v>1</v>
      </c>
      <c r="BQ64" s="4">
        <f>IF(AF64=VLOOKUP(VALUE(AF$1),Questions!$A:$E,5,FALSE),1,0)</f>
        <v>1</v>
      </c>
      <c r="BR64" s="4">
        <f>IF(AG64=VLOOKUP(VALUE(AG$1),Questions!$A:$E,5,FALSE),1,0)</f>
        <v>1</v>
      </c>
      <c r="BS64" s="4">
        <f>IF(AH64=VLOOKUP(VALUE(AH$1),Questions!$A:$E,5,FALSE),1,0)</f>
        <v>0</v>
      </c>
      <c r="BT64" s="4">
        <f>IF(AI64=VLOOKUP(VALUE(AI$1),Questions!$A:$E,5,FALSE),1,0)</f>
        <v>0</v>
      </c>
      <c r="BU64" s="4">
        <f>IF(AJ64=VLOOKUP(VALUE(AJ$1),Questions!$A:$E,5,FALSE),1,0)</f>
        <v>0</v>
      </c>
      <c r="BV64" s="4">
        <f>IF(AK64=VLOOKUP(VALUE(AK$1),Questions!$A:$E,5,FALSE),1,0)</f>
        <v>0</v>
      </c>
      <c r="BW64" s="87">
        <f>IF(AL64=VLOOKUP(VALUE(AL$1),Questions!$A:$E,5,FALSE),1,0)</f>
        <v>0</v>
      </c>
      <c r="BX64" s="4">
        <f>IF(Scores[[#This Row],[Final]]&gt;=65,1,0)</f>
        <v>0</v>
      </c>
      <c r="BY64" s="4">
        <f>IF(Scores[[#This Row],[Final]]&gt;=IF(Scores[[#This Row],[IEP]],55,65),1,0)</f>
        <v>0</v>
      </c>
    </row>
    <row r="65" spans="1:77" x14ac:dyDescent="0.2">
      <c r="A65" s="6">
        <v>64</v>
      </c>
      <c r="B65" s="4">
        <v>11</v>
      </c>
      <c r="C65" s="4" t="s">
        <v>962</v>
      </c>
      <c r="D65" s="105" t="b">
        <v>0</v>
      </c>
      <c r="E65" s="105" t="b">
        <v>1</v>
      </c>
      <c r="F65" s="86">
        <f>SUM(Scores[[#This Row],[Q1]:[Q28]])</f>
        <v>11</v>
      </c>
      <c r="G65" s="4">
        <f>SUM(Scores[[#This Row],[29]]:Scores[[#This Row],[30]])</f>
        <v>4</v>
      </c>
      <c r="H65" s="4">
        <f>SUM(Scores[[#This Row],[31]:[36]])</f>
        <v>4</v>
      </c>
      <c r="I65" s="4">
        <f>Scores[[#This Row],[37]]</f>
        <v>1.5</v>
      </c>
      <c r="J65" s="87">
        <f>INDEX('Conversion Chart'!$C$3:$M$47,MATCH(SUM(Scores[[#This Row],[MC]:[IIIA]]),'Conversion Chart'!$B$3:$B$47),MATCH(Scores[[#This Row],[IIIB]],'Conversion Chart'!$C$2:$M$2))</f>
        <v>58</v>
      </c>
      <c r="K65" s="103">
        <v>3</v>
      </c>
      <c r="L65" s="103">
        <v>2</v>
      </c>
      <c r="M65" s="103">
        <v>4</v>
      </c>
      <c r="N65" s="103">
        <v>2</v>
      </c>
      <c r="O65" s="103">
        <v>3</v>
      </c>
      <c r="P65" s="103">
        <v>4</v>
      </c>
      <c r="Q65" s="103">
        <v>3</v>
      </c>
      <c r="R65" s="103">
        <v>2</v>
      </c>
      <c r="S65" s="103">
        <v>1</v>
      </c>
      <c r="T65" s="103">
        <v>1</v>
      </c>
      <c r="U65" s="103">
        <v>2</v>
      </c>
      <c r="V65" s="103">
        <v>3</v>
      </c>
      <c r="W65" s="103">
        <v>4</v>
      </c>
      <c r="X65" s="103">
        <v>4</v>
      </c>
      <c r="Y65" s="103">
        <v>1</v>
      </c>
      <c r="Z65" s="103">
        <v>4</v>
      </c>
      <c r="AA65" s="103">
        <v>3</v>
      </c>
      <c r="AB65" s="103">
        <v>1</v>
      </c>
      <c r="AC65" s="103">
        <v>3</v>
      </c>
      <c r="AD65" s="103">
        <v>2</v>
      </c>
      <c r="AE65" s="103">
        <v>4</v>
      </c>
      <c r="AF65" s="103">
        <v>1</v>
      </c>
      <c r="AG65" s="103">
        <v>3</v>
      </c>
      <c r="AH65" s="103">
        <v>4</v>
      </c>
      <c r="AI65" s="103">
        <v>3</v>
      </c>
      <c r="AJ65" s="103">
        <v>4</v>
      </c>
      <c r="AK65" s="103">
        <v>4</v>
      </c>
      <c r="AL65" s="104">
        <v>3</v>
      </c>
      <c r="AM65" s="4">
        <v>3</v>
      </c>
      <c r="AN65" s="87">
        <v>1</v>
      </c>
      <c r="AO65" s="4">
        <v>0</v>
      </c>
      <c r="AP65" s="4">
        <v>1</v>
      </c>
      <c r="AQ65" s="4">
        <v>0</v>
      </c>
      <c r="AR65" s="4">
        <v>1</v>
      </c>
      <c r="AS65" s="4">
        <v>1</v>
      </c>
      <c r="AT65" s="4">
        <v>1</v>
      </c>
      <c r="AU65" s="107">
        <v>1.5</v>
      </c>
      <c r="AV65" s="4">
        <f>IF(K65=VLOOKUP(VALUE(K$1),Questions!$A:$E,5,FALSE),1,0)</f>
        <v>0</v>
      </c>
      <c r="AW65" s="4">
        <f>IF(L65=VLOOKUP(VALUE(L$1),Questions!$A:$E,5,FALSE),1,0)</f>
        <v>1</v>
      </c>
      <c r="AX65" s="4">
        <f>IF(M65=VLOOKUP(VALUE(M$1),Questions!$A:$E,5,FALSE),1,0)</f>
        <v>0</v>
      </c>
      <c r="AY65" s="4">
        <f>IF(N65=VLOOKUP(VALUE(N$1),Questions!$A:$E,5,FALSE),1,0)</f>
        <v>0</v>
      </c>
      <c r="AZ65" s="4">
        <f>IF(O65=VLOOKUP(VALUE(O$1),Questions!$A:$E,5,FALSE),1,0)</f>
        <v>0</v>
      </c>
      <c r="BA65" s="4">
        <f>IF(P65=VLOOKUP(VALUE(P$1),Questions!$A:$E,5,FALSE),1,0)</f>
        <v>1</v>
      </c>
      <c r="BB65" s="4">
        <f>IF(Q65=VLOOKUP(VALUE(Q$1),Questions!$A:$E,5,FALSE),1,0)</f>
        <v>1</v>
      </c>
      <c r="BC65" s="4">
        <f>IF(R65=VLOOKUP(VALUE(R$1),Questions!$A:$E,5,FALSE),1,0)</f>
        <v>1</v>
      </c>
      <c r="BD65" s="4">
        <f>IF(S65=VLOOKUP(VALUE(S$1),Questions!$A:$E,5,FALSE),1,0)</f>
        <v>0</v>
      </c>
      <c r="BE65" s="4">
        <f>IF(T65=VLOOKUP(VALUE(T$1),Questions!$A:$E,5,FALSE),1,0)</f>
        <v>1</v>
      </c>
      <c r="BF65" s="4">
        <f>IF(U65=VLOOKUP(VALUE(U$1),Questions!$A:$E,5,FALSE),1,0)</f>
        <v>1</v>
      </c>
      <c r="BG65" s="4">
        <f>IF(V65=VLOOKUP(VALUE(V$1),Questions!$A:$E,5,FALSE),1,0)</f>
        <v>0</v>
      </c>
      <c r="BH65" s="4">
        <f>IF(W65=VLOOKUP(VALUE(W$1),Questions!$A:$E,5,FALSE),1,0)</f>
        <v>0</v>
      </c>
      <c r="BI65" s="4">
        <f>IF(X65=VLOOKUP(VALUE(X$1),Questions!$A:$E,5,FALSE),1,0)</f>
        <v>1</v>
      </c>
      <c r="BJ65" s="4">
        <f>IF(Y65=VLOOKUP(VALUE(Y$1),Questions!$A:$E,5,FALSE),1,0)</f>
        <v>0</v>
      </c>
      <c r="BK65" s="4">
        <f>IF(Z65=VLOOKUP(VALUE(Z$1),Questions!$A:$E,5,FALSE),1,0)</f>
        <v>0</v>
      </c>
      <c r="BL65" s="4">
        <f>IF(AA65=VLOOKUP(VALUE(AA$1),Questions!$A:$E,5,FALSE),1,0)</f>
        <v>0</v>
      </c>
      <c r="BM65" s="4">
        <f>IF(AB65=VLOOKUP(VALUE(AB$1),Questions!$A:$E,5,FALSE),1,0)</f>
        <v>0</v>
      </c>
      <c r="BN65" s="4">
        <f>IF(AC65=VLOOKUP(VALUE(AC$1),Questions!$A:$E,5,FALSE),1,0)</f>
        <v>1</v>
      </c>
      <c r="BO65" s="4">
        <f>IF(AD65=VLOOKUP(VALUE(AD$1),Questions!$A:$E,5,FALSE),1,0)</f>
        <v>0</v>
      </c>
      <c r="BP65" s="4">
        <f>IF(AE65=VLOOKUP(VALUE(AE$1),Questions!$A:$E,5,FALSE),1,0)</f>
        <v>0</v>
      </c>
      <c r="BQ65" s="4">
        <f>IF(AF65=VLOOKUP(VALUE(AF$1),Questions!$A:$E,5,FALSE),1,0)</f>
        <v>0</v>
      </c>
      <c r="BR65" s="4">
        <f>IF(AG65=VLOOKUP(VALUE(AG$1),Questions!$A:$E,5,FALSE),1,0)</f>
        <v>1</v>
      </c>
      <c r="BS65" s="4">
        <f>IF(AH65=VLOOKUP(VALUE(AH$1),Questions!$A:$E,5,FALSE),1,0)</f>
        <v>0</v>
      </c>
      <c r="BT65" s="4">
        <f>IF(AI65=VLOOKUP(VALUE(AI$1),Questions!$A:$E,5,FALSE),1,0)</f>
        <v>0</v>
      </c>
      <c r="BU65" s="4">
        <f>IF(AJ65=VLOOKUP(VALUE(AJ$1),Questions!$A:$E,5,FALSE),1,0)</f>
        <v>1</v>
      </c>
      <c r="BV65" s="4">
        <f>IF(AK65=VLOOKUP(VALUE(AK$1),Questions!$A:$E,5,FALSE),1,0)</f>
        <v>0</v>
      </c>
      <c r="BW65" s="87">
        <f>IF(AL65=VLOOKUP(VALUE(AL$1),Questions!$A:$E,5,FALSE),1,0)</f>
        <v>1</v>
      </c>
      <c r="BX65" s="4">
        <f>IF(Scores[[#This Row],[Final]]&gt;=65,1,0)</f>
        <v>0</v>
      </c>
      <c r="BY65" s="4">
        <f>IF(Scores[[#This Row],[Final]]&gt;=IF(Scores[[#This Row],[IEP]],55,65),1,0)</f>
        <v>1</v>
      </c>
    </row>
    <row r="66" spans="1:77" x14ac:dyDescent="0.2">
      <c r="A66" s="6">
        <v>65</v>
      </c>
      <c r="B66" s="4">
        <v>9</v>
      </c>
      <c r="C66" s="4" t="s">
        <v>963</v>
      </c>
      <c r="D66" s="105" t="b">
        <v>0</v>
      </c>
      <c r="E66" s="105" t="b">
        <v>1</v>
      </c>
      <c r="F66" s="86">
        <f>SUM(Scores[[#This Row],[Q1]:[Q28]])</f>
        <v>6</v>
      </c>
      <c r="G66" s="4">
        <f>SUM(Scores[[#This Row],[29]]:Scores[[#This Row],[30]])</f>
        <v>4</v>
      </c>
      <c r="H66" s="4">
        <f>SUM(Scores[[#This Row],[31]:[36]])</f>
        <v>5</v>
      </c>
      <c r="I66" s="4">
        <f>Scores[[#This Row],[37]]</f>
        <v>1</v>
      </c>
      <c r="J66" s="87">
        <f>INDEX('Conversion Chart'!$C$3:$M$47,MATCH(SUM(Scores[[#This Row],[MC]:[IIIA]]),'Conversion Chart'!$B$3:$B$47),MATCH(Scores[[#This Row],[IIIB]],'Conversion Chart'!$C$2:$M$2))</f>
        <v>48</v>
      </c>
      <c r="K66" s="103">
        <v>2</v>
      </c>
      <c r="L66" s="103">
        <v>1</v>
      </c>
      <c r="M66" s="103">
        <v>3</v>
      </c>
      <c r="N66" s="103">
        <v>4</v>
      </c>
      <c r="O66" s="103">
        <v>4</v>
      </c>
      <c r="P66" s="103">
        <v>2</v>
      </c>
      <c r="Q66" s="103">
        <v>3</v>
      </c>
      <c r="R66" s="103">
        <v>2</v>
      </c>
      <c r="S66" s="103">
        <v>2</v>
      </c>
      <c r="T66" s="103">
        <v>3</v>
      </c>
      <c r="U66" s="103">
        <v>4</v>
      </c>
      <c r="V66" s="103">
        <v>3</v>
      </c>
      <c r="W66" s="103">
        <v>1</v>
      </c>
      <c r="X66" s="103">
        <v>4</v>
      </c>
      <c r="Y66" s="103">
        <v>4</v>
      </c>
      <c r="Z66" s="103">
        <v>4</v>
      </c>
      <c r="AA66" s="103">
        <v>3</v>
      </c>
      <c r="AB66" s="103">
        <v>2</v>
      </c>
      <c r="AC66" s="103">
        <v>3</v>
      </c>
      <c r="AD66" s="103">
        <v>1</v>
      </c>
      <c r="AE66" s="103">
        <v>3</v>
      </c>
      <c r="AF66" s="103">
        <v>1</v>
      </c>
      <c r="AG66" s="103">
        <v>2</v>
      </c>
      <c r="AH66" s="103">
        <v>2</v>
      </c>
      <c r="AI66" s="103">
        <v>3</v>
      </c>
      <c r="AJ66" s="103">
        <v>3</v>
      </c>
      <c r="AK66" s="103">
        <v>4</v>
      </c>
      <c r="AL66" s="104">
        <v>1</v>
      </c>
      <c r="AM66" s="4">
        <v>2</v>
      </c>
      <c r="AN66" s="87">
        <v>2</v>
      </c>
      <c r="AO66" s="4">
        <v>0</v>
      </c>
      <c r="AP66" s="4">
        <v>1</v>
      </c>
      <c r="AQ66" s="4">
        <v>1</v>
      </c>
      <c r="AR66" s="4">
        <v>1</v>
      </c>
      <c r="AS66" s="4">
        <v>1</v>
      </c>
      <c r="AT66" s="4">
        <v>1</v>
      </c>
      <c r="AU66" s="107">
        <v>1</v>
      </c>
      <c r="AV66" s="4">
        <f>IF(K66=VLOOKUP(VALUE(K$1),Questions!$A:$E,5,FALSE),1,0)</f>
        <v>0</v>
      </c>
      <c r="AW66" s="4">
        <f>IF(L66=VLOOKUP(VALUE(L$1),Questions!$A:$E,5,FALSE),1,0)</f>
        <v>0</v>
      </c>
      <c r="AX66" s="4">
        <f>IF(M66=VLOOKUP(VALUE(M$1),Questions!$A:$E,5,FALSE),1,0)</f>
        <v>1</v>
      </c>
      <c r="AY66" s="4">
        <f>IF(N66=VLOOKUP(VALUE(N$1),Questions!$A:$E,5,FALSE),1,0)</f>
        <v>0</v>
      </c>
      <c r="AZ66" s="4">
        <f>IF(O66=VLOOKUP(VALUE(O$1),Questions!$A:$E,5,FALSE),1,0)</f>
        <v>0</v>
      </c>
      <c r="BA66" s="4">
        <f>IF(P66=VLOOKUP(VALUE(P$1),Questions!$A:$E,5,FALSE),1,0)</f>
        <v>0</v>
      </c>
      <c r="BB66" s="4">
        <f>IF(Q66=VLOOKUP(VALUE(Q$1),Questions!$A:$E,5,FALSE),1,0)</f>
        <v>1</v>
      </c>
      <c r="BC66" s="4">
        <f>IF(R66=VLOOKUP(VALUE(R$1),Questions!$A:$E,5,FALSE),1,0)</f>
        <v>1</v>
      </c>
      <c r="BD66" s="4">
        <f>IF(S66=VLOOKUP(VALUE(S$1),Questions!$A:$E,5,FALSE),1,0)</f>
        <v>1</v>
      </c>
      <c r="BE66" s="4">
        <f>IF(T66=VLOOKUP(VALUE(T$1),Questions!$A:$E,5,FALSE),1,0)</f>
        <v>0</v>
      </c>
      <c r="BF66" s="4">
        <f>IF(U66=VLOOKUP(VALUE(U$1),Questions!$A:$E,5,FALSE),1,0)</f>
        <v>0</v>
      </c>
      <c r="BG66" s="4">
        <f>IF(V66=VLOOKUP(VALUE(V$1),Questions!$A:$E,5,FALSE),1,0)</f>
        <v>0</v>
      </c>
      <c r="BH66" s="4">
        <f>IF(W66=VLOOKUP(VALUE(W$1),Questions!$A:$E,5,FALSE),1,0)</f>
        <v>0</v>
      </c>
      <c r="BI66" s="4">
        <f>IF(X66=VLOOKUP(VALUE(X$1),Questions!$A:$E,5,FALSE),1,0)</f>
        <v>1</v>
      </c>
      <c r="BJ66" s="4">
        <f>IF(Y66=VLOOKUP(VALUE(Y$1),Questions!$A:$E,5,FALSE),1,0)</f>
        <v>0</v>
      </c>
      <c r="BK66" s="4">
        <f>IF(Z66=VLOOKUP(VALUE(Z$1),Questions!$A:$E,5,FALSE),1,0)</f>
        <v>0</v>
      </c>
      <c r="BL66" s="4">
        <f>IF(AA66=VLOOKUP(VALUE(AA$1),Questions!$A:$E,5,FALSE),1,0)</f>
        <v>0</v>
      </c>
      <c r="BM66" s="4">
        <f>IF(AB66=VLOOKUP(VALUE(AB$1),Questions!$A:$E,5,FALSE),1,0)</f>
        <v>0</v>
      </c>
      <c r="BN66" s="4">
        <f>IF(AC66=VLOOKUP(VALUE(AC$1),Questions!$A:$E,5,FALSE),1,0)</f>
        <v>1</v>
      </c>
      <c r="BO66" s="4">
        <f>IF(AD66=VLOOKUP(VALUE(AD$1),Questions!$A:$E,5,FALSE),1,0)</f>
        <v>0</v>
      </c>
      <c r="BP66" s="4">
        <f>IF(AE66=VLOOKUP(VALUE(AE$1),Questions!$A:$E,5,FALSE),1,0)</f>
        <v>0</v>
      </c>
      <c r="BQ66" s="4">
        <f>IF(AF66=VLOOKUP(VALUE(AF$1),Questions!$A:$E,5,FALSE),1,0)</f>
        <v>0</v>
      </c>
      <c r="BR66" s="4">
        <f>IF(AG66=VLOOKUP(VALUE(AG$1),Questions!$A:$E,5,FALSE),1,0)</f>
        <v>0</v>
      </c>
      <c r="BS66" s="4">
        <f>IF(AH66=VLOOKUP(VALUE(AH$1),Questions!$A:$E,5,FALSE),1,0)</f>
        <v>0</v>
      </c>
      <c r="BT66" s="4">
        <f>IF(AI66=VLOOKUP(VALUE(AI$1),Questions!$A:$E,5,FALSE),1,0)</f>
        <v>0</v>
      </c>
      <c r="BU66" s="4">
        <f>IF(AJ66=VLOOKUP(VALUE(AJ$1),Questions!$A:$E,5,FALSE),1,0)</f>
        <v>0</v>
      </c>
      <c r="BV66" s="4">
        <f>IF(AK66=VLOOKUP(VALUE(AK$1),Questions!$A:$E,5,FALSE),1,0)</f>
        <v>0</v>
      </c>
      <c r="BW66" s="87">
        <f>IF(AL66=VLOOKUP(VALUE(AL$1),Questions!$A:$E,5,FALSE),1,0)</f>
        <v>0</v>
      </c>
      <c r="BX66" s="4">
        <f>IF(Scores[[#This Row],[Final]]&gt;=65,1,0)</f>
        <v>0</v>
      </c>
      <c r="BY66" s="4">
        <f>IF(Scores[[#This Row],[Final]]&gt;=IF(Scores[[#This Row],[IEP]],55,65),1,0)</f>
        <v>0</v>
      </c>
    </row>
    <row r="67" spans="1:77" x14ac:dyDescent="0.2">
      <c r="A67" s="6">
        <v>66</v>
      </c>
      <c r="B67" s="4">
        <v>11</v>
      </c>
      <c r="C67" s="4" t="s">
        <v>962</v>
      </c>
      <c r="D67" s="105" t="b">
        <v>0</v>
      </c>
      <c r="E67" s="105" t="b">
        <v>1</v>
      </c>
      <c r="F67" s="86">
        <f>SUM(Scores[[#This Row],[Q1]:[Q28]])</f>
        <v>0</v>
      </c>
      <c r="G67" s="4">
        <f>SUM(Scores[[#This Row],[29]]:Scores[[#This Row],[30]])</f>
        <v>0</v>
      </c>
      <c r="H67" s="4">
        <f>SUM(Scores[[#This Row],[31]:[36]])</f>
        <v>0</v>
      </c>
      <c r="I67" s="4">
        <f>Scores[[#This Row],[37]]</f>
        <v>0</v>
      </c>
      <c r="J67" s="87">
        <f>INDEX('Conversion Chart'!$C$3:$M$47,MATCH(SUM(Scores[[#This Row],[MC]:[IIIA]]),'Conversion Chart'!$B$3:$B$47),MATCH(Scores[[#This Row],[IIIB]],'Conversion Chart'!$C$2:$M$2))</f>
        <v>0</v>
      </c>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4"/>
      <c r="AN67" s="87"/>
      <c r="AU67" s="107"/>
      <c r="AV67" s="4">
        <f>IF(K67=VLOOKUP(VALUE(K$1),Questions!$A:$E,5,FALSE),1,0)</f>
        <v>0</v>
      </c>
      <c r="AW67" s="4">
        <f>IF(L67=VLOOKUP(VALUE(L$1),Questions!$A:$E,5,FALSE),1,0)</f>
        <v>0</v>
      </c>
      <c r="AX67" s="4">
        <f>IF(M67=VLOOKUP(VALUE(M$1),Questions!$A:$E,5,FALSE),1,0)</f>
        <v>0</v>
      </c>
      <c r="AY67" s="4">
        <f>IF(N67=VLOOKUP(VALUE(N$1),Questions!$A:$E,5,FALSE),1,0)</f>
        <v>0</v>
      </c>
      <c r="AZ67" s="4">
        <f>IF(O67=VLOOKUP(VALUE(O$1),Questions!$A:$E,5,FALSE),1,0)</f>
        <v>0</v>
      </c>
      <c r="BA67" s="4">
        <f>IF(P67=VLOOKUP(VALUE(P$1),Questions!$A:$E,5,FALSE),1,0)</f>
        <v>0</v>
      </c>
      <c r="BB67" s="4">
        <f>IF(Q67=VLOOKUP(VALUE(Q$1),Questions!$A:$E,5,FALSE),1,0)</f>
        <v>0</v>
      </c>
      <c r="BC67" s="4">
        <f>IF(R67=VLOOKUP(VALUE(R$1),Questions!$A:$E,5,FALSE),1,0)</f>
        <v>0</v>
      </c>
      <c r="BD67" s="4">
        <f>IF(S67=VLOOKUP(VALUE(S$1),Questions!$A:$E,5,FALSE),1,0)</f>
        <v>0</v>
      </c>
      <c r="BE67" s="4">
        <f>IF(T67=VLOOKUP(VALUE(T$1),Questions!$A:$E,5,FALSE),1,0)</f>
        <v>0</v>
      </c>
      <c r="BF67" s="4">
        <f>IF(U67=VLOOKUP(VALUE(U$1),Questions!$A:$E,5,FALSE),1,0)</f>
        <v>0</v>
      </c>
      <c r="BG67" s="4">
        <f>IF(V67=VLOOKUP(VALUE(V$1),Questions!$A:$E,5,FALSE),1,0)</f>
        <v>0</v>
      </c>
      <c r="BH67" s="4">
        <f>IF(W67=VLOOKUP(VALUE(W$1),Questions!$A:$E,5,FALSE),1,0)</f>
        <v>0</v>
      </c>
      <c r="BI67" s="4">
        <f>IF(X67=VLOOKUP(VALUE(X$1),Questions!$A:$E,5,FALSE),1,0)</f>
        <v>0</v>
      </c>
      <c r="BJ67" s="4">
        <f>IF(Y67=VLOOKUP(VALUE(Y$1),Questions!$A:$E,5,FALSE),1,0)</f>
        <v>0</v>
      </c>
      <c r="BK67" s="4">
        <f>IF(Z67=VLOOKUP(VALUE(Z$1),Questions!$A:$E,5,FALSE),1,0)</f>
        <v>0</v>
      </c>
      <c r="BL67" s="4">
        <f>IF(AA67=VLOOKUP(VALUE(AA$1),Questions!$A:$E,5,FALSE),1,0)</f>
        <v>0</v>
      </c>
      <c r="BM67" s="4">
        <f>IF(AB67=VLOOKUP(VALUE(AB$1),Questions!$A:$E,5,FALSE),1,0)</f>
        <v>0</v>
      </c>
      <c r="BN67" s="4">
        <f>IF(AC67=VLOOKUP(VALUE(AC$1),Questions!$A:$E,5,FALSE),1,0)</f>
        <v>0</v>
      </c>
      <c r="BO67" s="4">
        <f>IF(AD67=VLOOKUP(VALUE(AD$1),Questions!$A:$E,5,FALSE),1,0)</f>
        <v>0</v>
      </c>
      <c r="BP67" s="4">
        <f>IF(AE67=VLOOKUP(VALUE(AE$1),Questions!$A:$E,5,FALSE),1,0)</f>
        <v>0</v>
      </c>
      <c r="BQ67" s="4">
        <f>IF(AF67=VLOOKUP(VALUE(AF$1),Questions!$A:$E,5,FALSE),1,0)</f>
        <v>0</v>
      </c>
      <c r="BR67" s="4">
        <f>IF(AG67=VLOOKUP(VALUE(AG$1),Questions!$A:$E,5,FALSE),1,0)</f>
        <v>0</v>
      </c>
      <c r="BS67" s="4">
        <f>IF(AH67=VLOOKUP(VALUE(AH$1),Questions!$A:$E,5,FALSE),1,0)</f>
        <v>0</v>
      </c>
      <c r="BT67" s="4">
        <f>IF(AI67=VLOOKUP(VALUE(AI$1),Questions!$A:$E,5,FALSE),1,0)</f>
        <v>0</v>
      </c>
      <c r="BU67" s="4">
        <f>IF(AJ67=VLOOKUP(VALUE(AJ$1),Questions!$A:$E,5,FALSE),1,0)</f>
        <v>0</v>
      </c>
      <c r="BV67" s="4">
        <f>IF(AK67=VLOOKUP(VALUE(AK$1),Questions!$A:$E,5,FALSE),1,0)</f>
        <v>0</v>
      </c>
      <c r="BW67" s="87">
        <f>IF(AL67=VLOOKUP(VALUE(AL$1),Questions!$A:$E,5,FALSE),1,0)</f>
        <v>0</v>
      </c>
      <c r="BX67" s="4">
        <f>IF(Scores[[#This Row],[Final]]&gt;=65,1,0)</f>
        <v>0</v>
      </c>
      <c r="BY67" s="4">
        <f>IF(Scores[[#This Row],[Final]]&gt;=IF(Scores[[#This Row],[IEP]],55,65),1,0)</f>
        <v>0</v>
      </c>
    </row>
    <row r="68" spans="1:77" x14ac:dyDescent="0.2">
      <c r="A68" s="6">
        <v>67</v>
      </c>
      <c r="B68" s="4">
        <v>11</v>
      </c>
      <c r="C68" s="4" t="s">
        <v>962</v>
      </c>
      <c r="D68" s="105" t="b">
        <v>0</v>
      </c>
      <c r="E68" s="105" t="b">
        <v>1</v>
      </c>
      <c r="F68" s="86">
        <f>SUM(Scores[[#This Row],[Q1]:[Q28]])</f>
        <v>0</v>
      </c>
      <c r="G68" s="4">
        <f>SUM(Scores[[#This Row],[29]]:Scores[[#This Row],[30]])</f>
        <v>0</v>
      </c>
      <c r="H68" s="4">
        <f>SUM(Scores[[#This Row],[31]:[36]])</f>
        <v>0</v>
      </c>
      <c r="I68" s="4">
        <f>Scores[[#This Row],[37]]</f>
        <v>0</v>
      </c>
      <c r="J68" s="87">
        <f>INDEX('Conversion Chart'!$C$3:$M$47,MATCH(SUM(Scores[[#This Row],[MC]:[IIIA]]),'Conversion Chart'!$B$3:$B$47),MATCH(Scores[[#This Row],[IIIB]],'Conversion Chart'!$C$2:$M$2))</f>
        <v>0</v>
      </c>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4"/>
      <c r="AN68" s="87"/>
      <c r="AU68" s="107"/>
      <c r="AV68" s="4">
        <f>IF(K68=VLOOKUP(VALUE(K$1),Questions!$A:$E,5,FALSE),1,0)</f>
        <v>0</v>
      </c>
      <c r="AW68" s="4">
        <f>IF(L68=VLOOKUP(VALUE(L$1),Questions!$A:$E,5,FALSE),1,0)</f>
        <v>0</v>
      </c>
      <c r="AX68" s="4">
        <f>IF(M68=VLOOKUP(VALUE(M$1),Questions!$A:$E,5,FALSE),1,0)</f>
        <v>0</v>
      </c>
      <c r="AY68" s="4">
        <f>IF(N68=VLOOKUP(VALUE(N$1),Questions!$A:$E,5,FALSE),1,0)</f>
        <v>0</v>
      </c>
      <c r="AZ68" s="4">
        <f>IF(O68=VLOOKUP(VALUE(O$1),Questions!$A:$E,5,FALSE),1,0)</f>
        <v>0</v>
      </c>
      <c r="BA68" s="4">
        <f>IF(P68=VLOOKUP(VALUE(P$1),Questions!$A:$E,5,FALSE),1,0)</f>
        <v>0</v>
      </c>
      <c r="BB68" s="4">
        <f>IF(Q68=VLOOKUP(VALUE(Q$1),Questions!$A:$E,5,FALSE),1,0)</f>
        <v>0</v>
      </c>
      <c r="BC68" s="4">
        <f>IF(R68=VLOOKUP(VALUE(R$1),Questions!$A:$E,5,FALSE),1,0)</f>
        <v>0</v>
      </c>
      <c r="BD68" s="4">
        <f>IF(S68=VLOOKUP(VALUE(S$1),Questions!$A:$E,5,FALSE),1,0)</f>
        <v>0</v>
      </c>
      <c r="BE68" s="4">
        <f>IF(T68=VLOOKUP(VALUE(T$1),Questions!$A:$E,5,FALSE),1,0)</f>
        <v>0</v>
      </c>
      <c r="BF68" s="4">
        <f>IF(U68=VLOOKUP(VALUE(U$1),Questions!$A:$E,5,FALSE),1,0)</f>
        <v>0</v>
      </c>
      <c r="BG68" s="4">
        <f>IF(V68=VLOOKUP(VALUE(V$1),Questions!$A:$E,5,FALSE),1,0)</f>
        <v>0</v>
      </c>
      <c r="BH68" s="4">
        <f>IF(W68=VLOOKUP(VALUE(W$1),Questions!$A:$E,5,FALSE),1,0)</f>
        <v>0</v>
      </c>
      <c r="BI68" s="4">
        <f>IF(X68=VLOOKUP(VALUE(X$1),Questions!$A:$E,5,FALSE),1,0)</f>
        <v>0</v>
      </c>
      <c r="BJ68" s="4">
        <f>IF(Y68=VLOOKUP(VALUE(Y$1),Questions!$A:$E,5,FALSE),1,0)</f>
        <v>0</v>
      </c>
      <c r="BK68" s="4">
        <f>IF(Z68=VLOOKUP(VALUE(Z$1),Questions!$A:$E,5,FALSE),1,0)</f>
        <v>0</v>
      </c>
      <c r="BL68" s="4">
        <f>IF(AA68=VLOOKUP(VALUE(AA$1),Questions!$A:$E,5,FALSE),1,0)</f>
        <v>0</v>
      </c>
      <c r="BM68" s="4">
        <f>IF(AB68=VLOOKUP(VALUE(AB$1),Questions!$A:$E,5,FALSE),1,0)</f>
        <v>0</v>
      </c>
      <c r="BN68" s="4">
        <f>IF(AC68=VLOOKUP(VALUE(AC$1),Questions!$A:$E,5,FALSE),1,0)</f>
        <v>0</v>
      </c>
      <c r="BO68" s="4">
        <f>IF(AD68=VLOOKUP(VALUE(AD$1),Questions!$A:$E,5,FALSE),1,0)</f>
        <v>0</v>
      </c>
      <c r="BP68" s="4">
        <f>IF(AE68=VLOOKUP(VALUE(AE$1),Questions!$A:$E,5,FALSE),1,0)</f>
        <v>0</v>
      </c>
      <c r="BQ68" s="4">
        <f>IF(AF68=VLOOKUP(VALUE(AF$1),Questions!$A:$E,5,FALSE),1,0)</f>
        <v>0</v>
      </c>
      <c r="BR68" s="4">
        <f>IF(AG68=VLOOKUP(VALUE(AG$1),Questions!$A:$E,5,FALSE),1,0)</f>
        <v>0</v>
      </c>
      <c r="BS68" s="4">
        <f>IF(AH68=VLOOKUP(VALUE(AH$1),Questions!$A:$E,5,FALSE),1,0)</f>
        <v>0</v>
      </c>
      <c r="BT68" s="4">
        <f>IF(AI68=VLOOKUP(VALUE(AI$1),Questions!$A:$E,5,FALSE),1,0)</f>
        <v>0</v>
      </c>
      <c r="BU68" s="4">
        <f>IF(AJ68=VLOOKUP(VALUE(AJ$1),Questions!$A:$E,5,FALSE),1,0)</f>
        <v>0</v>
      </c>
      <c r="BV68" s="4">
        <f>IF(AK68=VLOOKUP(VALUE(AK$1),Questions!$A:$E,5,FALSE),1,0)</f>
        <v>0</v>
      </c>
      <c r="BW68" s="87">
        <f>IF(AL68=VLOOKUP(VALUE(AL$1),Questions!$A:$E,5,FALSE),1,0)</f>
        <v>0</v>
      </c>
      <c r="BX68" s="4">
        <f>IF(Scores[[#This Row],[Final]]&gt;=65,1,0)</f>
        <v>0</v>
      </c>
      <c r="BY68" s="4">
        <f>IF(Scores[[#This Row],[Final]]&gt;=IF(Scores[[#This Row],[IEP]],55,65),1,0)</f>
        <v>0</v>
      </c>
    </row>
    <row r="69" spans="1:77" x14ac:dyDescent="0.2">
      <c r="A69" s="6">
        <v>68</v>
      </c>
      <c r="B69" s="4">
        <v>11</v>
      </c>
      <c r="C69" s="4" t="s">
        <v>962</v>
      </c>
      <c r="D69" s="105" t="b">
        <v>0</v>
      </c>
      <c r="E69" s="105" t="b">
        <v>0</v>
      </c>
      <c r="F69" s="86">
        <f>SUM(Scores[[#This Row],[Q1]:[Q28]])</f>
        <v>20</v>
      </c>
      <c r="G69" s="4">
        <f>SUM(Scores[[#This Row],[29]]:Scores[[#This Row],[30]])</f>
        <v>5</v>
      </c>
      <c r="H69" s="4">
        <f>SUM(Scores[[#This Row],[31]:[36]])</f>
        <v>4</v>
      </c>
      <c r="I69" s="4">
        <f>Scores[[#This Row],[37]]</f>
        <v>2</v>
      </c>
      <c r="J69" s="87">
        <f>INDEX('Conversion Chart'!$C$3:$M$47,MATCH(SUM(Scores[[#This Row],[MC]:[IIIA]]),'Conversion Chart'!$B$3:$B$47),MATCH(Scores[[#This Row],[IIIB]],'Conversion Chart'!$C$2:$M$2))</f>
        <v>72</v>
      </c>
      <c r="K69" s="103">
        <v>4</v>
      </c>
      <c r="L69" s="103">
        <v>2</v>
      </c>
      <c r="M69" s="103">
        <v>3</v>
      </c>
      <c r="N69" s="103">
        <v>3</v>
      </c>
      <c r="O69" s="103">
        <v>1</v>
      </c>
      <c r="P69" s="103">
        <v>3</v>
      </c>
      <c r="Q69" s="103">
        <v>3</v>
      </c>
      <c r="R69" s="103">
        <v>1</v>
      </c>
      <c r="S69" s="103">
        <v>2</v>
      </c>
      <c r="T69" s="103">
        <v>1</v>
      </c>
      <c r="U69" s="103">
        <v>2</v>
      </c>
      <c r="V69" s="103">
        <v>4</v>
      </c>
      <c r="W69" s="103">
        <v>2</v>
      </c>
      <c r="X69" s="103">
        <v>4</v>
      </c>
      <c r="Y69" s="103">
        <v>1</v>
      </c>
      <c r="Z69" s="103">
        <v>1</v>
      </c>
      <c r="AA69" s="103">
        <v>1</v>
      </c>
      <c r="AB69" s="103">
        <v>4</v>
      </c>
      <c r="AC69" s="103">
        <v>3</v>
      </c>
      <c r="AD69" s="103">
        <v>3</v>
      </c>
      <c r="AE69" s="103">
        <v>4</v>
      </c>
      <c r="AF69" s="103">
        <v>3</v>
      </c>
      <c r="AG69" s="103">
        <v>3</v>
      </c>
      <c r="AH69" s="103">
        <v>2</v>
      </c>
      <c r="AI69" s="103">
        <v>4</v>
      </c>
      <c r="AJ69" s="103">
        <v>4</v>
      </c>
      <c r="AK69" s="103">
        <v>1</v>
      </c>
      <c r="AL69" s="104">
        <v>3</v>
      </c>
      <c r="AM69" s="4">
        <v>3</v>
      </c>
      <c r="AN69" s="87">
        <v>2</v>
      </c>
      <c r="AO69" s="4">
        <v>0</v>
      </c>
      <c r="AP69" s="4">
        <v>1</v>
      </c>
      <c r="AQ69" s="4">
        <v>1</v>
      </c>
      <c r="AR69" s="4">
        <v>0</v>
      </c>
      <c r="AS69" s="4">
        <v>1</v>
      </c>
      <c r="AT69" s="4">
        <v>1</v>
      </c>
      <c r="AU69" s="107">
        <v>2</v>
      </c>
      <c r="AV69" s="4">
        <f>IF(K69=VLOOKUP(VALUE(K$1),Questions!$A:$E,5,FALSE),1,0)</f>
        <v>1</v>
      </c>
      <c r="AW69" s="4">
        <f>IF(L69=VLOOKUP(VALUE(L$1),Questions!$A:$E,5,FALSE),1,0)</f>
        <v>1</v>
      </c>
      <c r="AX69" s="4">
        <f>IF(M69=VLOOKUP(VALUE(M$1),Questions!$A:$E,5,FALSE),1,0)</f>
        <v>1</v>
      </c>
      <c r="AY69" s="4">
        <f>IF(N69=VLOOKUP(VALUE(N$1),Questions!$A:$E,5,FALSE),1,0)</f>
        <v>1</v>
      </c>
      <c r="AZ69" s="4">
        <f>IF(O69=VLOOKUP(VALUE(O$1),Questions!$A:$E,5,FALSE),1,0)</f>
        <v>1</v>
      </c>
      <c r="BA69" s="4">
        <f>IF(P69=VLOOKUP(VALUE(P$1),Questions!$A:$E,5,FALSE),1,0)</f>
        <v>0</v>
      </c>
      <c r="BB69" s="4">
        <f>IF(Q69=VLOOKUP(VALUE(Q$1),Questions!$A:$E,5,FALSE),1,0)</f>
        <v>1</v>
      </c>
      <c r="BC69" s="4">
        <f>IF(R69=VLOOKUP(VALUE(R$1),Questions!$A:$E,5,FALSE),1,0)</f>
        <v>0</v>
      </c>
      <c r="BD69" s="4">
        <f>IF(S69=VLOOKUP(VALUE(S$1),Questions!$A:$E,5,FALSE),1,0)</f>
        <v>1</v>
      </c>
      <c r="BE69" s="4">
        <f>IF(T69=VLOOKUP(VALUE(T$1),Questions!$A:$E,5,FALSE),1,0)</f>
        <v>1</v>
      </c>
      <c r="BF69" s="4">
        <f>IF(U69=VLOOKUP(VALUE(U$1),Questions!$A:$E,5,FALSE),1,0)</f>
        <v>1</v>
      </c>
      <c r="BG69" s="4">
        <f>IF(V69=VLOOKUP(VALUE(V$1),Questions!$A:$E,5,FALSE),1,0)</f>
        <v>1</v>
      </c>
      <c r="BH69" s="4">
        <f>IF(W69=VLOOKUP(VALUE(W$1),Questions!$A:$E,5,FALSE),1,0)</f>
        <v>1</v>
      </c>
      <c r="BI69" s="4">
        <f>IF(X69=VLOOKUP(VALUE(X$1),Questions!$A:$E,5,FALSE),1,0)</f>
        <v>1</v>
      </c>
      <c r="BJ69" s="4">
        <f>IF(Y69=VLOOKUP(VALUE(Y$1),Questions!$A:$E,5,FALSE),1,0)</f>
        <v>0</v>
      </c>
      <c r="BK69" s="4">
        <f>IF(Z69=VLOOKUP(VALUE(Z$1),Questions!$A:$E,5,FALSE),1,0)</f>
        <v>1</v>
      </c>
      <c r="BL69" s="4">
        <f>IF(AA69=VLOOKUP(VALUE(AA$1),Questions!$A:$E,5,FALSE),1,0)</f>
        <v>1</v>
      </c>
      <c r="BM69" s="4">
        <f>IF(AB69=VLOOKUP(VALUE(AB$1),Questions!$A:$E,5,FALSE),1,0)</f>
        <v>1</v>
      </c>
      <c r="BN69" s="4">
        <f>IF(AC69=VLOOKUP(VALUE(AC$1),Questions!$A:$E,5,FALSE),1,0)</f>
        <v>1</v>
      </c>
      <c r="BO69" s="4">
        <f>IF(AD69=VLOOKUP(VALUE(AD$1),Questions!$A:$E,5,FALSE),1,0)</f>
        <v>0</v>
      </c>
      <c r="BP69" s="4">
        <f>IF(AE69=VLOOKUP(VALUE(AE$1),Questions!$A:$E,5,FALSE),1,0)</f>
        <v>0</v>
      </c>
      <c r="BQ69" s="4">
        <f>IF(AF69=VLOOKUP(VALUE(AF$1),Questions!$A:$E,5,FALSE),1,0)</f>
        <v>0</v>
      </c>
      <c r="BR69" s="4">
        <f>IF(AG69=VLOOKUP(VALUE(AG$1),Questions!$A:$E,5,FALSE),1,0)</f>
        <v>1</v>
      </c>
      <c r="BS69" s="4">
        <f>IF(AH69=VLOOKUP(VALUE(AH$1),Questions!$A:$E,5,FALSE),1,0)</f>
        <v>0</v>
      </c>
      <c r="BT69" s="4">
        <f>IF(AI69=VLOOKUP(VALUE(AI$1),Questions!$A:$E,5,FALSE),1,0)</f>
        <v>0</v>
      </c>
      <c r="BU69" s="4">
        <f>IF(AJ69=VLOOKUP(VALUE(AJ$1),Questions!$A:$E,5,FALSE),1,0)</f>
        <v>1</v>
      </c>
      <c r="BV69" s="4">
        <f>IF(AK69=VLOOKUP(VALUE(AK$1),Questions!$A:$E,5,FALSE),1,0)</f>
        <v>1</v>
      </c>
      <c r="BW69" s="87">
        <f>IF(AL69=VLOOKUP(VALUE(AL$1),Questions!$A:$E,5,FALSE),1,0)</f>
        <v>1</v>
      </c>
      <c r="BX69" s="4">
        <f>IF(Scores[[#This Row],[Final]]&gt;=65,1,0)</f>
        <v>1</v>
      </c>
      <c r="BY69" s="4">
        <f>IF(Scores[[#This Row],[Final]]&gt;=IF(Scores[[#This Row],[IEP]],55,65),1,0)</f>
        <v>1</v>
      </c>
    </row>
    <row r="70" spans="1:77" x14ac:dyDescent="0.2">
      <c r="A70" s="6">
        <v>69</v>
      </c>
      <c r="B70" s="4">
        <v>9</v>
      </c>
      <c r="C70" s="4" t="s">
        <v>963</v>
      </c>
      <c r="D70" s="105" t="b">
        <v>1</v>
      </c>
      <c r="E70" s="105" t="b">
        <v>0</v>
      </c>
      <c r="F70" s="86">
        <f>SUM(Scores[[#This Row],[Q1]:[Q28]])</f>
        <v>12</v>
      </c>
      <c r="G70" s="4">
        <f>SUM(Scores[[#This Row],[29]]:Scores[[#This Row],[30]])</f>
        <v>6</v>
      </c>
      <c r="H70" s="4">
        <f>SUM(Scores[[#This Row],[31]:[36]])</f>
        <v>6</v>
      </c>
      <c r="I70" s="4">
        <f>Scores[[#This Row],[37]]</f>
        <v>1.5</v>
      </c>
      <c r="J70" s="87">
        <f>INDEX('Conversion Chart'!$C$3:$M$47,MATCH(SUM(Scores[[#This Row],[MC]:[IIIA]]),'Conversion Chart'!$B$3:$B$47),MATCH(Scores[[#This Row],[IIIB]],'Conversion Chart'!$C$2:$M$2))</f>
        <v>65</v>
      </c>
      <c r="K70" s="103">
        <v>4</v>
      </c>
      <c r="L70" s="103">
        <v>1</v>
      </c>
      <c r="M70" s="103">
        <v>3</v>
      </c>
      <c r="N70" s="103">
        <v>1</v>
      </c>
      <c r="O70" s="103">
        <v>3</v>
      </c>
      <c r="P70" s="103">
        <v>4</v>
      </c>
      <c r="Q70" s="103">
        <v>4</v>
      </c>
      <c r="R70" s="103">
        <v>2</v>
      </c>
      <c r="S70" s="103">
        <v>3</v>
      </c>
      <c r="T70" s="103">
        <v>1</v>
      </c>
      <c r="U70" s="103">
        <v>1</v>
      </c>
      <c r="V70" s="103">
        <v>3</v>
      </c>
      <c r="W70" s="103">
        <v>2</v>
      </c>
      <c r="X70" s="103">
        <v>4</v>
      </c>
      <c r="Y70" s="103">
        <v>3</v>
      </c>
      <c r="Z70" s="103">
        <v>1</v>
      </c>
      <c r="AA70" s="103">
        <v>4</v>
      </c>
      <c r="AB70" s="103">
        <v>3</v>
      </c>
      <c r="AC70" s="103">
        <v>3</v>
      </c>
      <c r="AD70" s="103">
        <v>4</v>
      </c>
      <c r="AE70" s="103">
        <v>4</v>
      </c>
      <c r="AF70" s="103">
        <v>1</v>
      </c>
      <c r="AG70" s="103">
        <v>4</v>
      </c>
      <c r="AH70" s="103">
        <v>2</v>
      </c>
      <c r="AI70" s="103">
        <v>3</v>
      </c>
      <c r="AJ70" s="103">
        <v>2</v>
      </c>
      <c r="AK70" s="103">
        <v>4</v>
      </c>
      <c r="AL70" s="104">
        <v>3</v>
      </c>
      <c r="AM70" s="4">
        <v>3</v>
      </c>
      <c r="AN70" s="87">
        <v>3</v>
      </c>
      <c r="AO70" s="4">
        <v>1</v>
      </c>
      <c r="AP70" s="4">
        <v>1</v>
      </c>
      <c r="AQ70" s="4">
        <v>1</v>
      </c>
      <c r="AR70" s="4">
        <v>1</v>
      </c>
      <c r="AS70" s="4">
        <v>1</v>
      </c>
      <c r="AT70" s="4">
        <v>1</v>
      </c>
      <c r="AU70" s="107">
        <v>1.5</v>
      </c>
      <c r="AV70" s="4">
        <f>IF(K70=VLOOKUP(VALUE(K$1),Questions!$A:$E,5,FALSE),1,0)</f>
        <v>1</v>
      </c>
      <c r="AW70" s="4">
        <f>IF(L70=VLOOKUP(VALUE(L$1),Questions!$A:$E,5,FALSE),1,0)</f>
        <v>0</v>
      </c>
      <c r="AX70" s="4">
        <f>IF(M70=VLOOKUP(VALUE(M$1),Questions!$A:$E,5,FALSE),1,0)</f>
        <v>1</v>
      </c>
      <c r="AY70" s="4">
        <f>IF(N70=VLOOKUP(VALUE(N$1),Questions!$A:$E,5,FALSE),1,0)</f>
        <v>0</v>
      </c>
      <c r="AZ70" s="4">
        <f>IF(O70=VLOOKUP(VALUE(O$1),Questions!$A:$E,5,FALSE),1,0)</f>
        <v>0</v>
      </c>
      <c r="BA70" s="4">
        <f>IF(P70=VLOOKUP(VALUE(P$1),Questions!$A:$E,5,FALSE),1,0)</f>
        <v>1</v>
      </c>
      <c r="BB70" s="4">
        <f>IF(Q70=VLOOKUP(VALUE(Q$1),Questions!$A:$E,5,FALSE),1,0)</f>
        <v>0</v>
      </c>
      <c r="BC70" s="4">
        <f>IF(R70=VLOOKUP(VALUE(R$1),Questions!$A:$E,5,FALSE),1,0)</f>
        <v>1</v>
      </c>
      <c r="BD70" s="4">
        <f>IF(S70=VLOOKUP(VALUE(S$1),Questions!$A:$E,5,FALSE),1,0)</f>
        <v>0</v>
      </c>
      <c r="BE70" s="4">
        <f>IF(T70=VLOOKUP(VALUE(T$1),Questions!$A:$E,5,FALSE),1,0)</f>
        <v>1</v>
      </c>
      <c r="BF70" s="4">
        <f>IF(U70=VLOOKUP(VALUE(U$1),Questions!$A:$E,5,FALSE),1,0)</f>
        <v>0</v>
      </c>
      <c r="BG70" s="4">
        <f>IF(V70=VLOOKUP(VALUE(V$1),Questions!$A:$E,5,FALSE),1,0)</f>
        <v>0</v>
      </c>
      <c r="BH70" s="4">
        <f>IF(W70=VLOOKUP(VALUE(W$1),Questions!$A:$E,5,FALSE),1,0)</f>
        <v>1</v>
      </c>
      <c r="BI70" s="4">
        <f>IF(X70=VLOOKUP(VALUE(X$1),Questions!$A:$E,5,FALSE),1,0)</f>
        <v>1</v>
      </c>
      <c r="BJ70" s="4">
        <f>IF(Y70=VLOOKUP(VALUE(Y$1),Questions!$A:$E,5,FALSE),1,0)</f>
        <v>1</v>
      </c>
      <c r="BK70" s="4">
        <f>IF(Z70=VLOOKUP(VALUE(Z$1),Questions!$A:$E,5,FALSE),1,0)</f>
        <v>1</v>
      </c>
      <c r="BL70" s="4">
        <f>IF(AA70=VLOOKUP(VALUE(AA$1),Questions!$A:$E,5,FALSE),1,0)</f>
        <v>0</v>
      </c>
      <c r="BM70" s="4">
        <f>IF(AB70=VLOOKUP(VALUE(AB$1),Questions!$A:$E,5,FALSE),1,0)</f>
        <v>0</v>
      </c>
      <c r="BN70" s="4">
        <f>IF(AC70=VLOOKUP(VALUE(AC$1),Questions!$A:$E,5,FALSE),1,0)</f>
        <v>1</v>
      </c>
      <c r="BO70" s="4">
        <f>IF(AD70=VLOOKUP(VALUE(AD$1),Questions!$A:$E,5,FALSE),1,0)</f>
        <v>1</v>
      </c>
      <c r="BP70" s="4">
        <f>IF(AE70=VLOOKUP(VALUE(AE$1),Questions!$A:$E,5,FALSE),1,0)</f>
        <v>0</v>
      </c>
      <c r="BQ70" s="4">
        <f>IF(AF70=VLOOKUP(VALUE(AF$1),Questions!$A:$E,5,FALSE),1,0)</f>
        <v>0</v>
      </c>
      <c r="BR70" s="4">
        <f>IF(AG70=VLOOKUP(VALUE(AG$1),Questions!$A:$E,5,FALSE),1,0)</f>
        <v>0</v>
      </c>
      <c r="BS70" s="4">
        <f>IF(AH70=VLOOKUP(VALUE(AH$1),Questions!$A:$E,5,FALSE),1,0)</f>
        <v>0</v>
      </c>
      <c r="BT70" s="4">
        <f>IF(AI70=VLOOKUP(VALUE(AI$1),Questions!$A:$E,5,FALSE),1,0)</f>
        <v>0</v>
      </c>
      <c r="BU70" s="4">
        <f>IF(AJ70=VLOOKUP(VALUE(AJ$1),Questions!$A:$E,5,FALSE),1,0)</f>
        <v>0</v>
      </c>
      <c r="BV70" s="4">
        <f>IF(AK70=VLOOKUP(VALUE(AK$1),Questions!$A:$E,5,FALSE),1,0)</f>
        <v>0</v>
      </c>
      <c r="BW70" s="87">
        <f>IF(AL70=VLOOKUP(VALUE(AL$1),Questions!$A:$E,5,FALSE),1,0)</f>
        <v>1</v>
      </c>
      <c r="BX70" s="4">
        <f>IF(Scores[[#This Row],[Final]]&gt;=65,1,0)</f>
        <v>1</v>
      </c>
      <c r="BY70" s="4">
        <f>IF(Scores[[#This Row],[Final]]&gt;=IF(Scores[[#This Row],[IEP]],55,65),1,0)</f>
        <v>1</v>
      </c>
    </row>
    <row r="71" spans="1:77" x14ac:dyDescent="0.2">
      <c r="A71" s="6">
        <v>70</v>
      </c>
      <c r="B71" s="4">
        <v>11</v>
      </c>
      <c r="C71" s="4" t="s">
        <v>964</v>
      </c>
      <c r="D71" s="105" t="b">
        <v>0</v>
      </c>
      <c r="E71" s="105" t="b">
        <v>0</v>
      </c>
      <c r="F71" s="86">
        <f>SUM(Scores[[#This Row],[Q1]:[Q28]])</f>
        <v>25</v>
      </c>
      <c r="G71" s="4">
        <f>SUM(Scores[[#This Row],[29]]:Scores[[#This Row],[30]])</f>
        <v>3</v>
      </c>
      <c r="H71" s="4">
        <f>SUM(Scores[[#This Row],[31]:[36]])</f>
        <v>6</v>
      </c>
      <c r="I71" s="4">
        <f>Scores[[#This Row],[37]]</f>
        <v>3</v>
      </c>
      <c r="J71" s="87">
        <f>INDEX('Conversion Chart'!$C$3:$M$47,MATCH(SUM(Scores[[#This Row],[MC]:[IIIA]]),'Conversion Chart'!$B$3:$B$47),MATCH(Scores[[#This Row],[IIIB]],'Conversion Chart'!$C$2:$M$2))</f>
        <v>80</v>
      </c>
      <c r="K71" s="103">
        <v>4</v>
      </c>
      <c r="L71" s="103">
        <v>2</v>
      </c>
      <c r="M71" s="103">
        <v>3</v>
      </c>
      <c r="N71" s="103">
        <v>2</v>
      </c>
      <c r="O71" s="103">
        <v>1</v>
      </c>
      <c r="P71" s="103">
        <v>4</v>
      </c>
      <c r="Q71" s="103">
        <v>3</v>
      </c>
      <c r="R71" s="103">
        <v>2</v>
      </c>
      <c r="S71" s="103">
        <v>2</v>
      </c>
      <c r="T71" s="103">
        <v>1</v>
      </c>
      <c r="U71" s="103">
        <v>2</v>
      </c>
      <c r="V71" s="103">
        <v>4</v>
      </c>
      <c r="W71" s="103">
        <v>2</v>
      </c>
      <c r="X71" s="103">
        <v>3</v>
      </c>
      <c r="Y71" s="103">
        <v>3</v>
      </c>
      <c r="Z71" s="103">
        <v>1</v>
      </c>
      <c r="AA71" s="103">
        <v>1</v>
      </c>
      <c r="AB71" s="103">
        <v>4</v>
      </c>
      <c r="AC71" s="103">
        <v>3</v>
      </c>
      <c r="AD71" s="103">
        <v>3</v>
      </c>
      <c r="AE71" s="103">
        <v>2</v>
      </c>
      <c r="AF71" s="103">
        <v>2</v>
      </c>
      <c r="AG71" s="103">
        <v>3</v>
      </c>
      <c r="AH71" s="103">
        <v>3</v>
      </c>
      <c r="AI71" s="103">
        <v>1</v>
      </c>
      <c r="AJ71" s="103">
        <v>4</v>
      </c>
      <c r="AK71" s="103">
        <v>1</v>
      </c>
      <c r="AL71" s="104">
        <v>3</v>
      </c>
      <c r="AM71" s="4">
        <v>2</v>
      </c>
      <c r="AN71" s="87">
        <v>1</v>
      </c>
      <c r="AO71" s="4">
        <v>1</v>
      </c>
      <c r="AP71" s="4">
        <v>1</v>
      </c>
      <c r="AQ71" s="4">
        <v>1</v>
      </c>
      <c r="AR71" s="4">
        <v>1</v>
      </c>
      <c r="AS71" s="4">
        <v>1</v>
      </c>
      <c r="AT71" s="4">
        <v>1</v>
      </c>
      <c r="AU71" s="107">
        <v>3</v>
      </c>
      <c r="AV71" s="4">
        <f>IF(K71=VLOOKUP(VALUE(K$1),Questions!$A:$E,5,FALSE),1,0)</f>
        <v>1</v>
      </c>
      <c r="AW71" s="4">
        <f>IF(L71=VLOOKUP(VALUE(L$1),Questions!$A:$E,5,FALSE),1,0)</f>
        <v>1</v>
      </c>
      <c r="AX71" s="4">
        <f>IF(M71=VLOOKUP(VALUE(M$1),Questions!$A:$E,5,FALSE),1,0)</f>
        <v>1</v>
      </c>
      <c r="AY71" s="4">
        <f>IF(N71=VLOOKUP(VALUE(N$1),Questions!$A:$E,5,FALSE),1,0)</f>
        <v>0</v>
      </c>
      <c r="AZ71" s="4">
        <f>IF(O71=VLOOKUP(VALUE(O$1),Questions!$A:$E,5,FALSE),1,0)</f>
        <v>1</v>
      </c>
      <c r="BA71" s="4">
        <f>IF(P71=VLOOKUP(VALUE(P$1),Questions!$A:$E,5,FALSE),1,0)</f>
        <v>1</v>
      </c>
      <c r="BB71" s="4">
        <f>IF(Q71=VLOOKUP(VALUE(Q$1),Questions!$A:$E,5,FALSE),1,0)</f>
        <v>1</v>
      </c>
      <c r="BC71" s="4">
        <f>IF(R71=VLOOKUP(VALUE(R$1),Questions!$A:$E,5,FALSE),1,0)</f>
        <v>1</v>
      </c>
      <c r="BD71" s="4">
        <f>IF(S71=VLOOKUP(VALUE(S$1),Questions!$A:$E,5,FALSE),1,0)</f>
        <v>1</v>
      </c>
      <c r="BE71" s="4">
        <f>IF(T71=VLOOKUP(VALUE(T$1),Questions!$A:$E,5,FALSE),1,0)</f>
        <v>1</v>
      </c>
      <c r="BF71" s="4">
        <f>IF(U71=VLOOKUP(VALUE(U$1),Questions!$A:$E,5,FALSE),1,0)</f>
        <v>1</v>
      </c>
      <c r="BG71" s="4">
        <f>IF(V71=VLOOKUP(VALUE(V$1),Questions!$A:$E,5,FALSE),1,0)</f>
        <v>1</v>
      </c>
      <c r="BH71" s="4">
        <f>IF(W71=VLOOKUP(VALUE(W$1),Questions!$A:$E,5,FALSE),1,0)</f>
        <v>1</v>
      </c>
      <c r="BI71" s="4">
        <f>IF(X71=VLOOKUP(VALUE(X$1),Questions!$A:$E,5,FALSE),1,0)</f>
        <v>0</v>
      </c>
      <c r="BJ71" s="4">
        <f>IF(Y71=VLOOKUP(VALUE(Y$1),Questions!$A:$E,5,FALSE),1,0)</f>
        <v>1</v>
      </c>
      <c r="BK71" s="4">
        <f>IF(Z71=VLOOKUP(VALUE(Z$1),Questions!$A:$E,5,FALSE),1,0)</f>
        <v>1</v>
      </c>
      <c r="BL71" s="4">
        <f>IF(AA71=VLOOKUP(VALUE(AA$1),Questions!$A:$E,5,FALSE),1,0)</f>
        <v>1</v>
      </c>
      <c r="BM71" s="4">
        <f>IF(AB71=VLOOKUP(VALUE(AB$1),Questions!$A:$E,5,FALSE),1,0)</f>
        <v>1</v>
      </c>
      <c r="BN71" s="4">
        <f>IF(AC71=VLOOKUP(VALUE(AC$1),Questions!$A:$E,5,FALSE),1,0)</f>
        <v>1</v>
      </c>
      <c r="BO71" s="4">
        <f>IF(AD71=VLOOKUP(VALUE(AD$1),Questions!$A:$E,5,FALSE),1,0)</f>
        <v>0</v>
      </c>
      <c r="BP71" s="4">
        <f>IF(AE71=VLOOKUP(VALUE(AE$1),Questions!$A:$E,5,FALSE),1,0)</f>
        <v>1</v>
      </c>
      <c r="BQ71" s="4">
        <f>IF(AF71=VLOOKUP(VALUE(AF$1),Questions!$A:$E,5,FALSE),1,0)</f>
        <v>1</v>
      </c>
      <c r="BR71" s="4">
        <f>IF(AG71=VLOOKUP(VALUE(AG$1),Questions!$A:$E,5,FALSE),1,0)</f>
        <v>1</v>
      </c>
      <c r="BS71" s="4">
        <f>IF(AH71=VLOOKUP(VALUE(AH$1),Questions!$A:$E,5,FALSE),1,0)</f>
        <v>1</v>
      </c>
      <c r="BT71" s="4">
        <f>IF(AI71=VLOOKUP(VALUE(AI$1),Questions!$A:$E,5,FALSE),1,0)</f>
        <v>1</v>
      </c>
      <c r="BU71" s="4">
        <f>IF(AJ71=VLOOKUP(VALUE(AJ$1),Questions!$A:$E,5,FALSE),1,0)</f>
        <v>1</v>
      </c>
      <c r="BV71" s="4">
        <f>IF(AK71=VLOOKUP(VALUE(AK$1),Questions!$A:$E,5,FALSE),1,0)</f>
        <v>1</v>
      </c>
      <c r="BW71" s="87">
        <f>IF(AL71=VLOOKUP(VALUE(AL$1),Questions!$A:$E,5,FALSE),1,0)</f>
        <v>1</v>
      </c>
      <c r="BX71" s="4">
        <f>IF(Scores[[#This Row],[Final]]&gt;=65,1,0)</f>
        <v>1</v>
      </c>
      <c r="BY71" s="4">
        <f>IF(Scores[[#This Row],[Final]]&gt;=IF(Scores[[#This Row],[IEP]],55,65),1,0)</f>
        <v>1</v>
      </c>
    </row>
    <row r="72" spans="1:77" x14ac:dyDescent="0.2">
      <c r="A72" s="6">
        <v>71</v>
      </c>
      <c r="B72" s="4">
        <v>11</v>
      </c>
      <c r="C72" s="4" t="s">
        <v>962</v>
      </c>
      <c r="D72" s="105" t="b">
        <v>0</v>
      </c>
      <c r="E72" s="105" t="b">
        <v>0</v>
      </c>
      <c r="F72" s="86">
        <f>SUM(Scores[[#This Row],[Q1]:[Q28]])</f>
        <v>0</v>
      </c>
      <c r="G72" s="4">
        <f>SUM(Scores[[#This Row],[29]]:Scores[[#This Row],[30]])</f>
        <v>0</v>
      </c>
      <c r="H72" s="4">
        <f>SUM(Scores[[#This Row],[31]:[36]])</f>
        <v>0</v>
      </c>
      <c r="I72" s="4">
        <f>Scores[[#This Row],[37]]</f>
        <v>0</v>
      </c>
      <c r="J72" s="87">
        <f>INDEX('Conversion Chart'!$C$3:$M$47,MATCH(SUM(Scores[[#This Row],[MC]:[IIIA]]),'Conversion Chart'!$B$3:$B$47),MATCH(Scores[[#This Row],[IIIB]],'Conversion Chart'!$C$2:$M$2))</f>
        <v>0</v>
      </c>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4"/>
      <c r="AN72" s="87"/>
      <c r="AU72" s="107"/>
      <c r="AV72" s="4">
        <f>IF(K72=VLOOKUP(VALUE(K$1),Questions!$A:$E,5,FALSE),1,0)</f>
        <v>0</v>
      </c>
      <c r="AW72" s="4">
        <f>IF(L72=VLOOKUP(VALUE(L$1),Questions!$A:$E,5,FALSE),1,0)</f>
        <v>0</v>
      </c>
      <c r="AX72" s="4">
        <f>IF(M72=VLOOKUP(VALUE(M$1),Questions!$A:$E,5,FALSE),1,0)</f>
        <v>0</v>
      </c>
      <c r="AY72" s="4">
        <f>IF(N72=VLOOKUP(VALUE(N$1),Questions!$A:$E,5,FALSE),1,0)</f>
        <v>0</v>
      </c>
      <c r="AZ72" s="4">
        <f>IF(O72=VLOOKUP(VALUE(O$1),Questions!$A:$E,5,FALSE),1,0)</f>
        <v>0</v>
      </c>
      <c r="BA72" s="4">
        <f>IF(P72=VLOOKUP(VALUE(P$1),Questions!$A:$E,5,FALSE),1,0)</f>
        <v>0</v>
      </c>
      <c r="BB72" s="4">
        <f>IF(Q72=VLOOKUP(VALUE(Q$1),Questions!$A:$E,5,FALSE),1,0)</f>
        <v>0</v>
      </c>
      <c r="BC72" s="4">
        <f>IF(R72=VLOOKUP(VALUE(R$1),Questions!$A:$E,5,FALSE),1,0)</f>
        <v>0</v>
      </c>
      <c r="BD72" s="4">
        <f>IF(S72=VLOOKUP(VALUE(S$1),Questions!$A:$E,5,FALSE),1,0)</f>
        <v>0</v>
      </c>
      <c r="BE72" s="4">
        <f>IF(T72=VLOOKUP(VALUE(T$1),Questions!$A:$E,5,FALSE),1,0)</f>
        <v>0</v>
      </c>
      <c r="BF72" s="4">
        <f>IF(U72=VLOOKUP(VALUE(U$1),Questions!$A:$E,5,FALSE),1,0)</f>
        <v>0</v>
      </c>
      <c r="BG72" s="4">
        <f>IF(V72=VLOOKUP(VALUE(V$1),Questions!$A:$E,5,FALSE),1,0)</f>
        <v>0</v>
      </c>
      <c r="BH72" s="4">
        <f>IF(W72=VLOOKUP(VALUE(W$1),Questions!$A:$E,5,FALSE),1,0)</f>
        <v>0</v>
      </c>
      <c r="BI72" s="4">
        <f>IF(X72=VLOOKUP(VALUE(X$1),Questions!$A:$E,5,FALSE),1,0)</f>
        <v>0</v>
      </c>
      <c r="BJ72" s="4">
        <f>IF(Y72=VLOOKUP(VALUE(Y$1),Questions!$A:$E,5,FALSE),1,0)</f>
        <v>0</v>
      </c>
      <c r="BK72" s="4">
        <f>IF(Z72=VLOOKUP(VALUE(Z$1),Questions!$A:$E,5,FALSE),1,0)</f>
        <v>0</v>
      </c>
      <c r="BL72" s="4">
        <f>IF(AA72=VLOOKUP(VALUE(AA$1),Questions!$A:$E,5,FALSE),1,0)</f>
        <v>0</v>
      </c>
      <c r="BM72" s="4">
        <f>IF(AB72=VLOOKUP(VALUE(AB$1),Questions!$A:$E,5,FALSE),1,0)</f>
        <v>0</v>
      </c>
      <c r="BN72" s="4">
        <f>IF(AC72=VLOOKUP(VALUE(AC$1),Questions!$A:$E,5,FALSE),1,0)</f>
        <v>0</v>
      </c>
      <c r="BO72" s="4">
        <f>IF(AD72=VLOOKUP(VALUE(AD$1),Questions!$A:$E,5,FALSE),1,0)</f>
        <v>0</v>
      </c>
      <c r="BP72" s="4">
        <f>IF(AE72=VLOOKUP(VALUE(AE$1),Questions!$A:$E,5,FALSE),1,0)</f>
        <v>0</v>
      </c>
      <c r="BQ72" s="4">
        <f>IF(AF72=VLOOKUP(VALUE(AF$1),Questions!$A:$E,5,FALSE),1,0)</f>
        <v>0</v>
      </c>
      <c r="BR72" s="4">
        <f>IF(AG72=VLOOKUP(VALUE(AG$1),Questions!$A:$E,5,FALSE),1,0)</f>
        <v>0</v>
      </c>
      <c r="BS72" s="4">
        <f>IF(AH72=VLOOKUP(VALUE(AH$1),Questions!$A:$E,5,FALSE),1,0)</f>
        <v>0</v>
      </c>
      <c r="BT72" s="4">
        <f>IF(AI72=VLOOKUP(VALUE(AI$1),Questions!$A:$E,5,FALSE),1,0)</f>
        <v>0</v>
      </c>
      <c r="BU72" s="4">
        <f>IF(AJ72=VLOOKUP(VALUE(AJ$1),Questions!$A:$E,5,FALSE),1,0)</f>
        <v>0</v>
      </c>
      <c r="BV72" s="4">
        <f>IF(AK72=VLOOKUP(VALUE(AK$1),Questions!$A:$E,5,FALSE),1,0)</f>
        <v>0</v>
      </c>
      <c r="BW72" s="87">
        <f>IF(AL72=VLOOKUP(VALUE(AL$1),Questions!$A:$E,5,FALSE),1,0)</f>
        <v>0</v>
      </c>
      <c r="BX72" s="4">
        <f>IF(Scores[[#This Row],[Final]]&gt;=65,1,0)</f>
        <v>0</v>
      </c>
      <c r="BY72" s="4">
        <f>IF(Scores[[#This Row],[Final]]&gt;=IF(Scores[[#This Row],[IEP]],55,65),1,0)</f>
        <v>0</v>
      </c>
    </row>
    <row r="73" spans="1:77" x14ac:dyDescent="0.2">
      <c r="A73" s="6">
        <v>72</v>
      </c>
      <c r="B73" s="4">
        <v>11</v>
      </c>
      <c r="C73" s="4" t="s">
        <v>962</v>
      </c>
      <c r="D73" s="105" t="b">
        <v>0</v>
      </c>
      <c r="E73" s="105" t="b">
        <v>0</v>
      </c>
      <c r="F73" s="86">
        <f>SUM(Scores[[#This Row],[Q1]:[Q28]])</f>
        <v>16</v>
      </c>
      <c r="G73" s="4">
        <f>SUM(Scores[[#This Row],[29]]:Scores[[#This Row],[30]])</f>
        <v>4</v>
      </c>
      <c r="H73" s="4">
        <f>SUM(Scores[[#This Row],[31]:[36]])</f>
        <v>4</v>
      </c>
      <c r="I73" s="4">
        <f>Scores[[#This Row],[37]]</f>
        <v>1.5</v>
      </c>
      <c r="J73" s="87">
        <f>INDEX('Conversion Chart'!$C$3:$M$47,MATCH(SUM(Scores[[#This Row],[MC]:[IIIA]]),'Conversion Chart'!$B$3:$B$47),MATCH(Scores[[#This Row],[IIIB]],'Conversion Chart'!$C$2:$M$2))</f>
        <v>65</v>
      </c>
      <c r="K73" s="103">
        <v>4</v>
      </c>
      <c r="L73" s="103">
        <v>1</v>
      </c>
      <c r="M73" s="103">
        <v>3</v>
      </c>
      <c r="N73" s="103">
        <v>1</v>
      </c>
      <c r="O73" s="103">
        <v>1</v>
      </c>
      <c r="P73" s="103">
        <v>2</v>
      </c>
      <c r="Q73" s="103">
        <v>3</v>
      </c>
      <c r="R73" s="103">
        <v>2</v>
      </c>
      <c r="S73" s="103">
        <v>2</v>
      </c>
      <c r="T73" s="103">
        <v>1</v>
      </c>
      <c r="U73" s="103">
        <v>2</v>
      </c>
      <c r="V73" s="103">
        <v>4</v>
      </c>
      <c r="W73" s="103">
        <v>3</v>
      </c>
      <c r="X73" s="103">
        <v>4</v>
      </c>
      <c r="Y73" s="103">
        <v>4</v>
      </c>
      <c r="Z73" s="103">
        <v>1</v>
      </c>
      <c r="AA73" s="103">
        <v>3</v>
      </c>
      <c r="AB73" s="103">
        <v>2</v>
      </c>
      <c r="AC73" s="103">
        <v>3</v>
      </c>
      <c r="AD73" s="103">
        <v>1</v>
      </c>
      <c r="AE73" s="103">
        <v>3</v>
      </c>
      <c r="AF73" s="103">
        <v>2</v>
      </c>
      <c r="AG73" s="103">
        <v>3</v>
      </c>
      <c r="AH73" s="103">
        <v>2</v>
      </c>
      <c r="AI73" s="103">
        <v>4</v>
      </c>
      <c r="AJ73" s="103">
        <v>2</v>
      </c>
      <c r="AK73" s="103">
        <v>1</v>
      </c>
      <c r="AL73" s="104">
        <v>3</v>
      </c>
      <c r="AM73" s="4">
        <v>3</v>
      </c>
      <c r="AN73" s="87">
        <v>1</v>
      </c>
      <c r="AO73" s="4">
        <v>0</v>
      </c>
      <c r="AP73" s="4">
        <v>1</v>
      </c>
      <c r="AQ73" s="4">
        <v>1</v>
      </c>
      <c r="AR73" s="4">
        <v>0</v>
      </c>
      <c r="AS73" s="4">
        <v>1</v>
      </c>
      <c r="AT73" s="4">
        <v>1</v>
      </c>
      <c r="AU73" s="107">
        <v>1.5</v>
      </c>
      <c r="AV73" s="4">
        <f>IF(K73=VLOOKUP(VALUE(K$1),Questions!$A:$E,5,FALSE),1,0)</f>
        <v>1</v>
      </c>
      <c r="AW73" s="4">
        <f>IF(L73=VLOOKUP(VALUE(L$1),Questions!$A:$E,5,FALSE),1,0)</f>
        <v>0</v>
      </c>
      <c r="AX73" s="4">
        <f>IF(M73=VLOOKUP(VALUE(M$1),Questions!$A:$E,5,FALSE),1,0)</f>
        <v>1</v>
      </c>
      <c r="AY73" s="4">
        <f>IF(N73=VLOOKUP(VALUE(N$1),Questions!$A:$E,5,FALSE),1,0)</f>
        <v>0</v>
      </c>
      <c r="AZ73" s="4">
        <f>IF(O73=VLOOKUP(VALUE(O$1),Questions!$A:$E,5,FALSE),1,0)</f>
        <v>1</v>
      </c>
      <c r="BA73" s="4">
        <f>IF(P73=VLOOKUP(VALUE(P$1),Questions!$A:$E,5,FALSE),1,0)</f>
        <v>0</v>
      </c>
      <c r="BB73" s="4">
        <f>IF(Q73=VLOOKUP(VALUE(Q$1),Questions!$A:$E,5,FALSE),1,0)</f>
        <v>1</v>
      </c>
      <c r="BC73" s="4">
        <f>IF(R73=VLOOKUP(VALUE(R$1),Questions!$A:$E,5,FALSE),1,0)</f>
        <v>1</v>
      </c>
      <c r="BD73" s="4">
        <f>IF(S73=VLOOKUP(VALUE(S$1),Questions!$A:$E,5,FALSE),1,0)</f>
        <v>1</v>
      </c>
      <c r="BE73" s="4">
        <f>IF(T73=VLOOKUP(VALUE(T$1),Questions!$A:$E,5,FALSE),1,0)</f>
        <v>1</v>
      </c>
      <c r="BF73" s="4">
        <f>IF(U73=VLOOKUP(VALUE(U$1),Questions!$A:$E,5,FALSE),1,0)</f>
        <v>1</v>
      </c>
      <c r="BG73" s="4">
        <f>IF(V73=VLOOKUP(VALUE(V$1),Questions!$A:$E,5,FALSE),1,0)</f>
        <v>1</v>
      </c>
      <c r="BH73" s="4">
        <f>IF(W73=VLOOKUP(VALUE(W$1),Questions!$A:$E,5,FALSE),1,0)</f>
        <v>0</v>
      </c>
      <c r="BI73" s="4">
        <f>IF(X73=VLOOKUP(VALUE(X$1),Questions!$A:$E,5,FALSE),1,0)</f>
        <v>1</v>
      </c>
      <c r="BJ73" s="4">
        <f>IF(Y73=VLOOKUP(VALUE(Y$1),Questions!$A:$E,5,FALSE),1,0)</f>
        <v>0</v>
      </c>
      <c r="BK73" s="4">
        <f>IF(Z73=VLOOKUP(VALUE(Z$1),Questions!$A:$E,5,FALSE),1,0)</f>
        <v>1</v>
      </c>
      <c r="BL73" s="4">
        <f>IF(AA73=VLOOKUP(VALUE(AA$1),Questions!$A:$E,5,FALSE),1,0)</f>
        <v>0</v>
      </c>
      <c r="BM73" s="4">
        <f>IF(AB73=VLOOKUP(VALUE(AB$1),Questions!$A:$E,5,FALSE),1,0)</f>
        <v>0</v>
      </c>
      <c r="BN73" s="4">
        <f>IF(AC73=VLOOKUP(VALUE(AC$1),Questions!$A:$E,5,FALSE),1,0)</f>
        <v>1</v>
      </c>
      <c r="BO73" s="4">
        <f>IF(AD73=VLOOKUP(VALUE(AD$1),Questions!$A:$E,5,FALSE),1,0)</f>
        <v>0</v>
      </c>
      <c r="BP73" s="4">
        <f>IF(AE73=VLOOKUP(VALUE(AE$1),Questions!$A:$E,5,FALSE),1,0)</f>
        <v>0</v>
      </c>
      <c r="BQ73" s="4">
        <f>IF(AF73=VLOOKUP(VALUE(AF$1),Questions!$A:$E,5,FALSE),1,0)</f>
        <v>1</v>
      </c>
      <c r="BR73" s="4">
        <f>IF(AG73=VLOOKUP(VALUE(AG$1),Questions!$A:$E,5,FALSE),1,0)</f>
        <v>1</v>
      </c>
      <c r="BS73" s="4">
        <f>IF(AH73=VLOOKUP(VALUE(AH$1),Questions!$A:$E,5,FALSE),1,0)</f>
        <v>0</v>
      </c>
      <c r="BT73" s="4">
        <f>IF(AI73=VLOOKUP(VALUE(AI$1),Questions!$A:$E,5,FALSE),1,0)</f>
        <v>0</v>
      </c>
      <c r="BU73" s="4">
        <f>IF(AJ73=VLOOKUP(VALUE(AJ$1),Questions!$A:$E,5,FALSE),1,0)</f>
        <v>0</v>
      </c>
      <c r="BV73" s="4">
        <f>IF(AK73=VLOOKUP(VALUE(AK$1),Questions!$A:$E,5,FALSE),1,0)</f>
        <v>1</v>
      </c>
      <c r="BW73" s="87">
        <f>IF(AL73=VLOOKUP(VALUE(AL$1),Questions!$A:$E,5,FALSE),1,0)</f>
        <v>1</v>
      </c>
      <c r="BX73" s="4">
        <f>IF(Scores[[#This Row],[Final]]&gt;=65,1,0)</f>
        <v>1</v>
      </c>
      <c r="BY73" s="4">
        <f>IF(Scores[[#This Row],[Final]]&gt;=IF(Scores[[#This Row],[IEP]],55,65),1,0)</f>
        <v>1</v>
      </c>
    </row>
    <row r="74" spans="1:77" x14ac:dyDescent="0.2">
      <c r="A74" s="6">
        <v>73</v>
      </c>
      <c r="B74" s="4">
        <v>9</v>
      </c>
      <c r="C74" s="4" t="s">
        <v>963</v>
      </c>
      <c r="D74" s="105" t="b">
        <v>0</v>
      </c>
      <c r="E74" s="105" t="b">
        <v>1</v>
      </c>
      <c r="F74" s="86">
        <f>SUM(Scores[[#This Row],[Q1]:[Q28]])</f>
        <v>20</v>
      </c>
      <c r="G74" s="4">
        <f>SUM(Scores[[#This Row],[29]]:Scores[[#This Row],[30]])</f>
        <v>2</v>
      </c>
      <c r="H74" s="4">
        <f>SUM(Scores[[#This Row],[31]:[36]])</f>
        <v>4</v>
      </c>
      <c r="I74" s="4">
        <f>Scores[[#This Row],[37]]</f>
        <v>1.5</v>
      </c>
      <c r="J74" s="87">
        <f>INDEX('Conversion Chart'!$C$3:$M$47,MATCH(SUM(Scores[[#This Row],[MC]:[IIIA]]),'Conversion Chart'!$B$3:$B$47),MATCH(Scores[[#This Row],[IIIB]],'Conversion Chart'!$C$2:$M$2))</f>
        <v>67</v>
      </c>
      <c r="K74" s="103">
        <v>4</v>
      </c>
      <c r="L74" s="103">
        <v>2</v>
      </c>
      <c r="M74" s="103">
        <v>2</v>
      </c>
      <c r="N74" s="103">
        <v>4</v>
      </c>
      <c r="O74" s="103">
        <v>1</v>
      </c>
      <c r="P74" s="103">
        <v>3</v>
      </c>
      <c r="Q74" s="103">
        <v>3</v>
      </c>
      <c r="R74" s="103">
        <v>2</v>
      </c>
      <c r="S74" s="103">
        <v>3</v>
      </c>
      <c r="T74" s="103">
        <v>1</v>
      </c>
      <c r="U74" s="103">
        <v>2</v>
      </c>
      <c r="V74" s="103">
        <v>3</v>
      </c>
      <c r="W74" s="103">
        <v>2</v>
      </c>
      <c r="X74" s="103">
        <v>4</v>
      </c>
      <c r="Y74" s="103">
        <v>3</v>
      </c>
      <c r="Z74" s="103">
        <v>1</v>
      </c>
      <c r="AA74" s="103">
        <v>1</v>
      </c>
      <c r="AB74" s="103">
        <v>4</v>
      </c>
      <c r="AC74" s="103">
        <v>3</v>
      </c>
      <c r="AD74" s="103">
        <v>4</v>
      </c>
      <c r="AE74" s="103">
        <v>2</v>
      </c>
      <c r="AF74" s="103">
        <v>2</v>
      </c>
      <c r="AG74" s="103">
        <v>3</v>
      </c>
      <c r="AH74" s="103">
        <v>2</v>
      </c>
      <c r="AI74" s="103">
        <v>4</v>
      </c>
      <c r="AJ74" s="103">
        <v>4</v>
      </c>
      <c r="AK74" s="103">
        <v>2</v>
      </c>
      <c r="AL74" s="104">
        <v>3</v>
      </c>
      <c r="AM74" s="4">
        <v>1</v>
      </c>
      <c r="AN74" s="87">
        <v>1</v>
      </c>
      <c r="AO74" s="4">
        <v>1</v>
      </c>
      <c r="AP74" s="4">
        <v>1</v>
      </c>
      <c r="AQ74" s="4">
        <v>1</v>
      </c>
      <c r="AR74" s="4">
        <v>0</v>
      </c>
      <c r="AS74" s="4">
        <v>1</v>
      </c>
      <c r="AT74" s="4">
        <v>0</v>
      </c>
      <c r="AU74" s="107">
        <v>1.5</v>
      </c>
      <c r="AV74" s="4">
        <f>IF(K74=VLOOKUP(VALUE(K$1),Questions!$A:$E,5,FALSE),1,0)</f>
        <v>1</v>
      </c>
      <c r="AW74" s="4">
        <f>IF(L74=VLOOKUP(VALUE(L$1),Questions!$A:$E,5,FALSE),1,0)</f>
        <v>1</v>
      </c>
      <c r="AX74" s="4">
        <f>IF(M74=VLOOKUP(VALUE(M$1),Questions!$A:$E,5,FALSE),1,0)</f>
        <v>0</v>
      </c>
      <c r="AY74" s="4">
        <f>IF(N74=VLOOKUP(VALUE(N$1),Questions!$A:$E,5,FALSE),1,0)</f>
        <v>0</v>
      </c>
      <c r="AZ74" s="4">
        <f>IF(O74=VLOOKUP(VALUE(O$1),Questions!$A:$E,5,FALSE),1,0)</f>
        <v>1</v>
      </c>
      <c r="BA74" s="4">
        <f>IF(P74=VLOOKUP(VALUE(P$1),Questions!$A:$E,5,FALSE),1,0)</f>
        <v>0</v>
      </c>
      <c r="BB74" s="4">
        <f>IF(Q74=VLOOKUP(VALUE(Q$1),Questions!$A:$E,5,FALSE),1,0)</f>
        <v>1</v>
      </c>
      <c r="BC74" s="4">
        <f>IF(R74=VLOOKUP(VALUE(R$1),Questions!$A:$E,5,FALSE),1,0)</f>
        <v>1</v>
      </c>
      <c r="BD74" s="4">
        <f>IF(S74=VLOOKUP(VALUE(S$1),Questions!$A:$E,5,FALSE),1,0)</f>
        <v>0</v>
      </c>
      <c r="BE74" s="4">
        <f>IF(T74=VLOOKUP(VALUE(T$1),Questions!$A:$E,5,FALSE),1,0)</f>
        <v>1</v>
      </c>
      <c r="BF74" s="4">
        <f>IF(U74=VLOOKUP(VALUE(U$1),Questions!$A:$E,5,FALSE),1,0)</f>
        <v>1</v>
      </c>
      <c r="BG74" s="4">
        <f>IF(V74=VLOOKUP(VALUE(V$1),Questions!$A:$E,5,FALSE),1,0)</f>
        <v>0</v>
      </c>
      <c r="BH74" s="4">
        <f>IF(W74=VLOOKUP(VALUE(W$1),Questions!$A:$E,5,FALSE),1,0)</f>
        <v>1</v>
      </c>
      <c r="BI74" s="4">
        <f>IF(X74=VLOOKUP(VALUE(X$1),Questions!$A:$E,5,FALSE),1,0)</f>
        <v>1</v>
      </c>
      <c r="BJ74" s="4">
        <f>IF(Y74=VLOOKUP(VALUE(Y$1),Questions!$A:$E,5,FALSE),1,0)</f>
        <v>1</v>
      </c>
      <c r="BK74" s="4">
        <f>IF(Z74=VLOOKUP(VALUE(Z$1),Questions!$A:$E,5,FALSE),1,0)</f>
        <v>1</v>
      </c>
      <c r="BL74" s="4">
        <f>IF(AA74=VLOOKUP(VALUE(AA$1),Questions!$A:$E,5,FALSE),1,0)</f>
        <v>1</v>
      </c>
      <c r="BM74" s="4">
        <f>IF(AB74=VLOOKUP(VALUE(AB$1),Questions!$A:$E,5,FALSE),1,0)</f>
        <v>1</v>
      </c>
      <c r="BN74" s="4">
        <f>IF(AC74=VLOOKUP(VALUE(AC$1),Questions!$A:$E,5,FALSE),1,0)</f>
        <v>1</v>
      </c>
      <c r="BO74" s="4">
        <f>IF(AD74=VLOOKUP(VALUE(AD$1),Questions!$A:$E,5,FALSE),1,0)</f>
        <v>1</v>
      </c>
      <c r="BP74" s="4">
        <f>IF(AE74=VLOOKUP(VALUE(AE$1),Questions!$A:$E,5,FALSE),1,0)</f>
        <v>1</v>
      </c>
      <c r="BQ74" s="4">
        <f>IF(AF74=VLOOKUP(VALUE(AF$1),Questions!$A:$E,5,FALSE),1,0)</f>
        <v>1</v>
      </c>
      <c r="BR74" s="4">
        <f>IF(AG74=VLOOKUP(VALUE(AG$1),Questions!$A:$E,5,FALSE),1,0)</f>
        <v>1</v>
      </c>
      <c r="BS74" s="4">
        <f>IF(AH74=VLOOKUP(VALUE(AH$1),Questions!$A:$E,5,FALSE),1,0)</f>
        <v>0</v>
      </c>
      <c r="BT74" s="4">
        <f>IF(AI74=VLOOKUP(VALUE(AI$1),Questions!$A:$E,5,FALSE),1,0)</f>
        <v>0</v>
      </c>
      <c r="BU74" s="4">
        <f>IF(AJ74=VLOOKUP(VALUE(AJ$1),Questions!$A:$E,5,FALSE),1,0)</f>
        <v>1</v>
      </c>
      <c r="BV74" s="4">
        <f>IF(AK74=VLOOKUP(VALUE(AK$1),Questions!$A:$E,5,FALSE),1,0)</f>
        <v>0</v>
      </c>
      <c r="BW74" s="87">
        <f>IF(AL74=VLOOKUP(VALUE(AL$1),Questions!$A:$E,5,FALSE),1,0)</f>
        <v>1</v>
      </c>
      <c r="BX74" s="4">
        <f>IF(Scores[[#This Row],[Final]]&gt;=65,1,0)</f>
        <v>1</v>
      </c>
      <c r="BY74" s="4">
        <f>IF(Scores[[#This Row],[Final]]&gt;=IF(Scores[[#This Row],[IEP]],55,65),1,0)</f>
        <v>1</v>
      </c>
    </row>
    <row r="75" spans="1:77" x14ac:dyDescent="0.2">
      <c r="A75" s="6">
        <v>74</v>
      </c>
      <c r="B75" s="4">
        <v>11</v>
      </c>
      <c r="C75" s="4" t="s">
        <v>962</v>
      </c>
      <c r="D75" s="105" t="b">
        <v>0</v>
      </c>
      <c r="E75" s="105" t="b">
        <v>1</v>
      </c>
      <c r="F75" s="86">
        <f>SUM(Scores[[#This Row],[Q1]:[Q28]])</f>
        <v>26</v>
      </c>
      <c r="G75" s="4">
        <f>SUM(Scores[[#This Row],[29]]:Scores[[#This Row],[30]])</f>
        <v>4</v>
      </c>
      <c r="H75" s="4">
        <f>SUM(Scores[[#This Row],[31]:[36]])</f>
        <v>6</v>
      </c>
      <c r="I75" s="4">
        <f>Scores[[#This Row],[37]]</f>
        <v>3</v>
      </c>
      <c r="J75" s="87">
        <f>INDEX('Conversion Chart'!$C$3:$M$47,MATCH(SUM(Scores[[#This Row],[MC]:[IIIA]]),'Conversion Chart'!$B$3:$B$47),MATCH(Scores[[#This Row],[IIIB]],'Conversion Chart'!$C$2:$M$2))</f>
        <v>82</v>
      </c>
      <c r="K75" s="103">
        <v>4</v>
      </c>
      <c r="L75" s="103">
        <v>2</v>
      </c>
      <c r="M75" s="103">
        <v>3</v>
      </c>
      <c r="N75" s="103">
        <v>3</v>
      </c>
      <c r="O75" s="103">
        <v>1</v>
      </c>
      <c r="P75" s="103">
        <v>4</v>
      </c>
      <c r="Q75" s="103">
        <v>3</v>
      </c>
      <c r="R75" s="103">
        <v>2</v>
      </c>
      <c r="S75" s="103">
        <v>2</v>
      </c>
      <c r="T75" s="103">
        <v>1</v>
      </c>
      <c r="U75" s="103">
        <v>2</v>
      </c>
      <c r="V75" s="103">
        <v>3</v>
      </c>
      <c r="W75" s="103">
        <v>2</v>
      </c>
      <c r="X75" s="103">
        <v>4</v>
      </c>
      <c r="Y75" s="103">
        <v>3</v>
      </c>
      <c r="Z75" s="103">
        <v>1</v>
      </c>
      <c r="AA75" s="103">
        <v>1</v>
      </c>
      <c r="AB75" s="103">
        <v>4</v>
      </c>
      <c r="AC75" s="103">
        <v>3</v>
      </c>
      <c r="AD75" s="103">
        <v>4</v>
      </c>
      <c r="AE75" s="103">
        <v>2</v>
      </c>
      <c r="AF75" s="103">
        <v>2</v>
      </c>
      <c r="AG75" s="103">
        <v>3</v>
      </c>
      <c r="AH75" s="103">
        <v>2</v>
      </c>
      <c r="AI75" s="103">
        <v>1</v>
      </c>
      <c r="AJ75" s="103">
        <v>4</v>
      </c>
      <c r="AK75" s="103">
        <v>1</v>
      </c>
      <c r="AL75" s="104">
        <v>3</v>
      </c>
      <c r="AM75" s="4">
        <v>2</v>
      </c>
      <c r="AN75" s="87">
        <v>2</v>
      </c>
      <c r="AO75" s="4">
        <v>1</v>
      </c>
      <c r="AP75" s="4">
        <v>1</v>
      </c>
      <c r="AQ75" s="4">
        <v>1</v>
      </c>
      <c r="AR75" s="4">
        <v>1</v>
      </c>
      <c r="AS75" s="4">
        <v>1</v>
      </c>
      <c r="AT75" s="4">
        <v>1</v>
      </c>
      <c r="AU75" s="107">
        <v>3</v>
      </c>
      <c r="AV75" s="4">
        <f>IF(K75=VLOOKUP(VALUE(K$1),Questions!$A:$E,5,FALSE),1,0)</f>
        <v>1</v>
      </c>
      <c r="AW75" s="4">
        <f>IF(L75=VLOOKUP(VALUE(L$1),Questions!$A:$E,5,FALSE),1,0)</f>
        <v>1</v>
      </c>
      <c r="AX75" s="4">
        <f>IF(M75=VLOOKUP(VALUE(M$1),Questions!$A:$E,5,FALSE),1,0)</f>
        <v>1</v>
      </c>
      <c r="AY75" s="4">
        <f>IF(N75=VLOOKUP(VALUE(N$1),Questions!$A:$E,5,FALSE),1,0)</f>
        <v>1</v>
      </c>
      <c r="AZ75" s="4">
        <f>IF(O75=VLOOKUP(VALUE(O$1),Questions!$A:$E,5,FALSE),1,0)</f>
        <v>1</v>
      </c>
      <c r="BA75" s="4">
        <f>IF(P75=VLOOKUP(VALUE(P$1),Questions!$A:$E,5,FALSE),1,0)</f>
        <v>1</v>
      </c>
      <c r="BB75" s="4">
        <f>IF(Q75=VLOOKUP(VALUE(Q$1),Questions!$A:$E,5,FALSE),1,0)</f>
        <v>1</v>
      </c>
      <c r="BC75" s="4">
        <f>IF(R75=VLOOKUP(VALUE(R$1),Questions!$A:$E,5,FALSE),1,0)</f>
        <v>1</v>
      </c>
      <c r="BD75" s="4">
        <f>IF(S75=VLOOKUP(VALUE(S$1),Questions!$A:$E,5,FALSE),1,0)</f>
        <v>1</v>
      </c>
      <c r="BE75" s="4">
        <f>IF(T75=VLOOKUP(VALUE(T$1),Questions!$A:$E,5,FALSE),1,0)</f>
        <v>1</v>
      </c>
      <c r="BF75" s="4">
        <f>IF(U75=VLOOKUP(VALUE(U$1),Questions!$A:$E,5,FALSE),1,0)</f>
        <v>1</v>
      </c>
      <c r="BG75" s="4">
        <f>IF(V75=VLOOKUP(VALUE(V$1),Questions!$A:$E,5,FALSE),1,0)</f>
        <v>0</v>
      </c>
      <c r="BH75" s="4">
        <f>IF(W75=VLOOKUP(VALUE(W$1),Questions!$A:$E,5,FALSE),1,0)</f>
        <v>1</v>
      </c>
      <c r="BI75" s="4">
        <f>IF(X75=VLOOKUP(VALUE(X$1),Questions!$A:$E,5,FALSE),1,0)</f>
        <v>1</v>
      </c>
      <c r="BJ75" s="4">
        <f>IF(Y75=VLOOKUP(VALUE(Y$1),Questions!$A:$E,5,FALSE),1,0)</f>
        <v>1</v>
      </c>
      <c r="BK75" s="4">
        <f>IF(Z75=VLOOKUP(VALUE(Z$1),Questions!$A:$E,5,FALSE),1,0)</f>
        <v>1</v>
      </c>
      <c r="BL75" s="4">
        <f>IF(AA75=VLOOKUP(VALUE(AA$1),Questions!$A:$E,5,FALSE),1,0)</f>
        <v>1</v>
      </c>
      <c r="BM75" s="4">
        <f>IF(AB75=VLOOKUP(VALUE(AB$1),Questions!$A:$E,5,FALSE),1,0)</f>
        <v>1</v>
      </c>
      <c r="BN75" s="4">
        <f>IF(AC75=VLOOKUP(VALUE(AC$1),Questions!$A:$E,5,FALSE),1,0)</f>
        <v>1</v>
      </c>
      <c r="BO75" s="4">
        <f>IF(AD75=VLOOKUP(VALUE(AD$1),Questions!$A:$E,5,FALSE),1,0)</f>
        <v>1</v>
      </c>
      <c r="BP75" s="4">
        <f>IF(AE75=VLOOKUP(VALUE(AE$1),Questions!$A:$E,5,FALSE),1,0)</f>
        <v>1</v>
      </c>
      <c r="BQ75" s="4">
        <f>IF(AF75=VLOOKUP(VALUE(AF$1),Questions!$A:$E,5,FALSE),1,0)</f>
        <v>1</v>
      </c>
      <c r="BR75" s="4">
        <f>IF(AG75=VLOOKUP(VALUE(AG$1),Questions!$A:$E,5,FALSE),1,0)</f>
        <v>1</v>
      </c>
      <c r="BS75" s="4">
        <f>IF(AH75=VLOOKUP(VALUE(AH$1),Questions!$A:$E,5,FALSE),1,0)</f>
        <v>0</v>
      </c>
      <c r="BT75" s="4">
        <f>IF(AI75=VLOOKUP(VALUE(AI$1),Questions!$A:$E,5,FALSE),1,0)</f>
        <v>1</v>
      </c>
      <c r="BU75" s="4">
        <f>IF(AJ75=VLOOKUP(VALUE(AJ$1),Questions!$A:$E,5,FALSE),1,0)</f>
        <v>1</v>
      </c>
      <c r="BV75" s="4">
        <f>IF(AK75=VLOOKUP(VALUE(AK$1),Questions!$A:$E,5,FALSE),1,0)</f>
        <v>1</v>
      </c>
      <c r="BW75" s="87">
        <f>IF(AL75=VLOOKUP(VALUE(AL$1),Questions!$A:$E,5,FALSE),1,0)</f>
        <v>1</v>
      </c>
      <c r="BX75" s="4">
        <f>IF(Scores[[#This Row],[Final]]&gt;=65,1,0)</f>
        <v>1</v>
      </c>
      <c r="BY75" s="4">
        <f>IF(Scores[[#This Row],[Final]]&gt;=IF(Scores[[#This Row],[IEP]],55,65),1,0)</f>
        <v>1</v>
      </c>
    </row>
    <row r="76" spans="1:77" x14ac:dyDescent="0.2">
      <c r="A76" s="6">
        <v>75</v>
      </c>
      <c r="B76" s="4">
        <v>9</v>
      </c>
      <c r="C76" s="4" t="s">
        <v>963</v>
      </c>
      <c r="D76" s="105" t="b">
        <v>0</v>
      </c>
      <c r="E76" s="105" t="b">
        <v>0</v>
      </c>
      <c r="F76" s="86">
        <f>SUM(Scores[[#This Row],[Q1]:[Q28]])</f>
        <v>17</v>
      </c>
      <c r="G76" s="4">
        <f>SUM(Scores[[#This Row],[29]]:Scores[[#This Row],[30]])</f>
        <v>3</v>
      </c>
      <c r="H76" s="4">
        <f>SUM(Scores[[#This Row],[31]:[36]])</f>
        <v>5</v>
      </c>
      <c r="I76" s="4">
        <f>Scores[[#This Row],[37]]</f>
        <v>0</v>
      </c>
      <c r="J76" s="87">
        <f>INDEX('Conversion Chart'!$C$3:$M$47,MATCH(SUM(Scores[[#This Row],[MC]:[IIIA]]),'Conversion Chart'!$B$3:$B$47),MATCH(Scores[[#This Row],[IIIB]],'Conversion Chart'!$C$2:$M$2))</f>
        <v>60</v>
      </c>
      <c r="K76" s="103">
        <v>4</v>
      </c>
      <c r="L76" s="103">
        <v>2</v>
      </c>
      <c r="M76" s="103">
        <v>3</v>
      </c>
      <c r="N76" s="103">
        <v>1</v>
      </c>
      <c r="O76" s="103">
        <v>1</v>
      </c>
      <c r="P76" s="103">
        <v>4</v>
      </c>
      <c r="Q76" s="103">
        <v>3</v>
      </c>
      <c r="R76" s="103">
        <v>2</v>
      </c>
      <c r="S76" s="103">
        <v>2</v>
      </c>
      <c r="T76" s="103">
        <v>1</v>
      </c>
      <c r="U76" s="103">
        <v>2</v>
      </c>
      <c r="V76" s="103">
        <v>3</v>
      </c>
      <c r="W76" s="103">
        <v>1</v>
      </c>
      <c r="X76" s="103">
        <v>2</v>
      </c>
      <c r="Y76" s="103">
        <v>2</v>
      </c>
      <c r="Z76" s="103">
        <v>1</v>
      </c>
      <c r="AA76" s="103">
        <v>1</v>
      </c>
      <c r="AB76" s="103">
        <v>2</v>
      </c>
      <c r="AC76" s="103">
        <v>3</v>
      </c>
      <c r="AD76" s="103">
        <v>2</v>
      </c>
      <c r="AE76" s="103">
        <v>3</v>
      </c>
      <c r="AF76" s="103">
        <v>2</v>
      </c>
      <c r="AG76" s="103">
        <v>1</v>
      </c>
      <c r="AH76" s="103">
        <v>2</v>
      </c>
      <c r="AI76" s="103">
        <v>2</v>
      </c>
      <c r="AJ76" s="103">
        <v>4</v>
      </c>
      <c r="AK76" s="103">
        <v>1</v>
      </c>
      <c r="AL76" s="104">
        <v>3</v>
      </c>
      <c r="AM76" s="4">
        <v>2</v>
      </c>
      <c r="AN76" s="87">
        <v>1</v>
      </c>
      <c r="AO76" s="4">
        <v>1</v>
      </c>
      <c r="AP76" s="4">
        <v>1</v>
      </c>
      <c r="AQ76" s="4">
        <v>0</v>
      </c>
      <c r="AR76" s="4">
        <v>1</v>
      </c>
      <c r="AS76" s="4">
        <v>1</v>
      </c>
      <c r="AT76" s="4">
        <v>1</v>
      </c>
      <c r="AU76" s="107">
        <v>0</v>
      </c>
      <c r="AV76" s="4">
        <f>IF(K76=VLOOKUP(VALUE(K$1),Questions!$A:$E,5,FALSE),1,0)</f>
        <v>1</v>
      </c>
      <c r="AW76" s="4">
        <f>IF(L76=VLOOKUP(VALUE(L$1),Questions!$A:$E,5,FALSE),1,0)</f>
        <v>1</v>
      </c>
      <c r="AX76" s="4">
        <f>IF(M76=VLOOKUP(VALUE(M$1),Questions!$A:$E,5,FALSE),1,0)</f>
        <v>1</v>
      </c>
      <c r="AY76" s="4">
        <f>IF(N76=VLOOKUP(VALUE(N$1),Questions!$A:$E,5,FALSE),1,0)</f>
        <v>0</v>
      </c>
      <c r="AZ76" s="4">
        <f>IF(O76=VLOOKUP(VALUE(O$1),Questions!$A:$E,5,FALSE),1,0)</f>
        <v>1</v>
      </c>
      <c r="BA76" s="4">
        <f>IF(P76=VLOOKUP(VALUE(P$1),Questions!$A:$E,5,FALSE),1,0)</f>
        <v>1</v>
      </c>
      <c r="BB76" s="4">
        <f>IF(Q76=VLOOKUP(VALUE(Q$1),Questions!$A:$E,5,FALSE),1,0)</f>
        <v>1</v>
      </c>
      <c r="BC76" s="4">
        <f>IF(R76=VLOOKUP(VALUE(R$1),Questions!$A:$E,5,FALSE),1,0)</f>
        <v>1</v>
      </c>
      <c r="BD76" s="4">
        <f>IF(S76=VLOOKUP(VALUE(S$1),Questions!$A:$E,5,FALSE),1,0)</f>
        <v>1</v>
      </c>
      <c r="BE76" s="4">
        <f>IF(T76=VLOOKUP(VALUE(T$1),Questions!$A:$E,5,FALSE),1,0)</f>
        <v>1</v>
      </c>
      <c r="BF76" s="4">
        <f>IF(U76=VLOOKUP(VALUE(U$1),Questions!$A:$E,5,FALSE),1,0)</f>
        <v>1</v>
      </c>
      <c r="BG76" s="4">
        <f>IF(V76=VLOOKUP(VALUE(V$1),Questions!$A:$E,5,FALSE),1,0)</f>
        <v>0</v>
      </c>
      <c r="BH76" s="4">
        <f>IF(W76=VLOOKUP(VALUE(W$1),Questions!$A:$E,5,FALSE),1,0)</f>
        <v>0</v>
      </c>
      <c r="BI76" s="4">
        <f>IF(X76=VLOOKUP(VALUE(X$1),Questions!$A:$E,5,FALSE),1,0)</f>
        <v>0</v>
      </c>
      <c r="BJ76" s="4">
        <f>IF(Y76=VLOOKUP(VALUE(Y$1),Questions!$A:$E,5,FALSE),1,0)</f>
        <v>0</v>
      </c>
      <c r="BK76" s="4">
        <f>IF(Z76=VLOOKUP(VALUE(Z$1),Questions!$A:$E,5,FALSE),1,0)</f>
        <v>1</v>
      </c>
      <c r="BL76" s="4">
        <f>IF(AA76=VLOOKUP(VALUE(AA$1),Questions!$A:$E,5,FALSE),1,0)</f>
        <v>1</v>
      </c>
      <c r="BM76" s="4">
        <f>IF(AB76=VLOOKUP(VALUE(AB$1),Questions!$A:$E,5,FALSE),1,0)</f>
        <v>0</v>
      </c>
      <c r="BN76" s="4">
        <f>IF(AC76=VLOOKUP(VALUE(AC$1),Questions!$A:$E,5,FALSE),1,0)</f>
        <v>1</v>
      </c>
      <c r="BO76" s="4">
        <f>IF(AD76=VLOOKUP(VALUE(AD$1),Questions!$A:$E,5,FALSE),1,0)</f>
        <v>0</v>
      </c>
      <c r="BP76" s="4">
        <f>IF(AE76=VLOOKUP(VALUE(AE$1),Questions!$A:$E,5,FALSE),1,0)</f>
        <v>0</v>
      </c>
      <c r="BQ76" s="4">
        <f>IF(AF76=VLOOKUP(VALUE(AF$1),Questions!$A:$E,5,FALSE),1,0)</f>
        <v>1</v>
      </c>
      <c r="BR76" s="4">
        <f>IF(AG76=VLOOKUP(VALUE(AG$1),Questions!$A:$E,5,FALSE),1,0)</f>
        <v>0</v>
      </c>
      <c r="BS76" s="4">
        <f>IF(AH76=VLOOKUP(VALUE(AH$1),Questions!$A:$E,5,FALSE),1,0)</f>
        <v>0</v>
      </c>
      <c r="BT76" s="4">
        <f>IF(AI76=VLOOKUP(VALUE(AI$1),Questions!$A:$E,5,FALSE),1,0)</f>
        <v>0</v>
      </c>
      <c r="BU76" s="4">
        <f>IF(AJ76=VLOOKUP(VALUE(AJ$1),Questions!$A:$E,5,FALSE),1,0)</f>
        <v>1</v>
      </c>
      <c r="BV76" s="4">
        <f>IF(AK76=VLOOKUP(VALUE(AK$1),Questions!$A:$E,5,FALSE),1,0)</f>
        <v>1</v>
      </c>
      <c r="BW76" s="87">
        <f>IF(AL76=VLOOKUP(VALUE(AL$1),Questions!$A:$E,5,FALSE),1,0)</f>
        <v>1</v>
      </c>
      <c r="BX76" s="4">
        <f>IF(Scores[[#This Row],[Final]]&gt;=65,1,0)</f>
        <v>0</v>
      </c>
      <c r="BY76" s="4">
        <f>IF(Scores[[#This Row],[Final]]&gt;=IF(Scores[[#This Row],[IEP]],55,65),1,0)</f>
        <v>0</v>
      </c>
    </row>
    <row r="77" spans="1:77" x14ac:dyDescent="0.2">
      <c r="A77" s="6">
        <v>76</v>
      </c>
      <c r="B77" s="4">
        <v>11</v>
      </c>
      <c r="C77" s="4" t="s">
        <v>964</v>
      </c>
      <c r="D77" s="105" t="b">
        <v>0</v>
      </c>
      <c r="E77" s="105" t="b">
        <v>1</v>
      </c>
      <c r="F77" s="86">
        <f>SUM(Scores[[#This Row],[Q1]:[Q28]])</f>
        <v>17</v>
      </c>
      <c r="G77" s="4">
        <f>SUM(Scores[[#This Row],[29]]:Scores[[#This Row],[30]])</f>
        <v>3</v>
      </c>
      <c r="H77" s="4">
        <f>SUM(Scores[[#This Row],[31]:[36]])</f>
        <v>5</v>
      </c>
      <c r="I77" s="4">
        <f>Scores[[#This Row],[37]]</f>
        <v>3</v>
      </c>
      <c r="J77" s="87">
        <f>INDEX('Conversion Chart'!$C$3:$M$47,MATCH(SUM(Scores[[#This Row],[MC]:[IIIA]]),'Conversion Chart'!$B$3:$B$47),MATCH(Scores[[#This Row],[IIIB]],'Conversion Chart'!$C$2:$M$2))</f>
        <v>71</v>
      </c>
      <c r="K77" s="103">
        <v>4</v>
      </c>
      <c r="L77" s="103">
        <v>1</v>
      </c>
      <c r="M77" s="103">
        <v>3</v>
      </c>
      <c r="N77" s="103">
        <v>2</v>
      </c>
      <c r="O77" s="103">
        <v>1</v>
      </c>
      <c r="P77" s="103">
        <v>2</v>
      </c>
      <c r="Q77" s="103">
        <v>3</v>
      </c>
      <c r="R77" s="103">
        <v>2</v>
      </c>
      <c r="S77" s="103">
        <v>2</v>
      </c>
      <c r="T77" s="103">
        <v>1</v>
      </c>
      <c r="U77" s="103">
        <v>2</v>
      </c>
      <c r="V77" s="103">
        <v>4</v>
      </c>
      <c r="W77" s="103">
        <v>2</v>
      </c>
      <c r="X77" s="103">
        <v>1</v>
      </c>
      <c r="Y77" s="103">
        <v>3</v>
      </c>
      <c r="Z77" s="103">
        <v>4</v>
      </c>
      <c r="AA77" s="103">
        <v>1</v>
      </c>
      <c r="AB77" s="103">
        <v>3</v>
      </c>
      <c r="AC77" s="103">
        <v>3</v>
      </c>
      <c r="AD77" s="103">
        <v>1</v>
      </c>
      <c r="AE77" s="103">
        <v>3</v>
      </c>
      <c r="AF77" s="103">
        <v>2</v>
      </c>
      <c r="AG77" s="103">
        <v>3</v>
      </c>
      <c r="AH77" s="103">
        <v>3</v>
      </c>
      <c r="AI77" s="103">
        <v>3</v>
      </c>
      <c r="AJ77" s="103">
        <v>4</v>
      </c>
      <c r="AK77" s="103">
        <v>4</v>
      </c>
      <c r="AL77" s="104">
        <v>4</v>
      </c>
      <c r="AM77" s="4">
        <v>2</v>
      </c>
      <c r="AN77" s="87">
        <v>1</v>
      </c>
      <c r="AO77" s="4">
        <v>1</v>
      </c>
      <c r="AP77" s="4">
        <v>1</v>
      </c>
      <c r="AQ77" s="4">
        <v>1</v>
      </c>
      <c r="AR77" s="4">
        <v>1</v>
      </c>
      <c r="AS77" s="4">
        <v>1</v>
      </c>
      <c r="AT77" s="4">
        <v>0</v>
      </c>
      <c r="AU77" s="107">
        <v>3</v>
      </c>
      <c r="AV77" s="4">
        <f>IF(K77=VLOOKUP(VALUE(K$1),Questions!$A:$E,5,FALSE),1,0)</f>
        <v>1</v>
      </c>
      <c r="AW77" s="4">
        <f>IF(L77=VLOOKUP(VALUE(L$1),Questions!$A:$E,5,FALSE),1,0)</f>
        <v>0</v>
      </c>
      <c r="AX77" s="4">
        <f>IF(M77=VLOOKUP(VALUE(M$1),Questions!$A:$E,5,FALSE),1,0)</f>
        <v>1</v>
      </c>
      <c r="AY77" s="4">
        <f>IF(N77=VLOOKUP(VALUE(N$1),Questions!$A:$E,5,FALSE),1,0)</f>
        <v>0</v>
      </c>
      <c r="AZ77" s="4">
        <f>IF(O77=VLOOKUP(VALUE(O$1),Questions!$A:$E,5,FALSE),1,0)</f>
        <v>1</v>
      </c>
      <c r="BA77" s="4">
        <f>IF(P77=VLOOKUP(VALUE(P$1),Questions!$A:$E,5,FALSE),1,0)</f>
        <v>0</v>
      </c>
      <c r="BB77" s="4">
        <f>IF(Q77=VLOOKUP(VALUE(Q$1),Questions!$A:$E,5,FALSE),1,0)</f>
        <v>1</v>
      </c>
      <c r="BC77" s="4">
        <f>IF(R77=VLOOKUP(VALUE(R$1),Questions!$A:$E,5,FALSE),1,0)</f>
        <v>1</v>
      </c>
      <c r="BD77" s="4">
        <f>IF(S77=VLOOKUP(VALUE(S$1),Questions!$A:$E,5,FALSE),1,0)</f>
        <v>1</v>
      </c>
      <c r="BE77" s="4">
        <f>IF(T77=VLOOKUP(VALUE(T$1),Questions!$A:$E,5,FALSE),1,0)</f>
        <v>1</v>
      </c>
      <c r="BF77" s="4">
        <f>IF(U77=VLOOKUP(VALUE(U$1),Questions!$A:$E,5,FALSE),1,0)</f>
        <v>1</v>
      </c>
      <c r="BG77" s="4">
        <f>IF(V77=VLOOKUP(VALUE(V$1),Questions!$A:$E,5,FALSE),1,0)</f>
        <v>1</v>
      </c>
      <c r="BH77" s="4">
        <f>IF(W77=VLOOKUP(VALUE(W$1),Questions!$A:$E,5,FALSE),1,0)</f>
        <v>1</v>
      </c>
      <c r="BI77" s="4">
        <f>IF(X77=VLOOKUP(VALUE(X$1),Questions!$A:$E,5,FALSE),1,0)</f>
        <v>0</v>
      </c>
      <c r="BJ77" s="4">
        <f>IF(Y77=VLOOKUP(VALUE(Y$1),Questions!$A:$E,5,FALSE),1,0)</f>
        <v>1</v>
      </c>
      <c r="BK77" s="4">
        <f>IF(Z77=VLOOKUP(VALUE(Z$1),Questions!$A:$E,5,FALSE),1,0)</f>
        <v>0</v>
      </c>
      <c r="BL77" s="4">
        <f>IF(AA77=VLOOKUP(VALUE(AA$1),Questions!$A:$E,5,FALSE),1,0)</f>
        <v>1</v>
      </c>
      <c r="BM77" s="4">
        <f>IF(AB77=VLOOKUP(VALUE(AB$1),Questions!$A:$E,5,FALSE),1,0)</f>
        <v>0</v>
      </c>
      <c r="BN77" s="4">
        <f>IF(AC77=VLOOKUP(VALUE(AC$1),Questions!$A:$E,5,FALSE),1,0)</f>
        <v>1</v>
      </c>
      <c r="BO77" s="4">
        <f>IF(AD77=VLOOKUP(VALUE(AD$1),Questions!$A:$E,5,FALSE),1,0)</f>
        <v>0</v>
      </c>
      <c r="BP77" s="4">
        <f>IF(AE77=VLOOKUP(VALUE(AE$1),Questions!$A:$E,5,FALSE),1,0)</f>
        <v>0</v>
      </c>
      <c r="BQ77" s="4">
        <f>IF(AF77=VLOOKUP(VALUE(AF$1),Questions!$A:$E,5,FALSE),1,0)</f>
        <v>1</v>
      </c>
      <c r="BR77" s="4">
        <f>IF(AG77=VLOOKUP(VALUE(AG$1),Questions!$A:$E,5,FALSE),1,0)</f>
        <v>1</v>
      </c>
      <c r="BS77" s="4">
        <f>IF(AH77=VLOOKUP(VALUE(AH$1),Questions!$A:$E,5,FALSE),1,0)</f>
        <v>1</v>
      </c>
      <c r="BT77" s="4">
        <f>IF(AI77=VLOOKUP(VALUE(AI$1),Questions!$A:$E,5,FALSE),1,0)</f>
        <v>0</v>
      </c>
      <c r="BU77" s="4">
        <f>IF(AJ77=VLOOKUP(VALUE(AJ$1),Questions!$A:$E,5,FALSE),1,0)</f>
        <v>1</v>
      </c>
      <c r="BV77" s="4">
        <f>IF(AK77=VLOOKUP(VALUE(AK$1),Questions!$A:$E,5,FALSE),1,0)</f>
        <v>0</v>
      </c>
      <c r="BW77" s="87">
        <f>IF(AL77=VLOOKUP(VALUE(AL$1),Questions!$A:$E,5,FALSE),1,0)</f>
        <v>0</v>
      </c>
      <c r="BX77" s="4">
        <f>IF(Scores[[#This Row],[Final]]&gt;=65,1,0)</f>
        <v>1</v>
      </c>
      <c r="BY77" s="4">
        <f>IF(Scores[[#This Row],[Final]]&gt;=IF(Scores[[#This Row],[IEP]],55,65),1,0)</f>
        <v>1</v>
      </c>
    </row>
    <row r="78" spans="1:77" x14ac:dyDescent="0.2">
      <c r="A78" s="6">
        <v>77</v>
      </c>
      <c r="B78" s="4">
        <v>9</v>
      </c>
      <c r="C78" s="4" t="s">
        <v>963</v>
      </c>
      <c r="D78" s="105" t="b">
        <v>0</v>
      </c>
      <c r="E78" s="105" t="b">
        <v>0</v>
      </c>
      <c r="F78" s="86">
        <f>SUM(Scores[[#This Row],[Q1]:[Q28]])</f>
        <v>8</v>
      </c>
      <c r="G78" s="4">
        <f>SUM(Scores[[#This Row],[29]]:Scores[[#This Row],[30]])</f>
        <v>2</v>
      </c>
      <c r="H78" s="4">
        <f>SUM(Scores[[#This Row],[31]:[36]])</f>
        <v>6</v>
      </c>
      <c r="I78" s="4">
        <f>Scores[[#This Row],[37]]</f>
        <v>1</v>
      </c>
      <c r="J78" s="87">
        <f>INDEX('Conversion Chart'!$C$3:$M$47,MATCH(SUM(Scores[[#This Row],[MC]:[IIIA]]),'Conversion Chart'!$B$3:$B$47),MATCH(Scores[[#This Row],[IIIB]],'Conversion Chart'!$C$2:$M$2))</f>
        <v>50</v>
      </c>
      <c r="K78" s="103">
        <v>4</v>
      </c>
      <c r="L78" s="103">
        <v>3</v>
      </c>
      <c r="M78" s="103">
        <v>4</v>
      </c>
      <c r="N78" s="103">
        <v>1</v>
      </c>
      <c r="O78" s="103">
        <v>3</v>
      </c>
      <c r="P78" s="103">
        <v>3</v>
      </c>
      <c r="Q78" s="103">
        <v>1</v>
      </c>
      <c r="R78" s="103">
        <v>2</v>
      </c>
      <c r="S78" s="103">
        <v>3</v>
      </c>
      <c r="T78" s="103">
        <v>1</v>
      </c>
      <c r="U78" s="103">
        <v>1</v>
      </c>
      <c r="V78" s="103">
        <v>3</v>
      </c>
      <c r="W78" s="103">
        <v>2</v>
      </c>
      <c r="X78" s="103">
        <v>4</v>
      </c>
      <c r="Y78" s="103">
        <v>2</v>
      </c>
      <c r="Z78" s="103">
        <v>4</v>
      </c>
      <c r="AA78" s="103">
        <v>2</v>
      </c>
      <c r="AB78" s="103">
        <v>2</v>
      </c>
      <c r="AC78" s="103">
        <v>3</v>
      </c>
      <c r="AD78" s="103">
        <v>1</v>
      </c>
      <c r="AE78" s="103">
        <v>2</v>
      </c>
      <c r="AF78" s="103">
        <v>3</v>
      </c>
      <c r="AG78" s="103">
        <v>4</v>
      </c>
      <c r="AH78" s="103">
        <v>2</v>
      </c>
      <c r="AI78" s="103">
        <v>3</v>
      </c>
      <c r="AJ78" s="103">
        <v>2</v>
      </c>
      <c r="AK78" s="103">
        <v>1</v>
      </c>
      <c r="AL78" s="104">
        <v>2</v>
      </c>
      <c r="AM78" s="4">
        <v>1</v>
      </c>
      <c r="AN78" s="87">
        <v>1</v>
      </c>
      <c r="AO78" s="4">
        <v>1</v>
      </c>
      <c r="AP78" s="4">
        <v>1</v>
      </c>
      <c r="AQ78" s="4">
        <v>1</v>
      </c>
      <c r="AR78" s="4">
        <v>1</v>
      </c>
      <c r="AS78" s="4">
        <v>1</v>
      </c>
      <c r="AT78" s="4">
        <v>1</v>
      </c>
      <c r="AU78" s="107">
        <v>1</v>
      </c>
      <c r="AV78" s="4">
        <f>IF(K78=VLOOKUP(VALUE(K$1),Questions!$A:$E,5,FALSE),1,0)</f>
        <v>1</v>
      </c>
      <c r="AW78" s="4">
        <f>IF(L78=VLOOKUP(VALUE(L$1),Questions!$A:$E,5,FALSE),1,0)</f>
        <v>0</v>
      </c>
      <c r="AX78" s="4">
        <f>IF(M78=VLOOKUP(VALUE(M$1),Questions!$A:$E,5,FALSE),1,0)</f>
        <v>0</v>
      </c>
      <c r="AY78" s="4">
        <f>IF(N78=VLOOKUP(VALUE(N$1),Questions!$A:$E,5,FALSE),1,0)</f>
        <v>0</v>
      </c>
      <c r="AZ78" s="4">
        <f>IF(O78=VLOOKUP(VALUE(O$1),Questions!$A:$E,5,FALSE),1,0)</f>
        <v>0</v>
      </c>
      <c r="BA78" s="4">
        <f>IF(P78=VLOOKUP(VALUE(P$1),Questions!$A:$E,5,FALSE),1,0)</f>
        <v>0</v>
      </c>
      <c r="BB78" s="4">
        <f>IF(Q78=VLOOKUP(VALUE(Q$1),Questions!$A:$E,5,FALSE),1,0)</f>
        <v>0</v>
      </c>
      <c r="BC78" s="4">
        <f>IF(R78=VLOOKUP(VALUE(R$1),Questions!$A:$E,5,FALSE),1,0)</f>
        <v>1</v>
      </c>
      <c r="BD78" s="4">
        <f>IF(S78=VLOOKUP(VALUE(S$1),Questions!$A:$E,5,FALSE),1,0)</f>
        <v>0</v>
      </c>
      <c r="BE78" s="4">
        <f>IF(T78=VLOOKUP(VALUE(T$1),Questions!$A:$E,5,FALSE),1,0)</f>
        <v>1</v>
      </c>
      <c r="BF78" s="4">
        <f>IF(U78=VLOOKUP(VALUE(U$1),Questions!$A:$E,5,FALSE),1,0)</f>
        <v>0</v>
      </c>
      <c r="BG78" s="4">
        <f>IF(V78=VLOOKUP(VALUE(V$1),Questions!$A:$E,5,FALSE),1,0)</f>
        <v>0</v>
      </c>
      <c r="BH78" s="4">
        <f>IF(W78=VLOOKUP(VALUE(W$1),Questions!$A:$E,5,FALSE),1,0)</f>
        <v>1</v>
      </c>
      <c r="BI78" s="4">
        <f>IF(X78=VLOOKUP(VALUE(X$1),Questions!$A:$E,5,FALSE),1,0)</f>
        <v>1</v>
      </c>
      <c r="BJ78" s="4">
        <f>IF(Y78=VLOOKUP(VALUE(Y$1),Questions!$A:$E,5,FALSE),1,0)</f>
        <v>0</v>
      </c>
      <c r="BK78" s="4">
        <f>IF(Z78=VLOOKUP(VALUE(Z$1),Questions!$A:$E,5,FALSE),1,0)</f>
        <v>0</v>
      </c>
      <c r="BL78" s="4">
        <f>IF(AA78=VLOOKUP(VALUE(AA$1),Questions!$A:$E,5,FALSE),1,0)</f>
        <v>0</v>
      </c>
      <c r="BM78" s="4">
        <f>IF(AB78=VLOOKUP(VALUE(AB$1),Questions!$A:$E,5,FALSE),1,0)</f>
        <v>0</v>
      </c>
      <c r="BN78" s="4">
        <f>IF(AC78=VLOOKUP(VALUE(AC$1),Questions!$A:$E,5,FALSE),1,0)</f>
        <v>1</v>
      </c>
      <c r="BO78" s="4">
        <f>IF(AD78=VLOOKUP(VALUE(AD$1),Questions!$A:$E,5,FALSE),1,0)</f>
        <v>0</v>
      </c>
      <c r="BP78" s="4">
        <f>IF(AE78=VLOOKUP(VALUE(AE$1),Questions!$A:$E,5,FALSE),1,0)</f>
        <v>1</v>
      </c>
      <c r="BQ78" s="4">
        <f>IF(AF78=VLOOKUP(VALUE(AF$1),Questions!$A:$E,5,FALSE),1,0)</f>
        <v>0</v>
      </c>
      <c r="BR78" s="4">
        <f>IF(AG78=VLOOKUP(VALUE(AG$1),Questions!$A:$E,5,FALSE),1,0)</f>
        <v>0</v>
      </c>
      <c r="BS78" s="4">
        <f>IF(AH78=VLOOKUP(VALUE(AH$1),Questions!$A:$E,5,FALSE),1,0)</f>
        <v>0</v>
      </c>
      <c r="BT78" s="4">
        <f>IF(AI78=VLOOKUP(VALUE(AI$1),Questions!$A:$E,5,FALSE),1,0)</f>
        <v>0</v>
      </c>
      <c r="BU78" s="4">
        <f>IF(AJ78=VLOOKUP(VALUE(AJ$1),Questions!$A:$E,5,FALSE),1,0)</f>
        <v>0</v>
      </c>
      <c r="BV78" s="4">
        <f>IF(AK78=VLOOKUP(VALUE(AK$1),Questions!$A:$E,5,FALSE),1,0)</f>
        <v>1</v>
      </c>
      <c r="BW78" s="87">
        <f>IF(AL78=VLOOKUP(VALUE(AL$1),Questions!$A:$E,5,FALSE),1,0)</f>
        <v>0</v>
      </c>
      <c r="BX78" s="4">
        <f>IF(Scores[[#This Row],[Final]]&gt;=65,1,0)</f>
        <v>0</v>
      </c>
      <c r="BY78" s="4">
        <f>IF(Scores[[#This Row],[Final]]&gt;=IF(Scores[[#This Row],[IEP]],55,65),1,0)</f>
        <v>0</v>
      </c>
    </row>
    <row r="79" spans="1:77" x14ac:dyDescent="0.2">
      <c r="A79" s="6">
        <v>78</v>
      </c>
      <c r="B79" s="4">
        <v>9</v>
      </c>
      <c r="C79" s="4" t="s">
        <v>963</v>
      </c>
      <c r="D79" s="105" t="b">
        <v>0</v>
      </c>
      <c r="E79" s="105" t="b">
        <v>0</v>
      </c>
      <c r="F79" s="86">
        <f>SUM(Scores[[#This Row],[Q1]:[Q28]])</f>
        <v>19</v>
      </c>
      <c r="G79" s="4">
        <f>SUM(Scores[[#This Row],[29]]:Scores[[#This Row],[30]])</f>
        <v>2</v>
      </c>
      <c r="H79" s="4">
        <f>SUM(Scores[[#This Row],[31]:[36]])</f>
        <v>3</v>
      </c>
      <c r="I79" s="4">
        <f>Scores[[#This Row],[37]]</f>
        <v>2</v>
      </c>
      <c r="J79" s="87">
        <f>INDEX('Conversion Chart'!$C$3:$M$47,MATCH(SUM(Scores[[#This Row],[MC]:[IIIA]]),'Conversion Chart'!$B$3:$B$47),MATCH(Scores[[#This Row],[IIIB]],'Conversion Chart'!$C$2:$M$2))</f>
        <v>67</v>
      </c>
      <c r="K79" s="103">
        <v>4</v>
      </c>
      <c r="L79" s="103">
        <v>1</v>
      </c>
      <c r="M79" s="103">
        <v>3</v>
      </c>
      <c r="N79" s="103">
        <v>1</v>
      </c>
      <c r="O79" s="103">
        <v>1</v>
      </c>
      <c r="P79" s="103">
        <v>3</v>
      </c>
      <c r="Q79" s="103">
        <v>2</v>
      </c>
      <c r="R79" s="103">
        <v>2</v>
      </c>
      <c r="S79" s="103">
        <v>2</v>
      </c>
      <c r="T79" s="103">
        <v>1</v>
      </c>
      <c r="U79" s="103">
        <v>2</v>
      </c>
      <c r="V79" s="103">
        <v>4</v>
      </c>
      <c r="W79" s="103">
        <v>2</v>
      </c>
      <c r="X79" s="103">
        <v>3</v>
      </c>
      <c r="Y79" s="103">
        <v>3</v>
      </c>
      <c r="Z79" s="103">
        <v>1</v>
      </c>
      <c r="AA79" s="103">
        <v>1</v>
      </c>
      <c r="AB79" s="103">
        <v>4</v>
      </c>
      <c r="AC79" s="103">
        <v>3</v>
      </c>
      <c r="AD79" s="103">
        <v>4</v>
      </c>
      <c r="AE79" s="103">
        <v>4</v>
      </c>
      <c r="AF79" s="103">
        <v>1</v>
      </c>
      <c r="AG79" s="103">
        <v>3</v>
      </c>
      <c r="AH79" s="103">
        <v>3</v>
      </c>
      <c r="AI79" s="103">
        <v>2</v>
      </c>
      <c r="AJ79" s="103">
        <v>4</v>
      </c>
      <c r="AK79" s="103">
        <v>2</v>
      </c>
      <c r="AL79" s="104">
        <v>3</v>
      </c>
      <c r="AM79" s="4">
        <v>1</v>
      </c>
      <c r="AN79" s="87">
        <v>1</v>
      </c>
      <c r="AO79" s="4">
        <v>0</v>
      </c>
      <c r="AP79" s="4">
        <v>1</v>
      </c>
      <c r="AQ79" s="4">
        <v>1</v>
      </c>
      <c r="AR79" s="4">
        <v>0</v>
      </c>
      <c r="AS79" s="4">
        <v>1</v>
      </c>
      <c r="AT79" s="4">
        <v>0</v>
      </c>
      <c r="AU79" s="107">
        <v>2</v>
      </c>
      <c r="AV79" s="4">
        <f>IF(K79=VLOOKUP(VALUE(K$1),Questions!$A:$E,5,FALSE),1,0)</f>
        <v>1</v>
      </c>
      <c r="AW79" s="4">
        <f>IF(L79=VLOOKUP(VALUE(L$1),Questions!$A:$E,5,FALSE),1,0)</f>
        <v>0</v>
      </c>
      <c r="AX79" s="4">
        <f>IF(M79=VLOOKUP(VALUE(M$1),Questions!$A:$E,5,FALSE),1,0)</f>
        <v>1</v>
      </c>
      <c r="AY79" s="4">
        <f>IF(N79=VLOOKUP(VALUE(N$1),Questions!$A:$E,5,FALSE),1,0)</f>
        <v>0</v>
      </c>
      <c r="AZ79" s="4">
        <f>IF(O79=VLOOKUP(VALUE(O$1),Questions!$A:$E,5,FALSE),1,0)</f>
        <v>1</v>
      </c>
      <c r="BA79" s="4">
        <f>IF(P79=VLOOKUP(VALUE(P$1),Questions!$A:$E,5,FALSE),1,0)</f>
        <v>0</v>
      </c>
      <c r="BB79" s="4">
        <f>IF(Q79=VLOOKUP(VALUE(Q$1),Questions!$A:$E,5,FALSE),1,0)</f>
        <v>0</v>
      </c>
      <c r="BC79" s="4">
        <f>IF(R79=VLOOKUP(VALUE(R$1),Questions!$A:$E,5,FALSE),1,0)</f>
        <v>1</v>
      </c>
      <c r="BD79" s="4">
        <f>IF(S79=VLOOKUP(VALUE(S$1),Questions!$A:$E,5,FALSE),1,0)</f>
        <v>1</v>
      </c>
      <c r="BE79" s="4">
        <f>IF(T79=VLOOKUP(VALUE(T$1),Questions!$A:$E,5,FALSE),1,0)</f>
        <v>1</v>
      </c>
      <c r="BF79" s="4">
        <f>IF(U79=VLOOKUP(VALUE(U$1),Questions!$A:$E,5,FALSE),1,0)</f>
        <v>1</v>
      </c>
      <c r="BG79" s="4">
        <f>IF(V79=VLOOKUP(VALUE(V$1),Questions!$A:$E,5,FALSE),1,0)</f>
        <v>1</v>
      </c>
      <c r="BH79" s="4">
        <f>IF(W79=VLOOKUP(VALUE(W$1),Questions!$A:$E,5,FALSE),1,0)</f>
        <v>1</v>
      </c>
      <c r="BI79" s="4">
        <f>IF(X79=VLOOKUP(VALUE(X$1),Questions!$A:$E,5,FALSE),1,0)</f>
        <v>0</v>
      </c>
      <c r="BJ79" s="4">
        <f>IF(Y79=VLOOKUP(VALUE(Y$1),Questions!$A:$E,5,FALSE),1,0)</f>
        <v>1</v>
      </c>
      <c r="BK79" s="4">
        <f>IF(Z79=VLOOKUP(VALUE(Z$1),Questions!$A:$E,5,FALSE),1,0)</f>
        <v>1</v>
      </c>
      <c r="BL79" s="4">
        <f>IF(AA79=VLOOKUP(VALUE(AA$1),Questions!$A:$E,5,FALSE),1,0)</f>
        <v>1</v>
      </c>
      <c r="BM79" s="4">
        <f>IF(AB79=VLOOKUP(VALUE(AB$1),Questions!$A:$E,5,FALSE),1,0)</f>
        <v>1</v>
      </c>
      <c r="BN79" s="4">
        <f>IF(AC79=VLOOKUP(VALUE(AC$1),Questions!$A:$E,5,FALSE),1,0)</f>
        <v>1</v>
      </c>
      <c r="BO79" s="4">
        <f>IF(AD79=VLOOKUP(VALUE(AD$1),Questions!$A:$E,5,FALSE),1,0)</f>
        <v>1</v>
      </c>
      <c r="BP79" s="4">
        <f>IF(AE79=VLOOKUP(VALUE(AE$1),Questions!$A:$E,5,FALSE),1,0)</f>
        <v>0</v>
      </c>
      <c r="BQ79" s="4">
        <f>IF(AF79=VLOOKUP(VALUE(AF$1),Questions!$A:$E,5,FALSE),1,0)</f>
        <v>0</v>
      </c>
      <c r="BR79" s="4">
        <f>IF(AG79=VLOOKUP(VALUE(AG$1),Questions!$A:$E,5,FALSE),1,0)</f>
        <v>1</v>
      </c>
      <c r="BS79" s="4">
        <f>IF(AH79=VLOOKUP(VALUE(AH$1),Questions!$A:$E,5,FALSE),1,0)</f>
        <v>1</v>
      </c>
      <c r="BT79" s="4">
        <f>IF(AI79=VLOOKUP(VALUE(AI$1),Questions!$A:$E,5,FALSE),1,0)</f>
        <v>0</v>
      </c>
      <c r="BU79" s="4">
        <f>IF(AJ79=VLOOKUP(VALUE(AJ$1),Questions!$A:$E,5,FALSE),1,0)</f>
        <v>1</v>
      </c>
      <c r="BV79" s="4">
        <f>IF(AK79=VLOOKUP(VALUE(AK$1),Questions!$A:$E,5,FALSE),1,0)</f>
        <v>0</v>
      </c>
      <c r="BW79" s="87">
        <f>IF(AL79=VLOOKUP(VALUE(AL$1),Questions!$A:$E,5,FALSE),1,0)</f>
        <v>1</v>
      </c>
      <c r="BX79" s="4">
        <f>IF(Scores[[#This Row],[Final]]&gt;=65,1,0)</f>
        <v>1</v>
      </c>
      <c r="BY79" s="4">
        <f>IF(Scores[[#This Row],[Final]]&gt;=IF(Scores[[#This Row],[IEP]],55,65),1,0)</f>
        <v>1</v>
      </c>
    </row>
    <row r="80" spans="1:77" x14ac:dyDescent="0.2">
      <c r="A80" s="6">
        <v>79</v>
      </c>
      <c r="B80" s="4">
        <v>9</v>
      </c>
      <c r="C80" s="4" t="s">
        <v>963</v>
      </c>
      <c r="D80" s="105" t="b">
        <v>0</v>
      </c>
      <c r="E80" s="105" t="b">
        <v>0</v>
      </c>
      <c r="F80" s="86">
        <f>SUM(Scores[[#This Row],[Q1]:[Q28]])</f>
        <v>24</v>
      </c>
      <c r="G80" s="4">
        <f>SUM(Scores[[#This Row],[29]]:Scores[[#This Row],[30]])</f>
        <v>3</v>
      </c>
      <c r="H80" s="4">
        <f>SUM(Scores[[#This Row],[31]:[36]])</f>
        <v>5</v>
      </c>
      <c r="I80" s="4">
        <f>Scores[[#This Row],[37]]</f>
        <v>3</v>
      </c>
      <c r="J80" s="87">
        <f>INDEX('Conversion Chart'!$C$3:$M$47,MATCH(SUM(Scores[[#This Row],[MC]:[IIIA]]),'Conversion Chart'!$B$3:$B$47),MATCH(Scores[[#This Row],[IIIB]],'Conversion Chart'!$C$2:$M$2))</f>
        <v>78</v>
      </c>
      <c r="K80" s="103">
        <v>4</v>
      </c>
      <c r="L80" s="103">
        <v>2</v>
      </c>
      <c r="M80" s="103">
        <v>3</v>
      </c>
      <c r="N80" s="103">
        <v>3</v>
      </c>
      <c r="O80" s="103">
        <v>1</v>
      </c>
      <c r="P80" s="103">
        <v>2</v>
      </c>
      <c r="Q80" s="103">
        <v>3</v>
      </c>
      <c r="R80" s="103">
        <v>2</v>
      </c>
      <c r="S80" s="103">
        <v>2</v>
      </c>
      <c r="T80" s="103">
        <v>1</v>
      </c>
      <c r="U80" s="103">
        <v>2</v>
      </c>
      <c r="V80" s="103">
        <v>4</v>
      </c>
      <c r="W80" s="103">
        <v>2</v>
      </c>
      <c r="X80" s="103">
        <v>4</v>
      </c>
      <c r="Y80" s="103">
        <v>3</v>
      </c>
      <c r="Z80" s="103">
        <v>1</v>
      </c>
      <c r="AA80" s="103">
        <v>1</v>
      </c>
      <c r="AB80" s="103">
        <v>3</v>
      </c>
      <c r="AC80" s="103">
        <v>3</v>
      </c>
      <c r="AD80" s="103">
        <v>4</v>
      </c>
      <c r="AE80" s="103">
        <v>2</v>
      </c>
      <c r="AF80" s="103">
        <v>2</v>
      </c>
      <c r="AG80" s="103">
        <v>3</v>
      </c>
      <c r="AH80" s="103">
        <v>2</v>
      </c>
      <c r="AI80" s="103">
        <v>1</v>
      </c>
      <c r="AJ80" s="103">
        <v>4</v>
      </c>
      <c r="AK80" s="103">
        <v>4</v>
      </c>
      <c r="AL80" s="104">
        <v>3</v>
      </c>
      <c r="AM80" s="4">
        <v>2</v>
      </c>
      <c r="AN80" s="87">
        <v>1</v>
      </c>
      <c r="AO80" s="4">
        <v>1</v>
      </c>
      <c r="AP80" s="4">
        <v>1</v>
      </c>
      <c r="AQ80" s="4">
        <v>1</v>
      </c>
      <c r="AR80" s="4">
        <v>1</v>
      </c>
      <c r="AS80" s="4">
        <v>1</v>
      </c>
      <c r="AT80" s="4">
        <v>0</v>
      </c>
      <c r="AU80" s="107">
        <v>3</v>
      </c>
      <c r="AV80" s="4">
        <f>IF(K80=VLOOKUP(VALUE(K$1),Questions!$A:$E,5,FALSE),1,0)</f>
        <v>1</v>
      </c>
      <c r="AW80" s="4">
        <f>IF(L80=VLOOKUP(VALUE(L$1),Questions!$A:$E,5,FALSE),1,0)</f>
        <v>1</v>
      </c>
      <c r="AX80" s="4">
        <f>IF(M80=VLOOKUP(VALUE(M$1),Questions!$A:$E,5,FALSE),1,0)</f>
        <v>1</v>
      </c>
      <c r="AY80" s="4">
        <f>IF(N80=VLOOKUP(VALUE(N$1),Questions!$A:$E,5,FALSE),1,0)</f>
        <v>1</v>
      </c>
      <c r="AZ80" s="4">
        <f>IF(O80=VLOOKUP(VALUE(O$1),Questions!$A:$E,5,FALSE),1,0)</f>
        <v>1</v>
      </c>
      <c r="BA80" s="4">
        <f>IF(P80=VLOOKUP(VALUE(P$1),Questions!$A:$E,5,FALSE),1,0)</f>
        <v>0</v>
      </c>
      <c r="BB80" s="4">
        <f>IF(Q80=VLOOKUP(VALUE(Q$1),Questions!$A:$E,5,FALSE),1,0)</f>
        <v>1</v>
      </c>
      <c r="BC80" s="4">
        <f>IF(R80=VLOOKUP(VALUE(R$1),Questions!$A:$E,5,FALSE),1,0)</f>
        <v>1</v>
      </c>
      <c r="BD80" s="4">
        <f>IF(S80=VLOOKUP(VALUE(S$1),Questions!$A:$E,5,FALSE),1,0)</f>
        <v>1</v>
      </c>
      <c r="BE80" s="4">
        <f>IF(T80=VLOOKUP(VALUE(T$1),Questions!$A:$E,5,FALSE),1,0)</f>
        <v>1</v>
      </c>
      <c r="BF80" s="4">
        <f>IF(U80=VLOOKUP(VALUE(U$1),Questions!$A:$E,5,FALSE),1,0)</f>
        <v>1</v>
      </c>
      <c r="BG80" s="4">
        <f>IF(V80=VLOOKUP(VALUE(V$1),Questions!$A:$E,5,FALSE),1,0)</f>
        <v>1</v>
      </c>
      <c r="BH80" s="4">
        <f>IF(W80=VLOOKUP(VALUE(W$1),Questions!$A:$E,5,FALSE),1,0)</f>
        <v>1</v>
      </c>
      <c r="BI80" s="4">
        <f>IF(X80=VLOOKUP(VALUE(X$1),Questions!$A:$E,5,FALSE),1,0)</f>
        <v>1</v>
      </c>
      <c r="BJ80" s="4">
        <f>IF(Y80=VLOOKUP(VALUE(Y$1),Questions!$A:$E,5,FALSE),1,0)</f>
        <v>1</v>
      </c>
      <c r="BK80" s="4">
        <f>IF(Z80=VLOOKUP(VALUE(Z$1),Questions!$A:$E,5,FALSE),1,0)</f>
        <v>1</v>
      </c>
      <c r="BL80" s="4">
        <f>IF(AA80=VLOOKUP(VALUE(AA$1),Questions!$A:$E,5,FALSE),1,0)</f>
        <v>1</v>
      </c>
      <c r="BM80" s="4">
        <f>IF(AB80=VLOOKUP(VALUE(AB$1),Questions!$A:$E,5,FALSE),1,0)</f>
        <v>0</v>
      </c>
      <c r="BN80" s="4">
        <f>IF(AC80=VLOOKUP(VALUE(AC$1),Questions!$A:$E,5,FALSE),1,0)</f>
        <v>1</v>
      </c>
      <c r="BO80" s="4">
        <f>IF(AD80=VLOOKUP(VALUE(AD$1),Questions!$A:$E,5,FALSE),1,0)</f>
        <v>1</v>
      </c>
      <c r="BP80" s="4">
        <f>IF(AE80=VLOOKUP(VALUE(AE$1),Questions!$A:$E,5,FALSE),1,0)</f>
        <v>1</v>
      </c>
      <c r="BQ80" s="4">
        <f>IF(AF80=VLOOKUP(VALUE(AF$1),Questions!$A:$E,5,FALSE),1,0)</f>
        <v>1</v>
      </c>
      <c r="BR80" s="4">
        <f>IF(AG80=VLOOKUP(VALUE(AG$1),Questions!$A:$E,5,FALSE),1,0)</f>
        <v>1</v>
      </c>
      <c r="BS80" s="4">
        <f>IF(AH80=VLOOKUP(VALUE(AH$1),Questions!$A:$E,5,FALSE),1,0)</f>
        <v>0</v>
      </c>
      <c r="BT80" s="4">
        <f>IF(AI80=VLOOKUP(VALUE(AI$1),Questions!$A:$E,5,FALSE),1,0)</f>
        <v>1</v>
      </c>
      <c r="BU80" s="4">
        <f>IF(AJ80=VLOOKUP(VALUE(AJ$1),Questions!$A:$E,5,FALSE),1,0)</f>
        <v>1</v>
      </c>
      <c r="BV80" s="4">
        <f>IF(AK80=VLOOKUP(VALUE(AK$1),Questions!$A:$E,5,FALSE),1,0)</f>
        <v>0</v>
      </c>
      <c r="BW80" s="87">
        <f>IF(AL80=VLOOKUP(VALUE(AL$1),Questions!$A:$E,5,FALSE),1,0)</f>
        <v>1</v>
      </c>
      <c r="BX80" s="4">
        <f>IF(Scores[[#This Row],[Final]]&gt;=65,1,0)</f>
        <v>1</v>
      </c>
      <c r="BY80" s="4">
        <f>IF(Scores[[#This Row],[Final]]&gt;=IF(Scores[[#This Row],[IEP]],55,65),1,0)</f>
        <v>1</v>
      </c>
    </row>
    <row r="81" spans="1:77" x14ac:dyDescent="0.2">
      <c r="A81" s="6">
        <v>80</v>
      </c>
      <c r="B81" s="4">
        <v>11</v>
      </c>
      <c r="C81" s="4" t="s">
        <v>968</v>
      </c>
      <c r="D81" s="105" t="b">
        <v>0</v>
      </c>
      <c r="E81" s="105" t="b">
        <v>0</v>
      </c>
      <c r="F81" s="86">
        <f>SUM(Scores[[#This Row],[Q1]:[Q28]])</f>
        <v>19</v>
      </c>
      <c r="G81" s="4">
        <f>SUM(Scores[[#This Row],[29]]:Scores[[#This Row],[30]])</f>
        <v>4</v>
      </c>
      <c r="H81" s="4">
        <f>SUM(Scores[[#This Row],[31]:[36]])</f>
        <v>6</v>
      </c>
      <c r="I81" s="4">
        <f>Scores[[#This Row],[37]]</f>
        <v>2</v>
      </c>
      <c r="J81" s="87">
        <f>INDEX('Conversion Chart'!$C$3:$M$47,MATCH(SUM(Scores[[#This Row],[MC]:[IIIA]]),'Conversion Chart'!$B$3:$B$47),MATCH(Scores[[#This Row],[IIIB]],'Conversion Chart'!$C$2:$M$2))</f>
        <v>72</v>
      </c>
      <c r="K81" s="103">
        <v>4</v>
      </c>
      <c r="L81" s="103">
        <v>2</v>
      </c>
      <c r="M81" s="103">
        <v>2</v>
      </c>
      <c r="N81" s="103">
        <v>1</v>
      </c>
      <c r="O81" s="103">
        <v>1</v>
      </c>
      <c r="P81" s="103">
        <v>4</v>
      </c>
      <c r="Q81" s="103">
        <v>3</v>
      </c>
      <c r="R81" s="103">
        <v>2</v>
      </c>
      <c r="S81" s="103">
        <v>2</v>
      </c>
      <c r="T81" s="103">
        <v>2</v>
      </c>
      <c r="U81" s="103">
        <v>2</v>
      </c>
      <c r="V81" s="103">
        <v>3</v>
      </c>
      <c r="W81" s="103">
        <v>2</v>
      </c>
      <c r="X81" s="103">
        <v>4</v>
      </c>
      <c r="Y81" s="103">
        <v>4</v>
      </c>
      <c r="Z81" s="103">
        <v>4</v>
      </c>
      <c r="AA81" s="103">
        <v>1</v>
      </c>
      <c r="AB81" s="103">
        <v>4</v>
      </c>
      <c r="AC81" s="103">
        <v>3</v>
      </c>
      <c r="AD81" s="103">
        <v>2</v>
      </c>
      <c r="AE81" s="103">
        <v>2</v>
      </c>
      <c r="AF81" s="103">
        <v>2</v>
      </c>
      <c r="AG81" s="103">
        <v>3</v>
      </c>
      <c r="AH81" s="103">
        <v>2</v>
      </c>
      <c r="AI81" s="103">
        <v>3</v>
      </c>
      <c r="AJ81" s="103">
        <v>4</v>
      </c>
      <c r="AK81" s="103">
        <v>1</v>
      </c>
      <c r="AL81" s="104">
        <v>3</v>
      </c>
      <c r="AM81" s="4">
        <v>2</v>
      </c>
      <c r="AN81" s="87">
        <v>2</v>
      </c>
      <c r="AO81" s="4">
        <v>1</v>
      </c>
      <c r="AP81" s="4">
        <v>1</v>
      </c>
      <c r="AQ81" s="4">
        <v>1</v>
      </c>
      <c r="AR81" s="4">
        <v>1</v>
      </c>
      <c r="AS81" s="4">
        <v>1</v>
      </c>
      <c r="AT81" s="4">
        <v>1</v>
      </c>
      <c r="AU81" s="107">
        <v>2</v>
      </c>
      <c r="AV81" s="4">
        <f>IF(K81=VLOOKUP(VALUE(K$1),Questions!$A:$E,5,FALSE),1,0)</f>
        <v>1</v>
      </c>
      <c r="AW81" s="4">
        <f>IF(L81=VLOOKUP(VALUE(L$1),Questions!$A:$E,5,FALSE),1,0)</f>
        <v>1</v>
      </c>
      <c r="AX81" s="4">
        <f>IF(M81=VLOOKUP(VALUE(M$1),Questions!$A:$E,5,FALSE),1,0)</f>
        <v>0</v>
      </c>
      <c r="AY81" s="4">
        <f>IF(N81=VLOOKUP(VALUE(N$1),Questions!$A:$E,5,FALSE),1,0)</f>
        <v>0</v>
      </c>
      <c r="AZ81" s="4">
        <f>IF(O81=VLOOKUP(VALUE(O$1),Questions!$A:$E,5,FALSE),1,0)</f>
        <v>1</v>
      </c>
      <c r="BA81" s="4">
        <f>IF(P81=VLOOKUP(VALUE(P$1),Questions!$A:$E,5,FALSE),1,0)</f>
        <v>1</v>
      </c>
      <c r="BB81" s="4">
        <f>IF(Q81=VLOOKUP(VALUE(Q$1),Questions!$A:$E,5,FALSE),1,0)</f>
        <v>1</v>
      </c>
      <c r="BC81" s="4">
        <f>IF(R81=VLOOKUP(VALUE(R$1),Questions!$A:$E,5,FALSE),1,0)</f>
        <v>1</v>
      </c>
      <c r="BD81" s="4">
        <f>IF(S81=VLOOKUP(VALUE(S$1),Questions!$A:$E,5,FALSE),1,0)</f>
        <v>1</v>
      </c>
      <c r="BE81" s="4">
        <f>IF(T81=VLOOKUP(VALUE(T$1),Questions!$A:$E,5,FALSE),1,0)</f>
        <v>0</v>
      </c>
      <c r="BF81" s="4">
        <f>IF(U81=VLOOKUP(VALUE(U$1),Questions!$A:$E,5,FALSE),1,0)</f>
        <v>1</v>
      </c>
      <c r="BG81" s="4">
        <f>IF(V81=VLOOKUP(VALUE(V$1),Questions!$A:$E,5,FALSE),1,0)</f>
        <v>0</v>
      </c>
      <c r="BH81" s="4">
        <f>IF(W81=VLOOKUP(VALUE(W$1),Questions!$A:$E,5,FALSE),1,0)</f>
        <v>1</v>
      </c>
      <c r="BI81" s="4">
        <f>IF(X81=VLOOKUP(VALUE(X$1),Questions!$A:$E,5,FALSE),1,0)</f>
        <v>1</v>
      </c>
      <c r="BJ81" s="4">
        <f>IF(Y81=VLOOKUP(VALUE(Y$1),Questions!$A:$E,5,FALSE),1,0)</f>
        <v>0</v>
      </c>
      <c r="BK81" s="4">
        <f>IF(Z81=VLOOKUP(VALUE(Z$1),Questions!$A:$E,5,FALSE),1,0)</f>
        <v>0</v>
      </c>
      <c r="BL81" s="4">
        <f>IF(AA81=VLOOKUP(VALUE(AA$1),Questions!$A:$E,5,FALSE),1,0)</f>
        <v>1</v>
      </c>
      <c r="BM81" s="4">
        <f>IF(AB81=VLOOKUP(VALUE(AB$1),Questions!$A:$E,5,FALSE),1,0)</f>
        <v>1</v>
      </c>
      <c r="BN81" s="4">
        <f>IF(AC81=VLOOKUP(VALUE(AC$1),Questions!$A:$E,5,FALSE),1,0)</f>
        <v>1</v>
      </c>
      <c r="BO81" s="4">
        <f>IF(AD81=VLOOKUP(VALUE(AD$1),Questions!$A:$E,5,FALSE),1,0)</f>
        <v>0</v>
      </c>
      <c r="BP81" s="4">
        <f>IF(AE81=VLOOKUP(VALUE(AE$1),Questions!$A:$E,5,FALSE),1,0)</f>
        <v>1</v>
      </c>
      <c r="BQ81" s="4">
        <f>IF(AF81=VLOOKUP(VALUE(AF$1),Questions!$A:$E,5,FALSE),1,0)</f>
        <v>1</v>
      </c>
      <c r="BR81" s="4">
        <f>IF(AG81=VLOOKUP(VALUE(AG$1),Questions!$A:$E,5,FALSE),1,0)</f>
        <v>1</v>
      </c>
      <c r="BS81" s="4">
        <f>IF(AH81=VLOOKUP(VALUE(AH$1),Questions!$A:$E,5,FALSE),1,0)</f>
        <v>0</v>
      </c>
      <c r="BT81" s="4">
        <f>IF(AI81=VLOOKUP(VALUE(AI$1),Questions!$A:$E,5,FALSE),1,0)</f>
        <v>0</v>
      </c>
      <c r="BU81" s="4">
        <f>IF(AJ81=VLOOKUP(VALUE(AJ$1),Questions!$A:$E,5,FALSE),1,0)</f>
        <v>1</v>
      </c>
      <c r="BV81" s="4">
        <f>IF(AK81=VLOOKUP(VALUE(AK$1),Questions!$A:$E,5,FALSE),1,0)</f>
        <v>1</v>
      </c>
      <c r="BW81" s="87">
        <f>IF(AL81=VLOOKUP(VALUE(AL$1),Questions!$A:$E,5,FALSE),1,0)</f>
        <v>1</v>
      </c>
      <c r="BX81" s="4">
        <f>IF(Scores[[#This Row],[Final]]&gt;=65,1,0)</f>
        <v>1</v>
      </c>
      <c r="BY81" s="4">
        <f>IF(Scores[[#This Row],[Final]]&gt;=IF(Scores[[#This Row],[IEP]],55,65),1,0)</f>
        <v>1</v>
      </c>
    </row>
    <row r="82" spans="1:77" x14ac:dyDescent="0.2">
      <c r="A82" s="6">
        <v>81</v>
      </c>
      <c r="B82" s="4">
        <v>9</v>
      </c>
      <c r="C82" s="4" t="s">
        <v>964</v>
      </c>
      <c r="D82" s="105" t="b">
        <v>0</v>
      </c>
      <c r="E82" s="105" t="b">
        <v>0</v>
      </c>
      <c r="F82" s="86">
        <f>SUM(Scores[[#This Row],[Q1]:[Q28]])</f>
        <v>8</v>
      </c>
      <c r="G82" s="4">
        <f>SUM(Scores[[#This Row],[29]]:Scores[[#This Row],[30]])</f>
        <v>2</v>
      </c>
      <c r="H82" s="4">
        <f>SUM(Scores[[#This Row],[31]:[36]])</f>
        <v>6</v>
      </c>
      <c r="I82" s="4">
        <f>Scores[[#This Row],[37]]</f>
        <v>2</v>
      </c>
      <c r="J82" s="87">
        <f>INDEX('Conversion Chart'!$C$3:$M$47,MATCH(SUM(Scores[[#This Row],[MC]:[IIIA]]),'Conversion Chart'!$B$3:$B$47),MATCH(Scores[[#This Row],[IIIB]],'Conversion Chart'!$C$2:$M$2))</f>
        <v>55</v>
      </c>
      <c r="K82" s="103">
        <v>4</v>
      </c>
      <c r="L82" s="103">
        <v>3</v>
      </c>
      <c r="M82" s="103">
        <v>3</v>
      </c>
      <c r="N82" s="103">
        <v>1</v>
      </c>
      <c r="O82" s="103">
        <v>1</v>
      </c>
      <c r="P82" s="103">
        <v>1</v>
      </c>
      <c r="Q82" s="103">
        <v>1</v>
      </c>
      <c r="R82" s="103">
        <v>3</v>
      </c>
      <c r="S82" s="103">
        <v>2</v>
      </c>
      <c r="T82" s="103">
        <v>1</v>
      </c>
      <c r="U82" s="103">
        <v>3</v>
      </c>
      <c r="V82" s="103">
        <v>3</v>
      </c>
      <c r="W82" s="103">
        <v>3</v>
      </c>
      <c r="X82" s="103">
        <v>1</v>
      </c>
      <c r="Y82" s="103">
        <v>2</v>
      </c>
      <c r="Z82" s="103">
        <v>4</v>
      </c>
      <c r="AA82" s="103">
        <v>3</v>
      </c>
      <c r="AB82" s="103">
        <v>3</v>
      </c>
      <c r="AC82" s="103">
        <v>1</v>
      </c>
      <c r="AD82" s="103">
        <v>2</v>
      </c>
      <c r="AE82" s="103">
        <v>1</v>
      </c>
      <c r="AF82" s="103">
        <v>2</v>
      </c>
      <c r="AG82" s="103">
        <v>1</v>
      </c>
      <c r="AH82" s="103">
        <v>2</v>
      </c>
      <c r="AI82" s="103">
        <v>1</v>
      </c>
      <c r="AJ82" s="103">
        <v>4</v>
      </c>
      <c r="AK82" s="103">
        <v>2</v>
      </c>
      <c r="AL82" s="104">
        <v>4</v>
      </c>
      <c r="AM82" s="4">
        <v>1</v>
      </c>
      <c r="AN82" s="87">
        <v>1</v>
      </c>
      <c r="AO82" s="4">
        <v>1</v>
      </c>
      <c r="AP82" s="4">
        <v>1</v>
      </c>
      <c r="AQ82" s="4">
        <v>1</v>
      </c>
      <c r="AR82" s="4">
        <v>1</v>
      </c>
      <c r="AS82" s="4">
        <v>1</v>
      </c>
      <c r="AT82" s="4">
        <v>1</v>
      </c>
      <c r="AU82" s="107">
        <v>2</v>
      </c>
      <c r="AV82" s="4">
        <f>IF(K82=VLOOKUP(VALUE(K$1),Questions!$A:$E,5,FALSE),1,0)</f>
        <v>1</v>
      </c>
      <c r="AW82" s="4">
        <f>IF(L82=VLOOKUP(VALUE(L$1),Questions!$A:$E,5,FALSE),1,0)</f>
        <v>0</v>
      </c>
      <c r="AX82" s="4">
        <f>IF(M82=VLOOKUP(VALUE(M$1),Questions!$A:$E,5,FALSE),1,0)</f>
        <v>1</v>
      </c>
      <c r="AY82" s="4">
        <f>IF(N82=VLOOKUP(VALUE(N$1),Questions!$A:$E,5,FALSE),1,0)</f>
        <v>0</v>
      </c>
      <c r="AZ82" s="4">
        <f>IF(O82=VLOOKUP(VALUE(O$1),Questions!$A:$E,5,FALSE),1,0)</f>
        <v>1</v>
      </c>
      <c r="BA82" s="4">
        <f>IF(P82=VLOOKUP(VALUE(P$1),Questions!$A:$E,5,FALSE),1,0)</f>
        <v>0</v>
      </c>
      <c r="BB82" s="4">
        <f>IF(Q82=VLOOKUP(VALUE(Q$1),Questions!$A:$E,5,FALSE),1,0)</f>
        <v>0</v>
      </c>
      <c r="BC82" s="4">
        <f>IF(R82=VLOOKUP(VALUE(R$1),Questions!$A:$E,5,FALSE),1,0)</f>
        <v>0</v>
      </c>
      <c r="BD82" s="4">
        <f>IF(S82=VLOOKUP(VALUE(S$1),Questions!$A:$E,5,FALSE),1,0)</f>
        <v>1</v>
      </c>
      <c r="BE82" s="4">
        <f>IF(T82=VLOOKUP(VALUE(T$1),Questions!$A:$E,5,FALSE),1,0)</f>
        <v>1</v>
      </c>
      <c r="BF82" s="4">
        <f>IF(U82=VLOOKUP(VALUE(U$1),Questions!$A:$E,5,FALSE),1,0)</f>
        <v>0</v>
      </c>
      <c r="BG82" s="4">
        <f>IF(V82=VLOOKUP(VALUE(V$1),Questions!$A:$E,5,FALSE),1,0)</f>
        <v>0</v>
      </c>
      <c r="BH82" s="4">
        <f>IF(W82=VLOOKUP(VALUE(W$1),Questions!$A:$E,5,FALSE),1,0)</f>
        <v>0</v>
      </c>
      <c r="BI82" s="4">
        <f>IF(X82=VLOOKUP(VALUE(X$1),Questions!$A:$E,5,FALSE),1,0)</f>
        <v>0</v>
      </c>
      <c r="BJ82" s="4">
        <f>IF(Y82=VLOOKUP(VALUE(Y$1),Questions!$A:$E,5,FALSE),1,0)</f>
        <v>0</v>
      </c>
      <c r="BK82" s="4">
        <f>IF(Z82=VLOOKUP(VALUE(Z$1),Questions!$A:$E,5,FALSE),1,0)</f>
        <v>0</v>
      </c>
      <c r="BL82" s="4">
        <f>IF(AA82=VLOOKUP(VALUE(AA$1),Questions!$A:$E,5,FALSE),1,0)</f>
        <v>0</v>
      </c>
      <c r="BM82" s="4">
        <f>IF(AB82=VLOOKUP(VALUE(AB$1),Questions!$A:$E,5,FALSE),1,0)</f>
        <v>0</v>
      </c>
      <c r="BN82" s="4">
        <f>IF(AC82=VLOOKUP(VALUE(AC$1),Questions!$A:$E,5,FALSE),1,0)</f>
        <v>0</v>
      </c>
      <c r="BO82" s="4">
        <f>IF(AD82=VLOOKUP(VALUE(AD$1),Questions!$A:$E,5,FALSE),1,0)</f>
        <v>0</v>
      </c>
      <c r="BP82" s="4">
        <f>IF(AE82=VLOOKUP(VALUE(AE$1),Questions!$A:$E,5,FALSE),1,0)</f>
        <v>0</v>
      </c>
      <c r="BQ82" s="4">
        <f>IF(AF82=VLOOKUP(VALUE(AF$1),Questions!$A:$E,5,FALSE),1,0)</f>
        <v>1</v>
      </c>
      <c r="BR82" s="4">
        <f>IF(AG82=VLOOKUP(VALUE(AG$1),Questions!$A:$E,5,FALSE),1,0)</f>
        <v>0</v>
      </c>
      <c r="BS82" s="4">
        <f>IF(AH82=VLOOKUP(VALUE(AH$1),Questions!$A:$E,5,FALSE),1,0)</f>
        <v>0</v>
      </c>
      <c r="BT82" s="4">
        <f>IF(AI82=VLOOKUP(VALUE(AI$1),Questions!$A:$E,5,FALSE),1,0)</f>
        <v>1</v>
      </c>
      <c r="BU82" s="4">
        <f>IF(AJ82=VLOOKUP(VALUE(AJ$1),Questions!$A:$E,5,FALSE),1,0)</f>
        <v>1</v>
      </c>
      <c r="BV82" s="4">
        <f>IF(AK82=VLOOKUP(VALUE(AK$1),Questions!$A:$E,5,FALSE),1,0)</f>
        <v>0</v>
      </c>
      <c r="BW82" s="87">
        <f>IF(AL82=VLOOKUP(VALUE(AL$1),Questions!$A:$E,5,FALSE),1,0)</f>
        <v>0</v>
      </c>
      <c r="BX82" s="4">
        <f>IF(Scores[[#This Row],[Final]]&gt;=65,1,0)</f>
        <v>0</v>
      </c>
      <c r="BY82" s="4">
        <f>IF(Scores[[#This Row],[Final]]&gt;=IF(Scores[[#This Row],[IEP]],55,65),1,0)</f>
        <v>0</v>
      </c>
    </row>
    <row r="83" spans="1:77" x14ac:dyDescent="0.2">
      <c r="A83" s="6">
        <v>82</v>
      </c>
      <c r="B83" s="4">
        <v>11</v>
      </c>
      <c r="C83" s="4" t="s">
        <v>964</v>
      </c>
      <c r="D83" s="105" t="b">
        <v>0</v>
      </c>
      <c r="E83" s="105" t="b">
        <v>0</v>
      </c>
      <c r="F83" s="86">
        <f>SUM(Scores[[#This Row],[Q1]:[Q28]])</f>
        <v>17</v>
      </c>
      <c r="G83" s="4">
        <f>SUM(Scores[[#This Row],[29]]:Scores[[#This Row],[30]])</f>
        <v>2</v>
      </c>
      <c r="H83" s="4">
        <f>SUM(Scores[[#This Row],[31]:[36]])</f>
        <v>5</v>
      </c>
      <c r="I83" s="4">
        <f>Scores[[#This Row],[37]]</f>
        <v>2</v>
      </c>
      <c r="J83" s="87">
        <f>INDEX('Conversion Chart'!$C$3:$M$47,MATCH(SUM(Scores[[#This Row],[MC]:[IIIA]]),'Conversion Chart'!$B$3:$B$47),MATCH(Scores[[#This Row],[IIIB]],'Conversion Chart'!$C$2:$M$2))</f>
        <v>67</v>
      </c>
      <c r="K83" s="103">
        <v>4</v>
      </c>
      <c r="L83" s="103">
        <v>1</v>
      </c>
      <c r="M83" s="103">
        <v>3</v>
      </c>
      <c r="N83" s="103">
        <v>1</v>
      </c>
      <c r="O83" s="103">
        <v>1</v>
      </c>
      <c r="P83" s="103">
        <v>2</v>
      </c>
      <c r="Q83" s="103">
        <v>3</v>
      </c>
      <c r="R83" s="103">
        <v>2</v>
      </c>
      <c r="S83" s="103">
        <v>3</v>
      </c>
      <c r="T83" s="103">
        <v>1</v>
      </c>
      <c r="U83" s="103">
        <v>2</v>
      </c>
      <c r="V83" s="103">
        <v>4</v>
      </c>
      <c r="W83" s="103">
        <v>1</v>
      </c>
      <c r="X83" s="103">
        <v>4</v>
      </c>
      <c r="Y83" s="103">
        <v>3</v>
      </c>
      <c r="Z83" s="103">
        <v>2</v>
      </c>
      <c r="AA83" s="103">
        <v>1</v>
      </c>
      <c r="AB83" s="103">
        <v>4</v>
      </c>
      <c r="AC83" s="103">
        <v>3</v>
      </c>
      <c r="AD83" s="103">
        <v>3</v>
      </c>
      <c r="AE83" s="103">
        <v>3</v>
      </c>
      <c r="AF83" s="103">
        <v>2</v>
      </c>
      <c r="AG83" s="103">
        <v>3</v>
      </c>
      <c r="AH83" s="103">
        <v>2</v>
      </c>
      <c r="AI83" s="103">
        <v>1</v>
      </c>
      <c r="AJ83" s="103">
        <v>1</v>
      </c>
      <c r="AK83" s="103">
        <v>2</v>
      </c>
      <c r="AL83" s="104">
        <v>3</v>
      </c>
      <c r="AM83" s="4">
        <v>1</v>
      </c>
      <c r="AN83" s="87">
        <v>1</v>
      </c>
      <c r="AO83" s="4">
        <v>1</v>
      </c>
      <c r="AP83" s="4">
        <v>1</v>
      </c>
      <c r="AQ83" s="4">
        <v>1</v>
      </c>
      <c r="AR83" s="4">
        <v>1</v>
      </c>
      <c r="AS83" s="4">
        <v>1</v>
      </c>
      <c r="AT83" s="4">
        <v>0</v>
      </c>
      <c r="AU83" s="107">
        <v>2</v>
      </c>
      <c r="AV83" s="4">
        <f>IF(K83=VLOOKUP(VALUE(K$1),Questions!$A:$E,5,FALSE),1,0)</f>
        <v>1</v>
      </c>
      <c r="AW83" s="4">
        <f>IF(L83=VLOOKUP(VALUE(L$1),Questions!$A:$E,5,FALSE),1,0)</f>
        <v>0</v>
      </c>
      <c r="AX83" s="4">
        <f>IF(M83=VLOOKUP(VALUE(M$1),Questions!$A:$E,5,FALSE),1,0)</f>
        <v>1</v>
      </c>
      <c r="AY83" s="4">
        <f>IF(N83=VLOOKUP(VALUE(N$1),Questions!$A:$E,5,FALSE),1,0)</f>
        <v>0</v>
      </c>
      <c r="AZ83" s="4">
        <f>IF(O83=VLOOKUP(VALUE(O$1),Questions!$A:$E,5,FALSE),1,0)</f>
        <v>1</v>
      </c>
      <c r="BA83" s="4">
        <f>IF(P83=VLOOKUP(VALUE(P$1),Questions!$A:$E,5,FALSE),1,0)</f>
        <v>0</v>
      </c>
      <c r="BB83" s="4">
        <f>IF(Q83=VLOOKUP(VALUE(Q$1),Questions!$A:$E,5,FALSE),1,0)</f>
        <v>1</v>
      </c>
      <c r="BC83" s="4">
        <f>IF(R83=VLOOKUP(VALUE(R$1),Questions!$A:$E,5,FALSE),1,0)</f>
        <v>1</v>
      </c>
      <c r="BD83" s="4">
        <f>IF(S83=VLOOKUP(VALUE(S$1),Questions!$A:$E,5,FALSE),1,0)</f>
        <v>0</v>
      </c>
      <c r="BE83" s="4">
        <f>IF(T83=VLOOKUP(VALUE(T$1),Questions!$A:$E,5,FALSE),1,0)</f>
        <v>1</v>
      </c>
      <c r="BF83" s="4">
        <f>IF(U83=VLOOKUP(VALUE(U$1),Questions!$A:$E,5,FALSE),1,0)</f>
        <v>1</v>
      </c>
      <c r="BG83" s="4">
        <f>IF(V83=VLOOKUP(VALUE(V$1),Questions!$A:$E,5,FALSE),1,0)</f>
        <v>1</v>
      </c>
      <c r="BH83" s="4">
        <f>IF(W83=VLOOKUP(VALUE(W$1),Questions!$A:$E,5,FALSE),1,0)</f>
        <v>0</v>
      </c>
      <c r="BI83" s="4">
        <f>IF(X83=VLOOKUP(VALUE(X$1),Questions!$A:$E,5,FALSE),1,0)</f>
        <v>1</v>
      </c>
      <c r="BJ83" s="4">
        <f>IF(Y83=VLOOKUP(VALUE(Y$1),Questions!$A:$E,5,FALSE),1,0)</f>
        <v>1</v>
      </c>
      <c r="BK83" s="4">
        <f>IF(Z83=VLOOKUP(VALUE(Z$1),Questions!$A:$E,5,FALSE),1,0)</f>
        <v>0</v>
      </c>
      <c r="BL83" s="4">
        <f>IF(AA83=VLOOKUP(VALUE(AA$1),Questions!$A:$E,5,FALSE),1,0)</f>
        <v>1</v>
      </c>
      <c r="BM83" s="4">
        <f>IF(AB83=VLOOKUP(VALUE(AB$1),Questions!$A:$E,5,FALSE),1,0)</f>
        <v>1</v>
      </c>
      <c r="BN83" s="4">
        <f>IF(AC83=VLOOKUP(VALUE(AC$1),Questions!$A:$E,5,FALSE),1,0)</f>
        <v>1</v>
      </c>
      <c r="BO83" s="4">
        <f>IF(AD83=VLOOKUP(VALUE(AD$1),Questions!$A:$E,5,FALSE),1,0)</f>
        <v>0</v>
      </c>
      <c r="BP83" s="4">
        <f>IF(AE83=VLOOKUP(VALUE(AE$1),Questions!$A:$E,5,FALSE),1,0)</f>
        <v>0</v>
      </c>
      <c r="BQ83" s="4">
        <f>IF(AF83=VLOOKUP(VALUE(AF$1),Questions!$A:$E,5,FALSE),1,0)</f>
        <v>1</v>
      </c>
      <c r="BR83" s="4">
        <f>IF(AG83=VLOOKUP(VALUE(AG$1),Questions!$A:$E,5,FALSE),1,0)</f>
        <v>1</v>
      </c>
      <c r="BS83" s="4">
        <f>IF(AH83=VLOOKUP(VALUE(AH$1),Questions!$A:$E,5,FALSE),1,0)</f>
        <v>0</v>
      </c>
      <c r="BT83" s="4">
        <f>IF(AI83=VLOOKUP(VALUE(AI$1),Questions!$A:$E,5,FALSE),1,0)</f>
        <v>1</v>
      </c>
      <c r="BU83" s="4">
        <f>IF(AJ83=VLOOKUP(VALUE(AJ$1),Questions!$A:$E,5,FALSE),1,0)</f>
        <v>0</v>
      </c>
      <c r="BV83" s="4">
        <f>IF(AK83=VLOOKUP(VALUE(AK$1),Questions!$A:$E,5,FALSE),1,0)</f>
        <v>0</v>
      </c>
      <c r="BW83" s="87">
        <f>IF(AL83=VLOOKUP(VALUE(AL$1),Questions!$A:$E,5,FALSE),1,0)</f>
        <v>1</v>
      </c>
      <c r="BX83" s="4">
        <f>IF(Scores[[#This Row],[Final]]&gt;=65,1,0)</f>
        <v>1</v>
      </c>
      <c r="BY83" s="4">
        <f>IF(Scores[[#This Row],[Final]]&gt;=IF(Scores[[#This Row],[IEP]],55,65),1,0)</f>
        <v>1</v>
      </c>
    </row>
    <row r="84" spans="1:77" x14ac:dyDescent="0.2">
      <c r="A84" s="6">
        <v>83</v>
      </c>
      <c r="B84" s="4">
        <v>9</v>
      </c>
      <c r="C84" s="4" t="s">
        <v>964</v>
      </c>
      <c r="D84" s="105" t="b">
        <v>0</v>
      </c>
      <c r="E84" s="105" t="b">
        <v>0</v>
      </c>
      <c r="F84" s="86">
        <f>SUM(Scores[[#This Row],[Q1]:[Q28]])</f>
        <v>13</v>
      </c>
      <c r="G84" s="4">
        <f>SUM(Scores[[#This Row],[29]]:Scores[[#This Row],[30]])</f>
        <v>6</v>
      </c>
      <c r="H84" s="4">
        <f>SUM(Scores[[#This Row],[31]:[36]])</f>
        <v>5</v>
      </c>
      <c r="I84" s="4">
        <f>Scores[[#This Row],[37]]</f>
        <v>1.5</v>
      </c>
      <c r="J84" s="87">
        <f>INDEX('Conversion Chart'!$C$3:$M$47,MATCH(SUM(Scores[[#This Row],[MC]:[IIIA]]),'Conversion Chart'!$B$3:$B$47),MATCH(Scores[[#This Row],[IIIB]],'Conversion Chart'!$C$2:$M$2))</f>
        <v>65</v>
      </c>
      <c r="K84" s="103">
        <v>4</v>
      </c>
      <c r="L84" s="103">
        <v>2</v>
      </c>
      <c r="M84" s="103">
        <v>1</v>
      </c>
      <c r="N84" s="103">
        <v>1</v>
      </c>
      <c r="O84" s="103">
        <v>1</v>
      </c>
      <c r="P84" s="103">
        <v>3</v>
      </c>
      <c r="Q84" s="103">
        <v>2</v>
      </c>
      <c r="R84" s="103">
        <v>4</v>
      </c>
      <c r="S84" s="103">
        <v>2</v>
      </c>
      <c r="T84" s="103">
        <v>1</v>
      </c>
      <c r="U84" s="103">
        <v>2</v>
      </c>
      <c r="V84" s="103">
        <v>4</v>
      </c>
      <c r="W84" s="103">
        <v>2</v>
      </c>
      <c r="X84" s="103">
        <v>3</v>
      </c>
      <c r="Y84" s="103">
        <v>3</v>
      </c>
      <c r="Z84" s="103">
        <v>4</v>
      </c>
      <c r="AA84" s="103">
        <v>2</v>
      </c>
      <c r="AB84" s="103">
        <v>2</v>
      </c>
      <c r="AC84" s="103">
        <v>2</v>
      </c>
      <c r="AD84" s="103">
        <v>1</v>
      </c>
      <c r="AE84" s="103">
        <v>1</v>
      </c>
      <c r="AF84" s="103">
        <v>2</v>
      </c>
      <c r="AG84" s="103">
        <v>3</v>
      </c>
      <c r="AH84" s="103">
        <v>4</v>
      </c>
      <c r="AI84" s="103">
        <v>4</v>
      </c>
      <c r="AJ84" s="103">
        <v>4</v>
      </c>
      <c r="AK84" s="103">
        <v>2</v>
      </c>
      <c r="AL84" s="104">
        <v>3</v>
      </c>
      <c r="AM84" s="4">
        <v>3</v>
      </c>
      <c r="AN84" s="87">
        <v>3</v>
      </c>
      <c r="AO84" s="4">
        <v>1</v>
      </c>
      <c r="AP84" s="4">
        <v>1</v>
      </c>
      <c r="AQ84" s="4">
        <v>0</v>
      </c>
      <c r="AR84" s="4">
        <v>1</v>
      </c>
      <c r="AS84" s="4">
        <v>1</v>
      </c>
      <c r="AT84" s="4">
        <v>1</v>
      </c>
      <c r="AU84" s="107">
        <v>1.5</v>
      </c>
      <c r="AV84" s="4">
        <f>IF(K84=VLOOKUP(VALUE(K$1),Questions!$A:$E,5,FALSE),1,0)</f>
        <v>1</v>
      </c>
      <c r="AW84" s="4">
        <f>IF(L84=VLOOKUP(VALUE(L$1),Questions!$A:$E,5,FALSE),1,0)</f>
        <v>1</v>
      </c>
      <c r="AX84" s="4">
        <f>IF(M84=VLOOKUP(VALUE(M$1),Questions!$A:$E,5,FALSE),1,0)</f>
        <v>0</v>
      </c>
      <c r="AY84" s="4">
        <f>IF(N84=VLOOKUP(VALUE(N$1),Questions!$A:$E,5,FALSE),1,0)</f>
        <v>0</v>
      </c>
      <c r="AZ84" s="4">
        <f>IF(O84=VLOOKUP(VALUE(O$1),Questions!$A:$E,5,FALSE),1,0)</f>
        <v>1</v>
      </c>
      <c r="BA84" s="4">
        <f>IF(P84=VLOOKUP(VALUE(P$1),Questions!$A:$E,5,FALSE),1,0)</f>
        <v>0</v>
      </c>
      <c r="BB84" s="4">
        <f>IF(Q84=VLOOKUP(VALUE(Q$1),Questions!$A:$E,5,FALSE),1,0)</f>
        <v>0</v>
      </c>
      <c r="BC84" s="4">
        <f>IF(R84=VLOOKUP(VALUE(R$1),Questions!$A:$E,5,FALSE),1,0)</f>
        <v>0</v>
      </c>
      <c r="BD84" s="4">
        <f>IF(S84=VLOOKUP(VALUE(S$1),Questions!$A:$E,5,FALSE),1,0)</f>
        <v>1</v>
      </c>
      <c r="BE84" s="4">
        <f>IF(T84=VLOOKUP(VALUE(T$1),Questions!$A:$E,5,FALSE),1,0)</f>
        <v>1</v>
      </c>
      <c r="BF84" s="4">
        <f>IF(U84=VLOOKUP(VALUE(U$1),Questions!$A:$E,5,FALSE),1,0)</f>
        <v>1</v>
      </c>
      <c r="BG84" s="4">
        <f>IF(V84=VLOOKUP(VALUE(V$1),Questions!$A:$E,5,FALSE),1,0)</f>
        <v>1</v>
      </c>
      <c r="BH84" s="4">
        <f>IF(W84=VLOOKUP(VALUE(W$1),Questions!$A:$E,5,FALSE),1,0)</f>
        <v>1</v>
      </c>
      <c r="BI84" s="4">
        <f>IF(X84=VLOOKUP(VALUE(X$1),Questions!$A:$E,5,FALSE),1,0)</f>
        <v>0</v>
      </c>
      <c r="BJ84" s="4">
        <f>IF(Y84=VLOOKUP(VALUE(Y$1),Questions!$A:$E,5,FALSE),1,0)</f>
        <v>1</v>
      </c>
      <c r="BK84" s="4">
        <f>IF(Z84=VLOOKUP(VALUE(Z$1),Questions!$A:$E,5,FALSE),1,0)</f>
        <v>0</v>
      </c>
      <c r="BL84" s="4">
        <f>IF(AA84=VLOOKUP(VALUE(AA$1),Questions!$A:$E,5,FALSE),1,0)</f>
        <v>0</v>
      </c>
      <c r="BM84" s="4">
        <f>IF(AB84=VLOOKUP(VALUE(AB$1),Questions!$A:$E,5,FALSE),1,0)</f>
        <v>0</v>
      </c>
      <c r="BN84" s="4">
        <f>IF(AC84=VLOOKUP(VALUE(AC$1),Questions!$A:$E,5,FALSE),1,0)</f>
        <v>0</v>
      </c>
      <c r="BO84" s="4">
        <f>IF(AD84=VLOOKUP(VALUE(AD$1),Questions!$A:$E,5,FALSE),1,0)</f>
        <v>0</v>
      </c>
      <c r="BP84" s="4">
        <f>IF(AE84=VLOOKUP(VALUE(AE$1),Questions!$A:$E,5,FALSE),1,0)</f>
        <v>0</v>
      </c>
      <c r="BQ84" s="4">
        <f>IF(AF84=VLOOKUP(VALUE(AF$1),Questions!$A:$E,5,FALSE),1,0)</f>
        <v>1</v>
      </c>
      <c r="BR84" s="4">
        <f>IF(AG84=VLOOKUP(VALUE(AG$1),Questions!$A:$E,5,FALSE),1,0)</f>
        <v>1</v>
      </c>
      <c r="BS84" s="4">
        <f>IF(AH84=VLOOKUP(VALUE(AH$1),Questions!$A:$E,5,FALSE),1,0)</f>
        <v>0</v>
      </c>
      <c r="BT84" s="4">
        <f>IF(AI84=VLOOKUP(VALUE(AI$1),Questions!$A:$E,5,FALSE),1,0)</f>
        <v>0</v>
      </c>
      <c r="BU84" s="4">
        <f>IF(AJ84=VLOOKUP(VALUE(AJ$1),Questions!$A:$E,5,FALSE),1,0)</f>
        <v>1</v>
      </c>
      <c r="BV84" s="4">
        <f>IF(AK84=VLOOKUP(VALUE(AK$1),Questions!$A:$E,5,FALSE),1,0)</f>
        <v>0</v>
      </c>
      <c r="BW84" s="87">
        <f>IF(AL84=VLOOKUP(VALUE(AL$1),Questions!$A:$E,5,FALSE),1,0)</f>
        <v>1</v>
      </c>
      <c r="BX84" s="4">
        <f>IF(Scores[[#This Row],[Final]]&gt;=65,1,0)</f>
        <v>1</v>
      </c>
      <c r="BY84" s="4">
        <f>IF(Scores[[#This Row],[Final]]&gt;=IF(Scores[[#This Row],[IEP]],55,65),1,0)</f>
        <v>1</v>
      </c>
    </row>
    <row r="85" spans="1:77" x14ac:dyDescent="0.2">
      <c r="A85" s="6">
        <v>84</v>
      </c>
      <c r="B85" s="4">
        <v>12</v>
      </c>
      <c r="C85" s="4" t="s">
        <v>967</v>
      </c>
      <c r="D85" s="105" t="b">
        <v>0</v>
      </c>
      <c r="E85" s="105" t="b">
        <v>0</v>
      </c>
      <c r="F85" s="86">
        <f>SUM(Scores[[#This Row],[Q1]:[Q28]])</f>
        <v>20</v>
      </c>
      <c r="G85" s="4">
        <f>SUM(Scores[[#This Row],[29]]:Scores[[#This Row],[30]])</f>
        <v>3</v>
      </c>
      <c r="H85" s="4">
        <f>SUM(Scores[[#This Row],[31]:[36]])</f>
        <v>5</v>
      </c>
      <c r="I85" s="4">
        <f>Scores[[#This Row],[37]]</f>
        <v>1</v>
      </c>
      <c r="J85" s="87">
        <f>INDEX('Conversion Chart'!$C$3:$M$47,MATCH(SUM(Scores[[#This Row],[MC]:[IIIA]]),'Conversion Chart'!$B$3:$B$47),MATCH(Scores[[#This Row],[IIIB]],'Conversion Chart'!$C$2:$M$2))</f>
        <v>68</v>
      </c>
      <c r="K85" s="103">
        <v>4</v>
      </c>
      <c r="L85" s="103">
        <v>2</v>
      </c>
      <c r="M85" s="103">
        <v>3</v>
      </c>
      <c r="N85" s="103">
        <v>3</v>
      </c>
      <c r="O85" s="103">
        <v>1</v>
      </c>
      <c r="P85" s="103">
        <v>4</v>
      </c>
      <c r="Q85" s="103">
        <v>3</v>
      </c>
      <c r="R85" s="103">
        <v>2</v>
      </c>
      <c r="S85" s="103">
        <v>2</v>
      </c>
      <c r="T85" s="103">
        <v>1</v>
      </c>
      <c r="U85" s="103">
        <v>2</v>
      </c>
      <c r="V85" s="103">
        <v>4</v>
      </c>
      <c r="W85" s="103">
        <v>4</v>
      </c>
      <c r="X85" s="103">
        <v>4</v>
      </c>
      <c r="Y85" s="103">
        <v>4</v>
      </c>
      <c r="Z85" s="103">
        <v>4</v>
      </c>
      <c r="AA85" s="103">
        <v>1</v>
      </c>
      <c r="AB85" s="103">
        <v>4</v>
      </c>
      <c r="AC85" s="103">
        <v>3</v>
      </c>
      <c r="AD85" s="103">
        <v>1</v>
      </c>
      <c r="AE85" s="103">
        <v>3</v>
      </c>
      <c r="AF85" s="103">
        <v>2</v>
      </c>
      <c r="AG85" s="103">
        <v>3</v>
      </c>
      <c r="AH85" s="103">
        <v>2</v>
      </c>
      <c r="AI85" s="103">
        <v>3</v>
      </c>
      <c r="AJ85" s="103">
        <v>4</v>
      </c>
      <c r="AK85" s="103">
        <v>3</v>
      </c>
      <c r="AL85" s="104">
        <v>3</v>
      </c>
      <c r="AM85" s="4">
        <v>2</v>
      </c>
      <c r="AN85" s="87">
        <v>1</v>
      </c>
      <c r="AO85" s="4">
        <v>1</v>
      </c>
      <c r="AP85" s="4">
        <v>1</v>
      </c>
      <c r="AQ85" s="4">
        <v>1</v>
      </c>
      <c r="AR85" s="4">
        <v>1</v>
      </c>
      <c r="AS85" s="4">
        <v>1</v>
      </c>
      <c r="AT85" s="4">
        <v>0</v>
      </c>
      <c r="AU85" s="107">
        <v>1</v>
      </c>
      <c r="AV85" s="4">
        <f>IF(K85=VLOOKUP(VALUE(K$1),Questions!$A:$E,5,FALSE),1,0)</f>
        <v>1</v>
      </c>
      <c r="AW85" s="4">
        <f>IF(L85=VLOOKUP(VALUE(L$1),Questions!$A:$E,5,FALSE),1,0)</f>
        <v>1</v>
      </c>
      <c r="AX85" s="4">
        <f>IF(M85=VLOOKUP(VALUE(M$1),Questions!$A:$E,5,FALSE),1,0)</f>
        <v>1</v>
      </c>
      <c r="AY85" s="4">
        <f>IF(N85=VLOOKUP(VALUE(N$1),Questions!$A:$E,5,FALSE),1,0)</f>
        <v>1</v>
      </c>
      <c r="AZ85" s="4">
        <f>IF(O85=VLOOKUP(VALUE(O$1),Questions!$A:$E,5,FALSE),1,0)</f>
        <v>1</v>
      </c>
      <c r="BA85" s="4">
        <f>IF(P85=VLOOKUP(VALUE(P$1),Questions!$A:$E,5,FALSE),1,0)</f>
        <v>1</v>
      </c>
      <c r="BB85" s="4">
        <f>IF(Q85=VLOOKUP(VALUE(Q$1),Questions!$A:$E,5,FALSE),1,0)</f>
        <v>1</v>
      </c>
      <c r="BC85" s="4">
        <f>IF(R85=VLOOKUP(VALUE(R$1),Questions!$A:$E,5,FALSE),1,0)</f>
        <v>1</v>
      </c>
      <c r="BD85" s="4">
        <f>IF(S85=VLOOKUP(VALUE(S$1),Questions!$A:$E,5,FALSE),1,0)</f>
        <v>1</v>
      </c>
      <c r="BE85" s="4">
        <f>IF(T85=VLOOKUP(VALUE(T$1),Questions!$A:$E,5,FALSE),1,0)</f>
        <v>1</v>
      </c>
      <c r="BF85" s="4">
        <f>IF(U85=VLOOKUP(VALUE(U$1),Questions!$A:$E,5,FALSE),1,0)</f>
        <v>1</v>
      </c>
      <c r="BG85" s="4">
        <f>IF(V85=VLOOKUP(VALUE(V$1),Questions!$A:$E,5,FALSE),1,0)</f>
        <v>1</v>
      </c>
      <c r="BH85" s="4">
        <f>IF(W85=VLOOKUP(VALUE(W$1),Questions!$A:$E,5,FALSE),1,0)</f>
        <v>0</v>
      </c>
      <c r="BI85" s="4">
        <f>IF(X85=VLOOKUP(VALUE(X$1),Questions!$A:$E,5,FALSE),1,0)</f>
        <v>1</v>
      </c>
      <c r="BJ85" s="4">
        <f>IF(Y85=VLOOKUP(VALUE(Y$1),Questions!$A:$E,5,FALSE),1,0)</f>
        <v>0</v>
      </c>
      <c r="BK85" s="4">
        <f>IF(Z85=VLOOKUP(VALUE(Z$1),Questions!$A:$E,5,FALSE),1,0)</f>
        <v>0</v>
      </c>
      <c r="BL85" s="4">
        <f>IF(AA85=VLOOKUP(VALUE(AA$1),Questions!$A:$E,5,FALSE),1,0)</f>
        <v>1</v>
      </c>
      <c r="BM85" s="4">
        <f>IF(AB85=VLOOKUP(VALUE(AB$1),Questions!$A:$E,5,FALSE),1,0)</f>
        <v>1</v>
      </c>
      <c r="BN85" s="4">
        <f>IF(AC85=VLOOKUP(VALUE(AC$1),Questions!$A:$E,5,FALSE),1,0)</f>
        <v>1</v>
      </c>
      <c r="BO85" s="4">
        <f>IF(AD85=VLOOKUP(VALUE(AD$1),Questions!$A:$E,5,FALSE),1,0)</f>
        <v>0</v>
      </c>
      <c r="BP85" s="4">
        <f>IF(AE85=VLOOKUP(VALUE(AE$1),Questions!$A:$E,5,FALSE),1,0)</f>
        <v>0</v>
      </c>
      <c r="BQ85" s="4">
        <f>IF(AF85=VLOOKUP(VALUE(AF$1),Questions!$A:$E,5,FALSE),1,0)</f>
        <v>1</v>
      </c>
      <c r="BR85" s="4">
        <f>IF(AG85=VLOOKUP(VALUE(AG$1),Questions!$A:$E,5,FALSE),1,0)</f>
        <v>1</v>
      </c>
      <c r="BS85" s="4">
        <f>IF(AH85=VLOOKUP(VALUE(AH$1),Questions!$A:$E,5,FALSE),1,0)</f>
        <v>0</v>
      </c>
      <c r="BT85" s="4">
        <f>IF(AI85=VLOOKUP(VALUE(AI$1),Questions!$A:$E,5,FALSE),1,0)</f>
        <v>0</v>
      </c>
      <c r="BU85" s="4">
        <f>IF(AJ85=VLOOKUP(VALUE(AJ$1),Questions!$A:$E,5,FALSE),1,0)</f>
        <v>1</v>
      </c>
      <c r="BV85" s="4">
        <f>IF(AK85=VLOOKUP(VALUE(AK$1),Questions!$A:$E,5,FALSE),1,0)</f>
        <v>0</v>
      </c>
      <c r="BW85" s="87">
        <f>IF(AL85=VLOOKUP(VALUE(AL$1),Questions!$A:$E,5,FALSE),1,0)</f>
        <v>1</v>
      </c>
      <c r="BX85" s="4">
        <f>IF(Scores[[#This Row],[Final]]&gt;=65,1,0)</f>
        <v>1</v>
      </c>
      <c r="BY85" s="4">
        <f>IF(Scores[[#This Row],[Final]]&gt;=IF(Scores[[#This Row],[IEP]],55,65),1,0)</f>
        <v>1</v>
      </c>
    </row>
    <row r="86" spans="1:77" x14ac:dyDescent="0.2">
      <c r="A86" s="6">
        <v>85</v>
      </c>
      <c r="B86" s="4">
        <v>9</v>
      </c>
      <c r="C86" s="4" t="s">
        <v>963</v>
      </c>
      <c r="D86" s="105" t="b">
        <v>0</v>
      </c>
      <c r="E86" s="105" t="b">
        <v>1</v>
      </c>
      <c r="F86" s="86">
        <f>SUM(Scores[[#This Row],[Q1]:[Q28]])</f>
        <v>13</v>
      </c>
      <c r="G86" s="4">
        <f>SUM(Scores[[#This Row],[29]]:Scores[[#This Row],[30]])</f>
        <v>2</v>
      </c>
      <c r="H86" s="4">
        <f>SUM(Scores[[#This Row],[31]:[36]])</f>
        <v>5</v>
      </c>
      <c r="I86" s="4">
        <f>Scores[[#This Row],[37]]</f>
        <v>1</v>
      </c>
      <c r="J86" s="87">
        <f>INDEX('Conversion Chart'!$C$3:$M$47,MATCH(SUM(Scores[[#This Row],[MC]:[IIIA]]),'Conversion Chart'!$B$3:$B$47),MATCH(Scores[[#This Row],[IIIB]],'Conversion Chart'!$C$2:$M$2))</f>
        <v>57</v>
      </c>
      <c r="K86" s="103">
        <v>4</v>
      </c>
      <c r="L86" s="103">
        <v>2</v>
      </c>
      <c r="M86" s="103">
        <v>3</v>
      </c>
      <c r="N86" s="103">
        <v>2</v>
      </c>
      <c r="O86" s="103">
        <v>1</v>
      </c>
      <c r="P86" s="103">
        <v>4</v>
      </c>
      <c r="Q86" s="103">
        <v>3</v>
      </c>
      <c r="R86" s="103">
        <v>4</v>
      </c>
      <c r="S86" s="103">
        <v>2</v>
      </c>
      <c r="T86" s="103">
        <v>1</v>
      </c>
      <c r="U86" s="103">
        <v>4</v>
      </c>
      <c r="V86" s="103">
        <v>4</v>
      </c>
      <c r="W86" s="103">
        <v>1</v>
      </c>
      <c r="X86" s="103">
        <v>4</v>
      </c>
      <c r="Y86" s="103">
        <v>1</v>
      </c>
      <c r="Z86" s="103">
        <v>4</v>
      </c>
      <c r="AA86" s="103">
        <v>3</v>
      </c>
      <c r="AB86" s="103">
        <v>4</v>
      </c>
      <c r="AC86" s="103">
        <v>3</v>
      </c>
      <c r="AD86" s="103">
        <v>2</v>
      </c>
      <c r="AE86" s="103">
        <v>3</v>
      </c>
      <c r="AF86" s="103">
        <v>4</v>
      </c>
      <c r="AG86" s="103">
        <v>4</v>
      </c>
      <c r="AH86" s="103">
        <v>2</v>
      </c>
      <c r="AI86" s="103">
        <v>2</v>
      </c>
      <c r="AJ86" s="103">
        <v>2</v>
      </c>
      <c r="AK86" s="103">
        <v>4</v>
      </c>
      <c r="AL86" s="104">
        <v>3</v>
      </c>
      <c r="AM86" s="4">
        <v>1</v>
      </c>
      <c r="AN86" s="87">
        <v>1</v>
      </c>
      <c r="AO86" s="4">
        <v>1</v>
      </c>
      <c r="AP86" s="4">
        <v>0</v>
      </c>
      <c r="AQ86" s="4">
        <v>1</v>
      </c>
      <c r="AR86" s="4">
        <v>1</v>
      </c>
      <c r="AS86" s="4">
        <v>1</v>
      </c>
      <c r="AT86" s="4">
        <v>1</v>
      </c>
      <c r="AU86" s="107">
        <v>1</v>
      </c>
      <c r="AV86" s="4">
        <f>IF(K86=VLOOKUP(VALUE(K$1),Questions!$A:$E,5,FALSE),1,0)</f>
        <v>1</v>
      </c>
      <c r="AW86" s="4">
        <f>IF(L86=VLOOKUP(VALUE(L$1),Questions!$A:$E,5,FALSE),1,0)</f>
        <v>1</v>
      </c>
      <c r="AX86" s="4">
        <f>IF(M86=VLOOKUP(VALUE(M$1),Questions!$A:$E,5,FALSE),1,0)</f>
        <v>1</v>
      </c>
      <c r="AY86" s="4">
        <f>IF(N86=VLOOKUP(VALUE(N$1),Questions!$A:$E,5,FALSE),1,0)</f>
        <v>0</v>
      </c>
      <c r="AZ86" s="4">
        <f>IF(O86=VLOOKUP(VALUE(O$1),Questions!$A:$E,5,FALSE),1,0)</f>
        <v>1</v>
      </c>
      <c r="BA86" s="4">
        <f>IF(P86=VLOOKUP(VALUE(P$1),Questions!$A:$E,5,FALSE),1,0)</f>
        <v>1</v>
      </c>
      <c r="BB86" s="4">
        <f>IF(Q86=VLOOKUP(VALUE(Q$1),Questions!$A:$E,5,FALSE),1,0)</f>
        <v>1</v>
      </c>
      <c r="BC86" s="4">
        <f>IF(R86=VLOOKUP(VALUE(R$1),Questions!$A:$E,5,FALSE),1,0)</f>
        <v>0</v>
      </c>
      <c r="BD86" s="4">
        <f>IF(S86=VLOOKUP(VALUE(S$1),Questions!$A:$E,5,FALSE),1,0)</f>
        <v>1</v>
      </c>
      <c r="BE86" s="4">
        <f>IF(T86=VLOOKUP(VALUE(T$1),Questions!$A:$E,5,FALSE),1,0)</f>
        <v>1</v>
      </c>
      <c r="BF86" s="4">
        <f>IF(U86=VLOOKUP(VALUE(U$1),Questions!$A:$E,5,FALSE),1,0)</f>
        <v>0</v>
      </c>
      <c r="BG86" s="4">
        <f>IF(V86=VLOOKUP(VALUE(V$1),Questions!$A:$E,5,FALSE),1,0)</f>
        <v>1</v>
      </c>
      <c r="BH86" s="4">
        <f>IF(W86=VLOOKUP(VALUE(W$1),Questions!$A:$E,5,FALSE),1,0)</f>
        <v>0</v>
      </c>
      <c r="BI86" s="4">
        <f>IF(X86=VLOOKUP(VALUE(X$1),Questions!$A:$E,5,FALSE),1,0)</f>
        <v>1</v>
      </c>
      <c r="BJ86" s="4">
        <f>IF(Y86=VLOOKUP(VALUE(Y$1),Questions!$A:$E,5,FALSE),1,0)</f>
        <v>0</v>
      </c>
      <c r="BK86" s="4">
        <f>IF(Z86=VLOOKUP(VALUE(Z$1),Questions!$A:$E,5,FALSE),1,0)</f>
        <v>0</v>
      </c>
      <c r="BL86" s="4">
        <f>IF(AA86=VLOOKUP(VALUE(AA$1),Questions!$A:$E,5,FALSE),1,0)</f>
        <v>0</v>
      </c>
      <c r="BM86" s="4">
        <f>IF(AB86=VLOOKUP(VALUE(AB$1),Questions!$A:$E,5,FALSE),1,0)</f>
        <v>1</v>
      </c>
      <c r="BN86" s="4">
        <f>IF(AC86=VLOOKUP(VALUE(AC$1),Questions!$A:$E,5,FALSE),1,0)</f>
        <v>1</v>
      </c>
      <c r="BO86" s="4">
        <f>IF(AD86=VLOOKUP(VALUE(AD$1),Questions!$A:$E,5,FALSE),1,0)</f>
        <v>0</v>
      </c>
      <c r="BP86" s="4">
        <f>IF(AE86=VLOOKUP(VALUE(AE$1),Questions!$A:$E,5,FALSE),1,0)</f>
        <v>0</v>
      </c>
      <c r="BQ86" s="4">
        <f>IF(AF86=VLOOKUP(VALUE(AF$1),Questions!$A:$E,5,FALSE),1,0)</f>
        <v>0</v>
      </c>
      <c r="BR86" s="4">
        <f>IF(AG86=VLOOKUP(VALUE(AG$1),Questions!$A:$E,5,FALSE),1,0)</f>
        <v>0</v>
      </c>
      <c r="BS86" s="4">
        <f>IF(AH86=VLOOKUP(VALUE(AH$1),Questions!$A:$E,5,FALSE),1,0)</f>
        <v>0</v>
      </c>
      <c r="BT86" s="4">
        <f>IF(AI86=VLOOKUP(VALUE(AI$1),Questions!$A:$E,5,FALSE),1,0)</f>
        <v>0</v>
      </c>
      <c r="BU86" s="4">
        <f>IF(AJ86=VLOOKUP(VALUE(AJ$1),Questions!$A:$E,5,FALSE),1,0)</f>
        <v>0</v>
      </c>
      <c r="BV86" s="4">
        <f>IF(AK86=VLOOKUP(VALUE(AK$1),Questions!$A:$E,5,FALSE),1,0)</f>
        <v>0</v>
      </c>
      <c r="BW86" s="87">
        <f>IF(AL86=VLOOKUP(VALUE(AL$1),Questions!$A:$E,5,FALSE),1,0)</f>
        <v>1</v>
      </c>
      <c r="BX86" s="4">
        <f>IF(Scores[[#This Row],[Final]]&gt;=65,1,0)</f>
        <v>0</v>
      </c>
      <c r="BY86" s="4">
        <f>IF(Scores[[#This Row],[Final]]&gt;=IF(Scores[[#This Row],[IEP]],55,65),1,0)</f>
        <v>1</v>
      </c>
    </row>
    <row r="87" spans="1:77" x14ac:dyDescent="0.2">
      <c r="A87" s="6">
        <v>86</v>
      </c>
      <c r="B87" s="4">
        <v>11</v>
      </c>
      <c r="C87" s="4" t="s">
        <v>962</v>
      </c>
      <c r="D87" s="105" t="b">
        <v>0</v>
      </c>
      <c r="E87" s="105" t="b">
        <v>1</v>
      </c>
      <c r="F87" s="86">
        <f>SUM(Scores[[#This Row],[Q1]:[Q28]])</f>
        <v>15</v>
      </c>
      <c r="G87" s="4">
        <f>SUM(Scores[[#This Row],[29]]:Scores[[#This Row],[30]])</f>
        <v>3</v>
      </c>
      <c r="H87" s="4">
        <f>SUM(Scores[[#This Row],[31]:[36]])</f>
        <v>6</v>
      </c>
      <c r="I87" s="4">
        <f>Scores[[#This Row],[37]]</f>
        <v>0</v>
      </c>
      <c r="J87" s="87">
        <f>INDEX('Conversion Chart'!$C$3:$M$47,MATCH(SUM(Scores[[#This Row],[MC]:[IIIA]]),'Conversion Chart'!$B$3:$B$47),MATCH(Scores[[#This Row],[IIIB]],'Conversion Chart'!$C$2:$M$2))</f>
        <v>58</v>
      </c>
      <c r="K87" s="103">
        <v>4</v>
      </c>
      <c r="L87" s="103">
        <v>2</v>
      </c>
      <c r="M87" s="103">
        <v>3</v>
      </c>
      <c r="N87" s="103">
        <v>2</v>
      </c>
      <c r="O87" s="103">
        <v>1</v>
      </c>
      <c r="P87" s="103">
        <v>1</v>
      </c>
      <c r="Q87" s="103">
        <v>2</v>
      </c>
      <c r="R87" s="103">
        <v>2</v>
      </c>
      <c r="S87" s="103">
        <v>2</v>
      </c>
      <c r="T87" s="103">
        <v>1</v>
      </c>
      <c r="U87" s="103">
        <v>1</v>
      </c>
      <c r="V87" s="103">
        <v>3</v>
      </c>
      <c r="W87" s="103">
        <v>4</v>
      </c>
      <c r="X87" s="103">
        <v>3</v>
      </c>
      <c r="Y87" s="103">
        <v>3</v>
      </c>
      <c r="Z87" s="103">
        <v>1</v>
      </c>
      <c r="AA87" s="103">
        <v>4</v>
      </c>
      <c r="AB87" s="103">
        <v>3</v>
      </c>
      <c r="AC87" s="103">
        <v>3</v>
      </c>
      <c r="AD87" s="103">
        <v>2</v>
      </c>
      <c r="AE87" s="103">
        <v>1</v>
      </c>
      <c r="AF87" s="103">
        <v>2</v>
      </c>
      <c r="AG87" s="103">
        <v>3</v>
      </c>
      <c r="AH87" s="103">
        <v>2</v>
      </c>
      <c r="AI87" s="103">
        <v>1</v>
      </c>
      <c r="AJ87" s="103">
        <v>4</v>
      </c>
      <c r="AK87" s="103">
        <v>4</v>
      </c>
      <c r="AL87" s="104">
        <v>3</v>
      </c>
      <c r="AM87" s="4">
        <v>2</v>
      </c>
      <c r="AN87" s="87">
        <v>1</v>
      </c>
      <c r="AO87" s="4">
        <v>1</v>
      </c>
      <c r="AP87" s="4">
        <v>1</v>
      </c>
      <c r="AQ87" s="4">
        <v>1</v>
      </c>
      <c r="AR87" s="4">
        <v>1</v>
      </c>
      <c r="AS87" s="4">
        <v>1</v>
      </c>
      <c r="AT87" s="4">
        <v>1</v>
      </c>
      <c r="AU87" s="107">
        <v>0</v>
      </c>
      <c r="AV87" s="4">
        <f>IF(K87=VLOOKUP(VALUE(K$1),Questions!$A:$E,5,FALSE),1,0)</f>
        <v>1</v>
      </c>
      <c r="AW87" s="4">
        <f>IF(L87=VLOOKUP(VALUE(L$1),Questions!$A:$E,5,FALSE),1,0)</f>
        <v>1</v>
      </c>
      <c r="AX87" s="4">
        <f>IF(M87=VLOOKUP(VALUE(M$1),Questions!$A:$E,5,FALSE),1,0)</f>
        <v>1</v>
      </c>
      <c r="AY87" s="4">
        <f>IF(N87=VLOOKUP(VALUE(N$1),Questions!$A:$E,5,FALSE),1,0)</f>
        <v>0</v>
      </c>
      <c r="AZ87" s="4">
        <f>IF(O87=VLOOKUP(VALUE(O$1),Questions!$A:$E,5,FALSE),1,0)</f>
        <v>1</v>
      </c>
      <c r="BA87" s="4">
        <f>IF(P87=VLOOKUP(VALUE(P$1),Questions!$A:$E,5,FALSE),1,0)</f>
        <v>0</v>
      </c>
      <c r="BB87" s="4">
        <f>IF(Q87=VLOOKUP(VALUE(Q$1),Questions!$A:$E,5,FALSE),1,0)</f>
        <v>0</v>
      </c>
      <c r="BC87" s="4">
        <f>IF(R87=VLOOKUP(VALUE(R$1),Questions!$A:$E,5,FALSE),1,0)</f>
        <v>1</v>
      </c>
      <c r="BD87" s="4">
        <f>IF(S87=VLOOKUP(VALUE(S$1),Questions!$A:$E,5,FALSE),1,0)</f>
        <v>1</v>
      </c>
      <c r="BE87" s="4">
        <f>IF(T87=VLOOKUP(VALUE(T$1),Questions!$A:$E,5,FALSE),1,0)</f>
        <v>1</v>
      </c>
      <c r="BF87" s="4">
        <f>IF(U87=VLOOKUP(VALUE(U$1),Questions!$A:$E,5,FALSE),1,0)</f>
        <v>0</v>
      </c>
      <c r="BG87" s="4">
        <f>IF(V87=VLOOKUP(VALUE(V$1),Questions!$A:$E,5,FALSE),1,0)</f>
        <v>0</v>
      </c>
      <c r="BH87" s="4">
        <f>IF(W87=VLOOKUP(VALUE(W$1),Questions!$A:$E,5,FALSE),1,0)</f>
        <v>0</v>
      </c>
      <c r="BI87" s="4">
        <f>IF(X87=VLOOKUP(VALUE(X$1),Questions!$A:$E,5,FALSE),1,0)</f>
        <v>0</v>
      </c>
      <c r="BJ87" s="4">
        <f>IF(Y87=VLOOKUP(VALUE(Y$1),Questions!$A:$E,5,FALSE),1,0)</f>
        <v>1</v>
      </c>
      <c r="BK87" s="4">
        <f>IF(Z87=VLOOKUP(VALUE(Z$1),Questions!$A:$E,5,FALSE),1,0)</f>
        <v>1</v>
      </c>
      <c r="BL87" s="4">
        <f>IF(AA87=VLOOKUP(VALUE(AA$1),Questions!$A:$E,5,FALSE),1,0)</f>
        <v>0</v>
      </c>
      <c r="BM87" s="4">
        <f>IF(AB87=VLOOKUP(VALUE(AB$1),Questions!$A:$E,5,FALSE),1,0)</f>
        <v>0</v>
      </c>
      <c r="BN87" s="4">
        <f>IF(AC87=VLOOKUP(VALUE(AC$1),Questions!$A:$E,5,FALSE),1,0)</f>
        <v>1</v>
      </c>
      <c r="BO87" s="4">
        <f>IF(AD87=VLOOKUP(VALUE(AD$1),Questions!$A:$E,5,FALSE),1,0)</f>
        <v>0</v>
      </c>
      <c r="BP87" s="4">
        <f>IF(AE87=VLOOKUP(VALUE(AE$1),Questions!$A:$E,5,FALSE),1,0)</f>
        <v>0</v>
      </c>
      <c r="BQ87" s="4">
        <f>IF(AF87=VLOOKUP(VALUE(AF$1),Questions!$A:$E,5,FALSE),1,0)</f>
        <v>1</v>
      </c>
      <c r="BR87" s="4">
        <f>IF(AG87=VLOOKUP(VALUE(AG$1),Questions!$A:$E,5,FALSE),1,0)</f>
        <v>1</v>
      </c>
      <c r="BS87" s="4">
        <f>IF(AH87=VLOOKUP(VALUE(AH$1),Questions!$A:$E,5,FALSE),1,0)</f>
        <v>0</v>
      </c>
      <c r="BT87" s="4">
        <f>IF(AI87=VLOOKUP(VALUE(AI$1),Questions!$A:$E,5,FALSE),1,0)</f>
        <v>1</v>
      </c>
      <c r="BU87" s="4">
        <f>IF(AJ87=VLOOKUP(VALUE(AJ$1),Questions!$A:$E,5,FALSE),1,0)</f>
        <v>1</v>
      </c>
      <c r="BV87" s="4">
        <f>IF(AK87=VLOOKUP(VALUE(AK$1),Questions!$A:$E,5,FALSE),1,0)</f>
        <v>0</v>
      </c>
      <c r="BW87" s="87">
        <f>IF(AL87=VLOOKUP(VALUE(AL$1),Questions!$A:$E,5,FALSE),1,0)</f>
        <v>1</v>
      </c>
      <c r="BX87" s="4">
        <f>IF(Scores[[#This Row],[Final]]&gt;=65,1,0)</f>
        <v>0</v>
      </c>
      <c r="BY87" s="4">
        <f>IF(Scores[[#This Row],[Final]]&gt;=IF(Scores[[#This Row],[IEP]],55,65),1,0)</f>
        <v>1</v>
      </c>
    </row>
    <row r="88" spans="1:77" x14ac:dyDescent="0.2">
      <c r="A88" s="6">
        <v>87</v>
      </c>
      <c r="B88" s="4">
        <v>9</v>
      </c>
      <c r="C88" s="4" t="s">
        <v>964</v>
      </c>
      <c r="D88" s="105" t="b">
        <v>0</v>
      </c>
      <c r="E88" s="105" t="b">
        <v>0</v>
      </c>
      <c r="F88" s="86">
        <f>SUM(Scores[[#This Row],[Q1]:[Q28]])</f>
        <v>7</v>
      </c>
      <c r="G88" s="4">
        <f>SUM(Scores[[#This Row],[29]]:Scores[[#This Row],[30]])</f>
        <v>3</v>
      </c>
      <c r="H88" s="4">
        <f>SUM(Scores[[#This Row],[31]:[36]])</f>
        <v>6</v>
      </c>
      <c r="I88" s="4">
        <f>Scores[[#This Row],[37]]</f>
        <v>1.5</v>
      </c>
      <c r="J88" s="87">
        <f>INDEX('Conversion Chart'!$C$3:$M$47,MATCH(SUM(Scores[[#This Row],[MC]:[IIIA]]),'Conversion Chart'!$B$3:$B$47),MATCH(Scores[[#This Row],[IIIB]],'Conversion Chart'!$C$2:$M$2))</f>
        <v>53</v>
      </c>
      <c r="K88" s="103">
        <v>4</v>
      </c>
      <c r="L88" s="103">
        <v>1</v>
      </c>
      <c r="M88" s="103">
        <v>2</v>
      </c>
      <c r="N88" s="103">
        <v>1</v>
      </c>
      <c r="O88" s="103">
        <v>3</v>
      </c>
      <c r="P88" s="103">
        <v>2</v>
      </c>
      <c r="Q88" s="103">
        <v>4</v>
      </c>
      <c r="R88" s="103">
        <v>3</v>
      </c>
      <c r="S88" s="103">
        <v>1</v>
      </c>
      <c r="T88" s="103">
        <v>2</v>
      </c>
      <c r="U88" s="103">
        <v>2</v>
      </c>
      <c r="V88" s="103">
        <v>4</v>
      </c>
      <c r="W88" s="103">
        <v>1</v>
      </c>
      <c r="X88" s="103">
        <v>2</v>
      </c>
      <c r="Y88" s="103">
        <v>3</v>
      </c>
      <c r="Z88" s="103">
        <v>2</v>
      </c>
      <c r="AA88" s="103">
        <v>1</v>
      </c>
      <c r="AB88" s="103">
        <v>3</v>
      </c>
      <c r="AC88" s="103">
        <v>4</v>
      </c>
      <c r="AD88" s="103">
        <v>2</v>
      </c>
      <c r="AE88" s="103">
        <v>3</v>
      </c>
      <c r="AF88" s="103">
        <v>1</v>
      </c>
      <c r="AG88" s="103">
        <v>3</v>
      </c>
      <c r="AH88" s="103">
        <v>4</v>
      </c>
      <c r="AI88" s="103">
        <v>2</v>
      </c>
      <c r="AJ88" s="103">
        <v>1</v>
      </c>
      <c r="AK88" s="103">
        <v>4</v>
      </c>
      <c r="AL88" s="104">
        <v>3</v>
      </c>
      <c r="AM88" s="4">
        <v>2</v>
      </c>
      <c r="AN88" s="87">
        <v>1</v>
      </c>
      <c r="AO88" s="4">
        <v>1</v>
      </c>
      <c r="AP88" s="4">
        <v>1</v>
      </c>
      <c r="AQ88" s="4">
        <v>1</v>
      </c>
      <c r="AR88" s="4">
        <v>1</v>
      </c>
      <c r="AS88" s="4">
        <v>1</v>
      </c>
      <c r="AT88" s="4">
        <v>1</v>
      </c>
      <c r="AU88" s="107">
        <v>1.5</v>
      </c>
      <c r="AV88" s="4">
        <f>IF(K88=VLOOKUP(VALUE(K$1),Questions!$A:$E,5,FALSE),1,0)</f>
        <v>1</v>
      </c>
      <c r="AW88" s="4">
        <f>IF(L88=VLOOKUP(VALUE(L$1),Questions!$A:$E,5,FALSE),1,0)</f>
        <v>0</v>
      </c>
      <c r="AX88" s="4">
        <f>IF(M88=VLOOKUP(VALUE(M$1),Questions!$A:$E,5,FALSE),1,0)</f>
        <v>0</v>
      </c>
      <c r="AY88" s="4">
        <f>IF(N88=VLOOKUP(VALUE(N$1),Questions!$A:$E,5,FALSE),1,0)</f>
        <v>0</v>
      </c>
      <c r="AZ88" s="4">
        <f>IF(O88=VLOOKUP(VALUE(O$1),Questions!$A:$E,5,FALSE),1,0)</f>
        <v>0</v>
      </c>
      <c r="BA88" s="4">
        <f>IF(P88=VLOOKUP(VALUE(P$1),Questions!$A:$E,5,FALSE),1,0)</f>
        <v>0</v>
      </c>
      <c r="BB88" s="4">
        <f>IF(Q88=VLOOKUP(VALUE(Q$1),Questions!$A:$E,5,FALSE),1,0)</f>
        <v>0</v>
      </c>
      <c r="BC88" s="4">
        <f>IF(R88=VLOOKUP(VALUE(R$1),Questions!$A:$E,5,FALSE),1,0)</f>
        <v>0</v>
      </c>
      <c r="BD88" s="4">
        <f>IF(S88=VLOOKUP(VALUE(S$1),Questions!$A:$E,5,FALSE),1,0)</f>
        <v>0</v>
      </c>
      <c r="BE88" s="4">
        <f>IF(T88=VLOOKUP(VALUE(T$1),Questions!$A:$E,5,FALSE),1,0)</f>
        <v>0</v>
      </c>
      <c r="BF88" s="4">
        <f>IF(U88=VLOOKUP(VALUE(U$1),Questions!$A:$E,5,FALSE),1,0)</f>
        <v>1</v>
      </c>
      <c r="BG88" s="4">
        <f>IF(V88=VLOOKUP(VALUE(V$1),Questions!$A:$E,5,FALSE),1,0)</f>
        <v>1</v>
      </c>
      <c r="BH88" s="4">
        <f>IF(W88=VLOOKUP(VALUE(W$1),Questions!$A:$E,5,FALSE),1,0)</f>
        <v>0</v>
      </c>
      <c r="BI88" s="4">
        <f>IF(X88=VLOOKUP(VALUE(X$1),Questions!$A:$E,5,FALSE),1,0)</f>
        <v>0</v>
      </c>
      <c r="BJ88" s="4">
        <f>IF(Y88=VLOOKUP(VALUE(Y$1),Questions!$A:$E,5,FALSE),1,0)</f>
        <v>1</v>
      </c>
      <c r="BK88" s="4">
        <f>IF(Z88=VLOOKUP(VALUE(Z$1),Questions!$A:$E,5,FALSE),1,0)</f>
        <v>0</v>
      </c>
      <c r="BL88" s="4">
        <f>IF(AA88=VLOOKUP(VALUE(AA$1),Questions!$A:$E,5,FALSE),1,0)</f>
        <v>1</v>
      </c>
      <c r="BM88" s="4">
        <f>IF(AB88=VLOOKUP(VALUE(AB$1),Questions!$A:$E,5,FALSE),1,0)</f>
        <v>0</v>
      </c>
      <c r="BN88" s="4">
        <f>IF(AC88=VLOOKUP(VALUE(AC$1),Questions!$A:$E,5,FALSE),1,0)</f>
        <v>0</v>
      </c>
      <c r="BO88" s="4">
        <f>IF(AD88=VLOOKUP(VALUE(AD$1),Questions!$A:$E,5,FALSE),1,0)</f>
        <v>0</v>
      </c>
      <c r="BP88" s="4">
        <f>IF(AE88=VLOOKUP(VALUE(AE$1),Questions!$A:$E,5,FALSE),1,0)</f>
        <v>0</v>
      </c>
      <c r="BQ88" s="4">
        <f>IF(AF88=VLOOKUP(VALUE(AF$1),Questions!$A:$E,5,FALSE),1,0)</f>
        <v>0</v>
      </c>
      <c r="BR88" s="4">
        <f>IF(AG88=VLOOKUP(VALUE(AG$1),Questions!$A:$E,5,FALSE),1,0)</f>
        <v>1</v>
      </c>
      <c r="BS88" s="4">
        <f>IF(AH88=VLOOKUP(VALUE(AH$1),Questions!$A:$E,5,FALSE),1,0)</f>
        <v>0</v>
      </c>
      <c r="BT88" s="4">
        <f>IF(AI88=VLOOKUP(VALUE(AI$1),Questions!$A:$E,5,FALSE),1,0)</f>
        <v>0</v>
      </c>
      <c r="BU88" s="4">
        <f>IF(AJ88=VLOOKUP(VALUE(AJ$1),Questions!$A:$E,5,FALSE),1,0)</f>
        <v>0</v>
      </c>
      <c r="BV88" s="4">
        <f>IF(AK88=VLOOKUP(VALUE(AK$1),Questions!$A:$E,5,FALSE),1,0)</f>
        <v>0</v>
      </c>
      <c r="BW88" s="87">
        <f>IF(AL88=VLOOKUP(VALUE(AL$1),Questions!$A:$E,5,FALSE),1,0)</f>
        <v>1</v>
      </c>
      <c r="BX88" s="4">
        <f>IF(Scores[[#This Row],[Final]]&gt;=65,1,0)</f>
        <v>0</v>
      </c>
      <c r="BY88" s="4">
        <f>IF(Scores[[#This Row],[Final]]&gt;=IF(Scores[[#This Row],[IEP]],55,65),1,0)</f>
        <v>0</v>
      </c>
    </row>
    <row r="89" spans="1:77" x14ac:dyDescent="0.2">
      <c r="A89" s="6">
        <v>88</v>
      </c>
      <c r="B89" s="4">
        <v>11</v>
      </c>
      <c r="C89" s="4" t="s">
        <v>962</v>
      </c>
      <c r="D89" s="105" t="b">
        <v>0</v>
      </c>
      <c r="E89" s="105" t="b">
        <v>0</v>
      </c>
      <c r="F89" s="86">
        <f>SUM(Scores[[#This Row],[Q1]:[Q28]])</f>
        <v>11</v>
      </c>
      <c r="G89" s="4">
        <f>SUM(Scores[[#This Row],[29]]:Scores[[#This Row],[30]])</f>
        <v>6</v>
      </c>
      <c r="H89" s="4">
        <f>SUM(Scores[[#This Row],[31]:[36]])</f>
        <v>6</v>
      </c>
      <c r="I89" s="4">
        <f>Scores[[#This Row],[37]]</f>
        <v>2</v>
      </c>
      <c r="J89" s="87">
        <f>INDEX('Conversion Chart'!$C$3:$M$47,MATCH(SUM(Scores[[#This Row],[MC]:[IIIA]]),'Conversion Chart'!$B$3:$B$47),MATCH(Scores[[#This Row],[IIIB]],'Conversion Chart'!$C$2:$M$2))</f>
        <v>66</v>
      </c>
      <c r="K89" s="103">
        <v>4</v>
      </c>
      <c r="L89" s="103">
        <v>2</v>
      </c>
      <c r="M89" s="103">
        <v>1</v>
      </c>
      <c r="N89" s="103">
        <v>1</v>
      </c>
      <c r="O89" s="103">
        <v>4</v>
      </c>
      <c r="P89" s="103">
        <v>2</v>
      </c>
      <c r="Q89" s="103">
        <v>4</v>
      </c>
      <c r="R89" s="103">
        <v>2</v>
      </c>
      <c r="S89" s="103">
        <v>3</v>
      </c>
      <c r="T89" s="103">
        <v>1</v>
      </c>
      <c r="U89" s="103">
        <v>2</v>
      </c>
      <c r="V89" s="103">
        <v>3</v>
      </c>
      <c r="W89" s="103">
        <v>1</v>
      </c>
      <c r="X89" s="103">
        <v>3</v>
      </c>
      <c r="Y89" s="103">
        <v>4</v>
      </c>
      <c r="Z89" s="103">
        <v>1</v>
      </c>
      <c r="AA89" s="103">
        <v>1</v>
      </c>
      <c r="AB89" s="103">
        <v>2</v>
      </c>
      <c r="AC89" s="103">
        <v>1</v>
      </c>
      <c r="AD89" s="103">
        <v>2</v>
      </c>
      <c r="AE89" s="103">
        <v>2</v>
      </c>
      <c r="AF89" s="103">
        <v>2</v>
      </c>
      <c r="AG89" s="103">
        <v>3</v>
      </c>
      <c r="AH89" s="103">
        <v>2</v>
      </c>
      <c r="AI89" s="103">
        <v>3</v>
      </c>
      <c r="AJ89" s="103">
        <v>1</v>
      </c>
      <c r="AK89" s="103">
        <v>4</v>
      </c>
      <c r="AL89" s="104">
        <v>3</v>
      </c>
      <c r="AM89" s="4">
        <v>3</v>
      </c>
      <c r="AN89" s="87">
        <v>3</v>
      </c>
      <c r="AO89" s="4">
        <v>1</v>
      </c>
      <c r="AP89" s="4">
        <v>1</v>
      </c>
      <c r="AQ89" s="4">
        <v>1</v>
      </c>
      <c r="AR89" s="4">
        <v>1</v>
      </c>
      <c r="AS89" s="4">
        <v>1</v>
      </c>
      <c r="AT89" s="4">
        <v>1</v>
      </c>
      <c r="AU89" s="107">
        <v>2</v>
      </c>
      <c r="AV89" s="4">
        <f>IF(K89=VLOOKUP(VALUE(K$1),Questions!$A:$E,5,FALSE),1,0)</f>
        <v>1</v>
      </c>
      <c r="AW89" s="4">
        <f>IF(L89=VLOOKUP(VALUE(L$1),Questions!$A:$E,5,FALSE),1,0)</f>
        <v>1</v>
      </c>
      <c r="AX89" s="4">
        <f>IF(M89=VLOOKUP(VALUE(M$1),Questions!$A:$E,5,FALSE),1,0)</f>
        <v>0</v>
      </c>
      <c r="AY89" s="4">
        <f>IF(N89=VLOOKUP(VALUE(N$1),Questions!$A:$E,5,FALSE),1,0)</f>
        <v>0</v>
      </c>
      <c r="AZ89" s="4">
        <f>IF(O89=VLOOKUP(VALUE(O$1),Questions!$A:$E,5,FALSE),1,0)</f>
        <v>0</v>
      </c>
      <c r="BA89" s="4">
        <f>IF(P89=VLOOKUP(VALUE(P$1),Questions!$A:$E,5,FALSE),1,0)</f>
        <v>0</v>
      </c>
      <c r="BB89" s="4">
        <f>IF(Q89=VLOOKUP(VALUE(Q$1),Questions!$A:$E,5,FALSE),1,0)</f>
        <v>0</v>
      </c>
      <c r="BC89" s="4">
        <f>IF(R89=VLOOKUP(VALUE(R$1),Questions!$A:$E,5,FALSE),1,0)</f>
        <v>1</v>
      </c>
      <c r="BD89" s="4">
        <f>IF(S89=VLOOKUP(VALUE(S$1),Questions!$A:$E,5,FALSE),1,0)</f>
        <v>0</v>
      </c>
      <c r="BE89" s="4">
        <f>IF(T89=VLOOKUP(VALUE(T$1),Questions!$A:$E,5,FALSE),1,0)</f>
        <v>1</v>
      </c>
      <c r="BF89" s="4">
        <f>IF(U89=VLOOKUP(VALUE(U$1),Questions!$A:$E,5,FALSE),1,0)</f>
        <v>1</v>
      </c>
      <c r="BG89" s="4">
        <f>IF(V89=VLOOKUP(VALUE(V$1),Questions!$A:$E,5,FALSE),1,0)</f>
        <v>0</v>
      </c>
      <c r="BH89" s="4">
        <f>IF(W89=VLOOKUP(VALUE(W$1),Questions!$A:$E,5,FALSE),1,0)</f>
        <v>0</v>
      </c>
      <c r="BI89" s="4">
        <f>IF(X89=VLOOKUP(VALUE(X$1),Questions!$A:$E,5,FALSE),1,0)</f>
        <v>0</v>
      </c>
      <c r="BJ89" s="4">
        <f>IF(Y89=VLOOKUP(VALUE(Y$1),Questions!$A:$E,5,FALSE),1,0)</f>
        <v>0</v>
      </c>
      <c r="BK89" s="4">
        <f>IF(Z89=VLOOKUP(VALUE(Z$1),Questions!$A:$E,5,FALSE),1,0)</f>
        <v>1</v>
      </c>
      <c r="BL89" s="4">
        <f>IF(AA89=VLOOKUP(VALUE(AA$1),Questions!$A:$E,5,FALSE),1,0)</f>
        <v>1</v>
      </c>
      <c r="BM89" s="4">
        <f>IF(AB89=VLOOKUP(VALUE(AB$1),Questions!$A:$E,5,FALSE),1,0)</f>
        <v>0</v>
      </c>
      <c r="BN89" s="4">
        <f>IF(AC89=VLOOKUP(VALUE(AC$1),Questions!$A:$E,5,FALSE),1,0)</f>
        <v>0</v>
      </c>
      <c r="BO89" s="4">
        <f>IF(AD89=VLOOKUP(VALUE(AD$1),Questions!$A:$E,5,FALSE),1,0)</f>
        <v>0</v>
      </c>
      <c r="BP89" s="4">
        <f>IF(AE89=VLOOKUP(VALUE(AE$1),Questions!$A:$E,5,FALSE),1,0)</f>
        <v>1</v>
      </c>
      <c r="BQ89" s="4">
        <f>IF(AF89=VLOOKUP(VALUE(AF$1),Questions!$A:$E,5,FALSE),1,0)</f>
        <v>1</v>
      </c>
      <c r="BR89" s="4">
        <f>IF(AG89=VLOOKUP(VALUE(AG$1),Questions!$A:$E,5,FALSE),1,0)</f>
        <v>1</v>
      </c>
      <c r="BS89" s="4">
        <f>IF(AH89=VLOOKUP(VALUE(AH$1),Questions!$A:$E,5,FALSE),1,0)</f>
        <v>0</v>
      </c>
      <c r="BT89" s="4">
        <f>IF(AI89=VLOOKUP(VALUE(AI$1),Questions!$A:$E,5,FALSE),1,0)</f>
        <v>0</v>
      </c>
      <c r="BU89" s="4">
        <f>IF(AJ89=VLOOKUP(VALUE(AJ$1),Questions!$A:$E,5,FALSE),1,0)</f>
        <v>0</v>
      </c>
      <c r="BV89" s="4">
        <f>IF(AK89=VLOOKUP(VALUE(AK$1),Questions!$A:$E,5,FALSE),1,0)</f>
        <v>0</v>
      </c>
      <c r="BW89" s="87">
        <f>IF(AL89=VLOOKUP(VALUE(AL$1),Questions!$A:$E,5,FALSE),1,0)</f>
        <v>1</v>
      </c>
      <c r="BX89" s="4">
        <f>IF(Scores[[#This Row],[Final]]&gt;=65,1,0)</f>
        <v>1</v>
      </c>
      <c r="BY89" s="4">
        <f>IF(Scores[[#This Row],[Final]]&gt;=IF(Scores[[#This Row],[IEP]],55,65),1,0)</f>
        <v>1</v>
      </c>
    </row>
    <row r="90" spans="1:77" x14ac:dyDescent="0.2">
      <c r="A90" s="6">
        <v>89</v>
      </c>
      <c r="B90" s="4">
        <v>11</v>
      </c>
      <c r="C90" s="4" t="s">
        <v>962</v>
      </c>
      <c r="D90" s="105" t="b">
        <v>1</v>
      </c>
      <c r="E90" s="105" t="b">
        <v>0</v>
      </c>
      <c r="F90" s="86">
        <f>SUM(Scores[[#This Row],[Q1]:[Q28]])</f>
        <v>9</v>
      </c>
      <c r="G90" s="4">
        <f>SUM(Scores[[#This Row],[29]]:Scores[[#This Row],[30]])</f>
        <v>2</v>
      </c>
      <c r="H90" s="4">
        <f>SUM(Scores[[#This Row],[31]:[36]])</f>
        <v>6</v>
      </c>
      <c r="I90" s="4">
        <f>Scores[[#This Row],[37]]</f>
        <v>1</v>
      </c>
      <c r="J90" s="87">
        <f>INDEX('Conversion Chart'!$C$3:$M$47,MATCH(SUM(Scores[[#This Row],[MC]:[IIIA]]),'Conversion Chart'!$B$3:$B$47),MATCH(Scores[[#This Row],[IIIB]],'Conversion Chart'!$C$2:$M$2))</f>
        <v>52</v>
      </c>
      <c r="K90" s="103">
        <v>4</v>
      </c>
      <c r="L90" s="103">
        <v>2</v>
      </c>
      <c r="M90" s="103">
        <v>3</v>
      </c>
      <c r="N90" s="103">
        <v>1</v>
      </c>
      <c r="O90" s="103">
        <v>4</v>
      </c>
      <c r="P90" s="103">
        <v>2</v>
      </c>
      <c r="Q90" s="103">
        <v>1</v>
      </c>
      <c r="R90" s="103">
        <v>2</v>
      </c>
      <c r="S90" s="103">
        <v>1</v>
      </c>
      <c r="T90" s="103">
        <v>3</v>
      </c>
      <c r="U90" s="103">
        <v>1</v>
      </c>
      <c r="V90" s="103">
        <v>1</v>
      </c>
      <c r="W90" s="103">
        <v>2</v>
      </c>
      <c r="X90" s="103">
        <v>3</v>
      </c>
      <c r="Y90" s="103">
        <v>2</v>
      </c>
      <c r="Z90" s="103">
        <v>4</v>
      </c>
      <c r="AA90" s="103">
        <v>1</v>
      </c>
      <c r="AB90" s="103">
        <v>3</v>
      </c>
      <c r="AC90" s="103">
        <v>3</v>
      </c>
      <c r="AD90" s="103">
        <v>4</v>
      </c>
      <c r="AE90" s="103">
        <v>1</v>
      </c>
      <c r="AF90" s="103">
        <v>1</v>
      </c>
      <c r="AG90" s="103">
        <v>3</v>
      </c>
      <c r="AH90" s="103">
        <v>2</v>
      </c>
      <c r="AI90" s="103">
        <v>4</v>
      </c>
      <c r="AJ90" s="103">
        <v>2</v>
      </c>
      <c r="AK90" s="103">
        <v>3</v>
      </c>
      <c r="AL90" s="104">
        <v>2</v>
      </c>
      <c r="AM90" s="4">
        <v>1</v>
      </c>
      <c r="AN90" s="87">
        <v>1</v>
      </c>
      <c r="AO90" s="4">
        <v>1</v>
      </c>
      <c r="AP90" s="4">
        <v>1</v>
      </c>
      <c r="AQ90" s="4">
        <v>1</v>
      </c>
      <c r="AR90" s="4">
        <v>1</v>
      </c>
      <c r="AS90" s="4">
        <v>1</v>
      </c>
      <c r="AT90" s="4">
        <v>1</v>
      </c>
      <c r="AU90" s="107">
        <v>1</v>
      </c>
      <c r="AV90" s="4">
        <f>IF(K90=VLOOKUP(VALUE(K$1),Questions!$A:$E,5,FALSE),1,0)</f>
        <v>1</v>
      </c>
      <c r="AW90" s="4">
        <f>IF(L90=VLOOKUP(VALUE(L$1),Questions!$A:$E,5,FALSE),1,0)</f>
        <v>1</v>
      </c>
      <c r="AX90" s="4">
        <f>IF(M90=VLOOKUP(VALUE(M$1),Questions!$A:$E,5,FALSE),1,0)</f>
        <v>1</v>
      </c>
      <c r="AY90" s="4">
        <f>IF(N90=VLOOKUP(VALUE(N$1),Questions!$A:$E,5,FALSE),1,0)</f>
        <v>0</v>
      </c>
      <c r="AZ90" s="4">
        <f>IF(O90=VLOOKUP(VALUE(O$1),Questions!$A:$E,5,FALSE),1,0)</f>
        <v>0</v>
      </c>
      <c r="BA90" s="4">
        <f>IF(P90=VLOOKUP(VALUE(P$1),Questions!$A:$E,5,FALSE),1,0)</f>
        <v>0</v>
      </c>
      <c r="BB90" s="4">
        <f>IF(Q90=VLOOKUP(VALUE(Q$1),Questions!$A:$E,5,FALSE),1,0)</f>
        <v>0</v>
      </c>
      <c r="BC90" s="4">
        <f>IF(R90=VLOOKUP(VALUE(R$1),Questions!$A:$E,5,FALSE),1,0)</f>
        <v>1</v>
      </c>
      <c r="BD90" s="4">
        <f>IF(S90=VLOOKUP(VALUE(S$1),Questions!$A:$E,5,FALSE),1,0)</f>
        <v>0</v>
      </c>
      <c r="BE90" s="4">
        <f>IF(T90=VLOOKUP(VALUE(T$1),Questions!$A:$E,5,FALSE),1,0)</f>
        <v>0</v>
      </c>
      <c r="BF90" s="4">
        <f>IF(U90=VLOOKUP(VALUE(U$1),Questions!$A:$E,5,FALSE),1,0)</f>
        <v>0</v>
      </c>
      <c r="BG90" s="4">
        <f>IF(V90=VLOOKUP(VALUE(V$1),Questions!$A:$E,5,FALSE),1,0)</f>
        <v>0</v>
      </c>
      <c r="BH90" s="4">
        <f>IF(W90=VLOOKUP(VALUE(W$1),Questions!$A:$E,5,FALSE),1,0)</f>
        <v>1</v>
      </c>
      <c r="BI90" s="4">
        <f>IF(X90=VLOOKUP(VALUE(X$1),Questions!$A:$E,5,FALSE),1,0)</f>
        <v>0</v>
      </c>
      <c r="BJ90" s="4">
        <f>IF(Y90=VLOOKUP(VALUE(Y$1),Questions!$A:$E,5,FALSE),1,0)</f>
        <v>0</v>
      </c>
      <c r="BK90" s="4">
        <f>IF(Z90=VLOOKUP(VALUE(Z$1),Questions!$A:$E,5,FALSE),1,0)</f>
        <v>0</v>
      </c>
      <c r="BL90" s="4">
        <f>IF(AA90=VLOOKUP(VALUE(AA$1),Questions!$A:$E,5,FALSE),1,0)</f>
        <v>1</v>
      </c>
      <c r="BM90" s="4">
        <f>IF(AB90=VLOOKUP(VALUE(AB$1),Questions!$A:$E,5,FALSE),1,0)</f>
        <v>0</v>
      </c>
      <c r="BN90" s="4">
        <f>IF(AC90=VLOOKUP(VALUE(AC$1),Questions!$A:$E,5,FALSE),1,0)</f>
        <v>1</v>
      </c>
      <c r="BO90" s="4">
        <f>IF(AD90=VLOOKUP(VALUE(AD$1),Questions!$A:$E,5,FALSE),1,0)</f>
        <v>1</v>
      </c>
      <c r="BP90" s="4">
        <f>IF(AE90=VLOOKUP(VALUE(AE$1),Questions!$A:$E,5,FALSE),1,0)</f>
        <v>0</v>
      </c>
      <c r="BQ90" s="4">
        <f>IF(AF90=VLOOKUP(VALUE(AF$1),Questions!$A:$E,5,FALSE),1,0)</f>
        <v>0</v>
      </c>
      <c r="BR90" s="4">
        <f>IF(AG90=VLOOKUP(VALUE(AG$1),Questions!$A:$E,5,FALSE),1,0)</f>
        <v>1</v>
      </c>
      <c r="BS90" s="4">
        <f>IF(AH90=VLOOKUP(VALUE(AH$1),Questions!$A:$E,5,FALSE),1,0)</f>
        <v>0</v>
      </c>
      <c r="BT90" s="4">
        <f>IF(AI90=VLOOKUP(VALUE(AI$1),Questions!$A:$E,5,FALSE),1,0)</f>
        <v>0</v>
      </c>
      <c r="BU90" s="4">
        <f>IF(AJ90=VLOOKUP(VALUE(AJ$1),Questions!$A:$E,5,FALSE),1,0)</f>
        <v>0</v>
      </c>
      <c r="BV90" s="4">
        <f>IF(AK90=VLOOKUP(VALUE(AK$1),Questions!$A:$E,5,FALSE),1,0)</f>
        <v>0</v>
      </c>
      <c r="BW90" s="87">
        <f>IF(AL90=VLOOKUP(VALUE(AL$1),Questions!$A:$E,5,FALSE),1,0)</f>
        <v>0</v>
      </c>
      <c r="BX90" s="4">
        <f>IF(Scores[[#This Row],[Final]]&gt;=65,1,0)</f>
        <v>0</v>
      </c>
      <c r="BY90" s="4">
        <f>IF(Scores[[#This Row],[Final]]&gt;=IF(Scores[[#This Row],[IEP]],55,65),1,0)</f>
        <v>0</v>
      </c>
    </row>
    <row r="91" spans="1:77" x14ac:dyDescent="0.2">
      <c r="A91" s="6">
        <v>90</v>
      </c>
      <c r="B91" s="4">
        <v>11</v>
      </c>
      <c r="C91" s="4" t="s">
        <v>964</v>
      </c>
      <c r="D91" s="105" t="b">
        <v>0</v>
      </c>
      <c r="E91" s="105" t="b">
        <v>0</v>
      </c>
      <c r="F91" s="86">
        <f>SUM(Scores[[#This Row],[Q1]:[Q28]])</f>
        <v>11</v>
      </c>
      <c r="G91" s="4">
        <f>SUM(Scores[[#This Row],[29]]:Scores[[#This Row],[30]])</f>
        <v>2</v>
      </c>
      <c r="H91" s="4">
        <f>SUM(Scores[[#This Row],[31]:[36]])</f>
        <v>6</v>
      </c>
      <c r="I91" s="4">
        <f>Scores[[#This Row],[37]]</f>
        <v>1</v>
      </c>
      <c r="J91" s="87">
        <f>INDEX('Conversion Chart'!$C$3:$M$47,MATCH(SUM(Scores[[#This Row],[MC]:[IIIA]]),'Conversion Chart'!$B$3:$B$47),MATCH(Scores[[#This Row],[IIIB]],'Conversion Chart'!$C$2:$M$2))</f>
        <v>55</v>
      </c>
      <c r="K91" s="103">
        <v>4</v>
      </c>
      <c r="L91" s="103">
        <v>1</v>
      </c>
      <c r="M91" s="103">
        <v>2</v>
      </c>
      <c r="N91" s="103">
        <v>2</v>
      </c>
      <c r="O91" s="103">
        <v>3</v>
      </c>
      <c r="P91" s="103">
        <v>1</v>
      </c>
      <c r="Q91" s="103">
        <v>3</v>
      </c>
      <c r="R91" s="103">
        <v>4</v>
      </c>
      <c r="S91" s="103">
        <v>1</v>
      </c>
      <c r="T91" s="103">
        <v>2</v>
      </c>
      <c r="U91" s="103">
        <v>1</v>
      </c>
      <c r="V91" s="103">
        <v>3</v>
      </c>
      <c r="W91" s="103">
        <v>4</v>
      </c>
      <c r="X91" s="103">
        <v>2</v>
      </c>
      <c r="Y91" s="103">
        <v>4</v>
      </c>
      <c r="Z91" s="103">
        <v>1</v>
      </c>
      <c r="AA91" s="103">
        <v>1</v>
      </c>
      <c r="AB91" s="103">
        <v>4</v>
      </c>
      <c r="AC91" s="103">
        <v>4</v>
      </c>
      <c r="AD91" s="103">
        <v>2</v>
      </c>
      <c r="AE91" s="103">
        <v>2</v>
      </c>
      <c r="AF91" s="103">
        <v>2</v>
      </c>
      <c r="AG91" s="103">
        <v>3</v>
      </c>
      <c r="AH91" s="103">
        <v>3</v>
      </c>
      <c r="AI91" s="103">
        <v>2</v>
      </c>
      <c r="AJ91" s="103">
        <v>4</v>
      </c>
      <c r="AK91" s="103">
        <v>3</v>
      </c>
      <c r="AL91" s="104">
        <v>3</v>
      </c>
      <c r="AM91" s="4">
        <v>1</v>
      </c>
      <c r="AN91" s="87">
        <v>1</v>
      </c>
      <c r="AO91" s="4">
        <v>1</v>
      </c>
      <c r="AP91" s="4">
        <v>1</v>
      </c>
      <c r="AQ91" s="4">
        <v>1</v>
      </c>
      <c r="AR91" s="4">
        <v>1</v>
      </c>
      <c r="AS91" s="4">
        <v>1</v>
      </c>
      <c r="AT91" s="4">
        <v>1</v>
      </c>
      <c r="AU91" s="107">
        <v>1</v>
      </c>
      <c r="AV91" s="4">
        <f>IF(K91=VLOOKUP(VALUE(K$1),Questions!$A:$E,5,FALSE),1,0)</f>
        <v>1</v>
      </c>
      <c r="AW91" s="4">
        <f>IF(L91=VLOOKUP(VALUE(L$1),Questions!$A:$E,5,FALSE),1,0)</f>
        <v>0</v>
      </c>
      <c r="AX91" s="4">
        <f>IF(M91=VLOOKUP(VALUE(M$1),Questions!$A:$E,5,FALSE),1,0)</f>
        <v>0</v>
      </c>
      <c r="AY91" s="4">
        <f>IF(N91=VLOOKUP(VALUE(N$1),Questions!$A:$E,5,FALSE),1,0)</f>
        <v>0</v>
      </c>
      <c r="AZ91" s="4">
        <f>IF(O91=VLOOKUP(VALUE(O$1),Questions!$A:$E,5,FALSE),1,0)</f>
        <v>0</v>
      </c>
      <c r="BA91" s="4">
        <f>IF(P91=VLOOKUP(VALUE(P$1),Questions!$A:$E,5,FALSE),1,0)</f>
        <v>0</v>
      </c>
      <c r="BB91" s="4">
        <f>IF(Q91=VLOOKUP(VALUE(Q$1),Questions!$A:$E,5,FALSE),1,0)</f>
        <v>1</v>
      </c>
      <c r="BC91" s="4">
        <f>IF(R91=VLOOKUP(VALUE(R$1),Questions!$A:$E,5,FALSE),1,0)</f>
        <v>0</v>
      </c>
      <c r="BD91" s="4">
        <f>IF(S91=VLOOKUP(VALUE(S$1),Questions!$A:$E,5,FALSE),1,0)</f>
        <v>0</v>
      </c>
      <c r="BE91" s="4">
        <f>IF(T91=VLOOKUP(VALUE(T$1),Questions!$A:$E,5,FALSE),1,0)</f>
        <v>0</v>
      </c>
      <c r="BF91" s="4">
        <f>IF(U91=VLOOKUP(VALUE(U$1),Questions!$A:$E,5,FALSE),1,0)</f>
        <v>0</v>
      </c>
      <c r="BG91" s="4">
        <f>IF(V91=VLOOKUP(VALUE(V$1),Questions!$A:$E,5,FALSE),1,0)</f>
        <v>0</v>
      </c>
      <c r="BH91" s="4">
        <f>IF(W91=VLOOKUP(VALUE(W$1),Questions!$A:$E,5,FALSE),1,0)</f>
        <v>0</v>
      </c>
      <c r="BI91" s="4">
        <f>IF(X91=VLOOKUP(VALUE(X$1),Questions!$A:$E,5,FALSE),1,0)</f>
        <v>0</v>
      </c>
      <c r="BJ91" s="4">
        <f>IF(Y91=VLOOKUP(VALUE(Y$1),Questions!$A:$E,5,FALSE),1,0)</f>
        <v>0</v>
      </c>
      <c r="BK91" s="4">
        <f>IF(Z91=VLOOKUP(VALUE(Z$1),Questions!$A:$E,5,FALSE),1,0)</f>
        <v>1</v>
      </c>
      <c r="BL91" s="4">
        <f>IF(AA91=VLOOKUP(VALUE(AA$1),Questions!$A:$E,5,FALSE),1,0)</f>
        <v>1</v>
      </c>
      <c r="BM91" s="4">
        <f>IF(AB91=VLOOKUP(VALUE(AB$1),Questions!$A:$E,5,FALSE),1,0)</f>
        <v>1</v>
      </c>
      <c r="BN91" s="4">
        <f>IF(AC91=VLOOKUP(VALUE(AC$1),Questions!$A:$E,5,FALSE),1,0)</f>
        <v>0</v>
      </c>
      <c r="BO91" s="4">
        <f>IF(AD91=VLOOKUP(VALUE(AD$1),Questions!$A:$E,5,FALSE),1,0)</f>
        <v>0</v>
      </c>
      <c r="BP91" s="4">
        <f>IF(AE91=VLOOKUP(VALUE(AE$1),Questions!$A:$E,5,FALSE),1,0)</f>
        <v>1</v>
      </c>
      <c r="BQ91" s="4">
        <f>IF(AF91=VLOOKUP(VALUE(AF$1),Questions!$A:$E,5,FALSE),1,0)</f>
        <v>1</v>
      </c>
      <c r="BR91" s="4">
        <f>IF(AG91=VLOOKUP(VALUE(AG$1),Questions!$A:$E,5,FALSE),1,0)</f>
        <v>1</v>
      </c>
      <c r="BS91" s="4">
        <f>IF(AH91=VLOOKUP(VALUE(AH$1),Questions!$A:$E,5,FALSE),1,0)</f>
        <v>1</v>
      </c>
      <c r="BT91" s="4">
        <f>IF(AI91=VLOOKUP(VALUE(AI$1),Questions!$A:$E,5,FALSE),1,0)</f>
        <v>0</v>
      </c>
      <c r="BU91" s="4">
        <f>IF(AJ91=VLOOKUP(VALUE(AJ$1),Questions!$A:$E,5,FALSE),1,0)</f>
        <v>1</v>
      </c>
      <c r="BV91" s="4">
        <f>IF(AK91=VLOOKUP(VALUE(AK$1),Questions!$A:$E,5,FALSE),1,0)</f>
        <v>0</v>
      </c>
      <c r="BW91" s="87">
        <f>IF(AL91=VLOOKUP(VALUE(AL$1),Questions!$A:$E,5,FALSE),1,0)</f>
        <v>1</v>
      </c>
      <c r="BX91" s="4">
        <f>IF(Scores[[#This Row],[Final]]&gt;=65,1,0)</f>
        <v>0</v>
      </c>
      <c r="BY91" s="4">
        <f>IF(Scores[[#This Row],[Final]]&gt;=IF(Scores[[#This Row],[IEP]],55,65),1,0)</f>
        <v>0</v>
      </c>
    </row>
    <row r="92" spans="1:77" x14ac:dyDescent="0.2">
      <c r="A92" s="6">
        <v>91</v>
      </c>
      <c r="B92" s="4">
        <v>11</v>
      </c>
      <c r="C92" s="4" t="s">
        <v>968</v>
      </c>
      <c r="D92" s="105" t="b">
        <v>0</v>
      </c>
      <c r="E92" s="105" t="b">
        <v>0</v>
      </c>
      <c r="F92" s="86">
        <f>SUM(Scores[[#This Row],[Q1]:[Q28]])</f>
        <v>15</v>
      </c>
      <c r="G92" s="4">
        <f>SUM(Scores[[#This Row],[29]]:Scores[[#This Row],[30]])</f>
        <v>5</v>
      </c>
      <c r="H92" s="4">
        <f>SUM(Scores[[#This Row],[31]:[36]])</f>
        <v>6</v>
      </c>
      <c r="I92" s="4">
        <f>Scores[[#This Row],[37]]</f>
        <v>3</v>
      </c>
      <c r="J92" s="87">
        <f>INDEX('Conversion Chart'!$C$3:$M$47,MATCH(SUM(Scores[[#This Row],[MC]:[IIIA]]),'Conversion Chart'!$B$3:$B$47),MATCH(Scores[[#This Row],[IIIB]],'Conversion Chart'!$C$2:$M$2))</f>
        <v>72</v>
      </c>
      <c r="K92" s="103">
        <v>4</v>
      </c>
      <c r="L92" s="103">
        <v>2</v>
      </c>
      <c r="M92" s="103">
        <v>3</v>
      </c>
      <c r="N92" s="103">
        <v>3</v>
      </c>
      <c r="O92" s="103">
        <v>1</v>
      </c>
      <c r="P92" s="103">
        <v>1</v>
      </c>
      <c r="Q92" s="103">
        <v>3</v>
      </c>
      <c r="R92" s="103">
        <v>2</v>
      </c>
      <c r="S92" s="103">
        <v>3</v>
      </c>
      <c r="T92" s="103">
        <v>2</v>
      </c>
      <c r="U92" s="103">
        <v>2</v>
      </c>
      <c r="V92" s="103">
        <v>3</v>
      </c>
      <c r="W92" s="103">
        <v>1</v>
      </c>
      <c r="X92" s="103">
        <v>4</v>
      </c>
      <c r="Y92" s="103">
        <v>1</v>
      </c>
      <c r="Z92" s="103">
        <v>2</v>
      </c>
      <c r="AA92" s="103">
        <v>1</v>
      </c>
      <c r="AB92" s="103">
        <v>3</v>
      </c>
      <c r="AC92" s="103">
        <v>3</v>
      </c>
      <c r="AD92" s="103">
        <v>1</v>
      </c>
      <c r="AE92" s="103">
        <v>1</v>
      </c>
      <c r="AF92" s="103">
        <v>2</v>
      </c>
      <c r="AG92" s="103">
        <v>3</v>
      </c>
      <c r="AH92" s="103">
        <v>2</v>
      </c>
      <c r="AI92" s="103">
        <v>3</v>
      </c>
      <c r="AJ92" s="103">
        <v>4</v>
      </c>
      <c r="AK92" s="103">
        <v>4</v>
      </c>
      <c r="AL92" s="104">
        <v>3</v>
      </c>
      <c r="AM92" s="4">
        <v>3</v>
      </c>
      <c r="AN92" s="87">
        <v>2</v>
      </c>
      <c r="AO92" s="4">
        <v>1</v>
      </c>
      <c r="AP92" s="4">
        <v>1</v>
      </c>
      <c r="AQ92" s="4">
        <v>1</v>
      </c>
      <c r="AR92" s="4">
        <v>1</v>
      </c>
      <c r="AS92" s="4">
        <v>1</v>
      </c>
      <c r="AT92" s="4">
        <v>1</v>
      </c>
      <c r="AU92" s="107">
        <v>3</v>
      </c>
      <c r="AV92" s="4">
        <f>IF(K92=VLOOKUP(VALUE(K$1),Questions!$A:$E,5,FALSE),1,0)</f>
        <v>1</v>
      </c>
      <c r="AW92" s="4">
        <f>IF(L92=VLOOKUP(VALUE(L$1),Questions!$A:$E,5,FALSE),1,0)</f>
        <v>1</v>
      </c>
      <c r="AX92" s="4">
        <f>IF(M92=VLOOKUP(VALUE(M$1),Questions!$A:$E,5,FALSE),1,0)</f>
        <v>1</v>
      </c>
      <c r="AY92" s="4">
        <f>IF(N92=VLOOKUP(VALUE(N$1),Questions!$A:$E,5,FALSE),1,0)</f>
        <v>1</v>
      </c>
      <c r="AZ92" s="4">
        <f>IF(O92=VLOOKUP(VALUE(O$1),Questions!$A:$E,5,FALSE),1,0)</f>
        <v>1</v>
      </c>
      <c r="BA92" s="4">
        <f>IF(P92=VLOOKUP(VALUE(P$1),Questions!$A:$E,5,FALSE),1,0)</f>
        <v>0</v>
      </c>
      <c r="BB92" s="4">
        <f>IF(Q92=VLOOKUP(VALUE(Q$1),Questions!$A:$E,5,FALSE),1,0)</f>
        <v>1</v>
      </c>
      <c r="BC92" s="4">
        <f>IF(R92=VLOOKUP(VALUE(R$1),Questions!$A:$E,5,FALSE),1,0)</f>
        <v>1</v>
      </c>
      <c r="BD92" s="4">
        <f>IF(S92=VLOOKUP(VALUE(S$1),Questions!$A:$E,5,FALSE),1,0)</f>
        <v>0</v>
      </c>
      <c r="BE92" s="4">
        <f>IF(T92=VLOOKUP(VALUE(T$1),Questions!$A:$E,5,FALSE),1,0)</f>
        <v>0</v>
      </c>
      <c r="BF92" s="4">
        <f>IF(U92=VLOOKUP(VALUE(U$1),Questions!$A:$E,5,FALSE),1,0)</f>
        <v>1</v>
      </c>
      <c r="BG92" s="4">
        <f>IF(V92=VLOOKUP(VALUE(V$1),Questions!$A:$E,5,FALSE),1,0)</f>
        <v>0</v>
      </c>
      <c r="BH92" s="4">
        <f>IF(W92=VLOOKUP(VALUE(W$1),Questions!$A:$E,5,FALSE),1,0)</f>
        <v>0</v>
      </c>
      <c r="BI92" s="4">
        <f>IF(X92=VLOOKUP(VALUE(X$1),Questions!$A:$E,5,FALSE),1,0)</f>
        <v>1</v>
      </c>
      <c r="BJ92" s="4">
        <f>IF(Y92=VLOOKUP(VALUE(Y$1),Questions!$A:$E,5,FALSE),1,0)</f>
        <v>0</v>
      </c>
      <c r="BK92" s="4">
        <f>IF(Z92=VLOOKUP(VALUE(Z$1),Questions!$A:$E,5,FALSE),1,0)</f>
        <v>0</v>
      </c>
      <c r="BL92" s="4">
        <f>IF(AA92=VLOOKUP(VALUE(AA$1),Questions!$A:$E,5,FALSE),1,0)</f>
        <v>1</v>
      </c>
      <c r="BM92" s="4">
        <f>IF(AB92=VLOOKUP(VALUE(AB$1),Questions!$A:$E,5,FALSE),1,0)</f>
        <v>0</v>
      </c>
      <c r="BN92" s="4">
        <f>IF(AC92=VLOOKUP(VALUE(AC$1),Questions!$A:$E,5,FALSE),1,0)</f>
        <v>1</v>
      </c>
      <c r="BO92" s="4">
        <f>IF(AD92=VLOOKUP(VALUE(AD$1),Questions!$A:$E,5,FALSE),1,0)</f>
        <v>0</v>
      </c>
      <c r="BP92" s="4">
        <f>IF(AE92=VLOOKUP(VALUE(AE$1),Questions!$A:$E,5,FALSE),1,0)</f>
        <v>0</v>
      </c>
      <c r="BQ92" s="4">
        <f>IF(AF92=VLOOKUP(VALUE(AF$1),Questions!$A:$E,5,FALSE),1,0)</f>
        <v>1</v>
      </c>
      <c r="BR92" s="4">
        <f>IF(AG92=VLOOKUP(VALUE(AG$1),Questions!$A:$E,5,FALSE),1,0)</f>
        <v>1</v>
      </c>
      <c r="BS92" s="4">
        <f>IF(AH92=VLOOKUP(VALUE(AH$1),Questions!$A:$E,5,FALSE),1,0)</f>
        <v>0</v>
      </c>
      <c r="BT92" s="4">
        <f>IF(AI92=VLOOKUP(VALUE(AI$1),Questions!$A:$E,5,FALSE),1,0)</f>
        <v>0</v>
      </c>
      <c r="BU92" s="4">
        <f>IF(AJ92=VLOOKUP(VALUE(AJ$1),Questions!$A:$E,5,FALSE),1,0)</f>
        <v>1</v>
      </c>
      <c r="BV92" s="4">
        <f>IF(AK92=VLOOKUP(VALUE(AK$1),Questions!$A:$E,5,FALSE),1,0)</f>
        <v>0</v>
      </c>
      <c r="BW92" s="87">
        <f>IF(AL92=VLOOKUP(VALUE(AL$1),Questions!$A:$E,5,FALSE),1,0)</f>
        <v>1</v>
      </c>
      <c r="BX92" s="4">
        <f>IF(Scores[[#This Row],[Final]]&gt;=65,1,0)</f>
        <v>1</v>
      </c>
      <c r="BY92" s="4">
        <f>IF(Scores[[#This Row],[Final]]&gt;=IF(Scores[[#This Row],[IEP]],55,65),1,0)</f>
        <v>1</v>
      </c>
    </row>
    <row r="93" spans="1:77" x14ac:dyDescent="0.2">
      <c r="A93" s="6">
        <v>92</v>
      </c>
      <c r="B93" s="4">
        <v>11</v>
      </c>
      <c r="C93" s="4" t="s">
        <v>962</v>
      </c>
      <c r="D93" s="105" t="b">
        <v>0</v>
      </c>
      <c r="E93" s="105" t="b">
        <v>0</v>
      </c>
      <c r="F93" s="86">
        <f>SUM(Scores[[#This Row],[Q1]:[Q28]])</f>
        <v>0</v>
      </c>
      <c r="G93" s="4">
        <f>SUM(Scores[[#This Row],[29]]:Scores[[#This Row],[30]])</f>
        <v>0</v>
      </c>
      <c r="H93" s="4">
        <f>SUM(Scores[[#This Row],[31]:[36]])</f>
        <v>0</v>
      </c>
      <c r="I93" s="4">
        <f>Scores[[#This Row],[37]]</f>
        <v>0</v>
      </c>
      <c r="J93" s="87">
        <f>INDEX('Conversion Chart'!$C$3:$M$47,MATCH(SUM(Scores[[#This Row],[MC]:[IIIA]]),'Conversion Chart'!$B$3:$B$47),MATCH(Scores[[#This Row],[IIIB]],'Conversion Chart'!$C$2:$M$2))</f>
        <v>0</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4"/>
      <c r="AN93" s="87"/>
      <c r="AU93" s="107"/>
      <c r="AV93" s="4">
        <f>IF(K93=VLOOKUP(VALUE(K$1),Questions!$A:$E,5,FALSE),1,0)</f>
        <v>0</v>
      </c>
      <c r="AW93" s="4">
        <f>IF(L93=VLOOKUP(VALUE(L$1),Questions!$A:$E,5,FALSE),1,0)</f>
        <v>0</v>
      </c>
      <c r="AX93" s="4">
        <f>IF(M93=VLOOKUP(VALUE(M$1),Questions!$A:$E,5,FALSE),1,0)</f>
        <v>0</v>
      </c>
      <c r="AY93" s="4">
        <f>IF(N93=VLOOKUP(VALUE(N$1),Questions!$A:$E,5,FALSE),1,0)</f>
        <v>0</v>
      </c>
      <c r="AZ93" s="4">
        <f>IF(O93=VLOOKUP(VALUE(O$1),Questions!$A:$E,5,FALSE),1,0)</f>
        <v>0</v>
      </c>
      <c r="BA93" s="4">
        <f>IF(P93=VLOOKUP(VALUE(P$1),Questions!$A:$E,5,FALSE),1,0)</f>
        <v>0</v>
      </c>
      <c r="BB93" s="4">
        <f>IF(Q93=VLOOKUP(VALUE(Q$1),Questions!$A:$E,5,FALSE),1,0)</f>
        <v>0</v>
      </c>
      <c r="BC93" s="4">
        <f>IF(R93=VLOOKUP(VALUE(R$1),Questions!$A:$E,5,FALSE),1,0)</f>
        <v>0</v>
      </c>
      <c r="BD93" s="4">
        <f>IF(S93=VLOOKUP(VALUE(S$1),Questions!$A:$E,5,FALSE),1,0)</f>
        <v>0</v>
      </c>
      <c r="BE93" s="4">
        <f>IF(T93=VLOOKUP(VALUE(T$1),Questions!$A:$E,5,FALSE),1,0)</f>
        <v>0</v>
      </c>
      <c r="BF93" s="4">
        <f>IF(U93=VLOOKUP(VALUE(U$1),Questions!$A:$E,5,FALSE),1,0)</f>
        <v>0</v>
      </c>
      <c r="BG93" s="4">
        <f>IF(V93=VLOOKUP(VALUE(V$1),Questions!$A:$E,5,FALSE),1,0)</f>
        <v>0</v>
      </c>
      <c r="BH93" s="4">
        <f>IF(W93=VLOOKUP(VALUE(W$1),Questions!$A:$E,5,FALSE),1,0)</f>
        <v>0</v>
      </c>
      <c r="BI93" s="4">
        <f>IF(X93=VLOOKUP(VALUE(X$1),Questions!$A:$E,5,FALSE),1,0)</f>
        <v>0</v>
      </c>
      <c r="BJ93" s="4">
        <f>IF(Y93=VLOOKUP(VALUE(Y$1),Questions!$A:$E,5,FALSE),1,0)</f>
        <v>0</v>
      </c>
      <c r="BK93" s="4">
        <f>IF(Z93=VLOOKUP(VALUE(Z$1),Questions!$A:$E,5,FALSE),1,0)</f>
        <v>0</v>
      </c>
      <c r="BL93" s="4">
        <f>IF(AA93=VLOOKUP(VALUE(AA$1),Questions!$A:$E,5,FALSE),1,0)</f>
        <v>0</v>
      </c>
      <c r="BM93" s="4">
        <f>IF(AB93=VLOOKUP(VALUE(AB$1),Questions!$A:$E,5,FALSE),1,0)</f>
        <v>0</v>
      </c>
      <c r="BN93" s="4">
        <f>IF(AC93=VLOOKUP(VALUE(AC$1),Questions!$A:$E,5,FALSE),1,0)</f>
        <v>0</v>
      </c>
      <c r="BO93" s="4">
        <f>IF(AD93=VLOOKUP(VALUE(AD$1),Questions!$A:$E,5,FALSE),1,0)</f>
        <v>0</v>
      </c>
      <c r="BP93" s="4">
        <f>IF(AE93=VLOOKUP(VALUE(AE$1),Questions!$A:$E,5,FALSE),1,0)</f>
        <v>0</v>
      </c>
      <c r="BQ93" s="4">
        <f>IF(AF93=VLOOKUP(VALUE(AF$1),Questions!$A:$E,5,FALSE),1,0)</f>
        <v>0</v>
      </c>
      <c r="BR93" s="4">
        <f>IF(AG93=VLOOKUP(VALUE(AG$1),Questions!$A:$E,5,FALSE),1,0)</f>
        <v>0</v>
      </c>
      <c r="BS93" s="4">
        <f>IF(AH93=VLOOKUP(VALUE(AH$1),Questions!$A:$E,5,FALSE),1,0)</f>
        <v>0</v>
      </c>
      <c r="BT93" s="4">
        <f>IF(AI93=VLOOKUP(VALUE(AI$1),Questions!$A:$E,5,FALSE),1,0)</f>
        <v>0</v>
      </c>
      <c r="BU93" s="4">
        <f>IF(AJ93=VLOOKUP(VALUE(AJ$1),Questions!$A:$E,5,FALSE),1,0)</f>
        <v>0</v>
      </c>
      <c r="BV93" s="4">
        <f>IF(AK93=VLOOKUP(VALUE(AK$1),Questions!$A:$E,5,FALSE),1,0)</f>
        <v>0</v>
      </c>
      <c r="BW93" s="87">
        <f>IF(AL93=VLOOKUP(VALUE(AL$1),Questions!$A:$E,5,FALSE),1,0)</f>
        <v>0</v>
      </c>
      <c r="BX93" s="4">
        <f>IF(Scores[[#This Row],[Final]]&gt;=65,1,0)</f>
        <v>0</v>
      </c>
      <c r="BY93" s="4">
        <f>IF(Scores[[#This Row],[Final]]&gt;=IF(Scores[[#This Row],[IEP]],55,65),1,0)</f>
        <v>0</v>
      </c>
    </row>
    <row r="94" spans="1:77" x14ac:dyDescent="0.2">
      <c r="A94" s="6">
        <v>93</v>
      </c>
      <c r="B94" s="4">
        <v>11</v>
      </c>
      <c r="C94" s="4" t="s">
        <v>964</v>
      </c>
      <c r="D94" s="105" t="b">
        <v>0</v>
      </c>
      <c r="E94" s="105" t="b">
        <v>0</v>
      </c>
      <c r="F94" s="86">
        <f>SUM(Scores[[#This Row],[Q1]:[Q28]])</f>
        <v>15</v>
      </c>
      <c r="G94" s="4">
        <f>SUM(Scores[[#This Row],[29]]:Scores[[#This Row],[30]])</f>
        <v>8</v>
      </c>
      <c r="H94" s="4">
        <f>SUM(Scores[[#This Row],[31]:[36]])</f>
        <v>6</v>
      </c>
      <c r="I94" s="4">
        <f>Scores[[#This Row],[37]]</f>
        <v>4</v>
      </c>
      <c r="J94" s="87">
        <f>INDEX('Conversion Chart'!$C$3:$M$47,MATCH(SUM(Scores[[#This Row],[MC]:[IIIA]]),'Conversion Chart'!$B$3:$B$47),MATCH(Scores[[#This Row],[IIIB]],'Conversion Chart'!$C$2:$M$2))</f>
        <v>78</v>
      </c>
      <c r="K94" s="103">
        <v>4</v>
      </c>
      <c r="L94" s="103">
        <v>2</v>
      </c>
      <c r="M94" s="103">
        <v>1</v>
      </c>
      <c r="N94" s="103">
        <v>3</v>
      </c>
      <c r="O94" s="103">
        <v>1</v>
      </c>
      <c r="P94" s="103">
        <v>2</v>
      </c>
      <c r="Q94" s="103">
        <v>3</v>
      </c>
      <c r="R94" s="103">
        <v>4</v>
      </c>
      <c r="S94" s="103">
        <v>3</v>
      </c>
      <c r="T94" s="103">
        <v>1</v>
      </c>
      <c r="U94" s="103">
        <v>1</v>
      </c>
      <c r="V94" s="103">
        <v>4</v>
      </c>
      <c r="W94" s="103">
        <v>2</v>
      </c>
      <c r="X94" s="103">
        <v>3</v>
      </c>
      <c r="Y94" s="103">
        <v>3</v>
      </c>
      <c r="Z94" s="103">
        <v>4</v>
      </c>
      <c r="AA94" s="103">
        <v>1</v>
      </c>
      <c r="AB94" s="103">
        <v>3</v>
      </c>
      <c r="AC94" s="103">
        <v>1</v>
      </c>
      <c r="AD94" s="103">
        <v>1</v>
      </c>
      <c r="AE94" s="103">
        <v>2</v>
      </c>
      <c r="AF94" s="103">
        <v>2</v>
      </c>
      <c r="AG94" s="103">
        <v>3</v>
      </c>
      <c r="AH94" s="103">
        <v>2</v>
      </c>
      <c r="AI94" s="103">
        <v>3</v>
      </c>
      <c r="AJ94" s="103">
        <v>4</v>
      </c>
      <c r="AK94" s="103">
        <v>2</v>
      </c>
      <c r="AL94" s="104">
        <v>3</v>
      </c>
      <c r="AM94" s="4">
        <v>4</v>
      </c>
      <c r="AN94" s="87">
        <v>4</v>
      </c>
      <c r="AO94" s="4">
        <v>1</v>
      </c>
      <c r="AP94" s="4">
        <v>1</v>
      </c>
      <c r="AQ94" s="4">
        <v>1</v>
      </c>
      <c r="AR94" s="4">
        <v>1</v>
      </c>
      <c r="AS94" s="4">
        <v>1</v>
      </c>
      <c r="AT94" s="4">
        <v>1</v>
      </c>
      <c r="AU94" s="107">
        <v>4</v>
      </c>
      <c r="AV94" s="4">
        <f>IF(K94=VLOOKUP(VALUE(K$1),Questions!$A:$E,5,FALSE),1,0)</f>
        <v>1</v>
      </c>
      <c r="AW94" s="4">
        <f>IF(L94=VLOOKUP(VALUE(L$1),Questions!$A:$E,5,FALSE),1,0)</f>
        <v>1</v>
      </c>
      <c r="AX94" s="4">
        <f>IF(M94=VLOOKUP(VALUE(M$1),Questions!$A:$E,5,FALSE),1,0)</f>
        <v>0</v>
      </c>
      <c r="AY94" s="4">
        <f>IF(N94=VLOOKUP(VALUE(N$1),Questions!$A:$E,5,FALSE),1,0)</f>
        <v>1</v>
      </c>
      <c r="AZ94" s="4">
        <f>IF(O94=VLOOKUP(VALUE(O$1),Questions!$A:$E,5,FALSE),1,0)</f>
        <v>1</v>
      </c>
      <c r="BA94" s="4">
        <f>IF(P94=VLOOKUP(VALUE(P$1),Questions!$A:$E,5,FALSE),1,0)</f>
        <v>0</v>
      </c>
      <c r="BB94" s="4">
        <f>IF(Q94=VLOOKUP(VALUE(Q$1),Questions!$A:$E,5,FALSE),1,0)</f>
        <v>1</v>
      </c>
      <c r="BC94" s="4">
        <f>IF(R94=VLOOKUP(VALUE(R$1),Questions!$A:$E,5,FALSE),1,0)</f>
        <v>0</v>
      </c>
      <c r="BD94" s="4">
        <f>IF(S94=VLOOKUP(VALUE(S$1),Questions!$A:$E,5,FALSE),1,0)</f>
        <v>0</v>
      </c>
      <c r="BE94" s="4">
        <f>IF(T94=VLOOKUP(VALUE(T$1),Questions!$A:$E,5,FALSE),1,0)</f>
        <v>1</v>
      </c>
      <c r="BF94" s="4">
        <f>IF(U94=VLOOKUP(VALUE(U$1),Questions!$A:$E,5,FALSE),1,0)</f>
        <v>0</v>
      </c>
      <c r="BG94" s="4">
        <f>IF(V94=VLOOKUP(VALUE(V$1),Questions!$A:$E,5,FALSE),1,0)</f>
        <v>1</v>
      </c>
      <c r="BH94" s="4">
        <f>IF(W94=VLOOKUP(VALUE(W$1),Questions!$A:$E,5,FALSE),1,0)</f>
        <v>1</v>
      </c>
      <c r="BI94" s="4">
        <f>IF(X94=VLOOKUP(VALUE(X$1),Questions!$A:$E,5,FALSE),1,0)</f>
        <v>0</v>
      </c>
      <c r="BJ94" s="4">
        <f>IF(Y94=VLOOKUP(VALUE(Y$1),Questions!$A:$E,5,FALSE),1,0)</f>
        <v>1</v>
      </c>
      <c r="BK94" s="4">
        <f>IF(Z94=VLOOKUP(VALUE(Z$1),Questions!$A:$E,5,FALSE),1,0)</f>
        <v>0</v>
      </c>
      <c r="BL94" s="4">
        <f>IF(AA94=VLOOKUP(VALUE(AA$1),Questions!$A:$E,5,FALSE),1,0)</f>
        <v>1</v>
      </c>
      <c r="BM94" s="4">
        <f>IF(AB94=VLOOKUP(VALUE(AB$1),Questions!$A:$E,5,FALSE),1,0)</f>
        <v>0</v>
      </c>
      <c r="BN94" s="4">
        <f>IF(AC94=VLOOKUP(VALUE(AC$1),Questions!$A:$E,5,FALSE),1,0)</f>
        <v>0</v>
      </c>
      <c r="BO94" s="4">
        <f>IF(AD94=VLOOKUP(VALUE(AD$1),Questions!$A:$E,5,FALSE),1,0)</f>
        <v>0</v>
      </c>
      <c r="BP94" s="4">
        <f>IF(AE94=VLOOKUP(VALUE(AE$1),Questions!$A:$E,5,FALSE),1,0)</f>
        <v>1</v>
      </c>
      <c r="BQ94" s="4">
        <f>IF(AF94=VLOOKUP(VALUE(AF$1),Questions!$A:$E,5,FALSE),1,0)</f>
        <v>1</v>
      </c>
      <c r="BR94" s="4">
        <f>IF(AG94=VLOOKUP(VALUE(AG$1),Questions!$A:$E,5,FALSE),1,0)</f>
        <v>1</v>
      </c>
      <c r="BS94" s="4">
        <f>IF(AH94=VLOOKUP(VALUE(AH$1),Questions!$A:$E,5,FALSE),1,0)</f>
        <v>0</v>
      </c>
      <c r="BT94" s="4">
        <f>IF(AI94=VLOOKUP(VALUE(AI$1),Questions!$A:$E,5,FALSE),1,0)</f>
        <v>0</v>
      </c>
      <c r="BU94" s="4">
        <f>IF(AJ94=VLOOKUP(VALUE(AJ$1),Questions!$A:$E,5,FALSE),1,0)</f>
        <v>1</v>
      </c>
      <c r="BV94" s="4">
        <f>IF(AK94=VLOOKUP(VALUE(AK$1),Questions!$A:$E,5,FALSE),1,0)</f>
        <v>0</v>
      </c>
      <c r="BW94" s="87">
        <f>IF(AL94=VLOOKUP(VALUE(AL$1),Questions!$A:$E,5,FALSE),1,0)</f>
        <v>1</v>
      </c>
      <c r="BX94" s="4">
        <f>IF(Scores[[#This Row],[Final]]&gt;=65,1,0)</f>
        <v>1</v>
      </c>
      <c r="BY94" s="4">
        <f>IF(Scores[[#This Row],[Final]]&gt;=IF(Scores[[#This Row],[IEP]],55,65),1,0)</f>
        <v>1</v>
      </c>
    </row>
    <row r="95" spans="1:77" x14ac:dyDescent="0.2">
      <c r="A95" s="6">
        <v>94</v>
      </c>
      <c r="B95" s="4">
        <v>11</v>
      </c>
      <c r="C95" s="4" t="s">
        <v>962</v>
      </c>
      <c r="D95" s="105" t="b">
        <v>0</v>
      </c>
      <c r="E95" s="105" t="b">
        <v>0</v>
      </c>
      <c r="F95" s="86">
        <f>SUM(Scores[[#This Row],[Q1]:[Q28]])</f>
        <v>14</v>
      </c>
      <c r="G95" s="4">
        <f>SUM(Scores[[#This Row],[29]]:Scores[[#This Row],[30]])</f>
        <v>7</v>
      </c>
      <c r="H95" s="4">
        <f>SUM(Scores[[#This Row],[31]:[36]])</f>
        <v>6</v>
      </c>
      <c r="I95" s="4">
        <f>Scores[[#This Row],[37]]</f>
        <v>3.5</v>
      </c>
      <c r="J95" s="87">
        <f>INDEX('Conversion Chart'!$C$3:$M$47,MATCH(SUM(Scores[[#This Row],[MC]:[IIIA]]),'Conversion Chart'!$B$3:$B$47),MATCH(Scores[[#This Row],[IIIB]],'Conversion Chart'!$C$2:$M$2))</f>
        <v>75</v>
      </c>
      <c r="K95" s="103">
        <v>1</v>
      </c>
      <c r="L95" s="103">
        <v>4</v>
      </c>
      <c r="M95" s="103">
        <v>2</v>
      </c>
      <c r="N95" s="103">
        <v>3</v>
      </c>
      <c r="O95" s="103">
        <v>1</v>
      </c>
      <c r="P95" s="103">
        <v>2</v>
      </c>
      <c r="Q95" s="103">
        <v>3</v>
      </c>
      <c r="R95" s="103">
        <v>3</v>
      </c>
      <c r="S95" s="103">
        <v>4</v>
      </c>
      <c r="T95" s="103">
        <v>1</v>
      </c>
      <c r="U95" s="103">
        <v>2</v>
      </c>
      <c r="V95" s="103">
        <v>3</v>
      </c>
      <c r="W95" s="103">
        <v>2</v>
      </c>
      <c r="X95" s="103">
        <v>3</v>
      </c>
      <c r="Y95" s="103">
        <v>4</v>
      </c>
      <c r="Z95" s="103">
        <v>1</v>
      </c>
      <c r="AA95" s="103">
        <v>3</v>
      </c>
      <c r="AB95" s="103">
        <v>4</v>
      </c>
      <c r="AC95" s="103">
        <v>3</v>
      </c>
      <c r="AD95" s="103">
        <v>4</v>
      </c>
      <c r="AE95" s="103">
        <v>1</v>
      </c>
      <c r="AF95" s="103">
        <v>2</v>
      </c>
      <c r="AG95" s="103">
        <v>4</v>
      </c>
      <c r="AH95" s="103">
        <v>3</v>
      </c>
      <c r="AI95" s="103">
        <v>4</v>
      </c>
      <c r="AJ95" s="103">
        <v>4</v>
      </c>
      <c r="AK95" s="103">
        <v>4</v>
      </c>
      <c r="AL95" s="104">
        <v>3</v>
      </c>
      <c r="AM95" s="4">
        <v>4</v>
      </c>
      <c r="AN95" s="87">
        <v>3</v>
      </c>
      <c r="AO95" s="4">
        <v>1</v>
      </c>
      <c r="AP95" s="4">
        <v>1</v>
      </c>
      <c r="AQ95" s="4">
        <v>1</v>
      </c>
      <c r="AR95" s="4">
        <v>1</v>
      </c>
      <c r="AS95" s="4">
        <v>1</v>
      </c>
      <c r="AT95" s="4">
        <v>1</v>
      </c>
      <c r="AU95" s="107">
        <v>3.5</v>
      </c>
      <c r="AV95" s="4">
        <f>IF(K95=VLOOKUP(VALUE(K$1),Questions!$A:$E,5,FALSE),1,0)</f>
        <v>0</v>
      </c>
      <c r="AW95" s="4">
        <f>IF(L95=VLOOKUP(VALUE(L$1),Questions!$A:$E,5,FALSE),1,0)</f>
        <v>0</v>
      </c>
      <c r="AX95" s="4">
        <f>IF(M95=VLOOKUP(VALUE(M$1),Questions!$A:$E,5,FALSE),1,0)</f>
        <v>0</v>
      </c>
      <c r="AY95" s="4">
        <f>IF(N95=VLOOKUP(VALUE(N$1),Questions!$A:$E,5,FALSE),1,0)</f>
        <v>1</v>
      </c>
      <c r="AZ95" s="4">
        <f>IF(O95=VLOOKUP(VALUE(O$1),Questions!$A:$E,5,FALSE),1,0)</f>
        <v>1</v>
      </c>
      <c r="BA95" s="4">
        <f>IF(P95=VLOOKUP(VALUE(P$1),Questions!$A:$E,5,FALSE),1,0)</f>
        <v>0</v>
      </c>
      <c r="BB95" s="4">
        <f>IF(Q95=VLOOKUP(VALUE(Q$1),Questions!$A:$E,5,FALSE),1,0)</f>
        <v>1</v>
      </c>
      <c r="BC95" s="4">
        <f>IF(R95=VLOOKUP(VALUE(R$1),Questions!$A:$E,5,FALSE),1,0)</f>
        <v>0</v>
      </c>
      <c r="BD95" s="4">
        <f>IF(S95=VLOOKUP(VALUE(S$1),Questions!$A:$E,5,FALSE),1,0)</f>
        <v>0</v>
      </c>
      <c r="BE95" s="4">
        <f>IF(T95=VLOOKUP(VALUE(T$1),Questions!$A:$E,5,FALSE),1,0)</f>
        <v>1</v>
      </c>
      <c r="BF95" s="4">
        <f>IF(U95=VLOOKUP(VALUE(U$1),Questions!$A:$E,5,FALSE),1,0)</f>
        <v>1</v>
      </c>
      <c r="BG95" s="4">
        <f>IF(V95=VLOOKUP(VALUE(V$1),Questions!$A:$E,5,FALSE),1,0)</f>
        <v>0</v>
      </c>
      <c r="BH95" s="4">
        <f>IF(W95=VLOOKUP(VALUE(W$1),Questions!$A:$E,5,FALSE),1,0)</f>
        <v>1</v>
      </c>
      <c r="BI95" s="4">
        <f>IF(X95=VLOOKUP(VALUE(X$1),Questions!$A:$E,5,FALSE),1,0)</f>
        <v>0</v>
      </c>
      <c r="BJ95" s="4">
        <f>IF(Y95=VLOOKUP(VALUE(Y$1),Questions!$A:$E,5,FALSE),1,0)</f>
        <v>0</v>
      </c>
      <c r="BK95" s="4">
        <f>IF(Z95=VLOOKUP(VALUE(Z$1),Questions!$A:$E,5,FALSE),1,0)</f>
        <v>1</v>
      </c>
      <c r="BL95" s="4">
        <f>IF(AA95=VLOOKUP(VALUE(AA$1),Questions!$A:$E,5,FALSE),1,0)</f>
        <v>0</v>
      </c>
      <c r="BM95" s="4">
        <f>IF(AB95=VLOOKUP(VALUE(AB$1),Questions!$A:$E,5,FALSE),1,0)</f>
        <v>1</v>
      </c>
      <c r="BN95" s="4">
        <f>IF(AC95=VLOOKUP(VALUE(AC$1),Questions!$A:$E,5,FALSE),1,0)</f>
        <v>1</v>
      </c>
      <c r="BO95" s="4">
        <f>IF(AD95=VLOOKUP(VALUE(AD$1),Questions!$A:$E,5,FALSE),1,0)</f>
        <v>1</v>
      </c>
      <c r="BP95" s="4">
        <f>IF(AE95=VLOOKUP(VALUE(AE$1),Questions!$A:$E,5,FALSE),1,0)</f>
        <v>0</v>
      </c>
      <c r="BQ95" s="4">
        <f>IF(AF95=VLOOKUP(VALUE(AF$1),Questions!$A:$E,5,FALSE),1,0)</f>
        <v>1</v>
      </c>
      <c r="BR95" s="4">
        <f>IF(AG95=VLOOKUP(VALUE(AG$1),Questions!$A:$E,5,FALSE),1,0)</f>
        <v>0</v>
      </c>
      <c r="BS95" s="4">
        <f>IF(AH95=VLOOKUP(VALUE(AH$1),Questions!$A:$E,5,FALSE),1,0)</f>
        <v>1</v>
      </c>
      <c r="BT95" s="4">
        <f>IF(AI95=VLOOKUP(VALUE(AI$1),Questions!$A:$E,5,FALSE),1,0)</f>
        <v>0</v>
      </c>
      <c r="BU95" s="4">
        <f>IF(AJ95=VLOOKUP(VALUE(AJ$1),Questions!$A:$E,5,FALSE),1,0)</f>
        <v>1</v>
      </c>
      <c r="BV95" s="4">
        <f>IF(AK95=VLOOKUP(VALUE(AK$1),Questions!$A:$E,5,FALSE),1,0)</f>
        <v>0</v>
      </c>
      <c r="BW95" s="87">
        <f>IF(AL95=VLOOKUP(VALUE(AL$1),Questions!$A:$E,5,FALSE),1,0)</f>
        <v>1</v>
      </c>
      <c r="BX95" s="4">
        <f>IF(Scores[[#This Row],[Final]]&gt;=65,1,0)</f>
        <v>1</v>
      </c>
      <c r="BY95" s="4">
        <f>IF(Scores[[#This Row],[Final]]&gt;=IF(Scores[[#This Row],[IEP]],55,65),1,0)</f>
        <v>1</v>
      </c>
    </row>
    <row r="96" spans="1:77" x14ac:dyDescent="0.2">
      <c r="A96" s="6">
        <v>95</v>
      </c>
      <c r="B96" s="4">
        <v>9</v>
      </c>
      <c r="C96" s="4" t="s">
        <v>963</v>
      </c>
      <c r="D96" s="105" t="b">
        <v>0</v>
      </c>
      <c r="E96" s="105" t="b">
        <v>0</v>
      </c>
      <c r="F96" s="86">
        <f>SUM(Scores[[#This Row],[Q1]:[Q28]])</f>
        <v>0</v>
      </c>
      <c r="G96" s="4">
        <f>SUM(Scores[[#This Row],[29]]:Scores[[#This Row],[30]])</f>
        <v>0</v>
      </c>
      <c r="H96" s="4">
        <f>SUM(Scores[[#This Row],[31]:[36]])</f>
        <v>0</v>
      </c>
      <c r="I96" s="4">
        <f>Scores[[#This Row],[37]]</f>
        <v>0</v>
      </c>
      <c r="J96" s="87">
        <f>INDEX('Conversion Chart'!$C$3:$M$47,MATCH(SUM(Scores[[#This Row],[MC]:[IIIA]]),'Conversion Chart'!$B$3:$B$47),MATCH(Scores[[#This Row],[IIIB]],'Conversion Chart'!$C$2:$M$2))</f>
        <v>0</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4"/>
      <c r="AN96" s="87"/>
      <c r="AU96" s="107"/>
      <c r="AV96" s="4">
        <f>IF(K96=VLOOKUP(VALUE(K$1),Questions!$A:$E,5,FALSE),1,0)</f>
        <v>0</v>
      </c>
      <c r="AW96" s="4">
        <f>IF(L96=VLOOKUP(VALUE(L$1),Questions!$A:$E,5,FALSE),1,0)</f>
        <v>0</v>
      </c>
      <c r="AX96" s="4">
        <f>IF(M96=VLOOKUP(VALUE(M$1),Questions!$A:$E,5,FALSE),1,0)</f>
        <v>0</v>
      </c>
      <c r="AY96" s="4">
        <f>IF(N96=VLOOKUP(VALUE(N$1),Questions!$A:$E,5,FALSE),1,0)</f>
        <v>0</v>
      </c>
      <c r="AZ96" s="4">
        <f>IF(O96=VLOOKUP(VALUE(O$1),Questions!$A:$E,5,FALSE),1,0)</f>
        <v>0</v>
      </c>
      <c r="BA96" s="4">
        <f>IF(P96=VLOOKUP(VALUE(P$1),Questions!$A:$E,5,FALSE),1,0)</f>
        <v>0</v>
      </c>
      <c r="BB96" s="4">
        <f>IF(Q96=VLOOKUP(VALUE(Q$1),Questions!$A:$E,5,FALSE),1,0)</f>
        <v>0</v>
      </c>
      <c r="BC96" s="4">
        <f>IF(R96=VLOOKUP(VALUE(R$1),Questions!$A:$E,5,FALSE),1,0)</f>
        <v>0</v>
      </c>
      <c r="BD96" s="4">
        <f>IF(S96=VLOOKUP(VALUE(S$1),Questions!$A:$E,5,FALSE),1,0)</f>
        <v>0</v>
      </c>
      <c r="BE96" s="4">
        <f>IF(T96=VLOOKUP(VALUE(T$1),Questions!$A:$E,5,FALSE),1,0)</f>
        <v>0</v>
      </c>
      <c r="BF96" s="4">
        <f>IF(U96=VLOOKUP(VALUE(U$1),Questions!$A:$E,5,FALSE),1,0)</f>
        <v>0</v>
      </c>
      <c r="BG96" s="4">
        <f>IF(V96=VLOOKUP(VALUE(V$1),Questions!$A:$E,5,FALSE),1,0)</f>
        <v>0</v>
      </c>
      <c r="BH96" s="4">
        <f>IF(W96=VLOOKUP(VALUE(W$1),Questions!$A:$E,5,FALSE),1,0)</f>
        <v>0</v>
      </c>
      <c r="BI96" s="4">
        <f>IF(X96=VLOOKUP(VALUE(X$1),Questions!$A:$E,5,FALSE),1,0)</f>
        <v>0</v>
      </c>
      <c r="BJ96" s="4">
        <f>IF(Y96=VLOOKUP(VALUE(Y$1),Questions!$A:$E,5,FALSE),1,0)</f>
        <v>0</v>
      </c>
      <c r="BK96" s="4">
        <f>IF(Z96=VLOOKUP(VALUE(Z$1),Questions!$A:$E,5,FALSE),1,0)</f>
        <v>0</v>
      </c>
      <c r="BL96" s="4">
        <f>IF(AA96=VLOOKUP(VALUE(AA$1),Questions!$A:$E,5,FALSE),1,0)</f>
        <v>0</v>
      </c>
      <c r="BM96" s="4">
        <f>IF(AB96=VLOOKUP(VALUE(AB$1),Questions!$A:$E,5,FALSE),1,0)</f>
        <v>0</v>
      </c>
      <c r="BN96" s="4">
        <f>IF(AC96=VLOOKUP(VALUE(AC$1),Questions!$A:$E,5,FALSE),1,0)</f>
        <v>0</v>
      </c>
      <c r="BO96" s="4">
        <f>IF(AD96=VLOOKUP(VALUE(AD$1),Questions!$A:$E,5,FALSE),1,0)</f>
        <v>0</v>
      </c>
      <c r="BP96" s="4">
        <f>IF(AE96=VLOOKUP(VALUE(AE$1),Questions!$A:$E,5,FALSE),1,0)</f>
        <v>0</v>
      </c>
      <c r="BQ96" s="4">
        <f>IF(AF96=VLOOKUP(VALUE(AF$1),Questions!$A:$E,5,FALSE),1,0)</f>
        <v>0</v>
      </c>
      <c r="BR96" s="4">
        <f>IF(AG96=VLOOKUP(VALUE(AG$1),Questions!$A:$E,5,FALSE),1,0)</f>
        <v>0</v>
      </c>
      <c r="BS96" s="4">
        <f>IF(AH96=VLOOKUP(VALUE(AH$1),Questions!$A:$E,5,FALSE),1,0)</f>
        <v>0</v>
      </c>
      <c r="BT96" s="4">
        <f>IF(AI96=VLOOKUP(VALUE(AI$1),Questions!$A:$E,5,FALSE),1,0)</f>
        <v>0</v>
      </c>
      <c r="BU96" s="4">
        <f>IF(AJ96=VLOOKUP(VALUE(AJ$1),Questions!$A:$E,5,FALSE),1,0)</f>
        <v>0</v>
      </c>
      <c r="BV96" s="4">
        <f>IF(AK96=VLOOKUP(VALUE(AK$1),Questions!$A:$E,5,FALSE),1,0)</f>
        <v>0</v>
      </c>
      <c r="BW96" s="87">
        <f>IF(AL96=VLOOKUP(VALUE(AL$1),Questions!$A:$E,5,FALSE),1,0)</f>
        <v>0</v>
      </c>
      <c r="BX96" s="4">
        <f>IF(Scores[[#This Row],[Final]]&gt;=65,1,0)</f>
        <v>0</v>
      </c>
      <c r="BY96" s="4">
        <f>IF(Scores[[#This Row],[Final]]&gt;=IF(Scores[[#This Row],[IEP]],55,65),1,0)</f>
        <v>0</v>
      </c>
    </row>
    <row r="97" spans="1:77" x14ac:dyDescent="0.2">
      <c r="A97" s="6">
        <v>96</v>
      </c>
      <c r="B97" s="4">
        <v>11</v>
      </c>
      <c r="C97" s="4" t="s">
        <v>962</v>
      </c>
      <c r="D97" s="105" t="b">
        <v>0</v>
      </c>
      <c r="E97" s="105" t="b">
        <v>1</v>
      </c>
      <c r="F97" s="86">
        <f>SUM(Scores[[#This Row],[Q1]:[Q28]])</f>
        <v>24</v>
      </c>
      <c r="G97" s="4">
        <f>SUM(Scores[[#This Row],[29]]:Scores[[#This Row],[30]])</f>
        <v>8</v>
      </c>
      <c r="H97" s="4">
        <f>SUM(Scores[[#This Row],[31]:[36]])</f>
        <v>5</v>
      </c>
      <c r="I97" s="4">
        <f>Scores[[#This Row],[37]]</f>
        <v>3.5</v>
      </c>
      <c r="J97" s="87">
        <f>INDEX('Conversion Chart'!$C$3:$M$47,MATCH(SUM(Scores[[#This Row],[MC]:[IIIA]]),'Conversion Chart'!$B$3:$B$47),MATCH(Scores[[#This Row],[IIIB]],'Conversion Chart'!$C$2:$M$2))</f>
        <v>85</v>
      </c>
      <c r="K97" s="103">
        <v>4</v>
      </c>
      <c r="L97" s="103">
        <v>1</v>
      </c>
      <c r="M97" s="103">
        <v>3</v>
      </c>
      <c r="N97" s="103">
        <v>3</v>
      </c>
      <c r="O97" s="103">
        <v>1</v>
      </c>
      <c r="P97" s="103">
        <v>3</v>
      </c>
      <c r="Q97" s="103">
        <v>3</v>
      </c>
      <c r="R97" s="103">
        <v>2</v>
      </c>
      <c r="S97" s="103">
        <v>2</v>
      </c>
      <c r="T97" s="103">
        <v>1</v>
      </c>
      <c r="U97" s="103">
        <v>2</v>
      </c>
      <c r="V97" s="103">
        <v>4</v>
      </c>
      <c r="W97" s="103">
        <v>2</v>
      </c>
      <c r="X97" s="103">
        <v>3</v>
      </c>
      <c r="Y97" s="103">
        <v>3</v>
      </c>
      <c r="Z97" s="103">
        <v>1</v>
      </c>
      <c r="AA97" s="103">
        <v>1</v>
      </c>
      <c r="AB97" s="103">
        <v>4</v>
      </c>
      <c r="AC97" s="103">
        <v>3</v>
      </c>
      <c r="AD97" s="103">
        <v>4</v>
      </c>
      <c r="AE97" s="103">
        <v>2</v>
      </c>
      <c r="AF97" s="103">
        <v>2</v>
      </c>
      <c r="AG97" s="103">
        <v>3</v>
      </c>
      <c r="AH97" s="103">
        <v>3</v>
      </c>
      <c r="AI97" s="103">
        <v>1</v>
      </c>
      <c r="AJ97" s="103">
        <v>4</v>
      </c>
      <c r="AK97" s="103">
        <v>2</v>
      </c>
      <c r="AL97" s="104">
        <v>3</v>
      </c>
      <c r="AM97" s="4">
        <v>4</v>
      </c>
      <c r="AN97" s="87">
        <v>4</v>
      </c>
      <c r="AO97" s="4">
        <v>1</v>
      </c>
      <c r="AP97" s="4">
        <v>0</v>
      </c>
      <c r="AQ97" s="4">
        <v>1</v>
      </c>
      <c r="AR97" s="4">
        <v>1</v>
      </c>
      <c r="AS97" s="4">
        <v>1</v>
      </c>
      <c r="AT97" s="4">
        <v>1</v>
      </c>
      <c r="AU97" s="107">
        <v>3.5</v>
      </c>
      <c r="AV97" s="4">
        <f>IF(K97=VLOOKUP(VALUE(K$1),Questions!$A:$E,5,FALSE),1,0)</f>
        <v>1</v>
      </c>
      <c r="AW97" s="4">
        <f>IF(L97=VLOOKUP(VALUE(L$1),Questions!$A:$E,5,FALSE),1,0)</f>
        <v>0</v>
      </c>
      <c r="AX97" s="4">
        <f>IF(M97=VLOOKUP(VALUE(M$1),Questions!$A:$E,5,FALSE),1,0)</f>
        <v>1</v>
      </c>
      <c r="AY97" s="4">
        <f>IF(N97=VLOOKUP(VALUE(N$1),Questions!$A:$E,5,FALSE),1,0)</f>
        <v>1</v>
      </c>
      <c r="AZ97" s="4">
        <f>IF(O97=VLOOKUP(VALUE(O$1),Questions!$A:$E,5,FALSE),1,0)</f>
        <v>1</v>
      </c>
      <c r="BA97" s="4">
        <f>IF(P97=VLOOKUP(VALUE(P$1),Questions!$A:$E,5,FALSE),1,0)</f>
        <v>0</v>
      </c>
      <c r="BB97" s="4">
        <f>IF(Q97=VLOOKUP(VALUE(Q$1),Questions!$A:$E,5,FALSE),1,0)</f>
        <v>1</v>
      </c>
      <c r="BC97" s="4">
        <f>IF(R97=VLOOKUP(VALUE(R$1),Questions!$A:$E,5,FALSE),1,0)</f>
        <v>1</v>
      </c>
      <c r="BD97" s="4">
        <f>IF(S97=VLOOKUP(VALUE(S$1),Questions!$A:$E,5,FALSE),1,0)</f>
        <v>1</v>
      </c>
      <c r="BE97" s="4">
        <f>IF(T97=VLOOKUP(VALUE(T$1),Questions!$A:$E,5,FALSE),1,0)</f>
        <v>1</v>
      </c>
      <c r="BF97" s="4">
        <f>IF(U97=VLOOKUP(VALUE(U$1),Questions!$A:$E,5,FALSE),1,0)</f>
        <v>1</v>
      </c>
      <c r="BG97" s="4">
        <f>IF(V97=VLOOKUP(VALUE(V$1),Questions!$A:$E,5,FALSE),1,0)</f>
        <v>1</v>
      </c>
      <c r="BH97" s="4">
        <f>IF(W97=VLOOKUP(VALUE(W$1),Questions!$A:$E,5,FALSE),1,0)</f>
        <v>1</v>
      </c>
      <c r="BI97" s="4">
        <f>IF(X97=VLOOKUP(VALUE(X$1),Questions!$A:$E,5,FALSE),1,0)</f>
        <v>0</v>
      </c>
      <c r="BJ97" s="4">
        <f>IF(Y97=VLOOKUP(VALUE(Y$1),Questions!$A:$E,5,FALSE),1,0)</f>
        <v>1</v>
      </c>
      <c r="BK97" s="4">
        <f>IF(Z97=VLOOKUP(VALUE(Z$1),Questions!$A:$E,5,FALSE),1,0)</f>
        <v>1</v>
      </c>
      <c r="BL97" s="4">
        <f>IF(AA97=VLOOKUP(VALUE(AA$1),Questions!$A:$E,5,FALSE),1,0)</f>
        <v>1</v>
      </c>
      <c r="BM97" s="4">
        <f>IF(AB97=VLOOKUP(VALUE(AB$1),Questions!$A:$E,5,FALSE),1,0)</f>
        <v>1</v>
      </c>
      <c r="BN97" s="4">
        <f>IF(AC97=VLOOKUP(VALUE(AC$1),Questions!$A:$E,5,FALSE),1,0)</f>
        <v>1</v>
      </c>
      <c r="BO97" s="4">
        <f>IF(AD97=VLOOKUP(VALUE(AD$1),Questions!$A:$E,5,FALSE),1,0)</f>
        <v>1</v>
      </c>
      <c r="BP97" s="4">
        <f>IF(AE97=VLOOKUP(VALUE(AE$1),Questions!$A:$E,5,FALSE),1,0)</f>
        <v>1</v>
      </c>
      <c r="BQ97" s="4">
        <f>IF(AF97=VLOOKUP(VALUE(AF$1),Questions!$A:$E,5,FALSE),1,0)</f>
        <v>1</v>
      </c>
      <c r="BR97" s="4">
        <f>IF(AG97=VLOOKUP(VALUE(AG$1),Questions!$A:$E,5,FALSE),1,0)</f>
        <v>1</v>
      </c>
      <c r="BS97" s="4">
        <f>IF(AH97=VLOOKUP(VALUE(AH$1),Questions!$A:$E,5,FALSE),1,0)</f>
        <v>1</v>
      </c>
      <c r="BT97" s="4">
        <f>IF(AI97=VLOOKUP(VALUE(AI$1),Questions!$A:$E,5,FALSE),1,0)</f>
        <v>1</v>
      </c>
      <c r="BU97" s="4">
        <f>IF(AJ97=VLOOKUP(VALUE(AJ$1),Questions!$A:$E,5,FALSE),1,0)</f>
        <v>1</v>
      </c>
      <c r="BV97" s="4">
        <f>IF(AK97=VLOOKUP(VALUE(AK$1),Questions!$A:$E,5,FALSE),1,0)</f>
        <v>0</v>
      </c>
      <c r="BW97" s="87">
        <f>IF(AL97=VLOOKUP(VALUE(AL$1),Questions!$A:$E,5,FALSE),1,0)</f>
        <v>1</v>
      </c>
      <c r="BX97" s="4">
        <f>IF(Scores[[#This Row],[Final]]&gt;=65,1,0)</f>
        <v>1</v>
      </c>
      <c r="BY97" s="4">
        <f>IF(Scores[[#This Row],[Final]]&gt;=IF(Scores[[#This Row],[IEP]],55,65),1,0)</f>
        <v>1</v>
      </c>
    </row>
    <row r="98" spans="1:77" x14ac:dyDescent="0.2">
      <c r="A98" s="6">
        <v>97</v>
      </c>
      <c r="B98" s="4">
        <v>9</v>
      </c>
      <c r="C98" s="4" t="s">
        <v>963</v>
      </c>
      <c r="D98" s="105" t="b">
        <v>0</v>
      </c>
      <c r="E98" s="105" t="b">
        <v>0</v>
      </c>
      <c r="F98" s="86">
        <f>SUM(Scores[[#This Row],[Q1]:[Q28]])</f>
        <v>20</v>
      </c>
      <c r="G98" s="4">
        <f>SUM(Scores[[#This Row],[29]]:Scores[[#This Row],[30]])</f>
        <v>8</v>
      </c>
      <c r="H98" s="4">
        <f>SUM(Scores[[#This Row],[31]:[36]])</f>
        <v>6</v>
      </c>
      <c r="I98" s="4">
        <f>Scores[[#This Row],[37]]</f>
        <v>2</v>
      </c>
      <c r="J98" s="87">
        <f>INDEX('Conversion Chart'!$C$3:$M$47,MATCH(SUM(Scores[[#This Row],[MC]:[IIIA]]),'Conversion Chart'!$B$3:$B$47),MATCH(Scores[[#This Row],[IIIB]],'Conversion Chart'!$C$2:$M$2))</f>
        <v>77</v>
      </c>
      <c r="K98" s="103">
        <v>4</v>
      </c>
      <c r="L98" s="103">
        <v>1</v>
      </c>
      <c r="M98" s="103">
        <v>3</v>
      </c>
      <c r="N98" s="103">
        <v>3</v>
      </c>
      <c r="O98" s="103">
        <v>1</v>
      </c>
      <c r="P98" s="103">
        <v>2</v>
      </c>
      <c r="Q98" s="103">
        <v>3</v>
      </c>
      <c r="R98" s="103">
        <v>2</v>
      </c>
      <c r="S98" s="103">
        <v>2</v>
      </c>
      <c r="T98" s="103">
        <v>1</v>
      </c>
      <c r="U98" s="103">
        <v>2</v>
      </c>
      <c r="V98" s="103">
        <v>3</v>
      </c>
      <c r="W98" s="103">
        <v>2</v>
      </c>
      <c r="X98" s="103">
        <v>4</v>
      </c>
      <c r="Y98" s="103">
        <v>3</v>
      </c>
      <c r="Z98" s="103">
        <v>1</v>
      </c>
      <c r="AA98" s="103">
        <v>2</v>
      </c>
      <c r="AB98" s="103">
        <v>4</v>
      </c>
      <c r="AC98" s="103">
        <v>1</v>
      </c>
      <c r="AD98" s="103">
        <v>4</v>
      </c>
      <c r="AE98" s="103">
        <v>2</v>
      </c>
      <c r="AF98" s="103">
        <v>2</v>
      </c>
      <c r="AG98" s="103">
        <v>3</v>
      </c>
      <c r="AH98" s="103">
        <v>2</v>
      </c>
      <c r="AI98" s="103">
        <v>1</v>
      </c>
      <c r="AJ98" s="103">
        <v>2</v>
      </c>
      <c r="AK98" s="103">
        <v>4</v>
      </c>
      <c r="AL98" s="104">
        <v>3</v>
      </c>
      <c r="AM98" s="4">
        <v>4</v>
      </c>
      <c r="AN98" s="87">
        <v>4</v>
      </c>
      <c r="AO98" s="4">
        <v>1</v>
      </c>
      <c r="AP98" s="4">
        <v>1</v>
      </c>
      <c r="AQ98" s="4">
        <v>1</v>
      </c>
      <c r="AR98" s="4">
        <v>1</v>
      </c>
      <c r="AS98" s="4">
        <v>1</v>
      </c>
      <c r="AT98" s="4">
        <v>1</v>
      </c>
      <c r="AU98" s="107">
        <v>2</v>
      </c>
      <c r="AV98" s="4">
        <f>IF(K98=VLOOKUP(VALUE(K$1),Questions!$A:$E,5,FALSE),1,0)</f>
        <v>1</v>
      </c>
      <c r="AW98" s="4">
        <f>IF(L98=VLOOKUP(VALUE(L$1),Questions!$A:$E,5,FALSE),1,0)</f>
        <v>0</v>
      </c>
      <c r="AX98" s="4">
        <f>IF(M98=VLOOKUP(VALUE(M$1),Questions!$A:$E,5,FALSE),1,0)</f>
        <v>1</v>
      </c>
      <c r="AY98" s="4">
        <f>IF(N98=VLOOKUP(VALUE(N$1),Questions!$A:$E,5,FALSE),1,0)</f>
        <v>1</v>
      </c>
      <c r="AZ98" s="4">
        <f>IF(O98=VLOOKUP(VALUE(O$1),Questions!$A:$E,5,FALSE),1,0)</f>
        <v>1</v>
      </c>
      <c r="BA98" s="4">
        <f>IF(P98=VLOOKUP(VALUE(P$1),Questions!$A:$E,5,FALSE),1,0)</f>
        <v>0</v>
      </c>
      <c r="BB98" s="4">
        <f>IF(Q98=VLOOKUP(VALUE(Q$1),Questions!$A:$E,5,FALSE),1,0)</f>
        <v>1</v>
      </c>
      <c r="BC98" s="4">
        <f>IF(R98=VLOOKUP(VALUE(R$1),Questions!$A:$E,5,FALSE),1,0)</f>
        <v>1</v>
      </c>
      <c r="BD98" s="4">
        <f>IF(S98=VLOOKUP(VALUE(S$1),Questions!$A:$E,5,FALSE),1,0)</f>
        <v>1</v>
      </c>
      <c r="BE98" s="4">
        <f>IF(T98=VLOOKUP(VALUE(T$1),Questions!$A:$E,5,FALSE),1,0)</f>
        <v>1</v>
      </c>
      <c r="BF98" s="4">
        <f>IF(U98=VLOOKUP(VALUE(U$1),Questions!$A:$E,5,FALSE),1,0)</f>
        <v>1</v>
      </c>
      <c r="BG98" s="4">
        <f>IF(V98=VLOOKUP(VALUE(V$1),Questions!$A:$E,5,FALSE),1,0)</f>
        <v>0</v>
      </c>
      <c r="BH98" s="4">
        <f>IF(W98=VLOOKUP(VALUE(W$1),Questions!$A:$E,5,FALSE),1,0)</f>
        <v>1</v>
      </c>
      <c r="BI98" s="4">
        <f>IF(X98=VLOOKUP(VALUE(X$1),Questions!$A:$E,5,FALSE),1,0)</f>
        <v>1</v>
      </c>
      <c r="BJ98" s="4">
        <f>IF(Y98=VLOOKUP(VALUE(Y$1),Questions!$A:$E,5,FALSE),1,0)</f>
        <v>1</v>
      </c>
      <c r="BK98" s="4">
        <f>IF(Z98=VLOOKUP(VALUE(Z$1),Questions!$A:$E,5,FALSE),1,0)</f>
        <v>1</v>
      </c>
      <c r="BL98" s="4">
        <f>IF(AA98=VLOOKUP(VALUE(AA$1),Questions!$A:$E,5,FALSE),1,0)</f>
        <v>0</v>
      </c>
      <c r="BM98" s="4">
        <f>IF(AB98=VLOOKUP(VALUE(AB$1),Questions!$A:$E,5,FALSE),1,0)</f>
        <v>1</v>
      </c>
      <c r="BN98" s="4">
        <f>IF(AC98=VLOOKUP(VALUE(AC$1),Questions!$A:$E,5,FALSE),1,0)</f>
        <v>0</v>
      </c>
      <c r="BO98" s="4">
        <f>IF(AD98=VLOOKUP(VALUE(AD$1),Questions!$A:$E,5,FALSE),1,0)</f>
        <v>1</v>
      </c>
      <c r="BP98" s="4">
        <f>IF(AE98=VLOOKUP(VALUE(AE$1),Questions!$A:$E,5,FALSE),1,0)</f>
        <v>1</v>
      </c>
      <c r="BQ98" s="4">
        <f>IF(AF98=VLOOKUP(VALUE(AF$1),Questions!$A:$E,5,FALSE),1,0)</f>
        <v>1</v>
      </c>
      <c r="BR98" s="4">
        <f>IF(AG98=VLOOKUP(VALUE(AG$1),Questions!$A:$E,5,FALSE),1,0)</f>
        <v>1</v>
      </c>
      <c r="BS98" s="4">
        <f>IF(AH98=VLOOKUP(VALUE(AH$1),Questions!$A:$E,5,FALSE),1,0)</f>
        <v>0</v>
      </c>
      <c r="BT98" s="4">
        <f>IF(AI98=VLOOKUP(VALUE(AI$1),Questions!$A:$E,5,FALSE),1,0)</f>
        <v>1</v>
      </c>
      <c r="BU98" s="4">
        <f>IF(AJ98=VLOOKUP(VALUE(AJ$1),Questions!$A:$E,5,FALSE),1,0)</f>
        <v>0</v>
      </c>
      <c r="BV98" s="4">
        <f>IF(AK98=VLOOKUP(VALUE(AK$1),Questions!$A:$E,5,FALSE),1,0)</f>
        <v>0</v>
      </c>
      <c r="BW98" s="87">
        <f>IF(AL98=VLOOKUP(VALUE(AL$1),Questions!$A:$E,5,FALSE),1,0)</f>
        <v>1</v>
      </c>
      <c r="BX98" s="4">
        <f>IF(Scores[[#This Row],[Final]]&gt;=65,1,0)</f>
        <v>1</v>
      </c>
      <c r="BY98" s="4">
        <f>IF(Scores[[#This Row],[Final]]&gt;=IF(Scores[[#This Row],[IEP]],55,65),1,0)</f>
        <v>1</v>
      </c>
    </row>
    <row r="99" spans="1:77" x14ac:dyDescent="0.2">
      <c r="A99" s="6">
        <v>98</v>
      </c>
      <c r="B99" s="4">
        <v>9</v>
      </c>
      <c r="C99" s="4" t="s">
        <v>964</v>
      </c>
      <c r="D99" s="105" t="b">
        <v>0</v>
      </c>
      <c r="E99" s="105" t="b">
        <v>0</v>
      </c>
      <c r="F99" s="86">
        <f>SUM(Scores[[#This Row],[Q1]:[Q28]])</f>
        <v>20</v>
      </c>
      <c r="G99" s="4">
        <f>SUM(Scores[[#This Row],[29]]:Scores[[#This Row],[30]])</f>
        <v>2</v>
      </c>
      <c r="H99" s="4">
        <f>SUM(Scores[[#This Row],[31]:[36]])</f>
        <v>6</v>
      </c>
      <c r="I99" s="4">
        <f>Scores[[#This Row],[37]]</f>
        <v>1</v>
      </c>
      <c r="J99" s="87">
        <f>INDEX('Conversion Chart'!$C$3:$M$47,MATCH(SUM(Scores[[#This Row],[MC]:[IIIA]]),'Conversion Chart'!$B$3:$B$47),MATCH(Scores[[#This Row],[IIIB]],'Conversion Chart'!$C$2:$M$2))</f>
        <v>68</v>
      </c>
      <c r="K99" s="103">
        <v>3</v>
      </c>
      <c r="L99" s="103">
        <v>2</v>
      </c>
      <c r="M99" s="103">
        <v>3</v>
      </c>
      <c r="N99" s="103">
        <v>4</v>
      </c>
      <c r="O99" s="103">
        <v>1</v>
      </c>
      <c r="P99" s="103">
        <v>4</v>
      </c>
      <c r="Q99" s="103">
        <v>3</v>
      </c>
      <c r="R99" s="103">
        <v>2</v>
      </c>
      <c r="S99" s="103">
        <v>2</v>
      </c>
      <c r="T99" s="103">
        <v>1</v>
      </c>
      <c r="U99" s="103">
        <v>2</v>
      </c>
      <c r="V99" s="103">
        <v>3</v>
      </c>
      <c r="W99" s="103">
        <v>2</v>
      </c>
      <c r="X99" s="103">
        <v>4</v>
      </c>
      <c r="Y99" s="103">
        <v>3</v>
      </c>
      <c r="Z99" s="103">
        <v>4</v>
      </c>
      <c r="AA99" s="103">
        <v>1</v>
      </c>
      <c r="AB99" s="103">
        <v>4</v>
      </c>
      <c r="AC99" s="103">
        <v>3</v>
      </c>
      <c r="AD99" s="103">
        <v>1</v>
      </c>
      <c r="AE99" s="103">
        <v>3</v>
      </c>
      <c r="AF99" s="103">
        <v>2</v>
      </c>
      <c r="AG99" s="103">
        <v>3</v>
      </c>
      <c r="AH99" s="103">
        <v>3</v>
      </c>
      <c r="AI99" s="103">
        <v>4</v>
      </c>
      <c r="AJ99" s="103">
        <v>4</v>
      </c>
      <c r="AK99" s="103">
        <v>1</v>
      </c>
      <c r="AL99" s="104">
        <v>2</v>
      </c>
      <c r="AM99" s="4">
        <v>1</v>
      </c>
      <c r="AN99" s="87">
        <v>1</v>
      </c>
      <c r="AO99" s="4">
        <v>1</v>
      </c>
      <c r="AP99" s="4">
        <v>1</v>
      </c>
      <c r="AQ99" s="4">
        <v>1</v>
      </c>
      <c r="AR99" s="4">
        <v>1</v>
      </c>
      <c r="AS99" s="4">
        <v>1</v>
      </c>
      <c r="AT99" s="4">
        <v>1</v>
      </c>
      <c r="AU99" s="107">
        <v>1</v>
      </c>
      <c r="AV99" s="4">
        <f>IF(K99=VLOOKUP(VALUE(K$1),Questions!$A:$E,5,FALSE),1,0)</f>
        <v>0</v>
      </c>
      <c r="AW99" s="4">
        <f>IF(L99=VLOOKUP(VALUE(L$1),Questions!$A:$E,5,FALSE),1,0)</f>
        <v>1</v>
      </c>
      <c r="AX99" s="4">
        <f>IF(M99=VLOOKUP(VALUE(M$1),Questions!$A:$E,5,FALSE),1,0)</f>
        <v>1</v>
      </c>
      <c r="AY99" s="4">
        <f>IF(N99=VLOOKUP(VALUE(N$1),Questions!$A:$E,5,FALSE),1,0)</f>
        <v>0</v>
      </c>
      <c r="AZ99" s="4">
        <f>IF(O99=VLOOKUP(VALUE(O$1),Questions!$A:$E,5,FALSE),1,0)</f>
        <v>1</v>
      </c>
      <c r="BA99" s="4">
        <f>IF(P99=VLOOKUP(VALUE(P$1),Questions!$A:$E,5,FALSE),1,0)</f>
        <v>1</v>
      </c>
      <c r="BB99" s="4">
        <f>IF(Q99=VLOOKUP(VALUE(Q$1),Questions!$A:$E,5,FALSE),1,0)</f>
        <v>1</v>
      </c>
      <c r="BC99" s="4">
        <f>IF(R99=VLOOKUP(VALUE(R$1),Questions!$A:$E,5,FALSE),1,0)</f>
        <v>1</v>
      </c>
      <c r="BD99" s="4">
        <f>IF(S99=VLOOKUP(VALUE(S$1),Questions!$A:$E,5,FALSE),1,0)</f>
        <v>1</v>
      </c>
      <c r="BE99" s="4">
        <f>IF(T99=VLOOKUP(VALUE(T$1),Questions!$A:$E,5,FALSE),1,0)</f>
        <v>1</v>
      </c>
      <c r="BF99" s="4">
        <f>IF(U99=VLOOKUP(VALUE(U$1),Questions!$A:$E,5,FALSE),1,0)</f>
        <v>1</v>
      </c>
      <c r="BG99" s="4">
        <f>IF(V99=VLOOKUP(VALUE(V$1),Questions!$A:$E,5,FALSE),1,0)</f>
        <v>0</v>
      </c>
      <c r="BH99" s="4">
        <f>IF(W99=VLOOKUP(VALUE(W$1),Questions!$A:$E,5,FALSE),1,0)</f>
        <v>1</v>
      </c>
      <c r="BI99" s="4">
        <f>IF(X99=VLOOKUP(VALUE(X$1),Questions!$A:$E,5,FALSE),1,0)</f>
        <v>1</v>
      </c>
      <c r="BJ99" s="4">
        <f>IF(Y99=VLOOKUP(VALUE(Y$1),Questions!$A:$E,5,FALSE),1,0)</f>
        <v>1</v>
      </c>
      <c r="BK99" s="4">
        <f>IF(Z99=VLOOKUP(VALUE(Z$1),Questions!$A:$E,5,FALSE),1,0)</f>
        <v>0</v>
      </c>
      <c r="BL99" s="4">
        <f>IF(AA99=VLOOKUP(VALUE(AA$1),Questions!$A:$E,5,FALSE),1,0)</f>
        <v>1</v>
      </c>
      <c r="BM99" s="4">
        <f>IF(AB99=VLOOKUP(VALUE(AB$1),Questions!$A:$E,5,FALSE),1,0)</f>
        <v>1</v>
      </c>
      <c r="BN99" s="4">
        <f>IF(AC99=VLOOKUP(VALUE(AC$1),Questions!$A:$E,5,FALSE),1,0)</f>
        <v>1</v>
      </c>
      <c r="BO99" s="4">
        <f>IF(AD99=VLOOKUP(VALUE(AD$1),Questions!$A:$E,5,FALSE),1,0)</f>
        <v>0</v>
      </c>
      <c r="BP99" s="4">
        <f>IF(AE99=VLOOKUP(VALUE(AE$1),Questions!$A:$E,5,FALSE),1,0)</f>
        <v>0</v>
      </c>
      <c r="BQ99" s="4">
        <f>IF(AF99=VLOOKUP(VALUE(AF$1),Questions!$A:$E,5,FALSE),1,0)</f>
        <v>1</v>
      </c>
      <c r="BR99" s="4">
        <f>IF(AG99=VLOOKUP(VALUE(AG$1),Questions!$A:$E,5,FALSE),1,0)</f>
        <v>1</v>
      </c>
      <c r="BS99" s="4">
        <f>IF(AH99=VLOOKUP(VALUE(AH$1),Questions!$A:$E,5,FALSE),1,0)</f>
        <v>1</v>
      </c>
      <c r="BT99" s="4">
        <f>IF(AI99=VLOOKUP(VALUE(AI$1),Questions!$A:$E,5,FALSE),1,0)</f>
        <v>0</v>
      </c>
      <c r="BU99" s="4">
        <f>IF(AJ99=VLOOKUP(VALUE(AJ$1),Questions!$A:$E,5,FALSE),1,0)</f>
        <v>1</v>
      </c>
      <c r="BV99" s="4">
        <f>IF(AK99=VLOOKUP(VALUE(AK$1),Questions!$A:$E,5,FALSE),1,0)</f>
        <v>1</v>
      </c>
      <c r="BW99" s="87">
        <f>IF(AL99=VLOOKUP(VALUE(AL$1),Questions!$A:$E,5,FALSE),1,0)</f>
        <v>0</v>
      </c>
      <c r="BX99" s="4">
        <f>IF(Scores[[#This Row],[Final]]&gt;=65,1,0)</f>
        <v>1</v>
      </c>
      <c r="BY99" s="4">
        <f>IF(Scores[[#This Row],[Final]]&gt;=IF(Scores[[#This Row],[IEP]],55,65),1,0)</f>
        <v>1</v>
      </c>
    </row>
    <row r="100" spans="1:77" x14ac:dyDescent="0.2">
      <c r="A100" s="6">
        <v>99</v>
      </c>
      <c r="B100" s="4">
        <v>11</v>
      </c>
      <c r="C100" s="4" t="s">
        <v>964</v>
      </c>
      <c r="D100" s="105" t="b">
        <v>0</v>
      </c>
      <c r="E100" s="105" t="b">
        <v>0</v>
      </c>
      <c r="F100" s="86">
        <f>SUM(Scores[[#This Row],[Q1]:[Q28]])</f>
        <v>18</v>
      </c>
      <c r="G100" s="4">
        <f>SUM(Scores[[#This Row],[29]]:Scores[[#This Row],[30]])</f>
        <v>4</v>
      </c>
      <c r="H100" s="4">
        <f>SUM(Scores[[#This Row],[31]:[36]])</f>
        <v>6</v>
      </c>
      <c r="I100" s="4">
        <f>Scores[[#This Row],[37]]</f>
        <v>1</v>
      </c>
      <c r="J100" s="87">
        <f>INDEX('Conversion Chart'!$C$3:$M$47,MATCH(SUM(Scores[[#This Row],[MC]:[IIIA]]),'Conversion Chart'!$B$3:$B$47),MATCH(Scores[[#This Row],[IIIB]],'Conversion Chart'!$C$2:$M$2))</f>
        <v>68</v>
      </c>
      <c r="K100" s="103">
        <v>4</v>
      </c>
      <c r="L100" s="103">
        <v>3</v>
      </c>
      <c r="M100" s="103">
        <v>3</v>
      </c>
      <c r="N100" s="103">
        <v>2</v>
      </c>
      <c r="O100" s="103">
        <v>1</v>
      </c>
      <c r="P100" s="103">
        <v>3</v>
      </c>
      <c r="Q100" s="103">
        <v>3</v>
      </c>
      <c r="R100" s="103">
        <v>2</v>
      </c>
      <c r="S100" s="103">
        <v>2</v>
      </c>
      <c r="T100" s="103">
        <v>1</v>
      </c>
      <c r="U100" s="103">
        <v>2</v>
      </c>
      <c r="V100" s="103">
        <v>4</v>
      </c>
      <c r="W100" s="103">
        <v>1</v>
      </c>
      <c r="X100" s="103">
        <v>4</v>
      </c>
      <c r="Y100" s="103">
        <v>4</v>
      </c>
      <c r="Z100" s="103">
        <v>1</v>
      </c>
      <c r="AA100" s="103">
        <v>1</v>
      </c>
      <c r="AB100" s="103">
        <v>4</v>
      </c>
      <c r="AC100" s="103">
        <v>3</v>
      </c>
      <c r="AD100" s="103">
        <v>4</v>
      </c>
      <c r="AE100" s="103">
        <v>2</v>
      </c>
      <c r="AF100" s="103">
        <v>3</v>
      </c>
      <c r="AG100" s="103">
        <v>4</v>
      </c>
      <c r="AH100" s="103">
        <v>2</v>
      </c>
      <c r="AI100" s="103">
        <v>3</v>
      </c>
      <c r="AJ100" s="103">
        <v>4</v>
      </c>
      <c r="AK100" s="103">
        <v>2</v>
      </c>
      <c r="AL100" s="104">
        <v>3</v>
      </c>
      <c r="AM100" s="4">
        <v>2</v>
      </c>
      <c r="AN100" s="87">
        <v>2</v>
      </c>
      <c r="AO100" s="4">
        <v>1</v>
      </c>
      <c r="AP100" s="4">
        <v>1</v>
      </c>
      <c r="AQ100" s="4">
        <v>1</v>
      </c>
      <c r="AR100" s="4">
        <v>1</v>
      </c>
      <c r="AS100" s="4">
        <v>1</v>
      </c>
      <c r="AT100" s="4">
        <v>1</v>
      </c>
      <c r="AU100" s="107">
        <v>1</v>
      </c>
      <c r="AV100" s="4">
        <f>IF(K100=VLOOKUP(VALUE(K$1),Questions!$A:$E,5,FALSE),1,0)</f>
        <v>1</v>
      </c>
      <c r="AW100" s="4">
        <f>IF(L100=VLOOKUP(VALUE(L$1),Questions!$A:$E,5,FALSE),1,0)</f>
        <v>0</v>
      </c>
      <c r="AX100" s="4">
        <f>IF(M100=VLOOKUP(VALUE(M$1),Questions!$A:$E,5,FALSE),1,0)</f>
        <v>1</v>
      </c>
      <c r="AY100" s="4">
        <f>IF(N100=VLOOKUP(VALUE(N$1),Questions!$A:$E,5,FALSE),1,0)</f>
        <v>0</v>
      </c>
      <c r="AZ100" s="4">
        <f>IF(O100=VLOOKUP(VALUE(O$1),Questions!$A:$E,5,FALSE),1,0)</f>
        <v>1</v>
      </c>
      <c r="BA100" s="4">
        <f>IF(P100=VLOOKUP(VALUE(P$1),Questions!$A:$E,5,FALSE),1,0)</f>
        <v>0</v>
      </c>
      <c r="BB100" s="4">
        <f>IF(Q100=VLOOKUP(VALUE(Q$1),Questions!$A:$E,5,FALSE),1,0)</f>
        <v>1</v>
      </c>
      <c r="BC100" s="4">
        <f>IF(R100=VLOOKUP(VALUE(R$1),Questions!$A:$E,5,FALSE),1,0)</f>
        <v>1</v>
      </c>
      <c r="BD100" s="4">
        <f>IF(S100=VLOOKUP(VALUE(S$1),Questions!$A:$E,5,FALSE),1,0)</f>
        <v>1</v>
      </c>
      <c r="BE100" s="4">
        <f>IF(T100=VLOOKUP(VALUE(T$1),Questions!$A:$E,5,FALSE),1,0)</f>
        <v>1</v>
      </c>
      <c r="BF100" s="4">
        <f>IF(U100=VLOOKUP(VALUE(U$1),Questions!$A:$E,5,FALSE),1,0)</f>
        <v>1</v>
      </c>
      <c r="BG100" s="4">
        <f>IF(V100=VLOOKUP(VALUE(V$1),Questions!$A:$E,5,FALSE),1,0)</f>
        <v>1</v>
      </c>
      <c r="BH100" s="4">
        <f>IF(W100=VLOOKUP(VALUE(W$1),Questions!$A:$E,5,FALSE),1,0)</f>
        <v>0</v>
      </c>
      <c r="BI100" s="4">
        <f>IF(X100=VLOOKUP(VALUE(X$1),Questions!$A:$E,5,FALSE),1,0)</f>
        <v>1</v>
      </c>
      <c r="BJ100" s="4">
        <f>IF(Y100=VLOOKUP(VALUE(Y$1),Questions!$A:$E,5,FALSE),1,0)</f>
        <v>0</v>
      </c>
      <c r="BK100" s="4">
        <f>IF(Z100=VLOOKUP(VALUE(Z$1),Questions!$A:$E,5,FALSE),1,0)</f>
        <v>1</v>
      </c>
      <c r="BL100" s="4">
        <f>IF(AA100=VLOOKUP(VALUE(AA$1),Questions!$A:$E,5,FALSE),1,0)</f>
        <v>1</v>
      </c>
      <c r="BM100" s="4">
        <f>IF(AB100=VLOOKUP(VALUE(AB$1),Questions!$A:$E,5,FALSE),1,0)</f>
        <v>1</v>
      </c>
      <c r="BN100" s="4">
        <f>IF(AC100=VLOOKUP(VALUE(AC$1),Questions!$A:$E,5,FALSE),1,0)</f>
        <v>1</v>
      </c>
      <c r="BO100" s="4">
        <f>IF(AD100=VLOOKUP(VALUE(AD$1),Questions!$A:$E,5,FALSE),1,0)</f>
        <v>1</v>
      </c>
      <c r="BP100" s="4">
        <f>IF(AE100=VLOOKUP(VALUE(AE$1),Questions!$A:$E,5,FALSE),1,0)</f>
        <v>1</v>
      </c>
      <c r="BQ100" s="4">
        <f>IF(AF100=VLOOKUP(VALUE(AF$1),Questions!$A:$E,5,FALSE),1,0)</f>
        <v>0</v>
      </c>
      <c r="BR100" s="4">
        <f>IF(AG100=VLOOKUP(VALUE(AG$1),Questions!$A:$E,5,FALSE),1,0)</f>
        <v>0</v>
      </c>
      <c r="BS100" s="4">
        <f>IF(AH100=VLOOKUP(VALUE(AH$1),Questions!$A:$E,5,FALSE),1,0)</f>
        <v>0</v>
      </c>
      <c r="BT100" s="4">
        <f>IF(AI100=VLOOKUP(VALUE(AI$1),Questions!$A:$E,5,FALSE),1,0)</f>
        <v>0</v>
      </c>
      <c r="BU100" s="4">
        <f>IF(AJ100=VLOOKUP(VALUE(AJ$1),Questions!$A:$E,5,FALSE),1,0)</f>
        <v>1</v>
      </c>
      <c r="BV100" s="4">
        <f>IF(AK100=VLOOKUP(VALUE(AK$1),Questions!$A:$E,5,FALSE),1,0)</f>
        <v>0</v>
      </c>
      <c r="BW100" s="87">
        <f>IF(AL100=VLOOKUP(VALUE(AL$1),Questions!$A:$E,5,FALSE),1,0)</f>
        <v>1</v>
      </c>
      <c r="BX100" s="4">
        <f>IF(Scores[[#This Row],[Final]]&gt;=65,1,0)</f>
        <v>1</v>
      </c>
      <c r="BY100" s="4">
        <f>IF(Scores[[#This Row],[Final]]&gt;=IF(Scores[[#This Row],[IEP]],55,65),1,0)</f>
        <v>1</v>
      </c>
    </row>
    <row r="101" spans="1:77" x14ac:dyDescent="0.2">
      <c r="A101" s="6">
        <v>100</v>
      </c>
      <c r="B101" s="4">
        <v>11</v>
      </c>
      <c r="C101" s="4" t="s">
        <v>967</v>
      </c>
      <c r="D101" s="105" t="b">
        <v>0</v>
      </c>
      <c r="E101" s="105" t="b">
        <v>0</v>
      </c>
      <c r="F101" s="86">
        <f>SUM(Scores[[#This Row],[Q1]:[Q28]])</f>
        <v>0</v>
      </c>
      <c r="G101" s="4">
        <f>SUM(Scores[[#This Row],[29]]:Scores[[#This Row],[30]])</f>
        <v>0</v>
      </c>
      <c r="H101" s="4">
        <f>SUM(Scores[[#This Row],[31]:[36]])</f>
        <v>0</v>
      </c>
      <c r="I101" s="4">
        <f>Scores[[#This Row],[37]]</f>
        <v>0</v>
      </c>
      <c r="J101" s="87">
        <f>INDEX('Conversion Chart'!$C$3:$M$47,MATCH(SUM(Scores[[#This Row],[MC]:[IIIA]]),'Conversion Chart'!$B$3:$B$47),MATCH(Scores[[#This Row],[IIIB]],'Conversion Chart'!$C$2:$M$2))</f>
        <v>0</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4"/>
      <c r="AN101" s="87"/>
      <c r="AU101" s="107"/>
      <c r="AV101" s="4">
        <f>IF(K101=VLOOKUP(VALUE(K$1),Questions!$A:$E,5,FALSE),1,0)</f>
        <v>0</v>
      </c>
      <c r="AW101" s="4">
        <f>IF(L101=VLOOKUP(VALUE(L$1),Questions!$A:$E,5,FALSE),1,0)</f>
        <v>0</v>
      </c>
      <c r="AX101" s="4">
        <f>IF(M101=VLOOKUP(VALUE(M$1),Questions!$A:$E,5,FALSE),1,0)</f>
        <v>0</v>
      </c>
      <c r="AY101" s="4">
        <f>IF(N101=VLOOKUP(VALUE(N$1),Questions!$A:$E,5,FALSE),1,0)</f>
        <v>0</v>
      </c>
      <c r="AZ101" s="4">
        <f>IF(O101=VLOOKUP(VALUE(O$1),Questions!$A:$E,5,FALSE),1,0)</f>
        <v>0</v>
      </c>
      <c r="BA101" s="4">
        <f>IF(P101=VLOOKUP(VALUE(P$1),Questions!$A:$E,5,FALSE),1,0)</f>
        <v>0</v>
      </c>
      <c r="BB101" s="4">
        <f>IF(Q101=VLOOKUP(VALUE(Q$1),Questions!$A:$E,5,FALSE),1,0)</f>
        <v>0</v>
      </c>
      <c r="BC101" s="4">
        <f>IF(R101=VLOOKUP(VALUE(R$1),Questions!$A:$E,5,FALSE),1,0)</f>
        <v>0</v>
      </c>
      <c r="BD101" s="4">
        <f>IF(S101=VLOOKUP(VALUE(S$1),Questions!$A:$E,5,FALSE),1,0)</f>
        <v>0</v>
      </c>
      <c r="BE101" s="4">
        <f>IF(T101=VLOOKUP(VALUE(T$1),Questions!$A:$E,5,FALSE),1,0)</f>
        <v>0</v>
      </c>
      <c r="BF101" s="4">
        <f>IF(U101=VLOOKUP(VALUE(U$1),Questions!$A:$E,5,FALSE),1,0)</f>
        <v>0</v>
      </c>
      <c r="BG101" s="4">
        <f>IF(V101=VLOOKUP(VALUE(V$1),Questions!$A:$E,5,FALSE),1,0)</f>
        <v>0</v>
      </c>
      <c r="BH101" s="4">
        <f>IF(W101=VLOOKUP(VALUE(W$1),Questions!$A:$E,5,FALSE),1,0)</f>
        <v>0</v>
      </c>
      <c r="BI101" s="4">
        <f>IF(X101=VLOOKUP(VALUE(X$1),Questions!$A:$E,5,FALSE),1,0)</f>
        <v>0</v>
      </c>
      <c r="BJ101" s="4">
        <f>IF(Y101=VLOOKUP(VALUE(Y$1),Questions!$A:$E,5,FALSE),1,0)</f>
        <v>0</v>
      </c>
      <c r="BK101" s="4">
        <f>IF(Z101=VLOOKUP(VALUE(Z$1),Questions!$A:$E,5,FALSE),1,0)</f>
        <v>0</v>
      </c>
      <c r="BL101" s="4">
        <f>IF(AA101=VLOOKUP(VALUE(AA$1),Questions!$A:$E,5,FALSE),1,0)</f>
        <v>0</v>
      </c>
      <c r="BM101" s="4">
        <f>IF(AB101=VLOOKUP(VALUE(AB$1),Questions!$A:$E,5,FALSE),1,0)</f>
        <v>0</v>
      </c>
      <c r="BN101" s="4">
        <f>IF(AC101=VLOOKUP(VALUE(AC$1),Questions!$A:$E,5,FALSE),1,0)</f>
        <v>0</v>
      </c>
      <c r="BO101" s="4">
        <f>IF(AD101=VLOOKUP(VALUE(AD$1),Questions!$A:$E,5,FALSE),1,0)</f>
        <v>0</v>
      </c>
      <c r="BP101" s="4">
        <f>IF(AE101=VLOOKUP(VALUE(AE$1),Questions!$A:$E,5,FALSE),1,0)</f>
        <v>0</v>
      </c>
      <c r="BQ101" s="4">
        <f>IF(AF101=VLOOKUP(VALUE(AF$1),Questions!$A:$E,5,FALSE),1,0)</f>
        <v>0</v>
      </c>
      <c r="BR101" s="4">
        <f>IF(AG101=VLOOKUP(VALUE(AG$1),Questions!$A:$E,5,FALSE),1,0)</f>
        <v>0</v>
      </c>
      <c r="BS101" s="4">
        <f>IF(AH101=VLOOKUP(VALUE(AH$1),Questions!$A:$E,5,FALSE),1,0)</f>
        <v>0</v>
      </c>
      <c r="BT101" s="4">
        <f>IF(AI101=VLOOKUP(VALUE(AI$1),Questions!$A:$E,5,FALSE),1,0)</f>
        <v>0</v>
      </c>
      <c r="BU101" s="4">
        <f>IF(AJ101=VLOOKUP(VALUE(AJ$1),Questions!$A:$E,5,FALSE),1,0)</f>
        <v>0</v>
      </c>
      <c r="BV101" s="4">
        <f>IF(AK101=VLOOKUP(VALUE(AK$1),Questions!$A:$E,5,FALSE),1,0)</f>
        <v>0</v>
      </c>
      <c r="BW101" s="87">
        <f>IF(AL101=VLOOKUP(VALUE(AL$1),Questions!$A:$E,5,FALSE),1,0)</f>
        <v>0</v>
      </c>
      <c r="BX101" s="4">
        <f>IF(Scores[[#This Row],[Final]]&gt;=65,1,0)</f>
        <v>0</v>
      </c>
      <c r="BY101" s="4">
        <f>IF(Scores[[#This Row],[Final]]&gt;=IF(Scores[[#This Row],[IEP]],55,65),1,0)</f>
        <v>0</v>
      </c>
    </row>
    <row r="102" spans="1:77" x14ac:dyDescent="0.2">
      <c r="A102" s="6">
        <v>101</v>
      </c>
      <c r="B102" s="4">
        <v>9</v>
      </c>
      <c r="C102" s="4" t="s">
        <v>963</v>
      </c>
      <c r="D102" s="105" t="b">
        <v>0</v>
      </c>
      <c r="E102" s="105" t="b">
        <v>0</v>
      </c>
      <c r="F102" s="86">
        <f>SUM(Scores[[#This Row],[Q1]:[Q28]])</f>
        <v>21</v>
      </c>
      <c r="G102" s="4">
        <f>SUM(Scores[[#This Row],[29]]:Scores[[#This Row],[30]])</f>
        <v>2</v>
      </c>
      <c r="H102" s="4">
        <f>SUM(Scores[[#This Row],[31]:[36]])</f>
        <v>4</v>
      </c>
      <c r="I102" s="4">
        <f>Scores[[#This Row],[37]]</f>
        <v>3</v>
      </c>
      <c r="J102" s="87">
        <f>INDEX('Conversion Chart'!$C$3:$M$47,MATCH(SUM(Scores[[#This Row],[MC]:[IIIA]]),'Conversion Chart'!$B$3:$B$47),MATCH(Scores[[#This Row],[IIIB]],'Conversion Chart'!$C$2:$M$2))</f>
        <v>73</v>
      </c>
      <c r="K102" s="103">
        <v>4</v>
      </c>
      <c r="L102" s="103">
        <v>2</v>
      </c>
      <c r="M102" s="103">
        <v>3</v>
      </c>
      <c r="N102" s="103">
        <v>3</v>
      </c>
      <c r="O102" s="103">
        <v>1</v>
      </c>
      <c r="P102" s="103">
        <v>2</v>
      </c>
      <c r="Q102" s="103">
        <v>3</v>
      </c>
      <c r="R102" s="103">
        <v>2</v>
      </c>
      <c r="S102" s="103">
        <v>3</v>
      </c>
      <c r="T102" s="103">
        <v>1</v>
      </c>
      <c r="U102" s="103">
        <v>2</v>
      </c>
      <c r="V102" s="103">
        <v>4</v>
      </c>
      <c r="W102" s="103">
        <v>1</v>
      </c>
      <c r="X102" s="103">
        <v>4</v>
      </c>
      <c r="Y102" s="103">
        <v>3</v>
      </c>
      <c r="Z102" s="103">
        <v>4</v>
      </c>
      <c r="AA102" s="103">
        <v>1</v>
      </c>
      <c r="AB102" s="103">
        <v>4</v>
      </c>
      <c r="AC102" s="103">
        <v>3</v>
      </c>
      <c r="AD102" s="103">
        <v>4</v>
      </c>
      <c r="AE102" s="103">
        <v>2</v>
      </c>
      <c r="AF102" s="103">
        <v>2</v>
      </c>
      <c r="AG102" s="103">
        <v>3</v>
      </c>
      <c r="AH102" s="103">
        <v>2</v>
      </c>
      <c r="AI102" s="103">
        <v>2</v>
      </c>
      <c r="AJ102" s="103">
        <v>4</v>
      </c>
      <c r="AK102" s="103">
        <v>2</v>
      </c>
      <c r="AL102" s="104">
        <v>3</v>
      </c>
      <c r="AM102" s="4">
        <v>1</v>
      </c>
      <c r="AN102" s="87">
        <v>1</v>
      </c>
      <c r="AO102" s="4">
        <v>1</v>
      </c>
      <c r="AP102" s="4">
        <v>1</v>
      </c>
      <c r="AQ102" s="4">
        <v>0</v>
      </c>
      <c r="AR102" s="4">
        <v>1</v>
      </c>
      <c r="AS102" s="4">
        <v>1</v>
      </c>
      <c r="AT102" s="4">
        <v>0</v>
      </c>
      <c r="AU102" s="107">
        <v>3</v>
      </c>
      <c r="AV102" s="4">
        <f>IF(K102=VLOOKUP(VALUE(K$1),Questions!$A:$E,5,FALSE),1,0)</f>
        <v>1</v>
      </c>
      <c r="AW102" s="4">
        <f>IF(L102=VLOOKUP(VALUE(L$1),Questions!$A:$E,5,FALSE),1,0)</f>
        <v>1</v>
      </c>
      <c r="AX102" s="4">
        <f>IF(M102=VLOOKUP(VALUE(M$1),Questions!$A:$E,5,FALSE),1,0)</f>
        <v>1</v>
      </c>
      <c r="AY102" s="4">
        <f>IF(N102=VLOOKUP(VALUE(N$1),Questions!$A:$E,5,FALSE),1,0)</f>
        <v>1</v>
      </c>
      <c r="AZ102" s="4">
        <f>IF(O102=VLOOKUP(VALUE(O$1),Questions!$A:$E,5,FALSE),1,0)</f>
        <v>1</v>
      </c>
      <c r="BA102" s="4">
        <f>IF(P102=VLOOKUP(VALUE(P$1),Questions!$A:$E,5,FALSE),1,0)</f>
        <v>0</v>
      </c>
      <c r="BB102" s="4">
        <f>IF(Q102=VLOOKUP(VALUE(Q$1),Questions!$A:$E,5,FALSE),1,0)</f>
        <v>1</v>
      </c>
      <c r="BC102" s="4">
        <f>IF(R102=VLOOKUP(VALUE(R$1),Questions!$A:$E,5,FALSE),1,0)</f>
        <v>1</v>
      </c>
      <c r="BD102" s="4">
        <f>IF(S102=VLOOKUP(VALUE(S$1),Questions!$A:$E,5,FALSE),1,0)</f>
        <v>0</v>
      </c>
      <c r="BE102" s="4">
        <f>IF(T102=VLOOKUP(VALUE(T$1),Questions!$A:$E,5,FALSE),1,0)</f>
        <v>1</v>
      </c>
      <c r="BF102" s="4">
        <f>IF(U102=VLOOKUP(VALUE(U$1),Questions!$A:$E,5,FALSE),1,0)</f>
        <v>1</v>
      </c>
      <c r="BG102" s="4">
        <f>IF(V102=VLOOKUP(VALUE(V$1),Questions!$A:$E,5,FALSE),1,0)</f>
        <v>1</v>
      </c>
      <c r="BH102" s="4">
        <f>IF(W102=VLOOKUP(VALUE(W$1),Questions!$A:$E,5,FALSE),1,0)</f>
        <v>0</v>
      </c>
      <c r="BI102" s="4">
        <f>IF(X102=VLOOKUP(VALUE(X$1),Questions!$A:$E,5,FALSE),1,0)</f>
        <v>1</v>
      </c>
      <c r="BJ102" s="4">
        <f>IF(Y102=VLOOKUP(VALUE(Y$1),Questions!$A:$E,5,FALSE),1,0)</f>
        <v>1</v>
      </c>
      <c r="BK102" s="4">
        <f>IF(Z102=VLOOKUP(VALUE(Z$1),Questions!$A:$E,5,FALSE),1,0)</f>
        <v>0</v>
      </c>
      <c r="BL102" s="4">
        <f>IF(AA102=VLOOKUP(VALUE(AA$1),Questions!$A:$E,5,FALSE),1,0)</f>
        <v>1</v>
      </c>
      <c r="BM102" s="4">
        <f>IF(AB102=VLOOKUP(VALUE(AB$1),Questions!$A:$E,5,FALSE),1,0)</f>
        <v>1</v>
      </c>
      <c r="BN102" s="4">
        <f>IF(AC102=VLOOKUP(VALUE(AC$1),Questions!$A:$E,5,FALSE),1,0)</f>
        <v>1</v>
      </c>
      <c r="BO102" s="4">
        <f>IF(AD102=VLOOKUP(VALUE(AD$1),Questions!$A:$E,5,FALSE),1,0)</f>
        <v>1</v>
      </c>
      <c r="BP102" s="4">
        <f>IF(AE102=VLOOKUP(VALUE(AE$1),Questions!$A:$E,5,FALSE),1,0)</f>
        <v>1</v>
      </c>
      <c r="BQ102" s="4">
        <f>IF(AF102=VLOOKUP(VALUE(AF$1),Questions!$A:$E,5,FALSE),1,0)</f>
        <v>1</v>
      </c>
      <c r="BR102" s="4">
        <f>IF(AG102=VLOOKUP(VALUE(AG$1),Questions!$A:$E,5,FALSE),1,0)</f>
        <v>1</v>
      </c>
      <c r="BS102" s="4">
        <f>IF(AH102=VLOOKUP(VALUE(AH$1),Questions!$A:$E,5,FALSE),1,0)</f>
        <v>0</v>
      </c>
      <c r="BT102" s="4">
        <f>IF(AI102=VLOOKUP(VALUE(AI$1),Questions!$A:$E,5,FALSE),1,0)</f>
        <v>0</v>
      </c>
      <c r="BU102" s="4">
        <f>IF(AJ102=VLOOKUP(VALUE(AJ$1),Questions!$A:$E,5,FALSE),1,0)</f>
        <v>1</v>
      </c>
      <c r="BV102" s="4">
        <f>IF(AK102=VLOOKUP(VALUE(AK$1),Questions!$A:$E,5,FALSE),1,0)</f>
        <v>0</v>
      </c>
      <c r="BW102" s="87">
        <f>IF(AL102=VLOOKUP(VALUE(AL$1),Questions!$A:$E,5,FALSE),1,0)</f>
        <v>1</v>
      </c>
      <c r="BX102" s="4">
        <f>IF(Scores[[#This Row],[Final]]&gt;=65,1,0)</f>
        <v>1</v>
      </c>
      <c r="BY102" s="4">
        <f>IF(Scores[[#This Row],[Final]]&gt;=IF(Scores[[#This Row],[IEP]],55,65),1,0)</f>
        <v>1</v>
      </c>
    </row>
    <row r="103" spans="1:77" x14ac:dyDescent="0.2">
      <c r="A103" s="6">
        <v>102</v>
      </c>
      <c r="B103" s="4">
        <v>11</v>
      </c>
      <c r="C103" s="4" t="s">
        <v>964</v>
      </c>
      <c r="D103" s="105" t="b">
        <v>0</v>
      </c>
      <c r="E103" s="105" t="b">
        <v>0</v>
      </c>
      <c r="F103" s="86">
        <f>SUM(Scores[[#This Row],[Q1]:[Q28]])</f>
        <v>15</v>
      </c>
      <c r="G103" s="4">
        <f>SUM(Scores[[#This Row],[29]]:Scores[[#This Row],[30]])</f>
        <v>3</v>
      </c>
      <c r="H103" s="4">
        <f>SUM(Scores[[#This Row],[31]:[36]])</f>
        <v>6</v>
      </c>
      <c r="I103" s="4">
        <f>Scores[[#This Row],[37]]</f>
        <v>1.5</v>
      </c>
      <c r="J103" s="87">
        <f>INDEX('Conversion Chart'!$C$3:$M$47,MATCH(SUM(Scores[[#This Row],[MC]:[IIIA]]),'Conversion Chart'!$B$3:$B$47),MATCH(Scores[[#This Row],[IIIB]],'Conversion Chart'!$C$2:$M$2))</f>
        <v>65</v>
      </c>
      <c r="K103" s="103">
        <v>4</v>
      </c>
      <c r="L103" s="103">
        <v>3</v>
      </c>
      <c r="M103" s="103">
        <v>3</v>
      </c>
      <c r="N103" s="103">
        <v>2</v>
      </c>
      <c r="O103" s="103">
        <v>1</v>
      </c>
      <c r="P103" s="103">
        <v>1</v>
      </c>
      <c r="Q103" s="103">
        <v>3</v>
      </c>
      <c r="R103" s="103">
        <v>2</v>
      </c>
      <c r="S103" s="103">
        <v>2</v>
      </c>
      <c r="T103" s="103">
        <v>1</v>
      </c>
      <c r="U103" s="103">
        <v>2</v>
      </c>
      <c r="V103" s="103">
        <v>3</v>
      </c>
      <c r="W103" s="103">
        <v>3</v>
      </c>
      <c r="X103" s="103">
        <v>4</v>
      </c>
      <c r="Y103" s="103">
        <v>1</v>
      </c>
      <c r="Z103" s="103">
        <v>1</v>
      </c>
      <c r="AA103" s="103">
        <v>1</v>
      </c>
      <c r="AB103" s="103">
        <v>4</v>
      </c>
      <c r="AC103" s="103">
        <v>4</v>
      </c>
      <c r="AD103" s="103">
        <v>3</v>
      </c>
      <c r="AE103" s="103">
        <v>2</v>
      </c>
      <c r="AF103" s="103">
        <v>3</v>
      </c>
      <c r="AG103" s="103">
        <v>4</v>
      </c>
      <c r="AH103" s="103">
        <v>2</v>
      </c>
      <c r="AI103" s="103">
        <v>3</v>
      </c>
      <c r="AJ103" s="103">
        <v>4</v>
      </c>
      <c r="AK103" s="103">
        <v>2</v>
      </c>
      <c r="AL103" s="104">
        <v>3</v>
      </c>
      <c r="AM103" s="4">
        <v>1</v>
      </c>
      <c r="AN103" s="87">
        <v>2</v>
      </c>
      <c r="AO103" s="4">
        <v>1</v>
      </c>
      <c r="AP103" s="4">
        <v>1</v>
      </c>
      <c r="AQ103" s="4">
        <v>1</v>
      </c>
      <c r="AR103" s="4">
        <v>1</v>
      </c>
      <c r="AS103" s="4">
        <v>1</v>
      </c>
      <c r="AT103" s="4">
        <v>1</v>
      </c>
      <c r="AU103" s="107">
        <v>1.5</v>
      </c>
      <c r="AV103" s="4">
        <f>IF(K103=VLOOKUP(VALUE(K$1),Questions!$A:$E,5,FALSE),1,0)</f>
        <v>1</v>
      </c>
      <c r="AW103" s="4">
        <f>IF(L103=VLOOKUP(VALUE(L$1),Questions!$A:$E,5,FALSE),1,0)</f>
        <v>0</v>
      </c>
      <c r="AX103" s="4">
        <f>IF(M103=VLOOKUP(VALUE(M$1),Questions!$A:$E,5,FALSE),1,0)</f>
        <v>1</v>
      </c>
      <c r="AY103" s="4">
        <f>IF(N103=VLOOKUP(VALUE(N$1),Questions!$A:$E,5,FALSE),1,0)</f>
        <v>0</v>
      </c>
      <c r="AZ103" s="4">
        <f>IF(O103=VLOOKUP(VALUE(O$1),Questions!$A:$E,5,FALSE),1,0)</f>
        <v>1</v>
      </c>
      <c r="BA103" s="4">
        <f>IF(P103=VLOOKUP(VALUE(P$1),Questions!$A:$E,5,FALSE),1,0)</f>
        <v>0</v>
      </c>
      <c r="BB103" s="4">
        <f>IF(Q103=VLOOKUP(VALUE(Q$1),Questions!$A:$E,5,FALSE),1,0)</f>
        <v>1</v>
      </c>
      <c r="BC103" s="4">
        <f>IF(R103=VLOOKUP(VALUE(R$1),Questions!$A:$E,5,FALSE),1,0)</f>
        <v>1</v>
      </c>
      <c r="BD103" s="4">
        <f>IF(S103=VLOOKUP(VALUE(S$1),Questions!$A:$E,5,FALSE),1,0)</f>
        <v>1</v>
      </c>
      <c r="BE103" s="4">
        <f>IF(T103=VLOOKUP(VALUE(T$1),Questions!$A:$E,5,FALSE),1,0)</f>
        <v>1</v>
      </c>
      <c r="BF103" s="4">
        <f>IF(U103=VLOOKUP(VALUE(U$1),Questions!$A:$E,5,FALSE),1,0)</f>
        <v>1</v>
      </c>
      <c r="BG103" s="4">
        <f>IF(V103=VLOOKUP(VALUE(V$1),Questions!$A:$E,5,FALSE),1,0)</f>
        <v>0</v>
      </c>
      <c r="BH103" s="4">
        <f>IF(W103=VLOOKUP(VALUE(W$1),Questions!$A:$E,5,FALSE),1,0)</f>
        <v>0</v>
      </c>
      <c r="BI103" s="4">
        <f>IF(X103=VLOOKUP(VALUE(X$1),Questions!$A:$E,5,FALSE),1,0)</f>
        <v>1</v>
      </c>
      <c r="BJ103" s="4">
        <f>IF(Y103=VLOOKUP(VALUE(Y$1),Questions!$A:$E,5,FALSE),1,0)</f>
        <v>0</v>
      </c>
      <c r="BK103" s="4">
        <f>IF(Z103=VLOOKUP(VALUE(Z$1),Questions!$A:$E,5,FALSE),1,0)</f>
        <v>1</v>
      </c>
      <c r="BL103" s="4">
        <f>IF(AA103=VLOOKUP(VALUE(AA$1),Questions!$A:$E,5,FALSE),1,0)</f>
        <v>1</v>
      </c>
      <c r="BM103" s="4">
        <f>IF(AB103=VLOOKUP(VALUE(AB$1),Questions!$A:$E,5,FALSE),1,0)</f>
        <v>1</v>
      </c>
      <c r="BN103" s="4">
        <f>IF(AC103=VLOOKUP(VALUE(AC$1),Questions!$A:$E,5,FALSE),1,0)</f>
        <v>0</v>
      </c>
      <c r="BO103" s="4">
        <f>IF(AD103=VLOOKUP(VALUE(AD$1),Questions!$A:$E,5,FALSE),1,0)</f>
        <v>0</v>
      </c>
      <c r="BP103" s="4">
        <f>IF(AE103=VLOOKUP(VALUE(AE$1),Questions!$A:$E,5,FALSE),1,0)</f>
        <v>1</v>
      </c>
      <c r="BQ103" s="4">
        <f>IF(AF103=VLOOKUP(VALUE(AF$1),Questions!$A:$E,5,FALSE),1,0)</f>
        <v>0</v>
      </c>
      <c r="BR103" s="4">
        <f>IF(AG103=VLOOKUP(VALUE(AG$1),Questions!$A:$E,5,FALSE),1,0)</f>
        <v>0</v>
      </c>
      <c r="BS103" s="4">
        <f>IF(AH103=VLOOKUP(VALUE(AH$1),Questions!$A:$E,5,FALSE),1,0)</f>
        <v>0</v>
      </c>
      <c r="BT103" s="4">
        <f>IF(AI103=VLOOKUP(VALUE(AI$1),Questions!$A:$E,5,FALSE),1,0)</f>
        <v>0</v>
      </c>
      <c r="BU103" s="4">
        <f>IF(AJ103=VLOOKUP(VALUE(AJ$1),Questions!$A:$E,5,FALSE),1,0)</f>
        <v>1</v>
      </c>
      <c r="BV103" s="4">
        <f>IF(AK103=VLOOKUP(VALUE(AK$1),Questions!$A:$E,5,FALSE),1,0)</f>
        <v>0</v>
      </c>
      <c r="BW103" s="87">
        <f>IF(AL103=VLOOKUP(VALUE(AL$1),Questions!$A:$E,5,FALSE),1,0)</f>
        <v>1</v>
      </c>
      <c r="BX103" s="4">
        <f>IF(Scores[[#This Row],[Final]]&gt;=65,1,0)</f>
        <v>1</v>
      </c>
      <c r="BY103" s="4">
        <f>IF(Scores[[#This Row],[Final]]&gt;=IF(Scores[[#This Row],[IEP]],55,65),1,0)</f>
        <v>1</v>
      </c>
    </row>
    <row r="104" spans="1:77" x14ac:dyDescent="0.2">
      <c r="A104" s="6">
        <v>103</v>
      </c>
      <c r="B104" s="4">
        <v>9</v>
      </c>
      <c r="C104" s="4" t="s">
        <v>967</v>
      </c>
      <c r="D104" s="105" t="b">
        <v>0</v>
      </c>
      <c r="E104" s="105" t="b">
        <v>0</v>
      </c>
      <c r="F104" s="86">
        <f>SUM(Scores[[#This Row],[Q1]:[Q28]])</f>
        <v>0</v>
      </c>
      <c r="G104" s="4">
        <f>SUM(Scores[[#This Row],[29]]:Scores[[#This Row],[30]])</f>
        <v>0</v>
      </c>
      <c r="H104" s="4">
        <f>SUM(Scores[[#This Row],[31]:[36]])</f>
        <v>0</v>
      </c>
      <c r="I104" s="4">
        <f>Scores[[#This Row],[37]]</f>
        <v>0</v>
      </c>
      <c r="J104" s="87">
        <f>INDEX('Conversion Chart'!$C$3:$M$47,MATCH(SUM(Scores[[#This Row],[MC]:[IIIA]]),'Conversion Chart'!$B$3:$B$47),MATCH(Scores[[#This Row],[IIIB]],'Conversion Chart'!$C$2:$M$2))</f>
        <v>0</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4"/>
      <c r="AN104" s="87"/>
      <c r="AU104" s="107"/>
      <c r="AV104" s="4">
        <f>IF(K104=VLOOKUP(VALUE(K$1),Questions!$A:$E,5,FALSE),1,0)</f>
        <v>0</v>
      </c>
      <c r="AW104" s="4">
        <f>IF(L104=VLOOKUP(VALUE(L$1),Questions!$A:$E,5,FALSE),1,0)</f>
        <v>0</v>
      </c>
      <c r="AX104" s="4">
        <f>IF(M104=VLOOKUP(VALUE(M$1),Questions!$A:$E,5,FALSE),1,0)</f>
        <v>0</v>
      </c>
      <c r="AY104" s="4">
        <f>IF(N104=VLOOKUP(VALUE(N$1),Questions!$A:$E,5,FALSE),1,0)</f>
        <v>0</v>
      </c>
      <c r="AZ104" s="4">
        <f>IF(O104=VLOOKUP(VALUE(O$1),Questions!$A:$E,5,FALSE),1,0)</f>
        <v>0</v>
      </c>
      <c r="BA104" s="4">
        <f>IF(P104=VLOOKUP(VALUE(P$1),Questions!$A:$E,5,FALSE),1,0)</f>
        <v>0</v>
      </c>
      <c r="BB104" s="4">
        <f>IF(Q104=VLOOKUP(VALUE(Q$1),Questions!$A:$E,5,FALSE),1,0)</f>
        <v>0</v>
      </c>
      <c r="BC104" s="4">
        <f>IF(R104=VLOOKUP(VALUE(R$1),Questions!$A:$E,5,FALSE),1,0)</f>
        <v>0</v>
      </c>
      <c r="BD104" s="4">
        <f>IF(S104=VLOOKUP(VALUE(S$1),Questions!$A:$E,5,FALSE),1,0)</f>
        <v>0</v>
      </c>
      <c r="BE104" s="4">
        <f>IF(T104=VLOOKUP(VALUE(T$1),Questions!$A:$E,5,FALSE),1,0)</f>
        <v>0</v>
      </c>
      <c r="BF104" s="4">
        <f>IF(U104=VLOOKUP(VALUE(U$1),Questions!$A:$E,5,FALSE),1,0)</f>
        <v>0</v>
      </c>
      <c r="BG104" s="4">
        <f>IF(V104=VLOOKUP(VALUE(V$1),Questions!$A:$E,5,FALSE),1,0)</f>
        <v>0</v>
      </c>
      <c r="BH104" s="4">
        <f>IF(W104=VLOOKUP(VALUE(W$1),Questions!$A:$E,5,FALSE),1,0)</f>
        <v>0</v>
      </c>
      <c r="BI104" s="4">
        <f>IF(X104=VLOOKUP(VALUE(X$1),Questions!$A:$E,5,FALSE),1,0)</f>
        <v>0</v>
      </c>
      <c r="BJ104" s="4">
        <f>IF(Y104=VLOOKUP(VALUE(Y$1),Questions!$A:$E,5,FALSE),1,0)</f>
        <v>0</v>
      </c>
      <c r="BK104" s="4">
        <f>IF(Z104=VLOOKUP(VALUE(Z$1),Questions!$A:$E,5,FALSE),1,0)</f>
        <v>0</v>
      </c>
      <c r="BL104" s="4">
        <f>IF(AA104=VLOOKUP(VALUE(AA$1),Questions!$A:$E,5,FALSE),1,0)</f>
        <v>0</v>
      </c>
      <c r="BM104" s="4">
        <f>IF(AB104=VLOOKUP(VALUE(AB$1),Questions!$A:$E,5,FALSE),1,0)</f>
        <v>0</v>
      </c>
      <c r="BN104" s="4">
        <f>IF(AC104=VLOOKUP(VALUE(AC$1),Questions!$A:$E,5,FALSE),1,0)</f>
        <v>0</v>
      </c>
      <c r="BO104" s="4">
        <f>IF(AD104=VLOOKUP(VALUE(AD$1),Questions!$A:$E,5,FALSE),1,0)</f>
        <v>0</v>
      </c>
      <c r="BP104" s="4">
        <f>IF(AE104=VLOOKUP(VALUE(AE$1),Questions!$A:$E,5,FALSE),1,0)</f>
        <v>0</v>
      </c>
      <c r="BQ104" s="4">
        <f>IF(AF104=VLOOKUP(VALUE(AF$1),Questions!$A:$E,5,FALSE),1,0)</f>
        <v>0</v>
      </c>
      <c r="BR104" s="4">
        <f>IF(AG104=VLOOKUP(VALUE(AG$1),Questions!$A:$E,5,FALSE),1,0)</f>
        <v>0</v>
      </c>
      <c r="BS104" s="4">
        <f>IF(AH104=VLOOKUP(VALUE(AH$1),Questions!$A:$E,5,FALSE),1,0)</f>
        <v>0</v>
      </c>
      <c r="BT104" s="4">
        <f>IF(AI104=VLOOKUP(VALUE(AI$1),Questions!$A:$E,5,FALSE),1,0)</f>
        <v>0</v>
      </c>
      <c r="BU104" s="4">
        <f>IF(AJ104=VLOOKUP(VALUE(AJ$1),Questions!$A:$E,5,FALSE),1,0)</f>
        <v>0</v>
      </c>
      <c r="BV104" s="4">
        <f>IF(AK104=VLOOKUP(VALUE(AK$1),Questions!$A:$E,5,FALSE),1,0)</f>
        <v>0</v>
      </c>
      <c r="BW104" s="87">
        <f>IF(AL104=VLOOKUP(VALUE(AL$1),Questions!$A:$E,5,FALSE),1,0)</f>
        <v>0</v>
      </c>
      <c r="BX104" s="4">
        <f>IF(Scores[[#This Row],[Final]]&gt;=65,1,0)</f>
        <v>0</v>
      </c>
      <c r="BY104" s="4">
        <f>IF(Scores[[#This Row],[Final]]&gt;=IF(Scores[[#This Row],[IEP]],55,65),1,0)</f>
        <v>0</v>
      </c>
    </row>
    <row r="105" spans="1:77" x14ac:dyDescent="0.2">
      <c r="A105" s="6">
        <v>104</v>
      </c>
      <c r="B105" s="4">
        <v>11</v>
      </c>
      <c r="C105" s="4" t="s">
        <v>962</v>
      </c>
      <c r="D105" s="105" t="b">
        <v>0</v>
      </c>
      <c r="E105" s="105" t="b">
        <v>0</v>
      </c>
      <c r="F105" s="86">
        <f>SUM(Scores[[#This Row],[Q1]:[Q28]])</f>
        <v>20</v>
      </c>
      <c r="G105" s="4">
        <f>SUM(Scores[[#This Row],[29]]:Scores[[#This Row],[30]])</f>
        <v>4</v>
      </c>
      <c r="H105" s="4">
        <f>SUM(Scores[[#This Row],[31]:[36]])</f>
        <v>6</v>
      </c>
      <c r="I105" s="4">
        <f>Scores[[#This Row],[37]]</f>
        <v>2.5</v>
      </c>
      <c r="J105" s="87">
        <f>INDEX('Conversion Chart'!$C$3:$M$47,MATCH(SUM(Scores[[#This Row],[MC]:[IIIA]]),'Conversion Chart'!$B$3:$B$47),MATCH(Scores[[#This Row],[IIIB]],'Conversion Chart'!$C$2:$M$2))</f>
        <v>75</v>
      </c>
      <c r="K105" s="103">
        <v>4</v>
      </c>
      <c r="L105" s="103">
        <v>3</v>
      </c>
      <c r="M105" s="103">
        <v>3</v>
      </c>
      <c r="N105" s="103">
        <v>3</v>
      </c>
      <c r="O105" s="103">
        <v>1</v>
      </c>
      <c r="P105" s="103">
        <v>4</v>
      </c>
      <c r="Q105" s="103">
        <v>1</v>
      </c>
      <c r="R105" s="103">
        <v>2</v>
      </c>
      <c r="S105" s="103">
        <v>2</v>
      </c>
      <c r="T105" s="103">
        <v>1</v>
      </c>
      <c r="U105" s="103">
        <v>2</v>
      </c>
      <c r="V105" s="103">
        <v>4</v>
      </c>
      <c r="W105" s="103">
        <v>2</v>
      </c>
      <c r="X105" s="103">
        <v>4</v>
      </c>
      <c r="Y105" s="103">
        <v>3</v>
      </c>
      <c r="Z105" s="103">
        <v>1</v>
      </c>
      <c r="AA105" s="103">
        <v>3</v>
      </c>
      <c r="AB105" s="103">
        <v>4</v>
      </c>
      <c r="AC105" s="103">
        <v>3</v>
      </c>
      <c r="AD105" s="103">
        <v>1</v>
      </c>
      <c r="AE105" s="103">
        <v>1</v>
      </c>
      <c r="AF105" s="103">
        <v>2</v>
      </c>
      <c r="AG105" s="103">
        <v>3</v>
      </c>
      <c r="AH105" s="103">
        <v>2</v>
      </c>
      <c r="AI105" s="103">
        <v>3</v>
      </c>
      <c r="AJ105" s="103">
        <v>4</v>
      </c>
      <c r="AK105" s="103">
        <v>1</v>
      </c>
      <c r="AL105" s="104">
        <v>2</v>
      </c>
      <c r="AM105" s="4">
        <v>4</v>
      </c>
      <c r="AN105" s="87">
        <v>0</v>
      </c>
      <c r="AO105" s="4">
        <v>1</v>
      </c>
      <c r="AP105" s="4">
        <v>1</v>
      </c>
      <c r="AQ105" s="4">
        <v>1</v>
      </c>
      <c r="AR105" s="4">
        <v>1</v>
      </c>
      <c r="AS105" s="4">
        <v>1</v>
      </c>
      <c r="AT105" s="4">
        <v>1</v>
      </c>
      <c r="AU105" s="107">
        <v>2.5</v>
      </c>
      <c r="AV105" s="4">
        <f>IF(K105=VLOOKUP(VALUE(K$1),Questions!$A:$E,5,FALSE),1,0)</f>
        <v>1</v>
      </c>
      <c r="AW105" s="4">
        <f>IF(L105=VLOOKUP(VALUE(L$1),Questions!$A:$E,5,FALSE),1,0)</f>
        <v>0</v>
      </c>
      <c r="AX105" s="4">
        <f>IF(M105=VLOOKUP(VALUE(M$1),Questions!$A:$E,5,FALSE),1,0)</f>
        <v>1</v>
      </c>
      <c r="AY105" s="4">
        <f>IF(N105=VLOOKUP(VALUE(N$1),Questions!$A:$E,5,FALSE),1,0)</f>
        <v>1</v>
      </c>
      <c r="AZ105" s="4">
        <f>IF(O105=VLOOKUP(VALUE(O$1),Questions!$A:$E,5,FALSE),1,0)</f>
        <v>1</v>
      </c>
      <c r="BA105" s="4">
        <f>IF(P105=VLOOKUP(VALUE(P$1),Questions!$A:$E,5,FALSE),1,0)</f>
        <v>1</v>
      </c>
      <c r="BB105" s="4">
        <f>IF(Q105=VLOOKUP(VALUE(Q$1),Questions!$A:$E,5,FALSE),1,0)</f>
        <v>0</v>
      </c>
      <c r="BC105" s="4">
        <f>IF(R105=VLOOKUP(VALUE(R$1),Questions!$A:$E,5,FALSE),1,0)</f>
        <v>1</v>
      </c>
      <c r="BD105" s="4">
        <f>IF(S105=VLOOKUP(VALUE(S$1),Questions!$A:$E,5,FALSE),1,0)</f>
        <v>1</v>
      </c>
      <c r="BE105" s="4">
        <f>IF(T105=VLOOKUP(VALUE(T$1),Questions!$A:$E,5,FALSE),1,0)</f>
        <v>1</v>
      </c>
      <c r="BF105" s="4">
        <f>IF(U105=VLOOKUP(VALUE(U$1),Questions!$A:$E,5,FALSE),1,0)</f>
        <v>1</v>
      </c>
      <c r="BG105" s="4">
        <f>IF(V105=VLOOKUP(VALUE(V$1),Questions!$A:$E,5,FALSE),1,0)</f>
        <v>1</v>
      </c>
      <c r="BH105" s="4">
        <f>IF(W105=VLOOKUP(VALUE(W$1),Questions!$A:$E,5,FALSE),1,0)</f>
        <v>1</v>
      </c>
      <c r="BI105" s="4">
        <f>IF(X105=VLOOKUP(VALUE(X$1),Questions!$A:$E,5,FALSE),1,0)</f>
        <v>1</v>
      </c>
      <c r="BJ105" s="4">
        <f>IF(Y105=VLOOKUP(VALUE(Y$1),Questions!$A:$E,5,FALSE),1,0)</f>
        <v>1</v>
      </c>
      <c r="BK105" s="4">
        <f>IF(Z105=VLOOKUP(VALUE(Z$1),Questions!$A:$E,5,FALSE),1,0)</f>
        <v>1</v>
      </c>
      <c r="BL105" s="4">
        <f>IF(AA105=VLOOKUP(VALUE(AA$1),Questions!$A:$E,5,FALSE),1,0)</f>
        <v>0</v>
      </c>
      <c r="BM105" s="4">
        <f>IF(AB105=VLOOKUP(VALUE(AB$1),Questions!$A:$E,5,FALSE),1,0)</f>
        <v>1</v>
      </c>
      <c r="BN105" s="4">
        <f>IF(AC105=VLOOKUP(VALUE(AC$1),Questions!$A:$E,5,FALSE),1,0)</f>
        <v>1</v>
      </c>
      <c r="BO105" s="4">
        <f>IF(AD105=VLOOKUP(VALUE(AD$1),Questions!$A:$E,5,FALSE),1,0)</f>
        <v>0</v>
      </c>
      <c r="BP105" s="4">
        <f>IF(AE105=VLOOKUP(VALUE(AE$1),Questions!$A:$E,5,FALSE),1,0)</f>
        <v>0</v>
      </c>
      <c r="BQ105" s="4">
        <f>IF(AF105=VLOOKUP(VALUE(AF$1),Questions!$A:$E,5,FALSE),1,0)</f>
        <v>1</v>
      </c>
      <c r="BR105" s="4">
        <f>IF(AG105=VLOOKUP(VALUE(AG$1),Questions!$A:$E,5,FALSE),1,0)</f>
        <v>1</v>
      </c>
      <c r="BS105" s="4">
        <f>IF(AH105=VLOOKUP(VALUE(AH$1),Questions!$A:$E,5,FALSE),1,0)</f>
        <v>0</v>
      </c>
      <c r="BT105" s="4">
        <f>IF(AI105=VLOOKUP(VALUE(AI$1),Questions!$A:$E,5,FALSE),1,0)</f>
        <v>0</v>
      </c>
      <c r="BU105" s="4">
        <f>IF(AJ105=VLOOKUP(VALUE(AJ$1),Questions!$A:$E,5,FALSE),1,0)</f>
        <v>1</v>
      </c>
      <c r="BV105" s="4">
        <f>IF(AK105=VLOOKUP(VALUE(AK$1),Questions!$A:$E,5,FALSE),1,0)</f>
        <v>1</v>
      </c>
      <c r="BW105" s="87">
        <f>IF(AL105=VLOOKUP(VALUE(AL$1),Questions!$A:$E,5,FALSE),1,0)</f>
        <v>0</v>
      </c>
      <c r="BX105" s="4">
        <f>IF(Scores[[#This Row],[Final]]&gt;=65,1,0)</f>
        <v>1</v>
      </c>
      <c r="BY105" s="4">
        <f>IF(Scores[[#This Row],[Final]]&gt;=IF(Scores[[#This Row],[IEP]],55,65),1,0)</f>
        <v>1</v>
      </c>
    </row>
    <row r="106" spans="1:77" x14ac:dyDescent="0.2">
      <c r="A106" s="6">
        <v>105</v>
      </c>
      <c r="B106" s="4">
        <v>11</v>
      </c>
      <c r="C106" s="4" t="s">
        <v>962</v>
      </c>
      <c r="D106" s="105" t="b">
        <v>0</v>
      </c>
      <c r="E106" s="105" t="b">
        <v>1</v>
      </c>
      <c r="F106" s="86">
        <f>SUM(Scores[[#This Row],[Q1]:[Q28]])</f>
        <v>16</v>
      </c>
      <c r="G106" s="4">
        <f>SUM(Scores[[#This Row],[29]]:Scores[[#This Row],[30]])</f>
        <v>1</v>
      </c>
      <c r="H106" s="4">
        <f>SUM(Scores[[#This Row],[31]:[36]])</f>
        <v>5</v>
      </c>
      <c r="I106" s="4">
        <f>Scores[[#This Row],[37]]</f>
        <v>0</v>
      </c>
      <c r="J106" s="87">
        <f>INDEX('Conversion Chart'!$C$3:$M$47,MATCH(SUM(Scores[[#This Row],[MC]:[IIIA]]),'Conversion Chart'!$B$3:$B$47),MATCH(Scores[[#This Row],[IIIB]],'Conversion Chart'!$C$2:$M$2))</f>
        <v>55</v>
      </c>
      <c r="K106" s="103">
        <v>4</v>
      </c>
      <c r="L106" s="103">
        <v>1</v>
      </c>
      <c r="M106" s="103">
        <v>1</v>
      </c>
      <c r="N106" s="103">
        <v>2</v>
      </c>
      <c r="O106" s="103">
        <v>1</v>
      </c>
      <c r="P106" s="103">
        <v>2</v>
      </c>
      <c r="Q106" s="103">
        <v>2</v>
      </c>
      <c r="R106" s="103">
        <v>2</v>
      </c>
      <c r="S106" s="103">
        <v>2</v>
      </c>
      <c r="T106" s="103">
        <v>1</v>
      </c>
      <c r="U106" s="103">
        <v>2</v>
      </c>
      <c r="V106" s="103">
        <v>4</v>
      </c>
      <c r="W106" s="103">
        <v>2</v>
      </c>
      <c r="X106" s="103">
        <v>3</v>
      </c>
      <c r="Y106" s="103">
        <v>4</v>
      </c>
      <c r="Z106" s="103">
        <v>4</v>
      </c>
      <c r="AA106" s="103">
        <v>1</v>
      </c>
      <c r="AB106" s="103">
        <v>3</v>
      </c>
      <c r="AC106" s="103">
        <v>3</v>
      </c>
      <c r="AD106" s="103">
        <v>4</v>
      </c>
      <c r="AE106" s="103">
        <v>2</v>
      </c>
      <c r="AF106" s="103">
        <v>2</v>
      </c>
      <c r="AG106" s="103">
        <v>1</v>
      </c>
      <c r="AH106" s="103">
        <v>2</v>
      </c>
      <c r="AI106" s="103">
        <v>1</v>
      </c>
      <c r="AJ106" s="103">
        <v>4</v>
      </c>
      <c r="AK106" s="103">
        <v>4</v>
      </c>
      <c r="AL106" s="104">
        <v>3</v>
      </c>
      <c r="AM106" s="4">
        <v>1</v>
      </c>
      <c r="AN106" s="87">
        <v>0</v>
      </c>
      <c r="AO106" s="4">
        <v>1</v>
      </c>
      <c r="AP106" s="4">
        <v>0</v>
      </c>
      <c r="AQ106" s="4">
        <v>1</v>
      </c>
      <c r="AR106" s="4">
        <v>1</v>
      </c>
      <c r="AS106" s="4">
        <v>1</v>
      </c>
      <c r="AT106" s="4">
        <v>1</v>
      </c>
      <c r="AU106" s="107">
        <v>0</v>
      </c>
      <c r="AV106" s="4">
        <f>IF(K106=VLOOKUP(VALUE(K$1),Questions!$A:$E,5,FALSE),1,0)</f>
        <v>1</v>
      </c>
      <c r="AW106" s="4">
        <f>IF(L106=VLOOKUP(VALUE(L$1),Questions!$A:$E,5,FALSE),1,0)</f>
        <v>0</v>
      </c>
      <c r="AX106" s="4">
        <f>IF(M106=VLOOKUP(VALUE(M$1),Questions!$A:$E,5,FALSE),1,0)</f>
        <v>0</v>
      </c>
      <c r="AY106" s="4">
        <f>IF(N106=VLOOKUP(VALUE(N$1),Questions!$A:$E,5,FALSE),1,0)</f>
        <v>0</v>
      </c>
      <c r="AZ106" s="4">
        <f>IF(O106=VLOOKUP(VALUE(O$1),Questions!$A:$E,5,FALSE),1,0)</f>
        <v>1</v>
      </c>
      <c r="BA106" s="4">
        <f>IF(P106=VLOOKUP(VALUE(P$1),Questions!$A:$E,5,FALSE),1,0)</f>
        <v>0</v>
      </c>
      <c r="BB106" s="4">
        <f>IF(Q106=VLOOKUP(VALUE(Q$1),Questions!$A:$E,5,FALSE),1,0)</f>
        <v>0</v>
      </c>
      <c r="BC106" s="4">
        <f>IF(R106=VLOOKUP(VALUE(R$1),Questions!$A:$E,5,FALSE),1,0)</f>
        <v>1</v>
      </c>
      <c r="BD106" s="4">
        <f>IF(S106=VLOOKUP(VALUE(S$1),Questions!$A:$E,5,FALSE),1,0)</f>
        <v>1</v>
      </c>
      <c r="BE106" s="4">
        <f>IF(T106=VLOOKUP(VALUE(T$1),Questions!$A:$E,5,FALSE),1,0)</f>
        <v>1</v>
      </c>
      <c r="BF106" s="4">
        <f>IF(U106=VLOOKUP(VALUE(U$1),Questions!$A:$E,5,FALSE),1,0)</f>
        <v>1</v>
      </c>
      <c r="BG106" s="4">
        <f>IF(V106=VLOOKUP(VALUE(V$1),Questions!$A:$E,5,FALSE),1,0)</f>
        <v>1</v>
      </c>
      <c r="BH106" s="4">
        <f>IF(W106=VLOOKUP(VALUE(W$1),Questions!$A:$E,5,FALSE),1,0)</f>
        <v>1</v>
      </c>
      <c r="BI106" s="4">
        <f>IF(X106=VLOOKUP(VALUE(X$1),Questions!$A:$E,5,FALSE),1,0)</f>
        <v>0</v>
      </c>
      <c r="BJ106" s="4">
        <f>IF(Y106=VLOOKUP(VALUE(Y$1),Questions!$A:$E,5,FALSE),1,0)</f>
        <v>0</v>
      </c>
      <c r="BK106" s="4">
        <f>IF(Z106=VLOOKUP(VALUE(Z$1),Questions!$A:$E,5,FALSE),1,0)</f>
        <v>0</v>
      </c>
      <c r="BL106" s="4">
        <f>IF(AA106=VLOOKUP(VALUE(AA$1),Questions!$A:$E,5,FALSE),1,0)</f>
        <v>1</v>
      </c>
      <c r="BM106" s="4">
        <f>IF(AB106=VLOOKUP(VALUE(AB$1),Questions!$A:$E,5,FALSE),1,0)</f>
        <v>0</v>
      </c>
      <c r="BN106" s="4">
        <f>IF(AC106=VLOOKUP(VALUE(AC$1),Questions!$A:$E,5,FALSE),1,0)</f>
        <v>1</v>
      </c>
      <c r="BO106" s="4">
        <f>IF(AD106=VLOOKUP(VALUE(AD$1),Questions!$A:$E,5,FALSE),1,0)</f>
        <v>1</v>
      </c>
      <c r="BP106" s="4">
        <f>IF(AE106=VLOOKUP(VALUE(AE$1),Questions!$A:$E,5,FALSE),1,0)</f>
        <v>1</v>
      </c>
      <c r="BQ106" s="4">
        <f>IF(AF106=VLOOKUP(VALUE(AF$1),Questions!$A:$E,5,FALSE),1,0)</f>
        <v>1</v>
      </c>
      <c r="BR106" s="4">
        <f>IF(AG106=VLOOKUP(VALUE(AG$1),Questions!$A:$E,5,FALSE),1,0)</f>
        <v>0</v>
      </c>
      <c r="BS106" s="4">
        <f>IF(AH106=VLOOKUP(VALUE(AH$1),Questions!$A:$E,5,FALSE),1,0)</f>
        <v>0</v>
      </c>
      <c r="BT106" s="4">
        <f>IF(AI106=VLOOKUP(VALUE(AI$1),Questions!$A:$E,5,FALSE),1,0)</f>
        <v>1</v>
      </c>
      <c r="BU106" s="4">
        <f>IF(AJ106=VLOOKUP(VALUE(AJ$1),Questions!$A:$E,5,FALSE),1,0)</f>
        <v>1</v>
      </c>
      <c r="BV106" s="4">
        <f>IF(AK106=VLOOKUP(VALUE(AK$1),Questions!$A:$E,5,FALSE),1,0)</f>
        <v>0</v>
      </c>
      <c r="BW106" s="87">
        <f>IF(AL106=VLOOKUP(VALUE(AL$1),Questions!$A:$E,5,FALSE),1,0)</f>
        <v>1</v>
      </c>
      <c r="BX106" s="4">
        <f>IF(Scores[[#This Row],[Final]]&gt;=65,1,0)</f>
        <v>0</v>
      </c>
      <c r="BY106" s="4">
        <f>IF(Scores[[#This Row],[Final]]&gt;=IF(Scores[[#This Row],[IEP]],55,65),1,0)</f>
        <v>1</v>
      </c>
    </row>
    <row r="107" spans="1:77" x14ac:dyDescent="0.2">
      <c r="A107" s="6">
        <v>106</v>
      </c>
      <c r="B107" s="4">
        <v>9</v>
      </c>
      <c r="C107" s="4" t="s">
        <v>963</v>
      </c>
      <c r="D107" s="105" t="b">
        <v>1</v>
      </c>
      <c r="E107" s="105" t="b">
        <v>0</v>
      </c>
      <c r="F107" s="86">
        <f>SUM(Scores[[#This Row],[Q1]:[Q28]])</f>
        <v>12</v>
      </c>
      <c r="G107" s="4">
        <f>SUM(Scores[[#This Row],[29]]:Scores[[#This Row],[30]])</f>
        <v>5</v>
      </c>
      <c r="H107" s="4">
        <f>SUM(Scores[[#This Row],[31]:[36]])</f>
        <v>0</v>
      </c>
      <c r="I107" s="4">
        <f>Scores[[#This Row],[37]]</f>
        <v>0</v>
      </c>
      <c r="J107" s="87">
        <f>INDEX('Conversion Chart'!$C$3:$M$47,MATCH(SUM(Scores[[#This Row],[MC]:[IIIA]]),'Conversion Chart'!$B$3:$B$47),MATCH(Scores[[#This Row],[IIIB]],'Conversion Chart'!$C$2:$M$2))</f>
        <v>46</v>
      </c>
      <c r="K107" s="103">
        <v>4</v>
      </c>
      <c r="L107" s="103">
        <v>2</v>
      </c>
      <c r="M107" s="103">
        <v>3</v>
      </c>
      <c r="N107" s="103">
        <v>1</v>
      </c>
      <c r="O107" s="103">
        <v>2</v>
      </c>
      <c r="P107" s="103">
        <v>2</v>
      </c>
      <c r="Q107" s="103">
        <v>4</v>
      </c>
      <c r="R107" s="103">
        <v>2</v>
      </c>
      <c r="S107" s="103">
        <v>2</v>
      </c>
      <c r="T107" s="103">
        <v>1</v>
      </c>
      <c r="U107" s="103">
        <v>3</v>
      </c>
      <c r="V107" s="103">
        <v>2</v>
      </c>
      <c r="W107" s="103">
        <v>2</v>
      </c>
      <c r="X107" s="103">
        <v>4</v>
      </c>
      <c r="Y107" s="103">
        <v>2</v>
      </c>
      <c r="Z107" s="103">
        <v>1</v>
      </c>
      <c r="AA107" s="103">
        <v>2</v>
      </c>
      <c r="AB107" s="103">
        <v>4</v>
      </c>
      <c r="AC107" s="103">
        <v>4</v>
      </c>
      <c r="AD107" s="103">
        <v>2</v>
      </c>
      <c r="AE107" s="103">
        <v>1</v>
      </c>
      <c r="AF107" s="103">
        <v>2</v>
      </c>
      <c r="AG107" s="103">
        <v>1</v>
      </c>
      <c r="AH107" s="103">
        <v>4</v>
      </c>
      <c r="AI107" s="103">
        <v>2</v>
      </c>
      <c r="AJ107" s="103">
        <v>1</v>
      </c>
      <c r="AK107" s="103">
        <v>2</v>
      </c>
      <c r="AL107" s="104">
        <v>3</v>
      </c>
      <c r="AM107" s="4">
        <v>3</v>
      </c>
      <c r="AN107" s="87">
        <v>2</v>
      </c>
      <c r="AO107" s="4">
        <v>0</v>
      </c>
      <c r="AP107" s="4">
        <v>0</v>
      </c>
      <c r="AQ107" s="4">
        <v>0</v>
      </c>
      <c r="AR107" s="4">
        <v>0</v>
      </c>
      <c r="AS107" s="4">
        <v>0</v>
      </c>
      <c r="AT107" s="4">
        <v>0</v>
      </c>
      <c r="AU107" s="107">
        <v>0</v>
      </c>
      <c r="AV107" s="4">
        <f>IF(K107=VLOOKUP(VALUE(K$1),Questions!$A:$E,5,FALSE),1,0)</f>
        <v>1</v>
      </c>
      <c r="AW107" s="4">
        <f>IF(L107=VLOOKUP(VALUE(L$1),Questions!$A:$E,5,FALSE),1,0)</f>
        <v>1</v>
      </c>
      <c r="AX107" s="4">
        <f>IF(M107=VLOOKUP(VALUE(M$1),Questions!$A:$E,5,FALSE),1,0)</f>
        <v>1</v>
      </c>
      <c r="AY107" s="4">
        <f>IF(N107=VLOOKUP(VALUE(N$1),Questions!$A:$E,5,FALSE),1,0)</f>
        <v>0</v>
      </c>
      <c r="AZ107" s="4">
        <f>IF(O107=VLOOKUP(VALUE(O$1),Questions!$A:$E,5,FALSE),1,0)</f>
        <v>0</v>
      </c>
      <c r="BA107" s="4">
        <f>IF(P107=VLOOKUP(VALUE(P$1),Questions!$A:$E,5,FALSE),1,0)</f>
        <v>0</v>
      </c>
      <c r="BB107" s="4">
        <f>IF(Q107=VLOOKUP(VALUE(Q$1),Questions!$A:$E,5,FALSE),1,0)</f>
        <v>0</v>
      </c>
      <c r="BC107" s="4">
        <f>IF(R107=VLOOKUP(VALUE(R$1),Questions!$A:$E,5,FALSE),1,0)</f>
        <v>1</v>
      </c>
      <c r="BD107" s="4">
        <f>IF(S107=VLOOKUP(VALUE(S$1),Questions!$A:$E,5,FALSE),1,0)</f>
        <v>1</v>
      </c>
      <c r="BE107" s="4">
        <f>IF(T107=VLOOKUP(VALUE(T$1),Questions!$A:$E,5,FALSE),1,0)</f>
        <v>1</v>
      </c>
      <c r="BF107" s="4">
        <f>IF(U107=VLOOKUP(VALUE(U$1),Questions!$A:$E,5,FALSE),1,0)</f>
        <v>0</v>
      </c>
      <c r="BG107" s="4">
        <f>IF(V107=VLOOKUP(VALUE(V$1),Questions!$A:$E,5,FALSE),1,0)</f>
        <v>0</v>
      </c>
      <c r="BH107" s="4">
        <f>IF(W107=VLOOKUP(VALUE(W$1),Questions!$A:$E,5,FALSE),1,0)</f>
        <v>1</v>
      </c>
      <c r="BI107" s="4">
        <f>IF(X107=VLOOKUP(VALUE(X$1),Questions!$A:$E,5,FALSE),1,0)</f>
        <v>1</v>
      </c>
      <c r="BJ107" s="4">
        <f>IF(Y107=VLOOKUP(VALUE(Y$1),Questions!$A:$E,5,FALSE),1,0)</f>
        <v>0</v>
      </c>
      <c r="BK107" s="4">
        <f>IF(Z107=VLOOKUP(VALUE(Z$1),Questions!$A:$E,5,FALSE),1,0)</f>
        <v>1</v>
      </c>
      <c r="BL107" s="4">
        <f>IF(AA107=VLOOKUP(VALUE(AA$1),Questions!$A:$E,5,FALSE),1,0)</f>
        <v>0</v>
      </c>
      <c r="BM107" s="4">
        <f>IF(AB107=VLOOKUP(VALUE(AB$1),Questions!$A:$E,5,FALSE),1,0)</f>
        <v>1</v>
      </c>
      <c r="BN107" s="4">
        <f>IF(AC107=VLOOKUP(VALUE(AC$1),Questions!$A:$E,5,FALSE),1,0)</f>
        <v>0</v>
      </c>
      <c r="BO107" s="4">
        <f>IF(AD107=VLOOKUP(VALUE(AD$1),Questions!$A:$E,5,FALSE),1,0)</f>
        <v>0</v>
      </c>
      <c r="BP107" s="4">
        <f>IF(AE107=VLOOKUP(VALUE(AE$1),Questions!$A:$E,5,FALSE),1,0)</f>
        <v>0</v>
      </c>
      <c r="BQ107" s="4">
        <f>IF(AF107=VLOOKUP(VALUE(AF$1),Questions!$A:$E,5,FALSE),1,0)</f>
        <v>1</v>
      </c>
      <c r="BR107" s="4">
        <f>IF(AG107=VLOOKUP(VALUE(AG$1),Questions!$A:$E,5,FALSE),1,0)</f>
        <v>0</v>
      </c>
      <c r="BS107" s="4">
        <f>IF(AH107=VLOOKUP(VALUE(AH$1),Questions!$A:$E,5,FALSE),1,0)</f>
        <v>0</v>
      </c>
      <c r="BT107" s="4">
        <f>IF(AI107=VLOOKUP(VALUE(AI$1),Questions!$A:$E,5,FALSE),1,0)</f>
        <v>0</v>
      </c>
      <c r="BU107" s="4">
        <f>IF(AJ107=VLOOKUP(VALUE(AJ$1),Questions!$A:$E,5,FALSE),1,0)</f>
        <v>0</v>
      </c>
      <c r="BV107" s="4">
        <f>IF(AK107=VLOOKUP(VALUE(AK$1),Questions!$A:$E,5,FALSE),1,0)</f>
        <v>0</v>
      </c>
      <c r="BW107" s="87">
        <f>IF(AL107=VLOOKUP(VALUE(AL$1),Questions!$A:$E,5,FALSE),1,0)</f>
        <v>1</v>
      </c>
      <c r="BX107" s="4">
        <f>IF(Scores[[#This Row],[Final]]&gt;=65,1,0)</f>
        <v>0</v>
      </c>
      <c r="BY107" s="4">
        <f>IF(Scores[[#This Row],[Final]]&gt;=IF(Scores[[#This Row],[IEP]],55,65),1,0)</f>
        <v>0</v>
      </c>
    </row>
    <row r="108" spans="1:77" x14ac:dyDescent="0.2">
      <c r="A108" s="6">
        <v>107</v>
      </c>
      <c r="B108" s="4">
        <v>11</v>
      </c>
      <c r="C108" s="4" t="s">
        <v>968</v>
      </c>
      <c r="D108" s="105" t="b">
        <v>0</v>
      </c>
      <c r="E108" s="105" t="b">
        <v>0</v>
      </c>
      <c r="F108" s="86">
        <f>SUM(Scores[[#This Row],[Q1]:[Q28]])</f>
        <v>22</v>
      </c>
      <c r="G108" s="4">
        <f>SUM(Scores[[#This Row],[29]]:Scores[[#This Row],[30]])</f>
        <v>8</v>
      </c>
      <c r="H108" s="4">
        <f>SUM(Scores[[#This Row],[31]:[36]])</f>
        <v>6</v>
      </c>
      <c r="I108" s="4">
        <f>Scores[[#This Row],[37]]</f>
        <v>2</v>
      </c>
      <c r="J108" s="87">
        <f>INDEX('Conversion Chart'!$C$3:$M$47,MATCH(SUM(Scores[[#This Row],[MC]:[IIIA]]),'Conversion Chart'!$B$3:$B$47),MATCH(Scores[[#This Row],[IIIB]],'Conversion Chart'!$C$2:$M$2))</f>
        <v>79</v>
      </c>
      <c r="K108" s="103">
        <v>4</v>
      </c>
      <c r="L108" s="103">
        <v>2</v>
      </c>
      <c r="M108" s="103">
        <v>4</v>
      </c>
      <c r="N108" s="103">
        <v>1</v>
      </c>
      <c r="O108" s="103">
        <v>1</v>
      </c>
      <c r="P108" s="103">
        <v>4</v>
      </c>
      <c r="Q108" s="103">
        <v>3</v>
      </c>
      <c r="R108" s="103">
        <v>2</v>
      </c>
      <c r="S108" s="103">
        <v>2</v>
      </c>
      <c r="T108" s="103">
        <v>1</v>
      </c>
      <c r="U108" s="103">
        <v>2</v>
      </c>
      <c r="V108" s="103">
        <v>4</v>
      </c>
      <c r="W108" s="103">
        <v>2</v>
      </c>
      <c r="X108" s="103">
        <v>4</v>
      </c>
      <c r="Y108" s="103">
        <v>3</v>
      </c>
      <c r="Z108" s="103">
        <v>1</v>
      </c>
      <c r="AA108" s="103">
        <v>1</v>
      </c>
      <c r="AB108" s="103">
        <v>4</v>
      </c>
      <c r="AC108" s="103">
        <v>1</v>
      </c>
      <c r="AD108" s="103">
        <v>1</v>
      </c>
      <c r="AE108" s="103">
        <v>2</v>
      </c>
      <c r="AF108" s="103">
        <v>2</v>
      </c>
      <c r="AG108" s="103">
        <v>1</v>
      </c>
      <c r="AH108" s="103">
        <v>3</v>
      </c>
      <c r="AI108" s="103">
        <v>1</v>
      </c>
      <c r="AJ108" s="103">
        <v>2</v>
      </c>
      <c r="AK108" s="103">
        <v>1</v>
      </c>
      <c r="AL108" s="104">
        <v>3</v>
      </c>
      <c r="AM108" s="4">
        <v>4</v>
      </c>
      <c r="AN108" s="87">
        <v>4</v>
      </c>
      <c r="AO108" s="4">
        <v>1</v>
      </c>
      <c r="AP108" s="4">
        <v>1</v>
      </c>
      <c r="AQ108" s="4">
        <v>1</v>
      </c>
      <c r="AR108" s="4">
        <v>1</v>
      </c>
      <c r="AS108" s="4">
        <v>1</v>
      </c>
      <c r="AT108" s="4">
        <v>1</v>
      </c>
      <c r="AU108" s="107">
        <v>2</v>
      </c>
      <c r="AV108" s="4">
        <f>IF(K108=VLOOKUP(VALUE(K$1),Questions!$A:$E,5,FALSE),1,0)</f>
        <v>1</v>
      </c>
      <c r="AW108" s="4">
        <f>IF(L108=VLOOKUP(VALUE(L$1),Questions!$A:$E,5,FALSE),1,0)</f>
        <v>1</v>
      </c>
      <c r="AX108" s="4">
        <f>IF(M108=VLOOKUP(VALUE(M$1),Questions!$A:$E,5,FALSE),1,0)</f>
        <v>0</v>
      </c>
      <c r="AY108" s="4">
        <f>IF(N108=VLOOKUP(VALUE(N$1),Questions!$A:$E,5,FALSE),1,0)</f>
        <v>0</v>
      </c>
      <c r="AZ108" s="4">
        <f>IF(O108=VLOOKUP(VALUE(O$1),Questions!$A:$E,5,FALSE),1,0)</f>
        <v>1</v>
      </c>
      <c r="BA108" s="4">
        <f>IF(P108=VLOOKUP(VALUE(P$1),Questions!$A:$E,5,FALSE),1,0)</f>
        <v>1</v>
      </c>
      <c r="BB108" s="4">
        <f>IF(Q108=VLOOKUP(VALUE(Q$1),Questions!$A:$E,5,FALSE),1,0)</f>
        <v>1</v>
      </c>
      <c r="BC108" s="4">
        <f>IF(R108=VLOOKUP(VALUE(R$1),Questions!$A:$E,5,FALSE),1,0)</f>
        <v>1</v>
      </c>
      <c r="BD108" s="4">
        <f>IF(S108=VLOOKUP(VALUE(S$1),Questions!$A:$E,5,FALSE),1,0)</f>
        <v>1</v>
      </c>
      <c r="BE108" s="4">
        <f>IF(T108=VLOOKUP(VALUE(T$1),Questions!$A:$E,5,FALSE),1,0)</f>
        <v>1</v>
      </c>
      <c r="BF108" s="4">
        <f>IF(U108=VLOOKUP(VALUE(U$1),Questions!$A:$E,5,FALSE),1,0)</f>
        <v>1</v>
      </c>
      <c r="BG108" s="4">
        <f>IF(V108=VLOOKUP(VALUE(V$1),Questions!$A:$E,5,FALSE),1,0)</f>
        <v>1</v>
      </c>
      <c r="BH108" s="4">
        <f>IF(W108=VLOOKUP(VALUE(W$1),Questions!$A:$E,5,FALSE),1,0)</f>
        <v>1</v>
      </c>
      <c r="BI108" s="4">
        <f>IF(X108=VLOOKUP(VALUE(X$1),Questions!$A:$E,5,FALSE),1,0)</f>
        <v>1</v>
      </c>
      <c r="BJ108" s="4">
        <f>IF(Y108=VLOOKUP(VALUE(Y$1),Questions!$A:$E,5,FALSE),1,0)</f>
        <v>1</v>
      </c>
      <c r="BK108" s="4">
        <f>IF(Z108=VLOOKUP(VALUE(Z$1),Questions!$A:$E,5,FALSE),1,0)</f>
        <v>1</v>
      </c>
      <c r="BL108" s="4">
        <f>IF(AA108=VLOOKUP(VALUE(AA$1),Questions!$A:$E,5,FALSE),1,0)</f>
        <v>1</v>
      </c>
      <c r="BM108" s="4">
        <f>IF(AB108=VLOOKUP(VALUE(AB$1),Questions!$A:$E,5,FALSE),1,0)</f>
        <v>1</v>
      </c>
      <c r="BN108" s="4">
        <f>IF(AC108=VLOOKUP(VALUE(AC$1),Questions!$A:$E,5,FALSE),1,0)</f>
        <v>0</v>
      </c>
      <c r="BO108" s="4">
        <f>IF(AD108=VLOOKUP(VALUE(AD$1),Questions!$A:$E,5,FALSE),1,0)</f>
        <v>0</v>
      </c>
      <c r="BP108" s="4">
        <f>IF(AE108=VLOOKUP(VALUE(AE$1),Questions!$A:$E,5,FALSE),1,0)</f>
        <v>1</v>
      </c>
      <c r="BQ108" s="4">
        <f>IF(AF108=VLOOKUP(VALUE(AF$1),Questions!$A:$E,5,FALSE),1,0)</f>
        <v>1</v>
      </c>
      <c r="BR108" s="4">
        <f>IF(AG108=VLOOKUP(VALUE(AG$1),Questions!$A:$E,5,FALSE),1,0)</f>
        <v>0</v>
      </c>
      <c r="BS108" s="4">
        <f>IF(AH108=VLOOKUP(VALUE(AH$1),Questions!$A:$E,5,FALSE),1,0)</f>
        <v>1</v>
      </c>
      <c r="BT108" s="4">
        <f>IF(AI108=VLOOKUP(VALUE(AI$1),Questions!$A:$E,5,FALSE),1,0)</f>
        <v>1</v>
      </c>
      <c r="BU108" s="4">
        <f>IF(AJ108=VLOOKUP(VALUE(AJ$1),Questions!$A:$E,5,FALSE),1,0)</f>
        <v>0</v>
      </c>
      <c r="BV108" s="4">
        <f>IF(AK108=VLOOKUP(VALUE(AK$1),Questions!$A:$E,5,FALSE),1,0)</f>
        <v>1</v>
      </c>
      <c r="BW108" s="87">
        <f>IF(AL108=VLOOKUP(VALUE(AL$1),Questions!$A:$E,5,FALSE),1,0)</f>
        <v>1</v>
      </c>
      <c r="BX108" s="4">
        <f>IF(Scores[[#This Row],[Final]]&gt;=65,1,0)</f>
        <v>1</v>
      </c>
      <c r="BY108" s="4">
        <f>IF(Scores[[#This Row],[Final]]&gt;=IF(Scores[[#This Row],[IEP]],55,65),1,0)</f>
        <v>1</v>
      </c>
    </row>
    <row r="109" spans="1:77" x14ac:dyDescent="0.2">
      <c r="A109" s="6">
        <v>108</v>
      </c>
      <c r="B109" s="4">
        <v>11</v>
      </c>
      <c r="C109" s="4" t="s">
        <v>962</v>
      </c>
      <c r="D109" s="105" t="b">
        <v>0</v>
      </c>
      <c r="E109" s="105" t="b">
        <v>0</v>
      </c>
      <c r="F109" s="86">
        <f>SUM(Scores[[#This Row],[Q1]:[Q28]])</f>
        <v>18</v>
      </c>
      <c r="G109" s="4">
        <f>SUM(Scores[[#This Row],[29]]:Scores[[#This Row],[30]])</f>
        <v>5</v>
      </c>
      <c r="H109" s="4">
        <f>SUM(Scores[[#This Row],[31]:[36]])</f>
        <v>6</v>
      </c>
      <c r="I109" s="4">
        <f>Scores[[#This Row],[37]]</f>
        <v>2.5</v>
      </c>
      <c r="J109" s="87">
        <f>INDEX('Conversion Chart'!$C$3:$M$47,MATCH(SUM(Scores[[#This Row],[MC]:[IIIA]]),'Conversion Chart'!$B$3:$B$47),MATCH(Scores[[#This Row],[IIIB]],'Conversion Chart'!$C$2:$M$2))</f>
        <v>74</v>
      </c>
      <c r="K109" s="103">
        <v>4</v>
      </c>
      <c r="L109" s="103">
        <v>4</v>
      </c>
      <c r="M109" s="103">
        <v>3</v>
      </c>
      <c r="N109" s="103">
        <v>1</v>
      </c>
      <c r="O109" s="103">
        <v>1</v>
      </c>
      <c r="P109" s="103">
        <v>4</v>
      </c>
      <c r="Q109" s="103">
        <v>3</v>
      </c>
      <c r="R109" s="103">
        <v>2</v>
      </c>
      <c r="S109" s="103">
        <v>2</v>
      </c>
      <c r="T109" s="103">
        <v>1</v>
      </c>
      <c r="U109" s="103">
        <v>2</v>
      </c>
      <c r="V109" s="103">
        <v>4</v>
      </c>
      <c r="W109" s="103">
        <v>1</v>
      </c>
      <c r="X109" s="103">
        <v>2</v>
      </c>
      <c r="Y109" s="103">
        <v>3</v>
      </c>
      <c r="Z109" s="103">
        <v>4</v>
      </c>
      <c r="AA109" s="103">
        <v>2</v>
      </c>
      <c r="AB109" s="103">
        <v>2</v>
      </c>
      <c r="AC109" s="103">
        <v>3</v>
      </c>
      <c r="AD109" s="103">
        <v>1</v>
      </c>
      <c r="AE109" s="103">
        <v>2</v>
      </c>
      <c r="AF109" s="103">
        <v>3</v>
      </c>
      <c r="AG109" s="103">
        <v>3</v>
      </c>
      <c r="AH109" s="103">
        <v>3</v>
      </c>
      <c r="AI109" s="103">
        <v>4</v>
      </c>
      <c r="AJ109" s="103">
        <v>4</v>
      </c>
      <c r="AK109" s="103">
        <v>1</v>
      </c>
      <c r="AL109" s="104">
        <v>3</v>
      </c>
      <c r="AM109" s="4">
        <v>3</v>
      </c>
      <c r="AN109" s="87">
        <v>2</v>
      </c>
      <c r="AO109" s="4">
        <v>1</v>
      </c>
      <c r="AP109" s="4">
        <v>1</v>
      </c>
      <c r="AQ109" s="4">
        <v>1</v>
      </c>
      <c r="AR109" s="4">
        <v>1</v>
      </c>
      <c r="AS109" s="4">
        <v>1</v>
      </c>
      <c r="AT109" s="4">
        <v>1</v>
      </c>
      <c r="AU109" s="107">
        <v>2.5</v>
      </c>
      <c r="AV109" s="4">
        <f>IF(K109=VLOOKUP(VALUE(K$1),Questions!$A:$E,5,FALSE),1,0)</f>
        <v>1</v>
      </c>
      <c r="AW109" s="4">
        <f>IF(L109=VLOOKUP(VALUE(L$1),Questions!$A:$E,5,FALSE),1,0)</f>
        <v>0</v>
      </c>
      <c r="AX109" s="4">
        <f>IF(M109=VLOOKUP(VALUE(M$1),Questions!$A:$E,5,FALSE),1,0)</f>
        <v>1</v>
      </c>
      <c r="AY109" s="4">
        <f>IF(N109=VLOOKUP(VALUE(N$1),Questions!$A:$E,5,FALSE),1,0)</f>
        <v>0</v>
      </c>
      <c r="AZ109" s="4">
        <f>IF(O109=VLOOKUP(VALUE(O$1),Questions!$A:$E,5,FALSE),1,0)</f>
        <v>1</v>
      </c>
      <c r="BA109" s="4">
        <f>IF(P109=VLOOKUP(VALUE(P$1),Questions!$A:$E,5,FALSE),1,0)</f>
        <v>1</v>
      </c>
      <c r="BB109" s="4">
        <f>IF(Q109=VLOOKUP(VALUE(Q$1),Questions!$A:$E,5,FALSE),1,0)</f>
        <v>1</v>
      </c>
      <c r="BC109" s="4">
        <f>IF(R109=VLOOKUP(VALUE(R$1),Questions!$A:$E,5,FALSE),1,0)</f>
        <v>1</v>
      </c>
      <c r="BD109" s="4">
        <f>IF(S109=VLOOKUP(VALUE(S$1),Questions!$A:$E,5,FALSE),1,0)</f>
        <v>1</v>
      </c>
      <c r="BE109" s="4">
        <f>IF(T109=VLOOKUP(VALUE(T$1),Questions!$A:$E,5,FALSE),1,0)</f>
        <v>1</v>
      </c>
      <c r="BF109" s="4">
        <f>IF(U109=VLOOKUP(VALUE(U$1),Questions!$A:$E,5,FALSE),1,0)</f>
        <v>1</v>
      </c>
      <c r="BG109" s="4">
        <f>IF(V109=VLOOKUP(VALUE(V$1),Questions!$A:$E,5,FALSE),1,0)</f>
        <v>1</v>
      </c>
      <c r="BH109" s="4">
        <f>IF(W109=VLOOKUP(VALUE(W$1),Questions!$A:$E,5,FALSE),1,0)</f>
        <v>0</v>
      </c>
      <c r="BI109" s="4">
        <f>IF(X109=VLOOKUP(VALUE(X$1),Questions!$A:$E,5,FALSE),1,0)</f>
        <v>0</v>
      </c>
      <c r="BJ109" s="4">
        <f>IF(Y109=VLOOKUP(VALUE(Y$1),Questions!$A:$E,5,FALSE),1,0)</f>
        <v>1</v>
      </c>
      <c r="BK109" s="4">
        <f>IF(Z109=VLOOKUP(VALUE(Z$1),Questions!$A:$E,5,FALSE),1,0)</f>
        <v>0</v>
      </c>
      <c r="BL109" s="4">
        <f>IF(AA109=VLOOKUP(VALUE(AA$1),Questions!$A:$E,5,FALSE),1,0)</f>
        <v>0</v>
      </c>
      <c r="BM109" s="4">
        <f>IF(AB109=VLOOKUP(VALUE(AB$1),Questions!$A:$E,5,FALSE),1,0)</f>
        <v>0</v>
      </c>
      <c r="BN109" s="4">
        <f>IF(AC109=VLOOKUP(VALUE(AC$1),Questions!$A:$E,5,FALSE),1,0)</f>
        <v>1</v>
      </c>
      <c r="BO109" s="4">
        <f>IF(AD109=VLOOKUP(VALUE(AD$1),Questions!$A:$E,5,FALSE),1,0)</f>
        <v>0</v>
      </c>
      <c r="BP109" s="4">
        <f>IF(AE109=VLOOKUP(VALUE(AE$1),Questions!$A:$E,5,FALSE),1,0)</f>
        <v>1</v>
      </c>
      <c r="BQ109" s="4">
        <f>IF(AF109=VLOOKUP(VALUE(AF$1),Questions!$A:$E,5,FALSE),1,0)</f>
        <v>0</v>
      </c>
      <c r="BR109" s="4">
        <f>IF(AG109=VLOOKUP(VALUE(AG$1),Questions!$A:$E,5,FALSE),1,0)</f>
        <v>1</v>
      </c>
      <c r="BS109" s="4">
        <f>IF(AH109=VLOOKUP(VALUE(AH$1),Questions!$A:$E,5,FALSE),1,0)</f>
        <v>1</v>
      </c>
      <c r="BT109" s="4">
        <f>IF(AI109=VLOOKUP(VALUE(AI$1),Questions!$A:$E,5,FALSE),1,0)</f>
        <v>0</v>
      </c>
      <c r="BU109" s="4">
        <f>IF(AJ109=VLOOKUP(VALUE(AJ$1),Questions!$A:$E,5,FALSE),1,0)</f>
        <v>1</v>
      </c>
      <c r="BV109" s="4">
        <f>IF(AK109=VLOOKUP(VALUE(AK$1),Questions!$A:$E,5,FALSE),1,0)</f>
        <v>1</v>
      </c>
      <c r="BW109" s="87">
        <f>IF(AL109=VLOOKUP(VALUE(AL$1),Questions!$A:$E,5,FALSE),1,0)</f>
        <v>1</v>
      </c>
      <c r="BX109" s="4">
        <f>IF(Scores[[#This Row],[Final]]&gt;=65,1,0)</f>
        <v>1</v>
      </c>
      <c r="BY109" s="4">
        <f>IF(Scores[[#This Row],[Final]]&gt;=IF(Scores[[#This Row],[IEP]],55,65),1,0)</f>
        <v>1</v>
      </c>
    </row>
    <row r="110" spans="1:77" x14ac:dyDescent="0.2">
      <c r="A110" s="6">
        <v>109</v>
      </c>
      <c r="B110" s="4">
        <v>9</v>
      </c>
      <c r="C110" s="4" t="s">
        <v>963</v>
      </c>
      <c r="D110" s="105" t="b">
        <v>0</v>
      </c>
      <c r="E110" s="105" t="b">
        <v>1</v>
      </c>
      <c r="F110" s="86">
        <f>SUM(Scores[[#This Row],[Q1]:[Q28]])</f>
        <v>9</v>
      </c>
      <c r="G110" s="4">
        <f>SUM(Scores[[#This Row],[29]]:Scores[[#This Row],[30]])</f>
        <v>5</v>
      </c>
      <c r="H110" s="4">
        <f>SUM(Scores[[#This Row],[31]:[36]])</f>
        <v>5</v>
      </c>
      <c r="I110" s="4">
        <f>Scores[[#This Row],[37]]</f>
        <v>2</v>
      </c>
      <c r="J110" s="87">
        <f>INDEX('Conversion Chart'!$C$3:$M$47,MATCH(SUM(Scores[[#This Row],[MC]:[IIIA]]),'Conversion Chart'!$B$3:$B$47),MATCH(Scores[[#This Row],[IIIB]],'Conversion Chart'!$C$2:$M$2))</f>
        <v>60</v>
      </c>
      <c r="K110" s="103">
        <v>3</v>
      </c>
      <c r="L110" s="103">
        <v>4</v>
      </c>
      <c r="M110" s="103">
        <v>2</v>
      </c>
      <c r="N110" s="103">
        <v>4</v>
      </c>
      <c r="O110" s="103">
        <v>1</v>
      </c>
      <c r="P110" s="103">
        <v>3</v>
      </c>
      <c r="Q110" s="103">
        <v>2</v>
      </c>
      <c r="R110" s="103">
        <v>3</v>
      </c>
      <c r="S110" s="103">
        <v>2</v>
      </c>
      <c r="T110" s="103">
        <v>1</v>
      </c>
      <c r="U110" s="103">
        <v>4</v>
      </c>
      <c r="V110" s="103">
        <v>1</v>
      </c>
      <c r="W110" s="103">
        <v>3</v>
      </c>
      <c r="X110" s="103">
        <v>1</v>
      </c>
      <c r="Y110" s="103">
        <v>2</v>
      </c>
      <c r="Z110" s="103">
        <v>1</v>
      </c>
      <c r="AA110" s="103">
        <v>1</v>
      </c>
      <c r="AB110" s="103">
        <v>3</v>
      </c>
      <c r="AC110" s="103">
        <v>1</v>
      </c>
      <c r="AD110" s="103">
        <v>3</v>
      </c>
      <c r="AE110" s="103">
        <v>2</v>
      </c>
      <c r="AF110" s="103">
        <v>2</v>
      </c>
      <c r="AG110" s="103">
        <v>3</v>
      </c>
      <c r="AH110" s="103">
        <v>1</v>
      </c>
      <c r="AI110" s="103">
        <v>4</v>
      </c>
      <c r="AJ110" s="103">
        <v>3</v>
      </c>
      <c r="AK110" s="103">
        <v>2</v>
      </c>
      <c r="AL110" s="104">
        <v>3</v>
      </c>
      <c r="AM110" s="4">
        <v>3</v>
      </c>
      <c r="AN110" s="87">
        <v>2</v>
      </c>
      <c r="AO110" s="4">
        <v>1</v>
      </c>
      <c r="AP110" s="4">
        <v>1</v>
      </c>
      <c r="AQ110" s="4">
        <v>1</v>
      </c>
      <c r="AR110" s="4">
        <v>1</v>
      </c>
      <c r="AS110" s="4">
        <v>1</v>
      </c>
      <c r="AT110" s="4">
        <v>0</v>
      </c>
      <c r="AU110" s="107">
        <v>2</v>
      </c>
      <c r="AV110" s="4">
        <f>IF(K110=VLOOKUP(VALUE(K$1),Questions!$A:$E,5,FALSE),1,0)</f>
        <v>0</v>
      </c>
      <c r="AW110" s="4">
        <f>IF(L110=VLOOKUP(VALUE(L$1),Questions!$A:$E,5,FALSE),1,0)</f>
        <v>0</v>
      </c>
      <c r="AX110" s="4">
        <f>IF(M110=VLOOKUP(VALUE(M$1),Questions!$A:$E,5,FALSE),1,0)</f>
        <v>0</v>
      </c>
      <c r="AY110" s="4">
        <f>IF(N110=VLOOKUP(VALUE(N$1),Questions!$A:$E,5,FALSE),1,0)</f>
        <v>0</v>
      </c>
      <c r="AZ110" s="4">
        <f>IF(O110=VLOOKUP(VALUE(O$1),Questions!$A:$E,5,FALSE),1,0)</f>
        <v>1</v>
      </c>
      <c r="BA110" s="4">
        <f>IF(P110=VLOOKUP(VALUE(P$1),Questions!$A:$E,5,FALSE),1,0)</f>
        <v>0</v>
      </c>
      <c r="BB110" s="4">
        <f>IF(Q110=VLOOKUP(VALUE(Q$1),Questions!$A:$E,5,FALSE),1,0)</f>
        <v>0</v>
      </c>
      <c r="BC110" s="4">
        <f>IF(R110=VLOOKUP(VALUE(R$1),Questions!$A:$E,5,FALSE),1,0)</f>
        <v>0</v>
      </c>
      <c r="BD110" s="4">
        <f>IF(S110=VLOOKUP(VALUE(S$1),Questions!$A:$E,5,FALSE),1,0)</f>
        <v>1</v>
      </c>
      <c r="BE110" s="4">
        <f>IF(T110=VLOOKUP(VALUE(T$1),Questions!$A:$E,5,FALSE),1,0)</f>
        <v>1</v>
      </c>
      <c r="BF110" s="4">
        <f>IF(U110=VLOOKUP(VALUE(U$1),Questions!$A:$E,5,FALSE),1,0)</f>
        <v>0</v>
      </c>
      <c r="BG110" s="4">
        <f>IF(V110=VLOOKUP(VALUE(V$1),Questions!$A:$E,5,FALSE),1,0)</f>
        <v>0</v>
      </c>
      <c r="BH110" s="4">
        <f>IF(W110=VLOOKUP(VALUE(W$1),Questions!$A:$E,5,FALSE),1,0)</f>
        <v>0</v>
      </c>
      <c r="BI110" s="4">
        <f>IF(X110=VLOOKUP(VALUE(X$1),Questions!$A:$E,5,FALSE),1,0)</f>
        <v>0</v>
      </c>
      <c r="BJ110" s="4">
        <f>IF(Y110=VLOOKUP(VALUE(Y$1),Questions!$A:$E,5,FALSE),1,0)</f>
        <v>0</v>
      </c>
      <c r="BK110" s="4">
        <f>IF(Z110=VLOOKUP(VALUE(Z$1),Questions!$A:$E,5,FALSE),1,0)</f>
        <v>1</v>
      </c>
      <c r="BL110" s="4">
        <f>IF(AA110=VLOOKUP(VALUE(AA$1),Questions!$A:$E,5,FALSE),1,0)</f>
        <v>1</v>
      </c>
      <c r="BM110" s="4">
        <f>IF(AB110=VLOOKUP(VALUE(AB$1),Questions!$A:$E,5,FALSE),1,0)</f>
        <v>0</v>
      </c>
      <c r="BN110" s="4">
        <f>IF(AC110=VLOOKUP(VALUE(AC$1),Questions!$A:$E,5,FALSE),1,0)</f>
        <v>0</v>
      </c>
      <c r="BO110" s="4">
        <f>IF(AD110=VLOOKUP(VALUE(AD$1),Questions!$A:$E,5,FALSE),1,0)</f>
        <v>0</v>
      </c>
      <c r="BP110" s="4">
        <f>IF(AE110=VLOOKUP(VALUE(AE$1),Questions!$A:$E,5,FALSE),1,0)</f>
        <v>1</v>
      </c>
      <c r="BQ110" s="4">
        <f>IF(AF110=VLOOKUP(VALUE(AF$1),Questions!$A:$E,5,FALSE),1,0)</f>
        <v>1</v>
      </c>
      <c r="BR110" s="4">
        <f>IF(AG110=VLOOKUP(VALUE(AG$1),Questions!$A:$E,5,FALSE),1,0)</f>
        <v>1</v>
      </c>
      <c r="BS110" s="4">
        <f>IF(AH110=VLOOKUP(VALUE(AH$1),Questions!$A:$E,5,FALSE),1,0)</f>
        <v>0</v>
      </c>
      <c r="BT110" s="4">
        <f>IF(AI110=VLOOKUP(VALUE(AI$1),Questions!$A:$E,5,FALSE),1,0)</f>
        <v>0</v>
      </c>
      <c r="BU110" s="4">
        <f>IF(AJ110=VLOOKUP(VALUE(AJ$1),Questions!$A:$E,5,FALSE),1,0)</f>
        <v>0</v>
      </c>
      <c r="BV110" s="4">
        <f>IF(AK110=VLOOKUP(VALUE(AK$1),Questions!$A:$E,5,FALSE),1,0)</f>
        <v>0</v>
      </c>
      <c r="BW110" s="87">
        <f>IF(AL110=VLOOKUP(VALUE(AL$1),Questions!$A:$E,5,FALSE),1,0)</f>
        <v>1</v>
      </c>
      <c r="BX110" s="4">
        <f>IF(Scores[[#This Row],[Final]]&gt;=65,1,0)</f>
        <v>0</v>
      </c>
      <c r="BY110" s="4">
        <f>IF(Scores[[#This Row],[Final]]&gt;=IF(Scores[[#This Row],[IEP]],55,65),1,0)</f>
        <v>1</v>
      </c>
    </row>
    <row r="111" spans="1:77" x14ac:dyDescent="0.2">
      <c r="A111" s="6">
        <v>110</v>
      </c>
      <c r="B111" s="4">
        <v>11</v>
      </c>
      <c r="C111" s="4" t="s">
        <v>962</v>
      </c>
      <c r="D111" s="105" t="b">
        <v>0</v>
      </c>
      <c r="E111" s="105" t="b">
        <v>0</v>
      </c>
      <c r="F111" s="86">
        <f>SUM(Scores[[#This Row],[Q1]:[Q28]])</f>
        <v>14</v>
      </c>
      <c r="G111" s="4">
        <f>SUM(Scores[[#This Row],[29]]:Scores[[#This Row],[30]])</f>
        <v>4</v>
      </c>
      <c r="H111" s="4">
        <f>SUM(Scores[[#This Row],[31]:[36]])</f>
        <v>5</v>
      </c>
      <c r="I111" s="4">
        <f>Scores[[#This Row],[37]]</f>
        <v>2.5</v>
      </c>
      <c r="J111" s="87">
        <f>INDEX('Conversion Chart'!$C$3:$M$47,MATCH(SUM(Scores[[#This Row],[MC]:[IIIA]]),'Conversion Chart'!$B$3:$B$47),MATCH(Scores[[#This Row],[IIIB]],'Conversion Chart'!$C$2:$M$2))</f>
        <v>67</v>
      </c>
      <c r="K111" s="103">
        <v>1</v>
      </c>
      <c r="L111" s="103">
        <v>1</v>
      </c>
      <c r="M111" s="103">
        <v>3</v>
      </c>
      <c r="N111" s="103">
        <v>3</v>
      </c>
      <c r="O111" s="103">
        <v>1</v>
      </c>
      <c r="P111" s="103">
        <v>1</v>
      </c>
      <c r="Q111" s="103">
        <v>3</v>
      </c>
      <c r="R111" s="103">
        <v>3</v>
      </c>
      <c r="S111" s="103">
        <v>2</v>
      </c>
      <c r="T111" s="103">
        <v>1</v>
      </c>
      <c r="U111" s="103">
        <v>2</v>
      </c>
      <c r="V111" s="103">
        <v>4</v>
      </c>
      <c r="W111" s="103">
        <v>4</v>
      </c>
      <c r="X111" s="103">
        <v>1</v>
      </c>
      <c r="Y111" s="103">
        <v>3</v>
      </c>
      <c r="Z111" s="103">
        <v>4</v>
      </c>
      <c r="AA111" s="103">
        <v>4</v>
      </c>
      <c r="AB111" s="103">
        <v>3</v>
      </c>
      <c r="AC111" s="103">
        <v>3</v>
      </c>
      <c r="AD111" s="103">
        <v>1</v>
      </c>
      <c r="AE111" s="103">
        <v>1</v>
      </c>
      <c r="AF111" s="103">
        <v>4</v>
      </c>
      <c r="AG111" s="103">
        <v>3</v>
      </c>
      <c r="AH111" s="103">
        <v>4</v>
      </c>
      <c r="AI111" s="103">
        <v>3</v>
      </c>
      <c r="AJ111" s="103">
        <v>4</v>
      </c>
      <c r="AK111" s="103">
        <v>1</v>
      </c>
      <c r="AL111" s="104">
        <v>3</v>
      </c>
      <c r="AM111" s="4">
        <v>2</v>
      </c>
      <c r="AN111" s="87">
        <v>2</v>
      </c>
      <c r="AO111" s="4">
        <v>1</v>
      </c>
      <c r="AP111" s="4">
        <v>1</v>
      </c>
      <c r="AQ111" s="4">
        <v>1</v>
      </c>
      <c r="AR111" s="4">
        <v>0</v>
      </c>
      <c r="AS111" s="4">
        <v>1</v>
      </c>
      <c r="AT111" s="4">
        <v>1</v>
      </c>
      <c r="AU111" s="107">
        <v>2.5</v>
      </c>
      <c r="AV111" s="4">
        <f>IF(K111=VLOOKUP(VALUE(K$1),Questions!$A:$E,5,FALSE),1,0)</f>
        <v>0</v>
      </c>
      <c r="AW111" s="4">
        <f>IF(L111=VLOOKUP(VALUE(L$1),Questions!$A:$E,5,FALSE),1,0)</f>
        <v>0</v>
      </c>
      <c r="AX111" s="4">
        <f>IF(M111=VLOOKUP(VALUE(M$1),Questions!$A:$E,5,FALSE),1,0)</f>
        <v>1</v>
      </c>
      <c r="AY111" s="4">
        <f>IF(N111=VLOOKUP(VALUE(N$1),Questions!$A:$E,5,FALSE),1,0)</f>
        <v>1</v>
      </c>
      <c r="AZ111" s="4">
        <f>IF(O111=VLOOKUP(VALUE(O$1),Questions!$A:$E,5,FALSE),1,0)</f>
        <v>1</v>
      </c>
      <c r="BA111" s="4">
        <f>IF(P111=VLOOKUP(VALUE(P$1),Questions!$A:$E,5,FALSE),1,0)</f>
        <v>0</v>
      </c>
      <c r="BB111" s="4">
        <f>IF(Q111=VLOOKUP(VALUE(Q$1),Questions!$A:$E,5,FALSE),1,0)</f>
        <v>1</v>
      </c>
      <c r="BC111" s="4">
        <f>IF(R111=VLOOKUP(VALUE(R$1),Questions!$A:$E,5,FALSE),1,0)</f>
        <v>0</v>
      </c>
      <c r="BD111" s="4">
        <f>IF(S111=VLOOKUP(VALUE(S$1),Questions!$A:$E,5,FALSE),1,0)</f>
        <v>1</v>
      </c>
      <c r="BE111" s="4">
        <f>IF(T111=VLOOKUP(VALUE(T$1),Questions!$A:$E,5,FALSE),1,0)</f>
        <v>1</v>
      </c>
      <c r="BF111" s="4">
        <f>IF(U111=VLOOKUP(VALUE(U$1),Questions!$A:$E,5,FALSE),1,0)</f>
        <v>1</v>
      </c>
      <c r="BG111" s="4">
        <f>IF(V111=VLOOKUP(VALUE(V$1),Questions!$A:$E,5,FALSE),1,0)</f>
        <v>1</v>
      </c>
      <c r="BH111" s="4">
        <f>IF(W111=VLOOKUP(VALUE(W$1),Questions!$A:$E,5,FALSE),1,0)</f>
        <v>0</v>
      </c>
      <c r="BI111" s="4">
        <f>IF(X111=VLOOKUP(VALUE(X$1),Questions!$A:$E,5,FALSE),1,0)</f>
        <v>0</v>
      </c>
      <c r="BJ111" s="4">
        <f>IF(Y111=VLOOKUP(VALUE(Y$1),Questions!$A:$E,5,FALSE),1,0)</f>
        <v>1</v>
      </c>
      <c r="BK111" s="4">
        <f>IF(Z111=VLOOKUP(VALUE(Z$1),Questions!$A:$E,5,FALSE),1,0)</f>
        <v>0</v>
      </c>
      <c r="BL111" s="4">
        <f>IF(AA111=VLOOKUP(VALUE(AA$1),Questions!$A:$E,5,FALSE),1,0)</f>
        <v>0</v>
      </c>
      <c r="BM111" s="4">
        <f>IF(AB111=VLOOKUP(VALUE(AB$1),Questions!$A:$E,5,FALSE),1,0)</f>
        <v>0</v>
      </c>
      <c r="BN111" s="4">
        <f>IF(AC111=VLOOKUP(VALUE(AC$1),Questions!$A:$E,5,FALSE),1,0)</f>
        <v>1</v>
      </c>
      <c r="BO111" s="4">
        <f>IF(AD111=VLOOKUP(VALUE(AD$1),Questions!$A:$E,5,FALSE),1,0)</f>
        <v>0</v>
      </c>
      <c r="BP111" s="4">
        <f>IF(AE111=VLOOKUP(VALUE(AE$1),Questions!$A:$E,5,FALSE),1,0)</f>
        <v>0</v>
      </c>
      <c r="BQ111" s="4">
        <f>IF(AF111=VLOOKUP(VALUE(AF$1),Questions!$A:$E,5,FALSE),1,0)</f>
        <v>0</v>
      </c>
      <c r="BR111" s="4">
        <f>IF(AG111=VLOOKUP(VALUE(AG$1),Questions!$A:$E,5,FALSE),1,0)</f>
        <v>1</v>
      </c>
      <c r="BS111" s="4">
        <f>IF(AH111=VLOOKUP(VALUE(AH$1),Questions!$A:$E,5,FALSE),1,0)</f>
        <v>0</v>
      </c>
      <c r="BT111" s="4">
        <f>IF(AI111=VLOOKUP(VALUE(AI$1),Questions!$A:$E,5,FALSE),1,0)</f>
        <v>0</v>
      </c>
      <c r="BU111" s="4">
        <f>IF(AJ111=VLOOKUP(VALUE(AJ$1),Questions!$A:$E,5,FALSE),1,0)</f>
        <v>1</v>
      </c>
      <c r="BV111" s="4">
        <f>IF(AK111=VLOOKUP(VALUE(AK$1),Questions!$A:$E,5,FALSE),1,0)</f>
        <v>1</v>
      </c>
      <c r="BW111" s="87">
        <f>IF(AL111=VLOOKUP(VALUE(AL$1),Questions!$A:$E,5,FALSE),1,0)</f>
        <v>1</v>
      </c>
      <c r="BX111" s="4">
        <f>IF(Scores[[#This Row],[Final]]&gt;=65,1,0)</f>
        <v>1</v>
      </c>
      <c r="BY111" s="4">
        <f>IF(Scores[[#This Row],[Final]]&gt;=IF(Scores[[#This Row],[IEP]],55,65),1,0)</f>
        <v>1</v>
      </c>
    </row>
    <row r="112" spans="1:77" x14ac:dyDescent="0.2">
      <c r="A112" s="6">
        <v>111</v>
      </c>
      <c r="B112" s="4">
        <v>11</v>
      </c>
      <c r="C112" s="4" t="s">
        <v>962</v>
      </c>
      <c r="D112" s="105" t="b">
        <v>0</v>
      </c>
      <c r="E112" s="105" t="b">
        <v>0</v>
      </c>
      <c r="F112" s="86">
        <f>SUM(Scores[[#This Row],[Q1]:[Q28]])</f>
        <v>21</v>
      </c>
      <c r="G112" s="4">
        <f>SUM(Scores[[#This Row],[29]]:Scores[[#This Row],[30]])</f>
        <v>4</v>
      </c>
      <c r="H112" s="4">
        <f>SUM(Scores[[#This Row],[31]:[36]])</f>
        <v>6</v>
      </c>
      <c r="I112" s="4">
        <f>Scores[[#This Row],[37]]</f>
        <v>2.5</v>
      </c>
      <c r="J112" s="87">
        <f>INDEX('Conversion Chart'!$C$3:$M$47,MATCH(SUM(Scores[[#This Row],[MC]:[IIIA]]),'Conversion Chart'!$B$3:$B$47),MATCH(Scores[[#This Row],[IIIB]],'Conversion Chart'!$C$2:$M$2))</f>
        <v>76</v>
      </c>
      <c r="K112" s="103">
        <v>4</v>
      </c>
      <c r="L112" s="103">
        <v>2</v>
      </c>
      <c r="M112" s="103">
        <v>3</v>
      </c>
      <c r="N112" s="103">
        <v>3</v>
      </c>
      <c r="O112" s="103">
        <v>1</v>
      </c>
      <c r="P112" s="103">
        <v>4</v>
      </c>
      <c r="Q112" s="103">
        <v>3</v>
      </c>
      <c r="R112" s="103">
        <v>2</v>
      </c>
      <c r="S112" s="103">
        <v>2</v>
      </c>
      <c r="T112" s="103">
        <v>1</v>
      </c>
      <c r="U112" s="103">
        <v>2</v>
      </c>
      <c r="V112" s="103">
        <v>3</v>
      </c>
      <c r="W112" s="103">
        <v>2</v>
      </c>
      <c r="X112" s="103">
        <v>2</v>
      </c>
      <c r="Y112" s="103">
        <v>1</v>
      </c>
      <c r="Z112" s="103">
        <v>4</v>
      </c>
      <c r="AA112" s="103">
        <v>1</v>
      </c>
      <c r="AB112" s="103">
        <v>4</v>
      </c>
      <c r="AC112" s="103">
        <v>3</v>
      </c>
      <c r="AD112" s="103">
        <v>4</v>
      </c>
      <c r="AE112" s="103">
        <v>2</v>
      </c>
      <c r="AF112" s="103">
        <v>2</v>
      </c>
      <c r="AG112" s="103">
        <v>1</v>
      </c>
      <c r="AH112" s="103">
        <v>1</v>
      </c>
      <c r="AI112" s="103">
        <v>1</v>
      </c>
      <c r="AJ112" s="103">
        <v>4</v>
      </c>
      <c r="AK112" s="103">
        <v>4</v>
      </c>
      <c r="AL112" s="104">
        <v>3</v>
      </c>
      <c r="AM112" s="4">
        <v>2</v>
      </c>
      <c r="AN112" s="87">
        <v>2</v>
      </c>
      <c r="AO112" s="4">
        <v>1</v>
      </c>
      <c r="AP112" s="4">
        <v>1</v>
      </c>
      <c r="AQ112" s="4">
        <v>1</v>
      </c>
      <c r="AR112" s="4">
        <v>1</v>
      </c>
      <c r="AS112" s="4">
        <v>1</v>
      </c>
      <c r="AT112" s="4">
        <v>1</v>
      </c>
      <c r="AU112" s="107">
        <v>2.5</v>
      </c>
      <c r="AV112" s="4">
        <f>IF(K112=VLOOKUP(VALUE(K$1),Questions!$A:$E,5,FALSE),1,0)</f>
        <v>1</v>
      </c>
      <c r="AW112" s="4">
        <f>IF(L112=VLOOKUP(VALUE(L$1),Questions!$A:$E,5,FALSE),1,0)</f>
        <v>1</v>
      </c>
      <c r="AX112" s="4">
        <f>IF(M112=VLOOKUP(VALUE(M$1),Questions!$A:$E,5,FALSE),1,0)</f>
        <v>1</v>
      </c>
      <c r="AY112" s="4">
        <f>IF(N112=VLOOKUP(VALUE(N$1),Questions!$A:$E,5,FALSE),1,0)</f>
        <v>1</v>
      </c>
      <c r="AZ112" s="4">
        <f>IF(O112=VLOOKUP(VALUE(O$1),Questions!$A:$E,5,FALSE),1,0)</f>
        <v>1</v>
      </c>
      <c r="BA112" s="4">
        <f>IF(P112=VLOOKUP(VALUE(P$1),Questions!$A:$E,5,FALSE),1,0)</f>
        <v>1</v>
      </c>
      <c r="BB112" s="4">
        <f>IF(Q112=VLOOKUP(VALUE(Q$1),Questions!$A:$E,5,FALSE),1,0)</f>
        <v>1</v>
      </c>
      <c r="BC112" s="4">
        <f>IF(R112=VLOOKUP(VALUE(R$1),Questions!$A:$E,5,FALSE),1,0)</f>
        <v>1</v>
      </c>
      <c r="BD112" s="4">
        <f>IF(S112=VLOOKUP(VALUE(S$1),Questions!$A:$E,5,FALSE),1,0)</f>
        <v>1</v>
      </c>
      <c r="BE112" s="4">
        <f>IF(T112=VLOOKUP(VALUE(T$1),Questions!$A:$E,5,FALSE),1,0)</f>
        <v>1</v>
      </c>
      <c r="BF112" s="4">
        <f>IF(U112=VLOOKUP(VALUE(U$1),Questions!$A:$E,5,FALSE),1,0)</f>
        <v>1</v>
      </c>
      <c r="BG112" s="4">
        <f>IF(V112=VLOOKUP(VALUE(V$1),Questions!$A:$E,5,FALSE),1,0)</f>
        <v>0</v>
      </c>
      <c r="BH112" s="4">
        <f>IF(W112=VLOOKUP(VALUE(W$1),Questions!$A:$E,5,FALSE),1,0)</f>
        <v>1</v>
      </c>
      <c r="BI112" s="4">
        <f>IF(X112=VLOOKUP(VALUE(X$1),Questions!$A:$E,5,FALSE),1,0)</f>
        <v>0</v>
      </c>
      <c r="BJ112" s="4">
        <f>IF(Y112=VLOOKUP(VALUE(Y$1),Questions!$A:$E,5,FALSE),1,0)</f>
        <v>0</v>
      </c>
      <c r="BK112" s="4">
        <f>IF(Z112=VLOOKUP(VALUE(Z$1),Questions!$A:$E,5,FALSE),1,0)</f>
        <v>0</v>
      </c>
      <c r="BL112" s="4">
        <f>IF(AA112=VLOOKUP(VALUE(AA$1),Questions!$A:$E,5,FALSE),1,0)</f>
        <v>1</v>
      </c>
      <c r="BM112" s="4">
        <f>IF(AB112=VLOOKUP(VALUE(AB$1),Questions!$A:$E,5,FALSE),1,0)</f>
        <v>1</v>
      </c>
      <c r="BN112" s="4">
        <f>IF(AC112=VLOOKUP(VALUE(AC$1),Questions!$A:$E,5,FALSE),1,0)</f>
        <v>1</v>
      </c>
      <c r="BO112" s="4">
        <f>IF(AD112=VLOOKUP(VALUE(AD$1),Questions!$A:$E,5,FALSE),1,0)</f>
        <v>1</v>
      </c>
      <c r="BP112" s="4">
        <f>IF(AE112=VLOOKUP(VALUE(AE$1),Questions!$A:$E,5,FALSE),1,0)</f>
        <v>1</v>
      </c>
      <c r="BQ112" s="4">
        <f>IF(AF112=VLOOKUP(VALUE(AF$1),Questions!$A:$E,5,FALSE),1,0)</f>
        <v>1</v>
      </c>
      <c r="BR112" s="4">
        <f>IF(AG112=VLOOKUP(VALUE(AG$1),Questions!$A:$E,5,FALSE),1,0)</f>
        <v>0</v>
      </c>
      <c r="BS112" s="4">
        <f>IF(AH112=VLOOKUP(VALUE(AH$1),Questions!$A:$E,5,FALSE),1,0)</f>
        <v>0</v>
      </c>
      <c r="BT112" s="4">
        <f>IF(AI112=VLOOKUP(VALUE(AI$1),Questions!$A:$E,5,FALSE),1,0)</f>
        <v>1</v>
      </c>
      <c r="BU112" s="4">
        <f>IF(AJ112=VLOOKUP(VALUE(AJ$1),Questions!$A:$E,5,FALSE),1,0)</f>
        <v>1</v>
      </c>
      <c r="BV112" s="4">
        <f>IF(AK112=VLOOKUP(VALUE(AK$1),Questions!$A:$E,5,FALSE),1,0)</f>
        <v>0</v>
      </c>
      <c r="BW112" s="87">
        <f>IF(AL112=VLOOKUP(VALUE(AL$1),Questions!$A:$E,5,FALSE),1,0)</f>
        <v>1</v>
      </c>
      <c r="BX112" s="4">
        <f>IF(Scores[[#This Row],[Final]]&gt;=65,1,0)</f>
        <v>1</v>
      </c>
      <c r="BY112" s="4">
        <f>IF(Scores[[#This Row],[Final]]&gt;=IF(Scores[[#This Row],[IEP]],55,65),1,0)</f>
        <v>1</v>
      </c>
    </row>
    <row r="113" spans="1:77" x14ac:dyDescent="0.2">
      <c r="A113" s="6">
        <v>112</v>
      </c>
      <c r="B113" s="4">
        <v>11</v>
      </c>
      <c r="C113" s="4" t="s">
        <v>968</v>
      </c>
      <c r="D113" s="105" t="b">
        <v>0</v>
      </c>
      <c r="E113" s="105" t="b">
        <v>0</v>
      </c>
      <c r="F113" s="86">
        <f>SUM(Scores[[#This Row],[Q1]:[Q28]])</f>
        <v>24</v>
      </c>
      <c r="G113" s="4">
        <f>SUM(Scores[[#This Row],[29]]:Scores[[#This Row],[30]])</f>
        <v>9</v>
      </c>
      <c r="H113" s="4">
        <f>SUM(Scores[[#This Row],[31]:[36]])</f>
        <v>6</v>
      </c>
      <c r="I113" s="4">
        <f>Scores[[#This Row],[37]]</f>
        <v>3.5</v>
      </c>
      <c r="J113" s="87">
        <f>INDEX('Conversion Chart'!$C$3:$M$47,MATCH(SUM(Scores[[#This Row],[MC]:[IIIA]]),'Conversion Chart'!$B$3:$B$47),MATCH(Scores[[#This Row],[IIIB]],'Conversion Chart'!$C$2:$M$2))</f>
        <v>86</v>
      </c>
      <c r="K113" s="103">
        <v>4</v>
      </c>
      <c r="L113" s="103">
        <v>2</v>
      </c>
      <c r="M113" s="103">
        <v>4</v>
      </c>
      <c r="N113" s="103">
        <v>3</v>
      </c>
      <c r="O113" s="103">
        <v>3</v>
      </c>
      <c r="P113" s="103">
        <v>2</v>
      </c>
      <c r="Q113" s="103">
        <v>3</v>
      </c>
      <c r="R113" s="103">
        <v>2</v>
      </c>
      <c r="S113" s="103">
        <v>2</v>
      </c>
      <c r="T113" s="103">
        <v>1</v>
      </c>
      <c r="U113" s="103">
        <v>2</v>
      </c>
      <c r="V113" s="103">
        <v>4</v>
      </c>
      <c r="W113" s="103">
        <v>2</v>
      </c>
      <c r="X113" s="103">
        <v>4</v>
      </c>
      <c r="Y113" s="103">
        <v>3</v>
      </c>
      <c r="Z113" s="103">
        <v>4</v>
      </c>
      <c r="AA113" s="103">
        <v>1</v>
      </c>
      <c r="AB113" s="103">
        <v>4</v>
      </c>
      <c r="AC113" s="103">
        <v>3</v>
      </c>
      <c r="AD113" s="103">
        <v>4</v>
      </c>
      <c r="AE113" s="103">
        <v>2</v>
      </c>
      <c r="AF113" s="103">
        <v>2</v>
      </c>
      <c r="AG113" s="103">
        <v>3</v>
      </c>
      <c r="AH113" s="103">
        <v>3</v>
      </c>
      <c r="AI113" s="103">
        <v>1</v>
      </c>
      <c r="AJ113" s="103">
        <v>4</v>
      </c>
      <c r="AK113" s="103">
        <v>1</v>
      </c>
      <c r="AL113" s="104">
        <v>3</v>
      </c>
      <c r="AM113" s="4">
        <v>4</v>
      </c>
      <c r="AN113" s="87">
        <v>5</v>
      </c>
      <c r="AO113" s="4">
        <v>1</v>
      </c>
      <c r="AP113" s="4">
        <v>1</v>
      </c>
      <c r="AQ113" s="4">
        <v>1</v>
      </c>
      <c r="AR113" s="4">
        <v>1</v>
      </c>
      <c r="AS113" s="4">
        <v>1</v>
      </c>
      <c r="AT113" s="4">
        <v>1</v>
      </c>
      <c r="AU113" s="107">
        <v>3.5</v>
      </c>
      <c r="AV113" s="4">
        <f>IF(K113=VLOOKUP(VALUE(K$1),Questions!$A:$E,5,FALSE),1,0)</f>
        <v>1</v>
      </c>
      <c r="AW113" s="4">
        <f>IF(L113=VLOOKUP(VALUE(L$1),Questions!$A:$E,5,FALSE),1,0)</f>
        <v>1</v>
      </c>
      <c r="AX113" s="4">
        <f>IF(M113=VLOOKUP(VALUE(M$1),Questions!$A:$E,5,FALSE),1,0)</f>
        <v>0</v>
      </c>
      <c r="AY113" s="4">
        <f>IF(N113=VLOOKUP(VALUE(N$1),Questions!$A:$E,5,FALSE),1,0)</f>
        <v>1</v>
      </c>
      <c r="AZ113" s="4">
        <f>IF(O113=VLOOKUP(VALUE(O$1),Questions!$A:$E,5,FALSE),1,0)</f>
        <v>0</v>
      </c>
      <c r="BA113" s="4">
        <f>IF(P113=VLOOKUP(VALUE(P$1),Questions!$A:$E,5,FALSE),1,0)</f>
        <v>0</v>
      </c>
      <c r="BB113" s="4">
        <f>IF(Q113=VLOOKUP(VALUE(Q$1),Questions!$A:$E,5,FALSE),1,0)</f>
        <v>1</v>
      </c>
      <c r="BC113" s="4">
        <f>IF(R113=VLOOKUP(VALUE(R$1),Questions!$A:$E,5,FALSE),1,0)</f>
        <v>1</v>
      </c>
      <c r="BD113" s="4">
        <f>IF(S113=VLOOKUP(VALUE(S$1),Questions!$A:$E,5,FALSE),1,0)</f>
        <v>1</v>
      </c>
      <c r="BE113" s="4">
        <f>IF(T113=VLOOKUP(VALUE(T$1),Questions!$A:$E,5,FALSE),1,0)</f>
        <v>1</v>
      </c>
      <c r="BF113" s="4">
        <f>IF(U113=VLOOKUP(VALUE(U$1),Questions!$A:$E,5,FALSE),1,0)</f>
        <v>1</v>
      </c>
      <c r="BG113" s="4">
        <f>IF(V113=VLOOKUP(VALUE(V$1),Questions!$A:$E,5,FALSE),1,0)</f>
        <v>1</v>
      </c>
      <c r="BH113" s="4">
        <f>IF(W113=VLOOKUP(VALUE(W$1),Questions!$A:$E,5,FALSE),1,0)</f>
        <v>1</v>
      </c>
      <c r="BI113" s="4">
        <f>IF(X113=VLOOKUP(VALUE(X$1),Questions!$A:$E,5,FALSE),1,0)</f>
        <v>1</v>
      </c>
      <c r="BJ113" s="4">
        <f>IF(Y113=VLOOKUP(VALUE(Y$1),Questions!$A:$E,5,FALSE),1,0)</f>
        <v>1</v>
      </c>
      <c r="BK113" s="4">
        <f>IF(Z113=VLOOKUP(VALUE(Z$1),Questions!$A:$E,5,FALSE),1,0)</f>
        <v>0</v>
      </c>
      <c r="BL113" s="4">
        <f>IF(AA113=VLOOKUP(VALUE(AA$1),Questions!$A:$E,5,FALSE),1,0)</f>
        <v>1</v>
      </c>
      <c r="BM113" s="4">
        <f>IF(AB113=VLOOKUP(VALUE(AB$1),Questions!$A:$E,5,FALSE),1,0)</f>
        <v>1</v>
      </c>
      <c r="BN113" s="4">
        <f>IF(AC113=VLOOKUP(VALUE(AC$1),Questions!$A:$E,5,FALSE),1,0)</f>
        <v>1</v>
      </c>
      <c r="BO113" s="4">
        <f>IF(AD113=VLOOKUP(VALUE(AD$1),Questions!$A:$E,5,FALSE),1,0)</f>
        <v>1</v>
      </c>
      <c r="BP113" s="4">
        <f>IF(AE113=VLOOKUP(VALUE(AE$1),Questions!$A:$E,5,FALSE),1,0)</f>
        <v>1</v>
      </c>
      <c r="BQ113" s="4">
        <f>IF(AF113=VLOOKUP(VALUE(AF$1),Questions!$A:$E,5,FALSE),1,0)</f>
        <v>1</v>
      </c>
      <c r="BR113" s="4">
        <f>IF(AG113=VLOOKUP(VALUE(AG$1),Questions!$A:$E,5,FALSE),1,0)</f>
        <v>1</v>
      </c>
      <c r="BS113" s="4">
        <f>IF(AH113=VLOOKUP(VALUE(AH$1),Questions!$A:$E,5,FALSE),1,0)</f>
        <v>1</v>
      </c>
      <c r="BT113" s="4">
        <f>IF(AI113=VLOOKUP(VALUE(AI$1),Questions!$A:$E,5,FALSE),1,0)</f>
        <v>1</v>
      </c>
      <c r="BU113" s="4">
        <f>IF(AJ113=VLOOKUP(VALUE(AJ$1),Questions!$A:$E,5,FALSE),1,0)</f>
        <v>1</v>
      </c>
      <c r="BV113" s="4">
        <f>IF(AK113=VLOOKUP(VALUE(AK$1),Questions!$A:$E,5,FALSE),1,0)</f>
        <v>1</v>
      </c>
      <c r="BW113" s="87">
        <f>IF(AL113=VLOOKUP(VALUE(AL$1),Questions!$A:$E,5,FALSE),1,0)</f>
        <v>1</v>
      </c>
      <c r="BX113" s="4">
        <f>IF(Scores[[#This Row],[Final]]&gt;=65,1,0)</f>
        <v>1</v>
      </c>
      <c r="BY113" s="4">
        <f>IF(Scores[[#This Row],[Final]]&gt;=IF(Scores[[#This Row],[IEP]],55,65),1,0)</f>
        <v>1</v>
      </c>
    </row>
    <row r="114" spans="1:77" x14ac:dyDescent="0.2">
      <c r="A114" s="6">
        <v>113</v>
      </c>
      <c r="B114" s="4">
        <v>9</v>
      </c>
      <c r="C114" s="4" t="s">
        <v>964</v>
      </c>
      <c r="D114" s="105" t="b">
        <v>0</v>
      </c>
      <c r="E114" s="105" t="b">
        <v>0</v>
      </c>
      <c r="F114" s="86">
        <f>SUM(Scores[[#This Row],[Q1]:[Q28]])</f>
        <v>26</v>
      </c>
      <c r="G114" s="4">
        <f>SUM(Scores[[#This Row],[29]]:Scores[[#This Row],[30]])</f>
        <v>5</v>
      </c>
      <c r="H114" s="4">
        <f>SUM(Scores[[#This Row],[31]:[36]])</f>
        <v>6</v>
      </c>
      <c r="I114" s="4">
        <f>Scores[[#This Row],[37]]</f>
        <v>2</v>
      </c>
      <c r="J114" s="87">
        <f>INDEX('Conversion Chart'!$C$3:$M$47,MATCH(SUM(Scores[[#This Row],[MC]:[IIIA]]),'Conversion Chart'!$B$3:$B$47),MATCH(Scores[[#This Row],[IIIB]],'Conversion Chart'!$C$2:$M$2))</f>
        <v>80</v>
      </c>
      <c r="K114" s="103">
        <v>4</v>
      </c>
      <c r="L114" s="103">
        <v>2</v>
      </c>
      <c r="M114" s="103">
        <v>3</v>
      </c>
      <c r="N114" s="103">
        <v>3</v>
      </c>
      <c r="O114" s="103">
        <v>1</v>
      </c>
      <c r="P114" s="103">
        <v>4</v>
      </c>
      <c r="Q114" s="103">
        <v>3</v>
      </c>
      <c r="R114" s="103">
        <v>2</v>
      </c>
      <c r="S114" s="103">
        <v>2</v>
      </c>
      <c r="T114" s="103">
        <v>1</v>
      </c>
      <c r="U114" s="103">
        <v>2</v>
      </c>
      <c r="V114" s="103">
        <v>4</v>
      </c>
      <c r="W114" s="103">
        <v>2</v>
      </c>
      <c r="X114" s="103">
        <v>1</v>
      </c>
      <c r="Y114" s="103">
        <v>3</v>
      </c>
      <c r="Z114" s="103">
        <v>1</v>
      </c>
      <c r="AA114" s="103">
        <v>1</v>
      </c>
      <c r="AB114" s="103">
        <v>4</v>
      </c>
      <c r="AC114" s="103">
        <v>3</v>
      </c>
      <c r="AD114" s="103">
        <v>1</v>
      </c>
      <c r="AE114" s="103">
        <v>2</v>
      </c>
      <c r="AF114" s="103">
        <v>2</v>
      </c>
      <c r="AG114" s="103">
        <v>3</v>
      </c>
      <c r="AH114" s="103">
        <v>3</v>
      </c>
      <c r="AI114" s="103">
        <v>1</v>
      </c>
      <c r="AJ114" s="103">
        <v>4</v>
      </c>
      <c r="AK114" s="103">
        <v>1</v>
      </c>
      <c r="AL114" s="104">
        <v>3</v>
      </c>
      <c r="AM114" s="4">
        <v>3</v>
      </c>
      <c r="AN114" s="87">
        <v>2</v>
      </c>
      <c r="AO114" s="4">
        <v>1</v>
      </c>
      <c r="AP114" s="4">
        <v>1</v>
      </c>
      <c r="AQ114" s="4">
        <v>1</v>
      </c>
      <c r="AR114" s="4">
        <v>1</v>
      </c>
      <c r="AS114" s="4">
        <v>1</v>
      </c>
      <c r="AT114" s="4">
        <v>1</v>
      </c>
      <c r="AU114" s="107">
        <v>2</v>
      </c>
      <c r="AV114" s="4">
        <f>IF(K114=VLOOKUP(VALUE(K$1),Questions!$A:$E,5,FALSE),1,0)</f>
        <v>1</v>
      </c>
      <c r="AW114" s="4">
        <f>IF(L114=VLOOKUP(VALUE(L$1),Questions!$A:$E,5,FALSE),1,0)</f>
        <v>1</v>
      </c>
      <c r="AX114" s="4">
        <f>IF(M114=VLOOKUP(VALUE(M$1),Questions!$A:$E,5,FALSE),1,0)</f>
        <v>1</v>
      </c>
      <c r="AY114" s="4">
        <f>IF(N114=VLOOKUP(VALUE(N$1),Questions!$A:$E,5,FALSE),1,0)</f>
        <v>1</v>
      </c>
      <c r="AZ114" s="4">
        <f>IF(O114=VLOOKUP(VALUE(O$1),Questions!$A:$E,5,FALSE),1,0)</f>
        <v>1</v>
      </c>
      <c r="BA114" s="4">
        <f>IF(P114=VLOOKUP(VALUE(P$1),Questions!$A:$E,5,FALSE),1,0)</f>
        <v>1</v>
      </c>
      <c r="BB114" s="4">
        <f>IF(Q114=VLOOKUP(VALUE(Q$1),Questions!$A:$E,5,FALSE),1,0)</f>
        <v>1</v>
      </c>
      <c r="BC114" s="4">
        <f>IF(R114=VLOOKUP(VALUE(R$1),Questions!$A:$E,5,FALSE),1,0)</f>
        <v>1</v>
      </c>
      <c r="BD114" s="4">
        <f>IF(S114=VLOOKUP(VALUE(S$1),Questions!$A:$E,5,FALSE),1,0)</f>
        <v>1</v>
      </c>
      <c r="BE114" s="4">
        <f>IF(T114=VLOOKUP(VALUE(T$1),Questions!$A:$E,5,FALSE),1,0)</f>
        <v>1</v>
      </c>
      <c r="BF114" s="4">
        <f>IF(U114=VLOOKUP(VALUE(U$1),Questions!$A:$E,5,FALSE),1,0)</f>
        <v>1</v>
      </c>
      <c r="BG114" s="4">
        <f>IF(V114=VLOOKUP(VALUE(V$1),Questions!$A:$E,5,FALSE),1,0)</f>
        <v>1</v>
      </c>
      <c r="BH114" s="4">
        <f>IF(W114=VLOOKUP(VALUE(W$1),Questions!$A:$E,5,FALSE),1,0)</f>
        <v>1</v>
      </c>
      <c r="BI114" s="4">
        <f>IF(X114=VLOOKUP(VALUE(X$1),Questions!$A:$E,5,FALSE),1,0)</f>
        <v>0</v>
      </c>
      <c r="BJ114" s="4">
        <f>IF(Y114=VLOOKUP(VALUE(Y$1),Questions!$A:$E,5,FALSE),1,0)</f>
        <v>1</v>
      </c>
      <c r="BK114" s="4">
        <f>IF(Z114=VLOOKUP(VALUE(Z$1),Questions!$A:$E,5,FALSE),1,0)</f>
        <v>1</v>
      </c>
      <c r="BL114" s="4">
        <f>IF(AA114=VLOOKUP(VALUE(AA$1),Questions!$A:$E,5,FALSE),1,0)</f>
        <v>1</v>
      </c>
      <c r="BM114" s="4">
        <f>IF(AB114=VLOOKUP(VALUE(AB$1),Questions!$A:$E,5,FALSE),1,0)</f>
        <v>1</v>
      </c>
      <c r="BN114" s="4">
        <f>IF(AC114=VLOOKUP(VALUE(AC$1),Questions!$A:$E,5,FALSE),1,0)</f>
        <v>1</v>
      </c>
      <c r="BO114" s="4">
        <f>IF(AD114=VLOOKUP(VALUE(AD$1),Questions!$A:$E,5,FALSE),1,0)</f>
        <v>0</v>
      </c>
      <c r="BP114" s="4">
        <f>IF(AE114=VLOOKUP(VALUE(AE$1),Questions!$A:$E,5,FALSE),1,0)</f>
        <v>1</v>
      </c>
      <c r="BQ114" s="4">
        <f>IF(AF114=VLOOKUP(VALUE(AF$1),Questions!$A:$E,5,FALSE),1,0)</f>
        <v>1</v>
      </c>
      <c r="BR114" s="4">
        <f>IF(AG114=VLOOKUP(VALUE(AG$1),Questions!$A:$E,5,FALSE),1,0)</f>
        <v>1</v>
      </c>
      <c r="BS114" s="4">
        <f>IF(AH114=VLOOKUP(VALUE(AH$1),Questions!$A:$E,5,FALSE),1,0)</f>
        <v>1</v>
      </c>
      <c r="BT114" s="4">
        <f>IF(AI114=VLOOKUP(VALUE(AI$1),Questions!$A:$E,5,FALSE),1,0)</f>
        <v>1</v>
      </c>
      <c r="BU114" s="4">
        <f>IF(AJ114=VLOOKUP(VALUE(AJ$1),Questions!$A:$E,5,FALSE),1,0)</f>
        <v>1</v>
      </c>
      <c r="BV114" s="4">
        <f>IF(AK114=VLOOKUP(VALUE(AK$1),Questions!$A:$E,5,FALSE),1,0)</f>
        <v>1</v>
      </c>
      <c r="BW114" s="87">
        <f>IF(AL114=VLOOKUP(VALUE(AL$1),Questions!$A:$E,5,FALSE),1,0)</f>
        <v>1</v>
      </c>
      <c r="BX114" s="4">
        <f>IF(Scores[[#This Row],[Final]]&gt;=65,1,0)</f>
        <v>1</v>
      </c>
      <c r="BY114" s="4">
        <f>IF(Scores[[#This Row],[Final]]&gt;=IF(Scores[[#This Row],[IEP]],55,65),1,0)</f>
        <v>1</v>
      </c>
    </row>
    <row r="115" spans="1:77" x14ac:dyDescent="0.2">
      <c r="A115" s="6">
        <v>114</v>
      </c>
      <c r="B115" s="4">
        <v>9</v>
      </c>
      <c r="C115" s="4" t="s">
        <v>963</v>
      </c>
      <c r="D115" s="105" t="b">
        <v>0</v>
      </c>
      <c r="E115" s="105" t="b">
        <v>0</v>
      </c>
      <c r="F115" s="86">
        <f>SUM(Scores[[#This Row],[Q1]:[Q28]])</f>
        <v>16</v>
      </c>
      <c r="G115" s="4">
        <f>SUM(Scores[[#This Row],[29]]:Scores[[#This Row],[30]])</f>
        <v>1</v>
      </c>
      <c r="H115" s="4">
        <f>SUM(Scores[[#This Row],[31]:[36]])</f>
        <v>6</v>
      </c>
      <c r="I115" s="4">
        <f>Scores[[#This Row],[37]]</f>
        <v>2</v>
      </c>
      <c r="J115" s="87">
        <f>INDEX('Conversion Chart'!$C$3:$M$47,MATCH(SUM(Scores[[#This Row],[MC]:[IIIA]]),'Conversion Chart'!$B$3:$B$47),MATCH(Scores[[#This Row],[IIIB]],'Conversion Chart'!$C$2:$M$2))</f>
        <v>66</v>
      </c>
      <c r="K115" s="103">
        <v>4</v>
      </c>
      <c r="L115" s="103">
        <v>4</v>
      </c>
      <c r="M115" s="103">
        <v>3</v>
      </c>
      <c r="N115" s="103">
        <v>3</v>
      </c>
      <c r="O115" s="103">
        <v>1</v>
      </c>
      <c r="P115" s="103">
        <v>4</v>
      </c>
      <c r="Q115" s="103">
        <v>2</v>
      </c>
      <c r="R115" s="103">
        <v>2</v>
      </c>
      <c r="S115" s="103">
        <v>2</v>
      </c>
      <c r="T115" s="103">
        <v>2</v>
      </c>
      <c r="U115" s="103">
        <v>2</v>
      </c>
      <c r="V115" s="103">
        <v>3</v>
      </c>
      <c r="W115" s="103">
        <v>2</v>
      </c>
      <c r="X115" s="103">
        <v>4</v>
      </c>
      <c r="Y115" s="103">
        <v>3</v>
      </c>
      <c r="Z115" s="103">
        <v>4</v>
      </c>
      <c r="AA115" s="103">
        <v>4</v>
      </c>
      <c r="AB115" s="103">
        <v>1</v>
      </c>
      <c r="AC115" s="103">
        <v>2</v>
      </c>
      <c r="AD115" s="103">
        <v>3</v>
      </c>
      <c r="AE115" s="103">
        <v>2</v>
      </c>
      <c r="AF115" s="103">
        <v>2</v>
      </c>
      <c r="AG115" s="103">
        <v>3</v>
      </c>
      <c r="AH115" s="103">
        <v>2</v>
      </c>
      <c r="AI115" s="103">
        <v>2</v>
      </c>
      <c r="AJ115" s="103">
        <v>4</v>
      </c>
      <c r="AK115" s="103">
        <v>4</v>
      </c>
      <c r="AL115" s="104">
        <v>3</v>
      </c>
      <c r="AM115" s="4">
        <v>1</v>
      </c>
      <c r="AN115" s="87">
        <v>0</v>
      </c>
      <c r="AO115" s="4">
        <v>1</v>
      </c>
      <c r="AP115" s="4">
        <v>1</v>
      </c>
      <c r="AQ115" s="4">
        <v>1</v>
      </c>
      <c r="AR115" s="4">
        <v>1</v>
      </c>
      <c r="AS115" s="4">
        <v>1</v>
      </c>
      <c r="AT115" s="4">
        <v>1</v>
      </c>
      <c r="AU115" s="107">
        <v>2</v>
      </c>
      <c r="AV115" s="4">
        <f>IF(K115=VLOOKUP(VALUE(K$1),Questions!$A:$E,5,FALSE),1,0)</f>
        <v>1</v>
      </c>
      <c r="AW115" s="4">
        <f>IF(L115=VLOOKUP(VALUE(L$1),Questions!$A:$E,5,FALSE),1,0)</f>
        <v>0</v>
      </c>
      <c r="AX115" s="4">
        <f>IF(M115=VLOOKUP(VALUE(M$1),Questions!$A:$E,5,FALSE),1,0)</f>
        <v>1</v>
      </c>
      <c r="AY115" s="4">
        <f>IF(N115=VLOOKUP(VALUE(N$1),Questions!$A:$E,5,FALSE),1,0)</f>
        <v>1</v>
      </c>
      <c r="AZ115" s="4">
        <f>IF(O115=VLOOKUP(VALUE(O$1),Questions!$A:$E,5,FALSE),1,0)</f>
        <v>1</v>
      </c>
      <c r="BA115" s="4">
        <f>IF(P115=VLOOKUP(VALUE(P$1),Questions!$A:$E,5,FALSE),1,0)</f>
        <v>1</v>
      </c>
      <c r="BB115" s="4">
        <f>IF(Q115=VLOOKUP(VALUE(Q$1),Questions!$A:$E,5,FALSE),1,0)</f>
        <v>0</v>
      </c>
      <c r="BC115" s="4">
        <f>IF(R115=VLOOKUP(VALUE(R$1),Questions!$A:$E,5,FALSE),1,0)</f>
        <v>1</v>
      </c>
      <c r="BD115" s="4">
        <f>IF(S115=VLOOKUP(VALUE(S$1),Questions!$A:$E,5,FALSE),1,0)</f>
        <v>1</v>
      </c>
      <c r="BE115" s="4">
        <f>IF(T115=VLOOKUP(VALUE(T$1),Questions!$A:$E,5,FALSE),1,0)</f>
        <v>0</v>
      </c>
      <c r="BF115" s="4">
        <f>IF(U115=VLOOKUP(VALUE(U$1),Questions!$A:$E,5,FALSE),1,0)</f>
        <v>1</v>
      </c>
      <c r="BG115" s="4">
        <f>IF(V115=VLOOKUP(VALUE(V$1),Questions!$A:$E,5,FALSE),1,0)</f>
        <v>0</v>
      </c>
      <c r="BH115" s="4">
        <f>IF(W115=VLOOKUP(VALUE(W$1),Questions!$A:$E,5,FALSE),1,0)</f>
        <v>1</v>
      </c>
      <c r="BI115" s="4">
        <f>IF(X115=VLOOKUP(VALUE(X$1),Questions!$A:$E,5,FALSE),1,0)</f>
        <v>1</v>
      </c>
      <c r="BJ115" s="4">
        <f>IF(Y115=VLOOKUP(VALUE(Y$1),Questions!$A:$E,5,FALSE),1,0)</f>
        <v>1</v>
      </c>
      <c r="BK115" s="4">
        <f>IF(Z115=VLOOKUP(VALUE(Z$1),Questions!$A:$E,5,FALSE),1,0)</f>
        <v>0</v>
      </c>
      <c r="BL115" s="4">
        <f>IF(AA115=VLOOKUP(VALUE(AA$1),Questions!$A:$E,5,FALSE),1,0)</f>
        <v>0</v>
      </c>
      <c r="BM115" s="4">
        <f>IF(AB115=VLOOKUP(VALUE(AB$1),Questions!$A:$E,5,FALSE),1,0)</f>
        <v>0</v>
      </c>
      <c r="BN115" s="4">
        <f>IF(AC115=VLOOKUP(VALUE(AC$1),Questions!$A:$E,5,FALSE),1,0)</f>
        <v>0</v>
      </c>
      <c r="BO115" s="4">
        <f>IF(AD115=VLOOKUP(VALUE(AD$1),Questions!$A:$E,5,FALSE),1,0)</f>
        <v>0</v>
      </c>
      <c r="BP115" s="4">
        <f>IF(AE115=VLOOKUP(VALUE(AE$1),Questions!$A:$E,5,FALSE),1,0)</f>
        <v>1</v>
      </c>
      <c r="BQ115" s="4">
        <f>IF(AF115=VLOOKUP(VALUE(AF$1),Questions!$A:$E,5,FALSE),1,0)</f>
        <v>1</v>
      </c>
      <c r="BR115" s="4">
        <f>IF(AG115=VLOOKUP(VALUE(AG$1),Questions!$A:$E,5,FALSE),1,0)</f>
        <v>1</v>
      </c>
      <c r="BS115" s="4">
        <f>IF(AH115=VLOOKUP(VALUE(AH$1),Questions!$A:$E,5,FALSE),1,0)</f>
        <v>0</v>
      </c>
      <c r="BT115" s="4">
        <f>IF(AI115=VLOOKUP(VALUE(AI$1),Questions!$A:$E,5,FALSE),1,0)</f>
        <v>0</v>
      </c>
      <c r="BU115" s="4">
        <f>IF(AJ115=VLOOKUP(VALUE(AJ$1),Questions!$A:$E,5,FALSE),1,0)</f>
        <v>1</v>
      </c>
      <c r="BV115" s="4">
        <f>IF(AK115=VLOOKUP(VALUE(AK$1),Questions!$A:$E,5,FALSE),1,0)</f>
        <v>0</v>
      </c>
      <c r="BW115" s="87">
        <f>IF(AL115=VLOOKUP(VALUE(AL$1),Questions!$A:$E,5,FALSE),1,0)</f>
        <v>1</v>
      </c>
      <c r="BX115" s="4">
        <f>IF(Scores[[#This Row],[Final]]&gt;=65,1,0)</f>
        <v>1</v>
      </c>
      <c r="BY115" s="4">
        <f>IF(Scores[[#This Row],[Final]]&gt;=IF(Scores[[#This Row],[IEP]],55,65),1,0)</f>
        <v>1</v>
      </c>
    </row>
    <row r="116" spans="1:77" x14ac:dyDescent="0.2">
      <c r="A116" s="6">
        <v>115</v>
      </c>
      <c r="B116" s="4">
        <v>9</v>
      </c>
      <c r="C116" s="4" t="s">
        <v>963</v>
      </c>
      <c r="D116" s="105" t="b">
        <v>0</v>
      </c>
      <c r="E116" s="105" t="b">
        <v>1</v>
      </c>
      <c r="F116" s="86">
        <f>SUM(Scores[[#This Row],[Q1]:[Q28]])</f>
        <v>16</v>
      </c>
      <c r="G116" s="4">
        <f>SUM(Scores[[#This Row],[29]]:Scores[[#This Row],[30]])</f>
        <v>4</v>
      </c>
      <c r="H116" s="4">
        <f>SUM(Scores[[#This Row],[31]:[36]])</f>
        <v>6</v>
      </c>
      <c r="I116" s="4">
        <f>Scores[[#This Row],[37]]</f>
        <v>1</v>
      </c>
      <c r="J116" s="87">
        <f>INDEX('Conversion Chart'!$C$3:$M$47,MATCH(SUM(Scores[[#This Row],[MC]:[IIIA]]),'Conversion Chart'!$B$3:$B$47),MATCH(Scores[[#This Row],[IIIB]],'Conversion Chart'!$C$2:$M$2))</f>
        <v>66</v>
      </c>
      <c r="K116" s="103">
        <v>4</v>
      </c>
      <c r="L116" s="103">
        <v>3</v>
      </c>
      <c r="M116" s="103">
        <v>3</v>
      </c>
      <c r="N116" s="103">
        <v>1</v>
      </c>
      <c r="O116" s="103">
        <v>1</v>
      </c>
      <c r="P116" s="103">
        <v>3</v>
      </c>
      <c r="Q116" s="103">
        <v>4</v>
      </c>
      <c r="R116" s="103">
        <v>2</v>
      </c>
      <c r="S116" s="103">
        <v>2</v>
      </c>
      <c r="T116" s="103">
        <v>1</v>
      </c>
      <c r="U116" s="103">
        <v>2</v>
      </c>
      <c r="V116" s="103">
        <v>4</v>
      </c>
      <c r="W116" s="103">
        <v>2</v>
      </c>
      <c r="X116" s="103">
        <v>4</v>
      </c>
      <c r="Y116" s="103">
        <v>4</v>
      </c>
      <c r="Z116" s="103">
        <v>1</v>
      </c>
      <c r="AA116" s="103">
        <v>1</v>
      </c>
      <c r="AB116" s="103">
        <v>3</v>
      </c>
      <c r="AC116" s="103">
        <v>2</v>
      </c>
      <c r="AD116" s="103">
        <v>4</v>
      </c>
      <c r="AE116" s="103">
        <v>4</v>
      </c>
      <c r="AF116" s="103">
        <v>2</v>
      </c>
      <c r="AG116" s="103">
        <v>3</v>
      </c>
      <c r="AH116" s="103">
        <v>2</v>
      </c>
      <c r="AI116" s="103">
        <v>3</v>
      </c>
      <c r="AJ116" s="103">
        <v>1</v>
      </c>
      <c r="AK116" s="103">
        <v>4</v>
      </c>
      <c r="AL116" s="104">
        <v>3</v>
      </c>
      <c r="AM116" s="4">
        <v>2</v>
      </c>
      <c r="AN116" s="87">
        <v>2</v>
      </c>
      <c r="AO116" s="4">
        <v>1</v>
      </c>
      <c r="AP116" s="4">
        <v>1</v>
      </c>
      <c r="AQ116" s="4">
        <v>1</v>
      </c>
      <c r="AR116" s="4">
        <v>1</v>
      </c>
      <c r="AS116" s="4">
        <v>1</v>
      </c>
      <c r="AT116" s="4">
        <v>1</v>
      </c>
      <c r="AU116" s="107">
        <v>1</v>
      </c>
      <c r="AV116" s="4">
        <f>IF(K116=VLOOKUP(VALUE(K$1),Questions!$A:$E,5,FALSE),1,0)</f>
        <v>1</v>
      </c>
      <c r="AW116" s="4">
        <f>IF(L116=VLOOKUP(VALUE(L$1),Questions!$A:$E,5,FALSE),1,0)</f>
        <v>0</v>
      </c>
      <c r="AX116" s="4">
        <f>IF(M116=VLOOKUP(VALUE(M$1),Questions!$A:$E,5,FALSE),1,0)</f>
        <v>1</v>
      </c>
      <c r="AY116" s="4">
        <f>IF(N116=VLOOKUP(VALUE(N$1),Questions!$A:$E,5,FALSE),1,0)</f>
        <v>0</v>
      </c>
      <c r="AZ116" s="4">
        <f>IF(O116=VLOOKUP(VALUE(O$1),Questions!$A:$E,5,FALSE),1,0)</f>
        <v>1</v>
      </c>
      <c r="BA116" s="4">
        <f>IF(P116=VLOOKUP(VALUE(P$1),Questions!$A:$E,5,FALSE),1,0)</f>
        <v>0</v>
      </c>
      <c r="BB116" s="4">
        <f>IF(Q116=VLOOKUP(VALUE(Q$1),Questions!$A:$E,5,FALSE),1,0)</f>
        <v>0</v>
      </c>
      <c r="BC116" s="4">
        <f>IF(R116=VLOOKUP(VALUE(R$1),Questions!$A:$E,5,FALSE),1,0)</f>
        <v>1</v>
      </c>
      <c r="BD116" s="4">
        <f>IF(S116=VLOOKUP(VALUE(S$1),Questions!$A:$E,5,FALSE),1,0)</f>
        <v>1</v>
      </c>
      <c r="BE116" s="4">
        <f>IF(T116=VLOOKUP(VALUE(T$1),Questions!$A:$E,5,FALSE),1,0)</f>
        <v>1</v>
      </c>
      <c r="BF116" s="4">
        <f>IF(U116=VLOOKUP(VALUE(U$1),Questions!$A:$E,5,FALSE),1,0)</f>
        <v>1</v>
      </c>
      <c r="BG116" s="4">
        <f>IF(V116=VLOOKUP(VALUE(V$1),Questions!$A:$E,5,FALSE),1,0)</f>
        <v>1</v>
      </c>
      <c r="BH116" s="4">
        <f>IF(W116=VLOOKUP(VALUE(W$1),Questions!$A:$E,5,FALSE),1,0)</f>
        <v>1</v>
      </c>
      <c r="BI116" s="4">
        <f>IF(X116=VLOOKUP(VALUE(X$1),Questions!$A:$E,5,FALSE),1,0)</f>
        <v>1</v>
      </c>
      <c r="BJ116" s="4">
        <f>IF(Y116=VLOOKUP(VALUE(Y$1),Questions!$A:$E,5,FALSE),1,0)</f>
        <v>0</v>
      </c>
      <c r="BK116" s="4">
        <f>IF(Z116=VLOOKUP(VALUE(Z$1),Questions!$A:$E,5,FALSE),1,0)</f>
        <v>1</v>
      </c>
      <c r="BL116" s="4">
        <f>IF(AA116=VLOOKUP(VALUE(AA$1),Questions!$A:$E,5,FALSE),1,0)</f>
        <v>1</v>
      </c>
      <c r="BM116" s="4">
        <f>IF(AB116=VLOOKUP(VALUE(AB$1),Questions!$A:$E,5,FALSE),1,0)</f>
        <v>0</v>
      </c>
      <c r="BN116" s="4">
        <f>IF(AC116=VLOOKUP(VALUE(AC$1),Questions!$A:$E,5,FALSE),1,0)</f>
        <v>0</v>
      </c>
      <c r="BO116" s="4">
        <f>IF(AD116=VLOOKUP(VALUE(AD$1),Questions!$A:$E,5,FALSE),1,0)</f>
        <v>1</v>
      </c>
      <c r="BP116" s="4">
        <f>IF(AE116=VLOOKUP(VALUE(AE$1),Questions!$A:$E,5,FALSE),1,0)</f>
        <v>0</v>
      </c>
      <c r="BQ116" s="4">
        <f>IF(AF116=VLOOKUP(VALUE(AF$1),Questions!$A:$E,5,FALSE),1,0)</f>
        <v>1</v>
      </c>
      <c r="BR116" s="4">
        <f>IF(AG116=VLOOKUP(VALUE(AG$1),Questions!$A:$E,5,FALSE),1,0)</f>
        <v>1</v>
      </c>
      <c r="BS116" s="4">
        <f>IF(AH116=VLOOKUP(VALUE(AH$1),Questions!$A:$E,5,FALSE),1,0)</f>
        <v>0</v>
      </c>
      <c r="BT116" s="4">
        <f>IF(AI116=VLOOKUP(VALUE(AI$1),Questions!$A:$E,5,FALSE),1,0)</f>
        <v>0</v>
      </c>
      <c r="BU116" s="4">
        <f>IF(AJ116=VLOOKUP(VALUE(AJ$1),Questions!$A:$E,5,FALSE),1,0)</f>
        <v>0</v>
      </c>
      <c r="BV116" s="4">
        <f>IF(AK116=VLOOKUP(VALUE(AK$1),Questions!$A:$E,5,FALSE),1,0)</f>
        <v>0</v>
      </c>
      <c r="BW116" s="87">
        <f>IF(AL116=VLOOKUP(VALUE(AL$1),Questions!$A:$E,5,FALSE),1,0)</f>
        <v>1</v>
      </c>
      <c r="BX116" s="4">
        <f>IF(Scores[[#This Row],[Final]]&gt;=65,1,0)</f>
        <v>1</v>
      </c>
      <c r="BY116" s="4">
        <f>IF(Scores[[#This Row],[Final]]&gt;=IF(Scores[[#This Row],[IEP]],55,65),1,0)</f>
        <v>1</v>
      </c>
    </row>
    <row r="117" spans="1:77" x14ac:dyDescent="0.2">
      <c r="A117" s="6">
        <v>116</v>
      </c>
      <c r="B117" s="4">
        <v>11</v>
      </c>
      <c r="C117" s="4" t="s">
        <v>968</v>
      </c>
      <c r="D117" s="105" t="b">
        <v>0</v>
      </c>
      <c r="E117" s="105" t="b">
        <v>0</v>
      </c>
      <c r="F117" s="86">
        <f>SUM(Scores[[#This Row],[Q1]:[Q28]])</f>
        <v>11</v>
      </c>
      <c r="G117" s="4">
        <f>SUM(Scores[[#This Row],[29]]:Scores[[#This Row],[30]])</f>
        <v>6</v>
      </c>
      <c r="H117" s="4">
        <f>SUM(Scores[[#This Row],[31]:[36]])</f>
        <v>6</v>
      </c>
      <c r="I117" s="4">
        <f>Scores[[#This Row],[37]]</f>
        <v>1</v>
      </c>
      <c r="J117" s="87">
        <f>INDEX('Conversion Chart'!$C$3:$M$47,MATCH(SUM(Scores[[#This Row],[MC]:[IIIA]]),'Conversion Chart'!$B$3:$B$47),MATCH(Scores[[#This Row],[IIIB]],'Conversion Chart'!$C$2:$M$2))</f>
        <v>61</v>
      </c>
      <c r="K117" s="103">
        <v>4</v>
      </c>
      <c r="L117" s="103">
        <v>1</v>
      </c>
      <c r="M117" s="103">
        <v>4</v>
      </c>
      <c r="N117" s="103">
        <v>1</v>
      </c>
      <c r="O117" s="103">
        <v>2</v>
      </c>
      <c r="P117" s="103">
        <v>3</v>
      </c>
      <c r="Q117" s="103">
        <v>2</v>
      </c>
      <c r="R117" s="103">
        <v>3</v>
      </c>
      <c r="S117" s="103">
        <v>1</v>
      </c>
      <c r="T117" s="103">
        <v>2</v>
      </c>
      <c r="U117" s="103">
        <v>2</v>
      </c>
      <c r="V117" s="103">
        <v>3</v>
      </c>
      <c r="W117" s="103">
        <v>2</v>
      </c>
      <c r="X117" s="103">
        <v>2</v>
      </c>
      <c r="Y117" s="103">
        <v>3</v>
      </c>
      <c r="Z117" s="103">
        <v>4</v>
      </c>
      <c r="AA117" s="103">
        <v>1</v>
      </c>
      <c r="AB117" s="103">
        <v>1</v>
      </c>
      <c r="AC117" s="103">
        <v>2</v>
      </c>
      <c r="AD117" s="103">
        <v>3</v>
      </c>
      <c r="AE117" s="103">
        <v>2</v>
      </c>
      <c r="AF117" s="103">
        <v>2</v>
      </c>
      <c r="AG117" s="103">
        <v>3</v>
      </c>
      <c r="AH117" s="103">
        <v>2</v>
      </c>
      <c r="AI117" s="103">
        <v>1</v>
      </c>
      <c r="AJ117" s="103">
        <v>2</v>
      </c>
      <c r="AK117" s="103">
        <v>1</v>
      </c>
      <c r="AL117" s="104">
        <v>3</v>
      </c>
      <c r="AM117" s="4">
        <v>3</v>
      </c>
      <c r="AN117" s="87">
        <v>3</v>
      </c>
      <c r="AO117" s="4">
        <v>1</v>
      </c>
      <c r="AP117" s="4">
        <v>1</v>
      </c>
      <c r="AQ117" s="4">
        <v>1</v>
      </c>
      <c r="AR117" s="4">
        <v>1</v>
      </c>
      <c r="AS117" s="4">
        <v>1</v>
      </c>
      <c r="AT117" s="4">
        <v>1</v>
      </c>
      <c r="AU117" s="107">
        <v>1</v>
      </c>
      <c r="AV117" s="4">
        <f>IF(K117=VLOOKUP(VALUE(K$1),Questions!$A:$E,5,FALSE),1,0)</f>
        <v>1</v>
      </c>
      <c r="AW117" s="4">
        <f>IF(L117=VLOOKUP(VALUE(L$1),Questions!$A:$E,5,FALSE),1,0)</f>
        <v>0</v>
      </c>
      <c r="AX117" s="4">
        <f>IF(M117=VLOOKUP(VALUE(M$1),Questions!$A:$E,5,FALSE),1,0)</f>
        <v>0</v>
      </c>
      <c r="AY117" s="4">
        <f>IF(N117=VLOOKUP(VALUE(N$1),Questions!$A:$E,5,FALSE),1,0)</f>
        <v>0</v>
      </c>
      <c r="AZ117" s="4">
        <f>IF(O117=VLOOKUP(VALUE(O$1),Questions!$A:$E,5,FALSE),1,0)</f>
        <v>0</v>
      </c>
      <c r="BA117" s="4">
        <f>IF(P117=VLOOKUP(VALUE(P$1),Questions!$A:$E,5,FALSE),1,0)</f>
        <v>0</v>
      </c>
      <c r="BB117" s="4">
        <f>IF(Q117=VLOOKUP(VALUE(Q$1),Questions!$A:$E,5,FALSE),1,0)</f>
        <v>0</v>
      </c>
      <c r="BC117" s="4">
        <f>IF(R117=VLOOKUP(VALUE(R$1),Questions!$A:$E,5,FALSE),1,0)</f>
        <v>0</v>
      </c>
      <c r="BD117" s="4">
        <f>IF(S117=VLOOKUP(VALUE(S$1),Questions!$A:$E,5,FALSE),1,0)</f>
        <v>0</v>
      </c>
      <c r="BE117" s="4">
        <f>IF(T117=VLOOKUP(VALUE(T$1),Questions!$A:$E,5,FALSE),1,0)</f>
        <v>0</v>
      </c>
      <c r="BF117" s="4">
        <f>IF(U117=VLOOKUP(VALUE(U$1),Questions!$A:$E,5,FALSE),1,0)</f>
        <v>1</v>
      </c>
      <c r="BG117" s="4">
        <f>IF(V117=VLOOKUP(VALUE(V$1),Questions!$A:$E,5,FALSE),1,0)</f>
        <v>0</v>
      </c>
      <c r="BH117" s="4">
        <f>IF(W117=VLOOKUP(VALUE(W$1),Questions!$A:$E,5,FALSE),1,0)</f>
        <v>1</v>
      </c>
      <c r="BI117" s="4">
        <f>IF(X117=VLOOKUP(VALUE(X$1),Questions!$A:$E,5,FALSE),1,0)</f>
        <v>0</v>
      </c>
      <c r="BJ117" s="4">
        <f>IF(Y117=VLOOKUP(VALUE(Y$1),Questions!$A:$E,5,FALSE),1,0)</f>
        <v>1</v>
      </c>
      <c r="BK117" s="4">
        <f>IF(Z117=VLOOKUP(VALUE(Z$1),Questions!$A:$E,5,FALSE),1,0)</f>
        <v>0</v>
      </c>
      <c r="BL117" s="4">
        <f>IF(AA117=VLOOKUP(VALUE(AA$1),Questions!$A:$E,5,FALSE),1,0)</f>
        <v>1</v>
      </c>
      <c r="BM117" s="4">
        <f>IF(AB117=VLOOKUP(VALUE(AB$1),Questions!$A:$E,5,FALSE),1,0)</f>
        <v>0</v>
      </c>
      <c r="BN117" s="4">
        <f>IF(AC117=VLOOKUP(VALUE(AC$1),Questions!$A:$E,5,FALSE),1,0)</f>
        <v>0</v>
      </c>
      <c r="BO117" s="4">
        <f>IF(AD117=VLOOKUP(VALUE(AD$1),Questions!$A:$E,5,FALSE),1,0)</f>
        <v>0</v>
      </c>
      <c r="BP117" s="4">
        <f>IF(AE117=VLOOKUP(VALUE(AE$1),Questions!$A:$E,5,FALSE),1,0)</f>
        <v>1</v>
      </c>
      <c r="BQ117" s="4">
        <f>IF(AF117=VLOOKUP(VALUE(AF$1),Questions!$A:$E,5,FALSE),1,0)</f>
        <v>1</v>
      </c>
      <c r="BR117" s="4">
        <f>IF(AG117=VLOOKUP(VALUE(AG$1),Questions!$A:$E,5,FALSE),1,0)</f>
        <v>1</v>
      </c>
      <c r="BS117" s="4">
        <f>IF(AH117=VLOOKUP(VALUE(AH$1),Questions!$A:$E,5,FALSE),1,0)</f>
        <v>0</v>
      </c>
      <c r="BT117" s="4">
        <f>IF(AI117=VLOOKUP(VALUE(AI$1),Questions!$A:$E,5,FALSE),1,0)</f>
        <v>1</v>
      </c>
      <c r="BU117" s="4">
        <f>IF(AJ117=VLOOKUP(VALUE(AJ$1),Questions!$A:$E,5,FALSE),1,0)</f>
        <v>0</v>
      </c>
      <c r="BV117" s="4">
        <f>IF(AK117=VLOOKUP(VALUE(AK$1),Questions!$A:$E,5,FALSE),1,0)</f>
        <v>1</v>
      </c>
      <c r="BW117" s="87">
        <f>IF(AL117=VLOOKUP(VALUE(AL$1),Questions!$A:$E,5,FALSE),1,0)</f>
        <v>1</v>
      </c>
      <c r="BX117" s="4">
        <f>IF(Scores[[#This Row],[Final]]&gt;=65,1,0)</f>
        <v>0</v>
      </c>
      <c r="BY117" s="4">
        <f>IF(Scores[[#This Row],[Final]]&gt;=IF(Scores[[#This Row],[IEP]],55,65),1,0)</f>
        <v>0</v>
      </c>
    </row>
    <row r="118" spans="1:77" x14ac:dyDescent="0.2">
      <c r="A118" s="6">
        <v>117</v>
      </c>
      <c r="B118" s="4">
        <v>11</v>
      </c>
      <c r="C118" s="4" t="s">
        <v>968</v>
      </c>
      <c r="D118" s="105" t="b">
        <v>0</v>
      </c>
      <c r="E118" s="105" t="b">
        <v>0</v>
      </c>
      <c r="F118" s="86">
        <f>SUM(Scores[[#This Row],[Q1]:[Q28]])</f>
        <v>23</v>
      </c>
      <c r="G118" s="4">
        <f>SUM(Scores[[#This Row],[29]]:Scores[[#This Row],[30]])</f>
        <v>3</v>
      </c>
      <c r="H118" s="4">
        <f>SUM(Scores[[#This Row],[31]:[36]])</f>
        <v>5</v>
      </c>
      <c r="I118" s="4">
        <f>Scores[[#This Row],[37]]</f>
        <v>2</v>
      </c>
      <c r="J118" s="87">
        <f>INDEX('Conversion Chart'!$C$3:$M$47,MATCH(SUM(Scores[[#This Row],[MC]:[IIIA]]),'Conversion Chart'!$B$3:$B$47),MATCH(Scores[[#This Row],[IIIB]],'Conversion Chart'!$C$2:$M$2))</f>
        <v>75</v>
      </c>
      <c r="K118" s="103">
        <v>4</v>
      </c>
      <c r="L118" s="103">
        <v>2</v>
      </c>
      <c r="M118" s="103">
        <v>3</v>
      </c>
      <c r="N118" s="103">
        <v>4</v>
      </c>
      <c r="O118" s="103">
        <v>1</v>
      </c>
      <c r="P118" s="103">
        <v>4</v>
      </c>
      <c r="Q118" s="103">
        <v>2</v>
      </c>
      <c r="R118" s="103">
        <v>2</v>
      </c>
      <c r="S118" s="103">
        <v>3</v>
      </c>
      <c r="T118" s="103">
        <v>1</v>
      </c>
      <c r="U118" s="103">
        <v>2</v>
      </c>
      <c r="V118" s="103">
        <v>4</v>
      </c>
      <c r="W118" s="103">
        <v>2</v>
      </c>
      <c r="X118" s="103">
        <v>4</v>
      </c>
      <c r="Y118" s="103">
        <v>3</v>
      </c>
      <c r="Z118" s="103">
        <v>1</v>
      </c>
      <c r="AA118" s="103">
        <v>1</v>
      </c>
      <c r="AB118" s="103">
        <v>3</v>
      </c>
      <c r="AC118" s="103">
        <v>3</v>
      </c>
      <c r="AD118" s="103">
        <v>4</v>
      </c>
      <c r="AE118" s="103">
        <v>2</v>
      </c>
      <c r="AF118" s="103">
        <v>2</v>
      </c>
      <c r="AG118" s="103">
        <v>3</v>
      </c>
      <c r="AH118" s="103">
        <v>3</v>
      </c>
      <c r="AI118" s="103">
        <v>1</v>
      </c>
      <c r="AJ118" s="103">
        <v>4</v>
      </c>
      <c r="AK118" s="103">
        <v>4</v>
      </c>
      <c r="AL118" s="104">
        <v>3</v>
      </c>
      <c r="AM118" s="4">
        <v>2</v>
      </c>
      <c r="AN118" s="87">
        <v>1</v>
      </c>
      <c r="AO118" s="4">
        <v>0</v>
      </c>
      <c r="AP118" s="4">
        <v>1</v>
      </c>
      <c r="AQ118" s="4">
        <v>1</v>
      </c>
      <c r="AR118" s="4">
        <v>1</v>
      </c>
      <c r="AS118" s="4">
        <v>1</v>
      </c>
      <c r="AT118" s="4">
        <v>1</v>
      </c>
      <c r="AU118" s="107">
        <v>2</v>
      </c>
      <c r="AV118" s="4">
        <f>IF(K118=VLOOKUP(VALUE(K$1),Questions!$A:$E,5,FALSE),1,0)</f>
        <v>1</v>
      </c>
      <c r="AW118" s="4">
        <f>IF(L118=VLOOKUP(VALUE(L$1),Questions!$A:$E,5,FALSE),1,0)</f>
        <v>1</v>
      </c>
      <c r="AX118" s="4">
        <f>IF(M118=VLOOKUP(VALUE(M$1),Questions!$A:$E,5,FALSE),1,0)</f>
        <v>1</v>
      </c>
      <c r="AY118" s="4">
        <f>IF(N118=VLOOKUP(VALUE(N$1),Questions!$A:$E,5,FALSE),1,0)</f>
        <v>0</v>
      </c>
      <c r="AZ118" s="4">
        <f>IF(O118=VLOOKUP(VALUE(O$1),Questions!$A:$E,5,FALSE),1,0)</f>
        <v>1</v>
      </c>
      <c r="BA118" s="4">
        <f>IF(P118=VLOOKUP(VALUE(P$1),Questions!$A:$E,5,FALSE),1,0)</f>
        <v>1</v>
      </c>
      <c r="BB118" s="4">
        <f>IF(Q118=VLOOKUP(VALUE(Q$1),Questions!$A:$E,5,FALSE),1,0)</f>
        <v>0</v>
      </c>
      <c r="BC118" s="4">
        <f>IF(R118=VLOOKUP(VALUE(R$1),Questions!$A:$E,5,FALSE),1,0)</f>
        <v>1</v>
      </c>
      <c r="BD118" s="4">
        <f>IF(S118=VLOOKUP(VALUE(S$1),Questions!$A:$E,5,FALSE),1,0)</f>
        <v>0</v>
      </c>
      <c r="BE118" s="4">
        <f>IF(T118=VLOOKUP(VALUE(T$1),Questions!$A:$E,5,FALSE),1,0)</f>
        <v>1</v>
      </c>
      <c r="BF118" s="4">
        <f>IF(U118=VLOOKUP(VALUE(U$1),Questions!$A:$E,5,FALSE),1,0)</f>
        <v>1</v>
      </c>
      <c r="BG118" s="4">
        <f>IF(V118=VLOOKUP(VALUE(V$1),Questions!$A:$E,5,FALSE),1,0)</f>
        <v>1</v>
      </c>
      <c r="BH118" s="4">
        <f>IF(W118=VLOOKUP(VALUE(W$1),Questions!$A:$E,5,FALSE),1,0)</f>
        <v>1</v>
      </c>
      <c r="BI118" s="4">
        <f>IF(X118=VLOOKUP(VALUE(X$1),Questions!$A:$E,5,FALSE),1,0)</f>
        <v>1</v>
      </c>
      <c r="BJ118" s="4">
        <f>IF(Y118=VLOOKUP(VALUE(Y$1),Questions!$A:$E,5,FALSE),1,0)</f>
        <v>1</v>
      </c>
      <c r="BK118" s="4">
        <f>IF(Z118=VLOOKUP(VALUE(Z$1),Questions!$A:$E,5,FALSE),1,0)</f>
        <v>1</v>
      </c>
      <c r="BL118" s="4">
        <f>IF(AA118=VLOOKUP(VALUE(AA$1),Questions!$A:$E,5,FALSE),1,0)</f>
        <v>1</v>
      </c>
      <c r="BM118" s="4">
        <f>IF(AB118=VLOOKUP(VALUE(AB$1),Questions!$A:$E,5,FALSE),1,0)</f>
        <v>0</v>
      </c>
      <c r="BN118" s="4">
        <f>IF(AC118=VLOOKUP(VALUE(AC$1),Questions!$A:$E,5,FALSE),1,0)</f>
        <v>1</v>
      </c>
      <c r="BO118" s="4">
        <f>IF(AD118=VLOOKUP(VALUE(AD$1),Questions!$A:$E,5,FALSE),1,0)</f>
        <v>1</v>
      </c>
      <c r="BP118" s="4">
        <f>IF(AE118=VLOOKUP(VALUE(AE$1),Questions!$A:$E,5,FALSE),1,0)</f>
        <v>1</v>
      </c>
      <c r="BQ118" s="4">
        <f>IF(AF118=VLOOKUP(VALUE(AF$1),Questions!$A:$E,5,FALSE),1,0)</f>
        <v>1</v>
      </c>
      <c r="BR118" s="4">
        <f>IF(AG118=VLOOKUP(VALUE(AG$1),Questions!$A:$E,5,FALSE),1,0)</f>
        <v>1</v>
      </c>
      <c r="BS118" s="4">
        <f>IF(AH118=VLOOKUP(VALUE(AH$1),Questions!$A:$E,5,FALSE),1,0)</f>
        <v>1</v>
      </c>
      <c r="BT118" s="4">
        <f>IF(AI118=VLOOKUP(VALUE(AI$1),Questions!$A:$E,5,FALSE),1,0)</f>
        <v>1</v>
      </c>
      <c r="BU118" s="4">
        <f>IF(AJ118=VLOOKUP(VALUE(AJ$1),Questions!$A:$E,5,FALSE),1,0)</f>
        <v>1</v>
      </c>
      <c r="BV118" s="4">
        <f>IF(AK118=VLOOKUP(VALUE(AK$1),Questions!$A:$E,5,FALSE),1,0)</f>
        <v>0</v>
      </c>
      <c r="BW118" s="87">
        <f>IF(AL118=VLOOKUP(VALUE(AL$1),Questions!$A:$E,5,FALSE),1,0)</f>
        <v>1</v>
      </c>
      <c r="BX118" s="4">
        <f>IF(Scores[[#This Row],[Final]]&gt;=65,1,0)</f>
        <v>1</v>
      </c>
      <c r="BY118" s="4">
        <f>IF(Scores[[#This Row],[Final]]&gt;=IF(Scores[[#This Row],[IEP]],55,65),1,0)</f>
        <v>1</v>
      </c>
    </row>
    <row r="119" spans="1:77" x14ac:dyDescent="0.2">
      <c r="A119" s="6">
        <v>118</v>
      </c>
      <c r="B119" s="4">
        <v>9</v>
      </c>
      <c r="C119" s="4" t="s">
        <v>963</v>
      </c>
      <c r="D119" s="105" t="b">
        <v>0</v>
      </c>
      <c r="E119" s="105" t="b">
        <v>0</v>
      </c>
      <c r="F119" s="86">
        <f>SUM(Scores[[#This Row],[Q1]:[Q28]])</f>
        <v>19</v>
      </c>
      <c r="G119" s="4">
        <f>SUM(Scores[[#This Row],[29]]:Scores[[#This Row],[30]])</f>
        <v>8</v>
      </c>
      <c r="H119" s="4">
        <f>SUM(Scores[[#This Row],[31]:[36]])</f>
        <v>5</v>
      </c>
      <c r="I119" s="4">
        <f>Scores[[#This Row],[37]]</f>
        <v>3</v>
      </c>
      <c r="J119" s="87">
        <f>INDEX('Conversion Chart'!$C$3:$M$47,MATCH(SUM(Scores[[#This Row],[MC]:[IIIA]]),'Conversion Chart'!$B$3:$B$47),MATCH(Scores[[#This Row],[IIIB]],'Conversion Chart'!$C$2:$M$2))</f>
        <v>78</v>
      </c>
      <c r="K119" s="103">
        <v>4</v>
      </c>
      <c r="L119" s="103">
        <v>2</v>
      </c>
      <c r="M119" s="103">
        <v>3</v>
      </c>
      <c r="N119" s="103">
        <v>3</v>
      </c>
      <c r="O119" s="103">
        <v>1</v>
      </c>
      <c r="P119" s="103">
        <v>3</v>
      </c>
      <c r="Q119" s="103">
        <v>4</v>
      </c>
      <c r="R119" s="103">
        <v>2</v>
      </c>
      <c r="S119" s="103">
        <v>3</v>
      </c>
      <c r="T119" s="103">
        <v>1</v>
      </c>
      <c r="U119" s="103">
        <v>2</v>
      </c>
      <c r="V119" s="103">
        <v>4</v>
      </c>
      <c r="W119" s="103">
        <v>4</v>
      </c>
      <c r="X119" s="103">
        <v>2</v>
      </c>
      <c r="Y119" s="103">
        <v>3</v>
      </c>
      <c r="Z119" s="103">
        <v>1</v>
      </c>
      <c r="AA119" s="103">
        <v>1</v>
      </c>
      <c r="AB119" s="103">
        <v>4</v>
      </c>
      <c r="AC119" s="103">
        <v>3</v>
      </c>
      <c r="AD119" s="103">
        <v>3</v>
      </c>
      <c r="AE119" s="103">
        <v>1</v>
      </c>
      <c r="AF119" s="103">
        <v>2</v>
      </c>
      <c r="AG119" s="103">
        <v>3</v>
      </c>
      <c r="AH119" s="103">
        <v>2</v>
      </c>
      <c r="AI119" s="103">
        <v>1</v>
      </c>
      <c r="AJ119" s="103">
        <v>4</v>
      </c>
      <c r="AK119" s="103">
        <v>4</v>
      </c>
      <c r="AL119" s="104">
        <v>3</v>
      </c>
      <c r="AM119" s="4">
        <v>4</v>
      </c>
      <c r="AN119" s="87">
        <v>4</v>
      </c>
      <c r="AO119" s="4">
        <v>1</v>
      </c>
      <c r="AP119" s="4">
        <v>0</v>
      </c>
      <c r="AQ119" s="4">
        <v>1</v>
      </c>
      <c r="AR119" s="4">
        <v>1</v>
      </c>
      <c r="AS119" s="4">
        <v>1</v>
      </c>
      <c r="AT119" s="4">
        <v>1</v>
      </c>
      <c r="AU119" s="107">
        <v>3</v>
      </c>
      <c r="AV119" s="4">
        <f>IF(K119=VLOOKUP(VALUE(K$1),Questions!$A:$E,5,FALSE),1,0)</f>
        <v>1</v>
      </c>
      <c r="AW119" s="4">
        <f>IF(L119=VLOOKUP(VALUE(L$1),Questions!$A:$E,5,FALSE),1,0)</f>
        <v>1</v>
      </c>
      <c r="AX119" s="4">
        <f>IF(M119=VLOOKUP(VALUE(M$1),Questions!$A:$E,5,FALSE),1,0)</f>
        <v>1</v>
      </c>
      <c r="AY119" s="4">
        <f>IF(N119=VLOOKUP(VALUE(N$1),Questions!$A:$E,5,FALSE),1,0)</f>
        <v>1</v>
      </c>
      <c r="AZ119" s="4">
        <f>IF(O119=VLOOKUP(VALUE(O$1),Questions!$A:$E,5,FALSE),1,0)</f>
        <v>1</v>
      </c>
      <c r="BA119" s="4">
        <f>IF(P119=VLOOKUP(VALUE(P$1),Questions!$A:$E,5,FALSE),1,0)</f>
        <v>0</v>
      </c>
      <c r="BB119" s="4">
        <f>IF(Q119=VLOOKUP(VALUE(Q$1),Questions!$A:$E,5,FALSE),1,0)</f>
        <v>0</v>
      </c>
      <c r="BC119" s="4">
        <f>IF(R119=VLOOKUP(VALUE(R$1),Questions!$A:$E,5,FALSE),1,0)</f>
        <v>1</v>
      </c>
      <c r="BD119" s="4">
        <f>IF(S119=VLOOKUP(VALUE(S$1),Questions!$A:$E,5,FALSE),1,0)</f>
        <v>0</v>
      </c>
      <c r="BE119" s="4">
        <f>IF(T119=VLOOKUP(VALUE(T$1),Questions!$A:$E,5,FALSE),1,0)</f>
        <v>1</v>
      </c>
      <c r="BF119" s="4">
        <f>IF(U119=VLOOKUP(VALUE(U$1),Questions!$A:$E,5,FALSE),1,0)</f>
        <v>1</v>
      </c>
      <c r="BG119" s="4">
        <f>IF(V119=VLOOKUP(VALUE(V$1),Questions!$A:$E,5,FALSE),1,0)</f>
        <v>1</v>
      </c>
      <c r="BH119" s="4">
        <f>IF(W119=VLOOKUP(VALUE(W$1),Questions!$A:$E,5,FALSE),1,0)</f>
        <v>0</v>
      </c>
      <c r="BI119" s="4">
        <f>IF(X119=VLOOKUP(VALUE(X$1),Questions!$A:$E,5,FALSE),1,0)</f>
        <v>0</v>
      </c>
      <c r="BJ119" s="4">
        <f>IF(Y119=VLOOKUP(VALUE(Y$1),Questions!$A:$E,5,FALSE),1,0)</f>
        <v>1</v>
      </c>
      <c r="BK119" s="4">
        <f>IF(Z119=VLOOKUP(VALUE(Z$1),Questions!$A:$E,5,FALSE),1,0)</f>
        <v>1</v>
      </c>
      <c r="BL119" s="4">
        <f>IF(AA119=VLOOKUP(VALUE(AA$1),Questions!$A:$E,5,FALSE),1,0)</f>
        <v>1</v>
      </c>
      <c r="BM119" s="4">
        <f>IF(AB119=VLOOKUP(VALUE(AB$1),Questions!$A:$E,5,FALSE),1,0)</f>
        <v>1</v>
      </c>
      <c r="BN119" s="4">
        <f>IF(AC119=VLOOKUP(VALUE(AC$1),Questions!$A:$E,5,FALSE),1,0)</f>
        <v>1</v>
      </c>
      <c r="BO119" s="4">
        <f>IF(AD119=VLOOKUP(VALUE(AD$1),Questions!$A:$E,5,FALSE),1,0)</f>
        <v>0</v>
      </c>
      <c r="BP119" s="4">
        <f>IF(AE119=VLOOKUP(VALUE(AE$1),Questions!$A:$E,5,FALSE),1,0)</f>
        <v>0</v>
      </c>
      <c r="BQ119" s="4">
        <f>IF(AF119=VLOOKUP(VALUE(AF$1),Questions!$A:$E,5,FALSE),1,0)</f>
        <v>1</v>
      </c>
      <c r="BR119" s="4">
        <f>IF(AG119=VLOOKUP(VALUE(AG$1),Questions!$A:$E,5,FALSE),1,0)</f>
        <v>1</v>
      </c>
      <c r="BS119" s="4">
        <f>IF(AH119=VLOOKUP(VALUE(AH$1),Questions!$A:$E,5,FALSE),1,0)</f>
        <v>0</v>
      </c>
      <c r="BT119" s="4">
        <f>IF(AI119=VLOOKUP(VALUE(AI$1),Questions!$A:$E,5,FALSE),1,0)</f>
        <v>1</v>
      </c>
      <c r="BU119" s="4">
        <f>IF(AJ119=VLOOKUP(VALUE(AJ$1),Questions!$A:$E,5,FALSE),1,0)</f>
        <v>1</v>
      </c>
      <c r="BV119" s="4">
        <f>IF(AK119=VLOOKUP(VALUE(AK$1),Questions!$A:$E,5,FALSE),1,0)</f>
        <v>0</v>
      </c>
      <c r="BW119" s="87">
        <f>IF(AL119=VLOOKUP(VALUE(AL$1),Questions!$A:$E,5,FALSE),1,0)</f>
        <v>1</v>
      </c>
      <c r="BX119" s="4">
        <f>IF(Scores[[#This Row],[Final]]&gt;=65,1,0)</f>
        <v>1</v>
      </c>
      <c r="BY119" s="4">
        <f>IF(Scores[[#This Row],[Final]]&gt;=IF(Scores[[#This Row],[IEP]],55,65),1,0)</f>
        <v>1</v>
      </c>
    </row>
    <row r="120" spans="1:77" x14ac:dyDescent="0.2">
      <c r="A120" s="6">
        <v>119</v>
      </c>
      <c r="B120" s="4">
        <v>11</v>
      </c>
      <c r="C120" s="4" t="s">
        <v>967</v>
      </c>
      <c r="D120" s="105" t="b">
        <v>0</v>
      </c>
      <c r="E120" s="105" t="b">
        <v>0</v>
      </c>
      <c r="F120" s="86">
        <f>SUM(Scores[[#This Row],[Q1]:[Q28]])</f>
        <v>0</v>
      </c>
      <c r="G120" s="4">
        <f>SUM(Scores[[#This Row],[29]]:Scores[[#This Row],[30]])</f>
        <v>0</v>
      </c>
      <c r="H120" s="4">
        <f>SUM(Scores[[#This Row],[31]:[36]])</f>
        <v>0</v>
      </c>
      <c r="I120" s="4">
        <f>Scores[[#This Row],[37]]</f>
        <v>0</v>
      </c>
      <c r="J120" s="87">
        <f>INDEX('Conversion Chart'!$C$3:$M$47,MATCH(SUM(Scores[[#This Row],[MC]:[IIIA]]),'Conversion Chart'!$B$3:$B$47),MATCH(Scores[[#This Row],[IIIB]],'Conversion Chart'!$C$2:$M$2))</f>
        <v>0</v>
      </c>
      <c r="K120" s="103"/>
      <c r="L120" s="103"/>
      <c r="M120" s="103"/>
      <c r="N120" s="103"/>
      <c r="O120" s="103"/>
      <c r="P120" s="103"/>
      <c r="Q120" s="103"/>
      <c r="R120" s="103"/>
      <c r="S120" s="103"/>
      <c r="T120" s="103"/>
      <c r="U120" s="103"/>
      <c r="V120" s="103"/>
      <c r="W120" s="103"/>
      <c r="X120" s="103"/>
      <c r="Y120" s="103"/>
      <c r="Z120" s="103"/>
      <c r="AA120" s="103"/>
      <c r="AB120" s="103"/>
      <c r="AC120" s="103"/>
      <c r="AD120" s="103"/>
      <c r="AE120" s="103"/>
      <c r="AF120" s="103"/>
      <c r="AG120" s="103"/>
      <c r="AH120" s="103"/>
      <c r="AI120" s="103"/>
      <c r="AJ120" s="103"/>
      <c r="AK120" s="103"/>
      <c r="AL120" s="104"/>
      <c r="AN120" s="87"/>
      <c r="AU120" s="107"/>
      <c r="AV120" s="4">
        <f>IF(K120=VLOOKUP(VALUE(K$1),Questions!$A:$E,5,FALSE),1,0)</f>
        <v>0</v>
      </c>
      <c r="AW120" s="4">
        <f>IF(L120=VLOOKUP(VALUE(L$1),Questions!$A:$E,5,FALSE),1,0)</f>
        <v>0</v>
      </c>
      <c r="AX120" s="4">
        <f>IF(M120=VLOOKUP(VALUE(M$1),Questions!$A:$E,5,FALSE),1,0)</f>
        <v>0</v>
      </c>
      <c r="AY120" s="4">
        <f>IF(N120=VLOOKUP(VALUE(N$1),Questions!$A:$E,5,FALSE),1,0)</f>
        <v>0</v>
      </c>
      <c r="AZ120" s="4">
        <f>IF(O120=VLOOKUP(VALUE(O$1),Questions!$A:$E,5,FALSE),1,0)</f>
        <v>0</v>
      </c>
      <c r="BA120" s="4">
        <f>IF(P120=VLOOKUP(VALUE(P$1),Questions!$A:$E,5,FALSE),1,0)</f>
        <v>0</v>
      </c>
      <c r="BB120" s="4">
        <f>IF(Q120=VLOOKUP(VALUE(Q$1),Questions!$A:$E,5,FALSE),1,0)</f>
        <v>0</v>
      </c>
      <c r="BC120" s="4">
        <f>IF(R120=VLOOKUP(VALUE(R$1),Questions!$A:$E,5,FALSE),1,0)</f>
        <v>0</v>
      </c>
      <c r="BD120" s="4">
        <f>IF(S120=VLOOKUP(VALUE(S$1),Questions!$A:$E,5,FALSE),1,0)</f>
        <v>0</v>
      </c>
      <c r="BE120" s="4">
        <f>IF(T120=VLOOKUP(VALUE(T$1),Questions!$A:$E,5,FALSE),1,0)</f>
        <v>0</v>
      </c>
      <c r="BF120" s="4">
        <f>IF(U120=VLOOKUP(VALUE(U$1),Questions!$A:$E,5,FALSE),1,0)</f>
        <v>0</v>
      </c>
      <c r="BG120" s="4">
        <f>IF(V120=VLOOKUP(VALUE(V$1),Questions!$A:$E,5,FALSE),1,0)</f>
        <v>0</v>
      </c>
      <c r="BH120" s="4">
        <f>IF(W120=VLOOKUP(VALUE(W$1),Questions!$A:$E,5,FALSE),1,0)</f>
        <v>0</v>
      </c>
      <c r="BI120" s="4">
        <f>IF(X120=VLOOKUP(VALUE(X$1),Questions!$A:$E,5,FALSE),1,0)</f>
        <v>0</v>
      </c>
      <c r="BJ120" s="4">
        <f>IF(Y120=VLOOKUP(VALUE(Y$1),Questions!$A:$E,5,FALSE),1,0)</f>
        <v>0</v>
      </c>
      <c r="BK120" s="4">
        <f>IF(Z120=VLOOKUP(VALUE(Z$1),Questions!$A:$E,5,FALSE),1,0)</f>
        <v>0</v>
      </c>
      <c r="BL120" s="4">
        <f>IF(AA120=VLOOKUP(VALUE(AA$1),Questions!$A:$E,5,FALSE),1,0)</f>
        <v>0</v>
      </c>
      <c r="BM120" s="4">
        <f>IF(AB120=VLOOKUP(VALUE(AB$1),Questions!$A:$E,5,FALSE),1,0)</f>
        <v>0</v>
      </c>
      <c r="BN120" s="4">
        <f>IF(AC120=VLOOKUP(VALUE(AC$1),Questions!$A:$E,5,FALSE),1,0)</f>
        <v>0</v>
      </c>
      <c r="BO120" s="4">
        <f>IF(AD120=VLOOKUP(VALUE(AD$1),Questions!$A:$E,5,FALSE),1,0)</f>
        <v>0</v>
      </c>
      <c r="BP120" s="4">
        <f>IF(AE120=VLOOKUP(VALUE(AE$1),Questions!$A:$E,5,FALSE),1,0)</f>
        <v>0</v>
      </c>
      <c r="BQ120" s="4">
        <f>IF(AF120=VLOOKUP(VALUE(AF$1),Questions!$A:$E,5,FALSE),1,0)</f>
        <v>0</v>
      </c>
      <c r="BR120" s="4">
        <f>IF(AG120=VLOOKUP(VALUE(AG$1),Questions!$A:$E,5,FALSE),1,0)</f>
        <v>0</v>
      </c>
      <c r="BS120" s="4">
        <f>IF(AH120=VLOOKUP(VALUE(AH$1),Questions!$A:$E,5,FALSE),1,0)</f>
        <v>0</v>
      </c>
      <c r="BT120" s="4">
        <f>IF(AI120=VLOOKUP(VALUE(AI$1),Questions!$A:$E,5,FALSE),1,0)</f>
        <v>0</v>
      </c>
      <c r="BU120" s="4">
        <f>IF(AJ120=VLOOKUP(VALUE(AJ$1),Questions!$A:$E,5,FALSE),1,0)</f>
        <v>0</v>
      </c>
      <c r="BV120" s="4">
        <f>IF(AK120=VLOOKUP(VALUE(AK$1),Questions!$A:$E,5,FALSE),1,0)</f>
        <v>0</v>
      </c>
      <c r="BW120" s="87">
        <f>IF(AL120=VLOOKUP(VALUE(AL$1),Questions!$A:$E,5,FALSE),1,0)</f>
        <v>0</v>
      </c>
      <c r="BX120" s="4">
        <f>IF(Scores[[#This Row],[Final]]&gt;=65,1,0)</f>
        <v>0</v>
      </c>
      <c r="BY120" s="4">
        <f>IF(Scores[[#This Row],[Final]]&gt;=IF(Scores[[#This Row],[IEP]],55,65),1,0)</f>
        <v>0</v>
      </c>
    </row>
    <row r="121" spans="1:77" x14ac:dyDescent="0.2">
      <c r="A121" s="6">
        <v>120</v>
      </c>
      <c r="B121" s="4">
        <v>11</v>
      </c>
      <c r="C121" s="4" t="s">
        <v>962</v>
      </c>
      <c r="D121" s="105" t="b">
        <v>0</v>
      </c>
      <c r="E121" s="105" t="b">
        <v>1</v>
      </c>
      <c r="F121" s="86">
        <f>SUM(Scores[[#This Row],[Q1]:[Q28]])</f>
        <v>23</v>
      </c>
      <c r="G121" s="4">
        <f>SUM(Scores[[#This Row],[29]]:Scores[[#This Row],[30]])</f>
        <v>9</v>
      </c>
      <c r="H121" s="4">
        <f>SUM(Scores[[#This Row],[31]:[36]])</f>
        <v>5</v>
      </c>
      <c r="I121" s="4">
        <f>Scores[[#This Row],[37]]</f>
        <v>3.5</v>
      </c>
      <c r="J121" s="87">
        <f>INDEX('Conversion Chart'!$C$3:$M$47,MATCH(SUM(Scores[[#This Row],[MC]:[IIIA]]),'Conversion Chart'!$B$3:$B$47),MATCH(Scores[[#This Row],[IIIB]],'Conversion Chart'!$C$2:$M$2))</f>
        <v>85</v>
      </c>
      <c r="K121" s="103">
        <v>4</v>
      </c>
      <c r="L121" s="103">
        <v>1</v>
      </c>
      <c r="M121" s="103">
        <v>3</v>
      </c>
      <c r="N121" s="103">
        <v>3</v>
      </c>
      <c r="O121" s="103">
        <v>1</v>
      </c>
      <c r="P121" s="103">
        <v>4</v>
      </c>
      <c r="Q121" s="103">
        <v>3</v>
      </c>
      <c r="R121" s="103">
        <v>2</v>
      </c>
      <c r="S121" s="103">
        <v>2</v>
      </c>
      <c r="T121" s="103">
        <v>1</v>
      </c>
      <c r="U121" s="103">
        <v>2</v>
      </c>
      <c r="V121" s="103">
        <v>4</v>
      </c>
      <c r="W121" s="103">
        <v>3</v>
      </c>
      <c r="X121" s="103">
        <v>2</v>
      </c>
      <c r="Y121" s="103">
        <v>3</v>
      </c>
      <c r="Z121" s="103">
        <v>1</v>
      </c>
      <c r="AA121" s="103">
        <v>1</v>
      </c>
      <c r="AB121" s="103">
        <v>4</v>
      </c>
      <c r="AC121" s="103">
        <v>3</v>
      </c>
      <c r="AD121" s="103">
        <v>4</v>
      </c>
      <c r="AE121" s="103">
        <v>2</v>
      </c>
      <c r="AF121" s="103">
        <v>2</v>
      </c>
      <c r="AG121" s="103">
        <v>3</v>
      </c>
      <c r="AH121" s="103">
        <v>3</v>
      </c>
      <c r="AI121" s="103">
        <v>2</v>
      </c>
      <c r="AJ121" s="103">
        <v>1</v>
      </c>
      <c r="AK121" s="103">
        <v>1</v>
      </c>
      <c r="AL121" s="104">
        <v>3</v>
      </c>
      <c r="AM121" s="4">
        <v>4</v>
      </c>
      <c r="AN121" s="87">
        <v>5</v>
      </c>
      <c r="AO121" s="4">
        <v>1</v>
      </c>
      <c r="AP121" s="4">
        <v>1</v>
      </c>
      <c r="AQ121" s="4">
        <v>1</v>
      </c>
      <c r="AR121" s="4">
        <v>1</v>
      </c>
      <c r="AS121" s="4">
        <v>1</v>
      </c>
      <c r="AT121" s="4">
        <v>0</v>
      </c>
      <c r="AU121" s="107">
        <v>3.5</v>
      </c>
      <c r="AV121" s="4">
        <f>IF(K121=VLOOKUP(VALUE(K$1),Questions!$A:$E,5,FALSE),1,0)</f>
        <v>1</v>
      </c>
      <c r="AW121" s="4">
        <f>IF(L121=VLOOKUP(VALUE(L$1),Questions!$A:$E,5,FALSE),1,0)</f>
        <v>0</v>
      </c>
      <c r="AX121" s="4">
        <f>IF(M121=VLOOKUP(VALUE(M$1),Questions!$A:$E,5,FALSE),1,0)</f>
        <v>1</v>
      </c>
      <c r="AY121" s="4">
        <f>IF(N121=VLOOKUP(VALUE(N$1),Questions!$A:$E,5,FALSE),1,0)</f>
        <v>1</v>
      </c>
      <c r="AZ121" s="4">
        <f>IF(O121=VLOOKUP(VALUE(O$1),Questions!$A:$E,5,FALSE),1,0)</f>
        <v>1</v>
      </c>
      <c r="BA121" s="4">
        <f>IF(P121=VLOOKUP(VALUE(P$1),Questions!$A:$E,5,FALSE),1,0)</f>
        <v>1</v>
      </c>
      <c r="BB121" s="4">
        <f>IF(Q121=VLOOKUP(VALUE(Q$1),Questions!$A:$E,5,FALSE),1,0)</f>
        <v>1</v>
      </c>
      <c r="BC121" s="4">
        <f>IF(R121=VLOOKUP(VALUE(R$1),Questions!$A:$E,5,FALSE),1,0)</f>
        <v>1</v>
      </c>
      <c r="BD121" s="4">
        <f>IF(S121=VLOOKUP(VALUE(S$1),Questions!$A:$E,5,FALSE),1,0)</f>
        <v>1</v>
      </c>
      <c r="BE121" s="4">
        <f>IF(T121=VLOOKUP(VALUE(T$1),Questions!$A:$E,5,FALSE),1,0)</f>
        <v>1</v>
      </c>
      <c r="BF121" s="4">
        <f>IF(U121=VLOOKUP(VALUE(U$1),Questions!$A:$E,5,FALSE),1,0)</f>
        <v>1</v>
      </c>
      <c r="BG121" s="4">
        <f>IF(V121=VLOOKUP(VALUE(V$1),Questions!$A:$E,5,FALSE),1,0)</f>
        <v>1</v>
      </c>
      <c r="BH121" s="4">
        <f>IF(W121=VLOOKUP(VALUE(W$1),Questions!$A:$E,5,FALSE),1,0)</f>
        <v>0</v>
      </c>
      <c r="BI121" s="4">
        <f>IF(X121=VLOOKUP(VALUE(X$1),Questions!$A:$E,5,FALSE),1,0)</f>
        <v>0</v>
      </c>
      <c r="BJ121" s="4">
        <f>IF(Y121=VLOOKUP(VALUE(Y$1),Questions!$A:$E,5,FALSE),1,0)</f>
        <v>1</v>
      </c>
      <c r="BK121" s="4">
        <f>IF(Z121=VLOOKUP(VALUE(Z$1),Questions!$A:$E,5,FALSE),1,0)</f>
        <v>1</v>
      </c>
      <c r="BL121" s="4">
        <f>IF(AA121=VLOOKUP(VALUE(AA$1),Questions!$A:$E,5,FALSE),1,0)</f>
        <v>1</v>
      </c>
      <c r="BM121" s="4">
        <f>IF(AB121=VLOOKUP(VALUE(AB$1),Questions!$A:$E,5,FALSE),1,0)</f>
        <v>1</v>
      </c>
      <c r="BN121" s="4">
        <f>IF(AC121=VLOOKUP(VALUE(AC$1),Questions!$A:$E,5,FALSE),1,0)</f>
        <v>1</v>
      </c>
      <c r="BO121" s="4">
        <f>IF(AD121=VLOOKUP(VALUE(AD$1),Questions!$A:$E,5,FALSE),1,0)</f>
        <v>1</v>
      </c>
      <c r="BP121" s="4">
        <f>IF(AE121=VLOOKUP(VALUE(AE$1),Questions!$A:$E,5,FALSE),1,0)</f>
        <v>1</v>
      </c>
      <c r="BQ121" s="4">
        <f>IF(AF121=VLOOKUP(VALUE(AF$1),Questions!$A:$E,5,FALSE),1,0)</f>
        <v>1</v>
      </c>
      <c r="BR121" s="4">
        <f>IF(AG121=VLOOKUP(VALUE(AG$1),Questions!$A:$E,5,FALSE),1,0)</f>
        <v>1</v>
      </c>
      <c r="BS121" s="4">
        <f>IF(AH121=VLOOKUP(VALUE(AH$1),Questions!$A:$E,5,FALSE),1,0)</f>
        <v>1</v>
      </c>
      <c r="BT121" s="4">
        <f>IF(AI121=VLOOKUP(VALUE(AI$1),Questions!$A:$E,5,FALSE),1,0)</f>
        <v>0</v>
      </c>
      <c r="BU121" s="4">
        <f>IF(AJ121=VLOOKUP(VALUE(AJ$1),Questions!$A:$E,5,FALSE),1,0)</f>
        <v>0</v>
      </c>
      <c r="BV121" s="4">
        <f>IF(AK121=VLOOKUP(VALUE(AK$1),Questions!$A:$E,5,FALSE),1,0)</f>
        <v>1</v>
      </c>
      <c r="BW121" s="87">
        <f>IF(AL121=VLOOKUP(VALUE(AL$1),Questions!$A:$E,5,FALSE),1,0)</f>
        <v>1</v>
      </c>
      <c r="BX121" s="4">
        <f>IF(Scores[[#This Row],[Final]]&gt;=65,1,0)</f>
        <v>1</v>
      </c>
      <c r="BY121" s="4">
        <f>IF(Scores[[#This Row],[Final]]&gt;=IF(Scores[[#This Row],[IEP]],55,65),1,0)</f>
        <v>1</v>
      </c>
    </row>
    <row r="122" spans="1:77" x14ac:dyDescent="0.2">
      <c r="A122" s="6">
        <v>121</v>
      </c>
      <c r="B122" s="4">
        <v>9</v>
      </c>
      <c r="C122" s="4" t="s">
        <v>963</v>
      </c>
      <c r="D122" s="105" t="b">
        <v>0</v>
      </c>
      <c r="E122" s="105" t="b">
        <v>0</v>
      </c>
      <c r="F122" s="86">
        <f>SUM(Scores[[#This Row],[Q1]:[Q28]])</f>
        <v>16</v>
      </c>
      <c r="G122" s="4">
        <f>SUM(Scores[[#This Row],[29]]:Scores[[#This Row],[30]])</f>
        <v>4</v>
      </c>
      <c r="H122" s="4">
        <f>SUM(Scores[[#This Row],[31]:[36]])</f>
        <v>6</v>
      </c>
      <c r="I122" s="4">
        <f>Scores[[#This Row],[37]]</f>
        <v>3</v>
      </c>
      <c r="J122" s="87">
        <f>INDEX('Conversion Chart'!$C$3:$M$47,MATCH(SUM(Scores[[#This Row],[MC]:[IIIA]]),'Conversion Chart'!$B$3:$B$47),MATCH(Scores[[#This Row],[IIIB]],'Conversion Chart'!$C$2:$M$2))</f>
        <v>72</v>
      </c>
      <c r="K122" s="103">
        <v>4</v>
      </c>
      <c r="L122" s="103">
        <v>2</v>
      </c>
      <c r="M122" s="103">
        <v>3</v>
      </c>
      <c r="N122" s="103">
        <v>3</v>
      </c>
      <c r="O122" s="103">
        <v>1</v>
      </c>
      <c r="P122" s="103">
        <v>2</v>
      </c>
      <c r="Q122" s="103">
        <v>3</v>
      </c>
      <c r="R122" s="103">
        <v>2</v>
      </c>
      <c r="S122" s="103">
        <v>2</v>
      </c>
      <c r="T122" s="103">
        <v>1</v>
      </c>
      <c r="U122" s="103">
        <v>2</v>
      </c>
      <c r="V122" s="103">
        <v>3</v>
      </c>
      <c r="W122" s="103">
        <v>2</v>
      </c>
      <c r="X122" s="103">
        <v>4</v>
      </c>
      <c r="Y122" s="103">
        <v>4</v>
      </c>
      <c r="Z122" s="103">
        <v>4</v>
      </c>
      <c r="AA122" s="103">
        <v>3</v>
      </c>
      <c r="AB122" s="103">
        <v>3</v>
      </c>
      <c r="AC122" s="103">
        <v>3</v>
      </c>
      <c r="AD122" s="103">
        <v>4</v>
      </c>
      <c r="AE122" s="103">
        <v>3</v>
      </c>
      <c r="AF122" s="103">
        <v>4</v>
      </c>
      <c r="AG122" s="103">
        <v>2</v>
      </c>
      <c r="AH122" s="103">
        <v>2</v>
      </c>
      <c r="AI122" s="103">
        <v>2</v>
      </c>
      <c r="AJ122" s="103">
        <v>4</v>
      </c>
      <c r="AK122" s="103">
        <v>1</v>
      </c>
      <c r="AL122" s="104">
        <v>4</v>
      </c>
      <c r="AM122" s="4">
        <v>3</v>
      </c>
      <c r="AN122" s="87">
        <v>1</v>
      </c>
      <c r="AO122" s="4">
        <v>1</v>
      </c>
      <c r="AP122" s="4">
        <v>1</v>
      </c>
      <c r="AQ122" s="4">
        <v>1</v>
      </c>
      <c r="AR122" s="4">
        <v>1</v>
      </c>
      <c r="AS122" s="4">
        <v>1</v>
      </c>
      <c r="AT122" s="4">
        <v>1</v>
      </c>
      <c r="AU122" s="107">
        <v>3</v>
      </c>
      <c r="AV122" s="4">
        <f>IF(K122=VLOOKUP(VALUE(K$1),Questions!$A:$E,5,FALSE),1,0)</f>
        <v>1</v>
      </c>
      <c r="AW122" s="4">
        <f>IF(L122=VLOOKUP(VALUE(L$1),Questions!$A:$E,5,FALSE),1,0)</f>
        <v>1</v>
      </c>
      <c r="AX122" s="4">
        <f>IF(M122=VLOOKUP(VALUE(M$1),Questions!$A:$E,5,FALSE),1,0)</f>
        <v>1</v>
      </c>
      <c r="AY122" s="4">
        <f>IF(N122=VLOOKUP(VALUE(N$1),Questions!$A:$E,5,FALSE),1,0)</f>
        <v>1</v>
      </c>
      <c r="AZ122" s="4">
        <f>IF(O122=VLOOKUP(VALUE(O$1),Questions!$A:$E,5,FALSE),1,0)</f>
        <v>1</v>
      </c>
      <c r="BA122" s="4">
        <f>IF(P122=VLOOKUP(VALUE(P$1),Questions!$A:$E,5,FALSE),1,0)</f>
        <v>0</v>
      </c>
      <c r="BB122" s="4">
        <f>IF(Q122=VLOOKUP(VALUE(Q$1),Questions!$A:$E,5,FALSE),1,0)</f>
        <v>1</v>
      </c>
      <c r="BC122" s="4">
        <f>IF(R122=VLOOKUP(VALUE(R$1),Questions!$A:$E,5,FALSE),1,0)</f>
        <v>1</v>
      </c>
      <c r="BD122" s="4">
        <f>IF(S122=VLOOKUP(VALUE(S$1),Questions!$A:$E,5,FALSE),1,0)</f>
        <v>1</v>
      </c>
      <c r="BE122" s="4">
        <f>IF(T122=VLOOKUP(VALUE(T$1),Questions!$A:$E,5,FALSE),1,0)</f>
        <v>1</v>
      </c>
      <c r="BF122" s="4">
        <f>IF(U122=VLOOKUP(VALUE(U$1),Questions!$A:$E,5,FALSE),1,0)</f>
        <v>1</v>
      </c>
      <c r="BG122" s="4">
        <f>IF(V122=VLOOKUP(VALUE(V$1),Questions!$A:$E,5,FALSE),1,0)</f>
        <v>0</v>
      </c>
      <c r="BH122" s="4">
        <f>IF(W122=VLOOKUP(VALUE(W$1),Questions!$A:$E,5,FALSE),1,0)</f>
        <v>1</v>
      </c>
      <c r="BI122" s="4">
        <f>IF(X122=VLOOKUP(VALUE(X$1),Questions!$A:$E,5,FALSE),1,0)</f>
        <v>1</v>
      </c>
      <c r="BJ122" s="4">
        <f>IF(Y122=VLOOKUP(VALUE(Y$1),Questions!$A:$E,5,FALSE),1,0)</f>
        <v>0</v>
      </c>
      <c r="BK122" s="4">
        <f>IF(Z122=VLOOKUP(VALUE(Z$1),Questions!$A:$E,5,FALSE),1,0)</f>
        <v>0</v>
      </c>
      <c r="BL122" s="4">
        <f>IF(AA122=VLOOKUP(VALUE(AA$1),Questions!$A:$E,5,FALSE),1,0)</f>
        <v>0</v>
      </c>
      <c r="BM122" s="4">
        <f>IF(AB122=VLOOKUP(VALUE(AB$1),Questions!$A:$E,5,FALSE),1,0)</f>
        <v>0</v>
      </c>
      <c r="BN122" s="4">
        <f>IF(AC122=VLOOKUP(VALUE(AC$1),Questions!$A:$E,5,FALSE),1,0)</f>
        <v>1</v>
      </c>
      <c r="BO122" s="4">
        <f>IF(AD122=VLOOKUP(VALUE(AD$1),Questions!$A:$E,5,FALSE),1,0)</f>
        <v>1</v>
      </c>
      <c r="BP122" s="4">
        <f>IF(AE122=VLOOKUP(VALUE(AE$1),Questions!$A:$E,5,FALSE),1,0)</f>
        <v>0</v>
      </c>
      <c r="BQ122" s="4">
        <f>IF(AF122=VLOOKUP(VALUE(AF$1),Questions!$A:$E,5,FALSE),1,0)</f>
        <v>0</v>
      </c>
      <c r="BR122" s="4">
        <f>IF(AG122=VLOOKUP(VALUE(AG$1),Questions!$A:$E,5,FALSE),1,0)</f>
        <v>0</v>
      </c>
      <c r="BS122" s="4">
        <f>IF(AH122=VLOOKUP(VALUE(AH$1),Questions!$A:$E,5,FALSE),1,0)</f>
        <v>0</v>
      </c>
      <c r="BT122" s="4">
        <f>IF(AI122=VLOOKUP(VALUE(AI$1),Questions!$A:$E,5,FALSE),1,0)</f>
        <v>0</v>
      </c>
      <c r="BU122" s="4">
        <f>IF(AJ122=VLOOKUP(VALUE(AJ$1),Questions!$A:$E,5,FALSE),1,0)</f>
        <v>1</v>
      </c>
      <c r="BV122" s="4">
        <f>IF(AK122=VLOOKUP(VALUE(AK$1),Questions!$A:$E,5,FALSE),1,0)</f>
        <v>1</v>
      </c>
      <c r="BW122" s="87">
        <f>IF(AL122=VLOOKUP(VALUE(AL$1),Questions!$A:$E,5,FALSE),1,0)</f>
        <v>0</v>
      </c>
      <c r="BX122" s="4">
        <f>IF(Scores[[#This Row],[Final]]&gt;=65,1,0)</f>
        <v>1</v>
      </c>
      <c r="BY122" s="4">
        <f>IF(Scores[[#This Row],[Final]]&gt;=IF(Scores[[#This Row],[IEP]],55,65),1,0)</f>
        <v>1</v>
      </c>
    </row>
    <row r="123" spans="1:77" x14ac:dyDescent="0.2">
      <c r="A123" s="6">
        <v>122</v>
      </c>
      <c r="B123" s="4">
        <v>11</v>
      </c>
      <c r="C123" s="4" t="s">
        <v>962</v>
      </c>
      <c r="D123" s="105" t="b">
        <v>0</v>
      </c>
      <c r="E123" s="105" t="b">
        <v>0</v>
      </c>
      <c r="F123" s="86">
        <f>SUM(Scores[[#This Row],[Q1]:[Q28]])</f>
        <v>24</v>
      </c>
      <c r="G123" s="4">
        <f>SUM(Scores[[#This Row],[29]]:Scores[[#This Row],[30]])</f>
        <v>8</v>
      </c>
      <c r="H123" s="4">
        <f>SUM(Scores[[#This Row],[31]:[36]])</f>
        <v>6</v>
      </c>
      <c r="I123" s="4">
        <f>Scores[[#This Row],[37]]</f>
        <v>4.5</v>
      </c>
      <c r="J123" s="87">
        <f>INDEX('Conversion Chart'!$C$3:$M$47,MATCH(SUM(Scores[[#This Row],[MC]:[IIIA]]),'Conversion Chart'!$B$3:$B$47),MATCH(Scores[[#This Row],[IIIB]],'Conversion Chart'!$C$2:$M$2))</f>
        <v>89</v>
      </c>
      <c r="K123" s="103">
        <v>4</v>
      </c>
      <c r="L123" s="103">
        <v>2</v>
      </c>
      <c r="M123" s="103">
        <v>3</v>
      </c>
      <c r="N123" s="103">
        <v>3</v>
      </c>
      <c r="O123" s="103">
        <v>1</v>
      </c>
      <c r="P123" s="103">
        <v>2</v>
      </c>
      <c r="Q123" s="103">
        <v>3</v>
      </c>
      <c r="R123" s="103">
        <v>2</v>
      </c>
      <c r="S123" s="103">
        <v>2</v>
      </c>
      <c r="T123" s="103">
        <v>1</v>
      </c>
      <c r="U123" s="103">
        <v>2</v>
      </c>
      <c r="V123" s="103">
        <v>4</v>
      </c>
      <c r="W123" s="103">
        <v>2</v>
      </c>
      <c r="X123" s="103">
        <v>4</v>
      </c>
      <c r="Y123" s="103">
        <v>2</v>
      </c>
      <c r="Z123" s="103">
        <v>4</v>
      </c>
      <c r="AA123" s="103">
        <v>1</v>
      </c>
      <c r="AB123" s="103">
        <v>4</v>
      </c>
      <c r="AC123" s="103">
        <v>3</v>
      </c>
      <c r="AD123" s="103">
        <v>4</v>
      </c>
      <c r="AE123" s="103">
        <v>2</v>
      </c>
      <c r="AF123" s="103">
        <v>2</v>
      </c>
      <c r="AG123" s="103">
        <v>3</v>
      </c>
      <c r="AH123" s="103">
        <v>3</v>
      </c>
      <c r="AI123" s="103">
        <v>4</v>
      </c>
      <c r="AJ123" s="103">
        <v>4</v>
      </c>
      <c r="AK123" s="103">
        <v>1</v>
      </c>
      <c r="AL123" s="104">
        <v>3</v>
      </c>
      <c r="AM123" s="4">
        <v>4</v>
      </c>
      <c r="AN123" s="87">
        <v>4</v>
      </c>
      <c r="AO123" s="4">
        <v>1</v>
      </c>
      <c r="AP123" s="4">
        <v>1</v>
      </c>
      <c r="AQ123" s="4">
        <v>1</v>
      </c>
      <c r="AR123" s="4">
        <v>1</v>
      </c>
      <c r="AS123" s="4">
        <v>1</v>
      </c>
      <c r="AT123" s="4">
        <v>1</v>
      </c>
      <c r="AU123" s="107">
        <v>4.5</v>
      </c>
      <c r="AV123" s="4">
        <f>IF(K123=VLOOKUP(VALUE(K$1),Questions!$A:$E,5,FALSE),1,0)</f>
        <v>1</v>
      </c>
      <c r="AW123" s="4">
        <f>IF(L123=VLOOKUP(VALUE(L$1),Questions!$A:$E,5,FALSE),1,0)</f>
        <v>1</v>
      </c>
      <c r="AX123" s="4">
        <f>IF(M123=VLOOKUP(VALUE(M$1),Questions!$A:$E,5,FALSE),1,0)</f>
        <v>1</v>
      </c>
      <c r="AY123" s="4">
        <f>IF(N123=VLOOKUP(VALUE(N$1),Questions!$A:$E,5,FALSE),1,0)</f>
        <v>1</v>
      </c>
      <c r="AZ123" s="4">
        <f>IF(O123=VLOOKUP(VALUE(O$1),Questions!$A:$E,5,FALSE),1,0)</f>
        <v>1</v>
      </c>
      <c r="BA123" s="4">
        <f>IF(P123=VLOOKUP(VALUE(P$1),Questions!$A:$E,5,FALSE),1,0)</f>
        <v>0</v>
      </c>
      <c r="BB123" s="4">
        <f>IF(Q123=VLOOKUP(VALUE(Q$1),Questions!$A:$E,5,FALSE),1,0)</f>
        <v>1</v>
      </c>
      <c r="BC123" s="4">
        <f>IF(R123=VLOOKUP(VALUE(R$1),Questions!$A:$E,5,FALSE),1,0)</f>
        <v>1</v>
      </c>
      <c r="BD123" s="4">
        <f>IF(S123=VLOOKUP(VALUE(S$1),Questions!$A:$E,5,FALSE),1,0)</f>
        <v>1</v>
      </c>
      <c r="BE123" s="4">
        <f>IF(T123=VLOOKUP(VALUE(T$1),Questions!$A:$E,5,FALSE),1,0)</f>
        <v>1</v>
      </c>
      <c r="BF123" s="4">
        <f>IF(U123=VLOOKUP(VALUE(U$1),Questions!$A:$E,5,FALSE),1,0)</f>
        <v>1</v>
      </c>
      <c r="BG123" s="4">
        <f>IF(V123=VLOOKUP(VALUE(V$1),Questions!$A:$E,5,FALSE),1,0)</f>
        <v>1</v>
      </c>
      <c r="BH123" s="4">
        <f>IF(W123=VLOOKUP(VALUE(W$1),Questions!$A:$E,5,FALSE),1,0)</f>
        <v>1</v>
      </c>
      <c r="BI123" s="4">
        <f>IF(X123=VLOOKUP(VALUE(X$1),Questions!$A:$E,5,FALSE),1,0)</f>
        <v>1</v>
      </c>
      <c r="BJ123" s="4">
        <f>IF(Y123=VLOOKUP(VALUE(Y$1),Questions!$A:$E,5,FALSE),1,0)</f>
        <v>0</v>
      </c>
      <c r="BK123" s="4">
        <f>IF(Z123=VLOOKUP(VALUE(Z$1),Questions!$A:$E,5,FALSE),1,0)</f>
        <v>0</v>
      </c>
      <c r="BL123" s="4">
        <f>IF(AA123=VLOOKUP(VALUE(AA$1),Questions!$A:$E,5,FALSE),1,0)</f>
        <v>1</v>
      </c>
      <c r="BM123" s="4">
        <f>IF(AB123=VLOOKUP(VALUE(AB$1),Questions!$A:$E,5,FALSE),1,0)</f>
        <v>1</v>
      </c>
      <c r="BN123" s="4">
        <f>IF(AC123=VLOOKUP(VALUE(AC$1),Questions!$A:$E,5,FALSE),1,0)</f>
        <v>1</v>
      </c>
      <c r="BO123" s="4">
        <f>IF(AD123=VLOOKUP(VALUE(AD$1),Questions!$A:$E,5,FALSE),1,0)</f>
        <v>1</v>
      </c>
      <c r="BP123" s="4">
        <f>IF(AE123=VLOOKUP(VALUE(AE$1),Questions!$A:$E,5,FALSE),1,0)</f>
        <v>1</v>
      </c>
      <c r="BQ123" s="4">
        <f>IF(AF123=VLOOKUP(VALUE(AF$1),Questions!$A:$E,5,FALSE),1,0)</f>
        <v>1</v>
      </c>
      <c r="BR123" s="4">
        <f>IF(AG123=VLOOKUP(VALUE(AG$1),Questions!$A:$E,5,FALSE),1,0)</f>
        <v>1</v>
      </c>
      <c r="BS123" s="4">
        <f>IF(AH123=VLOOKUP(VALUE(AH$1),Questions!$A:$E,5,FALSE),1,0)</f>
        <v>1</v>
      </c>
      <c r="BT123" s="4">
        <f>IF(AI123=VLOOKUP(VALUE(AI$1),Questions!$A:$E,5,FALSE),1,0)</f>
        <v>0</v>
      </c>
      <c r="BU123" s="4">
        <f>IF(AJ123=VLOOKUP(VALUE(AJ$1),Questions!$A:$E,5,FALSE),1,0)</f>
        <v>1</v>
      </c>
      <c r="BV123" s="4">
        <f>IF(AK123=VLOOKUP(VALUE(AK$1),Questions!$A:$E,5,FALSE),1,0)</f>
        <v>1</v>
      </c>
      <c r="BW123" s="87">
        <f>IF(AL123=VLOOKUP(VALUE(AL$1),Questions!$A:$E,5,FALSE),1,0)</f>
        <v>1</v>
      </c>
      <c r="BX123" s="4">
        <f>IF(Scores[[#This Row],[Final]]&gt;=65,1,0)</f>
        <v>1</v>
      </c>
      <c r="BY123" s="4">
        <f>IF(Scores[[#This Row],[Final]]&gt;=IF(Scores[[#This Row],[IEP]],55,65),1,0)</f>
        <v>1</v>
      </c>
    </row>
    <row r="124" spans="1:77" x14ac:dyDescent="0.2">
      <c r="A124" s="6">
        <v>123</v>
      </c>
      <c r="B124" s="4">
        <v>11</v>
      </c>
      <c r="C124" s="4" t="s">
        <v>962</v>
      </c>
      <c r="D124" s="105" t="b">
        <v>0</v>
      </c>
      <c r="E124" s="105" t="b">
        <v>1</v>
      </c>
      <c r="F124" s="86">
        <f>SUM(Scores[[#This Row],[Q1]:[Q28]])</f>
        <v>20</v>
      </c>
      <c r="G124" s="4">
        <f>SUM(Scores[[#This Row],[29]]:Scores[[#This Row],[30]])</f>
        <v>4</v>
      </c>
      <c r="H124" s="4">
        <f>SUM(Scores[[#This Row],[31]:[36]])</f>
        <v>6</v>
      </c>
      <c r="I124" s="4">
        <f>Scores[[#This Row],[37]]</f>
        <v>1</v>
      </c>
      <c r="J124" s="87">
        <f>INDEX('Conversion Chart'!$C$3:$M$47,MATCH(SUM(Scores[[#This Row],[MC]:[IIIA]]),'Conversion Chart'!$B$3:$B$47),MATCH(Scores[[#This Row],[IIIB]],'Conversion Chart'!$C$2:$M$2))</f>
        <v>70</v>
      </c>
      <c r="K124" s="103">
        <v>4</v>
      </c>
      <c r="L124" s="103">
        <v>2</v>
      </c>
      <c r="M124" s="103">
        <v>3</v>
      </c>
      <c r="N124" s="103">
        <v>3</v>
      </c>
      <c r="O124" s="103">
        <v>1</v>
      </c>
      <c r="P124" s="103">
        <v>4</v>
      </c>
      <c r="Q124" s="103">
        <v>3</v>
      </c>
      <c r="R124" s="103">
        <v>3</v>
      </c>
      <c r="S124" s="103">
        <v>2</v>
      </c>
      <c r="T124" s="103">
        <v>1</v>
      </c>
      <c r="U124" s="103">
        <v>2</v>
      </c>
      <c r="V124" s="103">
        <v>3</v>
      </c>
      <c r="W124" s="103">
        <v>2</v>
      </c>
      <c r="X124" s="103">
        <v>3</v>
      </c>
      <c r="Y124" s="103">
        <v>4</v>
      </c>
      <c r="Z124" s="103">
        <v>1</v>
      </c>
      <c r="AA124" s="103">
        <v>1</v>
      </c>
      <c r="AB124" s="103">
        <v>2</v>
      </c>
      <c r="AC124" s="103">
        <v>3</v>
      </c>
      <c r="AD124" s="103">
        <v>2</v>
      </c>
      <c r="AE124" s="103">
        <v>2</v>
      </c>
      <c r="AF124" s="103">
        <v>1</v>
      </c>
      <c r="AG124" s="103">
        <v>3</v>
      </c>
      <c r="AH124" s="103">
        <v>3</v>
      </c>
      <c r="AI124" s="103">
        <v>1</v>
      </c>
      <c r="AJ124" s="103">
        <v>4</v>
      </c>
      <c r="AK124" s="103">
        <v>4</v>
      </c>
      <c r="AL124" s="104">
        <v>3</v>
      </c>
      <c r="AM124" s="4">
        <v>2</v>
      </c>
      <c r="AN124" s="87">
        <v>2</v>
      </c>
      <c r="AO124" s="4">
        <v>1</v>
      </c>
      <c r="AP124" s="4">
        <v>1</v>
      </c>
      <c r="AQ124" s="4">
        <v>1</v>
      </c>
      <c r="AR124" s="4">
        <v>1</v>
      </c>
      <c r="AS124" s="4">
        <v>1</v>
      </c>
      <c r="AT124" s="4">
        <v>1</v>
      </c>
      <c r="AU124" s="107">
        <v>1</v>
      </c>
      <c r="AV124" s="4">
        <f>IF(K124=VLOOKUP(VALUE(K$1),Questions!$A:$E,5,FALSE),1,0)</f>
        <v>1</v>
      </c>
      <c r="AW124" s="4">
        <f>IF(L124=VLOOKUP(VALUE(L$1),Questions!$A:$E,5,FALSE),1,0)</f>
        <v>1</v>
      </c>
      <c r="AX124" s="4">
        <f>IF(M124=VLOOKUP(VALUE(M$1),Questions!$A:$E,5,FALSE),1,0)</f>
        <v>1</v>
      </c>
      <c r="AY124" s="4">
        <f>IF(N124=VLOOKUP(VALUE(N$1),Questions!$A:$E,5,FALSE),1,0)</f>
        <v>1</v>
      </c>
      <c r="AZ124" s="4">
        <f>IF(O124=VLOOKUP(VALUE(O$1),Questions!$A:$E,5,FALSE),1,0)</f>
        <v>1</v>
      </c>
      <c r="BA124" s="4">
        <f>IF(P124=VLOOKUP(VALUE(P$1),Questions!$A:$E,5,FALSE),1,0)</f>
        <v>1</v>
      </c>
      <c r="BB124" s="4">
        <f>IF(Q124=VLOOKUP(VALUE(Q$1),Questions!$A:$E,5,FALSE),1,0)</f>
        <v>1</v>
      </c>
      <c r="BC124" s="4">
        <f>IF(R124=VLOOKUP(VALUE(R$1),Questions!$A:$E,5,FALSE),1,0)</f>
        <v>0</v>
      </c>
      <c r="BD124" s="4">
        <f>IF(S124=VLOOKUP(VALUE(S$1),Questions!$A:$E,5,FALSE),1,0)</f>
        <v>1</v>
      </c>
      <c r="BE124" s="4">
        <f>IF(T124=VLOOKUP(VALUE(T$1),Questions!$A:$E,5,FALSE),1,0)</f>
        <v>1</v>
      </c>
      <c r="BF124" s="4">
        <f>IF(U124=VLOOKUP(VALUE(U$1),Questions!$A:$E,5,FALSE),1,0)</f>
        <v>1</v>
      </c>
      <c r="BG124" s="4">
        <f>IF(V124=VLOOKUP(VALUE(V$1),Questions!$A:$E,5,FALSE),1,0)</f>
        <v>0</v>
      </c>
      <c r="BH124" s="4">
        <f>IF(W124=VLOOKUP(VALUE(W$1),Questions!$A:$E,5,FALSE),1,0)</f>
        <v>1</v>
      </c>
      <c r="BI124" s="4">
        <f>IF(X124=VLOOKUP(VALUE(X$1),Questions!$A:$E,5,FALSE),1,0)</f>
        <v>0</v>
      </c>
      <c r="BJ124" s="4">
        <f>IF(Y124=VLOOKUP(VALUE(Y$1),Questions!$A:$E,5,FALSE),1,0)</f>
        <v>0</v>
      </c>
      <c r="BK124" s="4">
        <f>IF(Z124=VLOOKUP(VALUE(Z$1),Questions!$A:$E,5,FALSE),1,0)</f>
        <v>1</v>
      </c>
      <c r="BL124" s="4">
        <f>IF(AA124=VLOOKUP(VALUE(AA$1),Questions!$A:$E,5,FALSE),1,0)</f>
        <v>1</v>
      </c>
      <c r="BM124" s="4">
        <f>IF(AB124=VLOOKUP(VALUE(AB$1),Questions!$A:$E,5,FALSE),1,0)</f>
        <v>0</v>
      </c>
      <c r="BN124" s="4">
        <f>IF(AC124=VLOOKUP(VALUE(AC$1),Questions!$A:$E,5,FALSE),1,0)</f>
        <v>1</v>
      </c>
      <c r="BO124" s="4">
        <f>IF(AD124=VLOOKUP(VALUE(AD$1),Questions!$A:$E,5,FALSE),1,0)</f>
        <v>0</v>
      </c>
      <c r="BP124" s="4">
        <f>IF(AE124=VLOOKUP(VALUE(AE$1),Questions!$A:$E,5,FALSE),1,0)</f>
        <v>1</v>
      </c>
      <c r="BQ124" s="4">
        <f>IF(AF124=VLOOKUP(VALUE(AF$1),Questions!$A:$E,5,FALSE),1,0)</f>
        <v>0</v>
      </c>
      <c r="BR124" s="4">
        <f>IF(AG124=VLOOKUP(VALUE(AG$1),Questions!$A:$E,5,FALSE),1,0)</f>
        <v>1</v>
      </c>
      <c r="BS124" s="4">
        <f>IF(AH124=VLOOKUP(VALUE(AH$1),Questions!$A:$E,5,FALSE),1,0)</f>
        <v>1</v>
      </c>
      <c r="BT124" s="4">
        <f>IF(AI124=VLOOKUP(VALUE(AI$1),Questions!$A:$E,5,FALSE),1,0)</f>
        <v>1</v>
      </c>
      <c r="BU124" s="4">
        <f>IF(AJ124=VLOOKUP(VALUE(AJ$1),Questions!$A:$E,5,FALSE),1,0)</f>
        <v>1</v>
      </c>
      <c r="BV124" s="4">
        <f>IF(AK124=VLOOKUP(VALUE(AK$1),Questions!$A:$E,5,FALSE),1,0)</f>
        <v>0</v>
      </c>
      <c r="BW124" s="87">
        <f>IF(AL124=VLOOKUP(VALUE(AL$1),Questions!$A:$E,5,FALSE),1,0)</f>
        <v>1</v>
      </c>
      <c r="BX124" s="4">
        <f>IF(Scores[[#This Row],[Final]]&gt;=65,1,0)</f>
        <v>1</v>
      </c>
      <c r="BY124" s="4">
        <f>IF(Scores[[#This Row],[Final]]&gt;=IF(Scores[[#This Row],[IEP]],55,65),1,0)</f>
        <v>1</v>
      </c>
    </row>
    <row r="125" spans="1:77" x14ac:dyDescent="0.2">
      <c r="A125" s="6">
        <v>124</v>
      </c>
      <c r="B125" s="4">
        <v>9</v>
      </c>
      <c r="C125" s="4" t="s">
        <v>964</v>
      </c>
      <c r="D125" s="105" t="b">
        <v>0</v>
      </c>
      <c r="E125" s="105" t="b">
        <v>0</v>
      </c>
      <c r="F125" s="86">
        <f>SUM(Scores[[#This Row],[Q1]:[Q28]])</f>
        <v>21</v>
      </c>
      <c r="G125" s="4">
        <f>SUM(Scores[[#This Row],[29]]:Scores[[#This Row],[30]])</f>
        <v>1</v>
      </c>
      <c r="H125" s="4">
        <f>SUM(Scores[[#This Row],[31]:[36]])</f>
        <v>5</v>
      </c>
      <c r="I125" s="4">
        <f>Scores[[#This Row],[37]]</f>
        <v>1.5</v>
      </c>
      <c r="J125" s="87">
        <f>INDEX('Conversion Chart'!$C$3:$M$47,MATCH(SUM(Scores[[#This Row],[MC]:[IIIA]]),'Conversion Chart'!$B$3:$B$47),MATCH(Scores[[#This Row],[IIIB]],'Conversion Chart'!$C$2:$M$2))</f>
        <v>68</v>
      </c>
      <c r="K125" s="103">
        <v>4</v>
      </c>
      <c r="L125" s="103">
        <v>2</v>
      </c>
      <c r="M125" s="103">
        <v>3</v>
      </c>
      <c r="N125" s="103">
        <v>3</v>
      </c>
      <c r="O125" s="103">
        <v>1</v>
      </c>
      <c r="P125" s="103">
        <v>4</v>
      </c>
      <c r="Q125" s="103">
        <v>4</v>
      </c>
      <c r="R125" s="103">
        <v>2</v>
      </c>
      <c r="S125" s="103">
        <v>2</v>
      </c>
      <c r="T125" s="103">
        <v>1</v>
      </c>
      <c r="U125" s="103">
        <v>2</v>
      </c>
      <c r="V125" s="103">
        <v>4</v>
      </c>
      <c r="W125" s="103">
        <v>2</v>
      </c>
      <c r="X125" s="103">
        <v>3</v>
      </c>
      <c r="Y125" s="103">
        <v>3</v>
      </c>
      <c r="Z125" s="103">
        <v>1</v>
      </c>
      <c r="AA125" s="103">
        <v>1</v>
      </c>
      <c r="AB125" s="103">
        <v>4</v>
      </c>
      <c r="AC125" s="103">
        <v>2</v>
      </c>
      <c r="AD125" s="103">
        <v>1</v>
      </c>
      <c r="AE125" s="103">
        <v>2</v>
      </c>
      <c r="AF125" s="103">
        <v>2</v>
      </c>
      <c r="AG125" s="103">
        <v>3</v>
      </c>
      <c r="AH125" s="103">
        <v>2</v>
      </c>
      <c r="AI125" s="103">
        <v>4</v>
      </c>
      <c r="AJ125" s="103">
        <v>4</v>
      </c>
      <c r="AK125" s="103">
        <v>2</v>
      </c>
      <c r="AL125" s="104">
        <v>3</v>
      </c>
      <c r="AM125" s="4">
        <v>1</v>
      </c>
      <c r="AN125" s="87">
        <v>0</v>
      </c>
      <c r="AO125" s="4">
        <v>1</v>
      </c>
      <c r="AP125" s="4">
        <v>1</v>
      </c>
      <c r="AQ125" s="4">
        <v>1</v>
      </c>
      <c r="AR125" s="4">
        <v>1</v>
      </c>
      <c r="AS125" s="4">
        <v>1</v>
      </c>
      <c r="AT125" s="4">
        <v>0</v>
      </c>
      <c r="AU125" s="107">
        <v>1.5</v>
      </c>
      <c r="AV125" s="4">
        <f>IF(K125=VLOOKUP(VALUE(K$1),Questions!$A:$E,5,FALSE),1,0)</f>
        <v>1</v>
      </c>
      <c r="AW125" s="4">
        <f>IF(L125=VLOOKUP(VALUE(L$1),Questions!$A:$E,5,FALSE),1,0)</f>
        <v>1</v>
      </c>
      <c r="AX125" s="4">
        <f>IF(M125=VLOOKUP(VALUE(M$1),Questions!$A:$E,5,FALSE),1,0)</f>
        <v>1</v>
      </c>
      <c r="AY125" s="4">
        <f>IF(N125=VLOOKUP(VALUE(N$1),Questions!$A:$E,5,FALSE),1,0)</f>
        <v>1</v>
      </c>
      <c r="AZ125" s="4">
        <f>IF(O125=VLOOKUP(VALUE(O$1),Questions!$A:$E,5,FALSE),1,0)</f>
        <v>1</v>
      </c>
      <c r="BA125" s="4">
        <f>IF(P125=VLOOKUP(VALUE(P$1),Questions!$A:$E,5,FALSE),1,0)</f>
        <v>1</v>
      </c>
      <c r="BB125" s="4">
        <f>IF(Q125=VLOOKUP(VALUE(Q$1),Questions!$A:$E,5,FALSE),1,0)</f>
        <v>0</v>
      </c>
      <c r="BC125" s="4">
        <f>IF(R125=VLOOKUP(VALUE(R$1),Questions!$A:$E,5,FALSE),1,0)</f>
        <v>1</v>
      </c>
      <c r="BD125" s="4">
        <f>IF(S125=VLOOKUP(VALUE(S$1),Questions!$A:$E,5,FALSE),1,0)</f>
        <v>1</v>
      </c>
      <c r="BE125" s="4">
        <f>IF(T125=VLOOKUP(VALUE(T$1),Questions!$A:$E,5,FALSE),1,0)</f>
        <v>1</v>
      </c>
      <c r="BF125" s="4">
        <f>IF(U125=VLOOKUP(VALUE(U$1),Questions!$A:$E,5,FALSE),1,0)</f>
        <v>1</v>
      </c>
      <c r="BG125" s="4">
        <f>IF(V125=VLOOKUP(VALUE(V$1),Questions!$A:$E,5,FALSE),1,0)</f>
        <v>1</v>
      </c>
      <c r="BH125" s="4">
        <f>IF(W125=VLOOKUP(VALUE(W$1),Questions!$A:$E,5,FALSE),1,0)</f>
        <v>1</v>
      </c>
      <c r="BI125" s="4">
        <f>IF(X125=VLOOKUP(VALUE(X$1),Questions!$A:$E,5,FALSE),1,0)</f>
        <v>0</v>
      </c>
      <c r="BJ125" s="4">
        <f>IF(Y125=VLOOKUP(VALUE(Y$1),Questions!$A:$E,5,FALSE),1,0)</f>
        <v>1</v>
      </c>
      <c r="BK125" s="4">
        <f>IF(Z125=VLOOKUP(VALUE(Z$1),Questions!$A:$E,5,FALSE),1,0)</f>
        <v>1</v>
      </c>
      <c r="BL125" s="4">
        <f>IF(AA125=VLOOKUP(VALUE(AA$1),Questions!$A:$E,5,FALSE),1,0)</f>
        <v>1</v>
      </c>
      <c r="BM125" s="4">
        <f>IF(AB125=VLOOKUP(VALUE(AB$1),Questions!$A:$E,5,FALSE),1,0)</f>
        <v>1</v>
      </c>
      <c r="BN125" s="4">
        <f>IF(AC125=VLOOKUP(VALUE(AC$1),Questions!$A:$E,5,FALSE),1,0)</f>
        <v>0</v>
      </c>
      <c r="BO125" s="4">
        <f>IF(AD125=VLOOKUP(VALUE(AD$1),Questions!$A:$E,5,FALSE),1,0)</f>
        <v>0</v>
      </c>
      <c r="BP125" s="4">
        <f>IF(AE125=VLOOKUP(VALUE(AE$1),Questions!$A:$E,5,FALSE),1,0)</f>
        <v>1</v>
      </c>
      <c r="BQ125" s="4">
        <f>IF(AF125=VLOOKUP(VALUE(AF$1),Questions!$A:$E,5,FALSE),1,0)</f>
        <v>1</v>
      </c>
      <c r="BR125" s="4">
        <f>IF(AG125=VLOOKUP(VALUE(AG$1),Questions!$A:$E,5,FALSE),1,0)</f>
        <v>1</v>
      </c>
      <c r="BS125" s="4">
        <f>IF(AH125=VLOOKUP(VALUE(AH$1),Questions!$A:$E,5,FALSE),1,0)</f>
        <v>0</v>
      </c>
      <c r="BT125" s="4">
        <f>IF(AI125=VLOOKUP(VALUE(AI$1),Questions!$A:$E,5,FALSE),1,0)</f>
        <v>0</v>
      </c>
      <c r="BU125" s="4">
        <f>IF(AJ125=VLOOKUP(VALUE(AJ$1),Questions!$A:$E,5,FALSE),1,0)</f>
        <v>1</v>
      </c>
      <c r="BV125" s="4">
        <f>IF(AK125=VLOOKUP(VALUE(AK$1),Questions!$A:$E,5,FALSE),1,0)</f>
        <v>0</v>
      </c>
      <c r="BW125" s="87">
        <f>IF(AL125=VLOOKUP(VALUE(AL$1),Questions!$A:$E,5,FALSE),1,0)</f>
        <v>1</v>
      </c>
      <c r="BX125" s="4">
        <f>IF(Scores[[#This Row],[Final]]&gt;=65,1,0)</f>
        <v>1</v>
      </c>
      <c r="BY125" s="4">
        <f>IF(Scores[[#This Row],[Final]]&gt;=IF(Scores[[#This Row],[IEP]],55,65),1,0)</f>
        <v>1</v>
      </c>
    </row>
    <row r="126" spans="1:77" x14ac:dyDescent="0.2">
      <c r="A126" s="6">
        <v>125</v>
      </c>
      <c r="B126" s="4">
        <v>9</v>
      </c>
      <c r="C126" s="4" t="s">
        <v>964</v>
      </c>
      <c r="D126" s="105" t="b">
        <v>0</v>
      </c>
      <c r="E126" s="105" t="b">
        <v>0</v>
      </c>
      <c r="F126" s="86">
        <f>SUM(Scores[[#This Row],[Q1]:[Q28]])</f>
        <v>19</v>
      </c>
      <c r="G126" s="4">
        <f>SUM(Scores[[#This Row],[29]]:Scores[[#This Row],[30]])</f>
        <v>1</v>
      </c>
      <c r="H126" s="4">
        <f>SUM(Scores[[#This Row],[31]:[36]])</f>
        <v>0</v>
      </c>
      <c r="I126" s="4">
        <f>Scores[[#This Row],[37]]</f>
        <v>0</v>
      </c>
      <c r="J126" s="87">
        <f>INDEX('Conversion Chart'!$C$3:$M$47,MATCH(SUM(Scores[[#This Row],[MC]:[IIIA]]),'Conversion Chart'!$B$3:$B$47),MATCH(Scores[[#This Row],[IIIB]],'Conversion Chart'!$C$2:$M$2))</f>
        <v>52</v>
      </c>
      <c r="K126" s="103">
        <v>4</v>
      </c>
      <c r="L126" s="103">
        <v>2</v>
      </c>
      <c r="M126" s="103">
        <v>2</v>
      </c>
      <c r="N126" s="103">
        <v>4</v>
      </c>
      <c r="O126" s="103">
        <v>1</v>
      </c>
      <c r="P126" s="103">
        <v>4</v>
      </c>
      <c r="Q126" s="103">
        <v>3</v>
      </c>
      <c r="R126" s="103">
        <v>2</v>
      </c>
      <c r="S126" s="103">
        <v>1</v>
      </c>
      <c r="T126" s="103">
        <v>2</v>
      </c>
      <c r="U126" s="103">
        <v>1</v>
      </c>
      <c r="V126" s="103">
        <v>3</v>
      </c>
      <c r="W126" s="103">
        <v>1</v>
      </c>
      <c r="X126" s="103">
        <v>3</v>
      </c>
      <c r="Y126" s="103">
        <v>3</v>
      </c>
      <c r="Z126" s="103">
        <v>1</v>
      </c>
      <c r="AA126" s="103">
        <v>1</v>
      </c>
      <c r="AB126" s="103">
        <v>4</v>
      </c>
      <c r="AC126" s="103">
        <v>3</v>
      </c>
      <c r="AD126" s="103">
        <v>4</v>
      </c>
      <c r="AE126" s="103">
        <v>2</v>
      </c>
      <c r="AF126" s="103">
        <v>2</v>
      </c>
      <c r="AG126" s="103">
        <v>3</v>
      </c>
      <c r="AH126" s="103">
        <v>3</v>
      </c>
      <c r="AI126" s="103">
        <v>1</v>
      </c>
      <c r="AJ126" s="103">
        <v>4</v>
      </c>
      <c r="AK126" s="103">
        <v>2</v>
      </c>
      <c r="AL126" s="104">
        <v>3</v>
      </c>
      <c r="AM126" s="4">
        <v>1</v>
      </c>
      <c r="AN126" s="87">
        <v>0</v>
      </c>
      <c r="AO126" s="4">
        <v>0</v>
      </c>
      <c r="AP126" s="4">
        <v>0</v>
      </c>
      <c r="AQ126" s="4">
        <v>0</v>
      </c>
      <c r="AR126" s="4">
        <v>0</v>
      </c>
      <c r="AS126" s="4">
        <v>0</v>
      </c>
      <c r="AT126" s="4">
        <v>0</v>
      </c>
      <c r="AU126" s="107">
        <v>0</v>
      </c>
      <c r="AV126" s="4">
        <f>IF(K126=VLOOKUP(VALUE(K$1),Questions!$A:$E,5,FALSE),1,0)</f>
        <v>1</v>
      </c>
      <c r="AW126" s="4">
        <f>IF(L126=VLOOKUP(VALUE(L$1),Questions!$A:$E,5,FALSE),1,0)</f>
        <v>1</v>
      </c>
      <c r="AX126" s="4">
        <f>IF(M126=VLOOKUP(VALUE(M$1),Questions!$A:$E,5,FALSE),1,0)</f>
        <v>0</v>
      </c>
      <c r="AY126" s="4">
        <f>IF(N126=VLOOKUP(VALUE(N$1),Questions!$A:$E,5,FALSE),1,0)</f>
        <v>0</v>
      </c>
      <c r="AZ126" s="4">
        <f>IF(O126=VLOOKUP(VALUE(O$1),Questions!$A:$E,5,FALSE),1,0)</f>
        <v>1</v>
      </c>
      <c r="BA126" s="4">
        <f>IF(P126=VLOOKUP(VALUE(P$1),Questions!$A:$E,5,FALSE),1,0)</f>
        <v>1</v>
      </c>
      <c r="BB126" s="4">
        <f>IF(Q126=VLOOKUP(VALUE(Q$1),Questions!$A:$E,5,FALSE),1,0)</f>
        <v>1</v>
      </c>
      <c r="BC126" s="4">
        <f>IF(R126=VLOOKUP(VALUE(R$1),Questions!$A:$E,5,FALSE),1,0)</f>
        <v>1</v>
      </c>
      <c r="BD126" s="4">
        <f>IF(S126=VLOOKUP(VALUE(S$1),Questions!$A:$E,5,FALSE),1,0)</f>
        <v>0</v>
      </c>
      <c r="BE126" s="4">
        <f>IF(T126=VLOOKUP(VALUE(T$1),Questions!$A:$E,5,FALSE),1,0)</f>
        <v>0</v>
      </c>
      <c r="BF126" s="4">
        <f>IF(U126=VLOOKUP(VALUE(U$1),Questions!$A:$E,5,FALSE),1,0)</f>
        <v>0</v>
      </c>
      <c r="BG126" s="4">
        <f>IF(V126=VLOOKUP(VALUE(V$1),Questions!$A:$E,5,FALSE),1,0)</f>
        <v>0</v>
      </c>
      <c r="BH126" s="4">
        <f>IF(W126=VLOOKUP(VALUE(W$1),Questions!$A:$E,5,FALSE),1,0)</f>
        <v>0</v>
      </c>
      <c r="BI126" s="4">
        <f>IF(X126=VLOOKUP(VALUE(X$1),Questions!$A:$E,5,FALSE),1,0)</f>
        <v>0</v>
      </c>
      <c r="BJ126" s="4">
        <f>IF(Y126=VLOOKUP(VALUE(Y$1),Questions!$A:$E,5,FALSE),1,0)</f>
        <v>1</v>
      </c>
      <c r="BK126" s="4">
        <f>IF(Z126=VLOOKUP(VALUE(Z$1),Questions!$A:$E,5,FALSE),1,0)</f>
        <v>1</v>
      </c>
      <c r="BL126" s="4">
        <f>IF(AA126=VLOOKUP(VALUE(AA$1),Questions!$A:$E,5,FALSE),1,0)</f>
        <v>1</v>
      </c>
      <c r="BM126" s="4">
        <f>IF(AB126=VLOOKUP(VALUE(AB$1),Questions!$A:$E,5,FALSE),1,0)</f>
        <v>1</v>
      </c>
      <c r="BN126" s="4">
        <f>IF(AC126=VLOOKUP(VALUE(AC$1),Questions!$A:$E,5,FALSE),1,0)</f>
        <v>1</v>
      </c>
      <c r="BO126" s="4">
        <f>IF(AD126=VLOOKUP(VALUE(AD$1),Questions!$A:$E,5,FALSE),1,0)</f>
        <v>1</v>
      </c>
      <c r="BP126" s="4">
        <f>IF(AE126=VLOOKUP(VALUE(AE$1),Questions!$A:$E,5,FALSE),1,0)</f>
        <v>1</v>
      </c>
      <c r="BQ126" s="4">
        <f>IF(AF126=VLOOKUP(VALUE(AF$1),Questions!$A:$E,5,FALSE),1,0)</f>
        <v>1</v>
      </c>
      <c r="BR126" s="4">
        <f>IF(AG126=VLOOKUP(VALUE(AG$1),Questions!$A:$E,5,FALSE),1,0)</f>
        <v>1</v>
      </c>
      <c r="BS126" s="4">
        <f>IF(AH126=VLOOKUP(VALUE(AH$1),Questions!$A:$E,5,FALSE),1,0)</f>
        <v>1</v>
      </c>
      <c r="BT126" s="4">
        <f>IF(AI126=VLOOKUP(VALUE(AI$1),Questions!$A:$E,5,FALSE),1,0)</f>
        <v>1</v>
      </c>
      <c r="BU126" s="4">
        <f>IF(AJ126=VLOOKUP(VALUE(AJ$1),Questions!$A:$E,5,FALSE),1,0)</f>
        <v>1</v>
      </c>
      <c r="BV126" s="4">
        <f>IF(AK126=VLOOKUP(VALUE(AK$1),Questions!$A:$E,5,FALSE),1,0)</f>
        <v>0</v>
      </c>
      <c r="BW126" s="87">
        <f>IF(AL126=VLOOKUP(VALUE(AL$1),Questions!$A:$E,5,FALSE),1,0)</f>
        <v>1</v>
      </c>
      <c r="BX126" s="4">
        <f>IF(Scores[[#This Row],[Final]]&gt;=65,1,0)</f>
        <v>0</v>
      </c>
      <c r="BY126" s="4">
        <f>IF(Scores[[#This Row],[Final]]&gt;=IF(Scores[[#This Row],[IEP]],55,65),1,0)</f>
        <v>0</v>
      </c>
    </row>
    <row r="127" spans="1:77" x14ac:dyDescent="0.2">
      <c r="A127" s="6">
        <v>126</v>
      </c>
      <c r="B127" s="4">
        <v>9</v>
      </c>
      <c r="C127" s="4" t="s">
        <v>964</v>
      </c>
      <c r="D127" s="105" t="b">
        <v>0</v>
      </c>
      <c r="E127" s="105" t="b">
        <v>0</v>
      </c>
      <c r="F127" s="86">
        <f>SUM(Scores[[#This Row],[Q1]:[Q28]])</f>
        <v>16</v>
      </c>
      <c r="G127" s="4">
        <f>SUM(Scores[[#This Row],[29]]:Scores[[#This Row],[30]])</f>
        <v>3</v>
      </c>
      <c r="H127" s="4">
        <f>SUM(Scores[[#This Row],[31]:[36]])</f>
        <v>5</v>
      </c>
      <c r="I127" s="4">
        <f>Scores[[#This Row],[37]]</f>
        <v>1.5</v>
      </c>
      <c r="J127" s="87">
        <f>INDEX('Conversion Chart'!$C$3:$M$47,MATCH(SUM(Scores[[#This Row],[MC]:[IIIA]]),'Conversion Chart'!$B$3:$B$47),MATCH(Scores[[#This Row],[IIIB]],'Conversion Chart'!$C$2:$M$2))</f>
        <v>65</v>
      </c>
      <c r="K127" s="103">
        <v>3</v>
      </c>
      <c r="L127" s="103">
        <v>2</v>
      </c>
      <c r="M127" s="103">
        <v>1</v>
      </c>
      <c r="N127" s="103">
        <v>2</v>
      </c>
      <c r="O127" s="103">
        <v>1</v>
      </c>
      <c r="P127" s="103">
        <v>4</v>
      </c>
      <c r="Q127" s="103">
        <v>3</v>
      </c>
      <c r="R127" s="103">
        <v>2</v>
      </c>
      <c r="S127" s="103">
        <v>3</v>
      </c>
      <c r="T127" s="103">
        <v>1</v>
      </c>
      <c r="U127" s="103">
        <v>2</v>
      </c>
      <c r="V127" s="103">
        <v>4</v>
      </c>
      <c r="W127" s="103">
        <v>2</v>
      </c>
      <c r="X127" s="103">
        <v>3</v>
      </c>
      <c r="Y127" s="103">
        <v>3</v>
      </c>
      <c r="Z127" s="103">
        <v>1</v>
      </c>
      <c r="AA127" s="103">
        <v>1</v>
      </c>
      <c r="AB127" s="103">
        <v>4</v>
      </c>
      <c r="AC127" s="103">
        <v>2</v>
      </c>
      <c r="AD127" s="103">
        <v>2</v>
      </c>
      <c r="AE127" s="103">
        <v>3</v>
      </c>
      <c r="AF127" s="103">
        <v>2</v>
      </c>
      <c r="AG127" s="103">
        <v>1</v>
      </c>
      <c r="AH127" s="103">
        <v>4</v>
      </c>
      <c r="AI127" s="103">
        <v>3</v>
      </c>
      <c r="AJ127" s="103">
        <v>4</v>
      </c>
      <c r="AK127" s="103">
        <v>1</v>
      </c>
      <c r="AL127" s="104">
        <v>2</v>
      </c>
      <c r="AM127" s="4">
        <v>2</v>
      </c>
      <c r="AN127" s="87">
        <v>1</v>
      </c>
      <c r="AO127" s="4">
        <v>1</v>
      </c>
      <c r="AP127" s="4">
        <v>1</v>
      </c>
      <c r="AQ127" s="4">
        <v>1</v>
      </c>
      <c r="AR127" s="4">
        <v>1</v>
      </c>
      <c r="AS127" s="4">
        <v>1</v>
      </c>
      <c r="AT127" s="4">
        <v>0</v>
      </c>
      <c r="AU127" s="107">
        <v>1.5</v>
      </c>
      <c r="AV127" s="4">
        <f>IF(K127=VLOOKUP(VALUE(K$1),Questions!$A:$E,5,FALSE),1,0)</f>
        <v>0</v>
      </c>
      <c r="AW127" s="4">
        <f>IF(L127=VLOOKUP(VALUE(L$1),Questions!$A:$E,5,FALSE),1,0)</f>
        <v>1</v>
      </c>
      <c r="AX127" s="4">
        <f>IF(M127=VLOOKUP(VALUE(M$1),Questions!$A:$E,5,FALSE),1,0)</f>
        <v>0</v>
      </c>
      <c r="AY127" s="4">
        <f>IF(N127=VLOOKUP(VALUE(N$1),Questions!$A:$E,5,FALSE),1,0)</f>
        <v>0</v>
      </c>
      <c r="AZ127" s="4">
        <f>IF(O127=VLOOKUP(VALUE(O$1),Questions!$A:$E,5,FALSE),1,0)</f>
        <v>1</v>
      </c>
      <c r="BA127" s="4">
        <f>IF(P127=VLOOKUP(VALUE(P$1),Questions!$A:$E,5,FALSE),1,0)</f>
        <v>1</v>
      </c>
      <c r="BB127" s="4">
        <f>IF(Q127=VLOOKUP(VALUE(Q$1),Questions!$A:$E,5,FALSE),1,0)</f>
        <v>1</v>
      </c>
      <c r="BC127" s="4">
        <f>IF(R127=VLOOKUP(VALUE(R$1),Questions!$A:$E,5,FALSE),1,0)</f>
        <v>1</v>
      </c>
      <c r="BD127" s="4">
        <f>IF(S127=VLOOKUP(VALUE(S$1),Questions!$A:$E,5,FALSE),1,0)</f>
        <v>0</v>
      </c>
      <c r="BE127" s="4">
        <f>IF(T127=VLOOKUP(VALUE(T$1),Questions!$A:$E,5,FALSE),1,0)</f>
        <v>1</v>
      </c>
      <c r="BF127" s="4">
        <f>IF(U127=VLOOKUP(VALUE(U$1),Questions!$A:$E,5,FALSE),1,0)</f>
        <v>1</v>
      </c>
      <c r="BG127" s="4">
        <f>IF(V127=VLOOKUP(VALUE(V$1),Questions!$A:$E,5,FALSE),1,0)</f>
        <v>1</v>
      </c>
      <c r="BH127" s="4">
        <f>IF(W127=VLOOKUP(VALUE(W$1),Questions!$A:$E,5,FALSE),1,0)</f>
        <v>1</v>
      </c>
      <c r="BI127" s="4">
        <f>IF(X127=VLOOKUP(VALUE(X$1),Questions!$A:$E,5,FALSE),1,0)</f>
        <v>0</v>
      </c>
      <c r="BJ127" s="4">
        <f>IF(Y127=VLOOKUP(VALUE(Y$1),Questions!$A:$E,5,FALSE),1,0)</f>
        <v>1</v>
      </c>
      <c r="BK127" s="4">
        <f>IF(Z127=VLOOKUP(VALUE(Z$1),Questions!$A:$E,5,FALSE),1,0)</f>
        <v>1</v>
      </c>
      <c r="BL127" s="4">
        <f>IF(AA127=VLOOKUP(VALUE(AA$1),Questions!$A:$E,5,FALSE),1,0)</f>
        <v>1</v>
      </c>
      <c r="BM127" s="4">
        <f>IF(AB127=VLOOKUP(VALUE(AB$1),Questions!$A:$E,5,FALSE),1,0)</f>
        <v>1</v>
      </c>
      <c r="BN127" s="4">
        <f>IF(AC127=VLOOKUP(VALUE(AC$1),Questions!$A:$E,5,FALSE),1,0)</f>
        <v>0</v>
      </c>
      <c r="BO127" s="4">
        <f>IF(AD127=VLOOKUP(VALUE(AD$1),Questions!$A:$E,5,FALSE),1,0)</f>
        <v>0</v>
      </c>
      <c r="BP127" s="4">
        <f>IF(AE127=VLOOKUP(VALUE(AE$1),Questions!$A:$E,5,FALSE),1,0)</f>
        <v>0</v>
      </c>
      <c r="BQ127" s="4">
        <f>IF(AF127=VLOOKUP(VALUE(AF$1),Questions!$A:$E,5,FALSE),1,0)</f>
        <v>1</v>
      </c>
      <c r="BR127" s="4">
        <f>IF(AG127=VLOOKUP(VALUE(AG$1),Questions!$A:$E,5,FALSE),1,0)</f>
        <v>0</v>
      </c>
      <c r="BS127" s="4">
        <f>IF(AH127=VLOOKUP(VALUE(AH$1),Questions!$A:$E,5,FALSE),1,0)</f>
        <v>0</v>
      </c>
      <c r="BT127" s="4">
        <f>IF(AI127=VLOOKUP(VALUE(AI$1),Questions!$A:$E,5,FALSE),1,0)</f>
        <v>0</v>
      </c>
      <c r="BU127" s="4">
        <f>IF(AJ127=VLOOKUP(VALUE(AJ$1),Questions!$A:$E,5,FALSE),1,0)</f>
        <v>1</v>
      </c>
      <c r="BV127" s="4">
        <f>IF(AK127=VLOOKUP(VALUE(AK$1),Questions!$A:$E,5,FALSE),1,0)</f>
        <v>1</v>
      </c>
      <c r="BW127" s="87">
        <f>IF(AL127=VLOOKUP(VALUE(AL$1),Questions!$A:$E,5,FALSE),1,0)</f>
        <v>0</v>
      </c>
      <c r="BX127" s="4">
        <f>IF(Scores[[#This Row],[Final]]&gt;=65,1,0)</f>
        <v>1</v>
      </c>
      <c r="BY127" s="4">
        <f>IF(Scores[[#This Row],[Final]]&gt;=IF(Scores[[#This Row],[IEP]],55,65),1,0)</f>
        <v>1</v>
      </c>
    </row>
    <row r="128" spans="1:77" x14ac:dyDescent="0.2">
      <c r="A128" s="6">
        <v>127</v>
      </c>
      <c r="B128" s="4">
        <v>11</v>
      </c>
      <c r="C128" s="4" t="s">
        <v>962</v>
      </c>
      <c r="D128" s="105" t="b">
        <v>0</v>
      </c>
      <c r="E128" s="105" t="b">
        <v>1</v>
      </c>
      <c r="F128" s="86">
        <f>SUM(Scores[[#This Row],[Q1]:[Q28]])</f>
        <v>10</v>
      </c>
      <c r="G128" s="4">
        <f>SUM(Scores[[#This Row],[29]]:Scores[[#This Row],[30]])</f>
        <v>0</v>
      </c>
      <c r="H128" s="4">
        <f>SUM(Scores[[#This Row],[31]:[36]])</f>
        <v>5</v>
      </c>
      <c r="I128" s="4">
        <f>Scores[[#This Row],[37]]</f>
        <v>1</v>
      </c>
      <c r="J128" s="87">
        <f>INDEX('Conversion Chart'!$C$3:$M$47,MATCH(SUM(Scores[[#This Row],[MC]:[IIIA]]),'Conversion Chart'!$B$3:$B$47),MATCH(Scores[[#This Row],[IIIB]],'Conversion Chart'!$C$2:$M$2))</f>
        <v>48</v>
      </c>
      <c r="K128" s="103">
        <v>1</v>
      </c>
      <c r="L128" s="103">
        <v>4</v>
      </c>
      <c r="M128" s="103">
        <v>4</v>
      </c>
      <c r="N128" s="103">
        <v>1</v>
      </c>
      <c r="O128" s="103">
        <v>2</v>
      </c>
      <c r="P128" s="103">
        <v>3</v>
      </c>
      <c r="Q128" s="103">
        <v>2</v>
      </c>
      <c r="R128" s="103">
        <v>3</v>
      </c>
      <c r="S128" s="103">
        <v>1</v>
      </c>
      <c r="T128" s="103">
        <v>2</v>
      </c>
      <c r="U128" s="103">
        <v>2</v>
      </c>
      <c r="V128" s="103">
        <v>1</v>
      </c>
      <c r="W128" s="103">
        <v>2</v>
      </c>
      <c r="X128" s="103">
        <v>2</v>
      </c>
      <c r="Y128" s="103">
        <v>3</v>
      </c>
      <c r="Z128" s="103">
        <v>1</v>
      </c>
      <c r="AA128" s="103">
        <v>1</v>
      </c>
      <c r="AB128" s="103">
        <v>4</v>
      </c>
      <c r="AC128" s="103">
        <v>1</v>
      </c>
      <c r="AD128" s="103">
        <v>2</v>
      </c>
      <c r="AE128" s="103">
        <v>2</v>
      </c>
      <c r="AF128" s="103">
        <v>2</v>
      </c>
      <c r="AG128" s="103">
        <v>1</v>
      </c>
      <c r="AH128" s="103">
        <v>3</v>
      </c>
      <c r="AI128" s="103">
        <v>1</v>
      </c>
      <c r="AJ128" s="103">
        <v>1</v>
      </c>
      <c r="AK128" s="103">
        <v>2</v>
      </c>
      <c r="AL128" s="104">
        <v>4</v>
      </c>
      <c r="AM128" s="4">
        <v>0</v>
      </c>
      <c r="AN128" s="87">
        <v>0</v>
      </c>
      <c r="AO128" s="4">
        <v>1</v>
      </c>
      <c r="AP128" s="4">
        <v>1</v>
      </c>
      <c r="AQ128" s="4">
        <v>0</v>
      </c>
      <c r="AR128" s="4">
        <v>1</v>
      </c>
      <c r="AS128" s="4">
        <v>1</v>
      </c>
      <c r="AT128" s="4">
        <v>1</v>
      </c>
      <c r="AU128" s="107">
        <v>1</v>
      </c>
      <c r="AV128" s="4">
        <f>IF(K128=VLOOKUP(VALUE(K$1),Questions!$A:$E,5,FALSE),1,0)</f>
        <v>0</v>
      </c>
      <c r="AW128" s="4">
        <f>IF(L128=VLOOKUP(VALUE(L$1),Questions!$A:$E,5,FALSE),1,0)</f>
        <v>0</v>
      </c>
      <c r="AX128" s="4">
        <f>IF(M128=VLOOKUP(VALUE(M$1),Questions!$A:$E,5,FALSE),1,0)</f>
        <v>0</v>
      </c>
      <c r="AY128" s="4">
        <f>IF(N128=VLOOKUP(VALUE(N$1),Questions!$A:$E,5,FALSE),1,0)</f>
        <v>0</v>
      </c>
      <c r="AZ128" s="4">
        <f>IF(O128=VLOOKUP(VALUE(O$1),Questions!$A:$E,5,FALSE),1,0)</f>
        <v>0</v>
      </c>
      <c r="BA128" s="4">
        <f>IF(P128=VLOOKUP(VALUE(P$1),Questions!$A:$E,5,FALSE),1,0)</f>
        <v>0</v>
      </c>
      <c r="BB128" s="4">
        <f>IF(Q128=VLOOKUP(VALUE(Q$1),Questions!$A:$E,5,FALSE),1,0)</f>
        <v>0</v>
      </c>
      <c r="BC128" s="4">
        <f>IF(R128=VLOOKUP(VALUE(R$1),Questions!$A:$E,5,FALSE),1,0)</f>
        <v>0</v>
      </c>
      <c r="BD128" s="4">
        <f>IF(S128=VLOOKUP(VALUE(S$1),Questions!$A:$E,5,FALSE),1,0)</f>
        <v>0</v>
      </c>
      <c r="BE128" s="4">
        <f>IF(T128=VLOOKUP(VALUE(T$1),Questions!$A:$E,5,FALSE),1,0)</f>
        <v>0</v>
      </c>
      <c r="BF128" s="4">
        <f>IF(U128=VLOOKUP(VALUE(U$1),Questions!$A:$E,5,FALSE),1,0)</f>
        <v>1</v>
      </c>
      <c r="BG128" s="4">
        <f>IF(V128=VLOOKUP(VALUE(V$1),Questions!$A:$E,5,FALSE),1,0)</f>
        <v>0</v>
      </c>
      <c r="BH128" s="4">
        <f>IF(W128=VLOOKUP(VALUE(W$1),Questions!$A:$E,5,FALSE),1,0)</f>
        <v>1</v>
      </c>
      <c r="BI128" s="4">
        <f>IF(X128=VLOOKUP(VALUE(X$1),Questions!$A:$E,5,FALSE),1,0)</f>
        <v>0</v>
      </c>
      <c r="BJ128" s="4">
        <f>IF(Y128=VLOOKUP(VALUE(Y$1),Questions!$A:$E,5,FALSE),1,0)</f>
        <v>1</v>
      </c>
      <c r="BK128" s="4">
        <f>IF(Z128=VLOOKUP(VALUE(Z$1),Questions!$A:$E,5,FALSE),1,0)</f>
        <v>1</v>
      </c>
      <c r="BL128" s="4">
        <f>IF(AA128=VLOOKUP(VALUE(AA$1),Questions!$A:$E,5,FALSE),1,0)</f>
        <v>1</v>
      </c>
      <c r="BM128" s="4">
        <f>IF(AB128=VLOOKUP(VALUE(AB$1),Questions!$A:$E,5,FALSE),1,0)</f>
        <v>1</v>
      </c>
      <c r="BN128" s="4">
        <f>IF(AC128=VLOOKUP(VALUE(AC$1),Questions!$A:$E,5,FALSE),1,0)</f>
        <v>0</v>
      </c>
      <c r="BO128" s="4">
        <f>IF(AD128=VLOOKUP(VALUE(AD$1),Questions!$A:$E,5,FALSE),1,0)</f>
        <v>0</v>
      </c>
      <c r="BP128" s="4">
        <f>IF(AE128=VLOOKUP(VALUE(AE$1),Questions!$A:$E,5,FALSE),1,0)</f>
        <v>1</v>
      </c>
      <c r="BQ128" s="4">
        <f>IF(AF128=VLOOKUP(VALUE(AF$1),Questions!$A:$E,5,FALSE),1,0)</f>
        <v>1</v>
      </c>
      <c r="BR128" s="4">
        <f>IF(AG128=VLOOKUP(VALUE(AG$1),Questions!$A:$E,5,FALSE),1,0)</f>
        <v>0</v>
      </c>
      <c r="BS128" s="4">
        <f>IF(AH128=VLOOKUP(VALUE(AH$1),Questions!$A:$E,5,FALSE),1,0)</f>
        <v>1</v>
      </c>
      <c r="BT128" s="4">
        <f>IF(AI128=VLOOKUP(VALUE(AI$1),Questions!$A:$E,5,FALSE),1,0)</f>
        <v>1</v>
      </c>
      <c r="BU128" s="4">
        <f>IF(AJ128=VLOOKUP(VALUE(AJ$1),Questions!$A:$E,5,FALSE),1,0)</f>
        <v>0</v>
      </c>
      <c r="BV128" s="4">
        <f>IF(AK128=VLOOKUP(VALUE(AK$1),Questions!$A:$E,5,FALSE),1,0)</f>
        <v>0</v>
      </c>
      <c r="BW128" s="87">
        <f>IF(AL128=VLOOKUP(VALUE(AL$1),Questions!$A:$E,5,FALSE),1,0)</f>
        <v>0</v>
      </c>
      <c r="BX128" s="4">
        <f>IF(Scores[[#This Row],[Final]]&gt;=65,1,0)</f>
        <v>0</v>
      </c>
      <c r="BY128" s="4">
        <f>IF(Scores[[#This Row],[Final]]&gt;=IF(Scores[[#This Row],[IEP]],55,65),1,0)</f>
        <v>0</v>
      </c>
    </row>
    <row r="129" spans="1:77" x14ac:dyDescent="0.2">
      <c r="A129" s="6">
        <v>128</v>
      </c>
      <c r="B129" s="4">
        <v>9</v>
      </c>
      <c r="C129" s="4" t="s">
        <v>964</v>
      </c>
      <c r="D129" s="105" t="b">
        <v>0</v>
      </c>
      <c r="E129" s="105" t="b">
        <v>0</v>
      </c>
      <c r="F129" s="86">
        <f>SUM(Scores[[#This Row],[Q1]:[Q28]])</f>
        <v>15</v>
      </c>
      <c r="G129" s="4">
        <f>SUM(Scores[[#This Row],[29]]:Scores[[#This Row],[30]])</f>
        <v>2</v>
      </c>
      <c r="H129" s="4">
        <f>SUM(Scores[[#This Row],[31]:[36]])</f>
        <v>5</v>
      </c>
      <c r="I129" s="4">
        <f>Scores[[#This Row],[37]]</f>
        <v>2.5</v>
      </c>
      <c r="J129" s="87">
        <f>INDEX('Conversion Chart'!$C$3:$M$47,MATCH(SUM(Scores[[#This Row],[MC]:[IIIA]]),'Conversion Chart'!$B$3:$B$47),MATCH(Scores[[#This Row],[IIIB]],'Conversion Chart'!$C$2:$M$2))</f>
        <v>66</v>
      </c>
      <c r="K129" s="103">
        <v>4</v>
      </c>
      <c r="L129" s="103">
        <v>2</v>
      </c>
      <c r="M129" s="103">
        <v>3</v>
      </c>
      <c r="N129" s="103">
        <v>1</v>
      </c>
      <c r="O129" s="103">
        <v>1</v>
      </c>
      <c r="P129" s="103">
        <v>3</v>
      </c>
      <c r="Q129" s="103">
        <v>4</v>
      </c>
      <c r="R129" s="103">
        <v>2</v>
      </c>
      <c r="S129" s="103">
        <v>2</v>
      </c>
      <c r="T129" s="103">
        <v>1</v>
      </c>
      <c r="U129" s="103">
        <v>1</v>
      </c>
      <c r="V129" s="103">
        <v>1</v>
      </c>
      <c r="W129" s="103">
        <v>2</v>
      </c>
      <c r="X129" s="103">
        <v>3</v>
      </c>
      <c r="Y129" s="103">
        <v>3</v>
      </c>
      <c r="Z129" s="103">
        <v>4</v>
      </c>
      <c r="AA129" s="103">
        <v>1</v>
      </c>
      <c r="AB129" s="103">
        <v>4</v>
      </c>
      <c r="AC129" s="103">
        <v>3</v>
      </c>
      <c r="AD129" s="103">
        <v>4</v>
      </c>
      <c r="AE129" s="103">
        <v>3</v>
      </c>
      <c r="AF129" s="103">
        <v>2</v>
      </c>
      <c r="AG129" s="103">
        <v>3</v>
      </c>
      <c r="AH129" s="103">
        <v>2</v>
      </c>
      <c r="AI129" s="103">
        <v>3</v>
      </c>
      <c r="AJ129" s="103">
        <v>2</v>
      </c>
      <c r="AK129" s="103">
        <v>3</v>
      </c>
      <c r="AL129" s="104">
        <v>2</v>
      </c>
      <c r="AM129" s="4">
        <v>2</v>
      </c>
      <c r="AN129" s="87">
        <v>0</v>
      </c>
      <c r="AO129" s="4">
        <v>0</v>
      </c>
      <c r="AP129" s="4">
        <v>1</v>
      </c>
      <c r="AQ129" s="4">
        <v>1</v>
      </c>
      <c r="AR129" s="4">
        <v>1</v>
      </c>
      <c r="AS129" s="4">
        <v>1</v>
      </c>
      <c r="AT129" s="4">
        <v>1</v>
      </c>
      <c r="AU129" s="107">
        <v>2.5</v>
      </c>
      <c r="AV129" s="4">
        <f>IF(K129=VLOOKUP(VALUE(K$1),Questions!$A:$E,5,FALSE),1,0)</f>
        <v>1</v>
      </c>
      <c r="AW129" s="4">
        <f>IF(L129=VLOOKUP(VALUE(L$1),Questions!$A:$E,5,FALSE),1,0)</f>
        <v>1</v>
      </c>
      <c r="AX129" s="4">
        <f>IF(M129=VLOOKUP(VALUE(M$1),Questions!$A:$E,5,FALSE),1,0)</f>
        <v>1</v>
      </c>
      <c r="AY129" s="4">
        <f>IF(N129=VLOOKUP(VALUE(N$1),Questions!$A:$E,5,FALSE),1,0)</f>
        <v>0</v>
      </c>
      <c r="AZ129" s="4">
        <f>IF(O129=VLOOKUP(VALUE(O$1),Questions!$A:$E,5,FALSE),1,0)</f>
        <v>1</v>
      </c>
      <c r="BA129" s="4">
        <f>IF(P129=VLOOKUP(VALUE(P$1),Questions!$A:$E,5,FALSE),1,0)</f>
        <v>0</v>
      </c>
      <c r="BB129" s="4">
        <f>IF(Q129=VLOOKUP(VALUE(Q$1),Questions!$A:$E,5,FALSE),1,0)</f>
        <v>0</v>
      </c>
      <c r="BC129" s="4">
        <f>IF(R129=VLOOKUP(VALUE(R$1),Questions!$A:$E,5,FALSE),1,0)</f>
        <v>1</v>
      </c>
      <c r="BD129" s="4">
        <f>IF(S129=VLOOKUP(VALUE(S$1),Questions!$A:$E,5,FALSE),1,0)</f>
        <v>1</v>
      </c>
      <c r="BE129" s="4">
        <f>IF(T129=VLOOKUP(VALUE(T$1),Questions!$A:$E,5,FALSE),1,0)</f>
        <v>1</v>
      </c>
      <c r="BF129" s="4">
        <f>IF(U129=VLOOKUP(VALUE(U$1),Questions!$A:$E,5,FALSE),1,0)</f>
        <v>0</v>
      </c>
      <c r="BG129" s="4">
        <f>IF(V129=VLOOKUP(VALUE(V$1),Questions!$A:$E,5,FALSE),1,0)</f>
        <v>0</v>
      </c>
      <c r="BH129" s="4">
        <f>IF(W129=VLOOKUP(VALUE(W$1),Questions!$A:$E,5,FALSE),1,0)</f>
        <v>1</v>
      </c>
      <c r="BI129" s="4">
        <f>IF(X129=VLOOKUP(VALUE(X$1),Questions!$A:$E,5,FALSE),1,0)</f>
        <v>0</v>
      </c>
      <c r="BJ129" s="4">
        <f>IF(Y129=VLOOKUP(VALUE(Y$1),Questions!$A:$E,5,FALSE),1,0)</f>
        <v>1</v>
      </c>
      <c r="BK129" s="4">
        <f>IF(Z129=VLOOKUP(VALUE(Z$1),Questions!$A:$E,5,FALSE),1,0)</f>
        <v>0</v>
      </c>
      <c r="BL129" s="4">
        <f>IF(AA129=VLOOKUP(VALUE(AA$1),Questions!$A:$E,5,FALSE),1,0)</f>
        <v>1</v>
      </c>
      <c r="BM129" s="4">
        <f>IF(AB129=VLOOKUP(VALUE(AB$1),Questions!$A:$E,5,FALSE),1,0)</f>
        <v>1</v>
      </c>
      <c r="BN129" s="4">
        <f>IF(AC129=VLOOKUP(VALUE(AC$1),Questions!$A:$E,5,FALSE),1,0)</f>
        <v>1</v>
      </c>
      <c r="BO129" s="4">
        <f>IF(AD129=VLOOKUP(VALUE(AD$1),Questions!$A:$E,5,FALSE),1,0)</f>
        <v>1</v>
      </c>
      <c r="BP129" s="4">
        <f>IF(AE129=VLOOKUP(VALUE(AE$1),Questions!$A:$E,5,FALSE),1,0)</f>
        <v>0</v>
      </c>
      <c r="BQ129" s="4">
        <f>IF(AF129=VLOOKUP(VALUE(AF$1),Questions!$A:$E,5,FALSE),1,0)</f>
        <v>1</v>
      </c>
      <c r="BR129" s="4">
        <f>IF(AG129=VLOOKUP(VALUE(AG$1),Questions!$A:$E,5,FALSE),1,0)</f>
        <v>1</v>
      </c>
      <c r="BS129" s="4">
        <f>IF(AH129=VLOOKUP(VALUE(AH$1),Questions!$A:$E,5,FALSE),1,0)</f>
        <v>0</v>
      </c>
      <c r="BT129" s="4">
        <f>IF(AI129=VLOOKUP(VALUE(AI$1),Questions!$A:$E,5,FALSE),1,0)</f>
        <v>0</v>
      </c>
      <c r="BU129" s="4">
        <f>IF(AJ129=VLOOKUP(VALUE(AJ$1),Questions!$A:$E,5,FALSE),1,0)</f>
        <v>0</v>
      </c>
      <c r="BV129" s="4">
        <f>IF(AK129=VLOOKUP(VALUE(AK$1),Questions!$A:$E,5,FALSE),1,0)</f>
        <v>0</v>
      </c>
      <c r="BW129" s="87">
        <f>IF(AL129=VLOOKUP(VALUE(AL$1),Questions!$A:$E,5,FALSE),1,0)</f>
        <v>0</v>
      </c>
      <c r="BX129" s="4">
        <f>IF(Scores[[#This Row],[Final]]&gt;=65,1,0)</f>
        <v>1</v>
      </c>
      <c r="BY129" s="4">
        <f>IF(Scores[[#This Row],[Final]]&gt;=IF(Scores[[#This Row],[IEP]],55,65),1,0)</f>
        <v>1</v>
      </c>
    </row>
    <row r="130" spans="1:77" x14ac:dyDescent="0.2">
      <c r="A130" s="6">
        <v>129</v>
      </c>
      <c r="B130" s="4">
        <v>9</v>
      </c>
      <c r="C130" s="4" t="s">
        <v>964</v>
      </c>
      <c r="D130" s="105" t="b">
        <v>0</v>
      </c>
      <c r="E130" s="105" t="b">
        <v>0</v>
      </c>
      <c r="F130" s="86">
        <f>SUM(Scores[[#This Row],[Q1]:[Q28]])</f>
        <v>15</v>
      </c>
      <c r="G130" s="4">
        <f>SUM(Scores[[#This Row],[29]]:Scores[[#This Row],[30]])</f>
        <v>1</v>
      </c>
      <c r="H130" s="4">
        <f>SUM(Scores[[#This Row],[31]:[36]])</f>
        <v>4</v>
      </c>
      <c r="I130" s="4">
        <f>Scores[[#This Row],[37]]</f>
        <v>0</v>
      </c>
      <c r="J130" s="87">
        <f>INDEX('Conversion Chart'!$C$3:$M$47,MATCH(SUM(Scores[[#This Row],[MC]:[IIIA]]),'Conversion Chart'!$B$3:$B$47),MATCH(Scores[[#This Row],[IIIB]],'Conversion Chart'!$C$2:$M$2))</f>
        <v>52</v>
      </c>
      <c r="K130" s="103">
        <v>4</v>
      </c>
      <c r="L130" s="103">
        <v>4</v>
      </c>
      <c r="M130" s="103">
        <v>4</v>
      </c>
      <c r="N130" s="103">
        <v>1</v>
      </c>
      <c r="O130" s="103">
        <v>1</v>
      </c>
      <c r="P130" s="103">
        <v>2</v>
      </c>
      <c r="Q130" s="103">
        <v>3</v>
      </c>
      <c r="R130" s="103">
        <v>2</v>
      </c>
      <c r="S130" s="103">
        <v>3</v>
      </c>
      <c r="T130" s="103">
        <v>1</v>
      </c>
      <c r="U130" s="103">
        <v>2</v>
      </c>
      <c r="V130" s="103">
        <v>3</v>
      </c>
      <c r="W130" s="103">
        <v>2</v>
      </c>
      <c r="X130" s="103">
        <v>4</v>
      </c>
      <c r="Y130" s="103">
        <v>2</v>
      </c>
      <c r="Z130" s="103">
        <v>2</v>
      </c>
      <c r="AA130" s="103">
        <v>1</v>
      </c>
      <c r="AB130" s="103">
        <v>4</v>
      </c>
      <c r="AC130" s="103">
        <v>2</v>
      </c>
      <c r="AD130" s="103">
        <v>4</v>
      </c>
      <c r="AE130" s="103">
        <v>4</v>
      </c>
      <c r="AF130" s="103">
        <v>2</v>
      </c>
      <c r="AG130" s="103">
        <v>4</v>
      </c>
      <c r="AH130" s="103">
        <v>2</v>
      </c>
      <c r="AI130" s="103">
        <v>3</v>
      </c>
      <c r="AJ130" s="103">
        <v>4</v>
      </c>
      <c r="AK130" s="103">
        <v>1</v>
      </c>
      <c r="AL130" s="104">
        <v>3</v>
      </c>
      <c r="AM130" s="4">
        <v>1</v>
      </c>
      <c r="AN130" s="87">
        <v>0</v>
      </c>
      <c r="AO130" s="4">
        <v>1</v>
      </c>
      <c r="AP130" s="4">
        <v>1</v>
      </c>
      <c r="AQ130" s="4">
        <v>1</v>
      </c>
      <c r="AR130" s="4">
        <v>1</v>
      </c>
      <c r="AS130" s="4">
        <v>0</v>
      </c>
      <c r="AT130" s="4">
        <v>0</v>
      </c>
      <c r="AU130" s="107">
        <v>0</v>
      </c>
      <c r="AV130" s="4">
        <f>IF(K130=VLOOKUP(VALUE(K$1),Questions!$A:$E,5,FALSE),1,0)</f>
        <v>1</v>
      </c>
      <c r="AW130" s="4">
        <f>IF(L130=VLOOKUP(VALUE(L$1),Questions!$A:$E,5,FALSE),1,0)</f>
        <v>0</v>
      </c>
      <c r="AX130" s="4">
        <f>IF(M130=VLOOKUP(VALUE(M$1),Questions!$A:$E,5,FALSE),1,0)</f>
        <v>0</v>
      </c>
      <c r="AY130" s="4">
        <f>IF(N130=VLOOKUP(VALUE(N$1),Questions!$A:$E,5,FALSE),1,0)</f>
        <v>0</v>
      </c>
      <c r="AZ130" s="4">
        <f>IF(O130=VLOOKUP(VALUE(O$1),Questions!$A:$E,5,FALSE),1,0)</f>
        <v>1</v>
      </c>
      <c r="BA130" s="4">
        <f>IF(P130=VLOOKUP(VALUE(P$1),Questions!$A:$E,5,FALSE),1,0)</f>
        <v>0</v>
      </c>
      <c r="BB130" s="4">
        <f>IF(Q130=VLOOKUP(VALUE(Q$1),Questions!$A:$E,5,FALSE),1,0)</f>
        <v>1</v>
      </c>
      <c r="BC130" s="4">
        <f>IF(R130=VLOOKUP(VALUE(R$1),Questions!$A:$E,5,FALSE),1,0)</f>
        <v>1</v>
      </c>
      <c r="BD130" s="4">
        <f>IF(S130=VLOOKUP(VALUE(S$1),Questions!$A:$E,5,FALSE),1,0)</f>
        <v>0</v>
      </c>
      <c r="BE130" s="4">
        <f>IF(T130=VLOOKUP(VALUE(T$1),Questions!$A:$E,5,FALSE),1,0)</f>
        <v>1</v>
      </c>
      <c r="BF130" s="4">
        <f>IF(U130=VLOOKUP(VALUE(U$1),Questions!$A:$E,5,FALSE),1,0)</f>
        <v>1</v>
      </c>
      <c r="BG130" s="4">
        <f>IF(V130=VLOOKUP(VALUE(V$1),Questions!$A:$E,5,FALSE),1,0)</f>
        <v>0</v>
      </c>
      <c r="BH130" s="4">
        <f>IF(W130=VLOOKUP(VALUE(W$1),Questions!$A:$E,5,FALSE),1,0)</f>
        <v>1</v>
      </c>
      <c r="BI130" s="4">
        <f>IF(X130=VLOOKUP(VALUE(X$1),Questions!$A:$E,5,FALSE),1,0)</f>
        <v>1</v>
      </c>
      <c r="BJ130" s="4">
        <f>IF(Y130=VLOOKUP(VALUE(Y$1),Questions!$A:$E,5,FALSE),1,0)</f>
        <v>0</v>
      </c>
      <c r="BK130" s="4">
        <f>IF(Z130=VLOOKUP(VALUE(Z$1),Questions!$A:$E,5,FALSE),1,0)</f>
        <v>0</v>
      </c>
      <c r="BL130" s="4">
        <f>IF(AA130=VLOOKUP(VALUE(AA$1),Questions!$A:$E,5,FALSE),1,0)</f>
        <v>1</v>
      </c>
      <c r="BM130" s="4">
        <f>IF(AB130=VLOOKUP(VALUE(AB$1),Questions!$A:$E,5,FALSE),1,0)</f>
        <v>1</v>
      </c>
      <c r="BN130" s="4">
        <f>IF(AC130=VLOOKUP(VALUE(AC$1),Questions!$A:$E,5,FALSE),1,0)</f>
        <v>0</v>
      </c>
      <c r="BO130" s="4">
        <f>IF(AD130=VLOOKUP(VALUE(AD$1),Questions!$A:$E,5,FALSE),1,0)</f>
        <v>1</v>
      </c>
      <c r="BP130" s="4">
        <f>IF(AE130=VLOOKUP(VALUE(AE$1),Questions!$A:$E,5,FALSE),1,0)</f>
        <v>0</v>
      </c>
      <c r="BQ130" s="4">
        <f>IF(AF130=VLOOKUP(VALUE(AF$1),Questions!$A:$E,5,FALSE),1,0)</f>
        <v>1</v>
      </c>
      <c r="BR130" s="4">
        <f>IF(AG130=VLOOKUP(VALUE(AG$1),Questions!$A:$E,5,FALSE),1,0)</f>
        <v>0</v>
      </c>
      <c r="BS130" s="4">
        <f>IF(AH130=VLOOKUP(VALUE(AH$1),Questions!$A:$E,5,FALSE),1,0)</f>
        <v>0</v>
      </c>
      <c r="BT130" s="4">
        <f>IF(AI130=VLOOKUP(VALUE(AI$1),Questions!$A:$E,5,FALSE),1,0)</f>
        <v>0</v>
      </c>
      <c r="BU130" s="4">
        <f>IF(AJ130=VLOOKUP(VALUE(AJ$1),Questions!$A:$E,5,FALSE),1,0)</f>
        <v>1</v>
      </c>
      <c r="BV130" s="4">
        <f>IF(AK130=VLOOKUP(VALUE(AK$1),Questions!$A:$E,5,FALSE),1,0)</f>
        <v>1</v>
      </c>
      <c r="BW130" s="87">
        <f>IF(AL130=VLOOKUP(VALUE(AL$1),Questions!$A:$E,5,FALSE),1,0)</f>
        <v>1</v>
      </c>
      <c r="BX130" s="4">
        <f>IF(Scores[[#This Row],[Final]]&gt;=65,1,0)</f>
        <v>0</v>
      </c>
      <c r="BY130" s="4">
        <f>IF(Scores[[#This Row],[Final]]&gt;=IF(Scores[[#This Row],[IEP]],55,65),1,0)</f>
        <v>0</v>
      </c>
    </row>
    <row r="131" spans="1:77" x14ac:dyDescent="0.2">
      <c r="A131" s="6">
        <v>130</v>
      </c>
      <c r="B131" s="4">
        <v>11</v>
      </c>
      <c r="C131" s="4" t="s">
        <v>967</v>
      </c>
      <c r="D131" s="105" t="b">
        <v>0</v>
      </c>
      <c r="E131" s="105" t="b">
        <v>0</v>
      </c>
      <c r="F131" s="86">
        <f>SUM(Scores[[#This Row],[Q1]:[Q28]])</f>
        <v>0</v>
      </c>
      <c r="G131" s="4">
        <f>SUM(Scores[[#This Row],[29]]:Scores[[#This Row],[30]])</f>
        <v>0</v>
      </c>
      <c r="H131" s="4">
        <f>SUM(Scores[[#This Row],[31]:[36]])</f>
        <v>0</v>
      </c>
      <c r="I131" s="4">
        <f>Scores[[#This Row],[37]]</f>
        <v>0</v>
      </c>
      <c r="J131" s="87">
        <f>INDEX('Conversion Chart'!$C$3:$M$47,MATCH(SUM(Scores[[#This Row],[MC]:[IIIA]]),'Conversion Chart'!$B$3:$B$47),MATCH(Scores[[#This Row],[IIIB]],'Conversion Chart'!$C$2:$M$2))</f>
        <v>0</v>
      </c>
      <c r="K131" s="103"/>
      <c r="L131" s="103"/>
      <c r="M131" s="103"/>
      <c r="N131" s="103"/>
      <c r="O131" s="103"/>
      <c r="P131" s="103"/>
      <c r="Q131" s="103"/>
      <c r="R131" s="103"/>
      <c r="S131" s="103"/>
      <c r="T131" s="103"/>
      <c r="U131" s="103"/>
      <c r="V131" s="103"/>
      <c r="W131" s="103"/>
      <c r="X131" s="103"/>
      <c r="Y131" s="103"/>
      <c r="Z131" s="103"/>
      <c r="AA131" s="103"/>
      <c r="AB131" s="103"/>
      <c r="AC131" s="103"/>
      <c r="AD131" s="103"/>
      <c r="AE131" s="103"/>
      <c r="AF131" s="103"/>
      <c r="AG131" s="103"/>
      <c r="AH131" s="103"/>
      <c r="AI131" s="103"/>
      <c r="AJ131" s="103"/>
      <c r="AK131" s="103"/>
      <c r="AL131" s="104"/>
      <c r="AN131" s="87"/>
      <c r="AU131" s="107"/>
      <c r="AV131" s="4">
        <f>IF(K131=VLOOKUP(VALUE(K$1),Questions!$A:$E,5,FALSE),1,0)</f>
        <v>0</v>
      </c>
      <c r="AW131" s="4">
        <f>IF(L131=VLOOKUP(VALUE(L$1),Questions!$A:$E,5,FALSE),1,0)</f>
        <v>0</v>
      </c>
      <c r="AX131" s="4">
        <f>IF(M131=VLOOKUP(VALUE(M$1),Questions!$A:$E,5,FALSE),1,0)</f>
        <v>0</v>
      </c>
      <c r="AY131" s="4">
        <f>IF(N131=VLOOKUP(VALUE(N$1),Questions!$A:$E,5,FALSE),1,0)</f>
        <v>0</v>
      </c>
      <c r="AZ131" s="4">
        <f>IF(O131=VLOOKUP(VALUE(O$1),Questions!$A:$E,5,FALSE),1,0)</f>
        <v>0</v>
      </c>
      <c r="BA131" s="4">
        <f>IF(P131=VLOOKUP(VALUE(P$1),Questions!$A:$E,5,FALSE),1,0)</f>
        <v>0</v>
      </c>
      <c r="BB131" s="4">
        <f>IF(Q131=VLOOKUP(VALUE(Q$1),Questions!$A:$E,5,FALSE),1,0)</f>
        <v>0</v>
      </c>
      <c r="BC131" s="4">
        <f>IF(R131=VLOOKUP(VALUE(R$1),Questions!$A:$E,5,FALSE),1,0)</f>
        <v>0</v>
      </c>
      <c r="BD131" s="4">
        <f>IF(S131=VLOOKUP(VALUE(S$1),Questions!$A:$E,5,FALSE),1,0)</f>
        <v>0</v>
      </c>
      <c r="BE131" s="4">
        <f>IF(T131=VLOOKUP(VALUE(T$1),Questions!$A:$E,5,FALSE),1,0)</f>
        <v>0</v>
      </c>
      <c r="BF131" s="4">
        <f>IF(U131=VLOOKUP(VALUE(U$1),Questions!$A:$E,5,FALSE),1,0)</f>
        <v>0</v>
      </c>
      <c r="BG131" s="4">
        <f>IF(V131=VLOOKUP(VALUE(V$1),Questions!$A:$E,5,FALSE),1,0)</f>
        <v>0</v>
      </c>
      <c r="BH131" s="4">
        <f>IF(W131=VLOOKUP(VALUE(W$1),Questions!$A:$E,5,FALSE),1,0)</f>
        <v>0</v>
      </c>
      <c r="BI131" s="4">
        <f>IF(X131=VLOOKUP(VALUE(X$1),Questions!$A:$E,5,FALSE),1,0)</f>
        <v>0</v>
      </c>
      <c r="BJ131" s="4">
        <f>IF(Y131=VLOOKUP(VALUE(Y$1),Questions!$A:$E,5,FALSE),1,0)</f>
        <v>0</v>
      </c>
      <c r="BK131" s="4">
        <f>IF(Z131=VLOOKUP(VALUE(Z$1),Questions!$A:$E,5,FALSE),1,0)</f>
        <v>0</v>
      </c>
      <c r="BL131" s="4">
        <f>IF(AA131=VLOOKUP(VALUE(AA$1),Questions!$A:$E,5,FALSE),1,0)</f>
        <v>0</v>
      </c>
      <c r="BM131" s="4">
        <f>IF(AB131=VLOOKUP(VALUE(AB$1),Questions!$A:$E,5,FALSE),1,0)</f>
        <v>0</v>
      </c>
      <c r="BN131" s="4">
        <f>IF(AC131=VLOOKUP(VALUE(AC$1),Questions!$A:$E,5,FALSE),1,0)</f>
        <v>0</v>
      </c>
      <c r="BO131" s="4">
        <f>IF(AD131=VLOOKUP(VALUE(AD$1),Questions!$A:$E,5,FALSE),1,0)</f>
        <v>0</v>
      </c>
      <c r="BP131" s="4">
        <f>IF(AE131=VLOOKUP(VALUE(AE$1),Questions!$A:$E,5,FALSE),1,0)</f>
        <v>0</v>
      </c>
      <c r="BQ131" s="4">
        <f>IF(AF131=VLOOKUP(VALUE(AF$1),Questions!$A:$E,5,FALSE),1,0)</f>
        <v>0</v>
      </c>
      <c r="BR131" s="4">
        <f>IF(AG131=VLOOKUP(VALUE(AG$1),Questions!$A:$E,5,FALSE),1,0)</f>
        <v>0</v>
      </c>
      <c r="BS131" s="4">
        <f>IF(AH131=VLOOKUP(VALUE(AH$1),Questions!$A:$E,5,FALSE),1,0)</f>
        <v>0</v>
      </c>
      <c r="BT131" s="4">
        <f>IF(AI131=VLOOKUP(VALUE(AI$1),Questions!$A:$E,5,FALSE),1,0)</f>
        <v>0</v>
      </c>
      <c r="BU131" s="4">
        <f>IF(AJ131=VLOOKUP(VALUE(AJ$1),Questions!$A:$E,5,FALSE),1,0)</f>
        <v>0</v>
      </c>
      <c r="BV131" s="4">
        <f>IF(AK131=VLOOKUP(VALUE(AK$1),Questions!$A:$E,5,FALSE),1,0)</f>
        <v>0</v>
      </c>
      <c r="BW131" s="87">
        <f>IF(AL131=VLOOKUP(VALUE(AL$1),Questions!$A:$E,5,FALSE),1,0)</f>
        <v>0</v>
      </c>
      <c r="BX131" s="4">
        <f>IF(Scores[[#This Row],[Final]]&gt;=65,1,0)</f>
        <v>0</v>
      </c>
      <c r="BY131" s="4">
        <f>IF(Scores[[#This Row],[Final]]&gt;=IF(Scores[[#This Row],[IEP]],55,65),1,0)</f>
        <v>0</v>
      </c>
    </row>
    <row r="132" spans="1:77" x14ac:dyDescent="0.2">
      <c r="A132" s="6">
        <v>131</v>
      </c>
      <c r="B132" s="4">
        <v>11</v>
      </c>
      <c r="C132" s="4" t="s">
        <v>962</v>
      </c>
      <c r="D132" s="105" t="b">
        <v>0</v>
      </c>
      <c r="E132" s="105" t="b">
        <v>0</v>
      </c>
      <c r="F132" s="86">
        <f>SUM(Scores[[#This Row],[Q1]:[Q28]])</f>
        <v>18</v>
      </c>
      <c r="G132" s="4">
        <f>SUM(Scores[[#This Row],[29]]:Scores[[#This Row],[30]])</f>
        <v>5</v>
      </c>
      <c r="H132" s="4">
        <f>SUM(Scores[[#This Row],[31]:[36]])</f>
        <v>5</v>
      </c>
      <c r="I132" s="4">
        <f>Scores[[#This Row],[37]]</f>
        <v>2</v>
      </c>
      <c r="J132" s="87">
        <f>INDEX('Conversion Chart'!$C$3:$M$47,MATCH(SUM(Scores[[#This Row],[MC]:[IIIA]]),'Conversion Chart'!$B$3:$B$47),MATCH(Scores[[#This Row],[IIIB]],'Conversion Chart'!$C$2:$M$2))</f>
        <v>71</v>
      </c>
      <c r="K132" s="103">
        <v>4</v>
      </c>
      <c r="L132" s="103">
        <v>2</v>
      </c>
      <c r="M132" s="103">
        <v>3</v>
      </c>
      <c r="N132" s="103">
        <v>1</v>
      </c>
      <c r="O132" s="103">
        <v>1</v>
      </c>
      <c r="P132" s="103">
        <v>4</v>
      </c>
      <c r="Q132" s="103">
        <v>3</v>
      </c>
      <c r="R132" s="103">
        <v>1</v>
      </c>
      <c r="S132" s="103">
        <v>3</v>
      </c>
      <c r="T132" s="103">
        <v>4</v>
      </c>
      <c r="U132" s="103">
        <v>1</v>
      </c>
      <c r="V132" s="103">
        <v>4</v>
      </c>
      <c r="W132" s="103">
        <v>1</v>
      </c>
      <c r="X132" s="103">
        <v>4</v>
      </c>
      <c r="Y132" s="103">
        <v>3</v>
      </c>
      <c r="Z132" s="103">
        <v>1</v>
      </c>
      <c r="AA132" s="103">
        <v>1</v>
      </c>
      <c r="AB132" s="103">
        <v>4</v>
      </c>
      <c r="AC132" s="103">
        <v>3</v>
      </c>
      <c r="AD132" s="103">
        <v>2</v>
      </c>
      <c r="AE132" s="103">
        <v>2</v>
      </c>
      <c r="AF132" s="103">
        <v>4</v>
      </c>
      <c r="AG132" s="103">
        <v>1</v>
      </c>
      <c r="AH132" s="103">
        <v>3</v>
      </c>
      <c r="AI132" s="103">
        <v>3</v>
      </c>
      <c r="AJ132" s="103">
        <v>4</v>
      </c>
      <c r="AK132" s="103">
        <v>1</v>
      </c>
      <c r="AL132" s="104">
        <v>3</v>
      </c>
      <c r="AM132" s="4">
        <v>3</v>
      </c>
      <c r="AN132" s="87">
        <v>2</v>
      </c>
      <c r="AO132" s="4">
        <v>1</v>
      </c>
      <c r="AP132" s="4">
        <v>1</v>
      </c>
      <c r="AQ132" s="4">
        <v>0</v>
      </c>
      <c r="AR132" s="4">
        <v>1</v>
      </c>
      <c r="AS132" s="4">
        <v>1</v>
      </c>
      <c r="AT132" s="4">
        <v>1</v>
      </c>
      <c r="AU132" s="107">
        <v>2</v>
      </c>
      <c r="AV132" s="4">
        <f>IF(K132=VLOOKUP(VALUE(K$1),Questions!$A:$E,5,FALSE),1,0)</f>
        <v>1</v>
      </c>
      <c r="AW132" s="4">
        <f>IF(L132=VLOOKUP(VALUE(L$1),Questions!$A:$E,5,FALSE),1,0)</f>
        <v>1</v>
      </c>
      <c r="AX132" s="4">
        <f>IF(M132=VLOOKUP(VALUE(M$1),Questions!$A:$E,5,FALSE),1,0)</f>
        <v>1</v>
      </c>
      <c r="AY132" s="4">
        <f>IF(N132=VLOOKUP(VALUE(N$1),Questions!$A:$E,5,FALSE),1,0)</f>
        <v>0</v>
      </c>
      <c r="AZ132" s="4">
        <f>IF(O132=VLOOKUP(VALUE(O$1),Questions!$A:$E,5,FALSE),1,0)</f>
        <v>1</v>
      </c>
      <c r="BA132" s="4">
        <f>IF(P132=VLOOKUP(VALUE(P$1),Questions!$A:$E,5,FALSE),1,0)</f>
        <v>1</v>
      </c>
      <c r="BB132" s="4">
        <f>IF(Q132=VLOOKUP(VALUE(Q$1),Questions!$A:$E,5,FALSE),1,0)</f>
        <v>1</v>
      </c>
      <c r="BC132" s="4">
        <f>IF(R132=VLOOKUP(VALUE(R$1),Questions!$A:$E,5,FALSE),1,0)</f>
        <v>0</v>
      </c>
      <c r="BD132" s="4">
        <f>IF(S132=VLOOKUP(VALUE(S$1),Questions!$A:$E,5,FALSE),1,0)</f>
        <v>0</v>
      </c>
      <c r="BE132" s="4">
        <f>IF(T132=VLOOKUP(VALUE(T$1),Questions!$A:$E,5,FALSE),1,0)</f>
        <v>0</v>
      </c>
      <c r="BF132" s="4">
        <f>IF(U132=VLOOKUP(VALUE(U$1),Questions!$A:$E,5,FALSE),1,0)</f>
        <v>0</v>
      </c>
      <c r="BG132" s="4">
        <f>IF(V132=VLOOKUP(VALUE(V$1),Questions!$A:$E,5,FALSE),1,0)</f>
        <v>1</v>
      </c>
      <c r="BH132" s="4">
        <f>IF(W132=VLOOKUP(VALUE(W$1),Questions!$A:$E,5,FALSE),1,0)</f>
        <v>0</v>
      </c>
      <c r="BI132" s="4">
        <f>IF(X132=VLOOKUP(VALUE(X$1),Questions!$A:$E,5,FALSE),1,0)</f>
        <v>1</v>
      </c>
      <c r="BJ132" s="4">
        <f>IF(Y132=VLOOKUP(VALUE(Y$1),Questions!$A:$E,5,FALSE),1,0)</f>
        <v>1</v>
      </c>
      <c r="BK132" s="4">
        <f>IF(Z132=VLOOKUP(VALUE(Z$1),Questions!$A:$E,5,FALSE),1,0)</f>
        <v>1</v>
      </c>
      <c r="BL132" s="4">
        <f>IF(AA132=VLOOKUP(VALUE(AA$1),Questions!$A:$E,5,FALSE),1,0)</f>
        <v>1</v>
      </c>
      <c r="BM132" s="4">
        <f>IF(AB132=VLOOKUP(VALUE(AB$1),Questions!$A:$E,5,FALSE),1,0)</f>
        <v>1</v>
      </c>
      <c r="BN132" s="4">
        <f>IF(AC132=VLOOKUP(VALUE(AC$1),Questions!$A:$E,5,FALSE),1,0)</f>
        <v>1</v>
      </c>
      <c r="BO132" s="4">
        <f>IF(AD132=VLOOKUP(VALUE(AD$1),Questions!$A:$E,5,FALSE),1,0)</f>
        <v>0</v>
      </c>
      <c r="BP132" s="4">
        <f>IF(AE132=VLOOKUP(VALUE(AE$1),Questions!$A:$E,5,FALSE),1,0)</f>
        <v>1</v>
      </c>
      <c r="BQ132" s="4">
        <f>IF(AF132=VLOOKUP(VALUE(AF$1),Questions!$A:$E,5,FALSE),1,0)</f>
        <v>0</v>
      </c>
      <c r="BR132" s="4">
        <f>IF(AG132=VLOOKUP(VALUE(AG$1),Questions!$A:$E,5,FALSE),1,0)</f>
        <v>0</v>
      </c>
      <c r="BS132" s="4">
        <f>IF(AH132=VLOOKUP(VALUE(AH$1),Questions!$A:$E,5,FALSE),1,0)</f>
        <v>1</v>
      </c>
      <c r="BT132" s="4">
        <f>IF(AI132=VLOOKUP(VALUE(AI$1),Questions!$A:$E,5,FALSE),1,0)</f>
        <v>0</v>
      </c>
      <c r="BU132" s="4">
        <f>IF(AJ132=VLOOKUP(VALUE(AJ$1),Questions!$A:$E,5,FALSE),1,0)</f>
        <v>1</v>
      </c>
      <c r="BV132" s="4">
        <f>IF(AK132=VLOOKUP(VALUE(AK$1),Questions!$A:$E,5,FALSE),1,0)</f>
        <v>1</v>
      </c>
      <c r="BW132" s="87">
        <f>IF(AL132=VLOOKUP(VALUE(AL$1),Questions!$A:$E,5,FALSE),1,0)</f>
        <v>1</v>
      </c>
      <c r="BX132" s="4">
        <f>IF(Scores[[#This Row],[Final]]&gt;=65,1,0)</f>
        <v>1</v>
      </c>
      <c r="BY132" s="4">
        <f>IF(Scores[[#This Row],[Final]]&gt;=IF(Scores[[#This Row],[IEP]],55,65),1,0)</f>
        <v>1</v>
      </c>
    </row>
    <row r="133" spans="1:77" x14ac:dyDescent="0.2">
      <c r="A133" s="6">
        <v>132</v>
      </c>
      <c r="B133" s="4">
        <v>9</v>
      </c>
      <c r="C133" s="4" t="s">
        <v>963</v>
      </c>
      <c r="D133" s="105" t="b">
        <v>0</v>
      </c>
      <c r="E133" s="105" t="b">
        <v>0</v>
      </c>
      <c r="F133" s="86">
        <f>SUM(Scores[[#This Row],[Q1]:[Q28]])</f>
        <v>17</v>
      </c>
      <c r="G133" s="4">
        <f>SUM(Scores[[#This Row],[29]]:Scores[[#This Row],[30]])</f>
        <v>6</v>
      </c>
      <c r="H133" s="4">
        <f>SUM(Scores[[#This Row],[31]:[36]])</f>
        <v>3</v>
      </c>
      <c r="I133" s="4">
        <f>Scores[[#This Row],[37]]</f>
        <v>1</v>
      </c>
      <c r="J133" s="87">
        <f>INDEX('Conversion Chart'!$C$3:$M$47,MATCH(SUM(Scores[[#This Row],[MC]:[IIIA]]),'Conversion Chart'!$B$3:$B$47),MATCH(Scores[[#This Row],[IIIB]],'Conversion Chart'!$C$2:$M$2))</f>
        <v>66</v>
      </c>
      <c r="K133" s="103">
        <v>4</v>
      </c>
      <c r="L133" s="103">
        <v>2</v>
      </c>
      <c r="M133" s="103">
        <v>3</v>
      </c>
      <c r="N133" s="103">
        <v>1</v>
      </c>
      <c r="O133" s="103">
        <v>1</v>
      </c>
      <c r="P133" s="103">
        <v>2</v>
      </c>
      <c r="Q133" s="103">
        <v>3</v>
      </c>
      <c r="R133" s="103">
        <v>2</v>
      </c>
      <c r="S133" s="103">
        <v>2</v>
      </c>
      <c r="T133" s="103">
        <v>1</v>
      </c>
      <c r="U133" s="103">
        <v>2</v>
      </c>
      <c r="V133" s="103">
        <v>2</v>
      </c>
      <c r="W133" s="103">
        <v>2</v>
      </c>
      <c r="X133" s="103">
        <v>3</v>
      </c>
      <c r="Y133" s="103">
        <v>1</v>
      </c>
      <c r="Z133" s="103">
        <v>4</v>
      </c>
      <c r="AA133" s="103">
        <v>1</v>
      </c>
      <c r="AB133" s="103">
        <v>4</v>
      </c>
      <c r="AC133" s="103">
        <v>1</v>
      </c>
      <c r="AD133" s="103">
        <v>1</v>
      </c>
      <c r="AE133" s="103">
        <v>2</v>
      </c>
      <c r="AF133" s="103">
        <v>2</v>
      </c>
      <c r="AG133" s="103">
        <v>3</v>
      </c>
      <c r="AH133" s="103">
        <v>4</v>
      </c>
      <c r="AI133" s="103">
        <v>3</v>
      </c>
      <c r="AJ133" s="103">
        <v>4</v>
      </c>
      <c r="AK133" s="103">
        <v>4</v>
      </c>
      <c r="AL133" s="104">
        <v>3</v>
      </c>
      <c r="AM133" s="4">
        <v>4</v>
      </c>
      <c r="AN133" s="87">
        <v>2</v>
      </c>
      <c r="AO133" s="4">
        <v>1</v>
      </c>
      <c r="AP133" s="4">
        <v>1</v>
      </c>
      <c r="AQ133" s="4">
        <v>0</v>
      </c>
      <c r="AR133" s="4">
        <v>0</v>
      </c>
      <c r="AS133" s="4">
        <v>1</v>
      </c>
      <c r="AT133" s="4">
        <v>0</v>
      </c>
      <c r="AU133" s="107">
        <v>1</v>
      </c>
      <c r="AV133" s="4">
        <f>IF(K133=VLOOKUP(VALUE(K$1),Questions!$A:$E,5,FALSE),1,0)</f>
        <v>1</v>
      </c>
      <c r="AW133" s="4">
        <f>IF(L133=VLOOKUP(VALUE(L$1),Questions!$A:$E,5,FALSE),1,0)</f>
        <v>1</v>
      </c>
      <c r="AX133" s="4">
        <f>IF(M133=VLOOKUP(VALUE(M$1),Questions!$A:$E,5,FALSE),1,0)</f>
        <v>1</v>
      </c>
      <c r="AY133" s="4">
        <f>IF(N133=VLOOKUP(VALUE(N$1),Questions!$A:$E,5,FALSE),1,0)</f>
        <v>0</v>
      </c>
      <c r="AZ133" s="4">
        <f>IF(O133=VLOOKUP(VALUE(O$1),Questions!$A:$E,5,FALSE),1,0)</f>
        <v>1</v>
      </c>
      <c r="BA133" s="4">
        <f>IF(P133=VLOOKUP(VALUE(P$1),Questions!$A:$E,5,FALSE),1,0)</f>
        <v>0</v>
      </c>
      <c r="BB133" s="4">
        <f>IF(Q133=VLOOKUP(VALUE(Q$1),Questions!$A:$E,5,FALSE),1,0)</f>
        <v>1</v>
      </c>
      <c r="BC133" s="4">
        <f>IF(R133=VLOOKUP(VALUE(R$1),Questions!$A:$E,5,FALSE),1,0)</f>
        <v>1</v>
      </c>
      <c r="BD133" s="4">
        <f>IF(S133=VLOOKUP(VALUE(S$1),Questions!$A:$E,5,FALSE),1,0)</f>
        <v>1</v>
      </c>
      <c r="BE133" s="4">
        <f>IF(T133=VLOOKUP(VALUE(T$1),Questions!$A:$E,5,FALSE),1,0)</f>
        <v>1</v>
      </c>
      <c r="BF133" s="4">
        <f>IF(U133=VLOOKUP(VALUE(U$1),Questions!$A:$E,5,FALSE),1,0)</f>
        <v>1</v>
      </c>
      <c r="BG133" s="4">
        <f>IF(V133=VLOOKUP(VALUE(V$1),Questions!$A:$E,5,FALSE),1,0)</f>
        <v>0</v>
      </c>
      <c r="BH133" s="4">
        <f>IF(W133=VLOOKUP(VALUE(W$1),Questions!$A:$E,5,FALSE),1,0)</f>
        <v>1</v>
      </c>
      <c r="BI133" s="4">
        <f>IF(X133=VLOOKUP(VALUE(X$1),Questions!$A:$E,5,FALSE),1,0)</f>
        <v>0</v>
      </c>
      <c r="BJ133" s="4">
        <f>IF(Y133=VLOOKUP(VALUE(Y$1),Questions!$A:$E,5,FALSE),1,0)</f>
        <v>0</v>
      </c>
      <c r="BK133" s="4">
        <f>IF(Z133=VLOOKUP(VALUE(Z$1),Questions!$A:$E,5,FALSE),1,0)</f>
        <v>0</v>
      </c>
      <c r="BL133" s="4">
        <f>IF(AA133=VLOOKUP(VALUE(AA$1),Questions!$A:$E,5,FALSE),1,0)</f>
        <v>1</v>
      </c>
      <c r="BM133" s="4">
        <f>IF(AB133=VLOOKUP(VALUE(AB$1),Questions!$A:$E,5,FALSE),1,0)</f>
        <v>1</v>
      </c>
      <c r="BN133" s="4">
        <f>IF(AC133=VLOOKUP(VALUE(AC$1),Questions!$A:$E,5,FALSE),1,0)</f>
        <v>0</v>
      </c>
      <c r="BO133" s="4">
        <f>IF(AD133=VLOOKUP(VALUE(AD$1),Questions!$A:$E,5,FALSE),1,0)</f>
        <v>0</v>
      </c>
      <c r="BP133" s="4">
        <f>IF(AE133=VLOOKUP(VALUE(AE$1),Questions!$A:$E,5,FALSE),1,0)</f>
        <v>1</v>
      </c>
      <c r="BQ133" s="4">
        <f>IF(AF133=VLOOKUP(VALUE(AF$1),Questions!$A:$E,5,FALSE),1,0)</f>
        <v>1</v>
      </c>
      <c r="BR133" s="4">
        <f>IF(AG133=VLOOKUP(VALUE(AG$1),Questions!$A:$E,5,FALSE),1,0)</f>
        <v>1</v>
      </c>
      <c r="BS133" s="4">
        <f>IF(AH133=VLOOKUP(VALUE(AH$1),Questions!$A:$E,5,FALSE),1,0)</f>
        <v>0</v>
      </c>
      <c r="BT133" s="4">
        <f>IF(AI133=VLOOKUP(VALUE(AI$1),Questions!$A:$E,5,FALSE),1,0)</f>
        <v>0</v>
      </c>
      <c r="BU133" s="4">
        <f>IF(AJ133=VLOOKUP(VALUE(AJ$1),Questions!$A:$E,5,FALSE),1,0)</f>
        <v>1</v>
      </c>
      <c r="BV133" s="4">
        <f>IF(AK133=VLOOKUP(VALUE(AK$1),Questions!$A:$E,5,FALSE),1,0)</f>
        <v>0</v>
      </c>
      <c r="BW133" s="87">
        <f>IF(AL133=VLOOKUP(VALUE(AL$1),Questions!$A:$E,5,FALSE),1,0)</f>
        <v>1</v>
      </c>
      <c r="BX133" s="4">
        <f>IF(Scores[[#This Row],[Final]]&gt;=65,1,0)</f>
        <v>1</v>
      </c>
      <c r="BY133" s="4">
        <f>IF(Scores[[#This Row],[Final]]&gt;=IF(Scores[[#This Row],[IEP]],55,65),1,0)</f>
        <v>1</v>
      </c>
    </row>
    <row r="134" spans="1:77" x14ac:dyDescent="0.2">
      <c r="A134" s="6">
        <v>133</v>
      </c>
      <c r="B134" s="4">
        <v>11</v>
      </c>
      <c r="C134" s="4" t="s">
        <v>968</v>
      </c>
      <c r="D134" s="105" t="b">
        <v>0</v>
      </c>
      <c r="E134" s="105" t="b">
        <v>0</v>
      </c>
      <c r="F134" s="86">
        <f>SUM(Scores[[#This Row],[Q1]:[Q28]])</f>
        <v>22</v>
      </c>
      <c r="G134" s="4">
        <f>SUM(Scores[[#This Row],[29]]:Scores[[#This Row],[30]])</f>
        <v>9</v>
      </c>
      <c r="H134" s="4">
        <f>SUM(Scores[[#This Row],[31]:[36]])</f>
        <v>6</v>
      </c>
      <c r="I134" s="4">
        <f>Scores[[#This Row],[37]]</f>
        <v>3.5</v>
      </c>
      <c r="J134" s="87">
        <f>INDEX('Conversion Chart'!$C$3:$M$47,MATCH(SUM(Scores[[#This Row],[MC]:[IIIA]]),'Conversion Chart'!$B$3:$B$47),MATCH(Scores[[#This Row],[IIIB]],'Conversion Chart'!$C$2:$M$2))</f>
        <v>85</v>
      </c>
      <c r="K134" s="103">
        <v>3</v>
      </c>
      <c r="L134" s="103">
        <v>2</v>
      </c>
      <c r="M134" s="103">
        <v>1</v>
      </c>
      <c r="N134" s="103">
        <v>3</v>
      </c>
      <c r="O134" s="103">
        <v>1</v>
      </c>
      <c r="P134" s="103">
        <v>4</v>
      </c>
      <c r="Q134" s="103">
        <v>3</v>
      </c>
      <c r="R134" s="103">
        <v>2</v>
      </c>
      <c r="S134" s="103">
        <v>2</v>
      </c>
      <c r="T134" s="103">
        <v>1</v>
      </c>
      <c r="U134" s="103">
        <v>2</v>
      </c>
      <c r="V134" s="103">
        <v>3</v>
      </c>
      <c r="W134" s="103">
        <v>2</v>
      </c>
      <c r="X134" s="103">
        <v>4</v>
      </c>
      <c r="Y134" s="103">
        <v>3</v>
      </c>
      <c r="Z134" s="103">
        <v>1</v>
      </c>
      <c r="AA134" s="103">
        <v>1</v>
      </c>
      <c r="AB134" s="103">
        <v>4</v>
      </c>
      <c r="AC134" s="103">
        <v>3</v>
      </c>
      <c r="AD134" s="103">
        <v>4</v>
      </c>
      <c r="AE134" s="103">
        <v>2</v>
      </c>
      <c r="AF134" s="103">
        <v>2</v>
      </c>
      <c r="AG134" s="103">
        <v>3</v>
      </c>
      <c r="AH134" s="103">
        <v>4</v>
      </c>
      <c r="AI134" s="103">
        <v>3</v>
      </c>
      <c r="AJ134" s="103">
        <v>4</v>
      </c>
      <c r="AK134" s="103">
        <v>4</v>
      </c>
      <c r="AL134" s="104">
        <v>3</v>
      </c>
      <c r="AM134" s="4">
        <v>4</v>
      </c>
      <c r="AN134" s="87">
        <v>5</v>
      </c>
      <c r="AO134" s="4">
        <v>1</v>
      </c>
      <c r="AP134" s="4">
        <v>1</v>
      </c>
      <c r="AQ134" s="4">
        <v>1</v>
      </c>
      <c r="AR134" s="4">
        <v>1</v>
      </c>
      <c r="AS134" s="4">
        <v>1</v>
      </c>
      <c r="AT134" s="4">
        <v>1</v>
      </c>
      <c r="AU134" s="107">
        <v>3.5</v>
      </c>
      <c r="AV134" s="4">
        <f>IF(K134=VLOOKUP(VALUE(K$1),Questions!$A:$E,5,FALSE),1,0)</f>
        <v>0</v>
      </c>
      <c r="AW134" s="4">
        <f>IF(L134=VLOOKUP(VALUE(L$1),Questions!$A:$E,5,FALSE),1,0)</f>
        <v>1</v>
      </c>
      <c r="AX134" s="4">
        <f>IF(M134=VLOOKUP(VALUE(M$1),Questions!$A:$E,5,FALSE),1,0)</f>
        <v>0</v>
      </c>
      <c r="AY134" s="4">
        <f>IF(N134=VLOOKUP(VALUE(N$1),Questions!$A:$E,5,FALSE),1,0)</f>
        <v>1</v>
      </c>
      <c r="AZ134" s="4">
        <f>IF(O134=VLOOKUP(VALUE(O$1),Questions!$A:$E,5,FALSE),1,0)</f>
        <v>1</v>
      </c>
      <c r="BA134" s="4">
        <f>IF(P134=VLOOKUP(VALUE(P$1),Questions!$A:$E,5,FALSE),1,0)</f>
        <v>1</v>
      </c>
      <c r="BB134" s="4">
        <f>IF(Q134=VLOOKUP(VALUE(Q$1),Questions!$A:$E,5,FALSE),1,0)</f>
        <v>1</v>
      </c>
      <c r="BC134" s="4">
        <f>IF(R134=VLOOKUP(VALUE(R$1),Questions!$A:$E,5,FALSE),1,0)</f>
        <v>1</v>
      </c>
      <c r="BD134" s="4">
        <f>IF(S134=VLOOKUP(VALUE(S$1),Questions!$A:$E,5,FALSE),1,0)</f>
        <v>1</v>
      </c>
      <c r="BE134" s="4">
        <f>IF(T134=VLOOKUP(VALUE(T$1),Questions!$A:$E,5,FALSE),1,0)</f>
        <v>1</v>
      </c>
      <c r="BF134" s="4">
        <f>IF(U134=VLOOKUP(VALUE(U$1),Questions!$A:$E,5,FALSE),1,0)</f>
        <v>1</v>
      </c>
      <c r="BG134" s="4">
        <f>IF(V134=VLOOKUP(VALUE(V$1),Questions!$A:$E,5,FALSE),1,0)</f>
        <v>0</v>
      </c>
      <c r="BH134" s="4">
        <f>IF(W134=VLOOKUP(VALUE(W$1),Questions!$A:$E,5,FALSE),1,0)</f>
        <v>1</v>
      </c>
      <c r="BI134" s="4">
        <f>IF(X134=VLOOKUP(VALUE(X$1),Questions!$A:$E,5,FALSE),1,0)</f>
        <v>1</v>
      </c>
      <c r="BJ134" s="4">
        <f>IF(Y134=VLOOKUP(VALUE(Y$1),Questions!$A:$E,5,FALSE),1,0)</f>
        <v>1</v>
      </c>
      <c r="BK134" s="4">
        <f>IF(Z134=VLOOKUP(VALUE(Z$1),Questions!$A:$E,5,FALSE),1,0)</f>
        <v>1</v>
      </c>
      <c r="BL134" s="4">
        <f>IF(AA134=VLOOKUP(VALUE(AA$1),Questions!$A:$E,5,FALSE),1,0)</f>
        <v>1</v>
      </c>
      <c r="BM134" s="4">
        <f>IF(AB134=VLOOKUP(VALUE(AB$1),Questions!$A:$E,5,FALSE),1,0)</f>
        <v>1</v>
      </c>
      <c r="BN134" s="4">
        <f>IF(AC134=VLOOKUP(VALUE(AC$1),Questions!$A:$E,5,FALSE),1,0)</f>
        <v>1</v>
      </c>
      <c r="BO134" s="4">
        <f>IF(AD134=VLOOKUP(VALUE(AD$1),Questions!$A:$E,5,FALSE),1,0)</f>
        <v>1</v>
      </c>
      <c r="BP134" s="4">
        <f>IF(AE134=VLOOKUP(VALUE(AE$1),Questions!$A:$E,5,FALSE),1,0)</f>
        <v>1</v>
      </c>
      <c r="BQ134" s="4">
        <f>IF(AF134=VLOOKUP(VALUE(AF$1),Questions!$A:$E,5,FALSE),1,0)</f>
        <v>1</v>
      </c>
      <c r="BR134" s="4">
        <f>IF(AG134=VLOOKUP(VALUE(AG$1),Questions!$A:$E,5,FALSE),1,0)</f>
        <v>1</v>
      </c>
      <c r="BS134" s="4">
        <f>IF(AH134=VLOOKUP(VALUE(AH$1),Questions!$A:$E,5,FALSE),1,0)</f>
        <v>0</v>
      </c>
      <c r="BT134" s="4">
        <f>IF(AI134=VLOOKUP(VALUE(AI$1),Questions!$A:$E,5,FALSE),1,0)</f>
        <v>0</v>
      </c>
      <c r="BU134" s="4">
        <f>IF(AJ134=VLOOKUP(VALUE(AJ$1),Questions!$A:$E,5,FALSE),1,0)</f>
        <v>1</v>
      </c>
      <c r="BV134" s="4">
        <f>IF(AK134=VLOOKUP(VALUE(AK$1),Questions!$A:$E,5,FALSE),1,0)</f>
        <v>0</v>
      </c>
      <c r="BW134" s="87">
        <f>IF(AL134=VLOOKUP(VALUE(AL$1),Questions!$A:$E,5,FALSE),1,0)</f>
        <v>1</v>
      </c>
      <c r="BX134" s="4">
        <f>IF(Scores[[#This Row],[Final]]&gt;=65,1,0)</f>
        <v>1</v>
      </c>
      <c r="BY134" s="4">
        <f>IF(Scores[[#This Row],[Final]]&gt;=IF(Scores[[#This Row],[IEP]],55,65),1,0)</f>
        <v>1</v>
      </c>
    </row>
    <row r="135" spans="1:77" x14ac:dyDescent="0.2">
      <c r="A135" s="6">
        <v>134</v>
      </c>
      <c r="B135" s="4">
        <v>11</v>
      </c>
      <c r="C135" s="4" t="s">
        <v>962</v>
      </c>
      <c r="D135" s="105" t="b">
        <v>0</v>
      </c>
      <c r="E135" s="105" t="b">
        <v>0</v>
      </c>
      <c r="F135" s="86">
        <f>SUM(Scores[[#This Row],[Q1]:[Q28]])</f>
        <v>18</v>
      </c>
      <c r="G135" s="4">
        <f>SUM(Scores[[#This Row],[29]]:Scores[[#This Row],[30]])</f>
        <v>4</v>
      </c>
      <c r="H135" s="4">
        <f>SUM(Scores[[#This Row],[31]:[36]])</f>
        <v>5</v>
      </c>
      <c r="I135" s="4">
        <f>Scores[[#This Row],[37]]</f>
        <v>2.5</v>
      </c>
      <c r="J135" s="87">
        <f>INDEX('Conversion Chart'!$C$3:$M$47,MATCH(SUM(Scores[[#This Row],[MC]:[IIIA]]),'Conversion Chart'!$B$3:$B$47),MATCH(Scores[[#This Row],[IIIB]],'Conversion Chart'!$C$2:$M$2))</f>
        <v>72</v>
      </c>
      <c r="K135" s="103">
        <v>3</v>
      </c>
      <c r="L135" s="103">
        <v>2</v>
      </c>
      <c r="M135" s="103">
        <v>2</v>
      </c>
      <c r="N135" s="103">
        <v>3</v>
      </c>
      <c r="O135" s="103">
        <v>1</v>
      </c>
      <c r="P135" s="103">
        <v>4</v>
      </c>
      <c r="Q135" s="103">
        <v>3</v>
      </c>
      <c r="R135" s="103">
        <v>2</v>
      </c>
      <c r="S135" s="103">
        <v>3</v>
      </c>
      <c r="T135" s="103">
        <v>1</v>
      </c>
      <c r="U135" s="103">
        <v>1</v>
      </c>
      <c r="V135" s="103">
        <v>3</v>
      </c>
      <c r="W135" s="103">
        <v>2</v>
      </c>
      <c r="X135" s="103">
        <v>4</v>
      </c>
      <c r="Y135" s="103">
        <v>1</v>
      </c>
      <c r="Z135" s="103">
        <v>4</v>
      </c>
      <c r="AA135" s="103">
        <v>1</v>
      </c>
      <c r="AB135" s="103">
        <v>4</v>
      </c>
      <c r="AC135" s="103">
        <v>1</v>
      </c>
      <c r="AD135" s="103">
        <v>4</v>
      </c>
      <c r="AE135" s="103">
        <v>2</v>
      </c>
      <c r="AF135" s="103">
        <v>2</v>
      </c>
      <c r="AG135" s="103">
        <v>4</v>
      </c>
      <c r="AH135" s="103">
        <v>3</v>
      </c>
      <c r="AI135" s="103">
        <v>3</v>
      </c>
      <c r="AJ135" s="103">
        <v>4</v>
      </c>
      <c r="AK135" s="103">
        <v>1</v>
      </c>
      <c r="AL135" s="104">
        <v>3</v>
      </c>
      <c r="AM135" s="4">
        <v>3</v>
      </c>
      <c r="AN135" s="87">
        <v>1</v>
      </c>
      <c r="AO135" s="4">
        <v>1</v>
      </c>
      <c r="AP135" s="4">
        <v>1</v>
      </c>
      <c r="AQ135" s="4">
        <v>1</v>
      </c>
      <c r="AR135" s="4">
        <v>1</v>
      </c>
      <c r="AS135" s="4">
        <v>1</v>
      </c>
      <c r="AT135" s="4">
        <v>0</v>
      </c>
      <c r="AU135" s="107">
        <v>2.5</v>
      </c>
      <c r="AV135" s="4">
        <f>IF(K135=VLOOKUP(VALUE(K$1),Questions!$A:$E,5,FALSE),1,0)</f>
        <v>0</v>
      </c>
      <c r="AW135" s="4">
        <f>IF(L135=VLOOKUP(VALUE(L$1),Questions!$A:$E,5,FALSE),1,0)</f>
        <v>1</v>
      </c>
      <c r="AX135" s="4">
        <f>IF(M135=VLOOKUP(VALUE(M$1),Questions!$A:$E,5,FALSE),1,0)</f>
        <v>0</v>
      </c>
      <c r="AY135" s="4">
        <f>IF(N135=VLOOKUP(VALUE(N$1),Questions!$A:$E,5,FALSE),1,0)</f>
        <v>1</v>
      </c>
      <c r="AZ135" s="4">
        <f>IF(O135=VLOOKUP(VALUE(O$1),Questions!$A:$E,5,FALSE),1,0)</f>
        <v>1</v>
      </c>
      <c r="BA135" s="4">
        <f>IF(P135=VLOOKUP(VALUE(P$1),Questions!$A:$E,5,FALSE),1,0)</f>
        <v>1</v>
      </c>
      <c r="BB135" s="4">
        <f>IF(Q135=VLOOKUP(VALUE(Q$1),Questions!$A:$E,5,FALSE),1,0)</f>
        <v>1</v>
      </c>
      <c r="BC135" s="4">
        <f>IF(R135=VLOOKUP(VALUE(R$1),Questions!$A:$E,5,FALSE),1,0)</f>
        <v>1</v>
      </c>
      <c r="BD135" s="4">
        <f>IF(S135=VLOOKUP(VALUE(S$1),Questions!$A:$E,5,FALSE),1,0)</f>
        <v>0</v>
      </c>
      <c r="BE135" s="4">
        <f>IF(T135=VLOOKUP(VALUE(T$1),Questions!$A:$E,5,FALSE),1,0)</f>
        <v>1</v>
      </c>
      <c r="BF135" s="4">
        <f>IF(U135=VLOOKUP(VALUE(U$1),Questions!$A:$E,5,FALSE),1,0)</f>
        <v>0</v>
      </c>
      <c r="BG135" s="4">
        <f>IF(V135=VLOOKUP(VALUE(V$1),Questions!$A:$E,5,FALSE),1,0)</f>
        <v>0</v>
      </c>
      <c r="BH135" s="4">
        <f>IF(W135=VLOOKUP(VALUE(W$1),Questions!$A:$E,5,FALSE),1,0)</f>
        <v>1</v>
      </c>
      <c r="BI135" s="4">
        <f>IF(X135=VLOOKUP(VALUE(X$1),Questions!$A:$E,5,FALSE),1,0)</f>
        <v>1</v>
      </c>
      <c r="BJ135" s="4">
        <f>IF(Y135=VLOOKUP(VALUE(Y$1),Questions!$A:$E,5,FALSE),1,0)</f>
        <v>0</v>
      </c>
      <c r="BK135" s="4">
        <f>IF(Z135=VLOOKUP(VALUE(Z$1),Questions!$A:$E,5,FALSE),1,0)</f>
        <v>0</v>
      </c>
      <c r="BL135" s="4">
        <f>IF(AA135=VLOOKUP(VALUE(AA$1),Questions!$A:$E,5,FALSE),1,0)</f>
        <v>1</v>
      </c>
      <c r="BM135" s="4">
        <f>IF(AB135=VLOOKUP(VALUE(AB$1),Questions!$A:$E,5,FALSE),1,0)</f>
        <v>1</v>
      </c>
      <c r="BN135" s="4">
        <f>IF(AC135=VLOOKUP(VALUE(AC$1),Questions!$A:$E,5,FALSE),1,0)</f>
        <v>0</v>
      </c>
      <c r="BO135" s="4">
        <f>IF(AD135=VLOOKUP(VALUE(AD$1),Questions!$A:$E,5,FALSE),1,0)</f>
        <v>1</v>
      </c>
      <c r="BP135" s="4">
        <f>IF(AE135=VLOOKUP(VALUE(AE$1),Questions!$A:$E,5,FALSE),1,0)</f>
        <v>1</v>
      </c>
      <c r="BQ135" s="4">
        <f>IF(AF135=VLOOKUP(VALUE(AF$1),Questions!$A:$E,5,FALSE),1,0)</f>
        <v>1</v>
      </c>
      <c r="BR135" s="4">
        <f>IF(AG135=VLOOKUP(VALUE(AG$1),Questions!$A:$E,5,FALSE),1,0)</f>
        <v>0</v>
      </c>
      <c r="BS135" s="4">
        <f>IF(AH135=VLOOKUP(VALUE(AH$1),Questions!$A:$E,5,FALSE),1,0)</f>
        <v>1</v>
      </c>
      <c r="BT135" s="4">
        <f>IF(AI135=VLOOKUP(VALUE(AI$1),Questions!$A:$E,5,FALSE),1,0)</f>
        <v>0</v>
      </c>
      <c r="BU135" s="4">
        <f>IF(AJ135=VLOOKUP(VALUE(AJ$1),Questions!$A:$E,5,FALSE),1,0)</f>
        <v>1</v>
      </c>
      <c r="BV135" s="4">
        <f>IF(AK135=VLOOKUP(VALUE(AK$1),Questions!$A:$E,5,FALSE),1,0)</f>
        <v>1</v>
      </c>
      <c r="BW135" s="87">
        <f>IF(AL135=VLOOKUP(VALUE(AL$1),Questions!$A:$E,5,FALSE),1,0)</f>
        <v>1</v>
      </c>
      <c r="BX135" s="4">
        <f>IF(Scores[[#This Row],[Final]]&gt;=65,1,0)</f>
        <v>1</v>
      </c>
      <c r="BY135" s="4">
        <f>IF(Scores[[#This Row],[Final]]&gt;=IF(Scores[[#This Row],[IEP]],55,65),1,0)</f>
        <v>1</v>
      </c>
    </row>
    <row r="136" spans="1:77" x14ac:dyDescent="0.2">
      <c r="A136" s="6">
        <v>135</v>
      </c>
      <c r="B136" s="4">
        <v>9</v>
      </c>
      <c r="C136" s="4" t="s">
        <v>963</v>
      </c>
      <c r="D136" s="105" t="b">
        <v>0</v>
      </c>
      <c r="E136" s="105" t="b">
        <v>0</v>
      </c>
      <c r="F136" s="86">
        <f>SUM(Scores[[#This Row],[Q1]:[Q28]])</f>
        <v>21</v>
      </c>
      <c r="G136" s="4">
        <f>SUM(Scores[[#This Row],[29]]:Scores[[#This Row],[30]])</f>
        <v>3</v>
      </c>
      <c r="H136" s="4">
        <f>SUM(Scores[[#This Row],[31]:[36]])</f>
        <v>6</v>
      </c>
      <c r="I136" s="4">
        <f>Scores[[#This Row],[37]]</f>
        <v>2</v>
      </c>
      <c r="J136" s="87">
        <f>INDEX('Conversion Chart'!$C$3:$M$47,MATCH(SUM(Scores[[#This Row],[MC]:[IIIA]]),'Conversion Chart'!$B$3:$B$47),MATCH(Scores[[#This Row],[IIIB]],'Conversion Chart'!$C$2:$M$2))</f>
        <v>73</v>
      </c>
      <c r="K136" s="103">
        <v>1</v>
      </c>
      <c r="L136" s="103">
        <v>1</v>
      </c>
      <c r="M136" s="103">
        <v>3</v>
      </c>
      <c r="N136" s="103">
        <v>1</v>
      </c>
      <c r="O136" s="103">
        <v>1</v>
      </c>
      <c r="P136" s="103">
        <v>3</v>
      </c>
      <c r="Q136" s="103">
        <v>3</v>
      </c>
      <c r="R136" s="103">
        <v>2</v>
      </c>
      <c r="S136" s="103">
        <v>2</v>
      </c>
      <c r="T136" s="103">
        <v>1</v>
      </c>
      <c r="U136" s="103">
        <v>2</v>
      </c>
      <c r="V136" s="103">
        <v>4</v>
      </c>
      <c r="W136" s="103">
        <v>2</v>
      </c>
      <c r="X136" s="103">
        <v>4</v>
      </c>
      <c r="Y136" s="103">
        <v>3</v>
      </c>
      <c r="Z136" s="103">
        <v>1</v>
      </c>
      <c r="AA136" s="103">
        <v>1</v>
      </c>
      <c r="AB136" s="103">
        <v>4</v>
      </c>
      <c r="AC136" s="103">
        <v>3</v>
      </c>
      <c r="AD136" s="103">
        <v>4</v>
      </c>
      <c r="AE136" s="103">
        <v>2</v>
      </c>
      <c r="AF136" s="103">
        <v>2</v>
      </c>
      <c r="AG136" s="103">
        <v>1</v>
      </c>
      <c r="AH136" s="103">
        <v>2</v>
      </c>
      <c r="AI136" s="103">
        <v>3</v>
      </c>
      <c r="AJ136" s="103">
        <v>4</v>
      </c>
      <c r="AK136" s="103">
        <v>1</v>
      </c>
      <c r="AL136" s="104">
        <v>3</v>
      </c>
      <c r="AM136" s="4">
        <v>2</v>
      </c>
      <c r="AN136" s="87">
        <v>1</v>
      </c>
      <c r="AO136" s="4">
        <v>1</v>
      </c>
      <c r="AP136" s="4">
        <v>1</v>
      </c>
      <c r="AQ136" s="4">
        <v>1</v>
      </c>
      <c r="AR136" s="4">
        <v>1</v>
      </c>
      <c r="AS136" s="4">
        <v>1</v>
      </c>
      <c r="AT136" s="4">
        <v>1</v>
      </c>
      <c r="AU136" s="107">
        <v>2</v>
      </c>
      <c r="AV136" s="4">
        <f>IF(K136=VLOOKUP(VALUE(K$1),Questions!$A:$E,5,FALSE),1,0)</f>
        <v>0</v>
      </c>
      <c r="AW136" s="4">
        <f>IF(L136=VLOOKUP(VALUE(L$1),Questions!$A:$E,5,FALSE),1,0)</f>
        <v>0</v>
      </c>
      <c r="AX136" s="4">
        <f>IF(M136=VLOOKUP(VALUE(M$1),Questions!$A:$E,5,FALSE),1,0)</f>
        <v>1</v>
      </c>
      <c r="AY136" s="4">
        <f>IF(N136=VLOOKUP(VALUE(N$1),Questions!$A:$E,5,FALSE),1,0)</f>
        <v>0</v>
      </c>
      <c r="AZ136" s="4">
        <f>IF(O136=VLOOKUP(VALUE(O$1),Questions!$A:$E,5,FALSE),1,0)</f>
        <v>1</v>
      </c>
      <c r="BA136" s="4">
        <f>IF(P136=VLOOKUP(VALUE(P$1),Questions!$A:$E,5,FALSE),1,0)</f>
        <v>0</v>
      </c>
      <c r="BB136" s="4">
        <f>IF(Q136=VLOOKUP(VALUE(Q$1),Questions!$A:$E,5,FALSE),1,0)</f>
        <v>1</v>
      </c>
      <c r="BC136" s="4">
        <f>IF(R136=VLOOKUP(VALUE(R$1),Questions!$A:$E,5,FALSE),1,0)</f>
        <v>1</v>
      </c>
      <c r="BD136" s="4">
        <f>IF(S136=VLOOKUP(VALUE(S$1),Questions!$A:$E,5,FALSE),1,0)</f>
        <v>1</v>
      </c>
      <c r="BE136" s="4">
        <f>IF(T136=VLOOKUP(VALUE(T$1),Questions!$A:$E,5,FALSE),1,0)</f>
        <v>1</v>
      </c>
      <c r="BF136" s="4">
        <f>IF(U136=VLOOKUP(VALUE(U$1),Questions!$A:$E,5,FALSE),1,0)</f>
        <v>1</v>
      </c>
      <c r="BG136" s="4">
        <f>IF(V136=VLOOKUP(VALUE(V$1),Questions!$A:$E,5,FALSE),1,0)</f>
        <v>1</v>
      </c>
      <c r="BH136" s="4">
        <f>IF(W136=VLOOKUP(VALUE(W$1),Questions!$A:$E,5,FALSE),1,0)</f>
        <v>1</v>
      </c>
      <c r="BI136" s="4">
        <f>IF(X136=VLOOKUP(VALUE(X$1),Questions!$A:$E,5,FALSE),1,0)</f>
        <v>1</v>
      </c>
      <c r="BJ136" s="4">
        <f>IF(Y136=VLOOKUP(VALUE(Y$1),Questions!$A:$E,5,FALSE),1,0)</f>
        <v>1</v>
      </c>
      <c r="BK136" s="4">
        <f>IF(Z136=VLOOKUP(VALUE(Z$1),Questions!$A:$E,5,FALSE),1,0)</f>
        <v>1</v>
      </c>
      <c r="BL136" s="4">
        <f>IF(AA136=VLOOKUP(VALUE(AA$1),Questions!$A:$E,5,FALSE),1,0)</f>
        <v>1</v>
      </c>
      <c r="BM136" s="4">
        <f>IF(AB136=VLOOKUP(VALUE(AB$1),Questions!$A:$E,5,FALSE),1,0)</f>
        <v>1</v>
      </c>
      <c r="BN136" s="4">
        <f>IF(AC136=VLOOKUP(VALUE(AC$1),Questions!$A:$E,5,FALSE),1,0)</f>
        <v>1</v>
      </c>
      <c r="BO136" s="4">
        <f>IF(AD136=VLOOKUP(VALUE(AD$1),Questions!$A:$E,5,FALSE),1,0)</f>
        <v>1</v>
      </c>
      <c r="BP136" s="4">
        <f>IF(AE136=VLOOKUP(VALUE(AE$1),Questions!$A:$E,5,FALSE),1,0)</f>
        <v>1</v>
      </c>
      <c r="BQ136" s="4">
        <f>IF(AF136=VLOOKUP(VALUE(AF$1),Questions!$A:$E,5,FALSE),1,0)</f>
        <v>1</v>
      </c>
      <c r="BR136" s="4">
        <f>IF(AG136=VLOOKUP(VALUE(AG$1),Questions!$A:$E,5,FALSE),1,0)</f>
        <v>0</v>
      </c>
      <c r="BS136" s="4">
        <f>IF(AH136=VLOOKUP(VALUE(AH$1),Questions!$A:$E,5,FALSE),1,0)</f>
        <v>0</v>
      </c>
      <c r="BT136" s="4">
        <f>IF(AI136=VLOOKUP(VALUE(AI$1),Questions!$A:$E,5,FALSE),1,0)</f>
        <v>0</v>
      </c>
      <c r="BU136" s="4">
        <f>IF(AJ136=VLOOKUP(VALUE(AJ$1),Questions!$A:$E,5,FALSE),1,0)</f>
        <v>1</v>
      </c>
      <c r="BV136" s="4">
        <f>IF(AK136=VLOOKUP(VALUE(AK$1),Questions!$A:$E,5,FALSE),1,0)</f>
        <v>1</v>
      </c>
      <c r="BW136" s="87">
        <f>IF(AL136=VLOOKUP(VALUE(AL$1),Questions!$A:$E,5,FALSE),1,0)</f>
        <v>1</v>
      </c>
      <c r="BX136" s="4">
        <f>IF(Scores[[#This Row],[Final]]&gt;=65,1,0)</f>
        <v>1</v>
      </c>
      <c r="BY136" s="4">
        <f>IF(Scores[[#This Row],[Final]]&gt;=IF(Scores[[#This Row],[IEP]],55,65),1,0)</f>
        <v>1</v>
      </c>
    </row>
    <row r="137" spans="1:77" x14ac:dyDescent="0.2">
      <c r="A137" s="6">
        <v>136</v>
      </c>
      <c r="B137" s="4">
        <v>9</v>
      </c>
      <c r="C137" s="4" t="s">
        <v>963</v>
      </c>
      <c r="D137" s="105" t="b">
        <v>0</v>
      </c>
      <c r="E137" s="105" t="b">
        <v>0</v>
      </c>
      <c r="F137" s="86">
        <f>SUM(Scores[[#This Row],[Q1]:[Q28]])</f>
        <v>18</v>
      </c>
      <c r="G137" s="4">
        <f>SUM(Scores[[#This Row],[29]]:Scores[[#This Row],[30]])</f>
        <v>6</v>
      </c>
      <c r="H137" s="4">
        <f>SUM(Scores[[#This Row],[31]:[36]])</f>
        <v>6</v>
      </c>
      <c r="I137" s="4">
        <f>Scores[[#This Row],[37]]</f>
        <v>2</v>
      </c>
      <c r="J137" s="87">
        <f>INDEX('Conversion Chart'!$C$3:$M$47,MATCH(SUM(Scores[[#This Row],[MC]:[IIIA]]),'Conversion Chart'!$B$3:$B$47),MATCH(Scores[[#This Row],[IIIB]],'Conversion Chart'!$C$2:$M$2))</f>
        <v>73</v>
      </c>
      <c r="K137" s="103">
        <v>1</v>
      </c>
      <c r="L137" s="103">
        <v>2</v>
      </c>
      <c r="M137" s="103">
        <v>1</v>
      </c>
      <c r="N137" s="103">
        <v>3</v>
      </c>
      <c r="O137" s="103">
        <v>2</v>
      </c>
      <c r="P137" s="103">
        <v>3</v>
      </c>
      <c r="Q137" s="103">
        <v>3</v>
      </c>
      <c r="R137" s="103">
        <v>2</v>
      </c>
      <c r="S137" s="103">
        <v>2</v>
      </c>
      <c r="T137" s="103">
        <v>1</v>
      </c>
      <c r="U137" s="103">
        <v>2</v>
      </c>
      <c r="V137" s="103">
        <v>4</v>
      </c>
      <c r="W137" s="103">
        <v>1</v>
      </c>
      <c r="X137" s="103">
        <v>4</v>
      </c>
      <c r="Y137" s="103">
        <v>3</v>
      </c>
      <c r="Z137" s="103">
        <v>4</v>
      </c>
      <c r="AA137" s="103">
        <v>1</v>
      </c>
      <c r="AB137" s="103">
        <v>4</v>
      </c>
      <c r="AC137" s="103">
        <v>3</v>
      </c>
      <c r="AD137" s="103">
        <v>4</v>
      </c>
      <c r="AE137" s="103">
        <v>2</v>
      </c>
      <c r="AF137" s="103">
        <v>2</v>
      </c>
      <c r="AG137" s="103">
        <v>3</v>
      </c>
      <c r="AH137" s="103">
        <v>2</v>
      </c>
      <c r="AI137" s="103">
        <v>3</v>
      </c>
      <c r="AJ137" s="103">
        <v>1</v>
      </c>
      <c r="AK137" s="103">
        <v>4</v>
      </c>
      <c r="AL137" s="104">
        <v>3</v>
      </c>
      <c r="AM137" s="4">
        <v>3</v>
      </c>
      <c r="AN137" s="87">
        <v>3</v>
      </c>
      <c r="AO137" s="4">
        <v>1</v>
      </c>
      <c r="AP137" s="4">
        <v>1</v>
      </c>
      <c r="AQ137" s="4">
        <v>1</v>
      </c>
      <c r="AR137" s="4">
        <v>1</v>
      </c>
      <c r="AS137" s="4">
        <v>1</v>
      </c>
      <c r="AT137" s="4">
        <v>1</v>
      </c>
      <c r="AU137" s="107">
        <v>2</v>
      </c>
      <c r="AV137" s="4">
        <f>IF(K137=VLOOKUP(VALUE(K$1),Questions!$A:$E,5,FALSE),1,0)</f>
        <v>0</v>
      </c>
      <c r="AW137" s="4">
        <f>IF(L137=VLOOKUP(VALUE(L$1),Questions!$A:$E,5,FALSE),1,0)</f>
        <v>1</v>
      </c>
      <c r="AX137" s="4">
        <f>IF(M137=VLOOKUP(VALUE(M$1),Questions!$A:$E,5,FALSE),1,0)</f>
        <v>0</v>
      </c>
      <c r="AY137" s="4">
        <f>IF(N137=VLOOKUP(VALUE(N$1),Questions!$A:$E,5,FALSE),1,0)</f>
        <v>1</v>
      </c>
      <c r="AZ137" s="4">
        <f>IF(O137=VLOOKUP(VALUE(O$1),Questions!$A:$E,5,FALSE),1,0)</f>
        <v>0</v>
      </c>
      <c r="BA137" s="4">
        <f>IF(P137=VLOOKUP(VALUE(P$1),Questions!$A:$E,5,FALSE),1,0)</f>
        <v>0</v>
      </c>
      <c r="BB137" s="4">
        <f>IF(Q137=VLOOKUP(VALUE(Q$1),Questions!$A:$E,5,FALSE),1,0)</f>
        <v>1</v>
      </c>
      <c r="BC137" s="4">
        <f>IF(R137=VLOOKUP(VALUE(R$1),Questions!$A:$E,5,FALSE),1,0)</f>
        <v>1</v>
      </c>
      <c r="BD137" s="4">
        <f>IF(S137=VLOOKUP(VALUE(S$1),Questions!$A:$E,5,FALSE),1,0)</f>
        <v>1</v>
      </c>
      <c r="BE137" s="4">
        <f>IF(T137=VLOOKUP(VALUE(T$1),Questions!$A:$E,5,FALSE),1,0)</f>
        <v>1</v>
      </c>
      <c r="BF137" s="4">
        <f>IF(U137=VLOOKUP(VALUE(U$1),Questions!$A:$E,5,FALSE),1,0)</f>
        <v>1</v>
      </c>
      <c r="BG137" s="4">
        <f>IF(V137=VLOOKUP(VALUE(V$1),Questions!$A:$E,5,FALSE),1,0)</f>
        <v>1</v>
      </c>
      <c r="BH137" s="4">
        <f>IF(W137=VLOOKUP(VALUE(W$1),Questions!$A:$E,5,FALSE),1,0)</f>
        <v>0</v>
      </c>
      <c r="BI137" s="4">
        <f>IF(X137=VLOOKUP(VALUE(X$1),Questions!$A:$E,5,FALSE),1,0)</f>
        <v>1</v>
      </c>
      <c r="BJ137" s="4">
        <f>IF(Y137=VLOOKUP(VALUE(Y$1),Questions!$A:$E,5,FALSE),1,0)</f>
        <v>1</v>
      </c>
      <c r="BK137" s="4">
        <f>IF(Z137=VLOOKUP(VALUE(Z$1),Questions!$A:$E,5,FALSE),1,0)</f>
        <v>0</v>
      </c>
      <c r="BL137" s="4">
        <f>IF(AA137=VLOOKUP(VALUE(AA$1),Questions!$A:$E,5,FALSE),1,0)</f>
        <v>1</v>
      </c>
      <c r="BM137" s="4">
        <f>IF(AB137=VLOOKUP(VALUE(AB$1),Questions!$A:$E,5,FALSE),1,0)</f>
        <v>1</v>
      </c>
      <c r="BN137" s="4">
        <f>IF(AC137=VLOOKUP(VALUE(AC$1),Questions!$A:$E,5,FALSE),1,0)</f>
        <v>1</v>
      </c>
      <c r="BO137" s="4">
        <f>IF(AD137=VLOOKUP(VALUE(AD$1),Questions!$A:$E,5,FALSE),1,0)</f>
        <v>1</v>
      </c>
      <c r="BP137" s="4">
        <f>IF(AE137=VLOOKUP(VALUE(AE$1),Questions!$A:$E,5,FALSE),1,0)</f>
        <v>1</v>
      </c>
      <c r="BQ137" s="4">
        <f>IF(AF137=VLOOKUP(VALUE(AF$1),Questions!$A:$E,5,FALSE),1,0)</f>
        <v>1</v>
      </c>
      <c r="BR137" s="4">
        <f>IF(AG137=VLOOKUP(VALUE(AG$1),Questions!$A:$E,5,FALSE),1,0)</f>
        <v>1</v>
      </c>
      <c r="BS137" s="4">
        <f>IF(AH137=VLOOKUP(VALUE(AH$1),Questions!$A:$E,5,FALSE),1,0)</f>
        <v>0</v>
      </c>
      <c r="BT137" s="4">
        <f>IF(AI137=VLOOKUP(VALUE(AI$1),Questions!$A:$E,5,FALSE),1,0)</f>
        <v>0</v>
      </c>
      <c r="BU137" s="4">
        <f>IF(AJ137=VLOOKUP(VALUE(AJ$1),Questions!$A:$E,5,FALSE),1,0)</f>
        <v>0</v>
      </c>
      <c r="BV137" s="4">
        <f>IF(AK137=VLOOKUP(VALUE(AK$1),Questions!$A:$E,5,FALSE),1,0)</f>
        <v>0</v>
      </c>
      <c r="BW137" s="87">
        <f>IF(AL137=VLOOKUP(VALUE(AL$1),Questions!$A:$E,5,FALSE),1,0)</f>
        <v>1</v>
      </c>
      <c r="BX137" s="4">
        <f>IF(Scores[[#This Row],[Final]]&gt;=65,1,0)</f>
        <v>1</v>
      </c>
      <c r="BY137" s="4">
        <f>IF(Scores[[#This Row],[Final]]&gt;=IF(Scores[[#This Row],[IEP]],55,65),1,0)</f>
        <v>1</v>
      </c>
    </row>
    <row r="138" spans="1:77" x14ac:dyDescent="0.2">
      <c r="A138" s="6">
        <v>137</v>
      </c>
      <c r="B138" s="4">
        <v>9</v>
      </c>
      <c r="C138" s="4" t="s">
        <v>964</v>
      </c>
      <c r="D138" s="105" t="b">
        <v>0</v>
      </c>
      <c r="E138" s="105" t="b">
        <v>0</v>
      </c>
      <c r="F138" s="86">
        <f>SUM(Scores[[#This Row],[Q1]:[Q28]])</f>
        <v>0</v>
      </c>
      <c r="G138" s="4">
        <f>SUM(Scores[[#This Row],[29]]:Scores[[#This Row],[30]])</f>
        <v>0</v>
      </c>
      <c r="H138" s="4">
        <f>SUM(Scores[[#This Row],[31]:[36]])</f>
        <v>0</v>
      </c>
      <c r="I138" s="4">
        <f>Scores[[#This Row],[37]]</f>
        <v>0</v>
      </c>
      <c r="J138" s="87">
        <f>INDEX('Conversion Chart'!$C$3:$M$47,MATCH(SUM(Scores[[#This Row],[MC]:[IIIA]]),'Conversion Chart'!$B$3:$B$47),MATCH(Scores[[#This Row],[IIIB]],'Conversion Chart'!$C$2:$M$2))</f>
        <v>0</v>
      </c>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103"/>
      <c r="AH138" s="103"/>
      <c r="AI138" s="103"/>
      <c r="AJ138" s="103"/>
      <c r="AK138" s="103"/>
      <c r="AL138" s="104"/>
      <c r="AN138" s="87"/>
      <c r="AU138" s="107"/>
      <c r="AV138" s="4">
        <f>IF(K138=VLOOKUP(VALUE(K$1),Questions!$A:$E,5,FALSE),1,0)</f>
        <v>0</v>
      </c>
      <c r="AW138" s="4">
        <f>IF(L138=VLOOKUP(VALUE(L$1),Questions!$A:$E,5,FALSE),1,0)</f>
        <v>0</v>
      </c>
      <c r="AX138" s="4">
        <f>IF(M138=VLOOKUP(VALUE(M$1),Questions!$A:$E,5,FALSE),1,0)</f>
        <v>0</v>
      </c>
      <c r="AY138" s="4">
        <f>IF(N138=VLOOKUP(VALUE(N$1),Questions!$A:$E,5,FALSE),1,0)</f>
        <v>0</v>
      </c>
      <c r="AZ138" s="4">
        <f>IF(O138=VLOOKUP(VALUE(O$1),Questions!$A:$E,5,FALSE),1,0)</f>
        <v>0</v>
      </c>
      <c r="BA138" s="4">
        <f>IF(P138=VLOOKUP(VALUE(P$1),Questions!$A:$E,5,FALSE),1,0)</f>
        <v>0</v>
      </c>
      <c r="BB138" s="4">
        <f>IF(Q138=VLOOKUP(VALUE(Q$1),Questions!$A:$E,5,FALSE),1,0)</f>
        <v>0</v>
      </c>
      <c r="BC138" s="4">
        <f>IF(R138=VLOOKUP(VALUE(R$1),Questions!$A:$E,5,FALSE),1,0)</f>
        <v>0</v>
      </c>
      <c r="BD138" s="4">
        <f>IF(S138=VLOOKUP(VALUE(S$1),Questions!$A:$E,5,FALSE),1,0)</f>
        <v>0</v>
      </c>
      <c r="BE138" s="4">
        <f>IF(T138=VLOOKUP(VALUE(T$1),Questions!$A:$E,5,FALSE),1,0)</f>
        <v>0</v>
      </c>
      <c r="BF138" s="4">
        <f>IF(U138=VLOOKUP(VALUE(U$1),Questions!$A:$E,5,FALSE),1,0)</f>
        <v>0</v>
      </c>
      <c r="BG138" s="4">
        <f>IF(V138=VLOOKUP(VALUE(V$1),Questions!$A:$E,5,FALSE),1,0)</f>
        <v>0</v>
      </c>
      <c r="BH138" s="4">
        <f>IF(W138=VLOOKUP(VALUE(W$1),Questions!$A:$E,5,FALSE),1,0)</f>
        <v>0</v>
      </c>
      <c r="BI138" s="4">
        <f>IF(X138=VLOOKUP(VALUE(X$1),Questions!$A:$E,5,FALSE),1,0)</f>
        <v>0</v>
      </c>
      <c r="BJ138" s="4">
        <f>IF(Y138=VLOOKUP(VALUE(Y$1),Questions!$A:$E,5,FALSE),1,0)</f>
        <v>0</v>
      </c>
      <c r="BK138" s="4">
        <f>IF(Z138=VLOOKUP(VALUE(Z$1),Questions!$A:$E,5,FALSE),1,0)</f>
        <v>0</v>
      </c>
      <c r="BL138" s="4">
        <f>IF(AA138=VLOOKUP(VALUE(AA$1),Questions!$A:$E,5,FALSE),1,0)</f>
        <v>0</v>
      </c>
      <c r="BM138" s="4">
        <f>IF(AB138=VLOOKUP(VALUE(AB$1),Questions!$A:$E,5,FALSE),1,0)</f>
        <v>0</v>
      </c>
      <c r="BN138" s="4">
        <f>IF(AC138=VLOOKUP(VALUE(AC$1),Questions!$A:$E,5,FALSE),1,0)</f>
        <v>0</v>
      </c>
      <c r="BO138" s="4">
        <f>IF(AD138=VLOOKUP(VALUE(AD$1),Questions!$A:$E,5,FALSE),1,0)</f>
        <v>0</v>
      </c>
      <c r="BP138" s="4">
        <f>IF(AE138=VLOOKUP(VALUE(AE$1),Questions!$A:$E,5,FALSE),1,0)</f>
        <v>0</v>
      </c>
      <c r="BQ138" s="4">
        <f>IF(AF138=VLOOKUP(VALUE(AF$1),Questions!$A:$E,5,FALSE),1,0)</f>
        <v>0</v>
      </c>
      <c r="BR138" s="4">
        <f>IF(AG138=VLOOKUP(VALUE(AG$1),Questions!$A:$E,5,FALSE),1,0)</f>
        <v>0</v>
      </c>
      <c r="BS138" s="4">
        <f>IF(AH138=VLOOKUP(VALUE(AH$1),Questions!$A:$E,5,FALSE),1,0)</f>
        <v>0</v>
      </c>
      <c r="BT138" s="4">
        <f>IF(AI138=VLOOKUP(VALUE(AI$1),Questions!$A:$E,5,FALSE),1,0)</f>
        <v>0</v>
      </c>
      <c r="BU138" s="4">
        <f>IF(AJ138=VLOOKUP(VALUE(AJ$1),Questions!$A:$E,5,FALSE),1,0)</f>
        <v>0</v>
      </c>
      <c r="BV138" s="4">
        <f>IF(AK138=VLOOKUP(VALUE(AK$1),Questions!$A:$E,5,FALSE),1,0)</f>
        <v>0</v>
      </c>
      <c r="BW138" s="87">
        <f>IF(AL138=VLOOKUP(VALUE(AL$1),Questions!$A:$E,5,FALSE),1,0)</f>
        <v>0</v>
      </c>
      <c r="BX138" s="4">
        <f>IF(Scores[[#This Row],[Final]]&gt;=65,1,0)</f>
        <v>0</v>
      </c>
      <c r="BY138" s="4">
        <f>IF(Scores[[#This Row],[Final]]&gt;=IF(Scores[[#This Row],[IEP]],55,65),1,0)</f>
        <v>0</v>
      </c>
    </row>
    <row r="139" spans="1:77" x14ac:dyDescent="0.2">
      <c r="A139" s="6">
        <v>138</v>
      </c>
      <c r="B139" s="4">
        <v>11</v>
      </c>
      <c r="C139" s="4" t="s">
        <v>968</v>
      </c>
      <c r="D139" s="105" t="b">
        <v>0</v>
      </c>
      <c r="E139" s="105" t="b">
        <v>0</v>
      </c>
      <c r="F139" s="86">
        <f>SUM(Scores[[#This Row],[Q1]:[Q28]])</f>
        <v>20</v>
      </c>
      <c r="G139" s="4">
        <f>SUM(Scores[[#This Row],[29]]:Scores[[#This Row],[30]])</f>
        <v>6</v>
      </c>
      <c r="H139" s="4">
        <f>SUM(Scores[[#This Row],[31]:[36]])</f>
        <v>5</v>
      </c>
      <c r="I139" s="4">
        <f>Scores[[#This Row],[37]]</f>
        <v>0</v>
      </c>
      <c r="J139" s="87">
        <f>INDEX('Conversion Chart'!$C$3:$M$47,MATCH(SUM(Scores[[#This Row],[MC]:[IIIA]]),'Conversion Chart'!$B$3:$B$47),MATCH(Scores[[#This Row],[IIIB]],'Conversion Chart'!$C$2:$M$2))</f>
        <v>68</v>
      </c>
      <c r="K139" s="103">
        <v>4</v>
      </c>
      <c r="L139" s="103">
        <v>1</v>
      </c>
      <c r="M139" s="103">
        <v>3</v>
      </c>
      <c r="N139" s="103">
        <v>4</v>
      </c>
      <c r="O139" s="103">
        <v>1</v>
      </c>
      <c r="P139" s="103">
        <v>3</v>
      </c>
      <c r="Q139" s="103">
        <v>3</v>
      </c>
      <c r="R139" s="103">
        <v>2</v>
      </c>
      <c r="S139" s="103">
        <v>2</v>
      </c>
      <c r="T139" s="103">
        <v>1</v>
      </c>
      <c r="U139" s="103">
        <v>2</v>
      </c>
      <c r="V139" s="103">
        <v>4</v>
      </c>
      <c r="W139" s="103">
        <v>2</v>
      </c>
      <c r="X139" s="103">
        <v>2</v>
      </c>
      <c r="Y139" s="103">
        <v>1</v>
      </c>
      <c r="Z139" s="103">
        <v>2</v>
      </c>
      <c r="AA139" s="103">
        <v>1</v>
      </c>
      <c r="AB139" s="103">
        <v>4</v>
      </c>
      <c r="AC139" s="103">
        <v>3</v>
      </c>
      <c r="AD139" s="103">
        <v>2</v>
      </c>
      <c r="AE139" s="103">
        <v>2</v>
      </c>
      <c r="AF139" s="103">
        <v>2</v>
      </c>
      <c r="AG139" s="103">
        <v>3</v>
      </c>
      <c r="AH139" s="103">
        <v>2</v>
      </c>
      <c r="AI139" s="103">
        <v>1</v>
      </c>
      <c r="AJ139" s="103">
        <v>4</v>
      </c>
      <c r="AK139" s="103">
        <v>1</v>
      </c>
      <c r="AL139" s="104">
        <v>3</v>
      </c>
      <c r="AM139" s="4">
        <v>3</v>
      </c>
      <c r="AN139" s="87">
        <v>3</v>
      </c>
      <c r="AO139" s="4">
        <v>0</v>
      </c>
      <c r="AP139" s="4">
        <v>1</v>
      </c>
      <c r="AQ139" s="4">
        <v>1</v>
      </c>
      <c r="AR139" s="4">
        <v>1</v>
      </c>
      <c r="AS139" s="4">
        <v>1</v>
      </c>
      <c r="AT139" s="4">
        <v>1</v>
      </c>
      <c r="AU139" s="107">
        <v>0</v>
      </c>
      <c r="AV139" s="4">
        <f>IF(K139=VLOOKUP(VALUE(K$1),Questions!$A:$E,5,FALSE),1,0)</f>
        <v>1</v>
      </c>
      <c r="AW139" s="4">
        <f>IF(L139=VLOOKUP(VALUE(L$1),Questions!$A:$E,5,FALSE),1,0)</f>
        <v>0</v>
      </c>
      <c r="AX139" s="4">
        <f>IF(M139=VLOOKUP(VALUE(M$1),Questions!$A:$E,5,FALSE),1,0)</f>
        <v>1</v>
      </c>
      <c r="AY139" s="4">
        <f>IF(N139=VLOOKUP(VALUE(N$1),Questions!$A:$E,5,FALSE),1,0)</f>
        <v>0</v>
      </c>
      <c r="AZ139" s="4">
        <f>IF(O139=VLOOKUP(VALUE(O$1),Questions!$A:$E,5,FALSE),1,0)</f>
        <v>1</v>
      </c>
      <c r="BA139" s="4">
        <f>IF(P139=VLOOKUP(VALUE(P$1),Questions!$A:$E,5,FALSE),1,0)</f>
        <v>0</v>
      </c>
      <c r="BB139" s="4">
        <f>IF(Q139=VLOOKUP(VALUE(Q$1),Questions!$A:$E,5,FALSE),1,0)</f>
        <v>1</v>
      </c>
      <c r="BC139" s="4">
        <f>IF(R139=VLOOKUP(VALUE(R$1),Questions!$A:$E,5,FALSE),1,0)</f>
        <v>1</v>
      </c>
      <c r="BD139" s="4">
        <f>IF(S139=VLOOKUP(VALUE(S$1),Questions!$A:$E,5,FALSE),1,0)</f>
        <v>1</v>
      </c>
      <c r="BE139" s="4">
        <f>IF(T139=VLOOKUP(VALUE(T$1),Questions!$A:$E,5,FALSE),1,0)</f>
        <v>1</v>
      </c>
      <c r="BF139" s="4">
        <f>IF(U139=VLOOKUP(VALUE(U$1),Questions!$A:$E,5,FALSE),1,0)</f>
        <v>1</v>
      </c>
      <c r="BG139" s="4">
        <f>IF(V139=VLOOKUP(VALUE(V$1),Questions!$A:$E,5,FALSE),1,0)</f>
        <v>1</v>
      </c>
      <c r="BH139" s="4">
        <f>IF(W139=VLOOKUP(VALUE(W$1),Questions!$A:$E,5,FALSE),1,0)</f>
        <v>1</v>
      </c>
      <c r="BI139" s="4">
        <f>IF(X139=VLOOKUP(VALUE(X$1),Questions!$A:$E,5,FALSE),1,0)</f>
        <v>0</v>
      </c>
      <c r="BJ139" s="4">
        <f>IF(Y139=VLOOKUP(VALUE(Y$1),Questions!$A:$E,5,FALSE),1,0)</f>
        <v>0</v>
      </c>
      <c r="BK139" s="4">
        <f>IF(Z139=VLOOKUP(VALUE(Z$1),Questions!$A:$E,5,FALSE),1,0)</f>
        <v>0</v>
      </c>
      <c r="BL139" s="4">
        <f>IF(AA139=VLOOKUP(VALUE(AA$1),Questions!$A:$E,5,FALSE),1,0)</f>
        <v>1</v>
      </c>
      <c r="BM139" s="4">
        <f>IF(AB139=VLOOKUP(VALUE(AB$1),Questions!$A:$E,5,FALSE),1,0)</f>
        <v>1</v>
      </c>
      <c r="BN139" s="4">
        <f>IF(AC139=VLOOKUP(VALUE(AC$1),Questions!$A:$E,5,FALSE),1,0)</f>
        <v>1</v>
      </c>
      <c r="BO139" s="4">
        <f>IF(AD139=VLOOKUP(VALUE(AD$1),Questions!$A:$E,5,FALSE),1,0)</f>
        <v>0</v>
      </c>
      <c r="BP139" s="4">
        <f>IF(AE139=VLOOKUP(VALUE(AE$1),Questions!$A:$E,5,FALSE),1,0)</f>
        <v>1</v>
      </c>
      <c r="BQ139" s="4">
        <f>IF(AF139=VLOOKUP(VALUE(AF$1),Questions!$A:$E,5,FALSE),1,0)</f>
        <v>1</v>
      </c>
      <c r="BR139" s="4">
        <f>IF(AG139=VLOOKUP(VALUE(AG$1),Questions!$A:$E,5,FALSE),1,0)</f>
        <v>1</v>
      </c>
      <c r="BS139" s="4">
        <f>IF(AH139=VLOOKUP(VALUE(AH$1),Questions!$A:$E,5,FALSE),1,0)</f>
        <v>0</v>
      </c>
      <c r="BT139" s="4">
        <f>IF(AI139=VLOOKUP(VALUE(AI$1),Questions!$A:$E,5,FALSE),1,0)</f>
        <v>1</v>
      </c>
      <c r="BU139" s="4">
        <f>IF(AJ139=VLOOKUP(VALUE(AJ$1),Questions!$A:$E,5,FALSE),1,0)</f>
        <v>1</v>
      </c>
      <c r="BV139" s="4">
        <f>IF(AK139=VLOOKUP(VALUE(AK$1),Questions!$A:$E,5,FALSE),1,0)</f>
        <v>1</v>
      </c>
      <c r="BW139" s="87">
        <f>IF(AL139=VLOOKUP(VALUE(AL$1),Questions!$A:$E,5,FALSE),1,0)</f>
        <v>1</v>
      </c>
      <c r="BX139" s="4">
        <f>IF(Scores[[#This Row],[Final]]&gt;=65,1,0)</f>
        <v>1</v>
      </c>
      <c r="BY139" s="4">
        <f>IF(Scores[[#This Row],[Final]]&gt;=IF(Scores[[#This Row],[IEP]],55,65),1,0)</f>
        <v>1</v>
      </c>
    </row>
    <row r="140" spans="1:77" x14ac:dyDescent="0.2">
      <c r="A140" s="6">
        <v>139</v>
      </c>
      <c r="B140" s="4">
        <v>9</v>
      </c>
      <c r="C140" s="4" t="s">
        <v>963</v>
      </c>
      <c r="D140" s="105" t="b">
        <v>0</v>
      </c>
      <c r="E140" s="105" t="b">
        <v>0</v>
      </c>
      <c r="F140" s="86">
        <f>SUM(Scores[[#This Row],[Q1]:[Q28]])</f>
        <v>27</v>
      </c>
      <c r="G140" s="4">
        <f>SUM(Scores[[#This Row],[29]]:Scores[[#This Row],[30]])</f>
        <v>0</v>
      </c>
      <c r="H140" s="4">
        <f>SUM(Scores[[#This Row],[31]:[36]])</f>
        <v>3</v>
      </c>
      <c r="I140" s="4">
        <f>Scores[[#This Row],[37]]</f>
        <v>0</v>
      </c>
      <c r="J140" s="87">
        <f>INDEX('Conversion Chart'!$C$3:$M$47,MATCH(SUM(Scores[[#This Row],[MC]:[IIIA]]),'Conversion Chart'!$B$3:$B$47),MATCH(Scores[[#This Row],[IIIB]],'Conversion Chart'!$C$2:$M$2))</f>
        <v>67</v>
      </c>
      <c r="K140" s="103">
        <v>4</v>
      </c>
      <c r="L140" s="103">
        <v>2</v>
      </c>
      <c r="M140" s="103">
        <v>3</v>
      </c>
      <c r="N140" s="103">
        <v>3</v>
      </c>
      <c r="O140" s="103">
        <v>1</v>
      </c>
      <c r="P140" s="103">
        <v>4</v>
      </c>
      <c r="Q140" s="103">
        <v>3</v>
      </c>
      <c r="R140" s="103">
        <v>2</v>
      </c>
      <c r="S140" s="103">
        <v>2</v>
      </c>
      <c r="T140" s="103">
        <v>1</v>
      </c>
      <c r="U140" s="103">
        <v>2</v>
      </c>
      <c r="V140" s="103">
        <v>4</v>
      </c>
      <c r="W140" s="103">
        <v>2</v>
      </c>
      <c r="X140" s="103">
        <v>4</v>
      </c>
      <c r="Y140" s="103">
        <v>3</v>
      </c>
      <c r="Z140" s="103">
        <v>1</v>
      </c>
      <c r="AA140" s="103">
        <v>1</v>
      </c>
      <c r="AB140" s="103">
        <v>4</v>
      </c>
      <c r="AC140" s="103">
        <v>3</v>
      </c>
      <c r="AD140" s="103">
        <v>4</v>
      </c>
      <c r="AE140" s="103">
        <v>2</v>
      </c>
      <c r="AF140" s="103">
        <v>2</v>
      </c>
      <c r="AG140" s="103">
        <v>3</v>
      </c>
      <c r="AH140" s="103">
        <v>3</v>
      </c>
      <c r="AI140" s="103">
        <v>1</v>
      </c>
      <c r="AJ140" s="103">
        <v>4</v>
      </c>
      <c r="AK140" s="103">
        <v>3</v>
      </c>
      <c r="AL140" s="104">
        <v>3</v>
      </c>
      <c r="AM140" s="4">
        <v>0</v>
      </c>
      <c r="AN140" s="87">
        <v>0</v>
      </c>
      <c r="AO140" s="4">
        <v>0</v>
      </c>
      <c r="AP140" s="4">
        <v>1</v>
      </c>
      <c r="AQ140" s="4">
        <v>1</v>
      </c>
      <c r="AR140" s="4">
        <v>0</v>
      </c>
      <c r="AS140" s="4">
        <v>1</v>
      </c>
      <c r="AT140" s="4">
        <v>0</v>
      </c>
      <c r="AU140" s="107">
        <v>0</v>
      </c>
      <c r="AV140" s="4">
        <f>IF(K140=VLOOKUP(VALUE(K$1),Questions!$A:$E,5,FALSE),1,0)</f>
        <v>1</v>
      </c>
      <c r="AW140" s="4">
        <f>IF(L140=VLOOKUP(VALUE(L$1),Questions!$A:$E,5,FALSE),1,0)</f>
        <v>1</v>
      </c>
      <c r="AX140" s="4">
        <f>IF(M140=VLOOKUP(VALUE(M$1),Questions!$A:$E,5,FALSE),1,0)</f>
        <v>1</v>
      </c>
      <c r="AY140" s="4">
        <f>IF(N140=VLOOKUP(VALUE(N$1),Questions!$A:$E,5,FALSE),1,0)</f>
        <v>1</v>
      </c>
      <c r="AZ140" s="4">
        <f>IF(O140=VLOOKUP(VALUE(O$1),Questions!$A:$E,5,FALSE),1,0)</f>
        <v>1</v>
      </c>
      <c r="BA140" s="4">
        <f>IF(P140=VLOOKUP(VALUE(P$1),Questions!$A:$E,5,FALSE),1,0)</f>
        <v>1</v>
      </c>
      <c r="BB140" s="4">
        <f>IF(Q140=VLOOKUP(VALUE(Q$1),Questions!$A:$E,5,FALSE),1,0)</f>
        <v>1</v>
      </c>
      <c r="BC140" s="4">
        <f>IF(R140=VLOOKUP(VALUE(R$1),Questions!$A:$E,5,FALSE),1,0)</f>
        <v>1</v>
      </c>
      <c r="BD140" s="4">
        <f>IF(S140=VLOOKUP(VALUE(S$1),Questions!$A:$E,5,FALSE),1,0)</f>
        <v>1</v>
      </c>
      <c r="BE140" s="4">
        <f>IF(T140=VLOOKUP(VALUE(T$1),Questions!$A:$E,5,FALSE),1,0)</f>
        <v>1</v>
      </c>
      <c r="BF140" s="4">
        <f>IF(U140=VLOOKUP(VALUE(U$1),Questions!$A:$E,5,FALSE),1,0)</f>
        <v>1</v>
      </c>
      <c r="BG140" s="4">
        <f>IF(V140=VLOOKUP(VALUE(V$1),Questions!$A:$E,5,FALSE),1,0)</f>
        <v>1</v>
      </c>
      <c r="BH140" s="4">
        <f>IF(W140=VLOOKUP(VALUE(W$1),Questions!$A:$E,5,FALSE),1,0)</f>
        <v>1</v>
      </c>
      <c r="BI140" s="4">
        <f>IF(X140=VLOOKUP(VALUE(X$1),Questions!$A:$E,5,FALSE),1,0)</f>
        <v>1</v>
      </c>
      <c r="BJ140" s="4">
        <f>IF(Y140=VLOOKUP(VALUE(Y$1),Questions!$A:$E,5,FALSE),1,0)</f>
        <v>1</v>
      </c>
      <c r="BK140" s="4">
        <f>IF(Z140=VLOOKUP(VALUE(Z$1),Questions!$A:$E,5,FALSE),1,0)</f>
        <v>1</v>
      </c>
      <c r="BL140" s="4">
        <f>IF(AA140=VLOOKUP(VALUE(AA$1),Questions!$A:$E,5,FALSE),1,0)</f>
        <v>1</v>
      </c>
      <c r="BM140" s="4">
        <f>IF(AB140=VLOOKUP(VALUE(AB$1),Questions!$A:$E,5,FALSE),1,0)</f>
        <v>1</v>
      </c>
      <c r="BN140" s="4">
        <f>IF(AC140=VLOOKUP(VALUE(AC$1),Questions!$A:$E,5,FALSE),1,0)</f>
        <v>1</v>
      </c>
      <c r="BO140" s="4">
        <f>IF(AD140=VLOOKUP(VALUE(AD$1),Questions!$A:$E,5,FALSE),1,0)</f>
        <v>1</v>
      </c>
      <c r="BP140" s="4">
        <f>IF(AE140=VLOOKUP(VALUE(AE$1),Questions!$A:$E,5,FALSE),1,0)</f>
        <v>1</v>
      </c>
      <c r="BQ140" s="4">
        <f>IF(AF140=VLOOKUP(VALUE(AF$1),Questions!$A:$E,5,FALSE),1,0)</f>
        <v>1</v>
      </c>
      <c r="BR140" s="4">
        <f>IF(AG140=VLOOKUP(VALUE(AG$1),Questions!$A:$E,5,FALSE),1,0)</f>
        <v>1</v>
      </c>
      <c r="BS140" s="4">
        <f>IF(AH140=VLOOKUP(VALUE(AH$1),Questions!$A:$E,5,FALSE),1,0)</f>
        <v>1</v>
      </c>
      <c r="BT140" s="4">
        <f>IF(AI140=VLOOKUP(VALUE(AI$1),Questions!$A:$E,5,FALSE),1,0)</f>
        <v>1</v>
      </c>
      <c r="BU140" s="4">
        <f>IF(AJ140=VLOOKUP(VALUE(AJ$1),Questions!$A:$E,5,FALSE),1,0)</f>
        <v>1</v>
      </c>
      <c r="BV140" s="4">
        <f>IF(AK140=VLOOKUP(VALUE(AK$1),Questions!$A:$E,5,FALSE),1,0)</f>
        <v>0</v>
      </c>
      <c r="BW140" s="87">
        <f>IF(AL140=VLOOKUP(VALUE(AL$1),Questions!$A:$E,5,FALSE),1,0)</f>
        <v>1</v>
      </c>
      <c r="BX140" s="4">
        <f>IF(Scores[[#This Row],[Final]]&gt;=65,1,0)</f>
        <v>1</v>
      </c>
      <c r="BY140" s="4">
        <f>IF(Scores[[#This Row],[Final]]&gt;=IF(Scores[[#This Row],[IEP]],55,65),1,0)</f>
        <v>1</v>
      </c>
    </row>
    <row r="141" spans="1:77" x14ac:dyDescent="0.2">
      <c r="A141" s="6">
        <v>140</v>
      </c>
      <c r="B141" s="4">
        <v>11</v>
      </c>
      <c r="C141" s="4" t="s">
        <v>962</v>
      </c>
      <c r="D141" s="105" t="b">
        <v>0</v>
      </c>
      <c r="E141" s="105" t="b">
        <v>1</v>
      </c>
      <c r="F141" s="86">
        <f>SUM(Scores[[#This Row],[Q1]:[Q28]])</f>
        <v>17</v>
      </c>
      <c r="G141" s="4">
        <f>SUM(Scores[[#This Row],[29]]:Scores[[#This Row],[30]])</f>
        <v>5</v>
      </c>
      <c r="H141" s="4">
        <f>SUM(Scores[[#This Row],[31]:[36]])</f>
        <v>6</v>
      </c>
      <c r="I141" s="4">
        <f>Scores[[#This Row],[37]]</f>
        <v>2</v>
      </c>
      <c r="J141" s="87">
        <f>INDEX('Conversion Chart'!$C$3:$M$47,MATCH(SUM(Scores[[#This Row],[MC]:[IIIA]]),'Conversion Chart'!$B$3:$B$47),MATCH(Scores[[#This Row],[IIIB]],'Conversion Chart'!$C$2:$M$2))</f>
        <v>71</v>
      </c>
      <c r="K141" s="103">
        <v>4</v>
      </c>
      <c r="L141" s="103">
        <v>1</v>
      </c>
      <c r="M141" s="103">
        <v>3</v>
      </c>
      <c r="N141" s="103">
        <v>1</v>
      </c>
      <c r="O141" s="103">
        <v>1</v>
      </c>
      <c r="P141" s="103">
        <v>3</v>
      </c>
      <c r="Q141" s="103">
        <v>3</v>
      </c>
      <c r="R141" s="103">
        <v>2</v>
      </c>
      <c r="S141" s="103">
        <v>3</v>
      </c>
      <c r="T141" s="103">
        <v>1</v>
      </c>
      <c r="U141" s="103">
        <v>2</v>
      </c>
      <c r="V141" s="103">
        <v>3</v>
      </c>
      <c r="W141" s="103">
        <v>2</v>
      </c>
      <c r="X141" s="103">
        <v>2</v>
      </c>
      <c r="Y141" s="103">
        <v>3</v>
      </c>
      <c r="Z141" s="103">
        <v>1</v>
      </c>
      <c r="AA141" s="103">
        <v>1</v>
      </c>
      <c r="AB141" s="103">
        <v>4</v>
      </c>
      <c r="AC141" s="103">
        <v>3</v>
      </c>
      <c r="AD141" s="103">
        <v>1</v>
      </c>
      <c r="AE141" s="103">
        <v>3</v>
      </c>
      <c r="AF141" s="103">
        <v>1</v>
      </c>
      <c r="AG141" s="103">
        <v>3</v>
      </c>
      <c r="AH141" s="103">
        <v>2</v>
      </c>
      <c r="AI141" s="103">
        <v>1</v>
      </c>
      <c r="AJ141" s="103">
        <v>4</v>
      </c>
      <c r="AK141" s="103">
        <v>1</v>
      </c>
      <c r="AL141" s="104">
        <v>2</v>
      </c>
      <c r="AM141" s="4">
        <v>3</v>
      </c>
      <c r="AN141" s="87">
        <v>2</v>
      </c>
      <c r="AO141" s="4">
        <v>1</v>
      </c>
      <c r="AP141" s="4">
        <v>1</v>
      </c>
      <c r="AQ141" s="4">
        <v>1</v>
      </c>
      <c r="AR141" s="4">
        <v>1</v>
      </c>
      <c r="AS141" s="4">
        <v>1</v>
      </c>
      <c r="AT141" s="4">
        <v>1</v>
      </c>
      <c r="AU141" s="107">
        <v>2</v>
      </c>
      <c r="AV141" s="4">
        <f>IF(K141=VLOOKUP(VALUE(K$1),Questions!$A:$E,5,FALSE),1,0)</f>
        <v>1</v>
      </c>
      <c r="AW141" s="4">
        <f>IF(L141=VLOOKUP(VALUE(L$1),Questions!$A:$E,5,FALSE),1,0)</f>
        <v>0</v>
      </c>
      <c r="AX141" s="4">
        <f>IF(M141=VLOOKUP(VALUE(M$1),Questions!$A:$E,5,FALSE),1,0)</f>
        <v>1</v>
      </c>
      <c r="AY141" s="4">
        <f>IF(N141=VLOOKUP(VALUE(N$1),Questions!$A:$E,5,FALSE),1,0)</f>
        <v>0</v>
      </c>
      <c r="AZ141" s="4">
        <f>IF(O141=VLOOKUP(VALUE(O$1),Questions!$A:$E,5,FALSE),1,0)</f>
        <v>1</v>
      </c>
      <c r="BA141" s="4">
        <f>IF(P141=VLOOKUP(VALUE(P$1),Questions!$A:$E,5,FALSE),1,0)</f>
        <v>0</v>
      </c>
      <c r="BB141" s="4">
        <f>IF(Q141=VLOOKUP(VALUE(Q$1),Questions!$A:$E,5,FALSE),1,0)</f>
        <v>1</v>
      </c>
      <c r="BC141" s="4">
        <f>IF(R141=VLOOKUP(VALUE(R$1),Questions!$A:$E,5,FALSE),1,0)</f>
        <v>1</v>
      </c>
      <c r="BD141" s="4">
        <f>IF(S141=VLOOKUP(VALUE(S$1),Questions!$A:$E,5,FALSE),1,0)</f>
        <v>0</v>
      </c>
      <c r="BE141" s="4">
        <f>IF(T141=VLOOKUP(VALUE(T$1),Questions!$A:$E,5,FALSE),1,0)</f>
        <v>1</v>
      </c>
      <c r="BF141" s="4">
        <f>IF(U141=VLOOKUP(VALUE(U$1),Questions!$A:$E,5,FALSE),1,0)</f>
        <v>1</v>
      </c>
      <c r="BG141" s="4">
        <f>IF(V141=VLOOKUP(VALUE(V$1),Questions!$A:$E,5,FALSE),1,0)</f>
        <v>0</v>
      </c>
      <c r="BH141" s="4">
        <f>IF(W141=VLOOKUP(VALUE(W$1),Questions!$A:$E,5,FALSE),1,0)</f>
        <v>1</v>
      </c>
      <c r="BI141" s="4">
        <f>IF(X141=VLOOKUP(VALUE(X$1),Questions!$A:$E,5,FALSE),1,0)</f>
        <v>0</v>
      </c>
      <c r="BJ141" s="4">
        <f>IF(Y141=VLOOKUP(VALUE(Y$1),Questions!$A:$E,5,FALSE),1,0)</f>
        <v>1</v>
      </c>
      <c r="BK141" s="4">
        <f>IF(Z141=VLOOKUP(VALUE(Z$1),Questions!$A:$E,5,FALSE),1,0)</f>
        <v>1</v>
      </c>
      <c r="BL141" s="4">
        <f>IF(AA141=VLOOKUP(VALUE(AA$1),Questions!$A:$E,5,FALSE),1,0)</f>
        <v>1</v>
      </c>
      <c r="BM141" s="4">
        <f>IF(AB141=VLOOKUP(VALUE(AB$1),Questions!$A:$E,5,FALSE),1,0)</f>
        <v>1</v>
      </c>
      <c r="BN141" s="4">
        <f>IF(AC141=VLOOKUP(VALUE(AC$1),Questions!$A:$E,5,FALSE),1,0)</f>
        <v>1</v>
      </c>
      <c r="BO141" s="4">
        <f>IF(AD141=VLOOKUP(VALUE(AD$1),Questions!$A:$E,5,FALSE),1,0)</f>
        <v>0</v>
      </c>
      <c r="BP141" s="4">
        <f>IF(AE141=VLOOKUP(VALUE(AE$1),Questions!$A:$E,5,FALSE),1,0)</f>
        <v>0</v>
      </c>
      <c r="BQ141" s="4">
        <f>IF(AF141=VLOOKUP(VALUE(AF$1),Questions!$A:$E,5,FALSE),1,0)</f>
        <v>0</v>
      </c>
      <c r="BR141" s="4">
        <f>IF(AG141=VLOOKUP(VALUE(AG$1),Questions!$A:$E,5,FALSE),1,0)</f>
        <v>1</v>
      </c>
      <c r="BS141" s="4">
        <f>IF(AH141=VLOOKUP(VALUE(AH$1),Questions!$A:$E,5,FALSE),1,0)</f>
        <v>0</v>
      </c>
      <c r="BT141" s="4">
        <f>IF(AI141=VLOOKUP(VALUE(AI$1),Questions!$A:$E,5,FALSE),1,0)</f>
        <v>1</v>
      </c>
      <c r="BU141" s="4">
        <f>IF(AJ141=VLOOKUP(VALUE(AJ$1),Questions!$A:$E,5,FALSE),1,0)</f>
        <v>1</v>
      </c>
      <c r="BV141" s="4">
        <f>IF(AK141=VLOOKUP(VALUE(AK$1),Questions!$A:$E,5,FALSE),1,0)</f>
        <v>1</v>
      </c>
      <c r="BW141" s="87">
        <f>IF(AL141=VLOOKUP(VALUE(AL$1),Questions!$A:$E,5,FALSE),1,0)</f>
        <v>0</v>
      </c>
      <c r="BX141" s="4">
        <f>IF(Scores[[#This Row],[Final]]&gt;=65,1,0)</f>
        <v>1</v>
      </c>
      <c r="BY141" s="4">
        <f>IF(Scores[[#This Row],[Final]]&gt;=IF(Scores[[#This Row],[IEP]],55,65),1,0)</f>
        <v>1</v>
      </c>
    </row>
    <row r="142" spans="1:77" x14ac:dyDescent="0.2">
      <c r="A142" s="6">
        <v>141</v>
      </c>
      <c r="B142" s="4">
        <v>11</v>
      </c>
      <c r="C142" s="4" t="s">
        <v>968</v>
      </c>
      <c r="D142" s="105" t="b">
        <v>0</v>
      </c>
      <c r="E142" s="105" t="b">
        <v>0</v>
      </c>
      <c r="F142" s="86">
        <f>SUM(Scores[[#This Row],[Q1]:[Q28]])</f>
        <v>18</v>
      </c>
      <c r="G142" s="4">
        <f>SUM(Scores[[#This Row],[29]]:Scores[[#This Row],[30]])</f>
        <v>7</v>
      </c>
      <c r="H142" s="4">
        <f>SUM(Scores[[#This Row],[31]:[36]])</f>
        <v>6</v>
      </c>
      <c r="I142" s="4">
        <f>Scores[[#This Row],[37]]</f>
        <v>2</v>
      </c>
      <c r="J142" s="87">
        <f>INDEX('Conversion Chart'!$C$3:$M$47,MATCH(SUM(Scores[[#This Row],[MC]:[IIIA]]),'Conversion Chart'!$B$3:$B$47),MATCH(Scores[[#This Row],[IIIB]],'Conversion Chart'!$C$2:$M$2))</f>
        <v>75</v>
      </c>
      <c r="K142" s="103">
        <v>4</v>
      </c>
      <c r="L142" s="103">
        <v>2</v>
      </c>
      <c r="M142" s="103">
        <v>3</v>
      </c>
      <c r="N142" s="103">
        <v>2</v>
      </c>
      <c r="O142" s="103">
        <v>1</v>
      </c>
      <c r="P142" s="103">
        <v>4</v>
      </c>
      <c r="Q142" s="103">
        <v>3</v>
      </c>
      <c r="R142" s="103">
        <v>2</v>
      </c>
      <c r="S142" s="103">
        <v>2</v>
      </c>
      <c r="T142" s="103">
        <v>1</v>
      </c>
      <c r="U142" s="103">
        <v>2</v>
      </c>
      <c r="V142" s="103">
        <v>4</v>
      </c>
      <c r="W142" s="103">
        <v>2</v>
      </c>
      <c r="X142" s="103">
        <v>1</v>
      </c>
      <c r="Y142" s="103">
        <v>4</v>
      </c>
      <c r="Z142" s="103">
        <v>4</v>
      </c>
      <c r="AA142" s="103">
        <v>1</v>
      </c>
      <c r="AB142" s="103">
        <v>1</v>
      </c>
      <c r="AC142" s="103">
        <v>3</v>
      </c>
      <c r="AD142" s="103">
        <v>1</v>
      </c>
      <c r="AE142" s="103">
        <v>2</v>
      </c>
      <c r="AF142" s="103">
        <v>4</v>
      </c>
      <c r="AG142" s="103">
        <v>2</v>
      </c>
      <c r="AH142" s="103">
        <v>2</v>
      </c>
      <c r="AI142" s="103">
        <v>1</v>
      </c>
      <c r="AJ142" s="103">
        <v>4</v>
      </c>
      <c r="AK142" s="103">
        <v>4</v>
      </c>
      <c r="AL142" s="104">
        <v>3</v>
      </c>
      <c r="AM142" s="4">
        <v>4</v>
      </c>
      <c r="AN142" s="87">
        <v>3</v>
      </c>
      <c r="AO142" s="4">
        <v>1</v>
      </c>
      <c r="AP142" s="4">
        <v>1</v>
      </c>
      <c r="AQ142" s="4">
        <v>1</v>
      </c>
      <c r="AR142" s="4">
        <v>1</v>
      </c>
      <c r="AS142" s="4">
        <v>1</v>
      </c>
      <c r="AT142" s="4">
        <v>1</v>
      </c>
      <c r="AU142" s="107">
        <v>2</v>
      </c>
      <c r="AV142" s="4">
        <f>IF(K142=VLOOKUP(VALUE(K$1),Questions!$A:$E,5,FALSE),1,0)</f>
        <v>1</v>
      </c>
      <c r="AW142" s="4">
        <f>IF(L142=VLOOKUP(VALUE(L$1),Questions!$A:$E,5,FALSE),1,0)</f>
        <v>1</v>
      </c>
      <c r="AX142" s="4">
        <f>IF(M142=VLOOKUP(VALUE(M$1),Questions!$A:$E,5,FALSE),1,0)</f>
        <v>1</v>
      </c>
      <c r="AY142" s="4">
        <f>IF(N142=VLOOKUP(VALUE(N$1),Questions!$A:$E,5,FALSE),1,0)</f>
        <v>0</v>
      </c>
      <c r="AZ142" s="4">
        <f>IF(O142=VLOOKUP(VALUE(O$1),Questions!$A:$E,5,FALSE),1,0)</f>
        <v>1</v>
      </c>
      <c r="BA142" s="4">
        <f>IF(P142=VLOOKUP(VALUE(P$1),Questions!$A:$E,5,FALSE),1,0)</f>
        <v>1</v>
      </c>
      <c r="BB142" s="4">
        <f>IF(Q142=VLOOKUP(VALUE(Q$1),Questions!$A:$E,5,FALSE),1,0)</f>
        <v>1</v>
      </c>
      <c r="BC142" s="4">
        <f>IF(R142=VLOOKUP(VALUE(R$1),Questions!$A:$E,5,FALSE),1,0)</f>
        <v>1</v>
      </c>
      <c r="BD142" s="4">
        <f>IF(S142=VLOOKUP(VALUE(S$1),Questions!$A:$E,5,FALSE),1,0)</f>
        <v>1</v>
      </c>
      <c r="BE142" s="4">
        <f>IF(T142=VLOOKUP(VALUE(T$1),Questions!$A:$E,5,FALSE),1,0)</f>
        <v>1</v>
      </c>
      <c r="BF142" s="4">
        <f>IF(U142=VLOOKUP(VALUE(U$1),Questions!$A:$E,5,FALSE),1,0)</f>
        <v>1</v>
      </c>
      <c r="BG142" s="4">
        <f>IF(V142=VLOOKUP(VALUE(V$1),Questions!$A:$E,5,FALSE),1,0)</f>
        <v>1</v>
      </c>
      <c r="BH142" s="4">
        <f>IF(W142=VLOOKUP(VALUE(W$1),Questions!$A:$E,5,FALSE),1,0)</f>
        <v>1</v>
      </c>
      <c r="BI142" s="4">
        <f>IF(X142=VLOOKUP(VALUE(X$1),Questions!$A:$E,5,FALSE),1,0)</f>
        <v>0</v>
      </c>
      <c r="BJ142" s="4">
        <f>IF(Y142=VLOOKUP(VALUE(Y$1),Questions!$A:$E,5,FALSE),1,0)</f>
        <v>0</v>
      </c>
      <c r="BK142" s="4">
        <f>IF(Z142=VLOOKUP(VALUE(Z$1),Questions!$A:$E,5,FALSE),1,0)</f>
        <v>0</v>
      </c>
      <c r="BL142" s="4">
        <f>IF(AA142=VLOOKUP(VALUE(AA$1),Questions!$A:$E,5,FALSE),1,0)</f>
        <v>1</v>
      </c>
      <c r="BM142" s="4">
        <f>IF(AB142=VLOOKUP(VALUE(AB$1),Questions!$A:$E,5,FALSE),1,0)</f>
        <v>0</v>
      </c>
      <c r="BN142" s="4">
        <f>IF(AC142=VLOOKUP(VALUE(AC$1),Questions!$A:$E,5,FALSE),1,0)</f>
        <v>1</v>
      </c>
      <c r="BO142" s="4">
        <f>IF(AD142=VLOOKUP(VALUE(AD$1),Questions!$A:$E,5,FALSE),1,0)</f>
        <v>0</v>
      </c>
      <c r="BP142" s="4">
        <f>IF(AE142=VLOOKUP(VALUE(AE$1),Questions!$A:$E,5,FALSE),1,0)</f>
        <v>1</v>
      </c>
      <c r="BQ142" s="4">
        <f>IF(AF142=VLOOKUP(VALUE(AF$1),Questions!$A:$E,5,FALSE),1,0)</f>
        <v>0</v>
      </c>
      <c r="BR142" s="4">
        <f>IF(AG142=VLOOKUP(VALUE(AG$1),Questions!$A:$E,5,FALSE),1,0)</f>
        <v>0</v>
      </c>
      <c r="BS142" s="4">
        <f>IF(AH142=VLOOKUP(VALUE(AH$1),Questions!$A:$E,5,FALSE),1,0)</f>
        <v>0</v>
      </c>
      <c r="BT142" s="4">
        <f>IF(AI142=VLOOKUP(VALUE(AI$1),Questions!$A:$E,5,FALSE),1,0)</f>
        <v>1</v>
      </c>
      <c r="BU142" s="4">
        <f>IF(AJ142=VLOOKUP(VALUE(AJ$1),Questions!$A:$E,5,FALSE),1,0)</f>
        <v>1</v>
      </c>
      <c r="BV142" s="4">
        <f>IF(AK142=VLOOKUP(VALUE(AK$1),Questions!$A:$E,5,FALSE),1,0)</f>
        <v>0</v>
      </c>
      <c r="BW142" s="87">
        <f>IF(AL142=VLOOKUP(VALUE(AL$1),Questions!$A:$E,5,FALSE),1,0)</f>
        <v>1</v>
      </c>
      <c r="BX142" s="4">
        <f>IF(Scores[[#This Row],[Final]]&gt;=65,1,0)</f>
        <v>1</v>
      </c>
      <c r="BY142" s="4">
        <f>IF(Scores[[#This Row],[Final]]&gt;=IF(Scores[[#This Row],[IEP]],55,65),1,0)</f>
        <v>1</v>
      </c>
    </row>
    <row r="143" spans="1:77" x14ac:dyDescent="0.2">
      <c r="A143" s="6">
        <v>142</v>
      </c>
      <c r="B143" s="4">
        <v>11</v>
      </c>
      <c r="C143" s="4" t="s">
        <v>964</v>
      </c>
      <c r="D143" s="105" t="b">
        <v>0</v>
      </c>
      <c r="E143" s="105" t="b">
        <v>0</v>
      </c>
      <c r="F143" s="86">
        <f>SUM(Scores[[#This Row],[Q1]:[Q28]])</f>
        <v>13</v>
      </c>
      <c r="G143" s="4">
        <f>SUM(Scores[[#This Row],[29]]:Scores[[#This Row],[30]])</f>
        <v>1</v>
      </c>
      <c r="H143" s="4">
        <f>SUM(Scores[[#This Row],[31]:[36]])</f>
        <v>4</v>
      </c>
      <c r="I143" s="4">
        <f>Scores[[#This Row],[37]]</f>
        <v>1</v>
      </c>
      <c r="J143" s="87">
        <f>INDEX('Conversion Chart'!$C$3:$M$47,MATCH(SUM(Scores[[#This Row],[MC]:[IIIA]]),'Conversion Chart'!$B$3:$B$47),MATCH(Scores[[#This Row],[IIIB]],'Conversion Chart'!$C$2:$M$2))</f>
        <v>54</v>
      </c>
      <c r="K143" s="103">
        <v>4</v>
      </c>
      <c r="L143" s="103">
        <v>1</v>
      </c>
      <c r="M143" s="103">
        <v>1</v>
      </c>
      <c r="N143" s="103">
        <v>3</v>
      </c>
      <c r="O143" s="103">
        <v>1</v>
      </c>
      <c r="P143" s="103">
        <v>2</v>
      </c>
      <c r="Q143" s="103">
        <v>3</v>
      </c>
      <c r="R143" s="103">
        <v>3</v>
      </c>
      <c r="S143" s="103">
        <v>2</v>
      </c>
      <c r="T143" s="103">
        <v>1</v>
      </c>
      <c r="U143" s="103">
        <v>2</v>
      </c>
      <c r="V143" s="103">
        <v>4</v>
      </c>
      <c r="W143" s="103">
        <v>3</v>
      </c>
      <c r="X143" s="103">
        <v>2</v>
      </c>
      <c r="Y143" s="103">
        <v>1</v>
      </c>
      <c r="Z143" s="103">
        <v>4</v>
      </c>
      <c r="AA143" s="103">
        <v>1</v>
      </c>
      <c r="AB143" s="103">
        <v>3</v>
      </c>
      <c r="AC143" s="103">
        <v>4</v>
      </c>
      <c r="AD143" s="103">
        <v>1</v>
      </c>
      <c r="AE143" s="103">
        <v>2</v>
      </c>
      <c r="AF143" s="103">
        <v>4</v>
      </c>
      <c r="AG143" s="103">
        <v>3</v>
      </c>
      <c r="AH143" s="103">
        <v>2</v>
      </c>
      <c r="AI143" s="103">
        <v>1</v>
      </c>
      <c r="AJ143" s="103">
        <v>2</v>
      </c>
      <c r="AK143" s="103">
        <v>2</v>
      </c>
      <c r="AL143" s="104">
        <v>3</v>
      </c>
      <c r="AM143" s="4">
        <v>1</v>
      </c>
      <c r="AN143" s="87">
        <v>0</v>
      </c>
      <c r="AO143" s="4">
        <v>0</v>
      </c>
      <c r="AP143" s="4">
        <v>1</v>
      </c>
      <c r="AQ143" s="4">
        <v>1</v>
      </c>
      <c r="AR143" s="4">
        <v>1</v>
      </c>
      <c r="AS143" s="4">
        <v>1</v>
      </c>
      <c r="AT143" s="4">
        <v>0</v>
      </c>
      <c r="AU143" s="107">
        <v>1</v>
      </c>
      <c r="AV143" s="4">
        <f>IF(K143=VLOOKUP(VALUE(K$1),Questions!$A:$E,5,FALSE),1,0)</f>
        <v>1</v>
      </c>
      <c r="AW143" s="4">
        <f>IF(L143=VLOOKUP(VALUE(L$1),Questions!$A:$E,5,FALSE),1,0)</f>
        <v>0</v>
      </c>
      <c r="AX143" s="4">
        <f>IF(M143=VLOOKUP(VALUE(M$1),Questions!$A:$E,5,FALSE),1,0)</f>
        <v>0</v>
      </c>
      <c r="AY143" s="4">
        <f>IF(N143=VLOOKUP(VALUE(N$1),Questions!$A:$E,5,FALSE),1,0)</f>
        <v>1</v>
      </c>
      <c r="AZ143" s="4">
        <f>IF(O143=VLOOKUP(VALUE(O$1),Questions!$A:$E,5,FALSE),1,0)</f>
        <v>1</v>
      </c>
      <c r="BA143" s="4">
        <f>IF(P143=VLOOKUP(VALUE(P$1),Questions!$A:$E,5,FALSE),1,0)</f>
        <v>0</v>
      </c>
      <c r="BB143" s="4">
        <f>IF(Q143=VLOOKUP(VALUE(Q$1),Questions!$A:$E,5,FALSE),1,0)</f>
        <v>1</v>
      </c>
      <c r="BC143" s="4">
        <f>IF(R143=VLOOKUP(VALUE(R$1),Questions!$A:$E,5,FALSE),1,0)</f>
        <v>0</v>
      </c>
      <c r="BD143" s="4">
        <f>IF(S143=VLOOKUP(VALUE(S$1),Questions!$A:$E,5,FALSE),1,0)</f>
        <v>1</v>
      </c>
      <c r="BE143" s="4">
        <f>IF(T143=VLOOKUP(VALUE(T$1),Questions!$A:$E,5,FALSE),1,0)</f>
        <v>1</v>
      </c>
      <c r="BF143" s="4">
        <f>IF(U143=VLOOKUP(VALUE(U$1),Questions!$A:$E,5,FALSE),1,0)</f>
        <v>1</v>
      </c>
      <c r="BG143" s="4">
        <f>IF(V143=VLOOKUP(VALUE(V$1),Questions!$A:$E,5,FALSE),1,0)</f>
        <v>1</v>
      </c>
      <c r="BH143" s="4">
        <f>IF(W143=VLOOKUP(VALUE(W$1),Questions!$A:$E,5,FALSE),1,0)</f>
        <v>0</v>
      </c>
      <c r="BI143" s="4">
        <f>IF(X143=VLOOKUP(VALUE(X$1),Questions!$A:$E,5,FALSE),1,0)</f>
        <v>0</v>
      </c>
      <c r="BJ143" s="4">
        <f>IF(Y143=VLOOKUP(VALUE(Y$1),Questions!$A:$E,5,FALSE),1,0)</f>
        <v>0</v>
      </c>
      <c r="BK143" s="4">
        <f>IF(Z143=VLOOKUP(VALUE(Z$1),Questions!$A:$E,5,FALSE),1,0)</f>
        <v>0</v>
      </c>
      <c r="BL143" s="4">
        <f>IF(AA143=VLOOKUP(VALUE(AA$1),Questions!$A:$E,5,FALSE),1,0)</f>
        <v>1</v>
      </c>
      <c r="BM143" s="4">
        <f>IF(AB143=VLOOKUP(VALUE(AB$1),Questions!$A:$E,5,FALSE),1,0)</f>
        <v>0</v>
      </c>
      <c r="BN143" s="4">
        <f>IF(AC143=VLOOKUP(VALUE(AC$1),Questions!$A:$E,5,FALSE),1,0)</f>
        <v>0</v>
      </c>
      <c r="BO143" s="4">
        <f>IF(AD143=VLOOKUP(VALUE(AD$1),Questions!$A:$E,5,FALSE),1,0)</f>
        <v>0</v>
      </c>
      <c r="BP143" s="4">
        <f>IF(AE143=VLOOKUP(VALUE(AE$1),Questions!$A:$E,5,FALSE),1,0)</f>
        <v>1</v>
      </c>
      <c r="BQ143" s="4">
        <f>IF(AF143=VLOOKUP(VALUE(AF$1),Questions!$A:$E,5,FALSE),1,0)</f>
        <v>0</v>
      </c>
      <c r="BR143" s="4">
        <f>IF(AG143=VLOOKUP(VALUE(AG$1),Questions!$A:$E,5,FALSE),1,0)</f>
        <v>1</v>
      </c>
      <c r="BS143" s="4">
        <f>IF(AH143=VLOOKUP(VALUE(AH$1),Questions!$A:$E,5,FALSE),1,0)</f>
        <v>0</v>
      </c>
      <c r="BT143" s="4">
        <f>IF(AI143=VLOOKUP(VALUE(AI$1),Questions!$A:$E,5,FALSE),1,0)</f>
        <v>1</v>
      </c>
      <c r="BU143" s="4">
        <f>IF(AJ143=VLOOKUP(VALUE(AJ$1),Questions!$A:$E,5,FALSE),1,0)</f>
        <v>0</v>
      </c>
      <c r="BV143" s="4">
        <f>IF(AK143=VLOOKUP(VALUE(AK$1),Questions!$A:$E,5,FALSE),1,0)</f>
        <v>0</v>
      </c>
      <c r="BW143" s="87">
        <f>IF(AL143=VLOOKUP(VALUE(AL$1),Questions!$A:$E,5,FALSE),1,0)</f>
        <v>1</v>
      </c>
      <c r="BX143" s="4">
        <f>IF(Scores[[#This Row],[Final]]&gt;=65,1,0)</f>
        <v>0</v>
      </c>
      <c r="BY143" s="4">
        <f>IF(Scores[[#This Row],[Final]]&gt;=IF(Scores[[#This Row],[IEP]],55,65),1,0)</f>
        <v>0</v>
      </c>
    </row>
    <row r="144" spans="1:77" x14ac:dyDescent="0.2">
      <c r="A144" s="6">
        <v>143</v>
      </c>
      <c r="B144" s="4">
        <v>9</v>
      </c>
      <c r="C144" s="4" t="s">
        <v>964</v>
      </c>
      <c r="D144" s="105" t="b">
        <v>0</v>
      </c>
      <c r="E144" s="105" t="b">
        <v>0</v>
      </c>
      <c r="F144" s="86">
        <f>SUM(Scores[[#This Row],[Q1]:[Q28]])</f>
        <v>23</v>
      </c>
      <c r="G144" s="4">
        <f>SUM(Scores[[#This Row],[29]]:Scores[[#This Row],[30]])</f>
        <v>6</v>
      </c>
      <c r="H144" s="4">
        <f>SUM(Scores[[#This Row],[31]:[36]])</f>
        <v>6</v>
      </c>
      <c r="I144" s="4">
        <f>Scores[[#This Row],[37]]</f>
        <v>4</v>
      </c>
      <c r="J144" s="87">
        <f>INDEX('Conversion Chart'!$C$3:$M$47,MATCH(SUM(Scores[[#This Row],[MC]:[IIIA]]),'Conversion Chart'!$B$3:$B$47),MATCH(Scores[[#This Row],[IIIB]],'Conversion Chart'!$C$2:$M$2))</f>
        <v>84</v>
      </c>
      <c r="K144" s="103">
        <v>4</v>
      </c>
      <c r="L144" s="103">
        <v>2</v>
      </c>
      <c r="M144" s="103">
        <v>3</v>
      </c>
      <c r="N144" s="103">
        <v>3</v>
      </c>
      <c r="O144" s="103">
        <v>1</v>
      </c>
      <c r="P144" s="103">
        <v>3</v>
      </c>
      <c r="Q144" s="103">
        <v>3</v>
      </c>
      <c r="R144" s="103">
        <v>2</v>
      </c>
      <c r="S144" s="103">
        <v>2</v>
      </c>
      <c r="T144" s="103">
        <v>1</v>
      </c>
      <c r="U144" s="103">
        <v>2</v>
      </c>
      <c r="V144" s="103">
        <v>4</v>
      </c>
      <c r="W144" s="103">
        <v>2</v>
      </c>
      <c r="X144" s="103">
        <v>4</v>
      </c>
      <c r="Y144" s="103">
        <v>3</v>
      </c>
      <c r="Z144" s="103">
        <v>1</v>
      </c>
      <c r="AA144" s="103">
        <v>1</v>
      </c>
      <c r="AB144" s="103">
        <v>4</v>
      </c>
      <c r="AC144" s="103">
        <v>3</v>
      </c>
      <c r="AD144" s="103">
        <v>1</v>
      </c>
      <c r="AE144" s="103">
        <v>4</v>
      </c>
      <c r="AF144" s="103">
        <v>4</v>
      </c>
      <c r="AG144" s="103">
        <v>2</v>
      </c>
      <c r="AH144" s="103">
        <v>3</v>
      </c>
      <c r="AI144" s="103">
        <v>1</v>
      </c>
      <c r="AJ144" s="103">
        <v>4</v>
      </c>
      <c r="AK144" s="103">
        <v>1</v>
      </c>
      <c r="AL144" s="104">
        <v>3</v>
      </c>
      <c r="AM144" s="4">
        <v>2</v>
      </c>
      <c r="AN144" s="87">
        <v>4</v>
      </c>
      <c r="AO144" s="4">
        <v>1</v>
      </c>
      <c r="AP144" s="4">
        <v>1</v>
      </c>
      <c r="AQ144" s="4">
        <v>1</v>
      </c>
      <c r="AR144" s="4">
        <v>1</v>
      </c>
      <c r="AS144" s="4">
        <v>1</v>
      </c>
      <c r="AT144" s="4">
        <v>1</v>
      </c>
      <c r="AU144" s="107">
        <v>4</v>
      </c>
      <c r="AV144" s="4">
        <f>IF(K144=VLOOKUP(VALUE(K$1),Questions!$A:$E,5,FALSE),1,0)</f>
        <v>1</v>
      </c>
      <c r="AW144" s="4">
        <f>IF(L144=VLOOKUP(VALUE(L$1),Questions!$A:$E,5,FALSE),1,0)</f>
        <v>1</v>
      </c>
      <c r="AX144" s="4">
        <f>IF(M144=VLOOKUP(VALUE(M$1),Questions!$A:$E,5,FALSE),1,0)</f>
        <v>1</v>
      </c>
      <c r="AY144" s="4">
        <f>IF(N144=VLOOKUP(VALUE(N$1),Questions!$A:$E,5,FALSE),1,0)</f>
        <v>1</v>
      </c>
      <c r="AZ144" s="4">
        <f>IF(O144=VLOOKUP(VALUE(O$1),Questions!$A:$E,5,FALSE),1,0)</f>
        <v>1</v>
      </c>
      <c r="BA144" s="4">
        <f>IF(P144=VLOOKUP(VALUE(P$1),Questions!$A:$E,5,FALSE),1,0)</f>
        <v>0</v>
      </c>
      <c r="BB144" s="4">
        <f>IF(Q144=VLOOKUP(VALUE(Q$1),Questions!$A:$E,5,FALSE),1,0)</f>
        <v>1</v>
      </c>
      <c r="BC144" s="4">
        <f>IF(R144=VLOOKUP(VALUE(R$1),Questions!$A:$E,5,FALSE),1,0)</f>
        <v>1</v>
      </c>
      <c r="BD144" s="4">
        <f>IF(S144=VLOOKUP(VALUE(S$1),Questions!$A:$E,5,FALSE),1,0)</f>
        <v>1</v>
      </c>
      <c r="BE144" s="4">
        <f>IF(T144=VLOOKUP(VALUE(T$1),Questions!$A:$E,5,FALSE),1,0)</f>
        <v>1</v>
      </c>
      <c r="BF144" s="4">
        <f>IF(U144=VLOOKUP(VALUE(U$1),Questions!$A:$E,5,FALSE),1,0)</f>
        <v>1</v>
      </c>
      <c r="BG144" s="4">
        <f>IF(V144=VLOOKUP(VALUE(V$1),Questions!$A:$E,5,FALSE),1,0)</f>
        <v>1</v>
      </c>
      <c r="BH144" s="4">
        <f>IF(W144=VLOOKUP(VALUE(W$1),Questions!$A:$E,5,FALSE),1,0)</f>
        <v>1</v>
      </c>
      <c r="BI144" s="4">
        <f>IF(X144=VLOOKUP(VALUE(X$1),Questions!$A:$E,5,FALSE),1,0)</f>
        <v>1</v>
      </c>
      <c r="BJ144" s="4">
        <f>IF(Y144=VLOOKUP(VALUE(Y$1),Questions!$A:$E,5,FALSE),1,0)</f>
        <v>1</v>
      </c>
      <c r="BK144" s="4">
        <f>IF(Z144=VLOOKUP(VALUE(Z$1),Questions!$A:$E,5,FALSE),1,0)</f>
        <v>1</v>
      </c>
      <c r="BL144" s="4">
        <f>IF(AA144=VLOOKUP(VALUE(AA$1),Questions!$A:$E,5,FALSE),1,0)</f>
        <v>1</v>
      </c>
      <c r="BM144" s="4">
        <f>IF(AB144=VLOOKUP(VALUE(AB$1),Questions!$A:$E,5,FALSE),1,0)</f>
        <v>1</v>
      </c>
      <c r="BN144" s="4">
        <f>IF(AC144=VLOOKUP(VALUE(AC$1),Questions!$A:$E,5,FALSE),1,0)</f>
        <v>1</v>
      </c>
      <c r="BO144" s="4">
        <f>IF(AD144=VLOOKUP(VALUE(AD$1),Questions!$A:$E,5,FALSE),1,0)</f>
        <v>0</v>
      </c>
      <c r="BP144" s="4">
        <f>IF(AE144=VLOOKUP(VALUE(AE$1),Questions!$A:$E,5,FALSE),1,0)</f>
        <v>0</v>
      </c>
      <c r="BQ144" s="4">
        <f>IF(AF144=VLOOKUP(VALUE(AF$1),Questions!$A:$E,5,FALSE),1,0)</f>
        <v>0</v>
      </c>
      <c r="BR144" s="4">
        <f>IF(AG144=VLOOKUP(VALUE(AG$1),Questions!$A:$E,5,FALSE),1,0)</f>
        <v>0</v>
      </c>
      <c r="BS144" s="4">
        <f>IF(AH144=VLOOKUP(VALUE(AH$1),Questions!$A:$E,5,FALSE),1,0)</f>
        <v>1</v>
      </c>
      <c r="BT144" s="4">
        <f>IF(AI144=VLOOKUP(VALUE(AI$1),Questions!$A:$E,5,FALSE),1,0)</f>
        <v>1</v>
      </c>
      <c r="BU144" s="4">
        <f>IF(AJ144=VLOOKUP(VALUE(AJ$1),Questions!$A:$E,5,FALSE),1,0)</f>
        <v>1</v>
      </c>
      <c r="BV144" s="4">
        <f>IF(AK144=VLOOKUP(VALUE(AK$1),Questions!$A:$E,5,FALSE),1,0)</f>
        <v>1</v>
      </c>
      <c r="BW144" s="87">
        <f>IF(AL144=VLOOKUP(VALUE(AL$1),Questions!$A:$E,5,FALSE),1,0)</f>
        <v>1</v>
      </c>
      <c r="BX144" s="4">
        <f>IF(Scores[[#This Row],[Final]]&gt;=65,1,0)</f>
        <v>1</v>
      </c>
      <c r="BY144" s="4">
        <f>IF(Scores[[#This Row],[Final]]&gt;=IF(Scores[[#This Row],[IEP]],55,65),1,0)</f>
        <v>1</v>
      </c>
    </row>
    <row r="145" spans="1:77" x14ac:dyDescent="0.2">
      <c r="A145" s="6">
        <v>144</v>
      </c>
      <c r="B145" s="4">
        <v>11</v>
      </c>
      <c r="C145" s="4" t="s">
        <v>962</v>
      </c>
      <c r="D145" s="105" t="b">
        <v>0</v>
      </c>
      <c r="E145" s="105" t="b">
        <v>0</v>
      </c>
      <c r="F145" s="86">
        <f>SUM(Scores[[#This Row],[Q1]:[Q28]])</f>
        <v>24</v>
      </c>
      <c r="G145" s="4">
        <f>SUM(Scores[[#This Row],[29]]:Scores[[#This Row],[30]])</f>
        <v>6</v>
      </c>
      <c r="H145" s="4">
        <f>SUM(Scores[[#This Row],[31]:[36]])</f>
        <v>5</v>
      </c>
      <c r="I145" s="4">
        <f>Scores[[#This Row],[37]]</f>
        <v>3</v>
      </c>
      <c r="J145" s="87">
        <f>INDEX('Conversion Chart'!$C$3:$M$47,MATCH(SUM(Scores[[#This Row],[MC]:[IIIA]]),'Conversion Chart'!$B$3:$B$47),MATCH(Scores[[#This Row],[IIIB]],'Conversion Chart'!$C$2:$M$2))</f>
        <v>81</v>
      </c>
      <c r="K145" s="103">
        <v>4</v>
      </c>
      <c r="L145" s="103">
        <v>1</v>
      </c>
      <c r="M145" s="103">
        <v>3</v>
      </c>
      <c r="N145" s="103">
        <v>3</v>
      </c>
      <c r="O145" s="103">
        <v>1</v>
      </c>
      <c r="P145" s="103">
        <v>3</v>
      </c>
      <c r="Q145" s="103">
        <v>3</v>
      </c>
      <c r="R145" s="103">
        <v>2</v>
      </c>
      <c r="S145" s="103">
        <v>2</v>
      </c>
      <c r="T145" s="103">
        <v>1</v>
      </c>
      <c r="U145" s="103">
        <v>2</v>
      </c>
      <c r="V145" s="103">
        <v>4</v>
      </c>
      <c r="W145" s="103">
        <v>2</v>
      </c>
      <c r="X145" s="103">
        <v>4</v>
      </c>
      <c r="Y145" s="103">
        <v>4</v>
      </c>
      <c r="Z145" s="103">
        <v>4</v>
      </c>
      <c r="AA145" s="103">
        <v>1</v>
      </c>
      <c r="AB145" s="103">
        <v>4</v>
      </c>
      <c r="AC145" s="103">
        <v>3</v>
      </c>
      <c r="AD145" s="103">
        <v>4</v>
      </c>
      <c r="AE145" s="103">
        <v>2</v>
      </c>
      <c r="AF145" s="103">
        <v>2</v>
      </c>
      <c r="AG145" s="103">
        <v>3</v>
      </c>
      <c r="AH145" s="103">
        <v>3</v>
      </c>
      <c r="AI145" s="103">
        <v>1</v>
      </c>
      <c r="AJ145" s="103">
        <v>4</v>
      </c>
      <c r="AK145" s="103">
        <v>1</v>
      </c>
      <c r="AL145" s="104">
        <v>3</v>
      </c>
      <c r="AM145" s="4">
        <v>3</v>
      </c>
      <c r="AN145" s="87">
        <v>3</v>
      </c>
      <c r="AO145" s="4">
        <v>1</v>
      </c>
      <c r="AP145" s="4">
        <v>1</v>
      </c>
      <c r="AQ145" s="4">
        <v>1</v>
      </c>
      <c r="AR145" s="4">
        <v>1</v>
      </c>
      <c r="AS145" s="4">
        <v>1</v>
      </c>
      <c r="AT145" s="4">
        <v>0</v>
      </c>
      <c r="AU145" s="107">
        <v>3</v>
      </c>
      <c r="AV145" s="4">
        <f>IF(K145=VLOOKUP(VALUE(K$1),Questions!$A:$E,5,FALSE),1,0)</f>
        <v>1</v>
      </c>
      <c r="AW145" s="4">
        <f>IF(L145=VLOOKUP(VALUE(L$1),Questions!$A:$E,5,FALSE),1,0)</f>
        <v>0</v>
      </c>
      <c r="AX145" s="4">
        <f>IF(M145=VLOOKUP(VALUE(M$1),Questions!$A:$E,5,FALSE),1,0)</f>
        <v>1</v>
      </c>
      <c r="AY145" s="4">
        <f>IF(N145=VLOOKUP(VALUE(N$1),Questions!$A:$E,5,FALSE),1,0)</f>
        <v>1</v>
      </c>
      <c r="AZ145" s="4">
        <f>IF(O145=VLOOKUP(VALUE(O$1),Questions!$A:$E,5,FALSE),1,0)</f>
        <v>1</v>
      </c>
      <c r="BA145" s="4">
        <f>IF(P145=VLOOKUP(VALUE(P$1),Questions!$A:$E,5,FALSE),1,0)</f>
        <v>0</v>
      </c>
      <c r="BB145" s="4">
        <f>IF(Q145=VLOOKUP(VALUE(Q$1),Questions!$A:$E,5,FALSE),1,0)</f>
        <v>1</v>
      </c>
      <c r="BC145" s="4">
        <f>IF(R145=VLOOKUP(VALUE(R$1),Questions!$A:$E,5,FALSE),1,0)</f>
        <v>1</v>
      </c>
      <c r="BD145" s="4">
        <f>IF(S145=VLOOKUP(VALUE(S$1),Questions!$A:$E,5,FALSE),1,0)</f>
        <v>1</v>
      </c>
      <c r="BE145" s="4">
        <f>IF(T145=VLOOKUP(VALUE(T$1),Questions!$A:$E,5,FALSE),1,0)</f>
        <v>1</v>
      </c>
      <c r="BF145" s="4">
        <f>IF(U145=VLOOKUP(VALUE(U$1),Questions!$A:$E,5,FALSE),1,0)</f>
        <v>1</v>
      </c>
      <c r="BG145" s="4">
        <f>IF(V145=VLOOKUP(VALUE(V$1),Questions!$A:$E,5,FALSE),1,0)</f>
        <v>1</v>
      </c>
      <c r="BH145" s="4">
        <f>IF(W145=VLOOKUP(VALUE(W$1),Questions!$A:$E,5,FALSE),1,0)</f>
        <v>1</v>
      </c>
      <c r="BI145" s="4">
        <f>IF(X145=VLOOKUP(VALUE(X$1),Questions!$A:$E,5,FALSE),1,0)</f>
        <v>1</v>
      </c>
      <c r="BJ145" s="4">
        <f>IF(Y145=VLOOKUP(VALUE(Y$1),Questions!$A:$E,5,FALSE),1,0)</f>
        <v>0</v>
      </c>
      <c r="BK145" s="4">
        <f>IF(Z145=VLOOKUP(VALUE(Z$1),Questions!$A:$E,5,FALSE),1,0)</f>
        <v>0</v>
      </c>
      <c r="BL145" s="4">
        <f>IF(AA145=VLOOKUP(VALUE(AA$1),Questions!$A:$E,5,FALSE),1,0)</f>
        <v>1</v>
      </c>
      <c r="BM145" s="4">
        <f>IF(AB145=VLOOKUP(VALUE(AB$1),Questions!$A:$E,5,FALSE),1,0)</f>
        <v>1</v>
      </c>
      <c r="BN145" s="4">
        <f>IF(AC145=VLOOKUP(VALUE(AC$1),Questions!$A:$E,5,FALSE),1,0)</f>
        <v>1</v>
      </c>
      <c r="BO145" s="4">
        <f>IF(AD145=VLOOKUP(VALUE(AD$1),Questions!$A:$E,5,FALSE),1,0)</f>
        <v>1</v>
      </c>
      <c r="BP145" s="4">
        <f>IF(AE145=VLOOKUP(VALUE(AE$1),Questions!$A:$E,5,FALSE),1,0)</f>
        <v>1</v>
      </c>
      <c r="BQ145" s="4">
        <f>IF(AF145=VLOOKUP(VALUE(AF$1),Questions!$A:$E,5,FALSE),1,0)</f>
        <v>1</v>
      </c>
      <c r="BR145" s="4">
        <f>IF(AG145=VLOOKUP(VALUE(AG$1),Questions!$A:$E,5,FALSE),1,0)</f>
        <v>1</v>
      </c>
      <c r="BS145" s="4">
        <f>IF(AH145=VLOOKUP(VALUE(AH$1),Questions!$A:$E,5,FALSE),1,0)</f>
        <v>1</v>
      </c>
      <c r="BT145" s="4">
        <f>IF(AI145=VLOOKUP(VALUE(AI$1),Questions!$A:$E,5,FALSE),1,0)</f>
        <v>1</v>
      </c>
      <c r="BU145" s="4">
        <f>IF(AJ145=VLOOKUP(VALUE(AJ$1),Questions!$A:$E,5,FALSE),1,0)</f>
        <v>1</v>
      </c>
      <c r="BV145" s="4">
        <f>IF(AK145=VLOOKUP(VALUE(AK$1),Questions!$A:$E,5,FALSE),1,0)</f>
        <v>1</v>
      </c>
      <c r="BW145" s="87">
        <f>IF(AL145=VLOOKUP(VALUE(AL$1),Questions!$A:$E,5,FALSE),1,0)</f>
        <v>1</v>
      </c>
      <c r="BX145" s="4">
        <f>IF(Scores[[#This Row],[Final]]&gt;=65,1,0)</f>
        <v>1</v>
      </c>
      <c r="BY145" s="4">
        <f>IF(Scores[[#This Row],[Final]]&gt;=IF(Scores[[#This Row],[IEP]],55,65),1,0)</f>
        <v>1</v>
      </c>
    </row>
    <row r="146" spans="1:77" x14ac:dyDescent="0.2">
      <c r="A146" s="6">
        <v>145</v>
      </c>
      <c r="B146" s="4">
        <v>9</v>
      </c>
      <c r="C146" s="4" t="s">
        <v>963</v>
      </c>
      <c r="D146" s="105" t="b">
        <v>0</v>
      </c>
      <c r="E146" s="105" t="b">
        <v>0</v>
      </c>
      <c r="F146" s="86">
        <f>SUM(Scores[[#This Row],[Q1]:[Q28]])</f>
        <v>21</v>
      </c>
      <c r="G146" s="4">
        <f>SUM(Scores[[#This Row],[29]]:Scores[[#This Row],[30]])</f>
        <v>4</v>
      </c>
      <c r="H146" s="4">
        <f>SUM(Scores[[#This Row],[31]:[36]])</f>
        <v>4</v>
      </c>
      <c r="I146" s="4">
        <f>Scores[[#This Row],[37]]</f>
        <v>0</v>
      </c>
      <c r="J146" s="87">
        <f>INDEX('Conversion Chart'!$C$3:$M$47,MATCH(SUM(Scores[[#This Row],[MC]:[IIIA]]),'Conversion Chart'!$B$3:$B$47),MATCH(Scores[[#This Row],[IIIB]],'Conversion Chart'!$C$2:$M$2))</f>
        <v>66</v>
      </c>
      <c r="K146" s="103">
        <v>4</v>
      </c>
      <c r="L146" s="103">
        <v>2</v>
      </c>
      <c r="M146" s="103">
        <v>4</v>
      </c>
      <c r="N146" s="103">
        <v>3</v>
      </c>
      <c r="O146" s="103">
        <v>1</v>
      </c>
      <c r="P146" s="103">
        <v>2</v>
      </c>
      <c r="Q146" s="103">
        <v>3</v>
      </c>
      <c r="R146" s="103">
        <v>2</v>
      </c>
      <c r="S146" s="103">
        <v>2</v>
      </c>
      <c r="T146" s="103">
        <v>1</v>
      </c>
      <c r="U146" s="103">
        <v>2</v>
      </c>
      <c r="V146" s="103">
        <v>3</v>
      </c>
      <c r="W146" s="103">
        <v>2</v>
      </c>
      <c r="X146" s="103">
        <v>4</v>
      </c>
      <c r="Y146" s="103">
        <v>3</v>
      </c>
      <c r="Z146" s="103">
        <v>4</v>
      </c>
      <c r="AA146" s="103">
        <v>1</v>
      </c>
      <c r="AB146" s="103">
        <v>3</v>
      </c>
      <c r="AC146" s="103">
        <v>3</v>
      </c>
      <c r="AD146" s="103">
        <v>4</v>
      </c>
      <c r="AE146" s="103">
        <v>2</v>
      </c>
      <c r="AF146" s="103">
        <v>2</v>
      </c>
      <c r="AG146" s="103">
        <v>3</v>
      </c>
      <c r="AH146" s="103">
        <v>3</v>
      </c>
      <c r="AI146" s="103">
        <v>3</v>
      </c>
      <c r="AJ146" s="103">
        <v>4</v>
      </c>
      <c r="AK146" s="103">
        <v>4</v>
      </c>
      <c r="AL146" s="104">
        <v>3</v>
      </c>
      <c r="AM146" s="4">
        <v>2</v>
      </c>
      <c r="AN146" s="87">
        <v>2</v>
      </c>
      <c r="AO146" s="4">
        <v>1</v>
      </c>
      <c r="AP146" s="4">
        <v>1</v>
      </c>
      <c r="AQ146" s="4">
        <v>1</v>
      </c>
      <c r="AR146" s="4">
        <v>0</v>
      </c>
      <c r="AS146" s="4">
        <v>0</v>
      </c>
      <c r="AT146" s="4">
        <v>1</v>
      </c>
      <c r="AU146" s="107">
        <v>0</v>
      </c>
      <c r="AV146" s="4">
        <f>IF(K146=VLOOKUP(VALUE(K$1),Questions!$A:$E,5,FALSE),1,0)</f>
        <v>1</v>
      </c>
      <c r="AW146" s="4">
        <f>IF(L146=VLOOKUP(VALUE(L$1),Questions!$A:$E,5,FALSE),1,0)</f>
        <v>1</v>
      </c>
      <c r="AX146" s="4">
        <f>IF(M146=VLOOKUP(VALUE(M$1),Questions!$A:$E,5,FALSE),1,0)</f>
        <v>0</v>
      </c>
      <c r="AY146" s="4">
        <f>IF(N146=VLOOKUP(VALUE(N$1),Questions!$A:$E,5,FALSE),1,0)</f>
        <v>1</v>
      </c>
      <c r="AZ146" s="4">
        <f>IF(O146=VLOOKUP(VALUE(O$1),Questions!$A:$E,5,FALSE),1,0)</f>
        <v>1</v>
      </c>
      <c r="BA146" s="4">
        <f>IF(P146=VLOOKUP(VALUE(P$1),Questions!$A:$E,5,FALSE),1,0)</f>
        <v>0</v>
      </c>
      <c r="BB146" s="4">
        <f>IF(Q146=VLOOKUP(VALUE(Q$1),Questions!$A:$E,5,FALSE),1,0)</f>
        <v>1</v>
      </c>
      <c r="BC146" s="4">
        <f>IF(R146=VLOOKUP(VALUE(R$1),Questions!$A:$E,5,FALSE),1,0)</f>
        <v>1</v>
      </c>
      <c r="BD146" s="4">
        <f>IF(S146=VLOOKUP(VALUE(S$1),Questions!$A:$E,5,FALSE),1,0)</f>
        <v>1</v>
      </c>
      <c r="BE146" s="4">
        <f>IF(T146=VLOOKUP(VALUE(T$1),Questions!$A:$E,5,FALSE),1,0)</f>
        <v>1</v>
      </c>
      <c r="BF146" s="4">
        <f>IF(U146=VLOOKUP(VALUE(U$1),Questions!$A:$E,5,FALSE),1,0)</f>
        <v>1</v>
      </c>
      <c r="BG146" s="4">
        <f>IF(V146=VLOOKUP(VALUE(V$1),Questions!$A:$E,5,FALSE),1,0)</f>
        <v>0</v>
      </c>
      <c r="BH146" s="4">
        <f>IF(W146=VLOOKUP(VALUE(W$1),Questions!$A:$E,5,FALSE),1,0)</f>
        <v>1</v>
      </c>
      <c r="BI146" s="4">
        <f>IF(X146=VLOOKUP(VALUE(X$1),Questions!$A:$E,5,FALSE),1,0)</f>
        <v>1</v>
      </c>
      <c r="BJ146" s="4">
        <f>IF(Y146=VLOOKUP(VALUE(Y$1),Questions!$A:$E,5,FALSE),1,0)</f>
        <v>1</v>
      </c>
      <c r="BK146" s="4">
        <f>IF(Z146=VLOOKUP(VALUE(Z$1),Questions!$A:$E,5,FALSE),1,0)</f>
        <v>0</v>
      </c>
      <c r="BL146" s="4">
        <f>IF(AA146=VLOOKUP(VALUE(AA$1),Questions!$A:$E,5,FALSE),1,0)</f>
        <v>1</v>
      </c>
      <c r="BM146" s="4">
        <f>IF(AB146=VLOOKUP(VALUE(AB$1),Questions!$A:$E,5,FALSE),1,0)</f>
        <v>0</v>
      </c>
      <c r="BN146" s="4">
        <f>IF(AC146=VLOOKUP(VALUE(AC$1),Questions!$A:$E,5,FALSE),1,0)</f>
        <v>1</v>
      </c>
      <c r="BO146" s="4">
        <f>IF(AD146=VLOOKUP(VALUE(AD$1),Questions!$A:$E,5,FALSE),1,0)</f>
        <v>1</v>
      </c>
      <c r="BP146" s="4">
        <f>IF(AE146=VLOOKUP(VALUE(AE$1),Questions!$A:$E,5,FALSE),1,0)</f>
        <v>1</v>
      </c>
      <c r="BQ146" s="4">
        <f>IF(AF146=VLOOKUP(VALUE(AF$1),Questions!$A:$E,5,FALSE),1,0)</f>
        <v>1</v>
      </c>
      <c r="BR146" s="4">
        <f>IF(AG146=VLOOKUP(VALUE(AG$1),Questions!$A:$E,5,FALSE),1,0)</f>
        <v>1</v>
      </c>
      <c r="BS146" s="4">
        <f>IF(AH146=VLOOKUP(VALUE(AH$1),Questions!$A:$E,5,FALSE),1,0)</f>
        <v>1</v>
      </c>
      <c r="BT146" s="4">
        <f>IF(AI146=VLOOKUP(VALUE(AI$1),Questions!$A:$E,5,FALSE),1,0)</f>
        <v>0</v>
      </c>
      <c r="BU146" s="4">
        <f>IF(AJ146=VLOOKUP(VALUE(AJ$1),Questions!$A:$E,5,FALSE),1,0)</f>
        <v>1</v>
      </c>
      <c r="BV146" s="4">
        <f>IF(AK146=VLOOKUP(VALUE(AK$1),Questions!$A:$E,5,FALSE),1,0)</f>
        <v>0</v>
      </c>
      <c r="BW146" s="87">
        <f>IF(AL146=VLOOKUP(VALUE(AL$1),Questions!$A:$E,5,FALSE),1,0)</f>
        <v>1</v>
      </c>
      <c r="BX146" s="4">
        <f>IF(Scores[[#This Row],[Final]]&gt;=65,1,0)</f>
        <v>1</v>
      </c>
      <c r="BY146" s="4">
        <f>IF(Scores[[#This Row],[Final]]&gt;=IF(Scores[[#This Row],[IEP]],55,65),1,0)</f>
        <v>1</v>
      </c>
    </row>
    <row r="147" spans="1:77" x14ac:dyDescent="0.2">
      <c r="A147" s="6">
        <v>146</v>
      </c>
      <c r="B147" s="4">
        <v>9</v>
      </c>
      <c r="C147" s="4" t="s">
        <v>963</v>
      </c>
      <c r="D147" s="105" t="b">
        <v>0</v>
      </c>
      <c r="E147" s="105" t="b">
        <v>0</v>
      </c>
      <c r="F147" s="86">
        <f>SUM(Scores[[#This Row],[Q1]:[Q28]])</f>
        <v>25</v>
      </c>
      <c r="G147" s="4">
        <f>SUM(Scores[[#This Row],[29]]:Scores[[#This Row],[30]])</f>
        <v>6</v>
      </c>
      <c r="H147" s="4">
        <f>SUM(Scores[[#This Row],[31]:[36]])</f>
        <v>4</v>
      </c>
      <c r="I147" s="4">
        <f>Scores[[#This Row],[37]]</f>
        <v>1.5</v>
      </c>
      <c r="J147" s="87">
        <f>INDEX('Conversion Chart'!$C$3:$M$47,MATCH(SUM(Scores[[#This Row],[MC]:[IIIA]]),'Conversion Chart'!$B$3:$B$47),MATCH(Scores[[#This Row],[IIIB]],'Conversion Chart'!$C$2:$M$2))</f>
        <v>77</v>
      </c>
      <c r="K147" s="103">
        <v>4</v>
      </c>
      <c r="L147" s="103">
        <v>2</v>
      </c>
      <c r="M147" s="103">
        <v>3</v>
      </c>
      <c r="N147" s="103">
        <v>3</v>
      </c>
      <c r="O147" s="103">
        <v>1</v>
      </c>
      <c r="P147" s="103">
        <v>2</v>
      </c>
      <c r="Q147" s="103">
        <v>3</v>
      </c>
      <c r="R147" s="103">
        <v>2</v>
      </c>
      <c r="S147" s="103">
        <v>2</v>
      </c>
      <c r="T147" s="103">
        <v>1</v>
      </c>
      <c r="U147" s="103">
        <v>2</v>
      </c>
      <c r="V147" s="103">
        <v>4</v>
      </c>
      <c r="W147" s="103">
        <v>2</v>
      </c>
      <c r="X147" s="103">
        <v>4</v>
      </c>
      <c r="Y147" s="103">
        <v>3</v>
      </c>
      <c r="Z147" s="103">
        <v>1</v>
      </c>
      <c r="AA147" s="103">
        <v>1</v>
      </c>
      <c r="AB147" s="103">
        <v>4</v>
      </c>
      <c r="AC147" s="103">
        <v>3</v>
      </c>
      <c r="AD147" s="103">
        <v>4</v>
      </c>
      <c r="AE147" s="103">
        <v>2</v>
      </c>
      <c r="AF147" s="103">
        <v>2</v>
      </c>
      <c r="AG147" s="103">
        <v>3</v>
      </c>
      <c r="AH147" s="103">
        <v>3</v>
      </c>
      <c r="AI147" s="103">
        <v>4</v>
      </c>
      <c r="AJ147" s="103">
        <v>4</v>
      </c>
      <c r="AK147" s="103">
        <v>4</v>
      </c>
      <c r="AL147" s="104">
        <v>3</v>
      </c>
      <c r="AM147" s="4">
        <v>4</v>
      </c>
      <c r="AN147" s="87">
        <v>2</v>
      </c>
      <c r="AO147" s="4">
        <v>0</v>
      </c>
      <c r="AP147" s="4">
        <v>1</v>
      </c>
      <c r="AQ147" s="4">
        <v>1</v>
      </c>
      <c r="AR147" s="4">
        <v>1</v>
      </c>
      <c r="AS147" s="4">
        <v>1</v>
      </c>
      <c r="AT147" s="4">
        <v>0</v>
      </c>
      <c r="AU147" s="107">
        <v>1.5</v>
      </c>
      <c r="AV147" s="4">
        <f>IF(K147=VLOOKUP(VALUE(K$1),Questions!$A:$E,5,FALSE),1,0)</f>
        <v>1</v>
      </c>
      <c r="AW147" s="4">
        <f>IF(L147=VLOOKUP(VALUE(L$1),Questions!$A:$E,5,FALSE),1,0)</f>
        <v>1</v>
      </c>
      <c r="AX147" s="4">
        <f>IF(M147=VLOOKUP(VALUE(M$1),Questions!$A:$E,5,FALSE),1,0)</f>
        <v>1</v>
      </c>
      <c r="AY147" s="4">
        <f>IF(N147=VLOOKUP(VALUE(N$1),Questions!$A:$E,5,FALSE),1,0)</f>
        <v>1</v>
      </c>
      <c r="AZ147" s="4">
        <f>IF(O147=VLOOKUP(VALUE(O$1),Questions!$A:$E,5,FALSE),1,0)</f>
        <v>1</v>
      </c>
      <c r="BA147" s="4">
        <f>IF(P147=VLOOKUP(VALUE(P$1),Questions!$A:$E,5,FALSE),1,0)</f>
        <v>0</v>
      </c>
      <c r="BB147" s="4">
        <f>IF(Q147=VLOOKUP(VALUE(Q$1),Questions!$A:$E,5,FALSE),1,0)</f>
        <v>1</v>
      </c>
      <c r="BC147" s="4">
        <f>IF(R147=VLOOKUP(VALUE(R$1),Questions!$A:$E,5,FALSE),1,0)</f>
        <v>1</v>
      </c>
      <c r="BD147" s="4">
        <f>IF(S147=VLOOKUP(VALUE(S$1),Questions!$A:$E,5,FALSE),1,0)</f>
        <v>1</v>
      </c>
      <c r="BE147" s="4">
        <f>IF(T147=VLOOKUP(VALUE(T$1),Questions!$A:$E,5,FALSE),1,0)</f>
        <v>1</v>
      </c>
      <c r="BF147" s="4">
        <f>IF(U147=VLOOKUP(VALUE(U$1),Questions!$A:$E,5,FALSE),1,0)</f>
        <v>1</v>
      </c>
      <c r="BG147" s="4">
        <f>IF(V147=VLOOKUP(VALUE(V$1),Questions!$A:$E,5,FALSE),1,0)</f>
        <v>1</v>
      </c>
      <c r="BH147" s="4">
        <f>IF(W147=VLOOKUP(VALUE(W$1),Questions!$A:$E,5,FALSE),1,0)</f>
        <v>1</v>
      </c>
      <c r="BI147" s="4">
        <f>IF(X147=VLOOKUP(VALUE(X$1),Questions!$A:$E,5,FALSE),1,0)</f>
        <v>1</v>
      </c>
      <c r="BJ147" s="4">
        <f>IF(Y147=VLOOKUP(VALUE(Y$1),Questions!$A:$E,5,FALSE),1,0)</f>
        <v>1</v>
      </c>
      <c r="BK147" s="4">
        <f>IF(Z147=VLOOKUP(VALUE(Z$1),Questions!$A:$E,5,FALSE),1,0)</f>
        <v>1</v>
      </c>
      <c r="BL147" s="4">
        <f>IF(AA147=VLOOKUP(VALUE(AA$1),Questions!$A:$E,5,FALSE),1,0)</f>
        <v>1</v>
      </c>
      <c r="BM147" s="4">
        <f>IF(AB147=VLOOKUP(VALUE(AB$1),Questions!$A:$E,5,FALSE),1,0)</f>
        <v>1</v>
      </c>
      <c r="BN147" s="4">
        <f>IF(AC147=VLOOKUP(VALUE(AC$1),Questions!$A:$E,5,FALSE),1,0)</f>
        <v>1</v>
      </c>
      <c r="BO147" s="4">
        <f>IF(AD147=VLOOKUP(VALUE(AD$1),Questions!$A:$E,5,FALSE),1,0)</f>
        <v>1</v>
      </c>
      <c r="BP147" s="4">
        <f>IF(AE147=VLOOKUP(VALUE(AE$1),Questions!$A:$E,5,FALSE),1,0)</f>
        <v>1</v>
      </c>
      <c r="BQ147" s="4">
        <f>IF(AF147=VLOOKUP(VALUE(AF$1),Questions!$A:$E,5,FALSE),1,0)</f>
        <v>1</v>
      </c>
      <c r="BR147" s="4">
        <f>IF(AG147=VLOOKUP(VALUE(AG$1),Questions!$A:$E,5,FALSE),1,0)</f>
        <v>1</v>
      </c>
      <c r="BS147" s="4">
        <f>IF(AH147=VLOOKUP(VALUE(AH$1),Questions!$A:$E,5,FALSE),1,0)</f>
        <v>1</v>
      </c>
      <c r="BT147" s="4">
        <f>IF(AI147=VLOOKUP(VALUE(AI$1),Questions!$A:$E,5,FALSE),1,0)</f>
        <v>0</v>
      </c>
      <c r="BU147" s="4">
        <f>IF(AJ147=VLOOKUP(VALUE(AJ$1),Questions!$A:$E,5,FALSE),1,0)</f>
        <v>1</v>
      </c>
      <c r="BV147" s="4">
        <f>IF(AK147=VLOOKUP(VALUE(AK$1),Questions!$A:$E,5,FALSE),1,0)</f>
        <v>0</v>
      </c>
      <c r="BW147" s="87">
        <f>IF(AL147=VLOOKUP(VALUE(AL$1),Questions!$A:$E,5,FALSE),1,0)</f>
        <v>1</v>
      </c>
      <c r="BX147" s="4">
        <f>IF(Scores[[#This Row],[Final]]&gt;=65,1,0)</f>
        <v>1</v>
      </c>
      <c r="BY147" s="4">
        <f>IF(Scores[[#This Row],[Final]]&gt;=IF(Scores[[#This Row],[IEP]],55,65),1,0)</f>
        <v>1</v>
      </c>
    </row>
    <row r="148" spans="1:77" x14ac:dyDescent="0.2">
      <c r="A148" s="6">
        <v>147</v>
      </c>
      <c r="B148" s="4">
        <v>11</v>
      </c>
      <c r="C148" s="4" t="s">
        <v>968</v>
      </c>
      <c r="D148" s="105" t="b">
        <v>0</v>
      </c>
      <c r="E148" s="105" t="b">
        <v>0</v>
      </c>
      <c r="F148" s="86">
        <f>SUM(Scores[[#This Row],[Q1]:[Q28]])</f>
        <v>20</v>
      </c>
      <c r="G148" s="4">
        <f>SUM(Scores[[#This Row],[29]]:Scores[[#This Row],[30]])</f>
        <v>4</v>
      </c>
      <c r="H148" s="4">
        <f>SUM(Scores[[#This Row],[31]:[36]])</f>
        <v>6</v>
      </c>
      <c r="I148" s="4">
        <f>Scores[[#This Row],[37]]</f>
        <v>2.5</v>
      </c>
      <c r="J148" s="87">
        <f>INDEX('Conversion Chart'!$C$3:$M$47,MATCH(SUM(Scores[[#This Row],[MC]:[IIIA]]),'Conversion Chart'!$B$3:$B$47),MATCH(Scores[[#This Row],[IIIB]],'Conversion Chart'!$C$2:$M$2))</f>
        <v>75</v>
      </c>
      <c r="K148" s="103">
        <v>4</v>
      </c>
      <c r="L148" s="103">
        <v>2</v>
      </c>
      <c r="M148" s="103">
        <v>3</v>
      </c>
      <c r="N148" s="103">
        <v>2</v>
      </c>
      <c r="O148" s="103">
        <v>1</v>
      </c>
      <c r="P148" s="103">
        <v>3</v>
      </c>
      <c r="Q148" s="103">
        <v>3</v>
      </c>
      <c r="R148" s="103">
        <v>2</v>
      </c>
      <c r="S148" s="103">
        <v>2</v>
      </c>
      <c r="T148" s="103">
        <v>1</v>
      </c>
      <c r="U148" s="103">
        <v>2</v>
      </c>
      <c r="V148" s="103">
        <v>4</v>
      </c>
      <c r="W148" s="103">
        <v>2</v>
      </c>
      <c r="X148" s="103">
        <v>1</v>
      </c>
      <c r="Y148" s="103">
        <v>1</v>
      </c>
      <c r="Z148" s="103">
        <v>4</v>
      </c>
      <c r="AA148" s="103">
        <v>1</v>
      </c>
      <c r="AB148" s="103">
        <v>4</v>
      </c>
      <c r="AC148" s="103">
        <v>3</v>
      </c>
      <c r="AD148" s="103">
        <v>1</v>
      </c>
      <c r="AE148" s="103">
        <v>2</v>
      </c>
      <c r="AF148" s="103">
        <v>2</v>
      </c>
      <c r="AG148" s="103">
        <v>3</v>
      </c>
      <c r="AH148" s="103">
        <v>2</v>
      </c>
      <c r="AI148" s="103">
        <v>4</v>
      </c>
      <c r="AJ148" s="103">
        <v>4</v>
      </c>
      <c r="AK148" s="103">
        <v>1</v>
      </c>
      <c r="AL148" s="104">
        <v>3</v>
      </c>
      <c r="AM148" s="4">
        <v>3</v>
      </c>
      <c r="AN148" s="87">
        <v>1</v>
      </c>
      <c r="AO148" s="4">
        <v>1</v>
      </c>
      <c r="AP148" s="4">
        <v>1</v>
      </c>
      <c r="AQ148" s="4">
        <v>1</v>
      </c>
      <c r="AR148" s="4">
        <v>1</v>
      </c>
      <c r="AS148" s="4">
        <v>1</v>
      </c>
      <c r="AT148" s="4">
        <v>1</v>
      </c>
      <c r="AU148" s="107">
        <v>2.5</v>
      </c>
      <c r="AV148" s="4">
        <f>IF(K148=VLOOKUP(VALUE(K$1),Questions!$A:$E,5,FALSE),1,0)</f>
        <v>1</v>
      </c>
      <c r="AW148" s="4">
        <f>IF(L148=VLOOKUP(VALUE(L$1),Questions!$A:$E,5,FALSE),1,0)</f>
        <v>1</v>
      </c>
      <c r="AX148" s="4">
        <f>IF(M148=VLOOKUP(VALUE(M$1),Questions!$A:$E,5,FALSE),1,0)</f>
        <v>1</v>
      </c>
      <c r="AY148" s="4">
        <f>IF(N148=VLOOKUP(VALUE(N$1),Questions!$A:$E,5,FALSE),1,0)</f>
        <v>0</v>
      </c>
      <c r="AZ148" s="4">
        <f>IF(O148=VLOOKUP(VALUE(O$1),Questions!$A:$E,5,FALSE),1,0)</f>
        <v>1</v>
      </c>
      <c r="BA148" s="4">
        <f>IF(P148=VLOOKUP(VALUE(P$1),Questions!$A:$E,5,FALSE),1,0)</f>
        <v>0</v>
      </c>
      <c r="BB148" s="4">
        <f>IF(Q148=VLOOKUP(VALUE(Q$1),Questions!$A:$E,5,FALSE),1,0)</f>
        <v>1</v>
      </c>
      <c r="BC148" s="4">
        <f>IF(R148=VLOOKUP(VALUE(R$1),Questions!$A:$E,5,FALSE),1,0)</f>
        <v>1</v>
      </c>
      <c r="BD148" s="4">
        <f>IF(S148=VLOOKUP(VALUE(S$1),Questions!$A:$E,5,FALSE),1,0)</f>
        <v>1</v>
      </c>
      <c r="BE148" s="4">
        <f>IF(T148=VLOOKUP(VALUE(T$1),Questions!$A:$E,5,FALSE),1,0)</f>
        <v>1</v>
      </c>
      <c r="BF148" s="4">
        <f>IF(U148=VLOOKUP(VALUE(U$1),Questions!$A:$E,5,FALSE),1,0)</f>
        <v>1</v>
      </c>
      <c r="BG148" s="4">
        <f>IF(V148=VLOOKUP(VALUE(V$1),Questions!$A:$E,5,FALSE),1,0)</f>
        <v>1</v>
      </c>
      <c r="BH148" s="4">
        <f>IF(W148=VLOOKUP(VALUE(W$1),Questions!$A:$E,5,FALSE),1,0)</f>
        <v>1</v>
      </c>
      <c r="BI148" s="4">
        <f>IF(X148=VLOOKUP(VALUE(X$1),Questions!$A:$E,5,FALSE),1,0)</f>
        <v>0</v>
      </c>
      <c r="BJ148" s="4">
        <f>IF(Y148=VLOOKUP(VALUE(Y$1),Questions!$A:$E,5,FALSE),1,0)</f>
        <v>0</v>
      </c>
      <c r="BK148" s="4">
        <f>IF(Z148=VLOOKUP(VALUE(Z$1),Questions!$A:$E,5,FALSE),1,0)</f>
        <v>0</v>
      </c>
      <c r="BL148" s="4">
        <f>IF(AA148=VLOOKUP(VALUE(AA$1),Questions!$A:$E,5,FALSE),1,0)</f>
        <v>1</v>
      </c>
      <c r="BM148" s="4">
        <f>IF(AB148=VLOOKUP(VALUE(AB$1),Questions!$A:$E,5,FALSE),1,0)</f>
        <v>1</v>
      </c>
      <c r="BN148" s="4">
        <f>IF(AC148=VLOOKUP(VALUE(AC$1),Questions!$A:$E,5,FALSE),1,0)</f>
        <v>1</v>
      </c>
      <c r="BO148" s="4">
        <f>IF(AD148=VLOOKUP(VALUE(AD$1),Questions!$A:$E,5,FALSE),1,0)</f>
        <v>0</v>
      </c>
      <c r="BP148" s="4">
        <f>IF(AE148=VLOOKUP(VALUE(AE$1),Questions!$A:$E,5,FALSE),1,0)</f>
        <v>1</v>
      </c>
      <c r="BQ148" s="4">
        <f>IF(AF148=VLOOKUP(VALUE(AF$1),Questions!$A:$E,5,FALSE),1,0)</f>
        <v>1</v>
      </c>
      <c r="BR148" s="4">
        <f>IF(AG148=VLOOKUP(VALUE(AG$1),Questions!$A:$E,5,FALSE),1,0)</f>
        <v>1</v>
      </c>
      <c r="BS148" s="4">
        <f>IF(AH148=VLOOKUP(VALUE(AH$1),Questions!$A:$E,5,FALSE),1,0)</f>
        <v>0</v>
      </c>
      <c r="BT148" s="4">
        <f>IF(AI148=VLOOKUP(VALUE(AI$1),Questions!$A:$E,5,FALSE),1,0)</f>
        <v>0</v>
      </c>
      <c r="BU148" s="4">
        <f>IF(AJ148=VLOOKUP(VALUE(AJ$1),Questions!$A:$E,5,FALSE),1,0)</f>
        <v>1</v>
      </c>
      <c r="BV148" s="4">
        <f>IF(AK148=VLOOKUP(VALUE(AK$1),Questions!$A:$E,5,FALSE),1,0)</f>
        <v>1</v>
      </c>
      <c r="BW148" s="87">
        <f>IF(AL148=VLOOKUP(VALUE(AL$1),Questions!$A:$E,5,FALSE),1,0)</f>
        <v>1</v>
      </c>
      <c r="BX148" s="4">
        <f>IF(Scores[[#This Row],[Final]]&gt;=65,1,0)</f>
        <v>1</v>
      </c>
      <c r="BY148" s="4">
        <f>IF(Scores[[#This Row],[Final]]&gt;=IF(Scores[[#This Row],[IEP]],55,65),1,0)</f>
        <v>1</v>
      </c>
    </row>
    <row r="149" spans="1:77" x14ac:dyDescent="0.2">
      <c r="A149" s="6">
        <v>148</v>
      </c>
      <c r="B149" s="4">
        <v>9</v>
      </c>
      <c r="C149" s="4" t="s">
        <v>963</v>
      </c>
      <c r="D149" s="105" t="b">
        <v>0</v>
      </c>
      <c r="E149" s="105" t="b">
        <v>0</v>
      </c>
      <c r="F149" s="86">
        <f>SUM(Scores[[#This Row],[Q1]:[Q28]])</f>
        <v>21</v>
      </c>
      <c r="G149" s="4">
        <f>SUM(Scores[[#This Row],[29]]:Scores[[#This Row],[30]])</f>
        <v>3</v>
      </c>
      <c r="H149" s="4">
        <f>SUM(Scores[[#This Row],[31]:[36]])</f>
        <v>4</v>
      </c>
      <c r="I149" s="4">
        <f>Scores[[#This Row],[37]]</f>
        <v>2</v>
      </c>
      <c r="J149" s="87">
        <f>INDEX('Conversion Chart'!$C$3:$M$47,MATCH(SUM(Scores[[#This Row],[MC]:[IIIA]]),'Conversion Chart'!$B$3:$B$47),MATCH(Scores[[#This Row],[IIIB]],'Conversion Chart'!$C$2:$M$2))</f>
        <v>71</v>
      </c>
      <c r="K149" s="103">
        <v>4</v>
      </c>
      <c r="L149" s="103">
        <v>2</v>
      </c>
      <c r="M149" s="103">
        <v>3</v>
      </c>
      <c r="N149" s="103">
        <v>1</v>
      </c>
      <c r="O149" s="103">
        <v>3</v>
      </c>
      <c r="P149" s="103">
        <v>2</v>
      </c>
      <c r="Q149" s="103">
        <v>3</v>
      </c>
      <c r="R149" s="103">
        <v>2</v>
      </c>
      <c r="S149" s="103">
        <v>4</v>
      </c>
      <c r="T149" s="103">
        <v>1</v>
      </c>
      <c r="U149" s="103">
        <v>2</v>
      </c>
      <c r="V149" s="103">
        <v>3</v>
      </c>
      <c r="W149" s="103">
        <v>2</v>
      </c>
      <c r="X149" s="103">
        <v>4</v>
      </c>
      <c r="Y149" s="103">
        <v>4</v>
      </c>
      <c r="Z149" s="103">
        <v>1</v>
      </c>
      <c r="AA149" s="103">
        <v>1</v>
      </c>
      <c r="AB149" s="103">
        <v>4</v>
      </c>
      <c r="AC149" s="103">
        <v>3</v>
      </c>
      <c r="AD149" s="103">
        <v>4</v>
      </c>
      <c r="AE149" s="103">
        <v>2</v>
      </c>
      <c r="AF149" s="103">
        <v>2</v>
      </c>
      <c r="AG149" s="103">
        <v>3</v>
      </c>
      <c r="AH149" s="103">
        <v>3</v>
      </c>
      <c r="AI149" s="103">
        <v>2</v>
      </c>
      <c r="AJ149" s="103">
        <v>4</v>
      </c>
      <c r="AK149" s="103">
        <v>1</v>
      </c>
      <c r="AL149" s="104">
        <v>3</v>
      </c>
      <c r="AM149" s="4">
        <v>2</v>
      </c>
      <c r="AN149" s="87">
        <v>1</v>
      </c>
      <c r="AO149" s="4">
        <v>1</v>
      </c>
      <c r="AP149" s="4">
        <v>1</v>
      </c>
      <c r="AQ149" s="4">
        <v>1</v>
      </c>
      <c r="AR149" s="4">
        <v>0</v>
      </c>
      <c r="AS149" s="4">
        <v>1</v>
      </c>
      <c r="AT149" s="4">
        <v>0</v>
      </c>
      <c r="AU149" s="107">
        <v>2</v>
      </c>
      <c r="AV149" s="4">
        <f>IF(K149=VLOOKUP(VALUE(K$1),Questions!$A:$E,5,FALSE),1,0)</f>
        <v>1</v>
      </c>
      <c r="AW149" s="4">
        <f>IF(L149=VLOOKUP(VALUE(L$1),Questions!$A:$E,5,FALSE),1,0)</f>
        <v>1</v>
      </c>
      <c r="AX149" s="4">
        <f>IF(M149=VLOOKUP(VALUE(M$1),Questions!$A:$E,5,FALSE),1,0)</f>
        <v>1</v>
      </c>
      <c r="AY149" s="4">
        <f>IF(N149=VLOOKUP(VALUE(N$1),Questions!$A:$E,5,FALSE),1,0)</f>
        <v>0</v>
      </c>
      <c r="AZ149" s="4">
        <f>IF(O149=VLOOKUP(VALUE(O$1),Questions!$A:$E,5,FALSE),1,0)</f>
        <v>0</v>
      </c>
      <c r="BA149" s="4">
        <f>IF(P149=VLOOKUP(VALUE(P$1),Questions!$A:$E,5,FALSE),1,0)</f>
        <v>0</v>
      </c>
      <c r="BB149" s="4">
        <f>IF(Q149=VLOOKUP(VALUE(Q$1),Questions!$A:$E,5,FALSE),1,0)</f>
        <v>1</v>
      </c>
      <c r="BC149" s="4">
        <f>IF(R149=VLOOKUP(VALUE(R$1),Questions!$A:$E,5,FALSE),1,0)</f>
        <v>1</v>
      </c>
      <c r="BD149" s="4">
        <f>IF(S149=VLOOKUP(VALUE(S$1),Questions!$A:$E,5,FALSE),1,0)</f>
        <v>0</v>
      </c>
      <c r="BE149" s="4">
        <f>IF(T149=VLOOKUP(VALUE(T$1),Questions!$A:$E,5,FALSE),1,0)</f>
        <v>1</v>
      </c>
      <c r="BF149" s="4">
        <f>IF(U149=VLOOKUP(VALUE(U$1),Questions!$A:$E,5,FALSE),1,0)</f>
        <v>1</v>
      </c>
      <c r="BG149" s="4">
        <f>IF(V149=VLOOKUP(VALUE(V$1),Questions!$A:$E,5,FALSE),1,0)</f>
        <v>0</v>
      </c>
      <c r="BH149" s="4">
        <f>IF(W149=VLOOKUP(VALUE(W$1),Questions!$A:$E,5,FALSE),1,0)</f>
        <v>1</v>
      </c>
      <c r="BI149" s="4">
        <f>IF(X149=VLOOKUP(VALUE(X$1),Questions!$A:$E,5,FALSE),1,0)</f>
        <v>1</v>
      </c>
      <c r="BJ149" s="4">
        <f>IF(Y149=VLOOKUP(VALUE(Y$1),Questions!$A:$E,5,FALSE),1,0)</f>
        <v>0</v>
      </c>
      <c r="BK149" s="4">
        <f>IF(Z149=VLOOKUP(VALUE(Z$1),Questions!$A:$E,5,FALSE),1,0)</f>
        <v>1</v>
      </c>
      <c r="BL149" s="4">
        <f>IF(AA149=VLOOKUP(VALUE(AA$1),Questions!$A:$E,5,FALSE),1,0)</f>
        <v>1</v>
      </c>
      <c r="BM149" s="4">
        <f>IF(AB149=VLOOKUP(VALUE(AB$1),Questions!$A:$E,5,FALSE),1,0)</f>
        <v>1</v>
      </c>
      <c r="BN149" s="4">
        <f>IF(AC149=VLOOKUP(VALUE(AC$1),Questions!$A:$E,5,FALSE),1,0)</f>
        <v>1</v>
      </c>
      <c r="BO149" s="4">
        <f>IF(AD149=VLOOKUP(VALUE(AD$1),Questions!$A:$E,5,FALSE),1,0)</f>
        <v>1</v>
      </c>
      <c r="BP149" s="4">
        <f>IF(AE149=VLOOKUP(VALUE(AE$1),Questions!$A:$E,5,FALSE),1,0)</f>
        <v>1</v>
      </c>
      <c r="BQ149" s="4">
        <f>IF(AF149=VLOOKUP(VALUE(AF$1),Questions!$A:$E,5,FALSE),1,0)</f>
        <v>1</v>
      </c>
      <c r="BR149" s="4">
        <f>IF(AG149=VLOOKUP(VALUE(AG$1),Questions!$A:$E,5,FALSE),1,0)</f>
        <v>1</v>
      </c>
      <c r="BS149" s="4">
        <f>IF(AH149=VLOOKUP(VALUE(AH$1),Questions!$A:$E,5,FALSE),1,0)</f>
        <v>1</v>
      </c>
      <c r="BT149" s="4">
        <f>IF(AI149=VLOOKUP(VALUE(AI$1),Questions!$A:$E,5,FALSE),1,0)</f>
        <v>0</v>
      </c>
      <c r="BU149" s="4">
        <f>IF(AJ149=VLOOKUP(VALUE(AJ$1),Questions!$A:$E,5,FALSE),1,0)</f>
        <v>1</v>
      </c>
      <c r="BV149" s="4">
        <f>IF(AK149=VLOOKUP(VALUE(AK$1),Questions!$A:$E,5,FALSE),1,0)</f>
        <v>1</v>
      </c>
      <c r="BW149" s="87">
        <f>IF(AL149=VLOOKUP(VALUE(AL$1),Questions!$A:$E,5,FALSE),1,0)</f>
        <v>1</v>
      </c>
      <c r="BX149" s="4">
        <f>IF(Scores[[#This Row],[Final]]&gt;=65,1,0)</f>
        <v>1</v>
      </c>
      <c r="BY149" s="4">
        <f>IF(Scores[[#This Row],[Final]]&gt;=IF(Scores[[#This Row],[IEP]],55,65),1,0)</f>
        <v>1</v>
      </c>
    </row>
    <row r="150" spans="1:77" x14ac:dyDescent="0.2">
      <c r="A150" s="6">
        <v>149</v>
      </c>
      <c r="B150" s="4">
        <v>11</v>
      </c>
      <c r="C150" s="4" t="s">
        <v>964</v>
      </c>
      <c r="D150" s="105" t="b">
        <v>0</v>
      </c>
      <c r="E150" s="105" t="b">
        <v>0</v>
      </c>
      <c r="F150" s="86">
        <f>SUM(Scores[[#This Row],[Q1]:[Q28]])</f>
        <v>16</v>
      </c>
      <c r="G150" s="4">
        <f>SUM(Scores[[#This Row],[29]]:Scores[[#This Row],[30]])</f>
        <v>3</v>
      </c>
      <c r="H150" s="4">
        <f>SUM(Scores[[#This Row],[31]:[36]])</f>
        <v>6</v>
      </c>
      <c r="I150" s="4">
        <f>Scores[[#This Row],[37]]</f>
        <v>2</v>
      </c>
      <c r="J150" s="87">
        <f>INDEX('Conversion Chart'!$C$3:$M$47,MATCH(SUM(Scores[[#This Row],[MC]:[IIIA]]),'Conversion Chart'!$B$3:$B$47),MATCH(Scores[[#This Row],[IIIB]],'Conversion Chart'!$C$2:$M$2))</f>
        <v>68</v>
      </c>
      <c r="K150" s="103">
        <v>3</v>
      </c>
      <c r="L150" s="103">
        <v>2</v>
      </c>
      <c r="M150" s="103">
        <v>3</v>
      </c>
      <c r="N150" s="103">
        <v>1</v>
      </c>
      <c r="O150" s="103">
        <v>1</v>
      </c>
      <c r="P150" s="103">
        <v>3</v>
      </c>
      <c r="Q150" s="103">
        <v>3</v>
      </c>
      <c r="R150" s="103">
        <v>2</v>
      </c>
      <c r="S150" s="103">
        <v>2</v>
      </c>
      <c r="T150" s="103">
        <v>2</v>
      </c>
      <c r="U150" s="103">
        <v>1</v>
      </c>
      <c r="V150" s="103">
        <v>3</v>
      </c>
      <c r="W150" s="103">
        <v>2</v>
      </c>
      <c r="X150" s="103">
        <v>4</v>
      </c>
      <c r="Y150" s="103">
        <v>3</v>
      </c>
      <c r="Z150" s="103">
        <v>4</v>
      </c>
      <c r="AA150" s="103">
        <v>1</v>
      </c>
      <c r="AB150" s="103">
        <v>1</v>
      </c>
      <c r="AC150" s="103">
        <v>1</v>
      </c>
      <c r="AD150" s="103">
        <v>4</v>
      </c>
      <c r="AE150" s="103">
        <v>2</v>
      </c>
      <c r="AF150" s="103">
        <v>2</v>
      </c>
      <c r="AG150" s="103">
        <v>3</v>
      </c>
      <c r="AH150" s="103">
        <v>2</v>
      </c>
      <c r="AI150" s="103">
        <v>3</v>
      </c>
      <c r="AJ150" s="103">
        <v>4</v>
      </c>
      <c r="AK150" s="103">
        <v>4</v>
      </c>
      <c r="AL150" s="104">
        <v>3</v>
      </c>
      <c r="AM150" s="4">
        <v>2</v>
      </c>
      <c r="AN150" s="87">
        <v>1</v>
      </c>
      <c r="AO150" s="4">
        <v>1</v>
      </c>
      <c r="AP150" s="4">
        <v>1</v>
      </c>
      <c r="AQ150" s="4">
        <v>1</v>
      </c>
      <c r="AR150" s="4">
        <v>1</v>
      </c>
      <c r="AS150" s="4">
        <v>1</v>
      </c>
      <c r="AT150" s="4">
        <v>1</v>
      </c>
      <c r="AU150" s="107">
        <v>2</v>
      </c>
      <c r="AV150" s="4">
        <f>IF(K150=VLOOKUP(VALUE(K$1),Questions!$A:$E,5,FALSE),1,0)</f>
        <v>0</v>
      </c>
      <c r="AW150" s="4">
        <f>IF(L150=VLOOKUP(VALUE(L$1),Questions!$A:$E,5,FALSE),1,0)</f>
        <v>1</v>
      </c>
      <c r="AX150" s="4">
        <f>IF(M150=VLOOKUP(VALUE(M$1),Questions!$A:$E,5,FALSE),1,0)</f>
        <v>1</v>
      </c>
      <c r="AY150" s="4">
        <f>IF(N150=VLOOKUP(VALUE(N$1),Questions!$A:$E,5,FALSE),1,0)</f>
        <v>0</v>
      </c>
      <c r="AZ150" s="4">
        <f>IF(O150=VLOOKUP(VALUE(O$1),Questions!$A:$E,5,FALSE),1,0)</f>
        <v>1</v>
      </c>
      <c r="BA150" s="4">
        <f>IF(P150=VLOOKUP(VALUE(P$1),Questions!$A:$E,5,FALSE),1,0)</f>
        <v>0</v>
      </c>
      <c r="BB150" s="4">
        <f>IF(Q150=VLOOKUP(VALUE(Q$1),Questions!$A:$E,5,FALSE),1,0)</f>
        <v>1</v>
      </c>
      <c r="BC150" s="4">
        <f>IF(R150=VLOOKUP(VALUE(R$1),Questions!$A:$E,5,FALSE),1,0)</f>
        <v>1</v>
      </c>
      <c r="BD150" s="4">
        <f>IF(S150=VLOOKUP(VALUE(S$1),Questions!$A:$E,5,FALSE),1,0)</f>
        <v>1</v>
      </c>
      <c r="BE150" s="4">
        <f>IF(T150=VLOOKUP(VALUE(T$1),Questions!$A:$E,5,FALSE),1,0)</f>
        <v>0</v>
      </c>
      <c r="BF150" s="4">
        <f>IF(U150=VLOOKUP(VALUE(U$1),Questions!$A:$E,5,FALSE),1,0)</f>
        <v>0</v>
      </c>
      <c r="BG150" s="4">
        <f>IF(V150=VLOOKUP(VALUE(V$1),Questions!$A:$E,5,FALSE),1,0)</f>
        <v>0</v>
      </c>
      <c r="BH150" s="4">
        <f>IF(W150=VLOOKUP(VALUE(W$1),Questions!$A:$E,5,FALSE),1,0)</f>
        <v>1</v>
      </c>
      <c r="BI150" s="4">
        <f>IF(X150=VLOOKUP(VALUE(X$1),Questions!$A:$E,5,FALSE),1,0)</f>
        <v>1</v>
      </c>
      <c r="BJ150" s="4">
        <f>IF(Y150=VLOOKUP(VALUE(Y$1),Questions!$A:$E,5,FALSE),1,0)</f>
        <v>1</v>
      </c>
      <c r="BK150" s="4">
        <f>IF(Z150=VLOOKUP(VALUE(Z$1),Questions!$A:$E,5,FALSE),1,0)</f>
        <v>0</v>
      </c>
      <c r="BL150" s="4">
        <f>IF(AA150=VLOOKUP(VALUE(AA$1),Questions!$A:$E,5,FALSE),1,0)</f>
        <v>1</v>
      </c>
      <c r="BM150" s="4">
        <f>IF(AB150=VLOOKUP(VALUE(AB$1),Questions!$A:$E,5,FALSE),1,0)</f>
        <v>0</v>
      </c>
      <c r="BN150" s="4">
        <f>IF(AC150=VLOOKUP(VALUE(AC$1),Questions!$A:$E,5,FALSE),1,0)</f>
        <v>0</v>
      </c>
      <c r="BO150" s="4">
        <f>IF(AD150=VLOOKUP(VALUE(AD$1),Questions!$A:$E,5,FALSE),1,0)</f>
        <v>1</v>
      </c>
      <c r="BP150" s="4">
        <f>IF(AE150=VLOOKUP(VALUE(AE$1),Questions!$A:$E,5,FALSE),1,0)</f>
        <v>1</v>
      </c>
      <c r="BQ150" s="4">
        <f>IF(AF150=VLOOKUP(VALUE(AF$1),Questions!$A:$E,5,FALSE),1,0)</f>
        <v>1</v>
      </c>
      <c r="BR150" s="4">
        <f>IF(AG150=VLOOKUP(VALUE(AG$1),Questions!$A:$E,5,FALSE),1,0)</f>
        <v>1</v>
      </c>
      <c r="BS150" s="4">
        <f>IF(AH150=VLOOKUP(VALUE(AH$1),Questions!$A:$E,5,FALSE),1,0)</f>
        <v>0</v>
      </c>
      <c r="BT150" s="4">
        <f>IF(AI150=VLOOKUP(VALUE(AI$1),Questions!$A:$E,5,FALSE),1,0)</f>
        <v>0</v>
      </c>
      <c r="BU150" s="4">
        <f>IF(AJ150=VLOOKUP(VALUE(AJ$1),Questions!$A:$E,5,FALSE),1,0)</f>
        <v>1</v>
      </c>
      <c r="BV150" s="4">
        <f>IF(AK150=VLOOKUP(VALUE(AK$1),Questions!$A:$E,5,FALSE),1,0)</f>
        <v>0</v>
      </c>
      <c r="BW150" s="87">
        <f>IF(AL150=VLOOKUP(VALUE(AL$1),Questions!$A:$E,5,FALSE),1,0)</f>
        <v>1</v>
      </c>
      <c r="BX150" s="4">
        <f>IF(Scores[[#This Row],[Final]]&gt;=65,1,0)</f>
        <v>1</v>
      </c>
      <c r="BY150" s="4">
        <f>IF(Scores[[#This Row],[Final]]&gt;=IF(Scores[[#This Row],[IEP]],55,65),1,0)</f>
        <v>1</v>
      </c>
    </row>
    <row r="151" spans="1:77" x14ac:dyDescent="0.2">
      <c r="A151" s="6">
        <v>150</v>
      </c>
      <c r="B151" s="4">
        <v>11</v>
      </c>
      <c r="C151" s="4" t="s">
        <v>962</v>
      </c>
      <c r="D151" s="105" t="b">
        <v>0</v>
      </c>
      <c r="E151" s="105" t="b">
        <v>0</v>
      </c>
      <c r="F151" s="86">
        <f>SUM(Scores[[#This Row],[Q1]:[Q28]])</f>
        <v>11</v>
      </c>
      <c r="G151" s="4">
        <f>SUM(Scores[[#This Row],[29]]:Scores[[#This Row],[30]])</f>
        <v>3</v>
      </c>
      <c r="H151" s="4">
        <f>SUM(Scores[[#This Row],[31]:[36]])</f>
        <v>5</v>
      </c>
      <c r="I151" s="4">
        <f>Scores[[#This Row],[37]]</f>
        <v>2</v>
      </c>
      <c r="J151" s="87">
        <f>INDEX('Conversion Chart'!$C$3:$M$47,MATCH(SUM(Scores[[#This Row],[MC]:[IIIA]]),'Conversion Chart'!$B$3:$B$47),MATCH(Scores[[#This Row],[IIIB]],'Conversion Chart'!$C$2:$M$2))</f>
        <v>60</v>
      </c>
      <c r="K151" s="103">
        <v>2</v>
      </c>
      <c r="L151" s="103">
        <v>4</v>
      </c>
      <c r="M151" s="103">
        <v>2</v>
      </c>
      <c r="N151" s="103">
        <v>4</v>
      </c>
      <c r="O151" s="103">
        <v>3</v>
      </c>
      <c r="P151" s="103">
        <v>2</v>
      </c>
      <c r="Q151" s="103">
        <v>1</v>
      </c>
      <c r="R151" s="103">
        <v>2</v>
      </c>
      <c r="S151" s="103">
        <v>2</v>
      </c>
      <c r="T151" s="103">
        <v>2</v>
      </c>
      <c r="U151" s="103">
        <v>3</v>
      </c>
      <c r="V151" s="103">
        <v>4</v>
      </c>
      <c r="W151" s="103">
        <v>2</v>
      </c>
      <c r="X151" s="103">
        <v>3</v>
      </c>
      <c r="Y151" s="103">
        <v>2</v>
      </c>
      <c r="Z151" s="103">
        <v>4</v>
      </c>
      <c r="AA151" s="103">
        <v>1</v>
      </c>
      <c r="AB151" s="103">
        <v>4</v>
      </c>
      <c r="AC151" s="103">
        <v>3</v>
      </c>
      <c r="AD151" s="103">
        <v>1</v>
      </c>
      <c r="AE151" s="103">
        <v>1</v>
      </c>
      <c r="AF151" s="103">
        <v>2</v>
      </c>
      <c r="AG151" s="103">
        <v>4</v>
      </c>
      <c r="AH151" s="103">
        <v>2</v>
      </c>
      <c r="AI151" s="103">
        <v>3</v>
      </c>
      <c r="AJ151" s="103">
        <v>4</v>
      </c>
      <c r="AK151" s="103">
        <v>1</v>
      </c>
      <c r="AL151" s="104">
        <v>3</v>
      </c>
      <c r="AM151" s="4">
        <v>2</v>
      </c>
      <c r="AN151" s="87">
        <v>1</v>
      </c>
      <c r="AO151" s="4">
        <v>1</v>
      </c>
      <c r="AP151" s="4">
        <v>1</v>
      </c>
      <c r="AQ151" s="4">
        <v>1</v>
      </c>
      <c r="AR151" s="4">
        <v>1</v>
      </c>
      <c r="AS151" s="4">
        <v>0</v>
      </c>
      <c r="AT151" s="4">
        <v>1</v>
      </c>
      <c r="AU151" s="107">
        <v>2</v>
      </c>
      <c r="AV151" s="4">
        <f>IF(K151=VLOOKUP(VALUE(K$1),Questions!$A:$E,5,FALSE),1,0)</f>
        <v>0</v>
      </c>
      <c r="AW151" s="4">
        <f>IF(L151=VLOOKUP(VALUE(L$1),Questions!$A:$E,5,FALSE),1,0)</f>
        <v>0</v>
      </c>
      <c r="AX151" s="4">
        <f>IF(M151=VLOOKUP(VALUE(M$1),Questions!$A:$E,5,FALSE),1,0)</f>
        <v>0</v>
      </c>
      <c r="AY151" s="4">
        <f>IF(N151=VLOOKUP(VALUE(N$1),Questions!$A:$E,5,FALSE),1,0)</f>
        <v>0</v>
      </c>
      <c r="AZ151" s="4">
        <f>IF(O151=VLOOKUP(VALUE(O$1),Questions!$A:$E,5,FALSE),1,0)</f>
        <v>0</v>
      </c>
      <c r="BA151" s="4">
        <f>IF(P151=VLOOKUP(VALUE(P$1),Questions!$A:$E,5,FALSE),1,0)</f>
        <v>0</v>
      </c>
      <c r="BB151" s="4">
        <f>IF(Q151=VLOOKUP(VALUE(Q$1),Questions!$A:$E,5,FALSE),1,0)</f>
        <v>0</v>
      </c>
      <c r="BC151" s="4">
        <f>IF(R151=VLOOKUP(VALUE(R$1),Questions!$A:$E,5,FALSE),1,0)</f>
        <v>1</v>
      </c>
      <c r="BD151" s="4">
        <f>IF(S151=VLOOKUP(VALUE(S$1),Questions!$A:$E,5,FALSE),1,0)</f>
        <v>1</v>
      </c>
      <c r="BE151" s="4">
        <f>IF(T151=VLOOKUP(VALUE(T$1),Questions!$A:$E,5,FALSE),1,0)</f>
        <v>0</v>
      </c>
      <c r="BF151" s="4">
        <f>IF(U151=VLOOKUP(VALUE(U$1),Questions!$A:$E,5,FALSE),1,0)</f>
        <v>0</v>
      </c>
      <c r="BG151" s="4">
        <f>IF(V151=VLOOKUP(VALUE(V$1),Questions!$A:$E,5,FALSE),1,0)</f>
        <v>1</v>
      </c>
      <c r="BH151" s="4">
        <f>IF(W151=VLOOKUP(VALUE(W$1),Questions!$A:$E,5,FALSE),1,0)</f>
        <v>1</v>
      </c>
      <c r="BI151" s="4">
        <f>IF(X151=VLOOKUP(VALUE(X$1),Questions!$A:$E,5,FALSE),1,0)</f>
        <v>0</v>
      </c>
      <c r="BJ151" s="4">
        <f>IF(Y151=VLOOKUP(VALUE(Y$1),Questions!$A:$E,5,FALSE),1,0)</f>
        <v>0</v>
      </c>
      <c r="BK151" s="4">
        <f>IF(Z151=VLOOKUP(VALUE(Z$1),Questions!$A:$E,5,FALSE),1,0)</f>
        <v>0</v>
      </c>
      <c r="BL151" s="4">
        <f>IF(AA151=VLOOKUP(VALUE(AA$1),Questions!$A:$E,5,FALSE),1,0)</f>
        <v>1</v>
      </c>
      <c r="BM151" s="4">
        <f>IF(AB151=VLOOKUP(VALUE(AB$1),Questions!$A:$E,5,FALSE),1,0)</f>
        <v>1</v>
      </c>
      <c r="BN151" s="4">
        <f>IF(AC151=VLOOKUP(VALUE(AC$1),Questions!$A:$E,5,FALSE),1,0)</f>
        <v>1</v>
      </c>
      <c r="BO151" s="4">
        <f>IF(AD151=VLOOKUP(VALUE(AD$1),Questions!$A:$E,5,FALSE),1,0)</f>
        <v>0</v>
      </c>
      <c r="BP151" s="4">
        <f>IF(AE151=VLOOKUP(VALUE(AE$1),Questions!$A:$E,5,FALSE),1,0)</f>
        <v>0</v>
      </c>
      <c r="BQ151" s="4">
        <f>IF(AF151=VLOOKUP(VALUE(AF$1),Questions!$A:$E,5,FALSE),1,0)</f>
        <v>1</v>
      </c>
      <c r="BR151" s="4">
        <f>IF(AG151=VLOOKUP(VALUE(AG$1),Questions!$A:$E,5,FALSE),1,0)</f>
        <v>0</v>
      </c>
      <c r="BS151" s="4">
        <f>IF(AH151=VLOOKUP(VALUE(AH$1),Questions!$A:$E,5,FALSE),1,0)</f>
        <v>0</v>
      </c>
      <c r="BT151" s="4">
        <f>IF(AI151=VLOOKUP(VALUE(AI$1),Questions!$A:$E,5,FALSE),1,0)</f>
        <v>0</v>
      </c>
      <c r="BU151" s="4">
        <f>IF(AJ151=VLOOKUP(VALUE(AJ$1),Questions!$A:$E,5,FALSE),1,0)</f>
        <v>1</v>
      </c>
      <c r="BV151" s="4">
        <f>IF(AK151=VLOOKUP(VALUE(AK$1),Questions!$A:$E,5,FALSE),1,0)</f>
        <v>1</v>
      </c>
      <c r="BW151" s="87">
        <f>IF(AL151=VLOOKUP(VALUE(AL$1),Questions!$A:$E,5,FALSE),1,0)</f>
        <v>1</v>
      </c>
      <c r="BX151" s="4">
        <f>IF(Scores[[#This Row],[Final]]&gt;=65,1,0)</f>
        <v>0</v>
      </c>
      <c r="BY151" s="4">
        <f>IF(Scores[[#This Row],[Final]]&gt;=IF(Scores[[#This Row],[IEP]],55,65),1,0)</f>
        <v>0</v>
      </c>
    </row>
    <row r="152" spans="1:77" x14ac:dyDescent="0.2">
      <c r="A152" s="6">
        <v>151</v>
      </c>
      <c r="B152" s="4">
        <v>9</v>
      </c>
      <c r="C152" s="4" t="s">
        <v>963</v>
      </c>
      <c r="D152" s="105" t="b">
        <v>0</v>
      </c>
      <c r="E152" s="105" t="b">
        <v>0</v>
      </c>
      <c r="F152" s="86">
        <f>SUM(Scores[[#This Row],[Q1]:[Q28]])</f>
        <v>24</v>
      </c>
      <c r="G152" s="4">
        <f>SUM(Scores[[#This Row],[29]]:Scores[[#This Row],[30]])</f>
        <v>8</v>
      </c>
      <c r="H152" s="4">
        <f>SUM(Scores[[#This Row],[31]:[36]])</f>
        <v>5</v>
      </c>
      <c r="I152" s="4">
        <f>Scores[[#This Row],[37]]</f>
        <v>3</v>
      </c>
      <c r="J152" s="87">
        <f>INDEX('Conversion Chart'!$C$3:$M$47,MATCH(SUM(Scores[[#This Row],[MC]:[IIIA]]),'Conversion Chart'!$B$3:$B$47),MATCH(Scores[[#This Row],[IIIB]],'Conversion Chart'!$C$2:$M$2))</f>
        <v>83</v>
      </c>
      <c r="K152" s="103">
        <v>4</v>
      </c>
      <c r="L152" s="103">
        <v>4</v>
      </c>
      <c r="M152" s="103">
        <v>3</v>
      </c>
      <c r="N152" s="103">
        <v>3</v>
      </c>
      <c r="O152" s="103">
        <v>1</v>
      </c>
      <c r="P152" s="103">
        <v>3</v>
      </c>
      <c r="Q152" s="103">
        <v>3</v>
      </c>
      <c r="R152" s="103">
        <v>2</v>
      </c>
      <c r="S152" s="103">
        <v>2</v>
      </c>
      <c r="T152" s="103">
        <v>3</v>
      </c>
      <c r="U152" s="103">
        <v>2</v>
      </c>
      <c r="V152" s="103">
        <v>4</v>
      </c>
      <c r="W152" s="103">
        <v>2</v>
      </c>
      <c r="X152" s="103">
        <v>4</v>
      </c>
      <c r="Y152" s="103">
        <v>3</v>
      </c>
      <c r="Z152" s="103">
        <v>1</v>
      </c>
      <c r="AA152" s="103">
        <v>1</v>
      </c>
      <c r="AB152" s="103">
        <v>4</v>
      </c>
      <c r="AC152" s="103">
        <v>3</v>
      </c>
      <c r="AD152" s="103">
        <v>4</v>
      </c>
      <c r="AE152" s="103">
        <v>2</v>
      </c>
      <c r="AF152" s="103">
        <v>2</v>
      </c>
      <c r="AG152" s="103">
        <v>3</v>
      </c>
      <c r="AH152" s="103">
        <v>2</v>
      </c>
      <c r="AI152" s="103">
        <v>1</v>
      </c>
      <c r="AJ152" s="103">
        <v>4</v>
      </c>
      <c r="AK152" s="103">
        <v>1</v>
      </c>
      <c r="AL152" s="104">
        <v>3</v>
      </c>
      <c r="AM152" s="4">
        <v>4</v>
      </c>
      <c r="AN152" s="87">
        <v>4</v>
      </c>
      <c r="AO152" s="4">
        <v>1</v>
      </c>
      <c r="AP152" s="4">
        <v>1</v>
      </c>
      <c r="AQ152" s="4">
        <v>1</v>
      </c>
      <c r="AR152" s="4">
        <v>1</v>
      </c>
      <c r="AS152" s="4">
        <v>1</v>
      </c>
      <c r="AT152" s="4">
        <v>0</v>
      </c>
      <c r="AU152" s="107">
        <v>3</v>
      </c>
      <c r="AV152" s="4">
        <f>IF(K152=VLOOKUP(VALUE(K$1),Questions!$A:$E,5,FALSE),1,0)</f>
        <v>1</v>
      </c>
      <c r="AW152" s="4">
        <f>IF(L152=VLOOKUP(VALUE(L$1),Questions!$A:$E,5,FALSE),1,0)</f>
        <v>0</v>
      </c>
      <c r="AX152" s="4">
        <f>IF(M152=VLOOKUP(VALUE(M$1),Questions!$A:$E,5,FALSE),1,0)</f>
        <v>1</v>
      </c>
      <c r="AY152" s="4">
        <f>IF(N152=VLOOKUP(VALUE(N$1),Questions!$A:$E,5,FALSE),1,0)</f>
        <v>1</v>
      </c>
      <c r="AZ152" s="4">
        <f>IF(O152=VLOOKUP(VALUE(O$1),Questions!$A:$E,5,FALSE),1,0)</f>
        <v>1</v>
      </c>
      <c r="BA152" s="4">
        <f>IF(P152=VLOOKUP(VALUE(P$1),Questions!$A:$E,5,FALSE),1,0)</f>
        <v>0</v>
      </c>
      <c r="BB152" s="4">
        <f>IF(Q152=VLOOKUP(VALUE(Q$1),Questions!$A:$E,5,FALSE),1,0)</f>
        <v>1</v>
      </c>
      <c r="BC152" s="4">
        <f>IF(R152=VLOOKUP(VALUE(R$1),Questions!$A:$E,5,FALSE),1,0)</f>
        <v>1</v>
      </c>
      <c r="BD152" s="4">
        <f>IF(S152=VLOOKUP(VALUE(S$1),Questions!$A:$E,5,FALSE),1,0)</f>
        <v>1</v>
      </c>
      <c r="BE152" s="4">
        <f>IF(T152=VLOOKUP(VALUE(T$1),Questions!$A:$E,5,FALSE),1,0)</f>
        <v>0</v>
      </c>
      <c r="BF152" s="4">
        <f>IF(U152=VLOOKUP(VALUE(U$1),Questions!$A:$E,5,FALSE),1,0)</f>
        <v>1</v>
      </c>
      <c r="BG152" s="4">
        <f>IF(V152=VLOOKUP(VALUE(V$1),Questions!$A:$E,5,FALSE),1,0)</f>
        <v>1</v>
      </c>
      <c r="BH152" s="4">
        <f>IF(W152=VLOOKUP(VALUE(W$1),Questions!$A:$E,5,FALSE),1,0)</f>
        <v>1</v>
      </c>
      <c r="BI152" s="4">
        <f>IF(X152=VLOOKUP(VALUE(X$1),Questions!$A:$E,5,FALSE),1,0)</f>
        <v>1</v>
      </c>
      <c r="BJ152" s="4">
        <f>IF(Y152=VLOOKUP(VALUE(Y$1),Questions!$A:$E,5,FALSE),1,0)</f>
        <v>1</v>
      </c>
      <c r="BK152" s="4">
        <f>IF(Z152=VLOOKUP(VALUE(Z$1),Questions!$A:$E,5,FALSE),1,0)</f>
        <v>1</v>
      </c>
      <c r="BL152" s="4">
        <f>IF(AA152=VLOOKUP(VALUE(AA$1),Questions!$A:$E,5,FALSE),1,0)</f>
        <v>1</v>
      </c>
      <c r="BM152" s="4">
        <f>IF(AB152=VLOOKUP(VALUE(AB$1),Questions!$A:$E,5,FALSE),1,0)</f>
        <v>1</v>
      </c>
      <c r="BN152" s="4">
        <f>IF(AC152=VLOOKUP(VALUE(AC$1),Questions!$A:$E,5,FALSE),1,0)</f>
        <v>1</v>
      </c>
      <c r="BO152" s="4">
        <f>IF(AD152=VLOOKUP(VALUE(AD$1),Questions!$A:$E,5,FALSE),1,0)</f>
        <v>1</v>
      </c>
      <c r="BP152" s="4">
        <f>IF(AE152=VLOOKUP(VALUE(AE$1),Questions!$A:$E,5,FALSE),1,0)</f>
        <v>1</v>
      </c>
      <c r="BQ152" s="4">
        <f>IF(AF152=VLOOKUP(VALUE(AF$1),Questions!$A:$E,5,FALSE),1,0)</f>
        <v>1</v>
      </c>
      <c r="BR152" s="4">
        <f>IF(AG152=VLOOKUP(VALUE(AG$1),Questions!$A:$E,5,FALSE),1,0)</f>
        <v>1</v>
      </c>
      <c r="BS152" s="4">
        <f>IF(AH152=VLOOKUP(VALUE(AH$1),Questions!$A:$E,5,FALSE),1,0)</f>
        <v>0</v>
      </c>
      <c r="BT152" s="4">
        <f>IF(AI152=VLOOKUP(VALUE(AI$1),Questions!$A:$E,5,FALSE),1,0)</f>
        <v>1</v>
      </c>
      <c r="BU152" s="4">
        <f>IF(AJ152=VLOOKUP(VALUE(AJ$1),Questions!$A:$E,5,FALSE),1,0)</f>
        <v>1</v>
      </c>
      <c r="BV152" s="4">
        <f>IF(AK152=VLOOKUP(VALUE(AK$1),Questions!$A:$E,5,FALSE),1,0)</f>
        <v>1</v>
      </c>
      <c r="BW152" s="87">
        <f>IF(AL152=VLOOKUP(VALUE(AL$1),Questions!$A:$E,5,FALSE),1,0)</f>
        <v>1</v>
      </c>
      <c r="BX152" s="4">
        <f>IF(Scores[[#This Row],[Final]]&gt;=65,1,0)</f>
        <v>1</v>
      </c>
      <c r="BY152" s="4">
        <f>IF(Scores[[#This Row],[Final]]&gt;=IF(Scores[[#This Row],[IEP]],55,65),1,0)</f>
        <v>1</v>
      </c>
    </row>
    <row r="153" spans="1:77" x14ac:dyDescent="0.2">
      <c r="A153" s="6">
        <v>152</v>
      </c>
      <c r="B153" s="4">
        <v>11</v>
      </c>
      <c r="C153" s="4" t="s">
        <v>964</v>
      </c>
      <c r="D153" s="105" t="b">
        <v>0</v>
      </c>
      <c r="E153" s="105" t="b">
        <v>0</v>
      </c>
      <c r="F153" s="86">
        <f>SUM(Scores[[#This Row],[Q1]:[Q28]])</f>
        <v>16</v>
      </c>
      <c r="G153" s="4">
        <f>SUM(Scores[[#This Row],[29]]:Scores[[#This Row],[30]])</f>
        <v>2</v>
      </c>
      <c r="H153" s="4">
        <f>SUM(Scores[[#This Row],[31]:[36]])</f>
        <v>5</v>
      </c>
      <c r="I153" s="4">
        <f>Scores[[#This Row],[37]]</f>
        <v>2</v>
      </c>
      <c r="J153" s="87">
        <f>INDEX('Conversion Chart'!$C$3:$M$47,MATCH(SUM(Scores[[#This Row],[MC]:[IIIA]]),'Conversion Chart'!$B$3:$B$47),MATCH(Scores[[#This Row],[IIIB]],'Conversion Chart'!$C$2:$M$2))</f>
        <v>66</v>
      </c>
      <c r="K153" s="103">
        <v>4</v>
      </c>
      <c r="L153" s="103">
        <v>2</v>
      </c>
      <c r="M153" s="103">
        <v>3</v>
      </c>
      <c r="N153" s="103">
        <v>1</v>
      </c>
      <c r="O153" s="103">
        <v>1</v>
      </c>
      <c r="P153" s="103">
        <v>3</v>
      </c>
      <c r="Q153" s="103">
        <v>3</v>
      </c>
      <c r="R153" s="103">
        <v>2</v>
      </c>
      <c r="S153" s="103">
        <v>1</v>
      </c>
      <c r="T153" s="103">
        <v>2</v>
      </c>
      <c r="U153" s="103">
        <v>2</v>
      </c>
      <c r="V153" s="103">
        <v>4</v>
      </c>
      <c r="W153" s="103">
        <v>2</v>
      </c>
      <c r="X153" s="103">
        <v>4</v>
      </c>
      <c r="Y153" s="103">
        <v>1</v>
      </c>
      <c r="Z153" s="103">
        <v>4</v>
      </c>
      <c r="AA153" s="103">
        <v>2</v>
      </c>
      <c r="AB153" s="103">
        <v>1</v>
      </c>
      <c r="AC153" s="103">
        <v>3</v>
      </c>
      <c r="AD153" s="103">
        <v>4</v>
      </c>
      <c r="AE153" s="103">
        <v>4</v>
      </c>
      <c r="AF153" s="103">
        <v>2</v>
      </c>
      <c r="AG153" s="103">
        <v>3</v>
      </c>
      <c r="AH153" s="103">
        <v>2</v>
      </c>
      <c r="AI153" s="103">
        <v>2</v>
      </c>
      <c r="AJ153" s="103">
        <v>4</v>
      </c>
      <c r="AK153" s="103">
        <v>2</v>
      </c>
      <c r="AL153" s="104">
        <v>3</v>
      </c>
      <c r="AM153" s="4">
        <v>1</v>
      </c>
      <c r="AN153" s="87">
        <v>1</v>
      </c>
      <c r="AO153" s="4">
        <v>1</v>
      </c>
      <c r="AP153" s="4">
        <v>1</v>
      </c>
      <c r="AQ153" s="4">
        <v>1</v>
      </c>
      <c r="AR153" s="4">
        <v>1</v>
      </c>
      <c r="AS153" s="4">
        <v>0</v>
      </c>
      <c r="AT153" s="4">
        <v>1</v>
      </c>
      <c r="AU153" s="107">
        <v>2</v>
      </c>
      <c r="AV153" s="4">
        <f>IF(K153=VLOOKUP(VALUE(K$1),Questions!$A:$E,5,FALSE),1,0)</f>
        <v>1</v>
      </c>
      <c r="AW153" s="4">
        <f>IF(L153=VLOOKUP(VALUE(L$1),Questions!$A:$E,5,FALSE),1,0)</f>
        <v>1</v>
      </c>
      <c r="AX153" s="4">
        <f>IF(M153=VLOOKUP(VALUE(M$1),Questions!$A:$E,5,FALSE),1,0)</f>
        <v>1</v>
      </c>
      <c r="AY153" s="4">
        <f>IF(N153=VLOOKUP(VALUE(N$1),Questions!$A:$E,5,FALSE),1,0)</f>
        <v>0</v>
      </c>
      <c r="AZ153" s="4">
        <f>IF(O153=VLOOKUP(VALUE(O$1),Questions!$A:$E,5,FALSE),1,0)</f>
        <v>1</v>
      </c>
      <c r="BA153" s="4">
        <f>IF(P153=VLOOKUP(VALUE(P$1),Questions!$A:$E,5,FALSE),1,0)</f>
        <v>0</v>
      </c>
      <c r="BB153" s="4">
        <f>IF(Q153=VLOOKUP(VALUE(Q$1),Questions!$A:$E,5,FALSE),1,0)</f>
        <v>1</v>
      </c>
      <c r="BC153" s="4">
        <f>IF(R153=VLOOKUP(VALUE(R$1),Questions!$A:$E,5,FALSE),1,0)</f>
        <v>1</v>
      </c>
      <c r="BD153" s="4">
        <f>IF(S153=VLOOKUP(VALUE(S$1),Questions!$A:$E,5,FALSE),1,0)</f>
        <v>0</v>
      </c>
      <c r="BE153" s="4">
        <f>IF(T153=VLOOKUP(VALUE(T$1),Questions!$A:$E,5,FALSE),1,0)</f>
        <v>0</v>
      </c>
      <c r="BF153" s="4">
        <f>IF(U153=VLOOKUP(VALUE(U$1),Questions!$A:$E,5,FALSE),1,0)</f>
        <v>1</v>
      </c>
      <c r="BG153" s="4">
        <f>IF(V153=VLOOKUP(VALUE(V$1),Questions!$A:$E,5,FALSE),1,0)</f>
        <v>1</v>
      </c>
      <c r="BH153" s="4">
        <f>IF(W153=VLOOKUP(VALUE(W$1),Questions!$A:$E,5,FALSE),1,0)</f>
        <v>1</v>
      </c>
      <c r="BI153" s="4">
        <f>IF(X153=VLOOKUP(VALUE(X$1),Questions!$A:$E,5,FALSE),1,0)</f>
        <v>1</v>
      </c>
      <c r="BJ153" s="4">
        <f>IF(Y153=VLOOKUP(VALUE(Y$1),Questions!$A:$E,5,FALSE),1,0)</f>
        <v>0</v>
      </c>
      <c r="BK153" s="4">
        <f>IF(Z153=VLOOKUP(VALUE(Z$1),Questions!$A:$E,5,FALSE),1,0)</f>
        <v>0</v>
      </c>
      <c r="BL153" s="4">
        <f>IF(AA153=VLOOKUP(VALUE(AA$1),Questions!$A:$E,5,FALSE),1,0)</f>
        <v>0</v>
      </c>
      <c r="BM153" s="4">
        <f>IF(AB153=VLOOKUP(VALUE(AB$1),Questions!$A:$E,5,FALSE),1,0)</f>
        <v>0</v>
      </c>
      <c r="BN153" s="4">
        <f>IF(AC153=VLOOKUP(VALUE(AC$1),Questions!$A:$E,5,FALSE),1,0)</f>
        <v>1</v>
      </c>
      <c r="BO153" s="4">
        <f>IF(AD153=VLOOKUP(VALUE(AD$1),Questions!$A:$E,5,FALSE),1,0)</f>
        <v>1</v>
      </c>
      <c r="BP153" s="4">
        <f>IF(AE153=VLOOKUP(VALUE(AE$1),Questions!$A:$E,5,FALSE),1,0)</f>
        <v>0</v>
      </c>
      <c r="BQ153" s="4">
        <f>IF(AF153=VLOOKUP(VALUE(AF$1),Questions!$A:$E,5,FALSE),1,0)</f>
        <v>1</v>
      </c>
      <c r="BR153" s="4">
        <f>IF(AG153=VLOOKUP(VALUE(AG$1),Questions!$A:$E,5,FALSE),1,0)</f>
        <v>1</v>
      </c>
      <c r="BS153" s="4">
        <f>IF(AH153=VLOOKUP(VALUE(AH$1),Questions!$A:$E,5,FALSE),1,0)</f>
        <v>0</v>
      </c>
      <c r="BT153" s="4">
        <f>IF(AI153=VLOOKUP(VALUE(AI$1),Questions!$A:$E,5,FALSE),1,0)</f>
        <v>0</v>
      </c>
      <c r="BU153" s="4">
        <f>IF(AJ153=VLOOKUP(VALUE(AJ$1),Questions!$A:$E,5,FALSE),1,0)</f>
        <v>1</v>
      </c>
      <c r="BV153" s="4">
        <f>IF(AK153=VLOOKUP(VALUE(AK$1),Questions!$A:$E,5,FALSE),1,0)</f>
        <v>0</v>
      </c>
      <c r="BW153" s="87">
        <f>IF(AL153=VLOOKUP(VALUE(AL$1),Questions!$A:$E,5,FALSE),1,0)</f>
        <v>1</v>
      </c>
      <c r="BX153" s="4">
        <f>IF(Scores[[#This Row],[Final]]&gt;=65,1,0)</f>
        <v>1</v>
      </c>
      <c r="BY153" s="4">
        <f>IF(Scores[[#This Row],[Final]]&gt;=IF(Scores[[#This Row],[IEP]],55,65),1,0)</f>
        <v>1</v>
      </c>
    </row>
    <row r="154" spans="1:77" x14ac:dyDescent="0.2">
      <c r="A154" s="6">
        <v>153</v>
      </c>
      <c r="B154" s="4">
        <v>9</v>
      </c>
      <c r="C154" s="4" t="s">
        <v>963</v>
      </c>
      <c r="D154" s="105" t="b">
        <v>0</v>
      </c>
      <c r="E154" s="105" t="b">
        <v>1</v>
      </c>
      <c r="F154" s="86">
        <f>SUM(Scores[[#This Row],[Q1]:[Q28]])</f>
        <v>22</v>
      </c>
      <c r="G154" s="4">
        <f>SUM(Scores[[#This Row],[29]]:Scores[[#This Row],[30]])</f>
        <v>2</v>
      </c>
      <c r="H154" s="4">
        <f>SUM(Scores[[#This Row],[31]:[36]])</f>
        <v>5</v>
      </c>
      <c r="I154" s="4">
        <f>Scores[[#This Row],[37]]</f>
        <v>1</v>
      </c>
      <c r="J154" s="87">
        <f>INDEX('Conversion Chart'!$C$3:$M$47,MATCH(SUM(Scores[[#This Row],[MC]:[IIIA]]),'Conversion Chart'!$B$3:$B$47),MATCH(Scores[[#This Row],[IIIB]],'Conversion Chart'!$C$2:$M$2))</f>
        <v>69</v>
      </c>
      <c r="K154" s="103">
        <v>4</v>
      </c>
      <c r="L154" s="103">
        <v>4</v>
      </c>
      <c r="M154" s="103">
        <v>2</v>
      </c>
      <c r="N154" s="103">
        <v>3</v>
      </c>
      <c r="O154" s="103">
        <v>1</v>
      </c>
      <c r="P154" s="103">
        <v>3</v>
      </c>
      <c r="Q154" s="103">
        <v>3</v>
      </c>
      <c r="R154" s="103">
        <v>2</v>
      </c>
      <c r="S154" s="103">
        <v>2</v>
      </c>
      <c r="T154" s="103">
        <v>3</v>
      </c>
      <c r="U154" s="103">
        <v>2</v>
      </c>
      <c r="V154" s="103">
        <v>4</v>
      </c>
      <c r="W154" s="103">
        <v>2</v>
      </c>
      <c r="X154" s="103">
        <v>4</v>
      </c>
      <c r="Y154" s="103">
        <v>3</v>
      </c>
      <c r="Z154" s="103">
        <v>2</v>
      </c>
      <c r="AA154" s="103">
        <v>1</v>
      </c>
      <c r="AB154" s="103">
        <v>4</v>
      </c>
      <c r="AC154" s="103">
        <v>3</v>
      </c>
      <c r="AD154" s="103">
        <v>4</v>
      </c>
      <c r="AE154" s="103">
        <v>2</v>
      </c>
      <c r="AF154" s="103">
        <v>2</v>
      </c>
      <c r="AG154" s="103">
        <v>3</v>
      </c>
      <c r="AH154" s="103">
        <v>2</v>
      </c>
      <c r="AI154" s="103">
        <v>1</v>
      </c>
      <c r="AJ154" s="103">
        <v>4</v>
      </c>
      <c r="AK154" s="103">
        <v>1</v>
      </c>
      <c r="AL154" s="104">
        <v>3</v>
      </c>
      <c r="AM154" s="4">
        <v>1</v>
      </c>
      <c r="AN154" s="87">
        <v>1</v>
      </c>
      <c r="AO154" s="4">
        <v>1</v>
      </c>
      <c r="AP154" s="4">
        <v>0</v>
      </c>
      <c r="AQ154" s="4">
        <v>1</v>
      </c>
      <c r="AR154" s="4">
        <v>1</v>
      </c>
      <c r="AS154" s="4">
        <v>1</v>
      </c>
      <c r="AT154" s="4">
        <v>1</v>
      </c>
      <c r="AU154" s="107">
        <v>1</v>
      </c>
      <c r="AV154" s="4">
        <f>IF(K154=VLOOKUP(VALUE(K$1),Questions!$A:$E,5,FALSE),1,0)</f>
        <v>1</v>
      </c>
      <c r="AW154" s="4">
        <f>IF(L154=VLOOKUP(VALUE(L$1),Questions!$A:$E,5,FALSE),1,0)</f>
        <v>0</v>
      </c>
      <c r="AX154" s="4">
        <f>IF(M154=VLOOKUP(VALUE(M$1),Questions!$A:$E,5,FALSE),1,0)</f>
        <v>0</v>
      </c>
      <c r="AY154" s="4">
        <f>IF(N154=VLOOKUP(VALUE(N$1),Questions!$A:$E,5,FALSE),1,0)</f>
        <v>1</v>
      </c>
      <c r="AZ154" s="4">
        <f>IF(O154=VLOOKUP(VALUE(O$1),Questions!$A:$E,5,FALSE),1,0)</f>
        <v>1</v>
      </c>
      <c r="BA154" s="4">
        <f>IF(P154=VLOOKUP(VALUE(P$1),Questions!$A:$E,5,FALSE),1,0)</f>
        <v>0</v>
      </c>
      <c r="BB154" s="4">
        <f>IF(Q154=VLOOKUP(VALUE(Q$1),Questions!$A:$E,5,FALSE),1,0)</f>
        <v>1</v>
      </c>
      <c r="BC154" s="4">
        <f>IF(R154=VLOOKUP(VALUE(R$1),Questions!$A:$E,5,FALSE),1,0)</f>
        <v>1</v>
      </c>
      <c r="BD154" s="4">
        <f>IF(S154=VLOOKUP(VALUE(S$1),Questions!$A:$E,5,FALSE),1,0)</f>
        <v>1</v>
      </c>
      <c r="BE154" s="4">
        <f>IF(T154=VLOOKUP(VALUE(T$1),Questions!$A:$E,5,FALSE),1,0)</f>
        <v>0</v>
      </c>
      <c r="BF154" s="4">
        <f>IF(U154=VLOOKUP(VALUE(U$1),Questions!$A:$E,5,FALSE),1,0)</f>
        <v>1</v>
      </c>
      <c r="BG154" s="4">
        <f>IF(V154=VLOOKUP(VALUE(V$1),Questions!$A:$E,5,FALSE),1,0)</f>
        <v>1</v>
      </c>
      <c r="BH154" s="4">
        <f>IF(W154=VLOOKUP(VALUE(W$1),Questions!$A:$E,5,FALSE),1,0)</f>
        <v>1</v>
      </c>
      <c r="BI154" s="4">
        <f>IF(X154=VLOOKUP(VALUE(X$1),Questions!$A:$E,5,FALSE),1,0)</f>
        <v>1</v>
      </c>
      <c r="BJ154" s="4">
        <f>IF(Y154=VLOOKUP(VALUE(Y$1),Questions!$A:$E,5,FALSE),1,0)</f>
        <v>1</v>
      </c>
      <c r="BK154" s="4">
        <f>IF(Z154=VLOOKUP(VALUE(Z$1),Questions!$A:$E,5,FALSE),1,0)</f>
        <v>0</v>
      </c>
      <c r="BL154" s="4">
        <f>IF(AA154=VLOOKUP(VALUE(AA$1),Questions!$A:$E,5,FALSE),1,0)</f>
        <v>1</v>
      </c>
      <c r="BM154" s="4">
        <f>IF(AB154=VLOOKUP(VALUE(AB$1),Questions!$A:$E,5,FALSE),1,0)</f>
        <v>1</v>
      </c>
      <c r="BN154" s="4">
        <f>IF(AC154=VLOOKUP(VALUE(AC$1),Questions!$A:$E,5,FALSE),1,0)</f>
        <v>1</v>
      </c>
      <c r="BO154" s="4">
        <f>IF(AD154=VLOOKUP(VALUE(AD$1),Questions!$A:$E,5,FALSE),1,0)</f>
        <v>1</v>
      </c>
      <c r="BP154" s="4">
        <f>IF(AE154=VLOOKUP(VALUE(AE$1),Questions!$A:$E,5,FALSE),1,0)</f>
        <v>1</v>
      </c>
      <c r="BQ154" s="4">
        <f>IF(AF154=VLOOKUP(VALUE(AF$1),Questions!$A:$E,5,FALSE),1,0)</f>
        <v>1</v>
      </c>
      <c r="BR154" s="4">
        <f>IF(AG154=VLOOKUP(VALUE(AG$1),Questions!$A:$E,5,FALSE),1,0)</f>
        <v>1</v>
      </c>
      <c r="BS154" s="4">
        <f>IF(AH154=VLOOKUP(VALUE(AH$1),Questions!$A:$E,5,FALSE),1,0)</f>
        <v>0</v>
      </c>
      <c r="BT154" s="4">
        <f>IF(AI154=VLOOKUP(VALUE(AI$1),Questions!$A:$E,5,FALSE),1,0)</f>
        <v>1</v>
      </c>
      <c r="BU154" s="4">
        <f>IF(AJ154=VLOOKUP(VALUE(AJ$1),Questions!$A:$E,5,FALSE),1,0)</f>
        <v>1</v>
      </c>
      <c r="BV154" s="4">
        <f>IF(AK154=VLOOKUP(VALUE(AK$1),Questions!$A:$E,5,FALSE),1,0)</f>
        <v>1</v>
      </c>
      <c r="BW154" s="87">
        <f>IF(AL154=VLOOKUP(VALUE(AL$1),Questions!$A:$E,5,FALSE),1,0)</f>
        <v>1</v>
      </c>
      <c r="BX154" s="4">
        <f>IF(Scores[[#This Row],[Final]]&gt;=65,1,0)</f>
        <v>1</v>
      </c>
      <c r="BY154" s="4">
        <f>IF(Scores[[#This Row],[Final]]&gt;=IF(Scores[[#This Row],[IEP]],55,65),1,0)</f>
        <v>1</v>
      </c>
    </row>
    <row r="155" spans="1:77" x14ac:dyDescent="0.2">
      <c r="A155" s="6">
        <v>154</v>
      </c>
      <c r="B155" s="4">
        <v>9</v>
      </c>
      <c r="C155" s="4" t="s">
        <v>964</v>
      </c>
      <c r="D155" s="105" t="b">
        <v>0</v>
      </c>
      <c r="E155" s="105" t="b">
        <v>0</v>
      </c>
      <c r="F155" s="86">
        <f>SUM(Scores[[#This Row],[Q1]:[Q28]])</f>
        <v>16</v>
      </c>
      <c r="G155" s="4">
        <f>SUM(Scores[[#This Row],[29]]:Scores[[#This Row],[30]])</f>
        <v>3</v>
      </c>
      <c r="H155" s="4">
        <f>SUM(Scores[[#This Row],[31]:[36]])</f>
        <v>5</v>
      </c>
      <c r="I155" s="4">
        <f>Scores[[#This Row],[37]]</f>
        <v>2</v>
      </c>
      <c r="J155" s="87">
        <f>INDEX('Conversion Chart'!$C$3:$M$47,MATCH(SUM(Scores[[#This Row],[MC]:[IIIA]]),'Conversion Chart'!$B$3:$B$47),MATCH(Scores[[#This Row],[IIIB]],'Conversion Chart'!$C$2:$M$2))</f>
        <v>67</v>
      </c>
      <c r="K155" s="103">
        <v>4</v>
      </c>
      <c r="L155" s="103">
        <v>1</v>
      </c>
      <c r="M155" s="103">
        <v>3</v>
      </c>
      <c r="N155" s="103">
        <v>1</v>
      </c>
      <c r="O155" s="103">
        <v>1</v>
      </c>
      <c r="P155" s="103">
        <v>2</v>
      </c>
      <c r="Q155" s="103">
        <v>3</v>
      </c>
      <c r="R155" s="103">
        <v>3</v>
      </c>
      <c r="S155" s="103">
        <v>3</v>
      </c>
      <c r="T155" s="103">
        <v>1</v>
      </c>
      <c r="U155" s="103">
        <v>2</v>
      </c>
      <c r="V155" s="103">
        <v>3</v>
      </c>
      <c r="W155" s="103">
        <v>2</v>
      </c>
      <c r="X155" s="103">
        <v>4</v>
      </c>
      <c r="Y155" s="103">
        <v>4</v>
      </c>
      <c r="Z155" s="103">
        <v>4</v>
      </c>
      <c r="AA155" s="103">
        <v>1</v>
      </c>
      <c r="AB155" s="103">
        <v>4</v>
      </c>
      <c r="AC155" s="103">
        <v>3</v>
      </c>
      <c r="AD155" s="103">
        <v>3</v>
      </c>
      <c r="AE155" s="103">
        <v>2</v>
      </c>
      <c r="AF155" s="103">
        <v>2</v>
      </c>
      <c r="AG155" s="103">
        <v>4</v>
      </c>
      <c r="AH155" s="103">
        <v>3</v>
      </c>
      <c r="AI155" s="103">
        <v>1</v>
      </c>
      <c r="AJ155" s="103">
        <v>1</v>
      </c>
      <c r="AK155" s="103">
        <v>4</v>
      </c>
      <c r="AL155" s="104">
        <v>3</v>
      </c>
      <c r="AM155" s="4">
        <v>2</v>
      </c>
      <c r="AN155" s="87">
        <v>1</v>
      </c>
      <c r="AO155" s="4">
        <v>1</v>
      </c>
      <c r="AP155" s="4">
        <v>1</v>
      </c>
      <c r="AQ155" s="4">
        <v>1</v>
      </c>
      <c r="AR155" s="4">
        <v>1</v>
      </c>
      <c r="AS155" s="4">
        <v>1</v>
      </c>
      <c r="AT155" s="4">
        <v>0</v>
      </c>
      <c r="AU155" s="107">
        <v>2</v>
      </c>
      <c r="AV155" s="4">
        <f>IF(K155=VLOOKUP(VALUE(K$1),Questions!$A:$E,5,FALSE),1,0)</f>
        <v>1</v>
      </c>
      <c r="AW155" s="4">
        <f>IF(L155=VLOOKUP(VALUE(L$1),Questions!$A:$E,5,FALSE),1,0)</f>
        <v>0</v>
      </c>
      <c r="AX155" s="4">
        <f>IF(M155=VLOOKUP(VALUE(M$1),Questions!$A:$E,5,FALSE),1,0)</f>
        <v>1</v>
      </c>
      <c r="AY155" s="4">
        <f>IF(N155=VLOOKUP(VALUE(N$1),Questions!$A:$E,5,FALSE),1,0)</f>
        <v>0</v>
      </c>
      <c r="AZ155" s="4">
        <f>IF(O155=VLOOKUP(VALUE(O$1),Questions!$A:$E,5,FALSE),1,0)</f>
        <v>1</v>
      </c>
      <c r="BA155" s="4">
        <f>IF(P155=VLOOKUP(VALUE(P$1),Questions!$A:$E,5,FALSE),1,0)</f>
        <v>0</v>
      </c>
      <c r="BB155" s="4">
        <f>IF(Q155=VLOOKUP(VALUE(Q$1),Questions!$A:$E,5,FALSE),1,0)</f>
        <v>1</v>
      </c>
      <c r="BC155" s="4">
        <f>IF(R155=VLOOKUP(VALUE(R$1),Questions!$A:$E,5,FALSE),1,0)</f>
        <v>0</v>
      </c>
      <c r="BD155" s="4">
        <f>IF(S155=VLOOKUP(VALUE(S$1),Questions!$A:$E,5,FALSE),1,0)</f>
        <v>0</v>
      </c>
      <c r="BE155" s="4">
        <f>IF(T155=VLOOKUP(VALUE(T$1),Questions!$A:$E,5,FALSE),1,0)</f>
        <v>1</v>
      </c>
      <c r="BF155" s="4">
        <f>IF(U155=VLOOKUP(VALUE(U$1),Questions!$A:$E,5,FALSE),1,0)</f>
        <v>1</v>
      </c>
      <c r="BG155" s="4">
        <f>IF(V155=VLOOKUP(VALUE(V$1),Questions!$A:$E,5,FALSE),1,0)</f>
        <v>0</v>
      </c>
      <c r="BH155" s="4">
        <f>IF(W155=VLOOKUP(VALUE(W$1),Questions!$A:$E,5,FALSE),1,0)</f>
        <v>1</v>
      </c>
      <c r="BI155" s="4">
        <f>IF(X155=VLOOKUP(VALUE(X$1),Questions!$A:$E,5,FALSE),1,0)</f>
        <v>1</v>
      </c>
      <c r="BJ155" s="4">
        <f>IF(Y155=VLOOKUP(VALUE(Y$1),Questions!$A:$E,5,FALSE),1,0)</f>
        <v>0</v>
      </c>
      <c r="BK155" s="4">
        <f>IF(Z155=VLOOKUP(VALUE(Z$1),Questions!$A:$E,5,FALSE),1,0)</f>
        <v>0</v>
      </c>
      <c r="BL155" s="4">
        <f>IF(AA155=VLOOKUP(VALUE(AA$1),Questions!$A:$E,5,FALSE),1,0)</f>
        <v>1</v>
      </c>
      <c r="BM155" s="4">
        <f>IF(AB155=VLOOKUP(VALUE(AB$1),Questions!$A:$E,5,FALSE),1,0)</f>
        <v>1</v>
      </c>
      <c r="BN155" s="4">
        <f>IF(AC155=VLOOKUP(VALUE(AC$1),Questions!$A:$E,5,FALSE),1,0)</f>
        <v>1</v>
      </c>
      <c r="BO155" s="4">
        <f>IF(AD155=VLOOKUP(VALUE(AD$1),Questions!$A:$E,5,FALSE),1,0)</f>
        <v>0</v>
      </c>
      <c r="BP155" s="4">
        <f>IF(AE155=VLOOKUP(VALUE(AE$1),Questions!$A:$E,5,FALSE),1,0)</f>
        <v>1</v>
      </c>
      <c r="BQ155" s="4">
        <f>IF(AF155=VLOOKUP(VALUE(AF$1),Questions!$A:$E,5,FALSE),1,0)</f>
        <v>1</v>
      </c>
      <c r="BR155" s="4">
        <f>IF(AG155=VLOOKUP(VALUE(AG$1),Questions!$A:$E,5,FALSE),1,0)</f>
        <v>0</v>
      </c>
      <c r="BS155" s="4">
        <f>IF(AH155=VLOOKUP(VALUE(AH$1),Questions!$A:$E,5,FALSE),1,0)</f>
        <v>1</v>
      </c>
      <c r="BT155" s="4">
        <f>IF(AI155=VLOOKUP(VALUE(AI$1),Questions!$A:$E,5,FALSE),1,0)</f>
        <v>1</v>
      </c>
      <c r="BU155" s="4">
        <f>IF(AJ155=VLOOKUP(VALUE(AJ$1),Questions!$A:$E,5,FALSE),1,0)</f>
        <v>0</v>
      </c>
      <c r="BV155" s="4">
        <f>IF(AK155=VLOOKUP(VALUE(AK$1),Questions!$A:$E,5,FALSE),1,0)</f>
        <v>0</v>
      </c>
      <c r="BW155" s="87">
        <f>IF(AL155=VLOOKUP(VALUE(AL$1),Questions!$A:$E,5,FALSE),1,0)</f>
        <v>1</v>
      </c>
      <c r="BX155" s="4">
        <f>IF(Scores[[#This Row],[Final]]&gt;=65,1,0)</f>
        <v>1</v>
      </c>
      <c r="BY155" s="4">
        <f>IF(Scores[[#This Row],[Final]]&gt;=IF(Scores[[#This Row],[IEP]],55,65),1,0)</f>
        <v>1</v>
      </c>
    </row>
    <row r="156" spans="1:77" x14ac:dyDescent="0.2">
      <c r="A156" s="6">
        <v>155</v>
      </c>
      <c r="B156" s="4">
        <v>9</v>
      </c>
      <c r="C156" s="4" t="s">
        <v>963</v>
      </c>
      <c r="D156" s="105" t="b">
        <v>0</v>
      </c>
      <c r="E156" s="105" t="b">
        <v>0</v>
      </c>
      <c r="F156" s="86">
        <f>SUM(Scores[[#This Row],[Q1]:[Q28]])</f>
        <v>13</v>
      </c>
      <c r="G156" s="4">
        <f>SUM(Scores[[#This Row],[29]]:Scores[[#This Row],[30]])</f>
        <v>2</v>
      </c>
      <c r="H156" s="4">
        <f>SUM(Scores[[#This Row],[31]:[36]])</f>
        <v>1</v>
      </c>
      <c r="I156" s="4">
        <f>Scores[[#This Row],[37]]</f>
        <v>1</v>
      </c>
      <c r="J156" s="87">
        <f>INDEX('Conversion Chart'!$C$3:$M$47,MATCH(SUM(Scores[[#This Row],[MC]:[IIIA]]),'Conversion Chart'!$B$3:$B$47),MATCH(Scores[[#This Row],[IIIB]],'Conversion Chart'!$C$2:$M$2))</f>
        <v>50</v>
      </c>
      <c r="K156" s="103">
        <v>4</v>
      </c>
      <c r="L156" s="103">
        <v>1</v>
      </c>
      <c r="M156" s="103">
        <v>2</v>
      </c>
      <c r="N156" s="103">
        <v>1</v>
      </c>
      <c r="O156" s="103">
        <v>2</v>
      </c>
      <c r="P156" s="103">
        <v>3</v>
      </c>
      <c r="Q156" s="103">
        <v>2</v>
      </c>
      <c r="R156" s="103">
        <v>4</v>
      </c>
      <c r="S156" s="103">
        <v>2</v>
      </c>
      <c r="T156" s="103">
        <v>1</v>
      </c>
      <c r="U156" s="103">
        <v>1</v>
      </c>
      <c r="V156" s="103">
        <v>3</v>
      </c>
      <c r="W156" s="103">
        <v>1</v>
      </c>
      <c r="X156" s="103">
        <v>4</v>
      </c>
      <c r="Y156" s="103">
        <v>4</v>
      </c>
      <c r="Z156" s="103">
        <v>2</v>
      </c>
      <c r="AA156" s="103">
        <v>1</v>
      </c>
      <c r="AB156" s="103">
        <v>4</v>
      </c>
      <c r="AC156" s="103">
        <v>3</v>
      </c>
      <c r="AD156" s="103">
        <v>4</v>
      </c>
      <c r="AE156" s="103">
        <v>1</v>
      </c>
      <c r="AF156" s="103">
        <v>2</v>
      </c>
      <c r="AG156" s="103">
        <v>3</v>
      </c>
      <c r="AH156" s="103">
        <v>3</v>
      </c>
      <c r="AI156" s="103">
        <v>4</v>
      </c>
      <c r="AJ156" s="103">
        <v>2</v>
      </c>
      <c r="AK156" s="103">
        <v>1</v>
      </c>
      <c r="AL156" s="104">
        <v>3</v>
      </c>
      <c r="AM156" s="4">
        <v>1</v>
      </c>
      <c r="AN156" s="87">
        <v>1</v>
      </c>
      <c r="AO156" s="4">
        <v>0</v>
      </c>
      <c r="AP156" s="4">
        <v>0</v>
      </c>
      <c r="AQ156" s="4">
        <v>0</v>
      </c>
      <c r="AR156" s="4">
        <v>1</v>
      </c>
      <c r="AS156" s="4">
        <v>0</v>
      </c>
      <c r="AT156" s="4">
        <v>0</v>
      </c>
      <c r="AU156" s="107">
        <v>1</v>
      </c>
      <c r="AV156" s="4">
        <f>IF(K156=VLOOKUP(VALUE(K$1),Questions!$A:$E,5,FALSE),1,0)</f>
        <v>1</v>
      </c>
      <c r="AW156" s="4">
        <f>IF(L156=VLOOKUP(VALUE(L$1),Questions!$A:$E,5,FALSE),1,0)</f>
        <v>0</v>
      </c>
      <c r="AX156" s="4">
        <f>IF(M156=VLOOKUP(VALUE(M$1),Questions!$A:$E,5,FALSE),1,0)</f>
        <v>0</v>
      </c>
      <c r="AY156" s="4">
        <f>IF(N156=VLOOKUP(VALUE(N$1),Questions!$A:$E,5,FALSE),1,0)</f>
        <v>0</v>
      </c>
      <c r="AZ156" s="4">
        <f>IF(O156=VLOOKUP(VALUE(O$1),Questions!$A:$E,5,FALSE),1,0)</f>
        <v>0</v>
      </c>
      <c r="BA156" s="4">
        <f>IF(P156=VLOOKUP(VALUE(P$1),Questions!$A:$E,5,FALSE),1,0)</f>
        <v>0</v>
      </c>
      <c r="BB156" s="4">
        <f>IF(Q156=VLOOKUP(VALUE(Q$1),Questions!$A:$E,5,FALSE),1,0)</f>
        <v>0</v>
      </c>
      <c r="BC156" s="4">
        <f>IF(R156=VLOOKUP(VALUE(R$1),Questions!$A:$E,5,FALSE),1,0)</f>
        <v>0</v>
      </c>
      <c r="BD156" s="4">
        <f>IF(S156=VLOOKUP(VALUE(S$1),Questions!$A:$E,5,FALSE),1,0)</f>
        <v>1</v>
      </c>
      <c r="BE156" s="4">
        <f>IF(T156=VLOOKUP(VALUE(T$1),Questions!$A:$E,5,FALSE),1,0)</f>
        <v>1</v>
      </c>
      <c r="BF156" s="4">
        <f>IF(U156=VLOOKUP(VALUE(U$1),Questions!$A:$E,5,FALSE),1,0)</f>
        <v>0</v>
      </c>
      <c r="BG156" s="4">
        <f>IF(V156=VLOOKUP(VALUE(V$1),Questions!$A:$E,5,FALSE),1,0)</f>
        <v>0</v>
      </c>
      <c r="BH156" s="4">
        <f>IF(W156=VLOOKUP(VALUE(W$1),Questions!$A:$E,5,FALSE),1,0)</f>
        <v>0</v>
      </c>
      <c r="BI156" s="4">
        <f>IF(X156=VLOOKUP(VALUE(X$1),Questions!$A:$E,5,FALSE),1,0)</f>
        <v>1</v>
      </c>
      <c r="BJ156" s="4">
        <f>IF(Y156=VLOOKUP(VALUE(Y$1),Questions!$A:$E,5,FALSE),1,0)</f>
        <v>0</v>
      </c>
      <c r="BK156" s="4">
        <f>IF(Z156=VLOOKUP(VALUE(Z$1),Questions!$A:$E,5,FALSE),1,0)</f>
        <v>0</v>
      </c>
      <c r="BL156" s="4">
        <f>IF(AA156=VLOOKUP(VALUE(AA$1),Questions!$A:$E,5,FALSE),1,0)</f>
        <v>1</v>
      </c>
      <c r="BM156" s="4">
        <f>IF(AB156=VLOOKUP(VALUE(AB$1),Questions!$A:$E,5,FALSE),1,0)</f>
        <v>1</v>
      </c>
      <c r="BN156" s="4">
        <f>IF(AC156=VLOOKUP(VALUE(AC$1),Questions!$A:$E,5,FALSE),1,0)</f>
        <v>1</v>
      </c>
      <c r="BO156" s="4">
        <f>IF(AD156=VLOOKUP(VALUE(AD$1),Questions!$A:$E,5,FALSE),1,0)</f>
        <v>1</v>
      </c>
      <c r="BP156" s="4">
        <f>IF(AE156=VLOOKUP(VALUE(AE$1),Questions!$A:$E,5,FALSE),1,0)</f>
        <v>0</v>
      </c>
      <c r="BQ156" s="4">
        <f>IF(AF156=VLOOKUP(VALUE(AF$1),Questions!$A:$E,5,FALSE),1,0)</f>
        <v>1</v>
      </c>
      <c r="BR156" s="4">
        <f>IF(AG156=VLOOKUP(VALUE(AG$1),Questions!$A:$E,5,FALSE),1,0)</f>
        <v>1</v>
      </c>
      <c r="BS156" s="4">
        <f>IF(AH156=VLOOKUP(VALUE(AH$1),Questions!$A:$E,5,FALSE),1,0)</f>
        <v>1</v>
      </c>
      <c r="BT156" s="4">
        <f>IF(AI156=VLOOKUP(VALUE(AI$1),Questions!$A:$E,5,FALSE),1,0)</f>
        <v>0</v>
      </c>
      <c r="BU156" s="4">
        <f>IF(AJ156=VLOOKUP(VALUE(AJ$1),Questions!$A:$E,5,FALSE),1,0)</f>
        <v>0</v>
      </c>
      <c r="BV156" s="4">
        <f>IF(AK156=VLOOKUP(VALUE(AK$1),Questions!$A:$E,5,FALSE),1,0)</f>
        <v>1</v>
      </c>
      <c r="BW156" s="87">
        <f>IF(AL156=VLOOKUP(VALUE(AL$1),Questions!$A:$E,5,FALSE),1,0)</f>
        <v>1</v>
      </c>
      <c r="BX156" s="4">
        <f>IF(Scores[[#This Row],[Final]]&gt;=65,1,0)</f>
        <v>0</v>
      </c>
      <c r="BY156" s="4">
        <f>IF(Scores[[#This Row],[Final]]&gt;=IF(Scores[[#This Row],[IEP]],55,65),1,0)</f>
        <v>0</v>
      </c>
    </row>
    <row r="157" spans="1:77" x14ac:dyDescent="0.2">
      <c r="A157" s="6">
        <v>156</v>
      </c>
      <c r="B157" s="4">
        <v>11</v>
      </c>
      <c r="C157" s="4" t="s">
        <v>968</v>
      </c>
      <c r="D157" s="105" t="b">
        <v>0</v>
      </c>
      <c r="E157" s="105" t="b">
        <v>0</v>
      </c>
      <c r="F157" s="86">
        <f>SUM(Scores[[#This Row],[Q1]:[Q28]])</f>
        <v>20</v>
      </c>
      <c r="G157" s="4">
        <f>SUM(Scores[[#This Row],[29]]:Scores[[#This Row],[30]])</f>
        <v>4</v>
      </c>
      <c r="H157" s="4">
        <f>SUM(Scores[[#This Row],[31]:[36]])</f>
        <v>5</v>
      </c>
      <c r="I157" s="4">
        <f>Scores[[#This Row],[37]]</f>
        <v>2</v>
      </c>
      <c r="J157" s="87">
        <f>INDEX('Conversion Chart'!$C$3:$M$47,MATCH(SUM(Scores[[#This Row],[MC]:[IIIA]]),'Conversion Chart'!$B$3:$B$47),MATCH(Scores[[#This Row],[IIIB]],'Conversion Chart'!$C$2:$M$2))</f>
        <v>72</v>
      </c>
      <c r="K157" s="103">
        <v>4</v>
      </c>
      <c r="L157" s="103">
        <v>2</v>
      </c>
      <c r="M157" s="103">
        <v>3</v>
      </c>
      <c r="N157" s="103">
        <v>2</v>
      </c>
      <c r="O157" s="103">
        <v>1</v>
      </c>
      <c r="P157" s="103">
        <v>3</v>
      </c>
      <c r="Q157" s="103">
        <v>3</v>
      </c>
      <c r="R157" s="103">
        <v>1</v>
      </c>
      <c r="S157" s="103">
        <v>2</v>
      </c>
      <c r="T157" s="103">
        <v>1</v>
      </c>
      <c r="U157" s="103">
        <v>2</v>
      </c>
      <c r="V157" s="103">
        <v>4</v>
      </c>
      <c r="W157" s="103">
        <v>2</v>
      </c>
      <c r="X157" s="103">
        <v>4</v>
      </c>
      <c r="Y157" s="103">
        <v>1</v>
      </c>
      <c r="Z157" s="103">
        <v>1</v>
      </c>
      <c r="AA157" s="103">
        <v>1</v>
      </c>
      <c r="AB157" s="103">
        <v>4</v>
      </c>
      <c r="AC157" s="103">
        <v>3</v>
      </c>
      <c r="AD157" s="103">
        <v>3</v>
      </c>
      <c r="AE157" s="103">
        <v>4</v>
      </c>
      <c r="AF157" s="103">
        <v>2</v>
      </c>
      <c r="AG157" s="103">
        <v>3</v>
      </c>
      <c r="AH157" s="103">
        <v>2</v>
      </c>
      <c r="AI157" s="103">
        <v>4</v>
      </c>
      <c r="AJ157" s="103">
        <v>4</v>
      </c>
      <c r="AK157" s="103">
        <v>1</v>
      </c>
      <c r="AL157" s="104">
        <v>3</v>
      </c>
      <c r="AM157" s="4">
        <v>3</v>
      </c>
      <c r="AN157" s="87">
        <v>1</v>
      </c>
      <c r="AO157" s="4">
        <v>1</v>
      </c>
      <c r="AP157" s="4">
        <v>1</v>
      </c>
      <c r="AQ157" s="4">
        <v>1</v>
      </c>
      <c r="AR157" s="4">
        <v>1</v>
      </c>
      <c r="AS157" s="4">
        <v>0</v>
      </c>
      <c r="AT157" s="4">
        <v>1</v>
      </c>
      <c r="AU157" s="107">
        <v>2</v>
      </c>
      <c r="AV157" s="4">
        <f>IF(K157=VLOOKUP(VALUE(K$1),Questions!$A:$E,5,FALSE),1,0)</f>
        <v>1</v>
      </c>
      <c r="AW157" s="4">
        <f>IF(L157=VLOOKUP(VALUE(L$1),Questions!$A:$E,5,FALSE),1,0)</f>
        <v>1</v>
      </c>
      <c r="AX157" s="4">
        <f>IF(M157=VLOOKUP(VALUE(M$1),Questions!$A:$E,5,FALSE),1,0)</f>
        <v>1</v>
      </c>
      <c r="AY157" s="4">
        <f>IF(N157=VLOOKUP(VALUE(N$1),Questions!$A:$E,5,FALSE),1,0)</f>
        <v>0</v>
      </c>
      <c r="AZ157" s="4">
        <f>IF(O157=VLOOKUP(VALUE(O$1),Questions!$A:$E,5,FALSE),1,0)</f>
        <v>1</v>
      </c>
      <c r="BA157" s="4">
        <f>IF(P157=VLOOKUP(VALUE(P$1),Questions!$A:$E,5,FALSE),1,0)</f>
        <v>0</v>
      </c>
      <c r="BB157" s="4">
        <f>IF(Q157=VLOOKUP(VALUE(Q$1),Questions!$A:$E,5,FALSE),1,0)</f>
        <v>1</v>
      </c>
      <c r="BC157" s="4">
        <f>IF(R157=VLOOKUP(VALUE(R$1),Questions!$A:$E,5,FALSE),1,0)</f>
        <v>0</v>
      </c>
      <c r="BD157" s="4">
        <f>IF(S157=VLOOKUP(VALUE(S$1),Questions!$A:$E,5,FALSE),1,0)</f>
        <v>1</v>
      </c>
      <c r="BE157" s="4">
        <f>IF(T157=VLOOKUP(VALUE(T$1),Questions!$A:$E,5,FALSE),1,0)</f>
        <v>1</v>
      </c>
      <c r="BF157" s="4">
        <f>IF(U157=VLOOKUP(VALUE(U$1),Questions!$A:$E,5,FALSE),1,0)</f>
        <v>1</v>
      </c>
      <c r="BG157" s="4">
        <f>IF(V157=VLOOKUP(VALUE(V$1),Questions!$A:$E,5,FALSE),1,0)</f>
        <v>1</v>
      </c>
      <c r="BH157" s="4">
        <f>IF(W157=VLOOKUP(VALUE(W$1),Questions!$A:$E,5,FALSE),1,0)</f>
        <v>1</v>
      </c>
      <c r="BI157" s="4">
        <f>IF(X157=VLOOKUP(VALUE(X$1),Questions!$A:$E,5,FALSE),1,0)</f>
        <v>1</v>
      </c>
      <c r="BJ157" s="4">
        <f>IF(Y157=VLOOKUP(VALUE(Y$1),Questions!$A:$E,5,FALSE),1,0)</f>
        <v>0</v>
      </c>
      <c r="BK157" s="4">
        <f>IF(Z157=VLOOKUP(VALUE(Z$1),Questions!$A:$E,5,FALSE),1,0)</f>
        <v>1</v>
      </c>
      <c r="BL157" s="4">
        <f>IF(AA157=VLOOKUP(VALUE(AA$1),Questions!$A:$E,5,FALSE),1,0)</f>
        <v>1</v>
      </c>
      <c r="BM157" s="4">
        <f>IF(AB157=VLOOKUP(VALUE(AB$1),Questions!$A:$E,5,FALSE),1,0)</f>
        <v>1</v>
      </c>
      <c r="BN157" s="4">
        <f>IF(AC157=VLOOKUP(VALUE(AC$1),Questions!$A:$E,5,FALSE),1,0)</f>
        <v>1</v>
      </c>
      <c r="BO157" s="4">
        <f>IF(AD157=VLOOKUP(VALUE(AD$1),Questions!$A:$E,5,FALSE),1,0)</f>
        <v>0</v>
      </c>
      <c r="BP157" s="4">
        <f>IF(AE157=VLOOKUP(VALUE(AE$1),Questions!$A:$E,5,FALSE),1,0)</f>
        <v>0</v>
      </c>
      <c r="BQ157" s="4">
        <f>IF(AF157=VLOOKUP(VALUE(AF$1),Questions!$A:$E,5,FALSE),1,0)</f>
        <v>1</v>
      </c>
      <c r="BR157" s="4">
        <f>IF(AG157=VLOOKUP(VALUE(AG$1),Questions!$A:$E,5,FALSE),1,0)</f>
        <v>1</v>
      </c>
      <c r="BS157" s="4">
        <f>IF(AH157=VLOOKUP(VALUE(AH$1),Questions!$A:$E,5,FALSE),1,0)</f>
        <v>0</v>
      </c>
      <c r="BT157" s="4">
        <f>IF(AI157=VLOOKUP(VALUE(AI$1),Questions!$A:$E,5,FALSE),1,0)</f>
        <v>0</v>
      </c>
      <c r="BU157" s="4">
        <f>IF(AJ157=VLOOKUP(VALUE(AJ$1),Questions!$A:$E,5,FALSE),1,0)</f>
        <v>1</v>
      </c>
      <c r="BV157" s="4">
        <f>IF(AK157=VLOOKUP(VALUE(AK$1),Questions!$A:$E,5,FALSE),1,0)</f>
        <v>1</v>
      </c>
      <c r="BW157" s="87">
        <f>IF(AL157=VLOOKUP(VALUE(AL$1),Questions!$A:$E,5,FALSE),1,0)</f>
        <v>1</v>
      </c>
      <c r="BX157" s="4">
        <f>IF(Scores[[#This Row],[Final]]&gt;=65,1,0)</f>
        <v>1</v>
      </c>
      <c r="BY157" s="4">
        <f>IF(Scores[[#This Row],[Final]]&gt;=IF(Scores[[#This Row],[IEP]],55,65),1,0)</f>
        <v>1</v>
      </c>
    </row>
    <row r="158" spans="1:77" x14ac:dyDescent="0.2">
      <c r="A158" s="6">
        <v>157</v>
      </c>
      <c r="B158" s="4">
        <v>9</v>
      </c>
      <c r="C158" s="4" t="s">
        <v>964</v>
      </c>
      <c r="D158" s="105" t="b">
        <v>0</v>
      </c>
      <c r="E158" s="105" t="b">
        <v>0</v>
      </c>
      <c r="F158" s="86">
        <f>SUM(Scores[[#This Row],[Q1]:[Q28]])</f>
        <v>0</v>
      </c>
      <c r="G158" s="4">
        <f>SUM(Scores[[#This Row],[29]]:Scores[[#This Row],[30]])</f>
        <v>0</v>
      </c>
      <c r="H158" s="4">
        <f>SUM(Scores[[#This Row],[31]:[36]])</f>
        <v>0</v>
      </c>
      <c r="I158" s="4">
        <f>Scores[[#This Row],[37]]</f>
        <v>0</v>
      </c>
      <c r="J158" s="87">
        <f>INDEX('Conversion Chart'!$C$3:$M$47,MATCH(SUM(Scores[[#This Row],[MC]:[IIIA]]),'Conversion Chart'!$B$3:$B$47),MATCH(Scores[[#This Row],[IIIB]],'Conversion Chart'!$C$2:$M$2))</f>
        <v>0</v>
      </c>
      <c r="K158" s="103"/>
      <c r="L158" s="103"/>
      <c r="M158" s="103"/>
      <c r="N158" s="103"/>
      <c r="O158" s="103"/>
      <c r="P158" s="103"/>
      <c r="Q158" s="103"/>
      <c r="R158" s="103"/>
      <c r="S158" s="103"/>
      <c r="T158" s="103"/>
      <c r="U158" s="103"/>
      <c r="V158" s="103"/>
      <c r="W158" s="103"/>
      <c r="X158" s="103"/>
      <c r="Y158" s="103"/>
      <c r="Z158" s="103"/>
      <c r="AA158" s="103"/>
      <c r="AB158" s="103"/>
      <c r="AC158" s="103"/>
      <c r="AD158" s="103"/>
      <c r="AE158" s="103"/>
      <c r="AF158" s="103"/>
      <c r="AG158" s="103"/>
      <c r="AH158" s="103"/>
      <c r="AI158" s="103"/>
      <c r="AJ158" s="103"/>
      <c r="AK158" s="103"/>
      <c r="AL158" s="104"/>
      <c r="AN158" s="87"/>
      <c r="AU158" s="107"/>
      <c r="AV158" s="4">
        <f>IF(K158=VLOOKUP(VALUE(K$1),Questions!$A:$E,5,FALSE),1,0)</f>
        <v>0</v>
      </c>
      <c r="AW158" s="4">
        <f>IF(L158=VLOOKUP(VALUE(L$1),Questions!$A:$E,5,FALSE),1,0)</f>
        <v>0</v>
      </c>
      <c r="AX158" s="4">
        <f>IF(M158=VLOOKUP(VALUE(M$1),Questions!$A:$E,5,FALSE),1,0)</f>
        <v>0</v>
      </c>
      <c r="AY158" s="4">
        <f>IF(N158=VLOOKUP(VALUE(N$1),Questions!$A:$E,5,FALSE),1,0)</f>
        <v>0</v>
      </c>
      <c r="AZ158" s="4">
        <f>IF(O158=VLOOKUP(VALUE(O$1),Questions!$A:$E,5,FALSE),1,0)</f>
        <v>0</v>
      </c>
      <c r="BA158" s="4">
        <f>IF(P158=VLOOKUP(VALUE(P$1),Questions!$A:$E,5,FALSE),1,0)</f>
        <v>0</v>
      </c>
      <c r="BB158" s="4">
        <f>IF(Q158=VLOOKUP(VALUE(Q$1),Questions!$A:$E,5,FALSE),1,0)</f>
        <v>0</v>
      </c>
      <c r="BC158" s="4">
        <f>IF(R158=VLOOKUP(VALUE(R$1),Questions!$A:$E,5,FALSE),1,0)</f>
        <v>0</v>
      </c>
      <c r="BD158" s="4">
        <f>IF(S158=VLOOKUP(VALUE(S$1),Questions!$A:$E,5,FALSE),1,0)</f>
        <v>0</v>
      </c>
      <c r="BE158" s="4">
        <f>IF(T158=VLOOKUP(VALUE(T$1),Questions!$A:$E,5,FALSE),1,0)</f>
        <v>0</v>
      </c>
      <c r="BF158" s="4">
        <f>IF(U158=VLOOKUP(VALUE(U$1),Questions!$A:$E,5,FALSE),1,0)</f>
        <v>0</v>
      </c>
      <c r="BG158" s="4">
        <f>IF(V158=VLOOKUP(VALUE(V$1),Questions!$A:$E,5,FALSE),1,0)</f>
        <v>0</v>
      </c>
      <c r="BH158" s="4">
        <f>IF(W158=VLOOKUP(VALUE(W$1),Questions!$A:$E,5,FALSE),1,0)</f>
        <v>0</v>
      </c>
      <c r="BI158" s="4">
        <f>IF(X158=VLOOKUP(VALUE(X$1),Questions!$A:$E,5,FALSE),1,0)</f>
        <v>0</v>
      </c>
      <c r="BJ158" s="4">
        <f>IF(Y158=VLOOKUP(VALUE(Y$1),Questions!$A:$E,5,FALSE),1,0)</f>
        <v>0</v>
      </c>
      <c r="BK158" s="4">
        <f>IF(Z158=VLOOKUP(VALUE(Z$1),Questions!$A:$E,5,FALSE),1,0)</f>
        <v>0</v>
      </c>
      <c r="BL158" s="4">
        <f>IF(AA158=VLOOKUP(VALUE(AA$1),Questions!$A:$E,5,FALSE),1,0)</f>
        <v>0</v>
      </c>
      <c r="BM158" s="4">
        <f>IF(AB158=VLOOKUP(VALUE(AB$1),Questions!$A:$E,5,FALSE),1,0)</f>
        <v>0</v>
      </c>
      <c r="BN158" s="4">
        <f>IF(AC158=VLOOKUP(VALUE(AC$1),Questions!$A:$E,5,FALSE),1,0)</f>
        <v>0</v>
      </c>
      <c r="BO158" s="4">
        <f>IF(AD158=VLOOKUP(VALUE(AD$1),Questions!$A:$E,5,FALSE),1,0)</f>
        <v>0</v>
      </c>
      <c r="BP158" s="4">
        <f>IF(AE158=VLOOKUP(VALUE(AE$1),Questions!$A:$E,5,FALSE),1,0)</f>
        <v>0</v>
      </c>
      <c r="BQ158" s="4">
        <f>IF(AF158=VLOOKUP(VALUE(AF$1),Questions!$A:$E,5,FALSE),1,0)</f>
        <v>0</v>
      </c>
      <c r="BR158" s="4">
        <f>IF(AG158=VLOOKUP(VALUE(AG$1),Questions!$A:$E,5,FALSE),1,0)</f>
        <v>0</v>
      </c>
      <c r="BS158" s="4">
        <f>IF(AH158=VLOOKUP(VALUE(AH$1),Questions!$A:$E,5,FALSE),1,0)</f>
        <v>0</v>
      </c>
      <c r="BT158" s="4">
        <f>IF(AI158=VLOOKUP(VALUE(AI$1),Questions!$A:$E,5,FALSE),1,0)</f>
        <v>0</v>
      </c>
      <c r="BU158" s="4">
        <f>IF(AJ158=VLOOKUP(VALUE(AJ$1),Questions!$A:$E,5,FALSE),1,0)</f>
        <v>0</v>
      </c>
      <c r="BV158" s="4">
        <f>IF(AK158=VLOOKUP(VALUE(AK$1),Questions!$A:$E,5,FALSE),1,0)</f>
        <v>0</v>
      </c>
      <c r="BW158" s="87">
        <f>IF(AL158=VLOOKUP(VALUE(AL$1),Questions!$A:$E,5,FALSE),1,0)</f>
        <v>0</v>
      </c>
      <c r="BX158" s="4">
        <f>IF(Scores[[#This Row],[Final]]&gt;=65,1,0)</f>
        <v>0</v>
      </c>
      <c r="BY158" s="4">
        <f>IF(Scores[[#This Row],[Final]]&gt;=IF(Scores[[#This Row],[IEP]],55,65),1,0)</f>
        <v>0</v>
      </c>
    </row>
    <row r="159" spans="1:77" x14ac:dyDescent="0.2">
      <c r="A159" s="6">
        <v>158</v>
      </c>
      <c r="B159" s="4">
        <v>9</v>
      </c>
      <c r="C159" s="4" t="s">
        <v>963</v>
      </c>
      <c r="D159" s="105" t="b">
        <v>1</v>
      </c>
      <c r="E159" s="105" t="b">
        <v>1</v>
      </c>
      <c r="F159" s="86">
        <f>SUM(Scores[[#This Row],[Q1]:[Q28]])</f>
        <v>11</v>
      </c>
      <c r="G159" s="4">
        <f>SUM(Scores[[#This Row],[29]]:Scores[[#This Row],[30]])</f>
        <v>3</v>
      </c>
      <c r="H159" s="4">
        <f>SUM(Scores[[#This Row],[31]:[36]])</f>
        <v>5</v>
      </c>
      <c r="I159" s="4">
        <f>Scores[[#This Row],[37]]</f>
        <v>1</v>
      </c>
      <c r="J159" s="87">
        <f>INDEX('Conversion Chart'!$C$3:$M$47,MATCH(SUM(Scores[[#This Row],[MC]:[IIIA]]),'Conversion Chart'!$B$3:$B$47),MATCH(Scores[[#This Row],[IIIB]],'Conversion Chart'!$C$2:$M$2))</f>
        <v>55</v>
      </c>
      <c r="K159" s="103">
        <v>4</v>
      </c>
      <c r="L159" s="103">
        <v>3</v>
      </c>
      <c r="M159" s="103">
        <v>2</v>
      </c>
      <c r="N159" s="103">
        <v>2</v>
      </c>
      <c r="O159" s="103">
        <v>4</v>
      </c>
      <c r="P159" s="103">
        <v>2</v>
      </c>
      <c r="Q159" s="103">
        <v>2</v>
      </c>
      <c r="R159" s="103">
        <v>4</v>
      </c>
      <c r="S159" s="103">
        <v>2</v>
      </c>
      <c r="T159" s="103">
        <v>1</v>
      </c>
      <c r="U159" s="103">
        <v>1</v>
      </c>
      <c r="V159" s="103">
        <v>1</v>
      </c>
      <c r="W159" s="103">
        <v>3</v>
      </c>
      <c r="X159" s="103">
        <v>4</v>
      </c>
      <c r="Y159" s="103">
        <v>3</v>
      </c>
      <c r="Z159" s="103">
        <v>2</v>
      </c>
      <c r="AA159" s="103">
        <v>4</v>
      </c>
      <c r="AB159" s="103">
        <v>3</v>
      </c>
      <c r="AC159" s="103">
        <v>3</v>
      </c>
      <c r="AD159" s="103">
        <v>3</v>
      </c>
      <c r="AE159" s="103">
        <v>4</v>
      </c>
      <c r="AF159" s="103">
        <v>2</v>
      </c>
      <c r="AG159" s="103">
        <v>3</v>
      </c>
      <c r="AH159" s="103">
        <v>2</v>
      </c>
      <c r="AI159" s="103">
        <v>1</v>
      </c>
      <c r="AJ159" s="103">
        <v>4</v>
      </c>
      <c r="AK159" s="103">
        <v>4</v>
      </c>
      <c r="AL159" s="104">
        <v>3</v>
      </c>
      <c r="AM159" s="4">
        <v>2</v>
      </c>
      <c r="AN159" s="87">
        <v>1</v>
      </c>
      <c r="AO159" s="4">
        <v>1</v>
      </c>
      <c r="AP159" s="4">
        <v>1</v>
      </c>
      <c r="AQ159" s="4">
        <v>1</v>
      </c>
      <c r="AR159" s="4">
        <v>0</v>
      </c>
      <c r="AS159" s="4">
        <v>1</v>
      </c>
      <c r="AT159" s="4">
        <v>1</v>
      </c>
      <c r="AU159" s="107">
        <v>1</v>
      </c>
      <c r="AV159" s="4">
        <f>IF(K159=VLOOKUP(VALUE(K$1),Questions!$A:$E,5,FALSE),1,0)</f>
        <v>1</v>
      </c>
      <c r="AW159" s="4">
        <f>IF(L159=VLOOKUP(VALUE(L$1),Questions!$A:$E,5,FALSE),1,0)</f>
        <v>0</v>
      </c>
      <c r="AX159" s="4">
        <f>IF(M159=VLOOKUP(VALUE(M$1),Questions!$A:$E,5,FALSE),1,0)</f>
        <v>0</v>
      </c>
      <c r="AY159" s="4">
        <f>IF(N159=VLOOKUP(VALUE(N$1),Questions!$A:$E,5,FALSE),1,0)</f>
        <v>0</v>
      </c>
      <c r="AZ159" s="4">
        <f>IF(O159=VLOOKUP(VALUE(O$1),Questions!$A:$E,5,FALSE),1,0)</f>
        <v>0</v>
      </c>
      <c r="BA159" s="4">
        <f>IF(P159=VLOOKUP(VALUE(P$1),Questions!$A:$E,5,FALSE),1,0)</f>
        <v>0</v>
      </c>
      <c r="BB159" s="4">
        <f>IF(Q159=VLOOKUP(VALUE(Q$1),Questions!$A:$E,5,FALSE),1,0)</f>
        <v>0</v>
      </c>
      <c r="BC159" s="4">
        <f>IF(R159=VLOOKUP(VALUE(R$1),Questions!$A:$E,5,FALSE),1,0)</f>
        <v>0</v>
      </c>
      <c r="BD159" s="4">
        <f>IF(S159=VLOOKUP(VALUE(S$1),Questions!$A:$E,5,FALSE),1,0)</f>
        <v>1</v>
      </c>
      <c r="BE159" s="4">
        <f>IF(T159=VLOOKUP(VALUE(T$1),Questions!$A:$E,5,FALSE),1,0)</f>
        <v>1</v>
      </c>
      <c r="BF159" s="4">
        <f>IF(U159=VLOOKUP(VALUE(U$1),Questions!$A:$E,5,FALSE),1,0)</f>
        <v>0</v>
      </c>
      <c r="BG159" s="4">
        <f>IF(V159=VLOOKUP(VALUE(V$1),Questions!$A:$E,5,FALSE),1,0)</f>
        <v>0</v>
      </c>
      <c r="BH159" s="4">
        <f>IF(W159=VLOOKUP(VALUE(W$1),Questions!$A:$E,5,FALSE),1,0)</f>
        <v>0</v>
      </c>
      <c r="BI159" s="4">
        <f>IF(X159=VLOOKUP(VALUE(X$1),Questions!$A:$E,5,FALSE),1,0)</f>
        <v>1</v>
      </c>
      <c r="BJ159" s="4">
        <f>IF(Y159=VLOOKUP(VALUE(Y$1),Questions!$A:$E,5,FALSE),1,0)</f>
        <v>1</v>
      </c>
      <c r="BK159" s="4">
        <f>IF(Z159=VLOOKUP(VALUE(Z$1),Questions!$A:$E,5,FALSE),1,0)</f>
        <v>0</v>
      </c>
      <c r="BL159" s="4">
        <f>IF(AA159=VLOOKUP(VALUE(AA$1),Questions!$A:$E,5,FALSE),1,0)</f>
        <v>0</v>
      </c>
      <c r="BM159" s="4">
        <f>IF(AB159=VLOOKUP(VALUE(AB$1),Questions!$A:$E,5,FALSE),1,0)</f>
        <v>0</v>
      </c>
      <c r="BN159" s="4">
        <f>IF(AC159=VLOOKUP(VALUE(AC$1),Questions!$A:$E,5,FALSE),1,0)</f>
        <v>1</v>
      </c>
      <c r="BO159" s="4">
        <f>IF(AD159=VLOOKUP(VALUE(AD$1),Questions!$A:$E,5,FALSE),1,0)</f>
        <v>0</v>
      </c>
      <c r="BP159" s="4">
        <f>IF(AE159=VLOOKUP(VALUE(AE$1),Questions!$A:$E,5,FALSE),1,0)</f>
        <v>0</v>
      </c>
      <c r="BQ159" s="4">
        <f>IF(AF159=VLOOKUP(VALUE(AF$1),Questions!$A:$E,5,FALSE),1,0)</f>
        <v>1</v>
      </c>
      <c r="BR159" s="4">
        <f>IF(AG159=VLOOKUP(VALUE(AG$1),Questions!$A:$E,5,FALSE),1,0)</f>
        <v>1</v>
      </c>
      <c r="BS159" s="4">
        <f>IF(AH159=VLOOKUP(VALUE(AH$1),Questions!$A:$E,5,FALSE),1,0)</f>
        <v>0</v>
      </c>
      <c r="BT159" s="4">
        <f>IF(AI159=VLOOKUP(VALUE(AI$1),Questions!$A:$E,5,FALSE),1,0)</f>
        <v>1</v>
      </c>
      <c r="BU159" s="4">
        <f>IF(AJ159=VLOOKUP(VALUE(AJ$1),Questions!$A:$E,5,FALSE),1,0)</f>
        <v>1</v>
      </c>
      <c r="BV159" s="4">
        <f>IF(AK159=VLOOKUP(VALUE(AK$1),Questions!$A:$E,5,FALSE),1,0)</f>
        <v>0</v>
      </c>
      <c r="BW159" s="87">
        <f>IF(AL159=VLOOKUP(VALUE(AL$1),Questions!$A:$E,5,FALSE),1,0)</f>
        <v>1</v>
      </c>
      <c r="BX159" s="4">
        <f>IF(Scores[[#This Row],[Final]]&gt;=65,1,0)</f>
        <v>0</v>
      </c>
      <c r="BY159" s="4">
        <f>IF(Scores[[#This Row],[Final]]&gt;=IF(Scores[[#This Row],[IEP]],55,65),1,0)</f>
        <v>1</v>
      </c>
    </row>
    <row r="160" spans="1:77" x14ac:dyDescent="0.2">
      <c r="A160" s="6">
        <v>159</v>
      </c>
      <c r="B160" s="4">
        <v>9</v>
      </c>
      <c r="C160" s="4" t="s">
        <v>963</v>
      </c>
      <c r="D160" s="105" t="b">
        <v>0</v>
      </c>
      <c r="E160" s="105" t="b">
        <v>0</v>
      </c>
      <c r="F160" s="86">
        <f>SUM(Scores[[#This Row],[Q1]:[Q28]])</f>
        <v>19</v>
      </c>
      <c r="G160" s="4">
        <f>SUM(Scores[[#This Row],[29]]:Scores[[#This Row],[30]])</f>
        <v>4</v>
      </c>
      <c r="H160" s="4">
        <f>SUM(Scores[[#This Row],[31]:[36]])</f>
        <v>6</v>
      </c>
      <c r="I160" s="4">
        <f>Scores[[#This Row],[37]]</f>
        <v>1</v>
      </c>
      <c r="J160" s="87">
        <f>INDEX('Conversion Chart'!$C$3:$M$47,MATCH(SUM(Scores[[#This Row],[MC]:[IIIA]]),'Conversion Chart'!$B$3:$B$47),MATCH(Scores[[#This Row],[IIIB]],'Conversion Chart'!$C$2:$M$2))</f>
        <v>69</v>
      </c>
      <c r="K160" s="103">
        <v>4</v>
      </c>
      <c r="L160" s="103">
        <v>2</v>
      </c>
      <c r="M160" s="103">
        <v>3</v>
      </c>
      <c r="N160" s="103">
        <v>1</v>
      </c>
      <c r="O160" s="103">
        <v>1</v>
      </c>
      <c r="P160" s="103">
        <v>2</v>
      </c>
      <c r="Q160" s="103">
        <v>3</v>
      </c>
      <c r="R160" s="103">
        <v>2</v>
      </c>
      <c r="S160" s="103">
        <v>2</v>
      </c>
      <c r="T160" s="103">
        <v>1</v>
      </c>
      <c r="U160" s="103">
        <v>2</v>
      </c>
      <c r="V160" s="103">
        <v>4</v>
      </c>
      <c r="W160" s="103">
        <v>1</v>
      </c>
      <c r="X160" s="103">
        <v>4</v>
      </c>
      <c r="Y160" s="103">
        <v>4</v>
      </c>
      <c r="Z160" s="103">
        <v>4</v>
      </c>
      <c r="AA160" s="103">
        <v>1</v>
      </c>
      <c r="AB160" s="103">
        <v>4</v>
      </c>
      <c r="AC160" s="103">
        <v>3</v>
      </c>
      <c r="AD160" s="103">
        <v>1</v>
      </c>
      <c r="AE160" s="103">
        <v>1</v>
      </c>
      <c r="AF160" s="103">
        <v>2</v>
      </c>
      <c r="AG160" s="103">
        <v>3</v>
      </c>
      <c r="AH160" s="103">
        <v>2</v>
      </c>
      <c r="AI160" s="103">
        <v>3</v>
      </c>
      <c r="AJ160" s="103">
        <v>4</v>
      </c>
      <c r="AK160" s="103">
        <v>1</v>
      </c>
      <c r="AL160" s="104">
        <v>3</v>
      </c>
      <c r="AM160" s="4">
        <v>2</v>
      </c>
      <c r="AN160" s="87">
        <v>2</v>
      </c>
      <c r="AO160" s="4">
        <v>1</v>
      </c>
      <c r="AP160" s="4">
        <v>1</v>
      </c>
      <c r="AQ160" s="4">
        <v>1</v>
      </c>
      <c r="AR160" s="4">
        <v>1</v>
      </c>
      <c r="AS160" s="4">
        <v>1</v>
      </c>
      <c r="AT160" s="4">
        <v>1</v>
      </c>
      <c r="AU160" s="107">
        <v>1</v>
      </c>
      <c r="AV160" s="4">
        <f>IF(K160=VLOOKUP(VALUE(K$1),Questions!$A:$E,5,FALSE),1,0)</f>
        <v>1</v>
      </c>
      <c r="AW160" s="4">
        <f>IF(L160=VLOOKUP(VALUE(L$1),Questions!$A:$E,5,FALSE),1,0)</f>
        <v>1</v>
      </c>
      <c r="AX160" s="4">
        <f>IF(M160=VLOOKUP(VALUE(M$1),Questions!$A:$E,5,FALSE),1,0)</f>
        <v>1</v>
      </c>
      <c r="AY160" s="4">
        <f>IF(N160=VLOOKUP(VALUE(N$1),Questions!$A:$E,5,FALSE),1,0)</f>
        <v>0</v>
      </c>
      <c r="AZ160" s="4">
        <f>IF(O160=VLOOKUP(VALUE(O$1),Questions!$A:$E,5,FALSE),1,0)</f>
        <v>1</v>
      </c>
      <c r="BA160" s="4">
        <f>IF(P160=VLOOKUP(VALUE(P$1),Questions!$A:$E,5,FALSE),1,0)</f>
        <v>0</v>
      </c>
      <c r="BB160" s="4">
        <f>IF(Q160=VLOOKUP(VALUE(Q$1),Questions!$A:$E,5,FALSE),1,0)</f>
        <v>1</v>
      </c>
      <c r="BC160" s="4">
        <f>IF(R160=VLOOKUP(VALUE(R$1),Questions!$A:$E,5,FALSE),1,0)</f>
        <v>1</v>
      </c>
      <c r="BD160" s="4">
        <f>IF(S160=VLOOKUP(VALUE(S$1),Questions!$A:$E,5,FALSE),1,0)</f>
        <v>1</v>
      </c>
      <c r="BE160" s="4">
        <f>IF(T160=VLOOKUP(VALUE(T$1),Questions!$A:$E,5,FALSE),1,0)</f>
        <v>1</v>
      </c>
      <c r="BF160" s="4">
        <f>IF(U160=VLOOKUP(VALUE(U$1),Questions!$A:$E,5,FALSE),1,0)</f>
        <v>1</v>
      </c>
      <c r="BG160" s="4">
        <f>IF(V160=VLOOKUP(VALUE(V$1),Questions!$A:$E,5,FALSE),1,0)</f>
        <v>1</v>
      </c>
      <c r="BH160" s="4">
        <f>IF(W160=VLOOKUP(VALUE(W$1),Questions!$A:$E,5,FALSE),1,0)</f>
        <v>0</v>
      </c>
      <c r="BI160" s="4">
        <f>IF(X160=VLOOKUP(VALUE(X$1),Questions!$A:$E,5,FALSE),1,0)</f>
        <v>1</v>
      </c>
      <c r="BJ160" s="4">
        <f>IF(Y160=VLOOKUP(VALUE(Y$1),Questions!$A:$E,5,FALSE),1,0)</f>
        <v>0</v>
      </c>
      <c r="BK160" s="4">
        <f>IF(Z160=VLOOKUP(VALUE(Z$1),Questions!$A:$E,5,FALSE),1,0)</f>
        <v>0</v>
      </c>
      <c r="BL160" s="4">
        <f>IF(AA160=VLOOKUP(VALUE(AA$1),Questions!$A:$E,5,FALSE),1,0)</f>
        <v>1</v>
      </c>
      <c r="BM160" s="4">
        <f>IF(AB160=VLOOKUP(VALUE(AB$1),Questions!$A:$E,5,FALSE),1,0)</f>
        <v>1</v>
      </c>
      <c r="BN160" s="4">
        <f>IF(AC160=VLOOKUP(VALUE(AC$1),Questions!$A:$E,5,FALSE),1,0)</f>
        <v>1</v>
      </c>
      <c r="BO160" s="4">
        <f>IF(AD160=VLOOKUP(VALUE(AD$1),Questions!$A:$E,5,FALSE),1,0)</f>
        <v>0</v>
      </c>
      <c r="BP160" s="4">
        <f>IF(AE160=VLOOKUP(VALUE(AE$1),Questions!$A:$E,5,FALSE),1,0)</f>
        <v>0</v>
      </c>
      <c r="BQ160" s="4">
        <f>IF(AF160=VLOOKUP(VALUE(AF$1),Questions!$A:$E,5,FALSE),1,0)</f>
        <v>1</v>
      </c>
      <c r="BR160" s="4">
        <f>IF(AG160=VLOOKUP(VALUE(AG$1),Questions!$A:$E,5,FALSE),1,0)</f>
        <v>1</v>
      </c>
      <c r="BS160" s="4">
        <f>IF(AH160=VLOOKUP(VALUE(AH$1),Questions!$A:$E,5,FALSE),1,0)</f>
        <v>0</v>
      </c>
      <c r="BT160" s="4">
        <f>IF(AI160=VLOOKUP(VALUE(AI$1),Questions!$A:$E,5,FALSE),1,0)</f>
        <v>0</v>
      </c>
      <c r="BU160" s="4">
        <f>IF(AJ160=VLOOKUP(VALUE(AJ$1),Questions!$A:$E,5,FALSE),1,0)</f>
        <v>1</v>
      </c>
      <c r="BV160" s="4">
        <f>IF(AK160=VLOOKUP(VALUE(AK$1),Questions!$A:$E,5,FALSE),1,0)</f>
        <v>1</v>
      </c>
      <c r="BW160" s="87">
        <f>IF(AL160=VLOOKUP(VALUE(AL$1),Questions!$A:$E,5,FALSE),1,0)</f>
        <v>1</v>
      </c>
      <c r="BX160" s="4">
        <f>IF(Scores[[#This Row],[Final]]&gt;=65,1,0)</f>
        <v>1</v>
      </c>
      <c r="BY160" s="4">
        <f>IF(Scores[[#This Row],[Final]]&gt;=IF(Scores[[#This Row],[IEP]],55,65),1,0)</f>
        <v>1</v>
      </c>
    </row>
    <row r="161" spans="1:77" x14ac:dyDescent="0.2">
      <c r="A161" s="6">
        <v>160</v>
      </c>
      <c r="B161" s="4">
        <v>11</v>
      </c>
      <c r="C161" s="4" t="s">
        <v>962</v>
      </c>
      <c r="D161" s="105" t="b">
        <v>0</v>
      </c>
      <c r="E161" s="105" t="b">
        <v>0</v>
      </c>
      <c r="F161" s="86">
        <f>SUM(Scores[[#This Row],[Q1]:[Q28]])</f>
        <v>20</v>
      </c>
      <c r="G161" s="4">
        <f>SUM(Scores[[#This Row],[29]]:Scores[[#This Row],[30]])</f>
        <v>3</v>
      </c>
      <c r="H161" s="4">
        <f>SUM(Scores[[#This Row],[31]:[36]])</f>
        <v>6</v>
      </c>
      <c r="I161" s="4">
        <f>Scores[[#This Row],[37]]</f>
        <v>2</v>
      </c>
      <c r="J161" s="87">
        <f>INDEX('Conversion Chart'!$C$3:$M$47,MATCH(SUM(Scores[[#This Row],[MC]:[IIIA]]),'Conversion Chart'!$B$3:$B$47),MATCH(Scores[[#This Row],[IIIB]],'Conversion Chart'!$C$2:$M$2))</f>
        <v>72</v>
      </c>
      <c r="K161" s="103">
        <v>4</v>
      </c>
      <c r="L161" s="103">
        <v>2</v>
      </c>
      <c r="M161" s="103">
        <v>1</v>
      </c>
      <c r="N161" s="103">
        <v>3</v>
      </c>
      <c r="O161" s="103">
        <v>1</v>
      </c>
      <c r="P161" s="103">
        <v>3</v>
      </c>
      <c r="Q161" s="103">
        <v>3</v>
      </c>
      <c r="R161" s="103">
        <v>2</v>
      </c>
      <c r="S161" s="103">
        <v>2</v>
      </c>
      <c r="T161" s="103">
        <v>1</v>
      </c>
      <c r="U161" s="103">
        <v>2</v>
      </c>
      <c r="V161" s="103">
        <v>4</v>
      </c>
      <c r="W161" s="103">
        <v>2</v>
      </c>
      <c r="X161" s="103">
        <v>2</v>
      </c>
      <c r="Y161" s="103">
        <v>4</v>
      </c>
      <c r="Z161" s="103">
        <v>1</v>
      </c>
      <c r="AA161" s="103">
        <v>1</v>
      </c>
      <c r="AB161" s="103">
        <v>4</v>
      </c>
      <c r="AC161" s="103">
        <v>1</v>
      </c>
      <c r="AD161" s="103">
        <v>4</v>
      </c>
      <c r="AE161" s="103">
        <v>4</v>
      </c>
      <c r="AF161" s="103">
        <v>2</v>
      </c>
      <c r="AG161" s="103">
        <v>3</v>
      </c>
      <c r="AH161" s="103">
        <v>4</v>
      </c>
      <c r="AI161" s="103">
        <v>1</v>
      </c>
      <c r="AJ161" s="103">
        <v>4</v>
      </c>
      <c r="AK161" s="103">
        <v>4</v>
      </c>
      <c r="AL161" s="104">
        <v>3</v>
      </c>
      <c r="AM161" s="4">
        <v>2</v>
      </c>
      <c r="AN161" s="87">
        <v>1</v>
      </c>
      <c r="AO161" s="4">
        <v>1</v>
      </c>
      <c r="AP161" s="4">
        <v>1</v>
      </c>
      <c r="AQ161" s="4">
        <v>1</v>
      </c>
      <c r="AR161" s="4">
        <v>1</v>
      </c>
      <c r="AS161" s="4">
        <v>1</v>
      </c>
      <c r="AT161" s="4">
        <v>1</v>
      </c>
      <c r="AU161" s="107">
        <v>2</v>
      </c>
      <c r="AV161" s="4">
        <f>IF(K161=VLOOKUP(VALUE(K$1),Questions!$A:$E,5,FALSE),1,0)</f>
        <v>1</v>
      </c>
      <c r="AW161" s="4">
        <f>IF(L161=VLOOKUP(VALUE(L$1),Questions!$A:$E,5,FALSE),1,0)</f>
        <v>1</v>
      </c>
      <c r="AX161" s="4">
        <f>IF(M161=VLOOKUP(VALUE(M$1),Questions!$A:$E,5,FALSE),1,0)</f>
        <v>0</v>
      </c>
      <c r="AY161" s="4">
        <f>IF(N161=VLOOKUP(VALUE(N$1),Questions!$A:$E,5,FALSE),1,0)</f>
        <v>1</v>
      </c>
      <c r="AZ161" s="4">
        <f>IF(O161=VLOOKUP(VALUE(O$1),Questions!$A:$E,5,FALSE),1,0)</f>
        <v>1</v>
      </c>
      <c r="BA161" s="4">
        <f>IF(P161=VLOOKUP(VALUE(P$1),Questions!$A:$E,5,FALSE),1,0)</f>
        <v>0</v>
      </c>
      <c r="BB161" s="4">
        <f>IF(Q161=VLOOKUP(VALUE(Q$1),Questions!$A:$E,5,FALSE),1,0)</f>
        <v>1</v>
      </c>
      <c r="BC161" s="4">
        <f>IF(R161=VLOOKUP(VALUE(R$1),Questions!$A:$E,5,FALSE),1,0)</f>
        <v>1</v>
      </c>
      <c r="BD161" s="4">
        <f>IF(S161=VLOOKUP(VALUE(S$1),Questions!$A:$E,5,FALSE),1,0)</f>
        <v>1</v>
      </c>
      <c r="BE161" s="4">
        <f>IF(T161=VLOOKUP(VALUE(T$1),Questions!$A:$E,5,FALSE),1,0)</f>
        <v>1</v>
      </c>
      <c r="BF161" s="4">
        <f>IF(U161=VLOOKUP(VALUE(U$1),Questions!$A:$E,5,FALSE),1,0)</f>
        <v>1</v>
      </c>
      <c r="BG161" s="4">
        <f>IF(V161=VLOOKUP(VALUE(V$1),Questions!$A:$E,5,FALSE),1,0)</f>
        <v>1</v>
      </c>
      <c r="BH161" s="4">
        <f>IF(W161=VLOOKUP(VALUE(W$1),Questions!$A:$E,5,FALSE),1,0)</f>
        <v>1</v>
      </c>
      <c r="BI161" s="4">
        <f>IF(X161=VLOOKUP(VALUE(X$1),Questions!$A:$E,5,FALSE),1,0)</f>
        <v>0</v>
      </c>
      <c r="BJ161" s="4">
        <f>IF(Y161=VLOOKUP(VALUE(Y$1),Questions!$A:$E,5,FALSE),1,0)</f>
        <v>0</v>
      </c>
      <c r="BK161" s="4">
        <f>IF(Z161=VLOOKUP(VALUE(Z$1),Questions!$A:$E,5,FALSE),1,0)</f>
        <v>1</v>
      </c>
      <c r="BL161" s="4">
        <f>IF(AA161=VLOOKUP(VALUE(AA$1),Questions!$A:$E,5,FALSE),1,0)</f>
        <v>1</v>
      </c>
      <c r="BM161" s="4">
        <f>IF(AB161=VLOOKUP(VALUE(AB$1),Questions!$A:$E,5,FALSE),1,0)</f>
        <v>1</v>
      </c>
      <c r="BN161" s="4">
        <f>IF(AC161=VLOOKUP(VALUE(AC$1),Questions!$A:$E,5,FALSE),1,0)</f>
        <v>0</v>
      </c>
      <c r="BO161" s="4">
        <f>IF(AD161=VLOOKUP(VALUE(AD$1),Questions!$A:$E,5,FALSE),1,0)</f>
        <v>1</v>
      </c>
      <c r="BP161" s="4">
        <f>IF(AE161=VLOOKUP(VALUE(AE$1),Questions!$A:$E,5,FALSE),1,0)</f>
        <v>0</v>
      </c>
      <c r="BQ161" s="4">
        <f>IF(AF161=VLOOKUP(VALUE(AF$1),Questions!$A:$E,5,FALSE),1,0)</f>
        <v>1</v>
      </c>
      <c r="BR161" s="4">
        <f>IF(AG161=VLOOKUP(VALUE(AG$1),Questions!$A:$E,5,FALSE),1,0)</f>
        <v>1</v>
      </c>
      <c r="BS161" s="4">
        <f>IF(AH161=VLOOKUP(VALUE(AH$1),Questions!$A:$E,5,FALSE),1,0)</f>
        <v>0</v>
      </c>
      <c r="BT161" s="4">
        <f>IF(AI161=VLOOKUP(VALUE(AI$1),Questions!$A:$E,5,FALSE),1,0)</f>
        <v>1</v>
      </c>
      <c r="BU161" s="4">
        <f>IF(AJ161=VLOOKUP(VALUE(AJ$1),Questions!$A:$E,5,FALSE),1,0)</f>
        <v>1</v>
      </c>
      <c r="BV161" s="4">
        <f>IF(AK161=VLOOKUP(VALUE(AK$1),Questions!$A:$E,5,FALSE),1,0)</f>
        <v>0</v>
      </c>
      <c r="BW161" s="87">
        <f>IF(AL161=VLOOKUP(VALUE(AL$1),Questions!$A:$E,5,FALSE),1,0)</f>
        <v>1</v>
      </c>
      <c r="BX161" s="4">
        <f>IF(Scores[[#This Row],[Final]]&gt;=65,1,0)</f>
        <v>1</v>
      </c>
      <c r="BY161" s="4">
        <f>IF(Scores[[#This Row],[Final]]&gt;=IF(Scores[[#This Row],[IEP]],55,65),1,0)</f>
        <v>1</v>
      </c>
    </row>
    <row r="162" spans="1:77" x14ac:dyDescent="0.2">
      <c r="A162" s="6">
        <v>161</v>
      </c>
      <c r="B162" s="4">
        <v>11</v>
      </c>
      <c r="C162" s="4" t="s">
        <v>967</v>
      </c>
      <c r="D162" s="105" t="b">
        <v>0</v>
      </c>
      <c r="E162" s="105" t="b">
        <v>0</v>
      </c>
      <c r="F162" s="86">
        <f>SUM(Scores[[#This Row],[Q1]:[Q28]])</f>
        <v>0</v>
      </c>
      <c r="G162" s="4">
        <f>SUM(Scores[[#This Row],[29]]:Scores[[#This Row],[30]])</f>
        <v>0</v>
      </c>
      <c r="H162" s="4">
        <f>SUM(Scores[[#This Row],[31]:[36]])</f>
        <v>0</v>
      </c>
      <c r="I162" s="4">
        <f>Scores[[#This Row],[37]]</f>
        <v>0</v>
      </c>
      <c r="J162" s="87">
        <f>INDEX('Conversion Chart'!$C$3:$M$47,MATCH(SUM(Scores[[#This Row],[MC]:[IIIA]]),'Conversion Chart'!$B$3:$B$47),MATCH(Scores[[#This Row],[IIIB]],'Conversion Chart'!$C$2:$M$2))</f>
        <v>0</v>
      </c>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4"/>
      <c r="AN162" s="87"/>
      <c r="AU162" s="107"/>
      <c r="AV162" s="4">
        <f>IF(K162=VLOOKUP(VALUE(K$1),Questions!$A:$E,5,FALSE),1,0)</f>
        <v>0</v>
      </c>
      <c r="AW162" s="4">
        <f>IF(L162=VLOOKUP(VALUE(L$1),Questions!$A:$E,5,FALSE),1,0)</f>
        <v>0</v>
      </c>
      <c r="AX162" s="4">
        <f>IF(M162=VLOOKUP(VALUE(M$1),Questions!$A:$E,5,FALSE),1,0)</f>
        <v>0</v>
      </c>
      <c r="AY162" s="4">
        <f>IF(N162=VLOOKUP(VALUE(N$1),Questions!$A:$E,5,FALSE),1,0)</f>
        <v>0</v>
      </c>
      <c r="AZ162" s="4">
        <f>IF(O162=VLOOKUP(VALUE(O$1),Questions!$A:$E,5,FALSE),1,0)</f>
        <v>0</v>
      </c>
      <c r="BA162" s="4">
        <f>IF(P162=VLOOKUP(VALUE(P$1),Questions!$A:$E,5,FALSE),1,0)</f>
        <v>0</v>
      </c>
      <c r="BB162" s="4">
        <f>IF(Q162=VLOOKUP(VALUE(Q$1),Questions!$A:$E,5,FALSE),1,0)</f>
        <v>0</v>
      </c>
      <c r="BC162" s="4">
        <f>IF(R162=VLOOKUP(VALUE(R$1),Questions!$A:$E,5,FALSE),1,0)</f>
        <v>0</v>
      </c>
      <c r="BD162" s="4">
        <f>IF(S162=VLOOKUP(VALUE(S$1),Questions!$A:$E,5,FALSE),1,0)</f>
        <v>0</v>
      </c>
      <c r="BE162" s="4">
        <f>IF(T162=VLOOKUP(VALUE(T$1),Questions!$A:$E,5,FALSE),1,0)</f>
        <v>0</v>
      </c>
      <c r="BF162" s="4">
        <f>IF(U162=VLOOKUP(VALUE(U$1),Questions!$A:$E,5,FALSE),1,0)</f>
        <v>0</v>
      </c>
      <c r="BG162" s="4">
        <f>IF(V162=VLOOKUP(VALUE(V$1),Questions!$A:$E,5,FALSE),1,0)</f>
        <v>0</v>
      </c>
      <c r="BH162" s="4">
        <f>IF(W162=VLOOKUP(VALUE(W$1),Questions!$A:$E,5,FALSE),1,0)</f>
        <v>0</v>
      </c>
      <c r="BI162" s="4">
        <f>IF(X162=VLOOKUP(VALUE(X$1),Questions!$A:$E,5,FALSE),1,0)</f>
        <v>0</v>
      </c>
      <c r="BJ162" s="4">
        <f>IF(Y162=VLOOKUP(VALUE(Y$1),Questions!$A:$E,5,FALSE),1,0)</f>
        <v>0</v>
      </c>
      <c r="BK162" s="4">
        <f>IF(Z162=VLOOKUP(VALUE(Z$1),Questions!$A:$E,5,FALSE),1,0)</f>
        <v>0</v>
      </c>
      <c r="BL162" s="4">
        <f>IF(AA162=VLOOKUP(VALUE(AA$1),Questions!$A:$E,5,FALSE),1,0)</f>
        <v>0</v>
      </c>
      <c r="BM162" s="4">
        <f>IF(AB162=VLOOKUP(VALUE(AB$1),Questions!$A:$E,5,FALSE),1,0)</f>
        <v>0</v>
      </c>
      <c r="BN162" s="4">
        <f>IF(AC162=VLOOKUP(VALUE(AC$1),Questions!$A:$E,5,FALSE),1,0)</f>
        <v>0</v>
      </c>
      <c r="BO162" s="4">
        <f>IF(AD162=VLOOKUP(VALUE(AD$1),Questions!$A:$E,5,FALSE),1,0)</f>
        <v>0</v>
      </c>
      <c r="BP162" s="4">
        <f>IF(AE162=VLOOKUP(VALUE(AE$1),Questions!$A:$E,5,FALSE),1,0)</f>
        <v>0</v>
      </c>
      <c r="BQ162" s="4">
        <f>IF(AF162=VLOOKUP(VALUE(AF$1),Questions!$A:$E,5,FALSE),1,0)</f>
        <v>0</v>
      </c>
      <c r="BR162" s="4">
        <f>IF(AG162=VLOOKUP(VALUE(AG$1),Questions!$A:$E,5,FALSE),1,0)</f>
        <v>0</v>
      </c>
      <c r="BS162" s="4">
        <f>IF(AH162=VLOOKUP(VALUE(AH$1),Questions!$A:$E,5,FALSE),1,0)</f>
        <v>0</v>
      </c>
      <c r="BT162" s="4">
        <f>IF(AI162=VLOOKUP(VALUE(AI$1),Questions!$A:$E,5,FALSE),1,0)</f>
        <v>0</v>
      </c>
      <c r="BU162" s="4">
        <f>IF(AJ162=VLOOKUP(VALUE(AJ$1),Questions!$A:$E,5,FALSE),1,0)</f>
        <v>0</v>
      </c>
      <c r="BV162" s="4">
        <f>IF(AK162=VLOOKUP(VALUE(AK$1),Questions!$A:$E,5,FALSE),1,0)</f>
        <v>0</v>
      </c>
      <c r="BW162" s="87">
        <f>IF(AL162=VLOOKUP(VALUE(AL$1),Questions!$A:$E,5,FALSE),1,0)</f>
        <v>0</v>
      </c>
      <c r="BX162" s="4">
        <f>IF(Scores[[#This Row],[Final]]&gt;=65,1,0)</f>
        <v>0</v>
      </c>
      <c r="BY162" s="4">
        <f>IF(Scores[[#This Row],[Final]]&gt;=IF(Scores[[#This Row],[IEP]],55,65),1,0)</f>
        <v>0</v>
      </c>
    </row>
    <row r="163" spans="1:77" x14ac:dyDescent="0.2">
      <c r="A163" s="6">
        <v>162</v>
      </c>
      <c r="B163" s="4">
        <v>9</v>
      </c>
      <c r="C163" s="4" t="s">
        <v>963</v>
      </c>
      <c r="D163" s="105" t="b">
        <v>0</v>
      </c>
      <c r="E163" s="105" t="b">
        <v>0</v>
      </c>
      <c r="F163" s="86">
        <f>SUM(Scores[[#This Row],[Q1]:[Q28]])</f>
        <v>18</v>
      </c>
      <c r="G163" s="4">
        <f>SUM(Scores[[#This Row],[29]]:Scores[[#This Row],[30]])</f>
        <v>7</v>
      </c>
      <c r="H163" s="4">
        <f>SUM(Scores[[#This Row],[31]:[36]])</f>
        <v>6</v>
      </c>
      <c r="I163" s="4">
        <f>Scores[[#This Row],[37]]</f>
        <v>3</v>
      </c>
      <c r="J163" s="87">
        <f>INDEX('Conversion Chart'!$C$3:$M$47,MATCH(SUM(Scores[[#This Row],[MC]:[IIIA]]),'Conversion Chart'!$B$3:$B$47),MATCH(Scores[[#This Row],[IIIB]],'Conversion Chart'!$C$2:$M$2))</f>
        <v>77</v>
      </c>
      <c r="K163" s="103">
        <v>3</v>
      </c>
      <c r="L163" s="103">
        <v>1</v>
      </c>
      <c r="M163" s="103">
        <v>3</v>
      </c>
      <c r="N163" s="103">
        <v>2</v>
      </c>
      <c r="O163" s="103">
        <v>1</v>
      </c>
      <c r="P163" s="103">
        <v>3</v>
      </c>
      <c r="Q163" s="103">
        <v>2</v>
      </c>
      <c r="R163" s="103">
        <v>2</v>
      </c>
      <c r="S163" s="103">
        <v>2</v>
      </c>
      <c r="T163" s="103">
        <v>1</v>
      </c>
      <c r="U163" s="103">
        <v>2</v>
      </c>
      <c r="V163" s="103">
        <v>2</v>
      </c>
      <c r="W163" s="103">
        <v>2</v>
      </c>
      <c r="X163" s="103">
        <v>1</v>
      </c>
      <c r="Y163" s="103">
        <v>3</v>
      </c>
      <c r="Z163" s="103">
        <v>1</v>
      </c>
      <c r="AA163" s="103">
        <v>1</v>
      </c>
      <c r="AB163" s="103">
        <v>4</v>
      </c>
      <c r="AC163" s="103">
        <v>4</v>
      </c>
      <c r="AD163" s="103">
        <v>2</v>
      </c>
      <c r="AE163" s="103">
        <v>2</v>
      </c>
      <c r="AF163" s="103">
        <v>2</v>
      </c>
      <c r="AG163" s="103">
        <v>3</v>
      </c>
      <c r="AH163" s="103">
        <v>3</v>
      </c>
      <c r="AI163" s="103">
        <v>1</v>
      </c>
      <c r="AJ163" s="103">
        <v>4</v>
      </c>
      <c r="AK163" s="103">
        <v>2</v>
      </c>
      <c r="AL163" s="104">
        <v>3</v>
      </c>
      <c r="AM163" s="4">
        <v>3</v>
      </c>
      <c r="AN163" s="87">
        <v>4</v>
      </c>
      <c r="AO163" s="4">
        <v>1</v>
      </c>
      <c r="AP163" s="4">
        <v>1</v>
      </c>
      <c r="AQ163" s="4">
        <v>1</v>
      </c>
      <c r="AR163" s="4">
        <v>1</v>
      </c>
      <c r="AS163" s="4">
        <v>1</v>
      </c>
      <c r="AT163" s="4">
        <v>1</v>
      </c>
      <c r="AU163" s="107">
        <v>3</v>
      </c>
      <c r="AV163" s="4">
        <f>IF(K163=VLOOKUP(VALUE(K$1),Questions!$A:$E,5,FALSE),1,0)</f>
        <v>0</v>
      </c>
      <c r="AW163" s="4">
        <f>IF(L163=VLOOKUP(VALUE(L$1),Questions!$A:$E,5,FALSE),1,0)</f>
        <v>0</v>
      </c>
      <c r="AX163" s="4">
        <f>IF(M163=VLOOKUP(VALUE(M$1),Questions!$A:$E,5,FALSE),1,0)</f>
        <v>1</v>
      </c>
      <c r="AY163" s="4">
        <f>IF(N163=VLOOKUP(VALUE(N$1),Questions!$A:$E,5,FALSE),1,0)</f>
        <v>0</v>
      </c>
      <c r="AZ163" s="4">
        <f>IF(O163=VLOOKUP(VALUE(O$1),Questions!$A:$E,5,FALSE),1,0)</f>
        <v>1</v>
      </c>
      <c r="BA163" s="4">
        <f>IF(P163=VLOOKUP(VALUE(P$1),Questions!$A:$E,5,FALSE),1,0)</f>
        <v>0</v>
      </c>
      <c r="BB163" s="4">
        <f>IF(Q163=VLOOKUP(VALUE(Q$1),Questions!$A:$E,5,FALSE),1,0)</f>
        <v>0</v>
      </c>
      <c r="BC163" s="4">
        <f>IF(R163=VLOOKUP(VALUE(R$1),Questions!$A:$E,5,FALSE),1,0)</f>
        <v>1</v>
      </c>
      <c r="BD163" s="4">
        <f>IF(S163=VLOOKUP(VALUE(S$1),Questions!$A:$E,5,FALSE),1,0)</f>
        <v>1</v>
      </c>
      <c r="BE163" s="4">
        <f>IF(T163=VLOOKUP(VALUE(T$1),Questions!$A:$E,5,FALSE),1,0)</f>
        <v>1</v>
      </c>
      <c r="BF163" s="4">
        <f>IF(U163=VLOOKUP(VALUE(U$1),Questions!$A:$E,5,FALSE),1,0)</f>
        <v>1</v>
      </c>
      <c r="BG163" s="4">
        <f>IF(V163=VLOOKUP(VALUE(V$1),Questions!$A:$E,5,FALSE),1,0)</f>
        <v>0</v>
      </c>
      <c r="BH163" s="4">
        <f>IF(W163=VLOOKUP(VALUE(W$1),Questions!$A:$E,5,FALSE),1,0)</f>
        <v>1</v>
      </c>
      <c r="BI163" s="4">
        <f>IF(X163=VLOOKUP(VALUE(X$1),Questions!$A:$E,5,FALSE),1,0)</f>
        <v>0</v>
      </c>
      <c r="BJ163" s="4">
        <f>IF(Y163=VLOOKUP(VALUE(Y$1),Questions!$A:$E,5,FALSE),1,0)</f>
        <v>1</v>
      </c>
      <c r="BK163" s="4">
        <f>IF(Z163=VLOOKUP(VALUE(Z$1),Questions!$A:$E,5,FALSE),1,0)</f>
        <v>1</v>
      </c>
      <c r="BL163" s="4">
        <f>IF(AA163=VLOOKUP(VALUE(AA$1),Questions!$A:$E,5,FALSE),1,0)</f>
        <v>1</v>
      </c>
      <c r="BM163" s="4">
        <f>IF(AB163=VLOOKUP(VALUE(AB$1),Questions!$A:$E,5,FALSE),1,0)</f>
        <v>1</v>
      </c>
      <c r="BN163" s="4">
        <f>IF(AC163=VLOOKUP(VALUE(AC$1),Questions!$A:$E,5,FALSE),1,0)</f>
        <v>0</v>
      </c>
      <c r="BO163" s="4">
        <f>IF(AD163=VLOOKUP(VALUE(AD$1),Questions!$A:$E,5,FALSE),1,0)</f>
        <v>0</v>
      </c>
      <c r="BP163" s="4">
        <f>IF(AE163=VLOOKUP(VALUE(AE$1),Questions!$A:$E,5,FALSE),1,0)</f>
        <v>1</v>
      </c>
      <c r="BQ163" s="4">
        <f>IF(AF163=VLOOKUP(VALUE(AF$1),Questions!$A:$E,5,FALSE),1,0)</f>
        <v>1</v>
      </c>
      <c r="BR163" s="4">
        <f>IF(AG163=VLOOKUP(VALUE(AG$1),Questions!$A:$E,5,FALSE),1,0)</f>
        <v>1</v>
      </c>
      <c r="BS163" s="4">
        <f>IF(AH163=VLOOKUP(VALUE(AH$1),Questions!$A:$E,5,FALSE),1,0)</f>
        <v>1</v>
      </c>
      <c r="BT163" s="4">
        <f>IF(AI163=VLOOKUP(VALUE(AI$1),Questions!$A:$E,5,FALSE),1,0)</f>
        <v>1</v>
      </c>
      <c r="BU163" s="4">
        <f>IF(AJ163=VLOOKUP(VALUE(AJ$1),Questions!$A:$E,5,FALSE),1,0)</f>
        <v>1</v>
      </c>
      <c r="BV163" s="4">
        <f>IF(AK163=VLOOKUP(VALUE(AK$1),Questions!$A:$E,5,FALSE),1,0)</f>
        <v>0</v>
      </c>
      <c r="BW163" s="87">
        <f>IF(AL163=VLOOKUP(VALUE(AL$1),Questions!$A:$E,5,FALSE),1,0)</f>
        <v>1</v>
      </c>
      <c r="BX163" s="4">
        <f>IF(Scores[[#This Row],[Final]]&gt;=65,1,0)</f>
        <v>1</v>
      </c>
      <c r="BY163" s="4">
        <f>IF(Scores[[#This Row],[Final]]&gt;=IF(Scores[[#This Row],[IEP]],55,65),1,0)</f>
        <v>1</v>
      </c>
    </row>
    <row r="164" spans="1:77" x14ac:dyDescent="0.2">
      <c r="A164" s="6">
        <v>163</v>
      </c>
      <c r="B164" s="4">
        <v>11</v>
      </c>
      <c r="C164" s="4" t="s">
        <v>967</v>
      </c>
      <c r="D164" s="105" t="b">
        <v>0</v>
      </c>
      <c r="E164" s="105" t="b">
        <v>0</v>
      </c>
      <c r="F164" s="86">
        <f>SUM(Scores[[#This Row],[Q1]:[Q28]])</f>
        <v>13</v>
      </c>
      <c r="G164" s="4">
        <f>SUM(Scores[[#This Row],[29]]:Scores[[#This Row],[30]])</f>
        <v>0</v>
      </c>
      <c r="H164" s="4">
        <f>SUM(Scores[[#This Row],[31]:[36]])</f>
        <v>6</v>
      </c>
      <c r="I164" s="4">
        <f>Scores[[#This Row],[37]]</f>
        <v>1.5</v>
      </c>
      <c r="J164" s="87">
        <f>INDEX('Conversion Chart'!$C$3:$M$47,MATCH(SUM(Scores[[#This Row],[MC]:[IIIA]]),'Conversion Chart'!$B$3:$B$47),MATCH(Scores[[#This Row],[IIIB]],'Conversion Chart'!$C$2:$M$2))</f>
        <v>58</v>
      </c>
      <c r="K164" s="103">
        <v>4</v>
      </c>
      <c r="L164" s="103">
        <v>4</v>
      </c>
      <c r="M164" s="103">
        <v>3</v>
      </c>
      <c r="N164" s="103">
        <v>2</v>
      </c>
      <c r="O164" s="103">
        <v>3</v>
      </c>
      <c r="P164" s="103">
        <v>2</v>
      </c>
      <c r="Q164" s="103">
        <v>4</v>
      </c>
      <c r="R164" s="103">
        <v>4</v>
      </c>
      <c r="S164" s="103">
        <v>1</v>
      </c>
      <c r="T164" s="103">
        <v>3</v>
      </c>
      <c r="U164" s="103">
        <v>2</v>
      </c>
      <c r="V164" s="103">
        <v>3</v>
      </c>
      <c r="W164" s="103">
        <v>2</v>
      </c>
      <c r="X164" s="103">
        <v>2</v>
      </c>
      <c r="Y164" s="103">
        <v>4</v>
      </c>
      <c r="Z164" s="103">
        <v>1</v>
      </c>
      <c r="AA164" s="103">
        <v>1</v>
      </c>
      <c r="AB164" s="103">
        <v>4</v>
      </c>
      <c r="AC164" s="103">
        <v>3</v>
      </c>
      <c r="AD164" s="103">
        <v>1</v>
      </c>
      <c r="AE164" s="103">
        <v>1</v>
      </c>
      <c r="AF164" s="103">
        <v>2</v>
      </c>
      <c r="AG164" s="103">
        <v>4</v>
      </c>
      <c r="AH164" s="103">
        <v>3</v>
      </c>
      <c r="AI164" s="103">
        <v>3</v>
      </c>
      <c r="AJ164" s="103">
        <v>4</v>
      </c>
      <c r="AK164" s="103">
        <v>1</v>
      </c>
      <c r="AL164" s="104">
        <v>3</v>
      </c>
      <c r="AM164" s="4">
        <v>0</v>
      </c>
      <c r="AN164" s="87">
        <v>0</v>
      </c>
      <c r="AO164" s="4">
        <v>1</v>
      </c>
      <c r="AP164" s="4">
        <v>1</v>
      </c>
      <c r="AQ164" s="4">
        <v>1</v>
      </c>
      <c r="AR164" s="4">
        <v>1</v>
      </c>
      <c r="AS164" s="4">
        <v>1</v>
      </c>
      <c r="AT164" s="4">
        <v>1</v>
      </c>
      <c r="AU164" s="107">
        <v>1.5</v>
      </c>
      <c r="AV164" s="4">
        <f>IF(K164=VLOOKUP(VALUE(K$1),Questions!$A:$E,5,FALSE),1,0)</f>
        <v>1</v>
      </c>
      <c r="AW164" s="4">
        <f>IF(L164=VLOOKUP(VALUE(L$1),Questions!$A:$E,5,FALSE),1,0)</f>
        <v>0</v>
      </c>
      <c r="AX164" s="4">
        <f>IF(M164=VLOOKUP(VALUE(M$1),Questions!$A:$E,5,FALSE),1,0)</f>
        <v>1</v>
      </c>
      <c r="AY164" s="4">
        <f>IF(N164=VLOOKUP(VALUE(N$1),Questions!$A:$E,5,FALSE),1,0)</f>
        <v>0</v>
      </c>
      <c r="AZ164" s="4">
        <f>IF(O164=VLOOKUP(VALUE(O$1),Questions!$A:$E,5,FALSE),1,0)</f>
        <v>0</v>
      </c>
      <c r="BA164" s="4">
        <f>IF(P164=VLOOKUP(VALUE(P$1),Questions!$A:$E,5,FALSE),1,0)</f>
        <v>0</v>
      </c>
      <c r="BB164" s="4">
        <f>IF(Q164=VLOOKUP(VALUE(Q$1),Questions!$A:$E,5,FALSE),1,0)</f>
        <v>0</v>
      </c>
      <c r="BC164" s="4">
        <f>IF(R164=VLOOKUP(VALUE(R$1),Questions!$A:$E,5,FALSE),1,0)</f>
        <v>0</v>
      </c>
      <c r="BD164" s="4">
        <f>IF(S164=VLOOKUP(VALUE(S$1),Questions!$A:$E,5,FALSE),1,0)</f>
        <v>0</v>
      </c>
      <c r="BE164" s="4">
        <f>IF(T164=VLOOKUP(VALUE(T$1),Questions!$A:$E,5,FALSE),1,0)</f>
        <v>0</v>
      </c>
      <c r="BF164" s="4">
        <f>IF(U164=VLOOKUP(VALUE(U$1),Questions!$A:$E,5,FALSE),1,0)</f>
        <v>1</v>
      </c>
      <c r="BG164" s="4">
        <f>IF(V164=VLOOKUP(VALUE(V$1),Questions!$A:$E,5,FALSE),1,0)</f>
        <v>0</v>
      </c>
      <c r="BH164" s="4">
        <f>IF(W164=VLOOKUP(VALUE(W$1),Questions!$A:$E,5,FALSE),1,0)</f>
        <v>1</v>
      </c>
      <c r="BI164" s="4">
        <f>IF(X164=VLOOKUP(VALUE(X$1),Questions!$A:$E,5,FALSE),1,0)</f>
        <v>0</v>
      </c>
      <c r="BJ164" s="4">
        <f>IF(Y164=VLOOKUP(VALUE(Y$1),Questions!$A:$E,5,FALSE),1,0)</f>
        <v>0</v>
      </c>
      <c r="BK164" s="4">
        <f>IF(Z164=VLOOKUP(VALUE(Z$1),Questions!$A:$E,5,FALSE),1,0)</f>
        <v>1</v>
      </c>
      <c r="BL164" s="4">
        <f>IF(AA164=VLOOKUP(VALUE(AA$1),Questions!$A:$E,5,FALSE),1,0)</f>
        <v>1</v>
      </c>
      <c r="BM164" s="4">
        <f>IF(AB164=VLOOKUP(VALUE(AB$1),Questions!$A:$E,5,FALSE),1,0)</f>
        <v>1</v>
      </c>
      <c r="BN164" s="4">
        <f>IF(AC164=VLOOKUP(VALUE(AC$1),Questions!$A:$E,5,FALSE),1,0)</f>
        <v>1</v>
      </c>
      <c r="BO164" s="4">
        <f>IF(AD164=VLOOKUP(VALUE(AD$1),Questions!$A:$E,5,FALSE),1,0)</f>
        <v>0</v>
      </c>
      <c r="BP164" s="4">
        <f>IF(AE164=VLOOKUP(VALUE(AE$1),Questions!$A:$E,5,FALSE),1,0)</f>
        <v>0</v>
      </c>
      <c r="BQ164" s="4">
        <f>IF(AF164=VLOOKUP(VALUE(AF$1),Questions!$A:$E,5,FALSE),1,0)</f>
        <v>1</v>
      </c>
      <c r="BR164" s="4">
        <f>IF(AG164=VLOOKUP(VALUE(AG$1),Questions!$A:$E,5,FALSE),1,0)</f>
        <v>0</v>
      </c>
      <c r="BS164" s="4">
        <f>IF(AH164=VLOOKUP(VALUE(AH$1),Questions!$A:$E,5,FALSE),1,0)</f>
        <v>1</v>
      </c>
      <c r="BT164" s="4">
        <f>IF(AI164=VLOOKUP(VALUE(AI$1),Questions!$A:$E,5,FALSE),1,0)</f>
        <v>0</v>
      </c>
      <c r="BU164" s="4">
        <f>IF(AJ164=VLOOKUP(VALUE(AJ$1),Questions!$A:$E,5,FALSE),1,0)</f>
        <v>1</v>
      </c>
      <c r="BV164" s="4">
        <f>IF(AK164=VLOOKUP(VALUE(AK$1),Questions!$A:$E,5,FALSE),1,0)</f>
        <v>1</v>
      </c>
      <c r="BW164" s="87">
        <f>IF(AL164=VLOOKUP(VALUE(AL$1),Questions!$A:$E,5,FALSE),1,0)</f>
        <v>1</v>
      </c>
      <c r="BX164" s="4">
        <f>IF(Scores[[#This Row],[Final]]&gt;=65,1,0)</f>
        <v>0</v>
      </c>
      <c r="BY164" s="4">
        <f>IF(Scores[[#This Row],[Final]]&gt;=IF(Scores[[#This Row],[IEP]],55,65),1,0)</f>
        <v>0</v>
      </c>
    </row>
    <row r="165" spans="1:77" x14ac:dyDescent="0.2">
      <c r="A165" s="6">
        <v>164</v>
      </c>
      <c r="B165" s="4">
        <v>9</v>
      </c>
      <c r="C165" s="4" t="s">
        <v>963</v>
      </c>
      <c r="D165" s="105" t="b">
        <v>0</v>
      </c>
      <c r="E165" s="105" t="b">
        <v>0</v>
      </c>
      <c r="F165" s="86">
        <f>SUM(Scores[[#This Row],[Q1]:[Q28]])</f>
        <v>21</v>
      </c>
      <c r="G165" s="4">
        <f>SUM(Scores[[#This Row],[29]]:Scores[[#This Row],[30]])</f>
        <v>3</v>
      </c>
      <c r="H165" s="4">
        <f>SUM(Scores[[#This Row],[31]:[36]])</f>
        <v>6</v>
      </c>
      <c r="I165" s="4">
        <f>Scores[[#This Row],[37]]</f>
        <v>3</v>
      </c>
      <c r="J165" s="87">
        <f>INDEX('Conversion Chart'!$C$3:$M$47,MATCH(SUM(Scores[[#This Row],[MC]:[IIIA]]),'Conversion Chart'!$B$3:$B$47),MATCH(Scores[[#This Row],[IIIB]],'Conversion Chart'!$C$2:$M$2))</f>
        <v>77</v>
      </c>
      <c r="K165" s="103">
        <v>4</v>
      </c>
      <c r="L165" s="103">
        <v>2</v>
      </c>
      <c r="M165" s="103">
        <v>3</v>
      </c>
      <c r="N165" s="103">
        <v>3</v>
      </c>
      <c r="O165" s="103">
        <v>1</v>
      </c>
      <c r="P165" s="103">
        <v>1</v>
      </c>
      <c r="Q165" s="103">
        <v>3</v>
      </c>
      <c r="R165" s="103">
        <v>1</v>
      </c>
      <c r="S165" s="103">
        <v>2</v>
      </c>
      <c r="T165" s="103">
        <v>1</v>
      </c>
      <c r="U165" s="103">
        <v>2</v>
      </c>
      <c r="V165" s="103">
        <v>3</v>
      </c>
      <c r="W165" s="103">
        <v>2</v>
      </c>
      <c r="X165" s="103">
        <v>1</v>
      </c>
      <c r="Y165" s="103">
        <v>3</v>
      </c>
      <c r="Z165" s="103">
        <v>4</v>
      </c>
      <c r="AA165" s="103">
        <v>1</v>
      </c>
      <c r="AB165" s="103">
        <v>4</v>
      </c>
      <c r="AC165" s="103">
        <v>3</v>
      </c>
      <c r="AD165" s="103">
        <v>2</v>
      </c>
      <c r="AE165" s="103">
        <v>2</v>
      </c>
      <c r="AF165" s="103">
        <v>2</v>
      </c>
      <c r="AG165" s="103">
        <v>3</v>
      </c>
      <c r="AH165" s="103">
        <v>3</v>
      </c>
      <c r="AI165" s="103">
        <v>1</v>
      </c>
      <c r="AJ165" s="103">
        <v>4</v>
      </c>
      <c r="AK165" s="103">
        <v>4</v>
      </c>
      <c r="AL165" s="104">
        <v>3</v>
      </c>
      <c r="AM165" s="4">
        <v>2</v>
      </c>
      <c r="AN165" s="87">
        <v>1</v>
      </c>
      <c r="AO165" s="4">
        <v>1</v>
      </c>
      <c r="AP165" s="4">
        <v>1</v>
      </c>
      <c r="AQ165" s="4">
        <v>1</v>
      </c>
      <c r="AR165" s="4">
        <v>1</v>
      </c>
      <c r="AS165" s="4">
        <v>1</v>
      </c>
      <c r="AT165" s="4">
        <v>1</v>
      </c>
      <c r="AU165" s="107">
        <v>3</v>
      </c>
      <c r="AV165" s="4">
        <f>IF(K165=VLOOKUP(VALUE(K$1),Questions!$A:$E,5,FALSE),1,0)</f>
        <v>1</v>
      </c>
      <c r="AW165" s="4">
        <f>IF(L165=VLOOKUP(VALUE(L$1),Questions!$A:$E,5,FALSE),1,0)</f>
        <v>1</v>
      </c>
      <c r="AX165" s="4">
        <f>IF(M165=VLOOKUP(VALUE(M$1),Questions!$A:$E,5,FALSE),1,0)</f>
        <v>1</v>
      </c>
      <c r="AY165" s="4">
        <f>IF(N165=VLOOKUP(VALUE(N$1),Questions!$A:$E,5,FALSE),1,0)</f>
        <v>1</v>
      </c>
      <c r="AZ165" s="4">
        <f>IF(O165=VLOOKUP(VALUE(O$1),Questions!$A:$E,5,FALSE),1,0)</f>
        <v>1</v>
      </c>
      <c r="BA165" s="4">
        <f>IF(P165=VLOOKUP(VALUE(P$1),Questions!$A:$E,5,FALSE),1,0)</f>
        <v>0</v>
      </c>
      <c r="BB165" s="4">
        <f>IF(Q165=VLOOKUP(VALUE(Q$1),Questions!$A:$E,5,FALSE),1,0)</f>
        <v>1</v>
      </c>
      <c r="BC165" s="4">
        <f>IF(R165=VLOOKUP(VALUE(R$1),Questions!$A:$E,5,FALSE),1,0)</f>
        <v>0</v>
      </c>
      <c r="BD165" s="4">
        <f>IF(S165=VLOOKUP(VALUE(S$1),Questions!$A:$E,5,FALSE),1,0)</f>
        <v>1</v>
      </c>
      <c r="BE165" s="4">
        <f>IF(T165=VLOOKUP(VALUE(T$1),Questions!$A:$E,5,FALSE),1,0)</f>
        <v>1</v>
      </c>
      <c r="BF165" s="4">
        <f>IF(U165=VLOOKUP(VALUE(U$1),Questions!$A:$E,5,FALSE),1,0)</f>
        <v>1</v>
      </c>
      <c r="BG165" s="4">
        <f>IF(V165=VLOOKUP(VALUE(V$1),Questions!$A:$E,5,FALSE),1,0)</f>
        <v>0</v>
      </c>
      <c r="BH165" s="4">
        <f>IF(W165=VLOOKUP(VALUE(W$1),Questions!$A:$E,5,FALSE),1,0)</f>
        <v>1</v>
      </c>
      <c r="BI165" s="4">
        <f>IF(X165=VLOOKUP(VALUE(X$1),Questions!$A:$E,5,FALSE),1,0)</f>
        <v>0</v>
      </c>
      <c r="BJ165" s="4">
        <f>IF(Y165=VLOOKUP(VALUE(Y$1),Questions!$A:$E,5,FALSE),1,0)</f>
        <v>1</v>
      </c>
      <c r="BK165" s="4">
        <f>IF(Z165=VLOOKUP(VALUE(Z$1),Questions!$A:$E,5,FALSE),1,0)</f>
        <v>0</v>
      </c>
      <c r="BL165" s="4">
        <f>IF(AA165=VLOOKUP(VALUE(AA$1),Questions!$A:$E,5,FALSE),1,0)</f>
        <v>1</v>
      </c>
      <c r="BM165" s="4">
        <f>IF(AB165=VLOOKUP(VALUE(AB$1),Questions!$A:$E,5,FALSE),1,0)</f>
        <v>1</v>
      </c>
      <c r="BN165" s="4">
        <f>IF(AC165=VLOOKUP(VALUE(AC$1),Questions!$A:$E,5,FALSE),1,0)</f>
        <v>1</v>
      </c>
      <c r="BO165" s="4">
        <f>IF(AD165=VLOOKUP(VALUE(AD$1),Questions!$A:$E,5,FALSE),1,0)</f>
        <v>0</v>
      </c>
      <c r="BP165" s="4">
        <f>IF(AE165=VLOOKUP(VALUE(AE$1),Questions!$A:$E,5,FALSE),1,0)</f>
        <v>1</v>
      </c>
      <c r="BQ165" s="4">
        <f>IF(AF165=VLOOKUP(VALUE(AF$1),Questions!$A:$E,5,FALSE),1,0)</f>
        <v>1</v>
      </c>
      <c r="BR165" s="4">
        <f>IF(AG165=VLOOKUP(VALUE(AG$1),Questions!$A:$E,5,FALSE),1,0)</f>
        <v>1</v>
      </c>
      <c r="BS165" s="4">
        <f>IF(AH165=VLOOKUP(VALUE(AH$1),Questions!$A:$E,5,FALSE),1,0)</f>
        <v>1</v>
      </c>
      <c r="BT165" s="4">
        <f>IF(AI165=VLOOKUP(VALUE(AI$1),Questions!$A:$E,5,FALSE),1,0)</f>
        <v>1</v>
      </c>
      <c r="BU165" s="4">
        <f>IF(AJ165=VLOOKUP(VALUE(AJ$1),Questions!$A:$E,5,FALSE),1,0)</f>
        <v>1</v>
      </c>
      <c r="BV165" s="4">
        <f>IF(AK165=VLOOKUP(VALUE(AK$1),Questions!$A:$E,5,FALSE),1,0)</f>
        <v>0</v>
      </c>
      <c r="BW165" s="87">
        <f>IF(AL165=VLOOKUP(VALUE(AL$1),Questions!$A:$E,5,FALSE),1,0)</f>
        <v>1</v>
      </c>
      <c r="BX165" s="4">
        <f>IF(Scores[[#This Row],[Final]]&gt;=65,1,0)</f>
        <v>1</v>
      </c>
      <c r="BY165" s="4">
        <f>IF(Scores[[#This Row],[Final]]&gt;=IF(Scores[[#This Row],[IEP]],55,65),1,0)</f>
        <v>1</v>
      </c>
    </row>
    <row r="166" spans="1:77" x14ac:dyDescent="0.2">
      <c r="A166" s="6">
        <v>165</v>
      </c>
      <c r="B166" s="4">
        <v>11</v>
      </c>
      <c r="C166" s="4" t="s">
        <v>962</v>
      </c>
      <c r="D166" s="105" t="b">
        <v>1</v>
      </c>
      <c r="E166" s="105" t="b">
        <v>1</v>
      </c>
      <c r="F166" s="86">
        <f>SUM(Scores[[#This Row],[Q1]:[Q28]])</f>
        <v>13</v>
      </c>
      <c r="G166" s="4">
        <f>SUM(Scores[[#This Row],[29]]:Scores[[#This Row],[30]])</f>
        <v>3</v>
      </c>
      <c r="H166" s="4">
        <f>SUM(Scores[[#This Row],[31]:[36]])</f>
        <v>5</v>
      </c>
      <c r="I166" s="4">
        <f>Scores[[#This Row],[37]]</f>
        <v>1.5</v>
      </c>
      <c r="J166" s="87">
        <f>INDEX('Conversion Chart'!$C$3:$M$47,MATCH(SUM(Scores[[#This Row],[MC]:[IIIA]]),'Conversion Chart'!$B$3:$B$47),MATCH(Scores[[#This Row],[IIIB]],'Conversion Chart'!$C$2:$M$2))</f>
        <v>60</v>
      </c>
      <c r="K166" s="103">
        <v>4</v>
      </c>
      <c r="L166" s="103">
        <v>4</v>
      </c>
      <c r="M166" s="103">
        <v>2</v>
      </c>
      <c r="N166" s="103">
        <v>1</v>
      </c>
      <c r="O166" s="103">
        <v>2</v>
      </c>
      <c r="P166" s="103">
        <v>4</v>
      </c>
      <c r="Q166" s="103">
        <v>1</v>
      </c>
      <c r="R166" s="103">
        <v>2</v>
      </c>
      <c r="S166" s="103">
        <v>1</v>
      </c>
      <c r="T166" s="103">
        <v>1</v>
      </c>
      <c r="U166" s="103">
        <v>2</v>
      </c>
      <c r="V166" s="103">
        <v>4</v>
      </c>
      <c r="W166" s="103">
        <v>2</v>
      </c>
      <c r="X166" s="103">
        <v>1</v>
      </c>
      <c r="Y166" s="103">
        <v>1</v>
      </c>
      <c r="Z166" s="103">
        <v>2</v>
      </c>
      <c r="AA166" s="103">
        <v>1</v>
      </c>
      <c r="AB166" s="103">
        <v>3</v>
      </c>
      <c r="AC166" s="103">
        <v>3</v>
      </c>
      <c r="AD166" s="103">
        <v>2</v>
      </c>
      <c r="AE166" s="103">
        <v>2</v>
      </c>
      <c r="AF166" s="103">
        <v>2</v>
      </c>
      <c r="AG166" s="103">
        <v>4</v>
      </c>
      <c r="AH166" s="103">
        <v>3</v>
      </c>
      <c r="AI166" s="103">
        <v>1</v>
      </c>
      <c r="AJ166" s="103">
        <v>1</v>
      </c>
      <c r="AK166" s="103">
        <v>4</v>
      </c>
      <c r="AL166" s="104">
        <v>4</v>
      </c>
      <c r="AM166" s="4">
        <v>1</v>
      </c>
      <c r="AN166" s="87">
        <v>2</v>
      </c>
      <c r="AO166" s="4">
        <v>0</v>
      </c>
      <c r="AP166" s="4">
        <v>1</v>
      </c>
      <c r="AQ166" s="4">
        <v>1</v>
      </c>
      <c r="AR166" s="4">
        <v>1</v>
      </c>
      <c r="AS166" s="4">
        <v>1</v>
      </c>
      <c r="AT166" s="4">
        <v>1</v>
      </c>
      <c r="AU166" s="107">
        <v>1.5</v>
      </c>
      <c r="AV166" s="4">
        <f>IF(K166=VLOOKUP(VALUE(K$1),Questions!$A:$E,5,FALSE),1,0)</f>
        <v>1</v>
      </c>
      <c r="AW166" s="4">
        <f>IF(L166=VLOOKUP(VALUE(L$1),Questions!$A:$E,5,FALSE),1,0)</f>
        <v>0</v>
      </c>
      <c r="AX166" s="4">
        <f>IF(M166=VLOOKUP(VALUE(M$1),Questions!$A:$E,5,FALSE),1,0)</f>
        <v>0</v>
      </c>
      <c r="AY166" s="4">
        <f>IF(N166=VLOOKUP(VALUE(N$1),Questions!$A:$E,5,FALSE),1,0)</f>
        <v>0</v>
      </c>
      <c r="AZ166" s="4">
        <f>IF(O166=VLOOKUP(VALUE(O$1),Questions!$A:$E,5,FALSE),1,0)</f>
        <v>0</v>
      </c>
      <c r="BA166" s="4">
        <f>IF(P166=VLOOKUP(VALUE(P$1),Questions!$A:$E,5,FALSE),1,0)</f>
        <v>1</v>
      </c>
      <c r="BB166" s="4">
        <f>IF(Q166=VLOOKUP(VALUE(Q$1),Questions!$A:$E,5,FALSE),1,0)</f>
        <v>0</v>
      </c>
      <c r="BC166" s="4">
        <f>IF(R166=VLOOKUP(VALUE(R$1),Questions!$A:$E,5,FALSE),1,0)</f>
        <v>1</v>
      </c>
      <c r="BD166" s="4">
        <f>IF(S166=VLOOKUP(VALUE(S$1),Questions!$A:$E,5,FALSE),1,0)</f>
        <v>0</v>
      </c>
      <c r="BE166" s="4">
        <f>IF(T166=VLOOKUP(VALUE(T$1),Questions!$A:$E,5,FALSE),1,0)</f>
        <v>1</v>
      </c>
      <c r="BF166" s="4">
        <f>IF(U166=VLOOKUP(VALUE(U$1),Questions!$A:$E,5,FALSE),1,0)</f>
        <v>1</v>
      </c>
      <c r="BG166" s="4">
        <f>IF(V166=VLOOKUP(VALUE(V$1),Questions!$A:$E,5,FALSE),1,0)</f>
        <v>1</v>
      </c>
      <c r="BH166" s="4">
        <f>IF(W166=VLOOKUP(VALUE(W$1),Questions!$A:$E,5,FALSE),1,0)</f>
        <v>1</v>
      </c>
      <c r="BI166" s="4">
        <f>IF(X166=VLOOKUP(VALUE(X$1),Questions!$A:$E,5,FALSE),1,0)</f>
        <v>0</v>
      </c>
      <c r="BJ166" s="4">
        <f>IF(Y166=VLOOKUP(VALUE(Y$1),Questions!$A:$E,5,FALSE),1,0)</f>
        <v>0</v>
      </c>
      <c r="BK166" s="4">
        <f>IF(Z166=VLOOKUP(VALUE(Z$1),Questions!$A:$E,5,FALSE),1,0)</f>
        <v>0</v>
      </c>
      <c r="BL166" s="4">
        <f>IF(AA166=VLOOKUP(VALUE(AA$1),Questions!$A:$E,5,FALSE),1,0)</f>
        <v>1</v>
      </c>
      <c r="BM166" s="4">
        <f>IF(AB166=VLOOKUP(VALUE(AB$1),Questions!$A:$E,5,FALSE),1,0)</f>
        <v>0</v>
      </c>
      <c r="BN166" s="4">
        <f>IF(AC166=VLOOKUP(VALUE(AC$1),Questions!$A:$E,5,FALSE),1,0)</f>
        <v>1</v>
      </c>
      <c r="BO166" s="4">
        <f>IF(AD166=VLOOKUP(VALUE(AD$1),Questions!$A:$E,5,FALSE),1,0)</f>
        <v>0</v>
      </c>
      <c r="BP166" s="4">
        <f>IF(AE166=VLOOKUP(VALUE(AE$1),Questions!$A:$E,5,FALSE),1,0)</f>
        <v>1</v>
      </c>
      <c r="BQ166" s="4">
        <f>IF(AF166=VLOOKUP(VALUE(AF$1),Questions!$A:$E,5,FALSE),1,0)</f>
        <v>1</v>
      </c>
      <c r="BR166" s="4">
        <f>IF(AG166=VLOOKUP(VALUE(AG$1),Questions!$A:$E,5,FALSE),1,0)</f>
        <v>0</v>
      </c>
      <c r="BS166" s="4">
        <f>IF(AH166=VLOOKUP(VALUE(AH$1),Questions!$A:$E,5,FALSE),1,0)</f>
        <v>1</v>
      </c>
      <c r="BT166" s="4">
        <f>IF(AI166=VLOOKUP(VALUE(AI$1),Questions!$A:$E,5,FALSE),1,0)</f>
        <v>1</v>
      </c>
      <c r="BU166" s="4">
        <f>IF(AJ166=VLOOKUP(VALUE(AJ$1),Questions!$A:$E,5,FALSE),1,0)</f>
        <v>0</v>
      </c>
      <c r="BV166" s="4">
        <f>IF(AK166=VLOOKUP(VALUE(AK$1),Questions!$A:$E,5,FALSE),1,0)</f>
        <v>0</v>
      </c>
      <c r="BW166" s="87">
        <f>IF(AL166=VLOOKUP(VALUE(AL$1),Questions!$A:$E,5,FALSE),1,0)</f>
        <v>0</v>
      </c>
      <c r="BX166" s="4">
        <f>IF(Scores[[#This Row],[Final]]&gt;=65,1,0)</f>
        <v>0</v>
      </c>
      <c r="BY166" s="4">
        <f>IF(Scores[[#This Row],[Final]]&gt;=IF(Scores[[#This Row],[IEP]],55,65),1,0)</f>
        <v>1</v>
      </c>
    </row>
    <row r="167" spans="1:77" x14ac:dyDescent="0.2">
      <c r="A167" s="6">
        <v>166</v>
      </c>
      <c r="B167" s="4">
        <v>11</v>
      </c>
      <c r="C167" s="4" t="s">
        <v>962</v>
      </c>
      <c r="D167" s="105" t="b">
        <v>0</v>
      </c>
      <c r="E167" s="105" t="b">
        <v>0</v>
      </c>
      <c r="F167" s="86">
        <f>SUM(Scores[[#This Row],[Q1]:[Q28]])</f>
        <v>14</v>
      </c>
      <c r="G167" s="4">
        <f>SUM(Scores[[#This Row],[29]]:Scores[[#This Row],[30]])</f>
        <v>1</v>
      </c>
      <c r="H167" s="4">
        <f>SUM(Scores[[#This Row],[31]:[36]])</f>
        <v>6</v>
      </c>
      <c r="I167" s="4">
        <f>Scores[[#This Row],[37]]</f>
        <v>1</v>
      </c>
      <c r="J167" s="87">
        <f>INDEX('Conversion Chart'!$C$3:$M$47,MATCH(SUM(Scores[[#This Row],[MC]:[IIIA]]),'Conversion Chart'!$B$3:$B$47),MATCH(Scores[[#This Row],[IIIB]],'Conversion Chart'!$C$2:$M$2))</f>
        <v>58</v>
      </c>
      <c r="K167" s="103">
        <v>4</v>
      </c>
      <c r="L167" s="103">
        <v>2</v>
      </c>
      <c r="M167" s="103">
        <v>3</v>
      </c>
      <c r="N167" s="103">
        <v>1</v>
      </c>
      <c r="O167" s="103">
        <v>1</v>
      </c>
      <c r="P167" s="103">
        <v>3</v>
      </c>
      <c r="Q167" s="103">
        <v>2</v>
      </c>
      <c r="R167" s="103">
        <v>2</v>
      </c>
      <c r="S167" s="103">
        <v>2</v>
      </c>
      <c r="T167" s="103">
        <v>1</v>
      </c>
      <c r="U167" s="103">
        <v>2</v>
      </c>
      <c r="V167" s="103">
        <v>4</v>
      </c>
      <c r="W167" s="103">
        <v>3</v>
      </c>
      <c r="X167" s="103">
        <v>2</v>
      </c>
      <c r="Y167" s="103">
        <v>1</v>
      </c>
      <c r="Z167" s="103">
        <v>1</v>
      </c>
      <c r="AA167" s="103">
        <v>1</v>
      </c>
      <c r="AB167" s="103">
        <v>4</v>
      </c>
      <c r="AC167" s="103">
        <v>2</v>
      </c>
      <c r="AD167" s="103">
        <v>2</v>
      </c>
      <c r="AE167" s="103">
        <v>1</v>
      </c>
      <c r="AF167" s="103">
        <v>2</v>
      </c>
      <c r="AG167" s="103">
        <v>2</v>
      </c>
      <c r="AH167" s="103">
        <v>4</v>
      </c>
      <c r="AI167" s="103">
        <v>4</v>
      </c>
      <c r="AJ167" s="103">
        <v>2</v>
      </c>
      <c r="AK167" s="103">
        <v>4</v>
      </c>
      <c r="AL167" s="104">
        <v>3</v>
      </c>
      <c r="AM167" s="4">
        <v>1</v>
      </c>
      <c r="AN167" s="87">
        <v>0</v>
      </c>
      <c r="AO167" s="4">
        <v>1</v>
      </c>
      <c r="AP167" s="4">
        <v>1</v>
      </c>
      <c r="AQ167" s="4">
        <v>1</v>
      </c>
      <c r="AR167" s="4">
        <v>1</v>
      </c>
      <c r="AS167" s="4">
        <v>1</v>
      </c>
      <c r="AT167" s="4">
        <v>1</v>
      </c>
      <c r="AU167" s="107">
        <v>1</v>
      </c>
      <c r="AV167" s="4">
        <f>IF(K167=VLOOKUP(VALUE(K$1),Questions!$A:$E,5,FALSE),1,0)</f>
        <v>1</v>
      </c>
      <c r="AW167" s="4">
        <f>IF(L167=VLOOKUP(VALUE(L$1),Questions!$A:$E,5,FALSE),1,0)</f>
        <v>1</v>
      </c>
      <c r="AX167" s="4">
        <f>IF(M167=VLOOKUP(VALUE(M$1),Questions!$A:$E,5,FALSE),1,0)</f>
        <v>1</v>
      </c>
      <c r="AY167" s="4">
        <f>IF(N167=VLOOKUP(VALUE(N$1),Questions!$A:$E,5,FALSE),1,0)</f>
        <v>0</v>
      </c>
      <c r="AZ167" s="4">
        <f>IF(O167=VLOOKUP(VALUE(O$1),Questions!$A:$E,5,FALSE),1,0)</f>
        <v>1</v>
      </c>
      <c r="BA167" s="4">
        <f>IF(P167=VLOOKUP(VALUE(P$1),Questions!$A:$E,5,FALSE),1,0)</f>
        <v>0</v>
      </c>
      <c r="BB167" s="4">
        <f>IF(Q167=VLOOKUP(VALUE(Q$1),Questions!$A:$E,5,FALSE),1,0)</f>
        <v>0</v>
      </c>
      <c r="BC167" s="4">
        <f>IF(R167=VLOOKUP(VALUE(R$1),Questions!$A:$E,5,FALSE),1,0)</f>
        <v>1</v>
      </c>
      <c r="BD167" s="4">
        <f>IF(S167=VLOOKUP(VALUE(S$1),Questions!$A:$E,5,FALSE),1,0)</f>
        <v>1</v>
      </c>
      <c r="BE167" s="4">
        <f>IF(T167=VLOOKUP(VALUE(T$1),Questions!$A:$E,5,FALSE),1,0)</f>
        <v>1</v>
      </c>
      <c r="BF167" s="4">
        <f>IF(U167=VLOOKUP(VALUE(U$1),Questions!$A:$E,5,FALSE),1,0)</f>
        <v>1</v>
      </c>
      <c r="BG167" s="4">
        <f>IF(V167=VLOOKUP(VALUE(V$1),Questions!$A:$E,5,FALSE),1,0)</f>
        <v>1</v>
      </c>
      <c r="BH167" s="4">
        <f>IF(W167=VLOOKUP(VALUE(W$1),Questions!$A:$E,5,FALSE),1,0)</f>
        <v>0</v>
      </c>
      <c r="BI167" s="4">
        <f>IF(X167=VLOOKUP(VALUE(X$1),Questions!$A:$E,5,FALSE),1,0)</f>
        <v>0</v>
      </c>
      <c r="BJ167" s="4">
        <f>IF(Y167=VLOOKUP(VALUE(Y$1),Questions!$A:$E,5,FALSE),1,0)</f>
        <v>0</v>
      </c>
      <c r="BK167" s="4">
        <f>IF(Z167=VLOOKUP(VALUE(Z$1),Questions!$A:$E,5,FALSE),1,0)</f>
        <v>1</v>
      </c>
      <c r="BL167" s="4">
        <f>IF(AA167=VLOOKUP(VALUE(AA$1),Questions!$A:$E,5,FALSE),1,0)</f>
        <v>1</v>
      </c>
      <c r="BM167" s="4">
        <f>IF(AB167=VLOOKUP(VALUE(AB$1),Questions!$A:$E,5,FALSE),1,0)</f>
        <v>1</v>
      </c>
      <c r="BN167" s="4">
        <f>IF(AC167=VLOOKUP(VALUE(AC$1),Questions!$A:$E,5,FALSE),1,0)</f>
        <v>0</v>
      </c>
      <c r="BO167" s="4">
        <f>IF(AD167=VLOOKUP(VALUE(AD$1),Questions!$A:$E,5,FALSE),1,0)</f>
        <v>0</v>
      </c>
      <c r="BP167" s="4">
        <f>IF(AE167=VLOOKUP(VALUE(AE$1),Questions!$A:$E,5,FALSE),1,0)</f>
        <v>0</v>
      </c>
      <c r="BQ167" s="4">
        <f>IF(AF167=VLOOKUP(VALUE(AF$1),Questions!$A:$E,5,FALSE),1,0)</f>
        <v>1</v>
      </c>
      <c r="BR167" s="4">
        <f>IF(AG167=VLOOKUP(VALUE(AG$1),Questions!$A:$E,5,FALSE),1,0)</f>
        <v>0</v>
      </c>
      <c r="BS167" s="4">
        <f>IF(AH167=VLOOKUP(VALUE(AH$1),Questions!$A:$E,5,FALSE),1,0)</f>
        <v>0</v>
      </c>
      <c r="BT167" s="4">
        <f>IF(AI167=VLOOKUP(VALUE(AI$1),Questions!$A:$E,5,FALSE),1,0)</f>
        <v>0</v>
      </c>
      <c r="BU167" s="4">
        <f>IF(AJ167=VLOOKUP(VALUE(AJ$1),Questions!$A:$E,5,FALSE),1,0)</f>
        <v>0</v>
      </c>
      <c r="BV167" s="4">
        <f>IF(AK167=VLOOKUP(VALUE(AK$1),Questions!$A:$E,5,FALSE),1,0)</f>
        <v>0</v>
      </c>
      <c r="BW167" s="87">
        <f>IF(AL167=VLOOKUP(VALUE(AL$1),Questions!$A:$E,5,FALSE),1,0)</f>
        <v>1</v>
      </c>
      <c r="BX167" s="4">
        <f>IF(Scores[[#This Row],[Final]]&gt;=65,1,0)</f>
        <v>0</v>
      </c>
      <c r="BY167" s="4">
        <f>IF(Scores[[#This Row],[Final]]&gt;=IF(Scores[[#This Row],[IEP]],55,65),1,0)</f>
        <v>0</v>
      </c>
    </row>
    <row r="168" spans="1:77" x14ac:dyDescent="0.2">
      <c r="A168" s="6">
        <v>167</v>
      </c>
      <c r="B168" s="4">
        <v>9</v>
      </c>
      <c r="C168" s="4" t="s">
        <v>963</v>
      </c>
      <c r="D168" s="105" t="b">
        <v>0</v>
      </c>
      <c r="E168" s="105" t="b">
        <v>0</v>
      </c>
      <c r="F168" s="86">
        <f>SUM(Scores[[#This Row],[Q1]:[Q28]])</f>
        <v>17</v>
      </c>
      <c r="G168" s="4">
        <f>SUM(Scores[[#This Row],[29]]:Scores[[#This Row],[30]])</f>
        <v>8</v>
      </c>
      <c r="H168" s="4">
        <f>SUM(Scores[[#This Row],[31]:[36]])</f>
        <v>6</v>
      </c>
      <c r="I168" s="4">
        <f>Scores[[#This Row],[37]]</f>
        <v>3</v>
      </c>
      <c r="J168" s="87">
        <f>INDEX('Conversion Chart'!$C$3:$M$47,MATCH(SUM(Scores[[#This Row],[MC]:[IIIA]]),'Conversion Chart'!$B$3:$B$47),MATCH(Scores[[#This Row],[IIIB]],'Conversion Chart'!$C$2:$M$2))</f>
        <v>77</v>
      </c>
      <c r="K168" s="103">
        <v>4</v>
      </c>
      <c r="L168" s="103">
        <v>2</v>
      </c>
      <c r="M168" s="103">
        <v>3</v>
      </c>
      <c r="N168" s="103">
        <v>1</v>
      </c>
      <c r="O168" s="103">
        <v>1</v>
      </c>
      <c r="P168" s="103">
        <v>3</v>
      </c>
      <c r="Q168" s="103">
        <v>3</v>
      </c>
      <c r="R168" s="103">
        <v>2</v>
      </c>
      <c r="S168" s="103">
        <v>2</v>
      </c>
      <c r="T168" s="103">
        <v>1</v>
      </c>
      <c r="U168" s="103">
        <v>2</v>
      </c>
      <c r="V168" s="103">
        <v>4</v>
      </c>
      <c r="W168" s="103">
        <v>2</v>
      </c>
      <c r="X168" s="103">
        <v>4</v>
      </c>
      <c r="Y168" s="103">
        <v>4</v>
      </c>
      <c r="Z168" s="103">
        <v>2</v>
      </c>
      <c r="AA168" s="103">
        <v>2</v>
      </c>
      <c r="AB168" s="103">
        <v>1</v>
      </c>
      <c r="AC168" s="103">
        <v>3</v>
      </c>
      <c r="AD168" s="103">
        <v>1</v>
      </c>
      <c r="AE168" s="103">
        <v>4</v>
      </c>
      <c r="AF168" s="103">
        <v>2</v>
      </c>
      <c r="AG168" s="103">
        <v>4</v>
      </c>
      <c r="AH168" s="103">
        <v>3</v>
      </c>
      <c r="AI168" s="103">
        <v>1</v>
      </c>
      <c r="AJ168" s="103">
        <v>2</v>
      </c>
      <c r="AK168" s="103">
        <v>4</v>
      </c>
      <c r="AL168" s="104">
        <v>3</v>
      </c>
      <c r="AM168" s="4">
        <v>4</v>
      </c>
      <c r="AN168" s="87">
        <v>4</v>
      </c>
      <c r="AO168" s="4">
        <v>1</v>
      </c>
      <c r="AP168" s="4">
        <v>1</v>
      </c>
      <c r="AQ168" s="4">
        <v>1</v>
      </c>
      <c r="AR168" s="4">
        <v>1</v>
      </c>
      <c r="AS168" s="4">
        <v>1</v>
      </c>
      <c r="AT168" s="4">
        <v>1</v>
      </c>
      <c r="AU168" s="107">
        <v>3</v>
      </c>
      <c r="AV168" s="4">
        <f>IF(K168=VLOOKUP(VALUE(K$1),Questions!$A:$E,5,FALSE),1,0)</f>
        <v>1</v>
      </c>
      <c r="AW168" s="4">
        <f>IF(L168=VLOOKUP(VALUE(L$1),Questions!$A:$E,5,FALSE),1,0)</f>
        <v>1</v>
      </c>
      <c r="AX168" s="4">
        <f>IF(M168=VLOOKUP(VALUE(M$1),Questions!$A:$E,5,FALSE),1,0)</f>
        <v>1</v>
      </c>
      <c r="AY168" s="4">
        <f>IF(N168=VLOOKUP(VALUE(N$1),Questions!$A:$E,5,FALSE),1,0)</f>
        <v>0</v>
      </c>
      <c r="AZ168" s="4">
        <f>IF(O168=VLOOKUP(VALUE(O$1),Questions!$A:$E,5,FALSE),1,0)</f>
        <v>1</v>
      </c>
      <c r="BA168" s="4">
        <f>IF(P168=VLOOKUP(VALUE(P$1),Questions!$A:$E,5,FALSE),1,0)</f>
        <v>0</v>
      </c>
      <c r="BB168" s="4">
        <f>IF(Q168=VLOOKUP(VALUE(Q$1),Questions!$A:$E,5,FALSE),1,0)</f>
        <v>1</v>
      </c>
      <c r="BC168" s="4">
        <f>IF(R168=VLOOKUP(VALUE(R$1),Questions!$A:$E,5,FALSE),1,0)</f>
        <v>1</v>
      </c>
      <c r="BD168" s="4">
        <f>IF(S168=VLOOKUP(VALUE(S$1),Questions!$A:$E,5,FALSE),1,0)</f>
        <v>1</v>
      </c>
      <c r="BE168" s="4">
        <f>IF(T168=VLOOKUP(VALUE(T$1),Questions!$A:$E,5,FALSE),1,0)</f>
        <v>1</v>
      </c>
      <c r="BF168" s="4">
        <f>IF(U168=VLOOKUP(VALUE(U$1),Questions!$A:$E,5,FALSE),1,0)</f>
        <v>1</v>
      </c>
      <c r="BG168" s="4">
        <f>IF(V168=VLOOKUP(VALUE(V$1),Questions!$A:$E,5,FALSE),1,0)</f>
        <v>1</v>
      </c>
      <c r="BH168" s="4">
        <f>IF(W168=VLOOKUP(VALUE(W$1),Questions!$A:$E,5,FALSE),1,0)</f>
        <v>1</v>
      </c>
      <c r="BI168" s="4">
        <f>IF(X168=VLOOKUP(VALUE(X$1),Questions!$A:$E,5,FALSE),1,0)</f>
        <v>1</v>
      </c>
      <c r="BJ168" s="4">
        <f>IF(Y168=VLOOKUP(VALUE(Y$1),Questions!$A:$E,5,FALSE),1,0)</f>
        <v>0</v>
      </c>
      <c r="BK168" s="4">
        <f>IF(Z168=VLOOKUP(VALUE(Z$1),Questions!$A:$E,5,FALSE),1,0)</f>
        <v>0</v>
      </c>
      <c r="BL168" s="4">
        <f>IF(AA168=VLOOKUP(VALUE(AA$1),Questions!$A:$E,5,FALSE),1,0)</f>
        <v>0</v>
      </c>
      <c r="BM168" s="4">
        <f>IF(AB168=VLOOKUP(VALUE(AB$1),Questions!$A:$E,5,FALSE),1,0)</f>
        <v>0</v>
      </c>
      <c r="BN168" s="4">
        <f>IF(AC168=VLOOKUP(VALUE(AC$1),Questions!$A:$E,5,FALSE),1,0)</f>
        <v>1</v>
      </c>
      <c r="BO168" s="4">
        <f>IF(AD168=VLOOKUP(VALUE(AD$1),Questions!$A:$E,5,FALSE),1,0)</f>
        <v>0</v>
      </c>
      <c r="BP168" s="4">
        <f>IF(AE168=VLOOKUP(VALUE(AE$1),Questions!$A:$E,5,FALSE),1,0)</f>
        <v>0</v>
      </c>
      <c r="BQ168" s="4">
        <f>IF(AF168=VLOOKUP(VALUE(AF$1),Questions!$A:$E,5,FALSE),1,0)</f>
        <v>1</v>
      </c>
      <c r="BR168" s="4">
        <f>IF(AG168=VLOOKUP(VALUE(AG$1),Questions!$A:$E,5,FALSE),1,0)</f>
        <v>0</v>
      </c>
      <c r="BS168" s="4">
        <f>IF(AH168=VLOOKUP(VALUE(AH$1),Questions!$A:$E,5,FALSE),1,0)</f>
        <v>1</v>
      </c>
      <c r="BT168" s="4">
        <f>IF(AI168=VLOOKUP(VALUE(AI$1),Questions!$A:$E,5,FALSE),1,0)</f>
        <v>1</v>
      </c>
      <c r="BU168" s="4">
        <f>IF(AJ168=VLOOKUP(VALUE(AJ$1),Questions!$A:$E,5,FALSE),1,0)</f>
        <v>0</v>
      </c>
      <c r="BV168" s="4">
        <f>IF(AK168=VLOOKUP(VALUE(AK$1),Questions!$A:$E,5,FALSE),1,0)</f>
        <v>0</v>
      </c>
      <c r="BW168" s="87">
        <f>IF(AL168=VLOOKUP(VALUE(AL$1),Questions!$A:$E,5,FALSE),1,0)</f>
        <v>1</v>
      </c>
      <c r="BX168" s="4">
        <f>IF(Scores[[#This Row],[Final]]&gt;=65,1,0)</f>
        <v>1</v>
      </c>
      <c r="BY168" s="4">
        <f>IF(Scores[[#This Row],[Final]]&gt;=IF(Scores[[#This Row],[IEP]],55,65),1,0)</f>
        <v>1</v>
      </c>
    </row>
    <row r="169" spans="1:77" x14ac:dyDescent="0.2">
      <c r="A169" s="6">
        <v>168</v>
      </c>
      <c r="B169" s="4">
        <v>11</v>
      </c>
      <c r="C169" s="4" t="s">
        <v>962</v>
      </c>
      <c r="D169" s="105" t="b">
        <v>0</v>
      </c>
      <c r="E169" s="105" t="b">
        <v>0</v>
      </c>
      <c r="F169" s="86">
        <f>SUM(Scores[[#This Row],[Q1]:[Q28]])</f>
        <v>15</v>
      </c>
      <c r="G169" s="4">
        <f>SUM(Scores[[#This Row],[29]]:Scores[[#This Row],[30]])</f>
        <v>3</v>
      </c>
      <c r="H169" s="4">
        <f>SUM(Scores[[#This Row],[31]:[36]])</f>
        <v>4</v>
      </c>
      <c r="I169" s="4">
        <f>Scores[[#This Row],[37]]</f>
        <v>1</v>
      </c>
      <c r="J169" s="87">
        <f>INDEX('Conversion Chart'!$C$3:$M$47,MATCH(SUM(Scores[[#This Row],[MC]:[IIIA]]),'Conversion Chart'!$B$3:$B$47),MATCH(Scores[[#This Row],[IIIB]],'Conversion Chart'!$C$2:$M$2))</f>
        <v>60</v>
      </c>
      <c r="K169" s="103">
        <v>4</v>
      </c>
      <c r="L169" s="103">
        <v>3</v>
      </c>
      <c r="M169" s="103">
        <v>3</v>
      </c>
      <c r="N169" s="103">
        <v>1</v>
      </c>
      <c r="O169" s="103">
        <v>2</v>
      </c>
      <c r="P169" s="103">
        <v>3</v>
      </c>
      <c r="Q169" s="103">
        <v>2</v>
      </c>
      <c r="R169" s="103">
        <v>3</v>
      </c>
      <c r="S169" s="103">
        <v>2</v>
      </c>
      <c r="T169" s="103">
        <v>1</v>
      </c>
      <c r="U169" s="103">
        <v>2</v>
      </c>
      <c r="V169" s="103">
        <v>4</v>
      </c>
      <c r="W169" s="103">
        <v>2</v>
      </c>
      <c r="X169" s="103">
        <v>4</v>
      </c>
      <c r="Y169" s="103">
        <v>1</v>
      </c>
      <c r="Z169" s="103">
        <v>4</v>
      </c>
      <c r="AA169" s="103">
        <v>3</v>
      </c>
      <c r="AB169" s="103">
        <v>1</v>
      </c>
      <c r="AC169" s="103">
        <v>3</v>
      </c>
      <c r="AD169" s="103">
        <v>2</v>
      </c>
      <c r="AE169" s="103">
        <v>2</v>
      </c>
      <c r="AF169" s="103">
        <v>4</v>
      </c>
      <c r="AG169" s="103">
        <v>1</v>
      </c>
      <c r="AH169" s="103">
        <v>3</v>
      </c>
      <c r="AI169" s="103">
        <v>1</v>
      </c>
      <c r="AJ169" s="103">
        <v>4</v>
      </c>
      <c r="AK169" s="103">
        <v>1</v>
      </c>
      <c r="AL169" s="104">
        <v>3</v>
      </c>
      <c r="AM169" s="4">
        <v>2</v>
      </c>
      <c r="AN169" s="87">
        <v>1</v>
      </c>
      <c r="AO169" s="4">
        <v>0</v>
      </c>
      <c r="AP169" s="4">
        <v>1</v>
      </c>
      <c r="AQ169" s="4">
        <v>1</v>
      </c>
      <c r="AR169" s="4">
        <v>1</v>
      </c>
      <c r="AS169" s="4">
        <v>1</v>
      </c>
      <c r="AT169" s="4">
        <v>0</v>
      </c>
      <c r="AU169" s="107">
        <v>1</v>
      </c>
      <c r="AV169" s="4">
        <f>IF(K169=VLOOKUP(VALUE(K$1),Questions!$A:$E,5,FALSE),1,0)</f>
        <v>1</v>
      </c>
      <c r="AW169" s="4">
        <f>IF(L169=VLOOKUP(VALUE(L$1),Questions!$A:$E,5,FALSE),1,0)</f>
        <v>0</v>
      </c>
      <c r="AX169" s="4">
        <f>IF(M169=VLOOKUP(VALUE(M$1),Questions!$A:$E,5,FALSE),1,0)</f>
        <v>1</v>
      </c>
      <c r="AY169" s="4">
        <f>IF(N169=VLOOKUP(VALUE(N$1),Questions!$A:$E,5,FALSE),1,0)</f>
        <v>0</v>
      </c>
      <c r="AZ169" s="4">
        <f>IF(O169=VLOOKUP(VALUE(O$1),Questions!$A:$E,5,FALSE),1,0)</f>
        <v>0</v>
      </c>
      <c r="BA169" s="4">
        <f>IF(P169=VLOOKUP(VALUE(P$1),Questions!$A:$E,5,FALSE),1,0)</f>
        <v>0</v>
      </c>
      <c r="BB169" s="4">
        <f>IF(Q169=VLOOKUP(VALUE(Q$1),Questions!$A:$E,5,FALSE),1,0)</f>
        <v>0</v>
      </c>
      <c r="BC169" s="4">
        <f>IF(R169=VLOOKUP(VALUE(R$1),Questions!$A:$E,5,FALSE),1,0)</f>
        <v>0</v>
      </c>
      <c r="BD169" s="4">
        <f>IF(S169=VLOOKUP(VALUE(S$1),Questions!$A:$E,5,FALSE),1,0)</f>
        <v>1</v>
      </c>
      <c r="BE169" s="4">
        <f>IF(T169=VLOOKUP(VALUE(T$1),Questions!$A:$E,5,FALSE),1,0)</f>
        <v>1</v>
      </c>
      <c r="BF169" s="4">
        <f>IF(U169=VLOOKUP(VALUE(U$1),Questions!$A:$E,5,FALSE),1,0)</f>
        <v>1</v>
      </c>
      <c r="BG169" s="4">
        <f>IF(V169=VLOOKUP(VALUE(V$1),Questions!$A:$E,5,FALSE),1,0)</f>
        <v>1</v>
      </c>
      <c r="BH169" s="4">
        <f>IF(W169=VLOOKUP(VALUE(W$1),Questions!$A:$E,5,FALSE),1,0)</f>
        <v>1</v>
      </c>
      <c r="BI169" s="4">
        <f>IF(X169=VLOOKUP(VALUE(X$1),Questions!$A:$E,5,FALSE),1,0)</f>
        <v>1</v>
      </c>
      <c r="BJ169" s="4">
        <f>IF(Y169=VLOOKUP(VALUE(Y$1),Questions!$A:$E,5,FALSE),1,0)</f>
        <v>0</v>
      </c>
      <c r="BK169" s="4">
        <f>IF(Z169=VLOOKUP(VALUE(Z$1),Questions!$A:$E,5,FALSE),1,0)</f>
        <v>0</v>
      </c>
      <c r="BL169" s="4">
        <f>IF(AA169=VLOOKUP(VALUE(AA$1),Questions!$A:$E,5,FALSE),1,0)</f>
        <v>0</v>
      </c>
      <c r="BM169" s="4">
        <f>IF(AB169=VLOOKUP(VALUE(AB$1),Questions!$A:$E,5,FALSE),1,0)</f>
        <v>0</v>
      </c>
      <c r="BN169" s="4">
        <f>IF(AC169=VLOOKUP(VALUE(AC$1),Questions!$A:$E,5,FALSE),1,0)</f>
        <v>1</v>
      </c>
      <c r="BO169" s="4">
        <f>IF(AD169=VLOOKUP(VALUE(AD$1),Questions!$A:$E,5,FALSE),1,0)</f>
        <v>0</v>
      </c>
      <c r="BP169" s="4">
        <f>IF(AE169=VLOOKUP(VALUE(AE$1),Questions!$A:$E,5,FALSE),1,0)</f>
        <v>1</v>
      </c>
      <c r="BQ169" s="4">
        <f>IF(AF169=VLOOKUP(VALUE(AF$1),Questions!$A:$E,5,FALSE),1,0)</f>
        <v>0</v>
      </c>
      <c r="BR169" s="4">
        <f>IF(AG169=VLOOKUP(VALUE(AG$1),Questions!$A:$E,5,FALSE),1,0)</f>
        <v>0</v>
      </c>
      <c r="BS169" s="4">
        <f>IF(AH169=VLOOKUP(VALUE(AH$1),Questions!$A:$E,5,FALSE),1,0)</f>
        <v>1</v>
      </c>
      <c r="BT169" s="4">
        <f>IF(AI169=VLOOKUP(VALUE(AI$1),Questions!$A:$E,5,FALSE),1,0)</f>
        <v>1</v>
      </c>
      <c r="BU169" s="4">
        <f>IF(AJ169=VLOOKUP(VALUE(AJ$1),Questions!$A:$E,5,FALSE),1,0)</f>
        <v>1</v>
      </c>
      <c r="BV169" s="4">
        <f>IF(AK169=VLOOKUP(VALUE(AK$1),Questions!$A:$E,5,FALSE),1,0)</f>
        <v>1</v>
      </c>
      <c r="BW169" s="87">
        <f>IF(AL169=VLOOKUP(VALUE(AL$1),Questions!$A:$E,5,FALSE),1,0)</f>
        <v>1</v>
      </c>
      <c r="BX169" s="4">
        <f>IF(Scores[[#This Row],[Final]]&gt;=65,1,0)</f>
        <v>0</v>
      </c>
      <c r="BY169" s="4">
        <f>IF(Scores[[#This Row],[Final]]&gt;=IF(Scores[[#This Row],[IEP]],55,65),1,0)</f>
        <v>0</v>
      </c>
    </row>
    <row r="170" spans="1:77" x14ac:dyDescent="0.2">
      <c r="A170" s="6">
        <v>169</v>
      </c>
      <c r="B170" s="4">
        <v>11</v>
      </c>
      <c r="C170" s="4" t="s">
        <v>968</v>
      </c>
      <c r="D170" s="105" t="b">
        <v>0</v>
      </c>
      <c r="E170" s="105" t="b">
        <v>0</v>
      </c>
      <c r="F170" s="86">
        <f>SUM(Scores[[#This Row],[Q1]:[Q28]])</f>
        <v>26</v>
      </c>
      <c r="G170" s="4">
        <f>SUM(Scores[[#This Row],[29]]:Scores[[#This Row],[30]])</f>
        <v>7</v>
      </c>
      <c r="H170" s="4">
        <f>SUM(Scores[[#This Row],[31]:[36]])</f>
        <v>6</v>
      </c>
      <c r="I170" s="4">
        <f>Scores[[#This Row],[37]]</f>
        <v>1</v>
      </c>
      <c r="J170" s="87">
        <f>INDEX('Conversion Chart'!$C$3:$M$47,MATCH(SUM(Scores[[#This Row],[MC]:[IIIA]]),'Conversion Chart'!$B$3:$B$47),MATCH(Scores[[#This Row],[IIIB]],'Conversion Chart'!$C$2:$M$2))</f>
        <v>79</v>
      </c>
      <c r="K170" s="103">
        <v>4</v>
      </c>
      <c r="L170" s="103">
        <v>2</v>
      </c>
      <c r="M170" s="103">
        <v>3</v>
      </c>
      <c r="N170" s="103">
        <v>3</v>
      </c>
      <c r="O170" s="103">
        <v>1</v>
      </c>
      <c r="P170" s="103">
        <v>4</v>
      </c>
      <c r="Q170" s="103">
        <v>3</v>
      </c>
      <c r="R170" s="103">
        <v>2</v>
      </c>
      <c r="S170" s="103">
        <v>2</v>
      </c>
      <c r="T170" s="103">
        <v>1</v>
      </c>
      <c r="U170" s="103">
        <v>2</v>
      </c>
      <c r="V170" s="103">
        <v>4</v>
      </c>
      <c r="W170" s="103">
        <v>2</v>
      </c>
      <c r="X170" s="103">
        <v>4</v>
      </c>
      <c r="Y170" s="103">
        <v>3</v>
      </c>
      <c r="Z170" s="103">
        <v>1</v>
      </c>
      <c r="AA170" s="103">
        <v>1</v>
      </c>
      <c r="AB170" s="103">
        <v>4</v>
      </c>
      <c r="AC170" s="103">
        <v>3</v>
      </c>
      <c r="AD170" s="103">
        <v>4</v>
      </c>
      <c r="AE170" s="103">
        <v>2</v>
      </c>
      <c r="AF170" s="103">
        <v>2</v>
      </c>
      <c r="AG170" s="103">
        <v>3</v>
      </c>
      <c r="AH170" s="103">
        <v>2</v>
      </c>
      <c r="AI170" s="103">
        <v>3</v>
      </c>
      <c r="AJ170" s="103">
        <v>4</v>
      </c>
      <c r="AK170" s="103">
        <v>1</v>
      </c>
      <c r="AL170" s="104">
        <v>3</v>
      </c>
      <c r="AM170" s="4">
        <v>2</v>
      </c>
      <c r="AN170" s="87">
        <v>5</v>
      </c>
      <c r="AO170" s="4">
        <v>1</v>
      </c>
      <c r="AP170" s="4">
        <v>1</v>
      </c>
      <c r="AQ170" s="4">
        <v>1</v>
      </c>
      <c r="AR170" s="4">
        <v>1</v>
      </c>
      <c r="AS170" s="4">
        <v>1</v>
      </c>
      <c r="AT170" s="4">
        <v>1</v>
      </c>
      <c r="AU170" s="107">
        <v>1</v>
      </c>
      <c r="AV170" s="4">
        <f>IF(K170=VLOOKUP(VALUE(K$1),Questions!$A:$E,5,FALSE),1,0)</f>
        <v>1</v>
      </c>
      <c r="AW170" s="4">
        <f>IF(L170=VLOOKUP(VALUE(L$1),Questions!$A:$E,5,FALSE),1,0)</f>
        <v>1</v>
      </c>
      <c r="AX170" s="4">
        <f>IF(M170=VLOOKUP(VALUE(M$1),Questions!$A:$E,5,FALSE),1,0)</f>
        <v>1</v>
      </c>
      <c r="AY170" s="4">
        <f>IF(N170=VLOOKUP(VALUE(N$1),Questions!$A:$E,5,FALSE),1,0)</f>
        <v>1</v>
      </c>
      <c r="AZ170" s="4">
        <f>IF(O170=VLOOKUP(VALUE(O$1),Questions!$A:$E,5,FALSE),1,0)</f>
        <v>1</v>
      </c>
      <c r="BA170" s="4">
        <f>IF(P170=VLOOKUP(VALUE(P$1),Questions!$A:$E,5,FALSE),1,0)</f>
        <v>1</v>
      </c>
      <c r="BB170" s="4">
        <f>IF(Q170=VLOOKUP(VALUE(Q$1),Questions!$A:$E,5,FALSE),1,0)</f>
        <v>1</v>
      </c>
      <c r="BC170" s="4">
        <f>IF(R170=VLOOKUP(VALUE(R$1),Questions!$A:$E,5,FALSE),1,0)</f>
        <v>1</v>
      </c>
      <c r="BD170" s="4">
        <f>IF(S170=VLOOKUP(VALUE(S$1),Questions!$A:$E,5,FALSE),1,0)</f>
        <v>1</v>
      </c>
      <c r="BE170" s="4">
        <f>IF(T170=VLOOKUP(VALUE(T$1),Questions!$A:$E,5,FALSE),1,0)</f>
        <v>1</v>
      </c>
      <c r="BF170" s="4">
        <f>IF(U170=VLOOKUP(VALUE(U$1),Questions!$A:$E,5,FALSE),1,0)</f>
        <v>1</v>
      </c>
      <c r="BG170" s="4">
        <f>IF(V170=VLOOKUP(VALUE(V$1),Questions!$A:$E,5,FALSE),1,0)</f>
        <v>1</v>
      </c>
      <c r="BH170" s="4">
        <f>IF(W170=VLOOKUP(VALUE(W$1),Questions!$A:$E,5,FALSE),1,0)</f>
        <v>1</v>
      </c>
      <c r="BI170" s="4">
        <f>IF(X170=VLOOKUP(VALUE(X$1),Questions!$A:$E,5,FALSE),1,0)</f>
        <v>1</v>
      </c>
      <c r="BJ170" s="4">
        <f>IF(Y170=VLOOKUP(VALUE(Y$1),Questions!$A:$E,5,FALSE),1,0)</f>
        <v>1</v>
      </c>
      <c r="BK170" s="4">
        <f>IF(Z170=VLOOKUP(VALUE(Z$1),Questions!$A:$E,5,FALSE),1,0)</f>
        <v>1</v>
      </c>
      <c r="BL170" s="4">
        <f>IF(AA170=VLOOKUP(VALUE(AA$1),Questions!$A:$E,5,FALSE),1,0)</f>
        <v>1</v>
      </c>
      <c r="BM170" s="4">
        <f>IF(AB170=VLOOKUP(VALUE(AB$1),Questions!$A:$E,5,FALSE),1,0)</f>
        <v>1</v>
      </c>
      <c r="BN170" s="4">
        <f>IF(AC170=VLOOKUP(VALUE(AC$1),Questions!$A:$E,5,FALSE),1,0)</f>
        <v>1</v>
      </c>
      <c r="BO170" s="4">
        <f>IF(AD170=VLOOKUP(VALUE(AD$1),Questions!$A:$E,5,FALSE),1,0)</f>
        <v>1</v>
      </c>
      <c r="BP170" s="4">
        <f>IF(AE170=VLOOKUP(VALUE(AE$1),Questions!$A:$E,5,FALSE),1,0)</f>
        <v>1</v>
      </c>
      <c r="BQ170" s="4">
        <f>IF(AF170=VLOOKUP(VALUE(AF$1),Questions!$A:$E,5,FALSE),1,0)</f>
        <v>1</v>
      </c>
      <c r="BR170" s="4">
        <f>IF(AG170=VLOOKUP(VALUE(AG$1),Questions!$A:$E,5,FALSE),1,0)</f>
        <v>1</v>
      </c>
      <c r="BS170" s="4">
        <f>IF(AH170=VLOOKUP(VALUE(AH$1),Questions!$A:$E,5,FALSE),1,0)</f>
        <v>0</v>
      </c>
      <c r="BT170" s="4">
        <f>IF(AI170=VLOOKUP(VALUE(AI$1),Questions!$A:$E,5,FALSE),1,0)</f>
        <v>0</v>
      </c>
      <c r="BU170" s="4">
        <f>IF(AJ170=VLOOKUP(VALUE(AJ$1),Questions!$A:$E,5,FALSE),1,0)</f>
        <v>1</v>
      </c>
      <c r="BV170" s="4">
        <f>IF(AK170=VLOOKUP(VALUE(AK$1),Questions!$A:$E,5,FALSE),1,0)</f>
        <v>1</v>
      </c>
      <c r="BW170" s="87">
        <f>IF(AL170=VLOOKUP(VALUE(AL$1),Questions!$A:$E,5,FALSE),1,0)</f>
        <v>1</v>
      </c>
      <c r="BX170" s="4">
        <f>IF(Scores[[#This Row],[Final]]&gt;=65,1,0)</f>
        <v>1</v>
      </c>
      <c r="BY170" s="4">
        <f>IF(Scores[[#This Row],[Final]]&gt;=IF(Scores[[#This Row],[IEP]],55,65),1,0)</f>
        <v>1</v>
      </c>
    </row>
    <row r="171" spans="1:77" x14ac:dyDescent="0.2">
      <c r="A171" s="6">
        <v>170</v>
      </c>
      <c r="B171" s="4">
        <v>11</v>
      </c>
      <c r="C171" s="4" t="s">
        <v>962</v>
      </c>
      <c r="D171" s="105" t="b">
        <v>0</v>
      </c>
      <c r="E171" s="105" t="b">
        <v>0</v>
      </c>
      <c r="F171" s="86">
        <f>SUM(Scores[[#This Row],[Q1]:[Q28]])</f>
        <v>0</v>
      </c>
      <c r="G171" s="4">
        <f>SUM(Scores[[#This Row],[29]]:Scores[[#This Row],[30]])</f>
        <v>0</v>
      </c>
      <c r="H171" s="4">
        <f>SUM(Scores[[#This Row],[31]:[36]])</f>
        <v>0</v>
      </c>
      <c r="I171" s="4">
        <f>Scores[[#This Row],[37]]</f>
        <v>0</v>
      </c>
      <c r="J171" s="87">
        <f>INDEX('Conversion Chart'!$C$3:$M$47,MATCH(SUM(Scores[[#This Row],[MC]:[IIIA]]),'Conversion Chart'!$B$3:$B$47),MATCH(Scores[[#This Row],[IIIB]],'Conversion Chart'!$C$2:$M$2))</f>
        <v>0</v>
      </c>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4"/>
      <c r="AN171" s="87"/>
      <c r="AU171" s="107"/>
      <c r="AV171" s="4">
        <f>IF(K171=VLOOKUP(VALUE(K$1),Questions!$A:$E,5,FALSE),1,0)</f>
        <v>0</v>
      </c>
      <c r="AW171" s="4">
        <f>IF(L171=VLOOKUP(VALUE(L$1),Questions!$A:$E,5,FALSE),1,0)</f>
        <v>0</v>
      </c>
      <c r="AX171" s="4">
        <f>IF(M171=VLOOKUP(VALUE(M$1),Questions!$A:$E,5,FALSE),1,0)</f>
        <v>0</v>
      </c>
      <c r="AY171" s="4">
        <f>IF(N171=VLOOKUP(VALUE(N$1),Questions!$A:$E,5,FALSE),1,0)</f>
        <v>0</v>
      </c>
      <c r="AZ171" s="4">
        <f>IF(O171=VLOOKUP(VALUE(O$1),Questions!$A:$E,5,FALSE),1,0)</f>
        <v>0</v>
      </c>
      <c r="BA171" s="4">
        <f>IF(P171=VLOOKUP(VALUE(P$1),Questions!$A:$E,5,FALSE),1,0)</f>
        <v>0</v>
      </c>
      <c r="BB171" s="4">
        <f>IF(Q171=VLOOKUP(VALUE(Q$1),Questions!$A:$E,5,FALSE),1,0)</f>
        <v>0</v>
      </c>
      <c r="BC171" s="4">
        <f>IF(R171=VLOOKUP(VALUE(R$1),Questions!$A:$E,5,FALSE),1,0)</f>
        <v>0</v>
      </c>
      <c r="BD171" s="4">
        <f>IF(S171=VLOOKUP(VALUE(S$1),Questions!$A:$E,5,FALSE),1,0)</f>
        <v>0</v>
      </c>
      <c r="BE171" s="4">
        <f>IF(T171=VLOOKUP(VALUE(T$1),Questions!$A:$E,5,FALSE),1,0)</f>
        <v>0</v>
      </c>
      <c r="BF171" s="4">
        <f>IF(U171=VLOOKUP(VALUE(U$1),Questions!$A:$E,5,FALSE),1,0)</f>
        <v>0</v>
      </c>
      <c r="BG171" s="4">
        <f>IF(V171=VLOOKUP(VALUE(V$1),Questions!$A:$E,5,FALSE),1,0)</f>
        <v>0</v>
      </c>
      <c r="BH171" s="4">
        <f>IF(W171=VLOOKUP(VALUE(W$1),Questions!$A:$E,5,FALSE),1,0)</f>
        <v>0</v>
      </c>
      <c r="BI171" s="4">
        <f>IF(X171=VLOOKUP(VALUE(X$1),Questions!$A:$E,5,FALSE),1,0)</f>
        <v>0</v>
      </c>
      <c r="BJ171" s="4">
        <f>IF(Y171=VLOOKUP(VALUE(Y$1),Questions!$A:$E,5,FALSE),1,0)</f>
        <v>0</v>
      </c>
      <c r="BK171" s="4">
        <f>IF(Z171=VLOOKUP(VALUE(Z$1),Questions!$A:$E,5,FALSE),1,0)</f>
        <v>0</v>
      </c>
      <c r="BL171" s="4">
        <f>IF(AA171=VLOOKUP(VALUE(AA$1),Questions!$A:$E,5,FALSE),1,0)</f>
        <v>0</v>
      </c>
      <c r="BM171" s="4">
        <f>IF(AB171=VLOOKUP(VALUE(AB$1),Questions!$A:$E,5,FALSE),1,0)</f>
        <v>0</v>
      </c>
      <c r="BN171" s="4">
        <f>IF(AC171=VLOOKUP(VALUE(AC$1),Questions!$A:$E,5,FALSE),1,0)</f>
        <v>0</v>
      </c>
      <c r="BO171" s="4">
        <f>IF(AD171=VLOOKUP(VALUE(AD$1),Questions!$A:$E,5,FALSE),1,0)</f>
        <v>0</v>
      </c>
      <c r="BP171" s="4">
        <f>IF(AE171=VLOOKUP(VALUE(AE$1),Questions!$A:$E,5,FALSE),1,0)</f>
        <v>0</v>
      </c>
      <c r="BQ171" s="4">
        <f>IF(AF171=VLOOKUP(VALUE(AF$1),Questions!$A:$E,5,FALSE),1,0)</f>
        <v>0</v>
      </c>
      <c r="BR171" s="4">
        <f>IF(AG171=VLOOKUP(VALUE(AG$1),Questions!$A:$E,5,FALSE),1,0)</f>
        <v>0</v>
      </c>
      <c r="BS171" s="4">
        <f>IF(AH171=VLOOKUP(VALUE(AH$1),Questions!$A:$E,5,FALSE),1,0)</f>
        <v>0</v>
      </c>
      <c r="BT171" s="4">
        <f>IF(AI171=VLOOKUP(VALUE(AI$1),Questions!$A:$E,5,FALSE),1,0)</f>
        <v>0</v>
      </c>
      <c r="BU171" s="4">
        <f>IF(AJ171=VLOOKUP(VALUE(AJ$1),Questions!$A:$E,5,FALSE),1,0)</f>
        <v>0</v>
      </c>
      <c r="BV171" s="4">
        <f>IF(AK171=VLOOKUP(VALUE(AK$1),Questions!$A:$E,5,FALSE),1,0)</f>
        <v>0</v>
      </c>
      <c r="BW171" s="87">
        <f>IF(AL171=VLOOKUP(VALUE(AL$1),Questions!$A:$E,5,FALSE),1,0)</f>
        <v>0</v>
      </c>
      <c r="BX171" s="4">
        <f>IF(Scores[[#This Row],[Final]]&gt;=65,1,0)</f>
        <v>0</v>
      </c>
      <c r="BY171" s="4">
        <f>IF(Scores[[#This Row],[Final]]&gt;=IF(Scores[[#This Row],[IEP]],55,65),1,0)</f>
        <v>0</v>
      </c>
    </row>
    <row r="172" spans="1:77" x14ac:dyDescent="0.2">
      <c r="A172" s="6">
        <v>171</v>
      </c>
      <c r="B172" s="4">
        <v>9</v>
      </c>
      <c r="C172" s="4" t="s">
        <v>964</v>
      </c>
      <c r="D172" s="105" t="b">
        <v>0</v>
      </c>
      <c r="E172" s="105" t="b">
        <v>0</v>
      </c>
      <c r="F172" s="86">
        <f>SUM(Scores[[#This Row],[Q1]:[Q28]])</f>
        <v>19</v>
      </c>
      <c r="G172" s="4">
        <f>SUM(Scores[[#This Row],[29]]:Scores[[#This Row],[30]])</f>
        <v>2</v>
      </c>
      <c r="H172" s="4">
        <f>SUM(Scores[[#This Row],[31]:[36]])</f>
        <v>6</v>
      </c>
      <c r="I172" s="4">
        <f>Scores[[#This Row],[37]]</f>
        <v>1.5</v>
      </c>
      <c r="J172" s="87">
        <f>INDEX('Conversion Chart'!$C$3:$M$47,MATCH(SUM(Scores[[#This Row],[MC]:[IIIA]]),'Conversion Chart'!$B$3:$B$47),MATCH(Scores[[#This Row],[IIIB]],'Conversion Chart'!$C$2:$M$2))</f>
        <v>68</v>
      </c>
      <c r="K172" s="103">
        <v>4</v>
      </c>
      <c r="L172" s="103">
        <v>2</v>
      </c>
      <c r="M172" s="103">
        <v>3</v>
      </c>
      <c r="N172" s="103">
        <v>4</v>
      </c>
      <c r="O172" s="103">
        <v>2</v>
      </c>
      <c r="P172" s="103">
        <v>2</v>
      </c>
      <c r="Q172" s="103">
        <v>3</v>
      </c>
      <c r="R172" s="103">
        <v>2</v>
      </c>
      <c r="S172" s="103">
        <v>1</v>
      </c>
      <c r="T172" s="103">
        <v>1</v>
      </c>
      <c r="U172" s="103">
        <v>2</v>
      </c>
      <c r="V172" s="103">
        <v>4</v>
      </c>
      <c r="W172" s="103">
        <v>2</v>
      </c>
      <c r="X172" s="103">
        <v>4</v>
      </c>
      <c r="Y172" s="103">
        <v>3</v>
      </c>
      <c r="Z172" s="103">
        <v>1</v>
      </c>
      <c r="AA172" s="103">
        <v>1</v>
      </c>
      <c r="AB172" s="103">
        <v>4</v>
      </c>
      <c r="AC172" s="103">
        <v>1</v>
      </c>
      <c r="AD172" s="103">
        <v>3</v>
      </c>
      <c r="AE172" s="103">
        <v>2</v>
      </c>
      <c r="AF172" s="103">
        <v>1</v>
      </c>
      <c r="AG172" s="103">
        <v>3</v>
      </c>
      <c r="AH172" s="103">
        <v>3</v>
      </c>
      <c r="AI172" s="103">
        <v>2</v>
      </c>
      <c r="AJ172" s="103">
        <v>2</v>
      </c>
      <c r="AK172" s="103">
        <v>1</v>
      </c>
      <c r="AL172" s="104">
        <v>3</v>
      </c>
      <c r="AM172" s="4">
        <v>1</v>
      </c>
      <c r="AN172" s="87">
        <v>1</v>
      </c>
      <c r="AO172" s="4">
        <v>1</v>
      </c>
      <c r="AP172" s="4">
        <v>1</v>
      </c>
      <c r="AQ172" s="4">
        <v>1</v>
      </c>
      <c r="AR172" s="4">
        <v>1</v>
      </c>
      <c r="AS172" s="4">
        <v>1</v>
      </c>
      <c r="AT172" s="4">
        <v>1</v>
      </c>
      <c r="AU172" s="107">
        <v>1.5</v>
      </c>
      <c r="AV172" s="4">
        <f>IF(K172=VLOOKUP(VALUE(K$1),Questions!$A:$E,5,FALSE),1,0)</f>
        <v>1</v>
      </c>
      <c r="AW172" s="4">
        <f>IF(L172=VLOOKUP(VALUE(L$1),Questions!$A:$E,5,FALSE),1,0)</f>
        <v>1</v>
      </c>
      <c r="AX172" s="4">
        <f>IF(M172=VLOOKUP(VALUE(M$1),Questions!$A:$E,5,FALSE),1,0)</f>
        <v>1</v>
      </c>
      <c r="AY172" s="4">
        <f>IF(N172=VLOOKUP(VALUE(N$1),Questions!$A:$E,5,FALSE),1,0)</f>
        <v>0</v>
      </c>
      <c r="AZ172" s="4">
        <f>IF(O172=VLOOKUP(VALUE(O$1),Questions!$A:$E,5,FALSE),1,0)</f>
        <v>0</v>
      </c>
      <c r="BA172" s="4">
        <f>IF(P172=VLOOKUP(VALUE(P$1),Questions!$A:$E,5,FALSE),1,0)</f>
        <v>0</v>
      </c>
      <c r="BB172" s="4">
        <f>IF(Q172=VLOOKUP(VALUE(Q$1),Questions!$A:$E,5,FALSE),1,0)</f>
        <v>1</v>
      </c>
      <c r="BC172" s="4">
        <f>IF(R172=VLOOKUP(VALUE(R$1),Questions!$A:$E,5,FALSE),1,0)</f>
        <v>1</v>
      </c>
      <c r="BD172" s="4">
        <f>IF(S172=VLOOKUP(VALUE(S$1),Questions!$A:$E,5,FALSE),1,0)</f>
        <v>0</v>
      </c>
      <c r="BE172" s="4">
        <f>IF(T172=VLOOKUP(VALUE(T$1),Questions!$A:$E,5,FALSE),1,0)</f>
        <v>1</v>
      </c>
      <c r="BF172" s="4">
        <f>IF(U172=VLOOKUP(VALUE(U$1),Questions!$A:$E,5,FALSE),1,0)</f>
        <v>1</v>
      </c>
      <c r="BG172" s="4">
        <f>IF(V172=VLOOKUP(VALUE(V$1),Questions!$A:$E,5,FALSE),1,0)</f>
        <v>1</v>
      </c>
      <c r="BH172" s="4">
        <f>IF(W172=VLOOKUP(VALUE(W$1),Questions!$A:$E,5,FALSE),1,0)</f>
        <v>1</v>
      </c>
      <c r="BI172" s="4">
        <f>IF(X172=VLOOKUP(VALUE(X$1),Questions!$A:$E,5,FALSE),1,0)</f>
        <v>1</v>
      </c>
      <c r="BJ172" s="4">
        <f>IF(Y172=VLOOKUP(VALUE(Y$1),Questions!$A:$E,5,FALSE),1,0)</f>
        <v>1</v>
      </c>
      <c r="BK172" s="4">
        <f>IF(Z172=VLOOKUP(VALUE(Z$1),Questions!$A:$E,5,FALSE),1,0)</f>
        <v>1</v>
      </c>
      <c r="BL172" s="4">
        <f>IF(AA172=VLOOKUP(VALUE(AA$1),Questions!$A:$E,5,FALSE),1,0)</f>
        <v>1</v>
      </c>
      <c r="BM172" s="4">
        <f>IF(AB172=VLOOKUP(VALUE(AB$1),Questions!$A:$E,5,FALSE),1,0)</f>
        <v>1</v>
      </c>
      <c r="BN172" s="4">
        <f>IF(AC172=VLOOKUP(VALUE(AC$1),Questions!$A:$E,5,FALSE),1,0)</f>
        <v>0</v>
      </c>
      <c r="BO172" s="4">
        <f>IF(AD172=VLOOKUP(VALUE(AD$1),Questions!$A:$E,5,FALSE),1,0)</f>
        <v>0</v>
      </c>
      <c r="BP172" s="4">
        <f>IF(AE172=VLOOKUP(VALUE(AE$1),Questions!$A:$E,5,FALSE),1,0)</f>
        <v>1</v>
      </c>
      <c r="BQ172" s="4">
        <f>IF(AF172=VLOOKUP(VALUE(AF$1),Questions!$A:$E,5,FALSE),1,0)</f>
        <v>0</v>
      </c>
      <c r="BR172" s="4">
        <f>IF(AG172=VLOOKUP(VALUE(AG$1),Questions!$A:$E,5,FALSE),1,0)</f>
        <v>1</v>
      </c>
      <c r="BS172" s="4">
        <f>IF(AH172=VLOOKUP(VALUE(AH$1),Questions!$A:$E,5,FALSE),1,0)</f>
        <v>1</v>
      </c>
      <c r="BT172" s="4">
        <f>IF(AI172=VLOOKUP(VALUE(AI$1),Questions!$A:$E,5,FALSE),1,0)</f>
        <v>0</v>
      </c>
      <c r="BU172" s="4">
        <f>IF(AJ172=VLOOKUP(VALUE(AJ$1),Questions!$A:$E,5,FALSE),1,0)</f>
        <v>0</v>
      </c>
      <c r="BV172" s="4">
        <f>IF(AK172=VLOOKUP(VALUE(AK$1),Questions!$A:$E,5,FALSE),1,0)</f>
        <v>1</v>
      </c>
      <c r="BW172" s="87">
        <f>IF(AL172=VLOOKUP(VALUE(AL$1),Questions!$A:$E,5,FALSE),1,0)</f>
        <v>1</v>
      </c>
      <c r="BX172" s="4">
        <f>IF(Scores[[#This Row],[Final]]&gt;=65,1,0)</f>
        <v>1</v>
      </c>
      <c r="BY172" s="4">
        <f>IF(Scores[[#This Row],[Final]]&gt;=IF(Scores[[#This Row],[IEP]],55,65),1,0)</f>
        <v>1</v>
      </c>
    </row>
    <row r="173" spans="1:77" x14ac:dyDescent="0.2">
      <c r="A173" s="6">
        <v>172</v>
      </c>
      <c r="B173" s="4">
        <v>9</v>
      </c>
      <c r="C173" s="4" t="s">
        <v>963</v>
      </c>
      <c r="D173" s="105" t="b">
        <v>0</v>
      </c>
      <c r="E173" s="105" t="b">
        <v>1</v>
      </c>
      <c r="F173" s="86">
        <f>SUM(Scores[[#This Row],[Q1]:[Q28]])</f>
        <v>16</v>
      </c>
      <c r="G173" s="4">
        <f>SUM(Scores[[#This Row],[29]]:Scores[[#This Row],[30]])</f>
        <v>3</v>
      </c>
      <c r="H173" s="4">
        <f>SUM(Scores[[#This Row],[31]:[36]])</f>
        <v>4</v>
      </c>
      <c r="I173" s="4">
        <f>Scores[[#This Row],[37]]</f>
        <v>1</v>
      </c>
      <c r="J173" s="87">
        <f>INDEX('Conversion Chart'!$C$3:$M$47,MATCH(SUM(Scores[[#This Row],[MC]:[IIIA]]),'Conversion Chart'!$B$3:$B$47),MATCH(Scores[[#This Row],[IIIB]],'Conversion Chart'!$C$2:$M$2))</f>
        <v>61</v>
      </c>
      <c r="K173" s="103">
        <v>4</v>
      </c>
      <c r="L173" s="103">
        <v>3</v>
      </c>
      <c r="M173" s="103">
        <v>4</v>
      </c>
      <c r="N173" s="103">
        <v>2</v>
      </c>
      <c r="O173" s="103">
        <v>1</v>
      </c>
      <c r="P173" s="103">
        <v>4</v>
      </c>
      <c r="Q173" s="103">
        <v>2</v>
      </c>
      <c r="R173" s="103">
        <v>2</v>
      </c>
      <c r="S173" s="103">
        <v>3</v>
      </c>
      <c r="T173" s="103">
        <v>1</v>
      </c>
      <c r="U173" s="103">
        <v>2</v>
      </c>
      <c r="V173" s="103">
        <v>3</v>
      </c>
      <c r="W173" s="103">
        <v>1</v>
      </c>
      <c r="X173" s="103">
        <v>4</v>
      </c>
      <c r="Y173" s="103">
        <v>1</v>
      </c>
      <c r="Z173" s="103">
        <v>1</v>
      </c>
      <c r="AA173" s="103">
        <v>1</v>
      </c>
      <c r="AB173" s="103">
        <v>3</v>
      </c>
      <c r="AC173" s="103">
        <v>3</v>
      </c>
      <c r="AD173" s="103">
        <v>4</v>
      </c>
      <c r="AE173" s="103">
        <v>2</v>
      </c>
      <c r="AF173" s="103">
        <v>2</v>
      </c>
      <c r="AG173" s="103">
        <v>3</v>
      </c>
      <c r="AH173" s="103">
        <v>1</v>
      </c>
      <c r="AI173" s="103">
        <v>2</v>
      </c>
      <c r="AJ173" s="103">
        <v>4</v>
      </c>
      <c r="AK173" s="103">
        <v>2</v>
      </c>
      <c r="AL173" s="104">
        <v>3</v>
      </c>
      <c r="AM173" s="4">
        <v>2</v>
      </c>
      <c r="AN173" s="87">
        <v>1</v>
      </c>
      <c r="AO173" s="4">
        <v>0</v>
      </c>
      <c r="AP173" s="4">
        <v>0</v>
      </c>
      <c r="AQ173" s="4">
        <v>1</v>
      </c>
      <c r="AR173" s="4">
        <v>1</v>
      </c>
      <c r="AS173" s="4">
        <v>1</v>
      </c>
      <c r="AT173" s="4">
        <v>1</v>
      </c>
      <c r="AU173" s="107">
        <v>1</v>
      </c>
      <c r="AV173" s="4">
        <f>IF(K173=VLOOKUP(VALUE(K$1),Questions!$A:$E,5,FALSE),1,0)</f>
        <v>1</v>
      </c>
      <c r="AW173" s="4">
        <f>IF(L173=VLOOKUP(VALUE(L$1),Questions!$A:$E,5,FALSE),1,0)</f>
        <v>0</v>
      </c>
      <c r="AX173" s="4">
        <f>IF(M173=VLOOKUP(VALUE(M$1),Questions!$A:$E,5,FALSE),1,0)</f>
        <v>0</v>
      </c>
      <c r="AY173" s="4">
        <f>IF(N173=VLOOKUP(VALUE(N$1),Questions!$A:$E,5,FALSE),1,0)</f>
        <v>0</v>
      </c>
      <c r="AZ173" s="4">
        <f>IF(O173=VLOOKUP(VALUE(O$1),Questions!$A:$E,5,FALSE),1,0)</f>
        <v>1</v>
      </c>
      <c r="BA173" s="4">
        <f>IF(P173=VLOOKUP(VALUE(P$1),Questions!$A:$E,5,FALSE),1,0)</f>
        <v>1</v>
      </c>
      <c r="BB173" s="4">
        <f>IF(Q173=VLOOKUP(VALUE(Q$1),Questions!$A:$E,5,FALSE),1,0)</f>
        <v>0</v>
      </c>
      <c r="BC173" s="4">
        <f>IF(R173=VLOOKUP(VALUE(R$1),Questions!$A:$E,5,FALSE),1,0)</f>
        <v>1</v>
      </c>
      <c r="BD173" s="4">
        <f>IF(S173=VLOOKUP(VALUE(S$1),Questions!$A:$E,5,FALSE),1,0)</f>
        <v>0</v>
      </c>
      <c r="BE173" s="4">
        <f>IF(T173=VLOOKUP(VALUE(T$1),Questions!$A:$E,5,FALSE),1,0)</f>
        <v>1</v>
      </c>
      <c r="BF173" s="4">
        <f>IF(U173=VLOOKUP(VALUE(U$1),Questions!$A:$E,5,FALSE),1,0)</f>
        <v>1</v>
      </c>
      <c r="BG173" s="4">
        <f>IF(V173=VLOOKUP(VALUE(V$1),Questions!$A:$E,5,FALSE),1,0)</f>
        <v>0</v>
      </c>
      <c r="BH173" s="4">
        <f>IF(W173=VLOOKUP(VALUE(W$1),Questions!$A:$E,5,FALSE),1,0)</f>
        <v>0</v>
      </c>
      <c r="BI173" s="4">
        <f>IF(X173=VLOOKUP(VALUE(X$1),Questions!$A:$E,5,FALSE),1,0)</f>
        <v>1</v>
      </c>
      <c r="BJ173" s="4">
        <f>IF(Y173=VLOOKUP(VALUE(Y$1),Questions!$A:$E,5,FALSE),1,0)</f>
        <v>0</v>
      </c>
      <c r="BK173" s="4">
        <f>IF(Z173=VLOOKUP(VALUE(Z$1),Questions!$A:$E,5,FALSE),1,0)</f>
        <v>1</v>
      </c>
      <c r="BL173" s="4">
        <f>IF(AA173=VLOOKUP(VALUE(AA$1),Questions!$A:$E,5,FALSE),1,0)</f>
        <v>1</v>
      </c>
      <c r="BM173" s="4">
        <f>IF(AB173=VLOOKUP(VALUE(AB$1),Questions!$A:$E,5,FALSE),1,0)</f>
        <v>0</v>
      </c>
      <c r="BN173" s="4">
        <f>IF(AC173=VLOOKUP(VALUE(AC$1),Questions!$A:$E,5,FALSE),1,0)</f>
        <v>1</v>
      </c>
      <c r="BO173" s="4">
        <f>IF(AD173=VLOOKUP(VALUE(AD$1),Questions!$A:$E,5,FALSE),1,0)</f>
        <v>1</v>
      </c>
      <c r="BP173" s="4">
        <f>IF(AE173=VLOOKUP(VALUE(AE$1),Questions!$A:$E,5,FALSE),1,0)</f>
        <v>1</v>
      </c>
      <c r="BQ173" s="4">
        <f>IF(AF173=VLOOKUP(VALUE(AF$1),Questions!$A:$E,5,FALSE),1,0)</f>
        <v>1</v>
      </c>
      <c r="BR173" s="4">
        <f>IF(AG173=VLOOKUP(VALUE(AG$1),Questions!$A:$E,5,FALSE),1,0)</f>
        <v>1</v>
      </c>
      <c r="BS173" s="4">
        <f>IF(AH173=VLOOKUP(VALUE(AH$1),Questions!$A:$E,5,FALSE),1,0)</f>
        <v>0</v>
      </c>
      <c r="BT173" s="4">
        <f>IF(AI173=VLOOKUP(VALUE(AI$1),Questions!$A:$E,5,FALSE),1,0)</f>
        <v>0</v>
      </c>
      <c r="BU173" s="4">
        <f>IF(AJ173=VLOOKUP(VALUE(AJ$1),Questions!$A:$E,5,FALSE),1,0)</f>
        <v>1</v>
      </c>
      <c r="BV173" s="4">
        <f>IF(AK173=VLOOKUP(VALUE(AK$1),Questions!$A:$E,5,FALSE),1,0)</f>
        <v>0</v>
      </c>
      <c r="BW173" s="87">
        <f>IF(AL173=VLOOKUP(VALUE(AL$1),Questions!$A:$E,5,FALSE),1,0)</f>
        <v>1</v>
      </c>
      <c r="BX173" s="4">
        <f>IF(Scores[[#This Row],[Final]]&gt;=65,1,0)</f>
        <v>0</v>
      </c>
      <c r="BY173" s="4">
        <f>IF(Scores[[#This Row],[Final]]&gt;=IF(Scores[[#This Row],[IEP]],55,65),1,0)</f>
        <v>1</v>
      </c>
    </row>
    <row r="174" spans="1:77" x14ac:dyDescent="0.2">
      <c r="A174" s="6">
        <v>173</v>
      </c>
      <c r="B174" s="4">
        <v>11</v>
      </c>
      <c r="C174" s="4" t="s">
        <v>962</v>
      </c>
      <c r="D174" s="105" t="b">
        <v>1</v>
      </c>
      <c r="E174" s="105" t="b">
        <v>0</v>
      </c>
      <c r="F174" s="86">
        <f>SUM(Scores[[#This Row],[Q1]:[Q28]])</f>
        <v>14</v>
      </c>
      <c r="G174" s="4">
        <f>SUM(Scores[[#This Row],[29]]:Scores[[#This Row],[30]])</f>
        <v>1</v>
      </c>
      <c r="H174" s="4">
        <f>SUM(Scores[[#This Row],[31]:[36]])</f>
        <v>5</v>
      </c>
      <c r="I174" s="4">
        <f>Scores[[#This Row],[37]]</f>
        <v>0</v>
      </c>
      <c r="J174" s="87">
        <f>INDEX('Conversion Chart'!$C$3:$M$47,MATCH(SUM(Scores[[#This Row],[MC]:[IIIA]]),'Conversion Chart'!$B$3:$B$47),MATCH(Scores[[#This Row],[IIIB]],'Conversion Chart'!$C$2:$M$2))</f>
        <v>52</v>
      </c>
      <c r="K174" s="103">
        <v>4</v>
      </c>
      <c r="L174" s="103">
        <v>3</v>
      </c>
      <c r="M174" s="103">
        <v>1</v>
      </c>
      <c r="N174" s="103">
        <v>3</v>
      </c>
      <c r="O174" s="103">
        <v>2</v>
      </c>
      <c r="P174" s="103">
        <v>4</v>
      </c>
      <c r="Q174" s="103">
        <v>3</v>
      </c>
      <c r="R174" s="103">
        <v>1</v>
      </c>
      <c r="S174" s="103">
        <v>3</v>
      </c>
      <c r="T174" s="103">
        <v>1</v>
      </c>
      <c r="U174" s="103">
        <v>2</v>
      </c>
      <c r="V174" s="103">
        <v>3</v>
      </c>
      <c r="W174" s="103">
        <v>2</v>
      </c>
      <c r="X174" s="103">
        <v>2</v>
      </c>
      <c r="Y174" s="103">
        <v>1</v>
      </c>
      <c r="Z174" s="103">
        <v>4</v>
      </c>
      <c r="AA174" s="103">
        <v>4</v>
      </c>
      <c r="AB174" s="103">
        <v>4</v>
      </c>
      <c r="AC174" s="103">
        <v>3</v>
      </c>
      <c r="AD174" s="103">
        <v>1</v>
      </c>
      <c r="AE174" s="103">
        <v>1</v>
      </c>
      <c r="AF174" s="103">
        <v>2</v>
      </c>
      <c r="AG174" s="103">
        <v>4</v>
      </c>
      <c r="AH174" s="103">
        <v>3</v>
      </c>
      <c r="AI174" s="103">
        <v>1</v>
      </c>
      <c r="AJ174" s="103">
        <v>3</v>
      </c>
      <c r="AK174" s="103">
        <v>1</v>
      </c>
      <c r="AL174" s="104">
        <v>3</v>
      </c>
      <c r="AM174" s="4">
        <v>1</v>
      </c>
      <c r="AN174" s="87">
        <v>0</v>
      </c>
      <c r="AO174" s="4">
        <v>1</v>
      </c>
      <c r="AP174" s="4">
        <v>1</v>
      </c>
      <c r="AQ174" s="4">
        <v>1</v>
      </c>
      <c r="AR174" s="4">
        <v>0</v>
      </c>
      <c r="AS174" s="4">
        <v>1</v>
      </c>
      <c r="AT174" s="4">
        <v>1</v>
      </c>
      <c r="AU174" s="107">
        <v>0</v>
      </c>
      <c r="AV174" s="4">
        <f>IF(K174=VLOOKUP(VALUE(K$1),Questions!$A:$E,5,FALSE),1,0)</f>
        <v>1</v>
      </c>
      <c r="AW174" s="4">
        <f>IF(L174=VLOOKUP(VALUE(L$1),Questions!$A:$E,5,FALSE),1,0)</f>
        <v>0</v>
      </c>
      <c r="AX174" s="4">
        <f>IF(M174=VLOOKUP(VALUE(M$1),Questions!$A:$E,5,FALSE),1,0)</f>
        <v>0</v>
      </c>
      <c r="AY174" s="4">
        <f>IF(N174=VLOOKUP(VALUE(N$1),Questions!$A:$E,5,FALSE),1,0)</f>
        <v>1</v>
      </c>
      <c r="AZ174" s="4">
        <f>IF(O174=VLOOKUP(VALUE(O$1),Questions!$A:$E,5,FALSE),1,0)</f>
        <v>0</v>
      </c>
      <c r="BA174" s="4">
        <f>IF(P174=VLOOKUP(VALUE(P$1),Questions!$A:$E,5,FALSE),1,0)</f>
        <v>1</v>
      </c>
      <c r="BB174" s="4">
        <f>IF(Q174=VLOOKUP(VALUE(Q$1),Questions!$A:$E,5,FALSE),1,0)</f>
        <v>1</v>
      </c>
      <c r="BC174" s="4">
        <f>IF(R174=VLOOKUP(VALUE(R$1),Questions!$A:$E,5,FALSE),1,0)</f>
        <v>0</v>
      </c>
      <c r="BD174" s="4">
        <f>IF(S174=VLOOKUP(VALUE(S$1),Questions!$A:$E,5,FALSE),1,0)</f>
        <v>0</v>
      </c>
      <c r="BE174" s="4">
        <f>IF(T174=VLOOKUP(VALUE(T$1),Questions!$A:$E,5,FALSE),1,0)</f>
        <v>1</v>
      </c>
      <c r="BF174" s="4">
        <f>IF(U174=VLOOKUP(VALUE(U$1),Questions!$A:$E,5,FALSE),1,0)</f>
        <v>1</v>
      </c>
      <c r="BG174" s="4">
        <f>IF(V174=VLOOKUP(VALUE(V$1),Questions!$A:$E,5,FALSE),1,0)</f>
        <v>0</v>
      </c>
      <c r="BH174" s="4">
        <f>IF(W174=VLOOKUP(VALUE(W$1),Questions!$A:$E,5,FALSE),1,0)</f>
        <v>1</v>
      </c>
      <c r="BI174" s="4">
        <f>IF(X174=VLOOKUP(VALUE(X$1),Questions!$A:$E,5,FALSE),1,0)</f>
        <v>0</v>
      </c>
      <c r="BJ174" s="4">
        <f>IF(Y174=VLOOKUP(VALUE(Y$1),Questions!$A:$E,5,FALSE),1,0)</f>
        <v>0</v>
      </c>
      <c r="BK174" s="4">
        <f>IF(Z174=VLOOKUP(VALUE(Z$1),Questions!$A:$E,5,FALSE),1,0)</f>
        <v>0</v>
      </c>
      <c r="BL174" s="4">
        <f>IF(AA174=VLOOKUP(VALUE(AA$1),Questions!$A:$E,5,FALSE),1,0)</f>
        <v>0</v>
      </c>
      <c r="BM174" s="4">
        <f>IF(AB174=VLOOKUP(VALUE(AB$1),Questions!$A:$E,5,FALSE),1,0)</f>
        <v>1</v>
      </c>
      <c r="BN174" s="4">
        <f>IF(AC174=VLOOKUP(VALUE(AC$1),Questions!$A:$E,5,FALSE),1,0)</f>
        <v>1</v>
      </c>
      <c r="BO174" s="4">
        <f>IF(AD174=VLOOKUP(VALUE(AD$1),Questions!$A:$E,5,FALSE),1,0)</f>
        <v>0</v>
      </c>
      <c r="BP174" s="4">
        <f>IF(AE174=VLOOKUP(VALUE(AE$1),Questions!$A:$E,5,FALSE),1,0)</f>
        <v>0</v>
      </c>
      <c r="BQ174" s="4">
        <f>IF(AF174=VLOOKUP(VALUE(AF$1),Questions!$A:$E,5,FALSE),1,0)</f>
        <v>1</v>
      </c>
      <c r="BR174" s="4">
        <f>IF(AG174=VLOOKUP(VALUE(AG$1),Questions!$A:$E,5,FALSE),1,0)</f>
        <v>0</v>
      </c>
      <c r="BS174" s="4">
        <f>IF(AH174=VLOOKUP(VALUE(AH$1),Questions!$A:$E,5,FALSE),1,0)</f>
        <v>1</v>
      </c>
      <c r="BT174" s="4">
        <f>IF(AI174=VLOOKUP(VALUE(AI$1),Questions!$A:$E,5,FALSE),1,0)</f>
        <v>1</v>
      </c>
      <c r="BU174" s="4">
        <f>IF(AJ174=VLOOKUP(VALUE(AJ$1),Questions!$A:$E,5,FALSE),1,0)</f>
        <v>0</v>
      </c>
      <c r="BV174" s="4">
        <f>IF(AK174=VLOOKUP(VALUE(AK$1),Questions!$A:$E,5,FALSE),1,0)</f>
        <v>1</v>
      </c>
      <c r="BW174" s="87">
        <f>IF(AL174=VLOOKUP(VALUE(AL$1),Questions!$A:$E,5,FALSE),1,0)</f>
        <v>1</v>
      </c>
      <c r="BX174" s="4">
        <f>IF(Scores[[#This Row],[Final]]&gt;=65,1,0)</f>
        <v>0</v>
      </c>
      <c r="BY174" s="4">
        <f>IF(Scores[[#This Row],[Final]]&gt;=IF(Scores[[#This Row],[IEP]],55,65),1,0)</f>
        <v>0</v>
      </c>
    </row>
    <row r="175" spans="1:77" x14ac:dyDescent="0.2">
      <c r="A175" s="6">
        <v>174</v>
      </c>
      <c r="B175" s="4">
        <v>11</v>
      </c>
      <c r="C175" s="4" t="s">
        <v>964</v>
      </c>
      <c r="D175" s="105" t="b">
        <v>0</v>
      </c>
      <c r="E175" s="105" t="b">
        <v>1</v>
      </c>
      <c r="F175" s="86">
        <f>SUM(Scores[[#This Row],[Q1]:[Q28]])</f>
        <v>21</v>
      </c>
      <c r="G175" s="4">
        <f>SUM(Scores[[#This Row],[29]]:Scores[[#This Row],[30]])</f>
        <v>2</v>
      </c>
      <c r="H175" s="4">
        <f>SUM(Scores[[#This Row],[31]:[36]])</f>
        <v>6</v>
      </c>
      <c r="I175" s="4">
        <f>Scores[[#This Row],[37]]</f>
        <v>2</v>
      </c>
      <c r="J175" s="87">
        <f>INDEX('Conversion Chart'!$C$3:$M$47,MATCH(SUM(Scores[[#This Row],[MC]:[IIIA]]),'Conversion Chart'!$B$3:$B$47),MATCH(Scores[[#This Row],[IIIB]],'Conversion Chart'!$C$2:$M$2))</f>
        <v>72</v>
      </c>
      <c r="K175" s="103">
        <v>4</v>
      </c>
      <c r="L175" s="103">
        <v>2</v>
      </c>
      <c r="M175" s="103">
        <v>3</v>
      </c>
      <c r="N175" s="103">
        <v>3</v>
      </c>
      <c r="O175" s="103">
        <v>1</v>
      </c>
      <c r="P175" s="103">
        <v>4</v>
      </c>
      <c r="Q175" s="103">
        <v>3</v>
      </c>
      <c r="R175" s="103">
        <v>2</v>
      </c>
      <c r="S175" s="103">
        <v>2</v>
      </c>
      <c r="T175" s="103">
        <v>1</v>
      </c>
      <c r="U175" s="103">
        <v>2</v>
      </c>
      <c r="V175" s="103">
        <v>4</v>
      </c>
      <c r="W175" s="103">
        <v>2</v>
      </c>
      <c r="X175" s="103">
        <v>1</v>
      </c>
      <c r="Y175" s="103">
        <v>1</v>
      </c>
      <c r="Z175" s="103">
        <v>2</v>
      </c>
      <c r="AA175" s="103">
        <v>4</v>
      </c>
      <c r="AB175" s="103">
        <v>4</v>
      </c>
      <c r="AC175" s="103">
        <v>3</v>
      </c>
      <c r="AD175" s="103">
        <v>1</v>
      </c>
      <c r="AE175" s="103">
        <v>2</v>
      </c>
      <c r="AF175" s="103">
        <v>2</v>
      </c>
      <c r="AG175" s="103">
        <v>3</v>
      </c>
      <c r="AH175" s="103">
        <v>2</v>
      </c>
      <c r="AI175" s="103">
        <v>3</v>
      </c>
      <c r="AJ175" s="103">
        <v>4</v>
      </c>
      <c r="AK175" s="103">
        <v>1</v>
      </c>
      <c r="AL175" s="104">
        <v>3</v>
      </c>
      <c r="AM175" s="4">
        <v>1</v>
      </c>
      <c r="AN175" s="87">
        <v>1</v>
      </c>
      <c r="AO175" s="4">
        <v>1</v>
      </c>
      <c r="AP175" s="4">
        <v>1</v>
      </c>
      <c r="AQ175" s="4">
        <v>1</v>
      </c>
      <c r="AR175" s="4">
        <v>1</v>
      </c>
      <c r="AS175" s="4">
        <v>1</v>
      </c>
      <c r="AT175" s="4">
        <v>1</v>
      </c>
      <c r="AU175" s="107">
        <v>2</v>
      </c>
      <c r="AV175" s="4">
        <f>IF(K175=VLOOKUP(VALUE(K$1),Questions!$A:$E,5,FALSE),1,0)</f>
        <v>1</v>
      </c>
      <c r="AW175" s="4">
        <f>IF(L175=VLOOKUP(VALUE(L$1),Questions!$A:$E,5,FALSE),1,0)</f>
        <v>1</v>
      </c>
      <c r="AX175" s="4">
        <f>IF(M175=VLOOKUP(VALUE(M$1),Questions!$A:$E,5,FALSE),1,0)</f>
        <v>1</v>
      </c>
      <c r="AY175" s="4">
        <f>IF(N175=VLOOKUP(VALUE(N$1),Questions!$A:$E,5,FALSE),1,0)</f>
        <v>1</v>
      </c>
      <c r="AZ175" s="4">
        <f>IF(O175=VLOOKUP(VALUE(O$1),Questions!$A:$E,5,FALSE),1,0)</f>
        <v>1</v>
      </c>
      <c r="BA175" s="4">
        <f>IF(P175=VLOOKUP(VALUE(P$1),Questions!$A:$E,5,FALSE),1,0)</f>
        <v>1</v>
      </c>
      <c r="BB175" s="4">
        <f>IF(Q175=VLOOKUP(VALUE(Q$1),Questions!$A:$E,5,FALSE),1,0)</f>
        <v>1</v>
      </c>
      <c r="BC175" s="4">
        <f>IF(R175=VLOOKUP(VALUE(R$1),Questions!$A:$E,5,FALSE),1,0)</f>
        <v>1</v>
      </c>
      <c r="BD175" s="4">
        <f>IF(S175=VLOOKUP(VALUE(S$1),Questions!$A:$E,5,FALSE),1,0)</f>
        <v>1</v>
      </c>
      <c r="BE175" s="4">
        <f>IF(T175=VLOOKUP(VALUE(T$1),Questions!$A:$E,5,FALSE),1,0)</f>
        <v>1</v>
      </c>
      <c r="BF175" s="4">
        <f>IF(U175=VLOOKUP(VALUE(U$1),Questions!$A:$E,5,FALSE),1,0)</f>
        <v>1</v>
      </c>
      <c r="BG175" s="4">
        <f>IF(V175=VLOOKUP(VALUE(V$1),Questions!$A:$E,5,FALSE),1,0)</f>
        <v>1</v>
      </c>
      <c r="BH175" s="4">
        <f>IF(W175=VLOOKUP(VALUE(W$1),Questions!$A:$E,5,FALSE),1,0)</f>
        <v>1</v>
      </c>
      <c r="BI175" s="4">
        <f>IF(X175=VLOOKUP(VALUE(X$1),Questions!$A:$E,5,FALSE),1,0)</f>
        <v>0</v>
      </c>
      <c r="BJ175" s="4">
        <f>IF(Y175=VLOOKUP(VALUE(Y$1),Questions!$A:$E,5,FALSE),1,0)</f>
        <v>0</v>
      </c>
      <c r="BK175" s="4">
        <f>IF(Z175=VLOOKUP(VALUE(Z$1),Questions!$A:$E,5,FALSE),1,0)</f>
        <v>0</v>
      </c>
      <c r="BL175" s="4">
        <f>IF(AA175=VLOOKUP(VALUE(AA$1),Questions!$A:$E,5,FALSE),1,0)</f>
        <v>0</v>
      </c>
      <c r="BM175" s="4">
        <f>IF(AB175=VLOOKUP(VALUE(AB$1),Questions!$A:$E,5,FALSE),1,0)</f>
        <v>1</v>
      </c>
      <c r="BN175" s="4">
        <f>IF(AC175=VLOOKUP(VALUE(AC$1),Questions!$A:$E,5,FALSE),1,0)</f>
        <v>1</v>
      </c>
      <c r="BO175" s="4">
        <f>IF(AD175=VLOOKUP(VALUE(AD$1),Questions!$A:$E,5,FALSE),1,0)</f>
        <v>0</v>
      </c>
      <c r="BP175" s="4">
        <f>IF(AE175=VLOOKUP(VALUE(AE$1),Questions!$A:$E,5,FALSE),1,0)</f>
        <v>1</v>
      </c>
      <c r="BQ175" s="4">
        <f>IF(AF175=VLOOKUP(VALUE(AF$1),Questions!$A:$E,5,FALSE),1,0)</f>
        <v>1</v>
      </c>
      <c r="BR175" s="4">
        <f>IF(AG175=VLOOKUP(VALUE(AG$1),Questions!$A:$E,5,FALSE),1,0)</f>
        <v>1</v>
      </c>
      <c r="BS175" s="4">
        <f>IF(AH175=VLOOKUP(VALUE(AH$1),Questions!$A:$E,5,FALSE),1,0)</f>
        <v>0</v>
      </c>
      <c r="BT175" s="4">
        <f>IF(AI175=VLOOKUP(VALUE(AI$1),Questions!$A:$E,5,FALSE),1,0)</f>
        <v>0</v>
      </c>
      <c r="BU175" s="4">
        <f>IF(AJ175=VLOOKUP(VALUE(AJ$1),Questions!$A:$E,5,FALSE),1,0)</f>
        <v>1</v>
      </c>
      <c r="BV175" s="4">
        <f>IF(AK175=VLOOKUP(VALUE(AK$1),Questions!$A:$E,5,FALSE),1,0)</f>
        <v>1</v>
      </c>
      <c r="BW175" s="87">
        <f>IF(AL175=VLOOKUP(VALUE(AL$1),Questions!$A:$E,5,FALSE),1,0)</f>
        <v>1</v>
      </c>
      <c r="BX175" s="4">
        <f>IF(Scores[[#This Row],[Final]]&gt;=65,1,0)</f>
        <v>1</v>
      </c>
      <c r="BY175" s="4">
        <f>IF(Scores[[#This Row],[Final]]&gt;=IF(Scores[[#This Row],[IEP]],55,65),1,0)</f>
        <v>1</v>
      </c>
    </row>
    <row r="176" spans="1:77" x14ac:dyDescent="0.2">
      <c r="A176" s="6">
        <v>175</v>
      </c>
      <c r="B176" s="4">
        <v>9</v>
      </c>
      <c r="C176" s="4" t="s">
        <v>963</v>
      </c>
      <c r="D176" s="105" t="b">
        <v>0</v>
      </c>
      <c r="E176" s="105" t="b">
        <v>0</v>
      </c>
      <c r="F176" s="86">
        <f>SUM(Scores[[#This Row],[Q1]:[Q28]])</f>
        <v>18</v>
      </c>
      <c r="G176" s="4">
        <f>SUM(Scores[[#This Row],[29]]:Scores[[#This Row],[30]])</f>
        <v>4</v>
      </c>
      <c r="H176" s="4">
        <f>SUM(Scores[[#This Row],[31]:[36]])</f>
        <v>6</v>
      </c>
      <c r="I176" s="4">
        <f>Scores[[#This Row],[37]]</f>
        <v>2</v>
      </c>
      <c r="J176" s="87">
        <f>INDEX('Conversion Chart'!$C$3:$M$47,MATCH(SUM(Scores[[#This Row],[MC]:[IIIA]]),'Conversion Chart'!$B$3:$B$47),MATCH(Scores[[#This Row],[IIIB]],'Conversion Chart'!$C$2:$M$2))</f>
        <v>71</v>
      </c>
      <c r="K176" s="103">
        <v>4</v>
      </c>
      <c r="L176" s="103">
        <v>1</v>
      </c>
      <c r="M176" s="103">
        <v>3</v>
      </c>
      <c r="N176" s="103">
        <v>1</v>
      </c>
      <c r="O176" s="103">
        <v>1</v>
      </c>
      <c r="P176" s="103">
        <v>4</v>
      </c>
      <c r="Q176" s="103">
        <v>3</v>
      </c>
      <c r="R176" s="103">
        <v>2</v>
      </c>
      <c r="S176" s="103">
        <v>2</v>
      </c>
      <c r="T176" s="103">
        <v>1</v>
      </c>
      <c r="U176" s="103">
        <v>2</v>
      </c>
      <c r="V176" s="103">
        <v>1</v>
      </c>
      <c r="W176" s="103">
        <v>2</v>
      </c>
      <c r="X176" s="103">
        <v>4</v>
      </c>
      <c r="Y176" s="103">
        <v>1</v>
      </c>
      <c r="Z176" s="103">
        <v>4</v>
      </c>
      <c r="AA176" s="103">
        <v>1</v>
      </c>
      <c r="AB176" s="103">
        <v>4</v>
      </c>
      <c r="AC176" s="103">
        <v>3</v>
      </c>
      <c r="AD176" s="103">
        <v>1</v>
      </c>
      <c r="AE176" s="103">
        <v>2</v>
      </c>
      <c r="AF176" s="103">
        <v>4</v>
      </c>
      <c r="AG176" s="103">
        <v>3</v>
      </c>
      <c r="AH176" s="103">
        <v>2</v>
      </c>
      <c r="AI176" s="103">
        <v>3</v>
      </c>
      <c r="AJ176" s="103">
        <v>4</v>
      </c>
      <c r="AK176" s="103">
        <v>4</v>
      </c>
      <c r="AL176" s="104">
        <v>3</v>
      </c>
      <c r="AM176" s="4">
        <v>3</v>
      </c>
      <c r="AN176" s="87">
        <v>1</v>
      </c>
      <c r="AO176" s="4">
        <v>1</v>
      </c>
      <c r="AP176" s="4">
        <v>1</v>
      </c>
      <c r="AQ176" s="4">
        <v>1</v>
      </c>
      <c r="AR176" s="4">
        <v>1</v>
      </c>
      <c r="AS176" s="4">
        <v>1</v>
      </c>
      <c r="AT176" s="4">
        <v>1</v>
      </c>
      <c r="AU176" s="107">
        <v>2</v>
      </c>
      <c r="AV176" s="4">
        <f>IF(K176=VLOOKUP(VALUE(K$1),Questions!$A:$E,5,FALSE),1,0)</f>
        <v>1</v>
      </c>
      <c r="AW176" s="4">
        <f>IF(L176=VLOOKUP(VALUE(L$1),Questions!$A:$E,5,FALSE),1,0)</f>
        <v>0</v>
      </c>
      <c r="AX176" s="4">
        <f>IF(M176=VLOOKUP(VALUE(M$1),Questions!$A:$E,5,FALSE),1,0)</f>
        <v>1</v>
      </c>
      <c r="AY176" s="4">
        <f>IF(N176=VLOOKUP(VALUE(N$1),Questions!$A:$E,5,FALSE),1,0)</f>
        <v>0</v>
      </c>
      <c r="AZ176" s="4">
        <f>IF(O176=VLOOKUP(VALUE(O$1),Questions!$A:$E,5,FALSE),1,0)</f>
        <v>1</v>
      </c>
      <c r="BA176" s="4">
        <f>IF(P176=VLOOKUP(VALUE(P$1),Questions!$A:$E,5,FALSE),1,0)</f>
        <v>1</v>
      </c>
      <c r="BB176" s="4">
        <f>IF(Q176=VLOOKUP(VALUE(Q$1),Questions!$A:$E,5,FALSE),1,0)</f>
        <v>1</v>
      </c>
      <c r="BC176" s="4">
        <f>IF(R176=VLOOKUP(VALUE(R$1),Questions!$A:$E,5,FALSE),1,0)</f>
        <v>1</v>
      </c>
      <c r="BD176" s="4">
        <f>IF(S176=VLOOKUP(VALUE(S$1),Questions!$A:$E,5,FALSE),1,0)</f>
        <v>1</v>
      </c>
      <c r="BE176" s="4">
        <f>IF(T176=VLOOKUP(VALUE(T$1),Questions!$A:$E,5,FALSE),1,0)</f>
        <v>1</v>
      </c>
      <c r="BF176" s="4">
        <f>IF(U176=VLOOKUP(VALUE(U$1),Questions!$A:$E,5,FALSE),1,0)</f>
        <v>1</v>
      </c>
      <c r="BG176" s="4">
        <f>IF(V176=VLOOKUP(VALUE(V$1),Questions!$A:$E,5,FALSE),1,0)</f>
        <v>0</v>
      </c>
      <c r="BH176" s="4">
        <f>IF(W176=VLOOKUP(VALUE(W$1),Questions!$A:$E,5,FALSE),1,0)</f>
        <v>1</v>
      </c>
      <c r="BI176" s="4">
        <f>IF(X176=VLOOKUP(VALUE(X$1),Questions!$A:$E,5,FALSE),1,0)</f>
        <v>1</v>
      </c>
      <c r="BJ176" s="4">
        <f>IF(Y176=VLOOKUP(VALUE(Y$1),Questions!$A:$E,5,FALSE),1,0)</f>
        <v>0</v>
      </c>
      <c r="BK176" s="4">
        <f>IF(Z176=VLOOKUP(VALUE(Z$1),Questions!$A:$E,5,FALSE),1,0)</f>
        <v>0</v>
      </c>
      <c r="BL176" s="4">
        <f>IF(AA176=VLOOKUP(VALUE(AA$1),Questions!$A:$E,5,FALSE),1,0)</f>
        <v>1</v>
      </c>
      <c r="BM176" s="4">
        <f>IF(AB176=VLOOKUP(VALUE(AB$1),Questions!$A:$E,5,FALSE),1,0)</f>
        <v>1</v>
      </c>
      <c r="BN176" s="4">
        <f>IF(AC176=VLOOKUP(VALUE(AC$1),Questions!$A:$E,5,FALSE),1,0)</f>
        <v>1</v>
      </c>
      <c r="BO176" s="4">
        <f>IF(AD176=VLOOKUP(VALUE(AD$1),Questions!$A:$E,5,FALSE),1,0)</f>
        <v>0</v>
      </c>
      <c r="BP176" s="4">
        <f>IF(AE176=VLOOKUP(VALUE(AE$1),Questions!$A:$E,5,FALSE),1,0)</f>
        <v>1</v>
      </c>
      <c r="BQ176" s="4">
        <f>IF(AF176=VLOOKUP(VALUE(AF$1),Questions!$A:$E,5,FALSE),1,0)</f>
        <v>0</v>
      </c>
      <c r="BR176" s="4">
        <f>IF(AG176=VLOOKUP(VALUE(AG$1),Questions!$A:$E,5,FALSE),1,0)</f>
        <v>1</v>
      </c>
      <c r="BS176" s="4">
        <f>IF(AH176=VLOOKUP(VALUE(AH$1),Questions!$A:$E,5,FALSE),1,0)</f>
        <v>0</v>
      </c>
      <c r="BT176" s="4">
        <f>IF(AI176=VLOOKUP(VALUE(AI$1),Questions!$A:$E,5,FALSE),1,0)</f>
        <v>0</v>
      </c>
      <c r="BU176" s="4">
        <f>IF(AJ176=VLOOKUP(VALUE(AJ$1),Questions!$A:$E,5,FALSE),1,0)</f>
        <v>1</v>
      </c>
      <c r="BV176" s="4">
        <f>IF(AK176=VLOOKUP(VALUE(AK$1),Questions!$A:$E,5,FALSE),1,0)</f>
        <v>0</v>
      </c>
      <c r="BW176" s="87">
        <f>IF(AL176=VLOOKUP(VALUE(AL$1),Questions!$A:$E,5,FALSE),1,0)</f>
        <v>1</v>
      </c>
      <c r="BX176" s="4">
        <f>IF(Scores[[#This Row],[Final]]&gt;=65,1,0)</f>
        <v>1</v>
      </c>
      <c r="BY176" s="4">
        <f>IF(Scores[[#This Row],[Final]]&gt;=IF(Scores[[#This Row],[IEP]],55,65),1,0)</f>
        <v>1</v>
      </c>
    </row>
    <row r="177" spans="1:77" x14ac:dyDescent="0.2">
      <c r="A177" s="6">
        <v>176</v>
      </c>
      <c r="B177" s="4">
        <v>9</v>
      </c>
      <c r="C177" s="4" t="s">
        <v>963</v>
      </c>
      <c r="D177" s="105" t="b">
        <v>0</v>
      </c>
      <c r="E177" s="105" t="b">
        <v>0</v>
      </c>
      <c r="F177" s="86">
        <f>SUM(Scores[[#This Row],[Q1]:[Q28]])</f>
        <v>25</v>
      </c>
      <c r="G177" s="4">
        <f>SUM(Scores[[#This Row],[29]]:Scores[[#This Row],[30]])</f>
        <v>6</v>
      </c>
      <c r="H177" s="4">
        <f>SUM(Scores[[#This Row],[31]:[36]])</f>
        <v>6</v>
      </c>
      <c r="I177" s="4">
        <f>Scores[[#This Row],[37]]</f>
        <v>4</v>
      </c>
      <c r="J177" s="87">
        <f>INDEX('Conversion Chart'!$C$3:$M$47,MATCH(SUM(Scores[[#This Row],[MC]:[IIIA]]),'Conversion Chart'!$B$3:$B$47),MATCH(Scores[[#This Row],[IIIB]],'Conversion Chart'!$C$2:$M$2))</f>
        <v>86</v>
      </c>
      <c r="K177" s="103">
        <v>4</v>
      </c>
      <c r="L177" s="103">
        <v>2</v>
      </c>
      <c r="M177" s="103">
        <v>3</v>
      </c>
      <c r="N177" s="103">
        <v>4</v>
      </c>
      <c r="O177" s="103">
        <v>1</v>
      </c>
      <c r="P177" s="103">
        <v>4</v>
      </c>
      <c r="Q177" s="103">
        <v>3</v>
      </c>
      <c r="R177" s="103">
        <v>2</v>
      </c>
      <c r="S177" s="103">
        <v>2</v>
      </c>
      <c r="T177" s="103">
        <v>1</v>
      </c>
      <c r="U177" s="103">
        <v>2</v>
      </c>
      <c r="V177" s="103">
        <v>4</v>
      </c>
      <c r="W177" s="103">
        <v>3</v>
      </c>
      <c r="X177" s="103">
        <v>4</v>
      </c>
      <c r="Y177" s="103">
        <v>3</v>
      </c>
      <c r="Z177" s="103">
        <v>1</v>
      </c>
      <c r="AA177" s="103">
        <v>1</v>
      </c>
      <c r="AB177" s="103">
        <v>4</v>
      </c>
      <c r="AC177" s="103">
        <v>3</v>
      </c>
      <c r="AD177" s="103">
        <v>4</v>
      </c>
      <c r="AE177" s="103">
        <v>2</v>
      </c>
      <c r="AF177" s="103">
        <v>2</v>
      </c>
      <c r="AG177" s="103">
        <v>3</v>
      </c>
      <c r="AH177" s="103">
        <v>3</v>
      </c>
      <c r="AI177" s="103">
        <v>4</v>
      </c>
      <c r="AJ177" s="103">
        <v>4</v>
      </c>
      <c r="AK177" s="103">
        <v>1</v>
      </c>
      <c r="AL177" s="104">
        <v>3</v>
      </c>
      <c r="AM177" s="4">
        <v>3</v>
      </c>
      <c r="AN177" s="87">
        <v>3</v>
      </c>
      <c r="AO177" s="4">
        <v>1</v>
      </c>
      <c r="AP177" s="4">
        <v>1</v>
      </c>
      <c r="AQ177" s="4">
        <v>1</v>
      </c>
      <c r="AR177" s="4">
        <v>1</v>
      </c>
      <c r="AS177" s="4">
        <v>1</v>
      </c>
      <c r="AT177" s="4">
        <v>1</v>
      </c>
      <c r="AU177" s="107">
        <v>4</v>
      </c>
      <c r="AV177" s="4">
        <f>IF(K177=VLOOKUP(VALUE(K$1),Questions!$A:$E,5,FALSE),1,0)</f>
        <v>1</v>
      </c>
      <c r="AW177" s="4">
        <f>IF(L177=VLOOKUP(VALUE(L$1),Questions!$A:$E,5,FALSE),1,0)</f>
        <v>1</v>
      </c>
      <c r="AX177" s="4">
        <f>IF(M177=VLOOKUP(VALUE(M$1),Questions!$A:$E,5,FALSE),1,0)</f>
        <v>1</v>
      </c>
      <c r="AY177" s="4">
        <f>IF(N177=VLOOKUP(VALUE(N$1),Questions!$A:$E,5,FALSE),1,0)</f>
        <v>0</v>
      </c>
      <c r="AZ177" s="4">
        <f>IF(O177=VLOOKUP(VALUE(O$1),Questions!$A:$E,5,FALSE),1,0)</f>
        <v>1</v>
      </c>
      <c r="BA177" s="4">
        <f>IF(P177=VLOOKUP(VALUE(P$1),Questions!$A:$E,5,FALSE),1,0)</f>
        <v>1</v>
      </c>
      <c r="BB177" s="4">
        <f>IF(Q177=VLOOKUP(VALUE(Q$1),Questions!$A:$E,5,FALSE),1,0)</f>
        <v>1</v>
      </c>
      <c r="BC177" s="4">
        <f>IF(R177=VLOOKUP(VALUE(R$1),Questions!$A:$E,5,FALSE),1,0)</f>
        <v>1</v>
      </c>
      <c r="BD177" s="4">
        <f>IF(S177=VLOOKUP(VALUE(S$1),Questions!$A:$E,5,FALSE),1,0)</f>
        <v>1</v>
      </c>
      <c r="BE177" s="4">
        <f>IF(T177=VLOOKUP(VALUE(T$1),Questions!$A:$E,5,FALSE),1,0)</f>
        <v>1</v>
      </c>
      <c r="BF177" s="4">
        <f>IF(U177=VLOOKUP(VALUE(U$1),Questions!$A:$E,5,FALSE),1,0)</f>
        <v>1</v>
      </c>
      <c r="BG177" s="4">
        <f>IF(V177=VLOOKUP(VALUE(V$1),Questions!$A:$E,5,FALSE),1,0)</f>
        <v>1</v>
      </c>
      <c r="BH177" s="4">
        <f>IF(W177=VLOOKUP(VALUE(W$1),Questions!$A:$E,5,FALSE),1,0)</f>
        <v>0</v>
      </c>
      <c r="BI177" s="4">
        <f>IF(X177=VLOOKUP(VALUE(X$1),Questions!$A:$E,5,FALSE),1,0)</f>
        <v>1</v>
      </c>
      <c r="BJ177" s="4">
        <f>IF(Y177=VLOOKUP(VALUE(Y$1),Questions!$A:$E,5,FALSE),1,0)</f>
        <v>1</v>
      </c>
      <c r="BK177" s="4">
        <f>IF(Z177=VLOOKUP(VALUE(Z$1),Questions!$A:$E,5,FALSE),1,0)</f>
        <v>1</v>
      </c>
      <c r="BL177" s="4">
        <f>IF(AA177=VLOOKUP(VALUE(AA$1),Questions!$A:$E,5,FALSE),1,0)</f>
        <v>1</v>
      </c>
      <c r="BM177" s="4">
        <f>IF(AB177=VLOOKUP(VALUE(AB$1),Questions!$A:$E,5,FALSE),1,0)</f>
        <v>1</v>
      </c>
      <c r="BN177" s="4">
        <f>IF(AC177=VLOOKUP(VALUE(AC$1),Questions!$A:$E,5,FALSE),1,0)</f>
        <v>1</v>
      </c>
      <c r="BO177" s="4">
        <f>IF(AD177=VLOOKUP(VALUE(AD$1),Questions!$A:$E,5,FALSE),1,0)</f>
        <v>1</v>
      </c>
      <c r="BP177" s="4">
        <f>IF(AE177=VLOOKUP(VALUE(AE$1),Questions!$A:$E,5,FALSE),1,0)</f>
        <v>1</v>
      </c>
      <c r="BQ177" s="4">
        <f>IF(AF177=VLOOKUP(VALUE(AF$1),Questions!$A:$E,5,FALSE),1,0)</f>
        <v>1</v>
      </c>
      <c r="BR177" s="4">
        <f>IF(AG177=VLOOKUP(VALUE(AG$1),Questions!$A:$E,5,FALSE),1,0)</f>
        <v>1</v>
      </c>
      <c r="BS177" s="4">
        <f>IF(AH177=VLOOKUP(VALUE(AH$1),Questions!$A:$E,5,FALSE),1,0)</f>
        <v>1</v>
      </c>
      <c r="BT177" s="4">
        <f>IF(AI177=VLOOKUP(VALUE(AI$1),Questions!$A:$E,5,FALSE),1,0)</f>
        <v>0</v>
      </c>
      <c r="BU177" s="4">
        <f>IF(AJ177=VLOOKUP(VALUE(AJ$1),Questions!$A:$E,5,FALSE),1,0)</f>
        <v>1</v>
      </c>
      <c r="BV177" s="4">
        <f>IF(AK177=VLOOKUP(VALUE(AK$1),Questions!$A:$E,5,FALSE),1,0)</f>
        <v>1</v>
      </c>
      <c r="BW177" s="87">
        <f>IF(AL177=VLOOKUP(VALUE(AL$1),Questions!$A:$E,5,FALSE),1,0)</f>
        <v>1</v>
      </c>
      <c r="BX177" s="4">
        <f>IF(Scores[[#This Row],[Final]]&gt;=65,1,0)</f>
        <v>1</v>
      </c>
      <c r="BY177" s="4">
        <f>IF(Scores[[#This Row],[Final]]&gt;=IF(Scores[[#This Row],[IEP]],55,65),1,0)</f>
        <v>1</v>
      </c>
    </row>
    <row r="178" spans="1:77" x14ac:dyDescent="0.2">
      <c r="A178" s="6">
        <v>177</v>
      </c>
      <c r="B178" s="4">
        <v>11</v>
      </c>
      <c r="C178" s="4" t="s">
        <v>962</v>
      </c>
      <c r="D178" s="105" t="b">
        <v>0</v>
      </c>
      <c r="E178" s="105" t="b">
        <v>0</v>
      </c>
      <c r="F178" s="86">
        <f>SUM(Scores[[#This Row],[Q1]:[Q28]])</f>
        <v>19</v>
      </c>
      <c r="G178" s="4">
        <f>SUM(Scores[[#This Row],[29]]:Scores[[#This Row],[30]])</f>
        <v>4</v>
      </c>
      <c r="H178" s="4">
        <f>SUM(Scores[[#This Row],[31]:[36]])</f>
        <v>6</v>
      </c>
      <c r="I178" s="4">
        <f>Scores[[#This Row],[37]]</f>
        <v>1</v>
      </c>
      <c r="J178" s="87">
        <f>INDEX('Conversion Chart'!$C$3:$M$47,MATCH(SUM(Scores[[#This Row],[MC]:[IIIA]]),'Conversion Chart'!$B$3:$B$47),MATCH(Scores[[#This Row],[IIIB]],'Conversion Chart'!$C$2:$M$2))</f>
        <v>69</v>
      </c>
      <c r="K178" s="103">
        <v>4</v>
      </c>
      <c r="L178" s="103">
        <v>2</v>
      </c>
      <c r="M178" s="103">
        <v>3</v>
      </c>
      <c r="N178" s="103">
        <v>3</v>
      </c>
      <c r="O178" s="103">
        <v>1</v>
      </c>
      <c r="P178" s="103">
        <v>3</v>
      </c>
      <c r="Q178" s="103">
        <v>3</v>
      </c>
      <c r="R178" s="103">
        <v>2</v>
      </c>
      <c r="S178" s="103">
        <v>4</v>
      </c>
      <c r="T178" s="103">
        <v>1</v>
      </c>
      <c r="U178" s="103">
        <v>2</v>
      </c>
      <c r="V178" s="103">
        <v>3</v>
      </c>
      <c r="W178" s="103">
        <v>2</v>
      </c>
      <c r="X178" s="103">
        <v>4</v>
      </c>
      <c r="Y178" s="103">
        <v>1</v>
      </c>
      <c r="Z178" s="103">
        <v>4</v>
      </c>
      <c r="AA178" s="103">
        <v>3</v>
      </c>
      <c r="AB178" s="103">
        <v>4</v>
      </c>
      <c r="AC178" s="103">
        <v>3</v>
      </c>
      <c r="AD178" s="103">
        <v>4</v>
      </c>
      <c r="AE178" s="103">
        <v>2</v>
      </c>
      <c r="AF178" s="103">
        <v>1</v>
      </c>
      <c r="AG178" s="103">
        <v>3</v>
      </c>
      <c r="AH178" s="103">
        <v>3</v>
      </c>
      <c r="AI178" s="103">
        <v>1</v>
      </c>
      <c r="AJ178" s="103">
        <v>4</v>
      </c>
      <c r="AK178" s="103">
        <v>2</v>
      </c>
      <c r="AL178" s="104">
        <v>2</v>
      </c>
      <c r="AM178" s="4">
        <v>3</v>
      </c>
      <c r="AN178" s="87">
        <v>1</v>
      </c>
      <c r="AO178" s="4">
        <v>1</v>
      </c>
      <c r="AP178" s="4">
        <v>1</v>
      </c>
      <c r="AQ178" s="4">
        <v>1</v>
      </c>
      <c r="AR178" s="4">
        <v>1</v>
      </c>
      <c r="AS178" s="4">
        <v>1</v>
      </c>
      <c r="AT178" s="4">
        <v>1</v>
      </c>
      <c r="AU178" s="107">
        <v>1</v>
      </c>
      <c r="AV178" s="4">
        <f>IF(K178=VLOOKUP(VALUE(K$1),Questions!$A:$E,5,FALSE),1,0)</f>
        <v>1</v>
      </c>
      <c r="AW178" s="4">
        <f>IF(L178=VLOOKUP(VALUE(L$1),Questions!$A:$E,5,FALSE),1,0)</f>
        <v>1</v>
      </c>
      <c r="AX178" s="4">
        <f>IF(M178=VLOOKUP(VALUE(M$1),Questions!$A:$E,5,FALSE),1,0)</f>
        <v>1</v>
      </c>
      <c r="AY178" s="4">
        <f>IF(N178=VLOOKUP(VALUE(N$1),Questions!$A:$E,5,FALSE),1,0)</f>
        <v>1</v>
      </c>
      <c r="AZ178" s="4">
        <f>IF(O178=VLOOKUP(VALUE(O$1),Questions!$A:$E,5,FALSE),1,0)</f>
        <v>1</v>
      </c>
      <c r="BA178" s="4">
        <f>IF(P178=VLOOKUP(VALUE(P$1),Questions!$A:$E,5,FALSE),1,0)</f>
        <v>0</v>
      </c>
      <c r="BB178" s="4">
        <f>IF(Q178=VLOOKUP(VALUE(Q$1),Questions!$A:$E,5,FALSE),1,0)</f>
        <v>1</v>
      </c>
      <c r="BC178" s="4">
        <f>IF(R178=VLOOKUP(VALUE(R$1),Questions!$A:$E,5,FALSE),1,0)</f>
        <v>1</v>
      </c>
      <c r="BD178" s="4">
        <f>IF(S178=VLOOKUP(VALUE(S$1),Questions!$A:$E,5,FALSE),1,0)</f>
        <v>0</v>
      </c>
      <c r="BE178" s="4">
        <f>IF(T178=VLOOKUP(VALUE(T$1),Questions!$A:$E,5,FALSE),1,0)</f>
        <v>1</v>
      </c>
      <c r="BF178" s="4">
        <f>IF(U178=VLOOKUP(VALUE(U$1),Questions!$A:$E,5,FALSE),1,0)</f>
        <v>1</v>
      </c>
      <c r="BG178" s="4">
        <f>IF(V178=VLOOKUP(VALUE(V$1),Questions!$A:$E,5,FALSE),1,0)</f>
        <v>0</v>
      </c>
      <c r="BH178" s="4">
        <f>IF(W178=VLOOKUP(VALUE(W$1),Questions!$A:$E,5,FALSE),1,0)</f>
        <v>1</v>
      </c>
      <c r="BI178" s="4">
        <f>IF(X178=VLOOKUP(VALUE(X$1),Questions!$A:$E,5,FALSE),1,0)</f>
        <v>1</v>
      </c>
      <c r="BJ178" s="4">
        <f>IF(Y178=VLOOKUP(VALUE(Y$1),Questions!$A:$E,5,FALSE),1,0)</f>
        <v>0</v>
      </c>
      <c r="BK178" s="4">
        <f>IF(Z178=VLOOKUP(VALUE(Z$1),Questions!$A:$E,5,FALSE),1,0)</f>
        <v>0</v>
      </c>
      <c r="BL178" s="4">
        <f>IF(AA178=VLOOKUP(VALUE(AA$1),Questions!$A:$E,5,FALSE),1,0)</f>
        <v>0</v>
      </c>
      <c r="BM178" s="4">
        <f>IF(AB178=VLOOKUP(VALUE(AB$1),Questions!$A:$E,5,FALSE),1,0)</f>
        <v>1</v>
      </c>
      <c r="BN178" s="4">
        <f>IF(AC178=VLOOKUP(VALUE(AC$1),Questions!$A:$E,5,FALSE),1,0)</f>
        <v>1</v>
      </c>
      <c r="BO178" s="4">
        <f>IF(AD178=VLOOKUP(VALUE(AD$1),Questions!$A:$E,5,FALSE),1,0)</f>
        <v>1</v>
      </c>
      <c r="BP178" s="4">
        <f>IF(AE178=VLOOKUP(VALUE(AE$1),Questions!$A:$E,5,FALSE),1,0)</f>
        <v>1</v>
      </c>
      <c r="BQ178" s="4">
        <f>IF(AF178=VLOOKUP(VALUE(AF$1),Questions!$A:$E,5,FALSE),1,0)</f>
        <v>0</v>
      </c>
      <c r="BR178" s="4">
        <f>IF(AG178=VLOOKUP(VALUE(AG$1),Questions!$A:$E,5,FALSE),1,0)</f>
        <v>1</v>
      </c>
      <c r="BS178" s="4">
        <f>IF(AH178=VLOOKUP(VALUE(AH$1),Questions!$A:$E,5,FALSE),1,0)</f>
        <v>1</v>
      </c>
      <c r="BT178" s="4">
        <f>IF(AI178=VLOOKUP(VALUE(AI$1),Questions!$A:$E,5,FALSE),1,0)</f>
        <v>1</v>
      </c>
      <c r="BU178" s="4">
        <f>IF(AJ178=VLOOKUP(VALUE(AJ$1),Questions!$A:$E,5,FALSE),1,0)</f>
        <v>1</v>
      </c>
      <c r="BV178" s="4">
        <f>IF(AK178=VLOOKUP(VALUE(AK$1),Questions!$A:$E,5,FALSE),1,0)</f>
        <v>0</v>
      </c>
      <c r="BW178" s="87">
        <f>IF(AL178=VLOOKUP(VALUE(AL$1),Questions!$A:$E,5,FALSE),1,0)</f>
        <v>0</v>
      </c>
      <c r="BX178" s="4">
        <f>IF(Scores[[#This Row],[Final]]&gt;=65,1,0)</f>
        <v>1</v>
      </c>
      <c r="BY178" s="4">
        <f>IF(Scores[[#This Row],[Final]]&gt;=IF(Scores[[#This Row],[IEP]],55,65),1,0)</f>
        <v>1</v>
      </c>
    </row>
    <row r="179" spans="1:77" x14ac:dyDescent="0.2">
      <c r="A179" s="6">
        <v>178</v>
      </c>
      <c r="B179" s="4">
        <v>9</v>
      </c>
      <c r="C179" s="4" t="s">
        <v>963</v>
      </c>
      <c r="D179" s="105" t="b">
        <v>0</v>
      </c>
      <c r="E179" s="105" t="b">
        <v>0</v>
      </c>
      <c r="F179" s="86">
        <f>SUM(Scores[[#This Row],[Q1]:[Q28]])</f>
        <v>21</v>
      </c>
      <c r="G179" s="4">
        <f>SUM(Scores[[#This Row],[29]]:Scores[[#This Row],[30]])</f>
        <v>3</v>
      </c>
      <c r="H179" s="4">
        <f>SUM(Scores[[#This Row],[31]:[36]])</f>
        <v>6</v>
      </c>
      <c r="I179" s="4">
        <f>Scores[[#This Row],[37]]</f>
        <v>2</v>
      </c>
      <c r="J179" s="87">
        <f>INDEX('Conversion Chart'!$C$3:$M$47,MATCH(SUM(Scores[[#This Row],[MC]:[IIIA]]),'Conversion Chart'!$B$3:$B$47),MATCH(Scores[[#This Row],[IIIB]],'Conversion Chart'!$C$2:$M$2))</f>
        <v>73</v>
      </c>
      <c r="K179" s="103">
        <v>4</v>
      </c>
      <c r="L179" s="103">
        <v>2</v>
      </c>
      <c r="M179" s="103">
        <v>3</v>
      </c>
      <c r="N179" s="103">
        <v>3</v>
      </c>
      <c r="O179" s="103">
        <v>1</v>
      </c>
      <c r="P179" s="103">
        <v>1</v>
      </c>
      <c r="Q179" s="103">
        <v>3</v>
      </c>
      <c r="R179" s="103">
        <v>2</v>
      </c>
      <c r="S179" s="103">
        <v>2</v>
      </c>
      <c r="T179" s="103">
        <v>1</v>
      </c>
      <c r="U179" s="103">
        <v>2</v>
      </c>
      <c r="V179" s="103">
        <v>4</v>
      </c>
      <c r="W179" s="103">
        <v>3</v>
      </c>
      <c r="X179" s="103">
        <v>4</v>
      </c>
      <c r="Y179" s="103">
        <v>4</v>
      </c>
      <c r="Z179" s="103">
        <v>4</v>
      </c>
      <c r="AA179" s="103">
        <v>1</v>
      </c>
      <c r="AB179" s="103">
        <v>4</v>
      </c>
      <c r="AC179" s="103">
        <v>3</v>
      </c>
      <c r="AD179" s="103">
        <v>1</v>
      </c>
      <c r="AE179" s="103">
        <v>2</v>
      </c>
      <c r="AF179" s="103">
        <v>2</v>
      </c>
      <c r="AG179" s="103">
        <v>3</v>
      </c>
      <c r="AH179" s="103">
        <v>2</v>
      </c>
      <c r="AI179" s="103">
        <v>3</v>
      </c>
      <c r="AJ179" s="103">
        <v>4</v>
      </c>
      <c r="AK179" s="103">
        <v>1</v>
      </c>
      <c r="AL179" s="104">
        <v>3</v>
      </c>
      <c r="AM179" s="4">
        <v>2</v>
      </c>
      <c r="AN179" s="87">
        <v>1</v>
      </c>
      <c r="AO179" s="4">
        <v>1</v>
      </c>
      <c r="AP179" s="4">
        <v>1</v>
      </c>
      <c r="AQ179" s="4">
        <v>1</v>
      </c>
      <c r="AR179" s="4">
        <v>1</v>
      </c>
      <c r="AS179" s="4">
        <v>1</v>
      </c>
      <c r="AT179" s="4">
        <v>1</v>
      </c>
      <c r="AU179" s="107">
        <v>2</v>
      </c>
      <c r="AV179" s="4">
        <f>IF(K179=VLOOKUP(VALUE(K$1),Questions!$A:$E,5,FALSE),1,0)</f>
        <v>1</v>
      </c>
      <c r="AW179" s="4">
        <f>IF(L179=VLOOKUP(VALUE(L$1),Questions!$A:$E,5,FALSE),1,0)</f>
        <v>1</v>
      </c>
      <c r="AX179" s="4">
        <f>IF(M179=VLOOKUP(VALUE(M$1),Questions!$A:$E,5,FALSE),1,0)</f>
        <v>1</v>
      </c>
      <c r="AY179" s="4">
        <f>IF(N179=VLOOKUP(VALUE(N$1),Questions!$A:$E,5,FALSE),1,0)</f>
        <v>1</v>
      </c>
      <c r="AZ179" s="4">
        <f>IF(O179=VLOOKUP(VALUE(O$1),Questions!$A:$E,5,FALSE),1,0)</f>
        <v>1</v>
      </c>
      <c r="BA179" s="4">
        <f>IF(P179=VLOOKUP(VALUE(P$1),Questions!$A:$E,5,FALSE),1,0)</f>
        <v>0</v>
      </c>
      <c r="BB179" s="4">
        <f>IF(Q179=VLOOKUP(VALUE(Q$1),Questions!$A:$E,5,FALSE),1,0)</f>
        <v>1</v>
      </c>
      <c r="BC179" s="4">
        <f>IF(R179=VLOOKUP(VALUE(R$1),Questions!$A:$E,5,FALSE),1,0)</f>
        <v>1</v>
      </c>
      <c r="BD179" s="4">
        <f>IF(S179=VLOOKUP(VALUE(S$1),Questions!$A:$E,5,FALSE),1,0)</f>
        <v>1</v>
      </c>
      <c r="BE179" s="4">
        <f>IF(T179=VLOOKUP(VALUE(T$1),Questions!$A:$E,5,FALSE),1,0)</f>
        <v>1</v>
      </c>
      <c r="BF179" s="4">
        <f>IF(U179=VLOOKUP(VALUE(U$1),Questions!$A:$E,5,FALSE),1,0)</f>
        <v>1</v>
      </c>
      <c r="BG179" s="4">
        <f>IF(V179=VLOOKUP(VALUE(V$1),Questions!$A:$E,5,FALSE),1,0)</f>
        <v>1</v>
      </c>
      <c r="BH179" s="4">
        <f>IF(W179=VLOOKUP(VALUE(W$1),Questions!$A:$E,5,FALSE),1,0)</f>
        <v>0</v>
      </c>
      <c r="BI179" s="4">
        <f>IF(X179=VLOOKUP(VALUE(X$1),Questions!$A:$E,5,FALSE),1,0)</f>
        <v>1</v>
      </c>
      <c r="BJ179" s="4">
        <f>IF(Y179=VLOOKUP(VALUE(Y$1),Questions!$A:$E,5,FALSE),1,0)</f>
        <v>0</v>
      </c>
      <c r="BK179" s="4">
        <f>IF(Z179=VLOOKUP(VALUE(Z$1),Questions!$A:$E,5,FALSE),1,0)</f>
        <v>0</v>
      </c>
      <c r="BL179" s="4">
        <f>IF(AA179=VLOOKUP(VALUE(AA$1),Questions!$A:$E,5,FALSE),1,0)</f>
        <v>1</v>
      </c>
      <c r="BM179" s="4">
        <f>IF(AB179=VLOOKUP(VALUE(AB$1),Questions!$A:$E,5,FALSE),1,0)</f>
        <v>1</v>
      </c>
      <c r="BN179" s="4">
        <f>IF(AC179=VLOOKUP(VALUE(AC$1),Questions!$A:$E,5,FALSE),1,0)</f>
        <v>1</v>
      </c>
      <c r="BO179" s="4">
        <f>IF(AD179=VLOOKUP(VALUE(AD$1),Questions!$A:$E,5,FALSE),1,0)</f>
        <v>0</v>
      </c>
      <c r="BP179" s="4">
        <f>IF(AE179=VLOOKUP(VALUE(AE$1),Questions!$A:$E,5,FALSE),1,0)</f>
        <v>1</v>
      </c>
      <c r="BQ179" s="4">
        <f>IF(AF179=VLOOKUP(VALUE(AF$1),Questions!$A:$E,5,FALSE),1,0)</f>
        <v>1</v>
      </c>
      <c r="BR179" s="4">
        <f>IF(AG179=VLOOKUP(VALUE(AG$1),Questions!$A:$E,5,FALSE),1,0)</f>
        <v>1</v>
      </c>
      <c r="BS179" s="4">
        <f>IF(AH179=VLOOKUP(VALUE(AH$1),Questions!$A:$E,5,FALSE),1,0)</f>
        <v>0</v>
      </c>
      <c r="BT179" s="4">
        <f>IF(AI179=VLOOKUP(VALUE(AI$1),Questions!$A:$E,5,FALSE),1,0)</f>
        <v>0</v>
      </c>
      <c r="BU179" s="4">
        <f>IF(AJ179=VLOOKUP(VALUE(AJ$1),Questions!$A:$E,5,FALSE),1,0)</f>
        <v>1</v>
      </c>
      <c r="BV179" s="4">
        <f>IF(AK179=VLOOKUP(VALUE(AK$1),Questions!$A:$E,5,FALSE),1,0)</f>
        <v>1</v>
      </c>
      <c r="BW179" s="87">
        <f>IF(AL179=VLOOKUP(VALUE(AL$1),Questions!$A:$E,5,FALSE),1,0)</f>
        <v>1</v>
      </c>
      <c r="BX179" s="4">
        <f>IF(Scores[[#This Row],[Final]]&gt;=65,1,0)</f>
        <v>1</v>
      </c>
      <c r="BY179" s="4">
        <f>IF(Scores[[#This Row],[Final]]&gt;=IF(Scores[[#This Row],[IEP]],55,65),1,0)</f>
        <v>1</v>
      </c>
    </row>
    <row r="180" spans="1:77" x14ac:dyDescent="0.2">
      <c r="A180" s="6">
        <v>179</v>
      </c>
      <c r="B180" s="4">
        <v>11</v>
      </c>
      <c r="C180" s="4" t="s">
        <v>962</v>
      </c>
      <c r="D180" s="105" t="b">
        <v>0</v>
      </c>
      <c r="E180" s="105" t="b">
        <v>0</v>
      </c>
      <c r="F180" s="86">
        <f>SUM(Scores[[#This Row],[Q1]:[Q28]])</f>
        <v>25</v>
      </c>
      <c r="G180" s="4">
        <f>SUM(Scores[[#This Row],[29]]:Scores[[#This Row],[30]])</f>
        <v>4</v>
      </c>
      <c r="H180" s="4">
        <f>SUM(Scores[[#This Row],[31]:[36]])</f>
        <v>6</v>
      </c>
      <c r="I180" s="4">
        <f>Scores[[#This Row],[37]]</f>
        <v>3.5</v>
      </c>
      <c r="J180" s="87">
        <f>INDEX('Conversion Chart'!$C$3:$M$47,MATCH(SUM(Scores[[#This Row],[MC]:[IIIA]]),'Conversion Chart'!$B$3:$B$47),MATCH(Scores[[#This Row],[IIIB]],'Conversion Chart'!$C$2:$M$2))</f>
        <v>83</v>
      </c>
      <c r="K180" s="103">
        <v>4</v>
      </c>
      <c r="L180" s="103">
        <v>2</v>
      </c>
      <c r="M180" s="103">
        <v>3</v>
      </c>
      <c r="N180" s="103">
        <v>3</v>
      </c>
      <c r="O180" s="103">
        <v>2</v>
      </c>
      <c r="P180" s="103">
        <v>4</v>
      </c>
      <c r="Q180" s="103">
        <v>3</v>
      </c>
      <c r="R180" s="103">
        <v>2</v>
      </c>
      <c r="S180" s="103">
        <v>2</v>
      </c>
      <c r="T180" s="103">
        <v>1</v>
      </c>
      <c r="U180" s="103">
        <v>2</v>
      </c>
      <c r="V180" s="103">
        <v>4</v>
      </c>
      <c r="W180" s="103">
        <v>3</v>
      </c>
      <c r="X180" s="103">
        <v>4</v>
      </c>
      <c r="Y180" s="103">
        <v>3</v>
      </c>
      <c r="Z180" s="103">
        <v>1</v>
      </c>
      <c r="AA180" s="103">
        <v>1</v>
      </c>
      <c r="AB180" s="103">
        <v>4</v>
      </c>
      <c r="AC180" s="103">
        <v>3</v>
      </c>
      <c r="AD180" s="103">
        <v>4</v>
      </c>
      <c r="AE180" s="103">
        <v>2</v>
      </c>
      <c r="AF180" s="103">
        <v>2</v>
      </c>
      <c r="AG180" s="103">
        <v>3</v>
      </c>
      <c r="AH180" s="103">
        <v>3</v>
      </c>
      <c r="AI180" s="103">
        <v>4</v>
      </c>
      <c r="AJ180" s="103">
        <v>4</v>
      </c>
      <c r="AK180" s="103">
        <v>1</v>
      </c>
      <c r="AL180" s="104">
        <v>3</v>
      </c>
      <c r="AM180" s="4">
        <v>2</v>
      </c>
      <c r="AN180" s="87">
        <v>2</v>
      </c>
      <c r="AO180" s="4">
        <v>1</v>
      </c>
      <c r="AP180" s="4">
        <v>1</v>
      </c>
      <c r="AQ180" s="4">
        <v>1</v>
      </c>
      <c r="AR180" s="4">
        <v>1</v>
      </c>
      <c r="AS180" s="4">
        <v>1</v>
      </c>
      <c r="AT180" s="4">
        <v>1</v>
      </c>
      <c r="AU180" s="107">
        <v>3.5</v>
      </c>
      <c r="AV180" s="4">
        <f>IF(K180=VLOOKUP(VALUE(K$1),Questions!$A:$E,5,FALSE),1,0)</f>
        <v>1</v>
      </c>
      <c r="AW180" s="4">
        <f>IF(L180=VLOOKUP(VALUE(L$1),Questions!$A:$E,5,FALSE),1,0)</f>
        <v>1</v>
      </c>
      <c r="AX180" s="4">
        <f>IF(M180=VLOOKUP(VALUE(M$1),Questions!$A:$E,5,FALSE),1,0)</f>
        <v>1</v>
      </c>
      <c r="AY180" s="4">
        <f>IF(N180=VLOOKUP(VALUE(N$1),Questions!$A:$E,5,FALSE),1,0)</f>
        <v>1</v>
      </c>
      <c r="AZ180" s="4">
        <f>IF(O180=VLOOKUP(VALUE(O$1),Questions!$A:$E,5,FALSE),1,0)</f>
        <v>0</v>
      </c>
      <c r="BA180" s="4">
        <f>IF(P180=VLOOKUP(VALUE(P$1),Questions!$A:$E,5,FALSE),1,0)</f>
        <v>1</v>
      </c>
      <c r="BB180" s="4">
        <f>IF(Q180=VLOOKUP(VALUE(Q$1),Questions!$A:$E,5,FALSE),1,0)</f>
        <v>1</v>
      </c>
      <c r="BC180" s="4">
        <f>IF(R180=VLOOKUP(VALUE(R$1),Questions!$A:$E,5,FALSE),1,0)</f>
        <v>1</v>
      </c>
      <c r="BD180" s="4">
        <f>IF(S180=VLOOKUP(VALUE(S$1),Questions!$A:$E,5,FALSE),1,0)</f>
        <v>1</v>
      </c>
      <c r="BE180" s="4">
        <f>IF(T180=VLOOKUP(VALUE(T$1),Questions!$A:$E,5,FALSE),1,0)</f>
        <v>1</v>
      </c>
      <c r="BF180" s="4">
        <f>IF(U180=VLOOKUP(VALUE(U$1),Questions!$A:$E,5,FALSE),1,0)</f>
        <v>1</v>
      </c>
      <c r="BG180" s="4">
        <f>IF(V180=VLOOKUP(VALUE(V$1),Questions!$A:$E,5,FALSE),1,0)</f>
        <v>1</v>
      </c>
      <c r="BH180" s="4">
        <f>IF(W180=VLOOKUP(VALUE(W$1),Questions!$A:$E,5,FALSE),1,0)</f>
        <v>0</v>
      </c>
      <c r="BI180" s="4">
        <f>IF(X180=VLOOKUP(VALUE(X$1),Questions!$A:$E,5,FALSE),1,0)</f>
        <v>1</v>
      </c>
      <c r="BJ180" s="4">
        <f>IF(Y180=VLOOKUP(VALUE(Y$1),Questions!$A:$E,5,FALSE),1,0)</f>
        <v>1</v>
      </c>
      <c r="BK180" s="4">
        <f>IF(Z180=VLOOKUP(VALUE(Z$1),Questions!$A:$E,5,FALSE),1,0)</f>
        <v>1</v>
      </c>
      <c r="BL180" s="4">
        <f>IF(AA180=VLOOKUP(VALUE(AA$1),Questions!$A:$E,5,FALSE),1,0)</f>
        <v>1</v>
      </c>
      <c r="BM180" s="4">
        <f>IF(AB180=VLOOKUP(VALUE(AB$1),Questions!$A:$E,5,FALSE),1,0)</f>
        <v>1</v>
      </c>
      <c r="BN180" s="4">
        <f>IF(AC180=VLOOKUP(VALUE(AC$1),Questions!$A:$E,5,FALSE),1,0)</f>
        <v>1</v>
      </c>
      <c r="BO180" s="4">
        <f>IF(AD180=VLOOKUP(VALUE(AD$1),Questions!$A:$E,5,FALSE),1,0)</f>
        <v>1</v>
      </c>
      <c r="BP180" s="4">
        <f>IF(AE180=VLOOKUP(VALUE(AE$1),Questions!$A:$E,5,FALSE),1,0)</f>
        <v>1</v>
      </c>
      <c r="BQ180" s="4">
        <f>IF(AF180=VLOOKUP(VALUE(AF$1),Questions!$A:$E,5,FALSE),1,0)</f>
        <v>1</v>
      </c>
      <c r="BR180" s="4">
        <f>IF(AG180=VLOOKUP(VALUE(AG$1),Questions!$A:$E,5,FALSE),1,0)</f>
        <v>1</v>
      </c>
      <c r="BS180" s="4">
        <f>IF(AH180=VLOOKUP(VALUE(AH$1),Questions!$A:$E,5,FALSE),1,0)</f>
        <v>1</v>
      </c>
      <c r="BT180" s="4">
        <f>IF(AI180=VLOOKUP(VALUE(AI$1),Questions!$A:$E,5,FALSE),1,0)</f>
        <v>0</v>
      </c>
      <c r="BU180" s="4">
        <f>IF(AJ180=VLOOKUP(VALUE(AJ$1),Questions!$A:$E,5,FALSE),1,0)</f>
        <v>1</v>
      </c>
      <c r="BV180" s="4">
        <f>IF(AK180=VLOOKUP(VALUE(AK$1),Questions!$A:$E,5,FALSE),1,0)</f>
        <v>1</v>
      </c>
      <c r="BW180" s="87">
        <f>IF(AL180=VLOOKUP(VALUE(AL$1),Questions!$A:$E,5,FALSE),1,0)</f>
        <v>1</v>
      </c>
      <c r="BX180" s="4">
        <f>IF(Scores[[#This Row],[Final]]&gt;=65,1,0)</f>
        <v>1</v>
      </c>
      <c r="BY180" s="4">
        <f>IF(Scores[[#This Row],[Final]]&gt;=IF(Scores[[#This Row],[IEP]],55,65),1,0)</f>
        <v>1</v>
      </c>
    </row>
    <row r="181" spans="1:77" x14ac:dyDescent="0.2">
      <c r="A181" s="6">
        <v>180</v>
      </c>
      <c r="B181" s="4">
        <v>9</v>
      </c>
      <c r="C181" s="4" t="s">
        <v>963</v>
      </c>
      <c r="D181" s="105" t="b">
        <v>1</v>
      </c>
      <c r="E181" s="105" t="b">
        <v>0</v>
      </c>
      <c r="F181" s="86">
        <f>SUM(Scores[[#This Row],[Q1]:[Q28]])</f>
        <v>13</v>
      </c>
      <c r="G181" s="4">
        <f>SUM(Scores[[#This Row],[29]]:Scores[[#This Row],[30]])</f>
        <v>4</v>
      </c>
      <c r="H181" s="4">
        <f>SUM(Scores[[#This Row],[31]:[36]])</f>
        <v>6</v>
      </c>
      <c r="I181" s="4">
        <f>Scores[[#This Row],[37]]</f>
        <v>2</v>
      </c>
      <c r="J181" s="87">
        <f>INDEX('Conversion Chart'!$C$3:$M$47,MATCH(SUM(Scores[[#This Row],[MC]:[IIIA]]),'Conversion Chart'!$B$3:$B$47),MATCH(Scores[[#This Row],[IIIB]],'Conversion Chart'!$C$2:$M$2))</f>
        <v>66</v>
      </c>
      <c r="K181" s="103">
        <v>4</v>
      </c>
      <c r="L181" s="103">
        <v>1</v>
      </c>
      <c r="M181" s="103">
        <v>4</v>
      </c>
      <c r="N181" s="103">
        <v>2</v>
      </c>
      <c r="O181" s="103">
        <v>3</v>
      </c>
      <c r="P181" s="103">
        <v>3</v>
      </c>
      <c r="Q181" s="103">
        <v>1</v>
      </c>
      <c r="R181" s="103">
        <v>2</v>
      </c>
      <c r="S181" s="103">
        <v>2</v>
      </c>
      <c r="T181" s="103">
        <v>1</v>
      </c>
      <c r="U181" s="103">
        <v>2</v>
      </c>
      <c r="V181" s="103">
        <v>3</v>
      </c>
      <c r="W181" s="103">
        <v>2</v>
      </c>
      <c r="X181" s="103">
        <v>3</v>
      </c>
      <c r="Y181" s="103">
        <v>1</v>
      </c>
      <c r="Z181" s="103">
        <v>3</v>
      </c>
      <c r="AA181" s="103">
        <v>3</v>
      </c>
      <c r="AB181" s="103">
        <v>4</v>
      </c>
      <c r="AC181" s="103">
        <v>3</v>
      </c>
      <c r="AD181" s="103">
        <v>1</v>
      </c>
      <c r="AE181" s="103">
        <v>2</v>
      </c>
      <c r="AF181" s="103">
        <v>2</v>
      </c>
      <c r="AG181" s="103">
        <v>3</v>
      </c>
      <c r="AH181" s="103">
        <v>2</v>
      </c>
      <c r="AI181" s="103">
        <v>4</v>
      </c>
      <c r="AJ181" s="103">
        <v>4</v>
      </c>
      <c r="AK181" s="103">
        <v>1</v>
      </c>
      <c r="AL181" s="104">
        <v>4</v>
      </c>
      <c r="AM181" s="4">
        <v>3</v>
      </c>
      <c r="AN181" s="87">
        <v>1</v>
      </c>
      <c r="AO181" s="4">
        <v>1</v>
      </c>
      <c r="AP181" s="4">
        <v>1</v>
      </c>
      <c r="AQ181" s="4">
        <v>1</v>
      </c>
      <c r="AR181" s="4">
        <v>1</v>
      </c>
      <c r="AS181" s="4">
        <v>1</v>
      </c>
      <c r="AT181" s="4">
        <v>1</v>
      </c>
      <c r="AU181" s="107">
        <v>2</v>
      </c>
      <c r="AV181" s="4">
        <f>IF(K181=VLOOKUP(VALUE(K$1),Questions!$A:$E,5,FALSE),1,0)</f>
        <v>1</v>
      </c>
      <c r="AW181" s="4">
        <f>IF(L181=VLOOKUP(VALUE(L$1),Questions!$A:$E,5,FALSE),1,0)</f>
        <v>0</v>
      </c>
      <c r="AX181" s="4">
        <f>IF(M181=VLOOKUP(VALUE(M$1),Questions!$A:$E,5,FALSE),1,0)</f>
        <v>0</v>
      </c>
      <c r="AY181" s="4">
        <f>IF(N181=VLOOKUP(VALUE(N$1),Questions!$A:$E,5,FALSE),1,0)</f>
        <v>0</v>
      </c>
      <c r="AZ181" s="4">
        <f>IF(O181=VLOOKUP(VALUE(O$1),Questions!$A:$E,5,FALSE),1,0)</f>
        <v>0</v>
      </c>
      <c r="BA181" s="4">
        <f>IF(P181=VLOOKUP(VALUE(P$1),Questions!$A:$E,5,FALSE),1,0)</f>
        <v>0</v>
      </c>
      <c r="BB181" s="4">
        <f>IF(Q181=VLOOKUP(VALUE(Q$1),Questions!$A:$E,5,FALSE),1,0)</f>
        <v>0</v>
      </c>
      <c r="BC181" s="4">
        <f>IF(R181=VLOOKUP(VALUE(R$1),Questions!$A:$E,5,FALSE),1,0)</f>
        <v>1</v>
      </c>
      <c r="BD181" s="4">
        <f>IF(S181=VLOOKUP(VALUE(S$1),Questions!$A:$E,5,FALSE),1,0)</f>
        <v>1</v>
      </c>
      <c r="BE181" s="4">
        <f>IF(T181=VLOOKUP(VALUE(T$1),Questions!$A:$E,5,FALSE),1,0)</f>
        <v>1</v>
      </c>
      <c r="BF181" s="4">
        <f>IF(U181=VLOOKUP(VALUE(U$1),Questions!$A:$E,5,FALSE),1,0)</f>
        <v>1</v>
      </c>
      <c r="BG181" s="4">
        <f>IF(V181=VLOOKUP(VALUE(V$1),Questions!$A:$E,5,FALSE),1,0)</f>
        <v>0</v>
      </c>
      <c r="BH181" s="4">
        <f>IF(W181=VLOOKUP(VALUE(W$1),Questions!$A:$E,5,FALSE),1,0)</f>
        <v>1</v>
      </c>
      <c r="BI181" s="4">
        <f>IF(X181=VLOOKUP(VALUE(X$1),Questions!$A:$E,5,FALSE),1,0)</f>
        <v>0</v>
      </c>
      <c r="BJ181" s="4">
        <f>IF(Y181=VLOOKUP(VALUE(Y$1),Questions!$A:$E,5,FALSE),1,0)</f>
        <v>0</v>
      </c>
      <c r="BK181" s="4">
        <f>IF(Z181=VLOOKUP(VALUE(Z$1),Questions!$A:$E,5,FALSE),1,0)</f>
        <v>0</v>
      </c>
      <c r="BL181" s="4">
        <f>IF(AA181=VLOOKUP(VALUE(AA$1),Questions!$A:$E,5,FALSE),1,0)</f>
        <v>0</v>
      </c>
      <c r="BM181" s="4">
        <f>IF(AB181=VLOOKUP(VALUE(AB$1),Questions!$A:$E,5,FALSE),1,0)</f>
        <v>1</v>
      </c>
      <c r="BN181" s="4">
        <f>IF(AC181=VLOOKUP(VALUE(AC$1),Questions!$A:$E,5,FALSE),1,0)</f>
        <v>1</v>
      </c>
      <c r="BO181" s="4">
        <f>IF(AD181=VLOOKUP(VALUE(AD$1),Questions!$A:$E,5,FALSE),1,0)</f>
        <v>0</v>
      </c>
      <c r="BP181" s="4">
        <f>IF(AE181=VLOOKUP(VALUE(AE$1),Questions!$A:$E,5,FALSE),1,0)</f>
        <v>1</v>
      </c>
      <c r="BQ181" s="4">
        <f>IF(AF181=VLOOKUP(VALUE(AF$1),Questions!$A:$E,5,FALSE),1,0)</f>
        <v>1</v>
      </c>
      <c r="BR181" s="4">
        <f>IF(AG181=VLOOKUP(VALUE(AG$1),Questions!$A:$E,5,FALSE),1,0)</f>
        <v>1</v>
      </c>
      <c r="BS181" s="4">
        <f>IF(AH181=VLOOKUP(VALUE(AH$1),Questions!$A:$E,5,FALSE),1,0)</f>
        <v>0</v>
      </c>
      <c r="BT181" s="4">
        <f>IF(AI181=VLOOKUP(VALUE(AI$1),Questions!$A:$E,5,FALSE),1,0)</f>
        <v>0</v>
      </c>
      <c r="BU181" s="4">
        <f>IF(AJ181=VLOOKUP(VALUE(AJ$1),Questions!$A:$E,5,FALSE),1,0)</f>
        <v>1</v>
      </c>
      <c r="BV181" s="4">
        <f>IF(AK181=VLOOKUP(VALUE(AK$1),Questions!$A:$E,5,FALSE),1,0)</f>
        <v>1</v>
      </c>
      <c r="BW181" s="87">
        <f>IF(AL181=VLOOKUP(VALUE(AL$1),Questions!$A:$E,5,FALSE),1,0)</f>
        <v>0</v>
      </c>
      <c r="BX181" s="4">
        <f>IF(Scores[[#This Row],[Final]]&gt;=65,1,0)</f>
        <v>1</v>
      </c>
      <c r="BY181" s="4">
        <f>IF(Scores[[#This Row],[Final]]&gt;=IF(Scores[[#This Row],[IEP]],55,65),1,0)</f>
        <v>1</v>
      </c>
    </row>
    <row r="182" spans="1:77" x14ac:dyDescent="0.2">
      <c r="A182" s="6">
        <v>181</v>
      </c>
      <c r="B182" s="4">
        <v>9</v>
      </c>
      <c r="C182" s="4" t="s">
        <v>963</v>
      </c>
      <c r="D182" s="105" t="b">
        <v>0</v>
      </c>
      <c r="E182" s="105" t="b">
        <v>1</v>
      </c>
      <c r="F182" s="86">
        <f>SUM(Scores[[#This Row],[Q1]:[Q28]])</f>
        <v>13</v>
      </c>
      <c r="G182" s="4">
        <f>SUM(Scores[[#This Row],[29]]:Scores[[#This Row],[30]])</f>
        <v>3</v>
      </c>
      <c r="H182" s="4">
        <f>SUM(Scores[[#This Row],[31]:[36]])</f>
        <v>6</v>
      </c>
      <c r="I182" s="4">
        <f>Scores[[#This Row],[37]]</f>
        <v>0</v>
      </c>
      <c r="J182" s="87">
        <f>INDEX('Conversion Chart'!$C$3:$M$47,MATCH(SUM(Scores[[#This Row],[MC]:[IIIA]]),'Conversion Chart'!$B$3:$B$47),MATCH(Scores[[#This Row],[IIIB]],'Conversion Chart'!$C$2:$M$2))</f>
        <v>55</v>
      </c>
      <c r="K182" s="103">
        <v>4</v>
      </c>
      <c r="L182" s="103">
        <v>2</v>
      </c>
      <c r="M182" s="103">
        <v>2</v>
      </c>
      <c r="N182" s="103">
        <v>3</v>
      </c>
      <c r="O182" s="103">
        <v>1</v>
      </c>
      <c r="P182" s="103">
        <v>3</v>
      </c>
      <c r="Q182" s="103">
        <v>3</v>
      </c>
      <c r="R182" s="103">
        <v>2</v>
      </c>
      <c r="S182" s="103">
        <v>1</v>
      </c>
      <c r="T182" s="103">
        <v>4</v>
      </c>
      <c r="U182" s="103">
        <v>3</v>
      </c>
      <c r="V182" s="103">
        <v>4</v>
      </c>
      <c r="W182" s="103">
        <v>1</v>
      </c>
      <c r="X182" s="103">
        <v>4</v>
      </c>
      <c r="Y182" s="103">
        <v>3</v>
      </c>
      <c r="Z182" s="103">
        <v>2</v>
      </c>
      <c r="AA182" s="103">
        <v>3</v>
      </c>
      <c r="AB182" s="103">
        <v>4</v>
      </c>
      <c r="AC182" s="103">
        <v>1</v>
      </c>
      <c r="AD182" s="103">
        <v>4</v>
      </c>
      <c r="AE182" s="103">
        <v>4</v>
      </c>
      <c r="AF182" s="103">
        <v>2</v>
      </c>
      <c r="AG182" s="103">
        <v>1</v>
      </c>
      <c r="AH182" s="103">
        <v>4</v>
      </c>
      <c r="AI182" s="103">
        <v>4</v>
      </c>
      <c r="AJ182" s="103">
        <v>3</v>
      </c>
      <c r="AK182" s="103">
        <v>4</v>
      </c>
      <c r="AL182" s="104">
        <v>3</v>
      </c>
      <c r="AM182" s="4">
        <v>2</v>
      </c>
      <c r="AN182" s="87">
        <v>1</v>
      </c>
      <c r="AO182" s="4">
        <v>1</v>
      </c>
      <c r="AP182" s="4">
        <v>1</v>
      </c>
      <c r="AQ182" s="4">
        <v>1</v>
      </c>
      <c r="AR182" s="4">
        <v>1</v>
      </c>
      <c r="AS182" s="4">
        <v>1</v>
      </c>
      <c r="AT182" s="4">
        <v>1</v>
      </c>
      <c r="AU182" s="107">
        <v>0</v>
      </c>
      <c r="AV182" s="4">
        <f>IF(K182=VLOOKUP(VALUE(K$1),Questions!$A:$E,5,FALSE),1,0)</f>
        <v>1</v>
      </c>
      <c r="AW182" s="4">
        <f>IF(L182=VLOOKUP(VALUE(L$1),Questions!$A:$E,5,FALSE),1,0)</f>
        <v>1</v>
      </c>
      <c r="AX182" s="4">
        <f>IF(M182=VLOOKUP(VALUE(M$1),Questions!$A:$E,5,FALSE),1,0)</f>
        <v>0</v>
      </c>
      <c r="AY182" s="4">
        <f>IF(N182=VLOOKUP(VALUE(N$1),Questions!$A:$E,5,FALSE),1,0)</f>
        <v>1</v>
      </c>
      <c r="AZ182" s="4">
        <f>IF(O182=VLOOKUP(VALUE(O$1),Questions!$A:$E,5,FALSE),1,0)</f>
        <v>1</v>
      </c>
      <c r="BA182" s="4">
        <f>IF(P182=VLOOKUP(VALUE(P$1),Questions!$A:$E,5,FALSE),1,0)</f>
        <v>0</v>
      </c>
      <c r="BB182" s="4">
        <f>IF(Q182=VLOOKUP(VALUE(Q$1),Questions!$A:$E,5,FALSE),1,0)</f>
        <v>1</v>
      </c>
      <c r="BC182" s="4">
        <f>IF(R182=VLOOKUP(VALUE(R$1),Questions!$A:$E,5,FALSE),1,0)</f>
        <v>1</v>
      </c>
      <c r="BD182" s="4">
        <f>IF(S182=VLOOKUP(VALUE(S$1),Questions!$A:$E,5,FALSE),1,0)</f>
        <v>0</v>
      </c>
      <c r="BE182" s="4">
        <f>IF(T182=VLOOKUP(VALUE(T$1),Questions!$A:$E,5,FALSE),1,0)</f>
        <v>0</v>
      </c>
      <c r="BF182" s="4">
        <f>IF(U182=VLOOKUP(VALUE(U$1),Questions!$A:$E,5,FALSE),1,0)</f>
        <v>0</v>
      </c>
      <c r="BG182" s="4">
        <f>IF(V182=VLOOKUP(VALUE(V$1),Questions!$A:$E,5,FALSE),1,0)</f>
        <v>1</v>
      </c>
      <c r="BH182" s="4">
        <f>IF(W182=VLOOKUP(VALUE(W$1),Questions!$A:$E,5,FALSE),1,0)</f>
        <v>0</v>
      </c>
      <c r="BI182" s="4">
        <f>IF(X182=VLOOKUP(VALUE(X$1),Questions!$A:$E,5,FALSE),1,0)</f>
        <v>1</v>
      </c>
      <c r="BJ182" s="4">
        <f>IF(Y182=VLOOKUP(VALUE(Y$1),Questions!$A:$E,5,FALSE),1,0)</f>
        <v>1</v>
      </c>
      <c r="BK182" s="4">
        <f>IF(Z182=VLOOKUP(VALUE(Z$1),Questions!$A:$E,5,FALSE),1,0)</f>
        <v>0</v>
      </c>
      <c r="BL182" s="4">
        <f>IF(AA182=VLOOKUP(VALUE(AA$1),Questions!$A:$E,5,FALSE),1,0)</f>
        <v>0</v>
      </c>
      <c r="BM182" s="4">
        <f>IF(AB182=VLOOKUP(VALUE(AB$1),Questions!$A:$E,5,FALSE),1,0)</f>
        <v>1</v>
      </c>
      <c r="BN182" s="4">
        <f>IF(AC182=VLOOKUP(VALUE(AC$1),Questions!$A:$E,5,FALSE),1,0)</f>
        <v>0</v>
      </c>
      <c r="BO182" s="4">
        <f>IF(AD182=VLOOKUP(VALUE(AD$1),Questions!$A:$E,5,FALSE),1,0)</f>
        <v>1</v>
      </c>
      <c r="BP182" s="4">
        <f>IF(AE182=VLOOKUP(VALUE(AE$1),Questions!$A:$E,5,FALSE),1,0)</f>
        <v>0</v>
      </c>
      <c r="BQ182" s="4">
        <f>IF(AF182=VLOOKUP(VALUE(AF$1),Questions!$A:$E,5,FALSE),1,0)</f>
        <v>1</v>
      </c>
      <c r="BR182" s="4">
        <f>IF(AG182=VLOOKUP(VALUE(AG$1),Questions!$A:$E,5,FALSE),1,0)</f>
        <v>0</v>
      </c>
      <c r="BS182" s="4">
        <f>IF(AH182=VLOOKUP(VALUE(AH$1),Questions!$A:$E,5,FALSE),1,0)</f>
        <v>0</v>
      </c>
      <c r="BT182" s="4">
        <f>IF(AI182=VLOOKUP(VALUE(AI$1),Questions!$A:$E,5,FALSE),1,0)</f>
        <v>0</v>
      </c>
      <c r="BU182" s="4">
        <f>IF(AJ182=VLOOKUP(VALUE(AJ$1),Questions!$A:$E,5,FALSE),1,0)</f>
        <v>0</v>
      </c>
      <c r="BV182" s="4">
        <f>IF(AK182=VLOOKUP(VALUE(AK$1),Questions!$A:$E,5,FALSE),1,0)</f>
        <v>0</v>
      </c>
      <c r="BW182" s="87">
        <f>IF(AL182=VLOOKUP(VALUE(AL$1),Questions!$A:$E,5,FALSE),1,0)</f>
        <v>1</v>
      </c>
      <c r="BX182" s="4">
        <f>IF(Scores[[#This Row],[Final]]&gt;=65,1,0)</f>
        <v>0</v>
      </c>
      <c r="BY182" s="4">
        <f>IF(Scores[[#This Row],[Final]]&gt;=IF(Scores[[#This Row],[IEP]],55,65),1,0)</f>
        <v>1</v>
      </c>
    </row>
    <row r="183" spans="1:77" x14ac:dyDescent="0.2">
      <c r="A183" s="6">
        <v>182</v>
      </c>
      <c r="B183" s="4">
        <v>9</v>
      </c>
      <c r="C183" s="4" t="s">
        <v>964</v>
      </c>
      <c r="D183" s="105" t="b">
        <v>0</v>
      </c>
      <c r="E183" s="105" t="b">
        <v>0</v>
      </c>
      <c r="F183" s="86">
        <f>SUM(Scores[[#This Row],[Q1]:[Q28]])</f>
        <v>14</v>
      </c>
      <c r="G183" s="4">
        <f>SUM(Scores[[#This Row],[29]]:Scores[[#This Row],[30]])</f>
        <v>4</v>
      </c>
      <c r="H183" s="4">
        <f>SUM(Scores[[#This Row],[31]:[36]])</f>
        <v>6</v>
      </c>
      <c r="I183" s="4">
        <f>Scores[[#This Row],[37]]</f>
        <v>1.5</v>
      </c>
      <c r="J183" s="87">
        <f>INDEX('Conversion Chart'!$C$3:$M$47,MATCH(SUM(Scores[[#This Row],[MC]:[IIIA]]),'Conversion Chart'!$B$3:$B$47),MATCH(Scores[[#This Row],[IIIB]],'Conversion Chart'!$C$2:$M$2))</f>
        <v>65</v>
      </c>
      <c r="K183" s="103">
        <v>4</v>
      </c>
      <c r="L183" s="103">
        <v>4</v>
      </c>
      <c r="M183" s="103">
        <v>3</v>
      </c>
      <c r="N183" s="103">
        <v>4</v>
      </c>
      <c r="O183" s="103">
        <v>1</v>
      </c>
      <c r="P183" s="103">
        <v>4</v>
      </c>
      <c r="Q183" s="103">
        <v>3</v>
      </c>
      <c r="R183" s="103">
        <v>2</v>
      </c>
      <c r="S183" s="103">
        <v>3</v>
      </c>
      <c r="T183" s="103">
        <v>1</v>
      </c>
      <c r="U183" s="103">
        <v>2</v>
      </c>
      <c r="V183" s="103">
        <v>4</v>
      </c>
      <c r="W183" s="103">
        <v>4</v>
      </c>
      <c r="X183" s="103">
        <v>2</v>
      </c>
      <c r="Y183" s="103">
        <v>3</v>
      </c>
      <c r="Z183" s="103">
        <v>4</v>
      </c>
      <c r="AA183" s="103">
        <v>3</v>
      </c>
      <c r="AB183" s="103">
        <v>2</v>
      </c>
      <c r="AC183" s="103">
        <v>3</v>
      </c>
      <c r="AD183" s="103">
        <v>1</v>
      </c>
      <c r="AE183" s="103">
        <v>3</v>
      </c>
      <c r="AF183" s="103">
        <v>2</v>
      </c>
      <c r="AG183" s="103">
        <v>3</v>
      </c>
      <c r="AH183" s="103">
        <v>2</v>
      </c>
      <c r="AI183" s="103">
        <v>2</v>
      </c>
      <c r="AJ183" s="103">
        <v>1</v>
      </c>
      <c r="AK183" s="103">
        <v>1</v>
      </c>
      <c r="AL183" s="104">
        <v>4</v>
      </c>
      <c r="AM183" s="4">
        <v>2</v>
      </c>
      <c r="AN183" s="87">
        <v>2</v>
      </c>
      <c r="AO183" s="4">
        <v>1</v>
      </c>
      <c r="AP183" s="4">
        <v>1</v>
      </c>
      <c r="AQ183" s="4">
        <v>1</v>
      </c>
      <c r="AR183" s="4">
        <v>1</v>
      </c>
      <c r="AS183" s="4">
        <v>1</v>
      </c>
      <c r="AT183" s="4">
        <v>1</v>
      </c>
      <c r="AU183" s="107">
        <v>1.5</v>
      </c>
      <c r="AV183" s="4">
        <f>IF(K183=VLOOKUP(VALUE(K$1),Questions!$A:$E,5,FALSE),1,0)</f>
        <v>1</v>
      </c>
      <c r="AW183" s="4">
        <f>IF(L183=VLOOKUP(VALUE(L$1),Questions!$A:$E,5,FALSE),1,0)</f>
        <v>0</v>
      </c>
      <c r="AX183" s="4">
        <f>IF(M183=VLOOKUP(VALUE(M$1),Questions!$A:$E,5,FALSE),1,0)</f>
        <v>1</v>
      </c>
      <c r="AY183" s="4">
        <f>IF(N183=VLOOKUP(VALUE(N$1),Questions!$A:$E,5,FALSE),1,0)</f>
        <v>0</v>
      </c>
      <c r="AZ183" s="4">
        <f>IF(O183=VLOOKUP(VALUE(O$1),Questions!$A:$E,5,FALSE),1,0)</f>
        <v>1</v>
      </c>
      <c r="BA183" s="4">
        <f>IF(P183=VLOOKUP(VALUE(P$1),Questions!$A:$E,5,FALSE),1,0)</f>
        <v>1</v>
      </c>
      <c r="BB183" s="4">
        <f>IF(Q183=VLOOKUP(VALUE(Q$1),Questions!$A:$E,5,FALSE),1,0)</f>
        <v>1</v>
      </c>
      <c r="BC183" s="4">
        <f>IF(R183=VLOOKUP(VALUE(R$1),Questions!$A:$E,5,FALSE),1,0)</f>
        <v>1</v>
      </c>
      <c r="BD183" s="4">
        <f>IF(S183=VLOOKUP(VALUE(S$1),Questions!$A:$E,5,FALSE),1,0)</f>
        <v>0</v>
      </c>
      <c r="BE183" s="4">
        <f>IF(T183=VLOOKUP(VALUE(T$1),Questions!$A:$E,5,FALSE),1,0)</f>
        <v>1</v>
      </c>
      <c r="BF183" s="4">
        <f>IF(U183=VLOOKUP(VALUE(U$1),Questions!$A:$E,5,FALSE),1,0)</f>
        <v>1</v>
      </c>
      <c r="BG183" s="4">
        <f>IF(V183=VLOOKUP(VALUE(V$1),Questions!$A:$E,5,FALSE),1,0)</f>
        <v>1</v>
      </c>
      <c r="BH183" s="4">
        <f>IF(W183=VLOOKUP(VALUE(W$1),Questions!$A:$E,5,FALSE),1,0)</f>
        <v>0</v>
      </c>
      <c r="BI183" s="4">
        <f>IF(X183=VLOOKUP(VALUE(X$1),Questions!$A:$E,5,FALSE),1,0)</f>
        <v>0</v>
      </c>
      <c r="BJ183" s="4">
        <f>IF(Y183=VLOOKUP(VALUE(Y$1),Questions!$A:$E,5,FALSE),1,0)</f>
        <v>1</v>
      </c>
      <c r="BK183" s="4">
        <f>IF(Z183=VLOOKUP(VALUE(Z$1),Questions!$A:$E,5,FALSE),1,0)</f>
        <v>0</v>
      </c>
      <c r="BL183" s="4">
        <f>IF(AA183=VLOOKUP(VALUE(AA$1),Questions!$A:$E,5,FALSE),1,0)</f>
        <v>0</v>
      </c>
      <c r="BM183" s="4">
        <f>IF(AB183=VLOOKUP(VALUE(AB$1),Questions!$A:$E,5,FALSE),1,0)</f>
        <v>0</v>
      </c>
      <c r="BN183" s="4">
        <f>IF(AC183=VLOOKUP(VALUE(AC$1),Questions!$A:$E,5,FALSE),1,0)</f>
        <v>1</v>
      </c>
      <c r="BO183" s="4">
        <f>IF(AD183=VLOOKUP(VALUE(AD$1),Questions!$A:$E,5,FALSE),1,0)</f>
        <v>0</v>
      </c>
      <c r="BP183" s="4">
        <f>IF(AE183=VLOOKUP(VALUE(AE$1),Questions!$A:$E,5,FALSE),1,0)</f>
        <v>0</v>
      </c>
      <c r="BQ183" s="4">
        <f>IF(AF183=VLOOKUP(VALUE(AF$1),Questions!$A:$E,5,FALSE),1,0)</f>
        <v>1</v>
      </c>
      <c r="BR183" s="4">
        <f>IF(AG183=VLOOKUP(VALUE(AG$1),Questions!$A:$E,5,FALSE),1,0)</f>
        <v>1</v>
      </c>
      <c r="BS183" s="4">
        <f>IF(AH183=VLOOKUP(VALUE(AH$1),Questions!$A:$E,5,FALSE),1,0)</f>
        <v>0</v>
      </c>
      <c r="BT183" s="4">
        <f>IF(AI183=VLOOKUP(VALUE(AI$1),Questions!$A:$E,5,FALSE),1,0)</f>
        <v>0</v>
      </c>
      <c r="BU183" s="4">
        <f>IF(AJ183=VLOOKUP(VALUE(AJ$1),Questions!$A:$E,5,FALSE),1,0)</f>
        <v>0</v>
      </c>
      <c r="BV183" s="4">
        <f>IF(AK183=VLOOKUP(VALUE(AK$1),Questions!$A:$E,5,FALSE),1,0)</f>
        <v>1</v>
      </c>
      <c r="BW183" s="87">
        <f>IF(AL183=VLOOKUP(VALUE(AL$1),Questions!$A:$E,5,FALSE),1,0)</f>
        <v>0</v>
      </c>
      <c r="BX183" s="4">
        <f>IF(Scores[[#This Row],[Final]]&gt;=65,1,0)</f>
        <v>1</v>
      </c>
      <c r="BY183" s="4">
        <f>IF(Scores[[#This Row],[Final]]&gt;=IF(Scores[[#This Row],[IEP]],55,65),1,0)</f>
        <v>1</v>
      </c>
    </row>
    <row r="184" spans="1:77" x14ac:dyDescent="0.2">
      <c r="A184" s="6">
        <v>183</v>
      </c>
      <c r="B184" s="4">
        <v>11</v>
      </c>
      <c r="C184" s="4" t="s">
        <v>962</v>
      </c>
      <c r="D184" s="105" t="b">
        <v>0</v>
      </c>
      <c r="E184" s="105" t="b">
        <v>0</v>
      </c>
      <c r="F184" s="86">
        <f>SUM(Scores[[#This Row],[Q1]:[Q28]])</f>
        <v>13</v>
      </c>
      <c r="G184" s="4">
        <f>SUM(Scores[[#This Row],[29]]:Scores[[#This Row],[30]])</f>
        <v>4</v>
      </c>
      <c r="H184" s="4">
        <f>SUM(Scores[[#This Row],[31]:[36]])</f>
        <v>5</v>
      </c>
      <c r="I184" s="4">
        <f>Scores[[#This Row],[37]]</f>
        <v>3.5</v>
      </c>
      <c r="J184" s="87">
        <f>INDEX('Conversion Chart'!$C$3:$M$47,MATCH(SUM(Scores[[#This Row],[MC]:[IIIA]]),'Conversion Chart'!$B$3:$B$47),MATCH(Scores[[#This Row],[IIIB]],'Conversion Chart'!$C$2:$M$2))</f>
        <v>70</v>
      </c>
      <c r="K184" s="103">
        <v>4</v>
      </c>
      <c r="L184" s="103">
        <v>3</v>
      </c>
      <c r="M184" s="103">
        <v>1</v>
      </c>
      <c r="N184" s="103">
        <v>2</v>
      </c>
      <c r="O184" s="103">
        <v>1</v>
      </c>
      <c r="P184" s="103">
        <v>3</v>
      </c>
      <c r="Q184" s="103">
        <v>3</v>
      </c>
      <c r="R184" s="103">
        <v>1</v>
      </c>
      <c r="S184" s="103">
        <v>3</v>
      </c>
      <c r="T184" s="103">
        <v>1</v>
      </c>
      <c r="U184" s="103">
        <v>2</v>
      </c>
      <c r="V184" s="103">
        <v>3</v>
      </c>
      <c r="W184" s="103">
        <v>2</v>
      </c>
      <c r="X184" s="103">
        <v>3</v>
      </c>
      <c r="Y184" s="103">
        <v>1</v>
      </c>
      <c r="Z184" s="103">
        <v>1</v>
      </c>
      <c r="AA184" s="103">
        <v>1</v>
      </c>
      <c r="AB184" s="103">
        <v>4</v>
      </c>
      <c r="AC184" s="103">
        <v>1</v>
      </c>
      <c r="AD184" s="103">
        <v>1</v>
      </c>
      <c r="AE184" s="103">
        <v>2</v>
      </c>
      <c r="AF184" s="103">
        <v>4</v>
      </c>
      <c r="AG184" s="103">
        <v>1</v>
      </c>
      <c r="AH184" s="103">
        <v>4</v>
      </c>
      <c r="AI184" s="103">
        <v>3</v>
      </c>
      <c r="AJ184" s="103">
        <v>4</v>
      </c>
      <c r="AK184" s="103">
        <v>1</v>
      </c>
      <c r="AL184" s="104">
        <v>3</v>
      </c>
      <c r="AM184" s="4">
        <v>4</v>
      </c>
      <c r="AN184" s="87">
        <v>0</v>
      </c>
      <c r="AO184" s="4">
        <v>1</v>
      </c>
      <c r="AP184" s="4">
        <v>1</v>
      </c>
      <c r="AQ184" s="4">
        <v>1</v>
      </c>
      <c r="AR184" s="4">
        <v>1</v>
      </c>
      <c r="AS184" s="4">
        <v>1</v>
      </c>
      <c r="AT184" s="4">
        <v>0</v>
      </c>
      <c r="AU184" s="107">
        <v>3.5</v>
      </c>
      <c r="AV184" s="4">
        <f>IF(K184=VLOOKUP(VALUE(K$1),Questions!$A:$E,5,FALSE),1,0)</f>
        <v>1</v>
      </c>
      <c r="AW184" s="4">
        <f>IF(L184=VLOOKUP(VALUE(L$1),Questions!$A:$E,5,FALSE),1,0)</f>
        <v>0</v>
      </c>
      <c r="AX184" s="4">
        <f>IF(M184=VLOOKUP(VALUE(M$1),Questions!$A:$E,5,FALSE),1,0)</f>
        <v>0</v>
      </c>
      <c r="AY184" s="4">
        <f>IF(N184=VLOOKUP(VALUE(N$1),Questions!$A:$E,5,FALSE),1,0)</f>
        <v>0</v>
      </c>
      <c r="AZ184" s="4">
        <f>IF(O184=VLOOKUP(VALUE(O$1),Questions!$A:$E,5,FALSE),1,0)</f>
        <v>1</v>
      </c>
      <c r="BA184" s="4">
        <f>IF(P184=VLOOKUP(VALUE(P$1),Questions!$A:$E,5,FALSE),1,0)</f>
        <v>0</v>
      </c>
      <c r="BB184" s="4">
        <f>IF(Q184=VLOOKUP(VALUE(Q$1),Questions!$A:$E,5,FALSE),1,0)</f>
        <v>1</v>
      </c>
      <c r="BC184" s="4">
        <f>IF(R184=VLOOKUP(VALUE(R$1),Questions!$A:$E,5,FALSE),1,0)</f>
        <v>0</v>
      </c>
      <c r="BD184" s="4">
        <f>IF(S184=VLOOKUP(VALUE(S$1),Questions!$A:$E,5,FALSE),1,0)</f>
        <v>0</v>
      </c>
      <c r="BE184" s="4">
        <f>IF(T184=VLOOKUP(VALUE(T$1),Questions!$A:$E,5,FALSE),1,0)</f>
        <v>1</v>
      </c>
      <c r="BF184" s="4">
        <f>IF(U184=VLOOKUP(VALUE(U$1),Questions!$A:$E,5,FALSE),1,0)</f>
        <v>1</v>
      </c>
      <c r="BG184" s="4">
        <f>IF(V184=VLOOKUP(VALUE(V$1),Questions!$A:$E,5,FALSE),1,0)</f>
        <v>0</v>
      </c>
      <c r="BH184" s="4">
        <f>IF(W184=VLOOKUP(VALUE(W$1),Questions!$A:$E,5,FALSE),1,0)</f>
        <v>1</v>
      </c>
      <c r="BI184" s="4">
        <f>IF(X184=VLOOKUP(VALUE(X$1),Questions!$A:$E,5,FALSE),1,0)</f>
        <v>0</v>
      </c>
      <c r="BJ184" s="4">
        <f>IF(Y184=VLOOKUP(VALUE(Y$1),Questions!$A:$E,5,FALSE),1,0)</f>
        <v>0</v>
      </c>
      <c r="BK184" s="4">
        <f>IF(Z184=VLOOKUP(VALUE(Z$1),Questions!$A:$E,5,FALSE),1,0)</f>
        <v>1</v>
      </c>
      <c r="BL184" s="4">
        <f>IF(AA184=VLOOKUP(VALUE(AA$1),Questions!$A:$E,5,FALSE),1,0)</f>
        <v>1</v>
      </c>
      <c r="BM184" s="4">
        <f>IF(AB184=VLOOKUP(VALUE(AB$1),Questions!$A:$E,5,FALSE),1,0)</f>
        <v>1</v>
      </c>
      <c r="BN184" s="4">
        <f>IF(AC184=VLOOKUP(VALUE(AC$1),Questions!$A:$E,5,FALSE),1,0)</f>
        <v>0</v>
      </c>
      <c r="BO184" s="4">
        <f>IF(AD184=VLOOKUP(VALUE(AD$1),Questions!$A:$E,5,FALSE),1,0)</f>
        <v>0</v>
      </c>
      <c r="BP184" s="4">
        <f>IF(AE184=VLOOKUP(VALUE(AE$1),Questions!$A:$E,5,FALSE),1,0)</f>
        <v>1</v>
      </c>
      <c r="BQ184" s="4">
        <f>IF(AF184=VLOOKUP(VALUE(AF$1),Questions!$A:$E,5,FALSE),1,0)</f>
        <v>0</v>
      </c>
      <c r="BR184" s="4">
        <f>IF(AG184=VLOOKUP(VALUE(AG$1),Questions!$A:$E,5,FALSE),1,0)</f>
        <v>0</v>
      </c>
      <c r="BS184" s="4">
        <f>IF(AH184=VLOOKUP(VALUE(AH$1),Questions!$A:$E,5,FALSE),1,0)</f>
        <v>0</v>
      </c>
      <c r="BT184" s="4">
        <f>IF(AI184=VLOOKUP(VALUE(AI$1),Questions!$A:$E,5,FALSE),1,0)</f>
        <v>0</v>
      </c>
      <c r="BU184" s="4">
        <f>IF(AJ184=VLOOKUP(VALUE(AJ$1),Questions!$A:$E,5,FALSE),1,0)</f>
        <v>1</v>
      </c>
      <c r="BV184" s="4">
        <f>IF(AK184=VLOOKUP(VALUE(AK$1),Questions!$A:$E,5,FALSE),1,0)</f>
        <v>1</v>
      </c>
      <c r="BW184" s="87">
        <f>IF(AL184=VLOOKUP(VALUE(AL$1),Questions!$A:$E,5,FALSE),1,0)</f>
        <v>1</v>
      </c>
      <c r="BX184" s="4">
        <f>IF(Scores[[#This Row],[Final]]&gt;=65,1,0)</f>
        <v>1</v>
      </c>
      <c r="BY184" s="4">
        <f>IF(Scores[[#This Row],[Final]]&gt;=IF(Scores[[#This Row],[IEP]],55,65),1,0)</f>
        <v>1</v>
      </c>
    </row>
    <row r="185" spans="1:77" x14ac:dyDescent="0.2">
      <c r="A185" s="6">
        <v>184</v>
      </c>
      <c r="B185" s="4">
        <v>11</v>
      </c>
      <c r="C185" s="4" t="s">
        <v>967</v>
      </c>
      <c r="D185" s="105" t="b">
        <v>0</v>
      </c>
      <c r="E185" s="105" t="b">
        <v>0</v>
      </c>
      <c r="F185" s="86">
        <f>SUM(Scores[[#This Row],[Q1]:[Q28]])</f>
        <v>0</v>
      </c>
      <c r="G185" s="4">
        <f>SUM(Scores[[#This Row],[29]]:Scores[[#This Row],[30]])</f>
        <v>0</v>
      </c>
      <c r="H185" s="4">
        <f>SUM(Scores[[#This Row],[31]:[36]])</f>
        <v>0</v>
      </c>
      <c r="I185" s="4">
        <f>Scores[[#This Row],[37]]</f>
        <v>0</v>
      </c>
      <c r="J185" s="87">
        <f>INDEX('Conversion Chart'!$C$3:$M$47,MATCH(SUM(Scores[[#This Row],[MC]:[IIIA]]),'Conversion Chart'!$B$3:$B$47),MATCH(Scores[[#This Row],[IIIB]],'Conversion Chart'!$C$2:$M$2))</f>
        <v>0</v>
      </c>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4"/>
      <c r="AN185" s="87"/>
      <c r="AU185" s="107"/>
      <c r="AV185" s="4">
        <f>IF(K185=VLOOKUP(VALUE(K$1),Questions!$A:$E,5,FALSE),1,0)</f>
        <v>0</v>
      </c>
      <c r="AW185" s="4">
        <f>IF(L185=VLOOKUP(VALUE(L$1),Questions!$A:$E,5,FALSE),1,0)</f>
        <v>0</v>
      </c>
      <c r="AX185" s="4">
        <f>IF(M185=VLOOKUP(VALUE(M$1),Questions!$A:$E,5,FALSE),1,0)</f>
        <v>0</v>
      </c>
      <c r="AY185" s="4">
        <f>IF(N185=VLOOKUP(VALUE(N$1),Questions!$A:$E,5,FALSE),1,0)</f>
        <v>0</v>
      </c>
      <c r="AZ185" s="4">
        <f>IF(O185=VLOOKUP(VALUE(O$1),Questions!$A:$E,5,FALSE),1,0)</f>
        <v>0</v>
      </c>
      <c r="BA185" s="4">
        <f>IF(P185=VLOOKUP(VALUE(P$1),Questions!$A:$E,5,FALSE),1,0)</f>
        <v>0</v>
      </c>
      <c r="BB185" s="4">
        <f>IF(Q185=VLOOKUP(VALUE(Q$1),Questions!$A:$E,5,FALSE),1,0)</f>
        <v>0</v>
      </c>
      <c r="BC185" s="4">
        <f>IF(R185=VLOOKUP(VALUE(R$1),Questions!$A:$E,5,FALSE),1,0)</f>
        <v>0</v>
      </c>
      <c r="BD185" s="4">
        <f>IF(S185=VLOOKUP(VALUE(S$1),Questions!$A:$E,5,FALSE),1,0)</f>
        <v>0</v>
      </c>
      <c r="BE185" s="4">
        <f>IF(T185=VLOOKUP(VALUE(T$1),Questions!$A:$E,5,FALSE),1,0)</f>
        <v>0</v>
      </c>
      <c r="BF185" s="4">
        <f>IF(U185=VLOOKUP(VALUE(U$1),Questions!$A:$E,5,FALSE),1,0)</f>
        <v>0</v>
      </c>
      <c r="BG185" s="4">
        <f>IF(V185=VLOOKUP(VALUE(V$1),Questions!$A:$E,5,FALSE),1,0)</f>
        <v>0</v>
      </c>
      <c r="BH185" s="4">
        <f>IF(W185=VLOOKUP(VALUE(W$1),Questions!$A:$E,5,FALSE),1,0)</f>
        <v>0</v>
      </c>
      <c r="BI185" s="4">
        <f>IF(X185=VLOOKUP(VALUE(X$1),Questions!$A:$E,5,FALSE),1,0)</f>
        <v>0</v>
      </c>
      <c r="BJ185" s="4">
        <f>IF(Y185=VLOOKUP(VALUE(Y$1),Questions!$A:$E,5,FALSE),1,0)</f>
        <v>0</v>
      </c>
      <c r="BK185" s="4">
        <f>IF(Z185=VLOOKUP(VALUE(Z$1),Questions!$A:$E,5,FALSE),1,0)</f>
        <v>0</v>
      </c>
      <c r="BL185" s="4">
        <f>IF(AA185=VLOOKUP(VALUE(AA$1),Questions!$A:$E,5,FALSE),1,0)</f>
        <v>0</v>
      </c>
      <c r="BM185" s="4">
        <f>IF(AB185=VLOOKUP(VALUE(AB$1),Questions!$A:$E,5,FALSE),1,0)</f>
        <v>0</v>
      </c>
      <c r="BN185" s="4">
        <f>IF(AC185=VLOOKUP(VALUE(AC$1),Questions!$A:$E,5,FALSE),1,0)</f>
        <v>0</v>
      </c>
      <c r="BO185" s="4">
        <f>IF(AD185=VLOOKUP(VALUE(AD$1),Questions!$A:$E,5,FALSE),1,0)</f>
        <v>0</v>
      </c>
      <c r="BP185" s="4">
        <f>IF(AE185=VLOOKUP(VALUE(AE$1),Questions!$A:$E,5,FALSE),1,0)</f>
        <v>0</v>
      </c>
      <c r="BQ185" s="4">
        <f>IF(AF185=VLOOKUP(VALUE(AF$1),Questions!$A:$E,5,FALSE),1,0)</f>
        <v>0</v>
      </c>
      <c r="BR185" s="4">
        <f>IF(AG185=VLOOKUP(VALUE(AG$1),Questions!$A:$E,5,FALSE),1,0)</f>
        <v>0</v>
      </c>
      <c r="BS185" s="4">
        <f>IF(AH185=VLOOKUP(VALUE(AH$1),Questions!$A:$E,5,FALSE),1,0)</f>
        <v>0</v>
      </c>
      <c r="BT185" s="4">
        <f>IF(AI185=VLOOKUP(VALUE(AI$1),Questions!$A:$E,5,FALSE),1,0)</f>
        <v>0</v>
      </c>
      <c r="BU185" s="4">
        <f>IF(AJ185=VLOOKUP(VALUE(AJ$1),Questions!$A:$E,5,FALSE),1,0)</f>
        <v>0</v>
      </c>
      <c r="BV185" s="4">
        <f>IF(AK185=VLOOKUP(VALUE(AK$1),Questions!$A:$E,5,FALSE),1,0)</f>
        <v>0</v>
      </c>
      <c r="BW185" s="87">
        <f>IF(AL185=VLOOKUP(VALUE(AL$1),Questions!$A:$E,5,FALSE),1,0)</f>
        <v>0</v>
      </c>
      <c r="BX185" s="4">
        <f>IF(Scores[[#This Row],[Final]]&gt;=65,1,0)</f>
        <v>0</v>
      </c>
      <c r="BY185" s="4">
        <f>IF(Scores[[#This Row],[Final]]&gt;=IF(Scores[[#This Row],[IEP]],55,65),1,0)</f>
        <v>0</v>
      </c>
    </row>
    <row r="186" spans="1:77" x14ac:dyDescent="0.2">
      <c r="A186" s="6">
        <v>185</v>
      </c>
      <c r="B186" s="4">
        <v>9</v>
      </c>
      <c r="C186" s="4" t="s">
        <v>963</v>
      </c>
      <c r="D186" s="105" t="b">
        <v>0</v>
      </c>
      <c r="E186" s="105" t="b">
        <v>0</v>
      </c>
      <c r="F186" s="86">
        <f>SUM(Scores[[#This Row],[Q1]:[Q28]])</f>
        <v>17</v>
      </c>
      <c r="G186" s="4">
        <f>SUM(Scores[[#This Row],[29]]:Scores[[#This Row],[30]])</f>
        <v>4</v>
      </c>
      <c r="H186" s="4">
        <f>SUM(Scores[[#This Row],[31]:[36]])</f>
        <v>5</v>
      </c>
      <c r="I186" s="4">
        <f>Scores[[#This Row],[37]]</f>
        <v>1.5</v>
      </c>
      <c r="J186" s="87">
        <f>INDEX('Conversion Chart'!$C$3:$M$47,MATCH(SUM(Scores[[#This Row],[MC]:[IIIA]]),'Conversion Chart'!$B$3:$B$47),MATCH(Scores[[#This Row],[IIIB]],'Conversion Chart'!$C$2:$M$2))</f>
        <v>67</v>
      </c>
      <c r="K186" s="103">
        <v>4</v>
      </c>
      <c r="L186" s="103">
        <v>2</v>
      </c>
      <c r="M186" s="103">
        <v>3</v>
      </c>
      <c r="N186" s="103">
        <v>2</v>
      </c>
      <c r="O186" s="103">
        <v>1</v>
      </c>
      <c r="P186" s="103">
        <v>2</v>
      </c>
      <c r="Q186" s="103">
        <v>2</v>
      </c>
      <c r="R186" s="103">
        <v>2</v>
      </c>
      <c r="S186" s="103">
        <v>1</v>
      </c>
      <c r="T186" s="103">
        <v>1</v>
      </c>
      <c r="U186" s="103">
        <v>2</v>
      </c>
      <c r="V186" s="103">
        <v>3</v>
      </c>
      <c r="W186" s="103">
        <v>2</v>
      </c>
      <c r="X186" s="103">
        <v>4</v>
      </c>
      <c r="Y186" s="103">
        <v>1</v>
      </c>
      <c r="Z186" s="103">
        <v>4</v>
      </c>
      <c r="AA186" s="103">
        <v>1</v>
      </c>
      <c r="AB186" s="103">
        <v>4</v>
      </c>
      <c r="AC186" s="103">
        <v>3</v>
      </c>
      <c r="AD186" s="103">
        <v>4</v>
      </c>
      <c r="AE186" s="103">
        <v>3</v>
      </c>
      <c r="AF186" s="103">
        <v>2</v>
      </c>
      <c r="AG186" s="103">
        <v>4</v>
      </c>
      <c r="AH186" s="103">
        <v>3</v>
      </c>
      <c r="AI186" s="103">
        <v>3</v>
      </c>
      <c r="AJ186" s="103">
        <v>4</v>
      </c>
      <c r="AK186" s="103">
        <v>2</v>
      </c>
      <c r="AL186" s="104">
        <v>3</v>
      </c>
      <c r="AM186" s="4">
        <v>2</v>
      </c>
      <c r="AN186" s="87">
        <v>2</v>
      </c>
      <c r="AO186" s="4">
        <v>0</v>
      </c>
      <c r="AP186" s="4">
        <v>1</v>
      </c>
      <c r="AQ186" s="4">
        <v>1</v>
      </c>
      <c r="AR186" s="4">
        <v>1</v>
      </c>
      <c r="AS186" s="4">
        <v>1</v>
      </c>
      <c r="AT186" s="4">
        <v>1</v>
      </c>
      <c r="AU186" s="107">
        <v>1.5</v>
      </c>
      <c r="AV186" s="4">
        <f>IF(K186=VLOOKUP(VALUE(K$1),Questions!$A:$E,5,FALSE),1,0)</f>
        <v>1</v>
      </c>
      <c r="AW186" s="4">
        <f>IF(L186=VLOOKUP(VALUE(L$1),Questions!$A:$E,5,FALSE),1,0)</f>
        <v>1</v>
      </c>
      <c r="AX186" s="4">
        <f>IF(M186=VLOOKUP(VALUE(M$1),Questions!$A:$E,5,FALSE),1,0)</f>
        <v>1</v>
      </c>
      <c r="AY186" s="4">
        <f>IF(N186=VLOOKUP(VALUE(N$1),Questions!$A:$E,5,FALSE),1,0)</f>
        <v>0</v>
      </c>
      <c r="AZ186" s="4">
        <f>IF(O186=VLOOKUP(VALUE(O$1),Questions!$A:$E,5,FALSE),1,0)</f>
        <v>1</v>
      </c>
      <c r="BA186" s="4">
        <f>IF(P186=VLOOKUP(VALUE(P$1),Questions!$A:$E,5,FALSE),1,0)</f>
        <v>0</v>
      </c>
      <c r="BB186" s="4">
        <f>IF(Q186=VLOOKUP(VALUE(Q$1),Questions!$A:$E,5,FALSE),1,0)</f>
        <v>0</v>
      </c>
      <c r="BC186" s="4">
        <f>IF(R186=VLOOKUP(VALUE(R$1),Questions!$A:$E,5,FALSE),1,0)</f>
        <v>1</v>
      </c>
      <c r="BD186" s="4">
        <f>IF(S186=VLOOKUP(VALUE(S$1),Questions!$A:$E,5,FALSE),1,0)</f>
        <v>0</v>
      </c>
      <c r="BE186" s="4">
        <f>IF(T186=VLOOKUP(VALUE(T$1),Questions!$A:$E,5,FALSE),1,0)</f>
        <v>1</v>
      </c>
      <c r="BF186" s="4">
        <f>IF(U186=VLOOKUP(VALUE(U$1),Questions!$A:$E,5,FALSE),1,0)</f>
        <v>1</v>
      </c>
      <c r="BG186" s="4">
        <f>IF(V186=VLOOKUP(VALUE(V$1),Questions!$A:$E,5,FALSE),1,0)</f>
        <v>0</v>
      </c>
      <c r="BH186" s="4">
        <f>IF(W186=VLOOKUP(VALUE(W$1),Questions!$A:$E,5,FALSE),1,0)</f>
        <v>1</v>
      </c>
      <c r="BI186" s="4">
        <f>IF(X186=VLOOKUP(VALUE(X$1),Questions!$A:$E,5,FALSE),1,0)</f>
        <v>1</v>
      </c>
      <c r="BJ186" s="4">
        <f>IF(Y186=VLOOKUP(VALUE(Y$1),Questions!$A:$E,5,FALSE),1,0)</f>
        <v>0</v>
      </c>
      <c r="BK186" s="4">
        <f>IF(Z186=VLOOKUP(VALUE(Z$1),Questions!$A:$E,5,FALSE),1,0)</f>
        <v>0</v>
      </c>
      <c r="BL186" s="4">
        <f>IF(AA186=VLOOKUP(VALUE(AA$1),Questions!$A:$E,5,FALSE),1,0)</f>
        <v>1</v>
      </c>
      <c r="BM186" s="4">
        <f>IF(AB186=VLOOKUP(VALUE(AB$1),Questions!$A:$E,5,FALSE),1,0)</f>
        <v>1</v>
      </c>
      <c r="BN186" s="4">
        <f>IF(AC186=VLOOKUP(VALUE(AC$1),Questions!$A:$E,5,FALSE),1,0)</f>
        <v>1</v>
      </c>
      <c r="BO186" s="4">
        <f>IF(AD186=VLOOKUP(VALUE(AD$1),Questions!$A:$E,5,FALSE),1,0)</f>
        <v>1</v>
      </c>
      <c r="BP186" s="4">
        <f>IF(AE186=VLOOKUP(VALUE(AE$1),Questions!$A:$E,5,FALSE),1,0)</f>
        <v>0</v>
      </c>
      <c r="BQ186" s="4">
        <f>IF(AF186=VLOOKUP(VALUE(AF$1),Questions!$A:$E,5,FALSE),1,0)</f>
        <v>1</v>
      </c>
      <c r="BR186" s="4">
        <f>IF(AG186=VLOOKUP(VALUE(AG$1),Questions!$A:$E,5,FALSE),1,0)</f>
        <v>0</v>
      </c>
      <c r="BS186" s="4">
        <f>IF(AH186=VLOOKUP(VALUE(AH$1),Questions!$A:$E,5,FALSE),1,0)</f>
        <v>1</v>
      </c>
      <c r="BT186" s="4">
        <f>IF(AI186=VLOOKUP(VALUE(AI$1),Questions!$A:$E,5,FALSE),1,0)</f>
        <v>0</v>
      </c>
      <c r="BU186" s="4">
        <f>IF(AJ186=VLOOKUP(VALUE(AJ$1),Questions!$A:$E,5,FALSE),1,0)</f>
        <v>1</v>
      </c>
      <c r="BV186" s="4">
        <f>IF(AK186=VLOOKUP(VALUE(AK$1),Questions!$A:$E,5,FALSE),1,0)</f>
        <v>0</v>
      </c>
      <c r="BW186" s="87">
        <f>IF(AL186=VLOOKUP(VALUE(AL$1),Questions!$A:$E,5,FALSE),1,0)</f>
        <v>1</v>
      </c>
      <c r="BX186" s="4">
        <f>IF(Scores[[#This Row],[Final]]&gt;=65,1,0)</f>
        <v>1</v>
      </c>
      <c r="BY186" s="4">
        <f>IF(Scores[[#This Row],[Final]]&gt;=IF(Scores[[#This Row],[IEP]],55,65),1,0)</f>
        <v>1</v>
      </c>
    </row>
    <row r="187" spans="1:77" x14ac:dyDescent="0.2">
      <c r="A187" s="6">
        <v>186</v>
      </c>
      <c r="B187" s="4">
        <v>9</v>
      </c>
      <c r="C187" s="4" t="s">
        <v>963</v>
      </c>
      <c r="D187" s="105" t="b">
        <v>0</v>
      </c>
      <c r="E187" s="105" t="b">
        <v>0</v>
      </c>
      <c r="F187" s="86">
        <f>SUM(Scores[[#This Row],[Q1]:[Q28]])</f>
        <v>20</v>
      </c>
      <c r="G187" s="4">
        <f>SUM(Scores[[#This Row],[29]]:Scores[[#This Row],[30]])</f>
        <v>3</v>
      </c>
      <c r="H187" s="4">
        <f>SUM(Scores[[#This Row],[31]:[36]])</f>
        <v>3</v>
      </c>
      <c r="I187" s="4">
        <f>Scores[[#This Row],[37]]</f>
        <v>1</v>
      </c>
      <c r="J187" s="87">
        <f>INDEX('Conversion Chart'!$C$3:$M$47,MATCH(SUM(Scores[[#This Row],[MC]:[IIIA]]),'Conversion Chart'!$B$3:$B$47),MATCH(Scores[[#This Row],[IIIB]],'Conversion Chart'!$C$2:$M$2))</f>
        <v>66</v>
      </c>
      <c r="K187" s="103">
        <v>4</v>
      </c>
      <c r="L187" s="103">
        <v>2</v>
      </c>
      <c r="M187" s="103">
        <v>3</v>
      </c>
      <c r="N187" s="103">
        <v>1</v>
      </c>
      <c r="O187" s="103">
        <v>1</v>
      </c>
      <c r="P187" s="103">
        <v>2</v>
      </c>
      <c r="Q187" s="103">
        <v>3</v>
      </c>
      <c r="R187" s="103">
        <v>2</v>
      </c>
      <c r="S187" s="103">
        <v>2</v>
      </c>
      <c r="T187" s="103">
        <v>1</v>
      </c>
      <c r="U187" s="103">
        <v>2</v>
      </c>
      <c r="V187" s="103">
        <v>1</v>
      </c>
      <c r="W187" s="103">
        <v>2</v>
      </c>
      <c r="X187" s="103">
        <v>4</v>
      </c>
      <c r="Y187" s="103">
        <v>1</v>
      </c>
      <c r="Z187" s="103">
        <v>1</v>
      </c>
      <c r="AA187" s="103">
        <v>1</v>
      </c>
      <c r="AB187" s="103">
        <v>4</v>
      </c>
      <c r="AC187" s="103">
        <v>3</v>
      </c>
      <c r="AD187" s="103">
        <v>4</v>
      </c>
      <c r="AE187" s="103">
        <v>3</v>
      </c>
      <c r="AF187" s="103">
        <v>2</v>
      </c>
      <c r="AG187" s="103">
        <v>1</v>
      </c>
      <c r="AH187" s="103">
        <v>2</v>
      </c>
      <c r="AI187" s="103">
        <v>1</v>
      </c>
      <c r="AJ187" s="103">
        <v>4</v>
      </c>
      <c r="AK187" s="103">
        <v>2</v>
      </c>
      <c r="AL187" s="104">
        <v>3</v>
      </c>
      <c r="AM187" s="4">
        <v>2</v>
      </c>
      <c r="AN187" s="87">
        <v>1</v>
      </c>
      <c r="AO187" s="4">
        <v>1</v>
      </c>
      <c r="AP187" s="4">
        <v>1</v>
      </c>
      <c r="AQ187" s="4">
        <v>0</v>
      </c>
      <c r="AR187" s="4">
        <v>1</v>
      </c>
      <c r="AS187" s="4">
        <v>0</v>
      </c>
      <c r="AT187" s="4">
        <v>0</v>
      </c>
      <c r="AU187" s="107">
        <v>1</v>
      </c>
      <c r="AV187" s="4">
        <f>IF(K187=VLOOKUP(VALUE(K$1),Questions!$A:$E,5,FALSE),1,0)</f>
        <v>1</v>
      </c>
      <c r="AW187" s="4">
        <f>IF(L187=VLOOKUP(VALUE(L$1),Questions!$A:$E,5,FALSE),1,0)</f>
        <v>1</v>
      </c>
      <c r="AX187" s="4">
        <f>IF(M187=VLOOKUP(VALUE(M$1),Questions!$A:$E,5,FALSE),1,0)</f>
        <v>1</v>
      </c>
      <c r="AY187" s="4">
        <f>IF(N187=VLOOKUP(VALUE(N$1),Questions!$A:$E,5,FALSE),1,0)</f>
        <v>0</v>
      </c>
      <c r="AZ187" s="4">
        <f>IF(O187=VLOOKUP(VALUE(O$1),Questions!$A:$E,5,FALSE),1,0)</f>
        <v>1</v>
      </c>
      <c r="BA187" s="4">
        <f>IF(P187=VLOOKUP(VALUE(P$1),Questions!$A:$E,5,FALSE),1,0)</f>
        <v>0</v>
      </c>
      <c r="BB187" s="4">
        <f>IF(Q187=VLOOKUP(VALUE(Q$1),Questions!$A:$E,5,FALSE),1,0)</f>
        <v>1</v>
      </c>
      <c r="BC187" s="4">
        <f>IF(R187=VLOOKUP(VALUE(R$1),Questions!$A:$E,5,FALSE),1,0)</f>
        <v>1</v>
      </c>
      <c r="BD187" s="4">
        <f>IF(S187=VLOOKUP(VALUE(S$1),Questions!$A:$E,5,FALSE),1,0)</f>
        <v>1</v>
      </c>
      <c r="BE187" s="4">
        <f>IF(T187=VLOOKUP(VALUE(T$1),Questions!$A:$E,5,FALSE),1,0)</f>
        <v>1</v>
      </c>
      <c r="BF187" s="4">
        <f>IF(U187=VLOOKUP(VALUE(U$1),Questions!$A:$E,5,FALSE),1,0)</f>
        <v>1</v>
      </c>
      <c r="BG187" s="4">
        <f>IF(V187=VLOOKUP(VALUE(V$1),Questions!$A:$E,5,FALSE),1,0)</f>
        <v>0</v>
      </c>
      <c r="BH187" s="4">
        <f>IF(W187=VLOOKUP(VALUE(W$1),Questions!$A:$E,5,FALSE),1,0)</f>
        <v>1</v>
      </c>
      <c r="BI187" s="4">
        <f>IF(X187=VLOOKUP(VALUE(X$1),Questions!$A:$E,5,FALSE),1,0)</f>
        <v>1</v>
      </c>
      <c r="BJ187" s="4">
        <f>IF(Y187=VLOOKUP(VALUE(Y$1),Questions!$A:$E,5,FALSE),1,0)</f>
        <v>0</v>
      </c>
      <c r="BK187" s="4">
        <f>IF(Z187=VLOOKUP(VALUE(Z$1),Questions!$A:$E,5,FALSE),1,0)</f>
        <v>1</v>
      </c>
      <c r="BL187" s="4">
        <f>IF(AA187=VLOOKUP(VALUE(AA$1),Questions!$A:$E,5,FALSE),1,0)</f>
        <v>1</v>
      </c>
      <c r="BM187" s="4">
        <f>IF(AB187=VLOOKUP(VALUE(AB$1),Questions!$A:$E,5,FALSE),1,0)</f>
        <v>1</v>
      </c>
      <c r="BN187" s="4">
        <f>IF(AC187=VLOOKUP(VALUE(AC$1),Questions!$A:$E,5,FALSE),1,0)</f>
        <v>1</v>
      </c>
      <c r="BO187" s="4">
        <f>IF(AD187=VLOOKUP(VALUE(AD$1),Questions!$A:$E,5,FALSE),1,0)</f>
        <v>1</v>
      </c>
      <c r="BP187" s="4">
        <f>IF(AE187=VLOOKUP(VALUE(AE$1),Questions!$A:$E,5,FALSE),1,0)</f>
        <v>0</v>
      </c>
      <c r="BQ187" s="4">
        <f>IF(AF187=VLOOKUP(VALUE(AF$1),Questions!$A:$E,5,FALSE),1,0)</f>
        <v>1</v>
      </c>
      <c r="BR187" s="4">
        <f>IF(AG187=VLOOKUP(VALUE(AG$1),Questions!$A:$E,5,FALSE),1,0)</f>
        <v>0</v>
      </c>
      <c r="BS187" s="4">
        <f>IF(AH187=VLOOKUP(VALUE(AH$1),Questions!$A:$E,5,FALSE),1,0)</f>
        <v>0</v>
      </c>
      <c r="BT187" s="4">
        <f>IF(AI187=VLOOKUP(VALUE(AI$1),Questions!$A:$E,5,FALSE),1,0)</f>
        <v>1</v>
      </c>
      <c r="BU187" s="4">
        <f>IF(AJ187=VLOOKUP(VALUE(AJ$1),Questions!$A:$E,5,FALSE),1,0)</f>
        <v>1</v>
      </c>
      <c r="BV187" s="4">
        <f>IF(AK187=VLOOKUP(VALUE(AK$1),Questions!$A:$E,5,FALSE),1,0)</f>
        <v>0</v>
      </c>
      <c r="BW187" s="87">
        <f>IF(AL187=VLOOKUP(VALUE(AL$1),Questions!$A:$E,5,FALSE),1,0)</f>
        <v>1</v>
      </c>
      <c r="BX187" s="4">
        <f>IF(Scores[[#This Row],[Final]]&gt;=65,1,0)</f>
        <v>1</v>
      </c>
      <c r="BY187" s="4">
        <f>IF(Scores[[#This Row],[Final]]&gt;=IF(Scores[[#This Row],[IEP]],55,65),1,0)</f>
        <v>1</v>
      </c>
    </row>
    <row r="188" spans="1:77" x14ac:dyDescent="0.2">
      <c r="A188" s="6">
        <v>187</v>
      </c>
      <c r="B188" s="4">
        <v>10</v>
      </c>
      <c r="C188" s="4" t="s">
        <v>963</v>
      </c>
      <c r="D188" s="105" t="b">
        <v>1</v>
      </c>
      <c r="E188" s="105" t="b">
        <v>0</v>
      </c>
      <c r="F188" s="86">
        <f>SUM(Scores[[#This Row],[Q1]:[Q28]])</f>
        <v>13</v>
      </c>
      <c r="G188" s="4">
        <f>SUM(Scores[[#This Row],[29]]:Scores[[#This Row],[30]])</f>
        <v>4</v>
      </c>
      <c r="H188" s="4">
        <f>SUM(Scores[[#This Row],[31]:[36]])</f>
        <v>4</v>
      </c>
      <c r="I188" s="4">
        <f>Scores[[#This Row],[37]]</f>
        <v>1</v>
      </c>
      <c r="J188" s="87">
        <f>INDEX('Conversion Chart'!$C$3:$M$47,MATCH(SUM(Scores[[#This Row],[MC]:[IIIA]]),'Conversion Chart'!$B$3:$B$47),MATCH(Scores[[#This Row],[IIIB]],'Conversion Chart'!$C$2:$M$2))</f>
        <v>58</v>
      </c>
      <c r="K188" s="103">
        <v>1</v>
      </c>
      <c r="L188" s="103">
        <v>4</v>
      </c>
      <c r="M188" s="103">
        <v>3</v>
      </c>
      <c r="N188" s="103">
        <v>2</v>
      </c>
      <c r="O188" s="103">
        <v>1</v>
      </c>
      <c r="P188" s="103">
        <v>2</v>
      </c>
      <c r="Q188" s="103">
        <v>3</v>
      </c>
      <c r="R188" s="103">
        <v>2</v>
      </c>
      <c r="S188" s="103">
        <v>3</v>
      </c>
      <c r="T188" s="103">
        <v>1</v>
      </c>
      <c r="U188" s="103">
        <v>2</v>
      </c>
      <c r="V188" s="103">
        <v>3</v>
      </c>
      <c r="W188" s="103">
        <v>3</v>
      </c>
      <c r="X188" s="103">
        <v>1</v>
      </c>
      <c r="Y188" s="103">
        <v>1</v>
      </c>
      <c r="Z188" s="103">
        <v>2</v>
      </c>
      <c r="AA188" s="103">
        <v>4</v>
      </c>
      <c r="AB188" s="103">
        <v>4</v>
      </c>
      <c r="AC188" s="103">
        <v>3</v>
      </c>
      <c r="AD188" s="103">
        <v>2</v>
      </c>
      <c r="AE188" s="103">
        <v>4</v>
      </c>
      <c r="AF188" s="103">
        <v>2</v>
      </c>
      <c r="AG188" s="103">
        <v>3</v>
      </c>
      <c r="AH188" s="103">
        <v>1</v>
      </c>
      <c r="AI188" s="103">
        <v>1</v>
      </c>
      <c r="AJ188" s="103">
        <v>4</v>
      </c>
      <c r="AK188" s="103">
        <v>4</v>
      </c>
      <c r="AL188" s="104">
        <v>3</v>
      </c>
      <c r="AM188" s="4">
        <v>2</v>
      </c>
      <c r="AN188" s="87">
        <v>2</v>
      </c>
      <c r="AO188" s="4">
        <v>1</v>
      </c>
      <c r="AP188" s="4">
        <v>0</v>
      </c>
      <c r="AQ188" s="4">
        <v>0</v>
      </c>
      <c r="AR188" s="4">
        <v>1</v>
      </c>
      <c r="AS188" s="4">
        <v>1</v>
      </c>
      <c r="AT188" s="4">
        <v>1</v>
      </c>
      <c r="AU188" s="107">
        <v>1</v>
      </c>
      <c r="AV188" s="4">
        <f>IF(K188=VLOOKUP(VALUE(K$1),Questions!$A:$E,5,FALSE),1,0)</f>
        <v>0</v>
      </c>
      <c r="AW188" s="4">
        <f>IF(L188=VLOOKUP(VALUE(L$1),Questions!$A:$E,5,FALSE),1,0)</f>
        <v>0</v>
      </c>
      <c r="AX188" s="4">
        <f>IF(M188=VLOOKUP(VALUE(M$1),Questions!$A:$E,5,FALSE),1,0)</f>
        <v>1</v>
      </c>
      <c r="AY188" s="4">
        <f>IF(N188=VLOOKUP(VALUE(N$1),Questions!$A:$E,5,FALSE),1,0)</f>
        <v>0</v>
      </c>
      <c r="AZ188" s="4">
        <f>IF(O188=VLOOKUP(VALUE(O$1),Questions!$A:$E,5,FALSE),1,0)</f>
        <v>1</v>
      </c>
      <c r="BA188" s="4">
        <f>IF(P188=VLOOKUP(VALUE(P$1),Questions!$A:$E,5,FALSE),1,0)</f>
        <v>0</v>
      </c>
      <c r="BB188" s="4">
        <f>IF(Q188=VLOOKUP(VALUE(Q$1),Questions!$A:$E,5,FALSE),1,0)</f>
        <v>1</v>
      </c>
      <c r="BC188" s="4">
        <f>IF(R188=VLOOKUP(VALUE(R$1),Questions!$A:$E,5,FALSE),1,0)</f>
        <v>1</v>
      </c>
      <c r="BD188" s="4">
        <f>IF(S188=VLOOKUP(VALUE(S$1),Questions!$A:$E,5,FALSE),1,0)</f>
        <v>0</v>
      </c>
      <c r="BE188" s="4">
        <f>IF(T188=VLOOKUP(VALUE(T$1),Questions!$A:$E,5,FALSE),1,0)</f>
        <v>1</v>
      </c>
      <c r="BF188" s="4">
        <f>IF(U188=VLOOKUP(VALUE(U$1),Questions!$A:$E,5,FALSE),1,0)</f>
        <v>1</v>
      </c>
      <c r="BG188" s="4">
        <f>IF(V188=VLOOKUP(VALUE(V$1),Questions!$A:$E,5,FALSE),1,0)</f>
        <v>0</v>
      </c>
      <c r="BH188" s="4">
        <f>IF(W188=VLOOKUP(VALUE(W$1),Questions!$A:$E,5,FALSE),1,0)</f>
        <v>0</v>
      </c>
      <c r="BI188" s="4">
        <f>IF(X188=VLOOKUP(VALUE(X$1),Questions!$A:$E,5,FALSE),1,0)</f>
        <v>0</v>
      </c>
      <c r="BJ188" s="4">
        <f>IF(Y188=VLOOKUP(VALUE(Y$1),Questions!$A:$E,5,FALSE),1,0)</f>
        <v>0</v>
      </c>
      <c r="BK188" s="4">
        <f>IF(Z188=VLOOKUP(VALUE(Z$1),Questions!$A:$E,5,FALSE),1,0)</f>
        <v>0</v>
      </c>
      <c r="BL188" s="4">
        <f>IF(AA188=VLOOKUP(VALUE(AA$1),Questions!$A:$E,5,FALSE),1,0)</f>
        <v>0</v>
      </c>
      <c r="BM188" s="4">
        <f>IF(AB188=VLOOKUP(VALUE(AB$1),Questions!$A:$E,5,FALSE),1,0)</f>
        <v>1</v>
      </c>
      <c r="BN188" s="4">
        <f>IF(AC188=VLOOKUP(VALUE(AC$1),Questions!$A:$E,5,FALSE),1,0)</f>
        <v>1</v>
      </c>
      <c r="BO188" s="4">
        <f>IF(AD188=VLOOKUP(VALUE(AD$1),Questions!$A:$E,5,FALSE),1,0)</f>
        <v>0</v>
      </c>
      <c r="BP188" s="4">
        <f>IF(AE188=VLOOKUP(VALUE(AE$1),Questions!$A:$E,5,FALSE),1,0)</f>
        <v>0</v>
      </c>
      <c r="BQ188" s="4">
        <f>IF(AF188=VLOOKUP(VALUE(AF$1),Questions!$A:$E,5,FALSE),1,0)</f>
        <v>1</v>
      </c>
      <c r="BR188" s="4">
        <f>IF(AG188=VLOOKUP(VALUE(AG$1),Questions!$A:$E,5,FALSE),1,0)</f>
        <v>1</v>
      </c>
      <c r="BS188" s="4">
        <f>IF(AH188=VLOOKUP(VALUE(AH$1),Questions!$A:$E,5,FALSE),1,0)</f>
        <v>0</v>
      </c>
      <c r="BT188" s="4">
        <f>IF(AI188=VLOOKUP(VALUE(AI$1),Questions!$A:$E,5,FALSE),1,0)</f>
        <v>1</v>
      </c>
      <c r="BU188" s="4">
        <f>IF(AJ188=VLOOKUP(VALUE(AJ$1),Questions!$A:$E,5,FALSE),1,0)</f>
        <v>1</v>
      </c>
      <c r="BV188" s="4">
        <f>IF(AK188=VLOOKUP(VALUE(AK$1),Questions!$A:$E,5,FALSE),1,0)</f>
        <v>0</v>
      </c>
      <c r="BW188" s="87">
        <f>IF(AL188=VLOOKUP(VALUE(AL$1),Questions!$A:$E,5,FALSE),1,0)</f>
        <v>1</v>
      </c>
      <c r="BX188" s="4">
        <f>IF(Scores[[#This Row],[Final]]&gt;=65,1,0)</f>
        <v>0</v>
      </c>
      <c r="BY188" s="4">
        <f>IF(Scores[[#This Row],[Final]]&gt;=IF(Scores[[#This Row],[IEP]],55,65),1,0)</f>
        <v>0</v>
      </c>
    </row>
    <row r="189" spans="1:77" x14ac:dyDescent="0.2">
      <c r="A189" s="6">
        <v>188</v>
      </c>
      <c r="B189" s="4">
        <v>11</v>
      </c>
      <c r="C189" s="4" t="s">
        <v>967</v>
      </c>
      <c r="D189" s="105" t="b">
        <v>0</v>
      </c>
      <c r="E189" s="105" t="b">
        <v>0</v>
      </c>
      <c r="F189" s="86">
        <f>SUM(Scores[[#This Row],[Q1]:[Q28]])</f>
        <v>22</v>
      </c>
      <c r="G189" s="4">
        <f>SUM(Scores[[#This Row],[29]]:Scores[[#This Row],[30]])</f>
        <v>1</v>
      </c>
      <c r="H189" s="4">
        <f>SUM(Scores[[#This Row],[31]:[36]])</f>
        <v>6</v>
      </c>
      <c r="I189" s="4">
        <f>Scores[[#This Row],[37]]</f>
        <v>3</v>
      </c>
      <c r="J189" s="87">
        <f>INDEX('Conversion Chart'!$C$3:$M$47,MATCH(SUM(Scores[[#This Row],[MC]:[IIIA]]),'Conversion Chart'!$B$3:$B$47),MATCH(Scores[[#This Row],[IIIB]],'Conversion Chart'!$C$2:$M$2))</f>
        <v>76</v>
      </c>
      <c r="K189" s="103">
        <v>4</v>
      </c>
      <c r="L189" s="103">
        <v>1</v>
      </c>
      <c r="M189" s="103">
        <v>3</v>
      </c>
      <c r="N189" s="103">
        <v>3</v>
      </c>
      <c r="O189" s="103">
        <v>1</v>
      </c>
      <c r="P189" s="103">
        <v>4</v>
      </c>
      <c r="Q189" s="103">
        <v>3</v>
      </c>
      <c r="R189" s="103">
        <v>2</v>
      </c>
      <c r="S189" s="103">
        <v>3</v>
      </c>
      <c r="T189" s="103">
        <v>1</v>
      </c>
      <c r="U189" s="103">
        <v>2</v>
      </c>
      <c r="V189" s="103">
        <v>4</v>
      </c>
      <c r="W189" s="103">
        <v>2</v>
      </c>
      <c r="X189" s="103">
        <v>3</v>
      </c>
      <c r="Y189" s="103">
        <v>3</v>
      </c>
      <c r="Z189" s="103">
        <v>1</v>
      </c>
      <c r="AA189" s="103">
        <v>1</v>
      </c>
      <c r="AB189" s="103">
        <v>4</v>
      </c>
      <c r="AC189" s="103">
        <v>3</v>
      </c>
      <c r="AD189" s="103">
        <v>1</v>
      </c>
      <c r="AE189" s="103">
        <v>2</v>
      </c>
      <c r="AF189" s="103">
        <v>2</v>
      </c>
      <c r="AG189" s="103">
        <v>3</v>
      </c>
      <c r="AH189" s="103">
        <v>2</v>
      </c>
      <c r="AI189" s="103">
        <v>4</v>
      </c>
      <c r="AJ189" s="103">
        <v>4</v>
      </c>
      <c r="AK189" s="103">
        <v>1</v>
      </c>
      <c r="AL189" s="104">
        <v>3</v>
      </c>
      <c r="AM189" s="4">
        <v>1</v>
      </c>
      <c r="AN189" s="87">
        <v>0</v>
      </c>
      <c r="AO189" s="4">
        <v>1</v>
      </c>
      <c r="AP189" s="4">
        <v>1</v>
      </c>
      <c r="AQ189" s="4">
        <v>1</v>
      </c>
      <c r="AR189" s="4">
        <v>1</v>
      </c>
      <c r="AS189" s="4">
        <v>1</v>
      </c>
      <c r="AT189" s="4">
        <v>1</v>
      </c>
      <c r="AU189" s="107">
        <v>3</v>
      </c>
      <c r="AV189" s="4">
        <f>IF(K189=VLOOKUP(VALUE(K$1),Questions!$A:$E,5,FALSE),1,0)</f>
        <v>1</v>
      </c>
      <c r="AW189" s="4">
        <f>IF(L189=VLOOKUP(VALUE(L$1),Questions!$A:$E,5,FALSE),1,0)</f>
        <v>0</v>
      </c>
      <c r="AX189" s="4">
        <f>IF(M189=VLOOKUP(VALUE(M$1),Questions!$A:$E,5,FALSE),1,0)</f>
        <v>1</v>
      </c>
      <c r="AY189" s="4">
        <f>IF(N189=VLOOKUP(VALUE(N$1),Questions!$A:$E,5,FALSE),1,0)</f>
        <v>1</v>
      </c>
      <c r="AZ189" s="4">
        <f>IF(O189=VLOOKUP(VALUE(O$1),Questions!$A:$E,5,FALSE),1,0)</f>
        <v>1</v>
      </c>
      <c r="BA189" s="4">
        <f>IF(P189=VLOOKUP(VALUE(P$1),Questions!$A:$E,5,FALSE),1,0)</f>
        <v>1</v>
      </c>
      <c r="BB189" s="4">
        <f>IF(Q189=VLOOKUP(VALUE(Q$1),Questions!$A:$E,5,FALSE),1,0)</f>
        <v>1</v>
      </c>
      <c r="BC189" s="4">
        <f>IF(R189=VLOOKUP(VALUE(R$1),Questions!$A:$E,5,FALSE),1,0)</f>
        <v>1</v>
      </c>
      <c r="BD189" s="4">
        <f>IF(S189=VLOOKUP(VALUE(S$1),Questions!$A:$E,5,FALSE),1,0)</f>
        <v>0</v>
      </c>
      <c r="BE189" s="4">
        <f>IF(T189=VLOOKUP(VALUE(T$1),Questions!$A:$E,5,FALSE),1,0)</f>
        <v>1</v>
      </c>
      <c r="BF189" s="4">
        <f>IF(U189=VLOOKUP(VALUE(U$1),Questions!$A:$E,5,FALSE),1,0)</f>
        <v>1</v>
      </c>
      <c r="BG189" s="4">
        <f>IF(V189=VLOOKUP(VALUE(V$1),Questions!$A:$E,5,FALSE),1,0)</f>
        <v>1</v>
      </c>
      <c r="BH189" s="4">
        <f>IF(W189=VLOOKUP(VALUE(W$1),Questions!$A:$E,5,FALSE),1,0)</f>
        <v>1</v>
      </c>
      <c r="BI189" s="4">
        <f>IF(X189=VLOOKUP(VALUE(X$1),Questions!$A:$E,5,FALSE),1,0)</f>
        <v>0</v>
      </c>
      <c r="BJ189" s="4">
        <f>IF(Y189=VLOOKUP(VALUE(Y$1),Questions!$A:$E,5,FALSE),1,0)</f>
        <v>1</v>
      </c>
      <c r="BK189" s="4">
        <f>IF(Z189=VLOOKUP(VALUE(Z$1),Questions!$A:$E,5,FALSE),1,0)</f>
        <v>1</v>
      </c>
      <c r="BL189" s="4">
        <f>IF(AA189=VLOOKUP(VALUE(AA$1),Questions!$A:$E,5,FALSE),1,0)</f>
        <v>1</v>
      </c>
      <c r="BM189" s="4">
        <f>IF(AB189=VLOOKUP(VALUE(AB$1),Questions!$A:$E,5,FALSE),1,0)</f>
        <v>1</v>
      </c>
      <c r="BN189" s="4">
        <f>IF(AC189=VLOOKUP(VALUE(AC$1),Questions!$A:$E,5,FALSE),1,0)</f>
        <v>1</v>
      </c>
      <c r="BO189" s="4">
        <f>IF(AD189=VLOOKUP(VALUE(AD$1),Questions!$A:$E,5,FALSE),1,0)</f>
        <v>0</v>
      </c>
      <c r="BP189" s="4">
        <f>IF(AE189=VLOOKUP(VALUE(AE$1),Questions!$A:$E,5,FALSE),1,0)</f>
        <v>1</v>
      </c>
      <c r="BQ189" s="4">
        <f>IF(AF189=VLOOKUP(VALUE(AF$1),Questions!$A:$E,5,FALSE),1,0)</f>
        <v>1</v>
      </c>
      <c r="BR189" s="4">
        <f>IF(AG189=VLOOKUP(VALUE(AG$1),Questions!$A:$E,5,FALSE),1,0)</f>
        <v>1</v>
      </c>
      <c r="BS189" s="4">
        <f>IF(AH189=VLOOKUP(VALUE(AH$1),Questions!$A:$E,5,FALSE),1,0)</f>
        <v>0</v>
      </c>
      <c r="BT189" s="4">
        <f>IF(AI189=VLOOKUP(VALUE(AI$1),Questions!$A:$E,5,FALSE),1,0)</f>
        <v>0</v>
      </c>
      <c r="BU189" s="4">
        <f>IF(AJ189=VLOOKUP(VALUE(AJ$1),Questions!$A:$E,5,FALSE),1,0)</f>
        <v>1</v>
      </c>
      <c r="BV189" s="4">
        <f>IF(AK189=VLOOKUP(VALUE(AK$1),Questions!$A:$E,5,FALSE),1,0)</f>
        <v>1</v>
      </c>
      <c r="BW189" s="87">
        <f>IF(AL189=VLOOKUP(VALUE(AL$1),Questions!$A:$E,5,FALSE),1,0)</f>
        <v>1</v>
      </c>
      <c r="BX189" s="4">
        <f>IF(Scores[[#This Row],[Final]]&gt;=65,1,0)</f>
        <v>1</v>
      </c>
      <c r="BY189" s="4">
        <f>IF(Scores[[#This Row],[Final]]&gt;=IF(Scores[[#This Row],[IEP]],55,65),1,0)</f>
        <v>1</v>
      </c>
    </row>
    <row r="190" spans="1:77" x14ac:dyDescent="0.2">
      <c r="A190" s="6">
        <v>189</v>
      </c>
      <c r="B190" s="4">
        <v>9</v>
      </c>
      <c r="C190" s="4" t="s">
        <v>963</v>
      </c>
      <c r="D190" s="105" t="b">
        <v>0</v>
      </c>
      <c r="E190" s="105" t="b">
        <v>1</v>
      </c>
      <c r="F190" s="86">
        <f>SUM(Scores[[#This Row],[Q1]:[Q28]])</f>
        <v>11</v>
      </c>
      <c r="G190" s="4">
        <f>SUM(Scores[[#This Row],[29]]:Scores[[#This Row],[30]])</f>
        <v>4</v>
      </c>
      <c r="H190" s="4">
        <f>SUM(Scores[[#This Row],[31]:[36]])</f>
        <v>4</v>
      </c>
      <c r="I190" s="4">
        <f>Scores[[#This Row],[37]]</f>
        <v>1</v>
      </c>
      <c r="J190" s="87">
        <f>INDEX('Conversion Chart'!$C$3:$M$47,MATCH(SUM(Scores[[#This Row],[MC]:[IIIA]]),'Conversion Chart'!$B$3:$B$47),MATCH(Scores[[#This Row],[IIIB]],'Conversion Chart'!$C$2:$M$2))</f>
        <v>55</v>
      </c>
      <c r="K190" s="103">
        <v>4</v>
      </c>
      <c r="L190" s="103">
        <v>3</v>
      </c>
      <c r="M190" s="103">
        <v>1</v>
      </c>
      <c r="N190" s="103">
        <v>3</v>
      </c>
      <c r="O190" s="103">
        <v>3</v>
      </c>
      <c r="P190" s="103">
        <v>2</v>
      </c>
      <c r="Q190" s="103">
        <v>1</v>
      </c>
      <c r="R190" s="103">
        <v>2</v>
      </c>
      <c r="S190" s="103">
        <v>4</v>
      </c>
      <c r="T190" s="103">
        <v>1</v>
      </c>
      <c r="U190" s="103">
        <v>2</v>
      </c>
      <c r="V190" s="103">
        <v>3</v>
      </c>
      <c r="W190" s="103">
        <v>2</v>
      </c>
      <c r="X190" s="103">
        <v>1</v>
      </c>
      <c r="Y190" s="103">
        <v>2</v>
      </c>
      <c r="Z190" s="103">
        <v>3</v>
      </c>
      <c r="AA190" s="103">
        <v>2</v>
      </c>
      <c r="AB190" s="103">
        <v>4</v>
      </c>
      <c r="AC190" s="103">
        <v>1</v>
      </c>
      <c r="AD190" s="103">
        <v>3</v>
      </c>
      <c r="AE190" s="103">
        <v>2</v>
      </c>
      <c r="AF190" s="103">
        <v>2</v>
      </c>
      <c r="AG190" s="103">
        <v>3</v>
      </c>
      <c r="AH190" s="103">
        <v>1</v>
      </c>
      <c r="AI190" s="103">
        <v>1</v>
      </c>
      <c r="AJ190" s="103">
        <v>3</v>
      </c>
      <c r="AK190" s="103">
        <v>3</v>
      </c>
      <c r="AL190" s="104">
        <v>4</v>
      </c>
      <c r="AM190" s="4">
        <v>3</v>
      </c>
      <c r="AN190" s="87">
        <v>1</v>
      </c>
      <c r="AO190" s="4">
        <v>0</v>
      </c>
      <c r="AP190" s="4">
        <v>1</v>
      </c>
      <c r="AQ190" s="4">
        <v>1</v>
      </c>
      <c r="AR190" s="4">
        <v>1</v>
      </c>
      <c r="AS190" s="4">
        <v>0</v>
      </c>
      <c r="AT190" s="4">
        <v>1</v>
      </c>
      <c r="AU190" s="107">
        <v>1</v>
      </c>
      <c r="AV190" s="4">
        <f>IF(K190=VLOOKUP(VALUE(K$1),Questions!$A:$E,5,FALSE),1,0)</f>
        <v>1</v>
      </c>
      <c r="AW190" s="4">
        <f>IF(L190=VLOOKUP(VALUE(L$1),Questions!$A:$E,5,FALSE),1,0)</f>
        <v>0</v>
      </c>
      <c r="AX190" s="4">
        <f>IF(M190=VLOOKUP(VALUE(M$1),Questions!$A:$E,5,FALSE),1,0)</f>
        <v>0</v>
      </c>
      <c r="AY190" s="4">
        <f>IF(N190=VLOOKUP(VALUE(N$1),Questions!$A:$E,5,FALSE),1,0)</f>
        <v>1</v>
      </c>
      <c r="AZ190" s="4">
        <f>IF(O190=VLOOKUP(VALUE(O$1),Questions!$A:$E,5,FALSE),1,0)</f>
        <v>0</v>
      </c>
      <c r="BA190" s="4">
        <f>IF(P190=VLOOKUP(VALUE(P$1),Questions!$A:$E,5,FALSE),1,0)</f>
        <v>0</v>
      </c>
      <c r="BB190" s="4">
        <f>IF(Q190=VLOOKUP(VALUE(Q$1),Questions!$A:$E,5,FALSE),1,0)</f>
        <v>0</v>
      </c>
      <c r="BC190" s="4">
        <f>IF(R190=VLOOKUP(VALUE(R$1),Questions!$A:$E,5,FALSE),1,0)</f>
        <v>1</v>
      </c>
      <c r="BD190" s="4">
        <f>IF(S190=VLOOKUP(VALUE(S$1),Questions!$A:$E,5,FALSE),1,0)</f>
        <v>0</v>
      </c>
      <c r="BE190" s="4">
        <f>IF(T190=VLOOKUP(VALUE(T$1),Questions!$A:$E,5,FALSE),1,0)</f>
        <v>1</v>
      </c>
      <c r="BF190" s="4">
        <f>IF(U190=VLOOKUP(VALUE(U$1),Questions!$A:$E,5,FALSE),1,0)</f>
        <v>1</v>
      </c>
      <c r="BG190" s="4">
        <f>IF(V190=VLOOKUP(VALUE(V$1),Questions!$A:$E,5,FALSE),1,0)</f>
        <v>0</v>
      </c>
      <c r="BH190" s="4">
        <f>IF(W190=VLOOKUP(VALUE(W$1),Questions!$A:$E,5,FALSE),1,0)</f>
        <v>1</v>
      </c>
      <c r="BI190" s="4">
        <f>IF(X190=VLOOKUP(VALUE(X$1),Questions!$A:$E,5,FALSE),1,0)</f>
        <v>0</v>
      </c>
      <c r="BJ190" s="4">
        <f>IF(Y190=VLOOKUP(VALUE(Y$1),Questions!$A:$E,5,FALSE),1,0)</f>
        <v>0</v>
      </c>
      <c r="BK190" s="4">
        <f>IF(Z190=VLOOKUP(VALUE(Z$1),Questions!$A:$E,5,FALSE),1,0)</f>
        <v>0</v>
      </c>
      <c r="BL190" s="4">
        <f>IF(AA190=VLOOKUP(VALUE(AA$1),Questions!$A:$E,5,FALSE),1,0)</f>
        <v>0</v>
      </c>
      <c r="BM190" s="4">
        <f>IF(AB190=VLOOKUP(VALUE(AB$1),Questions!$A:$E,5,FALSE),1,0)</f>
        <v>1</v>
      </c>
      <c r="BN190" s="4">
        <f>IF(AC190=VLOOKUP(VALUE(AC$1),Questions!$A:$E,5,FALSE),1,0)</f>
        <v>0</v>
      </c>
      <c r="BO190" s="4">
        <f>IF(AD190=VLOOKUP(VALUE(AD$1),Questions!$A:$E,5,FALSE),1,0)</f>
        <v>0</v>
      </c>
      <c r="BP190" s="4">
        <f>IF(AE190=VLOOKUP(VALUE(AE$1),Questions!$A:$E,5,FALSE),1,0)</f>
        <v>1</v>
      </c>
      <c r="BQ190" s="4">
        <f>IF(AF190=VLOOKUP(VALUE(AF$1),Questions!$A:$E,5,FALSE),1,0)</f>
        <v>1</v>
      </c>
      <c r="BR190" s="4">
        <f>IF(AG190=VLOOKUP(VALUE(AG$1),Questions!$A:$E,5,FALSE),1,0)</f>
        <v>1</v>
      </c>
      <c r="BS190" s="4">
        <f>IF(AH190=VLOOKUP(VALUE(AH$1),Questions!$A:$E,5,FALSE),1,0)</f>
        <v>0</v>
      </c>
      <c r="BT190" s="4">
        <f>IF(AI190=VLOOKUP(VALUE(AI$1),Questions!$A:$E,5,FALSE),1,0)</f>
        <v>1</v>
      </c>
      <c r="BU190" s="4">
        <f>IF(AJ190=VLOOKUP(VALUE(AJ$1),Questions!$A:$E,5,FALSE),1,0)</f>
        <v>0</v>
      </c>
      <c r="BV190" s="4">
        <f>IF(AK190=VLOOKUP(VALUE(AK$1),Questions!$A:$E,5,FALSE),1,0)</f>
        <v>0</v>
      </c>
      <c r="BW190" s="87">
        <f>IF(AL190=VLOOKUP(VALUE(AL$1),Questions!$A:$E,5,FALSE),1,0)</f>
        <v>0</v>
      </c>
      <c r="BX190" s="4">
        <f>IF(Scores[[#This Row],[Final]]&gt;=65,1,0)</f>
        <v>0</v>
      </c>
      <c r="BY190" s="4">
        <f>IF(Scores[[#This Row],[Final]]&gt;=IF(Scores[[#This Row],[IEP]],55,65),1,0)</f>
        <v>1</v>
      </c>
    </row>
    <row r="191" spans="1:77" x14ac:dyDescent="0.2">
      <c r="A191" s="6">
        <v>190</v>
      </c>
      <c r="B191" s="4">
        <v>11</v>
      </c>
      <c r="C191" s="4" t="s">
        <v>962</v>
      </c>
      <c r="D191" s="105" t="b">
        <v>0</v>
      </c>
      <c r="E191" s="105" t="b">
        <v>0</v>
      </c>
      <c r="F191" s="86">
        <f>SUM(Scores[[#This Row],[Q1]:[Q28]])</f>
        <v>0</v>
      </c>
      <c r="G191" s="4">
        <f>SUM(Scores[[#This Row],[29]]:Scores[[#This Row],[30]])</f>
        <v>0</v>
      </c>
      <c r="H191" s="4">
        <f>SUM(Scores[[#This Row],[31]:[36]])</f>
        <v>0</v>
      </c>
      <c r="I191" s="4">
        <f>Scores[[#This Row],[37]]</f>
        <v>0</v>
      </c>
      <c r="J191" s="87">
        <f>INDEX('Conversion Chart'!$C$3:$M$47,MATCH(SUM(Scores[[#This Row],[MC]:[IIIA]]),'Conversion Chart'!$B$3:$B$47),MATCH(Scores[[#This Row],[IIIB]],'Conversion Chart'!$C$2:$M$2))</f>
        <v>0</v>
      </c>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4"/>
      <c r="AN191" s="87"/>
      <c r="AU191" s="107"/>
      <c r="AV191" s="4">
        <f>IF(K191=VLOOKUP(VALUE(K$1),Questions!$A:$E,5,FALSE),1,0)</f>
        <v>0</v>
      </c>
      <c r="AW191" s="4">
        <f>IF(L191=VLOOKUP(VALUE(L$1),Questions!$A:$E,5,FALSE),1,0)</f>
        <v>0</v>
      </c>
      <c r="AX191" s="4">
        <f>IF(M191=VLOOKUP(VALUE(M$1),Questions!$A:$E,5,FALSE),1,0)</f>
        <v>0</v>
      </c>
      <c r="AY191" s="4">
        <f>IF(N191=VLOOKUP(VALUE(N$1),Questions!$A:$E,5,FALSE),1,0)</f>
        <v>0</v>
      </c>
      <c r="AZ191" s="4">
        <f>IF(O191=VLOOKUP(VALUE(O$1),Questions!$A:$E,5,FALSE),1,0)</f>
        <v>0</v>
      </c>
      <c r="BA191" s="4">
        <f>IF(P191=VLOOKUP(VALUE(P$1),Questions!$A:$E,5,FALSE),1,0)</f>
        <v>0</v>
      </c>
      <c r="BB191" s="4">
        <f>IF(Q191=VLOOKUP(VALUE(Q$1),Questions!$A:$E,5,FALSE),1,0)</f>
        <v>0</v>
      </c>
      <c r="BC191" s="4">
        <f>IF(R191=VLOOKUP(VALUE(R$1),Questions!$A:$E,5,FALSE),1,0)</f>
        <v>0</v>
      </c>
      <c r="BD191" s="4">
        <f>IF(S191=VLOOKUP(VALUE(S$1),Questions!$A:$E,5,FALSE),1,0)</f>
        <v>0</v>
      </c>
      <c r="BE191" s="4">
        <f>IF(T191=VLOOKUP(VALUE(T$1),Questions!$A:$E,5,FALSE),1,0)</f>
        <v>0</v>
      </c>
      <c r="BF191" s="4">
        <f>IF(U191=VLOOKUP(VALUE(U$1),Questions!$A:$E,5,FALSE),1,0)</f>
        <v>0</v>
      </c>
      <c r="BG191" s="4">
        <f>IF(V191=VLOOKUP(VALUE(V$1),Questions!$A:$E,5,FALSE),1,0)</f>
        <v>0</v>
      </c>
      <c r="BH191" s="4">
        <f>IF(W191=VLOOKUP(VALUE(W$1),Questions!$A:$E,5,FALSE),1,0)</f>
        <v>0</v>
      </c>
      <c r="BI191" s="4">
        <f>IF(X191=VLOOKUP(VALUE(X$1),Questions!$A:$E,5,FALSE),1,0)</f>
        <v>0</v>
      </c>
      <c r="BJ191" s="4">
        <f>IF(Y191=VLOOKUP(VALUE(Y$1),Questions!$A:$E,5,FALSE),1,0)</f>
        <v>0</v>
      </c>
      <c r="BK191" s="4">
        <f>IF(Z191=VLOOKUP(VALUE(Z$1),Questions!$A:$E,5,FALSE),1,0)</f>
        <v>0</v>
      </c>
      <c r="BL191" s="4">
        <f>IF(AA191=VLOOKUP(VALUE(AA$1),Questions!$A:$E,5,FALSE),1,0)</f>
        <v>0</v>
      </c>
      <c r="BM191" s="4">
        <f>IF(AB191=VLOOKUP(VALUE(AB$1),Questions!$A:$E,5,FALSE),1,0)</f>
        <v>0</v>
      </c>
      <c r="BN191" s="4">
        <f>IF(AC191=VLOOKUP(VALUE(AC$1),Questions!$A:$E,5,FALSE),1,0)</f>
        <v>0</v>
      </c>
      <c r="BO191" s="4">
        <f>IF(AD191=VLOOKUP(VALUE(AD$1),Questions!$A:$E,5,FALSE),1,0)</f>
        <v>0</v>
      </c>
      <c r="BP191" s="4">
        <f>IF(AE191=VLOOKUP(VALUE(AE$1),Questions!$A:$E,5,FALSE),1,0)</f>
        <v>0</v>
      </c>
      <c r="BQ191" s="4">
        <f>IF(AF191=VLOOKUP(VALUE(AF$1),Questions!$A:$E,5,FALSE),1,0)</f>
        <v>0</v>
      </c>
      <c r="BR191" s="4">
        <f>IF(AG191=VLOOKUP(VALUE(AG$1),Questions!$A:$E,5,FALSE),1,0)</f>
        <v>0</v>
      </c>
      <c r="BS191" s="4">
        <f>IF(AH191=VLOOKUP(VALUE(AH$1),Questions!$A:$E,5,FALSE),1,0)</f>
        <v>0</v>
      </c>
      <c r="BT191" s="4">
        <f>IF(AI191=VLOOKUP(VALUE(AI$1),Questions!$A:$E,5,FALSE),1,0)</f>
        <v>0</v>
      </c>
      <c r="BU191" s="4">
        <f>IF(AJ191=VLOOKUP(VALUE(AJ$1),Questions!$A:$E,5,FALSE),1,0)</f>
        <v>0</v>
      </c>
      <c r="BV191" s="4">
        <f>IF(AK191=VLOOKUP(VALUE(AK$1),Questions!$A:$E,5,FALSE),1,0)</f>
        <v>0</v>
      </c>
      <c r="BW191" s="87">
        <f>IF(AL191=VLOOKUP(VALUE(AL$1),Questions!$A:$E,5,FALSE),1,0)</f>
        <v>0</v>
      </c>
      <c r="BX191" s="4">
        <f>IF(Scores[[#This Row],[Final]]&gt;=65,1,0)</f>
        <v>0</v>
      </c>
      <c r="BY191" s="4">
        <f>IF(Scores[[#This Row],[Final]]&gt;=IF(Scores[[#This Row],[IEP]],55,65),1,0)</f>
        <v>0</v>
      </c>
    </row>
    <row r="192" spans="1:77" x14ac:dyDescent="0.2">
      <c r="A192" s="6">
        <v>191</v>
      </c>
      <c r="B192" s="4">
        <v>11</v>
      </c>
      <c r="C192" s="4" t="s">
        <v>962</v>
      </c>
      <c r="D192" s="105" t="b">
        <v>0</v>
      </c>
      <c r="E192" s="105" t="b">
        <v>1</v>
      </c>
      <c r="F192" s="86">
        <f>SUM(Scores[[#This Row],[Q1]:[Q28]])</f>
        <v>12</v>
      </c>
      <c r="G192" s="4">
        <f>SUM(Scores[[#This Row],[29]]:Scores[[#This Row],[30]])</f>
        <v>1</v>
      </c>
      <c r="H192" s="4">
        <f>SUM(Scores[[#This Row],[31]:[36]])</f>
        <v>0</v>
      </c>
      <c r="I192" s="4">
        <f>Scores[[#This Row],[37]]</f>
        <v>0</v>
      </c>
      <c r="J192" s="87">
        <f>INDEX('Conversion Chart'!$C$3:$M$47,MATCH(SUM(Scores[[#This Row],[MC]:[IIIA]]),'Conversion Chart'!$B$3:$B$47),MATCH(Scores[[#This Row],[IIIB]],'Conversion Chart'!$C$2:$M$2))</f>
        <v>38</v>
      </c>
      <c r="K192" s="103">
        <v>4</v>
      </c>
      <c r="L192" s="103">
        <v>2</v>
      </c>
      <c r="M192" s="103">
        <v>2</v>
      </c>
      <c r="N192" s="103">
        <v>4</v>
      </c>
      <c r="O192" s="103">
        <v>2</v>
      </c>
      <c r="P192" s="103">
        <v>1</v>
      </c>
      <c r="Q192" s="103">
        <v>3</v>
      </c>
      <c r="R192" s="103">
        <v>2</v>
      </c>
      <c r="S192" s="103">
        <v>1</v>
      </c>
      <c r="T192" s="103">
        <v>1</v>
      </c>
      <c r="U192" s="103">
        <v>1</v>
      </c>
      <c r="V192" s="103">
        <v>1</v>
      </c>
      <c r="W192" s="103">
        <v>3</v>
      </c>
      <c r="X192" s="103">
        <v>4</v>
      </c>
      <c r="Y192" s="103">
        <v>3</v>
      </c>
      <c r="Z192" s="103">
        <v>4</v>
      </c>
      <c r="AA192" s="103">
        <v>1</v>
      </c>
      <c r="AB192" s="103">
        <v>4</v>
      </c>
      <c r="AC192" s="103">
        <v>4</v>
      </c>
      <c r="AD192" s="103">
        <v>3</v>
      </c>
      <c r="AE192" s="103">
        <v>2</v>
      </c>
      <c r="AF192" s="103">
        <v>3</v>
      </c>
      <c r="AG192" s="103">
        <v>3</v>
      </c>
      <c r="AH192" s="103">
        <v>3</v>
      </c>
      <c r="AI192" s="103">
        <v>2</v>
      </c>
      <c r="AJ192" s="103">
        <v>1</v>
      </c>
      <c r="AK192" s="103">
        <v>2</v>
      </c>
      <c r="AL192" s="104">
        <v>2</v>
      </c>
      <c r="AM192" s="4">
        <v>1</v>
      </c>
      <c r="AN192" s="87">
        <v>0</v>
      </c>
      <c r="AO192" s="4">
        <v>0</v>
      </c>
      <c r="AP192" s="4">
        <v>0</v>
      </c>
      <c r="AQ192" s="4">
        <v>0</v>
      </c>
      <c r="AR192" s="4">
        <v>0</v>
      </c>
      <c r="AS192" s="4">
        <v>0</v>
      </c>
      <c r="AT192" s="4">
        <v>0</v>
      </c>
      <c r="AU192" s="107">
        <v>0</v>
      </c>
      <c r="AV192" s="4">
        <f>IF(K192=VLOOKUP(VALUE(K$1),Questions!$A:$E,5,FALSE),1,0)</f>
        <v>1</v>
      </c>
      <c r="AW192" s="4">
        <f>IF(L192=VLOOKUP(VALUE(L$1),Questions!$A:$E,5,FALSE),1,0)</f>
        <v>1</v>
      </c>
      <c r="AX192" s="4">
        <f>IF(M192=VLOOKUP(VALUE(M$1),Questions!$A:$E,5,FALSE),1,0)</f>
        <v>0</v>
      </c>
      <c r="AY192" s="4">
        <f>IF(N192=VLOOKUP(VALUE(N$1),Questions!$A:$E,5,FALSE),1,0)</f>
        <v>0</v>
      </c>
      <c r="AZ192" s="4">
        <f>IF(O192=VLOOKUP(VALUE(O$1),Questions!$A:$E,5,FALSE),1,0)</f>
        <v>0</v>
      </c>
      <c r="BA192" s="4">
        <f>IF(P192=VLOOKUP(VALUE(P$1),Questions!$A:$E,5,FALSE),1,0)</f>
        <v>0</v>
      </c>
      <c r="BB192" s="4">
        <f>IF(Q192=VLOOKUP(VALUE(Q$1),Questions!$A:$E,5,FALSE),1,0)</f>
        <v>1</v>
      </c>
      <c r="BC192" s="4">
        <f>IF(R192=VLOOKUP(VALUE(R$1),Questions!$A:$E,5,FALSE),1,0)</f>
        <v>1</v>
      </c>
      <c r="BD192" s="4">
        <f>IF(S192=VLOOKUP(VALUE(S$1),Questions!$A:$E,5,FALSE),1,0)</f>
        <v>0</v>
      </c>
      <c r="BE192" s="4">
        <f>IF(T192=VLOOKUP(VALUE(T$1),Questions!$A:$E,5,FALSE),1,0)</f>
        <v>1</v>
      </c>
      <c r="BF192" s="4">
        <f>IF(U192=VLOOKUP(VALUE(U$1),Questions!$A:$E,5,FALSE),1,0)</f>
        <v>0</v>
      </c>
      <c r="BG192" s="4">
        <f>IF(V192=VLOOKUP(VALUE(V$1),Questions!$A:$E,5,FALSE),1,0)</f>
        <v>0</v>
      </c>
      <c r="BH192" s="4">
        <f>IF(W192=VLOOKUP(VALUE(W$1),Questions!$A:$E,5,FALSE),1,0)</f>
        <v>0</v>
      </c>
      <c r="BI192" s="4">
        <f>IF(X192=VLOOKUP(VALUE(X$1),Questions!$A:$E,5,FALSE),1,0)</f>
        <v>1</v>
      </c>
      <c r="BJ192" s="4">
        <f>IF(Y192=VLOOKUP(VALUE(Y$1),Questions!$A:$E,5,FALSE),1,0)</f>
        <v>1</v>
      </c>
      <c r="BK192" s="4">
        <f>IF(Z192=VLOOKUP(VALUE(Z$1),Questions!$A:$E,5,FALSE),1,0)</f>
        <v>0</v>
      </c>
      <c r="BL192" s="4">
        <f>IF(AA192=VLOOKUP(VALUE(AA$1),Questions!$A:$E,5,FALSE),1,0)</f>
        <v>1</v>
      </c>
      <c r="BM192" s="4">
        <f>IF(AB192=VLOOKUP(VALUE(AB$1),Questions!$A:$E,5,FALSE),1,0)</f>
        <v>1</v>
      </c>
      <c r="BN192" s="4">
        <f>IF(AC192=VLOOKUP(VALUE(AC$1),Questions!$A:$E,5,FALSE),1,0)</f>
        <v>0</v>
      </c>
      <c r="BO192" s="4">
        <f>IF(AD192=VLOOKUP(VALUE(AD$1),Questions!$A:$E,5,FALSE),1,0)</f>
        <v>0</v>
      </c>
      <c r="BP192" s="4">
        <f>IF(AE192=VLOOKUP(VALUE(AE$1),Questions!$A:$E,5,FALSE),1,0)</f>
        <v>1</v>
      </c>
      <c r="BQ192" s="4">
        <f>IF(AF192=VLOOKUP(VALUE(AF$1),Questions!$A:$E,5,FALSE),1,0)</f>
        <v>0</v>
      </c>
      <c r="BR192" s="4">
        <f>IF(AG192=VLOOKUP(VALUE(AG$1),Questions!$A:$E,5,FALSE),1,0)</f>
        <v>1</v>
      </c>
      <c r="BS192" s="4">
        <f>IF(AH192=VLOOKUP(VALUE(AH$1),Questions!$A:$E,5,FALSE),1,0)</f>
        <v>1</v>
      </c>
      <c r="BT192" s="4">
        <f>IF(AI192=VLOOKUP(VALUE(AI$1),Questions!$A:$E,5,FALSE),1,0)</f>
        <v>0</v>
      </c>
      <c r="BU192" s="4">
        <f>IF(AJ192=VLOOKUP(VALUE(AJ$1),Questions!$A:$E,5,FALSE),1,0)</f>
        <v>0</v>
      </c>
      <c r="BV192" s="4">
        <f>IF(AK192=VLOOKUP(VALUE(AK$1),Questions!$A:$E,5,FALSE),1,0)</f>
        <v>0</v>
      </c>
      <c r="BW192" s="87">
        <f>IF(AL192=VLOOKUP(VALUE(AL$1),Questions!$A:$E,5,FALSE),1,0)</f>
        <v>0</v>
      </c>
      <c r="BX192" s="4">
        <f>IF(Scores[[#This Row],[Final]]&gt;=65,1,0)</f>
        <v>0</v>
      </c>
      <c r="BY192" s="4">
        <f>IF(Scores[[#This Row],[Final]]&gt;=IF(Scores[[#This Row],[IEP]],55,65),1,0)</f>
        <v>0</v>
      </c>
    </row>
    <row r="193" spans="1:77" x14ac:dyDescent="0.2">
      <c r="A193" s="6">
        <v>192</v>
      </c>
      <c r="B193" s="4">
        <v>9</v>
      </c>
      <c r="C193" s="4" t="s">
        <v>967</v>
      </c>
      <c r="D193" s="105" t="b">
        <v>0</v>
      </c>
      <c r="E193" s="105" t="b">
        <v>1</v>
      </c>
      <c r="F193" s="86">
        <f>SUM(Scores[[#This Row],[Q1]:[Q28]])</f>
        <v>16</v>
      </c>
      <c r="G193" s="4">
        <f>SUM(Scores[[#This Row],[29]]:Scores[[#This Row],[30]])</f>
        <v>3</v>
      </c>
      <c r="H193" s="4">
        <f>SUM(Scores[[#This Row],[31]:[36]])</f>
        <v>4</v>
      </c>
      <c r="I193" s="4">
        <f>Scores[[#This Row],[37]]</f>
        <v>1</v>
      </c>
      <c r="J193" s="87">
        <f>INDEX('Conversion Chart'!$C$3:$M$47,MATCH(SUM(Scores[[#This Row],[MC]:[IIIA]]),'Conversion Chart'!$B$3:$B$47),MATCH(Scores[[#This Row],[IIIB]],'Conversion Chart'!$C$2:$M$2))</f>
        <v>61</v>
      </c>
      <c r="K193" s="103">
        <v>4</v>
      </c>
      <c r="L193" s="103">
        <v>2</v>
      </c>
      <c r="M193" s="103">
        <v>3</v>
      </c>
      <c r="N193" s="103">
        <v>1</v>
      </c>
      <c r="O193" s="103">
        <v>1</v>
      </c>
      <c r="P193" s="103">
        <v>2</v>
      </c>
      <c r="Q193" s="103">
        <v>3</v>
      </c>
      <c r="R193" s="103">
        <v>2</v>
      </c>
      <c r="S193" s="103">
        <v>3</v>
      </c>
      <c r="T193" s="103">
        <v>1</v>
      </c>
      <c r="U193" s="103">
        <v>3</v>
      </c>
      <c r="V193" s="103">
        <v>4</v>
      </c>
      <c r="W193" s="103">
        <v>2</v>
      </c>
      <c r="X193" s="103">
        <v>3</v>
      </c>
      <c r="Y193" s="103">
        <v>4</v>
      </c>
      <c r="Z193" s="103">
        <v>4</v>
      </c>
      <c r="AA193" s="103">
        <v>1</v>
      </c>
      <c r="AB193" s="103">
        <v>4</v>
      </c>
      <c r="AC193" s="103">
        <v>3</v>
      </c>
      <c r="AD193" s="103">
        <v>2</v>
      </c>
      <c r="AE193" s="103">
        <v>4</v>
      </c>
      <c r="AF193" s="103">
        <v>2</v>
      </c>
      <c r="AG193" s="103">
        <v>2</v>
      </c>
      <c r="AH193" s="103">
        <v>3</v>
      </c>
      <c r="AI193" s="103">
        <v>3</v>
      </c>
      <c r="AJ193" s="103">
        <v>4</v>
      </c>
      <c r="AK193" s="103">
        <v>4</v>
      </c>
      <c r="AL193" s="104">
        <v>3</v>
      </c>
      <c r="AM193" s="4">
        <v>1</v>
      </c>
      <c r="AN193" s="87">
        <v>2</v>
      </c>
      <c r="AO193" s="4">
        <v>0</v>
      </c>
      <c r="AP193" s="4">
        <v>1</v>
      </c>
      <c r="AQ193" s="4">
        <v>0</v>
      </c>
      <c r="AR193" s="4">
        <v>1</v>
      </c>
      <c r="AS193" s="4">
        <v>1</v>
      </c>
      <c r="AT193" s="4">
        <v>1</v>
      </c>
      <c r="AU193" s="107">
        <v>1</v>
      </c>
      <c r="AV193" s="4">
        <f>IF(K193=VLOOKUP(VALUE(K$1),Questions!$A:$E,5,FALSE),1,0)</f>
        <v>1</v>
      </c>
      <c r="AW193" s="4">
        <f>IF(L193=VLOOKUP(VALUE(L$1),Questions!$A:$E,5,FALSE),1,0)</f>
        <v>1</v>
      </c>
      <c r="AX193" s="4">
        <f>IF(M193=VLOOKUP(VALUE(M$1),Questions!$A:$E,5,FALSE),1,0)</f>
        <v>1</v>
      </c>
      <c r="AY193" s="4">
        <f>IF(N193=VLOOKUP(VALUE(N$1),Questions!$A:$E,5,FALSE),1,0)</f>
        <v>0</v>
      </c>
      <c r="AZ193" s="4">
        <f>IF(O193=VLOOKUP(VALUE(O$1),Questions!$A:$E,5,FALSE),1,0)</f>
        <v>1</v>
      </c>
      <c r="BA193" s="4">
        <f>IF(P193=VLOOKUP(VALUE(P$1),Questions!$A:$E,5,FALSE),1,0)</f>
        <v>0</v>
      </c>
      <c r="BB193" s="4">
        <f>IF(Q193=VLOOKUP(VALUE(Q$1),Questions!$A:$E,5,FALSE),1,0)</f>
        <v>1</v>
      </c>
      <c r="BC193" s="4">
        <f>IF(R193=VLOOKUP(VALUE(R$1),Questions!$A:$E,5,FALSE),1,0)</f>
        <v>1</v>
      </c>
      <c r="BD193" s="4">
        <f>IF(S193=VLOOKUP(VALUE(S$1),Questions!$A:$E,5,FALSE),1,0)</f>
        <v>0</v>
      </c>
      <c r="BE193" s="4">
        <f>IF(T193=VLOOKUP(VALUE(T$1),Questions!$A:$E,5,FALSE),1,0)</f>
        <v>1</v>
      </c>
      <c r="BF193" s="4">
        <f>IF(U193=VLOOKUP(VALUE(U$1),Questions!$A:$E,5,FALSE),1,0)</f>
        <v>0</v>
      </c>
      <c r="BG193" s="4">
        <f>IF(V193=VLOOKUP(VALUE(V$1),Questions!$A:$E,5,FALSE),1,0)</f>
        <v>1</v>
      </c>
      <c r="BH193" s="4">
        <f>IF(W193=VLOOKUP(VALUE(W$1),Questions!$A:$E,5,FALSE),1,0)</f>
        <v>1</v>
      </c>
      <c r="BI193" s="4">
        <f>IF(X193=VLOOKUP(VALUE(X$1),Questions!$A:$E,5,FALSE),1,0)</f>
        <v>0</v>
      </c>
      <c r="BJ193" s="4">
        <f>IF(Y193=VLOOKUP(VALUE(Y$1),Questions!$A:$E,5,FALSE),1,0)</f>
        <v>0</v>
      </c>
      <c r="BK193" s="4">
        <f>IF(Z193=VLOOKUP(VALUE(Z$1),Questions!$A:$E,5,FALSE),1,0)</f>
        <v>0</v>
      </c>
      <c r="BL193" s="4">
        <f>IF(AA193=VLOOKUP(VALUE(AA$1),Questions!$A:$E,5,FALSE),1,0)</f>
        <v>1</v>
      </c>
      <c r="BM193" s="4">
        <f>IF(AB193=VLOOKUP(VALUE(AB$1),Questions!$A:$E,5,FALSE),1,0)</f>
        <v>1</v>
      </c>
      <c r="BN193" s="4">
        <f>IF(AC193=VLOOKUP(VALUE(AC$1),Questions!$A:$E,5,FALSE),1,0)</f>
        <v>1</v>
      </c>
      <c r="BO193" s="4">
        <f>IF(AD193=VLOOKUP(VALUE(AD$1),Questions!$A:$E,5,FALSE),1,0)</f>
        <v>0</v>
      </c>
      <c r="BP193" s="4">
        <f>IF(AE193=VLOOKUP(VALUE(AE$1),Questions!$A:$E,5,FALSE),1,0)</f>
        <v>0</v>
      </c>
      <c r="BQ193" s="4">
        <f>IF(AF193=VLOOKUP(VALUE(AF$1),Questions!$A:$E,5,FALSE),1,0)</f>
        <v>1</v>
      </c>
      <c r="BR193" s="4">
        <f>IF(AG193=VLOOKUP(VALUE(AG$1),Questions!$A:$E,5,FALSE),1,0)</f>
        <v>0</v>
      </c>
      <c r="BS193" s="4">
        <f>IF(AH193=VLOOKUP(VALUE(AH$1),Questions!$A:$E,5,FALSE),1,0)</f>
        <v>1</v>
      </c>
      <c r="BT193" s="4">
        <f>IF(AI193=VLOOKUP(VALUE(AI$1),Questions!$A:$E,5,FALSE),1,0)</f>
        <v>0</v>
      </c>
      <c r="BU193" s="4">
        <f>IF(AJ193=VLOOKUP(VALUE(AJ$1),Questions!$A:$E,5,FALSE),1,0)</f>
        <v>1</v>
      </c>
      <c r="BV193" s="4">
        <f>IF(AK193=VLOOKUP(VALUE(AK$1),Questions!$A:$E,5,FALSE),1,0)</f>
        <v>0</v>
      </c>
      <c r="BW193" s="87">
        <f>IF(AL193=VLOOKUP(VALUE(AL$1),Questions!$A:$E,5,FALSE),1,0)</f>
        <v>1</v>
      </c>
      <c r="BX193" s="4">
        <f>IF(Scores[[#This Row],[Final]]&gt;=65,1,0)</f>
        <v>0</v>
      </c>
      <c r="BY193" s="4">
        <f>IF(Scores[[#This Row],[Final]]&gt;=IF(Scores[[#This Row],[IEP]],55,65),1,0)</f>
        <v>1</v>
      </c>
    </row>
    <row r="194" spans="1:77" x14ac:dyDescent="0.2">
      <c r="A194" s="6">
        <v>193</v>
      </c>
      <c r="B194" s="4">
        <v>9</v>
      </c>
      <c r="C194" s="4" t="s">
        <v>963</v>
      </c>
      <c r="D194" s="105" t="b">
        <v>0</v>
      </c>
      <c r="E194" s="105" t="b">
        <v>0</v>
      </c>
      <c r="F194" s="86">
        <f>SUM(Scores[[#This Row],[Q1]:[Q28]])</f>
        <v>24</v>
      </c>
      <c r="G194" s="4">
        <f>SUM(Scores[[#This Row],[29]]:Scores[[#This Row],[30]])</f>
        <v>3</v>
      </c>
      <c r="H194" s="4">
        <f>SUM(Scores[[#This Row],[31]:[36]])</f>
        <v>5</v>
      </c>
      <c r="I194" s="4">
        <f>Scores[[#This Row],[37]]</f>
        <v>2</v>
      </c>
      <c r="J194" s="87">
        <f>INDEX('Conversion Chart'!$C$3:$M$47,MATCH(SUM(Scores[[#This Row],[MC]:[IIIA]]),'Conversion Chart'!$B$3:$B$47),MATCH(Scores[[#This Row],[IIIB]],'Conversion Chart'!$C$2:$M$2))</f>
        <v>76</v>
      </c>
      <c r="K194" s="103">
        <v>2</v>
      </c>
      <c r="L194" s="103">
        <v>2</v>
      </c>
      <c r="M194" s="103">
        <v>3</v>
      </c>
      <c r="N194" s="103">
        <v>2</v>
      </c>
      <c r="O194" s="103">
        <v>1</v>
      </c>
      <c r="P194" s="103">
        <v>4</v>
      </c>
      <c r="Q194" s="103">
        <v>3</v>
      </c>
      <c r="R194" s="103">
        <v>2</v>
      </c>
      <c r="S194" s="103">
        <v>2</v>
      </c>
      <c r="T194" s="103">
        <v>1</v>
      </c>
      <c r="U194" s="103">
        <v>2</v>
      </c>
      <c r="V194" s="103">
        <v>4</v>
      </c>
      <c r="W194" s="103">
        <v>2</v>
      </c>
      <c r="X194" s="103">
        <v>4</v>
      </c>
      <c r="Y194" s="103">
        <v>3</v>
      </c>
      <c r="Z194" s="103">
        <v>1</v>
      </c>
      <c r="AA194" s="103">
        <v>4</v>
      </c>
      <c r="AB194" s="103">
        <v>4</v>
      </c>
      <c r="AC194" s="103">
        <v>3</v>
      </c>
      <c r="AD194" s="103">
        <v>4</v>
      </c>
      <c r="AE194" s="103">
        <v>2</v>
      </c>
      <c r="AF194" s="103">
        <v>2</v>
      </c>
      <c r="AG194" s="103">
        <v>3</v>
      </c>
      <c r="AH194" s="103">
        <v>3</v>
      </c>
      <c r="AI194" s="103">
        <v>4</v>
      </c>
      <c r="AJ194" s="103">
        <v>4</v>
      </c>
      <c r="AK194" s="103">
        <v>1</v>
      </c>
      <c r="AL194" s="104">
        <v>3</v>
      </c>
      <c r="AM194" s="4">
        <v>2</v>
      </c>
      <c r="AN194" s="87">
        <v>1</v>
      </c>
      <c r="AO194" s="4">
        <v>0</v>
      </c>
      <c r="AP194" s="4">
        <v>1</v>
      </c>
      <c r="AQ194" s="4">
        <v>1</v>
      </c>
      <c r="AR194" s="4">
        <v>1</v>
      </c>
      <c r="AS194" s="4">
        <v>1</v>
      </c>
      <c r="AT194" s="4">
        <v>1</v>
      </c>
      <c r="AU194" s="107">
        <v>2</v>
      </c>
      <c r="AV194" s="4">
        <f>IF(K194=VLOOKUP(VALUE(K$1),Questions!$A:$E,5,FALSE),1,0)</f>
        <v>0</v>
      </c>
      <c r="AW194" s="4">
        <f>IF(L194=VLOOKUP(VALUE(L$1),Questions!$A:$E,5,FALSE),1,0)</f>
        <v>1</v>
      </c>
      <c r="AX194" s="4">
        <f>IF(M194=VLOOKUP(VALUE(M$1),Questions!$A:$E,5,FALSE),1,0)</f>
        <v>1</v>
      </c>
      <c r="AY194" s="4">
        <f>IF(N194=VLOOKUP(VALUE(N$1),Questions!$A:$E,5,FALSE),1,0)</f>
        <v>0</v>
      </c>
      <c r="AZ194" s="4">
        <f>IF(O194=VLOOKUP(VALUE(O$1),Questions!$A:$E,5,FALSE),1,0)</f>
        <v>1</v>
      </c>
      <c r="BA194" s="4">
        <f>IF(P194=VLOOKUP(VALUE(P$1),Questions!$A:$E,5,FALSE),1,0)</f>
        <v>1</v>
      </c>
      <c r="BB194" s="4">
        <f>IF(Q194=VLOOKUP(VALUE(Q$1),Questions!$A:$E,5,FALSE),1,0)</f>
        <v>1</v>
      </c>
      <c r="BC194" s="4">
        <f>IF(R194=VLOOKUP(VALUE(R$1),Questions!$A:$E,5,FALSE),1,0)</f>
        <v>1</v>
      </c>
      <c r="BD194" s="4">
        <f>IF(S194=VLOOKUP(VALUE(S$1),Questions!$A:$E,5,FALSE),1,0)</f>
        <v>1</v>
      </c>
      <c r="BE194" s="4">
        <f>IF(T194=VLOOKUP(VALUE(T$1),Questions!$A:$E,5,FALSE),1,0)</f>
        <v>1</v>
      </c>
      <c r="BF194" s="4">
        <f>IF(U194=VLOOKUP(VALUE(U$1),Questions!$A:$E,5,FALSE),1,0)</f>
        <v>1</v>
      </c>
      <c r="BG194" s="4">
        <f>IF(V194=VLOOKUP(VALUE(V$1),Questions!$A:$E,5,FALSE),1,0)</f>
        <v>1</v>
      </c>
      <c r="BH194" s="4">
        <f>IF(W194=VLOOKUP(VALUE(W$1),Questions!$A:$E,5,FALSE),1,0)</f>
        <v>1</v>
      </c>
      <c r="BI194" s="4">
        <f>IF(X194=VLOOKUP(VALUE(X$1),Questions!$A:$E,5,FALSE),1,0)</f>
        <v>1</v>
      </c>
      <c r="BJ194" s="4">
        <f>IF(Y194=VLOOKUP(VALUE(Y$1),Questions!$A:$E,5,FALSE),1,0)</f>
        <v>1</v>
      </c>
      <c r="BK194" s="4">
        <f>IF(Z194=VLOOKUP(VALUE(Z$1),Questions!$A:$E,5,FALSE),1,0)</f>
        <v>1</v>
      </c>
      <c r="BL194" s="4">
        <f>IF(AA194=VLOOKUP(VALUE(AA$1),Questions!$A:$E,5,FALSE),1,0)</f>
        <v>0</v>
      </c>
      <c r="BM194" s="4">
        <f>IF(AB194=VLOOKUP(VALUE(AB$1),Questions!$A:$E,5,FALSE),1,0)</f>
        <v>1</v>
      </c>
      <c r="BN194" s="4">
        <f>IF(AC194=VLOOKUP(VALUE(AC$1),Questions!$A:$E,5,FALSE),1,0)</f>
        <v>1</v>
      </c>
      <c r="BO194" s="4">
        <f>IF(AD194=VLOOKUP(VALUE(AD$1),Questions!$A:$E,5,FALSE),1,0)</f>
        <v>1</v>
      </c>
      <c r="BP194" s="4">
        <f>IF(AE194=VLOOKUP(VALUE(AE$1),Questions!$A:$E,5,FALSE),1,0)</f>
        <v>1</v>
      </c>
      <c r="BQ194" s="4">
        <f>IF(AF194=VLOOKUP(VALUE(AF$1),Questions!$A:$E,5,FALSE),1,0)</f>
        <v>1</v>
      </c>
      <c r="BR194" s="4">
        <f>IF(AG194=VLOOKUP(VALUE(AG$1),Questions!$A:$E,5,FALSE),1,0)</f>
        <v>1</v>
      </c>
      <c r="BS194" s="4">
        <f>IF(AH194=VLOOKUP(VALUE(AH$1),Questions!$A:$E,5,FALSE),1,0)</f>
        <v>1</v>
      </c>
      <c r="BT194" s="4">
        <f>IF(AI194=VLOOKUP(VALUE(AI$1),Questions!$A:$E,5,FALSE),1,0)</f>
        <v>0</v>
      </c>
      <c r="BU194" s="4">
        <f>IF(AJ194=VLOOKUP(VALUE(AJ$1),Questions!$A:$E,5,FALSE),1,0)</f>
        <v>1</v>
      </c>
      <c r="BV194" s="4">
        <f>IF(AK194=VLOOKUP(VALUE(AK$1),Questions!$A:$E,5,FALSE),1,0)</f>
        <v>1</v>
      </c>
      <c r="BW194" s="87">
        <f>IF(AL194=VLOOKUP(VALUE(AL$1),Questions!$A:$E,5,FALSE),1,0)</f>
        <v>1</v>
      </c>
      <c r="BX194" s="4">
        <f>IF(Scores[[#This Row],[Final]]&gt;=65,1,0)</f>
        <v>1</v>
      </c>
      <c r="BY194" s="4">
        <f>IF(Scores[[#This Row],[Final]]&gt;=IF(Scores[[#This Row],[IEP]],55,65),1,0)</f>
        <v>1</v>
      </c>
    </row>
    <row r="195" spans="1:77" x14ac:dyDescent="0.2">
      <c r="A195" s="6">
        <v>194</v>
      </c>
      <c r="B195" s="4">
        <v>9</v>
      </c>
      <c r="C195" s="4" t="s">
        <v>964</v>
      </c>
      <c r="D195" s="105" t="b">
        <v>0</v>
      </c>
      <c r="E195" s="105" t="b">
        <v>0</v>
      </c>
      <c r="F195" s="86">
        <f>SUM(Scores[[#This Row],[Q1]:[Q28]])</f>
        <v>14</v>
      </c>
      <c r="G195" s="4">
        <f>SUM(Scores[[#This Row],[29]]:Scores[[#This Row],[30]])</f>
        <v>2</v>
      </c>
      <c r="H195" s="4">
        <f>SUM(Scores[[#This Row],[31]:[36]])</f>
        <v>2</v>
      </c>
      <c r="I195" s="4">
        <f>Scores[[#This Row],[37]]</f>
        <v>1</v>
      </c>
      <c r="J195" s="87">
        <f>INDEX('Conversion Chart'!$C$3:$M$47,MATCH(SUM(Scores[[#This Row],[MC]:[IIIA]]),'Conversion Chart'!$B$3:$B$47),MATCH(Scores[[#This Row],[IIIB]],'Conversion Chart'!$C$2:$M$2))</f>
        <v>54</v>
      </c>
      <c r="K195" s="103">
        <v>4</v>
      </c>
      <c r="L195" s="103">
        <v>3</v>
      </c>
      <c r="M195" s="103">
        <v>1</v>
      </c>
      <c r="N195" s="103">
        <v>2</v>
      </c>
      <c r="O195" s="103">
        <v>1</v>
      </c>
      <c r="P195" s="103">
        <v>3</v>
      </c>
      <c r="Q195" s="103">
        <v>3</v>
      </c>
      <c r="R195" s="103">
        <v>2</v>
      </c>
      <c r="S195" s="103">
        <v>3</v>
      </c>
      <c r="T195" s="103">
        <v>1</v>
      </c>
      <c r="U195" s="103">
        <v>4</v>
      </c>
      <c r="V195" s="103">
        <v>3</v>
      </c>
      <c r="W195" s="103">
        <v>2</v>
      </c>
      <c r="X195" s="103">
        <v>4</v>
      </c>
      <c r="Y195" s="103">
        <v>2</v>
      </c>
      <c r="Z195" s="103">
        <v>4</v>
      </c>
      <c r="AA195" s="103">
        <v>1</v>
      </c>
      <c r="AB195" s="103">
        <v>4</v>
      </c>
      <c r="AC195" s="103">
        <v>3</v>
      </c>
      <c r="AD195" s="103">
        <v>3</v>
      </c>
      <c r="AE195" s="103">
        <v>2</v>
      </c>
      <c r="AF195" s="103">
        <v>2</v>
      </c>
      <c r="AG195" s="103">
        <v>2</v>
      </c>
      <c r="AH195" s="103">
        <v>4</v>
      </c>
      <c r="AI195" s="103">
        <v>1</v>
      </c>
      <c r="AJ195" s="103">
        <v>2</v>
      </c>
      <c r="AK195" s="103">
        <v>4</v>
      </c>
      <c r="AL195" s="104">
        <v>3</v>
      </c>
      <c r="AM195" s="4">
        <v>1</v>
      </c>
      <c r="AN195" s="87">
        <v>1</v>
      </c>
      <c r="AO195" s="4">
        <v>0</v>
      </c>
      <c r="AP195" s="4">
        <v>0</v>
      </c>
      <c r="AQ195" s="4">
        <v>0</v>
      </c>
      <c r="AR195" s="4">
        <v>1</v>
      </c>
      <c r="AS195" s="4">
        <v>1</v>
      </c>
      <c r="AT195" s="4">
        <v>0</v>
      </c>
      <c r="AU195" s="107">
        <v>1</v>
      </c>
      <c r="AV195" s="4">
        <f>IF(K195=VLOOKUP(VALUE(K$1),Questions!$A:$E,5,FALSE),1,0)</f>
        <v>1</v>
      </c>
      <c r="AW195" s="4">
        <f>IF(L195=VLOOKUP(VALUE(L$1),Questions!$A:$E,5,FALSE),1,0)</f>
        <v>0</v>
      </c>
      <c r="AX195" s="4">
        <f>IF(M195=VLOOKUP(VALUE(M$1),Questions!$A:$E,5,FALSE),1,0)</f>
        <v>0</v>
      </c>
      <c r="AY195" s="4">
        <f>IF(N195=VLOOKUP(VALUE(N$1),Questions!$A:$E,5,FALSE),1,0)</f>
        <v>0</v>
      </c>
      <c r="AZ195" s="4">
        <f>IF(O195=VLOOKUP(VALUE(O$1),Questions!$A:$E,5,FALSE),1,0)</f>
        <v>1</v>
      </c>
      <c r="BA195" s="4">
        <f>IF(P195=VLOOKUP(VALUE(P$1),Questions!$A:$E,5,FALSE),1,0)</f>
        <v>0</v>
      </c>
      <c r="BB195" s="4">
        <f>IF(Q195=VLOOKUP(VALUE(Q$1),Questions!$A:$E,5,FALSE),1,0)</f>
        <v>1</v>
      </c>
      <c r="BC195" s="4">
        <f>IF(R195=VLOOKUP(VALUE(R$1),Questions!$A:$E,5,FALSE),1,0)</f>
        <v>1</v>
      </c>
      <c r="BD195" s="4">
        <f>IF(S195=VLOOKUP(VALUE(S$1),Questions!$A:$E,5,FALSE),1,0)</f>
        <v>0</v>
      </c>
      <c r="BE195" s="4">
        <f>IF(T195=VLOOKUP(VALUE(T$1),Questions!$A:$E,5,FALSE),1,0)</f>
        <v>1</v>
      </c>
      <c r="BF195" s="4">
        <f>IF(U195=VLOOKUP(VALUE(U$1),Questions!$A:$E,5,FALSE),1,0)</f>
        <v>0</v>
      </c>
      <c r="BG195" s="4">
        <f>IF(V195=VLOOKUP(VALUE(V$1),Questions!$A:$E,5,FALSE),1,0)</f>
        <v>0</v>
      </c>
      <c r="BH195" s="4">
        <f>IF(W195=VLOOKUP(VALUE(W$1),Questions!$A:$E,5,FALSE),1,0)</f>
        <v>1</v>
      </c>
      <c r="BI195" s="4">
        <f>IF(X195=VLOOKUP(VALUE(X$1),Questions!$A:$E,5,FALSE),1,0)</f>
        <v>1</v>
      </c>
      <c r="BJ195" s="4">
        <f>IF(Y195=VLOOKUP(VALUE(Y$1),Questions!$A:$E,5,FALSE),1,0)</f>
        <v>0</v>
      </c>
      <c r="BK195" s="4">
        <f>IF(Z195=VLOOKUP(VALUE(Z$1),Questions!$A:$E,5,FALSE),1,0)</f>
        <v>0</v>
      </c>
      <c r="BL195" s="4">
        <f>IF(AA195=VLOOKUP(VALUE(AA$1),Questions!$A:$E,5,FALSE),1,0)</f>
        <v>1</v>
      </c>
      <c r="BM195" s="4">
        <f>IF(AB195=VLOOKUP(VALUE(AB$1),Questions!$A:$E,5,FALSE),1,0)</f>
        <v>1</v>
      </c>
      <c r="BN195" s="4">
        <f>IF(AC195=VLOOKUP(VALUE(AC$1),Questions!$A:$E,5,FALSE),1,0)</f>
        <v>1</v>
      </c>
      <c r="BO195" s="4">
        <f>IF(AD195=VLOOKUP(VALUE(AD$1),Questions!$A:$E,5,FALSE),1,0)</f>
        <v>0</v>
      </c>
      <c r="BP195" s="4">
        <f>IF(AE195=VLOOKUP(VALUE(AE$1),Questions!$A:$E,5,FALSE),1,0)</f>
        <v>1</v>
      </c>
      <c r="BQ195" s="4">
        <f>IF(AF195=VLOOKUP(VALUE(AF$1),Questions!$A:$E,5,FALSE),1,0)</f>
        <v>1</v>
      </c>
      <c r="BR195" s="4">
        <f>IF(AG195=VLOOKUP(VALUE(AG$1),Questions!$A:$E,5,FALSE),1,0)</f>
        <v>0</v>
      </c>
      <c r="BS195" s="4">
        <f>IF(AH195=VLOOKUP(VALUE(AH$1),Questions!$A:$E,5,FALSE),1,0)</f>
        <v>0</v>
      </c>
      <c r="BT195" s="4">
        <f>IF(AI195=VLOOKUP(VALUE(AI$1),Questions!$A:$E,5,FALSE),1,0)</f>
        <v>1</v>
      </c>
      <c r="BU195" s="4">
        <f>IF(AJ195=VLOOKUP(VALUE(AJ$1),Questions!$A:$E,5,FALSE),1,0)</f>
        <v>0</v>
      </c>
      <c r="BV195" s="4">
        <f>IF(AK195=VLOOKUP(VALUE(AK$1),Questions!$A:$E,5,FALSE),1,0)</f>
        <v>0</v>
      </c>
      <c r="BW195" s="87">
        <f>IF(AL195=VLOOKUP(VALUE(AL$1),Questions!$A:$E,5,FALSE),1,0)</f>
        <v>1</v>
      </c>
      <c r="BX195" s="4">
        <f>IF(Scores[[#This Row],[Final]]&gt;=65,1,0)</f>
        <v>0</v>
      </c>
      <c r="BY195" s="4">
        <f>IF(Scores[[#This Row],[Final]]&gt;=IF(Scores[[#This Row],[IEP]],55,65),1,0)</f>
        <v>0</v>
      </c>
    </row>
    <row r="196" spans="1:77" x14ac:dyDescent="0.2">
      <c r="A196" s="6">
        <v>195</v>
      </c>
      <c r="B196" s="4">
        <v>9</v>
      </c>
      <c r="C196" s="4" t="s">
        <v>964</v>
      </c>
      <c r="D196" s="105" t="b">
        <v>0</v>
      </c>
      <c r="E196" s="105" t="b">
        <v>0</v>
      </c>
      <c r="F196" s="86">
        <f>SUM(Scores[[#This Row],[Q1]:[Q28]])</f>
        <v>17</v>
      </c>
      <c r="G196" s="4">
        <f>SUM(Scores[[#This Row],[29]]:Scores[[#This Row],[30]])</f>
        <v>4</v>
      </c>
      <c r="H196" s="4">
        <f>SUM(Scores[[#This Row],[31]:[36]])</f>
        <v>4</v>
      </c>
      <c r="I196" s="4">
        <f>Scores[[#This Row],[37]]</f>
        <v>1.5</v>
      </c>
      <c r="J196" s="87">
        <f>INDEX('Conversion Chart'!$C$3:$M$47,MATCH(SUM(Scores[[#This Row],[MC]:[IIIA]]),'Conversion Chart'!$B$3:$B$47),MATCH(Scores[[#This Row],[IIIB]],'Conversion Chart'!$C$2:$M$2))</f>
        <v>66</v>
      </c>
      <c r="K196" s="103">
        <v>4</v>
      </c>
      <c r="L196" s="103">
        <v>2</v>
      </c>
      <c r="M196" s="103">
        <v>3</v>
      </c>
      <c r="N196" s="103">
        <v>1</v>
      </c>
      <c r="O196" s="103">
        <v>1</v>
      </c>
      <c r="P196" s="103">
        <v>3</v>
      </c>
      <c r="Q196" s="103">
        <v>4</v>
      </c>
      <c r="R196" s="103">
        <v>2</v>
      </c>
      <c r="S196" s="103">
        <v>2</v>
      </c>
      <c r="T196" s="103">
        <v>1</v>
      </c>
      <c r="U196" s="103">
        <v>1</v>
      </c>
      <c r="V196" s="103">
        <v>4</v>
      </c>
      <c r="W196" s="103">
        <v>3</v>
      </c>
      <c r="X196" s="103">
        <v>2</v>
      </c>
      <c r="Y196" s="103">
        <v>1</v>
      </c>
      <c r="Z196" s="103">
        <v>2</v>
      </c>
      <c r="AA196" s="103">
        <v>1</v>
      </c>
      <c r="AB196" s="103">
        <v>4</v>
      </c>
      <c r="AC196" s="103">
        <v>3</v>
      </c>
      <c r="AD196" s="103">
        <v>1</v>
      </c>
      <c r="AE196" s="103">
        <v>2</v>
      </c>
      <c r="AF196" s="103">
        <v>2</v>
      </c>
      <c r="AG196" s="103">
        <v>3</v>
      </c>
      <c r="AH196" s="103">
        <v>3</v>
      </c>
      <c r="AI196" s="103">
        <v>4</v>
      </c>
      <c r="AJ196" s="103">
        <v>4</v>
      </c>
      <c r="AK196" s="103">
        <v>1</v>
      </c>
      <c r="AL196" s="104">
        <v>2</v>
      </c>
      <c r="AM196" s="4">
        <v>4</v>
      </c>
      <c r="AN196" s="87">
        <v>0</v>
      </c>
      <c r="AO196" s="4">
        <v>0</v>
      </c>
      <c r="AP196" s="4">
        <v>0</v>
      </c>
      <c r="AQ196" s="4">
        <v>1</v>
      </c>
      <c r="AR196" s="4">
        <v>1</v>
      </c>
      <c r="AS196" s="4">
        <v>1</v>
      </c>
      <c r="AT196" s="4">
        <v>1</v>
      </c>
      <c r="AU196" s="107">
        <v>1.5</v>
      </c>
      <c r="AV196" s="4">
        <f>IF(K196=VLOOKUP(VALUE(K$1),Questions!$A:$E,5,FALSE),1,0)</f>
        <v>1</v>
      </c>
      <c r="AW196" s="4">
        <f>IF(L196=VLOOKUP(VALUE(L$1),Questions!$A:$E,5,FALSE),1,0)</f>
        <v>1</v>
      </c>
      <c r="AX196" s="4">
        <f>IF(M196=VLOOKUP(VALUE(M$1),Questions!$A:$E,5,FALSE),1,0)</f>
        <v>1</v>
      </c>
      <c r="AY196" s="4">
        <f>IF(N196=VLOOKUP(VALUE(N$1),Questions!$A:$E,5,FALSE),1,0)</f>
        <v>0</v>
      </c>
      <c r="AZ196" s="4">
        <f>IF(O196=VLOOKUP(VALUE(O$1),Questions!$A:$E,5,FALSE),1,0)</f>
        <v>1</v>
      </c>
      <c r="BA196" s="4">
        <f>IF(P196=VLOOKUP(VALUE(P$1),Questions!$A:$E,5,FALSE),1,0)</f>
        <v>0</v>
      </c>
      <c r="BB196" s="4">
        <f>IF(Q196=VLOOKUP(VALUE(Q$1),Questions!$A:$E,5,FALSE),1,0)</f>
        <v>0</v>
      </c>
      <c r="BC196" s="4">
        <f>IF(R196=VLOOKUP(VALUE(R$1),Questions!$A:$E,5,FALSE),1,0)</f>
        <v>1</v>
      </c>
      <c r="BD196" s="4">
        <f>IF(S196=VLOOKUP(VALUE(S$1),Questions!$A:$E,5,FALSE),1,0)</f>
        <v>1</v>
      </c>
      <c r="BE196" s="4">
        <f>IF(T196=VLOOKUP(VALUE(T$1),Questions!$A:$E,5,FALSE),1,0)</f>
        <v>1</v>
      </c>
      <c r="BF196" s="4">
        <f>IF(U196=VLOOKUP(VALUE(U$1),Questions!$A:$E,5,FALSE),1,0)</f>
        <v>0</v>
      </c>
      <c r="BG196" s="4">
        <f>IF(V196=VLOOKUP(VALUE(V$1),Questions!$A:$E,5,FALSE),1,0)</f>
        <v>1</v>
      </c>
      <c r="BH196" s="4">
        <f>IF(W196=VLOOKUP(VALUE(W$1),Questions!$A:$E,5,FALSE),1,0)</f>
        <v>0</v>
      </c>
      <c r="BI196" s="4">
        <f>IF(X196=VLOOKUP(VALUE(X$1),Questions!$A:$E,5,FALSE),1,0)</f>
        <v>0</v>
      </c>
      <c r="BJ196" s="4">
        <f>IF(Y196=VLOOKUP(VALUE(Y$1),Questions!$A:$E,5,FALSE),1,0)</f>
        <v>0</v>
      </c>
      <c r="BK196" s="4">
        <f>IF(Z196=VLOOKUP(VALUE(Z$1),Questions!$A:$E,5,FALSE),1,0)</f>
        <v>0</v>
      </c>
      <c r="BL196" s="4">
        <f>IF(AA196=VLOOKUP(VALUE(AA$1),Questions!$A:$E,5,FALSE),1,0)</f>
        <v>1</v>
      </c>
      <c r="BM196" s="4">
        <f>IF(AB196=VLOOKUP(VALUE(AB$1),Questions!$A:$E,5,FALSE),1,0)</f>
        <v>1</v>
      </c>
      <c r="BN196" s="4">
        <f>IF(AC196=VLOOKUP(VALUE(AC$1),Questions!$A:$E,5,FALSE),1,0)</f>
        <v>1</v>
      </c>
      <c r="BO196" s="4">
        <f>IF(AD196=VLOOKUP(VALUE(AD$1),Questions!$A:$E,5,FALSE),1,0)</f>
        <v>0</v>
      </c>
      <c r="BP196" s="4">
        <f>IF(AE196=VLOOKUP(VALUE(AE$1),Questions!$A:$E,5,FALSE),1,0)</f>
        <v>1</v>
      </c>
      <c r="BQ196" s="4">
        <f>IF(AF196=VLOOKUP(VALUE(AF$1),Questions!$A:$E,5,FALSE),1,0)</f>
        <v>1</v>
      </c>
      <c r="BR196" s="4">
        <f>IF(AG196=VLOOKUP(VALUE(AG$1),Questions!$A:$E,5,FALSE),1,0)</f>
        <v>1</v>
      </c>
      <c r="BS196" s="4">
        <f>IF(AH196=VLOOKUP(VALUE(AH$1),Questions!$A:$E,5,FALSE),1,0)</f>
        <v>1</v>
      </c>
      <c r="BT196" s="4">
        <f>IF(AI196=VLOOKUP(VALUE(AI$1),Questions!$A:$E,5,FALSE),1,0)</f>
        <v>0</v>
      </c>
      <c r="BU196" s="4">
        <f>IF(AJ196=VLOOKUP(VALUE(AJ$1),Questions!$A:$E,5,FALSE),1,0)</f>
        <v>1</v>
      </c>
      <c r="BV196" s="4">
        <f>IF(AK196=VLOOKUP(VALUE(AK$1),Questions!$A:$E,5,FALSE),1,0)</f>
        <v>1</v>
      </c>
      <c r="BW196" s="87">
        <f>IF(AL196=VLOOKUP(VALUE(AL$1),Questions!$A:$E,5,FALSE),1,0)</f>
        <v>0</v>
      </c>
      <c r="BX196" s="4">
        <f>IF(Scores[[#This Row],[Final]]&gt;=65,1,0)</f>
        <v>1</v>
      </c>
      <c r="BY196" s="4">
        <f>IF(Scores[[#This Row],[Final]]&gt;=IF(Scores[[#This Row],[IEP]],55,65),1,0)</f>
        <v>1</v>
      </c>
    </row>
    <row r="197" spans="1:77" x14ac:dyDescent="0.2">
      <c r="A197" s="6">
        <v>196</v>
      </c>
      <c r="B197" s="4">
        <v>11</v>
      </c>
      <c r="C197" s="4" t="s">
        <v>962</v>
      </c>
      <c r="D197" s="105" t="b">
        <v>0</v>
      </c>
      <c r="E197" s="105" t="b">
        <v>0</v>
      </c>
      <c r="F197" s="86">
        <f>SUM(Scores[[#This Row],[Q1]:[Q28]])</f>
        <v>22</v>
      </c>
      <c r="G197" s="4">
        <f>SUM(Scores[[#This Row],[29]]:Scores[[#This Row],[30]])</f>
        <v>5</v>
      </c>
      <c r="H197" s="4">
        <f>SUM(Scores[[#This Row],[31]:[36]])</f>
        <v>4</v>
      </c>
      <c r="I197" s="4">
        <f>Scores[[#This Row],[37]]</f>
        <v>1</v>
      </c>
      <c r="J197" s="87">
        <f>INDEX('Conversion Chart'!$C$3:$M$47,MATCH(SUM(Scores[[#This Row],[MC]:[IIIA]]),'Conversion Chart'!$B$3:$B$47),MATCH(Scores[[#This Row],[IIIB]],'Conversion Chart'!$C$2:$M$2))</f>
        <v>71</v>
      </c>
      <c r="K197" s="103">
        <v>4</v>
      </c>
      <c r="L197" s="103">
        <v>1</v>
      </c>
      <c r="M197" s="103">
        <v>3</v>
      </c>
      <c r="N197" s="103">
        <v>2</v>
      </c>
      <c r="O197" s="103">
        <v>1</v>
      </c>
      <c r="P197" s="103">
        <v>3</v>
      </c>
      <c r="Q197" s="103">
        <v>3</v>
      </c>
      <c r="R197" s="103">
        <v>2</v>
      </c>
      <c r="S197" s="103">
        <v>2</v>
      </c>
      <c r="T197" s="103">
        <v>1</v>
      </c>
      <c r="U197" s="103">
        <v>2</v>
      </c>
      <c r="V197" s="103">
        <v>4</v>
      </c>
      <c r="W197" s="103">
        <v>2</v>
      </c>
      <c r="X197" s="103">
        <v>4</v>
      </c>
      <c r="Y197" s="103">
        <v>3</v>
      </c>
      <c r="Z197" s="103">
        <v>1</v>
      </c>
      <c r="AA197" s="103">
        <v>1</v>
      </c>
      <c r="AB197" s="103">
        <v>4</v>
      </c>
      <c r="AC197" s="103">
        <v>3</v>
      </c>
      <c r="AD197" s="103">
        <v>4</v>
      </c>
      <c r="AE197" s="103">
        <v>3</v>
      </c>
      <c r="AF197" s="103">
        <v>2</v>
      </c>
      <c r="AG197" s="103">
        <v>3</v>
      </c>
      <c r="AH197" s="103">
        <v>3</v>
      </c>
      <c r="AI197" s="103">
        <v>4</v>
      </c>
      <c r="AJ197" s="103">
        <v>4</v>
      </c>
      <c r="AK197" s="103">
        <v>4</v>
      </c>
      <c r="AL197" s="104">
        <v>3</v>
      </c>
      <c r="AM197" s="4">
        <v>2</v>
      </c>
      <c r="AN197" s="87">
        <v>3</v>
      </c>
      <c r="AO197" s="4">
        <v>0</v>
      </c>
      <c r="AP197" s="4">
        <v>1</v>
      </c>
      <c r="AQ197" s="4">
        <v>0</v>
      </c>
      <c r="AR197" s="4">
        <v>1</v>
      </c>
      <c r="AS197" s="4">
        <v>1</v>
      </c>
      <c r="AT197" s="4">
        <v>1</v>
      </c>
      <c r="AU197" s="107">
        <v>1</v>
      </c>
      <c r="AV197" s="4">
        <f>IF(K197=VLOOKUP(VALUE(K$1),Questions!$A:$E,5,FALSE),1,0)</f>
        <v>1</v>
      </c>
      <c r="AW197" s="4">
        <f>IF(L197=VLOOKUP(VALUE(L$1),Questions!$A:$E,5,FALSE),1,0)</f>
        <v>0</v>
      </c>
      <c r="AX197" s="4">
        <f>IF(M197=VLOOKUP(VALUE(M$1),Questions!$A:$E,5,FALSE),1,0)</f>
        <v>1</v>
      </c>
      <c r="AY197" s="4">
        <f>IF(N197=VLOOKUP(VALUE(N$1),Questions!$A:$E,5,FALSE),1,0)</f>
        <v>0</v>
      </c>
      <c r="AZ197" s="4">
        <f>IF(O197=VLOOKUP(VALUE(O$1),Questions!$A:$E,5,FALSE),1,0)</f>
        <v>1</v>
      </c>
      <c r="BA197" s="4">
        <f>IF(P197=VLOOKUP(VALUE(P$1),Questions!$A:$E,5,FALSE),1,0)</f>
        <v>0</v>
      </c>
      <c r="BB197" s="4">
        <f>IF(Q197=VLOOKUP(VALUE(Q$1),Questions!$A:$E,5,FALSE),1,0)</f>
        <v>1</v>
      </c>
      <c r="BC197" s="4">
        <f>IF(R197=VLOOKUP(VALUE(R$1),Questions!$A:$E,5,FALSE),1,0)</f>
        <v>1</v>
      </c>
      <c r="BD197" s="4">
        <f>IF(S197=VLOOKUP(VALUE(S$1),Questions!$A:$E,5,FALSE),1,0)</f>
        <v>1</v>
      </c>
      <c r="BE197" s="4">
        <f>IF(T197=VLOOKUP(VALUE(T$1),Questions!$A:$E,5,FALSE),1,0)</f>
        <v>1</v>
      </c>
      <c r="BF197" s="4">
        <f>IF(U197=VLOOKUP(VALUE(U$1),Questions!$A:$E,5,FALSE),1,0)</f>
        <v>1</v>
      </c>
      <c r="BG197" s="4">
        <f>IF(V197=VLOOKUP(VALUE(V$1),Questions!$A:$E,5,FALSE),1,0)</f>
        <v>1</v>
      </c>
      <c r="BH197" s="4">
        <f>IF(W197=VLOOKUP(VALUE(W$1),Questions!$A:$E,5,FALSE),1,0)</f>
        <v>1</v>
      </c>
      <c r="BI197" s="4">
        <f>IF(X197=VLOOKUP(VALUE(X$1),Questions!$A:$E,5,FALSE),1,0)</f>
        <v>1</v>
      </c>
      <c r="BJ197" s="4">
        <f>IF(Y197=VLOOKUP(VALUE(Y$1),Questions!$A:$E,5,FALSE),1,0)</f>
        <v>1</v>
      </c>
      <c r="BK197" s="4">
        <f>IF(Z197=VLOOKUP(VALUE(Z$1),Questions!$A:$E,5,FALSE),1,0)</f>
        <v>1</v>
      </c>
      <c r="BL197" s="4">
        <f>IF(AA197=VLOOKUP(VALUE(AA$1),Questions!$A:$E,5,FALSE),1,0)</f>
        <v>1</v>
      </c>
      <c r="BM197" s="4">
        <f>IF(AB197=VLOOKUP(VALUE(AB$1),Questions!$A:$E,5,FALSE),1,0)</f>
        <v>1</v>
      </c>
      <c r="BN197" s="4">
        <f>IF(AC197=VLOOKUP(VALUE(AC$1),Questions!$A:$E,5,FALSE),1,0)</f>
        <v>1</v>
      </c>
      <c r="BO197" s="4">
        <f>IF(AD197=VLOOKUP(VALUE(AD$1),Questions!$A:$E,5,FALSE),1,0)</f>
        <v>1</v>
      </c>
      <c r="BP197" s="4">
        <f>IF(AE197=VLOOKUP(VALUE(AE$1),Questions!$A:$E,5,FALSE),1,0)</f>
        <v>0</v>
      </c>
      <c r="BQ197" s="4">
        <f>IF(AF197=VLOOKUP(VALUE(AF$1),Questions!$A:$E,5,FALSE),1,0)</f>
        <v>1</v>
      </c>
      <c r="BR197" s="4">
        <f>IF(AG197=VLOOKUP(VALUE(AG$1),Questions!$A:$E,5,FALSE),1,0)</f>
        <v>1</v>
      </c>
      <c r="BS197" s="4">
        <f>IF(AH197=VLOOKUP(VALUE(AH$1),Questions!$A:$E,5,FALSE),1,0)</f>
        <v>1</v>
      </c>
      <c r="BT197" s="4">
        <f>IF(AI197=VLOOKUP(VALUE(AI$1),Questions!$A:$E,5,FALSE),1,0)</f>
        <v>0</v>
      </c>
      <c r="BU197" s="4">
        <f>IF(AJ197=VLOOKUP(VALUE(AJ$1),Questions!$A:$E,5,FALSE),1,0)</f>
        <v>1</v>
      </c>
      <c r="BV197" s="4">
        <f>IF(AK197=VLOOKUP(VALUE(AK$1),Questions!$A:$E,5,FALSE),1,0)</f>
        <v>0</v>
      </c>
      <c r="BW197" s="87">
        <f>IF(AL197=VLOOKUP(VALUE(AL$1),Questions!$A:$E,5,FALSE),1,0)</f>
        <v>1</v>
      </c>
      <c r="BX197" s="4">
        <f>IF(Scores[[#This Row],[Final]]&gt;=65,1,0)</f>
        <v>1</v>
      </c>
      <c r="BY197" s="4">
        <f>IF(Scores[[#This Row],[Final]]&gt;=IF(Scores[[#This Row],[IEP]],55,65),1,0)</f>
        <v>1</v>
      </c>
    </row>
    <row r="198" spans="1:77" x14ac:dyDescent="0.2">
      <c r="A198" s="6">
        <v>197</v>
      </c>
      <c r="B198" s="4">
        <v>9</v>
      </c>
      <c r="C198" s="4" t="s">
        <v>963</v>
      </c>
      <c r="D198" s="105" t="b">
        <v>0</v>
      </c>
      <c r="E198" s="105" t="b">
        <v>0</v>
      </c>
      <c r="F198" s="86">
        <f>SUM(Scores[[#This Row],[Q1]:[Q28]])</f>
        <v>19</v>
      </c>
      <c r="G198" s="4">
        <f>SUM(Scores[[#This Row],[29]]:Scores[[#This Row],[30]])</f>
        <v>4</v>
      </c>
      <c r="H198" s="4">
        <f>SUM(Scores[[#This Row],[31]:[36]])</f>
        <v>6</v>
      </c>
      <c r="I198" s="4">
        <f>Scores[[#This Row],[37]]</f>
        <v>2</v>
      </c>
      <c r="J198" s="87">
        <f>INDEX('Conversion Chart'!$C$3:$M$47,MATCH(SUM(Scores[[#This Row],[MC]:[IIIA]]),'Conversion Chart'!$B$3:$B$47),MATCH(Scores[[#This Row],[IIIB]],'Conversion Chart'!$C$2:$M$2))</f>
        <v>72</v>
      </c>
      <c r="K198" s="103">
        <v>4</v>
      </c>
      <c r="L198" s="103">
        <v>2</v>
      </c>
      <c r="M198" s="103">
        <v>3</v>
      </c>
      <c r="N198" s="103">
        <v>3</v>
      </c>
      <c r="O198" s="103">
        <v>1</v>
      </c>
      <c r="P198" s="103">
        <v>1</v>
      </c>
      <c r="Q198" s="103">
        <v>3</v>
      </c>
      <c r="R198" s="103">
        <v>1</v>
      </c>
      <c r="S198" s="103">
        <v>3</v>
      </c>
      <c r="T198" s="103">
        <v>1</v>
      </c>
      <c r="U198" s="103">
        <v>2</v>
      </c>
      <c r="V198" s="103">
        <v>3</v>
      </c>
      <c r="W198" s="103">
        <v>2</v>
      </c>
      <c r="X198" s="103">
        <v>4</v>
      </c>
      <c r="Y198" s="103">
        <v>1</v>
      </c>
      <c r="Z198" s="103">
        <v>4</v>
      </c>
      <c r="AA198" s="103">
        <v>4</v>
      </c>
      <c r="AB198" s="103">
        <v>3</v>
      </c>
      <c r="AC198" s="103">
        <v>3</v>
      </c>
      <c r="AD198" s="103">
        <v>4</v>
      </c>
      <c r="AE198" s="103">
        <v>2</v>
      </c>
      <c r="AF198" s="103">
        <v>2</v>
      </c>
      <c r="AG198" s="103">
        <v>3</v>
      </c>
      <c r="AH198" s="103">
        <v>2</v>
      </c>
      <c r="AI198" s="103">
        <v>1</v>
      </c>
      <c r="AJ198" s="103">
        <v>4</v>
      </c>
      <c r="AK198" s="103">
        <v>1</v>
      </c>
      <c r="AL198" s="104">
        <v>3</v>
      </c>
      <c r="AM198" s="4">
        <v>2</v>
      </c>
      <c r="AN198" s="87">
        <v>2</v>
      </c>
      <c r="AO198" s="4">
        <v>1</v>
      </c>
      <c r="AP198" s="4">
        <v>1</v>
      </c>
      <c r="AQ198" s="4">
        <v>1</v>
      </c>
      <c r="AR198" s="4">
        <v>1</v>
      </c>
      <c r="AS198" s="4">
        <v>1</v>
      </c>
      <c r="AT198" s="4">
        <v>1</v>
      </c>
      <c r="AU198" s="107">
        <v>2</v>
      </c>
      <c r="AV198" s="4">
        <f>IF(K198=VLOOKUP(VALUE(K$1),Questions!$A:$E,5,FALSE),1,0)</f>
        <v>1</v>
      </c>
      <c r="AW198" s="4">
        <f>IF(L198=VLOOKUP(VALUE(L$1),Questions!$A:$E,5,FALSE),1,0)</f>
        <v>1</v>
      </c>
      <c r="AX198" s="4">
        <f>IF(M198=VLOOKUP(VALUE(M$1),Questions!$A:$E,5,FALSE),1,0)</f>
        <v>1</v>
      </c>
      <c r="AY198" s="4">
        <f>IF(N198=VLOOKUP(VALUE(N$1),Questions!$A:$E,5,FALSE),1,0)</f>
        <v>1</v>
      </c>
      <c r="AZ198" s="4">
        <f>IF(O198=VLOOKUP(VALUE(O$1),Questions!$A:$E,5,FALSE),1,0)</f>
        <v>1</v>
      </c>
      <c r="BA198" s="4">
        <f>IF(P198=VLOOKUP(VALUE(P$1),Questions!$A:$E,5,FALSE),1,0)</f>
        <v>0</v>
      </c>
      <c r="BB198" s="4">
        <f>IF(Q198=VLOOKUP(VALUE(Q$1),Questions!$A:$E,5,FALSE),1,0)</f>
        <v>1</v>
      </c>
      <c r="BC198" s="4">
        <f>IF(R198=VLOOKUP(VALUE(R$1),Questions!$A:$E,5,FALSE),1,0)</f>
        <v>0</v>
      </c>
      <c r="BD198" s="4">
        <f>IF(S198=VLOOKUP(VALUE(S$1),Questions!$A:$E,5,FALSE),1,0)</f>
        <v>0</v>
      </c>
      <c r="BE198" s="4">
        <f>IF(T198=VLOOKUP(VALUE(T$1),Questions!$A:$E,5,FALSE),1,0)</f>
        <v>1</v>
      </c>
      <c r="BF198" s="4">
        <f>IF(U198=VLOOKUP(VALUE(U$1),Questions!$A:$E,5,FALSE),1,0)</f>
        <v>1</v>
      </c>
      <c r="BG198" s="4">
        <f>IF(V198=VLOOKUP(VALUE(V$1),Questions!$A:$E,5,FALSE),1,0)</f>
        <v>0</v>
      </c>
      <c r="BH198" s="4">
        <f>IF(W198=VLOOKUP(VALUE(W$1),Questions!$A:$E,5,FALSE),1,0)</f>
        <v>1</v>
      </c>
      <c r="BI198" s="4">
        <f>IF(X198=VLOOKUP(VALUE(X$1),Questions!$A:$E,5,FALSE),1,0)</f>
        <v>1</v>
      </c>
      <c r="BJ198" s="4">
        <f>IF(Y198=VLOOKUP(VALUE(Y$1),Questions!$A:$E,5,FALSE),1,0)</f>
        <v>0</v>
      </c>
      <c r="BK198" s="4">
        <f>IF(Z198=VLOOKUP(VALUE(Z$1),Questions!$A:$E,5,FALSE),1,0)</f>
        <v>0</v>
      </c>
      <c r="BL198" s="4">
        <f>IF(AA198=VLOOKUP(VALUE(AA$1),Questions!$A:$E,5,FALSE),1,0)</f>
        <v>0</v>
      </c>
      <c r="BM198" s="4">
        <f>IF(AB198=VLOOKUP(VALUE(AB$1),Questions!$A:$E,5,FALSE),1,0)</f>
        <v>0</v>
      </c>
      <c r="BN198" s="4">
        <f>IF(AC198=VLOOKUP(VALUE(AC$1),Questions!$A:$E,5,FALSE),1,0)</f>
        <v>1</v>
      </c>
      <c r="BO198" s="4">
        <f>IF(AD198=VLOOKUP(VALUE(AD$1),Questions!$A:$E,5,FALSE),1,0)</f>
        <v>1</v>
      </c>
      <c r="BP198" s="4">
        <f>IF(AE198=VLOOKUP(VALUE(AE$1),Questions!$A:$E,5,FALSE),1,0)</f>
        <v>1</v>
      </c>
      <c r="BQ198" s="4">
        <f>IF(AF198=VLOOKUP(VALUE(AF$1),Questions!$A:$E,5,FALSE),1,0)</f>
        <v>1</v>
      </c>
      <c r="BR198" s="4">
        <f>IF(AG198=VLOOKUP(VALUE(AG$1),Questions!$A:$E,5,FALSE),1,0)</f>
        <v>1</v>
      </c>
      <c r="BS198" s="4">
        <f>IF(AH198=VLOOKUP(VALUE(AH$1),Questions!$A:$E,5,FALSE),1,0)</f>
        <v>0</v>
      </c>
      <c r="BT198" s="4">
        <f>IF(AI198=VLOOKUP(VALUE(AI$1),Questions!$A:$E,5,FALSE),1,0)</f>
        <v>1</v>
      </c>
      <c r="BU198" s="4">
        <f>IF(AJ198=VLOOKUP(VALUE(AJ$1),Questions!$A:$E,5,FALSE),1,0)</f>
        <v>1</v>
      </c>
      <c r="BV198" s="4">
        <f>IF(AK198=VLOOKUP(VALUE(AK$1),Questions!$A:$E,5,FALSE),1,0)</f>
        <v>1</v>
      </c>
      <c r="BW198" s="87">
        <f>IF(AL198=VLOOKUP(VALUE(AL$1),Questions!$A:$E,5,FALSE),1,0)</f>
        <v>1</v>
      </c>
      <c r="BX198" s="4">
        <f>IF(Scores[[#This Row],[Final]]&gt;=65,1,0)</f>
        <v>1</v>
      </c>
      <c r="BY198" s="4">
        <f>IF(Scores[[#This Row],[Final]]&gt;=IF(Scores[[#This Row],[IEP]],55,65),1,0)</f>
        <v>1</v>
      </c>
    </row>
    <row r="199" spans="1:77" x14ac:dyDescent="0.2">
      <c r="A199" s="6">
        <v>198</v>
      </c>
      <c r="B199" s="4">
        <v>11</v>
      </c>
      <c r="C199" s="4" t="s">
        <v>962</v>
      </c>
      <c r="D199" s="105" t="b">
        <v>1</v>
      </c>
      <c r="E199" s="105" t="b">
        <v>0</v>
      </c>
      <c r="F199" s="86">
        <f>SUM(Scores[[#This Row],[Q1]:[Q28]])</f>
        <v>10</v>
      </c>
      <c r="G199" s="4">
        <f>SUM(Scores[[#This Row],[29]]:Scores[[#This Row],[30]])</f>
        <v>4</v>
      </c>
      <c r="H199" s="4">
        <f>SUM(Scores[[#This Row],[31]:[36]])</f>
        <v>4</v>
      </c>
      <c r="I199" s="4">
        <f>Scores[[#This Row],[37]]</f>
        <v>0.5</v>
      </c>
      <c r="J199" s="87">
        <f>INDEX('Conversion Chart'!$C$3:$M$47,MATCH(SUM(Scores[[#This Row],[MC]:[IIIA]]),'Conversion Chart'!$B$3:$B$47),MATCH(Scores[[#This Row],[IIIB]],'Conversion Chart'!$C$2:$M$2))</f>
        <v>51</v>
      </c>
      <c r="K199" s="103">
        <v>1</v>
      </c>
      <c r="L199" s="103">
        <v>2</v>
      </c>
      <c r="M199" s="103">
        <v>3</v>
      </c>
      <c r="N199" s="103">
        <v>1</v>
      </c>
      <c r="O199" s="103">
        <v>3</v>
      </c>
      <c r="P199" s="103">
        <v>2</v>
      </c>
      <c r="Q199" s="103">
        <v>3</v>
      </c>
      <c r="R199" s="103">
        <v>1</v>
      </c>
      <c r="S199" s="103">
        <v>3</v>
      </c>
      <c r="T199" s="103">
        <v>1</v>
      </c>
      <c r="U199" s="103">
        <v>1</v>
      </c>
      <c r="V199" s="103">
        <v>3</v>
      </c>
      <c r="W199" s="103">
        <v>2</v>
      </c>
      <c r="X199" s="103">
        <v>3</v>
      </c>
      <c r="Y199" s="103">
        <v>4</v>
      </c>
      <c r="Z199" s="103">
        <v>4</v>
      </c>
      <c r="AA199" s="103">
        <v>1</v>
      </c>
      <c r="AB199" s="103">
        <v>3</v>
      </c>
      <c r="AC199" s="103">
        <v>2</v>
      </c>
      <c r="AD199" s="103">
        <v>3</v>
      </c>
      <c r="AE199" s="103">
        <v>1</v>
      </c>
      <c r="AF199" s="103">
        <v>2</v>
      </c>
      <c r="AG199" s="103">
        <v>3</v>
      </c>
      <c r="AH199" s="103">
        <v>2</v>
      </c>
      <c r="AI199" s="103">
        <v>2</v>
      </c>
      <c r="AJ199" s="103">
        <v>4</v>
      </c>
      <c r="AK199" s="103">
        <v>2</v>
      </c>
      <c r="AL199" s="104">
        <v>3</v>
      </c>
      <c r="AM199" s="4">
        <v>3</v>
      </c>
      <c r="AN199" s="87">
        <v>1</v>
      </c>
      <c r="AO199" s="4">
        <v>1</v>
      </c>
      <c r="AP199" s="4">
        <v>0</v>
      </c>
      <c r="AQ199" s="4">
        <v>1</v>
      </c>
      <c r="AR199" s="4">
        <v>1</v>
      </c>
      <c r="AS199" s="4">
        <v>1</v>
      </c>
      <c r="AT199" s="4">
        <v>0</v>
      </c>
      <c r="AU199" s="107">
        <v>0.5</v>
      </c>
      <c r="AV199" s="4">
        <f>IF(K199=VLOOKUP(VALUE(K$1),Questions!$A:$E,5,FALSE),1,0)</f>
        <v>0</v>
      </c>
      <c r="AW199" s="4">
        <f>IF(L199=VLOOKUP(VALUE(L$1),Questions!$A:$E,5,FALSE),1,0)</f>
        <v>1</v>
      </c>
      <c r="AX199" s="4">
        <f>IF(M199=VLOOKUP(VALUE(M$1),Questions!$A:$E,5,FALSE),1,0)</f>
        <v>1</v>
      </c>
      <c r="AY199" s="4">
        <f>IF(N199=VLOOKUP(VALUE(N$1),Questions!$A:$E,5,FALSE),1,0)</f>
        <v>0</v>
      </c>
      <c r="AZ199" s="4">
        <f>IF(O199=VLOOKUP(VALUE(O$1),Questions!$A:$E,5,FALSE),1,0)</f>
        <v>0</v>
      </c>
      <c r="BA199" s="4">
        <f>IF(P199=VLOOKUP(VALUE(P$1),Questions!$A:$E,5,FALSE),1,0)</f>
        <v>0</v>
      </c>
      <c r="BB199" s="4">
        <f>IF(Q199=VLOOKUP(VALUE(Q$1),Questions!$A:$E,5,FALSE),1,0)</f>
        <v>1</v>
      </c>
      <c r="BC199" s="4">
        <f>IF(R199=VLOOKUP(VALUE(R$1),Questions!$A:$E,5,FALSE),1,0)</f>
        <v>0</v>
      </c>
      <c r="BD199" s="4">
        <f>IF(S199=VLOOKUP(VALUE(S$1),Questions!$A:$E,5,FALSE),1,0)</f>
        <v>0</v>
      </c>
      <c r="BE199" s="4">
        <f>IF(T199=VLOOKUP(VALUE(T$1),Questions!$A:$E,5,FALSE),1,0)</f>
        <v>1</v>
      </c>
      <c r="BF199" s="4">
        <f>IF(U199=VLOOKUP(VALUE(U$1),Questions!$A:$E,5,FALSE),1,0)</f>
        <v>0</v>
      </c>
      <c r="BG199" s="4">
        <f>IF(V199=VLOOKUP(VALUE(V$1),Questions!$A:$E,5,FALSE),1,0)</f>
        <v>0</v>
      </c>
      <c r="BH199" s="4">
        <f>IF(W199=VLOOKUP(VALUE(W$1),Questions!$A:$E,5,FALSE),1,0)</f>
        <v>1</v>
      </c>
      <c r="BI199" s="4">
        <f>IF(X199=VLOOKUP(VALUE(X$1),Questions!$A:$E,5,FALSE),1,0)</f>
        <v>0</v>
      </c>
      <c r="BJ199" s="4">
        <f>IF(Y199=VLOOKUP(VALUE(Y$1),Questions!$A:$E,5,FALSE),1,0)</f>
        <v>0</v>
      </c>
      <c r="BK199" s="4">
        <f>IF(Z199=VLOOKUP(VALUE(Z$1),Questions!$A:$E,5,FALSE),1,0)</f>
        <v>0</v>
      </c>
      <c r="BL199" s="4">
        <f>IF(AA199=VLOOKUP(VALUE(AA$1),Questions!$A:$E,5,FALSE),1,0)</f>
        <v>1</v>
      </c>
      <c r="BM199" s="4">
        <f>IF(AB199=VLOOKUP(VALUE(AB$1),Questions!$A:$E,5,FALSE),1,0)</f>
        <v>0</v>
      </c>
      <c r="BN199" s="4">
        <f>IF(AC199=VLOOKUP(VALUE(AC$1),Questions!$A:$E,5,FALSE),1,0)</f>
        <v>0</v>
      </c>
      <c r="BO199" s="4">
        <f>IF(AD199=VLOOKUP(VALUE(AD$1),Questions!$A:$E,5,FALSE),1,0)</f>
        <v>0</v>
      </c>
      <c r="BP199" s="4">
        <f>IF(AE199=VLOOKUP(VALUE(AE$1),Questions!$A:$E,5,FALSE),1,0)</f>
        <v>0</v>
      </c>
      <c r="BQ199" s="4">
        <f>IF(AF199=VLOOKUP(VALUE(AF$1),Questions!$A:$E,5,FALSE),1,0)</f>
        <v>1</v>
      </c>
      <c r="BR199" s="4">
        <f>IF(AG199=VLOOKUP(VALUE(AG$1),Questions!$A:$E,5,FALSE),1,0)</f>
        <v>1</v>
      </c>
      <c r="BS199" s="4">
        <f>IF(AH199=VLOOKUP(VALUE(AH$1),Questions!$A:$E,5,FALSE),1,0)</f>
        <v>0</v>
      </c>
      <c r="BT199" s="4">
        <f>IF(AI199=VLOOKUP(VALUE(AI$1),Questions!$A:$E,5,FALSE),1,0)</f>
        <v>0</v>
      </c>
      <c r="BU199" s="4">
        <f>IF(AJ199=VLOOKUP(VALUE(AJ$1),Questions!$A:$E,5,FALSE),1,0)</f>
        <v>1</v>
      </c>
      <c r="BV199" s="4">
        <f>IF(AK199=VLOOKUP(VALUE(AK$1),Questions!$A:$E,5,FALSE),1,0)</f>
        <v>0</v>
      </c>
      <c r="BW199" s="87">
        <f>IF(AL199=VLOOKUP(VALUE(AL$1),Questions!$A:$E,5,FALSE),1,0)</f>
        <v>1</v>
      </c>
      <c r="BX199" s="4">
        <f>IF(Scores[[#This Row],[Final]]&gt;=65,1,0)</f>
        <v>0</v>
      </c>
      <c r="BY199" s="4">
        <f>IF(Scores[[#This Row],[Final]]&gt;=IF(Scores[[#This Row],[IEP]],55,65),1,0)</f>
        <v>0</v>
      </c>
    </row>
    <row r="200" spans="1:77" x14ac:dyDescent="0.2">
      <c r="A200" s="6">
        <v>199</v>
      </c>
      <c r="B200" s="4">
        <v>9</v>
      </c>
      <c r="C200" s="4" t="s">
        <v>964</v>
      </c>
      <c r="D200" s="105" t="b">
        <v>0</v>
      </c>
      <c r="E200" s="105" t="b">
        <v>0</v>
      </c>
      <c r="F200" s="86">
        <f>SUM(Scores[[#This Row],[Q1]:[Q28]])</f>
        <v>0</v>
      </c>
      <c r="G200" s="4">
        <f>SUM(Scores[[#This Row],[29]]:Scores[[#This Row],[30]])</f>
        <v>0</v>
      </c>
      <c r="H200" s="4">
        <f>SUM(Scores[[#This Row],[31]:[36]])</f>
        <v>0</v>
      </c>
      <c r="I200" s="4">
        <f>Scores[[#This Row],[37]]</f>
        <v>0</v>
      </c>
      <c r="J200" s="87">
        <f>INDEX('Conversion Chart'!$C$3:$M$47,MATCH(SUM(Scores[[#This Row],[MC]:[IIIA]]),'Conversion Chart'!$B$3:$B$47),MATCH(Scores[[#This Row],[IIIB]],'Conversion Chart'!$C$2:$M$2))</f>
        <v>0</v>
      </c>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4"/>
      <c r="AN200" s="87"/>
      <c r="AU200" s="107"/>
      <c r="AV200" s="4">
        <f>IF(K200=VLOOKUP(VALUE(K$1),Questions!$A:$E,5,FALSE),1,0)</f>
        <v>0</v>
      </c>
      <c r="AW200" s="4">
        <f>IF(L200=VLOOKUP(VALUE(L$1),Questions!$A:$E,5,FALSE),1,0)</f>
        <v>0</v>
      </c>
      <c r="AX200" s="4">
        <f>IF(M200=VLOOKUP(VALUE(M$1),Questions!$A:$E,5,FALSE),1,0)</f>
        <v>0</v>
      </c>
      <c r="AY200" s="4">
        <f>IF(N200=VLOOKUP(VALUE(N$1),Questions!$A:$E,5,FALSE),1,0)</f>
        <v>0</v>
      </c>
      <c r="AZ200" s="4">
        <f>IF(O200=VLOOKUP(VALUE(O$1),Questions!$A:$E,5,FALSE),1,0)</f>
        <v>0</v>
      </c>
      <c r="BA200" s="4">
        <f>IF(P200=VLOOKUP(VALUE(P$1),Questions!$A:$E,5,FALSE),1,0)</f>
        <v>0</v>
      </c>
      <c r="BB200" s="4">
        <f>IF(Q200=VLOOKUP(VALUE(Q$1),Questions!$A:$E,5,FALSE),1,0)</f>
        <v>0</v>
      </c>
      <c r="BC200" s="4">
        <f>IF(R200=VLOOKUP(VALUE(R$1),Questions!$A:$E,5,FALSE),1,0)</f>
        <v>0</v>
      </c>
      <c r="BD200" s="4">
        <f>IF(S200=VLOOKUP(VALUE(S$1),Questions!$A:$E,5,FALSE),1,0)</f>
        <v>0</v>
      </c>
      <c r="BE200" s="4">
        <f>IF(T200=VLOOKUP(VALUE(T$1),Questions!$A:$E,5,FALSE),1,0)</f>
        <v>0</v>
      </c>
      <c r="BF200" s="4">
        <f>IF(U200=VLOOKUP(VALUE(U$1),Questions!$A:$E,5,FALSE),1,0)</f>
        <v>0</v>
      </c>
      <c r="BG200" s="4">
        <f>IF(V200=VLOOKUP(VALUE(V$1),Questions!$A:$E,5,FALSE),1,0)</f>
        <v>0</v>
      </c>
      <c r="BH200" s="4">
        <f>IF(W200=VLOOKUP(VALUE(W$1),Questions!$A:$E,5,FALSE),1,0)</f>
        <v>0</v>
      </c>
      <c r="BI200" s="4">
        <f>IF(X200=VLOOKUP(VALUE(X$1),Questions!$A:$E,5,FALSE),1,0)</f>
        <v>0</v>
      </c>
      <c r="BJ200" s="4">
        <f>IF(Y200=VLOOKUP(VALUE(Y$1),Questions!$A:$E,5,FALSE),1,0)</f>
        <v>0</v>
      </c>
      <c r="BK200" s="4">
        <f>IF(Z200=VLOOKUP(VALUE(Z$1),Questions!$A:$E,5,FALSE),1,0)</f>
        <v>0</v>
      </c>
      <c r="BL200" s="4">
        <f>IF(AA200=VLOOKUP(VALUE(AA$1),Questions!$A:$E,5,FALSE),1,0)</f>
        <v>0</v>
      </c>
      <c r="BM200" s="4">
        <f>IF(AB200=VLOOKUP(VALUE(AB$1),Questions!$A:$E,5,FALSE),1,0)</f>
        <v>0</v>
      </c>
      <c r="BN200" s="4">
        <f>IF(AC200=VLOOKUP(VALUE(AC$1),Questions!$A:$E,5,FALSE),1,0)</f>
        <v>0</v>
      </c>
      <c r="BO200" s="4">
        <f>IF(AD200=VLOOKUP(VALUE(AD$1),Questions!$A:$E,5,FALSE),1,0)</f>
        <v>0</v>
      </c>
      <c r="BP200" s="4">
        <f>IF(AE200=VLOOKUP(VALUE(AE$1),Questions!$A:$E,5,FALSE),1,0)</f>
        <v>0</v>
      </c>
      <c r="BQ200" s="4">
        <f>IF(AF200=VLOOKUP(VALUE(AF$1),Questions!$A:$E,5,FALSE),1,0)</f>
        <v>0</v>
      </c>
      <c r="BR200" s="4">
        <f>IF(AG200=VLOOKUP(VALUE(AG$1),Questions!$A:$E,5,FALSE),1,0)</f>
        <v>0</v>
      </c>
      <c r="BS200" s="4">
        <f>IF(AH200=VLOOKUP(VALUE(AH$1),Questions!$A:$E,5,FALSE),1,0)</f>
        <v>0</v>
      </c>
      <c r="BT200" s="4">
        <f>IF(AI200=VLOOKUP(VALUE(AI$1),Questions!$A:$E,5,FALSE),1,0)</f>
        <v>0</v>
      </c>
      <c r="BU200" s="4">
        <f>IF(AJ200=VLOOKUP(VALUE(AJ$1),Questions!$A:$E,5,FALSE),1,0)</f>
        <v>0</v>
      </c>
      <c r="BV200" s="4">
        <f>IF(AK200=VLOOKUP(VALUE(AK$1),Questions!$A:$E,5,FALSE),1,0)</f>
        <v>0</v>
      </c>
      <c r="BW200" s="87">
        <f>IF(AL200=VLOOKUP(VALUE(AL$1),Questions!$A:$E,5,FALSE),1,0)</f>
        <v>0</v>
      </c>
      <c r="BX200" s="4">
        <f>IF(Scores[[#This Row],[Final]]&gt;=65,1,0)</f>
        <v>0</v>
      </c>
      <c r="BY200" s="4">
        <f>IF(Scores[[#This Row],[Final]]&gt;=IF(Scores[[#This Row],[IEP]],55,65),1,0)</f>
        <v>0</v>
      </c>
    </row>
    <row r="201" spans="1:77" x14ac:dyDescent="0.2">
      <c r="A201" s="6">
        <v>200</v>
      </c>
      <c r="B201" s="4">
        <v>9</v>
      </c>
      <c r="C201" s="4" t="s">
        <v>964</v>
      </c>
      <c r="D201" s="105" t="b">
        <v>0</v>
      </c>
      <c r="E201" s="105" t="b">
        <v>0</v>
      </c>
      <c r="F201" s="86">
        <f>SUM(Scores[[#This Row],[Q1]:[Q28]])</f>
        <v>17</v>
      </c>
      <c r="G201" s="4">
        <f>SUM(Scores[[#This Row],[29]]:Scores[[#This Row],[30]])</f>
        <v>3</v>
      </c>
      <c r="H201" s="4">
        <f>SUM(Scores[[#This Row],[31]:[36]])</f>
        <v>4</v>
      </c>
      <c r="I201" s="4">
        <f>Scores[[#This Row],[37]]</f>
        <v>2</v>
      </c>
      <c r="J201" s="87">
        <f>INDEX('Conversion Chart'!$C$3:$M$47,MATCH(SUM(Scores[[#This Row],[MC]:[IIIA]]),'Conversion Chart'!$B$3:$B$47),MATCH(Scores[[#This Row],[IIIB]],'Conversion Chart'!$C$2:$M$2))</f>
        <v>67</v>
      </c>
      <c r="K201" s="103">
        <v>4</v>
      </c>
      <c r="L201" s="103">
        <v>2</v>
      </c>
      <c r="M201" s="103">
        <v>3</v>
      </c>
      <c r="N201" s="103">
        <v>1</v>
      </c>
      <c r="O201" s="103">
        <v>2</v>
      </c>
      <c r="P201" s="103">
        <v>3</v>
      </c>
      <c r="Q201" s="103">
        <v>3</v>
      </c>
      <c r="R201" s="103">
        <v>1</v>
      </c>
      <c r="S201" s="103">
        <v>3</v>
      </c>
      <c r="T201" s="103">
        <v>2</v>
      </c>
      <c r="U201" s="103">
        <v>2</v>
      </c>
      <c r="V201" s="103">
        <v>3</v>
      </c>
      <c r="W201" s="103">
        <v>2</v>
      </c>
      <c r="X201" s="103">
        <v>4</v>
      </c>
      <c r="Y201" s="103">
        <v>4</v>
      </c>
      <c r="Z201" s="103">
        <v>1</v>
      </c>
      <c r="AA201" s="103">
        <v>1</v>
      </c>
      <c r="AB201" s="103">
        <v>4</v>
      </c>
      <c r="AC201" s="103">
        <v>3</v>
      </c>
      <c r="AD201" s="103">
        <v>4</v>
      </c>
      <c r="AE201" s="103">
        <v>2</v>
      </c>
      <c r="AF201" s="103">
        <v>2</v>
      </c>
      <c r="AG201" s="103">
        <v>3</v>
      </c>
      <c r="AH201" s="103">
        <v>2</v>
      </c>
      <c r="AI201" s="103">
        <v>4</v>
      </c>
      <c r="AJ201" s="103">
        <v>4</v>
      </c>
      <c r="AK201" s="103">
        <v>4</v>
      </c>
      <c r="AL201" s="104">
        <v>3</v>
      </c>
      <c r="AM201" s="4">
        <v>2</v>
      </c>
      <c r="AN201" s="87">
        <v>1</v>
      </c>
      <c r="AO201" s="4">
        <v>0</v>
      </c>
      <c r="AP201" s="4">
        <v>1</v>
      </c>
      <c r="AQ201" s="4">
        <v>0</v>
      </c>
      <c r="AR201" s="4">
        <v>1</v>
      </c>
      <c r="AS201" s="4">
        <v>1</v>
      </c>
      <c r="AT201" s="4">
        <v>1</v>
      </c>
      <c r="AU201" s="107">
        <v>2</v>
      </c>
      <c r="AV201" s="4">
        <f>IF(K201=VLOOKUP(VALUE(K$1),Questions!$A:$E,5,FALSE),1,0)</f>
        <v>1</v>
      </c>
      <c r="AW201" s="4">
        <f>IF(L201=VLOOKUP(VALUE(L$1),Questions!$A:$E,5,FALSE),1,0)</f>
        <v>1</v>
      </c>
      <c r="AX201" s="4">
        <f>IF(M201=VLOOKUP(VALUE(M$1),Questions!$A:$E,5,FALSE),1,0)</f>
        <v>1</v>
      </c>
      <c r="AY201" s="4">
        <f>IF(N201=VLOOKUP(VALUE(N$1),Questions!$A:$E,5,FALSE),1,0)</f>
        <v>0</v>
      </c>
      <c r="AZ201" s="4">
        <f>IF(O201=VLOOKUP(VALUE(O$1),Questions!$A:$E,5,FALSE),1,0)</f>
        <v>0</v>
      </c>
      <c r="BA201" s="4">
        <f>IF(P201=VLOOKUP(VALUE(P$1),Questions!$A:$E,5,FALSE),1,0)</f>
        <v>0</v>
      </c>
      <c r="BB201" s="4">
        <f>IF(Q201=VLOOKUP(VALUE(Q$1),Questions!$A:$E,5,FALSE),1,0)</f>
        <v>1</v>
      </c>
      <c r="BC201" s="4">
        <f>IF(R201=VLOOKUP(VALUE(R$1),Questions!$A:$E,5,FALSE),1,0)</f>
        <v>0</v>
      </c>
      <c r="BD201" s="4">
        <f>IF(S201=VLOOKUP(VALUE(S$1),Questions!$A:$E,5,FALSE),1,0)</f>
        <v>0</v>
      </c>
      <c r="BE201" s="4">
        <f>IF(T201=VLOOKUP(VALUE(T$1),Questions!$A:$E,5,FALSE),1,0)</f>
        <v>0</v>
      </c>
      <c r="BF201" s="4">
        <f>IF(U201=VLOOKUP(VALUE(U$1),Questions!$A:$E,5,FALSE),1,0)</f>
        <v>1</v>
      </c>
      <c r="BG201" s="4">
        <f>IF(V201=VLOOKUP(VALUE(V$1),Questions!$A:$E,5,FALSE),1,0)</f>
        <v>0</v>
      </c>
      <c r="BH201" s="4">
        <f>IF(W201=VLOOKUP(VALUE(W$1),Questions!$A:$E,5,FALSE),1,0)</f>
        <v>1</v>
      </c>
      <c r="BI201" s="4">
        <f>IF(X201=VLOOKUP(VALUE(X$1),Questions!$A:$E,5,FALSE),1,0)</f>
        <v>1</v>
      </c>
      <c r="BJ201" s="4">
        <f>IF(Y201=VLOOKUP(VALUE(Y$1),Questions!$A:$E,5,FALSE),1,0)</f>
        <v>0</v>
      </c>
      <c r="BK201" s="4">
        <f>IF(Z201=VLOOKUP(VALUE(Z$1),Questions!$A:$E,5,FALSE),1,0)</f>
        <v>1</v>
      </c>
      <c r="BL201" s="4">
        <f>IF(AA201=VLOOKUP(VALUE(AA$1),Questions!$A:$E,5,FALSE),1,0)</f>
        <v>1</v>
      </c>
      <c r="BM201" s="4">
        <f>IF(AB201=VLOOKUP(VALUE(AB$1),Questions!$A:$E,5,FALSE),1,0)</f>
        <v>1</v>
      </c>
      <c r="BN201" s="4">
        <f>IF(AC201=VLOOKUP(VALUE(AC$1),Questions!$A:$E,5,FALSE),1,0)</f>
        <v>1</v>
      </c>
      <c r="BO201" s="4">
        <f>IF(AD201=VLOOKUP(VALUE(AD$1),Questions!$A:$E,5,FALSE),1,0)</f>
        <v>1</v>
      </c>
      <c r="BP201" s="4">
        <f>IF(AE201=VLOOKUP(VALUE(AE$1),Questions!$A:$E,5,FALSE),1,0)</f>
        <v>1</v>
      </c>
      <c r="BQ201" s="4">
        <f>IF(AF201=VLOOKUP(VALUE(AF$1),Questions!$A:$E,5,FALSE),1,0)</f>
        <v>1</v>
      </c>
      <c r="BR201" s="4">
        <f>IF(AG201=VLOOKUP(VALUE(AG$1),Questions!$A:$E,5,FALSE),1,0)</f>
        <v>1</v>
      </c>
      <c r="BS201" s="4">
        <f>IF(AH201=VLOOKUP(VALUE(AH$1),Questions!$A:$E,5,FALSE),1,0)</f>
        <v>0</v>
      </c>
      <c r="BT201" s="4">
        <f>IF(AI201=VLOOKUP(VALUE(AI$1),Questions!$A:$E,5,FALSE),1,0)</f>
        <v>0</v>
      </c>
      <c r="BU201" s="4">
        <f>IF(AJ201=VLOOKUP(VALUE(AJ$1),Questions!$A:$E,5,FALSE),1,0)</f>
        <v>1</v>
      </c>
      <c r="BV201" s="4">
        <f>IF(AK201=VLOOKUP(VALUE(AK$1),Questions!$A:$E,5,FALSE),1,0)</f>
        <v>0</v>
      </c>
      <c r="BW201" s="87">
        <f>IF(AL201=VLOOKUP(VALUE(AL$1),Questions!$A:$E,5,FALSE),1,0)</f>
        <v>1</v>
      </c>
      <c r="BX201" s="4">
        <f>IF(Scores[[#This Row],[Final]]&gt;=65,1,0)</f>
        <v>1</v>
      </c>
      <c r="BY201" s="4">
        <f>IF(Scores[[#This Row],[Final]]&gt;=IF(Scores[[#This Row],[IEP]],55,65),1,0)</f>
        <v>1</v>
      </c>
    </row>
    <row r="202" spans="1:77" x14ac:dyDescent="0.2">
      <c r="A202" s="6">
        <v>201</v>
      </c>
      <c r="B202" s="4">
        <v>9</v>
      </c>
      <c r="C202" s="4" t="s">
        <v>963</v>
      </c>
      <c r="D202" s="105" t="b">
        <v>0</v>
      </c>
      <c r="E202" s="105" t="b">
        <v>0</v>
      </c>
      <c r="F202" s="86">
        <f>SUM(Scores[[#This Row],[Q1]:[Q28]])</f>
        <v>16</v>
      </c>
      <c r="G202" s="4">
        <f>SUM(Scores[[#This Row],[29]]:Scores[[#This Row],[30]])</f>
        <v>4</v>
      </c>
      <c r="H202" s="4">
        <f>SUM(Scores[[#This Row],[31]:[36]])</f>
        <v>6</v>
      </c>
      <c r="I202" s="4">
        <f>Scores[[#This Row],[37]]</f>
        <v>1</v>
      </c>
      <c r="J202" s="87">
        <f>INDEX('Conversion Chart'!$C$3:$M$47,MATCH(SUM(Scores[[#This Row],[MC]:[IIIA]]),'Conversion Chart'!$B$3:$B$47),MATCH(Scores[[#This Row],[IIIB]],'Conversion Chart'!$C$2:$M$2))</f>
        <v>66</v>
      </c>
      <c r="K202" s="103">
        <v>4</v>
      </c>
      <c r="L202" s="103">
        <v>2</v>
      </c>
      <c r="M202" s="103">
        <v>3</v>
      </c>
      <c r="N202" s="103">
        <v>3</v>
      </c>
      <c r="O202" s="103">
        <v>1</v>
      </c>
      <c r="P202" s="103">
        <v>4</v>
      </c>
      <c r="Q202" s="103">
        <v>4</v>
      </c>
      <c r="R202" s="103">
        <v>2</v>
      </c>
      <c r="S202" s="103">
        <v>3</v>
      </c>
      <c r="T202" s="103">
        <v>1</v>
      </c>
      <c r="U202" s="103">
        <v>2</v>
      </c>
      <c r="V202" s="103">
        <v>3</v>
      </c>
      <c r="W202" s="103">
        <v>2</v>
      </c>
      <c r="X202" s="103">
        <v>4</v>
      </c>
      <c r="Y202" s="103">
        <v>1</v>
      </c>
      <c r="Z202" s="103">
        <v>4</v>
      </c>
      <c r="AA202" s="103">
        <v>1</v>
      </c>
      <c r="AB202" s="103">
        <v>3</v>
      </c>
      <c r="AC202" s="103">
        <v>2</v>
      </c>
      <c r="AD202" s="103">
        <v>3</v>
      </c>
      <c r="AE202" s="103">
        <v>2</v>
      </c>
      <c r="AF202" s="103">
        <v>1</v>
      </c>
      <c r="AG202" s="103">
        <v>3</v>
      </c>
      <c r="AH202" s="103">
        <v>4</v>
      </c>
      <c r="AI202" s="103">
        <v>1</v>
      </c>
      <c r="AJ202" s="103">
        <v>2</v>
      </c>
      <c r="AK202" s="103">
        <v>1</v>
      </c>
      <c r="AL202" s="104">
        <v>2</v>
      </c>
      <c r="AM202" s="4">
        <v>2</v>
      </c>
      <c r="AN202" s="87">
        <v>2</v>
      </c>
      <c r="AO202" s="4">
        <v>1</v>
      </c>
      <c r="AP202" s="4">
        <v>1</v>
      </c>
      <c r="AQ202" s="4">
        <v>1</v>
      </c>
      <c r="AR202" s="4">
        <v>1</v>
      </c>
      <c r="AS202" s="4">
        <v>1</v>
      </c>
      <c r="AT202" s="4">
        <v>1</v>
      </c>
      <c r="AU202" s="107">
        <v>1</v>
      </c>
      <c r="AV202" s="4">
        <f>IF(K202=VLOOKUP(VALUE(K$1),Questions!$A:$E,5,FALSE),1,0)</f>
        <v>1</v>
      </c>
      <c r="AW202" s="4">
        <f>IF(L202=VLOOKUP(VALUE(L$1),Questions!$A:$E,5,FALSE),1,0)</f>
        <v>1</v>
      </c>
      <c r="AX202" s="4">
        <f>IF(M202=VLOOKUP(VALUE(M$1),Questions!$A:$E,5,FALSE),1,0)</f>
        <v>1</v>
      </c>
      <c r="AY202" s="4">
        <f>IF(N202=VLOOKUP(VALUE(N$1),Questions!$A:$E,5,FALSE),1,0)</f>
        <v>1</v>
      </c>
      <c r="AZ202" s="4">
        <f>IF(O202=VLOOKUP(VALUE(O$1),Questions!$A:$E,5,FALSE),1,0)</f>
        <v>1</v>
      </c>
      <c r="BA202" s="4">
        <f>IF(P202=VLOOKUP(VALUE(P$1),Questions!$A:$E,5,FALSE),1,0)</f>
        <v>1</v>
      </c>
      <c r="BB202" s="4">
        <f>IF(Q202=VLOOKUP(VALUE(Q$1),Questions!$A:$E,5,FALSE),1,0)</f>
        <v>0</v>
      </c>
      <c r="BC202" s="4">
        <f>IF(R202=VLOOKUP(VALUE(R$1),Questions!$A:$E,5,FALSE),1,0)</f>
        <v>1</v>
      </c>
      <c r="BD202" s="4">
        <f>IF(S202=VLOOKUP(VALUE(S$1),Questions!$A:$E,5,FALSE),1,0)</f>
        <v>0</v>
      </c>
      <c r="BE202" s="4">
        <f>IF(T202=VLOOKUP(VALUE(T$1),Questions!$A:$E,5,FALSE),1,0)</f>
        <v>1</v>
      </c>
      <c r="BF202" s="4">
        <f>IF(U202=VLOOKUP(VALUE(U$1),Questions!$A:$E,5,FALSE),1,0)</f>
        <v>1</v>
      </c>
      <c r="BG202" s="4">
        <f>IF(V202=VLOOKUP(VALUE(V$1),Questions!$A:$E,5,FALSE),1,0)</f>
        <v>0</v>
      </c>
      <c r="BH202" s="4">
        <f>IF(W202=VLOOKUP(VALUE(W$1),Questions!$A:$E,5,FALSE),1,0)</f>
        <v>1</v>
      </c>
      <c r="BI202" s="4">
        <f>IF(X202=VLOOKUP(VALUE(X$1),Questions!$A:$E,5,FALSE),1,0)</f>
        <v>1</v>
      </c>
      <c r="BJ202" s="4">
        <f>IF(Y202=VLOOKUP(VALUE(Y$1),Questions!$A:$E,5,FALSE),1,0)</f>
        <v>0</v>
      </c>
      <c r="BK202" s="4">
        <f>IF(Z202=VLOOKUP(VALUE(Z$1),Questions!$A:$E,5,FALSE),1,0)</f>
        <v>0</v>
      </c>
      <c r="BL202" s="4">
        <f>IF(AA202=VLOOKUP(VALUE(AA$1),Questions!$A:$E,5,FALSE),1,0)</f>
        <v>1</v>
      </c>
      <c r="BM202" s="4">
        <f>IF(AB202=VLOOKUP(VALUE(AB$1),Questions!$A:$E,5,FALSE),1,0)</f>
        <v>0</v>
      </c>
      <c r="BN202" s="4">
        <f>IF(AC202=VLOOKUP(VALUE(AC$1),Questions!$A:$E,5,FALSE),1,0)</f>
        <v>0</v>
      </c>
      <c r="BO202" s="4">
        <f>IF(AD202=VLOOKUP(VALUE(AD$1),Questions!$A:$E,5,FALSE),1,0)</f>
        <v>0</v>
      </c>
      <c r="BP202" s="4">
        <f>IF(AE202=VLOOKUP(VALUE(AE$1),Questions!$A:$E,5,FALSE),1,0)</f>
        <v>1</v>
      </c>
      <c r="BQ202" s="4">
        <f>IF(AF202=VLOOKUP(VALUE(AF$1),Questions!$A:$E,5,FALSE),1,0)</f>
        <v>0</v>
      </c>
      <c r="BR202" s="4">
        <f>IF(AG202=VLOOKUP(VALUE(AG$1),Questions!$A:$E,5,FALSE),1,0)</f>
        <v>1</v>
      </c>
      <c r="BS202" s="4">
        <f>IF(AH202=VLOOKUP(VALUE(AH$1),Questions!$A:$E,5,FALSE),1,0)</f>
        <v>0</v>
      </c>
      <c r="BT202" s="4">
        <f>IF(AI202=VLOOKUP(VALUE(AI$1),Questions!$A:$E,5,FALSE),1,0)</f>
        <v>1</v>
      </c>
      <c r="BU202" s="4">
        <f>IF(AJ202=VLOOKUP(VALUE(AJ$1),Questions!$A:$E,5,FALSE),1,0)</f>
        <v>0</v>
      </c>
      <c r="BV202" s="4">
        <f>IF(AK202=VLOOKUP(VALUE(AK$1),Questions!$A:$E,5,FALSE),1,0)</f>
        <v>1</v>
      </c>
      <c r="BW202" s="87">
        <f>IF(AL202=VLOOKUP(VALUE(AL$1),Questions!$A:$E,5,FALSE),1,0)</f>
        <v>0</v>
      </c>
      <c r="BX202" s="4">
        <f>IF(Scores[[#This Row],[Final]]&gt;=65,1,0)</f>
        <v>1</v>
      </c>
      <c r="BY202" s="4">
        <f>IF(Scores[[#This Row],[Final]]&gt;=IF(Scores[[#This Row],[IEP]],55,65),1,0)</f>
        <v>1</v>
      </c>
    </row>
    <row r="203" spans="1:77" x14ac:dyDescent="0.2">
      <c r="A203" s="6">
        <v>202</v>
      </c>
      <c r="B203" s="4">
        <v>11</v>
      </c>
      <c r="C203" s="4" t="s">
        <v>962</v>
      </c>
      <c r="D203" s="105" t="b">
        <v>0</v>
      </c>
      <c r="E203" s="105" t="b">
        <v>1</v>
      </c>
      <c r="F203" s="86">
        <f>SUM(Scores[[#This Row],[Q1]:[Q28]])</f>
        <v>8</v>
      </c>
      <c r="G203" s="4">
        <f>SUM(Scores[[#This Row],[29]]:Scores[[#This Row],[30]])</f>
        <v>2</v>
      </c>
      <c r="H203" s="4">
        <f>SUM(Scores[[#This Row],[31]:[36]])</f>
        <v>4</v>
      </c>
      <c r="I203" s="4">
        <f>Scores[[#This Row],[37]]</f>
        <v>1</v>
      </c>
      <c r="J203" s="87">
        <f>INDEX('Conversion Chart'!$C$3:$M$47,MATCH(SUM(Scores[[#This Row],[MC]:[IIIA]]),'Conversion Chart'!$B$3:$B$47),MATCH(Scores[[#This Row],[IIIB]],'Conversion Chart'!$C$2:$M$2))</f>
        <v>46</v>
      </c>
      <c r="K203" s="103">
        <v>3</v>
      </c>
      <c r="L203" s="103">
        <v>1</v>
      </c>
      <c r="M203" s="103">
        <v>3</v>
      </c>
      <c r="N203" s="103">
        <v>1</v>
      </c>
      <c r="O203" s="103">
        <v>4</v>
      </c>
      <c r="P203" s="103">
        <v>1</v>
      </c>
      <c r="Q203" s="103">
        <v>4</v>
      </c>
      <c r="R203" s="103">
        <v>2</v>
      </c>
      <c r="S203" s="103">
        <v>2</v>
      </c>
      <c r="T203" s="103">
        <v>3</v>
      </c>
      <c r="U203" s="103">
        <v>4</v>
      </c>
      <c r="V203" s="103">
        <v>4</v>
      </c>
      <c r="W203" s="103">
        <v>1</v>
      </c>
      <c r="X203" s="103">
        <v>4</v>
      </c>
      <c r="Y203" s="103">
        <v>4</v>
      </c>
      <c r="Z203" s="103">
        <v>3</v>
      </c>
      <c r="AA203" s="103">
        <v>1</v>
      </c>
      <c r="AB203" s="103">
        <v>3</v>
      </c>
      <c r="AC203" s="103">
        <v>3</v>
      </c>
      <c r="AD203" s="103">
        <v>2</v>
      </c>
      <c r="AE203" s="103">
        <v>4</v>
      </c>
      <c r="AF203" s="103">
        <v>1</v>
      </c>
      <c r="AG203" s="103">
        <v>2</v>
      </c>
      <c r="AH203" s="103">
        <v>2</v>
      </c>
      <c r="AI203" s="103">
        <v>4</v>
      </c>
      <c r="AJ203" s="103">
        <v>4</v>
      </c>
      <c r="AK203" s="103">
        <v>2</v>
      </c>
      <c r="AL203" s="104">
        <v>4</v>
      </c>
      <c r="AM203" s="4">
        <v>1</v>
      </c>
      <c r="AN203" s="87">
        <v>1</v>
      </c>
      <c r="AO203" s="4">
        <v>1</v>
      </c>
      <c r="AP203" s="4">
        <v>1</v>
      </c>
      <c r="AQ203" s="4">
        <v>1</v>
      </c>
      <c r="AR203" s="4">
        <v>0</v>
      </c>
      <c r="AS203" s="4">
        <v>0</v>
      </c>
      <c r="AT203" s="4">
        <v>1</v>
      </c>
      <c r="AU203" s="107">
        <v>1</v>
      </c>
      <c r="AV203" s="4">
        <f>IF(K203=VLOOKUP(VALUE(K$1),Questions!$A:$E,5,FALSE),1,0)</f>
        <v>0</v>
      </c>
      <c r="AW203" s="4">
        <f>IF(L203=VLOOKUP(VALUE(L$1),Questions!$A:$E,5,FALSE),1,0)</f>
        <v>0</v>
      </c>
      <c r="AX203" s="4">
        <f>IF(M203=VLOOKUP(VALUE(M$1),Questions!$A:$E,5,FALSE),1,0)</f>
        <v>1</v>
      </c>
      <c r="AY203" s="4">
        <f>IF(N203=VLOOKUP(VALUE(N$1),Questions!$A:$E,5,FALSE),1,0)</f>
        <v>0</v>
      </c>
      <c r="AZ203" s="4">
        <f>IF(O203=VLOOKUP(VALUE(O$1),Questions!$A:$E,5,FALSE),1,0)</f>
        <v>0</v>
      </c>
      <c r="BA203" s="4">
        <f>IF(P203=VLOOKUP(VALUE(P$1),Questions!$A:$E,5,FALSE),1,0)</f>
        <v>0</v>
      </c>
      <c r="BB203" s="4">
        <f>IF(Q203=VLOOKUP(VALUE(Q$1),Questions!$A:$E,5,FALSE),1,0)</f>
        <v>0</v>
      </c>
      <c r="BC203" s="4">
        <f>IF(R203=VLOOKUP(VALUE(R$1),Questions!$A:$E,5,FALSE),1,0)</f>
        <v>1</v>
      </c>
      <c r="BD203" s="4">
        <f>IF(S203=VLOOKUP(VALUE(S$1),Questions!$A:$E,5,FALSE),1,0)</f>
        <v>1</v>
      </c>
      <c r="BE203" s="4">
        <f>IF(T203=VLOOKUP(VALUE(T$1),Questions!$A:$E,5,FALSE),1,0)</f>
        <v>0</v>
      </c>
      <c r="BF203" s="4">
        <f>IF(U203=VLOOKUP(VALUE(U$1),Questions!$A:$E,5,FALSE),1,0)</f>
        <v>0</v>
      </c>
      <c r="BG203" s="4">
        <f>IF(V203=VLOOKUP(VALUE(V$1),Questions!$A:$E,5,FALSE),1,0)</f>
        <v>1</v>
      </c>
      <c r="BH203" s="4">
        <f>IF(W203=VLOOKUP(VALUE(W$1),Questions!$A:$E,5,FALSE),1,0)</f>
        <v>0</v>
      </c>
      <c r="BI203" s="4">
        <f>IF(X203=VLOOKUP(VALUE(X$1),Questions!$A:$E,5,FALSE),1,0)</f>
        <v>1</v>
      </c>
      <c r="BJ203" s="4">
        <f>IF(Y203=VLOOKUP(VALUE(Y$1),Questions!$A:$E,5,FALSE),1,0)</f>
        <v>0</v>
      </c>
      <c r="BK203" s="4">
        <f>IF(Z203=VLOOKUP(VALUE(Z$1),Questions!$A:$E,5,FALSE),1,0)</f>
        <v>0</v>
      </c>
      <c r="BL203" s="4">
        <f>IF(AA203=VLOOKUP(VALUE(AA$1),Questions!$A:$E,5,FALSE),1,0)</f>
        <v>1</v>
      </c>
      <c r="BM203" s="4">
        <f>IF(AB203=VLOOKUP(VALUE(AB$1),Questions!$A:$E,5,FALSE),1,0)</f>
        <v>0</v>
      </c>
      <c r="BN203" s="4">
        <f>IF(AC203=VLOOKUP(VALUE(AC$1),Questions!$A:$E,5,FALSE),1,0)</f>
        <v>1</v>
      </c>
      <c r="BO203" s="4">
        <f>IF(AD203=VLOOKUP(VALUE(AD$1),Questions!$A:$E,5,FALSE),1,0)</f>
        <v>0</v>
      </c>
      <c r="BP203" s="4">
        <f>IF(AE203=VLOOKUP(VALUE(AE$1),Questions!$A:$E,5,FALSE),1,0)</f>
        <v>0</v>
      </c>
      <c r="BQ203" s="4">
        <f>IF(AF203=VLOOKUP(VALUE(AF$1),Questions!$A:$E,5,FALSE),1,0)</f>
        <v>0</v>
      </c>
      <c r="BR203" s="4">
        <f>IF(AG203=VLOOKUP(VALUE(AG$1),Questions!$A:$E,5,FALSE),1,0)</f>
        <v>0</v>
      </c>
      <c r="BS203" s="4">
        <f>IF(AH203=VLOOKUP(VALUE(AH$1),Questions!$A:$E,5,FALSE),1,0)</f>
        <v>0</v>
      </c>
      <c r="BT203" s="4">
        <f>IF(AI203=VLOOKUP(VALUE(AI$1),Questions!$A:$E,5,FALSE),1,0)</f>
        <v>0</v>
      </c>
      <c r="BU203" s="4">
        <f>IF(AJ203=VLOOKUP(VALUE(AJ$1),Questions!$A:$E,5,FALSE),1,0)</f>
        <v>1</v>
      </c>
      <c r="BV203" s="4">
        <f>IF(AK203=VLOOKUP(VALUE(AK$1),Questions!$A:$E,5,FALSE),1,0)</f>
        <v>0</v>
      </c>
      <c r="BW203" s="87">
        <f>IF(AL203=VLOOKUP(VALUE(AL$1),Questions!$A:$E,5,FALSE),1,0)</f>
        <v>0</v>
      </c>
      <c r="BX203" s="4">
        <f>IF(Scores[[#This Row],[Final]]&gt;=65,1,0)</f>
        <v>0</v>
      </c>
      <c r="BY203" s="4">
        <f>IF(Scores[[#This Row],[Final]]&gt;=IF(Scores[[#This Row],[IEP]],55,65),1,0)</f>
        <v>0</v>
      </c>
    </row>
    <row r="204" spans="1:77" x14ac:dyDescent="0.2">
      <c r="A204" s="6">
        <v>203</v>
      </c>
      <c r="B204" s="4">
        <v>9</v>
      </c>
      <c r="C204" s="4" t="s">
        <v>964</v>
      </c>
      <c r="D204" s="105" t="b">
        <v>0</v>
      </c>
      <c r="E204" s="105" t="b">
        <v>0</v>
      </c>
      <c r="F204" s="86">
        <f>SUM(Scores[[#This Row],[Q1]:[Q28]])</f>
        <v>13</v>
      </c>
      <c r="G204" s="4">
        <f>SUM(Scores[[#This Row],[29]]:Scores[[#This Row],[30]])</f>
        <v>3</v>
      </c>
      <c r="H204" s="4">
        <f>SUM(Scores[[#This Row],[31]:[36]])</f>
        <v>6</v>
      </c>
      <c r="I204" s="4">
        <f>Scores[[#This Row],[37]]</f>
        <v>1</v>
      </c>
      <c r="J204" s="87">
        <f>INDEX('Conversion Chart'!$C$3:$M$47,MATCH(SUM(Scores[[#This Row],[MC]:[IIIA]]),'Conversion Chart'!$B$3:$B$47),MATCH(Scores[[#This Row],[IIIB]],'Conversion Chart'!$C$2:$M$2))</f>
        <v>60</v>
      </c>
      <c r="K204" s="103">
        <v>4</v>
      </c>
      <c r="L204" s="103">
        <v>1</v>
      </c>
      <c r="M204" s="103">
        <v>3</v>
      </c>
      <c r="N204" s="103">
        <v>1</v>
      </c>
      <c r="O204" s="103">
        <v>3</v>
      </c>
      <c r="P204" s="103">
        <v>3</v>
      </c>
      <c r="Q204" s="103">
        <v>2</v>
      </c>
      <c r="R204" s="103">
        <v>2</v>
      </c>
      <c r="S204" s="103">
        <v>2</v>
      </c>
      <c r="T204" s="103">
        <v>1</v>
      </c>
      <c r="U204" s="103">
        <v>1</v>
      </c>
      <c r="V204" s="103">
        <v>4</v>
      </c>
      <c r="W204" s="103">
        <v>2</v>
      </c>
      <c r="X204" s="103">
        <v>4</v>
      </c>
      <c r="Y204" s="103">
        <v>1</v>
      </c>
      <c r="Z204" s="103">
        <v>1</v>
      </c>
      <c r="AA204" s="103">
        <v>1</v>
      </c>
      <c r="AB204" s="103">
        <v>3</v>
      </c>
      <c r="AC204" s="103">
        <v>3</v>
      </c>
      <c r="AD204" s="103">
        <v>3</v>
      </c>
      <c r="AE204" s="103">
        <v>4</v>
      </c>
      <c r="AF204" s="103">
        <v>1</v>
      </c>
      <c r="AG204" s="103">
        <v>1</v>
      </c>
      <c r="AH204" s="103">
        <v>2</v>
      </c>
      <c r="AI204" s="103">
        <v>4</v>
      </c>
      <c r="AJ204" s="103">
        <v>4</v>
      </c>
      <c r="AK204" s="103">
        <v>2</v>
      </c>
      <c r="AL204" s="104">
        <v>3</v>
      </c>
      <c r="AM204" s="4">
        <v>2</v>
      </c>
      <c r="AN204" s="87">
        <v>1</v>
      </c>
      <c r="AO204" s="4">
        <v>1</v>
      </c>
      <c r="AP204" s="4">
        <v>1</v>
      </c>
      <c r="AQ204" s="4">
        <v>1</v>
      </c>
      <c r="AR204" s="4">
        <v>1</v>
      </c>
      <c r="AS204" s="4">
        <v>1</v>
      </c>
      <c r="AT204" s="4">
        <v>1</v>
      </c>
      <c r="AU204" s="107">
        <v>1</v>
      </c>
      <c r="AV204" s="4">
        <f>IF(K204=VLOOKUP(VALUE(K$1),Questions!$A:$E,5,FALSE),1,0)</f>
        <v>1</v>
      </c>
      <c r="AW204" s="4">
        <f>IF(L204=VLOOKUP(VALUE(L$1),Questions!$A:$E,5,FALSE),1,0)</f>
        <v>0</v>
      </c>
      <c r="AX204" s="4">
        <f>IF(M204=VLOOKUP(VALUE(M$1),Questions!$A:$E,5,FALSE),1,0)</f>
        <v>1</v>
      </c>
      <c r="AY204" s="4">
        <f>IF(N204=VLOOKUP(VALUE(N$1),Questions!$A:$E,5,FALSE),1,0)</f>
        <v>0</v>
      </c>
      <c r="AZ204" s="4">
        <f>IF(O204=VLOOKUP(VALUE(O$1),Questions!$A:$E,5,FALSE),1,0)</f>
        <v>0</v>
      </c>
      <c r="BA204" s="4">
        <f>IF(P204=VLOOKUP(VALUE(P$1),Questions!$A:$E,5,FALSE),1,0)</f>
        <v>0</v>
      </c>
      <c r="BB204" s="4">
        <f>IF(Q204=VLOOKUP(VALUE(Q$1),Questions!$A:$E,5,FALSE),1,0)</f>
        <v>0</v>
      </c>
      <c r="BC204" s="4">
        <f>IF(R204=VLOOKUP(VALUE(R$1),Questions!$A:$E,5,FALSE),1,0)</f>
        <v>1</v>
      </c>
      <c r="BD204" s="4">
        <f>IF(S204=VLOOKUP(VALUE(S$1),Questions!$A:$E,5,FALSE),1,0)</f>
        <v>1</v>
      </c>
      <c r="BE204" s="4">
        <f>IF(T204=VLOOKUP(VALUE(T$1),Questions!$A:$E,5,FALSE),1,0)</f>
        <v>1</v>
      </c>
      <c r="BF204" s="4">
        <f>IF(U204=VLOOKUP(VALUE(U$1),Questions!$A:$E,5,FALSE),1,0)</f>
        <v>0</v>
      </c>
      <c r="BG204" s="4">
        <f>IF(V204=VLOOKUP(VALUE(V$1),Questions!$A:$E,5,FALSE),1,0)</f>
        <v>1</v>
      </c>
      <c r="BH204" s="4">
        <f>IF(W204=VLOOKUP(VALUE(W$1),Questions!$A:$E,5,FALSE),1,0)</f>
        <v>1</v>
      </c>
      <c r="BI204" s="4">
        <f>IF(X204=VLOOKUP(VALUE(X$1),Questions!$A:$E,5,FALSE),1,0)</f>
        <v>1</v>
      </c>
      <c r="BJ204" s="4">
        <f>IF(Y204=VLOOKUP(VALUE(Y$1),Questions!$A:$E,5,FALSE),1,0)</f>
        <v>0</v>
      </c>
      <c r="BK204" s="4">
        <f>IF(Z204=VLOOKUP(VALUE(Z$1),Questions!$A:$E,5,FALSE),1,0)</f>
        <v>1</v>
      </c>
      <c r="BL204" s="4">
        <f>IF(AA204=VLOOKUP(VALUE(AA$1),Questions!$A:$E,5,FALSE),1,0)</f>
        <v>1</v>
      </c>
      <c r="BM204" s="4">
        <f>IF(AB204=VLOOKUP(VALUE(AB$1),Questions!$A:$E,5,FALSE),1,0)</f>
        <v>0</v>
      </c>
      <c r="BN204" s="4">
        <f>IF(AC204=VLOOKUP(VALUE(AC$1),Questions!$A:$E,5,FALSE),1,0)</f>
        <v>1</v>
      </c>
      <c r="BO204" s="4">
        <f>IF(AD204=VLOOKUP(VALUE(AD$1),Questions!$A:$E,5,FALSE),1,0)</f>
        <v>0</v>
      </c>
      <c r="BP204" s="4">
        <f>IF(AE204=VLOOKUP(VALUE(AE$1),Questions!$A:$E,5,FALSE),1,0)</f>
        <v>0</v>
      </c>
      <c r="BQ204" s="4">
        <f>IF(AF204=VLOOKUP(VALUE(AF$1),Questions!$A:$E,5,FALSE),1,0)</f>
        <v>0</v>
      </c>
      <c r="BR204" s="4">
        <f>IF(AG204=VLOOKUP(VALUE(AG$1),Questions!$A:$E,5,FALSE),1,0)</f>
        <v>0</v>
      </c>
      <c r="BS204" s="4">
        <f>IF(AH204=VLOOKUP(VALUE(AH$1),Questions!$A:$E,5,FALSE),1,0)</f>
        <v>0</v>
      </c>
      <c r="BT204" s="4">
        <f>IF(AI204=VLOOKUP(VALUE(AI$1),Questions!$A:$E,5,FALSE),1,0)</f>
        <v>0</v>
      </c>
      <c r="BU204" s="4">
        <f>IF(AJ204=VLOOKUP(VALUE(AJ$1),Questions!$A:$E,5,FALSE),1,0)</f>
        <v>1</v>
      </c>
      <c r="BV204" s="4">
        <f>IF(AK204=VLOOKUP(VALUE(AK$1),Questions!$A:$E,5,FALSE),1,0)</f>
        <v>0</v>
      </c>
      <c r="BW204" s="87">
        <f>IF(AL204=VLOOKUP(VALUE(AL$1),Questions!$A:$E,5,FALSE),1,0)</f>
        <v>1</v>
      </c>
      <c r="BX204" s="4">
        <f>IF(Scores[[#This Row],[Final]]&gt;=65,1,0)</f>
        <v>0</v>
      </c>
      <c r="BY204" s="4">
        <f>IF(Scores[[#This Row],[Final]]&gt;=IF(Scores[[#This Row],[IEP]],55,65),1,0)</f>
        <v>0</v>
      </c>
    </row>
    <row r="205" spans="1:77" x14ac:dyDescent="0.2">
      <c r="A205" s="6">
        <v>204</v>
      </c>
      <c r="B205" s="4">
        <v>9</v>
      </c>
      <c r="C205" s="4" t="s">
        <v>964</v>
      </c>
      <c r="D205" s="105" t="b">
        <v>0</v>
      </c>
      <c r="E205" s="105" t="b">
        <v>0</v>
      </c>
      <c r="F205" s="86">
        <f>SUM(Scores[[#This Row],[Q1]:[Q28]])</f>
        <v>18</v>
      </c>
      <c r="G205" s="4">
        <f>SUM(Scores[[#This Row],[29]]:Scores[[#This Row],[30]])</f>
        <v>0</v>
      </c>
      <c r="H205" s="4">
        <f>SUM(Scores[[#This Row],[31]:[36]])</f>
        <v>2</v>
      </c>
      <c r="I205" s="4">
        <f>Scores[[#This Row],[37]]</f>
        <v>0</v>
      </c>
      <c r="J205" s="87">
        <f>INDEX('Conversion Chart'!$C$3:$M$47,MATCH(SUM(Scores[[#This Row],[MC]:[IIIA]]),'Conversion Chart'!$B$3:$B$47),MATCH(Scores[[#This Row],[IIIB]],'Conversion Chart'!$C$2:$M$2))</f>
        <v>52</v>
      </c>
      <c r="K205" s="103">
        <v>4</v>
      </c>
      <c r="L205" s="103">
        <v>4</v>
      </c>
      <c r="M205" s="103">
        <v>2</v>
      </c>
      <c r="N205" s="103">
        <v>1</v>
      </c>
      <c r="O205" s="103">
        <v>1</v>
      </c>
      <c r="P205" s="103">
        <v>2</v>
      </c>
      <c r="Q205" s="103">
        <v>3</v>
      </c>
      <c r="R205" s="103">
        <v>2</v>
      </c>
      <c r="S205" s="103">
        <v>3</v>
      </c>
      <c r="T205" s="103">
        <v>4</v>
      </c>
      <c r="U205" s="103">
        <v>2</v>
      </c>
      <c r="V205" s="103">
        <v>3</v>
      </c>
      <c r="W205" s="103">
        <v>2</v>
      </c>
      <c r="X205" s="103">
        <v>2</v>
      </c>
      <c r="Y205" s="103">
        <v>3</v>
      </c>
      <c r="Z205" s="103">
        <v>1</v>
      </c>
      <c r="AA205" s="103">
        <v>1</v>
      </c>
      <c r="AB205" s="103">
        <v>4</v>
      </c>
      <c r="AC205" s="103">
        <v>3</v>
      </c>
      <c r="AD205" s="103">
        <v>4</v>
      </c>
      <c r="AE205" s="103">
        <v>2</v>
      </c>
      <c r="AF205" s="103">
        <v>1</v>
      </c>
      <c r="AG205" s="103">
        <v>3</v>
      </c>
      <c r="AH205" s="103">
        <v>3</v>
      </c>
      <c r="AI205" s="103">
        <v>3</v>
      </c>
      <c r="AJ205" s="103">
        <v>4</v>
      </c>
      <c r="AK205" s="103">
        <v>1</v>
      </c>
      <c r="AL205" s="104">
        <v>3</v>
      </c>
      <c r="AM205" s="4">
        <v>0</v>
      </c>
      <c r="AN205" s="87">
        <v>0</v>
      </c>
      <c r="AO205" s="4">
        <v>0</v>
      </c>
      <c r="AP205" s="4">
        <v>1</v>
      </c>
      <c r="AQ205" s="4">
        <v>0</v>
      </c>
      <c r="AR205" s="4">
        <v>1</v>
      </c>
      <c r="AS205" s="4">
        <v>0</v>
      </c>
      <c r="AT205" s="4">
        <v>0</v>
      </c>
      <c r="AU205" s="107">
        <v>0</v>
      </c>
      <c r="AV205" s="4">
        <f>IF(K205=VLOOKUP(VALUE(K$1),Questions!$A:$E,5,FALSE),1,0)</f>
        <v>1</v>
      </c>
      <c r="AW205" s="4">
        <f>IF(L205=VLOOKUP(VALUE(L$1),Questions!$A:$E,5,FALSE),1,0)</f>
        <v>0</v>
      </c>
      <c r="AX205" s="4">
        <f>IF(M205=VLOOKUP(VALUE(M$1),Questions!$A:$E,5,FALSE),1,0)</f>
        <v>0</v>
      </c>
      <c r="AY205" s="4">
        <f>IF(N205=VLOOKUP(VALUE(N$1),Questions!$A:$E,5,FALSE),1,0)</f>
        <v>0</v>
      </c>
      <c r="AZ205" s="4">
        <f>IF(O205=VLOOKUP(VALUE(O$1),Questions!$A:$E,5,FALSE),1,0)</f>
        <v>1</v>
      </c>
      <c r="BA205" s="4">
        <f>IF(P205=VLOOKUP(VALUE(P$1),Questions!$A:$E,5,FALSE),1,0)</f>
        <v>0</v>
      </c>
      <c r="BB205" s="4">
        <f>IF(Q205=VLOOKUP(VALUE(Q$1),Questions!$A:$E,5,FALSE),1,0)</f>
        <v>1</v>
      </c>
      <c r="BC205" s="4">
        <f>IF(R205=VLOOKUP(VALUE(R$1),Questions!$A:$E,5,FALSE),1,0)</f>
        <v>1</v>
      </c>
      <c r="BD205" s="4">
        <f>IF(S205=VLOOKUP(VALUE(S$1),Questions!$A:$E,5,FALSE),1,0)</f>
        <v>0</v>
      </c>
      <c r="BE205" s="4">
        <f>IF(T205=VLOOKUP(VALUE(T$1),Questions!$A:$E,5,FALSE),1,0)</f>
        <v>0</v>
      </c>
      <c r="BF205" s="4">
        <f>IF(U205=VLOOKUP(VALUE(U$1),Questions!$A:$E,5,FALSE),1,0)</f>
        <v>1</v>
      </c>
      <c r="BG205" s="4">
        <f>IF(V205=VLOOKUP(VALUE(V$1),Questions!$A:$E,5,FALSE),1,0)</f>
        <v>0</v>
      </c>
      <c r="BH205" s="4">
        <f>IF(W205=VLOOKUP(VALUE(W$1),Questions!$A:$E,5,FALSE),1,0)</f>
        <v>1</v>
      </c>
      <c r="BI205" s="4">
        <f>IF(X205=VLOOKUP(VALUE(X$1),Questions!$A:$E,5,FALSE),1,0)</f>
        <v>0</v>
      </c>
      <c r="BJ205" s="4">
        <f>IF(Y205=VLOOKUP(VALUE(Y$1),Questions!$A:$E,5,FALSE),1,0)</f>
        <v>1</v>
      </c>
      <c r="BK205" s="4">
        <f>IF(Z205=VLOOKUP(VALUE(Z$1),Questions!$A:$E,5,FALSE),1,0)</f>
        <v>1</v>
      </c>
      <c r="BL205" s="4">
        <f>IF(AA205=VLOOKUP(VALUE(AA$1),Questions!$A:$E,5,FALSE),1,0)</f>
        <v>1</v>
      </c>
      <c r="BM205" s="4">
        <f>IF(AB205=VLOOKUP(VALUE(AB$1),Questions!$A:$E,5,FALSE),1,0)</f>
        <v>1</v>
      </c>
      <c r="BN205" s="4">
        <f>IF(AC205=VLOOKUP(VALUE(AC$1),Questions!$A:$E,5,FALSE),1,0)</f>
        <v>1</v>
      </c>
      <c r="BO205" s="4">
        <f>IF(AD205=VLOOKUP(VALUE(AD$1),Questions!$A:$E,5,FALSE),1,0)</f>
        <v>1</v>
      </c>
      <c r="BP205" s="4">
        <f>IF(AE205=VLOOKUP(VALUE(AE$1),Questions!$A:$E,5,FALSE),1,0)</f>
        <v>1</v>
      </c>
      <c r="BQ205" s="4">
        <f>IF(AF205=VLOOKUP(VALUE(AF$1),Questions!$A:$E,5,FALSE),1,0)</f>
        <v>0</v>
      </c>
      <c r="BR205" s="4">
        <f>IF(AG205=VLOOKUP(VALUE(AG$1),Questions!$A:$E,5,FALSE),1,0)</f>
        <v>1</v>
      </c>
      <c r="BS205" s="4">
        <f>IF(AH205=VLOOKUP(VALUE(AH$1),Questions!$A:$E,5,FALSE),1,0)</f>
        <v>1</v>
      </c>
      <c r="BT205" s="4">
        <f>IF(AI205=VLOOKUP(VALUE(AI$1),Questions!$A:$E,5,FALSE),1,0)</f>
        <v>0</v>
      </c>
      <c r="BU205" s="4">
        <f>IF(AJ205=VLOOKUP(VALUE(AJ$1),Questions!$A:$E,5,FALSE),1,0)</f>
        <v>1</v>
      </c>
      <c r="BV205" s="4">
        <f>IF(AK205=VLOOKUP(VALUE(AK$1),Questions!$A:$E,5,FALSE),1,0)</f>
        <v>1</v>
      </c>
      <c r="BW205" s="87">
        <f>IF(AL205=VLOOKUP(VALUE(AL$1),Questions!$A:$E,5,FALSE),1,0)</f>
        <v>1</v>
      </c>
      <c r="BX205" s="4">
        <f>IF(Scores[[#This Row],[Final]]&gt;=65,1,0)</f>
        <v>0</v>
      </c>
      <c r="BY205" s="4">
        <f>IF(Scores[[#This Row],[Final]]&gt;=IF(Scores[[#This Row],[IEP]],55,65),1,0)</f>
        <v>0</v>
      </c>
    </row>
    <row r="206" spans="1:77" x14ac:dyDescent="0.2">
      <c r="A206" s="6">
        <v>205</v>
      </c>
      <c r="B206" s="4">
        <v>11</v>
      </c>
      <c r="C206" s="4" t="s">
        <v>962</v>
      </c>
      <c r="D206" s="105" t="b">
        <v>0</v>
      </c>
      <c r="E206" s="105" t="b">
        <v>0</v>
      </c>
      <c r="F206" s="86">
        <f>SUM(Scores[[#This Row],[Q1]:[Q28]])</f>
        <v>23</v>
      </c>
      <c r="G206" s="4">
        <f>SUM(Scores[[#This Row],[29]]:Scores[[#This Row],[30]])</f>
        <v>6</v>
      </c>
      <c r="H206" s="4">
        <f>SUM(Scores[[#This Row],[31]:[36]])</f>
        <v>5</v>
      </c>
      <c r="I206" s="4">
        <f>Scores[[#This Row],[37]]</f>
        <v>3.5</v>
      </c>
      <c r="J206" s="87">
        <f>INDEX('Conversion Chart'!$C$3:$M$47,MATCH(SUM(Scores[[#This Row],[MC]:[IIIA]]),'Conversion Chart'!$B$3:$B$47),MATCH(Scores[[#This Row],[IIIB]],'Conversion Chart'!$C$2:$M$2))</f>
        <v>82</v>
      </c>
      <c r="K206" s="103">
        <v>4</v>
      </c>
      <c r="L206" s="103">
        <v>2</v>
      </c>
      <c r="M206" s="103">
        <v>3</v>
      </c>
      <c r="N206" s="103">
        <v>3</v>
      </c>
      <c r="O206" s="103">
        <v>1</v>
      </c>
      <c r="P206" s="103">
        <v>3</v>
      </c>
      <c r="Q206" s="103">
        <v>2</v>
      </c>
      <c r="R206" s="103">
        <v>3</v>
      </c>
      <c r="S206" s="103">
        <v>2</v>
      </c>
      <c r="T206" s="103">
        <v>1</v>
      </c>
      <c r="U206" s="103">
        <v>2</v>
      </c>
      <c r="V206" s="103">
        <v>4</v>
      </c>
      <c r="W206" s="103">
        <v>2</v>
      </c>
      <c r="X206" s="103">
        <v>4</v>
      </c>
      <c r="Y206" s="103">
        <v>3</v>
      </c>
      <c r="Z206" s="103">
        <v>1</v>
      </c>
      <c r="AA206" s="103">
        <v>1</v>
      </c>
      <c r="AB206" s="103">
        <v>4</v>
      </c>
      <c r="AC206" s="103">
        <v>1</v>
      </c>
      <c r="AD206" s="103">
        <v>4</v>
      </c>
      <c r="AE206" s="103">
        <v>2</v>
      </c>
      <c r="AF206" s="103">
        <v>2</v>
      </c>
      <c r="AG206" s="103">
        <v>3</v>
      </c>
      <c r="AH206" s="103">
        <v>3</v>
      </c>
      <c r="AI206" s="103">
        <v>1</v>
      </c>
      <c r="AJ206" s="103">
        <v>4</v>
      </c>
      <c r="AK206" s="103">
        <v>1</v>
      </c>
      <c r="AL206" s="104">
        <v>2</v>
      </c>
      <c r="AM206" s="4">
        <v>3</v>
      </c>
      <c r="AN206" s="87">
        <v>3</v>
      </c>
      <c r="AO206" s="4">
        <v>1</v>
      </c>
      <c r="AP206" s="4">
        <v>0</v>
      </c>
      <c r="AQ206" s="4">
        <v>1</v>
      </c>
      <c r="AR206" s="4">
        <v>1</v>
      </c>
      <c r="AS206" s="4">
        <v>1</v>
      </c>
      <c r="AT206" s="4">
        <v>1</v>
      </c>
      <c r="AU206" s="107">
        <v>3.5</v>
      </c>
      <c r="AV206" s="4">
        <f>IF(K206=VLOOKUP(VALUE(K$1),Questions!$A:$E,5,FALSE),1,0)</f>
        <v>1</v>
      </c>
      <c r="AW206" s="4">
        <f>IF(L206=VLOOKUP(VALUE(L$1),Questions!$A:$E,5,FALSE),1,0)</f>
        <v>1</v>
      </c>
      <c r="AX206" s="4">
        <f>IF(M206=VLOOKUP(VALUE(M$1),Questions!$A:$E,5,FALSE),1,0)</f>
        <v>1</v>
      </c>
      <c r="AY206" s="4">
        <f>IF(N206=VLOOKUP(VALUE(N$1),Questions!$A:$E,5,FALSE),1,0)</f>
        <v>1</v>
      </c>
      <c r="AZ206" s="4">
        <f>IF(O206=VLOOKUP(VALUE(O$1),Questions!$A:$E,5,FALSE),1,0)</f>
        <v>1</v>
      </c>
      <c r="BA206" s="4">
        <f>IF(P206=VLOOKUP(VALUE(P$1),Questions!$A:$E,5,FALSE),1,0)</f>
        <v>0</v>
      </c>
      <c r="BB206" s="4">
        <f>IF(Q206=VLOOKUP(VALUE(Q$1),Questions!$A:$E,5,FALSE),1,0)</f>
        <v>0</v>
      </c>
      <c r="BC206" s="4">
        <f>IF(R206=VLOOKUP(VALUE(R$1),Questions!$A:$E,5,FALSE),1,0)</f>
        <v>0</v>
      </c>
      <c r="BD206" s="4">
        <f>IF(S206=VLOOKUP(VALUE(S$1),Questions!$A:$E,5,FALSE),1,0)</f>
        <v>1</v>
      </c>
      <c r="BE206" s="4">
        <f>IF(T206=VLOOKUP(VALUE(T$1),Questions!$A:$E,5,FALSE),1,0)</f>
        <v>1</v>
      </c>
      <c r="BF206" s="4">
        <f>IF(U206=VLOOKUP(VALUE(U$1),Questions!$A:$E,5,FALSE),1,0)</f>
        <v>1</v>
      </c>
      <c r="BG206" s="4">
        <f>IF(V206=VLOOKUP(VALUE(V$1),Questions!$A:$E,5,FALSE),1,0)</f>
        <v>1</v>
      </c>
      <c r="BH206" s="4">
        <f>IF(W206=VLOOKUP(VALUE(W$1),Questions!$A:$E,5,FALSE),1,0)</f>
        <v>1</v>
      </c>
      <c r="BI206" s="4">
        <f>IF(X206=VLOOKUP(VALUE(X$1),Questions!$A:$E,5,FALSE),1,0)</f>
        <v>1</v>
      </c>
      <c r="BJ206" s="4">
        <f>IF(Y206=VLOOKUP(VALUE(Y$1),Questions!$A:$E,5,FALSE),1,0)</f>
        <v>1</v>
      </c>
      <c r="BK206" s="4">
        <f>IF(Z206=VLOOKUP(VALUE(Z$1),Questions!$A:$E,5,FALSE),1,0)</f>
        <v>1</v>
      </c>
      <c r="BL206" s="4">
        <f>IF(AA206=VLOOKUP(VALUE(AA$1),Questions!$A:$E,5,FALSE),1,0)</f>
        <v>1</v>
      </c>
      <c r="BM206" s="4">
        <f>IF(AB206=VLOOKUP(VALUE(AB$1),Questions!$A:$E,5,FALSE),1,0)</f>
        <v>1</v>
      </c>
      <c r="BN206" s="4">
        <f>IF(AC206=VLOOKUP(VALUE(AC$1),Questions!$A:$E,5,FALSE),1,0)</f>
        <v>0</v>
      </c>
      <c r="BO206" s="4">
        <f>IF(AD206=VLOOKUP(VALUE(AD$1),Questions!$A:$E,5,FALSE),1,0)</f>
        <v>1</v>
      </c>
      <c r="BP206" s="4">
        <f>IF(AE206=VLOOKUP(VALUE(AE$1),Questions!$A:$E,5,FALSE),1,0)</f>
        <v>1</v>
      </c>
      <c r="BQ206" s="4">
        <f>IF(AF206=VLOOKUP(VALUE(AF$1),Questions!$A:$E,5,FALSE),1,0)</f>
        <v>1</v>
      </c>
      <c r="BR206" s="4">
        <f>IF(AG206=VLOOKUP(VALUE(AG$1),Questions!$A:$E,5,FALSE),1,0)</f>
        <v>1</v>
      </c>
      <c r="BS206" s="4">
        <f>IF(AH206=VLOOKUP(VALUE(AH$1),Questions!$A:$E,5,FALSE),1,0)</f>
        <v>1</v>
      </c>
      <c r="BT206" s="4">
        <f>IF(AI206=VLOOKUP(VALUE(AI$1),Questions!$A:$E,5,FALSE),1,0)</f>
        <v>1</v>
      </c>
      <c r="BU206" s="4">
        <f>IF(AJ206=VLOOKUP(VALUE(AJ$1),Questions!$A:$E,5,FALSE),1,0)</f>
        <v>1</v>
      </c>
      <c r="BV206" s="4">
        <f>IF(AK206=VLOOKUP(VALUE(AK$1),Questions!$A:$E,5,FALSE),1,0)</f>
        <v>1</v>
      </c>
      <c r="BW206" s="87">
        <f>IF(AL206=VLOOKUP(VALUE(AL$1),Questions!$A:$E,5,FALSE),1,0)</f>
        <v>0</v>
      </c>
      <c r="BX206" s="4">
        <f>IF(Scores[[#This Row],[Final]]&gt;=65,1,0)</f>
        <v>1</v>
      </c>
      <c r="BY206" s="4">
        <f>IF(Scores[[#This Row],[Final]]&gt;=IF(Scores[[#This Row],[IEP]],55,65),1,0)</f>
        <v>1</v>
      </c>
    </row>
    <row r="207" spans="1:77" x14ac:dyDescent="0.2">
      <c r="A207" s="6">
        <v>206</v>
      </c>
      <c r="B207" s="4">
        <v>11</v>
      </c>
      <c r="C207" s="4" t="s">
        <v>964</v>
      </c>
      <c r="D207" s="105" t="b">
        <v>0</v>
      </c>
      <c r="E207" s="105" t="b">
        <v>0</v>
      </c>
      <c r="F207" s="86">
        <f>SUM(Scores[[#This Row],[Q1]:[Q28]])</f>
        <v>14</v>
      </c>
      <c r="G207" s="4">
        <f>SUM(Scores[[#This Row],[29]]:Scores[[#This Row],[30]])</f>
        <v>0</v>
      </c>
      <c r="H207" s="4">
        <f>SUM(Scores[[#This Row],[31]:[36]])</f>
        <v>4</v>
      </c>
      <c r="I207" s="4">
        <f>Scores[[#This Row],[37]]</f>
        <v>3.5</v>
      </c>
      <c r="J207" s="87">
        <f>INDEX('Conversion Chart'!$C$3:$M$47,MATCH(SUM(Scores[[#This Row],[MC]:[IIIA]]),'Conversion Chart'!$B$3:$B$47),MATCH(Scores[[#This Row],[IIIB]],'Conversion Chart'!$C$2:$M$2))</f>
        <v>65</v>
      </c>
      <c r="K207" s="103">
        <v>4</v>
      </c>
      <c r="L207" s="103">
        <v>2</v>
      </c>
      <c r="M207" s="103">
        <v>4</v>
      </c>
      <c r="N207" s="103">
        <v>3</v>
      </c>
      <c r="O207" s="103">
        <v>2</v>
      </c>
      <c r="P207" s="103">
        <v>4</v>
      </c>
      <c r="Q207" s="103">
        <v>1</v>
      </c>
      <c r="R207" s="103">
        <v>3</v>
      </c>
      <c r="S207" s="103">
        <v>2</v>
      </c>
      <c r="T207" s="103">
        <v>1</v>
      </c>
      <c r="U207" s="103">
        <v>3</v>
      </c>
      <c r="V207" s="103">
        <v>4</v>
      </c>
      <c r="W207" s="103">
        <v>2</v>
      </c>
      <c r="X207" s="103">
        <v>2</v>
      </c>
      <c r="Y207" s="103">
        <v>4</v>
      </c>
      <c r="Z207" s="103">
        <v>1</v>
      </c>
      <c r="AA207" s="103">
        <v>1</v>
      </c>
      <c r="AB207" s="103">
        <v>3</v>
      </c>
      <c r="AC207" s="103">
        <v>2</v>
      </c>
      <c r="AD207" s="103">
        <v>2</v>
      </c>
      <c r="AE207" s="103">
        <v>1</v>
      </c>
      <c r="AF207" s="103">
        <v>2</v>
      </c>
      <c r="AG207" s="103">
        <v>1</v>
      </c>
      <c r="AH207" s="103">
        <v>3</v>
      </c>
      <c r="AI207" s="103">
        <v>2</v>
      </c>
      <c r="AJ207" s="103">
        <v>4</v>
      </c>
      <c r="AK207" s="103">
        <v>4</v>
      </c>
      <c r="AL207" s="104">
        <v>3</v>
      </c>
      <c r="AM207" s="4">
        <v>0</v>
      </c>
      <c r="AN207" s="87">
        <v>0</v>
      </c>
      <c r="AO207" s="4">
        <v>0</v>
      </c>
      <c r="AP207" s="4">
        <v>1</v>
      </c>
      <c r="AQ207" s="4">
        <v>1</v>
      </c>
      <c r="AR207" s="4">
        <v>1</v>
      </c>
      <c r="AS207" s="4">
        <v>1</v>
      </c>
      <c r="AT207" s="4">
        <v>0</v>
      </c>
      <c r="AU207" s="107">
        <v>3.5</v>
      </c>
      <c r="AV207" s="4">
        <f>IF(K207=VLOOKUP(VALUE(K$1),Questions!$A:$E,5,FALSE),1,0)</f>
        <v>1</v>
      </c>
      <c r="AW207" s="4">
        <f>IF(L207=VLOOKUP(VALUE(L$1),Questions!$A:$E,5,FALSE),1,0)</f>
        <v>1</v>
      </c>
      <c r="AX207" s="4">
        <f>IF(M207=VLOOKUP(VALUE(M$1),Questions!$A:$E,5,FALSE),1,0)</f>
        <v>0</v>
      </c>
      <c r="AY207" s="4">
        <f>IF(N207=VLOOKUP(VALUE(N$1),Questions!$A:$E,5,FALSE),1,0)</f>
        <v>1</v>
      </c>
      <c r="AZ207" s="4">
        <f>IF(O207=VLOOKUP(VALUE(O$1),Questions!$A:$E,5,FALSE),1,0)</f>
        <v>0</v>
      </c>
      <c r="BA207" s="4">
        <f>IF(P207=VLOOKUP(VALUE(P$1),Questions!$A:$E,5,FALSE),1,0)</f>
        <v>1</v>
      </c>
      <c r="BB207" s="4">
        <f>IF(Q207=VLOOKUP(VALUE(Q$1),Questions!$A:$E,5,FALSE),1,0)</f>
        <v>0</v>
      </c>
      <c r="BC207" s="4">
        <f>IF(R207=VLOOKUP(VALUE(R$1),Questions!$A:$E,5,FALSE),1,0)</f>
        <v>0</v>
      </c>
      <c r="BD207" s="4">
        <f>IF(S207=VLOOKUP(VALUE(S$1),Questions!$A:$E,5,FALSE),1,0)</f>
        <v>1</v>
      </c>
      <c r="BE207" s="4">
        <f>IF(T207=VLOOKUP(VALUE(T$1),Questions!$A:$E,5,FALSE),1,0)</f>
        <v>1</v>
      </c>
      <c r="BF207" s="4">
        <f>IF(U207=VLOOKUP(VALUE(U$1),Questions!$A:$E,5,FALSE),1,0)</f>
        <v>0</v>
      </c>
      <c r="BG207" s="4">
        <f>IF(V207=VLOOKUP(VALUE(V$1),Questions!$A:$E,5,FALSE),1,0)</f>
        <v>1</v>
      </c>
      <c r="BH207" s="4">
        <f>IF(W207=VLOOKUP(VALUE(W$1),Questions!$A:$E,5,FALSE),1,0)</f>
        <v>1</v>
      </c>
      <c r="BI207" s="4">
        <f>IF(X207=VLOOKUP(VALUE(X$1),Questions!$A:$E,5,FALSE),1,0)</f>
        <v>0</v>
      </c>
      <c r="BJ207" s="4">
        <f>IF(Y207=VLOOKUP(VALUE(Y$1),Questions!$A:$E,5,FALSE),1,0)</f>
        <v>0</v>
      </c>
      <c r="BK207" s="4">
        <f>IF(Z207=VLOOKUP(VALUE(Z$1),Questions!$A:$E,5,FALSE),1,0)</f>
        <v>1</v>
      </c>
      <c r="BL207" s="4">
        <f>IF(AA207=VLOOKUP(VALUE(AA$1),Questions!$A:$E,5,FALSE),1,0)</f>
        <v>1</v>
      </c>
      <c r="BM207" s="4">
        <f>IF(AB207=VLOOKUP(VALUE(AB$1),Questions!$A:$E,5,FALSE),1,0)</f>
        <v>0</v>
      </c>
      <c r="BN207" s="4">
        <f>IF(AC207=VLOOKUP(VALUE(AC$1),Questions!$A:$E,5,FALSE),1,0)</f>
        <v>0</v>
      </c>
      <c r="BO207" s="4">
        <f>IF(AD207=VLOOKUP(VALUE(AD$1),Questions!$A:$E,5,FALSE),1,0)</f>
        <v>0</v>
      </c>
      <c r="BP207" s="4">
        <f>IF(AE207=VLOOKUP(VALUE(AE$1),Questions!$A:$E,5,FALSE),1,0)</f>
        <v>0</v>
      </c>
      <c r="BQ207" s="4">
        <f>IF(AF207=VLOOKUP(VALUE(AF$1),Questions!$A:$E,5,FALSE),1,0)</f>
        <v>1</v>
      </c>
      <c r="BR207" s="4">
        <f>IF(AG207=VLOOKUP(VALUE(AG$1),Questions!$A:$E,5,FALSE),1,0)</f>
        <v>0</v>
      </c>
      <c r="BS207" s="4">
        <f>IF(AH207=VLOOKUP(VALUE(AH$1),Questions!$A:$E,5,FALSE),1,0)</f>
        <v>1</v>
      </c>
      <c r="BT207" s="4">
        <f>IF(AI207=VLOOKUP(VALUE(AI$1),Questions!$A:$E,5,FALSE),1,0)</f>
        <v>0</v>
      </c>
      <c r="BU207" s="4">
        <f>IF(AJ207=VLOOKUP(VALUE(AJ$1),Questions!$A:$E,5,FALSE),1,0)</f>
        <v>1</v>
      </c>
      <c r="BV207" s="4">
        <f>IF(AK207=VLOOKUP(VALUE(AK$1),Questions!$A:$E,5,FALSE),1,0)</f>
        <v>0</v>
      </c>
      <c r="BW207" s="87">
        <f>IF(AL207=VLOOKUP(VALUE(AL$1),Questions!$A:$E,5,FALSE),1,0)</f>
        <v>1</v>
      </c>
      <c r="BX207" s="4">
        <f>IF(Scores[[#This Row],[Final]]&gt;=65,1,0)</f>
        <v>1</v>
      </c>
      <c r="BY207" s="4">
        <f>IF(Scores[[#This Row],[Final]]&gt;=IF(Scores[[#This Row],[IEP]],55,65),1,0)</f>
        <v>1</v>
      </c>
    </row>
    <row r="208" spans="1:77" x14ac:dyDescent="0.2">
      <c r="A208" s="6">
        <v>207</v>
      </c>
      <c r="B208" s="4">
        <v>9</v>
      </c>
      <c r="C208" s="4" t="s">
        <v>964</v>
      </c>
      <c r="D208" s="105" t="b">
        <v>0</v>
      </c>
      <c r="E208" s="105" t="b">
        <v>0</v>
      </c>
      <c r="F208" s="86">
        <f>SUM(Scores[[#This Row],[Q1]:[Q28]])</f>
        <v>10</v>
      </c>
      <c r="G208" s="4">
        <f>SUM(Scores[[#This Row],[29]]:Scores[[#This Row],[30]])</f>
        <v>0</v>
      </c>
      <c r="H208" s="4">
        <f>SUM(Scores[[#This Row],[31]:[36]])</f>
        <v>4</v>
      </c>
      <c r="I208" s="4">
        <f>Scores[[#This Row],[37]]</f>
        <v>0</v>
      </c>
      <c r="J208" s="87">
        <f>INDEX('Conversion Chart'!$C$3:$M$47,MATCH(SUM(Scores[[#This Row],[MC]:[IIIA]]),'Conversion Chart'!$B$3:$B$47),MATCH(Scores[[#This Row],[IIIB]],'Conversion Chart'!$C$2:$M$2))</f>
        <v>40</v>
      </c>
      <c r="K208" s="103">
        <v>4</v>
      </c>
      <c r="L208" s="103">
        <v>2</v>
      </c>
      <c r="M208" s="103">
        <v>3</v>
      </c>
      <c r="N208" s="103">
        <v>3</v>
      </c>
      <c r="O208" s="103">
        <v>2</v>
      </c>
      <c r="P208" s="103">
        <v>1</v>
      </c>
      <c r="Q208" s="103">
        <v>2</v>
      </c>
      <c r="R208" s="103">
        <v>3</v>
      </c>
      <c r="S208" s="103">
        <v>2</v>
      </c>
      <c r="T208" s="103">
        <v>1</v>
      </c>
      <c r="U208" s="103">
        <v>2</v>
      </c>
      <c r="V208" s="103">
        <v>3</v>
      </c>
      <c r="W208" s="103">
        <v>3</v>
      </c>
      <c r="X208" s="103">
        <v>3</v>
      </c>
      <c r="Y208" s="103">
        <v>2</v>
      </c>
      <c r="Z208" s="103">
        <v>4</v>
      </c>
      <c r="AA208" s="103">
        <v>3</v>
      </c>
      <c r="AB208" s="103">
        <v>2</v>
      </c>
      <c r="AC208" s="103">
        <v>1</v>
      </c>
      <c r="AD208" s="103">
        <v>3</v>
      </c>
      <c r="AE208" s="103">
        <v>1</v>
      </c>
      <c r="AF208" s="103">
        <v>1</v>
      </c>
      <c r="AG208" s="103">
        <v>4</v>
      </c>
      <c r="AH208" s="103">
        <v>2</v>
      </c>
      <c r="AI208" s="103">
        <v>3</v>
      </c>
      <c r="AJ208" s="103">
        <v>4</v>
      </c>
      <c r="AK208" s="103">
        <v>1</v>
      </c>
      <c r="AL208" s="104">
        <v>3</v>
      </c>
      <c r="AM208" s="4">
        <v>0</v>
      </c>
      <c r="AN208" s="87">
        <v>0</v>
      </c>
      <c r="AO208" s="4">
        <v>0</v>
      </c>
      <c r="AP208" s="4">
        <v>0</v>
      </c>
      <c r="AQ208" s="4">
        <v>1</v>
      </c>
      <c r="AR208" s="4">
        <v>1</v>
      </c>
      <c r="AS208" s="4">
        <v>1</v>
      </c>
      <c r="AT208" s="4">
        <v>1</v>
      </c>
      <c r="AU208" s="107">
        <v>0</v>
      </c>
      <c r="AV208" s="4">
        <f>IF(K208=VLOOKUP(VALUE(K$1),Questions!$A:$E,5,FALSE),1,0)</f>
        <v>1</v>
      </c>
      <c r="AW208" s="4">
        <f>IF(L208=VLOOKUP(VALUE(L$1),Questions!$A:$E,5,FALSE),1,0)</f>
        <v>1</v>
      </c>
      <c r="AX208" s="4">
        <f>IF(M208=VLOOKUP(VALUE(M$1),Questions!$A:$E,5,FALSE),1,0)</f>
        <v>1</v>
      </c>
      <c r="AY208" s="4">
        <f>IF(N208=VLOOKUP(VALUE(N$1),Questions!$A:$E,5,FALSE),1,0)</f>
        <v>1</v>
      </c>
      <c r="AZ208" s="4">
        <f>IF(O208=VLOOKUP(VALUE(O$1),Questions!$A:$E,5,FALSE),1,0)</f>
        <v>0</v>
      </c>
      <c r="BA208" s="4">
        <f>IF(P208=VLOOKUP(VALUE(P$1),Questions!$A:$E,5,FALSE),1,0)</f>
        <v>0</v>
      </c>
      <c r="BB208" s="4">
        <f>IF(Q208=VLOOKUP(VALUE(Q$1),Questions!$A:$E,5,FALSE),1,0)</f>
        <v>0</v>
      </c>
      <c r="BC208" s="4">
        <f>IF(R208=VLOOKUP(VALUE(R$1),Questions!$A:$E,5,FALSE),1,0)</f>
        <v>0</v>
      </c>
      <c r="BD208" s="4">
        <f>IF(S208=VLOOKUP(VALUE(S$1),Questions!$A:$E,5,FALSE),1,0)</f>
        <v>1</v>
      </c>
      <c r="BE208" s="4">
        <f>IF(T208=VLOOKUP(VALUE(T$1),Questions!$A:$E,5,FALSE),1,0)</f>
        <v>1</v>
      </c>
      <c r="BF208" s="4">
        <f>IF(U208=VLOOKUP(VALUE(U$1),Questions!$A:$E,5,FALSE),1,0)</f>
        <v>1</v>
      </c>
      <c r="BG208" s="4">
        <f>IF(V208=VLOOKUP(VALUE(V$1),Questions!$A:$E,5,FALSE),1,0)</f>
        <v>0</v>
      </c>
      <c r="BH208" s="4">
        <f>IF(W208=VLOOKUP(VALUE(W$1),Questions!$A:$E,5,FALSE),1,0)</f>
        <v>0</v>
      </c>
      <c r="BI208" s="4">
        <f>IF(X208=VLOOKUP(VALUE(X$1),Questions!$A:$E,5,FALSE),1,0)</f>
        <v>0</v>
      </c>
      <c r="BJ208" s="4">
        <f>IF(Y208=VLOOKUP(VALUE(Y$1),Questions!$A:$E,5,FALSE),1,0)</f>
        <v>0</v>
      </c>
      <c r="BK208" s="4">
        <f>IF(Z208=VLOOKUP(VALUE(Z$1),Questions!$A:$E,5,FALSE),1,0)</f>
        <v>0</v>
      </c>
      <c r="BL208" s="4">
        <f>IF(AA208=VLOOKUP(VALUE(AA$1),Questions!$A:$E,5,FALSE),1,0)</f>
        <v>0</v>
      </c>
      <c r="BM208" s="4">
        <f>IF(AB208=VLOOKUP(VALUE(AB$1),Questions!$A:$E,5,FALSE),1,0)</f>
        <v>0</v>
      </c>
      <c r="BN208" s="4">
        <f>IF(AC208=VLOOKUP(VALUE(AC$1),Questions!$A:$E,5,FALSE),1,0)</f>
        <v>0</v>
      </c>
      <c r="BO208" s="4">
        <f>IF(AD208=VLOOKUP(VALUE(AD$1),Questions!$A:$E,5,FALSE),1,0)</f>
        <v>0</v>
      </c>
      <c r="BP208" s="4">
        <f>IF(AE208=VLOOKUP(VALUE(AE$1),Questions!$A:$E,5,FALSE),1,0)</f>
        <v>0</v>
      </c>
      <c r="BQ208" s="4">
        <f>IF(AF208=VLOOKUP(VALUE(AF$1),Questions!$A:$E,5,FALSE),1,0)</f>
        <v>0</v>
      </c>
      <c r="BR208" s="4">
        <f>IF(AG208=VLOOKUP(VALUE(AG$1),Questions!$A:$E,5,FALSE),1,0)</f>
        <v>0</v>
      </c>
      <c r="BS208" s="4">
        <f>IF(AH208=VLOOKUP(VALUE(AH$1),Questions!$A:$E,5,FALSE),1,0)</f>
        <v>0</v>
      </c>
      <c r="BT208" s="4">
        <f>IF(AI208=VLOOKUP(VALUE(AI$1),Questions!$A:$E,5,FALSE),1,0)</f>
        <v>0</v>
      </c>
      <c r="BU208" s="4">
        <f>IF(AJ208=VLOOKUP(VALUE(AJ$1),Questions!$A:$E,5,FALSE),1,0)</f>
        <v>1</v>
      </c>
      <c r="BV208" s="4">
        <f>IF(AK208=VLOOKUP(VALUE(AK$1),Questions!$A:$E,5,FALSE),1,0)</f>
        <v>1</v>
      </c>
      <c r="BW208" s="87">
        <f>IF(AL208=VLOOKUP(VALUE(AL$1),Questions!$A:$E,5,FALSE),1,0)</f>
        <v>1</v>
      </c>
      <c r="BX208" s="4">
        <f>IF(Scores[[#This Row],[Final]]&gt;=65,1,0)</f>
        <v>0</v>
      </c>
      <c r="BY208" s="4">
        <f>IF(Scores[[#This Row],[Final]]&gt;=IF(Scores[[#This Row],[IEP]],55,65),1,0)</f>
        <v>0</v>
      </c>
    </row>
    <row r="209" spans="1:77" x14ac:dyDescent="0.2">
      <c r="A209" s="6">
        <v>208</v>
      </c>
      <c r="B209" s="4">
        <v>11</v>
      </c>
      <c r="C209" s="4" t="s">
        <v>962</v>
      </c>
      <c r="D209" s="105" t="b">
        <v>0</v>
      </c>
      <c r="E209" s="105" t="b">
        <v>1</v>
      </c>
      <c r="F209" s="86">
        <f>SUM(Scores[[#This Row],[Q1]:[Q28]])</f>
        <v>9</v>
      </c>
      <c r="G209" s="4">
        <f>SUM(Scores[[#This Row],[29]]:Scores[[#This Row],[30]])</f>
        <v>4</v>
      </c>
      <c r="H209" s="4">
        <f>SUM(Scores[[#This Row],[31]:[36]])</f>
        <v>3</v>
      </c>
      <c r="I209" s="4">
        <f>Scores[[#This Row],[37]]</f>
        <v>2</v>
      </c>
      <c r="J209" s="87">
        <f>INDEX('Conversion Chart'!$C$3:$M$47,MATCH(SUM(Scores[[#This Row],[MC]:[IIIA]]),'Conversion Chart'!$B$3:$B$47),MATCH(Scores[[#This Row],[IIIB]],'Conversion Chart'!$C$2:$M$2))</f>
        <v>55</v>
      </c>
      <c r="K209" s="103">
        <v>4</v>
      </c>
      <c r="L209" s="103">
        <v>1</v>
      </c>
      <c r="M209" s="103">
        <v>3</v>
      </c>
      <c r="N209" s="103">
        <v>2</v>
      </c>
      <c r="O209" s="103">
        <v>1</v>
      </c>
      <c r="P209" s="103">
        <v>2</v>
      </c>
      <c r="Q209" s="103">
        <v>4</v>
      </c>
      <c r="R209" s="103">
        <v>3</v>
      </c>
      <c r="S209" s="103">
        <v>1</v>
      </c>
      <c r="T209" s="103">
        <v>2</v>
      </c>
      <c r="U209" s="103">
        <v>1</v>
      </c>
      <c r="V209" s="103">
        <v>4</v>
      </c>
      <c r="W209" s="103">
        <v>2</v>
      </c>
      <c r="X209" s="103">
        <v>3</v>
      </c>
      <c r="Y209" s="103">
        <v>1</v>
      </c>
      <c r="Z209" s="103">
        <v>4</v>
      </c>
      <c r="AA209" s="103">
        <v>3</v>
      </c>
      <c r="AB209" s="103">
        <v>4</v>
      </c>
      <c r="AC209" s="103">
        <v>1</v>
      </c>
      <c r="AD209" s="103">
        <v>3</v>
      </c>
      <c r="AE209" s="103">
        <v>2</v>
      </c>
      <c r="AF209" s="103">
        <v>4</v>
      </c>
      <c r="AG209" s="103">
        <v>1</v>
      </c>
      <c r="AH209" s="103">
        <v>4</v>
      </c>
      <c r="AI209" s="103">
        <v>3</v>
      </c>
      <c r="AJ209" s="103">
        <v>2</v>
      </c>
      <c r="AK209" s="103">
        <v>1</v>
      </c>
      <c r="AL209" s="104">
        <v>3</v>
      </c>
      <c r="AM209" s="4">
        <v>3</v>
      </c>
      <c r="AN209" s="87">
        <v>1</v>
      </c>
      <c r="AO209" s="4">
        <v>0</v>
      </c>
      <c r="AP209" s="4">
        <v>0</v>
      </c>
      <c r="AQ209" s="4">
        <v>1</v>
      </c>
      <c r="AR209" s="4">
        <v>1</v>
      </c>
      <c r="AS209" s="4">
        <v>0</v>
      </c>
      <c r="AT209" s="4">
        <v>1</v>
      </c>
      <c r="AU209" s="107">
        <v>2</v>
      </c>
      <c r="AV209" s="4">
        <f>IF(K209=VLOOKUP(VALUE(K$1),Questions!$A:$E,5,FALSE),1,0)</f>
        <v>1</v>
      </c>
      <c r="AW209" s="4">
        <f>IF(L209=VLOOKUP(VALUE(L$1),Questions!$A:$E,5,FALSE),1,0)</f>
        <v>0</v>
      </c>
      <c r="AX209" s="4">
        <f>IF(M209=VLOOKUP(VALUE(M$1),Questions!$A:$E,5,FALSE),1,0)</f>
        <v>1</v>
      </c>
      <c r="AY209" s="4">
        <f>IF(N209=VLOOKUP(VALUE(N$1),Questions!$A:$E,5,FALSE),1,0)</f>
        <v>0</v>
      </c>
      <c r="AZ209" s="4">
        <f>IF(O209=VLOOKUP(VALUE(O$1),Questions!$A:$E,5,FALSE),1,0)</f>
        <v>1</v>
      </c>
      <c r="BA209" s="4">
        <f>IF(P209=VLOOKUP(VALUE(P$1),Questions!$A:$E,5,FALSE),1,0)</f>
        <v>0</v>
      </c>
      <c r="BB209" s="4">
        <f>IF(Q209=VLOOKUP(VALUE(Q$1),Questions!$A:$E,5,FALSE),1,0)</f>
        <v>0</v>
      </c>
      <c r="BC209" s="4">
        <f>IF(R209=VLOOKUP(VALUE(R$1),Questions!$A:$E,5,FALSE),1,0)</f>
        <v>0</v>
      </c>
      <c r="BD209" s="4">
        <f>IF(S209=VLOOKUP(VALUE(S$1),Questions!$A:$E,5,FALSE),1,0)</f>
        <v>0</v>
      </c>
      <c r="BE209" s="4">
        <f>IF(T209=VLOOKUP(VALUE(T$1),Questions!$A:$E,5,FALSE),1,0)</f>
        <v>0</v>
      </c>
      <c r="BF209" s="4">
        <f>IF(U209=VLOOKUP(VALUE(U$1),Questions!$A:$E,5,FALSE),1,0)</f>
        <v>0</v>
      </c>
      <c r="BG209" s="4">
        <f>IF(V209=VLOOKUP(VALUE(V$1),Questions!$A:$E,5,FALSE),1,0)</f>
        <v>1</v>
      </c>
      <c r="BH209" s="4">
        <f>IF(W209=VLOOKUP(VALUE(W$1),Questions!$A:$E,5,FALSE),1,0)</f>
        <v>1</v>
      </c>
      <c r="BI209" s="4">
        <f>IF(X209=VLOOKUP(VALUE(X$1),Questions!$A:$E,5,FALSE),1,0)</f>
        <v>0</v>
      </c>
      <c r="BJ209" s="4">
        <f>IF(Y209=VLOOKUP(VALUE(Y$1),Questions!$A:$E,5,FALSE),1,0)</f>
        <v>0</v>
      </c>
      <c r="BK209" s="4">
        <f>IF(Z209=VLOOKUP(VALUE(Z$1),Questions!$A:$E,5,FALSE),1,0)</f>
        <v>0</v>
      </c>
      <c r="BL209" s="4">
        <f>IF(AA209=VLOOKUP(VALUE(AA$1),Questions!$A:$E,5,FALSE),1,0)</f>
        <v>0</v>
      </c>
      <c r="BM209" s="4">
        <f>IF(AB209=VLOOKUP(VALUE(AB$1),Questions!$A:$E,5,FALSE),1,0)</f>
        <v>1</v>
      </c>
      <c r="BN209" s="4">
        <f>IF(AC209=VLOOKUP(VALUE(AC$1),Questions!$A:$E,5,FALSE),1,0)</f>
        <v>0</v>
      </c>
      <c r="BO209" s="4">
        <f>IF(AD209=VLOOKUP(VALUE(AD$1),Questions!$A:$E,5,FALSE),1,0)</f>
        <v>0</v>
      </c>
      <c r="BP209" s="4">
        <f>IF(AE209=VLOOKUP(VALUE(AE$1),Questions!$A:$E,5,FALSE),1,0)</f>
        <v>1</v>
      </c>
      <c r="BQ209" s="4">
        <f>IF(AF209=VLOOKUP(VALUE(AF$1),Questions!$A:$E,5,FALSE),1,0)</f>
        <v>0</v>
      </c>
      <c r="BR209" s="4">
        <f>IF(AG209=VLOOKUP(VALUE(AG$1),Questions!$A:$E,5,FALSE),1,0)</f>
        <v>0</v>
      </c>
      <c r="BS209" s="4">
        <f>IF(AH209=VLOOKUP(VALUE(AH$1),Questions!$A:$E,5,FALSE),1,0)</f>
        <v>0</v>
      </c>
      <c r="BT209" s="4">
        <f>IF(AI209=VLOOKUP(VALUE(AI$1),Questions!$A:$E,5,FALSE),1,0)</f>
        <v>0</v>
      </c>
      <c r="BU209" s="4">
        <f>IF(AJ209=VLOOKUP(VALUE(AJ$1),Questions!$A:$E,5,FALSE),1,0)</f>
        <v>0</v>
      </c>
      <c r="BV209" s="4">
        <f>IF(AK209=VLOOKUP(VALUE(AK$1),Questions!$A:$E,5,FALSE),1,0)</f>
        <v>1</v>
      </c>
      <c r="BW209" s="87">
        <f>IF(AL209=VLOOKUP(VALUE(AL$1),Questions!$A:$E,5,FALSE),1,0)</f>
        <v>1</v>
      </c>
      <c r="BX209" s="4">
        <f>IF(Scores[[#This Row],[Final]]&gt;=65,1,0)</f>
        <v>0</v>
      </c>
      <c r="BY209" s="4">
        <f>IF(Scores[[#This Row],[Final]]&gt;=IF(Scores[[#This Row],[IEP]],55,65),1,0)</f>
        <v>1</v>
      </c>
    </row>
    <row r="210" spans="1:77" x14ac:dyDescent="0.2">
      <c r="A210" s="6">
        <v>209</v>
      </c>
      <c r="B210" s="4">
        <v>11</v>
      </c>
      <c r="C210" s="4" t="s">
        <v>962</v>
      </c>
      <c r="D210" s="105" t="b">
        <v>0</v>
      </c>
      <c r="E210" s="105" t="b">
        <v>1</v>
      </c>
      <c r="F210" s="86">
        <f>SUM(Scores[[#This Row],[Q1]:[Q28]])</f>
        <v>11</v>
      </c>
      <c r="G210" s="4">
        <f>SUM(Scores[[#This Row],[29]]:Scores[[#This Row],[30]])</f>
        <v>5</v>
      </c>
      <c r="H210" s="4">
        <f>SUM(Scores[[#This Row],[31]:[36]])</f>
        <v>1</v>
      </c>
      <c r="I210" s="4">
        <f>Scores[[#This Row],[37]]</f>
        <v>3</v>
      </c>
      <c r="J210" s="87">
        <f>INDEX('Conversion Chart'!$C$3:$M$47,MATCH(SUM(Scores[[#This Row],[MC]:[IIIA]]),'Conversion Chart'!$B$3:$B$47),MATCH(Scores[[#This Row],[IIIB]],'Conversion Chart'!$C$2:$M$2))</f>
        <v>61</v>
      </c>
      <c r="K210" s="103">
        <v>4</v>
      </c>
      <c r="L210" s="103">
        <v>2</v>
      </c>
      <c r="M210" s="103">
        <v>3</v>
      </c>
      <c r="N210" s="103">
        <v>3</v>
      </c>
      <c r="O210" s="103">
        <v>1</v>
      </c>
      <c r="P210" s="103">
        <v>2</v>
      </c>
      <c r="Q210" s="103">
        <v>4</v>
      </c>
      <c r="R210" s="103">
        <v>1</v>
      </c>
      <c r="S210" s="103">
        <v>2</v>
      </c>
      <c r="T210" s="103">
        <v>2</v>
      </c>
      <c r="U210" s="103">
        <v>3</v>
      </c>
      <c r="V210" s="103">
        <v>4</v>
      </c>
      <c r="W210" s="103">
        <v>3</v>
      </c>
      <c r="X210" s="103">
        <v>3</v>
      </c>
      <c r="Y210" s="103">
        <v>4</v>
      </c>
      <c r="Z210" s="103">
        <v>2</v>
      </c>
      <c r="AA210" s="103">
        <v>2</v>
      </c>
      <c r="AB210" s="103">
        <v>2</v>
      </c>
      <c r="AC210" s="103">
        <v>4</v>
      </c>
      <c r="AD210" s="103">
        <v>4</v>
      </c>
      <c r="AE210" s="103">
        <v>1</v>
      </c>
      <c r="AF210" s="103">
        <v>1</v>
      </c>
      <c r="AG210" s="103">
        <v>4</v>
      </c>
      <c r="AH210" s="103">
        <v>3</v>
      </c>
      <c r="AI210" s="103">
        <v>1</v>
      </c>
      <c r="AJ210" s="103">
        <v>1</v>
      </c>
      <c r="AK210" s="103">
        <v>2</v>
      </c>
      <c r="AL210" s="104">
        <v>3</v>
      </c>
      <c r="AM210" s="4">
        <v>3</v>
      </c>
      <c r="AN210" s="87">
        <v>2</v>
      </c>
      <c r="AO210" s="4">
        <v>1</v>
      </c>
      <c r="AP210" s="4">
        <v>0</v>
      </c>
      <c r="AQ210" s="4">
        <v>0</v>
      </c>
      <c r="AR210" s="4">
        <v>0</v>
      </c>
      <c r="AS210" s="4">
        <v>0</v>
      </c>
      <c r="AT210" s="4">
        <v>0</v>
      </c>
      <c r="AU210" s="107">
        <v>3</v>
      </c>
      <c r="AV210" s="4">
        <f>IF(K210=VLOOKUP(VALUE(K$1),Questions!$A:$E,5,FALSE),1,0)</f>
        <v>1</v>
      </c>
      <c r="AW210" s="4">
        <f>IF(L210=VLOOKUP(VALUE(L$1),Questions!$A:$E,5,FALSE),1,0)</f>
        <v>1</v>
      </c>
      <c r="AX210" s="4">
        <f>IF(M210=VLOOKUP(VALUE(M$1),Questions!$A:$E,5,FALSE),1,0)</f>
        <v>1</v>
      </c>
      <c r="AY210" s="4">
        <f>IF(N210=VLOOKUP(VALUE(N$1),Questions!$A:$E,5,FALSE),1,0)</f>
        <v>1</v>
      </c>
      <c r="AZ210" s="4">
        <f>IF(O210=VLOOKUP(VALUE(O$1),Questions!$A:$E,5,FALSE),1,0)</f>
        <v>1</v>
      </c>
      <c r="BA210" s="4">
        <f>IF(P210=VLOOKUP(VALUE(P$1),Questions!$A:$E,5,FALSE),1,0)</f>
        <v>0</v>
      </c>
      <c r="BB210" s="4">
        <f>IF(Q210=VLOOKUP(VALUE(Q$1),Questions!$A:$E,5,FALSE),1,0)</f>
        <v>0</v>
      </c>
      <c r="BC210" s="4">
        <f>IF(R210=VLOOKUP(VALUE(R$1),Questions!$A:$E,5,FALSE),1,0)</f>
        <v>0</v>
      </c>
      <c r="BD210" s="4">
        <f>IF(S210=VLOOKUP(VALUE(S$1),Questions!$A:$E,5,FALSE),1,0)</f>
        <v>1</v>
      </c>
      <c r="BE210" s="4">
        <f>IF(T210=VLOOKUP(VALUE(T$1),Questions!$A:$E,5,FALSE),1,0)</f>
        <v>0</v>
      </c>
      <c r="BF210" s="4">
        <f>IF(U210=VLOOKUP(VALUE(U$1),Questions!$A:$E,5,FALSE),1,0)</f>
        <v>0</v>
      </c>
      <c r="BG210" s="4">
        <f>IF(V210=VLOOKUP(VALUE(V$1),Questions!$A:$E,5,FALSE),1,0)</f>
        <v>1</v>
      </c>
      <c r="BH210" s="4">
        <f>IF(W210=VLOOKUP(VALUE(W$1),Questions!$A:$E,5,FALSE),1,0)</f>
        <v>0</v>
      </c>
      <c r="BI210" s="4">
        <f>IF(X210=VLOOKUP(VALUE(X$1),Questions!$A:$E,5,FALSE),1,0)</f>
        <v>0</v>
      </c>
      <c r="BJ210" s="4">
        <f>IF(Y210=VLOOKUP(VALUE(Y$1),Questions!$A:$E,5,FALSE),1,0)</f>
        <v>0</v>
      </c>
      <c r="BK210" s="4">
        <f>IF(Z210=VLOOKUP(VALUE(Z$1),Questions!$A:$E,5,FALSE),1,0)</f>
        <v>0</v>
      </c>
      <c r="BL210" s="4">
        <f>IF(AA210=VLOOKUP(VALUE(AA$1),Questions!$A:$E,5,FALSE),1,0)</f>
        <v>0</v>
      </c>
      <c r="BM210" s="4">
        <f>IF(AB210=VLOOKUP(VALUE(AB$1),Questions!$A:$E,5,FALSE),1,0)</f>
        <v>0</v>
      </c>
      <c r="BN210" s="4">
        <f>IF(AC210=VLOOKUP(VALUE(AC$1),Questions!$A:$E,5,FALSE),1,0)</f>
        <v>0</v>
      </c>
      <c r="BO210" s="4">
        <f>IF(AD210=VLOOKUP(VALUE(AD$1),Questions!$A:$E,5,FALSE),1,0)</f>
        <v>1</v>
      </c>
      <c r="BP210" s="4">
        <f>IF(AE210=VLOOKUP(VALUE(AE$1),Questions!$A:$E,5,FALSE),1,0)</f>
        <v>0</v>
      </c>
      <c r="BQ210" s="4">
        <f>IF(AF210=VLOOKUP(VALUE(AF$1),Questions!$A:$E,5,FALSE),1,0)</f>
        <v>0</v>
      </c>
      <c r="BR210" s="4">
        <f>IF(AG210=VLOOKUP(VALUE(AG$1),Questions!$A:$E,5,FALSE),1,0)</f>
        <v>0</v>
      </c>
      <c r="BS210" s="4">
        <f>IF(AH210=VLOOKUP(VALUE(AH$1),Questions!$A:$E,5,FALSE),1,0)</f>
        <v>1</v>
      </c>
      <c r="BT210" s="4">
        <f>IF(AI210=VLOOKUP(VALUE(AI$1),Questions!$A:$E,5,FALSE),1,0)</f>
        <v>1</v>
      </c>
      <c r="BU210" s="4">
        <f>IF(AJ210=VLOOKUP(VALUE(AJ$1),Questions!$A:$E,5,FALSE),1,0)</f>
        <v>0</v>
      </c>
      <c r="BV210" s="4">
        <f>IF(AK210=VLOOKUP(VALUE(AK$1),Questions!$A:$E,5,FALSE),1,0)</f>
        <v>0</v>
      </c>
      <c r="BW210" s="87">
        <f>IF(AL210=VLOOKUP(VALUE(AL$1),Questions!$A:$E,5,FALSE),1,0)</f>
        <v>1</v>
      </c>
      <c r="BX210" s="4">
        <f>IF(Scores[[#This Row],[Final]]&gt;=65,1,0)</f>
        <v>0</v>
      </c>
      <c r="BY210" s="4">
        <f>IF(Scores[[#This Row],[Final]]&gt;=IF(Scores[[#This Row],[IEP]],55,65),1,0)</f>
        <v>1</v>
      </c>
    </row>
    <row r="211" spans="1:77" x14ac:dyDescent="0.2">
      <c r="A211" s="6">
        <v>210</v>
      </c>
      <c r="B211" s="4">
        <v>11</v>
      </c>
      <c r="C211" s="4" t="s">
        <v>962</v>
      </c>
      <c r="D211" s="105" t="b">
        <v>0</v>
      </c>
      <c r="E211" s="105" t="b">
        <v>0</v>
      </c>
      <c r="F211" s="86">
        <f>SUM(Scores[[#This Row],[Q1]:[Q28]])</f>
        <v>21</v>
      </c>
      <c r="G211" s="4">
        <f>SUM(Scores[[#This Row],[29]]:Scores[[#This Row],[30]])</f>
        <v>9</v>
      </c>
      <c r="H211" s="4">
        <f>SUM(Scores[[#This Row],[31]:[36]])</f>
        <v>4</v>
      </c>
      <c r="I211" s="4">
        <f>Scores[[#This Row],[37]]</f>
        <v>3.5</v>
      </c>
      <c r="J211" s="87">
        <f>INDEX('Conversion Chart'!$C$3:$M$47,MATCH(SUM(Scores[[#This Row],[MC]:[IIIA]]),'Conversion Chart'!$B$3:$B$47),MATCH(Scores[[#This Row],[IIIB]],'Conversion Chart'!$C$2:$M$2))</f>
        <v>82</v>
      </c>
      <c r="K211" s="103">
        <v>4</v>
      </c>
      <c r="L211" s="103">
        <v>2</v>
      </c>
      <c r="M211" s="103">
        <v>3</v>
      </c>
      <c r="N211" s="103">
        <v>3</v>
      </c>
      <c r="O211" s="103">
        <v>2</v>
      </c>
      <c r="P211" s="103">
        <v>4</v>
      </c>
      <c r="Q211" s="103">
        <v>3</v>
      </c>
      <c r="R211" s="103">
        <v>2</v>
      </c>
      <c r="S211" s="103">
        <v>3</v>
      </c>
      <c r="T211" s="103">
        <v>1</v>
      </c>
      <c r="U211" s="103">
        <v>2</v>
      </c>
      <c r="V211" s="103">
        <v>4</v>
      </c>
      <c r="W211" s="103">
        <v>2</v>
      </c>
      <c r="X211" s="103">
        <v>1</v>
      </c>
      <c r="Y211" s="103">
        <v>2</v>
      </c>
      <c r="Z211" s="103">
        <v>4</v>
      </c>
      <c r="AA211" s="103">
        <v>1</v>
      </c>
      <c r="AB211" s="103">
        <v>4</v>
      </c>
      <c r="AC211" s="103">
        <v>3</v>
      </c>
      <c r="AD211" s="103">
        <v>1</v>
      </c>
      <c r="AE211" s="103">
        <v>1</v>
      </c>
      <c r="AF211" s="103">
        <v>2</v>
      </c>
      <c r="AG211" s="103">
        <v>3</v>
      </c>
      <c r="AH211" s="103">
        <v>3</v>
      </c>
      <c r="AI211" s="103">
        <v>1</v>
      </c>
      <c r="AJ211" s="103">
        <v>4</v>
      </c>
      <c r="AK211" s="103">
        <v>1</v>
      </c>
      <c r="AL211" s="104">
        <v>3</v>
      </c>
      <c r="AM211" s="4">
        <v>5</v>
      </c>
      <c r="AN211" s="87">
        <v>4</v>
      </c>
      <c r="AO211" s="4">
        <v>1</v>
      </c>
      <c r="AP211" s="4">
        <v>0</v>
      </c>
      <c r="AQ211" s="4">
        <v>1</v>
      </c>
      <c r="AR211" s="4">
        <v>1</v>
      </c>
      <c r="AS211" s="4">
        <v>0</v>
      </c>
      <c r="AT211" s="4">
        <v>1</v>
      </c>
      <c r="AU211" s="107">
        <v>3.5</v>
      </c>
      <c r="AV211" s="4">
        <f>IF(K211=VLOOKUP(VALUE(K$1),Questions!$A:$E,5,FALSE),1,0)</f>
        <v>1</v>
      </c>
      <c r="AW211" s="4">
        <f>IF(L211=VLOOKUP(VALUE(L$1),Questions!$A:$E,5,FALSE),1,0)</f>
        <v>1</v>
      </c>
      <c r="AX211" s="4">
        <f>IF(M211=VLOOKUP(VALUE(M$1),Questions!$A:$E,5,FALSE),1,0)</f>
        <v>1</v>
      </c>
      <c r="AY211" s="4">
        <f>IF(N211=VLOOKUP(VALUE(N$1),Questions!$A:$E,5,FALSE),1,0)</f>
        <v>1</v>
      </c>
      <c r="AZ211" s="4">
        <f>IF(O211=VLOOKUP(VALUE(O$1),Questions!$A:$E,5,FALSE),1,0)</f>
        <v>0</v>
      </c>
      <c r="BA211" s="4">
        <f>IF(P211=VLOOKUP(VALUE(P$1),Questions!$A:$E,5,FALSE),1,0)</f>
        <v>1</v>
      </c>
      <c r="BB211" s="4">
        <f>IF(Q211=VLOOKUP(VALUE(Q$1),Questions!$A:$E,5,FALSE),1,0)</f>
        <v>1</v>
      </c>
      <c r="BC211" s="4">
        <f>IF(R211=VLOOKUP(VALUE(R$1),Questions!$A:$E,5,FALSE),1,0)</f>
        <v>1</v>
      </c>
      <c r="BD211" s="4">
        <f>IF(S211=VLOOKUP(VALUE(S$1),Questions!$A:$E,5,FALSE),1,0)</f>
        <v>0</v>
      </c>
      <c r="BE211" s="4">
        <f>IF(T211=VLOOKUP(VALUE(T$1),Questions!$A:$E,5,FALSE),1,0)</f>
        <v>1</v>
      </c>
      <c r="BF211" s="4">
        <f>IF(U211=VLOOKUP(VALUE(U$1),Questions!$A:$E,5,FALSE),1,0)</f>
        <v>1</v>
      </c>
      <c r="BG211" s="4">
        <f>IF(V211=VLOOKUP(VALUE(V$1),Questions!$A:$E,5,FALSE),1,0)</f>
        <v>1</v>
      </c>
      <c r="BH211" s="4">
        <f>IF(W211=VLOOKUP(VALUE(W$1),Questions!$A:$E,5,FALSE),1,0)</f>
        <v>1</v>
      </c>
      <c r="BI211" s="4">
        <f>IF(X211=VLOOKUP(VALUE(X$1),Questions!$A:$E,5,FALSE),1,0)</f>
        <v>0</v>
      </c>
      <c r="BJ211" s="4">
        <f>IF(Y211=VLOOKUP(VALUE(Y$1),Questions!$A:$E,5,FALSE),1,0)</f>
        <v>0</v>
      </c>
      <c r="BK211" s="4">
        <f>IF(Z211=VLOOKUP(VALUE(Z$1),Questions!$A:$E,5,FALSE),1,0)</f>
        <v>0</v>
      </c>
      <c r="BL211" s="4">
        <f>IF(AA211=VLOOKUP(VALUE(AA$1),Questions!$A:$E,5,FALSE),1,0)</f>
        <v>1</v>
      </c>
      <c r="BM211" s="4">
        <f>IF(AB211=VLOOKUP(VALUE(AB$1),Questions!$A:$E,5,FALSE),1,0)</f>
        <v>1</v>
      </c>
      <c r="BN211" s="4">
        <f>IF(AC211=VLOOKUP(VALUE(AC$1),Questions!$A:$E,5,FALSE),1,0)</f>
        <v>1</v>
      </c>
      <c r="BO211" s="4">
        <f>IF(AD211=VLOOKUP(VALUE(AD$1),Questions!$A:$E,5,FALSE),1,0)</f>
        <v>0</v>
      </c>
      <c r="BP211" s="4">
        <f>IF(AE211=VLOOKUP(VALUE(AE$1),Questions!$A:$E,5,FALSE),1,0)</f>
        <v>0</v>
      </c>
      <c r="BQ211" s="4">
        <f>IF(AF211=VLOOKUP(VALUE(AF$1),Questions!$A:$E,5,FALSE),1,0)</f>
        <v>1</v>
      </c>
      <c r="BR211" s="4">
        <f>IF(AG211=VLOOKUP(VALUE(AG$1),Questions!$A:$E,5,FALSE),1,0)</f>
        <v>1</v>
      </c>
      <c r="BS211" s="4">
        <f>IF(AH211=VLOOKUP(VALUE(AH$1),Questions!$A:$E,5,FALSE),1,0)</f>
        <v>1</v>
      </c>
      <c r="BT211" s="4">
        <f>IF(AI211=VLOOKUP(VALUE(AI$1),Questions!$A:$E,5,FALSE),1,0)</f>
        <v>1</v>
      </c>
      <c r="BU211" s="4">
        <f>IF(AJ211=VLOOKUP(VALUE(AJ$1),Questions!$A:$E,5,FALSE),1,0)</f>
        <v>1</v>
      </c>
      <c r="BV211" s="4">
        <f>IF(AK211=VLOOKUP(VALUE(AK$1),Questions!$A:$E,5,FALSE),1,0)</f>
        <v>1</v>
      </c>
      <c r="BW211" s="87">
        <f>IF(AL211=VLOOKUP(VALUE(AL$1),Questions!$A:$E,5,FALSE),1,0)</f>
        <v>1</v>
      </c>
      <c r="BX211" s="4">
        <f>IF(Scores[[#This Row],[Final]]&gt;=65,1,0)</f>
        <v>1</v>
      </c>
      <c r="BY211" s="4">
        <f>IF(Scores[[#This Row],[Final]]&gt;=IF(Scores[[#This Row],[IEP]],55,65),1,0)</f>
        <v>1</v>
      </c>
    </row>
    <row r="212" spans="1:77" x14ac:dyDescent="0.2">
      <c r="A212" s="6">
        <v>211</v>
      </c>
      <c r="B212" s="4">
        <v>11</v>
      </c>
      <c r="C212" s="4" t="s">
        <v>964</v>
      </c>
      <c r="D212" s="105" t="b">
        <v>0</v>
      </c>
      <c r="E212" s="105" t="b">
        <v>0</v>
      </c>
      <c r="F212" s="86">
        <f>SUM(Scores[[#This Row],[Q1]:[Q28]])</f>
        <v>14</v>
      </c>
      <c r="G212" s="4">
        <f>SUM(Scores[[#This Row],[29]]:Scores[[#This Row],[30]])</f>
        <v>4</v>
      </c>
      <c r="H212" s="4">
        <f>SUM(Scores[[#This Row],[31]:[36]])</f>
        <v>6</v>
      </c>
      <c r="I212" s="4">
        <f>Scores[[#This Row],[37]]</f>
        <v>3.5</v>
      </c>
      <c r="J212" s="87">
        <f>INDEX('Conversion Chart'!$C$3:$M$47,MATCH(SUM(Scores[[#This Row],[MC]:[IIIA]]),'Conversion Chart'!$B$3:$B$47),MATCH(Scores[[#This Row],[IIIB]],'Conversion Chart'!$C$2:$M$2))</f>
        <v>72</v>
      </c>
      <c r="K212" s="103">
        <v>4</v>
      </c>
      <c r="L212" s="103">
        <v>4</v>
      </c>
      <c r="M212" s="103">
        <v>4</v>
      </c>
      <c r="N212" s="103">
        <v>1</v>
      </c>
      <c r="O212" s="103">
        <v>2</v>
      </c>
      <c r="P212" s="103">
        <v>3</v>
      </c>
      <c r="Q212" s="103">
        <v>3</v>
      </c>
      <c r="R212" s="103">
        <v>2</v>
      </c>
      <c r="S212" s="103">
        <v>3</v>
      </c>
      <c r="T212" s="103">
        <v>1</v>
      </c>
      <c r="U212" s="103">
        <v>2</v>
      </c>
      <c r="V212" s="103">
        <v>3</v>
      </c>
      <c r="W212" s="103">
        <v>2</v>
      </c>
      <c r="X212" s="103">
        <v>4</v>
      </c>
      <c r="Y212" s="103">
        <v>2</v>
      </c>
      <c r="Z212" s="103">
        <v>4</v>
      </c>
      <c r="AA212" s="103">
        <v>3</v>
      </c>
      <c r="AB212" s="103">
        <v>4</v>
      </c>
      <c r="AC212" s="103">
        <v>3</v>
      </c>
      <c r="AD212" s="103">
        <v>4</v>
      </c>
      <c r="AE212" s="103">
        <v>1</v>
      </c>
      <c r="AF212" s="103">
        <v>2</v>
      </c>
      <c r="AG212" s="103">
        <v>4</v>
      </c>
      <c r="AH212" s="103">
        <v>2</v>
      </c>
      <c r="AI212" s="103">
        <v>3</v>
      </c>
      <c r="AJ212" s="103">
        <v>4</v>
      </c>
      <c r="AK212" s="103">
        <v>1</v>
      </c>
      <c r="AL212" s="104">
        <v>3</v>
      </c>
      <c r="AM212" s="4">
        <v>2</v>
      </c>
      <c r="AN212" s="87">
        <v>2</v>
      </c>
      <c r="AO212" s="4">
        <v>1</v>
      </c>
      <c r="AP212" s="4">
        <v>1</v>
      </c>
      <c r="AQ212" s="4">
        <v>1</v>
      </c>
      <c r="AR212" s="4">
        <v>1</v>
      </c>
      <c r="AS212" s="4">
        <v>1</v>
      </c>
      <c r="AT212" s="4">
        <v>1</v>
      </c>
      <c r="AU212" s="107">
        <v>3.5</v>
      </c>
      <c r="AV212" s="4">
        <f>IF(K212=VLOOKUP(VALUE(K$1),Questions!$A:$E,5,FALSE),1,0)</f>
        <v>1</v>
      </c>
      <c r="AW212" s="4">
        <f>IF(L212=VLOOKUP(VALUE(L$1),Questions!$A:$E,5,FALSE),1,0)</f>
        <v>0</v>
      </c>
      <c r="AX212" s="4">
        <f>IF(M212=VLOOKUP(VALUE(M$1),Questions!$A:$E,5,FALSE),1,0)</f>
        <v>0</v>
      </c>
      <c r="AY212" s="4">
        <f>IF(N212=VLOOKUP(VALUE(N$1),Questions!$A:$E,5,FALSE),1,0)</f>
        <v>0</v>
      </c>
      <c r="AZ212" s="4">
        <f>IF(O212=VLOOKUP(VALUE(O$1),Questions!$A:$E,5,FALSE),1,0)</f>
        <v>0</v>
      </c>
      <c r="BA212" s="4">
        <f>IF(P212=VLOOKUP(VALUE(P$1),Questions!$A:$E,5,FALSE),1,0)</f>
        <v>0</v>
      </c>
      <c r="BB212" s="4">
        <f>IF(Q212=VLOOKUP(VALUE(Q$1),Questions!$A:$E,5,FALSE),1,0)</f>
        <v>1</v>
      </c>
      <c r="BC212" s="4">
        <f>IF(R212=VLOOKUP(VALUE(R$1),Questions!$A:$E,5,FALSE),1,0)</f>
        <v>1</v>
      </c>
      <c r="BD212" s="4">
        <f>IF(S212=VLOOKUP(VALUE(S$1),Questions!$A:$E,5,FALSE),1,0)</f>
        <v>0</v>
      </c>
      <c r="BE212" s="4">
        <f>IF(T212=VLOOKUP(VALUE(T$1),Questions!$A:$E,5,FALSE),1,0)</f>
        <v>1</v>
      </c>
      <c r="BF212" s="4">
        <f>IF(U212=VLOOKUP(VALUE(U$1),Questions!$A:$E,5,FALSE),1,0)</f>
        <v>1</v>
      </c>
      <c r="BG212" s="4">
        <f>IF(V212=VLOOKUP(VALUE(V$1),Questions!$A:$E,5,FALSE),1,0)</f>
        <v>0</v>
      </c>
      <c r="BH212" s="4">
        <f>IF(W212=VLOOKUP(VALUE(W$1),Questions!$A:$E,5,FALSE),1,0)</f>
        <v>1</v>
      </c>
      <c r="BI212" s="4">
        <f>IF(X212=VLOOKUP(VALUE(X$1),Questions!$A:$E,5,FALSE),1,0)</f>
        <v>1</v>
      </c>
      <c r="BJ212" s="4">
        <f>IF(Y212=VLOOKUP(VALUE(Y$1),Questions!$A:$E,5,FALSE),1,0)</f>
        <v>0</v>
      </c>
      <c r="BK212" s="4">
        <f>IF(Z212=VLOOKUP(VALUE(Z$1),Questions!$A:$E,5,FALSE),1,0)</f>
        <v>0</v>
      </c>
      <c r="BL212" s="4">
        <f>IF(AA212=VLOOKUP(VALUE(AA$1),Questions!$A:$E,5,FALSE),1,0)</f>
        <v>0</v>
      </c>
      <c r="BM212" s="4">
        <f>IF(AB212=VLOOKUP(VALUE(AB$1),Questions!$A:$E,5,FALSE),1,0)</f>
        <v>1</v>
      </c>
      <c r="BN212" s="4">
        <f>IF(AC212=VLOOKUP(VALUE(AC$1),Questions!$A:$E,5,FALSE),1,0)</f>
        <v>1</v>
      </c>
      <c r="BO212" s="4">
        <f>IF(AD212=VLOOKUP(VALUE(AD$1),Questions!$A:$E,5,FALSE),1,0)</f>
        <v>1</v>
      </c>
      <c r="BP212" s="4">
        <f>IF(AE212=VLOOKUP(VALUE(AE$1),Questions!$A:$E,5,FALSE),1,0)</f>
        <v>0</v>
      </c>
      <c r="BQ212" s="4">
        <f>IF(AF212=VLOOKUP(VALUE(AF$1),Questions!$A:$E,5,FALSE),1,0)</f>
        <v>1</v>
      </c>
      <c r="BR212" s="4">
        <f>IF(AG212=VLOOKUP(VALUE(AG$1),Questions!$A:$E,5,FALSE),1,0)</f>
        <v>0</v>
      </c>
      <c r="BS212" s="4">
        <f>IF(AH212=VLOOKUP(VALUE(AH$1),Questions!$A:$E,5,FALSE),1,0)</f>
        <v>0</v>
      </c>
      <c r="BT212" s="4">
        <f>IF(AI212=VLOOKUP(VALUE(AI$1),Questions!$A:$E,5,FALSE),1,0)</f>
        <v>0</v>
      </c>
      <c r="BU212" s="4">
        <f>IF(AJ212=VLOOKUP(VALUE(AJ$1),Questions!$A:$E,5,FALSE),1,0)</f>
        <v>1</v>
      </c>
      <c r="BV212" s="4">
        <f>IF(AK212=VLOOKUP(VALUE(AK$1),Questions!$A:$E,5,FALSE),1,0)</f>
        <v>1</v>
      </c>
      <c r="BW212" s="87">
        <f>IF(AL212=VLOOKUP(VALUE(AL$1),Questions!$A:$E,5,FALSE),1,0)</f>
        <v>1</v>
      </c>
      <c r="BX212" s="4">
        <f>IF(Scores[[#This Row],[Final]]&gt;=65,1,0)</f>
        <v>1</v>
      </c>
      <c r="BY212" s="4">
        <f>IF(Scores[[#This Row],[Final]]&gt;=IF(Scores[[#This Row],[IEP]],55,65),1,0)</f>
        <v>1</v>
      </c>
    </row>
    <row r="213" spans="1:77" x14ac:dyDescent="0.2">
      <c r="A213" s="6">
        <v>212</v>
      </c>
      <c r="B213" s="4">
        <v>11</v>
      </c>
      <c r="C213" s="4" t="s">
        <v>964</v>
      </c>
      <c r="D213" s="105" t="b">
        <v>0</v>
      </c>
      <c r="E213" s="105" t="b">
        <v>0</v>
      </c>
      <c r="F213" s="86">
        <f>SUM(Scores[[#This Row],[Q1]:[Q28]])</f>
        <v>16</v>
      </c>
      <c r="G213" s="4">
        <f>SUM(Scores[[#This Row],[29]]:Scores[[#This Row],[30]])</f>
        <v>8</v>
      </c>
      <c r="H213" s="4">
        <f>SUM(Scores[[#This Row],[31]:[36]])</f>
        <v>6</v>
      </c>
      <c r="I213" s="4">
        <f>Scores[[#This Row],[37]]</f>
        <v>3.5</v>
      </c>
      <c r="J213" s="87">
        <f>INDEX('Conversion Chart'!$C$3:$M$47,MATCH(SUM(Scores[[#This Row],[MC]:[IIIA]]),'Conversion Chart'!$B$3:$B$47),MATCH(Scores[[#This Row],[IIIB]],'Conversion Chart'!$C$2:$M$2))</f>
        <v>78</v>
      </c>
      <c r="K213" s="103">
        <v>4</v>
      </c>
      <c r="L213" s="103">
        <v>2</v>
      </c>
      <c r="M213" s="103">
        <v>1</v>
      </c>
      <c r="N213" s="103">
        <v>4</v>
      </c>
      <c r="O213" s="103">
        <v>1</v>
      </c>
      <c r="P213" s="103">
        <v>4</v>
      </c>
      <c r="Q213" s="103">
        <v>3</v>
      </c>
      <c r="R213" s="103">
        <v>2</v>
      </c>
      <c r="S213" s="103">
        <v>2</v>
      </c>
      <c r="T213" s="103">
        <v>1</v>
      </c>
      <c r="U213" s="103">
        <v>3</v>
      </c>
      <c r="V213" s="103">
        <v>3</v>
      </c>
      <c r="W213" s="103">
        <v>2</v>
      </c>
      <c r="X213" s="103">
        <v>4</v>
      </c>
      <c r="Y213" s="103">
        <v>4</v>
      </c>
      <c r="Z213" s="103">
        <v>4</v>
      </c>
      <c r="AA213" s="103">
        <v>3</v>
      </c>
      <c r="AB213" s="103">
        <v>4</v>
      </c>
      <c r="AC213" s="103">
        <v>3</v>
      </c>
      <c r="AD213" s="103">
        <v>1</v>
      </c>
      <c r="AE213" s="103">
        <v>2</v>
      </c>
      <c r="AF213" s="103">
        <v>2</v>
      </c>
      <c r="AG213" s="103">
        <v>4</v>
      </c>
      <c r="AH213" s="103">
        <v>1</v>
      </c>
      <c r="AI213" s="103">
        <v>3</v>
      </c>
      <c r="AJ213" s="103">
        <v>4</v>
      </c>
      <c r="AK213" s="103">
        <v>4</v>
      </c>
      <c r="AL213" s="104">
        <v>3</v>
      </c>
      <c r="AM213" s="4">
        <v>4</v>
      </c>
      <c r="AN213" s="87">
        <v>4</v>
      </c>
      <c r="AO213" s="4">
        <v>1</v>
      </c>
      <c r="AP213" s="4">
        <v>1</v>
      </c>
      <c r="AQ213" s="4">
        <v>1</v>
      </c>
      <c r="AR213" s="4">
        <v>1</v>
      </c>
      <c r="AS213" s="4">
        <v>1</v>
      </c>
      <c r="AT213" s="4">
        <v>1</v>
      </c>
      <c r="AU213" s="107">
        <v>3.5</v>
      </c>
      <c r="AV213" s="4">
        <f>IF(K213=VLOOKUP(VALUE(K$1),Questions!$A:$E,5,FALSE),1,0)</f>
        <v>1</v>
      </c>
      <c r="AW213" s="4">
        <f>IF(L213=VLOOKUP(VALUE(L$1),Questions!$A:$E,5,FALSE),1,0)</f>
        <v>1</v>
      </c>
      <c r="AX213" s="4">
        <f>IF(M213=VLOOKUP(VALUE(M$1),Questions!$A:$E,5,FALSE),1,0)</f>
        <v>0</v>
      </c>
      <c r="AY213" s="4">
        <f>IF(N213=VLOOKUP(VALUE(N$1),Questions!$A:$E,5,FALSE),1,0)</f>
        <v>0</v>
      </c>
      <c r="AZ213" s="4">
        <f>IF(O213=VLOOKUP(VALUE(O$1),Questions!$A:$E,5,FALSE),1,0)</f>
        <v>1</v>
      </c>
      <c r="BA213" s="4">
        <f>IF(P213=VLOOKUP(VALUE(P$1),Questions!$A:$E,5,FALSE),1,0)</f>
        <v>1</v>
      </c>
      <c r="BB213" s="4">
        <f>IF(Q213=VLOOKUP(VALUE(Q$1),Questions!$A:$E,5,FALSE),1,0)</f>
        <v>1</v>
      </c>
      <c r="BC213" s="4">
        <f>IF(R213=VLOOKUP(VALUE(R$1),Questions!$A:$E,5,FALSE),1,0)</f>
        <v>1</v>
      </c>
      <c r="BD213" s="4">
        <f>IF(S213=VLOOKUP(VALUE(S$1),Questions!$A:$E,5,FALSE),1,0)</f>
        <v>1</v>
      </c>
      <c r="BE213" s="4">
        <f>IF(T213=VLOOKUP(VALUE(T$1),Questions!$A:$E,5,FALSE),1,0)</f>
        <v>1</v>
      </c>
      <c r="BF213" s="4">
        <f>IF(U213=VLOOKUP(VALUE(U$1),Questions!$A:$E,5,FALSE),1,0)</f>
        <v>0</v>
      </c>
      <c r="BG213" s="4">
        <f>IF(V213=VLOOKUP(VALUE(V$1),Questions!$A:$E,5,FALSE),1,0)</f>
        <v>0</v>
      </c>
      <c r="BH213" s="4">
        <f>IF(W213=VLOOKUP(VALUE(W$1),Questions!$A:$E,5,FALSE),1,0)</f>
        <v>1</v>
      </c>
      <c r="BI213" s="4">
        <f>IF(X213=VLOOKUP(VALUE(X$1),Questions!$A:$E,5,FALSE),1,0)</f>
        <v>1</v>
      </c>
      <c r="BJ213" s="4">
        <f>IF(Y213=VLOOKUP(VALUE(Y$1),Questions!$A:$E,5,FALSE),1,0)</f>
        <v>0</v>
      </c>
      <c r="BK213" s="4">
        <f>IF(Z213=VLOOKUP(VALUE(Z$1),Questions!$A:$E,5,FALSE),1,0)</f>
        <v>0</v>
      </c>
      <c r="BL213" s="4">
        <f>IF(AA213=VLOOKUP(VALUE(AA$1),Questions!$A:$E,5,FALSE),1,0)</f>
        <v>0</v>
      </c>
      <c r="BM213" s="4">
        <f>IF(AB213=VLOOKUP(VALUE(AB$1),Questions!$A:$E,5,FALSE),1,0)</f>
        <v>1</v>
      </c>
      <c r="BN213" s="4">
        <f>IF(AC213=VLOOKUP(VALUE(AC$1),Questions!$A:$E,5,FALSE),1,0)</f>
        <v>1</v>
      </c>
      <c r="BO213" s="4">
        <f>IF(AD213=VLOOKUP(VALUE(AD$1),Questions!$A:$E,5,FALSE),1,0)</f>
        <v>0</v>
      </c>
      <c r="BP213" s="4">
        <f>IF(AE213=VLOOKUP(VALUE(AE$1),Questions!$A:$E,5,FALSE),1,0)</f>
        <v>1</v>
      </c>
      <c r="BQ213" s="4">
        <f>IF(AF213=VLOOKUP(VALUE(AF$1),Questions!$A:$E,5,FALSE),1,0)</f>
        <v>1</v>
      </c>
      <c r="BR213" s="4">
        <f>IF(AG213=VLOOKUP(VALUE(AG$1),Questions!$A:$E,5,FALSE),1,0)</f>
        <v>0</v>
      </c>
      <c r="BS213" s="4">
        <f>IF(AH213=VLOOKUP(VALUE(AH$1),Questions!$A:$E,5,FALSE),1,0)</f>
        <v>0</v>
      </c>
      <c r="BT213" s="4">
        <f>IF(AI213=VLOOKUP(VALUE(AI$1),Questions!$A:$E,5,FALSE),1,0)</f>
        <v>0</v>
      </c>
      <c r="BU213" s="4">
        <f>IF(AJ213=VLOOKUP(VALUE(AJ$1),Questions!$A:$E,5,FALSE),1,0)</f>
        <v>1</v>
      </c>
      <c r="BV213" s="4">
        <f>IF(AK213=VLOOKUP(VALUE(AK$1),Questions!$A:$E,5,FALSE),1,0)</f>
        <v>0</v>
      </c>
      <c r="BW213" s="87">
        <f>IF(AL213=VLOOKUP(VALUE(AL$1),Questions!$A:$E,5,FALSE),1,0)</f>
        <v>1</v>
      </c>
      <c r="BX213" s="4">
        <f>IF(Scores[[#This Row],[Final]]&gt;=65,1,0)</f>
        <v>1</v>
      </c>
      <c r="BY213" s="4">
        <f>IF(Scores[[#This Row],[Final]]&gt;=IF(Scores[[#This Row],[IEP]],55,65),1,0)</f>
        <v>1</v>
      </c>
    </row>
    <row r="214" spans="1:77" x14ac:dyDescent="0.2">
      <c r="A214" s="6">
        <v>213</v>
      </c>
      <c r="B214" s="4">
        <v>9</v>
      </c>
      <c r="C214" s="4" t="s">
        <v>964</v>
      </c>
      <c r="D214" s="105" t="b">
        <v>0</v>
      </c>
      <c r="E214" s="105" t="b">
        <v>0</v>
      </c>
      <c r="F214" s="86">
        <f>SUM(Scores[[#This Row],[Q1]:[Q28]])</f>
        <v>12</v>
      </c>
      <c r="G214" s="4">
        <f>SUM(Scores[[#This Row],[29]]:Scores[[#This Row],[30]])</f>
        <v>2</v>
      </c>
      <c r="H214" s="4">
        <f>SUM(Scores[[#This Row],[31]:[36]])</f>
        <v>3</v>
      </c>
      <c r="I214" s="4">
        <f>Scores[[#This Row],[37]]</f>
        <v>0</v>
      </c>
      <c r="J214" s="87">
        <f>INDEX('Conversion Chart'!$C$3:$M$47,MATCH(SUM(Scores[[#This Row],[MC]:[IIIA]]),'Conversion Chart'!$B$3:$B$47),MATCH(Scores[[#This Row],[IIIB]],'Conversion Chart'!$C$2:$M$2))</f>
        <v>46</v>
      </c>
      <c r="K214" s="103">
        <v>1</v>
      </c>
      <c r="L214" s="103">
        <v>3</v>
      </c>
      <c r="M214" s="103">
        <v>3</v>
      </c>
      <c r="N214" s="103">
        <v>4</v>
      </c>
      <c r="O214" s="103">
        <v>1</v>
      </c>
      <c r="P214" s="103">
        <v>3</v>
      </c>
      <c r="Q214" s="103">
        <v>3</v>
      </c>
      <c r="R214" s="103">
        <v>2</v>
      </c>
      <c r="S214" s="103">
        <v>2</v>
      </c>
      <c r="T214" s="103">
        <v>2</v>
      </c>
      <c r="U214" s="103">
        <v>2</v>
      </c>
      <c r="V214" s="103">
        <v>3</v>
      </c>
      <c r="W214" s="103">
        <v>1</v>
      </c>
      <c r="X214" s="103">
        <v>4</v>
      </c>
      <c r="Y214" s="103">
        <v>1</v>
      </c>
      <c r="Z214" s="103">
        <v>2</v>
      </c>
      <c r="AA214" s="103">
        <v>1</v>
      </c>
      <c r="AB214" s="103">
        <v>4</v>
      </c>
      <c r="AC214" s="103">
        <v>2</v>
      </c>
      <c r="AD214" s="103">
        <v>3</v>
      </c>
      <c r="AE214" s="103">
        <v>4</v>
      </c>
      <c r="AF214" s="103">
        <v>2</v>
      </c>
      <c r="AG214" s="103">
        <v>4</v>
      </c>
      <c r="AH214" s="103">
        <v>2</v>
      </c>
      <c r="AI214" s="103">
        <v>4</v>
      </c>
      <c r="AJ214" s="103">
        <v>4</v>
      </c>
      <c r="AK214" s="103">
        <v>4</v>
      </c>
      <c r="AL214" s="104">
        <v>3</v>
      </c>
      <c r="AM214" s="4">
        <v>2</v>
      </c>
      <c r="AN214" s="87">
        <v>0</v>
      </c>
      <c r="AO214" s="4">
        <v>0</v>
      </c>
      <c r="AP214" s="4">
        <v>1</v>
      </c>
      <c r="AQ214" s="4">
        <v>0</v>
      </c>
      <c r="AR214" s="4">
        <v>0</v>
      </c>
      <c r="AS214" s="4">
        <v>1</v>
      </c>
      <c r="AT214" s="4">
        <v>1</v>
      </c>
      <c r="AU214" s="107">
        <v>0</v>
      </c>
      <c r="AV214" s="4">
        <f>IF(K214=VLOOKUP(VALUE(K$1),Questions!$A:$E,5,FALSE),1,0)</f>
        <v>0</v>
      </c>
      <c r="AW214" s="4">
        <f>IF(L214=VLOOKUP(VALUE(L$1),Questions!$A:$E,5,FALSE),1,0)</f>
        <v>0</v>
      </c>
      <c r="AX214" s="4">
        <f>IF(M214=VLOOKUP(VALUE(M$1),Questions!$A:$E,5,FALSE),1,0)</f>
        <v>1</v>
      </c>
      <c r="AY214" s="4">
        <f>IF(N214=VLOOKUP(VALUE(N$1),Questions!$A:$E,5,FALSE),1,0)</f>
        <v>0</v>
      </c>
      <c r="AZ214" s="4">
        <f>IF(O214=VLOOKUP(VALUE(O$1),Questions!$A:$E,5,FALSE),1,0)</f>
        <v>1</v>
      </c>
      <c r="BA214" s="4">
        <f>IF(P214=VLOOKUP(VALUE(P$1),Questions!$A:$E,5,FALSE),1,0)</f>
        <v>0</v>
      </c>
      <c r="BB214" s="4">
        <f>IF(Q214=VLOOKUP(VALUE(Q$1),Questions!$A:$E,5,FALSE),1,0)</f>
        <v>1</v>
      </c>
      <c r="BC214" s="4">
        <f>IF(R214=VLOOKUP(VALUE(R$1),Questions!$A:$E,5,FALSE),1,0)</f>
        <v>1</v>
      </c>
      <c r="BD214" s="4">
        <f>IF(S214=VLOOKUP(VALUE(S$1),Questions!$A:$E,5,FALSE),1,0)</f>
        <v>1</v>
      </c>
      <c r="BE214" s="4">
        <f>IF(T214=VLOOKUP(VALUE(T$1),Questions!$A:$E,5,FALSE),1,0)</f>
        <v>0</v>
      </c>
      <c r="BF214" s="4">
        <f>IF(U214=VLOOKUP(VALUE(U$1),Questions!$A:$E,5,FALSE),1,0)</f>
        <v>1</v>
      </c>
      <c r="BG214" s="4">
        <f>IF(V214=VLOOKUP(VALUE(V$1),Questions!$A:$E,5,FALSE),1,0)</f>
        <v>0</v>
      </c>
      <c r="BH214" s="4">
        <f>IF(W214=VLOOKUP(VALUE(W$1),Questions!$A:$E,5,FALSE),1,0)</f>
        <v>0</v>
      </c>
      <c r="BI214" s="4">
        <f>IF(X214=VLOOKUP(VALUE(X$1),Questions!$A:$E,5,FALSE),1,0)</f>
        <v>1</v>
      </c>
      <c r="BJ214" s="4">
        <f>IF(Y214=VLOOKUP(VALUE(Y$1),Questions!$A:$E,5,FALSE),1,0)</f>
        <v>0</v>
      </c>
      <c r="BK214" s="4">
        <f>IF(Z214=VLOOKUP(VALUE(Z$1),Questions!$A:$E,5,FALSE),1,0)</f>
        <v>0</v>
      </c>
      <c r="BL214" s="4">
        <f>IF(AA214=VLOOKUP(VALUE(AA$1),Questions!$A:$E,5,FALSE),1,0)</f>
        <v>1</v>
      </c>
      <c r="BM214" s="4">
        <f>IF(AB214=VLOOKUP(VALUE(AB$1),Questions!$A:$E,5,FALSE),1,0)</f>
        <v>1</v>
      </c>
      <c r="BN214" s="4">
        <f>IF(AC214=VLOOKUP(VALUE(AC$1),Questions!$A:$E,5,FALSE),1,0)</f>
        <v>0</v>
      </c>
      <c r="BO214" s="4">
        <f>IF(AD214=VLOOKUP(VALUE(AD$1),Questions!$A:$E,5,FALSE),1,0)</f>
        <v>0</v>
      </c>
      <c r="BP214" s="4">
        <f>IF(AE214=VLOOKUP(VALUE(AE$1),Questions!$A:$E,5,FALSE),1,0)</f>
        <v>0</v>
      </c>
      <c r="BQ214" s="4">
        <f>IF(AF214=VLOOKUP(VALUE(AF$1),Questions!$A:$E,5,FALSE),1,0)</f>
        <v>1</v>
      </c>
      <c r="BR214" s="4">
        <f>IF(AG214=VLOOKUP(VALUE(AG$1),Questions!$A:$E,5,FALSE),1,0)</f>
        <v>0</v>
      </c>
      <c r="BS214" s="4">
        <f>IF(AH214=VLOOKUP(VALUE(AH$1),Questions!$A:$E,5,FALSE),1,0)</f>
        <v>0</v>
      </c>
      <c r="BT214" s="4">
        <f>IF(AI214=VLOOKUP(VALUE(AI$1),Questions!$A:$E,5,FALSE),1,0)</f>
        <v>0</v>
      </c>
      <c r="BU214" s="4">
        <f>IF(AJ214=VLOOKUP(VALUE(AJ$1),Questions!$A:$E,5,FALSE),1,0)</f>
        <v>1</v>
      </c>
      <c r="BV214" s="4">
        <f>IF(AK214=VLOOKUP(VALUE(AK$1),Questions!$A:$E,5,FALSE),1,0)</f>
        <v>0</v>
      </c>
      <c r="BW214" s="87">
        <f>IF(AL214=VLOOKUP(VALUE(AL$1),Questions!$A:$E,5,FALSE),1,0)</f>
        <v>1</v>
      </c>
      <c r="BX214" s="4">
        <f>IF(Scores[[#This Row],[Final]]&gt;=65,1,0)</f>
        <v>0</v>
      </c>
      <c r="BY214" s="4">
        <f>IF(Scores[[#This Row],[Final]]&gt;=IF(Scores[[#This Row],[IEP]],55,65),1,0)</f>
        <v>0</v>
      </c>
    </row>
    <row r="215" spans="1:77" x14ac:dyDescent="0.2">
      <c r="A215" s="6">
        <v>214</v>
      </c>
      <c r="B215" s="4">
        <v>11</v>
      </c>
      <c r="C215" s="4" t="s">
        <v>962</v>
      </c>
      <c r="D215" s="105" t="b">
        <v>1</v>
      </c>
      <c r="E215" s="105" t="b">
        <v>0</v>
      </c>
      <c r="F215" s="86">
        <f>SUM(Scores[[#This Row],[Q1]:[Q28]])</f>
        <v>0</v>
      </c>
      <c r="G215" s="4">
        <f>SUM(Scores[[#This Row],[29]]:Scores[[#This Row],[30]])</f>
        <v>0</v>
      </c>
      <c r="H215" s="4">
        <f>SUM(Scores[[#This Row],[31]:[36]])</f>
        <v>0</v>
      </c>
      <c r="I215" s="4">
        <f>Scores[[#This Row],[37]]</f>
        <v>0</v>
      </c>
      <c r="J215" s="87">
        <f>INDEX('Conversion Chart'!$C$3:$M$47,MATCH(SUM(Scores[[#This Row],[MC]:[IIIA]]),'Conversion Chart'!$B$3:$B$47),MATCH(Scores[[#This Row],[IIIB]],'Conversion Chart'!$C$2:$M$2))</f>
        <v>0</v>
      </c>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4"/>
      <c r="AN215" s="87"/>
      <c r="AU215" s="107"/>
      <c r="AV215" s="4">
        <f>IF(K215=VLOOKUP(VALUE(K$1),Questions!$A:$E,5,FALSE),1,0)</f>
        <v>0</v>
      </c>
      <c r="AW215" s="4">
        <f>IF(L215=VLOOKUP(VALUE(L$1),Questions!$A:$E,5,FALSE),1,0)</f>
        <v>0</v>
      </c>
      <c r="AX215" s="4">
        <f>IF(M215=VLOOKUP(VALUE(M$1),Questions!$A:$E,5,FALSE),1,0)</f>
        <v>0</v>
      </c>
      <c r="AY215" s="4">
        <f>IF(N215=VLOOKUP(VALUE(N$1),Questions!$A:$E,5,FALSE),1,0)</f>
        <v>0</v>
      </c>
      <c r="AZ215" s="4">
        <f>IF(O215=VLOOKUP(VALUE(O$1),Questions!$A:$E,5,FALSE),1,0)</f>
        <v>0</v>
      </c>
      <c r="BA215" s="4">
        <f>IF(P215=VLOOKUP(VALUE(P$1),Questions!$A:$E,5,FALSE),1,0)</f>
        <v>0</v>
      </c>
      <c r="BB215" s="4">
        <f>IF(Q215=VLOOKUP(VALUE(Q$1),Questions!$A:$E,5,FALSE),1,0)</f>
        <v>0</v>
      </c>
      <c r="BC215" s="4">
        <f>IF(R215=VLOOKUP(VALUE(R$1),Questions!$A:$E,5,FALSE),1,0)</f>
        <v>0</v>
      </c>
      <c r="BD215" s="4">
        <f>IF(S215=VLOOKUP(VALUE(S$1),Questions!$A:$E,5,FALSE),1,0)</f>
        <v>0</v>
      </c>
      <c r="BE215" s="4">
        <f>IF(T215=VLOOKUP(VALUE(T$1),Questions!$A:$E,5,FALSE),1,0)</f>
        <v>0</v>
      </c>
      <c r="BF215" s="4">
        <f>IF(U215=VLOOKUP(VALUE(U$1),Questions!$A:$E,5,FALSE),1,0)</f>
        <v>0</v>
      </c>
      <c r="BG215" s="4">
        <f>IF(V215=VLOOKUP(VALUE(V$1),Questions!$A:$E,5,FALSE),1,0)</f>
        <v>0</v>
      </c>
      <c r="BH215" s="4">
        <f>IF(W215=VLOOKUP(VALUE(W$1),Questions!$A:$E,5,FALSE),1,0)</f>
        <v>0</v>
      </c>
      <c r="BI215" s="4">
        <f>IF(X215=VLOOKUP(VALUE(X$1),Questions!$A:$E,5,FALSE),1,0)</f>
        <v>0</v>
      </c>
      <c r="BJ215" s="4">
        <f>IF(Y215=VLOOKUP(VALUE(Y$1),Questions!$A:$E,5,FALSE),1,0)</f>
        <v>0</v>
      </c>
      <c r="BK215" s="4">
        <f>IF(Z215=VLOOKUP(VALUE(Z$1),Questions!$A:$E,5,FALSE),1,0)</f>
        <v>0</v>
      </c>
      <c r="BL215" s="4">
        <f>IF(AA215=VLOOKUP(VALUE(AA$1),Questions!$A:$E,5,FALSE),1,0)</f>
        <v>0</v>
      </c>
      <c r="BM215" s="4">
        <f>IF(AB215=VLOOKUP(VALUE(AB$1),Questions!$A:$E,5,FALSE),1,0)</f>
        <v>0</v>
      </c>
      <c r="BN215" s="4">
        <f>IF(AC215=VLOOKUP(VALUE(AC$1),Questions!$A:$E,5,FALSE),1,0)</f>
        <v>0</v>
      </c>
      <c r="BO215" s="4">
        <f>IF(AD215=VLOOKUP(VALUE(AD$1),Questions!$A:$E,5,FALSE),1,0)</f>
        <v>0</v>
      </c>
      <c r="BP215" s="4">
        <f>IF(AE215=VLOOKUP(VALUE(AE$1),Questions!$A:$E,5,FALSE),1,0)</f>
        <v>0</v>
      </c>
      <c r="BQ215" s="4">
        <f>IF(AF215=VLOOKUP(VALUE(AF$1),Questions!$A:$E,5,FALSE),1,0)</f>
        <v>0</v>
      </c>
      <c r="BR215" s="4">
        <f>IF(AG215=VLOOKUP(VALUE(AG$1),Questions!$A:$E,5,FALSE),1,0)</f>
        <v>0</v>
      </c>
      <c r="BS215" s="4">
        <f>IF(AH215=VLOOKUP(VALUE(AH$1),Questions!$A:$E,5,FALSE),1,0)</f>
        <v>0</v>
      </c>
      <c r="BT215" s="4">
        <f>IF(AI215=VLOOKUP(VALUE(AI$1),Questions!$A:$E,5,FALSE),1,0)</f>
        <v>0</v>
      </c>
      <c r="BU215" s="4">
        <f>IF(AJ215=VLOOKUP(VALUE(AJ$1),Questions!$A:$E,5,FALSE),1,0)</f>
        <v>0</v>
      </c>
      <c r="BV215" s="4">
        <f>IF(AK215=VLOOKUP(VALUE(AK$1),Questions!$A:$E,5,FALSE),1,0)</f>
        <v>0</v>
      </c>
      <c r="BW215" s="87">
        <f>IF(AL215=VLOOKUP(VALUE(AL$1),Questions!$A:$E,5,FALSE),1,0)</f>
        <v>0</v>
      </c>
      <c r="BX215" s="4">
        <f>IF(Scores[[#This Row],[Final]]&gt;=65,1,0)</f>
        <v>0</v>
      </c>
      <c r="BY215" s="4">
        <f>IF(Scores[[#This Row],[Final]]&gt;=IF(Scores[[#This Row],[IEP]],55,65),1,0)</f>
        <v>0</v>
      </c>
    </row>
    <row r="216" spans="1:77" x14ac:dyDescent="0.2">
      <c r="A216" s="6">
        <v>215</v>
      </c>
      <c r="B216" s="4">
        <v>9</v>
      </c>
      <c r="C216" s="4" t="s">
        <v>963</v>
      </c>
      <c r="D216" s="105" t="b">
        <v>0</v>
      </c>
      <c r="E216" s="105" t="b">
        <v>0</v>
      </c>
      <c r="F216" s="86">
        <f>SUM(Scores[[#This Row],[Q1]:[Q28]])</f>
        <v>19</v>
      </c>
      <c r="G216" s="4">
        <f>SUM(Scores[[#This Row],[29]]:Scores[[#This Row],[30]])</f>
        <v>3</v>
      </c>
      <c r="H216" s="4">
        <f>SUM(Scores[[#This Row],[31]:[36]])</f>
        <v>6</v>
      </c>
      <c r="I216" s="4">
        <f>Scores[[#This Row],[37]]</f>
        <v>2.5</v>
      </c>
      <c r="J216" s="87">
        <f>INDEX('Conversion Chart'!$C$3:$M$47,MATCH(SUM(Scores[[#This Row],[MC]:[IIIA]]),'Conversion Chart'!$B$3:$B$47),MATCH(Scores[[#This Row],[IIIB]],'Conversion Chart'!$C$2:$M$2))</f>
        <v>73</v>
      </c>
      <c r="K216" s="103">
        <v>4</v>
      </c>
      <c r="L216" s="103">
        <v>2</v>
      </c>
      <c r="M216" s="103">
        <v>1</v>
      </c>
      <c r="N216" s="103">
        <v>3</v>
      </c>
      <c r="O216" s="103">
        <v>1</v>
      </c>
      <c r="P216" s="103">
        <v>3</v>
      </c>
      <c r="Q216" s="103">
        <v>3</v>
      </c>
      <c r="R216" s="103">
        <v>2</v>
      </c>
      <c r="S216" s="103">
        <v>2</v>
      </c>
      <c r="T216" s="103">
        <v>1</v>
      </c>
      <c r="U216" s="103">
        <v>2</v>
      </c>
      <c r="V216" s="103">
        <v>3</v>
      </c>
      <c r="W216" s="103">
        <v>2</v>
      </c>
      <c r="X216" s="103">
        <v>4</v>
      </c>
      <c r="Y216" s="103">
        <v>4</v>
      </c>
      <c r="Z216" s="103">
        <v>1</v>
      </c>
      <c r="AA216" s="103">
        <v>3</v>
      </c>
      <c r="AB216" s="103">
        <v>4</v>
      </c>
      <c r="AC216" s="103">
        <v>2</v>
      </c>
      <c r="AD216" s="103">
        <v>4</v>
      </c>
      <c r="AE216" s="103">
        <v>3</v>
      </c>
      <c r="AF216" s="103">
        <v>1</v>
      </c>
      <c r="AG216" s="103">
        <v>3</v>
      </c>
      <c r="AH216" s="103">
        <v>2</v>
      </c>
      <c r="AI216" s="103">
        <v>1</v>
      </c>
      <c r="AJ216" s="103">
        <v>4</v>
      </c>
      <c r="AK216" s="103">
        <v>1</v>
      </c>
      <c r="AL216" s="104">
        <v>3</v>
      </c>
      <c r="AM216" s="4">
        <v>1</v>
      </c>
      <c r="AN216" s="87">
        <v>2</v>
      </c>
      <c r="AO216" s="4">
        <v>1</v>
      </c>
      <c r="AP216" s="4">
        <v>1</v>
      </c>
      <c r="AQ216" s="4">
        <v>1</v>
      </c>
      <c r="AR216" s="4">
        <v>1</v>
      </c>
      <c r="AS216" s="4">
        <v>1</v>
      </c>
      <c r="AT216" s="4">
        <v>1</v>
      </c>
      <c r="AU216" s="107">
        <v>2.5</v>
      </c>
      <c r="AV216" s="4">
        <f>IF(K216=VLOOKUP(VALUE(K$1),Questions!$A:$E,5,FALSE),1,0)</f>
        <v>1</v>
      </c>
      <c r="AW216" s="4">
        <f>IF(L216=VLOOKUP(VALUE(L$1),Questions!$A:$E,5,FALSE),1,0)</f>
        <v>1</v>
      </c>
      <c r="AX216" s="4">
        <f>IF(M216=VLOOKUP(VALUE(M$1),Questions!$A:$E,5,FALSE),1,0)</f>
        <v>0</v>
      </c>
      <c r="AY216" s="4">
        <f>IF(N216=VLOOKUP(VALUE(N$1),Questions!$A:$E,5,FALSE),1,0)</f>
        <v>1</v>
      </c>
      <c r="AZ216" s="4">
        <f>IF(O216=VLOOKUP(VALUE(O$1),Questions!$A:$E,5,FALSE),1,0)</f>
        <v>1</v>
      </c>
      <c r="BA216" s="4">
        <f>IF(P216=VLOOKUP(VALUE(P$1),Questions!$A:$E,5,FALSE),1,0)</f>
        <v>0</v>
      </c>
      <c r="BB216" s="4">
        <f>IF(Q216=VLOOKUP(VALUE(Q$1),Questions!$A:$E,5,FALSE),1,0)</f>
        <v>1</v>
      </c>
      <c r="BC216" s="4">
        <f>IF(R216=VLOOKUP(VALUE(R$1),Questions!$A:$E,5,FALSE),1,0)</f>
        <v>1</v>
      </c>
      <c r="BD216" s="4">
        <f>IF(S216=VLOOKUP(VALUE(S$1),Questions!$A:$E,5,FALSE),1,0)</f>
        <v>1</v>
      </c>
      <c r="BE216" s="4">
        <f>IF(T216=VLOOKUP(VALUE(T$1),Questions!$A:$E,5,FALSE),1,0)</f>
        <v>1</v>
      </c>
      <c r="BF216" s="4">
        <f>IF(U216=VLOOKUP(VALUE(U$1),Questions!$A:$E,5,FALSE),1,0)</f>
        <v>1</v>
      </c>
      <c r="BG216" s="4">
        <f>IF(V216=VLOOKUP(VALUE(V$1),Questions!$A:$E,5,FALSE),1,0)</f>
        <v>0</v>
      </c>
      <c r="BH216" s="4">
        <f>IF(W216=VLOOKUP(VALUE(W$1),Questions!$A:$E,5,FALSE),1,0)</f>
        <v>1</v>
      </c>
      <c r="BI216" s="4">
        <f>IF(X216=VLOOKUP(VALUE(X$1),Questions!$A:$E,5,FALSE),1,0)</f>
        <v>1</v>
      </c>
      <c r="BJ216" s="4">
        <f>IF(Y216=VLOOKUP(VALUE(Y$1),Questions!$A:$E,5,FALSE),1,0)</f>
        <v>0</v>
      </c>
      <c r="BK216" s="4">
        <f>IF(Z216=VLOOKUP(VALUE(Z$1),Questions!$A:$E,5,FALSE),1,0)</f>
        <v>1</v>
      </c>
      <c r="BL216" s="4">
        <f>IF(AA216=VLOOKUP(VALUE(AA$1),Questions!$A:$E,5,FALSE),1,0)</f>
        <v>0</v>
      </c>
      <c r="BM216" s="4">
        <f>IF(AB216=VLOOKUP(VALUE(AB$1),Questions!$A:$E,5,FALSE),1,0)</f>
        <v>1</v>
      </c>
      <c r="BN216" s="4">
        <f>IF(AC216=VLOOKUP(VALUE(AC$1),Questions!$A:$E,5,FALSE),1,0)</f>
        <v>0</v>
      </c>
      <c r="BO216" s="4">
        <f>IF(AD216=VLOOKUP(VALUE(AD$1),Questions!$A:$E,5,FALSE),1,0)</f>
        <v>1</v>
      </c>
      <c r="BP216" s="4">
        <f>IF(AE216=VLOOKUP(VALUE(AE$1),Questions!$A:$E,5,FALSE),1,0)</f>
        <v>0</v>
      </c>
      <c r="BQ216" s="4">
        <f>IF(AF216=VLOOKUP(VALUE(AF$1),Questions!$A:$E,5,FALSE),1,0)</f>
        <v>0</v>
      </c>
      <c r="BR216" s="4">
        <f>IF(AG216=VLOOKUP(VALUE(AG$1),Questions!$A:$E,5,FALSE),1,0)</f>
        <v>1</v>
      </c>
      <c r="BS216" s="4">
        <f>IF(AH216=VLOOKUP(VALUE(AH$1),Questions!$A:$E,5,FALSE),1,0)</f>
        <v>0</v>
      </c>
      <c r="BT216" s="4">
        <f>IF(AI216=VLOOKUP(VALUE(AI$1),Questions!$A:$E,5,FALSE),1,0)</f>
        <v>1</v>
      </c>
      <c r="BU216" s="4">
        <f>IF(AJ216=VLOOKUP(VALUE(AJ$1),Questions!$A:$E,5,FALSE),1,0)</f>
        <v>1</v>
      </c>
      <c r="BV216" s="4">
        <f>IF(AK216=VLOOKUP(VALUE(AK$1),Questions!$A:$E,5,FALSE),1,0)</f>
        <v>1</v>
      </c>
      <c r="BW216" s="87">
        <f>IF(AL216=VLOOKUP(VALUE(AL$1),Questions!$A:$E,5,FALSE),1,0)</f>
        <v>1</v>
      </c>
      <c r="BX216" s="4">
        <f>IF(Scores[[#This Row],[Final]]&gt;=65,1,0)</f>
        <v>1</v>
      </c>
      <c r="BY216" s="4">
        <f>IF(Scores[[#This Row],[Final]]&gt;=IF(Scores[[#This Row],[IEP]],55,65),1,0)</f>
        <v>1</v>
      </c>
    </row>
    <row r="217" spans="1:77" x14ac:dyDescent="0.2">
      <c r="A217" s="6">
        <v>216</v>
      </c>
      <c r="B217" s="4">
        <v>9</v>
      </c>
      <c r="C217" s="4" t="s">
        <v>964</v>
      </c>
      <c r="D217" s="105" t="b">
        <v>0</v>
      </c>
      <c r="E217" s="105" t="b">
        <v>0</v>
      </c>
      <c r="F217" s="86">
        <f>SUM(Scores[[#This Row],[Q1]:[Q28]])</f>
        <v>14</v>
      </c>
      <c r="G217" s="4">
        <f>SUM(Scores[[#This Row],[29]]:Scores[[#This Row],[30]])</f>
        <v>4</v>
      </c>
      <c r="H217" s="4">
        <f>SUM(Scores[[#This Row],[31]:[36]])</f>
        <v>6</v>
      </c>
      <c r="I217" s="4">
        <f>Scores[[#This Row],[37]]</f>
        <v>3.5</v>
      </c>
      <c r="J217" s="87">
        <f>INDEX('Conversion Chart'!$C$3:$M$47,MATCH(SUM(Scores[[#This Row],[MC]:[IIIA]]),'Conversion Chart'!$B$3:$B$47),MATCH(Scores[[#This Row],[IIIB]],'Conversion Chart'!$C$2:$M$2))</f>
        <v>72</v>
      </c>
      <c r="K217" s="103">
        <v>4</v>
      </c>
      <c r="L217" s="103">
        <v>1</v>
      </c>
      <c r="M217" s="103">
        <v>3</v>
      </c>
      <c r="N217" s="103">
        <v>1</v>
      </c>
      <c r="O217" s="103">
        <v>1</v>
      </c>
      <c r="P217" s="103">
        <v>2</v>
      </c>
      <c r="Q217" s="103">
        <v>3</v>
      </c>
      <c r="R217" s="103">
        <v>3</v>
      </c>
      <c r="S217" s="103">
        <v>4</v>
      </c>
      <c r="T217" s="103">
        <v>2</v>
      </c>
      <c r="U217" s="103" t="s">
        <v>952</v>
      </c>
      <c r="V217" s="103">
        <v>3</v>
      </c>
      <c r="W217" s="103">
        <v>2</v>
      </c>
      <c r="X217" s="103">
        <v>4</v>
      </c>
      <c r="Y217" s="103">
        <v>2</v>
      </c>
      <c r="Z217" s="103">
        <v>1</v>
      </c>
      <c r="AA217" s="103">
        <v>1</v>
      </c>
      <c r="AB217" s="103">
        <v>4</v>
      </c>
      <c r="AC217" s="103">
        <v>2</v>
      </c>
      <c r="AD217" s="103">
        <v>4</v>
      </c>
      <c r="AE217" s="103">
        <v>4</v>
      </c>
      <c r="AF217" s="103">
        <v>2</v>
      </c>
      <c r="AG217" s="103">
        <v>4</v>
      </c>
      <c r="AH217" s="103">
        <v>2</v>
      </c>
      <c r="AI217" s="103">
        <v>2</v>
      </c>
      <c r="AJ217" s="103">
        <v>4</v>
      </c>
      <c r="AK217" s="103">
        <v>1</v>
      </c>
      <c r="AL217" s="104">
        <v>3</v>
      </c>
      <c r="AM217" s="4">
        <v>3</v>
      </c>
      <c r="AN217" s="87">
        <v>1</v>
      </c>
      <c r="AO217" s="4">
        <v>1</v>
      </c>
      <c r="AP217" s="4">
        <v>1</v>
      </c>
      <c r="AQ217" s="4">
        <v>1</v>
      </c>
      <c r="AR217" s="4">
        <v>1</v>
      </c>
      <c r="AS217" s="4">
        <v>1</v>
      </c>
      <c r="AT217" s="4">
        <v>1</v>
      </c>
      <c r="AU217" s="107">
        <v>3.5</v>
      </c>
      <c r="AV217" s="4">
        <f>IF(K217=VLOOKUP(VALUE(K$1),Questions!$A:$E,5,FALSE),1,0)</f>
        <v>1</v>
      </c>
      <c r="AW217" s="4">
        <f>IF(L217=VLOOKUP(VALUE(L$1),Questions!$A:$E,5,FALSE),1,0)</f>
        <v>0</v>
      </c>
      <c r="AX217" s="4">
        <f>IF(M217=VLOOKUP(VALUE(M$1),Questions!$A:$E,5,FALSE),1,0)</f>
        <v>1</v>
      </c>
      <c r="AY217" s="4">
        <f>IF(N217=VLOOKUP(VALUE(N$1),Questions!$A:$E,5,FALSE),1,0)</f>
        <v>0</v>
      </c>
      <c r="AZ217" s="4">
        <f>IF(O217=VLOOKUP(VALUE(O$1),Questions!$A:$E,5,FALSE),1,0)</f>
        <v>1</v>
      </c>
      <c r="BA217" s="4">
        <f>IF(P217=VLOOKUP(VALUE(P$1),Questions!$A:$E,5,FALSE),1,0)</f>
        <v>0</v>
      </c>
      <c r="BB217" s="4">
        <f>IF(Q217=VLOOKUP(VALUE(Q$1),Questions!$A:$E,5,FALSE),1,0)</f>
        <v>1</v>
      </c>
      <c r="BC217" s="4">
        <f>IF(R217=VLOOKUP(VALUE(R$1),Questions!$A:$E,5,FALSE),1,0)</f>
        <v>0</v>
      </c>
      <c r="BD217" s="4">
        <f>IF(S217=VLOOKUP(VALUE(S$1),Questions!$A:$E,5,FALSE),1,0)</f>
        <v>0</v>
      </c>
      <c r="BE217" s="4">
        <f>IF(T217=VLOOKUP(VALUE(T$1),Questions!$A:$E,5,FALSE),1,0)</f>
        <v>0</v>
      </c>
      <c r="BF217" s="4">
        <f>IF(U217=VLOOKUP(VALUE(U$1),Questions!$A:$E,5,FALSE),1,0)</f>
        <v>0</v>
      </c>
      <c r="BG217" s="4">
        <f>IF(V217=VLOOKUP(VALUE(V$1),Questions!$A:$E,5,FALSE),1,0)</f>
        <v>0</v>
      </c>
      <c r="BH217" s="4">
        <f>IF(W217=VLOOKUP(VALUE(W$1),Questions!$A:$E,5,FALSE),1,0)</f>
        <v>1</v>
      </c>
      <c r="BI217" s="4">
        <f>IF(X217=VLOOKUP(VALUE(X$1),Questions!$A:$E,5,FALSE),1,0)</f>
        <v>1</v>
      </c>
      <c r="BJ217" s="4">
        <f>IF(Y217=VLOOKUP(VALUE(Y$1),Questions!$A:$E,5,FALSE),1,0)</f>
        <v>0</v>
      </c>
      <c r="BK217" s="4">
        <f>IF(Z217=VLOOKUP(VALUE(Z$1),Questions!$A:$E,5,FALSE),1,0)</f>
        <v>1</v>
      </c>
      <c r="BL217" s="4">
        <f>IF(AA217=VLOOKUP(VALUE(AA$1),Questions!$A:$E,5,FALSE),1,0)</f>
        <v>1</v>
      </c>
      <c r="BM217" s="4">
        <f>IF(AB217=VLOOKUP(VALUE(AB$1),Questions!$A:$E,5,FALSE),1,0)</f>
        <v>1</v>
      </c>
      <c r="BN217" s="4">
        <f>IF(AC217=VLOOKUP(VALUE(AC$1),Questions!$A:$E,5,FALSE),1,0)</f>
        <v>0</v>
      </c>
      <c r="BO217" s="4">
        <f>IF(AD217=VLOOKUP(VALUE(AD$1),Questions!$A:$E,5,FALSE),1,0)</f>
        <v>1</v>
      </c>
      <c r="BP217" s="4">
        <f>IF(AE217=VLOOKUP(VALUE(AE$1),Questions!$A:$E,5,FALSE),1,0)</f>
        <v>0</v>
      </c>
      <c r="BQ217" s="4">
        <f>IF(AF217=VLOOKUP(VALUE(AF$1),Questions!$A:$E,5,FALSE),1,0)</f>
        <v>1</v>
      </c>
      <c r="BR217" s="4">
        <f>IF(AG217=VLOOKUP(VALUE(AG$1),Questions!$A:$E,5,FALSE),1,0)</f>
        <v>0</v>
      </c>
      <c r="BS217" s="4">
        <f>IF(AH217=VLOOKUP(VALUE(AH$1),Questions!$A:$E,5,FALSE),1,0)</f>
        <v>0</v>
      </c>
      <c r="BT217" s="4">
        <f>IF(AI217=VLOOKUP(VALUE(AI$1),Questions!$A:$E,5,FALSE),1,0)</f>
        <v>0</v>
      </c>
      <c r="BU217" s="4">
        <f>IF(AJ217=VLOOKUP(VALUE(AJ$1),Questions!$A:$E,5,FALSE),1,0)</f>
        <v>1</v>
      </c>
      <c r="BV217" s="4">
        <f>IF(AK217=VLOOKUP(VALUE(AK$1),Questions!$A:$E,5,FALSE),1,0)</f>
        <v>1</v>
      </c>
      <c r="BW217" s="87">
        <f>IF(AL217=VLOOKUP(VALUE(AL$1),Questions!$A:$E,5,FALSE),1,0)</f>
        <v>1</v>
      </c>
      <c r="BX217" s="4">
        <f>IF(Scores[[#This Row],[Final]]&gt;=65,1,0)</f>
        <v>1</v>
      </c>
      <c r="BY217" s="4">
        <f>IF(Scores[[#This Row],[Final]]&gt;=IF(Scores[[#This Row],[IEP]],55,65),1,0)</f>
        <v>1</v>
      </c>
    </row>
    <row r="218" spans="1:77" x14ac:dyDescent="0.2">
      <c r="A218" s="6">
        <v>217</v>
      </c>
      <c r="B218" s="4">
        <v>9</v>
      </c>
      <c r="C218" s="4" t="s">
        <v>963</v>
      </c>
      <c r="D218" s="105" t="b">
        <v>0</v>
      </c>
      <c r="E218" s="105" t="b">
        <v>0</v>
      </c>
      <c r="F218" s="86">
        <f>SUM(Scores[[#This Row],[Q1]:[Q28]])</f>
        <v>7</v>
      </c>
      <c r="G218" s="4">
        <f>SUM(Scores[[#This Row],[29]]:Scores[[#This Row],[30]])</f>
        <v>0</v>
      </c>
      <c r="H218" s="4">
        <f>SUM(Scores[[#This Row],[31]:[36]])</f>
        <v>5</v>
      </c>
      <c r="I218" s="4">
        <f>Scores[[#This Row],[37]]</f>
        <v>0</v>
      </c>
      <c r="J218" s="87">
        <f>INDEX('Conversion Chart'!$C$3:$M$47,MATCH(SUM(Scores[[#This Row],[MC]:[IIIA]]),'Conversion Chart'!$B$3:$B$47),MATCH(Scores[[#This Row],[IIIB]],'Conversion Chart'!$C$2:$M$2))</f>
        <v>36</v>
      </c>
      <c r="K218" s="103">
        <v>2</v>
      </c>
      <c r="L218" s="103">
        <v>1</v>
      </c>
      <c r="M218" s="103">
        <v>3</v>
      </c>
      <c r="N218" s="103">
        <v>1</v>
      </c>
      <c r="O218" s="103">
        <v>4</v>
      </c>
      <c r="P218" s="103">
        <v>1</v>
      </c>
      <c r="Q218" s="103">
        <v>3</v>
      </c>
      <c r="R218" s="103">
        <v>2</v>
      </c>
      <c r="S218" s="103">
        <v>2</v>
      </c>
      <c r="T218" s="103">
        <v>3</v>
      </c>
      <c r="U218" s="103">
        <v>4</v>
      </c>
      <c r="V218" s="103">
        <v>3</v>
      </c>
      <c r="W218" s="103">
        <v>1</v>
      </c>
      <c r="X218" s="103">
        <v>4</v>
      </c>
      <c r="Y218" s="103">
        <v>4</v>
      </c>
      <c r="Z218" s="103">
        <v>4</v>
      </c>
      <c r="AA218" s="103">
        <v>1</v>
      </c>
      <c r="AB218" s="103">
        <v>3</v>
      </c>
      <c r="AC218" s="103">
        <v>3</v>
      </c>
      <c r="AD218" s="103">
        <v>2</v>
      </c>
      <c r="AE218" s="103">
        <v>3</v>
      </c>
      <c r="AF218" s="103">
        <v>1</v>
      </c>
      <c r="AG218" s="103">
        <v>2</v>
      </c>
      <c r="AH218" s="103">
        <v>2</v>
      </c>
      <c r="AI218" s="103">
        <v>3</v>
      </c>
      <c r="AJ218" s="103">
        <v>3</v>
      </c>
      <c r="AK218" s="103">
        <v>4</v>
      </c>
      <c r="AL218" s="104">
        <v>1</v>
      </c>
      <c r="AM218" s="4">
        <v>0</v>
      </c>
      <c r="AN218" s="87">
        <v>0</v>
      </c>
      <c r="AO218" s="4">
        <v>1</v>
      </c>
      <c r="AP218" s="4">
        <v>0</v>
      </c>
      <c r="AQ218" s="4">
        <v>1</v>
      </c>
      <c r="AR218" s="4">
        <v>1</v>
      </c>
      <c r="AS218" s="4">
        <v>1</v>
      </c>
      <c r="AT218" s="4">
        <v>1</v>
      </c>
      <c r="AU218" s="107">
        <v>0</v>
      </c>
      <c r="AV218" s="4">
        <f>IF(K218=VLOOKUP(VALUE(K$1),Questions!$A:$E,5,FALSE),1,0)</f>
        <v>0</v>
      </c>
      <c r="AW218" s="4">
        <f>IF(L218=VLOOKUP(VALUE(L$1),Questions!$A:$E,5,FALSE),1,0)</f>
        <v>0</v>
      </c>
      <c r="AX218" s="4">
        <f>IF(M218=VLOOKUP(VALUE(M$1),Questions!$A:$E,5,FALSE),1,0)</f>
        <v>1</v>
      </c>
      <c r="AY218" s="4">
        <f>IF(N218=VLOOKUP(VALUE(N$1),Questions!$A:$E,5,FALSE),1,0)</f>
        <v>0</v>
      </c>
      <c r="AZ218" s="4">
        <f>IF(O218=VLOOKUP(VALUE(O$1),Questions!$A:$E,5,FALSE),1,0)</f>
        <v>0</v>
      </c>
      <c r="BA218" s="4">
        <f>IF(P218=VLOOKUP(VALUE(P$1),Questions!$A:$E,5,FALSE),1,0)</f>
        <v>0</v>
      </c>
      <c r="BB218" s="4">
        <f>IF(Q218=VLOOKUP(VALUE(Q$1),Questions!$A:$E,5,FALSE),1,0)</f>
        <v>1</v>
      </c>
      <c r="BC218" s="4">
        <f>IF(R218=VLOOKUP(VALUE(R$1),Questions!$A:$E,5,FALSE),1,0)</f>
        <v>1</v>
      </c>
      <c r="BD218" s="4">
        <f>IF(S218=VLOOKUP(VALUE(S$1),Questions!$A:$E,5,FALSE),1,0)</f>
        <v>1</v>
      </c>
      <c r="BE218" s="4">
        <f>IF(T218=VLOOKUP(VALUE(T$1),Questions!$A:$E,5,FALSE),1,0)</f>
        <v>0</v>
      </c>
      <c r="BF218" s="4">
        <f>IF(U218=VLOOKUP(VALUE(U$1),Questions!$A:$E,5,FALSE),1,0)</f>
        <v>0</v>
      </c>
      <c r="BG218" s="4">
        <f>IF(V218=VLOOKUP(VALUE(V$1),Questions!$A:$E,5,FALSE),1,0)</f>
        <v>0</v>
      </c>
      <c r="BH218" s="4">
        <f>IF(W218=VLOOKUP(VALUE(W$1),Questions!$A:$E,5,FALSE),1,0)</f>
        <v>0</v>
      </c>
      <c r="BI218" s="4">
        <f>IF(X218=VLOOKUP(VALUE(X$1),Questions!$A:$E,5,FALSE),1,0)</f>
        <v>1</v>
      </c>
      <c r="BJ218" s="4">
        <f>IF(Y218=VLOOKUP(VALUE(Y$1),Questions!$A:$E,5,FALSE),1,0)</f>
        <v>0</v>
      </c>
      <c r="BK218" s="4">
        <f>IF(Z218=VLOOKUP(VALUE(Z$1),Questions!$A:$E,5,FALSE),1,0)</f>
        <v>0</v>
      </c>
      <c r="BL218" s="4">
        <f>IF(AA218=VLOOKUP(VALUE(AA$1),Questions!$A:$E,5,FALSE),1,0)</f>
        <v>1</v>
      </c>
      <c r="BM218" s="4">
        <f>IF(AB218=VLOOKUP(VALUE(AB$1),Questions!$A:$E,5,FALSE),1,0)</f>
        <v>0</v>
      </c>
      <c r="BN218" s="4">
        <f>IF(AC218=VLOOKUP(VALUE(AC$1),Questions!$A:$E,5,FALSE),1,0)</f>
        <v>1</v>
      </c>
      <c r="BO218" s="4">
        <f>IF(AD218=VLOOKUP(VALUE(AD$1),Questions!$A:$E,5,FALSE),1,0)</f>
        <v>0</v>
      </c>
      <c r="BP218" s="4">
        <f>IF(AE218=VLOOKUP(VALUE(AE$1),Questions!$A:$E,5,FALSE),1,0)</f>
        <v>0</v>
      </c>
      <c r="BQ218" s="4">
        <f>IF(AF218=VLOOKUP(VALUE(AF$1),Questions!$A:$E,5,FALSE),1,0)</f>
        <v>0</v>
      </c>
      <c r="BR218" s="4">
        <f>IF(AG218=VLOOKUP(VALUE(AG$1),Questions!$A:$E,5,FALSE),1,0)</f>
        <v>0</v>
      </c>
      <c r="BS218" s="4">
        <f>IF(AH218=VLOOKUP(VALUE(AH$1),Questions!$A:$E,5,FALSE),1,0)</f>
        <v>0</v>
      </c>
      <c r="BT218" s="4">
        <f>IF(AI218=VLOOKUP(VALUE(AI$1),Questions!$A:$E,5,FALSE),1,0)</f>
        <v>0</v>
      </c>
      <c r="BU218" s="4">
        <f>IF(AJ218=VLOOKUP(VALUE(AJ$1),Questions!$A:$E,5,FALSE),1,0)</f>
        <v>0</v>
      </c>
      <c r="BV218" s="4">
        <f>IF(AK218=VLOOKUP(VALUE(AK$1),Questions!$A:$E,5,FALSE),1,0)</f>
        <v>0</v>
      </c>
      <c r="BW218" s="87">
        <f>IF(AL218=VLOOKUP(VALUE(AL$1),Questions!$A:$E,5,FALSE),1,0)</f>
        <v>0</v>
      </c>
      <c r="BX218" s="4">
        <f>IF(Scores[[#This Row],[Final]]&gt;=65,1,0)</f>
        <v>0</v>
      </c>
      <c r="BY218" s="4">
        <f>IF(Scores[[#This Row],[Final]]&gt;=IF(Scores[[#This Row],[IEP]],55,65),1,0)</f>
        <v>0</v>
      </c>
    </row>
    <row r="219" spans="1:77" x14ac:dyDescent="0.2">
      <c r="A219" s="6">
        <v>218</v>
      </c>
      <c r="B219" s="4">
        <v>9</v>
      </c>
      <c r="C219" s="4" t="s">
        <v>964</v>
      </c>
      <c r="D219" s="105" t="b">
        <v>0</v>
      </c>
      <c r="E219" s="105" t="b">
        <v>0</v>
      </c>
      <c r="F219" s="86">
        <f>SUM(Scores[[#This Row],[Q1]:[Q28]])</f>
        <v>13</v>
      </c>
      <c r="G219" s="4">
        <f>SUM(Scores[[#This Row],[29]]:Scores[[#This Row],[30]])</f>
        <v>0</v>
      </c>
      <c r="H219" s="4">
        <f>SUM(Scores[[#This Row],[31]:[36]])</f>
        <v>4</v>
      </c>
      <c r="I219" s="4">
        <f>Scores[[#This Row],[37]]</f>
        <v>0</v>
      </c>
      <c r="J219" s="87">
        <f>INDEX('Conversion Chart'!$C$3:$M$47,MATCH(SUM(Scores[[#This Row],[MC]:[IIIA]]),'Conversion Chart'!$B$3:$B$47),MATCH(Scores[[#This Row],[IIIB]],'Conversion Chart'!$C$2:$M$2))</f>
        <v>46</v>
      </c>
      <c r="K219" s="103">
        <v>4</v>
      </c>
      <c r="L219" s="103">
        <v>2</v>
      </c>
      <c r="M219" s="103">
        <v>2</v>
      </c>
      <c r="N219" s="103">
        <v>3</v>
      </c>
      <c r="O219" s="103">
        <v>1</v>
      </c>
      <c r="P219" s="103">
        <v>3</v>
      </c>
      <c r="Q219" s="103">
        <v>1</v>
      </c>
      <c r="R219" s="103">
        <v>2</v>
      </c>
      <c r="S219" s="103">
        <v>2</v>
      </c>
      <c r="T219" s="103">
        <v>1</v>
      </c>
      <c r="U219" s="103">
        <v>2</v>
      </c>
      <c r="V219" s="103">
        <v>3</v>
      </c>
      <c r="W219" s="103">
        <v>3</v>
      </c>
      <c r="X219" s="103">
        <v>3</v>
      </c>
      <c r="Y219" s="103">
        <v>2</v>
      </c>
      <c r="Z219" s="103">
        <v>2</v>
      </c>
      <c r="AA219" s="103">
        <v>3</v>
      </c>
      <c r="AB219" s="103" t="s">
        <v>953</v>
      </c>
      <c r="AC219" s="103">
        <v>2</v>
      </c>
      <c r="AD219" s="103">
        <v>2</v>
      </c>
      <c r="AE219" s="103">
        <v>1</v>
      </c>
      <c r="AF219" s="103">
        <v>2</v>
      </c>
      <c r="AG219" s="103">
        <v>3</v>
      </c>
      <c r="AH219" s="103">
        <v>2</v>
      </c>
      <c r="AI219" s="103">
        <v>1</v>
      </c>
      <c r="AJ219" s="103">
        <v>3</v>
      </c>
      <c r="AK219" s="103">
        <v>1</v>
      </c>
      <c r="AL219" s="104">
        <v>3</v>
      </c>
      <c r="AM219" s="4">
        <v>0</v>
      </c>
      <c r="AN219" s="87">
        <v>0</v>
      </c>
      <c r="AO219" s="4">
        <v>1</v>
      </c>
      <c r="AP219" s="4">
        <v>1</v>
      </c>
      <c r="AQ219" s="4">
        <v>1</v>
      </c>
      <c r="AR219" s="4">
        <v>0</v>
      </c>
      <c r="AS219" s="4">
        <v>1</v>
      </c>
      <c r="AT219" s="4">
        <v>0</v>
      </c>
      <c r="AU219" s="107">
        <v>0</v>
      </c>
      <c r="AV219" s="4">
        <f>IF(K219=VLOOKUP(VALUE(K$1),Questions!$A:$E,5,FALSE),1,0)</f>
        <v>1</v>
      </c>
      <c r="AW219" s="4">
        <f>IF(L219=VLOOKUP(VALUE(L$1),Questions!$A:$E,5,FALSE),1,0)</f>
        <v>1</v>
      </c>
      <c r="AX219" s="4">
        <f>IF(M219=VLOOKUP(VALUE(M$1),Questions!$A:$E,5,FALSE),1,0)</f>
        <v>0</v>
      </c>
      <c r="AY219" s="4">
        <f>IF(N219=VLOOKUP(VALUE(N$1),Questions!$A:$E,5,FALSE),1,0)</f>
        <v>1</v>
      </c>
      <c r="AZ219" s="4">
        <f>IF(O219=VLOOKUP(VALUE(O$1),Questions!$A:$E,5,FALSE),1,0)</f>
        <v>1</v>
      </c>
      <c r="BA219" s="4">
        <f>IF(P219=VLOOKUP(VALUE(P$1),Questions!$A:$E,5,FALSE),1,0)</f>
        <v>0</v>
      </c>
      <c r="BB219" s="4">
        <f>IF(Q219=VLOOKUP(VALUE(Q$1),Questions!$A:$E,5,FALSE),1,0)</f>
        <v>0</v>
      </c>
      <c r="BC219" s="4">
        <f>IF(R219=VLOOKUP(VALUE(R$1),Questions!$A:$E,5,FALSE),1,0)</f>
        <v>1</v>
      </c>
      <c r="BD219" s="4">
        <f>IF(S219=VLOOKUP(VALUE(S$1),Questions!$A:$E,5,FALSE),1,0)</f>
        <v>1</v>
      </c>
      <c r="BE219" s="4">
        <f>IF(T219=VLOOKUP(VALUE(T$1),Questions!$A:$E,5,FALSE),1,0)</f>
        <v>1</v>
      </c>
      <c r="BF219" s="4">
        <f>IF(U219=VLOOKUP(VALUE(U$1),Questions!$A:$E,5,FALSE),1,0)</f>
        <v>1</v>
      </c>
      <c r="BG219" s="4">
        <f>IF(V219=VLOOKUP(VALUE(V$1),Questions!$A:$E,5,FALSE),1,0)</f>
        <v>0</v>
      </c>
      <c r="BH219" s="4">
        <f>IF(W219=VLOOKUP(VALUE(W$1),Questions!$A:$E,5,FALSE),1,0)</f>
        <v>0</v>
      </c>
      <c r="BI219" s="4">
        <f>IF(X219=VLOOKUP(VALUE(X$1),Questions!$A:$E,5,FALSE),1,0)</f>
        <v>0</v>
      </c>
      <c r="BJ219" s="4">
        <f>IF(Y219=VLOOKUP(VALUE(Y$1),Questions!$A:$E,5,FALSE),1,0)</f>
        <v>0</v>
      </c>
      <c r="BK219" s="4">
        <f>IF(Z219=VLOOKUP(VALUE(Z$1),Questions!$A:$E,5,FALSE),1,0)</f>
        <v>0</v>
      </c>
      <c r="BL219" s="4">
        <f>IF(AA219=VLOOKUP(VALUE(AA$1),Questions!$A:$E,5,FALSE),1,0)</f>
        <v>0</v>
      </c>
      <c r="BM219" s="4">
        <f>IF(AB219=VLOOKUP(VALUE(AB$1),Questions!$A:$E,5,FALSE),1,0)</f>
        <v>0</v>
      </c>
      <c r="BN219" s="4">
        <f>IF(AC219=VLOOKUP(VALUE(AC$1),Questions!$A:$E,5,FALSE),1,0)</f>
        <v>0</v>
      </c>
      <c r="BO219" s="4">
        <f>IF(AD219=VLOOKUP(VALUE(AD$1),Questions!$A:$E,5,FALSE),1,0)</f>
        <v>0</v>
      </c>
      <c r="BP219" s="4">
        <f>IF(AE219=VLOOKUP(VALUE(AE$1),Questions!$A:$E,5,FALSE),1,0)</f>
        <v>0</v>
      </c>
      <c r="BQ219" s="4">
        <f>IF(AF219=VLOOKUP(VALUE(AF$1),Questions!$A:$E,5,FALSE),1,0)</f>
        <v>1</v>
      </c>
      <c r="BR219" s="4">
        <f>IF(AG219=VLOOKUP(VALUE(AG$1),Questions!$A:$E,5,FALSE),1,0)</f>
        <v>1</v>
      </c>
      <c r="BS219" s="4">
        <f>IF(AH219=VLOOKUP(VALUE(AH$1),Questions!$A:$E,5,FALSE),1,0)</f>
        <v>0</v>
      </c>
      <c r="BT219" s="4">
        <f>IF(AI219=VLOOKUP(VALUE(AI$1),Questions!$A:$E,5,FALSE),1,0)</f>
        <v>1</v>
      </c>
      <c r="BU219" s="4">
        <f>IF(AJ219=VLOOKUP(VALUE(AJ$1),Questions!$A:$E,5,FALSE),1,0)</f>
        <v>0</v>
      </c>
      <c r="BV219" s="4">
        <f>IF(AK219=VLOOKUP(VALUE(AK$1),Questions!$A:$E,5,FALSE),1,0)</f>
        <v>1</v>
      </c>
      <c r="BW219" s="87">
        <f>IF(AL219=VLOOKUP(VALUE(AL$1),Questions!$A:$E,5,FALSE),1,0)</f>
        <v>1</v>
      </c>
      <c r="BX219" s="4">
        <f>IF(Scores[[#This Row],[Final]]&gt;=65,1,0)</f>
        <v>0</v>
      </c>
      <c r="BY219" s="4">
        <f>IF(Scores[[#This Row],[Final]]&gt;=IF(Scores[[#This Row],[IEP]],55,65),1,0)</f>
        <v>0</v>
      </c>
    </row>
    <row r="220" spans="1:77" x14ac:dyDescent="0.2">
      <c r="A220" s="6">
        <v>219</v>
      </c>
      <c r="B220" s="4">
        <v>9</v>
      </c>
      <c r="C220" s="4" t="s">
        <v>964</v>
      </c>
      <c r="D220" s="105" t="b">
        <v>0</v>
      </c>
      <c r="E220" s="105" t="b">
        <v>0</v>
      </c>
      <c r="F220" s="86">
        <f>SUM(Scores[[#This Row],[Q1]:[Q28]])</f>
        <v>13</v>
      </c>
      <c r="G220" s="4">
        <f>SUM(Scores[[#This Row],[29]]:Scores[[#This Row],[30]])</f>
        <v>2</v>
      </c>
      <c r="H220" s="4">
        <f>SUM(Scores[[#This Row],[31]:[36]])</f>
        <v>3</v>
      </c>
      <c r="I220" s="4">
        <f>Scores[[#This Row],[37]]</f>
        <v>1</v>
      </c>
      <c r="J220" s="87">
        <f>INDEX('Conversion Chart'!$C$3:$M$47,MATCH(SUM(Scores[[#This Row],[MC]:[IIIA]]),'Conversion Chart'!$B$3:$B$47),MATCH(Scores[[#This Row],[IIIB]],'Conversion Chart'!$C$2:$M$2))</f>
        <v>54</v>
      </c>
      <c r="K220" s="103">
        <v>2</v>
      </c>
      <c r="L220" s="103">
        <v>1</v>
      </c>
      <c r="M220" s="103">
        <v>2</v>
      </c>
      <c r="N220" s="103">
        <v>3</v>
      </c>
      <c r="O220" s="103">
        <v>2</v>
      </c>
      <c r="P220" s="103">
        <v>1</v>
      </c>
      <c r="Q220" s="103">
        <v>3</v>
      </c>
      <c r="R220" s="103">
        <v>2</v>
      </c>
      <c r="S220" s="103">
        <v>2</v>
      </c>
      <c r="T220" s="103">
        <v>1</v>
      </c>
      <c r="U220" s="103">
        <v>1</v>
      </c>
      <c r="V220" s="103">
        <v>2</v>
      </c>
      <c r="W220" s="103">
        <v>2</v>
      </c>
      <c r="X220" s="103">
        <v>2</v>
      </c>
      <c r="Y220" s="103">
        <v>4</v>
      </c>
      <c r="Z220" s="103">
        <v>4</v>
      </c>
      <c r="AA220" s="103">
        <v>1</v>
      </c>
      <c r="AB220" s="103">
        <v>4</v>
      </c>
      <c r="AC220" s="103">
        <v>1</v>
      </c>
      <c r="AD220" s="103">
        <v>3</v>
      </c>
      <c r="AE220" s="103">
        <v>2</v>
      </c>
      <c r="AF220" s="103">
        <v>1</v>
      </c>
      <c r="AG220" s="103">
        <v>3</v>
      </c>
      <c r="AH220" s="103">
        <v>2</v>
      </c>
      <c r="AI220" s="103">
        <v>1</v>
      </c>
      <c r="AJ220" s="103">
        <v>4</v>
      </c>
      <c r="AK220" s="103">
        <v>4</v>
      </c>
      <c r="AL220" s="104">
        <v>3</v>
      </c>
      <c r="AM220" s="4">
        <v>1</v>
      </c>
      <c r="AN220" s="87">
        <v>1</v>
      </c>
      <c r="AO220" s="4">
        <v>0</v>
      </c>
      <c r="AP220" s="4">
        <v>1</v>
      </c>
      <c r="AQ220" s="4">
        <v>0</v>
      </c>
      <c r="AR220" s="4">
        <v>0</v>
      </c>
      <c r="AS220" s="4">
        <v>1</v>
      </c>
      <c r="AT220" s="4">
        <v>1</v>
      </c>
      <c r="AU220" s="107">
        <v>1</v>
      </c>
      <c r="AV220" s="4">
        <f>IF(K220=VLOOKUP(VALUE(K$1),Questions!$A:$E,5,FALSE),1,0)</f>
        <v>0</v>
      </c>
      <c r="AW220" s="4">
        <f>IF(L220=VLOOKUP(VALUE(L$1),Questions!$A:$E,5,FALSE),1,0)</f>
        <v>0</v>
      </c>
      <c r="AX220" s="4">
        <f>IF(M220=VLOOKUP(VALUE(M$1),Questions!$A:$E,5,FALSE),1,0)</f>
        <v>0</v>
      </c>
      <c r="AY220" s="4">
        <f>IF(N220=VLOOKUP(VALUE(N$1),Questions!$A:$E,5,FALSE),1,0)</f>
        <v>1</v>
      </c>
      <c r="AZ220" s="4">
        <f>IF(O220=VLOOKUP(VALUE(O$1),Questions!$A:$E,5,FALSE),1,0)</f>
        <v>0</v>
      </c>
      <c r="BA220" s="4">
        <f>IF(P220=VLOOKUP(VALUE(P$1),Questions!$A:$E,5,FALSE),1,0)</f>
        <v>0</v>
      </c>
      <c r="BB220" s="4">
        <f>IF(Q220=VLOOKUP(VALUE(Q$1),Questions!$A:$E,5,FALSE),1,0)</f>
        <v>1</v>
      </c>
      <c r="BC220" s="4">
        <f>IF(R220=VLOOKUP(VALUE(R$1),Questions!$A:$E,5,FALSE),1,0)</f>
        <v>1</v>
      </c>
      <c r="BD220" s="4">
        <f>IF(S220=VLOOKUP(VALUE(S$1),Questions!$A:$E,5,FALSE),1,0)</f>
        <v>1</v>
      </c>
      <c r="BE220" s="4">
        <f>IF(T220=VLOOKUP(VALUE(T$1),Questions!$A:$E,5,FALSE),1,0)</f>
        <v>1</v>
      </c>
      <c r="BF220" s="4">
        <f>IF(U220=VLOOKUP(VALUE(U$1),Questions!$A:$E,5,FALSE),1,0)</f>
        <v>0</v>
      </c>
      <c r="BG220" s="4">
        <f>IF(V220=VLOOKUP(VALUE(V$1),Questions!$A:$E,5,FALSE),1,0)</f>
        <v>0</v>
      </c>
      <c r="BH220" s="4">
        <f>IF(W220=VLOOKUP(VALUE(W$1),Questions!$A:$E,5,FALSE),1,0)</f>
        <v>1</v>
      </c>
      <c r="BI220" s="4">
        <f>IF(X220=VLOOKUP(VALUE(X$1),Questions!$A:$E,5,FALSE),1,0)</f>
        <v>0</v>
      </c>
      <c r="BJ220" s="4">
        <f>IF(Y220=VLOOKUP(VALUE(Y$1),Questions!$A:$E,5,FALSE),1,0)</f>
        <v>0</v>
      </c>
      <c r="BK220" s="4">
        <f>IF(Z220=VLOOKUP(VALUE(Z$1),Questions!$A:$E,5,FALSE),1,0)</f>
        <v>0</v>
      </c>
      <c r="BL220" s="4">
        <f>IF(AA220=VLOOKUP(VALUE(AA$1),Questions!$A:$E,5,FALSE),1,0)</f>
        <v>1</v>
      </c>
      <c r="BM220" s="4">
        <f>IF(AB220=VLOOKUP(VALUE(AB$1),Questions!$A:$E,5,FALSE),1,0)</f>
        <v>1</v>
      </c>
      <c r="BN220" s="4">
        <f>IF(AC220=VLOOKUP(VALUE(AC$1),Questions!$A:$E,5,FALSE),1,0)</f>
        <v>0</v>
      </c>
      <c r="BO220" s="4">
        <f>IF(AD220=VLOOKUP(VALUE(AD$1),Questions!$A:$E,5,FALSE),1,0)</f>
        <v>0</v>
      </c>
      <c r="BP220" s="4">
        <f>IF(AE220=VLOOKUP(VALUE(AE$1),Questions!$A:$E,5,FALSE),1,0)</f>
        <v>1</v>
      </c>
      <c r="BQ220" s="4">
        <f>IF(AF220=VLOOKUP(VALUE(AF$1),Questions!$A:$E,5,FALSE),1,0)</f>
        <v>0</v>
      </c>
      <c r="BR220" s="4">
        <f>IF(AG220=VLOOKUP(VALUE(AG$1),Questions!$A:$E,5,FALSE),1,0)</f>
        <v>1</v>
      </c>
      <c r="BS220" s="4">
        <f>IF(AH220=VLOOKUP(VALUE(AH$1),Questions!$A:$E,5,FALSE),1,0)</f>
        <v>0</v>
      </c>
      <c r="BT220" s="4">
        <f>IF(AI220=VLOOKUP(VALUE(AI$1),Questions!$A:$E,5,FALSE),1,0)</f>
        <v>1</v>
      </c>
      <c r="BU220" s="4">
        <f>IF(AJ220=VLOOKUP(VALUE(AJ$1),Questions!$A:$E,5,FALSE),1,0)</f>
        <v>1</v>
      </c>
      <c r="BV220" s="4">
        <f>IF(AK220=VLOOKUP(VALUE(AK$1),Questions!$A:$E,5,FALSE),1,0)</f>
        <v>0</v>
      </c>
      <c r="BW220" s="87">
        <f>IF(AL220=VLOOKUP(VALUE(AL$1),Questions!$A:$E,5,FALSE),1,0)</f>
        <v>1</v>
      </c>
      <c r="BX220" s="4">
        <f>IF(Scores[[#This Row],[Final]]&gt;=65,1,0)</f>
        <v>0</v>
      </c>
      <c r="BY220" s="4">
        <f>IF(Scores[[#This Row],[Final]]&gt;=IF(Scores[[#This Row],[IEP]],55,65),1,0)</f>
        <v>0</v>
      </c>
    </row>
    <row r="221" spans="1:77" x14ac:dyDescent="0.2">
      <c r="A221" s="6">
        <v>220</v>
      </c>
      <c r="B221" s="4">
        <v>9</v>
      </c>
      <c r="C221" s="4" t="s">
        <v>963</v>
      </c>
      <c r="D221" s="105" t="b">
        <v>0</v>
      </c>
      <c r="E221" s="105" t="b">
        <v>0</v>
      </c>
      <c r="F221" s="86">
        <f>SUM(Scores[[#This Row],[Q1]:[Q28]])</f>
        <v>14</v>
      </c>
      <c r="G221" s="4">
        <f>SUM(Scores[[#This Row],[29]]:Scores[[#This Row],[30]])</f>
        <v>0</v>
      </c>
      <c r="H221" s="4">
        <f>SUM(Scores[[#This Row],[31]:[36]])</f>
        <v>0</v>
      </c>
      <c r="I221" s="4">
        <f>Scores[[#This Row],[37]]</f>
        <v>0</v>
      </c>
      <c r="J221" s="87">
        <f>INDEX('Conversion Chart'!$C$3:$M$47,MATCH(SUM(Scores[[#This Row],[MC]:[IIIA]]),'Conversion Chart'!$B$3:$B$47),MATCH(Scores[[#This Row],[IIIB]],'Conversion Chart'!$C$2:$M$2))</f>
        <v>40</v>
      </c>
      <c r="K221" s="103">
        <v>4</v>
      </c>
      <c r="L221" s="103">
        <v>4</v>
      </c>
      <c r="M221" s="103">
        <v>3</v>
      </c>
      <c r="N221" s="103">
        <v>1</v>
      </c>
      <c r="O221" s="103">
        <v>1</v>
      </c>
      <c r="P221" s="103">
        <v>2</v>
      </c>
      <c r="Q221" s="103">
        <v>3</v>
      </c>
      <c r="R221" s="103">
        <v>4</v>
      </c>
      <c r="S221" s="103">
        <v>1</v>
      </c>
      <c r="T221" s="103">
        <v>1</v>
      </c>
      <c r="U221" s="103">
        <v>4</v>
      </c>
      <c r="V221" s="103">
        <v>2</v>
      </c>
      <c r="W221" s="103">
        <v>2</v>
      </c>
      <c r="X221" s="103">
        <v>3</v>
      </c>
      <c r="Y221" s="103">
        <v>1</v>
      </c>
      <c r="Z221" s="103">
        <v>1</v>
      </c>
      <c r="AA221" s="103">
        <v>2</v>
      </c>
      <c r="AB221" s="103">
        <v>4</v>
      </c>
      <c r="AC221" s="103">
        <v>3</v>
      </c>
      <c r="AD221" s="103">
        <v>4</v>
      </c>
      <c r="AE221" s="103">
        <v>1</v>
      </c>
      <c r="AF221" s="103">
        <v>4</v>
      </c>
      <c r="AG221" s="103">
        <v>3</v>
      </c>
      <c r="AH221" s="103">
        <v>2</v>
      </c>
      <c r="AI221" s="103">
        <v>2</v>
      </c>
      <c r="AJ221" s="103">
        <v>4</v>
      </c>
      <c r="AK221" s="103">
        <v>1</v>
      </c>
      <c r="AL221" s="104">
        <v>3</v>
      </c>
      <c r="AM221" s="4">
        <v>0</v>
      </c>
      <c r="AN221" s="87">
        <v>0</v>
      </c>
      <c r="AO221" s="4">
        <v>0</v>
      </c>
      <c r="AP221" s="4">
        <v>0</v>
      </c>
      <c r="AQ221" s="4">
        <v>0</v>
      </c>
      <c r="AR221" s="4">
        <v>0</v>
      </c>
      <c r="AS221" s="4">
        <v>0</v>
      </c>
      <c r="AT221" s="4">
        <v>0</v>
      </c>
      <c r="AU221" s="107">
        <v>0</v>
      </c>
      <c r="AV221" s="4">
        <f>IF(K221=VLOOKUP(VALUE(K$1),Questions!$A:$E,5,FALSE),1,0)</f>
        <v>1</v>
      </c>
      <c r="AW221" s="4">
        <f>IF(L221=VLOOKUP(VALUE(L$1),Questions!$A:$E,5,FALSE),1,0)</f>
        <v>0</v>
      </c>
      <c r="AX221" s="4">
        <f>IF(M221=VLOOKUP(VALUE(M$1),Questions!$A:$E,5,FALSE),1,0)</f>
        <v>1</v>
      </c>
      <c r="AY221" s="4">
        <f>IF(N221=VLOOKUP(VALUE(N$1),Questions!$A:$E,5,FALSE),1,0)</f>
        <v>0</v>
      </c>
      <c r="AZ221" s="4">
        <f>IF(O221=VLOOKUP(VALUE(O$1),Questions!$A:$E,5,FALSE),1,0)</f>
        <v>1</v>
      </c>
      <c r="BA221" s="4">
        <f>IF(P221=VLOOKUP(VALUE(P$1),Questions!$A:$E,5,FALSE),1,0)</f>
        <v>0</v>
      </c>
      <c r="BB221" s="4">
        <f>IF(Q221=VLOOKUP(VALUE(Q$1),Questions!$A:$E,5,FALSE),1,0)</f>
        <v>1</v>
      </c>
      <c r="BC221" s="4">
        <f>IF(R221=VLOOKUP(VALUE(R$1),Questions!$A:$E,5,FALSE),1,0)</f>
        <v>0</v>
      </c>
      <c r="BD221" s="4">
        <f>IF(S221=VLOOKUP(VALUE(S$1),Questions!$A:$E,5,FALSE),1,0)</f>
        <v>0</v>
      </c>
      <c r="BE221" s="4">
        <f>IF(T221=VLOOKUP(VALUE(T$1),Questions!$A:$E,5,FALSE),1,0)</f>
        <v>1</v>
      </c>
      <c r="BF221" s="4">
        <f>IF(U221=VLOOKUP(VALUE(U$1),Questions!$A:$E,5,FALSE),1,0)</f>
        <v>0</v>
      </c>
      <c r="BG221" s="4">
        <f>IF(V221=VLOOKUP(VALUE(V$1),Questions!$A:$E,5,FALSE),1,0)</f>
        <v>0</v>
      </c>
      <c r="BH221" s="4">
        <f>IF(W221=VLOOKUP(VALUE(W$1),Questions!$A:$E,5,FALSE),1,0)</f>
        <v>1</v>
      </c>
      <c r="BI221" s="4">
        <f>IF(X221=VLOOKUP(VALUE(X$1),Questions!$A:$E,5,FALSE),1,0)</f>
        <v>0</v>
      </c>
      <c r="BJ221" s="4">
        <f>IF(Y221=VLOOKUP(VALUE(Y$1),Questions!$A:$E,5,FALSE),1,0)</f>
        <v>0</v>
      </c>
      <c r="BK221" s="4">
        <f>IF(Z221=VLOOKUP(VALUE(Z$1),Questions!$A:$E,5,FALSE),1,0)</f>
        <v>1</v>
      </c>
      <c r="BL221" s="4">
        <f>IF(AA221=VLOOKUP(VALUE(AA$1),Questions!$A:$E,5,FALSE),1,0)</f>
        <v>0</v>
      </c>
      <c r="BM221" s="4">
        <f>IF(AB221=VLOOKUP(VALUE(AB$1),Questions!$A:$E,5,FALSE),1,0)</f>
        <v>1</v>
      </c>
      <c r="BN221" s="4">
        <f>IF(AC221=VLOOKUP(VALUE(AC$1),Questions!$A:$E,5,FALSE),1,0)</f>
        <v>1</v>
      </c>
      <c r="BO221" s="4">
        <f>IF(AD221=VLOOKUP(VALUE(AD$1),Questions!$A:$E,5,FALSE),1,0)</f>
        <v>1</v>
      </c>
      <c r="BP221" s="4">
        <f>IF(AE221=VLOOKUP(VALUE(AE$1),Questions!$A:$E,5,FALSE),1,0)</f>
        <v>0</v>
      </c>
      <c r="BQ221" s="4">
        <f>IF(AF221=VLOOKUP(VALUE(AF$1),Questions!$A:$E,5,FALSE),1,0)</f>
        <v>0</v>
      </c>
      <c r="BR221" s="4">
        <f>IF(AG221=VLOOKUP(VALUE(AG$1),Questions!$A:$E,5,FALSE),1,0)</f>
        <v>1</v>
      </c>
      <c r="BS221" s="4">
        <f>IF(AH221=VLOOKUP(VALUE(AH$1),Questions!$A:$E,5,FALSE),1,0)</f>
        <v>0</v>
      </c>
      <c r="BT221" s="4">
        <f>IF(AI221=VLOOKUP(VALUE(AI$1),Questions!$A:$E,5,FALSE),1,0)</f>
        <v>0</v>
      </c>
      <c r="BU221" s="4">
        <f>IF(AJ221=VLOOKUP(VALUE(AJ$1),Questions!$A:$E,5,FALSE),1,0)</f>
        <v>1</v>
      </c>
      <c r="BV221" s="4">
        <f>IF(AK221=VLOOKUP(VALUE(AK$1),Questions!$A:$E,5,FALSE),1,0)</f>
        <v>1</v>
      </c>
      <c r="BW221" s="87">
        <f>IF(AL221=VLOOKUP(VALUE(AL$1),Questions!$A:$E,5,FALSE),1,0)</f>
        <v>1</v>
      </c>
      <c r="BX221" s="4">
        <f>IF(Scores[[#This Row],[Final]]&gt;=65,1,0)</f>
        <v>0</v>
      </c>
      <c r="BY221" s="4">
        <f>IF(Scores[[#This Row],[Final]]&gt;=IF(Scores[[#This Row],[IEP]],55,65),1,0)</f>
        <v>0</v>
      </c>
    </row>
    <row r="222" spans="1:77" x14ac:dyDescent="0.2">
      <c r="A222" s="6">
        <v>221</v>
      </c>
      <c r="B222" s="4">
        <v>11</v>
      </c>
      <c r="C222" s="4" t="s">
        <v>964</v>
      </c>
      <c r="D222" s="105" t="b">
        <v>0</v>
      </c>
      <c r="E222" s="105" t="b">
        <v>0</v>
      </c>
      <c r="F222" s="86">
        <f>SUM(Scores[[#This Row],[Q1]:[Q28]])</f>
        <v>15</v>
      </c>
      <c r="G222" s="4">
        <f>SUM(Scores[[#This Row],[29]]:Scores[[#This Row],[30]])</f>
        <v>4</v>
      </c>
      <c r="H222" s="4">
        <f>SUM(Scores[[#This Row],[31]:[36]])</f>
        <v>6</v>
      </c>
      <c r="I222" s="4">
        <f>Scores[[#This Row],[37]]</f>
        <v>2.5</v>
      </c>
      <c r="J222" s="87">
        <f>INDEX('Conversion Chart'!$C$3:$M$47,MATCH(SUM(Scores[[#This Row],[MC]:[IIIA]]),'Conversion Chart'!$B$3:$B$47),MATCH(Scores[[#This Row],[IIIB]],'Conversion Chart'!$C$2:$M$2))</f>
        <v>70</v>
      </c>
      <c r="K222" s="103">
        <v>4</v>
      </c>
      <c r="L222" s="103">
        <v>2</v>
      </c>
      <c r="M222" s="103">
        <v>3</v>
      </c>
      <c r="N222" s="103">
        <v>2</v>
      </c>
      <c r="O222" s="103">
        <v>1</v>
      </c>
      <c r="P222" s="103">
        <v>2</v>
      </c>
      <c r="Q222" s="103">
        <v>3</v>
      </c>
      <c r="R222" s="103">
        <v>4</v>
      </c>
      <c r="S222" s="103">
        <v>2</v>
      </c>
      <c r="T222" s="103">
        <v>2</v>
      </c>
      <c r="U222" s="103">
        <v>2</v>
      </c>
      <c r="V222" s="103">
        <v>1</v>
      </c>
      <c r="W222" s="103">
        <v>2</v>
      </c>
      <c r="X222" s="103">
        <v>3</v>
      </c>
      <c r="Y222" s="103">
        <v>3</v>
      </c>
      <c r="Z222" s="103">
        <v>2</v>
      </c>
      <c r="AA222" s="103">
        <v>1</v>
      </c>
      <c r="AB222" s="103">
        <v>2</v>
      </c>
      <c r="AC222" s="103">
        <v>3</v>
      </c>
      <c r="AD222" s="103">
        <v>1</v>
      </c>
      <c r="AE222" s="103">
        <v>4</v>
      </c>
      <c r="AF222" s="103">
        <v>1</v>
      </c>
      <c r="AG222" s="103">
        <v>3</v>
      </c>
      <c r="AH222" s="103">
        <v>4</v>
      </c>
      <c r="AI222" s="103">
        <v>2</v>
      </c>
      <c r="AJ222" s="103">
        <v>4</v>
      </c>
      <c r="AK222" s="103">
        <v>1</v>
      </c>
      <c r="AL222" s="104">
        <v>3</v>
      </c>
      <c r="AM222" s="4">
        <v>2</v>
      </c>
      <c r="AN222" s="87">
        <v>2</v>
      </c>
      <c r="AO222" s="4">
        <v>1</v>
      </c>
      <c r="AP222" s="4">
        <v>1</v>
      </c>
      <c r="AQ222" s="4">
        <v>1</v>
      </c>
      <c r="AR222" s="4">
        <v>1</v>
      </c>
      <c r="AS222" s="4">
        <v>1</v>
      </c>
      <c r="AT222" s="4">
        <v>1</v>
      </c>
      <c r="AU222" s="107">
        <v>2.5</v>
      </c>
      <c r="AV222" s="4">
        <f>IF(K222=VLOOKUP(VALUE(K$1),Questions!$A:$E,5,FALSE),1,0)</f>
        <v>1</v>
      </c>
      <c r="AW222" s="4">
        <f>IF(L222=VLOOKUP(VALUE(L$1),Questions!$A:$E,5,FALSE),1,0)</f>
        <v>1</v>
      </c>
      <c r="AX222" s="4">
        <f>IF(M222=VLOOKUP(VALUE(M$1),Questions!$A:$E,5,FALSE),1,0)</f>
        <v>1</v>
      </c>
      <c r="AY222" s="4">
        <f>IF(N222=VLOOKUP(VALUE(N$1),Questions!$A:$E,5,FALSE),1,0)</f>
        <v>0</v>
      </c>
      <c r="AZ222" s="4">
        <f>IF(O222=VLOOKUP(VALUE(O$1),Questions!$A:$E,5,FALSE),1,0)</f>
        <v>1</v>
      </c>
      <c r="BA222" s="4">
        <f>IF(P222=VLOOKUP(VALUE(P$1),Questions!$A:$E,5,FALSE),1,0)</f>
        <v>0</v>
      </c>
      <c r="BB222" s="4">
        <f>IF(Q222=VLOOKUP(VALUE(Q$1),Questions!$A:$E,5,FALSE),1,0)</f>
        <v>1</v>
      </c>
      <c r="BC222" s="4">
        <f>IF(R222=VLOOKUP(VALUE(R$1),Questions!$A:$E,5,FALSE),1,0)</f>
        <v>0</v>
      </c>
      <c r="BD222" s="4">
        <f>IF(S222=VLOOKUP(VALUE(S$1),Questions!$A:$E,5,FALSE),1,0)</f>
        <v>1</v>
      </c>
      <c r="BE222" s="4">
        <f>IF(T222=VLOOKUP(VALUE(T$1),Questions!$A:$E,5,FALSE),1,0)</f>
        <v>0</v>
      </c>
      <c r="BF222" s="4">
        <f>IF(U222=VLOOKUP(VALUE(U$1),Questions!$A:$E,5,FALSE),1,0)</f>
        <v>1</v>
      </c>
      <c r="BG222" s="4">
        <f>IF(V222=VLOOKUP(VALUE(V$1),Questions!$A:$E,5,FALSE),1,0)</f>
        <v>0</v>
      </c>
      <c r="BH222" s="4">
        <f>IF(W222=VLOOKUP(VALUE(W$1),Questions!$A:$E,5,FALSE),1,0)</f>
        <v>1</v>
      </c>
      <c r="BI222" s="4">
        <f>IF(X222=VLOOKUP(VALUE(X$1),Questions!$A:$E,5,FALSE),1,0)</f>
        <v>0</v>
      </c>
      <c r="BJ222" s="4">
        <f>IF(Y222=VLOOKUP(VALUE(Y$1),Questions!$A:$E,5,FALSE),1,0)</f>
        <v>1</v>
      </c>
      <c r="BK222" s="4">
        <f>IF(Z222=VLOOKUP(VALUE(Z$1),Questions!$A:$E,5,FALSE),1,0)</f>
        <v>0</v>
      </c>
      <c r="BL222" s="4">
        <f>IF(AA222=VLOOKUP(VALUE(AA$1),Questions!$A:$E,5,FALSE),1,0)</f>
        <v>1</v>
      </c>
      <c r="BM222" s="4">
        <f>IF(AB222=VLOOKUP(VALUE(AB$1),Questions!$A:$E,5,FALSE),1,0)</f>
        <v>0</v>
      </c>
      <c r="BN222" s="4">
        <f>IF(AC222=VLOOKUP(VALUE(AC$1),Questions!$A:$E,5,FALSE),1,0)</f>
        <v>1</v>
      </c>
      <c r="BO222" s="4">
        <f>IF(AD222=VLOOKUP(VALUE(AD$1),Questions!$A:$E,5,FALSE),1,0)</f>
        <v>0</v>
      </c>
      <c r="BP222" s="4">
        <f>IF(AE222=VLOOKUP(VALUE(AE$1),Questions!$A:$E,5,FALSE),1,0)</f>
        <v>0</v>
      </c>
      <c r="BQ222" s="4">
        <f>IF(AF222=VLOOKUP(VALUE(AF$1),Questions!$A:$E,5,FALSE),1,0)</f>
        <v>0</v>
      </c>
      <c r="BR222" s="4">
        <f>IF(AG222=VLOOKUP(VALUE(AG$1),Questions!$A:$E,5,FALSE),1,0)</f>
        <v>1</v>
      </c>
      <c r="BS222" s="4">
        <f>IF(AH222=VLOOKUP(VALUE(AH$1),Questions!$A:$E,5,FALSE),1,0)</f>
        <v>0</v>
      </c>
      <c r="BT222" s="4">
        <f>IF(AI222=VLOOKUP(VALUE(AI$1),Questions!$A:$E,5,FALSE),1,0)</f>
        <v>0</v>
      </c>
      <c r="BU222" s="4">
        <f>IF(AJ222=VLOOKUP(VALUE(AJ$1),Questions!$A:$E,5,FALSE),1,0)</f>
        <v>1</v>
      </c>
      <c r="BV222" s="4">
        <f>IF(AK222=VLOOKUP(VALUE(AK$1),Questions!$A:$E,5,FALSE),1,0)</f>
        <v>1</v>
      </c>
      <c r="BW222" s="87">
        <f>IF(AL222=VLOOKUP(VALUE(AL$1),Questions!$A:$E,5,FALSE),1,0)</f>
        <v>1</v>
      </c>
      <c r="BX222" s="4">
        <f>IF(Scores[[#This Row],[Final]]&gt;=65,1,0)</f>
        <v>1</v>
      </c>
      <c r="BY222" s="4">
        <f>IF(Scores[[#This Row],[Final]]&gt;=IF(Scores[[#This Row],[IEP]],55,65),1,0)</f>
        <v>1</v>
      </c>
    </row>
    <row r="223" spans="1:77" x14ac:dyDescent="0.2">
      <c r="A223" s="6">
        <v>222</v>
      </c>
      <c r="B223" s="4">
        <v>11</v>
      </c>
      <c r="C223" s="4" t="s">
        <v>962</v>
      </c>
      <c r="D223" s="105" t="b">
        <v>1</v>
      </c>
      <c r="E223" s="105" t="b">
        <v>0</v>
      </c>
      <c r="F223" s="86">
        <f>SUM(Scores[[#This Row],[Q1]:[Q28]])</f>
        <v>6</v>
      </c>
      <c r="G223" s="4">
        <f>SUM(Scores[[#This Row],[29]]:Scores[[#This Row],[30]])</f>
        <v>2</v>
      </c>
      <c r="H223" s="4">
        <f>SUM(Scores[[#This Row],[31]:[36]])</f>
        <v>0</v>
      </c>
      <c r="I223" s="4">
        <f>Scores[[#This Row],[37]]</f>
        <v>0</v>
      </c>
      <c r="J223" s="87">
        <f>INDEX('Conversion Chart'!$C$3:$M$47,MATCH(SUM(Scores[[#This Row],[MC]:[IIIA]]),'Conversion Chart'!$B$3:$B$47),MATCH(Scores[[#This Row],[IIIB]],'Conversion Chart'!$C$2:$M$2))</f>
        <v>25</v>
      </c>
      <c r="K223" s="103">
        <v>3</v>
      </c>
      <c r="L223" s="103">
        <v>4</v>
      </c>
      <c r="M223" s="103">
        <v>4</v>
      </c>
      <c r="N223" s="103">
        <v>2</v>
      </c>
      <c r="O223" s="103">
        <v>1</v>
      </c>
      <c r="P223" s="103">
        <v>4</v>
      </c>
      <c r="Q223" s="103">
        <v>4</v>
      </c>
      <c r="R223" s="103">
        <v>3</v>
      </c>
      <c r="S223" s="103">
        <v>4</v>
      </c>
      <c r="T223" s="103">
        <v>4</v>
      </c>
      <c r="U223" s="103">
        <v>2</v>
      </c>
      <c r="V223" s="103">
        <v>2</v>
      </c>
      <c r="W223" s="103">
        <v>4</v>
      </c>
      <c r="X223" s="103">
        <v>4</v>
      </c>
      <c r="Y223" s="103">
        <v>2</v>
      </c>
      <c r="Z223" s="103">
        <v>2</v>
      </c>
      <c r="AA223" s="103">
        <v>3</v>
      </c>
      <c r="AB223" s="103">
        <v>3</v>
      </c>
      <c r="AC223" s="103">
        <v>3</v>
      </c>
      <c r="AD223" s="103">
        <v>2</v>
      </c>
      <c r="AE223" s="103">
        <v>1</v>
      </c>
      <c r="AF223" s="103">
        <v>1</v>
      </c>
      <c r="AG223" s="103">
        <v>3</v>
      </c>
      <c r="AH223" s="103">
        <v>4</v>
      </c>
      <c r="AI223" s="103">
        <v>4</v>
      </c>
      <c r="AJ223" s="103">
        <v>3</v>
      </c>
      <c r="AK223" s="103">
        <v>3</v>
      </c>
      <c r="AL223" s="104">
        <v>1</v>
      </c>
      <c r="AM223" s="4">
        <v>1</v>
      </c>
      <c r="AN223" s="87">
        <v>1</v>
      </c>
      <c r="AO223" s="4">
        <v>0</v>
      </c>
      <c r="AP223" s="4">
        <v>0</v>
      </c>
      <c r="AQ223" s="4">
        <v>0</v>
      </c>
      <c r="AR223" s="4">
        <v>0</v>
      </c>
      <c r="AS223" s="4">
        <v>0</v>
      </c>
      <c r="AT223" s="4">
        <v>0</v>
      </c>
      <c r="AU223" s="107">
        <v>0</v>
      </c>
      <c r="AV223" s="4">
        <f>IF(K223=VLOOKUP(VALUE(K$1),Questions!$A:$E,5,FALSE),1,0)</f>
        <v>0</v>
      </c>
      <c r="AW223" s="4">
        <f>IF(L223=VLOOKUP(VALUE(L$1),Questions!$A:$E,5,FALSE),1,0)</f>
        <v>0</v>
      </c>
      <c r="AX223" s="4">
        <f>IF(M223=VLOOKUP(VALUE(M$1),Questions!$A:$E,5,FALSE),1,0)</f>
        <v>0</v>
      </c>
      <c r="AY223" s="4">
        <f>IF(N223=VLOOKUP(VALUE(N$1),Questions!$A:$E,5,FALSE),1,0)</f>
        <v>0</v>
      </c>
      <c r="AZ223" s="4">
        <f>IF(O223=VLOOKUP(VALUE(O$1),Questions!$A:$E,5,FALSE),1,0)</f>
        <v>1</v>
      </c>
      <c r="BA223" s="4">
        <f>IF(P223=VLOOKUP(VALUE(P$1),Questions!$A:$E,5,FALSE),1,0)</f>
        <v>1</v>
      </c>
      <c r="BB223" s="4">
        <f>IF(Q223=VLOOKUP(VALUE(Q$1),Questions!$A:$E,5,FALSE),1,0)</f>
        <v>0</v>
      </c>
      <c r="BC223" s="4">
        <f>IF(R223=VLOOKUP(VALUE(R$1),Questions!$A:$E,5,FALSE),1,0)</f>
        <v>0</v>
      </c>
      <c r="BD223" s="4">
        <f>IF(S223=VLOOKUP(VALUE(S$1),Questions!$A:$E,5,FALSE),1,0)</f>
        <v>0</v>
      </c>
      <c r="BE223" s="4">
        <f>IF(T223=VLOOKUP(VALUE(T$1),Questions!$A:$E,5,FALSE),1,0)</f>
        <v>0</v>
      </c>
      <c r="BF223" s="4">
        <f>IF(U223=VLOOKUP(VALUE(U$1),Questions!$A:$E,5,FALSE),1,0)</f>
        <v>1</v>
      </c>
      <c r="BG223" s="4">
        <f>IF(V223=VLOOKUP(VALUE(V$1),Questions!$A:$E,5,FALSE),1,0)</f>
        <v>0</v>
      </c>
      <c r="BH223" s="4">
        <f>IF(W223=VLOOKUP(VALUE(W$1),Questions!$A:$E,5,FALSE),1,0)</f>
        <v>0</v>
      </c>
      <c r="BI223" s="4">
        <f>IF(X223=VLOOKUP(VALUE(X$1),Questions!$A:$E,5,FALSE),1,0)</f>
        <v>1</v>
      </c>
      <c r="BJ223" s="4">
        <f>IF(Y223=VLOOKUP(VALUE(Y$1),Questions!$A:$E,5,FALSE),1,0)</f>
        <v>0</v>
      </c>
      <c r="BK223" s="4">
        <f>IF(Z223=VLOOKUP(VALUE(Z$1),Questions!$A:$E,5,FALSE),1,0)</f>
        <v>0</v>
      </c>
      <c r="BL223" s="4">
        <f>IF(AA223=VLOOKUP(VALUE(AA$1),Questions!$A:$E,5,FALSE),1,0)</f>
        <v>0</v>
      </c>
      <c r="BM223" s="4">
        <f>IF(AB223=VLOOKUP(VALUE(AB$1),Questions!$A:$E,5,FALSE),1,0)</f>
        <v>0</v>
      </c>
      <c r="BN223" s="4">
        <f>IF(AC223=VLOOKUP(VALUE(AC$1),Questions!$A:$E,5,FALSE),1,0)</f>
        <v>1</v>
      </c>
      <c r="BO223" s="4">
        <f>IF(AD223=VLOOKUP(VALUE(AD$1),Questions!$A:$E,5,FALSE),1,0)</f>
        <v>0</v>
      </c>
      <c r="BP223" s="4">
        <f>IF(AE223=VLOOKUP(VALUE(AE$1),Questions!$A:$E,5,FALSE),1,0)</f>
        <v>0</v>
      </c>
      <c r="BQ223" s="4">
        <f>IF(AF223=VLOOKUP(VALUE(AF$1),Questions!$A:$E,5,FALSE),1,0)</f>
        <v>0</v>
      </c>
      <c r="BR223" s="4">
        <f>IF(AG223=VLOOKUP(VALUE(AG$1),Questions!$A:$E,5,FALSE),1,0)</f>
        <v>1</v>
      </c>
      <c r="BS223" s="4">
        <f>IF(AH223=VLOOKUP(VALUE(AH$1),Questions!$A:$E,5,FALSE),1,0)</f>
        <v>0</v>
      </c>
      <c r="BT223" s="4">
        <f>IF(AI223=VLOOKUP(VALUE(AI$1),Questions!$A:$E,5,FALSE),1,0)</f>
        <v>0</v>
      </c>
      <c r="BU223" s="4">
        <f>IF(AJ223=VLOOKUP(VALUE(AJ$1),Questions!$A:$E,5,FALSE),1,0)</f>
        <v>0</v>
      </c>
      <c r="BV223" s="4">
        <f>IF(AK223=VLOOKUP(VALUE(AK$1),Questions!$A:$E,5,FALSE),1,0)</f>
        <v>0</v>
      </c>
      <c r="BW223" s="87">
        <f>IF(AL223=VLOOKUP(VALUE(AL$1),Questions!$A:$E,5,FALSE),1,0)</f>
        <v>0</v>
      </c>
      <c r="BX223" s="4">
        <f>IF(Scores[[#This Row],[Final]]&gt;=65,1,0)</f>
        <v>0</v>
      </c>
      <c r="BY223" s="4">
        <f>IF(Scores[[#This Row],[Final]]&gt;=IF(Scores[[#This Row],[IEP]],55,65),1,0)</f>
        <v>0</v>
      </c>
    </row>
    <row r="224" spans="1:77" x14ac:dyDescent="0.2">
      <c r="A224" s="6">
        <v>223</v>
      </c>
      <c r="B224" s="4">
        <v>11</v>
      </c>
      <c r="C224" s="4" t="s">
        <v>962</v>
      </c>
      <c r="D224" s="105" t="b">
        <v>0</v>
      </c>
      <c r="E224" s="105" t="b">
        <v>1</v>
      </c>
      <c r="F224" s="86">
        <f>SUM(Scores[[#This Row],[Q1]:[Q28]])</f>
        <v>26</v>
      </c>
      <c r="G224" s="4">
        <f>SUM(Scores[[#This Row],[29]]:Scores[[#This Row],[30]])</f>
        <v>8</v>
      </c>
      <c r="H224" s="4">
        <f>SUM(Scores[[#This Row],[31]:[36]])</f>
        <v>6</v>
      </c>
      <c r="I224" s="4">
        <f>Scores[[#This Row],[37]]</f>
        <v>4</v>
      </c>
      <c r="J224" s="87">
        <f>INDEX('Conversion Chart'!$C$3:$M$47,MATCH(SUM(Scores[[#This Row],[MC]:[IIIA]]),'Conversion Chart'!$B$3:$B$47),MATCH(Scores[[#This Row],[IIIB]],'Conversion Chart'!$C$2:$M$2))</f>
        <v>89</v>
      </c>
      <c r="K224" s="103">
        <v>4</v>
      </c>
      <c r="L224" s="103">
        <v>2</v>
      </c>
      <c r="M224" s="103">
        <v>3</v>
      </c>
      <c r="N224" s="103">
        <v>3</v>
      </c>
      <c r="O224" s="103">
        <v>1</v>
      </c>
      <c r="P224" s="103">
        <v>4</v>
      </c>
      <c r="Q224" s="103">
        <v>4</v>
      </c>
      <c r="R224" s="103">
        <v>2</v>
      </c>
      <c r="S224" s="103">
        <v>2</v>
      </c>
      <c r="T224" s="103">
        <v>1</v>
      </c>
      <c r="U224" s="103">
        <v>2</v>
      </c>
      <c r="V224" s="103">
        <v>4</v>
      </c>
      <c r="W224" s="103">
        <v>2</v>
      </c>
      <c r="X224" s="103">
        <v>4</v>
      </c>
      <c r="Y224" s="103">
        <v>3</v>
      </c>
      <c r="Z224" s="103">
        <v>1</v>
      </c>
      <c r="AA224" s="103">
        <v>1</v>
      </c>
      <c r="AB224" s="103">
        <v>4</v>
      </c>
      <c r="AC224" s="103">
        <v>3</v>
      </c>
      <c r="AD224" s="103">
        <v>4</v>
      </c>
      <c r="AE224" s="103">
        <v>2</v>
      </c>
      <c r="AF224" s="103">
        <v>2</v>
      </c>
      <c r="AG224" s="103">
        <v>3</v>
      </c>
      <c r="AH224" s="103">
        <v>3</v>
      </c>
      <c r="AI224" s="103">
        <v>3</v>
      </c>
      <c r="AJ224" s="103">
        <v>4</v>
      </c>
      <c r="AK224" s="103">
        <v>1</v>
      </c>
      <c r="AL224" s="104">
        <v>3</v>
      </c>
      <c r="AM224" s="4">
        <v>4</v>
      </c>
      <c r="AN224" s="87">
        <v>4</v>
      </c>
      <c r="AO224" s="4">
        <v>1</v>
      </c>
      <c r="AP224" s="4">
        <v>1</v>
      </c>
      <c r="AQ224" s="4">
        <v>1</v>
      </c>
      <c r="AR224" s="4">
        <v>1</v>
      </c>
      <c r="AS224" s="4">
        <v>1</v>
      </c>
      <c r="AT224" s="4">
        <v>1</v>
      </c>
      <c r="AU224" s="107">
        <v>4</v>
      </c>
      <c r="AV224" s="4">
        <f>IF(K224=VLOOKUP(VALUE(K$1),Questions!$A:$E,5,FALSE),1,0)</f>
        <v>1</v>
      </c>
      <c r="AW224" s="4">
        <f>IF(L224=VLOOKUP(VALUE(L$1),Questions!$A:$E,5,FALSE),1,0)</f>
        <v>1</v>
      </c>
      <c r="AX224" s="4">
        <f>IF(M224=VLOOKUP(VALUE(M$1),Questions!$A:$E,5,FALSE),1,0)</f>
        <v>1</v>
      </c>
      <c r="AY224" s="4">
        <f>IF(N224=VLOOKUP(VALUE(N$1),Questions!$A:$E,5,FALSE),1,0)</f>
        <v>1</v>
      </c>
      <c r="AZ224" s="4">
        <f>IF(O224=VLOOKUP(VALUE(O$1),Questions!$A:$E,5,FALSE),1,0)</f>
        <v>1</v>
      </c>
      <c r="BA224" s="4">
        <f>IF(P224=VLOOKUP(VALUE(P$1),Questions!$A:$E,5,FALSE),1,0)</f>
        <v>1</v>
      </c>
      <c r="BB224" s="4">
        <f>IF(Q224=VLOOKUP(VALUE(Q$1),Questions!$A:$E,5,FALSE),1,0)</f>
        <v>0</v>
      </c>
      <c r="BC224" s="4">
        <f>IF(R224=VLOOKUP(VALUE(R$1),Questions!$A:$E,5,FALSE),1,0)</f>
        <v>1</v>
      </c>
      <c r="BD224" s="4">
        <f>IF(S224=VLOOKUP(VALUE(S$1),Questions!$A:$E,5,FALSE),1,0)</f>
        <v>1</v>
      </c>
      <c r="BE224" s="4">
        <f>IF(T224=VLOOKUP(VALUE(T$1),Questions!$A:$E,5,FALSE),1,0)</f>
        <v>1</v>
      </c>
      <c r="BF224" s="4">
        <f>IF(U224=VLOOKUP(VALUE(U$1),Questions!$A:$E,5,FALSE),1,0)</f>
        <v>1</v>
      </c>
      <c r="BG224" s="4">
        <f>IF(V224=VLOOKUP(VALUE(V$1),Questions!$A:$E,5,FALSE),1,0)</f>
        <v>1</v>
      </c>
      <c r="BH224" s="4">
        <f>IF(W224=VLOOKUP(VALUE(W$1),Questions!$A:$E,5,FALSE),1,0)</f>
        <v>1</v>
      </c>
      <c r="BI224" s="4">
        <f>IF(X224=VLOOKUP(VALUE(X$1),Questions!$A:$E,5,FALSE),1,0)</f>
        <v>1</v>
      </c>
      <c r="BJ224" s="4">
        <f>IF(Y224=VLOOKUP(VALUE(Y$1),Questions!$A:$E,5,FALSE),1,0)</f>
        <v>1</v>
      </c>
      <c r="BK224" s="4">
        <f>IF(Z224=VLOOKUP(VALUE(Z$1),Questions!$A:$E,5,FALSE),1,0)</f>
        <v>1</v>
      </c>
      <c r="BL224" s="4">
        <f>IF(AA224=VLOOKUP(VALUE(AA$1),Questions!$A:$E,5,FALSE),1,0)</f>
        <v>1</v>
      </c>
      <c r="BM224" s="4">
        <f>IF(AB224=VLOOKUP(VALUE(AB$1),Questions!$A:$E,5,FALSE),1,0)</f>
        <v>1</v>
      </c>
      <c r="BN224" s="4">
        <f>IF(AC224=VLOOKUP(VALUE(AC$1),Questions!$A:$E,5,FALSE),1,0)</f>
        <v>1</v>
      </c>
      <c r="BO224" s="4">
        <f>IF(AD224=VLOOKUP(VALUE(AD$1),Questions!$A:$E,5,FALSE),1,0)</f>
        <v>1</v>
      </c>
      <c r="BP224" s="4">
        <f>IF(AE224=VLOOKUP(VALUE(AE$1),Questions!$A:$E,5,FALSE),1,0)</f>
        <v>1</v>
      </c>
      <c r="BQ224" s="4">
        <f>IF(AF224=VLOOKUP(VALUE(AF$1),Questions!$A:$E,5,FALSE),1,0)</f>
        <v>1</v>
      </c>
      <c r="BR224" s="4">
        <f>IF(AG224=VLOOKUP(VALUE(AG$1),Questions!$A:$E,5,FALSE),1,0)</f>
        <v>1</v>
      </c>
      <c r="BS224" s="4">
        <f>IF(AH224=VLOOKUP(VALUE(AH$1),Questions!$A:$E,5,FALSE),1,0)</f>
        <v>1</v>
      </c>
      <c r="BT224" s="4">
        <f>IF(AI224=VLOOKUP(VALUE(AI$1),Questions!$A:$E,5,FALSE),1,0)</f>
        <v>0</v>
      </c>
      <c r="BU224" s="4">
        <f>IF(AJ224=VLOOKUP(VALUE(AJ$1),Questions!$A:$E,5,FALSE),1,0)</f>
        <v>1</v>
      </c>
      <c r="BV224" s="4">
        <f>IF(AK224=VLOOKUP(VALUE(AK$1),Questions!$A:$E,5,FALSE),1,0)</f>
        <v>1</v>
      </c>
      <c r="BW224" s="87">
        <f>IF(AL224=VLOOKUP(VALUE(AL$1),Questions!$A:$E,5,FALSE),1,0)</f>
        <v>1</v>
      </c>
      <c r="BX224" s="4">
        <f>IF(Scores[[#This Row],[Final]]&gt;=65,1,0)</f>
        <v>1</v>
      </c>
      <c r="BY224" s="4">
        <f>IF(Scores[[#This Row],[Final]]&gt;=IF(Scores[[#This Row],[IEP]],55,65),1,0)</f>
        <v>1</v>
      </c>
    </row>
    <row r="225" spans="1:77" x14ac:dyDescent="0.2">
      <c r="A225" s="6">
        <v>224</v>
      </c>
      <c r="B225" s="4">
        <v>9</v>
      </c>
      <c r="C225" s="4" t="s">
        <v>962</v>
      </c>
      <c r="D225" s="105" t="b">
        <v>0</v>
      </c>
      <c r="E225" s="105" t="b">
        <v>0</v>
      </c>
      <c r="F225" s="86">
        <f>SUM(Scores[[#This Row],[Q1]:[Q28]])</f>
        <v>14</v>
      </c>
      <c r="G225" s="4">
        <f>SUM(Scores[[#This Row],[29]]:Scores[[#This Row],[30]])</f>
        <v>3</v>
      </c>
      <c r="H225" s="4">
        <f>SUM(Scores[[#This Row],[31]:[36]])</f>
        <v>5</v>
      </c>
      <c r="I225" s="4">
        <f>Scores[[#This Row],[37]]</f>
        <v>2.5</v>
      </c>
      <c r="J225" s="87">
        <f>INDEX('Conversion Chart'!$C$3:$M$47,MATCH(SUM(Scores[[#This Row],[MC]:[IIIA]]),'Conversion Chart'!$B$3:$B$47),MATCH(Scores[[#This Row],[IIIB]],'Conversion Chart'!$C$2:$M$2))</f>
        <v>66</v>
      </c>
      <c r="K225" s="103">
        <v>4</v>
      </c>
      <c r="L225" s="103">
        <v>4</v>
      </c>
      <c r="M225" s="103">
        <v>4</v>
      </c>
      <c r="N225" s="103">
        <v>2</v>
      </c>
      <c r="O225" s="103">
        <v>1</v>
      </c>
      <c r="P225" s="103">
        <v>2</v>
      </c>
      <c r="Q225" s="103">
        <v>3</v>
      </c>
      <c r="R225" s="103">
        <v>2</v>
      </c>
      <c r="S225" s="103">
        <v>3</v>
      </c>
      <c r="T225" s="103">
        <v>1</v>
      </c>
      <c r="U225" s="103"/>
      <c r="V225" s="103">
        <v>3</v>
      </c>
      <c r="W225" s="103">
        <v>2</v>
      </c>
      <c r="X225" s="103">
        <v>4</v>
      </c>
      <c r="Y225" s="103">
        <v>2</v>
      </c>
      <c r="Z225" s="103">
        <v>2</v>
      </c>
      <c r="AA225" s="103">
        <v>1</v>
      </c>
      <c r="AB225" s="103">
        <v>4</v>
      </c>
      <c r="AC225" s="103">
        <v>2</v>
      </c>
      <c r="AD225" s="103">
        <v>4</v>
      </c>
      <c r="AE225" s="103">
        <v>4</v>
      </c>
      <c r="AF225" s="103">
        <v>2</v>
      </c>
      <c r="AG225" s="103">
        <v>4</v>
      </c>
      <c r="AH225" s="103">
        <v>2</v>
      </c>
      <c r="AI225" s="103">
        <v>3</v>
      </c>
      <c r="AJ225" s="103">
        <v>4</v>
      </c>
      <c r="AK225" s="103">
        <v>1</v>
      </c>
      <c r="AL225" s="104">
        <v>3</v>
      </c>
      <c r="AM225" s="4">
        <v>2</v>
      </c>
      <c r="AN225" s="87">
        <v>1</v>
      </c>
      <c r="AO225" s="4">
        <v>1</v>
      </c>
      <c r="AP225" s="4">
        <v>1</v>
      </c>
      <c r="AQ225" s="4">
        <v>0</v>
      </c>
      <c r="AR225" s="4">
        <v>1</v>
      </c>
      <c r="AS225" s="4">
        <v>1</v>
      </c>
      <c r="AT225" s="4">
        <v>1</v>
      </c>
      <c r="AU225" s="107">
        <v>2.5</v>
      </c>
      <c r="AV225" s="4">
        <f>IF(K225=VLOOKUP(VALUE(K$1),Questions!$A:$E,5,FALSE),1,0)</f>
        <v>1</v>
      </c>
      <c r="AW225" s="4">
        <f>IF(L225=VLOOKUP(VALUE(L$1),Questions!$A:$E,5,FALSE),1,0)</f>
        <v>0</v>
      </c>
      <c r="AX225" s="4">
        <f>IF(M225=VLOOKUP(VALUE(M$1),Questions!$A:$E,5,FALSE),1,0)</f>
        <v>0</v>
      </c>
      <c r="AY225" s="4">
        <f>IF(N225=VLOOKUP(VALUE(N$1),Questions!$A:$E,5,FALSE),1,0)</f>
        <v>0</v>
      </c>
      <c r="AZ225" s="4">
        <f>IF(O225=VLOOKUP(VALUE(O$1),Questions!$A:$E,5,FALSE),1,0)</f>
        <v>1</v>
      </c>
      <c r="BA225" s="4">
        <f>IF(P225=VLOOKUP(VALUE(P$1),Questions!$A:$E,5,FALSE),1,0)</f>
        <v>0</v>
      </c>
      <c r="BB225" s="4">
        <f>IF(Q225=VLOOKUP(VALUE(Q$1),Questions!$A:$E,5,FALSE),1,0)</f>
        <v>1</v>
      </c>
      <c r="BC225" s="4">
        <f>IF(R225=VLOOKUP(VALUE(R$1),Questions!$A:$E,5,FALSE),1,0)</f>
        <v>1</v>
      </c>
      <c r="BD225" s="4">
        <f>IF(S225=VLOOKUP(VALUE(S$1),Questions!$A:$E,5,FALSE),1,0)</f>
        <v>0</v>
      </c>
      <c r="BE225" s="4">
        <f>IF(T225=VLOOKUP(VALUE(T$1),Questions!$A:$E,5,FALSE),1,0)</f>
        <v>1</v>
      </c>
      <c r="BF225" s="4">
        <f>IF(U225=VLOOKUP(VALUE(U$1),Questions!$A:$E,5,FALSE),1,0)</f>
        <v>0</v>
      </c>
      <c r="BG225" s="4">
        <f>IF(V225=VLOOKUP(VALUE(V$1),Questions!$A:$E,5,FALSE),1,0)</f>
        <v>0</v>
      </c>
      <c r="BH225" s="4">
        <f>IF(W225=VLOOKUP(VALUE(W$1),Questions!$A:$E,5,FALSE),1,0)</f>
        <v>1</v>
      </c>
      <c r="BI225" s="4">
        <f>IF(X225=VLOOKUP(VALUE(X$1),Questions!$A:$E,5,FALSE),1,0)</f>
        <v>1</v>
      </c>
      <c r="BJ225" s="4">
        <f>IF(Y225=VLOOKUP(VALUE(Y$1),Questions!$A:$E,5,FALSE),1,0)</f>
        <v>0</v>
      </c>
      <c r="BK225" s="4">
        <f>IF(Z225=VLOOKUP(VALUE(Z$1),Questions!$A:$E,5,FALSE),1,0)</f>
        <v>0</v>
      </c>
      <c r="BL225" s="4">
        <f>IF(AA225=VLOOKUP(VALUE(AA$1),Questions!$A:$E,5,FALSE),1,0)</f>
        <v>1</v>
      </c>
      <c r="BM225" s="4">
        <f>IF(AB225=VLOOKUP(VALUE(AB$1),Questions!$A:$E,5,FALSE),1,0)</f>
        <v>1</v>
      </c>
      <c r="BN225" s="4">
        <f>IF(AC225=VLOOKUP(VALUE(AC$1),Questions!$A:$E,5,FALSE),1,0)</f>
        <v>0</v>
      </c>
      <c r="BO225" s="4">
        <f>IF(AD225=VLOOKUP(VALUE(AD$1),Questions!$A:$E,5,FALSE),1,0)</f>
        <v>1</v>
      </c>
      <c r="BP225" s="4">
        <f>IF(AE225=VLOOKUP(VALUE(AE$1),Questions!$A:$E,5,FALSE),1,0)</f>
        <v>0</v>
      </c>
      <c r="BQ225" s="4">
        <f>IF(AF225=VLOOKUP(VALUE(AF$1),Questions!$A:$E,5,FALSE),1,0)</f>
        <v>1</v>
      </c>
      <c r="BR225" s="4">
        <f>IF(AG225=VLOOKUP(VALUE(AG$1),Questions!$A:$E,5,FALSE),1,0)</f>
        <v>0</v>
      </c>
      <c r="BS225" s="4">
        <f>IF(AH225=VLOOKUP(VALUE(AH$1),Questions!$A:$E,5,FALSE),1,0)</f>
        <v>0</v>
      </c>
      <c r="BT225" s="4">
        <f>IF(AI225=VLOOKUP(VALUE(AI$1),Questions!$A:$E,5,FALSE),1,0)</f>
        <v>0</v>
      </c>
      <c r="BU225" s="4">
        <f>IF(AJ225=VLOOKUP(VALUE(AJ$1),Questions!$A:$E,5,FALSE),1,0)</f>
        <v>1</v>
      </c>
      <c r="BV225" s="4">
        <f>IF(AK225=VLOOKUP(VALUE(AK$1),Questions!$A:$E,5,FALSE),1,0)</f>
        <v>1</v>
      </c>
      <c r="BW225" s="87">
        <f>IF(AL225=VLOOKUP(VALUE(AL$1),Questions!$A:$E,5,FALSE),1,0)</f>
        <v>1</v>
      </c>
      <c r="BX225" s="4">
        <f>IF(Scores[[#This Row],[Final]]&gt;=65,1,0)</f>
        <v>1</v>
      </c>
      <c r="BY225" s="4">
        <f>IF(Scores[[#This Row],[Final]]&gt;=IF(Scores[[#This Row],[IEP]],55,65),1,0)</f>
        <v>1</v>
      </c>
    </row>
    <row r="226" spans="1:77" x14ac:dyDescent="0.2">
      <c r="A226" s="6">
        <v>225</v>
      </c>
      <c r="B226" s="4">
        <v>11</v>
      </c>
      <c r="C226" s="4" t="s">
        <v>964</v>
      </c>
      <c r="D226" s="105" t="b">
        <v>0</v>
      </c>
      <c r="E226" s="105" t="b">
        <v>0</v>
      </c>
      <c r="F226" s="86">
        <f>SUM(Scores[[#This Row],[Q1]:[Q28]])</f>
        <v>13</v>
      </c>
      <c r="G226" s="4">
        <f>SUM(Scores[[#This Row],[29]]:Scores[[#This Row],[30]])</f>
        <v>6</v>
      </c>
      <c r="H226" s="4">
        <f>SUM(Scores[[#This Row],[31]:[36]])</f>
        <v>6</v>
      </c>
      <c r="I226" s="4">
        <f>Scores[[#This Row],[37]]</f>
        <v>1.5</v>
      </c>
      <c r="J226" s="87">
        <f>INDEX('Conversion Chart'!$C$3:$M$47,MATCH(SUM(Scores[[#This Row],[MC]:[IIIA]]),'Conversion Chart'!$B$3:$B$47),MATCH(Scores[[#This Row],[IIIB]],'Conversion Chart'!$C$2:$M$2))</f>
        <v>66</v>
      </c>
      <c r="K226" s="103">
        <v>4</v>
      </c>
      <c r="L226" s="103">
        <v>4</v>
      </c>
      <c r="M226" s="103">
        <v>4</v>
      </c>
      <c r="N226" s="103">
        <v>1</v>
      </c>
      <c r="O226" s="103">
        <v>1</v>
      </c>
      <c r="P226" s="103">
        <v>2</v>
      </c>
      <c r="Q226" s="103">
        <v>3</v>
      </c>
      <c r="R226" s="103">
        <v>2</v>
      </c>
      <c r="S226" s="103">
        <v>3</v>
      </c>
      <c r="T226" s="103"/>
      <c r="U226" s="103"/>
      <c r="V226" s="103">
        <v>3</v>
      </c>
      <c r="W226" s="103">
        <v>2</v>
      </c>
      <c r="X226" s="103">
        <v>4</v>
      </c>
      <c r="Y226" s="103">
        <v>2</v>
      </c>
      <c r="Z226" s="103">
        <v>2</v>
      </c>
      <c r="AA226" s="103">
        <v>1</v>
      </c>
      <c r="AB226" s="103">
        <v>4</v>
      </c>
      <c r="AC226" s="103">
        <v>2</v>
      </c>
      <c r="AD226" s="103">
        <v>4</v>
      </c>
      <c r="AE226" s="103">
        <v>4</v>
      </c>
      <c r="AF226" s="103">
        <v>2</v>
      </c>
      <c r="AG226" s="103">
        <v>4</v>
      </c>
      <c r="AH226" s="103">
        <v>2</v>
      </c>
      <c r="AI226" s="103">
        <v>3</v>
      </c>
      <c r="AJ226" s="103">
        <v>4</v>
      </c>
      <c r="AK226" s="103">
        <v>1</v>
      </c>
      <c r="AL226" s="104">
        <v>3</v>
      </c>
      <c r="AM226" s="4">
        <v>3</v>
      </c>
      <c r="AN226" s="87">
        <v>3</v>
      </c>
      <c r="AO226" s="4">
        <v>1</v>
      </c>
      <c r="AP226" s="4">
        <v>1</v>
      </c>
      <c r="AQ226" s="4">
        <v>1</v>
      </c>
      <c r="AR226" s="4">
        <v>1</v>
      </c>
      <c r="AS226" s="4">
        <v>1</v>
      </c>
      <c r="AT226" s="4">
        <v>1</v>
      </c>
      <c r="AU226" s="107">
        <v>1.5</v>
      </c>
      <c r="AV226" s="4">
        <f>IF(K226=VLOOKUP(VALUE(K$1),Questions!$A:$E,5,FALSE),1,0)</f>
        <v>1</v>
      </c>
      <c r="AW226" s="4">
        <f>IF(L226=VLOOKUP(VALUE(L$1),Questions!$A:$E,5,FALSE),1,0)</f>
        <v>0</v>
      </c>
      <c r="AX226" s="4">
        <f>IF(M226=VLOOKUP(VALUE(M$1),Questions!$A:$E,5,FALSE),1,0)</f>
        <v>0</v>
      </c>
      <c r="AY226" s="4">
        <f>IF(N226=VLOOKUP(VALUE(N$1),Questions!$A:$E,5,FALSE),1,0)</f>
        <v>0</v>
      </c>
      <c r="AZ226" s="4">
        <f>IF(O226=VLOOKUP(VALUE(O$1),Questions!$A:$E,5,FALSE),1,0)</f>
        <v>1</v>
      </c>
      <c r="BA226" s="4">
        <f>IF(P226=VLOOKUP(VALUE(P$1),Questions!$A:$E,5,FALSE),1,0)</f>
        <v>0</v>
      </c>
      <c r="BB226" s="4">
        <f>IF(Q226=VLOOKUP(VALUE(Q$1),Questions!$A:$E,5,FALSE),1,0)</f>
        <v>1</v>
      </c>
      <c r="BC226" s="4">
        <f>IF(R226=VLOOKUP(VALUE(R$1),Questions!$A:$E,5,FALSE),1,0)</f>
        <v>1</v>
      </c>
      <c r="BD226" s="4">
        <f>IF(S226=VLOOKUP(VALUE(S$1),Questions!$A:$E,5,FALSE),1,0)</f>
        <v>0</v>
      </c>
      <c r="BE226" s="4">
        <f>IF(T226=VLOOKUP(VALUE(T$1),Questions!$A:$E,5,FALSE),1,0)</f>
        <v>0</v>
      </c>
      <c r="BF226" s="4">
        <f>IF(U226=VLOOKUP(VALUE(U$1),Questions!$A:$E,5,FALSE),1,0)</f>
        <v>0</v>
      </c>
      <c r="BG226" s="4">
        <f>IF(V226=VLOOKUP(VALUE(V$1),Questions!$A:$E,5,FALSE),1,0)</f>
        <v>0</v>
      </c>
      <c r="BH226" s="4">
        <f>IF(W226=VLOOKUP(VALUE(W$1),Questions!$A:$E,5,FALSE),1,0)</f>
        <v>1</v>
      </c>
      <c r="BI226" s="4">
        <f>IF(X226=VLOOKUP(VALUE(X$1),Questions!$A:$E,5,FALSE),1,0)</f>
        <v>1</v>
      </c>
      <c r="BJ226" s="4">
        <f>IF(Y226=VLOOKUP(VALUE(Y$1),Questions!$A:$E,5,FALSE),1,0)</f>
        <v>0</v>
      </c>
      <c r="BK226" s="4">
        <f>IF(Z226=VLOOKUP(VALUE(Z$1),Questions!$A:$E,5,FALSE),1,0)</f>
        <v>0</v>
      </c>
      <c r="BL226" s="4">
        <f>IF(AA226=VLOOKUP(VALUE(AA$1),Questions!$A:$E,5,FALSE),1,0)</f>
        <v>1</v>
      </c>
      <c r="BM226" s="4">
        <f>IF(AB226=VLOOKUP(VALUE(AB$1),Questions!$A:$E,5,FALSE),1,0)</f>
        <v>1</v>
      </c>
      <c r="BN226" s="4">
        <f>IF(AC226=VLOOKUP(VALUE(AC$1),Questions!$A:$E,5,FALSE),1,0)</f>
        <v>0</v>
      </c>
      <c r="BO226" s="4">
        <f>IF(AD226=VLOOKUP(VALUE(AD$1),Questions!$A:$E,5,FALSE),1,0)</f>
        <v>1</v>
      </c>
      <c r="BP226" s="4">
        <f>IF(AE226=VLOOKUP(VALUE(AE$1),Questions!$A:$E,5,FALSE),1,0)</f>
        <v>0</v>
      </c>
      <c r="BQ226" s="4">
        <f>IF(AF226=VLOOKUP(VALUE(AF$1),Questions!$A:$E,5,FALSE),1,0)</f>
        <v>1</v>
      </c>
      <c r="BR226" s="4">
        <f>IF(AG226=VLOOKUP(VALUE(AG$1),Questions!$A:$E,5,FALSE),1,0)</f>
        <v>0</v>
      </c>
      <c r="BS226" s="4">
        <f>IF(AH226=VLOOKUP(VALUE(AH$1),Questions!$A:$E,5,FALSE),1,0)</f>
        <v>0</v>
      </c>
      <c r="BT226" s="4">
        <f>IF(AI226=VLOOKUP(VALUE(AI$1),Questions!$A:$E,5,FALSE),1,0)</f>
        <v>0</v>
      </c>
      <c r="BU226" s="4">
        <f>IF(AJ226=VLOOKUP(VALUE(AJ$1),Questions!$A:$E,5,FALSE),1,0)</f>
        <v>1</v>
      </c>
      <c r="BV226" s="4">
        <f>IF(AK226=VLOOKUP(VALUE(AK$1),Questions!$A:$E,5,FALSE),1,0)</f>
        <v>1</v>
      </c>
      <c r="BW226" s="87">
        <f>IF(AL226=VLOOKUP(VALUE(AL$1),Questions!$A:$E,5,FALSE),1,0)</f>
        <v>1</v>
      </c>
      <c r="BX226" s="4">
        <f>IF(Scores[[#This Row],[Final]]&gt;=65,1,0)</f>
        <v>1</v>
      </c>
      <c r="BY226" s="4">
        <f>IF(Scores[[#This Row],[Final]]&gt;=IF(Scores[[#This Row],[IEP]],55,65),1,0)</f>
        <v>1</v>
      </c>
    </row>
    <row r="227" spans="1:77" x14ac:dyDescent="0.2">
      <c r="A227" s="6">
        <v>226</v>
      </c>
      <c r="B227" s="4">
        <v>9</v>
      </c>
      <c r="C227" s="4" t="s">
        <v>963</v>
      </c>
      <c r="D227" s="105" t="b">
        <v>0</v>
      </c>
      <c r="E227" s="105" t="b">
        <v>1</v>
      </c>
      <c r="F227" s="86">
        <f>SUM(Scores[[#This Row],[Q1]:[Q28]])</f>
        <v>13</v>
      </c>
      <c r="G227" s="4">
        <f>SUM(Scores[[#This Row],[29]]:Scores[[#This Row],[30]])</f>
        <v>2</v>
      </c>
      <c r="H227" s="4">
        <f>SUM(Scores[[#This Row],[31]:[36]])</f>
        <v>6</v>
      </c>
      <c r="I227" s="4">
        <f>Scores[[#This Row],[37]]</f>
        <v>1</v>
      </c>
      <c r="J227" s="87">
        <f>INDEX('Conversion Chart'!$C$3:$M$47,MATCH(SUM(Scores[[#This Row],[MC]:[IIIA]]),'Conversion Chart'!$B$3:$B$47),MATCH(Scores[[#This Row],[IIIB]],'Conversion Chart'!$C$2:$M$2))</f>
        <v>58</v>
      </c>
      <c r="K227" s="103">
        <v>2</v>
      </c>
      <c r="L227" s="103">
        <v>4</v>
      </c>
      <c r="M227" s="103">
        <v>4</v>
      </c>
      <c r="N227" s="103">
        <v>2</v>
      </c>
      <c r="O227" s="103">
        <v>1</v>
      </c>
      <c r="P227" s="103">
        <v>4</v>
      </c>
      <c r="Q227" s="103">
        <v>3</v>
      </c>
      <c r="R227" s="103">
        <v>2</v>
      </c>
      <c r="S227" s="103">
        <v>2</v>
      </c>
      <c r="T227" s="103">
        <v>1</v>
      </c>
      <c r="U227" s="103">
        <v>3</v>
      </c>
      <c r="V227" s="103">
        <v>4</v>
      </c>
      <c r="W227" s="103">
        <v>4</v>
      </c>
      <c r="X227" s="103">
        <v>1</v>
      </c>
      <c r="Y227" s="103">
        <v>3</v>
      </c>
      <c r="Z227" s="103">
        <v>2</v>
      </c>
      <c r="AA227" s="103">
        <v>4</v>
      </c>
      <c r="AB227" s="103">
        <v>4</v>
      </c>
      <c r="AC227" s="103">
        <v>3</v>
      </c>
      <c r="AD227" s="103">
        <v>2</v>
      </c>
      <c r="AE227" s="103">
        <v>1</v>
      </c>
      <c r="AF227" s="103">
        <v>4</v>
      </c>
      <c r="AG227" s="103">
        <v>2</v>
      </c>
      <c r="AH227" s="103">
        <v>1</v>
      </c>
      <c r="AI227" s="103">
        <v>3</v>
      </c>
      <c r="AJ227" s="103">
        <v>4</v>
      </c>
      <c r="AK227" s="103">
        <v>1</v>
      </c>
      <c r="AL227" s="104">
        <v>3</v>
      </c>
      <c r="AM227" s="4">
        <v>1</v>
      </c>
      <c r="AN227" s="87">
        <v>1</v>
      </c>
      <c r="AO227" s="4">
        <v>1</v>
      </c>
      <c r="AP227" s="4">
        <v>1</v>
      </c>
      <c r="AQ227" s="4">
        <v>1</v>
      </c>
      <c r="AR227" s="4">
        <v>1</v>
      </c>
      <c r="AS227" s="4">
        <v>1</v>
      </c>
      <c r="AT227" s="4">
        <v>1</v>
      </c>
      <c r="AU227" s="107">
        <v>1</v>
      </c>
      <c r="AV227" s="4">
        <f>IF(K227=VLOOKUP(VALUE(K$1),Questions!$A:$E,5,FALSE),1,0)</f>
        <v>0</v>
      </c>
      <c r="AW227" s="4">
        <f>IF(L227=VLOOKUP(VALUE(L$1),Questions!$A:$E,5,FALSE),1,0)</f>
        <v>0</v>
      </c>
      <c r="AX227" s="4">
        <f>IF(M227=VLOOKUP(VALUE(M$1),Questions!$A:$E,5,FALSE),1,0)</f>
        <v>0</v>
      </c>
      <c r="AY227" s="4">
        <f>IF(N227=VLOOKUP(VALUE(N$1),Questions!$A:$E,5,FALSE),1,0)</f>
        <v>0</v>
      </c>
      <c r="AZ227" s="4">
        <f>IF(O227=VLOOKUP(VALUE(O$1),Questions!$A:$E,5,FALSE),1,0)</f>
        <v>1</v>
      </c>
      <c r="BA227" s="4">
        <f>IF(P227=VLOOKUP(VALUE(P$1),Questions!$A:$E,5,FALSE),1,0)</f>
        <v>1</v>
      </c>
      <c r="BB227" s="4">
        <f>IF(Q227=VLOOKUP(VALUE(Q$1),Questions!$A:$E,5,FALSE),1,0)</f>
        <v>1</v>
      </c>
      <c r="BC227" s="4">
        <f>IF(R227=VLOOKUP(VALUE(R$1),Questions!$A:$E,5,FALSE),1,0)</f>
        <v>1</v>
      </c>
      <c r="BD227" s="4">
        <f>IF(S227=VLOOKUP(VALUE(S$1),Questions!$A:$E,5,FALSE),1,0)</f>
        <v>1</v>
      </c>
      <c r="BE227" s="4">
        <f>IF(T227=VLOOKUP(VALUE(T$1),Questions!$A:$E,5,FALSE),1,0)</f>
        <v>1</v>
      </c>
      <c r="BF227" s="4">
        <f>IF(U227=VLOOKUP(VALUE(U$1),Questions!$A:$E,5,FALSE),1,0)</f>
        <v>0</v>
      </c>
      <c r="BG227" s="4">
        <f>IF(V227=VLOOKUP(VALUE(V$1),Questions!$A:$E,5,FALSE),1,0)</f>
        <v>1</v>
      </c>
      <c r="BH227" s="4">
        <f>IF(W227=VLOOKUP(VALUE(W$1),Questions!$A:$E,5,FALSE),1,0)</f>
        <v>0</v>
      </c>
      <c r="BI227" s="4">
        <f>IF(X227=VLOOKUP(VALUE(X$1),Questions!$A:$E,5,FALSE),1,0)</f>
        <v>0</v>
      </c>
      <c r="BJ227" s="4">
        <f>IF(Y227=VLOOKUP(VALUE(Y$1),Questions!$A:$E,5,FALSE),1,0)</f>
        <v>1</v>
      </c>
      <c r="BK227" s="4">
        <f>IF(Z227=VLOOKUP(VALUE(Z$1),Questions!$A:$E,5,FALSE),1,0)</f>
        <v>0</v>
      </c>
      <c r="BL227" s="4">
        <f>IF(AA227=VLOOKUP(VALUE(AA$1),Questions!$A:$E,5,FALSE),1,0)</f>
        <v>0</v>
      </c>
      <c r="BM227" s="4">
        <f>IF(AB227=VLOOKUP(VALUE(AB$1),Questions!$A:$E,5,FALSE),1,0)</f>
        <v>1</v>
      </c>
      <c r="BN227" s="4">
        <f>IF(AC227=VLOOKUP(VALUE(AC$1),Questions!$A:$E,5,FALSE),1,0)</f>
        <v>1</v>
      </c>
      <c r="BO227" s="4">
        <f>IF(AD227=VLOOKUP(VALUE(AD$1),Questions!$A:$E,5,FALSE),1,0)</f>
        <v>0</v>
      </c>
      <c r="BP227" s="4">
        <f>IF(AE227=VLOOKUP(VALUE(AE$1),Questions!$A:$E,5,FALSE),1,0)</f>
        <v>0</v>
      </c>
      <c r="BQ227" s="4">
        <f>IF(AF227=VLOOKUP(VALUE(AF$1),Questions!$A:$E,5,FALSE),1,0)</f>
        <v>0</v>
      </c>
      <c r="BR227" s="4">
        <f>IF(AG227=VLOOKUP(VALUE(AG$1),Questions!$A:$E,5,FALSE),1,0)</f>
        <v>0</v>
      </c>
      <c r="BS227" s="4">
        <f>IF(AH227=VLOOKUP(VALUE(AH$1),Questions!$A:$E,5,FALSE),1,0)</f>
        <v>0</v>
      </c>
      <c r="BT227" s="4">
        <f>IF(AI227=VLOOKUP(VALUE(AI$1),Questions!$A:$E,5,FALSE),1,0)</f>
        <v>0</v>
      </c>
      <c r="BU227" s="4">
        <f>IF(AJ227=VLOOKUP(VALUE(AJ$1),Questions!$A:$E,5,FALSE),1,0)</f>
        <v>1</v>
      </c>
      <c r="BV227" s="4">
        <f>IF(AK227=VLOOKUP(VALUE(AK$1),Questions!$A:$E,5,FALSE),1,0)</f>
        <v>1</v>
      </c>
      <c r="BW227" s="87">
        <f>IF(AL227=VLOOKUP(VALUE(AL$1),Questions!$A:$E,5,FALSE),1,0)</f>
        <v>1</v>
      </c>
      <c r="BX227" s="4">
        <f>IF(Scores[[#This Row],[Final]]&gt;=65,1,0)</f>
        <v>0</v>
      </c>
      <c r="BY227" s="4">
        <f>IF(Scores[[#This Row],[Final]]&gt;=IF(Scores[[#This Row],[IEP]],55,65),1,0)</f>
        <v>1</v>
      </c>
    </row>
    <row r="228" spans="1:77" x14ac:dyDescent="0.2">
      <c r="A228" s="6">
        <v>227</v>
      </c>
      <c r="B228" s="4">
        <v>11</v>
      </c>
      <c r="C228" s="4" t="s">
        <v>962</v>
      </c>
      <c r="D228" s="105" t="b">
        <v>0</v>
      </c>
      <c r="E228" s="105" t="b">
        <v>1</v>
      </c>
      <c r="F228" s="86">
        <f>SUM(Scores[[#This Row],[Q1]:[Q28]])</f>
        <v>13</v>
      </c>
      <c r="G228" s="4">
        <f>SUM(Scores[[#This Row],[29]]:Scores[[#This Row],[30]])</f>
        <v>1</v>
      </c>
      <c r="H228" s="4">
        <f>SUM(Scores[[#This Row],[31]:[36]])</f>
        <v>5</v>
      </c>
      <c r="I228" s="4">
        <f>Scores[[#This Row],[37]]</f>
        <v>2</v>
      </c>
      <c r="J228" s="87">
        <f>INDEX('Conversion Chart'!$C$3:$M$47,MATCH(SUM(Scores[[#This Row],[MC]:[IIIA]]),'Conversion Chart'!$B$3:$B$47),MATCH(Scores[[#This Row],[IIIB]],'Conversion Chart'!$C$2:$M$2))</f>
        <v>60</v>
      </c>
      <c r="K228" s="103">
        <v>4</v>
      </c>
      <c r="L228" s="103">
        <v>1</v>
      </c>
      <c r="M228" s="103">
        <v>1</v>
      </c>
      <c r="N228" s="103">
        <v>3</v>
      </c>
      <c r="O228" s="103">
        <v>2</v>
      </c>
      <c r="P228" s="103">
        <v>3</v>
      </c>
      <c r="Q228" s="103">
        <v>3</v>
      </c>
      <c r="R228" s="103">
        <v>2</v>
      </c>
      <c r="S228" s="103">
        <v>4</v>
      </c>
      <c r="T228" s="103">
        <v>2</v>
      </c>
      <c r="U228" s="103">
        <v>2</v>
      </c>
      <c r="V228" s="103">
        <v>4</v>
      </c>
      <c r="W228" s="103">
        <v>1</v>
      </c>
      <c r="X228" s="103">
        <v>4</v>
      </c>
      <c r="Y228" s="103">
        <v>2</v>
      </c>
      <c r="Z228" s="103">
        <v>2</v>
      </c>
      <c r="AA228" s="103">
        <v>1</v>
      </c>
      <c r="AB228" s="103">
        <v>4</v>
      </c>
      <c r="AC228" s="103">
        <v>2</v>
      </c>
      <c r="AD228" s="103">
        <v>1</v>
      </c>
      <c r="AE228" s="103">
        <v>2</v>
      </c>
      <c r="AF228" s="103">
        <v>2</v>
      </c>
      <c r="AG228" s="103">
        <v>3</v>
      </c>
      <c r="AH228" s="103">
        <v>1</v>
      </c>
      <c r="AI228" s="103">
        <v>2</v>
      </c>
      <c r="AJ228" s="103">
        <v>4</v>
      </c>
      <c r="AK228" s="103">
        <v>4</v>
      </c>
      <c r="AL228" s="104">
        <v>1</v>
      </c>
      <c r="AM228" s="4">
        <v>1</v>
      </c>
      <c r="AN228" s="87">
        <v>0</v>
      </c>
      <c r="AO228" s="4">
        <v>1</v>
      </c>
      <c r="AP228" s="4">
        <v>1</v>
      </c>
      <c r="AQ228" s="4">
        <v>1</v>
      </c>
      <c r="AR228" s="4">
        <v>1</v>
      </c>
      <c r="AS228" s="4">
        <v>1</v>
      </c>
      <c r="AT228" s="4">
        <v>0</v>
      </c>
      <c r="AU228" s="107">
        <v>2</v>
      </c>
      <c r="AV228" s="4">
        <f>IF(K228=VLOOKUP(VALUE(K$1),Questions!$A:$E,5,FALSE),1,0)</f>
        <v>1</v>
      </c>
      <c r="AW228" s="4">
        <f>IF(L228=VLOOKUP(VALUE(L$1),Questions!$A:$E,5,FALSE),1,0)</f>
        <v>0</v>
      </c>
      <c r="AX228" s="4">
        <f>IF(M228=VLOOKUP(VALUE(M$1),Questions!$A:$E,5,FALSE),1,0)</f>
        <v>0</v>
      </c>
      <c r="AY228" s="4">
        <f>IF(N228=VLOOKUP(VALUE(N$1),Questions!$A:$E,5,FALSE),1,0)</f>
        <v>1</v>
      </c>
      <c r="AZ228" s="4">
        <f>IF(O228=VLOOKUP(VALUE(O$1),Questions!$A:$E,5,FALSE),1,0)</f>
        <v>0</v>
      </c>
      <c r="BA228" s="4">
        <f>IF(P228=VLOOKUP(VALUE(P$1),Questions!$A:$E,5,FALSE),1,0)</f>
        <v>0</v>
      </c>
      <c r="BB228" s="4">
        <f>IF(Q228=VLOOKUP(VALUE(Q$1),Questions!$A:$E,5,FALSE),1,0)</f>
        <v>1</v>
      </c>
      <c r="BC228" s="4">
        <f>IF(R228=VLOOKUP(VALUE(R$1),Questions!$A:$E,5,FALSE),1,0)</f>
        <v>1</v>
      </c>
      <c r="BD228" s="4">
        <f>IF(S228=VLOOKUP(VALUE(S$1),Questions!$A:$E,5,FALSE),1,0)</f>
        <v>0</v>
      </c>
      <c r="BE228" s="4">
        <f>IF(T228=VLOOKUP(VALUE(T$1),Questions!$A:$E,5,FALSE),1,0)</f>
        <v>0</v>
      </c>
      <c r="BF228" s="4">
        <f>IF(U228=VLOOKUP(VALUE(U$1),Questions!$A:$E,5,FALSE),1,0)</f>
        <v>1</v>
      </c>
      <c r="BG228" s="4">
        <f>IF(V228=VLOOKUP(VALUE(V$1),Questions!$A:$E,5,FALSE),1,0)</f>
        <v>1</v>
      </c>
      <c r="BH228" s="4">
        <f>IF(W228=VLOOKUP(VALUE(W$1),Questions!$A:$E,5,FALSE),1,0)</f>
        <v>0</v>
      </c>
      <c r="BI228" s="4">
        <f>IF(X228=VLOOKUP(VALUE(X$1),Questions!$A:$E,5,FALSE),1,0)</f>
        <v>1</v>
      </c>
      <c r="BJ228" s="4">
        <f>IF(Y228=VLOOKUP(VALUE(Y$1),Questions!$A:$E,5,FALSE),1,0)</f>
        <v>0</v>
      </c>
      <c r="BK228" s="4">
        <f>IF(Z228=VLOOKUP(VALUE(Z$1),Questions!$A:$E,5,FALSE),1,0)</f>
        <v>0</v>
      </c>
      <c r="BL228" s="4">
        <f>IF(AA228=VLOOKUP(VALUE(AA$1),Questions!$A:$E,5,FALSE),1,0)</f>
        <v>1</v>
      </c>
      <c r="BM228" s="4">
        <f>IF(AB228=VLOOKUP(VALUE(AB$1),Questions!$A:$E,5,FALSE),1,0)</f>
        <v>1</v>
      </c>
      <c r="BN228" s="4">
        <f>IF(AC228=VLOOKUP(VALUE(AC$1),Questions!$A:$E,5,FALSE),1,0)</f>
        <v>0</v>
      </c>
      <c r="BO228" s="4">
        <f>IF(AD228=VLOOKUP(VALUE(AD$1),Questions!$A:$E,5,FALSE),1,0)</f>
        <v>0</v>
      </c>
      <c r="BP228" s="4">
        <f>IF(AE228=VLOOKUP(VALUE(AE$1),Questions!$A:$E,5,FALSE),1,0)</f>
        <v>1</v>
      </c>
      <c r="BQ228" s="4">
        <f>IF(AF228=VLOOKUP(VALUE(AF$1),Questions!$A:$E,5,FALSE),1,0)</f>
        <v>1</v>
      </c>
      <c r="BR228" s="4">
        <f>IF(AG228=VLOOKUP(VALUE(AG$1),Questions!$A:$E,5,FALSE),1,0)</f>
        <v>1</v>
      </c>
      <c r="BS228" s="4">
        <f>IF(AH228=VLOOKUP(VALUE(AH$1),Questions!$A:$E,5,FALSE),1,0)</f>
        <v>0</v>
      </c>
      <c r="BT228" s="4">
        <f>IF(AI228=VLOOKUP(VALUE(AI$1),Questions!$A:$E,5,FALSE),1,0)</f>
        <v>0</v>
      </c>
      <c r="BU228" s="4">
        <f>IF(AJ228=VLOOKUP(VALUE(AJ$1),Questions!$A:$E,5,FALSE),1,0)</f>
        <v>1</v>
      </c>
      <c r="BV228" s="4">
        <f>IF(AK228=VLOOKUP(VALUE(AK$1),Questions!$A:$E,5,FALSE),1,0)</f>
        <v>0</v>
      </c>
      <c r="BW228" s="87">
        <f>IF(AL228=VLOOKUP(VALUE(AL$1),Questions!$A:$E,5,FALSE),1,0)</f>
        <v>0</v>
      </c>
      <c r="BX228" s="4">
        <f>IF(Scores[[#This Row],[Final]]&gt;=65,1,0)</f>
        <v>0</v>
      </c>
      <c r="BY228" s="4">
        <f>IF(Scores[[#This Row],[Final]]&gt;=IF(Scores[[#This Row],[IEP]],55,65),1,0)</f>
        <v>1</v>
      </c>
    </row>
    <row r="229" spans="1:77" x14ac:dyDescent="0.2">
      <c r="A229" s="6">
        <v>228</v>
      </c>
      <c r="B229" s="4">
        <v>9</v>
      </c>
      <c r="C229" s="4" t="s">
        <v>964</v>
      </c>
      <c r="D229" s="105" t="b">
        <v>0</v>
      </c>
      <c r="E229" s="105" t="b">
        <v>1</v>
      </c>
      <c r="F229" s="86">
        <f>SUM(Scores[[#This Row],[Q1]:[Q28]])</f>
        <v>13</v>
      </c>
      <c r="G229" s="4">
        <f>SUM(Scores[[#This Row],[29]]:Scores[[#This Row],[30]])</f>
        <v>2</v>
      </c>
      <c r="H229" s="4">
        <f>SUM(Scores[[#This Row],[31]:[36]])</f>
        <v>4</v>
      </c>
      <c r="I229" s="4">
        <f>Scores[[#This Row],[37]]</f>
        <v>1</v>
      </c>
      <c r="J229" s="87">
        <f>INDEX('Conversion Chart'!$C$3:$M$47,MATCH(SUM(Scores[[#This Row],[MC]:[IIIA]]),'Conversion Chart'!$B$3:$B$47),MATCH(Scores[[#This Row],[IIIB]],'Conversion Chart'!$C$2:$M$2))</f>
        <v>55</v>
      </c>
      <c r="K229" s="103">
        <v>2</v>
      </c>
      <c r="L229" s="103">
        <v>2</v>
      </c>
      <c r="M229" s="103">
        <v>3</v>
      </c>
      <c r="N229" s="103">
        <v>1</v>
      </c>
      <c r="O229" s="103">
        <v>1</v>
      </c>
      <c r="P229" s="103">
        <v>2</v>
      </c>
      <c r="Q229" s="103">
        <v>2</v>
      </c>
      <c r="R229" s="103">
        <v>4</v>
      </c>
      <c r="S229" s="103">
        <v>4</v>
      </c>
      <c r="T229" s="103">
        <v>1</v>
      </c>
      <c r="U229" s="103">
        <v>2</v>
      </c>
      <c r="V229" s="103">
        <v>3</v>
      </c>
      <c r="W229" s="103">
        <v>2</v>
      </c>
      <c r="X229" s="103">
        <v>4</v>
      </c>
      <c r="Y229" s="103">
        <v>1</v>
      </c>
      <c r="Z229" s="103">
        <v>4</v>
      </c>
      <c r="AA229" s="103">
        <v>1</v>
      </c>
      <c r="AB229" s="103">
        <v>4</v>
      </c>
      <c r="AC229" s="103">
        <v>2</v>
      </c>
      <c r="AD229" s="103">
        <v>1</v>
      </c>
      <c r="AE229" s="103">
        <v>2</v>
      </c>
      <c r="AF229" s="103">
        <v>1</v>
      </c>
      <c r="AG229" s="103">
        <v>3</v>
      </c>
      <c r="AH229" s="103">
        <v>2</v>
      </c>
      <c r="AI229" s="103">
        <v>1</v>
      </c>
      <c r="AJ229" s="103">
        <v>2</v>
      </c>
      <c r="AK229" s="103">
        <v>2</v>
      </c>
      <c r="AL229" s="104">
        <v>3</v>
      </c>
      <c r="AM229" s="4">
        <v>1</v>
      </c>
      <c r="AN229" s="87">
        <v>1</v>
      </c>
      <c r="AO229" s="4">
        <v>0</v>
      </c>
      <c r="AP229" s="4">
        <v>0</v>
      </c>
      <c r="AQ229" s="4">
        <v>1</v>
      </c>
      <c r="AR229" s="4">
        <v>1</v>
      </c>
      <c r="AS229" s="4">
        <v>1</v>
      </c>
      <c r="AT229" s="4">
        <v>1</v>
      </c>
      <c r="AU229" s="107">
        <v>1</v>
      </c>
      <c r="AV229" s="4">
        <f>IF(K229=VLOOKUP(VALUE(K$1),Questions!$A:$E,5,FALSE),1,0)</f>
        <v>0</v>
      </c>
      <c r="AW229" s="4">
        <f>IF(L229=VLOOKUP(VALUE(L$1),Questions!$A:$E,5,FALSE),1,0)</f>
        <v>1</v>
      </c>
      <c r="AX229" s="4">
        <f>IF(M229=VLOOKUP(VALUE(M$1),Questions!$A:$E,5,FALSE),1,0)</f>
        <v>1</v>
      </c>
      <c r="AY229" s="4">
        <f>IF(N229=VLOOKUP(VALUE(N$1),Questions!$A:$E,5,FALSE),1,0)</f>
        <v>0</v>
      </c>
      <c r="AZ229" s="4">
        <f>IF(O229=VLOOKUP(VALUE(O$1),Questions!$A:$E,5,FALSE),1,0)</f>
        <v>1</v>
      </c>
      <c r="BA229" s="4">
        <f>IF(P229=VLOOKUP(VALUE(P$1),Questions!$A:$E,5,FALSE),1,0)</f>
        <v>0</v>
      </c>
      <c r="BB229" s="4">
        <f>IF(Q229=VLOOKUP(VALUE(Q$1),Questions!$A:$E,5,FALSE),1,0)</f>
        <v>0</v>
      </c>
      <c r="BC229" s="4">
        <f>IF(R229=VLOOKUP(VALUE(R$1),Questions!$A:$E,5,FALSE),1,0)</f>
        <v>0</v>
      </c>
      <c r="BD229" s="4">
        <f>IF(S229=VLOOKUP(VALUE(S$1),Questions!$A:$E,5,FALSE),1,0)</f>
        <v>0</v>
      </c>
      <c r="BE229" s="4">
        <f>IF(T229=VLOOKUP(VALUE(T$1),Questions!$A:$E,5,FALSE),1,0)</f>
        <v>1</v>
      </c>
      <c r="BF229" s="4">
        <f>IF(U229=VLOOKUP(VALUE(U$1),Questions!$A:$E,5,FALSE),1,0)</f>
        <v>1</v>
      </c>
      <c r="BG229" s="4">
        <f>IF(V229=VLOOKUP(VALUE(V$1),Questions!$A:$E,5,FALSE),1,0)</f>
        <v>0</v>
      </c>
      <c r="BH229" s="4">
        <f>IF(W229=VLOOKUP(VALUE(W$1),Questions!$A:$E,5,FALSE),1,0)</f>
        <v>1</v>
      </c>
      <c r="BI229" s="4">
        <f>IF(X229=VLOOKUP(VALUE(X$1),Questions!$A:$E,5,FALSE),1,0)</f>
        <v>1</v>
      </c>
      <c r="BJ229" s="4">
        <f>IF(Y229=VLOOKUP(VALUE(Y$1),Questions!$A:$E,5,FALSE),1,0)</f>
        <v>0</v>
      </c>
      <c r="BK229" s="4">
        <f>IF(Z229=VLOOKUP(VALUE(Z$1),Questions!$A:$E,5,FALSE),1,0)</f>
        <v>0</v>
      </c>
      <c r="BL229" s="4">
        <f>IF(AA229=VLOOKUP(VALUE(AA$1),Questions!$A:$E,5,FALSE),1,0)</f>
        <v>1</v>
      </c>
      <c r="BM229" s="4">
        <f>IF(AB229=VLOOKUP(VALUE(AB$1),Questions!$A:$E,5,FALSE),1,0)</f>
        <v>1</v>
      </c>
      <c r="BN229" s="4">
        <f>IF(AC229=VLOOKUP(VALUE(AC$1),Questions!$A:$E,5,FALSE),1,0)</f>
        <v>0</v>
      </c>
      <c r="BO229" s="4">
        <f>IF(AD229=VLOOKUP(VALUE(AD$1),Questions!$A:$E,5,FALSE),1,0)</f>
        <v>0</v>
      </c>
      <c r="BP229" s="4">
        <f>IF(AE229=VLOOKUP(VALUE(AE$1),Questions!$A:$E,5,FALSE),1,0)</f>
        <v>1</v>
      </c>
      <c r="BQ229" s="4">
        <f>IF(AF229=VLOOKUP(VALUE(AF$1),Questions!$A:$E,5,FALSE),1,0)</f>
        <v>0</v>
      </c>
      <c r="BR229" s="4">
        <f>IF(AG229=VLOOKUP(VALUE(AG$1),Questions!$A:$E,5,FALSE),1,0)</f>
        <v>1</v>
      </c>
      <c r="BS229" s="4">
        <f>IF(AH229=VLOOKUP(VALUE(AH$1),Questions!$A:$E,5,FALSE),1,0)</f>
        <v>0</v>
      </c>
      <c r="BT229" s="4">
        <f>IF(AI229=VLOOKUP(VALUE(AI$1),Questions!$A:$E,5,FALSE),1,0)</f>
        <v>1</v>
      </c>
      <c r="BU229" s="4">
        <f>IF(AJ229=VLOOKUP(VALUE(AJ$1),Questions!$A:$E,5,FALSE),1,0)</f>
        <v>0</v>
      </c>
      <c r="BV229" s="4">
        <f>IF(AK229=VLOOKUP(VALUE(AK$1),Questions!$A:$E,5,FALSE),1,0)</f>
        <v>0</v>
      </c>
      <c r="BW229" s="87">
        <f>IF(AL229=VLOOKUP(VALUE(AL$1),Questions!$A:$E,5,FALSE),1,0)</f>
        <v>1</v>
      </c>
      <c r="BX229" s="4">
        <f>IF(Scores[[#This Row],[Final]]&gt;=65,1,0)</f>
        <v>0</v>
      </c>
      <c r="BY229" s="4">
        <f>IF(Scores[[#This Row],[Final]]&gt;=IF(Scores[[#This Row],[IEP]],55,65),1,0)</f>
        <v>1</v>
      </c>
    </row>
    <row r="230" spans="1:77" x14ac:dyDescent="0.2">
      <c r="A230" s="6">
        <v>229</v>
      </c>
      <c r="B230" s="4">
        <v>9</v>
      </c>
      <c r="C230" s="4" t="s">
        <v>964</v>
      </c>
      <c r="D230" s="105" t="b">
        <v>0</v>
      </c>
      <c r="E230" s="105" t="b">
        <v>0</v>
      </c>
      <c r="F230" s="86">
        <f>SUM(Scores[[#This Row],[Q1]:[Q28]])</f>
        <v>26</v>
      </c>
      <c r="G230" s="4">
        <f>SUM(Scores[[#This Row],[29]]:Scores[[#This Row],[30]])</f>
        <v>6</v>
      </c>
      <c r="H230" s="4">
        <f>SUM(Scores[[#This Row],[31]:[36]])</f>
        <v>6</v>
      </c>
      <c r="I230" s="4">
        <f>Scores[[#This Row],[37]]</f>
        <v>3</v>
      </c>
      <c r="J230" s="87">
        <f>INDEX('Conversion Chart'!$C$3:$M$47,MATCH(SUM(Scores[[#This Row],[MC]:[IIIA]]),'Conversion Chart'!$B$3:$B$47),MATCH(Scores[[#This Row],[IIIB]],'Conversion Chart'!$C$2:$M$2))</f>
        <v>84</v>
      </c>
      <c r="K230" s="103">
        <v>4</v>
      </c>
      <c r="L230" s="103">
        <v>2</v>
      </c>
      <c r="M230" s="103">
        <v>3</v>
      </c>
      <c r="N230" s="103">
        <v>3</v>
      </c>
      <c r="O230" s="103">
        <v>1</v>
      </c>
      <c r="P230" s="103">
        <v>3</v>
      </c>
      <c r="Q230" s="103">
        <v>3</v>
      </c>
      <c r="R230" s="103">
        <v>2</v>
      </c>
      <c r="S230" s="103">
        <v>2</v>
      </c>
      <c r="T230" s="103">
        <v>1</v>
      </c>
      <c r="U230" s="103">
        <v>2</v>
      </c>
      <c r="V230" s="103">
        <v>4</v>
      </c>
      <c r="W230" s="103">
        <v>2</v>
      </c>
      <c r="X230" s="103">
        <v>4</v>
      </c>
      <c r="Y230" s="103">
        <v>3</v>
      </c>
      <c r="Z230" s="103">
        <v>1</v>
      </c>
      <c r="AA230" s="103">
        <v>1</v>
      </c>
      <c r="AB230" s="103">
        <v>4</v>
      </c>
      <c r="AC230" s="103">
        <v>3</v>
      </c>
      <c r="AD230" s="103">
        <v>4</v>
      </c>
      <c r="AE230" s="103">
        <v>2</v>
      </c>
      <c r="AF230" s="103">
        <v>2</v>
      </c>
      <c r="AG230" s="103">
        <v>3</v>
      </c>
      <c r="AH230" s="103">
        <v>3</v>
      </c>
      <c r="AI230" s="103">
        <v>1</v>
      </c>
      <c r="AJ230" s="103">
        <v>4</v>
      </c>
      <c r="AK230" s="103">
        <v>3</v>
      </c>
      <c r="AL230" s="104">
        <v>3</v>
      </c>
      <c r="AM230" s="4">
        <v>3</v>
      </c>
      <c r="AN230" s="87">
        <v>3</v>
      </c>
      <c r="AO230" s="4">
        <v>1</v>
      </c>
      <c r="AP230" s="4">
        <v>1</v>
      </c>
      <c r="AQ230" s="4">
        <v>1</v>
      </c>
      <c r="AR230" s="4">
        <v>1</v>
      </c>
      <c r="AS230" s="4">
        <v>1</v>
      </c>
      <c r="AT230" s="4">
        <v>1</v>
      </c>
      <c r="AU230" s="107">
        <v>3</v>
      </c>
      <c r="AV230" s="4">
        <f>IF(K230=VLOOKUP(VALUE(K$1),Questions!$A:$E,5,FALSE),1,0)</f>
        <v>1</v>
      </c>
      <c r="AW230" s="4">
        <f>IF(L230=VLOOKUP(VALUE(L$1),Questions!$A:$E,5,FALSE),1,0)</f>
        <v>1</v>
      </c>
      <c r="AX230" s="4">
        <f>IF(M230=VLOOKUP(VALUE(M$1),Questions!$A:$E,5,FALSE),1,0)</f>
        <v>1</v>
      </c>
      <c r="AY230" s="4">
        <f>IF(N230=VLOOKUP(VALUE(N$1),Questions!$A:$E,5,FALSE),1,0)</f>
        <v>1</v>
      </c>
      <c r="AZ230" s="4">
        <f>IF(O230=VLOOKUP(VALUE(O$1),Questions!$A:$E,5,FALSE),1,0)</f>
        <v>1</v>
      </c>
      <c r="BA230" s="4">
        <f>IF(P230=VLOOKUP(VALUE(P$1),Questions!$A:$E,5,FALSE),1,0)</f>
        <v>0</v>
      </c>
      <c r="BB230" s="4">
        <f>IF(Q230=VLOOKUP(VALUE(Q$1),Questions!$A:$E,5,FALSE),1,0)</f>
        <v>1</v>
      </c>
      <c r="BC230" s="4">
        <f>IF(R230=VLOOKUP(VALUE(R$1),Questions!$A:$E,5,FALSE),1,0)</f>
        <v>1</v>
      </c>
      <c r="BD230" s="4">
        <f>IF(S230=VLOOKUP(VALUE(S$1),Questions!$A:$E,5,FALSE),1,0)</f>
        <v>1</v>
      </c>
      <c r="BE230" s="4">
        <f>IF(T230=VLOOKUP(VALUE(T$1),Questions!$A:$E,5,FALSE),1,0)</f>
        <v>1</v>
      </c>
      <c r="BF230" s="4">
        <f>IF(U230=VLOOKUP(VALUE(U$1),Questions!$A:$E,5,FALSE),1,0)</f>
        <v>1</v>
      </c>
      <c r="BG230" s="4">
        <f>IF(V230=VLOOKUP(VALUE(V$1),Questions!$A:$E,5,FALSE),1,0)</f>
        <v>1</v>
      </c>
      <c r="BH230" s="4">
        <f>IF(W230=VLOOKUP(VALUE(W$1),Questions!$A:$E,5,FALSE),1,0)</f>
        <v>1</v>
      </c>
      <c r="BI230" s="4">
        <f>IF(X230=VLOOKUP(VALUE(X$1),Questions!$A:$E,5,FALSE),1,0)</f>
        <v>1</v>
      </c>
      <c r="BJ230" s="4">
        <f>IF(Y230=VLOOKUP(VALUE(Y$1),Questions!$A:$E,5,FALSE),1,0)</f>
        <v>1</v>
      </c>
      <c r="BK230" s="4">
        <f>IF(Z230=VLOOKUP(VALUE(Z$1),Questions!$A:$E,5,FALSE),1,0)</f>
        <v>1</v>
      </c>
      <c r="BL230" s="4">
        <f>IF(AA230=VLOOKUP(VALUE(AA$1),Questions!$A:$E,5,FALSE),1,0)</f>
        <v>1</v>
      </c>
      <c r="BM230" s="4">
        <f>IF(AB230=VLOOKUP(VALUE(AB$1),Questions!$A:$E,5,FALSE),1,0)</f>
        <v>1</v>
      </c>
      <c r="BN230" s="4">
        <f>IF(AC230=VLOOKUP(VALUE(AC$1),Questions!$A:$E,5,FALSE),1,0)</f>
        <v>1</v>
      </c>
      <c r="BO230" s="4">
        <f>IF(AD230=VLOOKUP(VALUE(AD$1),Questions!$A:$E,5,FALSE),1,0)</f>
        <v>1</v>
      </c>
      <c r="BP230" s="4">
        <f>IF(AE230=VLOOKUP(VALUE(AE$1),Questions!$A:$E,5,FALSE),1,0)</f>
        <v>1</v>
      </c>
      <c r="BQ230" s="4">
        <f>IF(AF230=VLOOKUP(VALUE(AF$1),Questions!$A:$E,5,FALSE),1,0)</f>
        <v>1</v>
      </c>
      <c r="BR230" s="4">
        <f>IF(AG230=VLOOKUP(VALUE(AG$1),Questions!$A:$E,5,FALSE),1,0)</f>
        <v>1</v>
      </c>
      <c r="BS230" s="4">
        <f>IF(AH230=VLOOKUP(VALUE(AH$1),Questions!$A:$E,5,FALSE),1,0)</f>
        <v>1</v>
      </c>
      <c r="BT230" s="4">
        <f>IF(AI230=VLOOKUP(VALUE(AI$1),Questions!$A:$E,5,FALSE),1,0)</f>
        <v>1</v>
      </c>
      <c r="BU230" s="4">
        <f>IF(AJ230=VLOOKUP(VALUE(AJ$1),Questions!$A:$E,5,FALSE),1,0)</f>
        <v>1</v>
      </c>
      <c r="BV230" s="4">
        <f>IF(AK230=VLOOKUP(VALUE(AK$1),Questions!$A:$E,5,FALSE),1,0)</f>
        <v>0</v>
      </c>
      <c r="BW230" s="87">
        <f>IF(AL230=VLOOKUP(VALUE(AL$1),Questions!$A:$E,5,FALSE),1,0)</f>
        <v>1</v>
      </c>
      <c r="BX230" s="4">
        <f>IF(Scores[[#This Row],[Final]]&gt;=65,1,0)</f>
        <v>1</v>
      </c>
      <c r="BY230" s="4">
        <f>IF(Scores[[#This Row],[Final]]&gt;=IF(Scores[[#This Row],[IEP]],55,65),1,0)</f>
        <v>1</v>
      </c>
    </row>
    <row r="231" spans="1:77" x14ac:dyDescent="0.2">
      <c r="A231" s="6">
        <v>230</v>
      </c>
      <c r="B231" s="4">
        <v>9</v>
      </c>
      <c r="C231" s="4" t="s">
        <v>964</v>
      </c>
      <c r="D231" s="105" t="b">
        <v>0</v>
      </c>
      <c r="E231" s="105" t="b">
        <v>0</v>
      </c>
      <c r="F231" s="86">
        <f>SUM(Scores[[#This Row],[Q1]:[Q28]])</f>
        <v>26</v>
      </c>
      <c r="G231" s="4">
        <f>SUM(Scores[[#This Row],[29]]:Scores[[#This Row],[30]])</f>
        <v>9</v>
      </c>
      <c r="H231" s="4">
        <f>SUM(Scores[[#This Row],[31]:[36]])</f>
        <v>6</v>
      </c>
      <c r="I231" s="4">
        <f>Scores[[#This Row],[37]]</f>
        <v>4</v>
      </c>
      <c r="J231" s="87">
        <f>INDEX('Conversion Chart'!$C$3:$M$47,MATCH(SUM(Scores[[#This Row],[MC]:[IIIA]]),'Conversion Chart'!$B$3:$B$47),MATCH(Scores[[#This Row],[IIIB]],'Conversion Chart'!$C$2:$M$2))</f>
        <v>90</v>
      </c>
      <c r="K231" s="103">
        <v>4</v>
      </c>
      <c r="L231" s="103">
        <v>2</v>
      </c>
      <c r="M231" s="103">
        <v>3</v>
      </c>
      <c r="N231" s="103">
        <v>3</v>
      </c>
      <c r="O231" s="103">
        <v>1</v>
      </c>
      <c r="P231" s="103">
        <v>3</v>
      </c>
      <c r="Q231" s="103">
        <v>3</v>
      </c>
      <c r="R231" s="103">
        <v>2</v>
      </c>
      <c r="S231" s="103">
        <v>2</v>
      </c>
      <c r="T231" s="103">
        <v>1</v>
      </c>
      <c r="U231" s="103">
        <v>2</v>
      </c>
      <c r="V231" s="103">
        <v>4</v>
      </c>
      <c r="W231" s="103">
        <v>2</v>
      </c>
      <c r="X231" s="103">
        <v>4</v>
      </c>
      <c r="Y231" s="103">
        <v>3</v>
      </c>
      <c r="Z231" s="103">
        <v>1</v>
      </c>
      <c r="AA231" s="103">
        <v>1</v>
      </c>
      <c r="AB231" s="103">
        <v>4</v>
      </c>
      <c r="AC231" s="103">
        <v>3</v>
      </c>
      <c r="AD231" s="103">
        <v>4</v>
      </c>
      <c r="AE231" s="103">
        <v>2</v>
      </c>
      <c r="AF231" s="103">
        <v>2</v>
      </c>
      <c r="AG231" s="103">
        <v>3</v>
      </c>
      <c r="AH231" s="103">
        <v>2</v>
      </c>
      <c r="AI231" s="103">
        <v>1</v>
      </c>
      <c r="AJ231" s="103">
        <v>4</v>
      </c>
      <c r="AK231" s="103">
        <v>1</v>
      </c>
      <c r="AL231" s="104">
        <v>3</v>
      </c>
      <c r="AM231" s="4">
        <v>4</v>
      </c>
      <c r="AN231" s="87">
        <v>5</v>
      </c>
      <c r="AO231" s="4">
        <v>1</v>
      </c>
      <c r="AP231" s="4">
        <v>1</v>
      </c>
      <c r="AQ231" s="4">
        <v>1</v>
      </c>
      <c r="AR231" s="4">
        <v>1</v>
      </c>
      <c r="AS231" s="4">
        <v>1</v>
      </c>
      <c r="AT231" s="4">
        <v>1</v>
      </c>
      <c r="AU231" s="107">
        <v>4</v>
      </c>
      <c r="AV231" s="4">
        <f>IF(K231=VLOOKUP(VALUE(K$1),Questions!$A:$E,5,FALSE),1,0)</f>
        <v>1</v>
      </c>
      <c r="AW231" s="4">
        <f>IF(L231=VLOOKUP(VALUE(L$1),Questions!$A:$E,5,FALSE),1,0)</f>
        <v>1</v>
      </c>
      <c r="AX231" s="4">
        <f>IF(M231=VLOOKUP(VALUE(M$1),Questions!$A:$E,5,FALSE),1,0)</f>
        <v>1</v>
      </c>
      <c r="AY231" s="4">
        <f>IF(N231=VLOOKUP(VALUE(N$1),Questions!$A:$E,5,FALSE),1,0)</f>
        <v>1</v>
      </c>
      <c r="AZ231" s="4">
        <f>IF(O231=VLOOKUP(VALUE(O$1),Questions!$A:$E,5,FALSE),1,0)</f>
        <v>1</v>
      </c>
      <c r="BA231" s="4">
        <f>IF(P231=VLOOKUP(VALUE(P$1),Questions!$A:$E,5,FALSE),1,0)</f>
        <v>0</v>
      </c>
      <c r="BB231" s="4">
        <f>IF(Q231=VLOOKUP(VALUE(Q$1),Questions!$A:$E,5,FALSE),1,0)</f>
        <v>1</v>
      </c>
      <c r="BC231" s="4">
        <f>IF(R231=VLOOKUP(VALUE(R$1),Questions!$A:$E,5,FALSE),1,0)</f>
        <v>1</v>
      </c>
      <c r="BD231" s="4">
        <f>IF(S231=VLOOKUP(VALUE(S$1),Questions!$A:$E,5,FALSE),1,0)</f>
        <v>1</v>
      </c>
      <c r="BE231" s="4">
        <f>IF(T231=VLOOKUP(VALUE(T$1),Questions!$A:$E,5,FALSE),1,0)</f>
        <v>1</v>
      </c>
      <c r="BF231" s="4">
        <f>IF(U231=VLOOKUP(VALUE(U$1),Questions!$A:$E,5,FALSE),1,0)</f>
        <v>1</v>
      </c>
      <c r="BG231" s="4">
        <f>IF(V231=VLOOKUP(VALUE(V$1),Questions!$A:$E,5,FALSE),1,0)</f>
        <v>1</v>
      </c>
      <c r="BH231" s="4">
        <f>IF(W231=VLOOKUP(VALUE(W$1),Questions!$A:$E,5,FALSE),1,0)</f>
        <v>1</v>
      </c>
      <c r="BI231" s="4">
        <f>IF(X231=VLOOKUP(VALUE(X$1),Questions!$A:$E,5,FALSE),1,0)</f>
        <v>1</v>
      </c>
      <c r="BJ231" s="4">
        <f>IF(Y231=VLOOKUP(VALUE(Y$1),Questions!$A:$E,5,FALSE),1,0)</f>
        <v>1</v>
      </c>
      <c r="BK231" s="4">
        <f>IF(Z231=VLOOKUP(VALUE(Z$1),Questions!$A:$E,5,FALSE),1,0)</f>
        <v>1</v>
      </c>
      <c r="BL231" s="4">
        <f>IF(AA231=VLOOKUP(VALUE(AA$1),Questions!$A:$E,5,FALSE),1,0)</f>
        <v>1</v>
      </c>
      <c r="BM231" s="4">
        <f>IF(AB231=VLOOKUP(VALUE(AB$1),Questions!$A:$E,5,FALSE),1,0)</f>
        <v>1</v>
      </c>
      <c r="BN231" s="4">
        <f>IF(AC231=VLOOKUP(VALUE(AC$1),Questions!$A:$E,5,FALSE),1,0)</f>
        <v>1</v>
      </c>
      <c r="BO231" s="4">
        <f>IF(AD231=VLOOKUP(VALUE(AD$1),Questions!$A:$E,5,FALSE),1,0)</f>
        <v>1</v>
      </c>
      <c r="BP231" s="4">
        <f>IF(AE231=VLOOKUP(VALUE(AE$1),Questions!$A:$E,5,FALSE),1,0)</f>
        <v>1</v>
      </c>
      <c r="BQ231" s="4">
        <f>IF(AF231=VLOOKUP(VALUE(AF$1),Questions!$A:$E,5,FALSE),1,0)</f>
        <v>1</v>
      </c>
      <c r="BR231" s="4">
        <f>IF(AG231=VLOOKUP(VALUE(AG$1),Questions!$A:$E,5,FALSE),1,0)</f>
        <v>1</v>
      </c>
      <c r="BS231" s="4">
        <f>IF(AH231=VLOOKUP(VALUE(AH$1),Questions!$A:$E,5,FALSE),1,0)</f>
        <v>0</v>
      </c>
      <c r="BT231" s="4">
        <f>IF(AI231=VLOOKUP(VALUE(AI$1),Questions!$A:$E,5,FALSE),1,0)</f>
        <v>1</v>
      </c>
      <c r="BU231" s="4">
        <f>IF(AJ231=VLOOKUP(VALUE(AJ$1),Questions!$A:$E,5,FALSE),1,0)</f>
        <v>1</v>
      </c>
      <c r="BV231" s="4">
        <f>IF(AK231=VLOOKUP(VALUE(AK$1),Questions!$A:$E,5,FALSE),1,0)</f>
        <v>1</v>
      </c>
      <c r="BW231" s="87">
        <f>IF(AL231=VLOOKUP(VALUE(AL$1),Questions!$A:$E,5,FALSE),1,0)</f>
        <v>1</v>
      </c>
      <c r="BX231" s="4">
        <f>IF(Scores[[#This Row],[Final]]&gt;=65,1,0)</f>
        <v>1</v>
      </c>
      <c r="BY231" s="4">
        <f>IF(Scores[[#This Row],[Final]]&gt;=IF(Scores[[#This Row],[IEP]],55,65),1,0)</f>
        <v>1</v>
      </c>
    </row>
    <row r="232" spans="1:77" x14ac:dyDescent="0.2">
      <c r="A232" s="6">
        <v>231</v>
      </c>
      <c r="B232" s="4">
        <v>9</v>
      </c>
      <c r="C232" s="4" t="s">
        <v>964</v>
      </c>
      <c r="D232" s="105" t="b">
        <v>0</v>
      </c>
      <c r="E232" s="105" t="b">
        <v>0</v>
      </c>
      <c r="F232" s="86">
        <f>SUM(Scores[[#This Row],[Q1]:[Q28]])</f>
        <v>16</v>
      </c>
      <c r="G232" s="4">
        <f>SUM(Scores[[#This Row],[29]]:Scores[[#This Row],[30]])</f>
        <v>2</v>
      </c>
      <c r="H232" s="4">
        <f>SUM(Scores[[#This Row],[31]:[36]])</f>
        <v>5</v>
      </c>
      <c r="I232" s="4">
        <f>Scores[[#This Row],[37]]</f>
        <v>1</v>
      </c>
      <c r="J232" s="87">
        <f>INDEX('Conversion Chart'!$C$3:$M$47,MATCH(SUM(Scores[[#This Row],[MC]:[IIIA]]),'Conversion Chart'!$B$3:$B$47),MATCH(Scores[[#This Row],[IIIB]],'Conversion Chart'!$C$2:$M$2))</f>
        <v>61</v>
      </c>
      <c r="K232" s="103">
        <v>4</v>
      </c>
      <c r="L232" s="103">
        <v>2</v>
      </c>
      <c r="M232" s="103">
        <v>4</v>
      </c>
      <c r="N232" s="103">
        <v>3</v>
      </c>
      <c r="O232" s="103">
        <v>1</v>
      </c>
      <c r="P232" s="103">
        <v>4</v>
      </c>
      <c r="Q232" s="103">
        <v>3</v>
      </c>
      <c r="R232" s="103">
        <v>2</v>
      </c>
      <c r="S232" s="103">
        <v>2</v>
      </c>
      <c r="T232" s="103">
        <v>1</v>
      </c>
      <c r="U232" s="103">
        <v>2</v>
      </c>
      <c r="V232" s="103">
        <v>3</v>
      </c>
      <c r="W232" s="103">
        <v>1</v>
      </c>
      <c r="X232" s="103">
        <v>4</v>
      </c>
      <c r="Y232" s="103">
        <v>1</v>
      </c>
      <c r="Z232" s="103">
        <v>1</v>
      </c>
      <c r="AA232" s="103">
        <v>1</v>
      </c>
      <c r="AB232" s="103">
        <v>3</v>
      </c>
      <c r="AC232" s="103">
        <v>3</v>
      </c>
      <c r="AD232" s="103">
        <v>2</v>
      </c>
      <c r="AE232" s="103">
        <v>1</v>
      </c>
      <c r="AF232" s="103">
        <v>1</v>
      </c>
      <c r="AG232" s="103">
        <v>3</v>
      </c>
      <c r="AH232" s="103">
        <v>2</v>
      </c>
      <c r="AI232" s="103">
        <v>4</v>
      </c>
      <c r="AJ232" s="103">
        <v>3</v>
      </c>
      <c r="AK232" s="103">
        <v>2</v>
      </c>
      <c r="AL232" s="104">
        <v>3</v>
      </c>
      <c r="AM232" s="4">
        <v>1</v>
      </c>
      <c r="AN232" s="87">
        <v>1</v>
      </c>
      <c r="AO232" s="4">
        <v>1</v>
      </c>
      <c r="AP232" s="4">
        <v>1</v>
      </c>
      <c r="AQ232" s="4">
        <v>1</v>
      </c>
      <c r="AR232" s="4">
        <v>1</v>
      </c>
      <c r="AS232" s="4">
        <v>0</v>
      </c>
      <c r="AT232" s="4">
        <v>1</v>
      </c>
      <c r="AU232" s="107">
        <v>1</v>
      </c>
      <c r="AV232" s="4">
        <f>IF(K232=VLOOKUP(VALUE(K$1),Questions!$A:$E,5,FALSE),1,0)</f>
        <v>1</v>
      </c>
      <c r="AW232" s="4">
        <f>IF(L232=VLOOKUP(VALUE(L$1),Questions!$A:$E,5,FALSE),1,0)</f>
        <v>1</v>
      </c>
      <c r="AX232" s="4">
        <f>IF(M232=VLOOKUP(VALUE(M$1),Questions!$A:$E,5,FALSE),1,0)</f>
        <v>0</v>
      </c>
      <c r="AY232" s="4">
        <f>IF(N232=VLOOKUP(VALUE(N$1),Questions!$A:$E,5,FALSE),1,0)</f>
        <v>1</v>
      </c>
      <c r="AZ232" s="4">
        <f>IF(O232=VLOOKUP(VALUE(O$1),Questions!$A:$E,5,FALSE),1,0)</f>
        <v>1</v>
      </c>
      <c r="BA232" s="4">
        <f>IF(P232=VLOOKUP(VALUE(P$1),Questions!$A:$E,5,FALSE),1,0)</f>
        <v>1</v>
      </c>
      <c r="BB232" s="4">
        <f>IF(Q232=VLOOKUP(VALUE(Q$1),Questions!$A:$E,5,FALSE),1,0)</f>
        <v>1</v>
      </c>
      <c r="BC232" s="4">
        <f>IF(R232=VLOOKUP(VALUE(R$1),Questions!$A:$E,5,FALSE),1,0)</f>
        <v>1</v>
      </c>
      <c r="BD232" s="4">
        <f>IF(S232=VLOOKUP(VALUE(S$1),Questions!$A:$E,5,FALSE),1,0)</f>
        <v>1</v>
      </c>
      <c r="BE232" s="4">
        <f>IF(T232=VLOOKUP(VALUE(T$1),Questions!$A:$E,5,FALSE),1,0)</f>
        <v>1</v>
      </c>
      <c r="BF232" s="4">
        <f>IF(U232=VLOOKUP(VALUE(U$1),Questions!$A:$E,5,FALSE),1,0)</f>
        <v>1</v>
      </c>
      <c r="BG232" s="4">
        <f>IF(V232=VLOOKUP(VALUE(V$1),Questions!$A:$E,5,FALSE),1,0)</f>
        <v>0</v>
      </c>
      <c r="BH232" s="4">
        <f>IF(W232=VLOOKUP(VALUE(W$1),Questions!$A:$E,5,FALSE),1,0)</f>
        <v>0</v>
      </c>
      <c r="BI232" s="4">
        <f>IF(X232=VLOOKUP(VALUE(X$1),Questions!$A:$E,5,FALSE),1,0)</f>
        <v>1</v>
      </c>
      <c r="BJ232" s="4">
        <f>IF(Y232=VLOOKUP(VALUE(Y$1),Questions!$A:$E,5,FALSE),1,0)</f>
        <v>0</v>
      </c>
      <c r="BK232" s="4">
        <f>IF(Z232=VLOOKUP(VALUE(Z$1),Questions!$A:$E,5,FALSE),1,0)</f>
        <v>1</v>
      </c>
      <c r="BL232" s="4">
        <f>IF(AA232=VLOOKUP(VALUE(AA$1),Questions!$A:$E,5,FALSE),1,0)</f>
        <v>1</v>
      </c>
      <c r="BM232" s="4">
        <f>IF(AB232=VLOOKUP(VALUE(AB$1),Questions!$A:$E,5,FALSE),1,0)</f>
        <v>0</v>
      </c>
      <c r="BN232" s="4">
        <f>IF(AC232=VLOOKUP(VALUE(AC$1),Questions!$A:$E,5,FALSE),1,0)</f>
        <v>1</v>
      </c>
      <c r="BO232" s="4">
        <f>IF(AD232=VLOOKUP(VALUE(AD$1),Questions!$A:$E,5,FALSE),1,0)</f>
        <v>0</v>
      </c>
      <c r="BP232" s="4">
        <f>IF(AE232=VLOOKUP(VALUE(AE$1),Questions!$A:$E,5,FALSE),1,0)</f>
        <v>0</v>
      </c>
      <c r="BQ232" s="4">
        <f>IF(AF232=VLOOKUP(VALUE(AF$1),Questions!$A:$E,5,FALSE),1,0)</f>
        <v>0</v>
      </c>
      <c r="BR232" s="4">
        <f>IF(AG232=VLOOKUP(VALUE(AG$1),Questions!$A:$E,5,FALSE),1,0)</f>
        <v>1</v>
      </c>
      <c r="BS232" s="4">
        <f>IF(AH232=VLOOKUP(VALUE(AH$1),Questions!$A:$E,5,FALSE),1,0)</f>
        <v>0</v>
      </c>
      <c r="BT232" s="4">
        <f>IF(AI232=VLOOKUP(VALUE(AI$1),Questions!$A:$E,5,FALSE),1,0)</f>
        <v>0</v>
      </c>
      <c r="BU232" s="4">
        <f>IF(AJ232=VLOOKUP(VALUE(AJ$1),Questions!$A:$E,5,FALSE),1,0)</f>
        <v>0</v>
      </c>
      <c r="BV232" s="4">
        <f>IF(AK232=VLOOKUP(VALUE(AK$1),Questions!$A:$E,5,FALSE),1,0)</f>
        <v>0</v>
      </c>
      <c r="BW232" s="87">
        <f>IF(AL232=VLOOKUP(VALUE(AL$1),Questions!$A:$E,5,FALSE),1,0)</f>
        <v>1</v>
      </c>
      <c r="BX232" s="4">
        <f>IF(Scores[[#This Row],[Final]]&gt;=65,1,0)</f>
        <v>0</v>
      </c>
      <c r="BY232" s="4">
        <f>IF(Scores[[#This Row],[Final]]&gt;=IF(Scores[[#This Row],[IEP]],55,65),1,0)</f>
        <v>0</v>
      </c>
    </row>
    <row r="233" spans="1:77" x14ac:dyDescent="0.2">
      <c r="A233" s="6">
        <v>232</v>
      </c>
      <c r="B233" s="4">
        <v>11</v>
      </c>
      <c r="C233" s="4" t="s">
        <v>967</v>
      </c>
      <c r="D233" s="105" t="b">
        <v>0</v>
      </c>
      <c r="E233" s="105" t="b">
        <v>0</v>
      </c>
      <c r="F233" s="86">
        <f>SUM(Scores[[#This Row],[Q1]:[Q28]])</f>
        <v>0</v>
      </c>
      <c r="G233" s="4">
        <f>SUM(Scores[[#This Row],[29]]:Scores[[#This Row],[30]])</f>
        <v>0</v>
      </c>
      <c r="H233" s="4">
        <f>SUM(Scores[[#This Row],[31]:[36]])</f>
        <v>0</v>
      </c>
      <c r="I233" s="4">
        <f>Scores[[#This Row],[37]]</f>
        <v>0</v>
      </c>
      <c r="J233" s="87">
        <f>INDEX('Conversion Chart'!$C$3:$M$47,MATCH(SUM(Scores[[#This Row],[MC]:[IIIA]]),'Conversion Chart'!$B$3:$B$47),MATCH(Scores[[#This Row],[IIIB]],'Conversion Chart'!$C$2:$M$2))</f>
        <v>0</v>
      </c>
      <c r="K233" s="103"/>
      <c r="L233" s="103"/>
      <c r="M233" s="103"/>
      <c r="N233" s="103"/>
      <c r="O233" s="103"/>
      <c r="P233" s="103"/>
      <c r="Q233" s="103"/>
      <c r="R233" s="103"/>
      <c r="S233" s="103"/>
      <c r="T233" s="103"/>
      <c r="U233" s="103"/>
      <c r="V233" s="103"/>
      <c r="W233" s="103"/>
      <c r="X233" s="103"/>
      <c r="Y233" s="103"/>
      <c r="Z233" s="103"/>
      <c r="AA233" s="103"/>
      <c r="AB233" s="103"/>
      <c r="AC233" s="103"/>
      <c r="AD233" s="103"/>
      <c r="AE233" s="103"/>
      <c r="AF233" s="103"/>
      <c r="AG233" s="103"/>
      <c r="AH233" s="103"/>
      <c r="AI233" s="103"/>
      <c r="AJ233" s="103"/>
      <c r="AK233" s="103"/>
      <c r="AL233" s="104"/>
      <c r="AN233" s="87"/>
      <c r="AU233" s="107"/>
      <c r="AV233" s="4">
        <f>IF(K233=VLOOKUP(VALUE(K$1),Questions!$A:$E,5,FALSE),1,0)</f>
        <v>0</v>
      </c>
      <c r="AW233" s="4">
        <f>IF(L233=VLOOKUP(VALUE(L$1),Questions!$A:$E,5,FALSE),1,0)</f>
        <v>0</v>
      </c>
      <c r="AX233" s="4">
        <f>IF(M233=VLOOKUP(VALUE(M$1),Questions!$A:$E,5,FALSE),1,0)</f>
        <v>0</v>
      </c>
      <c r="AY233" s="4">
        <f>IF(N233=VLOOKUP(VALUE(N$1),Questions!$A:$E,5,FALSE),1,0)</f>
        <v>0</v>
      </c>
      <c r="AZ233" s="4">
        <f>IF(O233=VLOOKUP(VALUE(O$1),Questions!$A:$E,5,FALSE),1,0)</f>
        <v>0</v>
      </c>
      <c r="BA233" s="4">
        <f>IF(P233=VLOOKUP(VALUE(P$1),Questions!$A:$E,5,FALSE),1,0)</f>
        <v>0</v>
      </c>
      <c r="BB233" s="4">
        <f>IF(Q233=VLOOKUP(VALUE(Q$1),Questions!$A:$E,5,FALSE),1,0)</f>
        <v>0</v>
      </c>
      <c r="BC233" s="4">
        <f>IF(R233=VLOOKUP(VALUE(R$1),Questions!$A:$E,5,FALSE),1,0)</f>
        <v>0</v>
      </c>
      <c r="BD233" s="4">
        <f>IF(S233=VLOOKUP(VALUE(S$1),Questions!$A:$E,5,FALSE),1,0)</f>
        <v>0</v>
      </c>
      <c r="BE233" s="4">
        <f>IF(T233=VLOOKUP(VALUE(T$1),Questions!$A:$E,5,FALSE),1,0)</f>
        <v>0</v>
      </c>
      <c r="BF233" s="4">
        <f>IF(U233=VLOOKUP(VALUE(U$1),Questions!$A:$E,5,FALSE),1,0)</f>
        <v>0</v>
      </c>
      <c r="BG233" s="4">
        <f>IF(V233=VLOOKUP(VALUE(V$1),Questions!$A:$E,5,FALSE),1,0)</f>
        <v>0</v>
      </c>
      <c r="BH233" s="4">
        <f>IF(W233=VLOOKUP(VALUE(W$1),Questions!$A:$E,5,FALSE),1,0)</f>
        <v>0</v>
      </c>
      <c r="BI233" s="4">
        <f>IF(X233=VLOOKUP(VALUE(X$1),Questions!$A:$E,5,FALSE),1,0)</f>
        <v>0</v>
      </c>
      <c r="BJ233" s="4">
        <f>IF(Y233=VLOOKUP(VALUE(Y$1),Questions!$A:$E,5,FALSE),1,0)</f>
        <v>0</v>
      </c>
      <c r="BK233" s="4">
        <f>IF(Z233=VLOOKUP(VALUE(Z$1),Questions!$A:$E,5,FALSE),1,0)</f>
        <v>0</v>
      </c>
      <c r="BL233" s="4">
        <f>IF(AA233=VLOOKUP(VALUE(AA$1),Questions!$A:$E,5,FALSE),1,0)</f>
        <v>0</v>
      </c>
      <c r="BM233" s="4">
        <f>IF(AB233=VLOOKUP(VALUE(AB$1),Questions!$A:$E,5,FALSE),1,0)</f>
        <v>0</v>
      </c>
      <c r="BN233" s="4">
        <f>IF(AC233=VLOOKUP(VALUE(AC$1),Questions!$A:$E,5,FALSE),1,0)</f>
        <v>0</v>
      </c>
      <c r="BO233" s="4">
        <f>IF(AD233=VLOOKUP(VALUE(AD$1),Questions!$A:$E,5,FALSE),1,0)</f>
        <v>0</v>
      </c>
      <c r="BP233" s="4">
        <f>IF(AE233=VLOOKUP(VALUE(AE$1),Questions!$A:$E,5,FALSE),1,0)</f>
        <v>0</v>
      </c>
      <c r="BQ233" s="4">
        <f>IF(AF233=VLOOKUP(VALUE(AF$1),Questions!$A:$E,5,FALSE),1,0)</f>
        <v>0</v>
      </c>
      <c r="BR233" s="4">
        <f>IF(AG233=VLOOKUP(VALUE(AG$1),Questions!$A:$E,5,FALSE),1,0)</f>
        <v>0</v>
      </c>
      <c r="BS233" s="4">
        <f>IF(AH233=VLOOKUP(VALUE(AH$1),Questions!$A:$E,5,FALSE),1,0)</f>
        <v>0</v>
      </c>
      <c r="BT233" s="4">
        <f>IF(AI233=VLOOKUP(VALUE(AI$1),Questions!$A:$E,5,FALSE),1,0)</f>
        <v>0</v>
      </c>
      <c r="BU233" s="4">
        <f>IF(AJ233=VLOOKUP(VALUE(AJ$1),Questions!$A:$E,5,FALSE),1,0)</f>
        <v>0</v>
      </c>
      <c r="BV233" s="4">
        <f>IF(AK233=VLOOKUP(VALUE(AK$1),Questions!$A:$E,5,FALSE),1,0)</f>
        <v>0</v>
      </c>
      <c r="BW233" s="87">
        <f>IF(AL233=VLOOKUP(VALUE(AL$1),Questions!$A:$E,5,FALSE),1,0)</f>
        <v>0</v>
      </c>
      <c r="BX233" s="4">
        <f>IF(Scores[[#This Row],[Final]]&gt;=65,1,0)</f>
        <v>0</v>
      </c>
      <c r="BY233" s="4">
        <f>IF(Scores[[#This Row],[Final]]&gt;=IF(Scores[[#This Row],[IEP]],55,65),1,0)</f>
        <v>0</v>
      </c>
    </row>
    <row r="234" spans="1:77" x14ac:dyDescent="0.2">
      <c r="A234" s="6">
        <v>233</v>
      </c>
      <c r="B234" s="4">
        <v>11</v>
      </c>
      <c r="C234" s="4" t="s">
        <v>964</v>
      </c>
      <c r="D234" s="105" t="b">
        <v>0</v>
      </c>
      <c r="E234" s="105" t="b">
        <v>0</v>
      </c>
      <c r="F234" s="86">
        <f>SUM(Scores[[#This Row],[Q1]:[Q28]])</f>
        <v>0</v>
      </c>
      <c r="G234" s="4">
        <f>SUM(Scores[[#This Row],[29]]:Scores[[#This Row],[30]])</f>
        <v>0</v>
      </c>
      <c r="H234" s="4">
        <f>SUM(Scores[[#This Row],[31]:[36]])</f>
        <v>0</v>
      </c>
      <c r="I234" s="4">
        <f>Scores[[#This Row],[37]]</f>
        <v>0</v>
      </c>
      <c r="J234" s="87">
        <f>INDEX('Conversion Chart'!$C$3:$M$47,MATCH(SUM(Scores[[#This Row],[MC]:[IIIA]]),'Conversion Chart'!$B$3:$B$47),MATCH(Scores[[#This Row],[IIIB]],'Conversion Chart'!$C$2:$M$2))</f>
        <v>0</v>
      </c>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4"/>
      <c r="AN234" s="87"/>
      <c r="AU234" s="107"/>
      <c r="AV234" s="4">
        <f>IF(K234=VLOOKUP(VALUE(K$1),Questions!$A:$E,5,FALSE),1,0)</f>
        <v>0</v>
      </c>
      <c r="AW234" s="4">
        <f>IF(L234=VLOOKUP(VALUE(L$1),Questions!$A:$E,5,FALSE),1,0)</f>
        <v>0</v>
      </c>
      <c r="AX234" s="4">
        <f>IF(M234=VLOOKUP(VALUE(M$1),Questions!$A:$E,5,FALSE),1,0)</f>
        <v>0</v>
      </c>
      <c r="AY234" s="4">
        <f>IF(N234=VLOOKUP(VALUE(N$1),Questions!$A:$E,5,FALSE),1,0)</f>
        <v>0</v>
      </c>
      <c r="AZ234" s="4">
        <f>IF(O234=VLOOKUP(VALUE(O$1),Questions!$A:$E,5,FALSE),1,0)</f>
        <v>0</v>
      </c>
      <c r="BA234" s="4">
        <f>IF(P234=VLOOKUP(VALUE(P$1),Questions!$A:$E,5,FALSE),1,0)</f>
        <v>0</v>
      </c>
      <c r="BB234" s="4">
        <f>IF(Q234=VLOOKUP(VALUE(Q$1),Questions!$A:$E,5,FALSE),1,0)</f>
        <v>0</v>
      </c>
      <c r="BC234" s="4">
        <f>IF(R234=VLOOKUP(VALUE(R$1),Questions!$A:$E,5,FALSE),1,0)</f>
        <v>0</v>
      </c>
      <c r="BD234" s="4">
        <f>IF(S234=VLOOKUP(VALUE(S$1),Questions!$A:$E,5,FALSE),1,0)</f>
        <v>0</v>
      </c>
      <c r="BE234" s="4">
        <f>IF(T234=VLOOKUP(VALUE(T$1),Questions!$A:$E,5,FALSE),1,0)</f>
        <v>0</v>
      </c>
      <c r="BF234" s="4">
        <f>IF(U234=VLOOKUP(VALUE(U$1),Questions!$A:$E,5,FALSE),1,0)</f>
        <v>0</v>
      </c>
      <c r="BG234" s="4">
        <f>IF(V234=VLOOKUP(VALUE(V$1),Questions!$A:$E,5,FALSE),1,0)</f>
        <v>0</v>
      </c>
      <c r="BH234" s="4">
        <f>IF(W234=VLOOKUP(VALUE(W$1),Questions!$A:$E,5,FALSE),1,0)</f>
        <v>0</v>
      </c>
      <c r="BI234" s="4">
        <f>IF(X234=VLOOKUP(VALUE(X$1),Questions!$A:$E,5,FALSE),1,0)</f>
        <v>0</v>
      </c>
      <c r="BJ234" s="4">
        <f>IF(Y234=VLOOKUP(VALUE(Y$1),Questions!$A:$E,5,FALSE),1,0)</f>
        <v>0</v>
      </c>
      <c r="BK234" s="4">
        <f>IF(Z234=VLOOKUP(VALUE(Z$1),Questions!$A:$E,5,FALSE),1,0)</f>
        <v>0</v>
      </c>
      <c r="BL234" s="4">
        <f>IF(AA234=VLOOKUP(VALUE(AA$1),Questions!$A:$E,5,FALSE),1,0)</f>
        <v>0</v>
      </c>
      <c r="BM234" s="4">
        <f>IF(AB234=VLOOKUP(VALUE(AB$1),Questions!$A:$E,5,FALSE),1,0)</f>
        <v>0</v>
      </c>
      <c r="BN234" s="4">
        <f>IF(AC234=VLOOKUP(VALUE(AC$1),Questions!$A:$E,5,FALSE),1,0)</f>
        <v>0</v>
      </c>
      <c r="BO234" s="4">
        <f>IF(AD234=VLOOKUP(VALUE(AD$1),Questions!$A:$E,5,FALSE),1,0)</f>
        <v>0</v>
      </c>
      <c r="BP234" s="4">
        <f>IF(AE234=VLOOKUP(VALUE(AE$1),Questions!$A:$E,5,FALSE),1,0)</f>
        <v>0</v>
      </c>
      <c r="BQ234" s="4">
        <f>IF(AF234=VLOOKUP(VALUE(AF$1),Questions!$A:$E,5,FALSE),1,0)</f>
        <v>0</v>
      </c>
      <c r="BR234" s="4">
        <f>IF(AG234=VLOOKUP(VALUE(AG$1),Questions!$A:$E,5,FALSE),1,0)</f>
        <v>0</v>
      </c>
      <c r="BS234" s="4">
        <f>IF(AH234=VLOOKUP(VALUE(AH$1),Questions!$A:$E,5,FALSE),1,0)</f>
        <v>0</v>
      </c>
      <c r="BT234" s="4">
        <f>IF(AI234=VLOOKUP(VALUE(AI$1),Questions!$A:$E,5,FALSE),1,0)</f>
        <v>0</v>
      </c>
      <c r="BU234" s="4">
        <f>IF(AJ234=VLOOKUP(VALUE(AJ$1),Questions!$A:$E,5,FALSE),1,0)</f>
        <v>0</v>
      </c>
      <c r="BV234" s="4">
        <f>IF(AK234=VLOOKUP(VALUE(AK$1),Questions!$A:$E,5,FALSE),1,0)</f>
        <v>0</v>
      </c>
      <c r="BW234" s="87">
        <f>IF(AL234=VLOOKUP(VALUE(AL$1),Questions!$A:$E,5,FALSE),1,0)</f>
        <v>0</v>
      </c>
      <c r="BX234" s="4">
        <f>IF(Scores[[#This Row],[Final]]&gt;=65,1,0)</f>
        <v>0</v>
      </c>
      <c r="BY234" s="4">
        <f>IF(Scores[[#This Row],[Final]]&gt;=IF(Scores[[#This Row],[IEP]],55,65),1,0)</f>
        <v>0</v>
      </c>
    </row>
    <row r="235" spans="1:77" x14ac:dyDescent="0.2">
      <c r="A235" s="6">
        <v>234</v>
      </c>
      <c r="B235" s="4">
        <v>9</v>
      </c>
      <c r="C235" s="4" t="s">
        <v>963</v>
      </c>
      <c r="D235" s="105" t="b">
        <v>0</v>
      </c>
      <c r="E235" s="105" t="b">
        <v>0</v>
      </c>
      <c r="F235" s="86">
        <f>SUM(Scores[[#This Row],[Q1]:[Q28]])</f>
        <v>16</v>
      </c>
      <c r="G235" s="4">
        <f>SUM(Scores[[#This Row],[29]]:Scores[[#This Row],[30]])</f>
        <v>2</v>
      </c>
      <c r="H235" s="4">
        <f>SUM(Scores[[#This Row],[31]:[36]])</f>
        <v>5</v>
      </c>
      <c r="I235" s="4">
        <f>Scores[[#This Row],[37]]</f>
        <v>1</v>
      </c>
      <c r="J235" s="87">
        <f>INDEX('Conversion Chart'!$C$3:$M$47,MATCH(SUM(Scores[[#This Row],[MC]:[IIIA]]),'Conversion Chart'!$B$3:$B$47),MATCH(Scores[[#This Row],[IIIB]],'Conversion Chart'!$C$2:$M$2))</f>
        <v>61</v>
      </c>
      <c r="K235" s="103">
        <v>1</v>
      </c>
      <c r="L235" s="103">
        <v>1</v>
      </c>
      <c r="M235" s="103">
        <v>3</v>
      </c>
      <c r="N235" s="103">
        <v>3</v>
      </c>
      <c r="O235" s="103">
        <v>2</v>
      </c>
      <c r="P235" s="103">
        <v>3</v>
      </c>
      <c r="Q235" s="103">
        <v>2</v>
      </c>
      <c r="R235" s="103">
        <v>2</v>
      </c>
      <c r="S235" s="103">
        <v>4</v>
      </c>
      <c r="T235" s="103">
        <v>1</v>
      </c>
      <c r="U235" s="103">
        <v>2</v>
      </c>
      <c r="V235" s="103">
        <v>4</v>
      </c>
      <c r="W235" s="103">
        <v>3</v>
      </c>
      <c r="X235" s="103">
        <v>1</v>
      </c>
      <c r="Y235" s="103">
        <v>3</v>
      </c>
      <c r="Z235" s="103">
        <v>4</v>
      </c>
      <c r="AA235" s="103">
        <v>1</v>
      </c>
      <c r="AB235" s="103">
        <v>4</v>
      </c>
      <c r="AC235" s="103">
        <v>3</v>
      </c>
      <c r="AD235" s="103">
        <v>4</v>
      </c>
      <c r="AE235" s="103">
        <v>2</v>
      </c>
      <c r="AF235" s="103">
        <v>2</v>
      </c>
      <c r="AG235" s="103">
        <v>3</v>
      </c>
      <c r="AH235" s="103">
        <v>1</v>
      </c>
      <c r="AI235" s="103">
        <v>2</v>
      </c>
      <c r="AJ235" s="103">
        <v>4</v>
      </c>
      <c r="AK235" s="103">
        <v>2</v>
      </c>
      <c r="AL235" s="104">
        <v>3</v>
      </c>
      <c r="AM235" s="4">
        <v>1</v>
      </c>
      <c r="AN235" s="87">
        <v>1</v>
      </c>
      <c r="AO235" s="4">
        <v>1</v>
      </c>
      <c r="AP235" s="4">
        <v>1</v>
      </c>
      <c r="AQ235" s="4">
        <v>0</v>
      </c>
      <c r="AR235" s="4">
        <v>1</v>
      </c>
      <c r="AS235" s="4">
        <v>1</v>
      </c>
      <c r="AT235" s="4">
        <v>1</v>
      </c>
      <c r="AU235" s="107">
        <v>1</v>
      </c>
      <c r="AV235" s="4">
        <f>IF(K235=VLOOKUP(VALUE(K$1),Questions!$A:$E,5,FALSE),1,0)</f>
        <v>0</v>
      </c>
      <c r="AW235" s="4">
        <f>IF(L235=VLOOKUP(VALUE(L$1),Questions!$A:$E,5,FALSE),1,0)</f>
        <v>0</v>
      </c>
      <c r="AX235" s="4">
        <f>IF(M235=VLOOKUP(VALUE(M$1),Questions!$A:$E,5,FALSE),1,0)</f>
        <v>1</v>
      </c>
      <c r="AY235" s="4">
        <f>IF(N235=VLOOKUP(VALUE(N$1),Questions!$A:$E,5,FALSE),1,0)</f>
        <v>1</v>
      </c>
      <c r="AZ235" s="4">
        <f>IF(O235=VLOOKUP(VALUE(O$1),Questions!$A:$E,5,FALSE),1,0)</f>
        <v>0</v>
      </c>
      <c r="BA235" s="4">
        <f>IF(P235=VLOOKUP(VALUE(P$1),Questions!$A:$E,5,FALSE),1,0)</f>
        <v>0</v>
      </c>
      <c r="BB235" s="4">
        <f>IF(Q235=VLOOKUP(VALUE(Q$1),Questions!$A:$E,5,FALSE),1,0)</f>
        <v>0</v>
      </c>
      <c r="BC235" s="4">
        <f>IF(R235=VLOOKUP(VALUE(R$1),Questions!$A:$E,5,FALSE),1,0)</f>
        <v>1</v>
      </c>
      <c r="BD235" s="4">
        <f>IF(S235=VLOOKUP(VALUE(S$1),Questions!$A:$E,5,FALSE),1,0)</f>
        <v>0</v>
      </c>
      <c r="BE235" s="4">
        <f>IF(T235=VLOOKUP(VALUE(T$1),Questions!$A:$E,5,FALSE),1,0)</f>
        <v>1</v>
      </c>
      <c r="BF235" s="4">
        <f>IF(U235=VLOOKUP(VALUE(U$1),Questions!$A:$E,5,FALSE),1,0)</f>
        <v>1</v>
      </c>
      <c r="BG235" s="4">
        <f>IF(V235=VLOOKUP(VALUE(V$1),Questions!$A:$E,5,FALSE),1,0)</f>
        <v>1</v>
      </c>
      <c r="BH235" s="4">
        <f>IF(W235=VLOOKUP(VALUE(W$1),Questions!$A:$E,5,FALSE),1,0)</f>
        <v>0</v>
      </c>
      <c r="BI235" s="4">
        <f>IF(X235=VLOOKUP(VALUE(X$1),Questions!$A:$E,5,FALSE),1,0)</f>
        <v>0</v>
      </c>
      <c r="BJ235" s="4">
        <f>IF(Y235=VLOOKUP(VALUE(Y$1),Questions!$A:$E,5,FALSE),1,0)</f>
        <v>1</v>
      </c>
      <c r="BK235" s="4">
        <f>IF(Z235=VLOOKUP(VALUE(Z$1),Questions!$A:$E,5,FALSE),1,0)</f>
        <v>0</v>
      </c>
      <c r="BL235" s="4">
        <f>IF(AA235=VLOOKUP(VALUE(AA$1),Questions!$A:$E,5,FALSE),1,0)</f>
        <v>1</v>
      </c>
      <c r="BM235" s="4">
        <f>IF(AB235=VLOOKUP(VALUE(AB$1),Questions!$A:$E,5,FALSE),1,0)</f>
        <v>1</v>
      </c>
      <c r="BN235" s="4">
        <f>IF(AC235=VLOOKUP(VALUE(AC$1),Questions!$A:$E,5,FALSE),1,0)</f>
        <v>1</v>
      </c>
      <c r="BO235" s="4">
        <f>IF(AD235=VLOOKUP(VALUE(AD$1),Questions!$A:$E,5,FALSE),1,0)</f>
        <v>1</v>
      </c>
      <c r="BP235" s="4">
        <f>IF(AE235=VLOOKUP(VALUE(AE$1),Questions!$A:$E,5,FALSE),1,0)</f>
        <v>1</v>
      </c>
      <c r="BQ235" s="4">
        <f>IF(AF235=VLOOKUP(VALUE(AF$1),Questions!$A:$E,5,FALSE),1,0)</f>
        <v>1</v>
      </c>
      <c r="BR235" s="4">
        <f>IF(AG235=VLOOKUP(VALUE(AG$1),Questions!$A:$E,5,FALSE),1,0)</f>
        <v>1</v>
      </c>
      <c r="BS235" s="4">
        <f>IF(AH235=VLOOKUP(VALUE(AH$1),Questions!$A:$E,5,FALSE),1,0)</f>
        <v>0</v>
      </c>
      <c r="BT235" s="4">
        <f>IF(AI235=VLOOKUP(VALUE(AI$1),Questions!$A:$E,5,FALSE),1,0)</f>
        <v>0</v>
      </c>
      <c r="BU235" s="4">
        <f>IF(AJ235=VLOOKUP(VALUE(AJ$1),Questions!$A:$E,5,FALSE),1,0)</f>
        <v>1</v>
      </c>
      <c r="BV235" s="4">
        <f>IF(AK235=VLOOKUP(VALUE(AK$1),Questions!$A:$E,5,FALSE),1,0)</f>
        <v>0</v>
      </c>
      <c r="BW235" s="87">
        <f>IF(AL235=VLOOKUP(VALUE(AL$1),Questions!$A:$E,5,FALSE),1,0)</f>
        <v>1</v>
      </c>
      <c r="BX235" s="4">
        <f>IF(Scores[[#This Row],[Final]]&gt;=65,1,0)</f>
        <v>0</v>
      </c>
      <c r="BY235" s="4">
        <f>IF(Scores[[#This Row],[Final]]&gt;=IF(Scores[[#This Row],[IEP]],55,65),1,0)</f>
        <v>0</v>
      </c>
    </row>
    <row r="236" spans="1:77" x14ac:dyDescent="0.2">
      <c r="A236" s="6">
        <v>235</v>
      </c>
      <c r="B236" s="4">
        <v>11</v>
      </c>
      <c r="C236" s="4" t="s">
        <v>964</v>
      </c>
      <c r="D236" s="105" t="b">
        <v>0</v>
      </c>
      <c r="E236" s="105" t="b">
        <v>0</v>
      </c>
      <c r="F236" s="86">
        <f>SUM(Scores[[#This Row],[Q1]:[Q28]])</f>
        <v>19</v>
      </c>
      <c r="G236" s="4">
        <f>SUM(Scores[[#This Row],[29]]:Scores[[#This Row],[30]])</f>
        <v>5</v>
      </c>
      <c r="H236" s="4">
        <f>SUM(Scores[[#This Row],[31]:[36]])</f>
        <v>6</v>
      </c>
      <c r="I236" s="4">
        <f>Scores[[#This Row],[37]]</f>
        <v>2</v>
      </c>
      <c r="J236" s="87">
        <f>INDEX('Conversion Chart'!$C$3:$M$47,MATCH(SUM(Scores[[#This Row],[MC]:[IIIA]]),'Conversion Chart'!$B$3:$B$47),MATCH(Scores[[#This Row],[IIIB]],'Conversion Chart'!$C$2:$M$2))</f>
        <v>73</v>
      </c>
      <c r="K236" s="103">
        <v>4</v>
      </c>
      <c r="L236" s="103">
        <v>1</v>
      </c>
      <c r="M236" s="103">
        <v>3</v>
      </c>
      <c r="N236" s="103">
        <v>1</v>
      </c>
      <c r="O236" s="103">
        <v>1</v>
      </c>
      <c r="P236" s="103">
        <v>2</v>
      </c>
      <c r="Q236" s="103">
        <v>3</v>
      </c>
      <c r="R236" s="103">
        <v>2</v>
      </c>
      <c r="S236" s="103">
        <v>3</v>
      </c>
      <c r="T236" s="103">
        <v>2</v>
      </c>
      <c r="U236" s="103">
        <v>2</v>
      </c>
      <c r="V236" s="103">
        <v>4</v>
      </c>
      <c r="W236" s="103">
        <v>2</v>
      </c>
      <c r="X236" s="103">
        <v>1</v>
      </c>
      <c r="Y236" s="103">
        <v>3</v>
      </c>
      <c r="Z236" s="103">
        <v>1</v>
      </c>
      <c r="AA236" s="103">
        <v>1</v>
      </c>
      <c r="AB236" s="103">
        <v>4</v>
      </c>
      <c r="AC236" s="103">
        <v>3</v>
      </c>
      <c r="AD236" s="103">
        <v>1</v>
      </c>
      <c r="AE236" s="103">
        <v>2</v>
      </c>
      <c r="AF236" s="103">
        <v>2</v>
      </c>
      <c r="AG236" s="103">
        <v>2</v>
      </c>
      <c r="AH236" s="103">
        <v>3</v>
      </c>
      <c r="AI236" s="103">
        <v>4</v>
      </c>
      <c r="AJ236" s="103">
        <v>4</v>
      </c>
      <c r="AK236" s="103">
        <v>1</v>
      </c>
      <c r="AL236" s="104">
        <v>3</v>
      </c>
      <c r="AM236" s="4">
        <v>3</v>
      </c>
      <c r="AN236" s="87">
        <v>2</v>
      </c>
      <c r="AO236" s="4">
        <v>1</v>
      </c>
      <c r="AP236" s="4">
        <v>1</v>
      </c>
      <c r="AQ236" s="4">
        <v>1</v>
      </c>
      <c r="AR236" s="4">
        <v>1</v>
      </c>
      <c r="AS236" s="4">
        <v>1</v>
      </c>
      <c r="AT236" s="4">
        <v>1</v>
      </c>
      <c r="AU236" s="107">
        <v>2</v>
      </c>
      <c r="AV236" s="4">
        <f>IF(K236=VLOOKUP(VALUE(K$1),Questions!$A:$E,5,FALSE),1,0)</f>
        <v>1</v>
      </c>
      <c r="AW236" s="4">
        <f>IF(L236=VLOOKUP(VALUE(L$1),Questions!$A:$E,5,FALSE),1,0)</f>
        <v>0</v>
      </c>
      <c r="AX236" s="4">
        <f>IF(M236=VLOOKUP(VALUE(M$1),Questions!$A:$E,5,FALSE),1,0)</f>
        <v>1</v>
      </c>
      <c r="AY236" s="4">
        <f>IF(N236=VLOOKUP(VALUE(N$1),Questions!$A:$E,5,FALSE),1,0)</f>
        <v>0</v>
      </c>
      <c r="AZ236" s="4">
        <f>IF(O236=VLOOKUP(VALUE(O$1),Questions!$A:$E,5,FALSE),1,0)</f>
        <v>1</v>
      </c>
      <c r="BA236" s="4">
        <f>IF(P236=VLOOKUP(VALUE(P$1),Questions!$A:$E,5,FALSE),1,0)</f>
        <v>0</v>
      </c>
      <c r="BB236" s="4">
        <f>IF(Q236=VLOOKUP(VALUE(Q$1),Questions!$A:$E,5,FALSE),1,0)</f>
        <v>1</v>
      </c>
      <c r="BC236" s="4">
        <f>IF(R236=VLOOKUP(VALUE(R$1),Questions!$A:$E,5,FALSE),1,0)</f>
        <v>1</v>
      </c>
      <c r="BD236" s="4">
        <f>IF(S236=VLOOKUP(VALUE(S$1),Questions!$A:$E,5,FALSE),1,0)</f>
        <v>0</v>
      </c>
      <c r="BE236" s="4">
        <f>IF(T236=VLOOKUP(VALUE(T$1),Questions!$A:$E,5,FALSE),1,0)</f>
        <v>0</v>
      </c>
      <c r="BF236" s="4">
        <f>IF(U236=VLOOKUP(VALUE(U$1),Questions!$A:$E,5,FALSE),1,0)</f>
        <v>1</v>
      </c>
      <c r="BG236" s="4">
        <f>IF(V236=VLOOKUP(VALUE(V$1),Questions!$A:$E,5,FALSE),1,0)</f>
        <v>1</v>
      </c>
      <c r="BH236" s="4">
        <f>IF(W236=VLOOKUP(VALUE(W$1),Questions!$A:$E,5,FALSE),1,0)</f>
        <v>1</v>
      </c>
      <c r="BI236" s="4">
        <f>IF(X236=VLOOKUP(VALUE(X$1),Questions!$A:$E,5,FALSE),1,0)</f>
        <v>0</v>
      </c>
      <c r="BJ236" s="4">
        <f>IF(Y236=VLOOKUP(VALUE(Y$1),Questions!$A:$E,5,FALSE),1,0)</f>
        <v>1</v>
      </c>
      <c r="BK236" s="4">
        <f>IF(Z236=VLOOKUP(VALUE(Z$1),Questions!$A:$E,5,FALSE),1,0)</f>
        <v>1</v>
      </c>
      <c r="BL236" s="4">
        <f>IF(AA236=VLOOKUP(VALUE(AA$1),Questions!$A:$E,5,FALSE),1,0)</f>
        <v>1</v>
      </c>
      <c r="BM236" s="4">
        <f>IF(AB236=VLOOKUP(VALUE(AB$1),Questions!$A:$E,5,FALSE),1,0)</f>
        <v>1</v>
      </c>
      <c r="BN236" s="4">
        <f>IF(AC236=VLOOKUP(VALUE(AC$1),Questions!$A:$E,5,FALSE),1,0)</f>
        <v>1</v>
      </c>
      <c r="BO236" s="4">
        <f>IF(AD236=VLOOKUP(VALUE(AD$1),Questions!$A:$E,5,FALSE),1,0)</f>
        <v>0</v>
      </c>
      <c r="BP236" s="4">
        <f>IF(AE236=VLOOKUP(VALUE(AE$1),Questions!$A:$E,5,FALSE),1,0)</f>
        <v>1</v>
      </c>
      <c r="BQ236" s="4">
        <f>IF(AF236=VLOOKUP(VALUE(AF$1),Questions!$A:$E,5,FALSE),1,0)</f>
        <v>1</v>
      </c>
      <c r="BR236" s="4">
        <f>IF(AG236=VLOOKUP(VALUE(AG$1),Questions!$A:$E,5,FALSE),1,0)</f>
        <v>0</v>
      </c>
      <c r="BS236" s="4">
        <f>IF(AH236=VLOOKUP(VALUE(AH$1),Questions!$A:$E,5,FALSE),1,0)</f>
        <v>1</v>
      </c>
      <c r="BT236" s="4">
        <f>IF(AI236=VLOOKUP(VALUE(AI$1),Questions!$A:$E,5,FALSE),1,0)</f>
        <v>0</v>
      </c>
      <c r="BU236" s="4">
        <f>IF(AJ236=VLOOKUP(VALUE(AJ$1),Questions!$A:$E,5,FALSE),1,0)</f>
        <v>1</v>
      </c>
      <c r="BV236" s="4">
        <f>IF(AK236=VLOOKUP(VALUE(AK$1),Questions!$A:$E,5,FALSE),1,0)</f>
        <v>1</v>
      </c>
      <c r="BW236" s="87">
        <f>IF(AL236=VLOOKUP(VALUE(AL$1),Questions!$A:$E,5,FALSE),1,0)</f>
        <v>1</v>
      </c>
      <c r="BX236" s="4">
        <f>IF(Scores[[#This Row],[Final]]&gt;=65,1,0)</f>
        <v>1</v>
      </c>
      <c r="BY236" s="4">
        <f>IF(Scores[[#This Row],[Final]]&gt;=IF(Scores[[#This Row],[IEP]],55,65),1,0)</f>
        <v>1</v>
      </c>
    </row>
    <row r="237" spans="1:77" x14ac:dyDescent="0.2">
      <c r="A237" s="6">
        <v>236</v>
      </c>
      <c r="B237" s="4">
        <v>11</v>
      </c>
      <c r="C237" s="4" t="s">
        <v>967</v>
      </c>
      <c r="D237" s="105" t="b">
        <v>0</v>
      </c>
      <c r="E237" s="105" t="b">
        <v>0</v>
      </c>
      <c r="F237" s="86">
        <f>SUM(Scores[[#This Row],[Q1]:[Q28]])</f>
        <v>20</v>
      </c>
      <c r="G237" s="4">
        <f>SUM(Scores[[#This Row],[29]]:Scores[[#This Row],[30]])</f>
        <v>4</v>
      </c>
      <c r="H237" s="4">
        <f>SUM(Scores[[#This Row],[31]:[36]])</f>
        <v>4</v>
      </c>
      <c r="I237" s="4">
        <f>Scores[[#This Row],[37]]</f>
        <v>1</v>
      </c>
      <c r="J237" s="87">
        <f>INDEX('Conversion Chart'!$C$3:$M$47,MATCH(SUM(Scores[[#This Row],[MC]:[IIIA]]),'Conversion Chart'!$B$3:$B$47),MATCH(Scores[[#This Row],[IIIB]],'Conversion Chart'!$C$2:$M$2))</f>
        <v>68</v>
      </c>
      <c r="K237" s="103">
        <v>4</v>
      </c>
      <c r="L237" s="103">
        <v>2</v>
      </c>
      <c r="M237" s="103">
        <v>1</v>
      </c>
      <c r="N237" s="103">
        <v>3</v>
      </c>
      <c r="O237" s="103">
        <v>1</v>
      </c>
      <c r="P237" s="103">
        <v>2</v>
      </c>
      <c r="Q237" s="103">
        <v>3</v>
      </c>
      <c r="R237" s="103">
        <v>2</v>
      </c>
      <c r="S237" s="103">
        <v>2</v>
      </c>
      <c r="T237" s="103">
        <v>1</v>
      </c>
      <c r="U237" s="103">
        <v>3</v>
      </c>
      <c r="V237" s="103">
        <v>3</v>
      </c>
      <c r="W237" s="103">
        <v>2</v>
      </c>
      <c r="X237" s="103">
        <v>4</v>
      </c>
      <c r="Y237" s="103">
        <v>3</v>
      </c>
      <c r="Z237" s="103">
        <v>1</v>
      </c>
      <c r="AA237" s="103">
        <v>1</v>
      </c>
      <c r="AB237" s="103">
        <v>4</v>
      </c>
      <c r="AC237" s="103">
        <v>3</v>
      </c>
      <c r="AD237" s="103">
        <v>1</v>
      </c>
      <c r="AE237" s="103">
        <v>3</v>
      </c>
      <c r="AF237" s="103">
        <v>2</v>
      </c>
      <c r="AG237" s="103">
        <v>4</v>
      </c>
      <c r="AH237" s="103">
        <v>2</v>
      </c>
      <c r="AI237" s="103">
        <v>1</v>
      </c>
      <c r="AJ237" s="103">
        <v>4</v>
      </c>
      <c r="AK237" s="103">
        <v>1</v>
      </c>
      <c r="AL237" s="104">
        <v>3</v>
      </c>
      <c r="AM237" s="4">
        <v>4</v>
      </c>
      <c r="AN237" s="87">
        <v>0</v>
      </c>
      <c r="AO237" s="4">
        <v>1</v>
      </c>
      <c r="AP237" s="4">
        <v>1</v>
      </c>
      <c r="AQ237" s="4">
        <v>0</v>
      </c>
      <c r="AR237" s="4">
        <v>0</v>
      </c>
      <c r="AS237" s="4">
        <v>1</v>
      </c>
      <c r="AT237" s="4">
        <v>1</v>
      </c>
      <c r="AU237" s="107">
        <v>1</v>
      </c>
      <c r="AV237" s="4">
        <f>IF(K237=VLOOKUP(VALUE(K$1),Questions!$A:$E,5,FALSE),1,0)</f>
        <v>1</v>
      </c>
      <c r="AW237" s="4">
        <f>IF(L237=VLOOKUP(VALUE(L$1),Questions!$A:$E,5,FALSE),1,0)</f>
        <v>1</v>
      </c>
      <c r="AX237" s="4">
        <f>IF(M237=VLOOKUP(VALUE(M$1),Questions!$A:$E,5,FALSE),1,0)</f>
        <v>0</v>
      </c>
      <c r="AY237" s="4">
        <f>IF(N237=VLOOKUP(VALUE(N$1),Questions!$A:$E,5,FALSE),1,0)</f>
        <v>1</v>
      </c>
      <c r="AZ237" s="4">
        <f>IF(O237=VLOOKUP(VALUE(O$1),Questions!$A:$E,5,FALSE),1,0)</f>
        <v>1</v>
      </c>
      <c r="BA237" s="4">
        <f>IF(P237=VLOOKUP(VALUE(P$1),Questions!$A:$E,5,FALSE),1,0)</f>
        <v>0</v>
      </c>
      <c r="BB237" s="4">
        <f>IF(Q237=VLOOKUP(VALUE(Q$1),Questions!$A:$E,5,FALSE),1,0)</f>
        <v>1</v>
      </c>
      <c r="BC237" s="4">
        <f>IF(R237=VLOOKUP(VALUE(R$1),Questions!$A:$E,5,FALSE),1,0)</f>
        <v>1</v>
      </c>
      <c r="BD237" s="4">
        <f>IF(S237=VLOOKUP(VALUE(S$1),Questions!$A:$E,5,FALSE),1,0)</f>
        <v>1</v>
      </c>
      <c r="BE237" s="4">
        <f>IF(T237=VLOOKUP(VALUE(T$1),Questions!$A:$E,5,FALSE),1,0)</f>
        <v>1</v>
      </c>
      <c r="BF237" s="4">
        <f>IF(U237=VLOOKUP(VALUE(U$1),Questions!$A:$E,5,FALSE),1,0)</f>
        <v>0</v>
      </c>
      <c r="BG237" s="4">
        <f>IF(V237=VLOOKUP(VALUE(V$1),Questions!$A:$E,5,FALSE),1,0)</f>
        <v>0</v>
      </c>
      <c r="BH237" s="4">
        <f>IF(W237=VLOOKUP(VALUE(W$1),Questions!$A:$E,5,FALSE),1,0)</f>
        <v>1</v>
      </c>
      <c r="BI237" s="4">
        <f>IF(X237=VLOOKUP(VALUE(X$1),Questions!$A:$E,5,FALSE),1,0)</f>
        <v>1</v>
      </c>
      <c r="BJ237" s="4">
        <f>IF(Y237=VLOOKUP(VALUE(Y$1),Questions!$A:$E,5,FALSE),1,0)</f>
        <v>1</v>
      </c>
      <c r="BK237" s="4">
        <f>IF(Z237=VLOOKUP(VALUE(Z$1),Questions!$A:$E,5,FALSE),1,0)</f>
        <v>1</v>
      </c>
      <c r="BL237" s="4">
        <f>IF(AA237=VLOOKUP(VALUE(AA$1),Questions!$A:$E,5,FALSE),1,0)</f>
        <v>1</v>
      </c>
      <c r="BM237" s="4">
        <f>IF(AB237=VLOOKUP(VALUE(AB$1),Questions!$A:$E,5,FALSE),1,0)</f>
        <v>1</v>
      </c>
      <c r="BN237" s="4">
        <f>IF(AC237=VLOOKUP(VALUE(AC$1),Questions!$A:$E,5,FALSE),1,0)</f>
        <v>1</v>
      </c>
      <c r="BO237" s="4">
        <f>IF(AD237=VLOOKUP(VALUE(AD$1),Questions!$A:$E,5,FALSE),1,0)</f>
        <v>0</v>
      </c>
      <c r="BP237" s="4">
        <f>IF(AE237=VLOOKUP(VALUE(AE$1),Questions!$A:$E,5,FALSE),1,0)</f>
        <v>0</v>
      </c>
      <c r="BQ237" s="4">
        <f>IF(AF237=VLOOKUP(VALUE(AF$1),Questions!$A:$E,5,FALSE),1,0)</f>
        <v>1</v>
      </c>
      <c r="BR237" s="4">
        <f>IF(AG237=VLOOKUP(VALUE(AG$1),Questions!$A:$E,5,FALSE),1,0)</f>
        <v>0</v>
      </c>
      <c r="BS237" s="4">
        <f>IF(AH237=VLOOKUP(VALUE(AH$1),Questions!$A:$E,5,FALSE),1,0)</f>
        <v>0</v>
      </c>
      <c r="BT237" s="4">
        <f>IF(AI237=VLOOKUP(VALUE(AI$1),Questions!$A:$E,5,FALSE),1,0)</f>
        <v>1</v>
      </c>
      <c r="BU237" s="4">
        <f>IF(AJ237=VLOOKUP(VALUE(AJ$1),Questions!$A:$E,5,FALSE),1,0)</f>
        <v>1</v>
      </c>
      <c r="BV237" s="4">
        <f>IF(AK237=VLOOKUP(VALUE(AK$1),Questions!$A:$E,5,FALSE),1,0)</f>
        <v>1</v>
      </c>
      <c r="BW237" s="87">
        <f>IF(AL237=VLOOKUP(VALUE(AL$1),Questions!$A:$E,5,FALSE),1,0)</f>
        <v>1</v>
      </c>
      <c r="BX237" s="4">
        <f>IF(Scores[[#This Row],[Final]]&gt;=65,1,0)</f>
        <v>1</v>
      </c>
      <c r="BY237" s="4">
        <f>IF(Scores[[#This Row],[Final]]&gt;=IF(Scores[[#This Row],[IEP]],55,65),1,0)</f>
        <v>1</v>
      </c>
    </row>
    <row r="238" spans="1:77" x14ac:dyDescent="0.2">
      <c r="A238" s="6">
        <v>237</v>
      </c>
      <c r="B238" s="4">
        <v>9</v>
      </c>
      <c r="C238" s="4" t="s">
        <v>968</v>
      </c>
      <c r="D238" s="105" t="b">
        <v>0</v>
      </c>
      <c r="E238" s="105" t="b">
        <v>0</v>
      </c>
      <c r="F238" s="86">
        <f>SUM(Scores[[#This Row],[Q1]:[Q28]])</f>
        <v>19</v>
      </c>
      <c r="G238" s="4">
        <f>SUM(Scores[[#This Row],[29]]:Scores[[#This Row],[30]])</f>
        <v>2</v>
      </c>
      <c r="H238" s="4">
        <f>SUM(Scores[[#This Row],[31]:[36]])</f>
        <v>5</v>
      </c>
      <c r="I238" s="4">
        <f>Scores[[#This Row],[37]]</f>
        <v>1</v>
      </c>
      <c r="J238" s="87">
        <f>INDEX('Conversion Chart'!$C$3:$M$47,MATCH(SUM(Scores[[#This Row],[MC]:[IIIA]]),'Conversion Chart'!$B$3:$B$47),MATCH(Scores[[#This Row],[IIIB]],'Conversion Chart'!$C$2:$M$2))</f>
        <v>66</v>
      </c>
      <c r="K238" s="103">
        <v>4</v>
      </c>
      <c r="L238" s="103">
        <v>2</v>
      </c>
      <c r="M238" s="103">
        <v>3</v>
      </c>
      <c r="N238" s="103">
        <v>2</v>
      </c>
      <c r="O238" s="103">
        <v>1</v>
      </c>
      <c r="P238" s="103">
        <v>1</v>
      </c>
      <c r="Q238" s="103">
        <v>2</v>
      </c>
      <c r="R238" s="103">
        <v>3</v>
      </c>
      <c r="S238" s="103">
        <v>2</v>
      </c>
      <c r="T238" s="103">
        <v>1</v>
      </c>
      <c r="U238" s="103">
        <v>2</v>
      </c>
      <c r="V238" s="103">
        <v>4</v>
      </c>
      <c r="W238" s="103">
        <v>2</v>
      </c>
      <c r="X238" s="103">
        <v>3</v>
      </c>
      <c r="Y238" s="103">
        <v>3</v>
      </c>
      <c r="Z238" s="103">
        <v>4</v>
      </c>
      <c r="AA238" s="103">
        <v>1</v>
      </c>
      <c r="AB238" s="103">
        <v>3</v>
      </c>
      <c r="AC238" s="103">
        <v>3</v>
      </c>
      <c r="AD238" s="103">
        <v>1</v>
      </c>
      <c r="AE238" s="103">
        <v>2</v>
      </c>
      <c r="AF238" s="103">
        <v>2</v>
      </c>
      <c r="AG238" s="103">
        <v>3</v>
      </c>
      <c r="AH238" s="103">
        <v>2</v>
      </c>
      <c r="AI238" s="103">
        <v>1</v>
      </c>
      <c r="AJ238" s="103">
        <v>4</v>
      </c>
      <c r="AK238" s="103">
        <v>1</v>
      </c>
      <c r="AL238" s="104">
        <v>3</v>
      </c>
      <c r="AM238" s="4">
        <v>1</v>
      </c>
      <c r="AN238" s="87">
        <v>1</v>
      </c>
      <c r="AO238" s="4">
        <v>1</v>
      </c>
      <c r="AP238" s="4">
        <v>1</v>
      </c>
      <c r="AQ238" s="4">
        <v>1</v>
      </c>
      <c r="AR238" s="4">
        <v>0</v>
      </c>
      <c r="AS238" s="4">
        <v>1</v>
      </c>
      <c r="AT238" s="4">
        <v>1</v>
      </c>
      <c r="AU238" s="107">
        <v>1</v>
      </c>
      <c r="AV238" s="4">
        <f>IF(K238=VLOOKUP(VALUE(K$1),Questions!$A:$E,5,FALSE),1,0)</f>
        <v>1</v>
      </c>
      <c r="AW238" s="4">
        <f>IF(L238=VLOOKUP(VALUE(L$1),Questions!$A:$E,5,FALSE),1,0)</f>
        <v>1</v>
      </c>
      <c r="AX238" s="4">
        <f>IF(M238=VLOOKUP(VALUE(M$1),Questions!$A:$E,5,FALSE),1,0)</f>
        <v>1</v>
      </c>
      <c r="AY238" s="4">
        <f>IF(N238=VLOOKUP(VALUE(N$1),Questions!$A:$E,5,FALSE),1,0)</f>
        <v>0</v>
      </c>
      <c r="AZ238" s="4">
        <f>IF(O238=VLOOKUP(VALUE(O$1),Questions!$A:$E,5,FALSE),1,0)</f>
        <v>1</v>
      </c>
      <c r="BA238" s="4">
        <f>IF(P238=VLOOKUP(VALUE(P$1),Questions!$A:$E,5,FALSE),1,0)</f>
        <v>0</v>
      </c>
      <c r="BB238" s="4">
        <f>IF(Q238=VLOOKUP(VALUE(Q$1),Questions!$A:$E,5,FALSE),1,0)</f>
        <v>0</v>
      </c>
      <c r="BC238" s="4">
        <f>IF(R238=VLOOKUP(VALUE(R$1),Questions!$A:$E,5,FALSE),1,0)</f>
        <v>0</v>
      </c>
      <c r="BD238" s="4">
        <f>IF(S238=VLOOKUP(VALUE(S$1),Questions!$A:$E,5,FALSE),1,0)</f>
        <v>1</v>
      </c>
      <c r="BE238" s="4">
        <f>IF(T238=VLOOKUP(VALUE(T$1),Questions!$A:$E,5,FALSE),1,0)</f>
        <v>1</v>
      </c>
      <c r="BF238" s="4">
        <f>IF(U238=VLOOKUP(VALUE(U$1),Questions!$A:$E,5,FALSE),1,0)</f>
        <v>1</v>
      </c>
      <c r="BG238" s="4">
        <f>IF(V238=VLOOKUP(VALUE(V$1),Questions!$A:$E,5,FALSE),1,0)</f>
        <v>1</v>
      </c>
      <c r="BH238" s="4">
        <f>IF(W238=VLOOKUP(VALUE(W$1),Questions!$A:$E,5,FALSE),1,0)</f>
        <v>1</v>
      </c>
      <c r="BI238" s="4">
        <f>IF(X238=VLOOKUP(VALUE(X$1),Questions!$A:$E,5,FALSE),1,0)</f>
        <v>0</v>
      </c>
      <c r="BJ238" s="4">
        <f>IF(Y238=VLOOKUP(VALUE(Y$1),Questions!$A:$E,5,FALSE),1,0)</f>
        <v>1</v>
      </c>
      <c r="BK238" s="4">
        <f>IF(Z238=VLOOKUP(VALUE(Z$1),Questions!$A:$E,5,FALSE),1,0)</f>
        <v>0</v>
      </c>
      <c r="BL238" s="4">
        <f>IF(AA238=VLOOKUP(VALUE(AA$1),Questions!$A:$E,5,FALSE),1,0)</f>
        <v>1</v>
      </c>
      <c r="BM238" s="4">
        <f>IF(AB238=VLOOKUP(VALUE(AB$1),Questions!$A:$E,5,FALSE),1,0)</f>
        <v>0</v>
      </c>
      <c r="BN238" s="4">
        <f>IF(AC238=VLOOKUP(VALUE(AC$1),Questions!$A:$E,5,FALSE),1,0)</f>
        <v>1</v>
      </c>
      <c r="BO238" s="4">
        <f>IF(AD238=VLOOKUP(VALUE(AD$1),Questions!$A:$E,5,FALSE),1,0)</f>
        <v>0</v>
      </c>
      <c r="BP238" s="4">
        <f>IF(AE238=VLOOKUP(VALUE(AE$1),Questions!$A:$E,5,FALSE),1,0)</f>
        <v>1</v>
      </c>
      <c r="BQ238" s="4">
        <f>IF(AF238=VLOOKUP(VALUE(AF$1),Questions!$A:$E,5,FALSE),1,0)</f>
        <v>1</v>
      </c>
      <c r="BR238" s="4">
        <f>IF(AG238=VLOOKUP(VALUE(AG$1),Questions!$A:$E,5,FALSE),1,0)</f>
        <v>1</v>
      </c>
      <c r="BS238" s="4">
        <f>IF(AH238=VLOOKUP(VALUE(AH$1),Questions!$A:$E,5,FALSE),1,0)</f>
        <v>0</v>
      </c>
      <c r="BT238" s="4">
        <f>IF(AI238=VLOOKUP(VALUE(AI$1),Questions!$A:$E,5,FALSE),1,0)</f>
        <v>1</v>
      </c>
      <c r="BU238" s="4">
        <f>IF(AJ238=VLOOKUP(VALUE(AJ$1),Questions!$A:$E,5,FALSE),1,0)</f>
        <v>1</v>
      </c>
      <c r="BV238" s="4">
        <f>IF(AK238=VLOOKUP(VALUE(AK$1),Questions!$A:$E,5,FALSE),1,0)</f>
        <v>1</v>
      </c>
      <c r="BW238" s="87">
        <f>IF(AL238=VLOOKUP(VALUE(AL$1),Questions!$A:$E,5,FALSE),1,0)</f>
        <v>1</v>
      </c>
      <c r="BX238" s="4">
        <f>IF(Scores[[#This Row],[Final]]&gt;=65,1,0)</f>
        <v>1</v>
      </c>
      <c r="BY238" s="4">
        <f>IF(Scores[[#This Row],[Final]]&gt;=IF(Scores[[#This Row],[IEP]],55,65),1,0)</f>
        <v>1</v>
      </c>
    </row>
    <row r="239" spans="1:77" x14ac:dyDescent="0.2">
      <c r="A239" s="6">
        <v>238</v>
      </c>
      <c r="B239" s="4">
        <v>9</v>
      </c>
      <c r="C239" s="4" t="s">
        <v>964</v>
      </c>
      <c r="D239" s="105" t="b">
        <v>0</v>
      </c>
      <c r="E239" s="105" t="b">
        <v>1</v>
      </c>
      <c r="F239" s="86">
        <f>SUM(Scores[[#This Row],[Q1]:[Q28]])</f>
        <v>11</v>
      </c>
      <c r="G239" s="4">
        <f>SUM(Scores[[#This Row],[29]]:Scores[[#This Row],[30]])</f>
        <v>2</v>
      </c>
      <c r="H239" s="4">
        <f>SUM(Scores[[#This Row],[31]:[36]])</f>
        <v>0</v>
      </c>
      <c r="I239" s="4">
        <f>Scores[[#This Row],[37]]</f>
        <v>0</v>
      </c>
      <c r="J239" s="87">
        <f>INDEX('Conversion Chart'!$C$3:$M$47,MATCH(SUM(Scores[[#This Row],[MC]:[IIIA]]),'Conversion Chart'!$B$3:$B$47),MATCH(Scores[[#This Row],[IIIB]],'Conversion Chart'!$C$2:$M$2))</f>
        <v>38</v>
      </c>
      <c r="K239" s="103">
        <v>4</v>
      </c>
      <c r="L239" s="103">
        <v>2</v>
      </c>
      <c r="M239" s="103">
        <v>4</v>
      </c>
      <c r="N239" s="103">
        <v>1</v>
      </c>
      <c r="O239" s="103">
        <v>3</v>
      </c>
      <c r="P239" s="103">
        <v>3</v>
      </c>
      <c r="Q239" s="103">
        <v>2</v>
      </c>
      <c r="R239" s="103">
        <v>4</v>
      </c>
      <c r="S239" s="103">
        <v>1</v>
      </c>
      <c r="T239" s="103">
        <v>2</v>
      </c>
      <c r="U239" s="103">
        <v>4</v>
      </c>
      <c r="V239" s="103">
        <v>3</v>
      </c>
      <c r="W239" s="103">
        <v>2</v>
      </c>
      <c r="X239" s="103">
        <v>1</v>
      </c>
      <c r="Y239" s="103">
        <v>1</v>
      </c>
      <c r="Z239" s="103">
        <v>4</v>
      </c>
      <c r="AA239" s="103">
        <v>3</v>
      </c>
      <c r="AB239" s="103">
        <v>4</v>
      </c>
      <c r="AC239" s="103">
        <v>3</v>
      </c>
      <c r="AD239" s="103">
        <v>1</v>
      </c>
      <c r="AE239" s="103">
        <v>3</v>
      </c>
      <c r="AF239" s="103">
        <v>2</v>
      </c>
      <c r="AG239" s="103">
        <v>3</v>
      </c>
      <c r="AH239" s="103">
        <v>4</v>
      </c>
      <c r="AI239" s="103">
        <v>1</v>
      </c>
      <c r="AJ239" s="103">
        <v>4</v>
      </c>
      <c r="AK239" s="103">
        <v>1</v>
      </c>
      <c r="AL239" s="104">
        <v>3</v>
      </c>
      <c r="AM239" s="4">
        <v>1</v>
      </c>
      <c r="AN239" s="87">
        <v>1</v>
      </c>
      <c r="AO239" s="4">
        <v>0</v>
      </c>
      <c r="AP239" s="4">
        <v>0</v>
      </c>
      <c r="AQ239" s="4">
        <v>0</v>
      </c>
      <c r="AR239" s="4">
        <v>0</v>
      </c>
      <c r="AS239" s="4">
        <v>0</v>
      </c>
      <c r="AT239" s="4">
        <v>0</v>
      </c>
      <c r="AU239" s="107">
        <v>0</v>
      </c>
      <c r="AV239" s="4">
        <f>IF(K239=VLOOKUP(VALUE(K$1),Questions!$A:$E,5,FALSE),1,0)</f>
        <v>1</v>
      </c>
      <c r="AW239" s="4">
        <f>IF(L239=VLOOKUP(VALUE(L$1),Questions!$A:$E,5,FALSE),1,0)</f>
        <v>1</v>
      </c>
      <c r="AX239" s="4">
        <f>IF(M239=VLOOKUP(VALUE(M$1),Questions!$A:$E,5,FALSE),1,0)</f>
        <v>0</v>
      </c>
      <c r="AY239" s="4">
        <f>IF(N239=VLOOKUP(VALUE(N$1),Questions!$A:$E,5,FALSE),1,0)</f>
        <v>0</v>
      </c>
      <c r="AZ239" s="4">
        <f>IF(O239=VLOOKUP(VALUE(O$1),Questions!$A:$E,5,FALSE),1,0)</f>
        <v>0</v>
      </c>
      <c r="BA239" s="4">
        <f>IF(P239=VLOOKUP(VALUE(P$1),Questions!$A:$E,5,FALSE),1,0)</f>
        <v>0</v>
      </c>
      <c r="BB239" s="4">
        <f>IF(Q239=VLOOKUP(VALUE(Q$1),Questions!$A:$E,5,FALSE),1,0)</f>
        <v>0</v>
      </c>
      <c r="BC239" s="4">
        <f>IF(R239=VLOOKUP(VALUE(R$1),Questions!$A:$E,5,FALSE),1,0)</f>
        <v>0</v>
      </c>
      <c r="BD239" s="4">
        <f>IF(S239=VLOOKUP(VALUE(S$1),Questions!$A:$E,5,FALSE),1,0)</f>
        <v>0</v>
      </c>
      <c r="BE239" s="4">
        <f>IF(T239=VLOOKUP(VALUE(T$1),Questions!$A:$E,5,FALSE),1,0)</f>
        <v>0</v>
      </c>
      <c r="BF239" s="4">
        <f>IF(U239=VLOOKUP(VALUE(U$1),Questions!$A:$E,5,FALSE),1,0)</f>
        <v>0</v>
      </c>
      <c r="BG239" s="4">
        <f>IF(V239=VLOOKUP(VALUE(V$1),Questions!$A:$E,5,FALSE),1,0)</f>
        <v>0</v>
      </c>
      <c r="BH239" s="4">
        <f>IF(W239=VLOOKUP(VALUE(W$1),Questions!$A:$E,5,FALSE),1,0)</f>
        <v>1</v>
      </c>
      <c r="BI239" s="4">
        <f>IF(X239=VLOOKUP(VALUE(X$1),Questions!$A:$E,5,FALSE),1,0)</f>
        <v>0</v>
      </c>
      <c r="BJ239" s="4">
        <f>IF(Y239=VLOOKUP(VALUE(Y$1),Questions!$A:$E,5,FALSE),1,0)</f>
        <v>0</v>
      </c>
      <c r="BK239" s="4">
        <f>IF(Z239=VLOOKUP(VALUE(Z$1),Questions!$A:$E,5,FALSE),1,0)</f>
        <v>0</v>
      </c>
      <c r="BL239" s="4">
        <f>IF(AA239=VLOOKUP(VALUE(AA$1),Questions!$A:$E,5,FALSE),1,0)</f>
        <v>0</v>
      </c>
      <c r="BM239" s="4">
        <f>IF(AB239=VLOOKUP(VALUE(AB$1),Questions!$A:$E,5,FALSE),1,0)</f>
        <v>1</v>
      </c>
      <c r="BN239" s="4">
        <f>IF(AC239=VLOOKUP(VALUE(AC$1),Questions!$A:$E,5,FALSE),1,0)</f>
        <v>1</v>
      </c>
      <c r="BO239" s="4">
        <f>IF(AD239=VLOOKUP(VALUE(AD$1),Questions!$A:$E,5,FALSE),1,0)</f>
        <v>0</v>
      </c>
      <c r="BP239" s="4">
        <f>IF(AE239=VLOOKUP(VALUE(AE$1),Questions!$A:$E,5,FALSE),1,0)</f>
        <v>0</v>
      </c>
      <c r="BQ239" s="4">
        <f>IF(AF239=VLOOKUP(VALUE(AF$1),Questions!$A:$E,5,FALSE),1,0)</f>
        <v>1</v>
      </c>
      <c r="BR239" s="4">
        <f>IF(AG239=VLOOKUP(VALUE(AG$1),Questions!$A:$E,5,FALSE),1,0)</f>
        <v>1</v>
      </c>
      <c r="BS239" s="4">
        <f>IF(AH239=VLOOKUP(VALUE(AH$1),Questions!$A:$E,5,FALSE),1,0)</f>
        <v>0</v>
      </c>
      <c r="BT239" s="4">
        <f>IF(AI239=VLOOKUP(VALUE(AI$1),Questions!$A:$E,5,FALSE),1,0)</f>
        <v>1</v>
      </c>
      <c r="BU239" s="4">
        <f>IF(AJ239=VLOOKUP(VALUE(AJ$1),Questions!$A:$E,5,FALSE),1,0)</f>
        <v>1</v>
      </c>
      <c r="BV239" s="4">
        <f>IF(AK239=VLOOKUP(VALUE(AK$1),Questions!$A:$E,5,FALSE),1,0)</f>
        <v>1</v>
      </c>
      <c r="BW239" s="87">
        <f>IF(AL239=VLOOKUP(VALUE(AL$1),Questions!$A:$E,5,FALSE),1,0)</f>
        <v>1</v>
      </c>
      <c r="BX239" s="4">
        <f>IF(Scores[[#This Row],[Final]]&gt;=65,1,0)</f>
        <v>0</v>
      </c>
      <c r="BY239" s="4">
        <f>IF(Scores[[#This Row],[Final]]&gt;=IF(Scores[[#This Row],[IEP]],55,65),1,0)</f>
        <v>0</v>
      </c>
    </row>
    <row r="240" spans="1:77" x14ac:dyDescent="0.2">
      <c r="A240" s="6">
        <v>239</v>
      </c>
      <c r="B240" s="4">
        <v>11</v>
      </c>
      <c r="C240" s="4" t="s">
        <v>962</v>
      </c>
      <c r="D240" s="105" t="b">
        <v>0</v>
      </c>
      <c r="E240" s="105" t="b">
        <v>0</v>
      </c>
      <c r="F240" s="86">
        <f>SUM(Scores[[#This Row],[Q1]:[Q28]])</f>
        <v>13</v>
      </c>
      <c r="G240" s="4">
        <f>SUM(Scores[[#This Row],[29]]:Scores[[#This Row],[30]])</f>
        <v>2</v>
      </c>
      <c r="H240" s="4">
        <f>SUM(Scores[[#This Row],[31]:[36]])</f>
        <v>2</v>
      </c>
      <c r="I240" s="4">
        <f>Scores[[#This Row],[37]]</f>
        <v>0</v>
      </c>
      <c r="J240" s="87">
        <f>INDEX('Conversion Chart'!$C$3:$M$47,MATCH(SUM(Scores[[#This Row],[MC]:[IIIA]]),'Conversion Chart'!$B$3:$B$47),MATCH(Scores[[#This Row],[IIIB]],'Conversion Chart'!$C$2:$M$2))</f>
        <v>46</v>
      </c>
      <c r="K240" s="103">
        <v>4</v>
      </c>
      <c r="L240" s="103">
        <v>1</v>
      </c>
      <c r="M240" s="103">
        <v>2</v>
      </c>
      <c r="N240" s="103">
        <v>3</v>
      </c>
      <c r="O240" s="103">
        <v>1</v>
      </c>
      <c r="P240" s="103">
        <v>3</v>
      </c>
      <c r="Q240" s="103">
        <v>2</v>
      </c>
      <c r="R240" s="103">
        <v>2</v>
      </c>
      <c r="S240" s="103">
        <v>2</v>
      </c>
      <c r="T240" s="103">
        <v>1</v>
      </c>
      <c r="U240" s="103">
        <v>2</v>
      </c>
      <c r="V240" s="103">
        <v>4</v>
      </c>
      <c r="W240" s="103">
        <v>1</v>
      </c>
      <c r="X240" s="103">
        <v>4</v>
      </c>
      <c r="Y240" s="103">
        <v>1</v>
      </c>
      <c r="Z240" s="103">
        <v>2</v>
      </c>
      <c r="AA240" s="103">
        <v>1</v>
      </c>
      <c r="AB240" s="103">
        <v>3</v>
      </c>
      <c r="AC240" s="103">
        <v>4</v>
      </c>
      <c r="AD240" s="103">
        <v>2</v>
      </c>
      <c r="AE240" s="103">
        <v>4</v>
      </c>
      <c r="AF240" s="103">
        <v>1</v>
      </c>
      <c r="AG240" s="103">
        <v>3</v>
      </c>
      <c r="AH240" s="103">
        <v>4</v>
      </c>
      <c r="AI240" s="103">
        <v>3</v>
      </c>
      <c r="AJ240" s="103">
        <v>2</v>
      </c>
      <c r="AK240" s="103">
        <v>1</v>
      </c>
      <c r="AL240" s="104">
        <v>3</v>
      </c>
      <c r="AM240" s="4">
        <v>2</v>
      </c>
      <c r="AN240" s="87">
        <v>0</v>
      </c>
      <c r="AO240" s="4">
        <v>0</v>
      </c>
      <c r="AP240" s="4">
        <v>1</v>
      </c>
      <c r="AQ240" s="4">
        <v>1</v>
      </c>
      <c r="AR240" s="4">
        <v>0</v>
      </c>
      <c r="AS240" s="4">
        <v>0</v>
      </c>
      <c r="AT240" s="4">
        <v>0</v>
      </c>
      <c r="AU240" s="107">
        <v>0</v>
      </c>
      <c r="AV240" s="4">
        <f>IF(K240=VLOOKUP(VALUE(K$1),Questions!$A:$E,5,FALSE),1,0)</f>
        <v>1</v>
      </c>
      <c r="AW240" s="4">
        <f>IF(L240=VLOOKUP(VALUE(L$1),Questions!$A:$E,5,FALSE),1,0)</f>
        <v>0</v>
      </c>
      <c r="AX240" s="4">
        <f>IF(M240=VLOOKUP(VALUE(M$1),Questions!$A:$E,5,FALSE),1,0)</f>
        <v>0</v>
      </c>
      <c r="AY240" s="4">
        <f>IF(N240=VLOOKUP(VALUE(N$1),Questions!$A:$E,5,FALSE),1,0)</f>
        <v>1</v>
      </c>
      <c r="AZ240" s="4">
        <f>IF(O240=VLOOKUP(VALUE(O$1),Questions!$A:$E,5,FALSE),1,0)</f>
        <v>1</v>
      </c>
      <c r="BA240" s="4">
        <f>IF(P240=VLOOKUP(VALUE(P$1),Questions!$A:$E,5,FALSE),1,0)</f>
        <v>0</v>
      </c>
      <c r="BB240" s="4">
        <f>IF(Q240=VLOOKUP(VALUE(Q$1),Questions!$A:$E,5,FALSE),1,0)</f>
        <v>0</v>
      </c>
      <c r="BC240" s="4">
        <f>IF(R240=VLOOKUP(VALUE(R$1),Questions!$A:$E,5,FALSE),1,0)</f>
        <v>1</v>
      </c>
      <c r="BD240" s="4">
        <f>IF(S240=VLOOKUP(VALUE(S$1),Questions!$A:$E,5,FALSE),1,0)</f>
        <v>1</v>
      </c>
      <c r="BE240" s="4">
        <f>IF(T240=VLOOKUP(VALUE(T$1),Questions!$A:$E,5,FALSE),1,0)</f>
        <v>1</v>
      </c>
      <c r="BF240" s="4">
        <f>IF(U240=VLOOKUP(VALUE(U$1),Questions!$A:$E,5,FALSE),1,0)</f>
        <v>1</v>
      </c>
      <c r="BG240" s="4">
        <f>IF(V240=VLOOKUP(VALUE(V$1),Questions!$A:$E,5,FALSE),1,0)</f>
        <v>1</v>
      </c>
      <c r="BH240" s="4">
        <f>IF(W240=VLOOKUP(VALUE(W$1),Questions!$A:$E,5,FALSE),1,0)</f>
        <v>0</v>
      </c>
      <c r="BI240" s="4">
        <f>IF(X240=VLOOKUP(VALUE(X$1),Questions!$A:$E,5,FALSE),1,0)</f>
        <v>1</v>
      </c>
      <c r="BJ240" s="4">
        <f>IF(Y240=VLOOKUP(VALUE(Y$1),Questions!$A:$E,5,FALSE),1,0)</f>
        <v>0</v>
      </c>
      <c r="BK240" s="4">
        <f>IF(Z240=VLOOKUP(VALUE(Z$1),Questions!$A:$E,5,FALSE),1,0)</f>
        <v>0</v>
      </c>
      <c r="BL240" s="4">
        <f>IF(AA240=VLOOKUP(VALUE(AA$1),Questions!$A:$E,5,FALSE),1,0)</f>
        <v>1</v>
      </c>
      <c r="BM240" s="4">
        <f>IF(AB240=VLOOKUP(VALUE(AB$1),Questions!$A:$E,5,FALSE),1,0)</f>
        <v>0</v>
      </c>
      <c r="BN240" s="4">
        <f>IF(AC240=VLOOKUP(VALUE(AC$1),Questions!$A:$E,5,FALSE),1,0)</f>
        <v>0</v>
      </c>
      <c r="BO240" s="4">
        <f>IF(AD240=VLOOKUP(VALUE(AD$1),Questions!$A:$E,5,FALSE),1,0)</f>
        <v>0</v>
      </c>
      <c r="BP240" s="4">
        <f>IF(AE240=VLOOKUP(VALUE(AE$1),Questions!$A:$E,5,FALSE),1,0)</f>
        <v>0</v>
      </c>
      <c r="BQ240" s="4">
        <f>IF(AF240=VLOOKUP(VALUE(AF$1),Questions!$A:$E,5,FALSE),1,0)</f>
        <v>0</v>
      </c>
      <c r="BR240" s="4">
        <f>IF(AG240=VLOOKUP(VALUE(AG$1),Questions!$A:$E,5,FALSE),1,0)</f>
        <v>1</v>
      </c>
      <c r="BS240" s="4">
        <f>IF(AH240=VLOOKUP(VALUE(AH$1),Questions!$A:$E,5,FALSE),1,0)</f>
        <v>0</v>
      </c>
      <c r="BT240" s="4">
        <f>IF(AI240=VLOOKUP(VALUE(AI$1),Questions!$A:$E,5,FALSE),1,0)</f>
        <v>0</v>
      </c>
      <c r="BU240" s="4">
        <f>IF(AJ240=VLOOKUP(VALUE(AJ$1),Questions!$A:$E,5,FALSE),1,0)</f>
        <v>0</v>
      </c>
      <c r="BV240" s="4">
        <f>IF(AK240=VLOOKUP(VALUE(AK$1),Questions!$A:$E,5,FALSE),1,0)</f>
        <v>1</v>
      </c>
      <c r="BW240" s="87">
        <f>IF(AL240=VLOOKUP(VALUE(AL$1),Questions!$A:$E,5,FALSE),1,0)</f>
        <v>1</v>
      </c>
      <c r="BX240" s="4">
        <f>IF(Scores[[#This Row],[Final]]&gt;=65,1,0)</f>
        <v>0</v>
      </c>
      <c r="BY240" s="4">
        <f>IF(Scores[[#This Row],[Final]]&gt;=IF(Scores[[#This Row],[IEP]],55,65),1,0)</f>
        <v>0</v>
      </c>
    </row>
    <row r="241" spans="1:77" x14ac:dyDescent="0.2">
      <c r="A241" s="6">
        <v>240</v>
      </c>
      <c r="B241" s="4">
        <v>9</v>
      </c>
      <c r="C241" s="4" t="s">
        <v>964</v>
      </c>
      <c r="D241" s="105" t="b">
        <v>0</v>
      </c>
      <c r="E241" s="105" t="b">
        <v>0</v>
      </c>
      <c r="F241" s="86">
        <f>SUM(Scores[[#This Row],[Q1]:[Q28]])</f>
        <v>0</v>
      </c>
      <c r="G241" s="4">
        <f>SUM(Scores[[#This Row],[29]]:Scores[[#This Row],[30]])</f>
        <v>0</v>
      </c>
      <c r="H241" s="4">
        <f>SUM(Scores[[#This Row],[31]:[36]])</f>
        <v>0</v>
      </c>
      <c r="I241" s="4">
        <f>Scores[[#This Row],[37]]</f>
        <v>0</v>
      </c>
      <c r="J241" s="87">
        <f>INDEX('Conversion Chart'!$C$3:$M$47,MATCH(SUM(Scores[[#This Row],[MC]:[IIIA]]),'Conversion Chart'!$B$3:$B$47),MATCH(Scores[[#This Row],[IIIB]],'Conversion Chart'!$C$2:$M$2))</f>
        <v>0</v>
      </c>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4"/>
      <c r="AN241" s="87"/>
      <c r="AU241" s="107"/>
      <c r="AV241" s="4">
        <f>IF(K241=VLOOKUP(VALUE(K$1),Questions!$A:$E,5,FALSE),1,0)</f>
        <v>0</v>
      </c>
      <c r="AW241" s="4">
        <f>IF(L241=VLOOKUP(VALUE(L$1),Questions!$A:$E,5,FALSE),1,0)</f>
        <v>0</v>
      </c>
      <c r="AX241" s="4">
        <f>IF(M241=VLOOKUP(VALUE(M$1),Questions!$A:$E,5,FALSE),1,0)</f>
        <v>0</v>
      </c>
      <c r="AY241" s="4">
        <f>IF(N241=VLOOKUP(VALUE(N$1),Questions!$A:$E,5,FALSE),1,0)</f>
        <v>0</v>
      </c>
      <c r="AZ241" s="4">
        <f>IF(O241=VLOOKUP(VALUE(O$1),Questions!$A:$E,5,FALSE),1,0)</f>
        <v>0</v>
      </c>
      <c r="BA241" s="4">
        <f>IF(P241=VLOOKUP(VALUE(P$1),Questions!$A:$E,5,FALSE),1,0)</f>
        <v>0</v>
      </c>
      <c r="BB241" s="4">
        <f>IF(Q241=VLOOKUP(VALUE(Q$1),Questions!$A:$E,5,FALSE),1,0)</f>
        <v>0</v>
      </c>
      <c r="BC241" s="4">
        <f>IF(R241=VLOOKUP(VALUE(R$1),Questions!$A:$E,5,FALSE),1,0)</f>
        <v>0</v>
      </c>
      <c r="BD241" s="4">
        <f>IF(S241=VLOOKUP(VALUE(S$1),Questions!$A:$E,5,FALSE),1,0)</f>
        <v>0</v>
      </c>
      <c r="BE241" s="4">
        <f>IF(T241=VLOOKUP(VALUE(T$1),Questions!$A:$E,5,FALSE),1,0)</f>
        <v>0</v>
      </c>
      <c r="BF241" s="4">
        <f>IF(U241=VLOOKUP(VALUE(U$1),Questions!$A:$E,5,FALSE),1,0)</f>
        <v>0</v>
      </c>
      <c r="BG241" s="4">
        <f>IF(V241=VLOOKUP(VALUE(V$1),Questions!$A:$E,5,FALSE),1,0)</f>
        <v>0</v>
      </c>
      <c r="BH241" s="4">
        <f>IF(W241=VLOOKUP(VALUE(W$1),Questions!$A:$E,5,FALSE),1,0)</f>
        <v>0</v>
      </c>
      <c r="BI241" s="4">
        <f>IF(X241=VLOOKUP(VALUE(X$1),Questions!$A:$E,5,FALSE),1,0)</f>
        <v>0</v>
      </c>
      <c r="BJ241" s="4">
        <f>IF(Y241=VLOOKUP(VALUE(Y$1),Questions!$A:$E,5,FALSE),1,0)</f>
        <v>0</v>
      </c>
      <c r="BK241" s="4">
        <f>IF(Z241=VLOOKUP(VALUE(Z$1),Questions!$A:$E,5,FALSE),1,0)</f>
        <v>0</v>
      </c>
      <c r="BL241" s="4">
        <f>IF(AA241=VLOOKUP(VALUE(AA$1),Questions!$A:$E,5,FALSE),1,0)</f>
        <v>0</v>
      </c>
      <c r="BM241" s="4">
        <f>IF(AB241=VLOOKUP(VALUE(AB$1),Questions!$A:$E,5,FALSE),1,0)</f>
        <v>0</v>
      </c>
      <c r="BN241" s="4">
        <f>IF(AC241=VLOOKUP(VALUE(AC$1),Questions!$A:$E,5,FALSE),1,0)</f>
        <v>0</v>
      </c>
      <c r="BO241" s="4">
        <f>IF(AD241=VLOOKUP(VALUE(AD$1),Questions!$A:$E,5,FALSE),1,0)</f>
        <v>0</v>
      </c>
      <c r="BP241" s="4">
        <f>IF(AE241=VLOOKUP(VALUE(AE$1),Questions!$A:$E,5,FALSE),1,0)</f>
        <v>0</v>
      </c>
      <c r="BQ241" s="4">
        <f>IF(AF241=VLOOKUP(VALUE(AF$1),Questions!$A:$E,5,FALSE),1,0)</f>
        <v>0</v>
      </c>
      <c r="BR241" s="4">
        <f>IF(AG241=VLOOKUP(VALUE(AG$1),Questions!$A:$E,5,FALSE),1,0)</f>
        <v>0</v>
      </c>
      <c r="BS241" s="4">
        <f>IF(AH241=VLOOKUP(VALUE(AH$1),Questions!$A:$E,5,FALSE),1,0)</f>
        <v>0</v>
      </c>
      <c r="BT241" s="4">
        <f>IF(AI241=VLOOKUP(VALUE(AI$1),Questions!$A:$E,5,FALSE),1,0)</f>
        <v>0</v>
      </c>
      <c r="BU241" s="4">
        <f>IF(AJ241=VLOOKUP(VALUE(AJ$1),Questions!$A:$E,5,FALSE),1,0)</f>
        <v>0</v>
      </c>
      <c r="BV241" s="4">
        <f>IF(AK241=VLOOKUP(VALUE(AK$1),Questions!$A:$E,5,FALSE),1,0)</f>
        <v>0</v>
      </c>
      <c r="BW241" s="87">
        <f>IF(AL241=VLOOKUP(VALUE(AL$1),Questions!$A:$E,5,FALSE),1,0)</f>
        <v>0</v>
      </c>
      <c r="BX241" s="4">
        <f>IF(Scores[[#This Row],[Final]]&gt;=65,1,0)</f>
        <v>0</v>
      </c>
      <c r="BY241" s="4">
        <f>IF(Scores[[#This Row],[Final]]&gt;=IF(Scores[[#This Row],[IEP]],55,65),1,0)</f>
        <v>0</v>
      </c>
    </row>
    <row r="242" spans="1:77" x14ac:dyDescent="0.2">
      <c r="A242" s="6">
        <v>241</v>
      </c>
      <c r="B242" s="4">
        <v>11</v>
      </c>
      <c r="C242" s="4" t="s">
        <v>962</v>
      </c>
      <c r="D242" s="105" t="b">
        <v>0</v>
      </c>
      <c r="E242" s="105" t="b">
        <v>0</v>
      </c>
      <c r="F242" s="86">
        <f>SUM(Scores[[#This Row],[Q1]:[Q28]])</f>
        <v>22</v>
      </c>
      <c r="G242" s="4">
        <f>SUM(Scores[[#This Row],[29]]:Scores[[#This Row],[30]])</f>
        <v>1</v>
      </c>
      <c r="H242" s="4">
        <f>SUM(Scores[[#This Row],[31]:[36]])</f>
        <v>6</v>
      </c>
      <c r="I242" s="4">
        <f>Scores[[#This Row],[37]]</f>
        <v>1.5</v>
      </c>
      <c r="J242" s="87">
        <f>INDEX('Conversion Chart'!$C$3:$M$47,MATCH(SUM(Scores[[#This Row],[MC]:[IIIA]]),'Conversion Chart'!$B$3:$B$47),MATCH(Scores[[#This Row],[IIIB]],'Conversion Chart'!$C$2:$M$2))</f>
        <v>71</v>
      </c>
      <c r="K242" s="103">
        <v>4</v>
      </c>
      <c r="L242" s="103">
        <v>2</v>
      </c>
      <c r="M242" s="103">
        <v>3</v>
      </c>
      <c r="N242" s="103">
        <v>3</v>
      </c>
      <c r="O242" s="103">
        <v>1</v>
      </c>
      <c r="P242" s="103">
        <v>4</v>
      </c>
      <c r="Q242" s="103">
        <v>3</v>
      </c>
      <c r="R242" s="103">
        <v>2</v>
      </c>
      <c r="S242" s="103">
        <v>2</v>
      </c>
      <c r="T242" s="103">
        <v>1</v>
      </c>
      <c r="U242" s="103">
        <v>2</v>
      </c>
      <c r="V242" s="103">
        <v>3</v>
      </c>
      <c r="W242" s="103">
        <v>1</v>
      </c>
      <c r="X242" s="103">
        <v>4</v>
      </c>
      <c r="Y242" s="103">
        <v>3</v>
      </c>
      <c r="Z242" s="103">
        <v>1</v>
      </c>
      <c r="AA242" s="103">
        <v>1</v>
      </c>
      <c r="AB242" s="103">
        <v>4</v>
      </c>
      <c r="AC242" s="103">
        <v>3</v>
      </c>
      <c r="AD242" s="103">
        <v>2</v>
      </c>
      <c r="AE242" s="103">
        <v>4</v>
      </c>
      <c r="AF242" s="103">
        <v>1</v>
      </c>
      <c r="AG242" s="103">
        <v>3</v>
      </c>
      <c r="AH242" s="103">
        <v>3</v>
      </c>
      <c r="AI242" s="103">
        <v>4</v>
      </c>
      <c r="AJ242" s="103">
        <v>4</v>
      </c>
      <c r="AK242" s="103">
        <v>1</v>
      </c>
      <c r="AL242" s="104">
        <v>3</v>
      </c>
      <c r="AM242" s="4">
        <v>1</v>
      </c>
      <c r="AN242" s="87">
        <v>0</v>
      </c>
      <c r="AO242" s="4">
        <v>1</v>
      </c>
      <c r="AP242" s="4">
        <v>1</v>
      </c>
      <c r="AQ242" s="4">
        <v>1</v>
      </c>
      <c r="AR242" s="4">
        <v>1</v>
      </c>
      <c r="AS242" s="4">
        <v>1</v>
      </c>
      <c r="AT242" s="4">
        <v>1</v>
      </c>
      <c r="AU242" s="107">
        <v>1.5</v>
      </c>
      <c r="AV242" s="4">
        <f>IF(K242=VLOOKUP(VALUE(K$1),Questions!$A:$E,5,FALSE),1,0)</f>
        <v>1</v>
      </c>
      <c r="AW242" s="4">
        <f>IF(L242=VLOOKUP(VALUE(L$1),Questions!$A:$E,5,FALSE),1,0)</f>
        <v>1</v>
      </c>
      <c r="AX242" s="4">
        <f>IF(M242=VLOOKUP(VALUE(M$1),Questions!$A:$E,5,FALSE),1,0)</f>
        <v>1</v>
      </c>
      <c r="AY242" s="4">
        <f>IF(N242=VLOOKUP(VALUE(N$1),Questions!$A:$E,5,FALSE),1,0)</f>
        <v>1</v>
      </c>
      <c r="AZ242" s="4">
        <f>IF(O242=VLOOKUP(VALUE(O$1),Questions!$A:$E,5,FALSE),1,0)</f>
        <v>1</v>
      </c>
      <c r="BA242" s="4">
        <f>IF(P242=VLOOKUP(VALUE(P$1),Questions!$A:$E,5,FALSE),1,0)</f>
        <v>1</v>
      </c>
      <c r="BB242" s="4">
        <f>IF(Q242=VLOOKUP(VALUE(Q$1),Questions!$A:$E,5,FALSE),1,0)</f>
        <v>1</v>
      </c>
      <c r="BC242" s="4">
        <f>IF(R242=VLOOKUP(VALUE(R$1),Questions!$A:$E,5,FALSE),1,0)</f>
        <v>1</v>
      </c>
      <c r="BD242" s="4">
        <f>IF(S242=VLOOKUP(VALUE(S$1),Questions!$A:$E,5,FALSE),1,0)</f>
        <v>1</v>
      </c>
      <c r="BE242" s="4">
        <f>IF(T242=VLOOKUP(VALUE(T$1),Questions!$A:$E,5,FALSE),1,0)</f>
        <v>1</v>
      </c>
      <c r="BF242" s="4">
        <f>IF(U242=VLOOKUP(VALUE(U$1),Questions!$A:$E,5,FALSE),1,0)</f>
        <v>1</v>
      </c>
      <c r="BG242" s="4">
        <f>IF(V242=VLOOKUP(VALUE(V$1),Questions!$A:$E,5,FALSE),1,0)</f>
        <v>0</v>
      </c>
      <c r="BH242" s="4">
        <f>IF(W242=VLOOKUP(VALUE(W$1),Questions!$A:$E,5,FALSE),1,0)</f>
        <v>0</v>
      </c>
      <c r="BI242" s="4">
        <f>IF(X242=VLOOKUP(VALUE(X$1),Questions!$A:$E,5,FALSE),1,0)</f>
        <v>1</v>
      </c>
      <c r="BJ242" s="4">
        <f>IF(Y242=VLOOKUP(VALUE(Y$1),Questions!$A:$E,5,FALSE),1,0)</f>
        <v>1</v>
      </c>
      <c r="BK242" s="4">
        <f>IF(Z242=VLOOKUP(VALUE(Z$1),Questions!$A:$E,5,FALSE),1,0)</f>
        <v>1</v>
      </c>
      <c r="BL242" s="4">
        <f>IF(AA242=VLOOKUP(VALUE(AA$1),Questions!$A:$E,5,FALSE),1,0)</f>
        <v>1</v>
      </c>
      <c r="BM242" s="4">
        <f>IF(AB242=VLOOKUP(VALUE(AB$1),Questions!$A:$E,5,FALSE),1,0)</f>
        <v>1</v>
      </c>
      <c r="BN242" s="4">
        <f>IF(AC242=VLOOKUP(VALUE(AC$1),Questions!$A:$E,5,FALSE),1,0)</f>
        <v>1</v>
      </c>
      <c r="BO242" s="4">
        <f>IF(AD242=VLOOKUP(VALUE(AD$1),Questions!$A:$E,5,FALSE),1,0)</f>
        <v>0</v>
      </c>
      <c r="BP242" s="4">
        <f>IF(AE242=VLOOKUP(VALUE(AE$1),Questions!$A:$E,5,FALSE),1,0)</f>
        <v>0</v>
      </c>
      <c r="BQ242" s="4">
        <f>IF(AF242=VLOOKUP(VALUE(AF$1),Questions!$A:$E,5,FALSE),1,0)</f>
        <v>0</v>
      </c>
      <c r="BR242" s="4">
        <f>IF(AG242=VLOOKUP(VALUE(AG$1),Questions!$A:$E,5,FALSE),1,0)</f>
        <v>1</v>
      </c>
      <c r="BS242" s="4">
        <f>IF(AH242=VLOOKUP(VALUE(AH$1),Questions!$A:$E,5,FALSE),1,0)</f>
        <v>1</v>
      </c>
      <c r="BT242" s="4">
        <f>IF(AI242=VLOOKUP(VALUE(AI$1),Questions!$A:$E,5,FALSE),1,0)</f>
        <v>0</v>
      </c>
      <c r="BU242" s="4">
        <f>IF(AJ242=VLOOKUP(VALUE(AJ$1),Questions!$A:$E,5,FALSE),1,0)</f>
        <v>1</v>
      </c>
      <c r="BV242" s="4">
        <f>IF(AK242=VLOOKUP(VALUE(AK$1),Questions!$A:$E,5,FALSE),1,0)</f>
        <v>1</v>
      </c>
      <c r="BW242" s="87">
        <f>IF(AL242=VLOOKUP(VALUE(AL$1),Questions!$A:$E,5,FALSE),1,0)</f>
        <v>1</v>
      </c>
      <c r="BX242" s="4">
        <f>IF(Scores[[#This Row],[Final]]&gt;=65,1,0)</f>
        <v>1</v>
      </c>
      <c r="BY242" s="4">
        <f>IF(Scores[[#This Row],[Final]]&gt;=IF(Scores[[#This Row],[IEP]],55,65),1,0)</f>
        <v>1</v>
      </c>
    </row>
    <row r="243" spans="1:77" x14ac:dyDescent="0.2">
      <c r="A243" s="6">
        <v>242</v>
      </c>
      <c r="B243" s="4">
        <v>11</v>
      </c>
      <c r="C243" s="4" t="s">
        <v>962</v>
      </c>
      <c r="D243" s="105" t="b">
        <v>0</v>
      </c>
      <c r="E243" s="105" t="b">
        <v>0</v>
      </c>
      <c r="F243" s="86">
        <f>SUM(Scores[[#This Row],[Q1]:[Q28]])</f>
        <v>15</v>
      </c>
      <c r="G243" s="4">
        <f>SUM(Scores[[#This Row],[29]]:Scores[[#This Row],[30]])</f>
        <v>3</v>
      </c>
      <c r="H243" s="4">
        <f>SUM(Scores[[#This Row],[31]:[36]])</f>
        <v>5</v>
      </c>
      <c r="I243" s="4">
        <f>Scores[[#This Row],[37]]</f>
        <v>2</v>
      </c>
      <c r="J243" s="87">
        <f>INDEX('Conversion Chart'!$C$3:$M$47,MATCH(SUM(Scores[[#This Row],[MC]:[IIIA]]),'Conversion Chart'!$B$3:$B$47),MATCH(Scores[[#This Row],[IIIB]],'Conversion Chart'!$C$2:$M$2))</f>
        <v>66</v>
      </c>
      <c r="K243" s="103">
        <v>4</v>
      </c>
      <c r="L243" s="103">
        <v>1</v>
      </c>
      <c r="M243" s="103">
        <v>1</v>
      </c>
      <c r="N243" s="103">
        <v>1</v>
      </c>
      <c r="O243" s="103">
        <v>1</v>
      </c>
      <c r="P243" s="103">
        <v>2</v>
      </c>
      <c r="Q243" s="103">
        <v>4</v>
      </c>
      <c r="R243" s="103">
        <v>3</v>
      </c>
      <c r="S243" s="103">
        <v>2</v>
      </c>
      <c r="T243" s="103">
        <v>1</v>
      </c>
      <c r="U243" s="103">
        <v>2</v>
      </c>
      <c r="V243" s="103">
        <v>4</v>
      </c>
      <c r="W243" s="103">
        <v>3</v>
      </c>
      <c r="X243" s="103">
        <v>4</v>
      </c>
      <c r="Y243" s="103">
        <v>3</v>
      </c>
      <c r="Z243" s="103">
        <v>4</v>
      </c>
      <c r="AA243" s="103">
        <v>1</v>
      </c>
      <c r="AB243" s="103">
        <v>4</v>
      </c>
      <c r="AC243" s="103">
        <v>3</v>
      </c>
      <c r="AD243" s="103">
        <v>1</v>
      </c>
      <c r="AE243" s="103">
        <v>3</v>
      </c>
      <c r="AF243" s="103">
        <v>2</v>
      </c>
      <c r="AG243" s="103">
        <v>3</v>
      </c>
      <c r="AH243" s="103">
        <v>3</v>
      </c>
      <c r="AI243" s="103">
        <v>3</v>
      </c>
      <c r="AJ243" s="103">
        <v>4</v>
      </c>
      <c r="AK243" s="103">
        <v>4</v>
      </c>
      <c r="AL243" s="104">
        <v>2</v>
      </c>
      <c r="AM243" s="4">
        <v>3</v>
      </c>
      <c r="AN243" s="87">
        <v>0</v>
      </c>
      <c r="AO243" s="4">
        <v>1</v>
      </c>
      <c r="AP243" s="4">
        <v>1</v>
      </c>
      <c r="AQ243" s="4">
        <v>1</v>
      </c>
      <c r="AR243" s="4">
        <v>0</v>
      </c>
      <c r="AS243" s="4">
        <v>1</v>
      </c>
      <c r="AT243" s="4">
        <v>1</v>
      </c>
      <c r="AU243" s="107">
        <v>2</v>
      </c>
      <c r="AV243" s="4">
        <f>IF(K243=VLOOKUP(VALUE(K$1),Questions!$A:$E,5,FALSE),1,0)</f>
        <v>1</v>
      </c>
      <c r="AW243" s="4">
        <f>IF(L243=VLOOKUP(VALUE(L$1),Questions!$A:$E,5,FALSE),1,0)</f>
        <v>0</v>
      </c>
      <c r="AX243" s="4">
        <f>IF(M243=VLOOKUP(VALUE(M$1),Questions!$A:$E,5,FALSE),1,0)</f>
        <v>0</v>
      </c>
      <c r="AY243" s="4">
        <f>IF(N243=VLOOKUP(VALUE(N$1),Questions!$A:$E,5,FALSE),1,0)</f>
        <v>0</v>
      </c>
      <c r="AZ243" s="4">
        <f>IF(O243=VLOOKUP(VALUE(O$1),Questions!$A:$E,5,FALSE),1,0)</f>
        <v>1</v>
      </c>
      <c r="BA243" s="4">
        <f>IF(P243=VLOOKUP(VALUE(P$1),Questions!$A:$E,5,FALSE),1,0)</f>
        <v>0</v>
      </c>
      <c r="BB243" s="4">
        <f>IF(Q243=VLOOKUP(VALUE(Q$1),Questions!$A:$E,5,FALSE),1,0)</f>
        <v>0</v>
      </c>
      <c r="BC243" s="4">
        <f>IF(R243=VLOOKUP(VALUE(R$1),Questions!$A:$E,5,FALSE),1,0)</f>
        <v>0</v>
      </c>
      <c r="BD243" s="4">
        <f>IF(S243=VLOOKUP(VALUE(S$1),Questions!$A:$E,5,FALSE),1,0)</f>
        <v>1</v>
      </c>
      <c r="BE243" s="4">
        <f>IF(T243=VLOOKUP(VALUE(T$1),Questions!$A:$E,5,FALSE),1,0)</f>
        <v>1</v>
      </c>
      <c r="BF243" s="4">
        <f>IF(U243=VLOOKUP(VALUE(U$1),Questions!$A:$E,5,FALSE),1,0)</f>
        <v>1</v>
      </c>
      <c r="BG243" s="4">
        <f>IF(V243=VLOOKUP(VALUE(V$1),Questions!$A:$E,5,FALSE),1,0)</f>
        <v>1</v>
      </c>
      <c r="BH243" s="4">
        <f>IF(W243=VLOOKUP(VALUE(W$1),Questions!$A:$E,5,FALSE),1,0)</f>
        <v>0</v>
      </c>
      <c r="BI243" s="4">
        <f>IF(X243=VLOOKUP(VALUE(X$1),Questions!$A:$E,5,FALSE),1,0)</f>
        <v>1</v>
      </c>
      <c r="BJ243" s="4">
        <f>IF(Y243=VLOOKUP(VALUE(Y$1),Questions!$A:$E,5,FALSE),1,0)</f>
        <v>1</v>
      </c>
      <c r="BK243" s="4">
        <f>IF(Z243=VLOOKUP(VALUE(Z$1),Questions!$A:$E,5,FALSE),1,0)</f>
        <v>0</v>
      </c>
      <c r="BL243" s="4">
        <f>IF(AA243=VLOOKUP(VALUE(AA$1),Questions!$A:$E,5,FALSE),1,0)</f>
        <v>1</v>
      </c>
      <c r="BM243" s="4">
        <f>IF(AB243=VLOOKUP(VALUE(AB$1),Questions!$A:$E,5,FALSE),1,0)</f>
        <v>1</v>
      </c>
      <c r="BN243" s="4">
        <f>IF(AC243=VLOOKUP(VALUE(AC$1),Questions!$A:$E,5,FALSE),1,0)</f>
        <v>1</v>
      </c>
      <c r="BO243" s="4">
        <f>IF(AD243=VLOOKUP(VALUE(AD$1),Questions!$A:$E,5,FALSE),1,0)</f>
        <v>0</v>
      </c>
      <c r="BP243" s="4">
        <f>IF(AE243=VLOOKUP(VALUE(AE$1),Questions!$A:$E,5,FALSE),1,0)</f>
        <v>0</v>
      </c>
      <c r="BQ243" s="4">
        <f>IF(AF243=VLOOKUP(VALUE(AF$1),Questions!$A:$E,5,FALSE),1,0)</f>
        <v>1</v>
      </c>
      <c r="BR243" s="4">
        <f>IF(AG243=VLOOKUP(VALUE(AG$1),Questions!$A:$E,5,FALSE),1,0)</f>
        <v>1</v>
      </c>
      <c r="BS243" s="4">
        <f>IF(AH243=VLOOKUP(VALUE(AH$1),Questions!$A:$E,5,FALSE),1,0)</f>
        <v>1</v>
      </c>
      <c r="BT243" s="4">
        <f>IF(AI243=VLOOKUP(VALUE(AI$1),Questions!$A:$E,5,FALSE),1,0)</f>
        <v>0</v>
      </c>
      <c r="BU243" s="4">
        <f>IF(AJ243=VLOOKUP(VALUE(AJ$1),Questions!$A:$E,5,FALSE),1,0)</f>
        <v>1</v>
      </c>
      <c r="BV243" s="4">
        <f>IF(AK243=VLOOKUP(VALUE(AK$1),Questions!$A:$E,5,FALSE),1,0)</f>
        <v>0</v>
      </c>
      <c r="BW243" s="87">
        <f>IF(AL243=VLOOKUP(VALUE(AL$1),Questions!$A:$E,5,FALSE),1,0)</f>
        <v>0</v>
      </c>
      <c r="BX243" s="4">
        <f>IF(Scores[[#This Row],[Final]]&gt;=65,1,0)</f>
        <v>1</v>
      </c>
      <c r="BY243" s="4">
        <f>IF(Scores[[#This Row],[Final]]&gt;=IF(Scores[[#This Row],[IEP]],55,65),1,0)</f>
        <v>1</v>
      </c>
    </row>
    <row r="244" spans="1:77" x14ac:dyDescent="0.2">
      <c r="A244" s="6">
        <v>243</v>
      </c>
      <c r="B244" s="4">
        <v>9</v>
      </c>
      <c r="C244" s="4" t="s">
        <v>964</v>
      </c>
      <c r="D244" s="105" t="b">
        <v>0</v>
      </c>
      <c r="E244" s="105" t="b">
        <v>0</v>
      </c>
      <c r="F244" s="86">
        <f>SUM(Scores[[#This Row],[Q1]:[Q28]])</f>
        <v>20</v>
      </c>
      <c r="G244" s="4">
        <f>SUM(Scores[[#This Row],[29]]:Scores[[#This Row],[30]])</f>
        <v>3</v>
      </c>
      <c r="H244" s="4">
        <f>SUM(Scores[[#This Row],[31]:[36]])</f>
        <v>5</v>
      </c>
      <c r="I244" s="4">
        <f>Scores[[#This Row],[37]]</f>
        <v>0</v>
      </c>
      <c r="J244" s="87">
        <f>INDEX('Conversion Chart'!$C$3:$M$47,MATCH(SUM(Scores[[#This Row],[MC]:[IIIA]]),'Conversion Chart'!$B$3:$B$47),MATCH(Scores[[#This Row],[IIIB]],'Conversion Chart'!$C$2:$M$2))</f>
        <v>64</v>
      </c>
      <c r="K244" s="103">
        <v>4</v>
      </c>
      <c r="L244" s="103">
        <v>1</v>
      </c>
      <c r="M244" s="103">
        <v>3</v>
      </c>
      <c r="N244" s="103">
        <v>3</v>
      </c>
      <c r="O244" s="103">
        <v>1</v>
      </c>
      <c r="P244" s="103">
        <v>3</v>
      </c>
      <c r="Q244" s="103">
        <v>2</v>
      </c>
      <c r="R244" s="103">
        <v>2</v>
      </c>
      <c r="S244" s="103">
        <v>2</v>
      </c>
      <c r="T244" s="103">
        <v>1</v>
      </c>
      <c r="U244" s="103">
        <v>2</v>
      </c>
      <c r="V244" s="103">
        <v>4</v>
      </c>
      <c r="W244" s="103">
        <v>2</v>
      </c>
      <c r="X244" s="103">
        <v>3</v>
      </c>
      <c r="Y244" s="103">
        <v>3</v>
      </c>
      <c r="Z244" s="103">
        <v>1</v>
      </c>
      <c r="AA244" s="103">
        <v>1</v>
      </c>
      <c r="AB244" s="103">
        <v>4</v>
      </c>
      <c r="AC244" s="103">
        <v>3</v>
      </c>
      <c r="AD244" s="103">
        <v>4</v>
      </c>
      <c r="AE244" s="103">
        <v>4</v>
      </c>
      <c r="AF244" s="103">
        <v>2</v>
      </c>
      <c r="AG244" s="103">
        <v>3</v>
      </c>
      <c r="AH244" s="103">
        <v>2</v>
      </c>
      <c r="AI244" s="103">
        <v>2</v>
      </c>
      <c r="AJ244" s="103">
        <v>4</v>
      </c>
      <c r="AK244" s="103">
        <v>2</v>
      </c>
      <c r="AL244" s="104">
        <v>3</v>
      </c>
      <c r="AM244" s="4">
        <v>2</v>
      </c>
      <c r="AN244" s="87">
        <v>1</v>
      </c>
      <c r="AO244" s="4">
        <v>1</v>
      </c>
      <c r="AP244" s="4">
        <v>1</v>
      </c>
      <c r="AQ244" s="4">
        <v>1</v>
      </c>
      <c r="AR244" s="4">
        <v>1</v>
      </c>
      <c r="AS244" s="4">
        <v>1</v>
      </c>
      <c r="AT244" s="4">
        <v>0</v>
      </c>
      <c r="AU244" s="107">
        <v>0</v>
      </c>
      <c r="AV244" s="4">
        <f>IF(K244=VLOOKUP(VALUE(K$1),Questions!$A:$E,5,FALSE),1,0)</f>
        <v>1</v>
      </c>
      <c r="AW244" s="4">
        <f>IF(L244=VLOOKUP(VALUE(L$1),Questions!$A:$E,5,FALSE),1,0)</f>
        <v>0</v>
      </c>
      <c r="AX244" s="4">
        <f>IF(M244=VLOOKUP(VALUE(M$1),Questions!$A:$E,5,FALSE),1,0)</f>
        <v>1</v>
      </c>
      <c r="AY244" s="4">
        <f>IF(N244=VLOOKUP(VALUE(N$1),Questions!$A:$E,5,FALSE),1,0)</f>
        <v>1</v>
      </c>
      <c r="AZ244" s="4">
        <f>IF(O244=VLOOKUP(VALUE(O$1),Questions!$A:$E,5,FALSE),1,0)</f>
        <v>1</v>
      </c>
      <c r="BA244" s="4">
        <f>IF(P244=VLOOKUP(VALUE(P$1),Questions!$A:$E,5,FALSE),1,0)</f>
        <v>0</v>
      </c>
      <c r="BB244" s="4">
        <f>IF(Q244=VLOOKUP(VALUE(Q$1),Questions!$A:$E,5,FALSE),1,0)</f>
        <v>0</v>
      </c>
      <c r="BC244" s="4">
        <f>IF(R244=VLOOKUP(VALUE(R$1),Questions!$A:$E,5,FALSE),1,0)</f>
        <v>1</v>
      </c>
      <c r="BD244" s="4">
        <f>IF(S244=VLOOKUP(VALUE(S$1),Questions!$A:$E,5,FALSE),1,0)</f>
        <v>1</v>
      </c>
      <c r="BE244" s="4">
        <f>IF(T244=VLOOKUP(VALUE(T$1),Questions!$A:$E,5,FALSE),1,0)</f>
        <v>1</v>
      </c>
      <c r="BF244" s="4">
        <f>IF(U244=VLOOKUP(VALUE(U$1),Questions!$A:$E,5,FALSE),1,0)</f>
        <v>1</v>
      </c>
      <c r="BG244" s="4">
        <f>IF(V244=VLOOKUP(VALUE(V$1),Questions!$A:$E,5,FALSE),1,0)</f>
        <v>1</v>
      </c>
      <c r="BH244" s="4">
        <f>IF(W244=VLOOKUP(VALUE(W$1),Questions!$A:$E,5,FALSE),1,0)</f>
        <v>1</v>
      </c>
      <c r="BI244" s="4">
        <f>IF(X244=VLOOKUP(VALUE(X$1),Questions!$A:$E,5,FALSE),1,0)</f>
        <v>0</v>
      </c>
      <c r="BJ244" s="4">
        <f>IF(Y244=VLOOKUP(VALUE(Y$1),Questions!$A:$E,5,FALSE),1,0)</f>
        <v>1</v>
      </c>
      <c r="BK244" s="4">
        <f>IF(Z244=VLOOKUP(VALUE(Z$1),Questions!$A:$E,5,FALSE),1,0)</f>
        <v>1</v>
      </c>
      <c r="BL244" s="4">
        <f>IF(AA244=VLOOKUP(VALUE(AA$1),Questions!$A:$E,5,FALSE),1,0)</f>
        <v>1</v>
      </c>
      <c r="BM244" s="4">
        <f>IF(AB244=VLOOKUP(VALUE(AB$1),Questions!$A:$E,5,FALSE),1,0)</f>
        <v>1</v>
      </c>
      <c r="BN244" s="4">
        <f>IF(AC244=VLOOKUP(VALUE(AC$1),Questions!$A:$E,5,FALSE),1,0)</f>
        <v>1</v>
      </c>
      <c r="BO244" s="4">
        <f>IF(AD244=VLOOKUP(VALUE(AD$1),Questions!$A:$E,5,FALSE),1,0)</f>
        <v>1</v>
      </c>
      <c r="BP244" s="4">
        <f>IF(AE244=VLOOKUP(VALUE(AE$1),Questions!$A:$E,5,FALSE),1,0)</f>
        <v>0</v>
      </c>
      <c r="BQ244" s="4">
        <f>IF(AF244=VLOOKUP(VALUE(AF$1),Questions!$A:$E,5,FALSE),1,0)</f>
        <v>1</v>
      </c>
      <c r="BR244" s="4">
        <f>IF(AG244=VLOOKUP(VALUE(AG$1),Questions!$A:$E,5,FALSE),1,0)</f>
        <v>1</v>
      </c>
      <c r="BS244" s="4">
        <f>IF(AH244=VLOOKUP(VALUE(AH$1),Questions!$A:$E,5,FALSE),1,0)</f>
        <v>0</v>
      </c>
      <c r="BT244" s="4">
        <f>IF(AI244=VLOOKUP(VALUE(AI$1),Questions!$A:$E,5,FALSE),1,0)</f>
        <v>0</v>
      </c>
      <c r="BU244" s="4">
        <f>IF(AJ244=VLOOKUP(VALUE(AJ$1),Questions!$A:$E,5,FALSE),1,0)</f>
        <v>1</v>
      </c>
      <c r="BV244" s="4">
        <f>IF(AK244=VLOOKUP(VALUE(AK$1),Questions!$A:$E,5,FALSE),1,0)</f>
        <v>0</v>
      </c>
      <c r="BW244" s="87">
        <f>IF(AL244=VLOOKUP(VALUE(AL$1),Questions!$A:$E,5,FALSE),1,0)</f>
        <v>1</v>
      </c>
      <c r="BX244" s="4">
        <f>IF(Scores[[#This Row],[Final]]&gt;=65,1,0)</f>
        <v>0</v>
      </c>
      <c r="BY244" s="4">
        <f>IF(Scores[[#This Row],[Final]]&gt;=IF(Scores[[#This Row],[IEP]],55,65),1,0)</f>
        <v>0</v>
      </c>
    </row>
    <row r="245" spans="1:77" x14ac:dyDescent="0.2">
      <c r="A245" s="6">
        <v>244</v>
      </c>
      <c r="B245" s="4">
        <v>11</v>
      </c>
      <c r="C245" s="4" t="s">
        <v>964</v>
      </c>
      <c r="D245" s="105" t="b">
        <v>0</v>
      </c>
      <c r="E245" s="105" t="b">
        <v>0</v>
      </c>
      <c r="F245" s="86">
        <f>SUM(Scores[[#This Row],[Q1]:[Q28]])</f>
        <v>21</v>
      </c>
      <c r="G245" s="4">
        <f>SUM(Scores[[#This Row],[29]]:Scores[[#This Row],[30]])</f>
        <v>1</v>
      </c>
      <c r="H245" s="4">
        <f>SUM(Scores[[#This Row],[31]:[36]])</f>
        <v>6</v>
      </c>
      <c r="I245" s="4">
        <f>Scores[[#This Row],[37]]</f>
        <v>2</v>
      </c>
      <c r="J245" s="87">
        <f>INDEX('Conversion Chart'!$C$3:$M$47,MATCH(SUM(Scores[[#This Row],[MC]:[IIIA]]),'Conversion Chart'!$B$3:$B$47),MATCH(Scores[[#This Row],[IIIB]],'Conversion Chart'!$C$2:$M$2))</f>
        <v>71</v>
      </c>
      <c r="K245" s="103">
        <v>4</v>
      </c>
      <c r="L245" s="103">
        <v>2</v>
      </c>
      <c r="M245" s="103">
        <v>3</v>
      </c>
      <c r="N245" s="103">
        <v>2</v>
      </c>
      <c r="O245" s="103">
        <v>1</v>
      </c>
      <c r="P245" s="103">
        <v>4</v>
      </c>
      <c r="Q245" s="103">
        <v>3</v>
      </c>
      <c r="R245" s="103">
        <v>2</v>
      </c>
      <c r="S245" s="103">
        <v>2</v>
      </c>
      <c r="T245" s="103">
        <v>1</v>
      </c>
      <c r="U245" s="103">
        <v>2</v>
      </c>
      <c r="V245" s="103">
        <v>4</v>
      </c>
      <c r="W245" s="103">
        <v>2</v>
      </c>
      <c r="X245" s="103">
        <v>2</v>
      </c>
      <c r="Y245" s="103">
        <v>3</v>
      </c>
      <c r="Z245" s="103">
        <v>3</v>
      </c>
      <c r="AA245" s="103">
        <v>1</v>
      </c>
      <c r="AB245" s="103">
        <v>4</v>
      </c>
      <c r="AC245" s="103">
        <v>3</v>
      </c>
      <c r="AD245" s="103">
        <v>2</v>
      </c>
      <c r="AE245" s="103">
        <v>3</v>
      </c>
      <c r="AF245" s="103">
        <v>2</v>
      </c>
      <c r="AG245" s="103">
        <v>4</v>
      </c>
      <c r="AH245" s="103">
        <v>3</v>
      </c>
      <c r="AI245" s="103">
        <v>1</v>
      </c>
      <c r="AJ245" s="103">
        <v>4</v>
      </c>
      <c r="AK245" s="103">
        <v>4</v>
      </c>
      <c r="AL245" s="104">
        <v>3</v>
      </c>
      <c r="AM245" s="4">
        <v>0</v>
      </c>
      <c r="AN245" s="87">
        <v>1</v>
      </c>
      <c r="AO245" s="4">
        <v>1</v>
      </c>
      <c r="AP245" s="4">
        <v>1</v>
      </c>
      <c r="AQ245" s="4">
        <v>1</v>
      </c>
      <c r="AR245" s="4">
        <v>1</v>
      </c>
      <c r="AS245" s="4">
        <v>1</v>
      </c>
      <c r="AT245" s="4">
        <v>1</v>
      </c>
      <c r="AU245" s="107">
        <v>2</v>
      </c>
      <c r="AV245" s="4">
        <f>IF(K245=VLOOKUP(VALUE(K$1),Questions!$A:$E,5,FALSE),1,0)</f>
        <v>1</v>
      </c>
      <c r="AW245" s="4">
        <f>IF(L245=VLOOKUP(VALUE(L$1),Questions!$A:$E,5,FALSE),1,0)</f>
        <v>1</v>
      </c>
      <c r="AX245" s="4">
        <f>IF(M245=VLOOKUP(VALUE(M$1),Questions!$A:$E,5,FALSE),1,0)</f>
        <v>1</v>
      </c>
      <c r="AY245" s="4">
        <f>IF(N245=VLOOKUP(VALUE(N$1),Questions!$A:$E,5,FALSE),1,0)</f>
        <v>0</v>
      </c>
      <c r="AZ245" s="4">
        <f>IF(O245=VLOOKUP(VALUE(O$1),Questions!$A:$E,5,FALSE),1,0)</f>
        <v>1</v>
      </c>
      <c r="BA245" s="4">
        <f>IF(P245=VLOOKUP(VALUE(P$1),Questions!$A:$E,5,FALSE),1,0)</f>
        <v>1</v>
      </c>
      <c r="BB245" s="4">
        <f>IF(Q245=VLOOKUP(VALUE(Q$1),Questions!$A:$E,5,FALSE),1,0)</f>
        <v>1</v>
      </c>
      <c r="BC245" s="4">
        <f>IF(R245=VLOOKUP(VALUE(R$1),Questions!$A:$E,5,FALSE),1,0)</f>
        <v>1</v>
      </c>
      <c r="BD245" s="4">
        <f>IF(S245=VLOOKUP(VALUE(S$1),Questions!$A:$E,5,FALSE),1,0)</f>
        <v>1</v>
      </c>
      <c r="BE245" s="4">
        <f>IF(T245=VLOOKUP(VALUE(T$1),Questions!$A:$E,5,FALSE),1,0)</f>
        <v>1</v>
      </c>
      <c r="BF245" s="4">
        <f>IF(U245=VLOOKUP(VALUE(U$1),Questions!$A:$E,5,FALSE),1,0)</f>
        <v>1</v>
      </c>
      <c r="BG245" s="4">
        <f>IF(V245=VLOOKUP(VALUE(V$1),Questions!$A:$E,5,FALSE),1,0)</f>
        <v>1</v>
      </c>
      <c r="BH245" s="4">
        <f>IF(W245=VLOOKUP(VALUE(W$1),Questions!$A:$E,5,FALSE),1,0)</f>
        <v>1</v>
      </c>
      <c r="BI245" s="4">
        <f>IF(X245=VLOOKUP(VALUE(X$1),Questions!$A:$E,5,FALSE),1,0)</f>
        <v>0</v>
      </c>
      <c r="BJ245" s="4">
        <f>IF(Y245=VLOOKUP(VALUE(Y$1),Questions!$A:$E,5,FALSE),1,0)</f>
        <v>1</v>
      </c>
      <c r="BK245" s="4">
        <f>IF(Z245=VLOOKUP(VALUE(Z$1),Questions!$A:$E,5,FALSE),1,0)</f>
        <v>0</v>
      </c>
      <c r="BL245" s="4">
        <f>IF(AA245=VLOOKUP(VALUE(AA$1),Questions!$A:$E,5,FALSE),1,0)</f>
        <v>1</v>
      </c>
      <c r="BM245" s="4">
        <f>IF(AB245=VLOOKUP(VALUE(AB$1),Questions!$A:$E,5,FALSE),1,0)</f>
        <v>1</v>
      </c>
      <c r="BN245" s="4">
        <f>IF(AC245=VLOOKUP(VALUE(AC$1),Questions!$A:$E,5,FALSE),1,0)</f>
        <v>1</v>
      </c>
      <c r="BO245" s="4">
        <f>IF(AD245=VLOOKUP(VALUE(AD$1),Questions!$A:$E,5,FALSE),1,0)</f>
        <v>0</v>
      </c>
      <c r="BP245" s="4">
        <f>IF(AE245=VLOOKUP(VALUE(AE$1),Questions!$A:$E,5,FALSE),1,0)</f>
        <v>0</v>
      </c>
      <c r="BQ245" s="4">
        <f>IF(AF245=VLOOKUP(VALUE(AF$1),Questions!$A:$E,5,FALSE),1,0)</f>
        <v>1</v>
      </c>
      <c r="BR245" s="4">
        <f>IF(AG245=VLOOKUP(VALUE(AG$1),Questions!$A:$E,5,FALSE),1,0)</f>
        <v>0</v>
      </c>
      <c r="BS245" s="4">
        <f>IF(AH245=VLOOKUP(VALUE(AH$1),Questions!$A:$E,5,FALSE),1,0)</f>
        <v>1</v>
      </c>
      <c r="BT245" s="4">
        <f>IF(AI245=VLOOKUP(VALUE(AI$1),Questions!$A:$E,5,FALSE),1,0)</f>
        <v>1</v>
      </c>
      <c r="BU245" s="4">
        <f>IF(AJ245=VLOOKUP(VALUE(AJ$1),Questions!$A:$E,5,FALSE),1,0)</f>
        <v>1</v>
      </c>
      <c r="BV245" s="4">
        <f>IF(AK245=VLOOKUP(VALUE(AK$1),Questions!$A:$E,5,FALSE),1,0)</f>
        <v>0</v>
      </c>
      <c r="BW245" s="87">
        <f>IF(AL245=VLOOKUP(VALUE(AL$1),Questions!$A:$E,5,FALSE),1,0)</f>
        <v>1</v>
      </c>
      <c r="BX245" s="4">
        <f>IF(Scores[[#This Row],[Final]]&gt;=65,1,0)</f>
        <v>1</v>
      </c>
      <c r="BY245" s="4">
        <f>IF(Scores[[#This Row],[Final]]&gt;=IF(Scores[[#This Row],[IEP]],55,65),1,0)</f>
        <v>1</v>
      </c>
    </row>
    <row r="246" spans="1:77" x14ac:dyDescent="0.2">
      <c r="A246" s="6">
        <v>245</v>
      </c>
      <c r="B246" s="4">
        <v>9</v>
      </c>
      <c r="C246" s="4" t="s">
        <v>963</v>
      </c>
      <c r="D246" s="105" t="b">
        <v>0</v>
      </c>
      <c r="E246" s="105" t="b">
        <v>0</v>
      </c>
      <c r="F246" s="86">
        <f>SUM(Scores[[#This Row],[Q1]:[Q28]])</f>
        <v>0</v>
      </c>
      <c r="G246" s="4">
        <f>SUM(Scores[[#This Row],[29]]:Scores[[#This Row],[30]])</f>
        <v>0</v>
      </c>
      <c r="H246" s="4">
        <f>SUM(Scores[[#This Row],[31]:[36]])</f>
        <v>0</v>
      </c>
      <c r="I246" s="4">
        <f>Scores[[#This Row],[37]]</f>
        <v>0</v>
      </c>
      <c r="J246" s="87">
        <f>INDEX('Conversion Chart'!$C$3:$M$47,MATCH(SUM(Scores[[#This Row],[MC]:[IIIA]]),'Conversion Chart'!$B$3:$B$47),MATCH(Scores[[#This Row],[IIIB]],'Conversion Chart'!$C$2:$M$2))</f>
        <v>0</v>
      </c>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3"/>
      <c r="AH246" s="103"/>
      <c r="AI246" s="103"/>
      <c r="AJ246" s="103"/>
      <c r="AK246" s="103"/>
      <c r="AL246" s="104"/>
      <c r="AN246" s="87"/>
      <c r="AU246" s="107"/>
      <c r="AV246" s="4">
        <f>IF(K246=VLOOKUP(VALUE(K$1),Questions!$A:$E,5,FALSE),1,0)</f>
        <v>0</v>
      </c>
      <c r="AW246" s="4">
        <f>IF(L246=VLOOKUP(VALUE(L$1),Questions!$A:$E,5,FALSE),1,0)</f>
        <v>0</v>
      </c>
      <c r="AX246" s="4">
        <f>IF(M246=VLOOKUP(VALUE(M$1),Questions!$A:$E,5,FALSE),1,0)</f>
        <v>0</v>
      </c>
      <c r="AY246" s="4">
        <f>IF(N246=VLOOKUP(VALUE(N$1),Questions!$A:$E,5,FALSE),1,0)</f>
        <v>0</v>
      </c>
      <c r="AZ246" s="4">
        <f>IF(O246=VLOOKUP(VALUE(O$1),Questions!$A:$E,5,FALSE),1,0)</f>
        <v>0</v>
      </c>
      <c r="BA246" s="4">
        <f>IF(P246=VLOOKUP(VALUE(P$1),Questions!$A:$E,5,FALSE),1,0)</f>
        <v>0</v>
      </c>
      <c r="BB246" s="4">
        <f>IF(Q246=VLOOKUP(VALUE(Q$1),Questions!$A:$E,5,FALSE),1,0)</f>
        <v>0</v>
      </c>
      <c r="BC246" s="4">
        <f>IF(R246=VLOOKUP(VALUE(R$1),Questions!$A:$E,5,FALSE),1,0)</f>
        <v>0</v>
      </c>
      <c r="BD246" s="4">
        <f>IF(S246=VLOOKUP(VALUE(S$1),Questions!$A:$E,5,FALSE),1,0)</f>
        <v>0</v>
      </c>
      <c r="BE246" s="4">
        <f>IF(T246=VLOOKUP(VALUE(T$1),Questions!$A:$E,5,FALSE),1,0)</f>
        <v>0</v>
      </c>
      <c r="BF246" s="4">
        <f>IF(U246=VLOOKUP(VALUE(U$1),Questions!$A:$E,5,FALSE),1,0)</f>
        <v>0</v>
      </c>
      <c r="BG246" s="4">
        <f>IF(V246=VLOOKUP(VALUE(V$1),Questions!$A:$E,5,FALSE),1,0)</f>
        <v>0</v>
      </c>
      <c r="BH246" s="4">
        <f>IF(W246=VLOOKUP(VALUE(W$1),Questions!$A:$E,5,FALSE),1,0)</f>
        <v>0</v>
      </c>
      <c r="BI246" s="4">
        <f>IF(X246=VLOOKUP(VALUE(X$1),Questions!$A:$E,5,FALSE),1,0)</f>
        <v>0</v>
      </c>
      <c r="BJ246" s="4">
        <f>IF(Y246=VLOOKUP(VALUE(Y$1),Questions!$A:$E,5,FALSE),1,0)</f>
        <v>0</v>
      </c>
      <c r="BK246" s="4">
        <f>IF(Z246=VLOOKUP(VALUE(Z$1),Questions!$A:$E,5,FALSE),1,0)</f>
        <v>0</v>
      </c>
      <c r="BL246" s="4">
        <f>IF(AA246=VLOOKUP(VALUE(AA$1),Questions!$A:$E,5,FALSE),1,0)</f>
        <v>0</v>
      </c>
      <c r="BM246" s="4">
        <f>IF(AB246=VLOOKUP(VALUE(AB$1),Questions!$A:$E,5,FALSE),1,0)</f>
        <v>0</v>
      </c>
      <c r="BN246" s="4">
        <f>IF(AC246=VLOOKUP(VALUE(AC$1),Questions!$A:$E,5,FALSE),1,0)</f>
        <v>0</v>
      </c>
      <c r="BO246" s="4">
        <f>IF(AD246=VLOOKUP(VALUE(AD$1),Questions!$A:$E,5,FALSE),1,0)</f>
        <v>0</v>
      </c>
      <c r="BP246" s="4">
        <f>IF(AE246=VLOOKUP(VALUE(AE$1),Questions!$A:$E,5,FALSE),1,0)</f>
        <v>0</v>
      </c>
      <c r="BQ246" s="4">
        <f>IF(AF246=VLOOKUP(VALUE(AF$1),Questions!$A:$E,5,FALSE),1,0)</f>
        <v>0</v>
      </c>
      <c r="BR246" s="4">
        <f>IF(AG246=VLOOKUP(VALUE(AG$1),Questions!$A:$E,5,FALSE),1,0)</f>
        <v>0</v>
      </c>
      <c r="BS246" s="4">
        <f>IF(AH246=VLOOKUP(VALUE(AH$1),Questions!$A:$E,5,FALSE),1,0)</f>
        <v>0</v>
      </c>
      <c r="BT246" s="4">
        <f>IF(AI246=VLOOKUP(VALUE(AI$1),Questions!$A:$E,5,FALSE),1,0)</f>
        <v>0</v>
      </c>
      <c r="BU246" s="4">
        <f>IF(AJ246=VLOOKUP(VALUE(AJ$1),Questions!$A:$E,5,FALSE),1,0)</f>
        <v>0</v>
      </c>
      <c r="BV246" s="4">
        <f>IF(AK246=VLOOKUP(VALUE(AK$1),Questions!$A:$E,5,FALSE),1,0)</f>
        <v>0</v>
      </c>
      <c r="BW246" s="87">
        <f>IF(AL246=VLOOKUP(VALUE(AL$1),Questions!$A:$E,5,FALSE),1,0)</f>
        <v>0</v>
      </c>
      <c r="BX246" s="4">
        <f>IF(Scores[[#This Row],[Final]]&gt;=65,1,0)</f>
        <v>0</v>
      </c>
      <c r="BY246" s="4">
        <f>IF(Scores[[#This Row],[Final]]&gt;=IF(Scores[[#This Row],[IEP]],55,65),1,0)</f>
        <v>0</v>
      </c>
    </row>
    <row r="247" spans="1:77" x14ac:dyDescent="0.2">
      <c r="A247" s="6">
        <v>246</v>
      </c>
      <c r="B247" s="4">
        <v>9</v>
      </c>
      <c r="C247" s="4" t="s">
        <v>964</v>
      </c>
      <c r="D247" s="105" t="b">
        <v>0</v>
      </c>
      <c r="E247" s="105" t="b">
        <v>1</v>
      </c>
      <c r="F247" s="86">
        <f>SUM(Scores[[#This Row],[Q1]:[Q28]])</f>
        <v>12</v>
      </c>
      <c r="G247" s="4">
        <f>SUM(Scores[[#This Row],[29]]:Scores[[#This Row],[30]])</f>
        <v>3</v>
      </c>
      <c r="H247" s="4">
        <f>SUM(Scores[[#This Row],[31]:[36]])</f>
        <v>0</v>
      </c>
      <c r="I247" s="4">
        <f>Scores[[#This Row],[37]]</f>
        <v>0</v>
      </c>
      <c r="J247" s="87">
        <f>INDEX('Conversion Chart'!$C$3:$M$47,MATCH(SUM(Scores[[#This Row],[MC]:[IIIA]]),'Conversion Chart'!$B$3:$B$47),MATCH(Scores[[#This Row],[IIIB]],'Conversion Chart'!$C$2:$M$2))</f>
        <v>42</v>
      </c>
      <c r="K247" s="103">
        <v>2</v>
      </c>
      <c r="L247" s="103">
        <v>3</v>
      </c>
      <c r="M247" s="103">
        <v>3</v>
      </c>
      <c r="N247" s="103">
        <v>1</v>
      </c>
      <c r="O247" s="103">
        <v>1</v>
      </c>
      <c r="P247" s="103">
        <v>1</v>
      </c>
      <c r="Q247" s="103">
        <v>3</v>
      </c>
      <c r="R247" s="103">
        <v>2</v>
      </c>
      <c r="S247" s="103">
        <v>2</v>
      </c>
      <c r="T247" s="103">
        <v>2</v>
      </c>
      <c r="U247" s="103">
        <v>2</v>
      </c>
      <c r="V247" s="103">
        <v>1</v>
      </c>
      <c r="W247" s="103">
        <v>3</v>
      </c>
      <c r="X247" s="103">
        <v>3</v>
      </c>
      <c r="Y247" s="103">
        <v>1</v>
      </c>
      <c r="Z247" s="103">
        <v>4</v>
      </c>
      <c r="AA247" s="103">
        <v>1</v>
      </c>
      <c r="AB247" s="103">
        <v>3</v>
      </c>
      <c r="AC247" s="103">
        <v>3</v>
      </c>
      <c r="AD247" s="103">
        <v>1</v>
      </c>
      <c r="AE247" s="103">
        <v>2</v>
      </c>
      <c r="AF247" s="103">
        <v>2</v>
      </c>
      <c r="AG247" s="103">
        <v>2</v>
      </c>
      <c r="AH247" s="103">
        <v>1</v>
      </c>
      <c r="AI247" s="103">
        <v>4</v>
      </c>
      <c r="AJ247" s="103">
        <v>2</v>
      </c>
      <c r="AK247" s="103">
        <v>1</v>
      </c>
      <c r="AL247" s="104">
        <v>3</v>
      </c>
      <c r="AM247" s="4">
        <v>2</v>
      </c>
      <c r="AN247" s="87">
        <v>1</v>
      </c>
      <c r="AO247" s="4">
        <v>0</v>
      </c>
      <c r="AP247" s="4">
        <v>0</v>
      </c>
      <c r="AQ247" s="4">
        <v>0</v>
      </c>
      <c r="AR247" s="4">
        <v>0</v>
      </c>
      <c r="AS247" s="4">
        <v>0</v>
      </c>
      <c r="AT247" s="4">
        <v>0</v>
      </c>
      <c r="AU247" s="107">
        <v>0</v>
      </c>
      <c r="AV247" s="4">
        <f>IF(K247=VLOOKUP(VALUE(K$1),Questions!$A:$E,5,FALSE),1,0)</f>
        <v>0</v>
      </c>
      <c r="AW247" s="4">
        <f>IF(L247=VLOOKUP(VALUE(L$1),Questions!$A:$E,5,FALSE),1,0)</f>
        <v>0</v>
      </c>
      <c r="AX247" s="4">
        <f>IF(M247=VLOOKUP(VALUE(M$1),Questions!$A:$E,5,FALSE),1,0)</f>
        <v>1</v>
      </c>
      <c r="AY247" s="4">
        <f>IF(N247=VLOOKUP(VALUE(N$1),Questions!$A:$E,5,FALSE),1,0)</f>
        <v>0</v>
      </c>
      <c r="AZ247" s="4">
        <f>IF(O247=VLOOKUP(VALUE(O$1),Questions!$A:$E,5,FALSE),1,0)</f>
        <v>1</v>
      </c>
      <c r="BA247" s="4">
        <f>IF(P247=VLOOKUP(VALUE(P$1),Questions!$A:$E,5,FALSE),1,0)</f>
        <v>0</v>
      </c>
      <c r="BB247" s="4">
        <f>IF(Q247=VLOOKUP(VALUE(Q$1),Questions!$A:$E,5,FALSE),1,0)</f>
        <v>1</v>
      </c>
      <c r="BC247" s="4">
        <f>IF(R247=VLOOKUP(VALUE(R$1),Questions!$A:$E,5,FALSE),1,0)</f>
        <v>1</v>
      </c>
      <c r="BD247" s="4">
        <f>IF(S247=VLOOKUP(VALUE(S$1),Questions!$A:$E,5,FALSE),1,0)</f>
        <v>1</v>
      </c>
      <c r="BE247" s="4">
        <f>IF(T247=VLOOKUP(VALUE(T$1),Questions!$A:$E,5,FALSE),1,0)</f>
        <v>0</v>
      </c>
      <c r="BF247" s="4">
        <f>IF(U247=VLOOKUP(VALUE(U$1),Questions!$A:$E,5,FALSE),1,0)</f>
        <v>1</v>
      </c>
      <c r="BG247" s="4">
        <f>IF(V247=VLOOKUP(VALUE(V$1),Questions!$A:$E,5,FALSE),1,0)</f>
        <v>0</v>
      </c>
      <c r="BH247" s="4">
        <f>IF(W247=VLOOKUP(VALUE(W$1),Questions!$A:$E,5,FALSE),1,0)</f>
        <v>0</v>
      </c>
      <c r="BI247" s="4">
        <f>IF(X247=VLOOKUP(VALUE(X$1),Questions!$A:$E,5,FALSE),1,0)</f>
        <v>0</v>
      </c>
      <c r="BJ247" s="4">
        <f>IF(Y247=VLOOKUP(VALUE(Y$1),Questions!$A:$E,5,FALSE),1,0)</f>
        <v>0</v>
      </c>
      <c r="BK247" s="4">
        <f>IF(Z247=VLOOKUP(VALUE(Z$1),Questions!$A:$E,5,FALSE),1,0)</f>
        <v>0</v>
      </c>
      <c r="BL247" s="4">
        <f>IF(AA247=VLOOKUP(VALUE(AA$1),Questions!$A:$E,5,FALSE),1,0)</f>
        <v>1</v>
      </c>
      <c r="BM247" s="4">
        <f>IF(AB247=VLOOKUP(VALUE(AB$1),Questions!$A:$E,5,FALSE),1,0)</f>
        <v>0</v>
      </c>
      <c r="BN247" s="4">
        <f>IF(AC247=VLOOKUP(VALUE(AC$1),Questions!$A:$E,5,FALSE),1,0)</f>
        <v>1</v>
      </c>
      <c r="BO247" s="4">
        <f>IF(AD247=VLOOKUP(VALUE(AD$1),Questions!$A:$E,5,FALSE),1,0)</f>
        <v>0</v>
      </c>
      <c r="BP247" s="4">
        <f>IF(AE247=VLOOKUP(VALUE(AE$1),Questions!$A:$E,5,FALSE),1,0)</f>
        <v>1</v>
      </c>
      <c r="BQ247" s="4">
        <f>IF(AF247=VLOOKUP(VALUE(AF$1),Questions!$A:$E,5,FALSE),1,0)</f>
        <v>1</v>
      </c>
      <c r="BR247" s="4">
        <f>IF(AG247=VLOOKUP(VALUE(AG$1),Questions!$A:$E,5,FALSE),1,0)</f>
        <v>0</v>
      </c>
      <c r="BS247" s="4">
        <f>IF(AH247=VLOOKUP(VALUE(AH$1),Questions!$A:$E,5,FALSE),1,0)</f>
        <v>0</v>
      </c>
      <c r="BT247" s="4">
        <f>IF(AI247=VLOOKUP(VALUE(AI$1),Questions!$A:$E,5,FALSE),1,0)</f>
        <v>0</v>
      </c>
      <c r="BU247" s="4">
        <f>IF(AJ247=VLOOKUP(VALUE(AJ$1),Questions!$A:$E,5,FALSE),1,0)</f>
        <v>0</v>
      </c>
      <c r="BV247" s="4">
        <f>IF(AK247=VLOOKUP(VALUE(AK$1),Questions!$A:$E,5,FALSE),1,0)</f>
        <v>1</v>
      </c>
      <c r="BW247" s="87">
        <f>IF(AL247=VLOOKUP(VALUE(AL$1),Questions!$A:$E,5,FALSE),1,0)</f>
        <v>1</v>
      </c>
      <c r="BX247" s="4">
        <f>IF(Scores[[#This Row],[Final]]&gt;=65,1,0)</f>
        <v>0</v>
      </c>
      <c r="BY247" s="4">
        <f>IF(Scores[[#This Row],[Final]]&gt;=IF(Scores[[#This Row],[IEP]],55,65),1,0)</f>
        <v>0</v>
      </c>
    </row>
    <row r="248" spans="1:77" x14ac:dyDescent="0.2">
      <c r="A248" s="6">
        <v>247</v>
      </c>
      <c r="B248" s="4">
        <v>9</v>
      </c>
      <c r="C248" s="4" t="s">
        <v>963</v>
      </c>
      <c r="D248" s="105" t="b">
        <v>0</v>
      </c>
      <c r="E248" s="105" t="b">
        <v>0</v>
      </c>
      <c r="F248" s="86">
        <f>SUM(Scores[[#This Row],[Q1]:[Q28]])</f>
        <v>0</v>
      </c>
      <c r="G248" s="4">
        <f>SUM(Scores[[#This Row],[29]]:Scores[[#This Row],[30]])</f>
        <v>0</v>
      </c>
      <c r="H248" s="4">
        <f>SUM(Scores[[#This Row],[31]:[36]])</f>
        <v>0</v>
      </c>
      <c r="I248" s="4">
        <f>Scores[[#This Row],[37]]</f>
        <v>0</v>
      </c>
      <c r="J248" s="87">
        <f>INDEX('Conversion Chart'!$C$3:$M$47,MATCH(SUM(Scores[[#This Row],[MC]:[IIIA]]),'Conversion Chart'!$B$3:$B$47),MATCH(Scores[[#This Row],[IIIB]],'Conversion Chart'!$C$2:$M$2))</f>
        <v>0</v>
      </c>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4"/>
      <c r="AN248" s="87"/>
      <c r="AU248" s="107"/>
      <c r="AV248" s="4">
        <f>IF(K248=VLOOKUP(VALUE(K$1),Questions!$A:$E,5,FALSE),1,0)</f>
        <v>0</v>
      </c>
      <c r="AW248" s="4">
        <f>IF(L248=VLOOKUP(VALUE(L$1),Questions!$A:$E,5,FALSE),1,0)</f>
        <v>0</v>
      </c>
      <c r="AX248" s="4">
        <f>IF(M248=VLOOKUP(VALUE(M$1),Questions!$A:$E,5,FALSE),1,0)</f>
        <v>0</v>
      </c>
      <c r="AY248" s="4">
        <f>IF(N248=VLOOKUP(VALUE(N$1),Questions!$A:$E,5,FALSE),1,0)</f>
        <v>0</v>
      </c>
      <c r="AZ248" s="4">
        <f>IF(O248=VLOOKUP(VALUE(O$1),Questions!$A:$E,5,FALSE),1,0)</f>
        <v>0</v>
      </c>
      <c r="BA248" s="4">
        <f>IF(P248=VLOOKUP(VALUE(P$1),Questions!$A:$E,5,FALSE),1,0)</f>
        <v>0</v>
      </c>
      <c r="BB248" s="4">
        <f>IF(Q248=VLOOKUP(VALUE(Q$1),Questions!$A:$E,5,FALSE),1,0)</f>
        <v>0</v>
      </c>
      <c r="BC248" s="4">
        <f>IF(R248=VLOOKUP(VALUE(R$1),Questions!$A:$E,5,FALSE),1,0)</f>
        <v>0</v>
      </c>
      <c r="BD248" s="4">
        <f>IF(S248=VLOOKUP(VALUE(S$1),Questions!$A:$E,5,FALSE),1,0)</f>
        <v>0</v>
      </c>
      <c r="BE248" s="4">
        <f>IF(T248=VLOOKUP(VALUE(T$1),Questions!$A:$E,5,FALSE),1,0)</f>
        <v>0</v>
      </c>
      <c r="BF248" s="4">
        <f>IF(U248=VLOOKUP(VALUE(U$1),Questions!$A:$E,5,FALSE),1,0)</f>
        <v>0</v>
      </c>
      <c r="BG248" s="4">
        <f>IF(V248=VLOOKUP(VALUE(V$1),Questions!$A:$E,5,FALSE),1,0)</f>
        <v>0</v>
      </c>
      <c r="BH248" s="4">
        <f>IF(W248=VLOOKUP(VALUE(W$1),Questions!$A:$E,5,FALSE),1,0)</f>
        <v>0</v>
      </c>
      <c r="BI248" s="4">
        <f>IF(X248=VLOOKUP(VALUE(X$1),Questions!$A:$E,5,FALSE),1,0)</f>
        <v>0</v>
      </c>
      <c r="BJ248" s="4">
        <f>IF(Y248=VLOOKUP(VALUE(Y$1),Questions!$A:$E,5,FALSE),1,0)</f>
        <v>0</v>
      </c>
      <c r="BK248" s="4">
        <f>IF(Z248=VLOOKUP(VALUE(Z$1),Questions!$A:$E,5,FALSE),1,0)</f>
        <v>0</v>
      </c>
      <c r="BL248" s="4">
        <f>IF(AA248=VLOOKUP(VALUE(AA$1),Questions!$A:$E,5,FALSE),1,0)</f>
        <v>0</v>
      </c>
      <c r="BM248" s="4">
        <f>IF(AB248=VLOOKUP(VALUE(AB$1),Questions!$A:$E,5,FALSE),1,0)</f>
        <v>0</v>
      </c>
      <c r="BN248" s="4">
        <f>IF(AC248=VLOOKUP(VALUE(AC$1),Questions!$A:$E,5,FALSE),1,0)</f>
        <v>0</v>
      </c>
      <c r="BO248" s="4">
        <f>IF(AD248=VLOOKUP(VALUE(AD$1),Questions!$A:$E,5,FALSE),1,0)</f>
        <v>0</v>
      </c>
      <c r="BP248" s="4">
        <f>IF(AE248=VLOOKUP(VALUE(AE$1),Questions!$A:$E,5,FALSE),1,0)</f>
        <v>0</v>
      </c>
      <c r="BQ248" s="4">
        <f>IF(AF248=VLOOKUP(VALUE(AF$1),Questions!$A:$E,5,FALSE),1,0)</f>
        <v>0</v>
      </c>
      <c r="BR248" s="4">
        <f>IF(AG248=VLOOKUP(VALUE(AG$1),Questions!$A:$E,5,FALSE),1,0)</f>
        <v>0</v>
      </c>
      <c r="BS248" s="4">
        <f>IF(AH248=VLOOKUP(VALUE(AH$1),Questions!$A:$E,5,FALSE),1,0)</f>
        <v>0</v>
      </c>
      <c r="BT248" s="4">
        <f>IF(AI248=VLOOKUP(VALUE(AI$1),Questions!$A:$E,5,FALSE),1,0)</f>
        <v>0</v>
      </c>
      <c r="BU248" s="4">
        <f>IF(AJ248=VLOOKUP(VALUE(AJ$1),Questions!$A:$E,5,FALSE),1,0)</f>
        <v>0</v>
      </c>
      <c r="BV248" s="4">
        <f>IF(AK248=VLOOKUP(VALUE(AK$1),Questions!$A:$E,5,FALSE),1,0)</f>
        <v>0</v>
      </c>
      <c r="BW248" s="87">
        <f>IF(AL248=VLOOKUP(VALUE(AL$1),Questions!$A:$E,5,FALSE),1,0)</f>
        <v>0</v>
      </c>
      <c r="BX248" s="4">
        <f>IF(Scores[[#This Row],[Final]]&gt;=65,1,0)</f>
        <v>0</v>
      </c>
      <c r="BY248" s="4">
        <f>IF(Scores[[#This Row],[Final]]&gt;=IF(Scores[[#This Row],[IEP]],55,65),1,0)</f>
        <v>0</v>
      </c>
    </row>
    <row r="249" spans="1:77" x14ac:dyDescent="0.2">
      <c r="A249" s="6">
        <v>248</v>
      </c>
      <c r="B249" s="4">
        <v>9</v>
      </c>
      <c r="C249" s="4" t="s">
        <v>964</v>
      </c>
      <c r="D249" s="105" t="b">
        <v>0</v>
      </c>
      <c r="E249" s="105" t="b">
        <v>0</v>
      </c>
      <c r="F249" s="86">
        <f>SUM(Scores[[#This Row],[Q1]:[Q28]])</f>
        <v>7</v>
      </c>
      <c r="G249" s="4">
        <f>SUM(Scores[[#This Row],[29]]:Scores[[#This Row],[30]])</f>
        <v>0</v>
      </c>
      <c r="H249" s="4">
        <f>SUM(Scores[[#This Row],[31]:[36]])</f>
        <v>0</v>
      </c>
      <c r="I249" s="4">
        <f>Scores[[#This Row],[37]]</f>
        <v>0</v>
      </c>
      <c r="J249" s="87">
        <f>INDEX('Conversion Chart'!$C$3:$M$47,MATCH(SUM(Scores[[#This Row],[MC]:[IIIA]]),'Conversion Chart'!$B$3:$B$47),MATCH(Scores[[#This Row],[IIIB]],'Conversion Chart'!$C$2:$M$2))</f>
        <v>23</v>
      </c>
      <c r="K249" s="103">
        <v>2</v>
      </c>
      <c r="L249" s="103">
        <v>3</v>
      </c>
      <c r="M249" s="103">
        <v>2</v>
      </c>
      <c r="N249" s="103">
        <v>3</v>
      </c>
      <c r="O249" s="103">
        <v>1</v>
      </c>
      <c r="P249" s="103">
        <v>4</v>
      </c>
      <c r="Q249" s="103">
        <v>2</v>
      </c>
      <c r="R249" s="103">
        <v>1</v>
      </c>
      <c r="S249" s="103">
        <v>3</v>
      </c>
      <c r="T249" s="103">
        <v>1</v>
      </c>
      <c r="U249" s="103">
        <v>2</v>
      </c>
      <c r="V249" s="103">
        <v>1</v>
      </c>
      <c r="W249" s="103">
        <v>2</v>
      </c>
      <c r="X249" s="103">
        <v>3</v>
      </c>
      <c r="Y249" s="103">
        <v>4</v>
      </c>
      <c r="Z249" s="103">
        <v>2</v>
      </c>
      <c r="AA249" s="103">
        <v>3</v>
      </c>
      <c r="AB249" s="103">
        <v>3</v>
      </c>
      <c r="AC249" s="103">
        <v>2</v>
      </c>
      <c r="AD249" s="103">
        <v>3</v>
      </c>
      <c r="AE249" s="103">
        <v>3</v>
      </c>
      <c r="AF249" s="103">
        <v>3</v>
      </c>
      <c r="AG249" s="103">
        <v>2</v>
      </c>
      <c r="AH249" s="103">
        <v>4</v>
      </c>
      <c r="AI249" s="103">
        <v>2</v>
      </c>
      <c r="AJ249" s="103">
        <v>4</v>
      </c>
      <c r="AK249" s="103">
        <v>3</v>
      </c>
      <c r="AL249" s="104">
        <v>2</v>
      </c>
      <c r="AM249" s="4">
        <v>0</v>
      </c>
      <c r="AN249" s="87">
        <v>0</v>
      </c>
      <c r="AO249" s="4">
        <v>0</v>
      </c>
      <c r="AP249" s="4">
        <v>0</v>
      </c>
      <c r="AQ249" s="4">
        <v>0</v>
      </c>
      <c r="AR249" s="4">
        <v>0</v>
      </c>
      <c r="AS249" s="4">
        <v>0</v>
      </c>
      <c r="AT249" s="4">
        <v>0</v>
      </c>
      <c r="AU249" s="107">
        <v>0</v>
      </c>
      <c r="AV249" s="4">
        <f>IF(K249=VLOOKUP(VALUE(K$1),Questions!$A:$E,5,FALSE),1,0)</f>
        <v>0</v>
      </c>
      <c r="AW249" s="4">
        <f>IF(L249=VLOOKUP(VALUE(L$1),Questions!$A:$E,5,FALSE),1,0)</f>
        <v>0</v>
      </c>
      <c r="AX249" s="4">
        <f>IF(M249=VLOOKUP(VALUE(M$1),Questions!$A:$E,5,FALSE),1,0)</f>
        <v>0</v>
      </c>
      <c r="AY249" s="4">
        <f>IF(N249=VLOOKUP(VALUE(N$1),Questions!$A:$E,5,FALSE),1,0)</f>
        <v>1</v>
      </c>
      <c r="AZ249" s="4">
        <f>IF(O249=VLOOKUP(VALUE(O$1),Questions!$A:$E,5,FALSE),1,0)</f>
        <v>1</v>
      </c>
      <c r="BA249" s="4">
        <f>IF(P249=VLOOKUP(VALUE(P$1),Questions!$A:$E,5,FALSE),1,0)</f>
        <v>1</v>
      </c>
      <c r="BB249" s="4">
        <f>IF(Q249=VLOOKUP(VALUE(Q$1),Questions!$A:$E,5,FALSE),1,0)</f>
        <v>0</v>
      </c>
      <c r="BC249" s="4">
        <f>IF(R249=VLOOKUP(VALUE(R$1),Questions!$A:$E,5,FALSE),1,0)</f>
        <v>0</v>
      </c>
      <c r="BD249" s="4">
        <f>IF(S249=VLOOKUP(VALUE(S$1),Questions!$A:$E,5,FALSE),1,0)</f>
        <v>0</v>
      </c>
      <c r="BE249" s="4">
        <f>IF(T249=VLOOKUP(VALUE(T$1),Questions!$A:$E,5,FALSE),1,0)</f>
        <v>1</v>
      </c>
      <c r="BF249" s="4">
        <f>IF(U249=VLOOKUP(VALUE(U$1),Questions!$A:$E,5,FALSE),1,0)</f>
        <v>1</v>
      </c>
      <c r="BG249" s="4">
        <f>IF(V249=VLOOKUP(VALUE(V$1),Questions!$A:$E,5,FALSE),1,0)</f>
        <v>0</v>
      </c>
      <c r="BH249" s="4">
        <f>IF(W249=VLOOKUP(VALUE(W$1),Questions!$A:$E,5,FALSE),1,0)</f>
        <v>1</v>
      </c>
      <c r="BI249" s="4">
        <f>IF(X249=VLOOKUP(VALUE(X$1),Questions!$A:$E,5,FALSE),1,0)</f>
        <v>0</v>
      </c>
      <c r="BJ249" s="4">
        <f>IF(Y249=VLOOKUP(VALUE(Y$1),Questions!$A:$E,5,FALSE),1,0)</f>
        <v>0</v>
      </c>
      <c r="BK249" s="4">
        <f>IF(Z249=VLOOKUP(VALUE(Z$1),Questions!$A:$E,5,FALSE),1,0)</f>
        <v>0</v>
      </c>
      <c r="BL249" s="4">
        <f>IF(AA249=VLOOKUP(VALUE(AA$1),Questions!$A:$E,5,FALSE),1,0)</f>
        <v>0</v>
      </c>
      <c r="BM249" s="4">
        <f>IF(AB249=VLOOKUP(VALUE(AB$1),Questions!$A:$E,5,FALSE),1,0)</f>
        <v>0</v>
      </c>
      <c r="BN249" s="4">
        <f>IF(AC249=VLOOKUP(VALUE(AC$1),Questions!$A:$E,5,FALSE),1,0)</f>
        <v>0</v>
      </c>
      <c r="BO249" s="4">
        <f>IF(AD249=VLOOKUP(VALUE(AD$1),Questions!$A:$E,5,FALSE),1,0)</f>
        <v>0</v>
      </c>
      <c r="BP249" s="4">
        <f>IF(AE249=VLOOKUP(VALUE(AE$1),Questions!$A:$E,5,FALSE),1,0)</f>
        <v>0</v>
      </c>
      <c r="BQ249" s="4">
        <f>IF(AF249=VLOOKUP(VALUE(AF$1),Questions!$A:$E,5,FALSE),1,0)</f>
        <v>0</v>
      </c>
      <c r="BR249" s="4">
        <f>IF(AG249=VLOOKUP(VALUE(AG$1),Questions!$A:$E,5,FALSE),1,0)</f>
        <v>0</v>
      </c>
      <c r="BS249" s="4">
        <f>IF(AH249=VLOOKUP(VALUE(AH$1),Questions!$A:$E,5,FALSE),1,0)</f>
        <v>0</v>
      </c>
      <c r="BT249" s="4">
        <f>IF(AI249=VLOOKUP(VALUE(AI$1),Questions!$A:$E,5,FALSE),1,0)</f>
        <v>0</v>
      </c>
      <c r="BU249" s="4">
        <f>IF(AJ249=VLOOKUP(VALUE(AJ$1),Questions!$A:$E,5,FALSE),1,0)</f>
        <v>1</v>
      </c>
      <c r="BV249" s="4">
        <f>IF(AK249=VLOOKUP(VALUE(AK$1),Questions!$A:$E,5,FALSE),1,0)</f>
        <v>0</v>
      </c>
      <c r="BW249" s="87">
        <f>IF(AL249=VLOOKUP(VALUE(AL$1),Questions!$A:$E,5,FALSE),1,0)</f>
        <v>0</v>
      </c>
      <c r="BX249" s="4">
        <f>IF(Scores[[#This Row],[Final]]&gt;=65,1,0)</f>
        <v>0</v>
      </c>
      <c r="BY249" s="4">
        <f>IF(Scores[[#This Row],[Final]]&gt;=IF(Scores[[#This Row],[IEP]],55,65),1,0)</f>
        <v>0</v>
      </c>
    </row>
    <row r="250" spans="1:77" x14ac:dyDescent="0.2">
      <c r="F250" s="91"/>
      <c r="G250" s="92"/>
      <c r="H250" s="92"/>
      <c r="I250" s="92"/>
      <c r="J250" s="102"/>
      <c r="AL250" s="87"/>
      <c r="AM250" s="92"/>
      <c r="AN250" s="111"/>
      <c r="AU250" s="107"/>
      <c r="BW250" s="87"/>
      <c r="BX250" s="118"/>
      <c r="BY250" s="118"/>
    </row>
  </sheetData>
  <phoneticPr fontId="1" type="noConversion"/>
  <conditionalFormatting sqref="J2:J249">
    <cfRule type="expression" dxfId="20" priority="1">
      <formula>AND($E2=TRUE,$J2&gt;=55,$J2&lt;65)</formula>
    </cfRule>
    <cfRule type="expression" dxfId="19" priority="2" stopIfTrue="1">
      <formula>J2&gt;64</formula>
    </cfRule>
  </conditionalFormatting>
  <conditionalFormatting sqref="K2:AL249">
    <cfRule type="expression" dxfId="18" priority="5" stopIfTrue="1">
      <formula>AV2=0</formula>
    </cfRule>
  </conditionalFormatting>
  <dataValidations count="2">
    <dataValidation type="list" allowBlank="1" showInputMessage="1" showErrorMessage="1" sqref="B2:B249" xr:uid="{FA77E46A-F909-6142-A6C6-1290737AD849}">
      <formula1>"9,10,11,12"</formula1>
    </dataValidation>
    <dataValidation type="list" allowBlank="1" showInputMessage="1" showErrorMessage="1" sqref="C2:C249" xr:uid="{CA86B002-22BC-4FE1-ACF2-4D0B16464799}">
      <formula1>"Antaky,Bermejo,Dushin,Kovelsky,Other"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8285-A33C-3543-AA6A-9275D6B3BB05}">
  <sheetPr codeName="Sheet3"/>
  <dimension ref="A1:S39"/>
  <sheetViews>
    <sheetView showGridLines="0" tabSelected="1" topLeftCell="A11" zoomScale="89" workbookViewId="0">
      <selection activeCell="M25" sqref="M25"/>
    </sheetView>
  </sheetViews>
  <sheetFormatPr baseColWidth="10" defaultColWidth="11" defaultRowHeight="16" x14ac:dyDescent="0.2"/>
  <cols>
    <col min="1" max="2" width="10.83203125" style="4"/>
    <col min="3" max="4" width="40.83203125" customWidth="1"/>
    <col min="5" max="5" width="10.83203125" style="4" customWidth="1"/>
    <col min="6" max="9" width="20.83203125" customWidth="1"/>
    <col min="10" max="11" width="15.83203125" style="4" customWidth="1"/>
    <col min="12" max="13" width="15.83203125" customWidth="1"/>
    <col min="14" max="14" width="10.83203125" style="4" customWidth="1"/>
    <col min="15" max="15" width="15.83203125" customWidth="1"/>
    <col min="16" max="16" width="10.83203125" style="4" customWidth="1"/>
    <col min="17" max="17" width="40.6640625" customWidth="1"/>
    <col min="18" max="19" width="10.83203125" style="4" customWidth="1"/>
    <col min="20" max="20" width="15.83203125" customWidth="1"/>
  </cols>
  <sheetData>
    <row r="1" spans="1:19" x14ac:dyDescent="0.2">
      <c r="A1" s="4" t="s">
        <v>32</v>
      </c>
      <c r="B1" s="4" t="s">
        <v>652</v>
      </c>
      <c r="C1" t="s">
        <v>40</v>
      </c>
      <c r="D1" t="s">
        <v>34</v>
      </c>
      <c r="E1" s="4" t="s">
        <v>33</v>
      </c>
      <c r="F1" t="s">
        <v>656</v>
      </c>
      <c r="G1" t="s">
        <v>657</v>
      </c>
      <c r="H1" t="s">
        <v>658</v>
      </c>
      <c r="I1" t="s">
        <v>659</v>
      </c>
      <c r="J1" s="4" t="s">
        <v>39</v>
      </c>
      <c r="K1" s="4" t="s">
        <v>41</v>
      </c>
      <c r="L1" t="s">
        <v>42</v>
      </c>
      <c r="M1" t="s">
        <v>661</v>
      </c>
      <c r="N1" s="4" t="s">
        <v>43</v>
      </c>
      <c r="O1" t="s">
        <v>660</v>
      </c>
      <c r="P1" s="4" t="s">
        <v>756</v>
      </c>
      <c r="Q1" t="s">
        <v>667</v>
      </c>
      <c r="R1" s="4" t="s">
        <v>662</v>
      </c>
      <c r="S1" s="4" t="s">
        <v>663</v>
      </c>
    </row>
    <row r="2" spans="1:19" x14ac:dyDescent="0.2">
      <c r="A2" s="4" t="s">
        <v>32</v>
      </c>
      <c r="B2" s="4" t="s">
        <v>652</v>
      </c>
      <c r="C2" t="s">
        <v>40</v>
      </c>
      <c r="D2" t="s">
        <v>34</v>
      </c>
      <c r="E2" s="4" t="s">
        <v>33</v>
      </c>
      <c r="F2" t="s">
        <v>656</v>
      </c>
      <c r="G2" t="s">
        <v>657</v>
      </c>
      <c r="H2" t="s">
        <v>658</v>
      </c>
      <c r="I2" t="s">
        <v>659</v>
      </c>
      <c r="J2" s="4" t="s">
        <v>39</v>
      </c>
      <c r="K2" s="4" t="s">
        <v>41</v>
      </c>
      <c r="L2" t="s">
        <v>42</v>
      </c>
      <c r="M2" t="s">
        <v>661</v>
      </c>
      <c r="N2" s="4" t="s">
        <v>43</v>
      </c>
      <c r="O2" t="s">
        <v>660</v>
      </c>
      <c r="P2" s="4" t="s">
        <v>756</v>
      </c>
      <c r="Q2" t="s">
        <v>667</v>
      </c>
      <c r="R2" s="4" t="s">
        <v>662</v>
      </c>
      <c r="S2" s="4" t="s">
        <v>663</v>
      </c>
    </row>
    <row r="3" spans="1:19" x14ac:dyDescent="0.2">
      <c r="A3" s="4">
        <v>1</v>
      </c>
      <c r="B3" s="4" t="s">
        <v>653</v>
      </c>
      <c r="C3" t="s">
        <v>757</v>
      </c>
      <c r="D3" t="s">
        <v>758</v>
      </c>
      <c r="E3" s="4">
        <v>4</v>
      </c>
      <c r="F3" t="s">
        <v>759</v>
      </c>
      <c r="G3" t="s">
        <v>760</v>
      </c>
      <c r="H3" t="s">
        <v>761</v>
      </c>
      <c r="I3" t="s">
        <v>762</v>
      </c>
      <c r="J3" s="4" t="s">
        <v>924</v>
      </c>
      <c r="K3" s="4" t="s">
        <v>928</v>
      </c>
      <c r="L3" t="s">
        <v>83</v>
      </c>
      <c r="M3" t="s">
        <v>677</v>
      </c>
      <c r="N3" s="4" t="s">
        <v>931</v>
      </c>
      <c r="O3" t="s">
        <v>320</v>
      </c>
      <c r="P3" s="4">
        <f>IFERROR(VALUE(RIGHT(LEFT([1]!Questions[[#This Row],[Content_standard]],5),2)),"")</f>
        <v>1</v>
      </c>
      <c r="Q3" t="str">
        <f>IFERROR(VLOOKUP([1]!Questions[[#This Row],[Content_standard]],[1]!Content_Standards[#Data],2,FALSE),"")</f>
        <v>Colonization Impact on Native Americans</v>
      </c>
      <c r="R3" s="90">
        <f>AVERAGE(INDEX([1]!Scores[#Data],0,MATCH("Q"&amp;$A3,[1]!Scores[#Headers],0)))</f>
        <v>0.71370967741935487</v>
      </c>
      <c r="S3" s="92" cm="1">
        <f t="array" ref="S3">IFERROR(CORREL(INDEX([1]!Scores[#Data],0,MATCH("Q"&amp;$A3,[1]!Scores[#Headers],0)),[1]!Scores[MC]-INDEX([1]!Scores[#Data],0,MATCH("Q"&amp;$A3,[1]!Scores[#Headers],0))),"")</f>
        <v>0.56496717818413722</v>
      </c>
    </row>
    <row r="4" spans="1:19" x14ac:dyDescent="0.2">
      <c r="A4" s="4">
        <v>2</v>
      </c>
      <c r="B4" s="4" t="s">
        <v>653</v>
      </c>
      <c r="C4" t="s">
        <v>757</v>
      </c>
      <c r="D4" t="s">
        <v>763</v>
      </c>
      <c r="E4" s="4">
        <v>2</v>
      </c>
      <c r="F4" t="s">
        <v>764</v>
      </c>
      <c r="G4" t="s">
        <v>765</v>
      </c>
      <c r="H4" t="s">
        <v>766</v>
      </c>
      <c r="I4" t="s">
        <v>767</v>
      </c>
      <c r="J4" s="4" t="s">
        <v>924</v>
      </c>
      <c r="K4" s="4" t="s">
        <v>928</v>
      </c>
      <c r="L4" t="s">
        <v>97</v>
      </c>
      <c r="M4" t="s">
        <v>686</v>
      </c>
      <c r="N4" s="4" t="s">
        <v>932</v>
      </c>
      <c r="O4" t="s">
        <v>323</v>
      </c>
      <c r="P4" s="4">
        <f>IFERROR(VALUE(RIGHT(LEFT([1]!Questions[[#This Row],[Content_standard]],5),2)),"")</f>
        <v>2</v>
      </c>
      <c r="Q4" t="str">
        <f>IFERROR(VLOOKUP([1]!Questions[[#This Row],[Content_standard]],[1]!Content_Standards[#Data],2,FALSE),"")</f>
        <v>Declaration of Independence</v>
      </c>
      <c r="R4" s="90">
        <f>AVERAGE(INDEX([1]!Scores[#Data],0,MATCH("Q"&amp;$A4,[1]!Scores[#Headers],0)))</f>
        <v>0.49193548387096775</v>
      </c>
      <c r="S4" s="92" cm="1">
        <f t="array" ref="S4">IFERROR(CORREL(INDEX([1]!Scores[#Data],0,MATCH("Q"&amp;$A4,[1]!Scores[#Headers],0)),[1]!Scores[MC]-INDEX([1]!Scores[#Data],0,MATCH("Q"&amp;$A4,[1]!Scores[#Headers],0))),"")</f>
        <v>0.44336767284812728</v>
      </c>
    </row>
    <row r="5" spans="1:19" x14ac:dyDescent="0.2">
      <c r="A5" s="4">
        <v>3</v>
      </c>
      <c r="B5" s="4" t="s">
        <v>653</v>
      </c>
      <c r="C5" t="s">
        <v>905</v>
      </c>
      <c r="D5" t="s">
        <v>768</v>
      </c>
      <c r="E5" s="4">
        <v>3</v>
      </c>
      <c r="F5" t="s">
        <v>769</v>
      </c>
      <c r="G5" t="s">
        <v>770</v>
      </c>
      <c r="H5" t="s">
        <v>771</v>
      </c>
      <c r="I5" t="s">
        <v>772</v>
      </c>
      <c r="J5" s="4" t="s">
        <v>924</v>
      </c>
      <c r="K5" s="4" t="s">
        <v>928</v>
      </c>
      <c r="L5" t="s">
        <v>91</v>
      </c>
      <c r="M5" t="s">
        <v>711</v>
      </c>
      <c r="N5" s="4" t="s">
        <v>932</v>
      </c>
      <c r="O5" t="s">
        <v>345</v>
      </c>
      <c r="P5" s="4">
        <f>IFERROR(VALUE(RIGHT(LEFT([1]!Questions[[#This Row],[Content_standard]],5),2)),"")</f>
        <v>2</v>
      </c>
      <c r="Q5" t="str">
        <f>IFERROR(VLOOKUP([1]!Questions[[#This Row],[Content_standard]],[1]!Content_Standards[#Data],2,FALSE),"")</f>
        <v>Declaration of Independence</v>
      </c>
      <c r="R5" s="90">
        <f>AVERAGE(INDEX([1]!Scores[#Data],0,MATCH("Q"&amp;$A5,[1]!Scores[#Headers],0)))</f>
        <v>0.57661290322580649</v>
      </c>
      <c r="S5" s="92" cm="1">
        <f t="array" ref="S5">IFERROR(CORREL(INDEX([1]!Scores[#Data],0,MATCH("Q"&amp;$A5,[1]!Scores[#Headers],0)),[1]!Scores[MC]-INDEX([1]!Scores[#Data],0,MATCH("Q"&amp;$A5,[1]!Scores[#Headers],0))),"")</f>
        <v>0.47825163730914</v>
      </c>
    </row>
    <row r="6" spans="1:19" x14ac:dyDescent="0.2">
      <c r="A6" s="4">
        <v>4</v>
      </c>
      <c r="B6" s="4" t="s">
        <v>653</v>
      </c>
      <c r="C6" t="s">
        <v>905</v>
      </c>
      <c r="D6" t="s">
        <v>773</v>
      </c>
      <c r="E6" s="4">
        <v>3</v>
      </c>
      <c r="F6" t="s">
        <v>774</v>
      </c>
      <c r="G6" t="s">
        <v>775</v>
      </c>
      <c r="H6" t="s">
        <v>776</v>
      </c>
      <c r="I6" t="s">
        <v>777</v>
      </c>
      <c r="J6" s="4" t="s">
        <v>924</v>
      </c>
      <c r="K6" s="4" t="s">
        <v>928</v>
      </c>
      <c r="L6" t="s">
        <v>105</v>
      </c>
      <c r="M6" t="s">
        <v>705</v>
      </c>
      <c r="N6" s="4" t="s">
        <v>932</v>
      </c>
      <c r="O6" t="s">
        <v>345</v>
      </c>
      <c r="P6" s="4">
        <f>IFERROR(VALUE(RIGHT(LEFT([1]!Questions[[#This Row],[Content_standard]],5),2)),"")</f>
        <v>3</v>
      </c>
      <c r="Q6" t="str">
        <f>IFERROR(VLOOKUP([1]!Questions[[#This Row],[Content_standard]],[1]!Content_Standards[#Data],2,FALSE),"")</f>
        <v>Expansion of Slavery</v>
      </c>
      <c r="R6" s="90">
        <f>AVERAGE(INDEX([1]!Scores[#Data],0,MATCH("Q"&amp;$A6,[1]!Scores[#Headers],0)))</f>
        <v>0.3911290322580645</v>
      </c>
      <c r="S6" s="92" cm="1">
        <f t="array" ref="S6">IFERROR(CORREL(INDEX([1]!Scores[#Data],0,MATCH("Q"&amp;$A6,[1]!Scores[#Headers],0)),[1]!Scores[MC]-INDEX([1]!Scores[#Data],0,MATCH("Q"&amp;$A6,[1]!Scores[#Headers],0))),"")</f>
        <v>0.43853754155887092</v>
      </c>
    </row>
    <row r="7" spans="1:19" x14ac:dyDescent="0.2">
      <c r="A7" s="4">
        <v>5</v>
      </c>
      <c r="B7" s="4" t="s">
        <v>653</v>
      </c>
      <c r="C7" t="s">
        <v>904</v>
      </c>
      <c r="D7" t="s">
        <v>778</v>
      </c>
      <c r="E7" s="4">
        <v>1</v>
      </c>
      <c r="F7" t="s">
        <v>779</v>
      </c>
      <c r="G7" t="s">
        <v>780</v>
      </c>
      <c r="H7" t="s">
        <v>781</v>
      </c>
      <c r="I7" t="s">
        <v>782</v>
      </c>
      <c r="J7" s="4" t="s">
        <v>924</v>
      </c>
      <c r="K7" s="4" t="s">
        <v>929</v>
      </c>
      <c r="L7" t="s">
        <v>85</v>
      </c>
      <c r="M7" t="s">
        <v>673</v>
      </c>
      <c r="N7" s="4" t="s">
        <v>931</v>
      </c>
      <c r="O7" t="s">
        <v>395</v>
      </c>
      <c r="P7" s="4">
        <f>IFERROR(VALUE(RIGHT(LEFT([1]!Questions[[#This Row],[Content_standard]],5),2)),"")</f>
        <v>3</v>
      </c>
      <c r="Q7" t="str">
        <f>IFERROR(VLOOKUP([1]!Questions[[#This Row],[Content_standard]],[1]!Content_Standards[#Data],2,FALSE),"")</f>
        <v>Expansion of Slavery</v>
      </c>
      <c r="R7" s="90">
        <f>AVERAGE(INDEX([1]!Scores[#Data],0,MATCH("Q"&amp;$A7,[1]!Scores[#Headers],0)))</f>
        <v>0.67741935483870963</v>
      </c>
      <c r="S7" s="92" cm="1">
        <f t="array" ref="S7">IFERROR(CORREL(INDEX([1]!Scores[#Data],0,MATCH("Q"&amp;$A7,[1]!Scores[#Headers],0)),[1]!Scores[MC]-INDEX([1]!Scores[#Data],0,MATCH("Q"&amp;$A7,[1]!Scores[#Headers],0))),"")</f>
        <v>0.60255209092650364</v>
      </c>
    </row>
    <row r="8" spans="1:19" x14ac:dyDescent="0.2">
      <c r="A8" s="4">
        <v>6</v>
      </c>
      <c r="B8" s="4" t="s">
        <v>653</v>
      </c>
      <c r="C8" t="s">
        <v>904</v>
      </c>
      <c r="D8" t="s">
        <v>783</v>
      </c>
      <c r="E8" s="4">
        <v>4</v>
      </c>
      <c r="F8" t="s">
        <v>784</v>
      </c>
      <c r="G8" t="s">
        <v>785</v>
      </c>
      <c r="H8" t="s">
        <v>786</v>
      </c>
      <c r="I8" t="s">
        <v>787</v>
      </c>
      <c r="J8" s="4" t="s">
        <v>924</v>
      </c>
      <c r="K8" s="4" t="s">
        <v>929</v>
      </c>
      <c r="L8" t="s">
        <v>97</v>
      </c>
      <c r="M8" t="s">
        <v>686</v>
      </c>
      <c r="N8" s="4" t="s">
        <v>932</v>
      </c>
      <c r="O8" t="s">
        <v>395</v>
      </c>
      <c r="P8" s="4">
        <f>IFERROR(VALUE(RIGHT(LEFT([1]!Questions[[#This Row],[Content_standard]],5),2)),"")</f>
        <v>3</v>
      </c>
      <c r="Q8" t="str">
        <f>IFERROR(VLOOKUP([1]!Questions[[#This Row],[Content_standard]],[1]!Content_Standards[#Data],2,FALSE),"")</f>
        <v>Union vs. Confederacy</v>
      </c>
      <c r="R8" s="90">
        <f>AVERAGE(INDEX([1]!Scores[#Data],0,MATCH("Q"&amp;$A8,[1]!Scores[#Headers],0)))</f>
        <v>0.26209677419354838</v>
      </c>
      <c r="S8" s="92" cm="1">
        <f t="array" ref="S8">IFERROR(CORREL(INDEX([1]!Scores[#Data],0,MATCH("Q"&amp;$A8,[1]!Scores[#Headers],0)),[1]!Scores[MC]-INDEX([1]!Scores[#Data],0,MATCH("Q"&amp;$A8,[1]!Scores[#Headers],0))),"")</f>
        <v>0.29412506618537282</v>
      </c>
    </row>
    <row r="9" spans="1:19" x14ac:dyDescent="0.2">
      <c r="A9" s="4">
        <v>7</v>
      </c>
      <c r="B9" s="4" t="s">
        <v>653</v>
      </c>
      <c r="C9" t="s">
        <v>906</v>
      </c>
      <c r="D9" t="s">
        <v>788</v>
      </c>
      <c r="E9" s="4">
        <v>3</v>
      </c>
      <c r="F9" t="s">
        <v>789</v>
      </c>
      <c r="G9" t="s">
        <v>790</v>
      </c>
      <c r="H9" t="s">
        <v>791</v>
      </c>
      <c r="I9" t="s">
        <v>792</v>
      </c>
      <c r="J9" s="4" t="s">
        <v>924</v>
      </c>
      <c r="K9" s="4" t="s">
        <v>928</v>
      </c>
      <c r="L9" t="s">
        <v>85</v>
      </c>
      <c r="M9" t="s">
        <v>673</v>
      </c>
      <c r="N9" s="4" t="s">
        <v>931</v>
      </c>
      <c r="O9" t="s">
        <v>398</v>
      </c>
      <c r="P9" s="4">
        <f>IFERROR(VALUE(RIGHT(LEFT([1]!Questions[[#This Row],[Content_standard]],5),2)),"")</f>
        <v>3</v>
      </c>
      <c r="Q9" t="str">
        <f>IFERROR(VLOOKUP([1]!Questions[[#This Row],[Content_standard]],[1]!Content_Standards[#Data],2,FALSE),"")</f>
        <v>Federal Power: Habeas Corpus &amp; Emancipation</v>
      </c>
      <c r="R9" s="90">
        <f>AVERAGE(INDEX([1]!Scores[#Data],0,MATCH("Q"&amp;$A9,[1]!Scores[#Headers],0)))</f>
        <v>0.59677419354838712</v>
      </c>
      <c r="S9" s="92" cm="1">
        <f t="array" ref="S9">IFERROR(CORREL(INDEX([1]!Scores[#Data],0,MATCH("Q"&amp;$A9,[1]!Scores[#Headers],0)),[1]!Scores[MC]-INDEX([1]!Scores[#Data],0,MATCH("Q"&amp;$A9,[1]!Scores[#Headers],0))),"")</f>
        <v>0.5417613423141221</v>
      </c>
    </row>
    <row r="10" spans="1:19" x14ac:dyDescent="0.2">
      <c r="A10" s="4">
        <v>8</v>
      </c>
      <c r="B10" s="4" t="s">
        <v>653</v>
      </c>
      <c r="C10" t="s">
        <v>906</v>
      </c>
      <c r="D10" t="s">
        <v>793</v>
      </c>
      <c r="E10" s="4">
        <v>2</v>
      </c>
      <c r="F10" t="s">
        <v>794</v>
      </c>
      <c r="G10" t="s">
        <v>795</v>
      </c>
      <c r="H10" t="s">
        <v>796</v>
      </c>
      <c r="I10" t="s">
        <v>797</v>
      </c>
      <c r="J10" s="4" t="s">
        <v>924</v>
      </c>
      <c r="K10" s="4" t="s">
        <v>928</v>
      </c>
      <c r="L10" t="s">
        <v>113</v>
      </c>
      <c r="M10" t="s">
        <v>705</v>
      </c>
      <c r="N10" s="4" t="s">
        <v>932</v>
      </c>
      <c r="O10" t="s">
        <v>401</v>
      </c>
      <c r="P10" s="4">
        <f>IFERROR(VALUE(RIGHT(LEFT([1]!Questions[[#This Row],[Content_standard]],5),2)),"")</f>
        <v>5</v>
      </c>
      <c r="Q10" t="str">
        <f>IFERROR(VLOOKUP([1]!Questions[[#This Row],[Content_standard]],[1]!Content_Standards[#Data],2,FALSE),"")</f>
        <v>Urbanization &amp; Immigration</v>
      </c>
      <c r="R10" s="90">
        <f>AVERAGE(INDEX([1]!Scores[#Data],0,MATCH("Q"&amp;$A10,[1]!Scores[#Headers],0)))</f>
        <v>0.63306451612903225</v>
      </c>
      <c r="S10" s="92" cm="1">
        <f t="array" ref="S10">IFERROR(CORREL(INDEX([1]!Scores[#Data],0,MATCH("Q"&amp;$A10,[1]!Scores[#Headers],0)),[1]!Scores[MC]-INDEX([1]!Scores[#Data],0,MATCH("Q"&amp;$A10,[1]!Scores[#Headers],0))),"")</f>
        <v>0.52328000231444827</v>
      </c>
    </row>
    <row r="11" spans="1:19" x14ac:dyDescent="0.2">
      <c r="A11" s="4">
        <v>9</v>
      </c>
      <c r="B11" s="4" t="s">
        <v>653</v>
      </c>
      <c r="C11" t="s">
        <v>907</v>
      </c>
      <c r="D11" t="s">
        <v>798</v>
      </c>
      <c r="E11" s="4">
        <v>2</v>
      </c>
      <c r="F11" t="s">
        <v>799</v>
      </c>
      <c r="G11" t="s">
        <v>800</v>
      </c>
      <c r="H11" t="s">
        <v>801</v>
      </c>
      <c r="I11" t="s">
        <v>802</v>
      </c>
      <c r="J11" s="4" t="s">
        <v>924</v>
      </c>
      <c r="K11" s="4" t="s">
        <v>928</v>
      </c>
      <c r="L11" t="s">
        <v>91</v>
      </c>
      <c r="M11" t="s">
        <v>692</v>
      </c>
      <c r="N11" s="4" t="s">
        <v>932</v>
      </c>
      <c r="O11" t="s">
        <v>443</v>
      </c>
      <c r="P11" s="4">
        <f>IFERROR(VALUE(RIGHT(LEFT([1]!Questions[[#This Row],[Content_standard]],5),2)),"")</f>
        <v>5</v>
      </c>
      <c r="Q11" t="str">
        <f>IFERROR(VLOOKUP([1]!Questions[[#This Row],[Content_standard]],[1]!Content_Standards[#Data],2,FALSE),"")</f>
        <v>Urbanization &amp; Immigration</v>
      </c>
      <c r="R11" s="90">
        <f>AVERAGE(INDEX([1]!Scores[#Data],0,MATCH("Q"&amp;$A11,[1]!Scores[#Headers],0)))</f>
        <v>0.55645161290322576</v>
      </c>
      <c r="S11" s="92" cm="1">
        <f t="array" ref="S11">IFERROR(CORREL(INDEX([1]!Scores[#Data],0,MATCH("Q"&amp;$A11,[1]!Scores[#Headers],0)),[1]!Scores[MC]-INDEX([1]!Scores[#Data],0,MATCH("Q"&amp;$A11,[1]!Scores[#Headers],0))),"")</f>
        <v>0.45137199062833833</v>
      </c>
    </row>
    <row r="12" spans="1:19" x14ac:dyDescent="0.2">
      <c r="A12" s="4">
        <v>10</v>
      </c>
      <c r="B12" s="4" t="s">
        <v>653</v>
      </c>
      <c r="C12" t="s">
        <v>907</v>
      </c>
      <c r="D12" t="s">
        <v>803</v>
      </c>
      <c r="E12" s="4">
        <v>1</v>
      </c>
      <c r="F12" t="s">
        <v>804</v>
      </c>
      <c r="G12" t="s">
        <v>805</v>
      </c>
      <c r="H12" t="s">
        <v>806</v>
      </c>
      <c r="I12" t="s">
        <v>807</v>
      </c>
      <c r="J12" s="4" t="s">
        <v>924</v>
      </c>
      <c r="K12" s="4" t="s">
        <v>928</v>
      </c>
      <c r="L12" t="s">
        <v>97</v>
      </c>
      <c r="M12" t="s">
        <v>686</v>
      </c>
      <c r="N12" s="4" t="s">
        <v>932</v>
      </c>
      <c r="O12" t="s">
        <v>443</v>
      </c>
      <c r="P12" s="4">
        <f>IFERROR(VALUE(RIGHT(LEFT([1]!Questions[[#This Row],[Content_standard]],5),2)),"")</f>
        <v>4</v>
      </c>
      <c r="Q12" t="str">
        <f>IFERROR(VLOOKUP([1]!Questions[[#This Row],[Content_standard]],[1]!Content_Standards[#Data],2,FALSE),"")</f>
        <v>Limiting of Black Rights</v>
      </c>
      <c r="R12" s="90">
        <f>AVERAGE(INDEX([1]!Scores[#Data],0,MATCH("Q"&amp;$A12,[1]!Scores[#Headers],0)))</f>
        <v>0.72177419354838712</v>
      </c>
      <c r="S12" s="92" cm="1">
        <f t="array" ref="S12">IFERROR(CORREL(INDEX([1]!Scores[#Data],0,MATCH("Q"&amp;$A12,[1]!Scores[#Headers],0)),[1]!Scores[MC]-INDEX([1]!Scores[#Data],0,MATCH("Q"&amp;$A12,[1]!Scores[#Headers],0))),"")</f>
        <v>0.57852318818836468</v>
      </c>
    </row>
    <row r="13" spans="1:19" x14ac:dyDescent="0.2">
      <c r="A13" s="4">
        <v>11</v>
      </c>
      <c r="B13" s="4" t="s">
        <v>653</v>
      </c>
      <c r="C13" t="s">
        <v>908</v>
      </c>
      <c r="D13" t="s">
        <v>808</v>
      </c>
      <c r="E13" s="4">
        <v>2</v>
      </c>
      <c r="F13" t="s">
        <v>809</v>
      </c>
      <c r="G13" t="s">
        <v>810</v>
      </c>
      <c r="H13" t="s">
        <v>811</v>
      </c>
      <c r="I13" t="s">
        <v>812</v>
      </c>
      <c r="J13" s="4" t="s">
        <v>925</v>
      </c>
      <c r="K13" s="4" t="s">
        <v>928</v>
      </c>
      <c r="L13" t="s">
        <v>95</v>
      </c>
      <c r="M13" t="s">
        <v>686</v>
      </c>
      <c r="N13" s="4" t="s">
        <v>932</v>
      </c>
      <c r="O13" t="s">
        <v>410</v>
      </c>
      <c r="P13" s="4">
        <f>IFERROR(VALUE(RIGHT(LEFT([1]!Questions[[#This Row],[Content_standard]],5),2)),"")</f>
        <v>4</v>
      </c>
      <c r="Q13" t="str">
        <f>IFERROR(VLOOKUP([1]!Questions[[#This Row],[Content_standard]],[1]!Content_Standards[#Data],2,FALSE),"")</f>
        <v>Limiting of Black Rights</v>
      </c>
      <c r="R13" s="90">
        <f>AVERAGE(INDEX([1]!Scores[#Data],0,MATCH("Q"&amp;$A13,[1]!Scores[#Headers],0)))</f>
        <v>0.67741935483870963</v>
      </c>
      <c r="S13" s="92" cm="1">
        <f t="array" ref="S13">IFERROR(CORREL(INDEX([1]!Scores[#Data],0,MATCH("Q"&amp;$A13,[1]!Scores[#Headers],0)),[1]!Scores[MC]-INDEX([1]!Scores[#Data],0,MATCH("Q"&amp;$A13,[1]!Scores[#Headers],0))),"")</f>
        <v>0.61051091661852053</v>
      </c>
    </row>
    <row r="14" spans="1:19" x14ac:dyDescent="0.2">
      <c r="A14" s="4">
        <v>12</v>
      </c>
      <c r="B14" s="4" t="s">
        <v>653</v>
      </c>
      <c r="C14" t="s">
        <v>908</v>
      </c>
      <c r="D14" t="s">
        <v>813</v>
      </c>
      <c r="E14" s="4">
        <v>4</v>
      </c>
      <c r="F14" t="s">
        <v>814</v>
      </c>
      <c r="G14" t="s">
        <v>815</v>
      </c>
      <c r="H14" t="s">
        <v>816</v>
      </c>
      <c r="I14" t="s">
        <v>817</v>
      </c>
      <c r="J14" s="4" t="s">
        <v>925</v>
      </c>
      <c r="K14" s="4" t="s">
        <v>928</v>
      </c>
      <c r="L14" t="s">
        <v>95</v>
      </c>
      <c r="M14" t="s">
        <v>686</v>
      </c>
      <c r="N14" s="4" t="s">
        <v>932</v>
      </c>
      <c r="O14" t="s">
        <v>410</v>
      </c>
      <c r="P14" s="4">
        <f>IFERROR(VALUE(RIGHT(LEFT([1]!Questions[[#This Row],[Content_standard]],5),2)),"")</f>
        <v>6</v>
      </c>
      <c r="Q14" t="str">
        <f>IFERROR(VLOOKUP([1]!Questions[[#This Row],[Content_standard]],[1]!Content_Standards[#Data],2,FALSE),"")</f>
        <v>Imperialism in the Caribbean &amp; Latin America</v>
      </c>
      <c r="R14" s="90">
        <f>AVERAGE(INDEX([1]!Scores[#Data],0,MATCH("Q"&amp;$A14,[1]!Scores[#Headers],0)))</f>
        <v>0.46370967741935482</v>
      </c>
      <c r="S14" s="92" cm="1">
        <f t="array" ref="S14">IFERROR(CORREL(INDEX([1]!Scores[#Data],0,MATCH("Q"&amp;$A14,[1]!Scores[#Headers],0)),[1]!Scores[MC]-INDEX([1]!Scores[#Data],0,MATCH("Q"&amp;$A14,[1]!Scores[#Headers],0))),"")</f>
        <v>0.46992008416102732</v>
      </c>
    </row>
    <row r="15" spans="1:19" x14ac:dyDescent="0.2">
      <c r="A15" s="4">
        <v>13</v>
      </c>
      <c r="B15" s="4" t="s">
        <v>653</v>
      </c>
      <c r="C15" t="s">
        <v>909</v>
      </c>
      <c r="D15" t="s">
        <v>818</v>
      </c>
      <c r="E15" s="4">
        <v>2</v>
      </c>
      <c r="F15" t="s">
        <v>819</v>
      </c>
      <c r="G15" t="s">
        <v>820</v>
      </c>
      <c r="H15" t="s">
        <v>821</v>
      </c>
      <c r="I15" t="s">
        <v>822</v>
      </c>
      <c r="J15" s="4" t="s">
        <v>925</v>
      </c>
      <c r="K15" s="4" t="s">
        <v>928</v>
      </c>
      <c r="L15" t="s">
        <v>85</v>
      </c>
      <c r="M15" t="s">
        <v>673</v>
      </c>
      <c r="N15" s="4" t="s">
        <v>931</v>
      </c>
      <c r="O15" t="s">
        <v>472</v>
      </c>
      <c r="P15" s="4">
        <f>IFERROR(VALUE(RIGHT(LEFT([1]!Questions[[#This Row],[Content_standard]],5),2)),"")</f>
        <v>6</v>
      </c>
      <c r="Q15" t="str">
        <f>IFERROR(VLOOKUP([1]!Questions[[#This Row],[Content_standard]],[1]!Content_Standards[#Data],2,FALSE),"")</f>
        <v>(Anti) Imperialism &amp; the Philippines</v>
      </c>
      <c r="R15" s="90">
        <f>AVERAGE(INDEX([1]!Scores[#Data],0,MATCH("Q"&amp;$A15,[1]!Scores[#Headers],0)))</f>
        <v>0.56451612903225812</v>
      </c>
      <c r="S15" s="92" cm="1">
        <f t="array" ref="S15">IFERROR(CORREL(INDEX([1]!Scores[#Data],0,MATCH("Q"&amp;$A15,[1]!Scores[#Headers],0)),[1]!Scores[MC]-INDEX([1]!Scores[#Data],0,MATCH("Q"&amp;$A15,[1]!Scores[#Headers],0))),"")</f>
        <v>0.46786950786708192</v>
      </c>
    </row>
    <row r="16" spans="1:19" x14ac:dyDescent="0.2">
      <c r="A16" s="4">
        <v>14</v>
      </c>
      <c r="B16" s="4" t="s">
        <v>653</v>
      </c>
      <c r="C16" t="s">
        <v>909</v>
      </c>
      <c r="D16" t="s">
        <v>823</v>
      </c>
      <c r="E16" s="4">
        <v>4</v>
      </c>
      <c r="F16" t="s">
        <v>824</v>
      </c>
      <c r="G16" t="s">
        <v>825</v>
      </c>
      <c r="H16" t="s">
        <v>826</v>
      </c>
      <c r="I16" t="s">
        <v>827</v>
      </c>
      <c r="J16" s="4" t="s">
        <v>925</v>
      </c>
      <c r="K16" s="4" t="s">
        <v>928</v>
      </c>
      <c r="L16" t="s">
        <v>109</v>
      </c>
      <c r="M16" t="s">
        <v>750</v>
      </c>
      <c r="N16" s="4" t="s">
        <v>932</v>
      </c>
      <c r="O16" t="s">
        <v>470</v>
      </c>
      <c r="P16" s="4">
        <f>IFERROR(VALUE(RIGHT(LEFT([1]!Questions[[#This Row],[Content_standard]],5),2)),"")</f>
        <v>5</v>
      </c>
      <c r="Q16" t="str">
        <f>IFERROR(VLOOKUP([1]!Questions[[#This Row],[Content_standard]],[1]!Content_Standards[#Data],2,FALSE),"")</f>
        <v>Temperance &amp; Prohibition</v>
      </c>
      <c r="R16" s="90">
        <f>AVERAGE(INDEX([1]!Scores[#Data],0,MATCH("Q"&amp;$A16,[1]!Scores[#Headers],0)))</f>
        <v>0.49596774193548387</v>
      </c>
      <c r="S16" s="92" cm="1">
        <f t="array" ref="S16">IFERROR(CORREL(INDEX([1]!Scores[#Data],0,MATCH("Q"&amp;$A16,[1]!Scores[#Headers],0)),[1]!Scores[MC]-INDEX([1]!Scores[#Data],0,MATCH("Q"&amp;$A16,[1]!Scores[#Headers],0))),"")</f>
        <v>0.38532208051959316</v>
      </c>
    </row>
    <row r="17" spans="1:19" x14ac:dyDescent="0.2">
      <c r="A17" s="4">
        <v>15</v>
      </c>
      <c r="B17" s="4" t="s">
        <v>653</v>
      </c>
      <c r="C17" t="s">
        <v>910</v>
      </c>
      <c r="D17" t="s">
        <v>828</v>
      </c>
      <c r="E17" s="4">
        <v>3</v>
      </c>
      <c r="F17" t="s">
        <v>829</v>
      </c>
      <c r="G17" t="s">
        <v>830</v>
      </c>
      <c r="H17" t="s">
        <v>831</v>
      </c>
      <c r="I17" t="s">
        <v>832</v>
      </c>
      <c r="J17" s="4" t="s">
        <v>925</v>
      </c>
      <c r="K17" s="4" t="s">
        <v>928</v>
      </c>
      <c r="L17" t="s">
        <v>95</v>
      </c>
      <c r="M17" t="s">
        <v>686</v>
      </c>
      <c r="N17" s="4" t="s">
        <v>932</v>
      </c>
      <c r="O17" t="s">
        <v>458</v>
      </c>
      <c r="P17" s="4">
        <f>IFERROR(VALUE(RIGHT(LEFT([1]!Questions[[#This Row],[Content_standard]],5),2)),"")</f>
        <v>7</v>
      </c>
      <c r="Q17" t="str">
        <f>IFERROR(VLOOKUP([1]!Questions[[#This Row],[Content_standard]],[1]!Content_Standards[#Data],2,FALSE),"")</f>
        <v>Prohibition</v>
      </c>
      <c r="R17" s="90">
        <f>AVERAGE(INDEX([1]!Scores[#Data],0,MATCH("Q"&amp;$A17,[1]!Scores[#Headers],0)))</f>
        <v>0.39516129032258063</v>
      </c>
      <c r="S17" s="92" cm="1">
        <f t="array" ref="S17">IFERROR(CORREL(INDEX([1]!Scores[#Data],0,MATCH("Q"&amp;$A17,[1]!Scores[#Headers],0)),[1]!Scores[MC]-INDEX([1]!Scores[#Data],0,MATCH("Q"&amp;$A17,[1]!Scores[#Headers],0))),"")</f>
        <v>0.45393851021872744</v>
      </c>
    </row>
    <row r="18" spans="1:19" x14ac:dyDescent="0.2">
      <c r="A18" s="4">
        <v>16</v>
      </c>
      <c r="B18" s="4" t="s">
        <v>653</v>
      </c>
      <c r="C18" t="s">
        <v>910</v>
      </c>
      <c r="D18" t="s">
        <v>833</v>
      </c>
      <c r="E18" s="4">
        <v>1</v>
      </c>
      <c r="F18" t="s">
        <v>834</v>
      </c>
      <c r="G18" t="s">
        <v>835</v>
      </c>
      <c r="H18" t="s">
        <v>836</v>
      </c>
      <c r="I18" t="s">
        <v>837</v>
      </c>
      <c r="J18" s="4" t="s">
        <v>925</v>
      </c>
      <c r="K18" s="4" t="s">
        <v>928</v>
      </c>
      <c r="L18" t="s">
        <v>93</v>
      </c>
      <c r="M18" t="s">
        <v>677</v>
      </c>
      <c r="N18" s="4" t="s">
        <v>932</v>
      </c>
      <c r="O18" t="s">
        <v>499</v>
      </c>
      <c r="P18" s="4">
        <f>IFERROR(VALUE(RIGHT(LEFT([1]!Questions[[#This Row],[Content_standard]],5),2)),"")</f>
        <v>7</v>
      </c>
      <c r="Q18" t="str">
        <f>IFERROR(VLOOKUP([1]!Questions[[#This Row],[Content_standard]],[1]!Content_Standards[#Data],2,FALSE),"")</f>
        <v>The Great Depression</v>
      </c>
      <c r="R18" s="90">
        <f>AVERAGE(INDEX([1]!Scores[#Data],0,MATCH("Q"&amp;$A18,[1]!Scores[#Headers],0)))</f>
        <v>0.39516129032258063</v>
      </c>
      <c r="S18" s="92" cm="1">
        <f t="array" ref="S18">IFERROR(CORREL(INDEX([1]!Scores[#Data],0,MATCH("Q"&amp;$A18,[1]!Scores[#Headers],0)),[1]!Scores[MC]-INDEX([1]!Scores[#Data],0,MATCH("Q"&amp;$A18,[1]!Scores[#Headers],0))),"")</f>
        <v>0.4365119751222874</v>
      </c>
    </row>
    <row r="19" spans="1:19" x14ac:dyDescent="0.2">
      <c r="A19" s="4">
        <v>17</v>
      </c>
      <c r="B19" s="4" t="s">
        <v>653</v>
      </c>
      <c r="C19" t="s">
        <v>911</v>
      </c>
      <c r="D19" t="s">
        <v>838</v>
      </c>
      <c r="E19" s="4">
        <v>1</v>
      </c>
      <c r="F19" t="s">
        <v>839</v>
      </c>
      <c r="G19" t="s">
        <v>840</v>
      </c>
      <c r="H19" t="s">
        <v>841</v>
      </c>
      <c r="I19" t="s">
        <v>842</v>
      </c>
      <c r="J19" s="4" t="s">
        <v>925</v>
      </c>
      <c r="K19" s="4" t="s">
        <v>928</v>
      </c>
      <c r="L19" t="s">
        <v>95</v>
      </c>
      <c r="M19" t="s">
        <v>750</v>
      </c>
      <c r="N19" s="4" t="s">
        <v>932</v>
      </c>
      <c r="O19" t="s">
        <v>520</v>
      </c>
      <c r="P19" s="4">
        <f>IFERROR(VALUE(RIGHT(LEFT([1]!Questions[[#This Row],[Content_standard]],5),2)),"")</f>
        <v>7</v>
      </c>
      <c r="Q19" t="str">
        <f>IFERROR(VLOOKUP([1]!Questions[[#This Row],[Content_standard]],[1]!Content_Standards[#Data],2,FALSE),"")</f>
        <v>New Deal</v>
      </c>
      <c r="R19" s="90">
        <f>AVERAGE(INDEX([1]!Scores[#Data],0,MATCH("Q"&amp;$A19,[1]!Scores[#Headers],0)))</f>
        <v>0.64919354838709675</v>
      </c>
      <c r="S19" s="92" cm="1">
        <f t="array" ref="S19">IFERROR(CORREL(INDEX([1]!Scores[#Data],0,MATCH("Q"&amp;$A19,[1]!Scores[#Headers],0)),[1]!Scores[MC]-INDEX([1]!Scores[#Data],0,MATCH("Q"&amp;$A19,[1]!Scores[#Headers],0))),"")</f>
        <v>0.54780059724151597</v>
      </c>
    </row>
    <row r="20" spans="1:19" x14ac:dyDescent="0.2">
      <c r="A20" s="4">
        <v>18</v>
      </c>
      <c r="B20" s="4" t="s">
        <v>653</v>
      </c>
      <c r="C20" t="s">
        <v>911</v>
      </c>
      <c r="D20" t="s">
        <v>843</v>
      </c>
      <c r="E20" s="4">
        <v>4</v>
      </c>
      <c r="F20" t="s">
        <v>844</v>
      </c>
      <c r="G20" t="s">
        <v>845</v>
      </c>
      <c r="H20" t="s">
        <v>846</v>
      </c>
      <c r="I20" t="s">
        <v>847</v>
      </c>
      <c r="J20" s="4" t="s">
        <v>925</v>
      </c>
      <c r="K20" s="4" t="s">
        <v>928</v>
      </c>
      <c r="L20" t="s">
        <v>117</v>
      </c>
      <c r="M20" t="s">
        <v>750</v>
      </c>
      <c r="N20" s="4" t="s">
        <v>932</v>
      </c>
      <c r="O20" t="s">
        <v>529</v>
      </c>
      <c r="P20" s="4">
        <f>IFERROR(VALUE(RIGHT(LEFT([1]!Questions[[#This Row],[Content_standard]],5),2)),"")</f>
        <v>8</v>
      </c>
      <c r="Q20" t="str">
        <f>IFERROR(VLOOKUP([1]!Questions[[#This Row],[Content_standard]],[1]!Content_Standards[#Data],2,FALSE),"")</f>
        <v>Neutrality Acts</v>
      </c>
      <c r="R20" s="90">
        <f>AVERAGE(INDEX([1]!Scores[#Data],0,MATCH("Q"&amp;$A20,[1]!Scores[#Headers],0)))</f>
        <v>0.58467741935483875</v>
      </c>
      <c r="S20" s="92" cm="1">
        <f t="array" ref="S20">IFERROR(CORREL(INDEX([1]!Scores[#Data],0,MATCH("Q"&amp;$A20,[1]!Scores[#Headers],0)),[1]!Scores[MC]-INDEX([1]!Scores[#Data],0,MATCH("Q"&amp;$A20,[1]!Scores[#Headers],0))),"")</f>
        <v>0.50285308118612371</v>
      </c>
    </row>
    <row r="21" spans="1:19" x14ac:dyDescent="0.2">
      <c r="A21" s="4">
        <v>19</v>
      </c>
      <c r="B21" s="4" t="s">
        <v>653</v>
      </c>
      <c r="C21" t="s">
        <v>912</v>
      </c>
      <c r="D21" t="s">
        <v>848</v>
      </c>
      <c r="E21" s="4">
        <v>3</v>
      </c>
      <c r="F21" t="s">
        <v>849</v>
      </c>
      <c r="G21" t="s">
        <v>850</v>
      </c>
      <c r="H21" t="s">
        <v>851</v>
      </c>
      <c r="I21" t="s">
        <v>852</v>
      </c>
      <c r="J21" s="4" t="s">
        <v>924</v>
      </c>
      <c r="K21" s="4" t="s">
        <v>928</v>
      </c>
      <c r="L21" t="s">
        <v>109</v>
      </c>
      <c r="M21" t="s">
        <v>750</v>
      </c>
      <c r="N21" s="4" t="s">
        <v>931</v>
      </c>
      <c r="O21" t="s">
        <v>532</v>
      </c>
      <c r="P21" s="4">
        <f>IFERROR(VALUE(RIGHT(LEFT([1]!Questions[[#This Row],[Content_standard]],5),2)),"")</f>
        <v>8</v>
      </c>
      <c r="Q21" t="str">
        <f>IFERROR(VLOOKUP([1]!Questions[[#This Row],[Content_standard]],[1]!Content_Standards[#Data],2,FALSE),"")</f>
        <v>Neutrality Acts</v>
      </c>
      <c r="R21" s="90">
        <f>AVERAGE(INDEX([1]!Scores[#Data],0,MATCH("Q"&amp;$A21,[1]!Scores[#Headers],0)))</f>
        <v>0.592741935483871</v>
      </c>
      <c r="S21" s="92" cm="1">
        <f t="array" ref="S21">IFERROR(CORREL(INDEX([1]!Scores[#Data],0,MATCH("Q"&amp;$A21,[1]!Scores[#Headers],0)),[1]!Scores[MC]-INDEX([1]!Scores[#Data],0,MATCH("Q"&amp;$A21,[1]!Scores[#Headers],0))),"")</f>
        <v>0.5165760394037211</v>
      </c>
    </row>
    <row r="22" spans="1:19" x14ac:dyDescent="0.2">
      <c r="A22" s="4">
        <v>20</v>
      </c>
      <c r="B22" s="4" t="s">
        <v>653</v>
      </c>
      <c r="C22" t="s">
        <v>912</v>
      </c>
      <c r="D22" t="s">
        <v>853</v>
      </c>
      <c r="E22" s="4">
        <v>4</v>
      </c>
      <c r="F22" t="s">
        <v>854</v>
      </c>
      <c r="G22" t="s">
        <v>855</v>
      </c>
      <c r="H22" t="s">
        <v>856</v>
      </c>
      <c r="I22" t="s">
        <v>857</v>
      </c>
      <c r="J22" s="4" t="s">
        <v>924</v>
      </c>
      <c r="K22" s="4" t="s">
        <v>928</v>
      </c>
      <c r="L22" t="s">
        <v>93</v>
      </c>
      <c r="M22" t="s">
        <v>705</v>
      </c>
      <c r="N22" s="4" t="s">
        <v>932</v>
      </c>
      <c r="O22" t="s">
        <v>532</v>
      </c>
      <c r="P22" s="4">
        <f>IFERROR(VALUE(RIGHT(LEFT([1]!Questions[[#This Row],[Content_standard]],5),2)),"")</f>
        <v>8</v>
      </c>
      <c r="Q22" t="str">
        <f>IFERROR(VLOOKUP([1]!Questions[[#This Row],[Content_standard]],[1]!Content_Standards[#Data],2,FALSE),"")</f>
        <v>Japanese Internment</v>
      </c>
      <c r="R22" s="90">
        <f>AVERAGE(INDEX([1]!Scores[#Data],0,MATCH("Q"&amp;$A22,[1]!Scores[#Headers],0)))</f>
        <v>0.32661290322580644</v>
      </c>
      <c r="S22" s="92" cm="1">
        <f t="array" ref="S22">IFERROR(CORREL(INDEX([1]!Scores[#Data],0,MATCH("Q"&amp;$A22,[1]!Scores[#Headers],0)),[1]!Scores[MC]-INDEX([1]!Scores[#Data],0,MATCH("Q"&amp;$A22,[1]!Scores[#Headers],0))),"")</f>
        <v>0.36355711047087858</v>
      </c>
    </row>
    <row r="23" spans="1:19" x14ac:dyDescent="0.2">
      <c r="A23" s="4">
        <v>21</v>
      </c>
      <c r="B23" s="4" t="s">
        <v>653</v>
      </c>
      <c r="C23" t="s">
        <v>913</v>
      </c>
      <c r="D23" t="s">
        <v>858</v>
      </c>
      <c r="E23" s="4">
        <v>2</v>
      </c>
      <c r="F23" t="s">
        <v>859</v>
      </c>
      <c r="G23" t="s">
        <v>860</v>
      </c>
      <c r="H23" t="s">
        <v>861</v>
      </c>
      <c r="I23" t="s">
        <v>862</v>
      </c>
      <c r="J23" s="4" t="s">
        <v>925</v>
      </c>
      <c r="K23" s="4" t="s">
        <v>928</v>
      </c>
      <c r="L23" t="s">
        <v>113</v>
      </c>
      <c r="M23" t="s">
        <v>686</v>
      </c>
      <c r="N23" s="4" t="s">
        <v>932</v>
      </c>
      <c r="O23" t="s">
        <v>550</v>
      </c>
      <c r="P23" s="4">
        <f>IFERROR(VALUE(RIGHT(LEFT([1]!Questions[[#This Row],[Content_standard]],5),2)),"")</f>
        <v>8</v>
      </c>
      <c r="Q23" t="str">
        <f>IFERROR(VLOOKUP([1]!Questions[[#This Row],[Content_standard]],[1]!Content_Standards[#Data],2,FALSE),"")</f>
        <v>Japanese Internment</v>
      </c>
      <c r="R23" s="90">
        <f>AVERAGE(INDEX([1]!Scores[#Data],0,MATCH("Q"&amp;$A23,[1]!Scores[#Headers],0)))</f>
        <v>0.45967741935483869</v>
      </c>
      <c r="S23" s="92" cm="1">
        <f t="array" ref="S23">IFERROR(CORREL(INDEX([1]!Scores[#Data],0,MATCH("Q"&amp;$A23,[1]!Scores[#Headers],0)),[1]!Scores[MC]-INDEX([1]!Scores[#Data],0,MATCH("Q"&amp;$A23,[1]!Scores[#Headers],0))),"")</f>
        <v>0.42356566840956095</v>
      </c>
    </row>
    <row r="24" spans="1:19" x14ac:dyDescent="0.2">
      <c r="A24" s="4">
        <v>22</v>
      </c>
      <c r="B24" s="4" t="s">
        <v>653</v>
      </c>
      <c r="C24" t="s">
        <v>913</v>
      </c>
      <c r="D24" t="s">
        <v>863</v>
      </c>
      <c r="E24" s="4">
        <v>2</v>
      </c>
      <c r="F24" t="s">
        <v>864</v>
      </c>
      <c r="G24" t="s">
        <v>865</v>
      </c>
      <c r="H24" t="s">
        <v>866</v>
      </c>
      <c r="I24" t="s">
        <v>867</v>
      </c>
      <c r="J24" s="4" t="s">
        <v>925</v>
      </c>
      <c r="K24" s="4" t="s">
        <v>928</v>
      </c>
      <c r="L24" t="s">
        <v>95</v>
      </c>
      <c r="M24" t="s">
        <v>742</v>
      </c>
      <c r="N24" s="4" t="s">
        <v>932</v>
      </c>
      <c r="O24" t="s">
        <v>550</v>
      </c>
      <c r="P24" s="4">
        <f>IFERROR(VALUE(RIGHT(LEFT([1]!Questions[[#This Row],[Content_standard]],5),2)),"")</f>
        <v>9</v>
      </c>
      <c r="Q24" t="str">
        <f>IFERROR(VLOOKUP([1]!Questions[[#This Row],[Content_standard]],[1]!Content_Standards[#Data],2,FALSE),"")</f>
        <v>Containment Policies</v>
      </c>
      <c r="R24" s="90">
        <f>AVERAGE(INDEX([1]!Scores[#Data],0,MATCH("Q"&amp;$A24,[1]!Scores[#Headers],0)))</f>
        <v>0.62096774193548387</v>
      </c>
      <c r="S24" s="92" cm="1">
        <f t="array" ref="S24">IFERROR(CORREL(INDEX([1]!Scores[#Data],0,MATCH("Q"&amp;$A24,[1]!Scores[#Headers],0)),[1]!Scores[MC]-INDEX([1]!Scores[#Data],0,MATCH("Q"&amp;$A24,[1]!Scores[#Headers],0))),"")</f>
        <v>0.52441272307605657</v>
      </c>
    </row>
    <row r="25" spans="1:19" x14ac:dyDescent="0.2">
      <c r="A25" s="4">
        <v>23</v>
      </c>
      <c r="B25" s="4" t="s">
        <v>653</v>
      </c>
      <c r="C25" t="s">
        <v>914</v>
      </c>
      <c r="D25" t="s">
        <v>868</v>
      </c>
      <c r="E25" s="4">
        <v>3</v>
      </c>
      <c r="F25" t="s">
        <v>869</v>
      </c>
      <c r="G25" t="s">
        <v>870</v>
      </c>
      <c r="H25" t="s">
        <v>871</v>
      </c>
      <c r="I25" t="s">
        <v>872</v>
      </c>
      <c r="J25" s="4" t="s">
        <v>924</v>
      </c>
      <c r="K25" s="4" t="s">
        <v>928</v>
      </c>
      <c r="L25" t="s">
        <v>85</v>
      </c>
      <c r="M25" t="s">
        <v>711</v>
      </c>
      <c r="N25" s="4" t="s">
        <v>932</v>
      </c>
      <c r="O25" t="s">
        <v>568</v>
      </c>
      <c r="P25" s="4">
        <f>IFERROR(VALUE(RIGHT(LEFT([1]!Questions[[#This Row],[Content_standard]],5),2)),"")</f>
        <v>9</v>
      </c>
      <c r="Q25" t="str">
        <f>IFERROR(VLOOKUP([1]!Questions[[#This Row],[Content_standard]],[1]!Content_Standards[#Data],2,FALSE),"")</f>
        <v>Containment Policies</v>
      </c>
      <c r="R25" s="90">
        <f>AVERAGE(INDEX([1]!Scores[#Data],0,MATCH("Q"&amp;$A25,[1]!Scores[#Headers],0)))</f>
        <v>0.592741935483871</v>
      </c>
      <c r="S25" s="92" cm="1">
        <f t="array" ref="S25">IFERROR(CORREL(INDEX([1]!Scores[#Data],0,MATCH("Q"&amp;$A25,[1]!Scores[#Headers],0)),[1]!Scores[MC]-INDEX([1]!Scores[#Data],0,MATCH("Q"&amp;$A25,[1]!Scores[#Headers],0))),"")</f>
        <v>0.50407136293787458</v>
      </c>
    </row>
    <row r="26" spans="1:19" x14ac:dyDescent="0.2">
      <c r="A26" s="4">
        <v>24</v>
      </c>
      <c r="B26" s="4" t="s">
        <v>653</v>
      </c>
      <c r="C26" t="s">
        <v>914</v>
      </c>
      <c r="D26" t="s">
        <v>873</v>
      </c>
      <c r="E26" s="4">
        <v>3</v>
      </c>
      <c r="F26" t="s">
        <v>874</v>
      </c>
      <c r="G26" t="s">
        <v>875</v>
      </c>
      <c r="H26" t="s">
        <v>876</v>
      </c>
      <c r="I26" t="s">
        <v>877</v>
      </c>
      <c r="J26" s="4" t="s">
        <v>924</v>
      </c>
      <c r="K26" s="4" t="s">
        <v>928</v>
      </c>
      <c r="L26" t="s">
        <v>99</v>
      </c>
      <c r="M26" t="s">
        <v>673</v>
      </c>
      <c r="N26" s="4" t="s">
        <v>932</v>
      </c>
      <c r="O26" t="s">
        <v>568</v>
      </c>
      <c r="P26" s="4">
        <f>IFERROR(VALUE(RIGHT(LEFT([1]!Questions[[#This Row],[Content_standard]],5),2)),"")</f>
        <v>10</v>
      </c>
      <c r="Q26" t="str">
        <f>IFERROR(VLOOKUP([1]!Questions[[#This Row],[Content_standard]],[1]!Content_Standards[#Data],2,FALSE),"")</f>
        <v>Individuals &amp; Groups Fight for Equality</v>
      </c>
      <c r="R26" s="90">
        <f>AVERAGE(INDEX([1]!Scores[#Data],0,MATCH("Q"&amp;$A26,[1]!Scores[#Headers],0)))</f>
        <v>0.29838709677419356</v>
      </c>
      <c r="S26" s="92" cm="1">
        <f t="array" ref="S26">IFERROR(CORREL(INDEX([1]!Scores[#Data],0,MATCH("Q"&amp;$A26,[1]!Scores[#Headers],0)),[1]!Scores[MC]-INDEX([1]!Scores[#Data],0,MATCH("Q"&amp;$A26,[1]!Scores[#Headers],0))),"")</f>
        <v>0.37666109090705446</v>
      </c>
    </row>
    <row r="27" spans="1:19" x14ac:dyDescent="0.2">
      <c r="A27" s="4">
        <v>25</v>
      </c>
      <c r="B27" s="4" t="s">
        <v>653</v>
      </c>
      <c r="C27" t="s">
        <v>915</v>
      </c>
      <c r="D27" t="s">
        <v>878</v>
      </c>
      <c r="E27" s="4">
        <v>1</v>
      </c>
      <c r="F27" t="s">
        <v>879</v>
      </c>
      <c r="G27" t="s">
        <v>880</v>
      </c>
      <c r="H27" t="s">
        <v>881</v>
      </c>
      <c r="I27" t="s">
        <v>882</v>
      </c>
      <c r="J27" s="4" t="s">
        <v>926</v>
      </c>
      <c r="K27" s="4" t="s">
        <v>929</v>
      </c>
      <c r="L27" t="s">
        <v>95</v>
      </c>
      <c r="M27" t="s">
        <v>750</v>
      </c>
      <c r="N27" s="4" t="s">
        <v>932</v>
      </c>
      <c r="O27" t="s">
        <v>613</v>
      </c>
      <c r="P27" s="4">
        <f>IFERROR(VALUE(RIGHT(LEFT([1]!Questions[[#This Row],[Content_standard]],5),2)),"")</f>
        <v>10</v>
      </c>
      <c r="Q27" t="str">
        <f>IFERROR(VLOOKUP([1]!Questions[[#This Row],[Content_standard]],[1]!Content_Standards[#Data],2,FALSE),"")</f>
        <v>Individuals &amp; Groups Fight for Equality</v>
      </c>
      <c r="R27" s="90">
        <f>AVERAGE(INDEX([1]!Scores[#Data],0,MATCH("Q"&amp;$A27,[1]!Scores[#Headers],0)))</f>
        <v>0.30241935483870969</v>
      </c>
      <c r="S27" s="92" cm="1">
        <f t="array" ref="S27">IFERROR(CORREL(INDEX([1]!Scores[#Data],0,MATCH("Q"&amp;$A27,[1]!Scores[#Headers],0)),[1]!Scores[MC]-INDEX([1]!Scores[#Data],0,MATCH("Q"&amp;$A27,[1]!Scores[#Headers],0))),"")</f>
        <v>0.29177831811333621</v>
      </c>
    </row>
    <row r="28" spans="1:19" x14ac:dyDescent="0.2">
      <c r="A28" s="4">
        <v>26</v>
      </c>
      <c r="B28" s="4" t="s">
        <v>653</v>
      </c>
      <c r="C28" t="s">
        <v>915</v>
      </c>
      <c r="D28" t="s">
        <v>883</v>
      </c>
      <c r="E28" s="4">
        <v>4</v>
      </c>
      <c r="F28" t="s">
        <v>884</v>
      </c>
      <c r="G28" t="s">
        <v>885</v>
      </c>
      <c r="H28" t="s">
        <v>886</v>
      </c>
      <c r="I28" t="s">
        <v>887</v>
      </c>
      <c r="J28" s="4" t="s">
        <v>926</v>
      </c>
      <c r="K28" s="4" t="s">
        <v>929</v>
      </c>
      <c r="L28" t="s">
        <v>97</v>
      </c>
      <c r="M28" t="s">
        <v>686</v>
      </c>
      <c r="N28" s="4" t="s">
        <v>932</v>
      </c>
      <c r="O28" t="s">
        <v>613</v>
      </c>
      <c r="P28" s="4">
        <f>IFERROR(VALUE(RIGHT(LEFT([1]!Questions[[#This Row],[Content_standard]],5),2)),"")</f>
        <v>7</v>
      </c>
      <c r="Q28" t="str">
        <f>IFERROR(VLOOKUP([1]!Questions[[#This Row],[Content_standard]],[1]!Content_Standards[#Data],2,FALSE),"")</f>
        <v>New Deal</v>
      </c>
      <c r="R28" s="90">
        <f>AVERAGE(INDEX([1]!Scores[#Data],0,MATCH("Q"&amp;$A28,[1]!Scores[#Headers],0)))</f>
        <v>0.66129032258064513</v>
      </c>
      <c r="S28" s="92" cm="1">
        <f t="array" ref="S28">IFERROR(CORREL(INDEX([1]!Scores[#Data],0,MATCH("Q"&amp;$A28,[1]!Scores[#Headers],0)),[1]!Scores[MC]-INDEX([1]!Scores[#Data],0,MATCH("Q"&amp;$A28,[1]!Scores[#Headers],0))),"")</f>
        <v>0.59751774415791148</v>
      </c>
    </row>
    <row r="29" spans="1:19" x14ac:dyDescent="0.2">
      <c r="A29" s="4">
        <v>27</v>
      </c>
      <c r="B29" s="4" t="s">
        <v>653</v>
      </c>
      <c r="C29" t="s">
        <v>916</v>
      </c>
      <c r="D29" t="s">
        <v>888</v>
      </c>
      <c r="E29" s="4">
        <v>1</v>
      </c>
      <c r="F29" t="s">
        <v>889</v>
      </c>
      <c r="G29" t="s">
        <v>890</v>
      </c>
      <c r="H29" t="s">
        <v>891</v>
      </c>
      <c r="I29" t="s">
        <v>892</v>
      </c>
      <c r="J29" s="4" t="s">
        <v>925</v>
      </c>
      <c r="K29" s="4" t="s">
        <v>928</v>
      </c>
      <c r="L29" t="s">
        <v>95</v>
      </c>
      <c r="M29" t="s">
        <v>686</v>
      </c>
      <c r="N29" s="4" t="s">
        <v>932</v>
      </c>
      <c r="O29" t="s">
        <v>529</v>
      </c>
      <c r="P29" s="4">
        <f>IFERROR(VALUE(RIGHT(LEFT([1]!Questions[[#This Row],[Content_standard]],5),2)),"")</f>
        <v>10</v>
      </c>
      <c r="Q29" t="str">
        <f>IFERROR(VLOOKUP([1]!Questions[[#This Row],[Content_standard]],[1]!Content_Standards[#Data],2,FALSE),"")</f>
        <v>Great Recession</v>
      </c>
      <c r="R29" s="90">
        <f>AVERAGE(INDEX([1]!Scores[#Data],0,MATCH("Q"&amp;$A29,[1]!Scores[#Headers],0)))</f>
        <v>0.38709677419354838</v>
      </c>
      <c r="S29" s="92" cm="1">
        <f t="array" ref="S29">IFERROR(CORREL(INDEX([1]!Scores[#Data],0,MATCH("Q"&amp;$A29,[1]!Scores[#Headers],0)),[1]!Scores[MC]-INDEX([1]!Scores[#Data],0,MATCH("Q"&amp;$A29,[1]!Scores[#Headers],0))),"")</f>
        <v>0.33652302146985813</v>
      </c>
    </row>
    <row r="30" spans="1:19" x14ac:dyDescent="0.2">
      <c r="A30" s="4">
        <v>28</v>
      </c>
      <c r="B30" s="4" t="s">
        <v>653</v>
      </c>
      <c r="C30" t="s">
        <v>916</v>
      </c>
      <c r="D30" t="s">
        <v>893</v>
      </c>
      <c r="E30" s="4">
        <v>3</v>
      </c>
      <c r="F30" t="s">
        <v>894</v>
      </c>
      <c r="G30" t="s">
        <v>895</v>
      </c>
      <c r="H30" t="s">
        <v>896</v>
      </c>
      <c r="I30" t="s">
        <v>897</v>
      </c>
      <c r="J30" s="4" t="s">
        <v>925</v>
      </c>
      <c r="K30" s="4" t="s">
        <v>928</v>
      </c>
      <c r="L30" t="s">
        <v>117</v>
      </c>
      <c r="M30" t="s">
        <v>681</v>
      </c>
      <c r="N30" s="4" t="s">
        <v>931</v>
      </c>
      <c r="O30" s="2" t="s">
        <v>622</v>
      </c>
      <c r="P30" s="4">
        <f>IFERROR(VALUE(RIGHT(LEFT([1]!Questions[[#This Row],[Content_standard]],5),2)),"")</f>
        <v>10</v>
      </c>
      <c r="Q30" t="str">
        <f>IFERROR(VLOOKUP([1]!Questions[[#This Row],[Content_standard]],[1]!Content_Standards[#Data],2,FALSE),"")</f>
        <v>Individuals &amp; Groups Fight for Equality</v>
      </c>
      <c r="R30" s="90">
        <f>AVERAGE(INDEX([1]!Scores[#Data],0,MATCH("Q"&amp;$A30,[1]!Scores[#Headers],0)))</f>
        <v>0.69354838709677424</v>
      </c>
      <c r="S30" s="92" cm="1">
        <f t="array" ref="S30">IFERROR(CORREL(INDEX([1]!Scores[#Data],0,MATCH("Q"&amp;$A30,[1]!Scores[#Headers],0)),[1]!Scores[MC]-INDEX([1]!Scores[#Data],0,MATCH("Q"&amp;$A30,[1]!Scores[#Headers],0))),"")</f>
        <v>0.56050216424487653</v>
      </c>
    </row>
    <row r="31" spans="1:19" x14ac:dyDescent="0.2">
      <c r="A31" s="4">
        <v>29</v>
      </c>
      <c r="B31" s="4" t="s">
        <v>654</v>
      </c>
      <c r="C31" t="s">
        <v>918</v>
      </c>
      <c r="J31" s="4" t="s">
        <v>924</v>
      </c>
      <c r="K31" s="4" t="s">
        <v>928</v>
      </c>
      <c r="M31" t="s">
        <v>681</v>
      </c>
      <c r="O31" t="s">
        <v>613</v>
      </c>
      <c r="P31" s="4">
        <f>IFERROR(VALUE(RIGHT(LEFT([1]!Questions[[#This Row],[Content_standard]],5),2)),"")</f>
        <v>9</v>
      </c>
      <c r="Q31" t="str">
        <f>IFERROR(VLOOKUP([1]!Questions[[#This Row],[Content_standard]],[1]!Content_Standards[#Data],2,FALSE),"")</f>
        <v>Vietnam War</v>
      </c>
    </row>
    <row r="32" spans="1:19" x14ac:dyDescent="0.2">
      <c r="A32" s="4">
        <v>30</v>
      </c>
      <c r="B32" s="4" t="s">
        <v>654</v>
      </c>
      <c r="C32" t="s">
        <v>917</v>
      </c>
      <c r="J32" s="4" t="s">
        <v>924</v>
      </c>
      <c r="K32" s="4" t="s">
        <v>928</v>
      </c>
      <c r="M32" t="s">
        <v>673</v>
      </c>
      <c r="O32" t="s">
        <v>577</v>
      </c>
      <c r="P32" s="4">
        <f>IFERROR(VALUE(RIGHT(LEFT([1]!Questions[[#This Row],[Content_standard]],5),2)),"")</f>
        <v>2</v>
      </c>
      <c r="Q32" t="str">
        <f>IFERROR(VLOOKUP([1]!Questions[[#This Row],[Content_standard]],[1]!Content_Standards[#Data],2,FALSE),"")</f>
        <v>Articles of Confederation</v>
      </c>
    </row>
    <row r="33" spans="1:17" x14ac:dyDescent="0.2">
      <c r="A33" s="4">
        <v>31</v>
      </c>
      <c r="B33" s="4" t="s">
        <v>655</v>
      </c>
      <c r="C33" t="s">
        <v>919</v>
      </c>
      <c r="D33" t="s">
        <v>898</v>
      </c>
      <c r="J33" s="4" t="s">
        <v>924</v>
      </c>
      <c r="K33" s="4" t="s">
        <v>929</v>
      </c>
      <c r="M33" t="s">
        <v>711</v>
      </c>
      <c r="O33" t="s">
        <v>350</v>
      </c>
      <c r="P33" s="4">
        <f>IFERROR(VALUE(RIGHT(LEFT([1]!Questions[[#This Row],[Content_standard]],5),2)),"")</f>
        <v>2</v>
      </c>
      <c r="Q33" t="str">
        <f>IFERROR(VLOOKUP([1]!Questions[[#This Row],[Content_standard]],[1]!Content_Standards[#Data],2,FALSE),"")</f>
        <v>Articles of Confederation</v>
      </c>
    </row>
    <row r="34" spans="1:17" x14ac:dyDescent="0.2">
      <c r="A34" s="4">
        <v>32</v>
      </c>
      <c r="B34" s="4" t="s">
        <v>655</v>
      </c>
      <c r="C34" t="s">
        <v>920</v>
      </c>
      <c r="D34" t="s">
        <v>899</v>
      </c>
      <c r="J34" s="4" t="s">
        <v>927</v>
      </c>
      <c r="K34" s="4" t="s">
        <v>930</v>
      </c>
      <c r="M34" t="s">
        <v>711</v>
      </c>
      <c r="O34" t="s">
        <v>350</v>
      </c>
      <c r="P34" s="4">
        <f>IFERROR(VALUE(RIGHT(LEFT([1]!Questions[[#This Row],[Content_standard]],5),2)),"")</f>
        <v>2</v>
      </c>
      <c r="Q34" t="str">
        <f>IFERROR(VLOOKUP([1]!Questions[[#This Row],[Content_standard]],[1]!Content_Standards[#Data],2,FALSE),"")</f>
        <v>Constitution Development &amp; Debates</v>
      </c>
    </row>
    <row r="35" spans="1:17" x14ac:dyDescent="0.2">
      <c r="A35" s="4">
        <v>33</v>
      </c>
      <c r="B35" s="4" t="s">
        <v>655</v>
      </c>
      <c r="C35" t="s">
        <v>921</v>
      </c>
      <c r="D35" t="s">
        <v>900</v>
      </c>
      <c r="J35" s="4" t="s">
        <v>924</v>
      </c>
      <c r="K35" s="4" t="s">
        <v>929</v>
      </c>
      <c r="M35" t="s">
        <v>742</v>
      </c>
      <c r="O35" t="s">
        <v>353</v>
      </c>
      <c r="P35" s="4">
        <f>IFERROR(VALUE(RIGHT(LEFT([1]!Questions[[#This Row],[Content_standard]],5),2)),"")</f>
        <v>2</v>
      </c>
      <c r="Q35" t="str">
        <f>IFERROR(VLOOKUP([1]!Questions[[#This Row],[Content_standard]],[1]!Content_Standards[#Data],2,FALSE),"")</f>
        <v>Federalist vs. Antifederalist</v>
      </c>
    </row>
    <row r="36" spans="1:17" x14ac:dyDescent="0.2">
      <c r="A36" s="4">
        <v>34</v>
      </c>
      <c r="B36" s="4" t="s">
        <v>655</v>
      </c>
      <c r="C36" t="s">
        <v>922</v>
      </c>
      <c r="D36" t="s">
        <v>901</v>
      </c>
      <c r="J36" s="4" t="s">
        <v>924</v>
      </c>
      <c r="K36" s="4" t="s">
        <v>929</v>
      </c>
      <c r="M36" t="s">
        <v>742</v>
      </c>
      <c r="O36" t="s">
        <v>359</v>
      </c>
      <c r="P36" s="4">
        <f>IFERROR(VALUE(RIGHT(LEFT([1]!Questions[[#This Row],[Content_standard]],5),2)),"")</f>
        <v>2</v>
      </c>
      <c r="Q36" t="str">
        <f>IFERROR(VLOOKUP([1]!Questions[[#This Row],[Content_standard]],[1]!Content_Standards[#Data],2,FALSE),"")</f>
        <v>Bill of Rights</v>
      </c>
    </row>
    <row r="37" spans="1:17" x14ac:dyDescent="0.2">
      <c r="A37" s="4">
        <v>35</v>
      </c>
      <c r="B37" s="4" t="s">
        <v>655</v>
      </c>
      <c r="C37" t="s">
        <v>923</v>
      </c>
      <c r="D37" t="s">
        <v>902</v>
      </c>
      <c r="J37" s="4" t="s">
        <v>924</v>
      </c>
      <c r="K37" s="4" t="s">
        <v>929</v>
      </c>
      <c r="M37" t="s">
        <v>686</v>
      </c>
      <c r="O37" t="s">
        <v>362</v>
      </c>
      <c r="P37" s="4">
        <f>IFERROR(VALUE(RIGHT(LEFT([1]!Questions[[#This Row],[Content_standard]],5),2)),"")</f>
        <v>2</v>
      </c>
      <c r="Q37" t="str">
        <f>IFERROR(VLOOKUP([1]!Questions[[#This Row],[Content_standard]],[1]!Content_Standards[#Data],2,FALSE),"")</f>
        <v>Federal Government Structure &amp; Principles</v>
      </c>
    </row>
    <row r="38" spans="1:17" x14ac:dyDescent="0.2">
      <c r="A38" s="4">
        <v>36</v>
      </c>
      <c r="B38" s="4" t="s">
        <v>655</v>
      </c>
      <c r="C38" t="s">
        <v>935</v>
      </c>
      <c r="D38" t="s">
        <v>903</v>
      </c>
      <c r="J38" s="4" t="s">
        <v>924</v>
      </c>
      <c r="K38" s="4" t="s">
        <v>928</v>
      </c>
      <c r="M38" t="s">
        <v>711</v>
      </c>
      <c r="O38" t="s">
        <v>356</v>
      </c>
      <c r="P38" s="4" t="str">
        <f>IFERROR(VALUE(RIGHT(LEFT([1]!Questions[[#This Row],[Content_standard]],5),2)),"")</f>
        <v/>
      </c>
      <c r="Q38" t="str">
        <f>IFERROR(VLOOKUP([1]!Questions[[#This Row],[Content_standard]],[1]!Content_Standards[#Data],2,FALSE),"")</f>
        <v/>
      </c>
    </row>
    <row r="39" spans="1:17" x14ac:dyDescent="0.2">
      <c r="A39" s="4">
        <v>37</v>
      </c>
      <c r="B39" s="4" t="s">
        <v>664</v>
      </c>
      <c r="C39" t="s">
        <v>934</v>
      </c>
      <c r="D39" t="s">
        <v>934</v>
      </c>
      <c r="M39" t="s">
        <v>679</v>
      </c>
      <c r="P39" s="4" t="str">
        <f>IFERROR(VALUE(RIGHT(LEFT([1]!Questions[[#This Row],[Content_standard]],5),2)),"")</f>
        <v/>
      </c>
      <c r="Q39" t="str">
        <f>IFERROR(VLOOKUP([1]!Questions[[#This Row],[Content_standard]],[1]!Content_Standards[#Data],2,FALSE),"")</f>
        <v/>
      </c>
    </row>
  </sheetData>
  <phoneticPr fontId="1" type="noConversion"/>
  <conditionalFormatting sqref="F3:F30">
    <cfRule type="expression" dxfId="13" priority="3">
      <formula>E3=1</formula>
    </cfRule>
  </conditionalFormatting>
  <conditionalFormatting sqref="G3:G30">
    <cfRule type="expression" dxfId="12" priority="4">
      <formula>E3=2</formula>
    </cfRule>
  </conditionalFormatting>
  <conditionalFormatting sqref="H3:H30">
    <cfRule type="expression" dxfId="11" priority="5">
      <formula>E3=3</formula>
    </cfRule>
  </conditionalFormatting>
  <conditionalFormatting sqref="I3:I30">
    <cfRule type="expression" dxfId="10" priority="6">
      <formula>E3=4</formula>
    </cfRule>
  </conditionalFormatting>
  <conditionalFormatting sqref="R3:R30">
    <cfRule type="colorScale" priority="2">
      <colorScale>
        <cfvo type="min"/>
        <cfvo type="max"/>
        <color rgb="FFF8696B"/>
        <color rgb="FFFCFCFF"/>
      </colorScale>
    </cfRule>
  </conditionalFormatting>
  <conditionalFormatting sqref="S3:S30">
    <cfRule type="colorScale" priority="1">
      <colorScale>
        <cfvo type="min"/>
        <cfvo type="max"/>
        <color rgb="FFF8696B"/>
        <color rgb="FFFCFCFF"/>
      </colorScale>
    </cfRule>
  </conditionalFormatting>
  <dataValidations count="5">
    <dataValidation type="list" allowBlank="1" showInputMessage="1" showErrorMessage="1" sqref="E39" xr:uid="{779978AD-3863-8C43-8C8C-8FF566E9A085}">
      <formula1>"1,2,3,4"</formula1>
    </dataValidation>
    <dataValidation type="list" allowBlank="1" showInputMessage="1" showErrorMessage="1" sqref="J3:J39" xr:uid="{5C7180D2-3B3F-D44B-99F7-E44651F2B7EC}">
      <formula1>"Text-based,Data-based,Map-based,Visual-based,Multiple"</formula1>
    </dataValidation>
    <dataValidation type="list" allowBlank="1" showInputMessage="1" showErrorMessage="1" sqref="K3:K39" xr:uid="{31F3D0B4-AA82-2B4F-A49D-7C31EC3448A7}">
      <formula1>"Primary,Secondary,Both"</formula1>
    </dataValidation>
    <dataValidation type="list" allowBlank="1" showInputMessage="1" showErrorMessage="1" sqref="N3:N39" xr:uid="{DB77E85D-8A3A-094D-BD0A-9D559B24918E}">
      <formula1>"Yes,No"</formula1>
    </dataValidation>
    <dataValidation type="list" allowBlank="1" showInputMessage="1" showErrorMessage="1" sqref="B3:B39" xr:uid="{B1FD2060-1EBD-8341-B1F4-64522FF4C52F}">
      <formula1>"Part I, Part II, Part IIIA, Part IIIB"</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9FBF-1EFA-6842-85A1-8C569E5A1399}">
  <sheetPr codeName="Sheet4"/>
  <dimension ref="B2:L50"/>
  <sheetViews>
    <sheetView showGridLines="0" topLeftCell="A31" zoomScaleNormal="145" workbookViewId="0">
      <selection activeCell="N46" sqref="N46"/>
    </sheetView>
  </sheetViews>
  <sheetFormatPr baseColWidth="10" defaultColWidth="11" defaultRowHeight="16" x14ac:dyDescent="0.2"/>
  <cols>
    <col min="1" max="1" width="5.83203125" customWidth="1"/>
    <col min="2" max="2" width="10.5" bestFit="1" customWidth="1"/>
    <col min="3" max="3" width="17.6640625" bestFit="1" customWidth="1"/>
    <col min="4" max="4" width="5.83203125" customWidth="1"/>
    <col min="5" max="5" width="10.5" bestFit="1" customWidth="1"/>
    <col min="6" max="6" width="16.5" bestFit="1" customWidth="1"/>
    <col min="7" max="7" width="9.5" bestFit="1" customWidth="1"/>
    <col min="8" max="8" width="8.83203125" bestFit="1" customWidth="1"/>
    <col min="9" max="9" width="10.5" bestFit="1" customWidth="1"/>
    <col min="10" max="10" width="16.5" bestFit="1" customWidth="1"/>
    <col min="11" max="11" width="8.83203125" bestFit="1" customWidth="1"/>
    <col min="12" max="12" width="13" bestFit="1" customWidth="1"/>
  </cols>
  <sheetData>
    <row r="2" spans="2:12" x14ac:dyDescent="0.2">
      <c r="E2" s="101" t="s">
        <v>36</v>
      </c>
      <c r="F2" t="s">
        <v>955</v>
      </c>
    </row>
    <row r="3" spans="2:12" x14ac:dyDescent="0.2">
      <c r="B3" s="101" t="s">
        <v>965</v>
      </c>
      <c r="C3" t="s">
        <v>966</v>
      </c>
      <c r="E3" s="101" t="s">
        <v>961</v>
      </c>
      <c r="F3" t="s">
        <v>955</v>
      </c>
    </row>
    <row r="4" spans="2:12" x14ac:dyDescent="0.2">
      <c r="B4" s="6">
        <v>23</v>
      </c>
      <c r="C4">
        <v>1</v>
      </c>
    </row>
    <row r="5" spans="2:12" x14ac:dyDescent="0.2">
      <c r="B5" s="6">
        <v>25</v>
      </c>
      <c r="C5">
        <v>2</v>
      </c>
      <c r="E5" s="101" t="s">
        <v>3</v>
      </c>
      <c r="F5" s="4" t="s">
        <v>956</v>
      </c>
      <c r="G5" s="4" t="s">
        <v>957</v>
      </c>
      <c r="H5" s="4" t="s">
        <v>958</v>
      </c>
      <c r="I5" s="4" t="s">
        <v>959</v>
      </c>
      <c r="J5" s="4" t="s">
        <v>960</v>
      </c>
      <c r="K5" s="4" t="s">
        <v>971</v>
      </c>
      <c r="L5" s="108" t="s">
        <v>972</v>
      </c>
    </row>
    <row r="6" spans="2:12" x14ac:dyDescent="0.2">
      <c r="B6" s="6">
        <v>33</v>
      </c>
      <c r="C6">
        <v>1</v>
      </c>
      <c r="E6" s="6">
        <v>9</v>
      </c>
      <c r="F6" s="92">
        <v>16.21153846153846</v>
      </c>
      <c r="G6" s="92">
        <v>3.2596153846153846</v>
      </c>
      <c r="H6" s="92">
        <v>4.6634615384615383</v>
      </c>
      <c r="I6" s="92">
        <v>1.4375</v>
      </c>
      <c r="J6" s="92">
        <v>62.846153846153847</v>
      </c>
      <c r="K6" s="116">
        <v>0.57692307692307687</v>
      </c>
      <c r="L6" s="116">
        <v>0.67307692307692313</v>
      </c>
    </row>
    <row r="7" spans="2:12" x14ac:dyDescent="0.2">
      <c r="B7" s="6">
        <v>36</v>
      </c>
      <c r="C7">
        <v>1</v>
      </c>
      <c r="E7" s="6">
        <v>11</v>
      </c>
      <c r="F7" s="92">
        <v>16.655172413793103</v>
      </c>
      <c r="G7" s="92">
        <v>4</v>
      </c>
      <c r="H7" s="92">
        <v>4.9655172413793105</v>
      </c>
      <c r="I7" s="92">
        <v>1.9540229885057472</v>
      </c>
      <c r="J7" s="92">
        <v>66.94252873563218</v>
      </c>
      <c r="K7" s="116">
        <v>0.65517241379310343</v>
      </c>
      <c r="L7" s="116">
        <v>0.75862068965517238</v>
      </c>
    </row>
    <row r="8" spans="2:12" x14ac:dyDescent="0.2">
      <c r="B8" s="6">
        <v>38</v>
      </c>
      <c r="C8">
        <v>3</v>
      </c>
      <c r="E8" s="6">
        <v>10</v>
      </c>
      <c r="F8" s="92">
        <v>13</v>
      </c>
      <c r="G8" s="92">
        <v>4</v>
      </c>
      <c r="H8" s="92">
        <v>4</v>
      </c>
      <c r="I8" s="92">
        <v>1</v>
      </c>
      <c r="J8" s="92">
        <v>58</v>
      </c>
      <c r="K8" s="116">
        <v>0</v>
      </c>
      <c r="L8" s="116">
        <v>0</v>
      </c>
    </row>
    <row r="9" spans="2:12" x14ac:dyDescent="0.2">
      <c r="B9" s="6">
        <v>40</v>
      </c>
      <c r="C9">
        <v>3</v>
      </c>
      <c r="E9" s="6" t="s">
        <v>947</v>
      </c>
      <c r="F9" s="92">
        <v>16.395833333333332</v>
      </c>
      <c r="G9" s="92">
        <v>3.5989583333333335</v>
      </c>
      <c r="H9" s="92">
        <v>4.796875</v>
      </c>
      <c r="I9" s="92">
        <v>1.6692708333333333</v>
      </c>
      <c r="J9" s="92">
        <v>64.677083333333329</v>
      </c>
      <c r="K9" s="116">
        <v>0.609375</v>
      </c>
      <c r="L9" s="116">
        <v>0.70833333333333337</v>
      </c>
    </row>
    <row r="10" spans="2:12" x14ac:dyDescent="0.2">
      <c r="B10" s="6">
        <v>42</v>
      </c>
      <c r="C10">
        <v>1</v>
      </c>
    </row>
    <row r="11" spans="2:12" x14ac:dyDescent="0.2">
      <c r="B11" s="6">
        <v>46</v>
      </c>
      <c r="C11">
        <v>5</v>
      </c>
      <c r="E11" s="101" t="s">
        <v>36</v>
      </c>
      <c r="F11" t="s">
        <v>955</v>
      </c>
    </row>
    <row r="12" spans="2:12" x14ac:dyDescent="0.2">
      <c r="B12" s="6">
        <v>47</v>
      </c>
      <c r="C12">
        <v>1</v>
      </c>
      <c r="E12" s="101" t="s">
        <v>35</v>
      </c>
      <c r="F12" t="s">
        <v>978</v>
      </c>
    </row>
    <row r="13" spans="2:12" x14ac:dyDescent="0.2">
      <c r="B13" s="6">
        <v>48</v>
      </c>
      <c r="C13">
        <v>4</v>
      </c>
      <c r="E13" s="4"/>
    </row>
    <row r="14" spans="2:12" x14ac:dyDescent="0.2">
      <c r="B14" s="6">
        <v>50</v>
      </c>
      <c r="C14">
        <v>2</v>
      </c>
      <c r="E14" s="101" t="s">
        <v>961</v>
      </c>
      <c r="F14" s="4" t="s">
        <v>956</v>
      </c>
      <c r="G14" s="4" t="s">
        <v>957</v>
      </c>
      <c r="H14" s="4" t="s">
        <v>958</v>
      </c>
      <c r="I14" s="4" t="s">
        <v>959</v>
      </c>
      <c r="J14" s="3" t="s">
        <v>960</v>
      </c>
      <c r="K14" s="108" t="s">
        <v>971</v>
      </c>
      <c r="L14" s="108" t="s">
        <v>972</v>
      </c>
    </row>
    <row r="15" spans="2:12" x14ac:dyDescent="0.2">
      <c r="B15" s="6">
        <v>51</v>
      </c>
      <c r="C15">
        <v>1</v>
      </c>
      <c r="E15" s="6" t="s">
        <v>963</v>
      </c>
      <c r="F15" s="106">
        <v>16.731343283582088</v>
      </c>
      <c r="G15" s="106">
        <v>3.5820895522388061</v>
      </c>
      <c r="H15" s="106">
        <v>4.8059701492537314</v>
      </c>
      <c r="I15" s="106">
        <v>1.5</v>
      </c>
      <c r="J15" s="110">
        <v>64.567164179104481</v>
      </c>
      <c r="K15" s="115">
        <v>0.62686567164179108</v>
      </c>
      <c r="L15" s="115">
        <v>0.74626865671641796</v>
      </c>
    </row>
    <row r="16" spans="2:12" x14ac:dyDescent="0.2">
      <c r="B16" s="6">
        <v>52</v>
      </c>
      <c r="C16">
        <v>5</v>
      </c>
      <c r="E16" s="6" t="s">
        <v>962</v>
      </c>
      <c r="F16" s="106">
        <v>16.723076923076924</v>
      </c>
      <c r="G16" s="106">
        <v>4.2769230769230768</v>
      </c>
      <c r="H16" s="106">
        <v>4.8153846153846152</v>
      </c>
      <c r="I16" s="106">
        <v>1.9153846153846155</v>
      </c>
      <c r="J16" s="110">
        <v>66.738461538461536</v>
      </c>
      <c r="K16" s="115">
        <v>0.61538461538461542</v>
      </c>
      <c r="L16" s="115">
        <v>0.7384615384615385</v>
      </c>
    </row>
    <row r="17" spans="2:12" x14ac:dyDescent="0.2">
      <c r="B17" s="6">
        <v>53</v>
      </c>
      <c r="C17">
        <v>1</v>
      </c>
      <c r="E17" s="6" t="s">
        <v>964</v>
      </c>
      <c r="F17" s="106">
        <v>15.666666666666666</v>
      </c>
      <c r="G17" s="106">
        <v>2.8833333333333333</v>
      </c>
      <c r="H17" s="106">
        <v>4.7666666666666666</v>
      </c>
      <c r="I17" s="106">
        <v>1.5916666666666666</v>
      </c>
      <c r="J17" s="110">
        <v>62.56666666666667</v>
      </c>
      <c r="K17" s="115">
        <v>0.58333333333333337</v>
      </c>
      <c r="L17" s="115">
        <v>0.6333333333333333</v>
      </c>
    </row>
    <row r="18" spans="2:12" x14ac:dyDescent="0.2">
      <c r="B18" s="6">
        <v>54</v>
      </c>
      <c r="C18">
        <v>4</v>
      </c>
      <c r="E18" s="109">
        <v>9</v>
      </c>
      <c r="F18" s="106">
        <v>15.243243243243244</v>
      </c>
      <c r="G18" s="106">
        <v>2.7027027027027026</v>
      </c>
      <c r="H18" s="106">
        <v>4.3783783783783781</v>
      </c>
      <c r="I18" s="106">
        <v>1.2837837837837838</v>
      </c>
      <c r="J18" s="110">
        <v>59.513513513513516</v>
      </c>
      <c r="K18" s="115">
        <v>0.45945945945945948</v>
      </c>
      <c r="L18" s="115">
        <v>0.51351351351351349</v>
      </c>
    </row>
    <row r="19" spans="2:12" x14ac:dyDescent="0.2">
      <c r="B19" s="6">
        <v>55</v>
      </c>
      <c r="C19">
        <v>12</v>
      </c>
      <c r="E19" s="109">
        <v>11</v>
      </c>
      <c r="F19" s="106">
        <v>16.347826086956523</v>
      </c>
      <c r="G19" s="106">
        <v>3.1739130434782608</v>
      </c>
      <c r="H19" s="106">
        <v>5.3913043478260869</v>
      </c>
      <c r="I19" s="106">
        <v>2.0869565217391304</v>
      </c>
      <c r="J19" s="110">
        <v>67.478260869565219</v>
      </c>
      <c r="K19" s="115">
        <v>0.78260869565217395</v>
      </c>
      <c r="L19" s="115">
        <v>0.82608695652173914</v>
      </c>
    </row>
    <row r="20" spans="2:12" x14ac:dyDescent="0.2">
      <c r="B20" s="6">
        <v>57</v>
      </c>
      <c r="C20">
        <v>3</v>
      </c>
      <c r="E20" s="6" t="s">
        <v>968</v>
      </c>
      <c r="F20" s="106">
        <v>19.899999999999999</v>
      </c>
      <c r="G20" s="106">
        <v>5.3</v>
      </c>
      <c r="H20" s="106">
        <v>5.75</v>
      </c>
      <c r="I20" s="106">
        <v>2.0750000000000002</v>
      </c>
      <c r="J20" s="110">
        <v>74.2</v>
      </c>
      <c r="K20" s="115">
        <v>0.9</v>
      </c>
      <c r="L20" s="115">
        <v>0.9</v>
      </c>
    </row>
    <row r="21" spans="2:12" x14ac:dyDescent="0.2">
      <c r="B21" s="6">
        <v>58</v>
      </c>
      <c r="C21">
        <v>9</v>
      </c>
      <c r="E21" s="6" t="s">
        <v>967</v>
      </c>
      <c r="F21" s="106">
        <v>17.142857142857142</v>
      </c>
      <c r="G21" s="106">
        <v>2.4285714285714284</v>
      </c>
      <c r="H21" s="106">
        <v>4.7142857142857144</v>
      </c>
      <c r="I21" s="106">
        <v>1.1428571428571428</v>
      </c>
      <c r="J21" s="110">
        <v>63</v>
      </c>
      <c r="K21" s="115">
        <v>0.42857142857142855</v>
      </c>
      <c r="L21" s="115">
        <v>0.5714285714285714</v>
      </c>
    </row>
    <row r="22" spans="2:12" x14ac:dyDescent="0.2">
      <c r="B22" s="6">
        <v>60</v>
      </c>
      <c r="C22">
        <v>10</v>
      </c>
      <c r="E22" s="6" t="s">
        <v>947</v>
      </c>
      <c r="F22" s="106">
        <v>16.739726027397261</v>
      </c>
      <c r="G22" s="106">
        <v>3.7168949771689497</v>
      </c>
      <c r="H22" s="106">
        <v>4.8812785388127855</v>
      </c>
      <c r="I22" s="106">
        <v>1.6894977168949772</v>
      </c>
      <c r="J22" s="110">
        <v>65.493150684931507</v>
      </c>
      <c r="K22" s="115">
        <v>0.63013698630136983</v>
      </c>
      <c r="L22" s="115">
        <v>0.72146118721461183</v>
      </c>
    </row>
    <row r="23" spans="2:12" x14ac:dyDescent="0.2">
      <c r="B23" s="6">
        <v>61</v>
      </c>
      <c r="C23">
        <v>8</v>
      </c>
      <c r="K23" s="117"/>
      <c r="L23" s="117"/>
    </row>
    <row r="24" spans="2:12" x14ac:dyDescent="0.2">
      <c r="B24" s="6">
        <v>63</v>
      </c>
      <c r="C24">
        <v>1</v>
      </c>
      <c r="E24" s="101" t="s">
        <v>36</v>
      </c>
      <c r="F24" t="s">
        <v>955</v>
      </c>
      <c r="K24" s="117"/>
      <c r="L24" s="117"/>
    </row>
    <row r="25" spans="2:12" x14ac:dyDescent="0.2">
      <c r="B25" s="6">
        <v>64</v>
      </c>
      <c r="C25">
        <v>3</v>
      </c>
      <c r="K25" s="117"/>
      <c r="L25" s="117"/>
    </row>
    <row r="26" spans="2:12" x14ac:dyDescent="0.2">
      <c r="B26" s="6">
        <v>65</v>
      </c>
      <c r="C26">
        <v>7</v>
      </c>
      <c r="E26" s="101" t="s">
        <v>973</v>
      </c>
      <c r="F26" s="4" t="s">
        <v>956</v>
      </c>
      <c r="G26" s="4" t="s">
        <v>957</v>
      </c>
      <c r="H26" s="4" t="s">
        <v>958</v>
      </c>
      <c r="I26" s="4" t="s">
        <v>959</v>
      </c>
      <c r="J26" s="92" t="s">
        <v>960</v>
      </c>
      <c r="K26" s="116" t="s">
        <v>971</v>
      </c>
      <c r="L26" s="116" t="s">
        <v>972</v>
      </c>
    </row>
    <row r="27" spans="2:12" x14ac:dyDescent="0.2">
      <c r="B27" s="6">
        <v>66</v>
      </c>
      <c r="C27">
        <v>15</v>
      </c>
      <c r="E27" s="6" t="s">
        <v>932</v>
      </c>
      <c r="F27" s="92">
        <v>14.275</v>
      </c>
      <c r="G27" s="92">
        <v>3.375</v>
      </c>
      <c r="H27" s="92">
        <v>4.4249999999999998</v>
      </c>
      <c r="I27" s="92">
        <v>1.4125000000000001</v>
      </c>
      <c r="J27" s="92">
        <v>59.75</v>
      </c>
      <c r="K27" s="116">
        <v>0.3</v>
      </c>
      <c r="L27" s="116">
        <v>0.8</v>
      </c>
    </row>
    <row r="28" spans="2:12" x14ac:dyDescent="0.2">
      <c r="B28" s="6">
        <v>67</v>
      </c>
      <c r="C28">
        <v>11</v>
      </c>
      <c r="E28" s="6" t="s">
        <v>931</v>
      </c>
      <c r="F28" s="92">
        <v>17.290502793296088</v>
      </c>
      <c r="G28" s="92">
        <v>3.7932960893854748</v>
      </c>
      <c r="H28" s="92">
        <v>4.983240223463687</v>
      </c>
      <c r="I28" s="92">
        <v>1.7513966480446927</v>
      </c>
      <c r="J28" s="92">
        <v>66.77653631284916</v>
      </c>
      <c r="K28" s="116">
        <v>0.7039106145251397</v>
      </c>
      <c r="L28" s="116">
        <v>0.7039106145251397</v>
      </c>
    </row>
    <row r="29" spans="2:12" x14ac:dyDescent="0.2">
      <c r="B29" s="6">
        <v>68</v>
      </c>
      <c r="C29">
        <v>11</v>
      </c>
      <c r="E29" s="6" t="s">
        <v>947</v>
      </c>
      <c r="F29" s="92">
        <v>16.739726027397261</v>
      </c>
      <c r="G29" s="92">
        <v>3.7168949771689497</v>
      </c>
      <c r="H29" s="92">
        <v>4.8812785388127855</v>
      </c>
      <c r="I29" s="92">
        <v>1.6894977168949772</v>
      </c>
      <c r="J29" s="92">
        <v>65.493150684931507</v>
      </c>
      <c r="K29" s="116">
        <v>0.63013698630136983</v>
      </c>
      <c r="L29" s="116">
        <v>0.72146118721461183</v>
      </c>
    </row>
    <row r="30" spans="2:12" x14ac:dyDescent="0.2">
      <c r="B30" s="6">
        <v>69</v>
      </c>
      <c r="C30">
        <v>5</v>
      </c>
    </row>
    <row r="31" spans="2:12" x14ac:dyDescent="0.2">
      <c r="B31" s="6">
        <v>70</v>
      </c>
      <c r="C31">
        <v>6</v>
      </c>
      <c r="E31" s="114"/>
    </row>
    <row r="32" spans="2:12" x14ac:dyDescent="0.2">
      <c r="B32" s="6">
        <v>71</v>
      </c>
      <c r="C32">
        <v>9</v>
      </c>
      <c r="E32" s="101" t="s">
        <v>36</v>
      </c>
      <c r="F32" t="s">
        <v>955</v>
      </c>
    </row>
    <row r="33" spans="2:12" x14ac:dyDescent="0.2">
      <c r="B33" s="6">
        <v>72</v>
      </c>
      <c r="C33">
        <v>15</v>
      </c>
      <c r="E33" s="4"/>
    </row>
    <row r="34" spans="2:12" x14ac:dyDescent="0.2">
      <c r="B34" s="6">
        <v>73</v>
      </c>
      <c r="C34">
        <v>8</v>
      </c>
      <c r="E34" s="101" t="s">
        <v>977</v>
      </c>
      <c r="F34" s="4" t="s">
        <v>956</v>
      </c>
      <c r="G34" s="4" t="s">
        <v>957</v>
      </c>
      <c r="H34" s="4" t="s">
        <v>958</v>
      </c>
      <c r="I34" s="4" t="s">
        <v>959</v>
      </c>
      <c r="J34" s="92" t="s">
        <v>960</v>
      </c>
      <c r="K34" s="4" t="s">
        <v>971</v>
      </c>
      <c r="L34" s="108" t="s">
        <v>972</v>
      </c>
    </row>
    <row r="35" spans="2:12" x14ac:dyDescent="0.2">
      <c r="B35" s="6">
        <v>74</v>
      </c>
      <c r="C35">
        <v>2</v>
      </c>
      <c r="E35" s="6" t="s">
        <v>932</v>
      </c>
      <c r="F35" s="92">
        <v>11.3</v>
      </c>
      <c r="G35" s="92">
        <v>3.4</v>
      </c>
      <c r="H35" s="92">
        <v>4.0999999999999996</v>
      </c>
      <c r="I35" s="4">
        <v>0.85</v>
      </c>
      <c r="J35" s="92">
        <v>53</v>
      </c>
      <c r="K35" s="116">
        <v>0.2</v>
      </c>
      <c r="L35" s="116">
        <v>0.4</v>
      </c>
    </row>
    <row r="36" spans="2:12" x14ac:dyDescent="0.2">
      <c r="B36" s="6">
        <v>75</v>
      </c>
      <c r="C36">
        <v>7</v>
      </c>
      <c r="E36" s="6" t="s">
        <v>931</v>
      </c>
      <c r="F36" s="92">
        <v>17</v>
      </c>
      <c r="G36" s="92">
        <v>3.7320574162679425</v>
      </c>
      <c r="H36" s="92">
        <v>4.9186602870813401</v>
      </c>
      <c r="I36" s="92">
        <v>1.729665071770335</v>
      </c>
      <c r="J36" s="92">
        <v>66.090909090909093</v>
      </c>
      <c r="K36" s="116">
        <v>0.65071770334928225</v>
      </c>
      <c r="L36" s="116">
        <v>0.73684210526315785</v>
      </c>
    </row>
    <row r="37" spans="2:12" x14ac:dyDescent="0.2">
      <c r="B37" s="6">
        <v>76</v>
      </c>
      <c r="C37">
        <v>3</v>
      </c>
      <c r="E37" s="6" t="s">
        <v>947</v>
      </c>
      <c r="F37" s="92">
        <v>16.739726027397261</v>
      </c>
      <c r="G37" s="92">
        <v>3.7168949771689497</v>
      </c>
      <c r="H37" s="92">
        <v>4.8812785388127855</v>
      </c>
      <c r="I37" s="92">
        <v>1.6894977168949772</v>
      </c>
      <c r="J37" s="92">
        <v>65.493150684931507</v>
      </c>
      <c r="K37" s="116">
        <v>0.63013698630136983</v>
      </c>
      <c r="L37" s="116">
        <v>0.72146118721461183</v>
      </c>
    </row>
    <row r="38" spans="2:12" x14ac:dyDescent="0.2">
      <c r="B38" s="6">
        <v>77</v>
      </c>
      <c r="C38">
        <v>9</v>
      </c>
    </row>
    <row r="39" spans="2:12" x14ac:dyDescent="0.2">
      <c r="B39" s="6">
        <v>78</v>
      </c>
      <c r="C39">
        <v>4</v>
      </c>
      <c r="I39" s="101" t="s">
        <v>36</v>
      </c>
      <c r="J39" t="s">
        <v>955</v>
      </c>
    </row>
    <row r="40" spans="2:12" x14ac:dyDescent="0.2">
      <c r="B40" s="6">
        <v>79</v>
      </c>
      <c r="C40">
        <v>3</v>
      </c>
      <c r="E40" s="101" t="s">
        <v>36</v>
      </c>
      <c r="F40" t="s">
        <v>955</v>
      </c>
      <c r="I40" s="101" t="s">
        <v>961</v>
      </c>
      <c r="J40" t="s">
        <v>955</v>
      </c>
    </row>
    <row r="41" spans="2:12" x14ac:dyDescent="0.2">
      <c r="B41" s="6">
        <v>80</v>
      </c>
      <c r="C41">
        <v>2</v>
      </c>
      <c r="H41" s="112"/>
    </row>
    <row r="42" spans="2:12" x14ac:dyDescent="0.2">
      <c r="B42" s="6">
        <v>81</v>
      </c>
      <c r="C42">
        <v>2</v>
      </c>
      <c r="E42" s="101" t="s">
        <v>961</v>
      </c>
      <c r="F42" s="4" t="s">
        <v>974</v>
      </c>
      <c r="G42" s="4" t="s">
        <v>975</v>
      </c>
      <c r="H42" s="92"/>
      <c r="I42" s="101" t="s">
        <v>961</v>
      </c>
      <c r="J42" s="4" t="s">
        <v>974</v>
      </c>
      <c r="K42" s="4" t="s">
        <v>975</v>
      </c>
      <c r="L42" s="4" t="s">
        <v>976</v>
      </c>
    </row>
    <row r="43" spans="2:12" x14ac:dyDescent="0.2">
      <c r="B43" s="6">
        <v>82</v>
      </c>
      <c r="C43">
        <v>3</v>
      </c>
      <c r="E43" s="6" t="s">
        <v>963</v>
      </c>
      <c r="F43" s="106">
        <v>2.044776119402985</v>
      </c>
      <c r="G43" s="106">
        <v>1.5373134328358209</v>
      </c>
      <c r="H43" s="92"/>
      <c r="I43" s="6">
        <v>9</v>
      </c>
      <c r="J43" s="106">
        <v>1.9038461538461537</v>
      </c>
      <c r="K43" s="106">
        <v>1.3557692307692308</v>
      </c>
      <c r="L43" s="92">
        <f>J43-K43</f>
        <v>0.54807692307692291</v>
      </c>
    </row>
    <row r="44" spans="2:12" x14ac:dyDescent="0.2">
      <c r="B44" s="6">
        <v>83</v>
      </c>
      <c r="C44">
        <v>2</v>
      </c>
      <c r="E44" s="6" t="s">
        <v>962</v>
      </c>
      <c r="F44" s="106">
        <v>2.5384615384615383</v>
      </c>
      <c r="G44" s="106">
        <v>1.7384615384615385</v>
      </c>
      <c r="H44" s="92"/>
      <c r="I44" s="6">
        <v>11</v>
      </c>
      <c r="J44" s="106">
        <v>2.3333333333333335</v>
      </c>
      <c r="K44" s="106">
        <v>1.6666666666666667</v>
      </c>
      <c r="L44" s="92">
        <f>J44-K44</f>
        <v>0.66666666666666674</v>
      </c>
    </row>
    <row r="45" spans="2:12" x14ac:dyDescent="0.2">
      <c r="B45" s="6">
        <v>84</v>
      </c>
      <c r="C45">
        <v>3</v>
      </c>
      <c r="E45" s="6" t="s">
        <v>964</v>
      </c>
      <c r="F45" s="106">
        <v>1.6833333333333333</v>
      </c>
      <c r="G45" s="106">
        <v>1.2</v>
      </c>
      <c r="H45" s="92"/>
      <c r="I45" s="6">
        <v>10</v>
      </c>
      <c r="J45" s="106">
        <v>2</v>
      </c>
      <c r="K45" s="106">
        <v>2</v>
      </c>
      <c r="L45" s="92">
        <f>J45-K45</f>
        <v>0</v>
      </c>
    </row>
    <row r="46" spans="2:12" x14ac:dyDescent="0.2">
      <c r="B46" s="6">
        <v>85</v>
      </c>
      <c r="C46">
        <v>3</v>
      </c>
      <c r="E46" s="6" t="s">
        <v>968</v>
      </c>
      <c r="F46" s="106">
        <v>2.7</v>
      </c>
      <c r="G46" s="106">
        <v>2.6</v>
      </c>
      <c r="I46" s="6" t="s">
        <v>947</v>
      </c>
      <c r="J46" s="106">
        <v>2.0989583333333335</v>
      </c>
      <c r="K46" s="106">
        <v>1.5</v>
      </c>
      <c r="L46" s="92">
        <f>AVERAGE(Table6[Difference])</f>
        <v>0.40491452991452986</v>
      </c>
    </row>
    <row r="47" spans="2:12" x14ac:dyDescent="0.2">
      <c r="B47" s="6">
        <v>86</v>
      </c>
      <c r="C47">
        <v>5</v>
      </c>
      <c r="E47" s="6" t="s">
        <v>967</v>
      </c>
      <c r="F47" s="106">
        <v>1.5714285714285714</v>
      </c>
      <c r="G47" s="106">
        <v>0.8571428571428571</v>
      </c>
      <c r="H47" s="92"/>
    </row>
    <row r="48" spans="2:12" x14ac:dyDescent="0.2">
      <c r="B48" s="6">
        <v>89</v>
      </c>
      <c r="C48">
        <v>2</v>
      </c>
      <c r="E48" s="6" t="s">
        <v>947</v>
      </c>
      <c r="F48" s="106">
        <v>2.1369863013698631</v>
      </c>
      <c r="G48" s="106">
        <v>1.5799086757990868</v>
      </c>
      <c r="H48" s="92"/>
    </row>
    <row r="49" spans="2:3" x14ac:dyDescent="0.2">
      <c r="B49" s="6">
        <v>90</v>
      </c>
      <c r="C49">
        <v>1</v>
      </c>
    </row>
    <row r="50" spans="2:3" x14ac:dyDescent="0.2">
      <c r="B50" s="6" t="s">
        <v>947</v>
      </c>
      <c r="C50">
        <v>219</v>
      </c>
    </row>
  </sheetData>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B490-5697-2640-A4F7-0DA469F45515}">
  <sheetPr codeName="Sheet2"/>
  <dimension ref="B3:D16"/>
  <sheetViews>
    <sheetView showGridLines="0" workbookViewId="0">
      <selection activeCell="F5" sqref="F5"/>
    </sheetView>
  </sheetViews>
  <sheetFormatPr baseColWidth="10" defaultColWidth="11" defaultRowHeight="16" x14ac:dyDescent="0.2"/>
  <cols>
    <col min="1" max="1" width="4.83203125" customWidth="1"/>
    <col min="2" max="2" width="13.6640625" bestFit="1" customWidth="1"/>
    <col min="3" max="3" width="20.33203125" style="4" bestFit="1" customWidth="1"/>
    <col min="4" max="4" width="6.1640625" style="4" bestFit="1" customWidth="1"/>
    <col min="5" max="12" width="10.83203125" customWidth="1"/>
    <col min="13" max="13" width="12.1640625" bestFit="1" customWidth="1"/>
    <col min="14" max="14" width="10.5" bestFit="1" customWidth="1"/>
  </cols>
  <sheetData>
    <row r="3" spans="2:4" x14ac:dyDescent="0.2">
      <c r="B3" s="101" t="s">
        <v>951</v>
      </c>
      <c r="C3" s="4" t="s">
        <v>954</v>
      </c>
      <c r="D3" s="4" t="s">
        <v>948</v>
      </c>
    </row>
    <row r="4" spans="2:4" x14ac:dyDescent="0.2">
      <c r="B4" s="6" t="s">
        <v>926</v>
      </c>
      <c r="C4" s="113">
        <v>0.43333333333333335</v>
      </c>
      <c r="D4" s="4">
        <v>2</v>
      </c>
    </row>
    <row r="5" spans="2:4" x14ac:dyDescent="0.2">
      <c r="B5" s="6" t="s">
        <v>927</v>
      </c>
      <c r="C5" s="113"/>
      <c r="D5" s="4">
        <v>1</v>
      </c>
    </row>
    <row r="6" spans="2:4" x14ac:dyDescent="0.2">
      <c r="B6" s="6" t="s">
        <v>924</v>
      </c>
      <c r="C6" s="113">
        <v>0.68095238095238098</v>
      </c>
      <c r="D6" s="4">
        <v>21</v>
      </c>
    </row>
    <row r="7" spans="2:4" x14ac:dyDescent="0.2">
      <c r="B7" s="6" t="s">
        <v>925</v>
      </c>
      <c r="C7" s="113">
        <v>0.5722222222222223</v>
      </c>
      <c r="D7" s="4">
        <v>12</v>
      </c>
    </row>
    <row r="9" spans="2:4" x14ac:dyDescent="0.2">
      <c r="B9" s="101" t="s">
        <v>950</v>
      </c>
      <c r="C9" s="4" t="s">
        <v>954</v>
      </c>
      <c r="D9" s="4" t="s">
        <v>948</v>
      </c>
    </row>
    <row r="10" spans="2:4" x14ac:dyDescent="0.2">
      <c r="B10" s="6" t="s">
        <v>930</v>
      </c>
      <c r="D10" s="4">
        <v>1</v>
      </c>
    </row>
    <row r="11" spans="2:4" x14ac:dyDescent="0.2">
      <c r="B11" s="6" t="s">
        <v>928</v>
      </c>
      <c r="C11" s="113">
        <v>0.62222222222222223</v>
      </c>
      <c r="D11" s="4">
        <v>27</v>
      </c>
    </row>
    <row r="12" spans="2:4" x14ac:dyDescent="0.2">
      <c r="B12" s="6" t="s">
        <v>929</v>
      </c>
      <c r="C12" s="113">
        <v>0.58333333333333337</v>
      </c>
      <c r="D12" s="4">
        <v>8</v>
      </c>
    </row>
    <row r="14" spans="2:4" x14ac:dyDescent="0.2">
      <c r="B14" s="101" t="s">
        <v>949</v>
      </c>
      <c r="C14" s="4" t="s">
        <v>954</v>
      </c>
      <c r="D14" s="4" t="s">
        <v>948</v>
      </c>
    </row>
    <row r="15" spans="2:4" x14ac:dyDescent="0.2">
      <c r="B15" s="6" t="s">
        <v>931</v>
      </c>
      <c r="C15" s="113">
        <v>0.78888888888888886</v>
      </c>
      <c r="D15" s="4">
        <v>6</v>
      </c>
    </row>
    <row r="16" spans="2:4" x14ac:dyDescent="0.2">
      <c r="B16" s="6" t="s">
        <v>932</v>
      </c>
      <c r="C16" s="113">
        <v>0.56969696969696959</v>
      </c>
      <c r="D16" s="4">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57FB-7A82-FC4D-BF7E-3278C8D37317}">
  <sheetPr codeName="Sheet5"/>
  <dimension ref="A1:B19"/>
  <sheetViews>
    <sheetView showGridLines="0" topLeftCell="A6" workbookViewId="0">
      <selection activeCell="A7" sqref="A7"/>
    </sheetView>
  </sheetViews>
  <sheetFormatPr baseColWidth="10" defaultColWidth="11" defaultRowHeight="16" x14ac:dyDescent="0.2"/>
  <cols>
    <col min="1" max="1" width="40.83203125" style="3" customWidth="1"/>
    <col min="2" max="2" width="80.83203125" style="1" customWidth="1"/>
  </cols>
  <sheetData>
    <row r="1" spans="1:2" x14ac:dyDescent="0.2">
      <c r="A1" s="3" t="s">
        <v>118</v>
      </c>
      <c r="B1" t="s">
        <v>119</v>
      </c>
    </row>
    <row r="2" spans="1:2" ht="17" x14ac:dyDescent="0.2">
      <c r="A2" s="5" t="s">
        <v>83</v>
      </c>
      <c r="B2" s="1" t="s">
        <v>82</v>
      </c>
    </row>
    <row r="3" spans="1:2" ht="51" x14ac:dyDescent="0.2">
      <c r="A3" s="5" t="s">
        <v>85</v>
      </c>
      <c r="B3" s="1" t="s">
        <v>84</v>
      </c>
    </row>
    <row r="4" spans="1:2" ht="51" x14ac:dyDescent="0.2">
      <c r="A4" s="5" t="s">
        <v>87</v>
      </c>
      <c r="B4" s="1" t="s">
        <v>86</v>
      </c>
    </row>
    <row r="5" spans="1:2" ht="34" x14ac:dyDescent="0.2">
      <c r="A5" s="5" t="s">
        <v>89</v>
      </c>
      <c r="B5" s="1" t="s">
        <v>88</v>
      </c>
    </row>
    <row r="6" spans="1:2" ht="17" x14ac:dyDescent="0.2">
      <c r="A6" s="5" t="s">
        <v>91</v>
      </c>
      <c r="B6" s="1" t="s">
        <v>90</v>
      </c>
    </row>
    <row r="7" spans="1:2" ht="34" x14ac:dyDescent="0.2">
      <c r="A7" s="5" t="s">
        <v>93</v>
      </c>
      <c r="B7" s="1" t="s">
        <v>92</v>
      </c>
    </row>
    <row r="8" spans="1:2" ht="17" x14ac:dyDescent="0.2">
      <c r="A8" s="5" t="s">
        <v>95</v>
      </c>
      <c r="B8" s="1" t="s">
        <v>94</v>
      </c>
    </row>
    <row r="9" spans="1:2" ht="17" x14ac:dyDescent="0.2">
      <c r="A9" s="5" t="s">
        <v>97</v>
      </c>
      <c r="B9" s="1" t="s">
        <v>96</v>
      </c>
    </row>
    <row r="10" spans="1:2" ht="34" x14ac:dyDescent="0.2">
      <c r="A10" s="5" t="s">
        <v>99</v>
      </c>
      <c r="B10" s="1" t="s">
        <v>98</v>
      </c>
    </row>
    <row r="11" spans="1:2" ht="51" x14ac:dyDescent="0.2">
      <c r="A11" s="5" t="s">
        <v>101</v>
      </c>
      <c r="B11" s="1" t="s">
        <v>100</v>
      </c>
    </row>
    <row r="12" spans="1:2" ht="51" x14ac:dyDescent="0.2">
      <c r="A12" s="5" t="s">
        <v>103</v>
      </c>
      <c r="B12" s="1" t="s">
        <v>102</v>
      </c>
    </row>
    <row r="13" spans="1:2" ht="34" x14ac:dyDescent="0.2">
      <c r="A13" s="5" t="s">
        <v>105</v>
      </c>
      <c r="B13" s="1" t="s">
        <v>104</v>
      </c>
    </row>
    <row r="14" spans="1:2" ht="34" x14ac:dyDescent="0.2">
      <c r="A14" s="5" t="s">
        <v>107</v>
      </c>
      <c r="B14" s="1" t="s">
        <v>106</v>
      </c>
    </row>
    <row r="15" spans="1:2" ht="34" x14ac:dyDescent="0.2">
      <c r="A15" s="5" t="s">
        <v>109</v>
      </c>
      <c r="B15" s="1" t="s">
        <v>108</v>
      </c>
    </row>
    <row r="16" spans="1:2" ht="34" x14ac:dyDescent="0.2">
      <c r="A16" s="5" t="s">
        <v>111</v>
      </c>
      <c r="B16" s="1" t="s">
        <v>110</v>
      </c>
    </row>
    <row r="17" spans="1:2" ht="34" x14ac:dyDescent="0.2">
      <c r="A17" s="5" t="s">
        <v>113</v>
      </c>
      <c r="B17" s="1" t="s">
        <v>112</v>
      </c>
    </row>
    <row r="18" spans="1:2" ht="17" x14ac:dyDescent="0.2">
      <c r="A18" s="5" t="s">
        <v>115</v>
      </c>
      <c r="B18" s="1" t="s">
        <v>114</v>
      </c>
    </row>
    <row r="19" spans="1:2" ht="34" x14ac:dyDescent="0.2">
      <c r="A19" s="5" t="s">
        <v>117</v>
      </c>
      <c r="B19" s="1" t="s">
        <v>116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74E0-FE7A-5A43-B8D1-66BD4D0DECBA}">
  <sheetPr codeName="Sheet6"/>
  <dimension ref="A1:C42"/>
  <sheetViews>
    <sheetView showGridLines="0" topLeftCell="A30" workbookViewId="0">
      <selection activeCell="A7" sqref="A7"/>
    </sheetView>
  </sheetViews>
  <sheetFormatPr baseColWidth="10" defaultColWidth="11" defaultRowHeight="16" x14ac:dyDescent="0.2"/>
  <cols>
    <col min="1" max="2" width="40.83203125" customWidth="1"/>
    <col min="3" max="3" width="100.83203125" customWidth="1"/>
  </cols>
  <sheetData>
    <row r="1" spans="1:3" ht="17" x14ac:dyDescent="0.2">
      <c r="A1" s="95" t="s">
        <v>665</v>
      </c>
      <c r="B1" s="96" t="s">
        <v>666</v>
      </c>
      <c r="C1" s="97" t="s">
        <v>667</v>
      </c>
    </row>
    <row r="2" spans="1:3" ht="34" x14ac:dyDescent="0.2">
      <c r="A2" s="88" t="s">
        <v>668</v>
      </c>
      <c r="B2" s="88" t="s">
        <v>669</v>
      </c>
      <c r="C2" s="93" t="s">
        <v>670</v>
      </c>
    </row>
    <row r="3" spans="1:3" ht="34" x14ac:dyDescent="0.2">
      <c r="A3" s="89" t="s">
        <v>668</v>
      </c>
      <c r="B3" s="89" t="s">
        <v>671</v>
      </c>
      <c r="C3" s="94" t="s">
        <v>672</v>
      </c>
    </row>
    <row r="4" spans="1:3" ht="17" x14ac:dyDescent="0.2">
      <c r="A4" s="88" t="s">
        <v>668</v>
      </c>
      <c r="B4" s="88" t="s">
        <v>673</v>
      </c>
      <c r="C4" s="93" t="s">
        <v>674</v>
      </c>
    </row>
    <row r="5" spans="1:3" ht="17" x14ac:dyDescent="0.2">
      <c r="A5" s="89" t="s">
        <v>668</v>
      </c>
      <c r="B5" s="89" t="s">
        <v>675</v>
      </c>
      <c r="C5" s="94" t="s">
        <v>676</v>
      </c>
    </row>
    <row r="6" spans="1:3" ht="17" x14ac:dyDescent="0.2">
      <c r="A6" s="88" t="s">
        <v>668</v>
      </c>
      <c r="B6" s="88" t="s">
        <v>677</v>
      </c>
      <c r="C6" s="93" t="s">
        <v>678</v>
      </c>
    </row>
    <row r="7" spans="1:3" ht="17" x14ac:dyDescent="0.2">
      <c r="A7" s="89" t="s">
        <v>668</v>
      </c>
      <c r="B7" s="89" t="s">
        <v>679</v>
      </c>
      <c r="C7" s="94" t="s">
        <v>680</v>
      </c>
    </row>
    <row r="8" spans="1:3" ht="34" x14ac:dyDescent="0.2">
      <c r="A8" s="88" t="s">
        <v>668</v>
      </c>
      <c r="B8" s="88" t="s">
        <v>681</v>
      </c>
      <c r="C8" s="93" t="s">
        <v>682</v>
      </c>
    </row>
    <row r="9" spans="1:3" ht="34" x14ac:dyDescent="0.2">
      <c r="A9" s="89" t="s">
        <v>683</v>
      </c>
      <c r="B9" s="89" t="s">
        <v>684</v>
      </c>
      <c r="C9" s="94" t="s">
        <v>685</v>
      </c>
    </row>
    <row r="10" spans="1:3" ht="17" x14ac:dyDescent="0.2">
      <c r="A10" s="88" t="s">
        <v>683</v>
      </c>
      <c r="B10" s="88" t="s">
        <v>686</v>
      </c>
      <c r="C10" s="93" t="s">
        <v>687</v>
      </c>
    </row>
    <row r="11" spans="1:3" ht="17" x14ac:dyDescent="0.2">
      <c r="A11" s="89" t="s">
        <v>683</v>
      </c>
      <c r="B11" s="89" t="s">
        <v>688</v>
      </c>
      <c r="C11" s="94" t="s">
        <v>689</v>
      </c>
    </row>
    <row r="12" spans="1:3" ht="17" x14ac:dyDescent="0.2">
      <c r="A12" s="88" t="s">
        <v>683</v>
      </c>
      <c r="B12" s="88" t="s">
        <v>690</v>
      </c>
      <c r="C12" s="93" t="s">
        <v>691</v>
      </c>
    </row>
    <row r="13" spans="1:3" ht="34" x14ac:dyDescent="0.2">
      <c r="A13" s="89" t="s">
        <v>683</v>
      </c>
      <c r="B13" s="89" t="s">
        <v>692</v>
      </c>
      <c r="C13" s="94" t="s">
        <v>693</v>
      </c>
    </row>
    <row r="14" spans="1:3" ht="34" x14ac:dyDescent="0.2">
      <c r="A14" s="88" t="s">
        <v>683</v>
      </c>
      <c r="B14" s="88" t="s">
        <v>694</v>
      </c>
      <c r="C14" s="93" t="s">
        <v>695</v>
      </c>
    </row>
    <row r="15" spans="1:3" ht="17" x14ac:dyDescent="0.2">
      <c r="A15" s="89" t="s">
        <v>683</v>
      </c>
      <c r="B15" s="89" t="s">
        <v>696</v>
      </c>
      <c r="C15" s="94" t="s">
        <v>697</v>
      </c>
    </row>
    <row r="16" spans="1:3" ht="17" x14ac:dyDescent="0.2">
      <c r="A16" s="88" t="s">
        <v>683</v>
      </c>
      <c r="B16" s="88" t="s">
        <v>698</v>
      </c>
      <c r="C16" s="93" t="s">
        <v>699</v>
      </c>
    </row>
    <row r="17" spans="1:3" ht="34" x14ac:dyDescent="0.2">
      <c r="A17" s="89" t="s">
        <v>700</v>
      </c>
      <c r="B17" s="89" t="s">
        <v>701</v>
      </c>
      <c r="C17" s="94" t="s">
        <v>702</v>
      </c>
    </row>
    <row r="18" spans="1:3" ht="17" x14ac:dyDescent="0.2">
      <c r="A18" s="88" t="s">
        <v>700</v>
      </c>
      <c r="B18" s="88" t="s">
        <v>703</v>
      </c>
      <c r="C18" s="93" t="s">
        <v>704</v>
      </c>
    </row>
    <row r="19" spans="1:3" ht="34" x14ac:dyDescent="0.2">
      <c r="A19" s="89" t="s">
        <v>700</v>
      </c>
      <c r="B19" s="89" t="s">
        <v>705</v>
      </c>
      <c r="C19" s="94" t="s">
        <v>706</v>
      </c>
    </row>
    <row r="20" spans="1:3" ht="34" x14ac:dyDescent="0.2">
      <c r="A20" s="88" t="s">
        <v>700</v>
      </c>
      <c r="B20" s="88" t="s">
        <v>707</v>
      </c>
      <c r="C20" s="93" t="s">
        <v>708</v>
      </c>
    </row>
    <row r="21" spans="1:3" ht="34" x14ac:dyDescent="0.2">
      <c r="A21" s="89" t="s">
        <v>700</v>
      </c>
      <c r="B21" s="89" t="s">
        <v>709</v>
      </c>
      <c r="C21" s="94" t="s">
        <v>710</v>
      </c>
    </row>
    <row r="22" spans="1:3" ht="34" x14ac:dyDescent="0.2">
      <c r="A22" s="88" t="s">
        <v>700</v>
      </c>
      <c r="B22" s="88" t="s">
        <v>711</v>
      </c>
      <c r="C22" s="93" t="s">
        <v>712</v>
      </c>
    </row>
    <row r="23" spans="1:3" ht="34" x14ac:dyDescent="0.2">
      <c r="A23" s="89" t="s">
        <v>713</v>
      </c>
      <c r="B23" s="89" t="s">
        <v>714</v>
      </c>
      <c r="C23" s="94" t="s">
        <v>715</v>
      </c>
    </row>
    <row r="24" spans="1:3" ht="34" x14ac:dyDescent="0.2">
      <c r="A24" s="88" t="s">
        <v>713</v>
      </c>
      <c r="B24" s="88" t="s">
        <v>716</v>
      </c>
      <c r="C24" s="93" t="s">
        <v>717</v>
      </c>
    </row>
    <row r="25" spans="1:3" ht="51" x14ac:dyDescent="0.2">
      <c r="A25" s="89" t="s">
        <v>713</v>
      </c>
      <c r="B25" s="89" t="s">
        <v>718</v>
      </c>
      <c r="C25" s="94" t="s">
        <v>719</v>
      </c>
    </row>
    <row r="26" spans="1:3" ht="17" x14ac:dyDescent="0.2">
      <c r="A26" s="88" t="s">
        <v>713</v>
      </c>
      <c r="B26" s="88" t="s">
        <v>720</v>
      </c>
      <c r="C26" s="93" t="s">
        <v>721</v>
      </c>
    </row>
    <row r="27" spans="1:3" ht="17" x14ac:dyDescent="0.2">
      <c r="A27" s="89" t="s">
        <v>713</v>
      </c>
      <c r="B27" s="89" t="s">
        <v>722</v>
      </c>
      <c r="C27" s="94" t="s">
        <v>723</v>
      </c>
    </row>
    <row r="28" spans="1:3" ht="17" x14ac:dyDescent="0.2">
      <c r="A28" s="88" t="s">
        <v>713</v>
      </c>
      <c r="B28" s="88" t="s">
        <v>724</v>
      </c>
      <c r="C28" s="93" t="s">
        <v>725</v>
      </c>
    </row>
    <row r="29" spans="1:3" ht="34" x14ac:dyDescent="0.2">
      <c r="A29" s="89" t="s">
        <v>726</v>
      </c>
      <c r="B29" s="89" t="s">
        <v>727</v>
      </c>
      <c r="C29" s="94" t="s">
        <v>728</v>
      </c>
    </row>
    <row r="30" spans="1:3" ht="17" x14ac:dyDescent="0.2">
      <c r="A30" s="88" t="s">
        <v>726</v>
      </c>
      <c r="B30" s="88" t="s">
        <v>729</v>
      </c>
      <c r="C30" s="93" t="s">
        <v>730</v>
      </c>
    </row>
    <row r="31" spans="1:3" ht="17" x14ac:dyDescent="0.2">
      <c r="A31" s="89" t="s">
        <v>726</v>
      </c>
      <c r="B31" s="89" t="s">
        <v>731</v>
      </c>
      <c r="C31" s="94" t="s">
        <v>732</v>
      </c>
    </row>
    <row r="32" spans="1:3" ht="17" x14ac:dyDescent="0.2">
      <c r="A32" s="88" t="s">
        <v>726</v>
      </c>
      <c r="B32" s="88" t="s">
        <v>733</v>
      </c>
      <c r="C32" s="93" t="s">
        <v>734</v>
      </c>
    </row>
    <row r="33" spans="1:3" ht="17" x14ac:dyDescent="0.2">
      <c r="A33" s="89" t="s">
        <v>726</v>
      </c>
      <c r="B33" s="89" t="s">
        <v>735</v>
      </c>
      <c r="C33" s="94" t="s">
        <v>736</v>
      </c>
    </row>
    <row r="34" spans="1:3" ht="17" x14ac:dyDescent="0.2">
      <c r="A34" s="88" t="s">
        <v>726</v>
      </c>
      <c r="B34" s="88" t="s">
        <v>737</v>
      </c>
      <c r="C34" s="93" t="s">
        <v>738</v>
      </c>
    </row>
    <row r="35" spans="1:3" ht="34" x14ac:dyDescent="0.2">
      <c r="A35" s="89" t="s">
        <v>739</v>
      </c>
      <c r="B35" s="89" t="s">
        <v>740</v>
      </c>
      <c r="C35" s="94" t="s">
        <v>741</v>
      </c>
    </row>
    <row r="36" spans="1:3" ht="17" x14ac:dyDescent="0.2">
      <c r="A36" s="88" t="s">
        <v>739</v>
      </c>
      <c r="B36" s="88" t="s">
        <v>742</v>
      </c>
      <c r="C36" s="93" t="s">
        <v>743</v>
      </c>
    </row>
    <row r="37" spans="1:3" ht="34" x14ac:dyDescent="0.2">
      <c r="A37" s="89" t="s">
        <v>739</v>
      </c>
      <c r="B37" s="89" t="s">
        <v>744</v>
      </c>
      <c r="C37" s="94" t="s">
        <v>745</v>
      </c>
    </row>
    <row r="38" spans="1:3" ht="34" x14ac:dyDescent="0.2">
      <c r="A38" s="88" t="s">
        <v>739</v>
      </c>
      <c r="B38" s="88" t="s">
        <v>746</v>
      </c>
      <c r="C38" s="93" t="s">
        <v>747</v>
      </c>
    </row>
    <row r="39" spans="1:3" ht="17" x14ac:dyDescent="0.2">
      <c r="A39" s="89" t="s">
        <v>739</v>
      </c>
      <c r="B39" s="89" t="s">
        <v>748</v>
      </c>
      <c r="C39" s="94" t="s">
        <v>749</v>
      </c>
    </row>
    <row r="40" spans="1:3" ht="17" x14ac:dyDescent="0.2">
      <c r="A40" s="88" t="s">
        <v>739</v>
      </c>
      <c r="B40" s="88" t="s">
        <v>750</v>
      </c>
      <c r="C40" s="93" t="s">
        <v>751</v>
      </c>
    </row>
    <row r="41" spans="1:3" ht="17" x14ac:dyDescent="0.2">
      <c r="A41" s="89" t="s">
        <v>739</v>
      </c>
      <c r="B41" s="89" t="s">
        <v>752</v>
      </c>
      <c r="C41" s="94" t="s">
        <v>753</v>
      </c>
    </row>
    <row r="42" spans="1:3" ht="34" x14ac:dyDescent="0.2">
      <c r="A42" s="98" t="s">
        <v>739</v>
      </c>
      <c r="B42" s="98" t="s">
        <v>754</v>
      </c>
      <c r="C42" s="99" t="s">
        <v>755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2D95-4232-3D4E-9DDD-5207DE442F67}">
  <sheetPr codeName="Sheet7"/>
  <dimension ref="A1:C178"/>
  <sheetViews>
    <sheetView showGridLines="0" topLeftCell="A171" workbookViewId="0">
      <selection activeCell="A7" sqref="A7"/>
    </sheetView>
  </sheetViews>
  <sheetFormatPr baseColWidth="10" defaultColWidth="10.83203125" defaultRowHeight="16" x14ac:dyDescent="0.2"/>
  <cols>
    <col min="1" max="1" width="10.83203125" style="2"/>
    <col min="2" max="2" width="32.1640625" style="2" customWidth="1"/>
    <col min="3" max="3" width="60.83203125" style="1" customWidth="1"/>
    <col min="4" max="4" width="60.83203125" style="5" customWidth="1"/>
    <col min="5" max="16384" width="10.83203125" style="5"/>
  </cols>
  <sheetData>
    <row r="1" spans="1:3" ht="17" x14ac:dyDescent="0.2">
      <c r="A1" s="3" t="s">
        <v>32</v>
      </c>
      <c r="B1" s="2" t="s">
        <v>319</v>
      </c>
      <c r="C1" s="1" t="s">
        <v>120</v>
      </c>
    </row>
    <row r="2" spans="1:3" ht="51" x14ac:dyDescent="0.2">
      <c r="A2" s="3" t="s">
        <v>121</v>
      </c>
      <c r="B2" s="100" t="s">
        <v>122</v>
      </c>
      <c r="C2" s="1" t="s">
        <v>123</v>
      </c>
    </row>
    <row r="3" spans="1:3" ht="34" x14ac:dyDescent="0.2">
      <c r="A3" s="3" t="s">
        <v>124</v>
      </c>
      <c r="B3" s="100" t="s">
        <v>125</v>
      </c>
      <c r="C3" s="1" t="s">
        <v>126</v>
      </c>
    </row>
    <row r="4" spans="1:3" ht="68" x14ac:dyDescent="0.2">
      <c r="A4" s="3" t="s">
        <v>127</v>
      </c>
      <c r="B4" s="100" t="s">
        <v>128</v>
      </c>
      <c r="C4" s="1" t="s">
        <v>129</v>
      </c>
    </row>
    <row r="5" spans="1:3" ht="34" x14ac:dyDescent="0.2">
      <c r="A5" s="3" t="s">
        <v>130</v>
      </c>
      <c r="B5" s="100" t="s">
        <v>131</v>
      </c>
      <c r="C5" s="1" t="s">
        <v>132</v>
      </c>
    </row>
    <row r="6" spans="1:3" ht="68" x14ac:dyDescent="0.2">
      <c r="A6" s="3" t="s">
        <v>133</v>
      </c>
      <c r="B6" s="100" t="s">
        <v>134</v>
      </c>
      <c r="C6" s="1" t="s">
        <v>135</v>
      </c>
    </row>
    <row r="7" spans="1:3" ht="34" x14ac:dyDescent="0.2">
      <c r="A7" s="3" t="s">
        <v>136</v>
      </c>
      <c r="B7" s="100" t="s">
        <v>137</v>
      </c>
      <c r="C7" s="1" t="s">
        <v>138</v>
      </c>
    </row>
    <row r="8" spans="1:3" ht="51" x14ac:dyDescent="0.2">
      <c r="A8" s="3" t="s">
        <v>140</v>
      </c>
      <c r="B8" s="100" t="s">
        <v>139</v>
      </c>
      <c r="C8" s="1" t="s">
        <v>141</v>
      </c>
    </row>
    <row r="9" spans="1:3" ht="51" x14ac:dyDescent="0.2">
      <c r="A9" s="3" t="s">
        <v>142</v>
      </c>
      <c r="B9" s="100" t="s">
        <v>143</v>
      </c>
      <c r="C9" s="1" t="s">
        <v>144</v>
      </c>
    </row>
    <row r="10" spans="1:3" ht="34" x14ac:dyDescent="0.2">
      <c r="A10" s="3" t="s">
        <v>145</v>
      </c>
      <c r="B10" s="100" t="s">
        <v>146</v>
      </c>
      <c r="C10" s="1" t="s">
        <v>147</v>
      </c>
    </row>
    <row r="11" spans="1:3" ht="51" x14ac:dyDescent="0.2">
      <c r="A11" s="3" t="s">
        <v>148</v>
      </c>
      <c r="B11" s="100" t="s">
        <v>149</v>
      </c>
      <c r="C11" s="1" t="s">
        <v>150</v>
      </c>
    </row>
    <row r="12" spans="1:3" ht="51" x14ac:dyDescent="0.2">
      <c r="A12" s="3" t="s">
        <v>151</v>
      </c>
      <c r="B12" s="100" t="s">
        <v>152</v>
      </c>
      <c r="C12" s="1" t="s">
        <v>153</v>
      </c>
    </row>
    <row r="13" spans="1:3" ht="51" x14ac:dyDescent="0.2">
      <c r="A13" s="3" t="s">
        <v>154</v>
      </c>
      <c r="B13" s="100" t="s">
        <v>155</v>
      </c>
      <c r="C13" s="1" t="s">
        <v>156</v>
      </c>
    </row>
    <row r="14" spans="1:3" ht="17" x14ac:dyDescent="0.2">
      <c r="A14" s="3" t="s">
        <v>157</v>
      </c>
      <c r="B14" s="100" t="s">
        <v>158</v>
      </c>
      <c r="C14" s="1" t="s">
        <v>159</v>
      </c>
    </row>
    <row r="15" spans="1:3" ht="51" x14ac:dyDescent="0.2">
      <c r="A15" s="3" t="s">
        <v>160</v>
      </c>
      <c r="B15" s="100" t="s">
        <v>161</v>
      </c>
      <c r="C15" s="1" t="s">
        <v>162</v>
      </c>
    </row>
    <row r="16" spans="1:3" ht="34" x14ac:dyDescent="0.2">
      <c r="A16" s="3" t="s">
        <v>163</v>
      </c>
      <c r="B16" s="100" t="s">
        <v>164</v>
      </c>
      <c r="C16" s="1" t="s">
        <v>165</v>
      </c>
    </row>
    <row r="17" spans="1:3" ht="34" x14ac:dyDescent="0.2">
      <c r="A17" s="3" t="s">
        <v>166</v>
      </c>
      <c r="B17" s="100" t="s">
        <v>167</v>
      </c>
      <c r="C17" s="1" t="s">
        <v>168</v>
      </c>
    </row>
    <row r="18" spans="1:3" ht="51" x14ac:dyDescent="0.2">
      <c r="A18" s="3" t="s">
        <v>169</v>
      </c>
      <c r="B18" s="100" t="s">
        <v>170</v>
      </c>
      <c r="C18" s="1" t="s">
        <v>171</v>
      </c>
    </row>
    <row r="19" spans="1:3" ht="34" x14ac:dyDescent="0.2">
      <c r="A19" s="3" t="s">
        <v>172</v>
      </c>
      <c r="B19" s="100" t="s">
        <v>173</v>
      </c>
      <c r="C19" s="1" t="s">
        <v>174</v>
      </c>
    </row>
    <row r="20" spans="1:3" ht="34" x14ac:dyDescent="0.2">
      <c r="A20" s="3" t="s">
        <v>175</v>
      </c>
      <c r="B20" s="100" t="s">
        <v>176</v>
      </c>
      <c r="C20" s="1" t="s">
        <v>177</v>
      </c>
    </row>
    <row r="21" spans="1:3" ht="51" x14ac:dyDescent="0.2">
      <c r="A21" s="3" t="s">
        <v>178</v>
      </c>
      <c r="B21" s="100" t="s">
        <v>179</v>
      </c>
      <c r="C21" s="1" t="s">
        <v>180</v>
      </c>
    </row>
    <row r="22" spans="1:3" ht="68" x14ac:dyDescent="0.2">
      <c r="A22" s="3" t="s">
        <v>181</v>
      </c>
      <c r="B22" s="100" t="s">
        <v>182</v>
      </c>
      <c r="C22" s="1" t="s">
        <v>183</v>
      </c>
    </row>
    <row r="23" spans="1:3" ht="51" x14ac:dyDescent="0.2">
      <c r="A23" s="3" t="s">
        <v>184</v>
      </c>
      <c r="B23" s="100" t="s">
        <v>185</v>
      </c>
      <c r="C23" s="1" t="s">
        <v>186</v>
      </c>
    </row>
    <row r="24" spans="1:3" ht="34" x14ac:dyDescent="0.2">
      <c r="A24" s="3" t="s">
        <v>187</v>
      </c>
      <c r="B24" s="100" t="s">
        <v>188</v>
      </c>
      <c r="C24" s="1" t="s">
        <v>189</v>
      </c>
    </row>
    <row r="25" spans="1:3" ht="51" x14ac:dyDescent="0.2">
      <c r="A25" s="3" t="s">
        <v>190</v>
      </c>
      <c r="B25" s="100" t="s">
        <v>191</v>
      </c>
      <c r="C25" s="1" t="s">
        <v>192</v>
      </c>
    </row>
    <row r="26" spans="1:3" ht="34" x14ac:dyDescent="0.2">
      <c r="A26" s="3" t="s">
        <v>193</v>
      </c>
      <c r="B26" s="100" t="s">
        <v>194</v>
      </c>
      <c r="C26" s="1" t="s">
        <v>195</v>
      </c>
    </row>
    <row r="27" spans="1:3" ht="51" x14ac:dyDescent="0.2">
      <c r="A27" s="3" t="s">
        <v>196</v>
      </c>
      <c r="B27" s="100" t="s">
        <v>197</v>
      </c>
      <c r="C27" s="1" t="s">
        <v>198</v>
      </c>
    </row>
    <row r="28" spans="1:3" ht="51" x14ac:dyDescent="0.2">
      <c r="A28" s="3" t="s">
        <v>199</v>
      </c>
      <c r="B28" s="100" t="s">
        <v>200</v>
      </c>
      <c r="C28" s="1" t="s">
        <v>201</v>
      </c>
    </row>
    <row r="29" spans="1:3" ht="34" x14ac:dyDescent="0.2">
      <c r="A29" s="3" t="s">
        <v>202</v>
      </c>
      <c r="B29" s="100" t="s">
        <v>203</v>
      </c>
      <c r="C29" s="1" t="s">
        <v>204</v>
      </c>
    </row>
    <row r="30" spans="1:3" ht="34" x14ac:dyDescent="0.2">
      <c r="A30" s="3" t="s">
        <v>205</v>
      </c>
      <c r="B30" s="100" t="s">
        <v>206</v>
      </c>
      <c r="C30" s="1" t="s">
        <v>207</v>
      </c>
    </row>
    <row r="31" spans="1:3" ht="17" x14ac:dyDescent="0.2">
      <c r="A31" s="3" t="s">
        <v>208</v>
      </c>
      <c r="B31" s="100" t="s">
        <v>209</v>
      </c>
      <c r="C31" s="1" t="s">
        <v>210</v>
      </c>
    </row>
    <row r="32" spans="1:3" ht="51" x14ac:dyDescent="0.2">
      <c r="A32" s="3" t="s">
        <v>211</v>
      </c>
      <c r="B32" s="100" t="s">
        <v>212</v>
      </c>
      <c r="C32" s="1" t="s">
        <v>213</v>
      </c>
    </row>
    <row r="33" spans="1:3" ht="34" x14ac:dyDescent="0.2">
      <c r="A33" s="3" t="s">
        <v>214</v>
      </c>
      <c r="B33" s="100" t="s">
        <v>215</v>
      </c>
      <c r="C33" s="1" t="s">
        <v>216</v>
      </c>
    </row>
    <row r="34" spans="1:3" ht="68" x14ac:dyDescent="0.2">
      <c r="A34" s="3" t="s">
        <v>217</v>
      </c>
      <c r="B34" s="100" t="s">
        <v>218</v>
      </c>
      <c r="C34" s="1" t="s">
        <v>219</v>
      </c>
    </row>
    <row r="35" spans="1:3" ht="34" x14ac:dyDescent="0.2">
      <c r="A35" s="3" t="s">
        <v>220</v>
      </c>
      <c r="B35" s="100" t="s">
        <v>221</v>
      </c>
      <c r="C35" s="1" t="s">
        <v>222</v>
      </c>
    </row>
    <row r="36" spans="1:3" ht="51" x14ac:dyDescent="0.2">
      <c r="A36" s="3" t="s">
        <v>223</v>
      </c>
      <c r="B36" s="100" t="s">
        <v>224</v>
      </c>
      <c r="C36" s="1" t="s">
        <v>225</v>
      </c>
    </row>
    <row r="37" spans="1:3" ht="34" x14ac:dyDescent="0.2">
      <c r="A37" s="3" t="s">
        <v>226</v>
      </c>
      <c r="B37" s="100" t="s">
        <v>227</v>
      </c>
      <c r="C37" s="1" t="s">
        <v>228</v>
      </c>
    </row>
    <row r="38" spans="1:3" ht="34" x14ac:dyDescent="0.2">
      <c r="A38" s="3" t="s">
        <v>229</v>
      </c>
      <c r="B38" s="100" t="s">
        <v>230</v>
      </c>
      <c r="C38" s="1" t="s">
        <v>231</v>
      </c>
    </row>
    <row r="39" spans="1:3" ht="34" x14ac:dyDescent="0.2">
      <c r="A39" s="3" t="s">
        <v>232</v>
      </c>
      <c r="B39" s="100" t="s">
        <v>233</v>
      </c>
      <c r="C39" s="1" t="s">
        <v>234</v>
      </c>
    </row>
    <row r="40" spans="1:3" ht="34" x14ac:dyDescent="0.2">
      <c r="A40" s="3" t="s">
        <v>235</v>
      </c>
      <c r="B40" s="100" t="s">
        <v>236</v>
      </c>
      <c r="C40" s="1" t="s">
        <v>237</v>
      </c>
    </row>
    <row r="41" spans="1:3" ht="51" x14ac:dyDescent="0.2">
      <c r="A41" s="3" t="s">
        <v>238</v>
      </c>
      <c r="B41" s="100" t="s">
        <v>239</v>
      </c>
      <c r="C41" s="1" t="s">
        <v>240</v>
      </c>
    </row>
    <row r="42" spans="1:3" ht="34" x14ac:dyDescent="0.2">
      <c r="A42" s="3" t="s">
        <v>241</v>
      </c>
      <c r="B42" s="100" t="s">
        <v>242</v>
      </c>
      <c r="C42" s="1" t="s">
        <v>243</v>
      </c>
    </row>
    <row r="43" spans="1:3" ht="34" x14ac:dyDescent="0.2">
      <c r="A43" s="3" t="s">
        <v>244</v>
      </c>
      <c r="B43" s="100" t="s">
        <v>245</v>
      </c>
      <c r="C43" s="1" t="s">
        <v>246</v>
      </c>
    </row>
    <row r="44" spans="1:3" ht="34" x14ac:dyDescent="0.2">
      <c r="A44" s="3" t="s">
        <v>247</v>
      </c>
      <c r="B44" s="100" t="s">
        <v>248</v>
      </c>
      <c r="C44" s="1" t="s">
        <v>249</v>
      </c>
    </row>
    <row r="45" spans="1:3" ht="34" x14ac:dyDescent="0.2">
      <c r="A45" s="3" t="s">
        <v>250</v>
      </c>
      <c r="B45" s="100" t="s">
        <v>251</v>
      </c>
      <c r="C45" s="1" t="s">
        <v>252</v>
      </c>
    </row>
    <row r="46" spans="1:3" ht="68" x14ac:dyDescent="0.2">
      <c r="A46" s="3" t="s">
        <v>253</v>
      </c>
      <c r="B46" s="100" t="s">
        <v>254</v>
      </c>
      <c r="C46" s="1" t="s">
        <v>255</v>
      </c>
    </row>
    <row r="47" spans="1:3" ht="34" x14ac:dyDescent="0.2">
      <c r="A47" s="3" t="s">
        <v>256</v>
      </c>
      <c r="B47" s="100" t="s">
        <v>257</v>
      </c>
      <c r="C47" s="1" t="s">
        <v>258</v>
      </c>
    </row>
    <row r="48" spans="1:3" ht="102" x14ac:dyDescent="0.2">
      <c r="A48" s="3" t="s">
        <v>259</v>
      </c>
      <c r="B48" s="100" t="s">
        <v>260</v>
      </c>
      <c r="C48" s="1" t="s">
        <v>261</v>
      </c>
    </row>
    <row r="49" spans="1:3" ht="51" x14ac:dyDescent="0.2">
      <c r="A49" s="3" t="s">
        <v>262</v>
      </c>
      <c r="B49" s="100" t="s">
        <v>263</v>
      </c>
      <c r="C49" s="1" t="s">
        <v>264</v>
      </c>
    </row>
    <row r="50" spans="1:3" ht="85" x14ac:dyDescent="0.2">
      <c r="A50" s="3" t="s">
        <v>265</v>
      </c>
      <c r="B50" s="100" t="s">
        <v>266</v>
      </c>
      <c r="C50" s="1" t="s">
        <v>267</v>
      </c>
    </row>
    <row r="51" spans="1:3" ht="34" x14ac:dyDescent="0.2">
      <c r="A51" s="3" t="s">
        <v>268</v>
      </c>
      <c r="B51" s="100" t="s">
        <v>269</v>
      </c>
      <c r="C51" s="1" t="s">
        <v>270</v>
      </c>
    </row>
    <row r="52" spans="1:3" ht="34" x14ac:dyDescent="0.2">
      <c r="A52" s="3" t="s">
        <v>271</v>
      </c>
      <c r="B52" s="100" t="s">
        <v>272</v>
      </c>
      <c r="C52" s="1" t="s">
        <v>273</v>
      </c>
    </row>
    <row r="53" spans="1:3" ht="34" x14ac:dyDescent="0.2">
      <c r="A53" s="3" t="s">
        <v>274</v>
      </c>
      <c r="B53" s="100" t="s">
        <v>275</v>
      </c>
      <c r="C53" s="1" t="s">
        <v>276</v>
      </c>
    </row>
    <row r="54" spans="1:3" ht="34" x14ac:dyDescent="0.2">
      <c r="A54" s="3" t="s">
        <v>277</v>
      </c>
      <c r="B54" s="100" t="s">
        <v>278</v>
      </c>
      <c r="C54" s="1" t="s">
        <v>279</v>
      </c>
    </row>
    <row r="55" spans="1:3" ht="51" x14ac:dyDescent="0.2">
      <c r="A55" s="3" t="s">
        <v>280</v>
      </c>
      <c r="B55" s="100" t="s">
        <v>281</v>
      </c>
      <c r="C55" s="1" t="s">
        <v>282</v>
      </c>
    </row>
    <row r="56" spans="1:3" ht="68" x14ac:dyDescent="0.2">
      <c r="A56" s="3" t="s">
        <v>283</v>
      </c>
      <c r="B56" s="100" t="s">
        <v>284</v>
      </c>
      <c r="C56" s="1" t="s">
        <v>285</v>
      </c>
    </row>
    <row r="57" spans="1:3" ht="85" x14ac:dyDescent="0.2">
      <c r="A57" s="3" t="s">
        <v>286</v>
      </c>
      <c r="B57" s="100" t="s">
        <v>287</v>
      </c>
      <c r="C57" s="1" t="s">
        <v>288</v>
      </c>
    </row>
    <row r="58" spans="1:3" ht="51" x14ac:dyDescent="0.2">
      <c r="A58" s="3" t="s">
        <v>289</v>
      </c>
      <c r="B58" s="100" t="s">
        <v>290</v>
      </c>
      <c r="C58" s="1" t="s">
        <v>291</v>
      </c>
    </row>
    <row r="59" spans="1:3" ht="68" x14ac:dyDescent="0.2">
      <c r="A59" s="3" t="s">
        <v>292</v>
      </c>
      <c r="B59" s="100" t="s">
        <v>293</v>
      </c>
      <c r="C59" s="1" t="s">
        <v>294</v>
      </c>
    </row>
    <row r="60" spans="1:3" ht="51" x14ac:dyDescent="0.2">
      <c r="A60" s="3" t="s">
        <v>295</v>
      </c>
      <c r="B60" s="100" t="s">
        <v>296</v>
      </c>
      <c r="C60" s="1" t="s">
        <v>297</v>
      </c>
    </row>
    <row r="61" spans="1:3" ht="34" x14ac:dyDescent="0.2">
      <c r="A61" s="3" t="s">
        <v>298</v>
      </c>
      <c r="B61" s="100" t="s">
        <v>299</v>
      </c>
      <c r="C61" s="1" t="s">
        <v>300</v>
      </c>
    </row>
    <row r="62" spans="1:3" ht="34" x14ac:dyDescent="0.2">
      <c r="A62" s="3" t="s">
        <v>301</v>
      </c>
      <c r="B62" s="100" t="s">
        <v>302</v>
      </c>
      <c r="C62" s="1" t="s">
        <v>303</v>
      </c>
    </row>
    <row r="63" spans="1:3" ht="51" x14ac:dyDescent="0.2">
      <c r="A63" s="3" t="s">
        <v>304</v>
      </c>
      <c r="B63" s="100" t="s">
        <v>305</v>
      </c>
      <c r="C63" s="1" t="s">
        <v>306</v>
      </c>
    </row>
    <row r="64" spans="1:3" ht="51" x14ac:dyDescent="0.2">
      <c r="A64" s="3" t="s">
        <v>307</v>
      </c>
      <c r="B64" s="100" t="s">
        <v>308</v>
      </c>
      <c r="C64" s="1" t="s">
        <v>309</v>
      </c>
    </row>
    <row r="65" spans="1:3" ht="68" x14ac:dyDescent="0.2">
      <c r="A65" s="3" t="s">
        <v>310</v>
      </c>
      <c r="B65" s="100" t="s">
        <v>311</v>
      </c>
      <c r="C65" s="1" t="s">
        <v>312</v>
      </c>
    </row>
    <row r="66" spans="1:3" ht="51" x14ac:dyDescent="0.2">
      <c r="A66" s="3" t="s">
        <v>313</v>
      </c>
      <c r="B66" s="100" t="s">
        <v>314</v>
      </c>
      <c r="C66" s="1" t="s">
        <v>315</v>
      </c>
    </row>
    <row r="67" spans="1:3" ht="51" x14ac:dyDescent="0.2">
      <c r="A67" s="3" t="s">
        <v>316</v>
      </c>
      <c r="B67" s="100" t="s">
        <v>317</v>
      </c>
      <c r="C67" s="1" t="s">
        <v>318</v>
      </c>
    </row>
    <row r="68" spans="1:3" ht="34" x14ac:dyDescent="0.2">
      <c r="A68" s="3" t="s">
        <v>320</v>
      </c>
      <c r="B68" s="100" t="s">
        <v>321</v>
      </c>
      <c r="C68" s="1" t="s">
        <v>322</v>
      </c>
    </row>
    <row r="69" spans="1:3" ht="51" x14ac:dyDescent="0.2">
      <c r="A69" s="3" t="s">
        <v>323</v>
      </c>
      <c r="B69" s="100" t="s">
        <v>324</v>
      </c>
      <c r="C69" s="1" t="s">
        <v>325</v>
      </c>
    </row>
    <row r="70" spans="1:3" ht="34" x14ac:dyDescent="0.2">
      <c r="A70" s="3" t="s">
        <v>326</v>
      </c>
      <c r="B70" s="100" t="s">
        <v>327</v>
      </c>
      <c r="C70" s="1" t="s">
        <v>328</v>
      </c>
    </row>
    <row r="71" spans="1:3" ht="34" x14ac:dyDescent="0.2">
      <c r="A71" s="3" t="s">
        <v>329</v>
      </c>
      <c r="B71" s="100" t="s">
        <v>330</v>
      </c>
      <c r="C71" s="1" t="s">
        <v>331</v>
      </c>
    </row>
    <row r="72" spans="1:3" ht="68" x14ac:dyDescent="0.2">
      <c r="A72" s="3" t="s">
        <v>332</v>
      </c>
      <c r="B72" s="100" t="s">
        <v>333</v>
      </c>
      <c r="C72" s="1" t="s">
        <v>334</v>
      </c>
    </row>
    <row r="73" spans="1:3" ht="51" x14ac:dyDescent="0.2">
      <c r="A73" s="3" t="s">
        <v>335</v>
      </c>
      <c r="B73" s="100" t="s">
        <v>336</v>
      </c>
      <c r="C73" s="1" t="s">
        <v>337</v>
      </c>
    </row>
    <row r="74" spans="1:3" ht="85" x14ac:dyDescent="0.2">
      <c r="A74" s="3" t="s">
        <v>338</v>
      </c>
      <c r="B74" s="100" t="s">
        <v>339</v>
      </c>
      <c r="C74" s="1" t="s">
        <v>340</v>
      </c>
    </row>
    <row r="75" spans="1:3" ht="68" x14ac:dyDescent="0.2">
      <c r="A75" s="3" t="s">
        <v>341</v>
      </c>
      <c r="B75" s="100" t="s">
        <v>342</v>
      </c>
      <c r="C75" s="1" t="s">
        <v>343</v>
      </c>
    </row>
    <row r="76" spans="1:3" ht="34" x14ac:dyDescent="0.2">
      <c r="A76" s="3" t="s">
        <v>345</v>
      </c>
      <c r="B76" s="100" t="s">
        <v>344</v>
      </c>
      <c r="C76" s="1" t="s">
        <v>346</v>
      </c>
    </row>
    <row r="77" spans="1:3" ht="34" x14ac:dyDescent="0.2">
      <c r="A77" s="3" t="s">
        <v>347</v>
      </c>
      <c r="B77" s="100" t="s">
        <v>348</v>
      </c>
      <c r="C77" s="1" t="s">
        <v>349</v>
      </c>
    </row>
    <row r="78" spans="1:3" ht="34" x14ac:dyDescent="0.2">
      <c r="A78" s="3" t="s">
        <v>350</v>
      </c>
      <c r="B78" s="100" t="s">
        <v>351</v>
      </c>
      <c r="C78" s="1" t="s">
        <v>352</v>
      </c>
    </row>
    <row r="79" spans="1:3" ht="51" x14ac:dyDescent="0.2">
      <c r="A79" s="3" t="s">
        <v>353</v>
      </c>
      <c r="B79" s="100" t="s">
        <v>354</v>
      </c>
      <c r="C79" s="1" t="s">
        <v>355</v>
      </c>
    </row>
    <row r="80" spans="1:3" ht="102" x14ac:dyDescent="0.2">
      <c r="A80" s="3" t="s">
        <v>356</v>
      </c>
      <c r="B80" s="100" t="s">
        <v>357</v>
      </c>
      <c r="C80" s="1" t="s">
        <v>358</v>
      </c>
    </row>
    <row r="81" spans="1:3" ht="51" x14ac:dyDescent="0.2">
      <c r="A81" s="3" t="s">
        <v>359</v>
      </c>
      <c r="B81" s="100" t="s">
        <v>360</v>
      </c>
      <c r="C81" s="1" t="s">
        <v>361</v>
      </c>
    </row>
    <row r="82" spans="1:3" ht="34" x14ac:dyDescent="0.2">
      <c r="A82" s="3" t="s">
        <v>362</v>
      </c>
      <c r="B82" s="100" t="s">
        <v>363</v>
      </c>
      <c r="C82" s="1" t="s">
        <v>364</v>
      </c>
    </row>
    <row r="83" spans="1:3" ht="34" x14ac:dyDescent="0.2">
      <c r="A83" s="3" t="s">
        <v>365</v>
      </c>
      <c r="B83" s="100" t="s">
        <v>366</v>
      </c>
      <c r="C83" s="1" t="s">
        <v>367</v>
      </c>
    </row>
    <row r="84" spans="1:3" ht="34" x14ac:dyDescent="0.2">
      <c r="A84" s="3" t="s">
        <v>368</v>
      </c>
      <c r="B84" s="100" t="s">
        <v>369</v>
      </c>
      <c r="C84" s="1" t="s">
        <v>370</v>
      </c>
    </row>
    <row r="85" spans="1:3" ht="85" x14ac:dyDescent="0.2">
      <c r="A85" s="3" t="s">
        <v>371</v>
      </c>
      <c r="B85" s="100" t="s">
        <v>372</v>
      </c>
      <c r="C85" s="1" t="s">
        <v>373</v>
      </c>
    </row>
    <row r="86" spans="1:3" ht="51" x14ac:dyDescent="0.2">
      <c r="A86" s="3" t="s">
        <v>374</v>
      </c>
      <c r="B86" s="100" t="s">
        <v>375</v>
      </c>
      <c r="C86" s="1" t="s">
        <v>376</v>
      </c>
    </row>
    <row r="87" spans="1:3" ht="34" x14ac:dyDescent="0.2">
      <c r="A87" s="3" t="s">
        <v>377</v>
      </c>
      <c r="B87" s="100" t="s">
        <v>378</v>
      </c>
      <c r="C87" s="1" t="s">
        <v>379</v>
      </c>
    </row>
    <row r="88" spans="1:3" ht="68" x14ac:dyDescent="0.2">
      <c r="A88" s="3" t="s">
        <v>380</v>
      </c>
      <c r="B88" s="100" t="s">
        <v>381</v>
      </c>
      <c r="C88" s="1" t="s">
        <v>382</v>
      </c>
    </row>
    <row r="89" spans="1:3" ht="68" x14ac:dyDescent="0.2">
      <c r="A89" s="3" t="s">
        <v>383</v>
      </c>
      <c r="B89" s="100" t="s">
        <v>384</v>
      </c>
      <c r="C89" s="1" t="s">
        <v>385</v>
      </c>
    </row>
    <row r="90" spans="1:3" ht="51" x14ac:dyDescent="0.2">
      <c r="A90" s="3" t="s">
        <v>386</v>
      </c>
      <c r="B90" s="100" t="s">
        <v>387</v>
      </c>
      <c r="C90" s="1" t="s">
        <v>388</v>
      </c>
    </row>
    <row r="91" spans="1:3" ht="85" x14ac:dyDescent="0.2">
      <c r="A91" s="3" t="s">
        <v>389</v>
      </c>
      <c r="B91" s="100" t="s">
        <v>390</v>
      </c>
      <c r="C91" s="1" t="s">
        <v>391</v>
      </c>
    </row>
    <row r="92" spans="1:3" ht="68" x14ac:dyDescent="0.2">
      <c r="A92" s="3" t="s">
        <v>392</v>
      </c>
      <c r="B92" s="100" t="s">
        <v>393</v>
      </c>
      <c r="C92" s="1" t="s">
        <v>394</v>
      </c>
    </row>
    <row r="93" spans="1:3" ht="85" x14ac:dyDescent="0.2">
      <c r="A93" s="3" t="s">
        <v>395</v>
      </c>
      <c r="B93" s="100" t="s">
        <v>396</v>
      </c>
      <c r="C93" s="1" t="s">
        <v>397</v>
      </c>
    </row>
    <row r="94" spans="1:3" ht="68" x14ac:dyDescent="0.2">
      <c r="A94" s="3" t="s">
        <v>398</v>
      </c>
      <c r="B94" s="100" t="s">
        <v>399</v>
      </c>
      <c r="C94" s="1" t="s">
        <v>400</v>
      </c>
    </row>
    <row r="95" spans="1:3" ht="51" x14ac:dyDescent="0.2">
      <c r="A95" s="3" t="s">
        <v>401</v>
      </c>
      <c r="B95" s="100" t="s">
        <v>402</v>
      </c>
      <c r="C95" s="1" t="s">
        <v>403</v>
      </c>
    </row>
    <row r="96" spans="1:3" ht="34" x14ac:dyDescent="0.2">
      <c r="A96" s="3" t="s">
        <v>404</v>
      </c>
      <c r="B96" s="100" t="s">
        <v>405</v>
      </c>
      <c r="C96" s="1" t="s">
        <v>406</v>
      </c>
    </row>
    <row r="97" spans="1:3" ht="34" x14ac:dyDescent="0.2">
      <c r="A97" s="3" t="s">
        <v>407</v>
      </c>
      <c r="B97" s="100" t="s">
        <v>408</v>
      </c>
      <c r="C97" s="1" t="s">
        <v>409</v>
      </c>
    </row>
    <row r="98" spans="1:3" ht="85" x14ac:dyDescent="0.2">
      <c r="A98" s="3" t="s">
        <v>410</v>
      </c>
      <c r="B98" s="100" t="s">
        <v>411</v>
      </c>
      <c r="C98" s="1" t="s">
        <v>412</v>
      </c>
    </row>
    <row r="99" spans="1:3" ht="51" x14ac:dyDescent="0.2">
      <c r="A99" s="3" t="s">
        <v>413</v>
      </c>
      <c r="B99" s="100" t="s">
        <v>414</v>
      </c>
      <c r="C99" s="1" t="s">
        <v>415</v>
      </c>
    </row>
    <row r="100" spans="1:3" ht="34" x14ac:dyDescent="0.2">
      <c r="A100" s="3" t="s">
        <v>416</v>
      </c>
      <c r="B100" s="100" t="s">
        <v>417</v>
      </c>
      <c r="C100" s="1" t="s">
        <v>418</v>
      </c>
    </row>
    <row r="101" spans="1:3" ht="68" x14ac:dyDescent="0.2">
      <c r="A101" s="3" t="s">
        <v>419</v>
      </c>
      <c r="B101" s="100" t="s">
        <v>420</v>
      </c>
      <c r="C101" s="1" t="s">
        <v>421</v>
      </c>
    </row>
    <row r="102" spans="1:3" ht="34" x14ac:dyDescent="0.2">
      <c r="A102" s="3" t="s">
        <v>422</v>
      </c>
      <c r="B102" s="100" t="s">
        <v>423</v>
      </c>
      <c r="C102" s="1" t="s">
        <v>424</v>
      </c>
    </row>
    <row r="103" spans="1:3" ht="51" x14ac:dyDescent="0.2">
      <c r="A103" s="3" t="s">
        <v>425</v>
      </c>
      <c r="B103" s="100" t="s">
        <v>426</v>
      </c>
      <c r="C103" s="1" t="s">
        <v>427</v>
      </c>
    </row>
    <row r="104" spans="1:3" ht="51" x14ac:dyDescent="0.2">
      <c r="A104" s="3" t="s">
        <v>428</v>
      </c>
      <c r="B104" s="100" t="s">
        <v>429</v>
      </c>
      <c r="C104" s="1" t="s">
        <v>430</v>
      </c>
    </row>
    <row r="105" spans="1:3" ht="51" x14ac:dyDescent="0.2">
      <c r="A105" s="3" t="s">
        <v>431</v>
      </c>
      <c r="B105" s="100" t="s">
        <v>432</v>
      </c>
      <c r="C105" s="1" t="s">
        <v>433</v>
      </c>
    </row>
    <row r="106" spans="1:3" ht="51" x14ac:dyDescent="0.2">
      <c r="A106" s="3" t="s">
        <v>434</v>
      </c>
      <c r="B106" s="100" t="s">
        <v>435</v>
      </c>
      <c r="C106" s="1" t="s">
        <v>436</v>
      </c>
    </row>
    <row r="107" spans="1:3" ht="68" x14ac:dyDescent="0.2">
      <c r="A107" s="3" t="s">
        <v>437</v>
      </c>
      <c r="B107" s="100" t="s">
        <v>438</v>
      </c>
      <c r="C107" s="1" t="s">
        <v>439</v>
      </c>
    </row>
    <row r="108" spans="1:3" ht="102" x14ac:dyDescent="0.2">
      <c r="A108" s="3" t="s">
        <v>440</v>
      </c>
      <c r="B108" s="100" t="s">
        <v>441</v>
      </c>
      <c r="C108" s="1" t="s">
        <v>442</v>
      </c>
    </row>
    <row r="109" spans="1:3" ht="68" x14ac:dyDescent="0.2">
      <c r="A109" s="3" t="s">
        <v>443</v>
      </c>
      <c r="B109" s="100" t="s">
        <v>444</v>
      </c>
      <c r="C109" s="1" t="s">
        <v>445</v>
      </c>
    </row>
    <row r="110" spans="1:3" ht="51" x14ac:dyDescent="0.2">
      <c r="A110" s="3" t="s">
        <v>446</v>
      </c>
      <c r="B110" s="100" t="s">
        <v>447</v>
      </c>
      <c r="C110" s="1" t="s">
        <v>448</v>
      </c>
    </row>
    <row r="111" spans="1:3" ht="102" x14ac:dyDescent="0.2">
      <c r="A111" s="3" t="s">
        <v>449</v>
      </c>
      <c r="B111" s="100" t="s">
        <v>450</v>
      </c>
      <c r="C111" s="1" t="s">
        <v>451</v>
      </c>
    </row>
    <row r="112" spans="1:3" ht="51" x14ac:dyDescent="0.2">
      <c r="A112" s="3" t="s">
        <v>452</v>
      </c>
      <c r="B112" s="100" t="s">
        <v>453</v>
      </c>
      <c r="C112" s="1" t="s">
        <v>454</v>
      </c>
    </row>
    <row r="113" spans="1:3" ht="34" x14ac:dyDescent="0.2">
      <c r="A113" s="3" t="s">
        <v>455</v>
      </c>
      <c r="B113" s="100" t="s">
        <v>456</v>
      </c>
      <c r="C113" s="1" t="s">
        <v>457</v>
      </c>
    </row>
    <row r="114" spans="1:3" ht="34" x14ac:dyDescent="0.2">
      <c r="A114" s="3" t="s">
        <v>458</v>
      </c>
      <c r="B114" s="100" t="s">
        <v>459</v>
      </c>
      <c r="C114" s="1" t="s">
        <v>460</v>
      </c>
    </row>
    <row r="115" spans="1:3" ht="177" customHeight="1" x14ac:dyDescent="0.2">
      <c r="A115" s="3" t="s">
        <v>461</v>
      </c>
      <c r="B115" s="100" t="s">
        <v>462</v>
      </c>
      <c r="C115" s="1" t="s">
        <v>463</v>
      </c>
    </row>
    <row r="116" spans="1:3" ht="51" x14ac:dyDescent="0.2">
      <c r="A116" s="3" t="s">
        <v>464</v>
      </c>
      <c r="B116" s="100" t="s">
        <v>465</v>
      </c>
      <c r="C116" s="1" t="s">
        <v>466</v>
      </c>
    </row>
    <row r="117" spans="1:3" ht="34" x14ac:dyDescent="0.2">
      <c r="A117" s="3" t="s">
        <v>467</v>
      </c>
      <c r="B117" s="100" t="s">
        <v>468</v>
      </c>
      <c r="C117" s="1" t="s">
        <v>469</v>
      </c>
    </row>
    <row r="118" spans="1:3" ht="51" x14ac:dyDescent="0.2">
      <c r="A118" s="3" t="s">
        <v>470</v>
      </c>
      <c r="B118" s="100" t="s">
        <v>933</v>
      </c>
      <c r="C118" s="1" t="s">
        <v>471</v>
      </c>
    </row>
    <row r="119" spans="1:3" ht="51" x14ac:dyDescent="0.2">
      <c r="A119" s="3" t="s">
        <v>472</v>
      </c>
      <c r="B119" s="100" t="s">
        <v>473</v>
      </c>
      <c r="C119" s="1" t="s">
        <v>474</v>
      </c>
    </row>
    <row r="120" spans="1:3" ht="34" x14ac:dyDescent="0.2">
      <c r="A120" s="3" t="s">
        <v>475</v>
      </c>
      <c r="B120" s="100" t="s">
        <v>476</v>
      </c>
      <c r="C120" s="1" t="s">
        <v>477</v>
      </c>
    </row>
    <row r="121" spans="1:3" ht="51" x14ac:dyDescent="0.2">
      <c r="A121" s="3" t="s">
        <v>478</v>
      </c>
      <c r="B121" s="100" t="s">
        <v>479</v>
      </c>
      <c r="C121" s="1" t="s">
        <v>480</v>
      </c>
    </row>
    <row r="122" spans="1:3" ht="51" x14ac:dyDescent="0.2">
      <c r="A122" s="3" t="s">
        <v>481</v>
      </c>
      <c r="B122" s="100" t="s">
        <v>482</v>
      </c>
      <c r="C122" s="1" t="s">
        <v>483</v>
      </c>
    </row>
    <row r="123" spans="1:3" ht="51" x14ac:dyDescent="0.2">
      <c r="A123" s="3" t="s">
        <v>484</v>
      </c>
      <c r="B123" s="100" t="s">
        <v>485</v>
      </c>
      <c r="C123" s="1" t="s">
        <v>486</v>
      </c>
    </row>
    <row r="124" spans="1:3" ht="34" x14ac:dyDescent="0.2">
      <c r="A124" s="3" t="s">
        <v>487</v>
      </c>
      <c r="B124" s="100" t="s">
        <v>488</v>
      </c>
      <c r="C124" s="1" t="s">
        <v>489</v>
      </c>
    </row>
    <row r="125" spans="1:3" ht="34" x14ac:dyDescent="0.2">
      <c r="A125" s="3" t="s">
        <v>490</v>
      </c>
      <c r="B125" s="100" t="s">
        <v>491</v>
      </c>
      <c r="C125" s="1" t="s">
        <v>492</v>
      </c>
    </row>
    <row r="126" spans="1:3" ht="34" x14ac:dyDescent="0.2">
      <c r="A126" s="3" t="s">
        <v>493</v>
      </c>
      <c r="B126" s="100" t="s">
        <v>494</v>
      </c>
      <c r="C126" s="1" t="s">
        <v>495</v>
      </c>
    </row>
    <row r="127" spans="1:3" ht="51" x14ac:dyDescent="0.2">
      <c r="A127" s="3" t="s">
        <v>496</v>
      </c>
      <c r="B127" s="100" t="s">
        <v>497</v>
      </c>
      <c r="C127" s="1" t="s">
        <v>498</v>
      </c>
    </row>
    <row r="128" spans="1:3" ht="17" x14ac:dyDescent="0.2">
      <c r="A128" s="3" t="s">
        <v>499</v>
      </c>
      <c r="B128" s="100" t="s">
        <v>500</v>
      </c>
      <c r="C128" s="1" t="s">
        <v>501</v>
      </c>
    </row>
    <row r="129" spans="1:3" ht="34" x14ac:dyDescent="0.2">
      <c r="A129" s="3" t="s">
        <v>502</v>
      </c>
      <c r="B129" s="100" t="s">
        <v>503</v>
      </c>
      <c r="C129" s="1" t="s">
        <v>504</v>
      </c>
    </row>
    <row r="130" spans="1:3" ht="17" x14ac:dyDescent="0.2">
      <c r="A130" s="3" t="s">
        <v>505</v>
      </c>
      <c r="B130" s="100" t="s">
        <v>506</v>
      </c>
      <c r="C130" s="1" t="s">
        <v>507</v>
      </c>
    </row>
    <row r="131" spans="1:3" ht="17" x14ac:dyDescent="0.2">
      <c r="A131" s="3" t="s">
        <v>508</v>
      </c>
      <c r="B131" s="100" t="s">
        <v>509</v>
      </c>
      <c r="C131" s="1" t="s">
        <v>510</v>
      </c>
    </row>
    <row r="132" spans="1:3" ht="34" x14ac:dyDescent="0.2">
      <c r="A132" s="3" t="s">
        <v>511</v>
      </c>
      <c r="B132" s="100" t="s">
        <v>512</v>
      </c>
      <c r="C132" s="1" t="s">
        <v>513</v>
      </c>
    </row>
    <row r="133" spans="1:3" ht="34" x14ac:dyDescent="0.2">
      <c r="A133" s="3" t="s">
        <v>514</v>
      </c>
      <c r="B133" s="100" t="s">
        <v>515</v>
      </c>
      <c r="C133" s="1" t="s">
        <v>516</v>
      </c>
    </row>
    <row r="134" spans="1:3" ht="34" x14ac:dyDescent="0.2">
      <c r="A134" s="3" t="s">
        <v>517</v>
      </c>
      <c r="B134" s="100" t="s">
        <v>518</v>
      </c>
      <c r="C134" s="1" t="s">
        <v>519</v>
      </c>
    </row>
    <row r="135" spans="1:3" ht="34" x14ac:dyDescent="0.2">
      <c r="A135" s="3" t="s">
        <v>520</v>
      </c>
      <c r="B135" s="100" t="s">
        <v>521</v>
      </c>
      <c r="C135" s="1" t="s">
        <v>522</v>
      </c>
    </row>
    <row r="136" spans="1:3" ht="34" x14ac:dyDescent="0.2">
      <c r="A136" s="3" t="s">
        <v>523</v>
      </c>
      <c r="B136" s="100" t="s">
        <v>524</v>
      </c>
      <c r="C136" s="1" t="s">
        <v>525</v>
      </c>
    </row>
    <row r="137" spans="1:3" ht="34" x14ac:dyDescent="0.2">
      <c r="A137" s="3" t="s">
        <v>526</v>
      </c>
      <c r="B137" s="100" t="s">
        <v>527</v>
      </c>
      <c r="C137" s="1" t="s">
        <v>528</v>
      </c>
    </row>
    <row r="138" spans="1:3" ht="68" x14ac:dyDescent="0.2">
      <c r="A138" s="3" t="s">
        <v>529</v>
      </c>
      <c r="B138" s="100" t="s">
        <v>530</v>
      </c>
      <c r="C138" s="1" t="s">
        <v>531</v>
      </c>
    </row>
    <row r="139" spans="1:3" ht="51" x14ac:dyDescent="0.2">
      <c r="A139" s="3" t="s">
        <v>532</v>
      </c>
      <c r="B139" s="100" t="s">
        <v>533</v>
      </c>
      <c r="C139" s="1" t="s">
        <v>534</v>
      </c>
    </row>
    <row r="140" spans="1:3" ht="51" x14ac:dyDescent="0.2">
      <c r="A140" s="3" t="s">
        <v>535</v>
      </c>
      <c r="B140" s="100" t="s">
        <v>536</v>
      </c>
      <c r="C140" s="1" t="s">
        <v>537</v>
      </c>
    </row>
    <row r="141" spans="1:3" ht="17" x14ac:dyDescent="0.2">
      <c r="A141" s="3" t="s">
        <v>538</v>
      </c>
      <c r="B141" s="100" t="s">
        <v>539</v>
      </c>
      <c r="C141" s="1" t="s">
        <v>540</v>
      </c>
    </row>
    <row r="142" spans="1:3" ht="51" x14ac:dyDescent="0.2">
      <c r="A142" s="3" t="s">
        <v>541</v>
      </c>
      <c r="B142" s="100" t="s">
        <v>542</v>
      </c>
      <c r="C142" s="1" t="s">
        <v>543</v>
      </c>
    </row>
    <row r="143" spans="1:3" ht="68" x14ac:dyDescent="0.2">
      <c r="A143" s="3" t="s">
        <v>544</v>
      </c>
      <c r="B143" s="100" t="s">
        <v>545</v>
      </c>
      <c r="C143" s="1" t="s">
        <v>546</v>
      </c>
    </row>
    <row r="144" spans="1:3" ht="34" x14ac:dyDescent="0.2">
      <c r="A144" s="3" t="s">
        <v>547</v>
      </c>
      <c r="B144" s="100" t="s">
        <v>548</v>
      </c>
      <c r="C144" s="1" t="s">
        <v>549</v>
      </c>
    </row>
    <row r="145" spans="1:3" ht="68" x14ac:dyDescent="0.2">
      <c r="A145" s="3" t="s">
        <v>550</v>
      </c>
      <c r="B145" s="100" t="s">
        <v>551</v>
      </c>
      <c r="C145" s="1" t="s">
        <v>552</v>
      </c>
    </row>
    <row r="146" spans="1:3" ht="68" x14ac:dyDescent="0.2">
      <c r="A146" s="3" t="s">
        <v>553</v>
      </c>
      <c r="B146" s="100" t="s">
        <v>554</v>
      </c>
      <c r="C146" s="1" t="s">
        <v>555</v>
      </c>
    </row>
    <row r="147" spans="1:3" ht="34" x14ac:dyDescent="0.2">
      <c r="A147" s="3" t="s">
        <v>556</v>
      </c>
      <c r="B147" s="100" t="s">
        <v>557</v>
      </c>
      <c r="C147" s="1" t="s">
        <v>558</v>
      </c>
    </row>
    <row r="148" spans="1:3" ht="51" x14ac:dyDescent="0.2">
      <c r="A148" s="3" t="s">
        <v>559</v>
      </c>
      <c r="B148" s="100" t="s">
        <v>560</v>
      </c>
      <c r="C148" s="1" t="s">
        <v>561</v>
      </c>
    </row>
    <row r="149" spans="1:3" ht="34" x14ac:dyDescent="0.2">
      <c r="A149" s="3" t="s">
        <v>562</v>
      </c>
      <c r="B149" s="100" t="s">
        <v>563</v>
      </c>
      <c r="C149" s="1" t="s">
        <v>564</v>
      </c>
    </row>
    <row r="150" spans="1:3" ht="68" x14ac:dyDescent="0.2">
      <c r="A150" s="3" t="s">
        <v>565</v>
      </c>
      <c r="B150" s="100" t="s">
        <v>566</v>
      </c>
      <c r="C150" s="1" t="s">
        <v>567</v>
      </c>
    </row>
    <row r="151" spans="1:3" ht="68" x14ac:dyDescent="0.2">
      <c r="A151" s="3" t="s">
        <v>568</v>
      </c>
      <c r="B151" s="100" t="s">
        <v>569</v>
      </c>
      <c r="C151" s="1" t="s">
        <v>570</v>
      </c>
    </row>
    <row r="152" spans="1:3" ht="34" x14ac:dyDescent="0.2">
      <c r="A152" s="3" t="s">
        <v>571</v>
      </c>
      <c r="B152" s="100" t="s">
        <v>572</v>
      </c>
      <c r="C152" s="1" t="s">
        <v>573</v>
      </c>
    </row>
    <row r="153" spans="1:3" ht="34" x14ac:dyDescent="0.2">
      <c r="A153" s="3" t="s">
        <v>574</v>
      </c>
      <c r="B153" s="100" t="s">
        <v>575</v>
      </c>
      <c r="C153" s="1" t="s">
        <v>576</v>
      </c>
    </row>
    <row r="154" spans="1:3" ht="34" x14ac:dyDescent="0.2">
      <c r="A154" s="3" t="s">
        <v>577</v>
      </c>
      <c r="B154" s="100" t="s">
        <v>578</v>
      </c>
      <c r="C154" s="1" t="s">
        <v>579</v>
      </c>
    </row>
    <row r="155" spans="1:3" ht="51" x14ac:dyDescent="0.2">
      <c r="A155" s="3" t="s">
        <v>580</v>
      </c>
      <c r="B155" s="100" t="s">
        <v>581</v>
      </c>
      <c r="C155" s="1" t="s">
        <v>582</v>
      </c>
    </row>
    <row r="156" spans="1:3" ht="34" x14ac:dyDescent="0.2">
      <c r="A156" s="3" t="s">
        <v>583</v>
      </c>
      <c r="B156" s="100" t="s">
        <v>584</v>
      </c>
      <c r="C156" s="1" t="s">
        <v>585</v>
      </c>
    </row>
    <row r="157" spans="1:3" ht="51" x14ac:dyDescent="0.2">
      <c r="A157" s="3" t="s">
        <v>587</v>
      </c>
      <c r="B157" s="100" t="s">
        <v>586</v>
      </c>
      <c r="C157" s="1" t="s">
        <v>588</v>
      </c>
    </row>
    <row r="158" spans="1:3" ht="51" x14ac:dyDescent="0.2">
      <c r="A158" s="3" t="s">
        <v>589</v>
      </c>
      <c r="B158" s="100" t="s">
        <v>590</v>
      </c>
      <c r="C158" s="1" t="s">
        <v>591</v>
      </c>
    </row>
    <row r="159" spans="1:3" ht="34" x14ac:dyDescent="0.2">
      <c r="A159" s="3" t="s">
        <v>592</v>
      </c>
      <c r="B159" s="100" t="s">
        <v>593</v>
      </c>
      <c r="C159" s="1" t="s">
        <v>594</v>
      </c>
    </row>
    <row r="160" spans="1:3" ht="68" x14ac:dyDescent="0.2">
      <c r="A160" s="3" t="s">
        <v>595</v>
      </c>
      <c r="B160" s="100" t="s">
        <v>596</v>
      </c>
      <c r="C160" s="1" t="s">
        <v>597</v>
      </c>
    </row>
    <row r="161" spans="1:3" ht="68" x14ac:dyDescent="0.2">
      <c r="A161" s="3" t="s">
        <v>598</v>
      </c>
      <c r="B161" s="100" t="s">
        <v>599</v>
      </c>
      <c r="C161" s="1" t="s">
        <v>600</v>
      </c>
    </row>
    <row r="162" spans="1:3" ht="51" x14ac:dyDescent="0.2">
      <c r="A162" s="3" t="s">
        <v>601</v>
      </c>
      <c r="B162" s="100" t="s">
        <v>602</v>
      </c>
      <c r="C162" s="1" t="s">
        <v>603</v>
      </c>
    </row>
    <row r="163" spans="1:3" ht="85" x14ac:dyDescent="0.2">
      <c r="A163" s="3" t="s">
        <v>604</v>
      </c>
      <c r="B163" s="100" t="s">
        <v>605</v>
      </c>
      <c r="C163" s="1" t="s">
        <v>606</v>
      </c>
    </row>
    <row r="164" spans="1:3" ht="68" x14ac:dyDescent="0.2">
      <c r="A164" s="3" t="s">
        <v>607</v>
      </c>
      <c r="B164" s="100" t="s">
        <v>608</v>
      </c>
      <c r="C164" s="1" t="s">
        <v>609</v>
      </c>
    </row>
    <row r="165" spans="1:3" ht="51" x14ac:dyDescent="0.2">
      <c r="A165" s="3" t="s">
        <v>610</v>
      </c>
      <c r="B165" s="100" t="s">
        <v>611</v>
      </c>
      <c r="C165" s="1" t="s">
        <v>612</v>
      </c>
    </row>
    <row r="166" spans="1:3" ht="306" x14ac:dyDescent="0.2">
      <c r="A166" s="3" t="s">
        <v>613</v>
      </c>
      <c r="B166" s="100" t="s">
        <v>614</v>
      </c>
      <c r="C166" s="1" t="s">
        <v>615</v>
      </c>
    </row>
    <row r="167" spans="1:3" ht="17" x14ac:dyDescent="0.2">
      <c r="A167" s="3" t="s">
        <v>616</v>
      </c>
      <c r="B167" s="100" t="s">
        <v>617</v>
      </c>
      <c r="C167" s="1" t="s">
        <v>618</v>
      </c>
    </row>
    <row r="168" spans="1:3" ht="51" x14ac:dyDescent="0.2">
      <c r="A168" s="3" t="s">
        <v>619</v>
      </c>
      <c r="B168" s="100" t="s">
        <v>620</v>
      </c>
      <c r="C168" s="1" t="s">
        <v>621</v>
      </c>
    </row>
    <row r="169" spans="1:3" ht="34" x14ac:dyDescent="0.2">
      <c r="A169" s="3" t="s">
        <v>622</v>
      </c>
      <c r="B169" s="100" t="s">
        <v>623</v>
      </c>
      <c r="C169" s="1" t="s">
        <v>624</v>
      </c>
    </row>
    <row r="170" spans="1:3" ht="68" x14ac:dyDescent="0.2">
      <c r="A170" s="3" t="s">
        <v>625</v>
      </c>
      <c r="B170" s="100" t="s">
        <v>626</v>
      </c>
      <c r="C170" s="1" t="s">
        <v>627</v>
      </c>
    </row>
    <row r="171" spans="1:3" ht="51" x14ac:dyDescent="0.2">
      <c r="A171" s="3" t="s">
        <v>628</v>
      </c>
      <c r="B171" s="100" t="s">
        <v>629</v>
      </c>
      <c r="C171" s="1" t="s">
        <v>630</v>
      </c>
    </row>
    <row r="172" spans="1:3" ht="68" x14ac:dyDescent="0.2">
      <c r="A172" s="3" t="s">
        <v>631</v>
      </c>
      <c r="B172" s="100" t="s">
        <v>632</v>
      </c>
      <c r="C172" s="1" t="s">
        <v>633</v>
      </c>
    </row>
    <row r="173" spans="1:3" ht="68" x14ac:dyDescent="0.2">
      <c r="A173" s="3" t="s">
        <v>634</v>
      </c>
      <c r="B173" s="100" t="s">
        <v>635</v>
      </c>
      <c r="C173" s="1" t="s">
        <v>636</v>
      </c>
    </row>
    <row r="174" spans="1:3" ht="51" x14ac:dyDescent="0.2">
      <c r="A174" s="3" t="s">
        <v>637</v>
      </c>
      <c r="B174" s="100" t="s">
        <v>638</v>
      </c>
      <c r="C174" s="1" t="s">
        <v>639</v>
      </c>
    </row>
    <row r="175" spans="1:3" ht="51" x14ac:dyDescent="0.2">
      <c r="A175" s="3" t="s">
        <v>640</v>
      </c>
      <c r="B175" s="100" t="s">
        <v>641</v>
      </c>
      <c r="C175" s="1" t="s">
        <v>642</v>
      </c>
    </row>
    <row r="176" spans="1:3" ht="34" x14ac:dyDescent="0.2">
      <c r="A176" s="3" t="s">
        <v>643</v>
      </c>
      <c r="B176" s="100" t="s">
        <v>644</v>
      </c>
      <c r="C176" s="1" t="s">
        <v>645</v>
      </c>
    </row>
    <row r="177" spans="1:3" ht="51" x14ac:dyDescent="0.2">
      <c r="A177" s="3" t="s">
        <v>646</v>
      </c>
      <c r="B177" s="100" t="s">
        <v>647</v>
      </c>
      <c r="C177" s="1" t="s">
        <v>648</v>
      </c>
    </row>
    <row r="178" spans="1:3" ht="34" x14ac:dyDescent="0.2">
      <c r="A178" s="3" t="s">
        <v>649</v>
      </c>
      <c r="B178" s="100" t="s">
        <v>650</v>
      </c>
      <c r="C178" s="1" t="s">
        <v>651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E523-8240-FF41-AF45-25D4CFA28CEC}">
  <sheetPr codeName="Sheet8"/>
  <dimension ref="B2:M51"/>
  <sheetViews>
    <sheetView showGridLines="0" topLeftCell="A15" zoomScale="75" zoomScaleNormal="100" workbookViewId="0">
      <selection activeCell="C51" sqref="C50:L51"/>
    </sheetView>
  </sheetViews>
  <sheetFormatPr baseColWidth="10" defaultColWidth="11" defaultRowHeight="16" x14ac:dyDescent="0.2"/>
  <cols>
    <col min="1" max="1" width="2.83203125" customWidth="1"/>
  </cols>
  <sheetData>
    <row r="2" spans="2:13" x14ac:dyDescent="0.2">
      <c r="B2" s="85"/>
      <c r="C2" s="61">
        <v>0</v>
      </c>
      <c r="D2" s="62">
        <v>0.5</v>
      </c>
      <c r="E2" s="62">
        <v>1</v>
      </c>
      <c r="F2" s="62">
        <v>1.5</v>
      </c>
      <c r="G2" s="62">
        <v>2</v>
      </c>
      <c r="H2" s="62">
        <v>2.5</v>
      </c>
      <c r="I2" s="62">
        <v>3</v>
      </c>
      <c r="J2" s="62">
        <v>3.5</v>
      </c>
      <c r="K2" s="62">
        <v>4</v>
      </c>
      <c r="L2" s="62">
        <v>4.5</v>
      </c>
      <c r="M2" s="63">
        <v>5</v>
      </c>
    </row>
    <row r="3" spans="2:13" x14ac:dyDescent="0.2">
      <c r="B3" s="84">
        <v>0</v>
      </c>
      <c r="C3" s="7">
        <v>0</v>
      </c>
      <c r="D3" s="8">
        <v>6</v>
      </c>
      <c r="E3" s="8">
        <v>11</v>
      </c>
      <c r="F3" s="8">
        <v>15</v>
      </c>
      <c r="G3" s="8">
        <v>20</v>
      </c>
      <c r="H3" s="8">
        <v>24</v>
      </c>
      <c r="I3" s="8">
        <v>28</v>
      </c>
      <c r="J3" s="8">
        <v>32</v>
      </c>
      <c r="K3" s="8">
        <v>36</v>
      </c>
      <c r="L3" s="8">
        <v>39</v>
      </c>
      <c r="M3" s="64">
        <v>42</v>
      </c>
    </row>
    <row r="4" spans="2:13" x14ac:dyDescent="0.2">
      <c r="B4" s="65">
        <v>1</v>
      </c>
      <c r="C4" s="9">
        <v>4</v>
      </c>
      <c r="D4" s="10">
        <v>9</v>
      </c>
      <c r="E4" s="10">
        <v>14</v>
      </c>
      <c r="F4" s="10">
        <v>18</v>
      </c>
      <c r="G4" s="10">
        <v>23</v>
      </c>
      <c r="H4" s="10">
        <v>27</v>
      </c>
      <c r="I4" s="10">
        <v>31</v>
      </c>
      <c r="J4" s="10">
        <v>34</v>
      </c>
      <c r="K4" s="10">
        <v>38</v>
      </c>
      <c r="L4" s="10">
        <v>41</v>
      </c>
      <c r="M4" s="12">
        <v>44</v>
      </c>
    </row>
    <row r="5" spans="2:13" x14ac:dyDescent="0.2">
      <c r="B5" s="65">
        <v>2</v>
      </c>
      <c r="C5" s="9">
        <v>7</v>
      </c>
      <c r="D5" s="10">
        <v>12</v>
      </c>
      <c r="E5" s="10">
        <v>17</v>
      </c>
      <c r="F5" s="10">
        <v>21</v>
      </c>
      <c r="G5" s="10">
        <v>25</v>
      </c>
      <c r="H5" s="10">
        <v>29</v>
      </c>
      <c r="I5" s="10">
        <v>33</v>
      </c>
      <c r="J5" s="10">
        <v>37</v>
      </c>
      <c r="K5" s="10">
        <v>40</v>
      </c>
      <c r="L5" s="10">
        <v>43</v>
      </c>
      <c r="M5" s="12">
        <v>46</v>
      </c>
    </row>
    <row r="6" spans="2:13" x14ac:dyDescent="0.2">
      <c r="B6" s="65">
        <v>3</v>
      </c>
      <c r="C6" s="9">
        <v>11</v>
      </c>
      <c r="D6" s="10">
        <v>15</v>
      </c>
      <c r="E6" s="10">
        <v>20</v>
      </c>
      <c r="F6" s="10">
        <v>24</v>
      </c>
      <c r="G6" s="10">
        <v>28</v>
      </c>
      <c r="H6" s="10">
        <v>32</v>
      </c>
      <c r="I6" s="10">
        <v>36</v>
      </c>
      <c r="J6" s="10">
        <v>39</v>
      </c>
      <c r="K6" s="10">
        <v>42</v>
      </c>
      <c r="L6" s="10">
        <v>45</v>
      </c>
      <c r="M6" s="12">
        <v>48</v>
      </c>
    </row>
    <row r="7" spans="2:13" x14ac:dyDescent="0.2">
      <c r="B7" s="65">
        <v>4</v>
      </c>
      <c r="C7" s="9">
        <v>14</v>
      </c>
      <c r="D7" s="10">
        <v>18</v>
      </c>
      <c r="E7" s="10">
        <v>23</v>
      </c>
      <c r="F7" s="10">
        <v>27</v>
      </c>
      <c r="G7" s="10">
        <v>31</v>
      </c>
      <c r="H7" s="10">
        <v>34</v>
      </c>
      <c r="I7" s="10">
        <v>38</v>
      </c>
      <c r="J7" s="10">
        <v>41</v>
      </c>
      <c r="K7" s="10">
        <v>44</v>
      </c>
      <c r="L7" s="10">
        <v>47</v>
      </c>
      <c r="M7" s="12">
        <v>50</v>
      </c>
    </row>
    <row r="8" spans="2:13" x14ac:dyDescent="0.2">
      <c r="B8" s="65">
        <v>5</v>
      </c>
      <c r="C8" s="9">
        <v>17</v>
      </c>
      <c r="D8" s="10">
        <v>21</v>
      </c>
      <c r="E8" s="10">
        <v>25</v>
      </c>
      <c r="F8" s="10">
        <v>29</v>
      </c>
      <c r="G8" s="10">
        <v>33</v>
      </c>
      <c r="H8" s="10">
        <v>37</v>
      </c>
      <c r="I8" s="10">
        <v>40</v>
      </c>
      <c r="J8" s="10">
        <v>43</v>
      </c>
      <c r="K8" s="10">
        <v>46</v>
      </c>
      <c r="L8" s="10">
        <v>49</v>
      </c>
      <c r="M8" s="56">
        <v>52</v>
      </c>
    </row>
    <row r="9" spans="2:13" x14ac:dyDescent="0.2">
      <c r="B9" s="65">
        <v>6</v>
      </c>
      <c r="C9" s="9">
        <v>20</v>
      </c>
      <c r="D9" s="10">
        <v>24</v>
      </c>
      <c r="E9" s="10">
        <v>28</v>
      </c>
      <c r="F9" s="10">
        <v>32</v>
      </c>
      <c r="G9" s="10">
        <v>36</v>
      </c>
      <c r="H9" s="10">
        <v>39</v>
      </c>
      <c r="I9" s="10">
        <v>42</v>
      </c>
      <c r="J9" s="10">
        <v>45</v>
      </c>
      <c r="K9" s="10">
        <v>48</v>
      </c>
      <c r="L9" s="11">
        <v>51</v>
      </c>
      <c r="M9" s="56">
        <v>54</v>
      </c>
    </row>
    <row r="10" spans="2:13" x14ac:dyDescent="0.2">
      <c r="B10" s="65">
        <v>7</v>
      </c>
      <c r="C10" s="9">
        <v>23</v>
      </c>
      <c r="D10" s="10">
        <v>27</v>
      </c>
      <c r="E10" s="10">
        <v>31</v>
      </c>
      <c r="F10" s="10">
        <v>34</v>
      </c>
      <c r="G10" s="10">
        <v>38</v>
      </c>
      <c r="H10" s="10">
        <v>41</v>
      </c>
      <c r="I10" s="10">
        <v>44</v>
      </c>
      <c r="J10" s="10">
        <v>47</v>
      </c>
      <c r="K10" s="11">
        <v>50</v>
      </c>
      <c r="L10" s="12">
        <v>53</v>
      </c>
      <c r="M10" s="66">
        <v>55</v>
      </c>
    </row>
    <row r="11" spans="2:13" x14ac:dyDescent="0.2">
      <c r="B11" s="65">
        <v>8</v>
      </c>
      <c r="C11" s="9">
        <v>25</v>
      </c>
      <c r="D11" s="10">
        <v>29</v>
      </c>
      <c r="E11" s="10">
        <v>33</v>
      </c>
      <c r="F11" s="10">
        <v>37</v>
      </c>
      <c r="G11" s="10">
        <v>40</v>
      </c>
      <c r="H11" s="10">
        <v>43</v>
      </c>
      <c r="I11" s="10">
        <v>46</v>
      </c>
      <c r="J11" s="10">
        <v>49</v>
      </c>
      <c r="K11" s="10">
        <v>52</v>
      </c>
      <c r="L11" s="13">
        <v>54</v>
      </c>
      <c r="M11" s="67">
        <v>57</v>
      </c>
    </row>
    <row r="12" spans="2:13" x14ac:dyDescent="0.2">
      <c r="B12" s="65">
        <v>9</v>
      </c>
      <c r="C12" s="9">
        <v>28</v>
      </c>
      <c r="D12" s="10">
        <v>32</v>
      </c>
      <c r="E12" s="10">
        <v>36</v>
      </c>
      <c r="F12" s="10">
        <v>39</v>
      </c>
      <c r="G12" s="10">
        <v>42</v>
      </c>
      <c r="H12" s="10">
        <v>45</v>
      </c>
      <c r="I12" s="10">
        <v>48</v>
      </c>
      <c r="J12" s="11">
        <v>51</v>
      </c>
      <c r="K12" s="15">
        <v>54</v>
      </c>
      <c r="L12" s="16">
        <v>56</v>
      </c>
      <c r="M12" s="68">
        <v>58</v>
      </c>
    </row>
    <row r="13" spans="2:13" x14ac:dyDescent="0.2">
      <c r="B13" s="65">
        <v>10</v>
      </c>
      <c r="C13" s="9">
        <v>31</v>
      </c>
      <c r="D13" s="10">
        <v>34</v>
      </c>
      <c r="E13" s="10">
        <v>38</v>
      </c>
      <c r="F13" s="10">
        <v>41</v>
      </c>
      <c r="G13" s="10">
        <v>44</v>
      </c>
      <c r="H13" s="10">
        <v>47</v>
      </c>
      <c r="I13" s="11">
        <v>50</v>
      </c>
      <c r="J13" s="12">
        <v>53</v>
      </c>
      <c r="K13" s="16">
        <v>55</v>
      </c>
      <c r="L13" s="14">
        <v>58</v>
      </c>
      <c r="M13" s="22">
        <v>60</v>
      </c>
    </row>
    <row r="14" spans="2:13" x14ac:dyDescent="0.2">
      <c r="B14" s="65">
        <v>11</v>
      </c>
      <c r="C14" s="9">
        <v>33</v>
      </c>
      <c r="D14" s="10">
        <v>37</v>
      </c>
      <c r="E14" s="10">
        <v>40</v>
      </c>
      <c r="F14" s="10">
        <v>43</v>
      </c>
      <c r="G14" s="10">
        <v>46</v>
      </c>
      <c r="H14" s="10">
        <v>49</v>
      </c>
      <c r="I14" s="10">
        <v>52</v>
      </c>
      <c r="J14" s="13">
        <v>54</v>
      </c>
      <c r="K14" s="14">
        <v>57</v>
      </c>
      <c r="L14" s="18">
        <v>59</v>
      </c>
      <c r="M14" s="22">
        <v>61</v>
      </c>
    </row>
    <row r="15" spans="2:13" x14ac:dyDescent="0.2">
      <c r="B15" s="65">
        <v>12</v>
      </c>
      <c r="C15" s="9">
        <v>36</v>
      </c>
      <c r="D15" s="10">
        <v>39</v>
      </c>
      <c r="E15" s="10">
        <v>42</v>
      </c>
      <c r="F15" s="10">
        <v>45</v>
      </c>
      <c r="G15" s="10">
        <v>48</v>
      </c>
      <c r="H15" s="11">
        <v>51</v>
      </c>
      <c r="I15" s="15">
        <v>54</v>
      </c>
      <c r="J15" s="16">
        <v>56</v>
      </c>
      <c r="K15" s="17">
        <v>58</v>
      </c>
      <c r="L15" s="18">
        <v>60</v>
      </c>
      <c r="M15" s="22">
        <v>63</v>
      </c>
    </row>
    <row r="16" spans="2:13" x14ac:dyDescent="0.2">
      <c r="B16" s="65">
        <v>13</v>
      </c>
      <c r="C16" s="9">
        <v>38</v>
      </c>
      <c r="D16" s="10">
        <v>41</v>
      </c>
      <c r="E16" s="10">
        <v>44</v>
      </c>
      <c r="F16" s="10">
        <v>47</v>
      </c>
      <c r="G16" s="11">
        <v>50</v>
      </c>
      <c r="H16" s="12">
        <v>53</v>
      </c>
      <c r="I16" s="16">
        <v>55</v>
      </c>
      <c r="J16" s="14">
        <v>58</v>
      </c>
      <c r="K16" s="18">
        <v>60</v>
      </c>
      <c r="L16" s="18">
        <v>62</v>
      </c>
      <c r="M16" s="57">
        <v>64</v>
      </c>
    </row>
    <row r="17" spans="2:13" x14ac:dyDescent="0.2">
      <c r="B17" s="65">
        <v>14</v>
      </c>
      <c r="C17" s="9">
        <v>40</v>
      </c>
      <c r="D17" s="10">
        <v>43</v>
      </c>
      <c r="E17" s="10">
        <v>46</v>
      </c>
      <c r="F17" s="10">
        <v>49</v>
      </c>
      <c r="G17" s="10">
        <v>52</v>
      </c>
      <c r="H17" s="13">
        <v>54</v>
      </c>
      <c r="I17" s="14">
        <v>57</v>
      </c>
      <c r="J17" s="18">
        <v>59</v>
      </c>
      <c r="K17" s="19">
        <v>61</v>
      </c>
      <c r="L17" s="20">
        <v>63</v>
      </c>
      <c r="M17" s="69">
        <v>66</v>
      </c>
    </row>
    <row r="18" spans="2:13" x14ac:dyDescent="0.2">
      <c r="B18" s="65">
        <v>15</v>
      </c>
      <c r="C18" s="9">
        <v>42</v>
      </c>
      <c r="D18" s="10">
        <v>45</v>
      </c>
      <c r="E18" s="10">
        <v>48</v>
      </c>
      <c r="F18" s="11">
        <v>51</v>
      </c>
      <c r="G18" s="15">
        <v>54</v>
      </c>
      <c r="H18" s="16">
        <v>56</v>
      </c>
      <c r="I18" s="17">
        <v>58</v>
      </c>
      <c r="J18" s="19">
        <v>60</v>
      </c>
      <c r="K18" s="22">
        <v>63</v>
      </c>
      <c r="L18" s="23">
        <v>65</v>
      </c>
      <c r="M18" s="70">
        <v>67</v>
      </c>
    </row>
    <row r="19" spans="2:13" x14ac:dyDescent="0.2">
      <c r="B19" s="65">
        <v>16</v>
      </c>
      <c r="C19" s="9">
        <v>44</v>
      </c>
      <c r="D19" s="10">
        <v>47</v>
      </c>
      <c r="E19" s="11">
        <v>50</v>
      </c>
      <c r="F19" s="12">
        <v>53</v>
      </c>
      <c r="G19" s="16">
        <v>55</v>
      </c>
      <c r="H19" s="14">
        <v>58</v>
      </c>
      <c r="I19" s="18">
        <v>60</v>
      </c>
      <c r="J19" s="18">
        <v>62</v>
      </c>
      <c r="K19" s="25">
        <v>64</v>
      </c>
      <c r="L19" s="21">
        <v>66</v>
      </c>
      <c r="M19" s="31">
        <v>68</v>
      </c>
    </row>
    <row r="20" spans="2:13" x14ac:dyDescent="0.2">
      <c r="B20" s="65">
        <v>17</v>
      </c>
      <c r="C20" s="9">
        <v>46</v>
      </c>
      <c r="D20" s="10">
        <v>49</v>
      </c>
      <c r="E20" s="10">
        <v>52</v>
      </c>
      <c r="F20" s="13">
        <v>54</v>
      </c>
      <c r="G20" s="14">
        <v>57</v>
      </c>
      <c r="H20" s="18">
        <v>59</v>
      </c>
      <c r="I20" s="19">
        <v>61</v>
      </c>
      <c r="J20" s="20">
        <v>63</v>
      </c>
      <c r="K20" s="21">
        <v>66</v>
      </c>
      <c r="L20" s="26">
        <v>67</v>
      </c>
      <c r="M20" s="31">
        <v>69</v>
      </c>
    </row>
    <row r="21" spans="2:13" x14ac:dyDescent="0.2">
      <c r="B21" s="65">
        <v>18</v>
      </c>
      <c r="C21" s="9">
        <v>48</v>
      </c>
      <c r="D21" s="11">
        <v>51</v>
      </c>
      <c r="E21" s="15">
        <v>54</v>
      </c>
      <c r="F21" s="16">
        <v>56</v>
      </c>
      <c r="G21" s="17">
        <v>58</v>
      </c>
      <c r="H21" s="19">
        <v>60</v>
      </c>
      <c r="I21" s="22">
        <v>63</v>
      </c>
      <c r="J21" s="23">
        <v>65</v>
      </c>
      <c r="K21" s="24">
        <v>67</v>
      </c>
      <c r="L21" s="26">
        <v>68</v>
      </c>
      <c r="M21" s="31">
        <v>70</v>
      </c>
    </row>
    <row r="22" spans="2:13" x14ac:dyDescent="0.2">
      <c r="B22" s="65">
        <v>19</v>
      </c>
      <c r="C22" s="27">
        <v>50</v>
      </c>
      <c r="D22" s="12">
        <v>53</v>
      </c>
      <c r="E22" s="16">
        <v>55</v>
      </c>
      <c r="F22" s="14">
        <v>58</v>
      </c>
      <c r="G22" s="18">
        <v>60</v>
      </c>
      <c r="H22" s="18">
        <v>62</v>
      </c>
      <c r="I22" s="25">
        <v>64</v>
      </c>
      <c r="J22" s="21">
        <v>66</v>
      </c>
      <c r="K22" s="26">
        <v>68</v>
      </c>
      <c r="L22" s="26">
        <v>70</v>
      </c>
      <c r="M22" s="31">
        <v>71</v>
      </c>
    </row>
    <row r="23" spans="2:13" x14ac:dyDescent="0.2">
      <c r="B23" s="71">
        <v>20</v>
      </c>
      <c r="C23" s="28">
        <v>52</v>
      </c>
      <c r="D23" s="13">
        <v>54</v>
      </c>
      <c r="E23" s="14">
        <v>57</v>
      </c>
      <c r="F23" s="18">
        <v>59</v>
      </c>
      <c r="G23" s="19">
        <v>61</v>
      </c>
      <c r="H23" s="20">
        <v>63</v>
      </c>
      <c r="I23" s="21">
        <v>66</v>
      </c>
      <c r="J23" s="26">
        <v>67</v>
      </c>
      <c r="K23" s="26">
        <v>69</v>
      </c>
      <c r="L23" s="26">
        <v>71</v>
      </c>
      <c r="M23" s="31">
        <v>72</v>
      </c>
    </row>
    <row r="24" spans="2:13" x14ac:dyDescent="0.2">
      <c r="B24" s="65">
        <v>21</v>
      </c>
      <c r="C24" s="29">
        <v>54</v>
      </c>
      <c r="D24" s="16">
        <v>56</v>
      </c>
      <c r="E24" s="17">
        <v>58</v>
      </c>
      <c r="F24" s="19">
        <v>60</v>
      </c>
      <c r="G24" s="22">
        <v>63</v>
      </c>
      <c r="H24" s="23">
        <v>65</v>
      </c>
      <c r="I24" s="24">
        <v>67</v>
      </c>
      <c r="J24" s="26">
        <v>68</v>
      </c>
      <c r="K24" s="26">
        <v>70</v>
      </c>
      <c r="L24" s="26">
        <v>72</v>
      </c>
      <c r="M24" s="31">
        <v>73</v>
      </c>
    </row>
    <row r="25" spans="2:13" x14ac:dyDescent="0.2">
      <c r="B25" s="65">
        <v>22</v>
      </c>
      <c r="C25" s="16">
        <v>55</v>
      </c>
      <c r="D25" s="14">
        <v>58</v>
      </c>
      <c r="E25" s="18">
        <v>60</v>
      </c>
      <c r="F25" s="18">
        <v>62</v>
      </c>
      <c r="G25" s="25">
        <v>64</v>
      </c>
      <c r="H25" s="21">
        <v>66</v>
      </c>
      <c r="I25" s="26">
        <v>68</v>
      </c>
      <c r="J25" s="26">
        <v>70</v>
      </c>
      <c r="K25" s="26">
        <v>71</v>
      </c>
      <c r="L25" s="26">
        <v>73</v>
      </c>
      <c r="M25" s="58">
        <v>75</v>
      </c>
    </row>
    <row r="26" spans="2:13" x14ac:dyDescent="0.2">
      <c r="B26" s="65">
        <v>23</v>
      </c>
      <c r="C26" s="14">
        <v>57</v>
      </c>
      <c r="D26" s="18">
        <v>59</v>
      </c>
      <c r="E26" s="19">
        <v>61</v>
      </c>
      <c r="F26" s="20">
        <v>63</v>
      </c>
      <c r="G26" s="21">
        <v>66</v>
      </c>
      <c r="H26" s="26">
        <v>67</v>
      </c>
      <c r="I26" s="26">
        <v>69</v>
      </c>
      <c r="J26" s="26">
        <v>71</v>
      </c>
      <c r="K26" s="30">
        <v>72</v>
      </c>
      <c r="L26" s="31">
        <v>74</v>
      </c>
      <c r="M26" s="72">
        <v>76</v>
      </c>
    </row>
    <row r="27" spans="2:13" x14ac:dyDescent="0.2">
      <c r="B27" s="65">
        <v>24</v>
      </c>
      <c r="C27" s="17">
        <v>58</v>
      </c>
      <c r="D27" s="19">
        <v>60</v>
      </c>
      <c r="E27" s="22">
        <v>63</v>
      </c>
      <c r="F27" s="23">
        <v>65</v>
      </c>
      <c r="G27" s="24">
        <v>67</v>
      </c>
      <c r="H27" s="26">
        <v>68</v>
      </c>
      <c r="I27" s="26">
        <v>70</v>
      </c>
      <c r="J27" s="30">
        <v>72</v>
      </c>
      <c r="K27" s="26">
        <v>73</v>
      </c>
      <c r="L27" s="33">
        <v>75</v>
      </c>
      <c r="M27" s="73">
        <v>77</v>
      </c>
    </row>
    <row r="28" spans="2:13" x14ac:dyDescent="0.2">
      <c r="B28" s="65">
        <v>25</v>
      </c>
      <c r="C28" s="17">
        <v>60</v>
      </c>
      <c r="D28" s="18">
        <v>62</v>
      </c>
      <c r="E28" s="25">
        <v>64</v>
      </c>
      <c r="F28" s="21">
        <v>66</v>
      </c>
      <c r="G28" s="26">
        <v>68</v>
      </c>
      <c r="H28" s="26">
        <v>70</v>
      </c>
      <c r="I28" s="26">
        <v>71</v>
      </c>
      <c r="J28" s="26">
        <v>73</v>
      </c>
      <c r="K28" s="33">
        <v>75</v>
      </c>
      <c r="L28" s="34">
        <v>76</v>
      </c>
      <c r="M28" s="43">
        <v>77</v>
      </c>
    </row>
    <row r="29" spans="2:13" x14ac:dyDescent="0.2">
      <c r="B29" s="65">
        <v>26</v>
      </c>
      <c r="C29" s="36">
        <v>61</v>
      </c>
      <c r="D29" s="20">
        <v>63</v>
      </c>
      <c r="E29" s="21">
        <v>66</v>
      </c>
      <c r="F29" s="26">
        <v>67</v>
      </c>
      <c r="G29" s="26">
        <v>69</v>
      </c>
      <c r="H29" s="26">
        <v>71</v>
      </c>
      <c r="I29" s="30">
        <v>72</v>
      </c>
      <c r="J29" s="31">
        <v>74</v>
      </c>
      <c r="K29" s="32">
        <v>76</v>
      </c>
      <c r="L29" s="37">
        <v>77</v>
      </c>
      <c r="M29" s="43">
        <v>78</v>
      </c>
    </row>
    <row r="30" spans="2:13" x14ac:dyDescent="0.2">
      <c r="B30" s="71">
        <v>27</v>
      </c>
      <c r="C30" s="38">
        <v>63</v>
      </c>
      <c r="D30" s="23">
        <v>65</v>
      </c>
      <c r="E30" s="24">
        <v>67</v>
      </c>
      <c r="F30" s="26">
        <v>68</v>
      </c>
      <c r="G30" s="26">
        <v>70</v>
      </c>
      <c r="H30" s="30">
        <v>72</v>
      </c>
      <c r="I30" s="26">
        <v>73</v>
      </c>
      <c r="J30" s="33">
        <v>75</v>
      </c>
      <c r="K30" s="34">
        <v>77</v>
      </c>
      <c r="L30" s="35">
        <v>78</v>
      </c>
      <c r="M30" s="43">
        <v>79</v>
      </c>
    </row>
    <row r="31" spans="2:13" x14ac:dyDescent="0.2">
      <c r="B31" s="65">
        <v>28</v>
      </c>
      <c r="C31" s="39">
        <v>64</v>
      </c>
      <c r="D31" s="21">
        <v>66</v>
      </c>
      <c r="E31" s="26">
        <v>68</v>
      </c>
      <c r="F31" s="26">
        <v>70</v>
      </c>
      <c r="G31" s="26">
        <v>71</v>
      </c>
      <c r="H31" s="26">
        <v>73</v>
      </c>
      <c r="I31" s="33">
        <v>75</v>
      </c>
      <c r="J31" s="34">
        <v>76</v>
      </c>
      <c r="K31" s="35">
        <v>77</v>
      </c>
      <c r="L31" s="35">
        <v>79</v>
      </c>
      <c r="M31" s="43">
        <v>80</v>
      </c>
    </row>
    <row r="32" spans="2:13" x14ac:dyDescent="0.2">
      <c r="B32" s="65">
        <v>29</v>
      </c>
      <c r="C32" s="21">
        <v>66</v>
      </c>
      <c r="D32" s="26">
        <v>67</v>
      </c>
      <c r="E32" s="26">
        <v>69</v>
      </c>
      <c r="F32" s="26">
        <v>71</v>
      </c>
      <c r="G32" s="30">
        <v>72</v>
      </c>
      <c r="H32" s="31">
        <v>74</v>
      </c>
      <c r="I32" s="32">
        <v>76</v>
      </c>
      <c r="J32" s="37">
        <v>77</v>
      </c>
      <c r="K32" s="35">
        <v>78</v>
      </c>
      <c r="L32" s="35">
        <v>80</v>
      </c>
      <c r="M32" s="43">
        <v>81</v>
      </c>
    </row>
    <row r="33" spans="2:13" x14ac:dyDescent="0.2">
      <c r="B33" s="65">
        <v>30</v>
      </c>
      <c r="C33" s="24">
        <v>67</v>
      </c>
      <c r="D33" s="26">
        <v>68</v>
      </c>
      <c r="E33" s="26">
        <v>70</v>
      </c>
      <c r="F33" s="30">
        <v>72</v>
      </c>
      <c r="G33" s="26">
        <v>73</v>
      </c>
      <c r="H33" s="33">
        <v>75</v>
      </c>
      <c r="I33" s="34">
        <v>77</v>
      </c>
      <c r="J33" s="35">
        <v>78</v>
      </c>
      <c r="K33" s="35">
        <v>79</v>
      </c>
      <c r="L33" s="35">
        <v>81</v>
      </c>
      <c r="M33" s="43">
        <v>82</v>
      </c>
    </row>
    <row r="34" spans="2:13" x14ac:dyDescent="0.2">
      <c r="B34" s="65">
        <v>31</v>
      </c>
      <c r="C34" s="24">
        <v>68</v>
      </c>
      <c r="D34" s="26">
        <v>70</v>
      </c>
      <c r="E34" s="26">
        <v>71</v>
      </c>
      <c r="F34" s="26">
        <v>73</v>
      </c>
      <c r="G34" s="33">
        <v>75</v>
      </c>
      <c r="H34" s="34">
        <v>76</v>
      </c>
      <c r="I34" s="35">
        <v>77</v>
      </c>
      <c r="J34" s="35">
        <v>79</v>
      </c>
      <c r="K34" s="35">
        <v>80</v>
      </c>
      <c r="L34" s="35">
        <v>82</v>
      </c>
      <c r="M34" s="43">
        <v>83</v>
      </c>
    </row>
    <row r="35" spans="2:13" x14ac:dyDescent="0.2">
      <c r="B35" s="65">
        <v>32</v>
      </c>
      <c r="C35" s="24">
        <v>69</v>
      </c>
      <c r="D35" s="26">
        <v>71</v>
      </c>
      <c r="E35" s="30">
        <v>72</v>
      </c>
      <c r="F35" s="31">
        <v>74</v>
      </c>
      <c r="G35" s="32">
        <v>76</v>
      </c>
      <c r="H35" s="37">
        <v>77</v>
      </c>
      <c r="I35" s="35">
        <v>78</v>
      </c>
      <c r="J35" s="35">
        <v>80</v>
      </c>
      <c r="K35" s="40">
        <v>81</v>
      </c>
      <c r="L35" s="35">
        <v>83</v>
      </c>
      <c r="M35" s="59">
        <v>84</v>
      </c>
    </row>
    <row r="36" spans="2:13" x14ac:dyDescent="0.2">
      <c r="B36" s="65">
        <v>33</v>
      </c>
      <c r="C36" s="24">
        <v>70</v>
      </c>
      <c r="D36" s="30">
        <v>72</v>
      </c>
      <c r="E36" s="26">
        <v>73</v>
      </c>
      <c r="F36" s="33">
        <v>75</v>
      </c>
      <c r="G36" s="34">
        <v>77</v>
      </c>
      <c r="H36" s="35">
        <v>78</v>
      </c>
      <c r="I36" s="35">
        <v>79</v>
      </c>
      <c r="J36" s="35">
        <v>81</v>
      </c>
      <c r="K36" s="35">
        <v>82</v>
      </c>
      <c r="L36" s="41">
        <v>84</v>
      </c>
      <c r="M36" s="74">
        <v>86</v>
      </c>
    </row>
    <row r="37" spans="2:13" x14ac:dyDescent="0.2">
      <c r="B37" s="65">
        <v>34</v>
      </c>
      <c r="C37" s="24">
        <v>71</v>
      </c>
      <c r="D37" s="26">
        <v>73</v>
      </c>
      <c r="E37" s="33">
        <v>75</v>
      </c>
      <c r="F37" s="34">
        <v>76</v>
      </c>
      <c r="G37" s="35">
        <v>77</v>
      </c>
      <c r="H37" s="35">
        <v>79</v>
      </c>
      <c r="I37" s="35">
        <v>80</v>
      </c>
      <c r="J37" s="40">
        <v>82</v>
      </c>
      <c r="K37" s="43">
        <v>83</v>
      </c>
      <c r="L37" s="42">
        <v>85</v>
      </c>
      <c r="M37" s="75">
        <v>86</v>
      </c>
    </row>
    <row r="38" spans="2:13" x14ac:dyDescent="0.2">
      <c r="B38" s="65">
        <v>35</v>
      </c>
      <c r="C38" s="45">
        <v>72</v>
      </c>
      <c r="D38" s="31">
        <v>74</v>
      </c>
      <c r="E38" s="32">
        <v>76</v>
      </c>
      <c r="F38" s="37">
        <v>77</v>
      </c>
      <c r="G38" s="35">
        <v>78</v>
      </c>
      <c r="H38" s="35">
        <v>80</v>
      </c>
      <c r="I38" s="40">
        <v>81</v>
      </c>
      <c r="J38" s="35">
        <v>83</v>
      </c>
      <c r="K38" s="41">
        <v>84</v>
      </c>
      <c r="L38" s="46">
        <v>86</v>
      </c>
      <c r="M38" s="75">
        <v>87</v>
      </c>
    </row>
    <row r="39" spans="2:13" x14ac:dyDescent="0.2">
      <c r="B39" s="65">
        <f>B38+1</f>
        <v>36</v>
      </c>
      <c r="C39" s="24">
        <v>73</v>
      </c>
      <c r="D39" s="33">
        <v>75</v>
      </c>
      <c r="E39" s="34">
        <v>77</v>
      </c>
      <c r="F39" s="35">
        <v>78</v>
      </c>
      <c r="G39" s="35">
        <v>79</v>
      </c>
      <c r="H39" s="35">
        <v>81</v>
      </c>
      <c r="I39" s="35">
        <v>82</v>
      </c>
      <c r="J39" s="41">
        <v>84</v>
      </c>
      <c r="K39" s="42">
        <v>86</v>
      </c>
      <c r="L39" s="44">
        <v>86</v>
      </c>
      <c r="M39" s="75">
        <v>88</v>
      </c>
    </row>
    <row r="40" spans="2:13" x14ac:dyDescent="0.2">
      <c r="B40" s="65">
        <f t="shared" ref="B40:B47" si="0">B39+1</f>
        <v>37</v>
      </c>
      <c r="C40" s="47">
        <v>75</v>
      </c>
      <c r="D40" s="34">
        <v>76</v>
      </c>
      <c r="E40" s="35">
        <v>77</v>
      </c>
      <c r="F40" s="35">
        <v>79</v>
      </c>
      <c r="G40" s="35">
        <v>80</v>
      </c>
      <c r="H40" s="40">
        <v>82</v>
      </c>
      <c r="I40" s="43">
        <v>83</v>
      </c>
      <c r="J40" s="42">
        <v>85</v>
      </c>
      <c r="K40" s="44">
        <v>86</v>
      </c>
      <c r="L40" s="44">
        <v>87</v>
      </c>
      <c r="M40" s="75">
        <v>89</v>
      </c>
    </row>
    <row r="41" spans="2:13" x14ac:dyDescent="0.2">
      <c r="B41" s="71">
        <f t="shared" si="0"/>
        <v>38</v>
      </c>
      <c r="C41" s="32">
        <v>76</v>
      </c>
      <c r="D41" s="37">
        <v>77</v>
      </c>
      <c r="E41" s="35">
        <v>78</v>
      </c>
      <c r="F41" s="35">
        <v>80</v>
      </c>
      <c r="G41" s="40">
        <v>81</v>
      </c>
      <c r="H41" s="35">
        <v>83</v>
      </c>
      <c r="I41" s="41">
        <v>84</v>
      </c>
      <c r="J41" s="46">
        <v>86</v>
      </c>
      <c r="K41" s="44">
        <v>87</v>
      </c>
      <c r="L41" s="44">
        <v>89</v>
      </c>
      <c r="M41" s="75">
        <v>90</v>
      </c>
    </row>
    <row r="42" spans="2:13" x14ac:dyDescent="0.2">
      <c r="B42" s="76">
        <f t="shared" si="0"/>
        <v>39</v>
      </c>
      <c r="C42" s="34">
        <v>77</v>
      </c>
      <c r="D42" s="35">
        <v>78</v>
      </c>
      <c r="E42" s="35">
        <v>79</v>
      </c>
      <c r="F42" s="35">
        <v>81</v>
      </c>
      <c r="G42" s="35">
        <v>82</v>
      </c>
      <c r="H42" s="41">
        <v>84</v>
      </c>
      <c r="I42" s="42">
        <v>86</v>
      </c>
      <c r="J42" s="44">
        <v>86</v>
      </c>
      <c r="K42" s="44">
        <v>88</v>
      </c>
      <c r="L42" s="44">
        <v>90</v>
      </c>
      <c r="M42" s="75">
        <v>92</v>
      </c>
    </row>
    <row r="43" spans="2:13" x14ac:dyDescent="0.2">
      <c r="B43" s="65">
        <f t="shared" si="0"/>
        <v>40</v>
      </c>
      <c r="C43" s="37">
        <v>77</v>
      </c>
      <c r="D43" s="35">
        <v>79</v>
      </c>
      <c r="E43" s="35">
        <v>80</v>
      </c>
      <c r="F43" s="40">
        <v>82</v>
      </c>
      <c r="G43" s="43">
        <v>83</v>
      </c>
      <c r="H43" s="42">
        <v>85</v>
      </c>
      <c r="I43" s="44">
        <v>86</v>
      </c>
      <c r="J43" s="44">
        <v>87</v>
      </c>
      <c r="K43" s="44">
        <v>89</v>
      </c>
      <c r="L43" s="44">
        <v>91</v>
      </c>
      <c r="M43" s="75">
        <v>93</v>
      </c>
    </row>
    <row r="44" spans="2:13" x14ac:dyDescent="0.2">
      <c r="B44" s="65">
        <f t="shared" si="0"/>
        <v>41</v>
      </c>
      <c r="C44" s="48">
        <v>78</v>
      </c>
      <c r="D44" s="49">
        <v>80</v>
      </c>
      <c r="E44" s="50">
        <v>81</v>
      </c>
      <c r="F44" s="49">
        <v>83</v>
      </c>
      <c r="G44" s="51">
        <v>84</v>
      </c>
      <c r="H44" s="52">
        <v>86</v>
      </c>
      <c r="I44" s="53">
        <v>87</v>
      </c>
      <c r="J44" s="53">
        <v>89</v>
      </c>
      <c r="K44" s="53">
        <v>90</v>
      </c>
      <c r="L44" s="53">
        <v>92</v>
      </c>
      <c r="M44" s="77">
        <v>94</v>
      </c>
    </row>
    <row r="45" spans="2:13" x14ac:dyDescent="0.2">
      <c r="B45" s="65">
        <f t="shared" si="0"/>
        <v>42</v>
      </c>
      <c r="C45" s="48">
        <v>79</v>
      </c>
      <c r="D45" s="49">
        <v>81</v>
      </c>
      <c r="E45" s="49">
        <v>82</v>
      </c>
      <c r="F45" s="51">
        <v>84</v>
      </c>
      <c r="G45" s="54">
        <v>86</v>
      </c>
      <c r="H45" s="53">
        <v>86</v>
      </c>
      <c r="I45" s="53">
        <v>88</v>
      </c>
      <c r="J45" s="53">
        <v>90</v>
      </c>
      <c r="K45" s="53">
        <v>92</v>
      </c>
      <c r="L45" s="53">
        <v>94</v>
      </c>
      <c r="M45" s="77">
        <v>96</v>
      </c>
    </row>
    <row r="46" spans="2:13" x14ac:dyDescent="0.2">
      <c r="B46" s="65">
        <f t="shared" si="0"/>
        <v>43</v>
      </c>
      <c r="C46" s="48">
        <v>80</v>
      </c>
      <c r="D46" s="50">
        <v>82</v>
      </c>
      <c r="E46" s="55">
        <v>83</v>
      </c>
      <c r="F46" s="54">
        <v>85</v>
      </c>
      <c r="G46" s="53">
        <v>86</v>
      </c>
      <c r="H46" s="53">
        <v>87</v>
      </c>
      <c r="I46" s="53">
        <v>89</v>
      </c>
      <c r="J46" s="53">
        <v>91</v>
      </c>
      <c r="K46" s="53">
        <v>93</v>
      </c>
      <c r="L46" s="53">
        <v>95</v>
      </c>
      <c r="M46" s="77">
        <v>98</v>
      </c>
    </row>
    <row r="47" spans="2:13" x14ac:dyDescent="0.2">
      <c r="B47" s="78">
        <f t="shared" si="0"/>
        <v>44</v>
      </c>
      <c r="C47" s="79">
        <v>81</v>
      </c>
      <c r="D47" s="80">
        <v>83</v>
      </c>
      <c r="E47" s="60">
        <v>84</v>
      </c>
      <c r="F47" s="81">
        <v>86</v>
      </c>
      <c r="G47" s="82">
        <v>87</v>
      </c>
      <c r="H47" s="82">
        <v>89</v>
      </c>
      <c r="I47" s="82">
        <v>90</v>
      </c>
      <c r="J47" s="82">
        <v>92</v>
      </c>
      <c r="K47" s="82">
        <v>94</v>
      </c>
      <c r="L47" s="82">
        <v>97</v>
      </c>
      <c r="M47" s="83">
        <v>100</v>
      </c>
    </row>
    <row r="49" spans="3:12" x14ac:dyDescent="0.2">
      <c r="C49" s="119" t="s">
        <v>936</v>
      </c>
      <c r="D49" s="119"/>
      <c r="E49" s="119"/>
      <c r="F49" s="119"/>
      <c r="G49" s="119"/>
      <c r="H49" s="119"/>
      <c r="I49" s="119"/>
      <c r="J49" s="119"/>
      <c r="K49" s="119"/>
      <c r="L49" s="119"/>
    </row>
    <row r="50" spans="3:12" x14ac:dyDescent="0.2">
      <c r="C50" s="120" t="s">
        <v>937</v>
      </c>
      <c r="D50" s="121"/>
      <c r="E50" s="122" t="s">
        <v>938</v>
      </c>
      <c r="F50" s="122"/>
      <c r="G50" s="123" t="s">
        <v>939</v>
      </c>
      <c r="H50" s="123"/>
      <c r="I50" s="124" t="s">
        <v>940</v>
      </c>
      <c r="J50" s="124"/>
      <c r="K50" s="125" t="s">
        <v>941</v>
      </c>
      <c r="L50" s="126"/>
    </row>
    <row r="51" spans="3:12" x14ac:dyDescent="0.2">
      <c r="C51" s="127" t="s">
        <v>942</v>
      </c>
      <c r="D51" s="128"/>
      <c r="E51" s="128" t="s">
        <v>943</v>
      </c>
      <c r="F51" s="128"/>
      <c r="G51" s="128" t="s">
        <v>944</v>
      </c>
      <c r="H51" s="128"/>
      <c r="I51" s="128" t="s">
        <v>945</v>
      </c>
      <c r="J51" s="128"/>
      <c r="K51" s="128" t="s">
        <v>946</v>
      </c>
      <c r="L51" s="129"/>
    </row>
  </sheetData>
  <mergeCells count="11">
    <mergeCell ref="C51:D51"/>
    <mergeCell ref="E51:F51"/>
    <mergeCell ref="G51:H51"/>
    <mergeCell ref="I51:J51"/>
    <mergeCell ref="K51:L51"/>
    <mergeCell ref="C49:L49"/>
    <mergeCell ref="C50:D50"/>
    <mergeCell ref="E50:F50"/>
    <mergeCell ref="G50:H50"/>
    <mergeCell ref="I50:J50"/>
    <mergeCell ref="K50:L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Charts</vt:lpstr>
      </vt:variant>
      <vt:variant>
        <vt:i4>3</vt:i4>
      </vt:variant>
    </vt:vector>
  </HeadingPairs>
  <TitlesOfParts>
    <vt:vector size="11" baseType="lpstr">
      <vt:lpstr>Scores</vt:lpstr>
      <vt:lpstr>Questions</vt:lpstr>
      <vt:lpstr>Scores Breakdown</vt:lpstr>
      <vt:lpstr>Question Breakdown</vt:lpstr>
      <vt:lpstr>Task Models</vt:lpstr>
      <vt:lpstr>Skill Standards</vt:lpstr>
      <vt:lpstr>Content Standards</vt:lpstr>
      <vt:lpstr>Conversion Chart</vt:lpstr>
      <vt:lpstr>Score Distribution</vt:lpstr>
      <vt:lpstr>Box &amp; Whisker</vt:lpstr>
      <vt:lpstr>% Correct vs. Point Biserial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Dushin</dc:creator>
  <cp:lastModifiedBy>Cole Dushin</cp:lastModifiedBy>
  <dcterms:created xsi:type="dcterms:W3CDTF">2026-06-17T15:36:25Z</dcterms:created>
  <dcterms:modified xsi:type="dcterms:W3CDTF">2026-10-28T19:12:23Z</dcterms:modified>
</cp:coreProperties>
</file>