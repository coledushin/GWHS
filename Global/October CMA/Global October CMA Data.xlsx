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oledushin/Documents/GWHS/Global/October CMA/"/>
    </mc:Choice>
  </mc:AlternateContent>
  <xr:revisionPtr revIDLastSave="0" documentId="13_ncr:1_{4C8B9E7E-A990-774B-A50E-EBA4C7F0211F}" xr6:coauthVersionLast="47" xr6:coauthVersionMax="47" xr10:uidLastSave="{00000000-0000-0000-0000-000000000000}"/>
  <bookViews>
    <workbookView xWindow="0" yWindow="600" windowWidth="28160" windowHeight="15520" xr2:uid="{00000000-000D-0000-FFFF-FFFF00000000}"/>
  </bookViews>
  <sheets>
    <sheet name="Scores" sheetId="1" r:id="rId1"/>
    <sheet name="Questions" sheetId="2" r:id="rId2"/>
    <sheet name="Task Models" sheetId="4" r:id="rId3"/>
    <sheet name="Skill Standards" sheetId="5" r:id="rId4"/>
    <sheet name="Content Standards"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AB82" i="1"/>
  <c r="AA82" i="1"/>
  <c r="Z82" i="1"/>
  <c r="Y82" i="1"/>
  <c r="X82" i="1"/>
  <c r="W82" i="1"/>
  <c r="V82" i="1"/>
  <c r="U82" i="1"/>
  <c r="G82" i="1"/>
  <c r="AB81" i="1"/>
  <c r="AA81" i="1"/>
  <c r="Z81" i="1"/>
  <c r="Y81" i="1"/>
  <c r="X81" i="1"/>
  <c r="W81" i="1"/>
  <c r="V81" i="1"/>
  <c r="U81" i="1"/>
  <c r="G81" i="1"/>
  <c r="AB80" i="1"/>
  <c r="AA80" i="1"/>
  <c r="Z80" i="1"/>
  <c r="Y80" i="1"/>
  <c r="X80" i="1"/>
  <c r="W80" i="1"/>
  <c r="V80" i="1"/>
  <c r="U80" i="1"/>
  <c r="G80" i="1"/>
  <c r="AB79" i="1"/>
  <c r="AA79" i="1"/>
  <c r="Z79" i="1"/>
  <c r="Y79" i="1"/>
  <c r="X79" i="1"/>
  <c r="W79" i="1"/>
  <c r="V79" i="1"/>
  <c r="U79" i="1"/>
  <c r="G79" i="1"/>
  <c r="AB78" i="1"/>
  <c r="AA78" i="1"/>
  <c r="Z78" i="1"/>
  <c r="Y78" i="1"/>
  <c r="X78" i="1"/>
  <c r="W78" i="1"/>
  <c r="V78" i="1"/>
  <c r="U78" i="1"/>
  <c r="G78" i="1"/>
  <c r="AB77" i="1"/>
  <c r="AA77" i="1"/>
  <c r="Z77" i="1"/>
  <c r="Y77" i="1"/>
  <c r="X77" i="1"/>
  <c r="W77" i="1"/>
  <c r="V77" i="1"/>
  <c r="U77" i="1"/>
  <c r="G77" i="1"/>
  <c r="AB76" i="1"/>
  <c r="AA76" i="1"/>
  <c r="Z76" i="1"/>
  <c r="Y76" i="1"/>
  <c r="X76" i="1"/>
  <c r="W76" i="1"/>
  <c r="V76" i="1"/>
  <c r="U76" i="1"/>
  <c r="G76" i="1"/>
  <c r="AB75" i="1"/>
  <c r="AA75" i="1"/>
  <c r="Z75" i="1"/>
  <c r="Y75" i="1"/>
  <c r="X75" i="1"/>
  <c r="W75" i="1"/>
  <c r="V75" i="1"/>
  <c r="U75" i="1"/>
  <c r="G75" i="1"/>
  <c r="AB74" i="1"/>
  <c r="AA74" i="1"/>
  <c r="Z74" i="1"/>
  <c r="Y74" i="1"/>
  <c r="X74" i="1"/>
  <c r="W74" i="1"/>
  <c r="V74" i="1"/>
  <c r="U74" i="1"/>
  <c r="G74" i="1"/>
  <c r="AB73" i="1"/>
  <c r="AA73" i="1"/>
  <c r="Z73" i="1"/>
  <c r="Y73" i="1"/>
  <c r="X73" i="1"/>
  <c r="W73" i="1"/>
  <c r="V73" i="1"/>
  <c r="U73" i="1"/>
  <c r="G73" i="1"/>
  <c r="AB72" i="1"/>
  <c r="AA72" i="1"/>
  <c r="Z72" i="1"/>
  <c r="Y72" i="1"/>
  <c r="X72" i="1"/>
  <c r="W72" i="1"/>
  <c r="V72" i="1"/>
  <c r="U72" i="1"/>
  <c r="G72" i="1"/>
  <c r="AB71" i="1"/>
  <c r="AA71" i="1"/>
  <c r="Z71" i="1"/>
  <c r="Y71" i="1"/>
  <c r="X71" i="1"/>
  <c r="W71" i="1"/>
  <c r="V71" i="1"/>
  <c r="U71" i="1"/>
  <c r="G71" i="1"/>
  <c r="AB70" i="1"/>
  <c r="AA70" i="1"/>
  <c r="Z70" i="1"/>
  <c r="Y70" i="1"/>
  <c r="X70" i="1"/>
  <c r="W70" i="1"/>
  <c r="V70" i="1"/>
  <c r="U70" i="1"/>
  <c r="G70" i="1"/>
  <c r="AB69" i="1"/>
  <c r="AA69" i="1"/>
  <c r="Z69" i="1"/>
  <c r="Y69" i="1"/>
  <c r="X69" i="1"/>
  <c r="W69" i="1"/>
  <c r="V69" i="1"/>
  <c r="U69" i="1"/>
  <c r="G69" i="1"/>
  <c r="AB68" i="1"/>
  <c r="AA68" i="1"/>
  <c r="Z68" i="1"/>
  <c r="Y68" i="1"/>
  <c r="X68" i="1"/>
  <c r="W68" i="1"/>
  <c r="V68" i="1"/>
  <c r="U68" i="1"/>
  <c r="G68" i="1"/>
  <c r="AB67" i="1"/>
  <c r="AA67" i="1"/>
  <c r="Z67" i="1"/>
  <c r="Y67" i="1"/>
  <c r="X67" i="1"/>
  <c r="W67" i="1"/>
  <c r="V67" i="1"/>
  <c r="U67" i="1"/>
  <c r="G67" i="1"/>
  <c r="AB66" i="1"/>
  <c r="AA66" i="1"/>
  <c r="Z66" i="1"/>
  <c r="Y66" i="1"/>
  <c r="X66" i="1"/>
  <c r="W66" i="1"/>
  <c r="V66" i="1"/>
  <c r="U66" i="1"/>
  <c r="G66" i="1"/>
  <c r="AB65" i="1"/>
  <c r="AA65" i="1"/>
  <c r="Z65" i="1"/>
  <c r="Y65" i="1"/>
  <c r="X65" i="1"/>
  <c r="W65" i="1"/>
  <c r="V65" i="1"/>
  <c r="U65" i="1"/>
  <c r="G65" i="1"/>
  <c r="AB64" i="1"/>
  <c r="AA64" i="1"/>
  <c r="Z64" i="1"/>
  <c r="Y64" i="1"/>
  <c r="X64" i="1"/>
  <c r="W64" i="1"/>
  <c r="V64" i="1"/>
  <c r="U64" i="1"/>
  <c r="G64" i="1"/>
  <c r="AB63" i="1"/>
  <c r="AA63" i="1"/>
  <c r="Z63" i="1"/>
  <c r="Y63" i="1"/>
  <c r="X63" i="1"/>
  <c r="W63" i="1"/>
  <c r="V63" i="1"/>
  <c r="U63" i="1"/>
  <c r="G63" i="1"/>
  <c r="AB62" i="1"/>
  <c r="AA62" i="1"/>
  <c r="Z62" i="1"/>
  <c r="Y62" i="1"/>
  <c r="X62" i="1"/>
  <c r="W62" i="1"/>
  <c r="V62" i="1"/>
  <c r="U62" i="1"/>
  <c r="G62" i="1"/>
  <c r="AB61" i="1"/>
  <c r="AA61" i="1"/>
  <c r="Z61" i="1"/>
  <c r="Y61" i="1"/>
  <c r="X61" i="1"/>
  <c r="W61" i="1"/>
  <c r="V61" i="1"/>
  <c r="U61" i="1"/>
  <c r="G61" i="1"/>
  <c r="AB60" i="1"/>
  <c r="AA60" i="1"/>
  <c r="Z60" i="1"/>
  <c r="Y60" i="1"/>
  <c r="X60" i="1"/>
  <c r="W60" i="1"/>
  <c r="V60" i="1"/>
  <c r="U60" i="1"/>
  <c r="G60" i="1"/>
  <c r="AB59" i="1"/>
  <c r="AA59" i="1"/>
  <c r="Z59" i="1"/>
  <c r="Y59" i="1"/>
  <c r="X59" i="1"/>
  <c r="W59" i="1"/>
  <c r="V59" i="1"/>
  <c r="U59" i="1"/>
  <c r="G59" i="1"/>
  <c r="AB58" i="1"/>
  <c r="AA58" i="1"/>
  <c r="Z58" i="1"/>
  <c r="Y58" i="1"/>
  <c r="X58" i="1"/>
  <c r="W58" i="1"/>
  <c r="V58" i="1"/>
  <c r="U58" i="1"/>
  <c r="G58" i="1"/>
  <c r="AB57" i="1"/>
  <c r="AA57" i="1"/>
  <c r="Z57" i="1"/>
  <c r="Y57" i="1"/>
  <c r="X57" i="1"/>
  <c r="W57" i="1"/>
  <c r="V57" i="1"/>
  <c r="U57" i="1"/>
  <c r="G57" i="1"/>
  <c r="AB56" i="1"/>
  <c r="AA56" i="1"/>
  <c r="Z56" i="1"/>
  <c r="Y56" i="1"/>
  <c r="X56" i="1"/>
  <c r="W56" i="1"/>
  <c r="V56" i="1"/>
  <c r="U56" i="1"/>
  <c r="G56" i="1"/>
  <c r="AB55" i="1"/>
  <c r="AA55" i="1"/>
  <c r="Z55" i="1"/>
  <c r="Y55" i="1"/>
  <c r="X55" i="1"/>
  <c r="W55" i="1"/>
  <c r="V55" i="1"/>
  <c r="U55" i="1"/>
  <c r="G55" i="1"/>
  <c r="AB54" i="1"/>
  <c r="AA54" i="1"/>
  <c r="Z54" i="1"/>
  <c r="Y54" i="1"/>
  <c r="X54" i="1"/>
  <c r="W54" i="1"/>
  <c r="V54" i="1"/>
  <c r="U54" i="1"/>
  <c r="G54" i="1"/>
  <c r="AB53" i="1"/>
  <c r="AA53" i="1"/>
  <c r="Z53" i="1"/>
  <c r="Y53" i="1"/>
  <c r="X53" i="1"/>
  <c r="W53" i="1"/>
  <c r="V53" i="1"/>
  <c r="U53" i="1"/>
  <c r="G53" i="1"/>
  <c r="AB52" i="1"/>
  <c r="AA52" i="1"/>
  <c r="Z52" i="1"/>
  <c r="Y52" i="1"/>
  <c r="X52" i="1"/>
  <c r="W52" i="1"/>
  <c r="V52" i="1"/>
  <c r="U52" i="1"/>
  <c r="G52" i="1"/>
  <c r="AB51" i="1"/>
  <c r="AA51" i="1"/>
  <c r="Z51" i="1"/>
  <c r="Y51" i="1"/>
  <c r="X51" i="1"/>
  <c r="W51" i="1"/>
  <c r="V51" i="1"/>
  <c r="U51" i="1"/>
  <c r="G51" i="1"/>
  <c r="AB50" i="1"/>
  <c r="AA50" i="1"/>
  <c r="Z50" i="1"/>
  <c r="Y50" i="1"/>
  <c r="X50" i="1"/>
  <c r="W50" i="1"/>
  <c r="V50" i="1"/>
  <c r="U50" i="1"/>
  <c r="G50" i="1"/>
  <c r="AB49" i="1"/>
  <c r="AA49" i="1"/>
  <c r="Z49" i="1"/>
  <c r="Y49" i="1"/>
  <c r="X49" i="1"/>
  <c r="W49" i="1"/>
  <c r="V49" i="1"/>
  <c r="U49" i="1"/>
  <c r="G49" i="1"/>
  <c r="AB48" i="1"/>
  <c r="AA48" i="1"/>
  <c r="Z48" i="1"/>
  <c r="Y48" i="1"/>
  <c r="X48" i="1"/>
  <c r="W48" i="1"/>
  <c r="V48" i="1"/>
  <c r="U48" i="1"/>
  <c r="G48" i="1"/>
  <c r="AB47" i="1"/>
  <c r="AA47" i="1"/>
  <c r="Z47" i="1"/>
  <c r="Y47" i="1"/>
  <c r="X47" i="1"/>
  <c r="W47" i="1"/>
  <c r="V47" i="1"/>
  <c r="U47" i="1"/>
  <c r="G47" i="1"/>
  <c r="AB46" i="1"/>
  <c r="AA46" i="1"/>
  <c r="Z46" i="1"/>
  <c r="Y46" i="1"/>
  <c r="X46" i="1"/>
  <c r="W46" i="1"/>
  <c r="V46" i="1"/>
  <c r="U46" i="1"/>
  <c r="G46" i="1"/>
  <c r="AB45" i="1"/>
  <c r="AA45" i="1"/>
  <c r="Z45" i="1"/>
  <c r="Y45" i="1"/>
  <c r="X45" i="1"/>
  <c r="W45" i="1"/>
  <c r="V45" i="1"/>
  <c r="U45" i="1"/>
  <c r="G45" i="1"/>
  <c r="AB44" i="1"/>
  <c r="AA44" i="1"/>
  <c r="Z44" i="1"/>
  <c r="Y44" i="1"/>
  <c r="X44" i="1"/>
  <c r="W44" i="1"/>
  <c r="V44" i="1"/>
  <c r="U44" i="1"/>
  <c r="G44" i="1"/>
  <c r="AB43" i="1"/>
  <c r="AA43" i="1"/>
  <c r="Z43" i="1"/>
  <c r="Y43" i="1"/>
  <c r="X43" i="1"/>
  <c r="W43" i="1"/>
  <c r="V43" i="1"/>
  <c r="U43" i="1"/>
  <c r="G43" i="1"/>
  <c r="AB42" i="1"/>
  <c r="AA42" i="1"/>
  <c r="Z42" i="1"/>
  <c r="Y42" i="1"/>
  <c r="X42" i="1"/>
  <c r="W42" i="1"/>
  <c r="V42" i="1"/>
  <c r="U42" i="1"/>
  <c r="G42" i="1"/>
  <c r="AB41" i="1"/>
  <c r="AA41" i="1"/>
  <c r="Z41" i="1"/>
  <c r="Y41" i="1"/>
  <c r="X41" i="1"/>
  <c r="W41" i="1"/>
  <c r="V41" i="1"/>
  <c r="U41" i="1"/>
  <c r="G41" i="1"/>
  <c r="AB40" i="1"/>
  <c r="AA40" i="1"/>
  <c r="Z40" i="1"/>
  <c r="Y40" i="1"/>
  <c r="X40" i="1"/>
  <c r="W40" i="1"/>
  <c r="V40" i="1"/>
  <c r="U40" i="1"/>
  <c r="G40" i="1"/>
  <c r="AB39" i="1"/>
  <c r="AA39" i="1"/>
  <c r="Z39" i="1"/>
  <c r="Y39" i="1"/>
  <c r="X39" i="1"/>
  <c r="W39" i="1"/>
  <c r="V39" i="1"/>
  <c r="U39" i="1"/>
  <c r="G39" i="1"/>
  <c r="AB38" i="1"/>
  <c r="AA38" i="1"/>
  <c r="Z38" i="1"/>
  <c r="Y38" i="1"/>
  <c r="X38" i="1"/>
  <c r="W38" i="1"/>
  <c r="V38" i="1"/>
  <c r="U38" i="1"/>
  <c r="G38" i="1"/>
  <c r="AB37" i="1"/>
  <c r="AA37" i="1"/>
  <c r="Z37" i="1"/>
  <c r="Y37" i="1"/>
  <c r="X37" i="1"/>
  <c r="W37" i="1"/>
  <c r="V37" i="1"/>
  <c r="U37" i="1"/>
  <c r="G37" i="1"/>
  <c r="AB36" i="1"/>
  <c r="AA36" i="1"/>
  <c r="Z36" i="1"/>
  <c r="Y36" i="1"/>
  <c r="X36" i="1"/>
  <c r="W36" i="1"/>
  <c r="V36" i="1"/>
  <c r="U36" i="1"/>
  <c r="G36" i="1"/>
  <c r="AB35" i="1"/>
  <c r="AA35" i="1"/>
  <c r="Z35" i="1"/>
  <c r="Y35" i="1"/>
  <c r="X35" i="1"/>
  <c r="W35" i="1"/>
  <c r="V35" i="1"/>
  <c r="U35" i="1"/>
  <c r="G35" i="1"/>
  <c r="AB34" i="1"/>
  <c r="AA34" i="1"/>
  <c r="Z34" i="1"/>
  <c r="Y34" i="1"/>
  <c r="X34" i="1"/>
  <c r="W34" i="1"/>
  <c r="V34" i="1"/>
  <c r="U34" i="1"/>
  <c r="G34" i="1"/>
  <c r="AB33" i="1"/>
  <c r="AA33" i="1"/>
  <c r="Z33" i="1"/>
  <c r="Y33" i="1"/>
  <c r="X33" i="1"/>
  <c r="W33" i="1"/>
  <c r="V33" i="1"/>
  <c r="U33" i="1"/>
  <c r="G33" i="1"/>
  <c r="AB32" i="1"/>
  <c r="AA32" i="1"/>
  <c r="Z32" i="1"/>
  <c r="Y32" i="1"/>
  <c r="X32" i="1"/>
  <c r="W32" i="1"/>
  <c r="V32" i="1"/>
  <c r="U32" i="1"/>
  <c r="G32" i="1"/>
  <c r="AB31" i="1"/>
  <c r="AA31" i="1"/>
  <c r="Z31" i="1"/>
  <c r="Y31" i="1"/>
  <c r="X31" i="1"/>
  <c r="W31" i="1"/>
  <c r="V31" i="1"/>
  <c r="U31" i="1"/>
  <c r="G31" i="1"/>
  <c r="AB30" i="1"/>
  <c r="AA30" i="1"/>
  <c r="Z30" i="1"/>
  <c r="Y30" i="1"/>
  <c r="X30" i="1"/>
  <c r="W30" i="1"/>
  <c r="V30" i="1"/>
  <c r="U30" i="1"/>
  <c r="G30" i="1"/>
  <c r="AB29" i="1"/>
  <c r="AA29" i="1"/>
  <c r="Z29" i="1"/>
  <c r="Y29" i="1"/>
  <c r="X29" i="1"/>
  <c r="W29" i="1"/>
  <c r="V29" i="1"/>
  <c r="U29" i="1"/>
  <c r="G29" i="1"/>
  <c r="AB28" i="1"/>
  <c r="AA28" i="1"/>
  <c r="Z28" i="1"/>
  <c r="Y28" i="1"/>
  <c r="X28" i="1"/>
  <c r="W28" i="1"/>
  <c r="V28" i="1"/>
  <c r="U28" i="1"/>
  <c r="G28" i="1"/>
  <c r="AB27" i="1"/>
  <c r="AA27" i="1"/>
  <c r="Z27" i="1"/>
  <c r="Y27" i="1"/>
  <c r="X27" i="1"/>
  <c r="W27" i="1"/>
  <c r="V27" i="1"/>
  <c r="U27" i="1"/>
  <c r="G27" i="1"/>
  <c r="AB26" i="1"/>
  <c r="AA26" i="1"/>
  <c r="Z26" i="1"/>
  <c r="Y26" i="1"/>
  <c r="X26" i="1"/>
  <c r="W26" i="1"/>
  <c r="V26" i="1"/>
  <c r="U26" i="1"/>
  <c r="G26" i="1"/>
  <c r="AB25" i="1"/>
  <c r="AA25" i="1"/>
  <c r="Z25" i="1"/>
  <c r="Y25" i="1"/>
  <c r="X25" i="1"/>
  <c r="W25" i="1"/>
  <c r="V25" i="1"/>
  <c r="U25" i="1"/>
  <c r="G25" i="1"/>
  <c r="AB24" i="1"/>
  <c r="AA24" i="1"/>
  <c r="Z24" i="1"/>
  <c r="Y24" i="1"/>
  <c r="X24" i="1"/>
  <c r="W24" i="1"/>
  <c r="V24" i="1"/>
  <c r="U24" i="1"/>
  <c r="G24" i="1"/>
  <c r="AB23" i="1"/>
  <c r="AA23" i="1"/>
  <c r="Z23" i="1"/>
  <c r="Y23" i="1"/>
  <c r="X23" i="1"/>
  <c r="W23" i="1"/>
  <c r="V23" i="1"/>
  <c r="U23" i="1"/>
  <c r="G23" i="1"/>
  <c r="AB22" i="1"/>
  <c r="AA22" i="1"/>
  <c r="Z22" i="1"/>
  <c r="Y22" i="1"/>
  <c r="X22" i="1"/>
  <c r="W22" i="1"/>
  <c r="V22" i="1"/>
  <c r="U22" i="1"/>
  <c r="G22" i="1"/>
  <c r="AB21" i="1"/>
  <c r="AA21" i="1"/>
  <c r="Z21" i="1"/>
  <c r="Y21" i="1"/>
  <c r="X21" i="1"/>
  <c r="W21" i="1"/>
  <c r="V21" i="1"/>
  <c r="U21" i="1"/>
  <c r="G21" i="1"/>
  <c r="AB20" i="1"/>
  <c r="AA20" i="1"/>
  <c r="Z20" i="1"/>
  <c r="Y20" i="1"/>
  <c r="X20" i="1"/>
  <c r="W20" i="1"/>
  <c r="V20" i="1"/>
  <c r="U20" i="1"/>
  <c r="G20" i="1"/>
  <c r="AB19" i="1"/>
  <c r="AA19" i="1"/>
  <c r="Z19" i="1"/>
  <c r="Y19" i="1"/>
  <c r="X19" i="1"/>
  <c r="W19" i="1"/>
  <c r="V19" i="1"/>
  <c r="U19" i="1"/>
  <c r="G19" i="1"/>
  <c r="AB18" i="1"/>
  <c r="AA18" i="1"/>
  <c r="Z18" i="1"/>
  <c r="Y18" i="1"/>
  <c r="X18" i="1"/>
  <c r="W18" i="1"/>
  <c r="V18" i="1"/>
  <c r="U18" i="1"/>
  <c r="G18" i="1"/>
  <c r="AB17" i="1"/>
  <c r="AA17" i="1"/>
  <c r="Z17" i="1"/>
  <c r="Y17" i="1"/>
  <c r="X17" i="1"/>
  <c r="W17" i="1"/>
  <c r="V17" i="1"/>
  <c r="U17" i="1"/>
  <c r="G17" i="1"/>
  <c r="AB16" i="1"/>
  <c r="AA16" i="1"/>
  <c r="Z16" i="1"/>
  <c r="Y16" i="1"/>
  <c r="X16" i="1"/>
  <c r="W16" i="1"/>
  <c r="V16" i="1"/>
  <c r="U16" i="1"/>
  <c r="G16" i="1"/>
  <c r="AB15" i="1"/>
  <c r="AA15" i="1"/>
  <c r="Z15" i="1"/>
  <c r="Y15" i="1"/>
  <c r="X15" i="1"/>
  <c r="W15" i="1"/>
  <c r="V15" i="1"/>
  <c r="U15" i="1"/>
  <c r="G15" i="1"/>
  <c r="AB14" i="1"/>
  <c r="AA14" i="1"/>
  <c r="Z14" i="1"/>
  <c r="Y14" i="1"/>
  <c r="X14" i="1"/>
  <c r="W14" i="1"/>
  <c r="V14" i="1"/>
  <c r="U14" i="1"/>
  <c r="G14" i="1"/>
  <c r="AB13" i="1"/>
  <c r="AA13" i="1"/>
  <c r="Z13" i="1"/>
  <c r="Y13" i="1"/>
  <c r="X13" i="1"/>
  <c r="W13" i="1"/>
  <c r="V13" i="1"/>
  <c r="U13" i="1"/>
  <c r="G13" i="1"/>
  <c r="AB12" i="1"/>
  <c r="AA12" i="1"/>
  <c r="Z12" i="1"/>
  <c r="Y12" i="1"/>
  <c r="X12" i="1"/>
  <c r="W12" i="1"/>
  <c r="V12" i="1"/>
  <c r="U12" i="1"/>
  <c r="G12" i="1"/>
  <c r="AB11" i="1"/>
  <c r="AA11" i="1"/>
  <c r="Z11" i="1"/>
  <c r="Y11" i="1"/>
  <c r="X11" i="1"/>
  <c r="W11" i="1"/>
  <c r="V11" i="1"/>
  <c r="U11" i="1"/>
  <c r="G11" i="1"/>
  <c r="AB10" i="1"/>
  <c r="AA10" i="1"/>
  <c r="Z10" i="1"/>
  <c r="Y10" i="1"/>
  <c r="X10" i="1"/>
  <c r="W10" i="1"/>
  <c r="V10" i="1"/>
  <c r="U10" i="1"/>
  <c r="G10" i="1"/>
  <c r="AB9" i="1"/>
  <c r="AA9" i="1"/>
  <c r="Z9" i="1"/>
  <c r="Y9" i="1"/>
  <c r="X9" i="1"/>
  <c r="W9" i="1"/>
  <c r="V9" i="1"/>
  <c r="U9" i="1"/>
  <c r="G9" i="1"/>
  <c r="AB8" i="1"/>
  <c r="AA8" i="1"/>
  <c r="Z8" i="1"/>
  <c r="Y8" i="1"/>
  <c r="X8" i="1"/>
  <c r="W8" i="1"/>
  <c r="V8" i="1"/>
  <c r="U8" i="1"/>
  <c r="G8" i="1"/>
  <c r="AB7" i="1"/>
  <c r="AA7" i="1"/>
  <c r="Z7" i="1"/>
  <c r="Y7" i="1"/>
  <c r="X7" i="1"/>
  <c r="W7" i="1"/>
  <c r="V7" i="1"/>
  <c r="U7" i="1"/>
  <c r="G7" i="1"/>
  <c r="AB6" i="1"/>
  <c r="AA6" i="1"/>
  <c r="Z6" i="1"/>
  <c r="Y6" i="1"/>
  <c r="X6" i="1"/>
  <c r="W6" i="1"/>
  <c r="V6" i="1"/>
  <c r="U6" i="1"/>
  <c r="G6" i="1"/>
  <c r="AB5" i="1"/>
  <c r="AA5" i="1"/>
  <c r="Z5" i="1"/>
  <c r="Y5" i="1"/>
  <c r="X5" i="1"/>
  <c r="W5" i="1"/>
  <c r="V5" i="1"/>
  <c r="U5" i="1"/>
  <c r="G5" i="1"/>
  <c r="AB4" i="1"/>
  <c r="AA4" i="1"/>
  <c r="Z4" i="1"/>
  <c r="Y4" i="1"/>
  <c r="X4" i="1"/>
  <c r="W4" i="1"/>
  <c r="V4" i="1"/>
  <c r="U4" i="1"/>
  <c r="G4" i="1"/>
  <c r="AB3" i="1"/>
  <c r="AA3" i="1"/>
  <c r="Z3" i="1"/>
  <c r="Y3" i="1"/>
  <c r="X3" i="1"/>
  <c r="W3" i="1"/>
  <c r="V3" i="1"/>
  <c r="U3" i="1"/>
  <c r="G3" i="1"/>
  <c r="AB2" i="1"/>
  <c r="AA2" i="1"/>
  <c r="Z2" i="1"/>
  <c r="Y2" i="1"/>
  <c r="X2" i="1"/>
  <c r="W2" i="1"/>
  <c r="V2" i="1"/>
  <c r="U2" i="1"/>
  <c r="G2" i="1"/>
  <c r="P4" i="2" l="1"/>
  <c r="P7" i="2"/>
  <c r="P8" i="2"/>
  <c r="P2" i="2"/>
  <c r="P3" i="2"/>
  <c r="P9" i="2"/>
  <c r="P5" i="2"/>
  <c r="P6" i="2"/>
  <c r="F81" i="1"/>
  <c r="H81" i="1" s="1"/>
  <c r="F82" i="1"/>
  <c r="H82" i="1" s="1"/>
  <c r="F59" i="1"/>
  <c r="H59" i="1" s="1"/>
  <c r="F31" i="1"/>
  <c r="H31" i="1" s="1"/>
  <c r="F77" i="1"/>
  <c r="H77" i="1" s="1"/>
  <c r="F65" i="1"/>
  <c r="H65" i="1" s="1"/>
  <c r="F18" i="1"/>
  <c r="H18" i="1" s="1"/>
  <c r="F7" i="1"/>
  <c r="H7" i="1" s="1"/>
  <c r="F71" i="1"/>
  <c r="H71" i="1" s="1"/>
  <c r="F72" i="1"/>
  <c r="H72" i="1" s="1"/>
  <c r="F61" i="1"/>
  <c r="H61" i="1" s="1"/>
  <c r="F24" i="1"/>
  <c r="H24" i="1" s="1"/>
  <c r="F47" i="1"/>
  <c r="H47" i="1" s="1"/>
  <c r="F13" i="1"/>
  <c r="H13" i="1" s="1"/>
  <c r="F19" i="1"/>
  <c r="H19" i="1" s="1"/>
  <c r="F25" i="1"/>
  <c r="H25" i="1" s="1"/>
  <c r="F53" i="1"/>
  <c r="H53" i="1" s="1"/>
  <c r="F30" i="1"/>
  <c r="H30" i="1" s="1"/>
  <c r="F54" i="1"/>
  <c r="H54" i="1" s="1"/>
  <c r="F67" i="1"/>
  <c r="H67" i="1" s="1"/>
  <c r="F6" i="1"/>
  <c r="H6" i="1" s="1"/>
  <c r="F40" i="1"/>
  <c r="H40" i="1" s="1"/>
  <c r="F49" i="1"/>
  <c r="H49" i="1" s="1"/>
  <c r="F11" i="1"/>
  <c r="H11" i="1" s="1"/>
  <c r="F12" i="1"/>
  <c r="H12" i="1" s="1"/>
  <c r="F34" i="1"/>
  <c r="H34" i="1" s="1"/>
  <c r="F42" i="1"/>
  <c r="H42" i="1" s="1"/>
  <c r="F46" i="1"/>
  <c r="H46" i="1" s="1"/>
  <c r="F60" i="1"/>
  <c r="H60" i="1" s="1"/>
  <c r="F78" i="1"/>
  <c r="H78" i="1" s="1"/>
  <c r="F80" i="1"/>
  <c r="H80" i="1" s="1"/>
  <c r="F5" i="1"/>
  <c r="H5" i="1" s="1"/>
  <c r="F29" i="1"/>
  <c r="H29" i="1" s="1"/>
  <c r="F36" i="1"/>
  <c r="H36" i="1" s="1"/>
  <c r="F10" i="1"/>
  <c r="H10" i="1" s="1"/>
  <c r="F23" i="1"/>
  <c r="H23" i="1" s="1"/>
  <c r="F16" i="1"/>
  <c r="H16" i="1" s="1"/>
  <c r="F28" i="1"/>
  <c r="H28" i="1" s="1"/>
  <c r="F35" i="1"/>
  <c r="H35" i="1" s="1"/>
  <c r="F55" i="1"/>
  <c r="H55" i="1" s="1"/>
  <c r="F73" i="1"/>
  <c r="H73" i="1" s="1"/>
  <c r="F17" i="1"/>
  <c r="H17" i="1" s="1"/>
  <c r="F41" i="1"/>
  <c r="H41" i="1" s="1"/>
  <c r="F43" i="1"/>
  <c r="H43" i="1" s="1"/>
  <c r="F48" i="1"/>
  <c r="H48" i="1" s="1"/>
  <c r="F66" i="1"/>
  <c r="H66" i="1" s="1"/>
  <c r="F79" i="1"/>
  <c r="H79" i="1" s="1"/>
  <c r="F4" i="1"/>
  <c r="H4" i="1" s="1"/>
  <c r="F22" i="1"/>
  <c r="H22" i="1" s="1"/>
  <c r="F9" i="1"/>
  <c r="H9" i="1" s="1"/>
  <c r="F15" i="1"/>
  <c r="H15" i="1" s="1"/>
  <c r="F21" i="1"/>
  <c r="H21" i="1" s="1"/>
  <c r="F45" i="1"/>
  <c r="H45" i="1" s="1"/>
  <c r="F2" i="1"/>
  <c r="F14" i="1"/>
  <c r="H14" i="1" s="1"/>
  <c r="F20" i="1"/>
  <c r="H20" i="1" s="1"/>
  <c r="F26" i="1"/>
  <c r="H26" i="1" s="1"/>
  <c r="F69" i="1"/>
  <c r="H69" i="1" s="1"/>
  <c r="F38" i="1"/>
  <c r="H38" i="1" s="1"/>
  <c r="F27" i="1"/>
  <c r="H27" i="1" s="1"/>
  <c r="F37" i="1"/>
  <c r="H37" i="1" s="1"/>
  <c r="F3" i="1"/>
  <c r="H3" i="1" s="1"/>
  <c r="F33" i="1"/>
  <c r="H33" i="1" s="1"/>
  <c r="F8" i="1"/>
  <c r="H8" i="1" s="1"/>
  <c r="F32" i="1"/>
  <c r="H32" i="1" s="1"/>
  <c r="F44" i="1"/>
  <c r="H44" i="1" s="1"/>
  <c r="F52" i="1"/>
  <c r="H52" i="1" s="1"/>
  <c r="F58" i="1"/>
  <c r="H58" i="1" s="1"/>
  <c r="F64" i="1"/>
  <c r="H64" i="1" s="1"/>
  <c r="F70" i="1"/>
  <c r="H70" i="1" s="1"/>
  <c r="F76" i="1"/>
  <c r="H76" i="1" s="1"/>
  <c r="F51" i="1"/>
  <c r="H51" i="1" s="1"/>
  <c r="F57" i="1"/>
  <c r="H57" i="1" s="1"/>
  <c r="F63" i="1"/>
  <c r="H63" i="1" s="1"/>
  <c r="F75" i="1"/>
  <c r="H75" i="1" s="1"/>
  <c r="F39" i="1"/>
  <c r="H39" i="1" s="1"/>
  <c r="F50" i="1"/>
  <c r="H50" i="1" s="1"/>
  <c r="F56" i="1"/>
  <c r="H56" i="1" s="1"/>
  <c r="F62" i="1"/>
  <c r="H62" i="1" s="1"/>
  <c r="F68" i="1"/>
  <c r="H68" i="1" s="1"/>
  <c r="F74" i="1"/>
  <c r="H74" i="1" s="1"/>
  <c r="H2" i="1" l="1"/>
  <c r="Q2" i="2" a="1"/>
  <c r="Q2" i="2" s="1"/>
  <c r="Q6" i="2" a="1"/>
  <c r="Q6" i="2" s="1"/>
  <c r="Q3" i="2" a="1"/>
  <c r="Q3" i="2" s="1"/>
  <c r="Q7" i="2" a="1"/>
  <c r="Q7" i="2" s="1"/>
  <c r="Q8" i="2" a="1"/>
  <c r="Q8" i="2" s="1"/>
  <c r="Q9" i="2" a="1"/>
  <c r="Q9" i="2" s="1"/>
  <c r="Q4" i="2" a="1"/>
  <c r="Q4" i="2" s="1"/>
  <c r="Q5" i="2" a="1"/>
  <c r="Q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Cole Dushin</author>
  </authors>
  <commentList>
    <comment ref="A1" authorId="0" shapeId="0" xr:uid="{28508BC6-9F85-484E-82EE-A2644F22FBF7}">
      <text>
        <r>
          <rPr>
            <b/>
            <sz val="10"/>
            <color rgb="FF000000"/>
            <rFont val="Tahoma"/>
            <family val="2"/>
          </rPr>
          <t>Cole Dushin:</t>
        </r>
        <r>
          <rPr>
            <sz val="10"/>
            <color rgb="FF000000"/>
            <rFont val="Tahoma"/>
            <family val="2"/>
          </rPr>
          <t xml:space="preserve">
Source: Global II October CMA_2026.pdf, uploaded 2026-10-13. Stimulus/question/options transcribed from exam; task model, skill, content standard, and Need OI are best-guess classifications.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<sst xmlns="http://schemas.openxmlformats.org/spreadsheetml/2006/main" count="1048" uniqueCount="856">
  <si>
    <t>Model</t>
  </si>
  <si>
    <t>#</t>
  </si>
  <si>
    <t>Detail</t>
  </si>
  <si>
    <t>Part</t>
  </si>
  <si>
    <t>Stimulus</t>
  </si>
  <si>
    <t>1. Best Use</t>
  </si>
  <si>
    <t>Class</t>
  </si>
  <si>
    <t>Question</t>
  </si>
  <si>
    <t>Period</t>
  </si>
  <si>
    <t>Students are given a stimulus and asked to evaluate and classify (identify) best use.</t>
  </si>
  <si>
    <t>ELL</t>
  </si>
  <si>
    <t>2. POV</t>
  </si>
  <si>
    <t>Key</t>
  </si>
  <si>
    <t>Students are given a stimulus and asked to identify point of view, purpose, context, bias, format of source, location of source in time and/or place, and/or intended audience of sources using background knowledge.</t>
  </si>
  <si>
    <t>Option_1</t>
  </si>
  <si>
    <t>3. Claim Validity (With Outside Information)</t>
  </si>
  <si>
    <t>Option_2</t>
  </si>
  <si>
    <t>IEP</t>
  </si>
  <si>
    <t>Students are given a stimulus and asked to identify support for a claim found in the stimulus (bound in the same timeframe/event/space). It must require students to draw on their knowledge rather than on straight comprehension of text.</t>
  </si>
  <si>
    <t>Option_3</t>
  </si>
  <si>
    <t>MC</t>
  </si>
  <si>
    <t>4. Claim Validity (Without Outside Information)</t>
  </si>
  <si>
    <t>Option_4</t>
  </si>
  <si>
    <t>CRQ</t>
  </si>
  <si>
    <t>Students are given a stimulus and asked to select a plausible claim that logically follows from evidence presented.</t>
  </si>
  <si>
    <t>Stimulus_type</t>
  </si>
  <si>
    <t>Final</t>
  </si>
  <si>
    <t>Source_type</t>
  </si>
  <si>
    <t>5. Turning Point</t>
  </si>
  <si>
    <t>Task_model</t>
  </si>
  <si>
    <t>1</t>
  </si>
  <si>
    <t>Students are given a stimulus and asked to identify the significance of a turning point in history.</t>
  </si>
  <si>
    <t>2</t>
  </si>
  <si>
    <t>Skill_standard</t>
  </si>
  <si>
    <t>3</t>
  </si>
  <si>
    <t>6. Change Over Time</t>
  </si>
  <si>
    <t>4</t>
  </si>
  <si>
    <t>Need_OI?</t>
  </si>
  <si>
    <t>5</t>
  </si>
  <si>
    <t>6</t>
  </si>
  <si>
    <t>Students are given a stimulus and asked to identify significance of an event, action, idea, or development as part of change or part of continuity in history.</t>
  </si>
  <si>
    <t>7</t>
  </si>
  <si>
    <t>Content_standard</t>
  </si>
  <si>
    <t>8</t>
  </si>
  <si>
    <t>Pct_Correct</t>
  </si>
  <si>
    <t>7. Cause</t>
  </si>
  <si>
    <t>Dushin</t>
  </si>
  <si>
    <t>Point_Biserial</t>
  </si>
  <si>
    <t>Students are given a stimulus and asked to identify a central cause of the described phenomenon.</t>
  </si>
  <si>
    <t>8. Effect</t>
  </si>
  <si>
    <t>Students are given a stimulus and asked to identify a central effect of the described phenomenon.</t>
  </si>
  <si>
    <t>Part I</t>
  </si>
  <si>
    <t>9. Impact of Setting</t>
  </si>
  <si>
    <t>9</t>
  </si>
  <si>
    <t>Students are given a stimulus and asked to identify the impact of time and place on an issue or event linked to that stimulus.</t>
  </si>
  <si>
    <t>10</t>
  </si>
  <si>
    <t>10. Compare</t>
  </si>
  <si>
    <t>11a</t>
  </si>
  <si>
    <t>11b</t>
  </si>
  <si>
    <t>Students are given one stimulus or two stimuli and asked to identify a similarity in the described phenomenon (historical development, historical event, geographic setting, economic situation, individual’s action/belief) (implicit comparison).</t>
  </si>
  <si>
    <t>Q1</t>
  </si>
  <si>
    <t>11. Contrast</t>
  </si>
  <si>
    <t>Students are given one/two stimuli and asked to identify a difference in the described phenomenon (historical development, historical event, geographic setting, economic situation, individual’s action/belief) (implicit comparison).</t>
  </si>
  <si>
    <t>Q2</t>
  </si>
  <si>
    <t>12. Informed Civic Action</t>
  </si>
  <si>
    <t>Q3</t>
  </si>
  <si>
    <t>Students are given a stimulus and asked to identify an informed action taken by an individual, group, or government connected to civic activism.</t>
  </si>
  <si>
    <t>Q4</t>
  </si>
  <si>
    <t>13. Interpret Visual Data</t>
  </si>
  <si>
    <t>Sourial</t>
  </si>
  <si>
    <t>Q5</t>
  </si>
  <si>
    <t>Students are given a visual stimulus such as a map, graph, chart, timeline, cartoon, or photograph and asked to extract and interpret relevant information to answer a question.</t>
  </si>
  <si>
    <t>Q6</t>
  </si>
  <si>
    <t>14. Stakeholder Issue</t>
  </si>
  <si>
    <t>Q7</t>
  </si>
  <si>
    <t>Students are given one stimulus or two stimuli and asked to identify a stakeholder or a stakeholder’s issue.</t>
  </si>
  <si>
    <t>15. Recommended Action</t>
  </si>
  <si>
    <t>Q8</t>
  </si>
  <si>
    <t>Students are given a stimulus and asked to identify a course of action recommended by a historical figure, a group, or a government.</t>
  </si>
  <si>
    <t>16. Sequence of Events</t>
  </si>
  <si>
    <t>Students are given a stimulus and asked to identify how historical events are related chronologically.</t>
  </si>
  <si>
    <t>17. Problem</t>
  </si>
  <si>
    <t>Students are given one stimulus or two stimuli and asked to identify a problem (issue).</t>
  </si>
  <si>
    <t>18. Response to Problem</t>
  </si>
  <si>
    <t>Students are given one stimulus or two stimuli and asked to identify a response to a problem (issue).</t>
  </si>
  <si>
    <t>Standard</t>
  </si>
  <si>
    <t>Concept</t>
  </si>
  <si>
    <t>Specification</t>
  </si>
  <si>
    <t>A. Gathering, Interpreting, and Using Evidence</t>
  </si>
  <si>
    <t>A.1: Framing Questions &amp; Hypotheses</t>
  </si>
  <si>
    <t>Define and frame questions about events and the world in which we live, form hypotheses as potential answers to these questions, use evidence to answer these questions, and consider and analyze counter-hypotheses.</t>
  </si>
  <si>
    <t>A.2: Evaluating Sources</t>
  </si>
  <si>
    <t>Identify, describe, and evaluate evidence about events from diverse sources (including written documents, works of art, photographs, charts and graphs, artifacts, oral traditions, and other primary and secondary sources).</t>
  </si>
  <si>
    <t>A.3: Sourcing &amp; Point of View</t>
  </si>
  <si>
    <t>Part II</t>
  </si>
  <si>
    <t>Analyze evidence in terms of content, authorship, point of view, bias, purpose, format, and audience.</t>
  </si>
  <si>
    <t>A.4: Evaluating Arguments</t>
  </si>
  <si>
    <t>Describe, analyze, and evaluate arguments of others.</t>
  </si>
  <si>
    <t>A.5: Inferences &amp; Conclusions</t>
  </si>
  <si>
    <t>Make inferences and draw conclusions from evidence.</t>
  </si>
  <si>
    <t>A.6: Constructing Arguments</t>
  </si>
  <si>
    <t>Deconstruct and construct plausible and persuasive arguments, using evidence.</t>
  </si>
  <si>
    <t>A.7: Synthesizing Evidence</t>
  </si>
  <si>
    <t>Create meaningful and persuasive understandings of the past by fusing disparate and relevant evidence from primary and secondary sources and drawing connections to the present.</t>
  </si>
  <si>
    <t>B. Chronological Reasoning and Causation</t>
  </si>
  <si>
    <t>B.1: Chronological Relationships</t>
  </si>
  <si>
    <t>Articulate how events are related chronologically to one another in time and explain the ways in which earlier ideas and events may influence subsequent ideas and events.</t>
  </si>
  <si>
    <t>B.2: Cause &amp; Effect</t>
  </si>
  <si>
    <t>Identify causes and effects using examples from different time periods and courses of study across several grade levels.</t>
  </si>
  <si>
    <t>B.3: Multiple Causes &amp; Effects</t>
  </si>
  <si>
    <t>Identify, analyze, and evaluate the relationship between multiple causes and effects</t>
  </si>
  <si>
    <t>B.4: Long-Term vs. Immediate Causes</t>
  </si>
  <si>
    <t>Distinguish between long-term and immediate causes and multiple effects (time, continuity, and change).</t>
  </si>
  <si>
    <t>B.5: Continuity &amp; Change</t>
  </si>
  <si>
    <t>Recognize, analyze, and evaluate dynamics of historical continuity and change over periods of time and investigate factors that caused those changes over time.</t>
  </si>
  <si>
    <t>B.6: Periodization &amp; Perspective</t>
  </si>
  <si>
    <t>Recognize that choice of specific periodization favors or advantages one narrative, region, or group over another narrative, region, or group.</t>
  </si>
  <si>
    <t>B.7: Patterns &amp; Historical Themes</t>
  </si>
  <si>
    <t>Relate patterns of continuity and change to larger historical processes and themes.</t>
  </si>
  <si>
    <t>B.8: Models of Periodization</t>
  </si>
  <si>
    <t>Describe, analyze, evaluate, and construct models of historical periodization that historians use to categorize events.</t>
  </si>
  <si>
    <t>C. Comparison and Contextualization</t>
  </si>
  <si>
    <t>C.1: Comparing Regions</t>
  </si>
  <si>
    <t>Identify similarities and differences between geographic regions across historical time periods, and relate differences in geography to different historical events and outcomes.</t>
  </si>
  <si>
    <t>C.2: Multiple Perspectives</t>
  </si>
  <si>
    <t>Identify, compare, and evaluate multiple perspectives on a given historical experience.</t>
  </si>
  <si>
    <t>C.3: Comparing Developments</t>
  </si>
  <si>
    <t>Identify and compare similarities and differences between historical developments over time and in different geographical and cultural contexts.</t>
  </si>
  <si>
    <t>C.4: Comparing Societies</t>
  </si>
  <si>
    <t>Describe, compare, and evaluate multiple historical developments (within societies; across and between societies; in various chronological and geographical contexts).</t>
  </si>
  <si>
    <t>C.5: Geography, Economics &amp; History</t>
  </si>
  <si>
    <t>Recognize the relationship between geography, economics, and history as a context for events and movements and as a matrix of time and place.</t>
  </si>
  <si>
    <t>C.6: Historical Context</t>
  </si>
  <si>
    <t>Connect historical developments to specific circumstances of time and place and to broader regional, national, or global processes and draw connections to the present (where appropriate).</t>
  </si>
  <si>
    <t>D. Geographic Reasoning</t>
  </si>
  <si>
    <t>D.1: Asking Geographic Questions</t>
  </si>
  <si>
    <t>Ask geographic questions about where places are located, why their locations are important, and how their locations are related to the locations of other places and people.</t>
  </si>
  <si>
    <t>D.2: Spatial Relationships</t>
  </si>
  <si>
    <t>Identify, describe, and evaluate the relationships between people, places, regions, and environments by using geographic tools to place them in a spatial context.</t>
  </si>
  <si>
    <t>D.3: Humans &amp; the Environment</t>
  </si>
  <si>
    <t>Identify, analyze, and evaluate the relationship between the environment and human activities, how the physical environment is modified by human activities, and how human activities are also influenced by Earth’s physical features and processes.</t>
  </si>
  <si>
    <t>D.4: Patterns &amp; Processes</t>
  </si>
  <si>
    <t>Recognize and interpret (at different scales) the relationships between patterns and processes.</t>
  </si>
  <si>
    <t>D.5: Place &amp; Regional Influence</t>
  </si>
  <si>
    <t>Recognize and analyze how place and region influence the social, cultural, and economic characteristics of civilizations.</t>
  </si>
  <si>
    <t>D.6: Connections Between Regions</t>
  </si>
  <si>
    <t>Characterize and analyze changing connections between places and regions.</t>
  </si>
  <si>
    <t>E. Economics and Economics Systems</t>
  </si>
  <si>
    <t>Framework</t>
  </si>
  <si>
    <t>E.1: Marginal Benefits &amp; Costs</t>
  </si>
  <si>
    <t>Specifications</t>
  </si>
  <si>
    <t>Use marginal benefits and marginal costs to construct an argument for or against an approach or solution to an economic issue.</t>
  </si>
  <si>
    <t>10.01a.1</t>
  </si>
  <si>
    <t>Mughal &amp; Ottoman (c. 1750)</t>
  </si>
  <si>
    <t>Students will compare and contrast the Mughal Empire and the Ottoman Empire in 1750 in terms of religious and ethnic tolerance, political organization, and commercial activity.</t>
  </si>
  <si>
    <t>E.2: Incentives in Markets</t>
  </si>
  <si>
    <t>10.01a.2</t>
  </si>
  <si>
    <t>Analyze the ways in which incentives influence what is produced and distributed in a market system.</t>
  </si>
  <si>
    <t>Tokugawa Shogunate</t>
  </si>
  <si>
    <t>Students will examine efforts to unify, stabilize, and centralize Japan under the rule of the Tokugawa Shogunate.</t>
  </si>
  <si>
    <t>10.01a.3</t>
  </si>
  <si>
    <t>E.3: Market Competition</t>
  </si>
  <si>
    <t>Comparing Tokugawa Shogunate &amp; Bourbon Dynasty</t>
  </si>
  <si>
    <t>Evaluate the extent to which competition between sellers and between buyers exists in specific markets.</t>
  </si>
  <si>
    <t>Students will compare and contrast the Tokugawa Shogunate in Japan with France under the rule of the Bourbon Dynasty, looking at the role of Edo and Paris/Versailles, attempts to control the daimyo and nobles, and the development of bureaucracies.</t>
  </si>
  <si>
    <t>10.01b.1</t>
  </si>
  <si>
    <t>E.4: Property Rights &amp; Rule of Law</t>
  </si>
  <si>
    <t>Tokugawa &amp; Mughal Responses to Outsiders</t>
  </si>
  <si>
    <t>Students will compare and contrast the Tokugawa and Mughal responses to outsiders, with attention to the impacts of those decisions.</t>
  </si>
  <si>
    <t>Describe concepts of property rights and rule of law as they apply to a market economy.</t>
  </si>
  <si>
    <t>10.01b.2</t>
  </si>
  <si>
    <t>Eurasia World Map</t>
  </si>
  <si>
    <t>Students will create a world map showing the extent of European maritime empires, the Russian Empire, the Ottoman Empire, Mughal Empire, China under the Qing Dynasty, Japan under the Tokugawa Shogunate, Ashanti, Benin, and Dahomey ca. 1750.</t>
  </si>
  <si>
    <t>E.5: Economic Indicators</t>
  </si>
  <si>
    <t>10.01b.3</t>
  </si>
  <si>
    <t>Use economic indicators to analyze the current and future state of the economy.</t>
  </si>
  <si>
    <t>Comparing Empire's Geography &amp; Power</t>
  </si>
  <si>
    <t>Students will compare the size of these states, empires, and kingdoms relative to the power they wielded in their regions and in the world.</t>
  </si>
  <si>
    <t>E.6: Government Economic Policy</t>
  </si>
  <si>
    <t>10.02a.1</t>
  </si>
  <si>
    <t>Analyze government economic policies and the effects on the national and global economy.</t>
  </si>
  <si>
    <t>Political Philosophies</t>
  </si>
  <si>
    <t>Students will examine at least three Enlightenment thinkers, including John Locke, Baron de Montesquieu, and Jean-Jacques Rousseau, and key ideas from their written works.</t>
  </si>
  <si>
    <t>F. Civic Participation</t>
  </si>
  <si>
    <t>10.02b.1</t>
  </si>
  <si>
    <t>Gender &amp; Abolition</t>
  </si>
  <si>
    <t>F.1: Respectful Civil Discourse</t>
  </si>
  <si>
    <t>Students will explore the influence of Enlightenment ideals on issues of gender and abolition by examining the ideas of individuals such as Mary Wollstonecraft and William Wilberforce.</t>
  </si>
  <si>
    <t>Demonstrate respect for the rights of others in discussions and classroom debates; respectfully disagree with other viewpoints and provide evidence for a counter-argument.</t>
  </si>
  <si>
    <t>10.02b.2</t>
  </si>
  <si>
    <t>Enlightened Despots</t>
  </si>
  <si>
    <t>Students will examine enlightened despots including Catherine the Great.</t>
  </si>
  <si>
    <t>F.2: Civic Engagement</t>
  </si>
  <si>
    <t>10.02c.1</t>
  </si>
  <si>
    <t>French Revolutions</t>
  </si>
  <si>
    <t>Participate in activities that focus on a classroom, school, community, state, or national issue or problem.</t>
  </si>
  <si>
    <t>Students will examine evidence related to the preconditions of the French Revolution and the course of the revolution, noting the roles of Olympe de Gouges, Maximilien Robespierre, and Napoleon Bonaparte.</t>
  </si>
  <si>
    <t>10.02c.2</t>
  </si>
  <si>
    <t>Latin American Revolutions</t>
  </si>
  <si>
    <t>F.3: Philosophies of Participation</t>
  </si>
  <si>
    <t>Explain differing philosophies of social and political participation and the role of the individual leading to group-driven philosophies.</t>
  </si>
  <si>
    <t>Students will examine the evidence related to the impacts of the French Revolution on resistance and revolutionary movements, noting the roles of Toussaint L'Ouverture and Simon Bolivar.</t>
  </si>
  <si>
    <t>10.02d.1</t>
  </si>
  <si>
    <t>Italy, Germany &amp; Ottoman, Austrian</t>
  </si>
  <si>
    <t>F.4: Individual Civic Roles</t>
  </si>
  <si>
    <t>Students will investigate the role of cultural identity and nationalism in the unification of Italy and Germany and in the dissolution of the Ottoman and Austrian Empires.</t>
  </si>
  <si>
    <t>Identify, describe, and contrast the roles of the individual in opportunities for social and political participation in different societies.</t>
  </si>
  <si>
    <t>10.03a.1</t>
  </si>
  <si>
    <t>British Agricultural Revolution</t>
  </si>
  <si>
    <t>Students will examine the agricultural revolution in Great Britain.</t>
  </si>
  <si>
    <t>F.5: Negotiation &amp; Compromise</t>
  </si>
  <si>
    <t>10.03b.1</t>
  </si>
  <si>
    <t>Participate in persuading, debating, negotiating, and compromising in the resolution of conflicts and differences.</t>
  </si>
  <si>
    <t>Industrial Production &amp; Economic Practices</t>
  </si>
  <si>
    <t>Students will analyze the factors and conditions needed to industrialize and to expand industrial production, as well as shifts in economic practices.</t>
  </si>
  <si>
    <t>F.6: Identifying Need for Action</t>
  </si>
  <si>
    <t>10.03b.2</t>
  </si>
  <si>
    <t>Wealth of Nations</t>
  </si>
  <si>
    <t>Identify situations in which social actions are required and determine an appropriate course of action.</t>
  </si>
  <si>
    <t>Students will examine the economic theory presented in The Wealth of Nations.</t>
  </si>
  <si>
    <t>F.7: Advocating for Rights</t>
  </si>
  <si>
    <t>10.03b.3</t>
  </si>
  <si>
    <t>Energy, Technology, Communication, &amp; Transportation</t>
  </si>
  <si>
    <t>Work to influence those in positions of power to strive for extensions of freedom, social justice, and human rights.</t>
  </si>
  <si>
    <t>Students will examine changes and innovations in energy, technology, communication, and transportation that enabled industrialization.</t>
  </si>
  <si>
    <t>10.03c.1</t>
  </si>
  <si>
    <t>Comparing Victorian England &amp; Meiji Japan</t>
  </si>
  <si>
    <t>F.8: Civic Responsibility</t>
  </si>
  <si>
    <t>Students will investigate the social, political, and economic impacts of industrialization in Victorian England and Meiji Japan and compare and contrast them.</t>
  </si>
  <si>
    <t>10.03d.1</t>
  </si>
  <si>
    <t>Fulfill social and political responsibilities associated with citizenship in a democratic society and interdependent global community by developing awareness of and/or engaging in the political process.</t>
  </si>
  <si>
    <t>Suffrage, Education/ Labor Reforms, &amp; Marxism</t>
  </si>
  <si>
    <t>Students will investigate suffrage, education, and labor reforms, as well as ideologies such as Marxism, that were intended to transform society.</t>
  </si>
  <si>
    <t>10.03d.2</t>
  </si>
  <si>
    <t>Irish Potato Famine</t>
  </si>
  <si>
    <t>Students will examine the Irish potato famine within the context of the British agricultural revolution and Industrial Revolution.</t>
  </si>
  <si>
    <t>10.04a.1</t>
  </si>
  <si>
    <t>Perspectives on Imperialism</t>
  </si>
  <si>
    <t>Students will explore imperialism from a variety of perspectives such as those of missionaries, indigenous peoples, women, merchants/business people, and government officials.</t>
  </si>
  <si>
    <t>10.04a.2</t>
  </si>
  <si>
    <t>Control &amp; Spheres of Influence in Africa &amp; China</t>
  </si>
  <si>
    <t>Students will trace how imperial powers politically and economically controlled territories and people, including direct and indirect rule in Africa (South Africa, Congo, and one other territory), India, Indochina, and spheres of influence in China.</t>
  </si>
  <si>
    <t>10.04b.1</t>
  </si>
  <si>
    <t>Resistance in Africa &amp; China</t>
  </si>
  <si>
    <t>Students will investigate one example of resistance in Africa (Zulu, Ethiopia, or Southern Egypt/Sudan) and one in China (Taiping Rebellion or Boxer Rebellion and the role of Empress Dowager CiXi).</t>
  </si>
  <si>
    <t>10.04b.2</t>
  </si>
  <si>
    <t>Japanese Reaction to Western Imperialism</t>
  </si>
  <si>
    <t>Students will investigate how Japan reacted to the threat of Western imperialism in Asia.</t>
  </si>
  <si>
    <t>10.04c.1</t>
  </si>
  <si>
    <t>Comparing Geography of Africa (c. 1800-1914)</t>
  </si>
  <si>
    <t>Students will compare and contrast maps of Africa from ca. 1800 and ca. 1914, noting the changes and continuities of ethnic groups and regions, African states, and European claims.</t>
  </si>
  <si>
    <t>10.05a.1</t>
  </si>
  <si>
    <t>Comparing Cause &amp; Effects of the World Wars</t>
  </si>
  <si>
    <t>Students will compare and contrast long- and short-term causes and effects of World War I and World War II.</t>
  </si>
  <si>
    <t>10.05b.1</t>
  </si>
  <si>
    <t>Technological Development &amp; Devastation</t>
  </si>
  <si>
    <t>Students will compare and contrast the technologies utilized in both World War I and World War II, noting the human and environmental devastation.</t>
  </si>
  <si>
    <t>10.05c.1</t>
  </si>
  <si>
    <t>Fourteen Points, the Treaty of Versailles, League of Nations, &amp; United Nations</t>
  </si>
  <si>
    <t>Students will examine international efforts to work together to build stability and peace, including Wilson’s Fourteen Points, the Treaty of Versailles, the League of Nations, and the United Nations.</t>
  </si>
  <si>
    <t>10.05d.1</t>
  </si>
  <si>
    <t>Russian Revolution, Soviet Union, Lenin &amp; Stalin</t>
  </si>
  <si>
    <t>Students will examine the Russian Revolution and the development of Soviet ideology and nationalism under Lenin and Stalin.</t>
  </si>
  <si>
    <t>10.05d.2</t>
  </si>
  <si>
    <t>Nationalism, the Nazi Party, &amp; Hitler in Germany</t>
  </si>
  <si>
    <t>Students will examine the role of nationalism and the development of the National Socialist state under Hitler in Germany.</t>
  </si>
  <si>
    <t>10.05d.3</t>
  </si>
  <si>
    <t>Nationalism &amp; Militarism in Japan</t>
  </si>
  <si>
    <t>Students will examine the role of nationalism and militarism in Japan.</t>
  </si>
  <si>
    <t>10.05d.4</t>
  </si>
  <si>
    <t>Great Depression &amp; Totalitarian Dictators</t>
  </si>
  <si>
    <t>Students will investigate the causes of the Great Depression and its influence on the rise of totalitarian dictators and determine the common characteristics of these dictators.</t>
  </si>
  <si>
    <t>10.05e.1</t>
  </si>
  <si>
    <t>Armenian Genocide, Ukranian Holodomor, &amp; the Holocaust</t>
  </si>
  <si>
    <t>Students will examine the atrocities against the Armenians; examine the Ukrainian Holodomor, and examine the Holocaust.</t>
  </si>
  <si>
    <t>10.06a.1</t>
  </si>
  <si>
    <t>Conceptions of Peace vs the Reality of Post-War Europe</t>
  </si>
  <si>
    <t>Students will compare and contrast how peace was conceived at Yalta and Potsdam with what happened in Europe in the four years after World War II (i.e., Soviet occupation of Eastern Europe, Truman Doctrine, Berlin blockade, NATO).</t>
  </si>
  <si>
    <t>10.06b.1</t>
  </si>
  <si>
    <t>Cuba, Vietnam, Afghanistan</t>
  </si>
  <si>
    <t>Students will investigate the efforts to expand and contain communism in Cuba, Vietnam, and Afghanistan from multiple perspectives.</t>
  </si>
  <si>
    <t>10.06b.2</t>
  </si>
  <si>
    <t>Military Alliances, Nuclear Proliferation, &amp; the Military-Industrial Complex</t>
  </si>
  <si>
    <t>Students will examine the new military alliances, nuclear proliferation, and the rise of the military-industrial complex.</t>
  </si>
  <si>
    <t>10.06b.3</t>
  </si>
  <si>
    <t>Nonalignment</t>
  </si>
  <si>
    <t>Students will examine the reasons countries such as Egypt and India chose nonalignment.</t>
  </si>
  <si>
    <t>10.06b.4</t>
  </si>
  <si>
    <t>Détente Perspectives</t>
  </si>
  <si>
    <t>Students will explore the era of détente from both American and Soviet perspectives.</t>
  </si>
  <si>
    <t>10.06c.1</t>
  </si>
  <si>
    <t>Glasnost &amp; Perestroika Reforms</t>
  </si>
  <si>
    <t>Students will investigate the political reforms of glasnost and economic reforms of perestroika.</t>
  </si>
  <si>
    <t>10.06c.2</t>
  </si>
  <si>
    <t>Impact of Reform on the Soviet Union, Bloc, and the World</t>
  </si>
  <si>
    <t>Students will examine the impacts of those reforms within the Soviet Union, on the Soviet communist bloc, and in the world.</t>
  </si>
  <si>
    <t>10.07a.1</t>
  </si>
  <si>
    <t>Gandhi’s Nonviolent Nationalist Movement, the Muslim League, &amp; Partition</t>
  </si>
  <si>
    <t>Students will explore Gandhi’s nonviolent nationalist movement and nationalist efforts led by the Muslim League aimed at the masses that resulted in a British-partitioned subcontinent.</t>
  </si>
  <si>
    <t>10.07a.2</t>
  </si>
  <si>
    <t>Comparing Gandhi &amp; Ho Chi Minh</t>
  </si>
  <si>
    <t>Students will compare and contrast the ideologies and methodologies of Gandhi and Ho Chi Minh as nationalist leaders.</t>
  </si>
  <si>
    <t>10.07b.1</t>
  </si>
  <si>
    <t>Ghana, Algeria, and/or Kenya</t>
  </si>
  <si>
    <t>Students will explore at least two of these three African independence movements: Ghana, Algeria, Kenya.</t>
  </si>
  <si>
    <t>10.07c.1</t>
  </si>
  <si>
    <t>Zionism, Mandates, &amp; Arab Nationalism</t>
  </si>
  <si>
    <t>Students will investigate Zionism, the mandates created at the end of World War I, and Arab nationalism.</t>
  </si>
  <si>
    <t>10.07c.2</t>
  </si>
  <si>
    <t>Arab-Israeli Conflict</t>
  </si>
  <si>
    <t>Students will examine the creation of the State of Israel and the Arab-Israeli conflict.</t>
  </si>
  <si>
    <t>10.07d.1</t>
  </si>
  <si>
    <t>Chinese Civil War, Communist China, &amp; Nationalist Taiwan</t>
  </si>
  <si>
    <t>Students will trace the Chinese Civil War, including the role of warlords, nationalists, communists, and the world wars that resulted in the division of China into a communist-run People’s Republic of China and a nationalist-run Taiwan.</t>
  </si>
  <si>
    <t>10.07d.2</t>
  </si>
  <si>
    <t>Comparing Mao Zedong &amp; Deng Xiaoping</t>
  </si>
  <si>
    <t>Students will investigate political, economic, and social policies under Mao Zedong and Deng Xiaoping and compare and contrast these policies.</t>
  </si>
  <si>
    <t>10.08a.1</t>
  </si>
  <si>
    <t>Changes in Social Roles &amp; Institutions</t>
  </si>
  <si>
    <t>Students will investigate the extent to which urbanization and industrialization have modified the roles of social institutions such as family, religion, education, and government by examining one case study in each of these regions: Africa (e.g., Zimbabwe, Kenya, Nigeria, Sierra Leone), Latin America (e.g., Brazil, Argentina, Chile, Mexico), and Asia (e.g., China, India, Indonesia, South Korea).</t>
  </si>
  <si>
    <t>10.08b.1</t>
  </si>
  <si>
    <t>Comparing Turkey (Kemal Atatürk) &amp; Iran (Pahlavis &amp; the Ayatollahs)</t>
  </si>
  <si>
    <t>Students will investigate, compare, and contrast tensions between modernization and traditional culture in Turkey under the rule of Kemal Atatürk and in Iran under the Pahlavis and the Ayatollahs.</t>
  </si>
  <si>
    <t>10.08b.2</t>
  </si>
  <si>
    <t>Advancements in Communications &amp; Transportation Effect on Authority</t>
  </si>
  <si>
    <t>Students will explore how changes in technology, such as communication and transportation, have affected interactions between people and those in authority (e.g., efforts to affect change in government policy, engage people in the political process including use of social media, control access to information, and use terrorism as a tactic).</t>
  </si>
  <si>
    <t>10.09a.1</t>
  </si>
  <si>
    <t>Information &amp; Business Changes</t>
  </si>
  <si>
    <t>Students will explore how information is accessed, exchanged, and controlled and how business is conducted in light of changing technology.</t>
  </si>
  <si>
    <t>10.09a.2</t>
  </si>
  <si>
    <t>Infectious Diseases Response</t>
  </si>
  <si>
    <t>Students will investigate the causes and effects of, and responses to, one infectious disease (e.g., malaria, HIV/AIDS).</t>
  </si>
  <si>
    <t>10.09b.1</t>
  </si>
  <si>
    <t>Globalization Arguments</t>
  </si>
  <si>
    <t>Students will compare and contrast arguments supporting and criticizing globalization by examining concerns including...</t>
  </si>
  <si>
    <t>10.09c.1</t>
  </si>
  <si>
    <t>Population Growth &amp; Distribution</t>
  </si>
  <si>
    <t>Students will examine how the world’s population is growing exponentially for numerous reasons and how it is not evenly distributed.</t>
  </si>
  <si>
    <t>10.09c.2</t>
  </si>
  <si>
    <t>Industrial Agriculture</t>
  </si>
  <si>
    <t>Students will explore efforts to increase and intensify food production through industrial agriculture (e.g., Green Revolutions, use of fertilizers and pesticides, irrigation, and genetic modifications).</t>
  </si>
  <si>
    <t>10.09c.3</t>
  </si>
  <si>
    <t>Environmental Strains</t>
  </si>
  <si>
    <t>Students will examine strains on the environment, such as threats to wildlife and degradation of the physical environment (i.e., desertification, deforestation and pollution) due to population growth, industrialization, and urbanization.</t>
  </si>
  <si>
    <t>10.09d.1</t>
  </si>
  <si>
    <t>Attempts at Cooperation with the UN, NATO, EU, &amp; NGOs</t>
  </si>
  <si>
    <t>Students will examine the roles of the United Nations (UN), North Atlantic Treaty Organization (NATO), the European Union, nongovernmental organizations (NGOs), and efforts to build coalitions to promote international cooperation to address conflicts and issues. They will also examine the extent to which these efforts were successful.</t>
  </si>
  <si>
    <t>10.09d.2</t>
  </si>
  <si>
    <t>Organizations &amp; International Action against Environmental Issues</t>
  </si>
  <si>
    <t>Students will investigate one organization and one international action that sought to provide solutions to environmental issues, including the Kyoto Protocol.</t>
  </si>
  <si>
    <t>10.09d.3</t>
  </si>
  <si>
    <t>Threats to Global Security</t>
  </si>
  <si>
    <t>Students will examine threats to global security, such as international trade in weapons (e.g., chemical, biological, and nuclear), nuclear proliferation, cyber war, and terrorism, including a discussion of the events of September 11, 2001.</t>
  </si>
  <si>
    <t>10.10a.1</t>
  </si>
  <si>
    <t>Impact of the Holocaust, Nuremberg Trials, &amp; Tokyo Trials</t>
  </si>
  <si>
    <t>Students will investigate and analyze the historical context of the Holocaust, Nuremberg Trials, and Tokyo Trials and their impacts on the UN Universal Declaration of Human Rights.</t>
  </si>
  <si>
    <t>10.10a.2</t>
  </si>
  <si>
    <t>The United Nations Universal Declaration of Human Rights (1948)</t>
  </si>
  <si>
    <t>Students will examine the articles contained in the UN Universal Declaration of Human Rights.</t>
  </si>
  <si>
    <t>10.10b.1</t>
  </si>
  <si>
    <t>Treaties &amp; International Courts</t>
  </si>
  <si>
    <t>Students will explore multinational treaties and international court systems that bind countries to adhere to international human rights.</t>
  </si>
  <si>
    <t>10.10b.2</t>
  </si>
  <si>
    <t>International Organization for Peace, Stability, Prosperity, &amp; Protection from Violence</t>
  </si>
  <si>
    <t>Students will explore international organizations that work to maintain peace, stability, and economic prosperity, and to protect nations and people from oppressive governments and political violence.</t>
  </si>
  <si>
    <t>10.10c.1</t>
  </si>
  <si>
    <t>Atrocities of Augusto Pinochet, Deng Xiaoping, &amp; Slobodan Milosevic</t>
  </si>
  <si>
    <t>Students will examine the atrocities committed under Augusto Pinochet, Deng Xiaoping, and Slobodan Milosevic in light of the principles and articles within the UN Universal Declaration of Human Rights.</t>
  </si>
  <si>
    <t>10.10c.2</t>
  </si>
  <si>
    <t>Perpetrators &amp; Bystanders in Cambodia, Rwanda, &amp; Darfur</t>
  </si>
  <si>
    <t>Students will examine and analyze the roles of perpetrators and bystanders in human rights violations in Cambodia, Rwanda, and Darfur in light of the principles and articles within the UN Universal Declaration of Human Rights.</t>
  </si>
  <si>
    <t>10.10c.3</t>
  </si>
  <si>
    <t>Anti-Apartheid &amp; Nelson Mandela</t>
  </si>
  <si>
    <t>Students will examine the policy of apartheid in South Africa and the growth of the anti-apartheid movements, exploring Nelson Mandela’s role in these movements and in the post-apartheid period.</t>
  </si>
  <si>
    <t>10.10c.4</t>
  </si>
  <si>
    <t>Efforts to Address Human Rights Violations</t>
  </si>
  <si>
    <t>Students will explore efforts to address human rights violations by individuals and groups, including the efforts of Mother Teresa, Aung San Suu Kyi, and the Mothers of the Plaza de Mayo.</t>
  </si>
  <si>
    <t>11.01a.1</t>
  </si>
  <si>
    <t>European Colonizing Nations</t>
  </si>
  <si>
    <t>Students will trace European contact with Native Americans, including the Dutch, the English, the French and the Spanish.</t>
  </si>
  <si>
    <t>11.01a.2</t>
  </si>
  <si>
    <t>Colonization Impact on Native Americans</t>
  </si>
  <si>
    <t>Students will examine the impacts of European colonization on Native Americans, who eventually lost much of their land and experienced a drastic decline in population through diseases and armed conflict.</t>
  </si>
  <si>
    <t>11.01b.1</t>
  </si>
  <si>
    <t>Geography &amp; Economic Systems</t>
  </si>
  <si>
    <t>Students will examine the impacts of geographic factors on patterns of settlement and the development of colonial economic systems.</t>
  </si>
  <si>
    <t>11.01b.2</t>
  </si>
  <si>
    <t>Social Structures &amp; Labor</t>
  </si>
  <si>
    <t>Students will examine the factors influencing variations in colonial social structures and labor systems.</t>
  </si>
  <si>
    <t>11.01b.3</t>
  </si>
  <si>
    <t>Colonial Slavery</t>
  </si>
  <si>
    <t>Students will analyze slavery as a deeply established component of the colonial economic system and social structure, indentured servitude vs. slavery, the increased concentration of slaves in the South, and the development of slavery asa racial institution.</t>
  </si>
  <si>
    <t>11.01c.1</t>
  </si>
  <si>
    <t>Enlightenment &amp; British Traditions</t>
  </si>
  <si>
    <t>Students will examine colonial political institutions to determine how they were influenced by Enlightenment ideas, British traditions such as the Magna Carta, and the colonial experience.</t>
  </si>
  <si>
    <t>11.01c.2</t>
  </si>
  <si>
    <t>Colonial Democracy &amp; Key Documents</t>
  </si>
  <si>
    <t>Students will examine colonial democratic principles by studying documents such as the Mayflower Compact and the Maryland Toleration Act of 1649, colonial governmental structures such as New England town meetings and the Virginia House of Burgesses, and the practice of the right of petition in New Netherland.</t>
  </si>
  <si>
    <t>11.02a.1</t>
  </si>
  <si>
    <t>British Control &amp; Colonial Resistance</t>
  </si>
  <si>
    <t>Students will examine British efforts to gain greater political and economic control, such as the Proclamation of 1763, the Stamp Act, the Townsend Acts, the Tea Act, the Boston Massacre, and the Coercive Acts, and colonial reactions to these efforts.</t>
  </si>
  <si>
    <t>11.02b.1</t>
  </si>
  <si>
    <t>Declaration of Independence</t>
  </si>
  <si>
    <t>Students will examine the purpose of and the ideas contained in the Declaration of Independence and consider its long term impacts.</t>
  </si>
  <si>
    <t>11.02b.2</t>
  </si>
  <si>
    <t>Impact on Marginalized Groups</t>
  </si>
  <si>
    <t>Students will examine the impacts of the Revolutionary War on workers, African Americans, women, and Native Americans.</t>
  </si>
  <si>
    <t>11.02c.1</t>
  </si>
  <si>
    <t>Articles of Confederation</t>
  </si>
  <si>
    <t>Students will examine the weaknesses and successes of government under the Articles of Confederation.</t>
  </si>
  <si>
    <t>11.02c.2</t>
  </si>
  <si>
    <t>Constitution Development &amp; Debates</t>
  </si>
  <si>
    <t>Students will explore the development of the Constitution, including the major debates and their resolutions, which included compromises over representation, taxation, and slavery.</t>
  </si>
  <si>
    <t>11.02c.3</t>
  </si>
  <si>
    <t>Federal Government Structure &amp; Principles</t>
  </si>
  <si>
    <t>Students will examine the structure, power, and function of the federal government as created by the Constitution, including key constitutional principles such as the division of power between federal and state government, the separation of powers at the federal level, the creation of checks and balances, the sovereignty of the people, and judicial independence.</t>
  </si>
  <si>
    <t>11.02c.4</t>
  </si>
  <si>
    <t>Federalist vs. Antifederalist</t>
  </si>
  <si>
    <t>Students will examine the key points of debate expressed in the Federalist Papers and the Antifederalist Papers, focusing on the protection of individual rights and the proper size for a republic.</t>
  </si>
  <si>
    <t>11.02c.5</t>
  </si>
  <si>
    <t>Bill of Rights</t>
  </si>
  <si>
    <t>Students will examine the rights and protections provided by the Bill of Rights and to whom they initially applied.</t>
  </si>
  <si>
    <t>11.02d.1</t>
  </si>
  <si>
    <t>President George Washington</t>
  </si>
  <si>
    <t>Students will identify presidential actions and precedents established by George Washington, including those articulated in his Farewell Address.</t>
  </si>
  <si>
    <t>11.02d.2</t>
  </si>
  <si>
    <t>Hamilton's Economic Plan &amp; Political Parties</t>
  </si>
  <si>
    <t>Students will examine Hamilton’s economic plan, the debate surrounding the plan, and its impacts on the development of political parties.</t>
  </si>
  <si>
    <t>11.02d.3</t>
  </si>
  <si>
    <t>Peaceful Transfers of Power: 1800 vs. 2000</t>
  </si>
  <si>
    <t>Students will examine the tradition of a peaceful transfer of power established in the presidential election of 1800 and compare it to the presidential election of 2000, focusing on the roles of the Electoral College and Congress in 1800 and the Electoral College and the Supreme Court in 2000.</t>
  </si>
  <si>
    <t>11.02d.4</t>
  </si>
  <si>
    <t>Early Supreme Court Cases</t>
  </si>
  <si>
    <t>Students will examine Supreme Court cases, including Marbury v. Madison, McCulloch v. Maryland, and Gibbons v. Ogden, and analyze how these decisions strengthened the powers of the federal government.</t>
  </si>
  <si>
    <t>11.03a.1</t>
  </si>
  <si>
    <t>American Nationalism</t>
  </si>
  <si>
    <t>Students will examine how the Louisiana Purchase, the War of 1812, and the Monroe Doctrine strengthened nationalism.</t>
  </si>
  <si>
    <t>11.03a.2</t>
  </si>
  <si>
    <t>Market Revolution</t>
  </si>
  <si>
    <t>Students will examine the market revolution, including technological developments, the development of transportation networks, the growth of domestic industries, the increased demands for free and enslaved labor, the changing role of women, and the rise of political democracy</t>
  </si>
  <si>
    <t>11.03a.3</t>
  </si>
  <si>
    <t>President Jackson</t>
  </si>
  <si>
    <t>Students will examine Jackson’s presidency, noting the ways it strengthened presidential power yet challenged constitutional principles in the case of Worcester v. Georgia (1832), including the controversy concerning the Indian Removal Act and its implementation.</t>
  </si>
  <si>
    <t>11.03b.1</t>
  </si>
  <si>
    <t>Resolutions &amp; Nullifications</t>
  </si>
  <si>
    <t>Students will compare different perspectives on States rights by examining the Kentucky and Virginia Resolutions and the nullification crisis</t>
  </si>
  <si>
    <t>11.03b.2</t>
  </si>
  <si>
    <t>Resistance &amp; Abolitionism</t>
  </si>
  <si>
    <t>Students will investigate the development of the abolitionist movement, focusing on Nat Turner’s Rebellion, Sojourner Truth, William Lloyd Garrison (The Liberator), Frederick Douglass (The Autobiography of Frederick Douglass and The North Star), and Harriet Beecher Stowe (Uncle Tom’s Cabin).</t>
  </si>
  <si>
    <t>11.03b.3</t>
  </si>
  <si>
    <t>Early Women's Rights Movement</t>
  </si>
  <si>
    <t>Students will examine the emergence of the women’s rights movement out of the abolitionist movement, including the role of the Grimké sisters, Lucretia Mott,and Elizabeth Cady Stanton, and evaluate the demands made at the Seneca Falls Convention (1848).</t>
  </si>
  <si>
    <t>11.03b.4</t>
  </si>
  <si>
    <t>Expansion of Slavery</t>
  </si>
  <si>
    <t>Students will examine the issues surrounding the expansion of slavery into new territories, by exploring the Missouri Compromise, Manifest Destiny, Texas and the Mexican-American war, the Compromise of 1850, the Kansas-Nebraska Act, the Dred Scott decision, and John Brown’s raid.</t>
  </si>
  <si>
    <t>11.03c.1</t>
  </si>
  <si>
    <t>Union vs. Confederacy</t>
  </si>
  <si>
    <t>Students will compare the relative strengths of the Union and the Confederacy in terms of industrial capacity, transportation facilities, and military leadership, and evaluate the reasons why the North prevailed over the South and the impacts of the war.</t>
  </si>
  <si>
    <t>11.03c.2</t>
  </si>
  <si>
    <t>Federal Power: Habeas Corpus &amp; Emancipation</t>
  </si>
  <si>
    <t>Students will examine the expansion of executive and federal power as they relate to the suspension of habeas corpus within the Union and the issuance of the Emancipation Proclamation.</t>
  </si>
  <si>
    <t>11.03c.3</t>
  </si>
  <si>
    <t>Gettysburg Address</t>
  </si>
  <si>
    <t>Students will analyze the ideas expressed in the Gettysburg Address, considering its long-term effects.</t>
  </si>
  <si>
    <t>11.04a.1</t>
  </si>
  <si>
    <t>Amendments &amp; Reconstruction</t>
  </si>
  <si>
    <t>Students will examine the 13th, 14th, and 15th amendments and consider the role of Radical Republicans in Reconstruction</t>
  </si>
  <si>
    <t>11.04a.2</t>
  </si>
  <si>
    <t>Limiting of Black Rights</t>
  </si>
  <si>
    <t>Students will investigate the ways individuals, groups, and government institutions limited the rights of African Americans, including the use of Black Codes, the passage of Jim Crow laws, the Ku Klux Klan, restrictions on voting rights, and Supreme Court cases including the Civil Rights Cases (1883) and Plessy v. Ferguson (1896).</t>
  </si>
  <si>
    <t>11.04a.3</t>
  </si>
  <si>
    <t>Freedmen's Pursuit of Independence</t>
  </si>
  <si>
    <t>Students will examine the ways in which freedmen attempted to build independent lives, including the activities of the Freedmen’s Bureau, the creation of educational institutions, and political participation.</t>
  </si>
  <si>
    <t>11.04a.4</t>
  </si>
  <si>
    <t>End of Reconstruction</t>
  </si>
  <si>
    <t>Students will examine the impacts of the election of 1876 and the compromise of 1877 on African Americans.</t>
  </si>
  <si>
    <t>11.04b.1</t>
  </si>
  <si>
    <t>Exclusion of Women &amp; Struggle for Rights</t>
  </si>
  <si>
    <t>Students will examine the exclusion of women from the 14th and 15th amendments and the subsequent struggle for voting and increased property rights in the late 19th century. The students will examine the work of Susan B.Anthony.</t>
  </si>
  <si>
    <t>11.04c.1</t>
  </si>
  <si>
    <t>Federal Policies &amp; Western Expansion</t>
  </si>
  <si>
    <t>Students will examine the economic effects of the Homestead Act (1862) and the Pacific Railway Act (1862) on westward expansion.</t>
  </si>
  <si>
    <t>11.04c.2</t>
  </si>
  <si>
    <t>Western Expansion &amp; Native American Impact</t>
  </si>
  <si>
    <t>Students will examine the effect of federal policies on Native Americans, including reservation policies, the Dawes Act (1887), and forced assimilation efforts (Carlisle Indian School).</t>
  </si>
  <si>
    <t>11.04d.1</t>
  </si>
  <si>
    <t>Treatment of Mexicans &amp; Mexican Americans</t>
  </si>
  <si>
    <t>Students will analyze relevant provisions of the Treaty of Guadalupe Hidalgo as compared with the actual treatment of Mexicans and Mexican Americans in the Southwest, including California, from 1848 to 1900.</t>
  </si>
  <si>
    <t>11.04d.2</t>
  </si>
  <si>
    <t>Chinese Immigration &amp; Exclusion</t>
  </si>
  <si>
    <t>Students will examine the contributions of Chinese to the national economy and reasons for nativist opposition to their continued immigration (Chinese Exclusion Act of 1882).</t>
  </si>
  <si>
    <t>11.05a.1</t>
  </si>
  <si>
    <t>Technological Innovations</t>
  </si>
  <si>
    <t>Students will examine the technological innovations that facilitated industrialization, considering energy sources, natural resources, transportation, and communication.</t>
  </si>
  <si>
    <t>11.05a.2</t>
  </si>
  <si>
    <t>Growth of Industrial Businesses</t>
  </si>
  <si>
    <t>Students will examine the growth of industries under the leadership of businessmen such as John D. Rockefeller, Andrew Carnegie, J.P. Morgan, and Henry Ford and analyze their business practices and organizational structures.</t>
  </si>
  <si>
    <t>11.05a.3</t>
  </si>
  <si>
    <t>Regulation vs Monopolies</t>
  </si>
  <si>
    <t>Students will evaluate the effectiveness of state and federal attempts to regulate business by examining the Supreme Court decision in Wabash, St. Louis &amp; Pacific R.R. v. Illinois (1886), the Interstate Commerce Act (1887), the Sherman Antitrust Act (1890), and President Theodore Roosevelt’s trust-busting role as evidenced in Northern Securities Co. v. United States (1904).</t>
  </si>
  <si>
    <t>11.05b.1</t>
  </si>
  <si>
    <t>Urbanization &amp; Immigration</t>
  </si>
  <si>
    <t>Students will examine demographic trends associated with urbanization and immigration between 1840 and 1920, including push-pull factors regarding Irish immigration and immigration from southern and eastern Europe.</t>
  </si>
  <si>
    <t>11.05b.2</t>
  </si>
  <si>
    <t>Grange Movement &amp; Populist Party</t>
  </si>
  <si>
    <t>Students will examine problems faced by farmers between 1870 and 1900 and examine the goals and achievements of the Grange Movement and the Populist Party.</t>
  </si>
  <si>
    <t>11.05b.3</t>
  </si>
  <si>
    <t>Early Unionization</t>
  </si>
  <si>
    <t>Students will examine the attempts of workers to unionize from 1870 to 1920 in response to industrial working conditions, including the Knights of Labor, the American Federation of Labor, the American Railway Union, the International Ladies Garment Workers’ Union, and the Industrial Workers of the World, considering actions taken by the unions and the responses to these actions.</t>
  </si>
  <si>
    <t>11.05b.4</t>
  </si>
  <si>
    <t>Progressive Era</t>
  </si>
  <si>
    <t>Students will examine Progressive Era reforms, such as the 16th and 17th amendments (1913) and the establishment of the Federal Reserve System (1913).</t>
  </si>
  <si>
    <t>11.05b.5</t>
  </si>
  <si>
    <t>Women's Suffrage</t>
  </si>
  <si>
    <t>Students will examine the efforts of the women’s suffrage movement after 1900, leading to ratification of the 19th amendment(1920).</t>
  </si>
  <si>
    <t>11.05b.6</t>
  </si>
  <si>
    <t>Temperance &amp; Prohibition</t>
  </si>
  <si>
    <t>Students will trace the temperance and prohibition movements leading to the ratification of the 18th amendment (1919).</t>
  </si>
  <si>
    <t>11.05b.7</t>
  </si>
  <si>
    <t>Influential Documents of the Progressive Era</t>
  </si>
  <si>
    <t>Students will trace reform efforts by individuals and the consequences of those efforts, including:
Jane Addams and Hull House, Jacob Riis’ How the Other Half Lives, New York Governor Theodore Roosevelt and the Tenement Reform Commission, Upton Sinclair’s The Jungle and the Meat InspectionAct, Margaret Sanger and birth control, Ida Tarbell’s The History of the Standard Oil Company, Ida Wells and her writings about lynching of African Americans, Booker T. Washington’s contributions to education, including the creation of Tuskegee Institute, W. E. B. Du Bois and the founding of the National Association for the Advancement of Colored People (NAACP), the publication of The Crisis, and the Silent Protest (1917)</t>
  </si>
  <si>
    <t>11.06a.1</t>
  </si>
  <si>
    <t>Gowing Economic Interests, Foreign Involvement, &amp; Hawaii</t>
  </si>
  <si>
    <t>Students will examine factors such as the economic and strategic interests that led the United States to seek foreign markets, resources, and coaling stations, including interest in Hawaii.</t>
  </si>
  <si>
    <t>11.06a.2</t>
  </si>
  <si>
    <t>Spanish American War</t>
  </si>
  <si>
    <t>Students will investigate the causes and effects of the Spanish-American War, evaluating Spanish, Cuban, and United States interests and actions.</t>
  </si>
  <si>
    <t>11.06a.3</t>
  </si>
  <si>
    <t>(Anti) Imperialism &amp; the Philippines</t>
  </si>
  <si>
    <t>Students will examine debates between anti-imperialists and imperialists surrounding ratification of the Treaty of Paris of 1898 and annexation of the Philippines.</t>
  </si>
  <si>
    <t>11.06a.4</t>
  </si>
  <si>
    <t>Imperialism in the Caribbean &amp; Latin America</t>
  </si>
  <si>
    <t>Students will investigate expanding American influence in the Caribbean and Latin America through the creation of the Panama Canal and the Roosevelt Corollary.</t>
  </si>
  <si>
    <t>11.06b.1</t>
  </si>
  <si>
    <t>President Wilson: Neutrality to Involvement</t>
  </si>
  <si>
    <t>Students will investigate the reasons for President Wilson’s shift from neutrality to involvement in World War I.</t>
  </si>
  <si>
    <t>11.06b.2</t>
  </si>
  <si>
    <t>Attempts at Peace after WWI</t>
  </si>
  <si>
    <t>Students will examine Wilson’s goals as expressed in the Fourteen Points, his role at the Versailles Peace Conference, and the compromises he was forced to make to gain approval for the League of Nations.</t>
  </si>
  <si>
    <t>11.06b.3</t>
  </si>
  <si>
    <t>Unsuccessful Ratification of the Treaty of Versailles</t>
  </si>
  <si>
    <t>Students will examine the reasons why President Wilson was unsuccessful in gaining support for Senate ratification of the Treaty of Versailles.</t>
  </si>
  <si>
    <t>11.06c.1</t>
  </si>
  <si>
    <t>Mobilization Economic Effects</t>
  </si>
  <si>
    <t>Students will investigate the effects of mobilization on the United States economy, including the role and contributions of women and African Americans in the war effort.</t>
  </si>
  <si>
    <t>11.06c.2</t>
  </si>
  <si>
    <t>Great Migration</t>
  </si>
  <si>
    <t>Students will investigate the causes and effects of the Great Migration on American society.</t>
  </si>
  <si>
    <t>11.06c.3</t>
  </si>
  <si>
    <t>Schenck v. US (1919)</t>
  </si>
  <si>
    <t>Students will examine the Supreme Court decision concerning civil liberties in Schenck v. United States (1919).</t>
  </si>
  <si>
    <t>11.06c.4</t>
  </si>
  <si>
    <t>Fear of Radicals, Xenophobia, and the Red Scare</t>
  </si>
  <si>
    <t>Students will examine the relationship between postwar recession, fear of radicals, xenophobia, and the Red Scare (1919–1921).</t>
  </si>
  <si>
    <t>11.07a.1</t>
  </si>
  <si>
    <t>Roaring Twenties</t>
  </si>
  <si>
    <t>Students will examine the cultural trends associated with the Roaring Twenties, including women’s efforts at self-expression and their changing roles.</t>
  </si>
  <si>
    <t>11.07a.2</t>
  </si>
  <si>
    <t>Prohibition</t>
  </si>
  <si>
    <t>Students will examine the impact of Prohibition on American society.</t>
  </si>
  <si>
    <t>11.07a.3</t>
  </si>
  <si>
    <t>Immigration in the 1920's</t>
  </si>
  <si>
    <t>Students will examine change in immigration policy as reflected by the passage of the Quota Acts of the 1920s.</t>
  </si>
  <si>
    <t>11.07a.4</t>
  </si>
  <si>
    <t>Resurgence of the KKK</t>
  </si>
  <si>
    <t>Students will examine the reasons for the resurgence of the Ku Klux Klan.</t>
  </si>
  <si>
    <t>11.07a.5</t>
  </si>
  <si>
    <t>Scopes Trial</t>
  </si>
  <si>
    <t>Students will examine the key issues related to the Scopes trial.</t>
  </si>
  <si>
    <t>11.07b.1</t>
  </si>
  <si>
    <t>Harlem Renaissance</t>
  </si>
  <si>
    <t>Students will examine literary and artistic contributions associated with the Harlem Renaissance and its impact on national culture.</t>
  </si>
  <si>
    <t>11.07b.2</t>
  </si>
  <si>
    <t>Black Pride, Nationalism &amp; Marcus Garvey</t>
  </si>
  <si>
    <t>Students will examine the rise of African American racial pride and Black Nationalism, including the role of Marcus Garvey.</t>
  </si>
  <si>
    <t>11.07c.1</t>
  </si>
  <si>
    <t>Economic Prosperity</t>
  </si>
  <si>
    <t>Students will examine the reasons for economic prosperity during the 1920s.</t>
  </si>
  <si>
    <t>11.07c.2</t>
  </si>
  <si>
    <t>The Great Depression</t>
  </si>
  <si>
    <t>Students will examine the underlying weaknesses of the economy that led to the stock market crash of 1929 and the Great Depression.</t>
  </si>
  <si>
    <t>11.07c.3</t>
  </si>
  <si>
    <t>Hoover vs. FDR</t>
  </si>
  <si>
    <t>Students will compare and contrast the responses of Presidents Herbert Hoover and Franklin D. Roosevelt to the Great Depression.</t>
  </si>
  <si>
    <t>11.07c.4</t>
  </si>
  <si>
    <t>Dust Bowl</t>
  </si>
  <si>
    <t>Students will examine the human and environmental causes of the Dust Bowl and its effects.</t>
  </si>
  <si>
    <t>11.07c.5</t>
  </si>
  <si>
    <t>New Deal</t>
  </si>
  <si>
    <t>Students will evaluate President Roosevelt’s leadership during the Depression, including key legislative initiatives of the New Deal, expansion of federal government power, and the constitutional challenge represented by his court packing effort.</t>
  </si>
  <si>
    <t>11.08a.1</t>
  </si>
  <si>
    <t>Neutrality Acts</t>
  </si>
  <si>
    <t>Students will examine reasons for the passage of the Neutrality Acts (1935–1937) and consider the national debate as a shift to pro-Allied policies, including “cash and carry” and Lend-Lease.</t>
  </si>
  <si>
    <t>11.08a.2</t>
  </si>
  <si>
    <t>Negotiations with Japan</t>
  </si>
  <si>
    <t>Students will trace ongoing negotiations with Japan and United States efforts to stop Japanese aggression without resorting to war and without appeasing Japanese demands.</t>
  </si>
  <si>
    <t>11.08a.3</t>
  </si>
  <si>
    <t>Pearl Harbor</t>
  </si>
  <si>
    <t>Students will examine the impact of the Japanese attack on Pearl Harbor.</t>
  </si>
  <si>
    <t>11.08a.4</t>
  </si>
  <si>
    <t>FDR &amp; the Grand Alliance</t>
  </si>
  <si>
    <t>Students will examine President Roosevelt’s leadership during World War II, including his role as commander in chief and his diplomatic efforts to maintain the Grand Alliance.</t>
  </si>
  <si>
    <t>11.08a.5</t>
  </si>
  <si>
    <t>Technological Advancements &amp; the Atomic Bomb</t>
  </si>
  <si>
    <t>Students will examine how technological advancements altered the nature of war and the extent of its devastation, including the use of airpower over civilian targets and President Truman’s decision to use the atomic bomb against the Japanese cities of Hiroshima and Nagasaki.</t>
  </si>
  <si>
    <t>11.08b.1</t>
  </si>
  <si>
    <t>Mobilizations</t>
  </si>
  <si>
    <t>Students will examine United States mobilization efforts and wartime production and their effects on unemployment rates.</t>
  </si>
  <si>
    <t>11.08b.2</t>
  </si>
  <si>
    <t>Japanese Internment</t>
  </si>
  <si>
    <t>Students will examine the reasons for President Roosevelt’s executive order for Japanese removal, the impact of removal on Japanese people living in the United States, and the Supreme Court’s decision in Korematsu v. United States(1944).</t>
  </si>
  <si>
    <t>11.08b.3</t>
  </si>
  <si>
    <t>Women &amp; BIPOC Contribution to WW2</t>
  </si>
  <si>
    <t>Students will examine the contributions of women, African Americans, Native Americans, Asian Americans, Mexican workers, and Mexican Americans to the war effort, as well as the discrimination that they experienced in the military and workforce.</t>
  </si>
  <si>
    <t>11.08c.1</t>
  </si>
  <si>
    <t>Holocaust</t>
  </si>
  <si>
    <t>Students will investigate American officials' knowledge of the Holocaust, evaluating the degree to which intervention may have been possible.</t>
  </si>
  <si>
    <t>11.08c.2</t>
  </si>
  <si>
    <t>Nuremberg War Crime Trials</t>
  </si>
  <si>
    <t>Students will examine the contributions of Supreme Court Justice Robert Jackson and his arguments made as Chief Prosecutor for the United States at the Nuremberg War Crimes trials.</t>
  </si>
  <si>
    <t>11.08c.3</t>
  </si>
  <si>
    <t>Eleanor Roosevelt &amp; UN's Universal Declaration of Human Rights</t>
  </si>
  <si>
    <t>Students will investigate the role of Eleanor Roosevelt in creating the United Nations Universal Declaration of Human Rights.</t>
  </si>
  <si>
    <t>11.09a.1</t>
  </si>
  <si>
    <t>US Decisions for post-war Europe</t>
  </si>
  <si>
    <t>Students will trace key decisions made at wartime conferences as they applied to Poland, Eastern Europe, and postwar Germany, and note how continuing disagreements over these decisions helped bring about the start of the Cold War.</t>
  </si>
  <si>
    <t>11.09a.2</t>
  </si>
  <si>
    <t>Containment Policies</t>
  </si>
  <si>
    <t>Students will trace United States containment policies, including the Truman Doctrine (1947), the Marshall Plan (1948), and the North Atlantic Treaty Organization (1949), and actions taken during the Berlin blockade, and consider how they represent a shift in American foreign policy.</t>
  </si>
  <si>
    <t>11.09a.3</t>
  </si>
  <si>
    <t>McCarthyism</t>
  </si>
  <si>
    <t>Students will examine domestic concerns about the spread of communism and the rise of McCarthyism.</t>
  </si>
  <si>
    <t>11.09a.4</t>
  </si>
  <si>
    <t>Korean War</t>
  </si>
  <si>
    <t>Students will examine the consequences of Truman’s decision to fight a limited war in defense of South Korea.</t>
  </si>
  <si>
    <t>11.09a.5</t>
  </si>
  <si>
    <t>Vietnam War</t>
  </si>
  <si>
    <t>Students will trace the United States involvement in Vietnam, including President Johnson’s decision to escalate the fighting in Vietnam.</t>
  </si>
  <si>
    <t>11.09a.6</t>
  </si>
  <si>
    <t>Antiwar Movement &amp; Watergate</t>
  </si>
  <si>
    <t>Students will examine reasons for declining public confidence in government, including America’s involvement in Vietnam, student protests, the growing antiwar movement, and the Watergate affair.</t>
  </si>
  <si>
    <t>11.09a.7</t>
  </si>
  <si>
    <t>War Powers Act</t>
  </si>
  <si>
    <t>Students will examine the congressional effort to limit presidential power through the War Powers Act.</t>
  </si>
  <si>
    <t>11.09b.1</t>
  </si>
  <si>
    <t>Nuclear Arms Race</t>
  </si>
  <si>
    <t>Students will trace the acceleration of the nuclear arms race, beginning with the detonation of an atomic bomb by the Soviet Union in 1949, through 1969, including the effects of Sputnik and the Space Race.</t>
  </si>
  <si>
    <t>11.09b.2</t>
  </si>
  <si>
    <t>Cuban Missile Crisis &amp; the Nuclear Test Ban Treaty</t>
  </si>
  <si>
    <t>Students will examine Soviet motives for placing missiles in Cuba and the impact of the Cuban missile crisis on Soviet-American relations, leading to the adoption of the Nuclear Test Ban Treaty.</t>
  </si>
  <si>
    <t>11.09b.3</t>
  </si>
  <si>
    <t>Détente</t>
  </si>
  <si>
    <t>Students will examine the policy of détente and its effect on the nuclear arms race.</t>
  </si>
  <si>
    <t>11.09c.1</t>
  </si>
  <si>
    <t>Israel &amp; the Camp David Accords</t>
  </si>
  <si>
    <t>Students will examine United States foreign policy toward the Middle East, including the recognition of and support for the State of Israel, the Camp David Accords, and the interaction with radical groups in the region.</t>
  </si>
  <si>
    <t>11.09d.1</t>
  </si>
  <si>
    <t>Berlin Wall &amp; the Soviet Loss of Control</t>
  </si>
  <si>
    <t>Students will trace factors that led to the fall of the Berlin Wall and the end of the Cold War, including American policies, Soviet economic problems, Soviet efforts at reform, and the loss of Soviet control over Eastern Europe.</t>
  </si>
  <si>
    <t>11.10a.1</t>
  </si>
  <si>
    <t>Important Civil Rights Individuals</t>
  </si>
  <si>
    <t>Students will examine the roles and impact of individuals such as Rev. Martin Luther King Jr., Stokely Carmichael, Fannie Lou Hamer, and Malcolm X on the movement and their perspectives on change.</t>
  </si>
  <si>
    <t>11.10a.2</t>
  </si>
  <si>
    <t>Civil Rights Groups &amp; Tactics</t>
  </si>
  <si>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</si>
  <si>
    <t>11.10a.3</t>
  </si>
  <si>
    <t>Civil Rights Judicial &amp; Legislative Achievements</t>
  </si>
  <si>
    <t>Students will examine judicial actions and legislative achievements during the movement, such as Brown v. Board of Education of Topeka (1954), the Civil Rights Act of 1964, Heart of Atlanta Motel, Inc. v. United States (1964) and the Voting Rights Act of 1965.</t>
  </si>
  <si>
    <t>11.10a.4</t>
  </si>
  <si>
    <t>Civil Rights Protests &amp; Civil Resistance</t>
  </si>
  <si>
    <t>Students will analyze the significance of key events in the movement, including the Montgomery bus boycott, federal intervention at Little Rock, Arkansas; the Birmingham protest; and the March on Washington.</t>
  </si>
  <si>
    <t>11.10b.1</t>
  </si>
  <si>
    <t>Individuals &amp; Groups Fight for Equality</t>
  </si>
  <si>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</si>
  <si>
    <t>11.10b.2</t>
  </si>
  <si>
    <t>Civil Rights Case Studies</t>
  </si>
  <si>
    <t>Students will thoroughly investigate at least one of the efforts above.</t>
  </si>
  <si>
    <t>11.10c.1</t>
  </si>
  <si>
    <t>Great Society vs Reaganomics</t>
  </si>
  <si>
    <t>Students will compare and contrast the economic policies of President Johnson (Great Society) and President Reagan (Reaganomics) regarding the size and role of the federal government.</t>
  </si>
  <si>
    <t>11.10c.2</t>
  </si>
  <si>
    <t>Great Recession</t>
  </si>
  <si>
    <t>Students will examine the causes of the financial panic of 2008 and the federal government's response to the Great Recession.</t>
  </si>
  <si>
    <t>11.10c.3</t>
  </si>
  <si>
    <t>Social Safety Nets</t>
  </si>
  <si>
    <t>Students will examine the debates over the role of the government in providing a social safety net, including the stability of the Social Security Trust Fund and Medicare Trust Fund, as well as changes under the Affordable Care Act.</t>
  </si>
  <si>
    <t>11.11a.1</t>
  </si>
  <si>
    <t>Persian Gulf War</t>
  </si>
  <si>
    <t>Students will examine the decision of President George H. W. Bush to oppose Iraq’s invasion of Kuwait. Students will evaluate the positive and negative consequences of the Persian Gulf War.</t>
  </si>
  <si>
    <t>11.11a.2</t>
  </si>
  <si>
    <t>Reluctance to Defend Human Rights</t>
  </si>
  <si>
    <t>Students will trace United States foreign policy regarding Bosnia, Rwanda, and Kosovo, exploring the tension between defending human rights and the reluctance to intervene stemming from the Vietnam syndrome.</t>
  </si>
  <si>
    <t>11.11b.1</t>
  </si>
  <si>
    <t>9-11, War on Terror, &amp; PATRIOT Act</t>
  </si>
  <si>
    <t>Students will trace the reactions to the September 11, 2001, attacks, including responses of the American public, the authorization of the War on Terror, the invasion of Afghanistan, and the passage of the USA PATRIOT Act.</t>
  </si>
  <si>
    <t>11.11b.2</t>
  </si>
  <si>
    <t>Invasion of Iraq</t>
  </si>
  <si>
    <t>Students will examine the decision to invade Iraq, which was based on allegations concerning weapons of mass destruction, and trace the course of the war.</t>
  </si>
  <si>
    <t>11.11b.3</t>
  </si>
  <si>
    <t>Violation of Civil Liberties &amp; Surveillance</t>
  </si>
  <si>
    <t>Students will evaluate the USA PATRIOT Act, including constitutional issues raised about the violation of civil liberties by the federal government’s electronic surveillance programs.</t>
  </si>
  <si>
    <t>11.11c.1</t>
  </si>
  <si>
    <t>Globalization &amp; the US Economy</t>
  </si>
  <si>
    <t>Students will examine the positive and negative consequences of globalization in relation to the United States economy.</t>
  </si>
  <si>
    <t>11.11c.2</t>
  </si>
  <si>
    <t>Multinational Corporations</t>
  </si>
  <si>
    <t>Students will investigate the role of multinational corporations and their influence on both the United States economy and on other countries around the world.</t>
  </si>
  <si>
    <t>11.11c.3</t>
  </si>
  <si>
    <t>US vs China Rivalry</t>
  </si>
  <si>
    <t>Students will examine the economic relationship and the strategic rivalry between the United States and China.</t>
  </si>
  <si>
    <t>Concatenated</t>
  </si>
  <si>
    <t>BBC passage on factors in the Ottoman Empire's decline</t>
  </si>
  <si>
    <t>Based on the passage, identify an issue faced by the Ottoman Empire in the 1600s.</t>
  </si>
  <si>
    <t>The empire became too large to govern.</t>
  </si>
  <si>
    <t>Global trade routes shifted.</t>
  </si>
  <si>
    <t>Rulers were responsive to the needs of people living in the empire.</t>
  </si>
  <si>
    <t>Trade increased in the empire.</t>
  </si>
  <si>
    <t>Text-based</t>
  </si>
  <si>
    <t>Secondary</t>
  </si>
  <si>
    <t>No</t>
  </si>
  <si>
    <t>10.01a.1: Mughal &amp; Ottoman (c. 1750)</t>
  </si>
  <si>
    <t>Ansary excerpts on Aurangzeb's Mughal rule and Ottoman society</t>
  </si>
  <si>
    <t>Based on these passages, what is a primary similarity between the Mughal and Ottoman Empires?</t>
  </si>
  <si>
    <t>Social conflict did not exist in either empire.</t>
  </si>
  <si>
    <t>Each empire experienced a period of success.</t>
  </si>
  <si>
    <t>Each empire lasted less than a century.</t>
  </si>
  <si>
    <t>Hinduism had little influence in their development.</t>
  </si>
  <si>
    <t>Which statement best explains a reason the Mughal Empire declined and a reason the Ottoman Empire declined?</t>
  </si>
  <si>
    <t>Mughal leaders were ineffective; Ottoman society was too interconnected.</t>
  </si>
  <si>
    <t>Mughal society was too secular; policies of Ottoman sultans were inconsistent.</t>
  </si>
  <si>
    <t>Religious diversity in the Mughal Empire was lacking; the Ottoman Empire never worked efficiently.</t>
  </si>
  <si>
    <t>Mughal society paid little attention to the government; Ottoman social groups were too isolated.</t>
  </si>
  <si>
    <t>Tokugawa Edict of 1635 closing Japan</t>
  </si>
  <si>
    <t>Identify the best use of this document for a historian.</t>
  </si>
  <si>
    <t>To determine the effects of the Edict of 1635 Ordering the Closing of Japan on merchants</t>
  </si>
  <si>
    <t>To find out how Japanese Christians felt about the Tokugawa shogunate</t>
  </si>
  <si>
    <t>To explore the views of the Japanese government towards outsiders in 1635</t>
  </si>
  <si>
    <t>To identify the goods exported by Japanese merchants</t>
  </si>
  <si>
    <t>Primary</t>
  </si>
  <si>
    <t>10.01b.1: Tokugawa &amp; Mughal Responses to Outsiders</t>
  </si>
  <si>
    <t>Britannica passage on the sankin kōtai system</t>
  </si>
  <si>
    <t>One effect of the policy described in this passage was that it</t>
  </si>
  <si>
    <t>promoted local resistance</t>
  </si>
  <si>
    <t>strengthened the power of the shogun</t>
  </si>
  <si>
    <t>renewed trade agreements</t>
  </si>
  <si>
    <t>increased the wealth of the samurai</t>
  </si>
  <si>
    <t>10.01a.2: Tokugawa Shogunate</t>
  </si>
  <si>
    <t>Map of the Ottoman Empire at its height</t>
  </si>
  <si>
    <t>This map shows that at the height of the Ottoman Empire, the empire</t>
  </si>
  <si>
    <t>controlled the port cities of Barcelona and Marseille</t>
  </si>
  <si>
    <t>governed the Persian Empire</t>
  </si>
  <si>
    <t>included territory in Europe, Africa, and Asia</t>
  </si>
  <si>
    <t>completely surrounded the Red Sea</t>
  </si>
  <si>
    <t>Map-based</t>
  </si>
  <si>
    <t>10.01b.2: Eurasia World Map</t>
  </si>
  <si>
    <t>Saint-Simon memoir on Louis XIV's court at Versailles</t>
  </si>
  <si>
    <t>A historian would find this passage most useful for understanding the</t>
  </si>
  <si>
    <t>rules of diplomacy followed by Louis XIV</t>
  </si>
  <si>
    <t>effectiveness of Louis XIV's reign</t>
  </si>
  <si>
    <t>methods Louis XIV used to control the nobility</t>
  </si>
  <si>
    <t>divine right beliefs of Louis XIV</t>
  </si>
  <si>
    <t>10.01a.3: Comparing Tokugawa Shogunate &amp; Bourbon Dynasty</t>
  </si>
  <si>
    <t>Which historical situation is most similar to the one described in this passage?</t>
  </si>
  <si>
    <t>the rebellions in Cuba led by Fidel Castro</t>
  </si>
  <si>
    <t>the emancipation of serfs in Russia under Catherine the Great</t>
  </si>
  <si>
    <t>the implementation of an alternative attendance system in Tokugawa Japan</t>
  </si>
  <si>
    <t>the mobilization of the Red Guard to remove corrupt officials under Mao Zedong</t>
  </si>
  <si>
    <t>Yes</t>
  </si>
  <si>
    <t>Jahangir's 1617 letter to King James I granting English trade rights</t>
  </si>
  <si>
    <t>Explain the historical circumstances that led to the developments shown in this passage.</t>
  </si>
  <si>
    <t>Based on the excerpt, explain the author's point of view regarding Europeans in the Tokugawa Shogunate.</t>
  </si>
  <si>
    <t>Jahangir's letter to James I and Tokugawa Edict of 1635</t>
  </si>
  <si>
    <t>Identify a similarity or a difference between the treatment of outsiders in the Mughal Empire in the 1750s and the Tokugawa Shogunate in 1635.</t>
  </si>
  <si>
    <t>Multiple</t>
  </si>
  <si>
    <t>Explain the similarity or difference you identified using evidence from both documents.</t>
  </si>
  <si>
    <t>IRV37104</t>
  </si>
  <si>
    <t>JUA27367</t>
  </si>
  <si>
    <t>HMJ88128</t>
  </si>
  <si>
    <t>VIM36434</t>
  </si>
  <si>
    <t>GEY89112</t>
  </si>
  <si>
    <t>XJA95792</t>
  </si>
  <si>
    <t>NPE95670</t>
  </si>
  <si>
    <t>TYB40461</t>
  </si>
  <si>
    <t>KYF53977</t>
  </si>
  <si>
    <t>KOQ20864</t>
  </si>
  <si>
    <t>YJL43166</t>
  </si>
  <si>
    <t>NBB33601</t>
  </si>
  <si>
    <t>PRY28676</t>
  </si>
  <si>
    <t>CUA13132</t>
  </si>
  <si>
    <t>BSC39574</t>
  </si>
  <si>
    <t>WQP13614</t>
  </si>
  <si>
    <t>QZX85356</t>
  </si>
  <si>
    <t>YMW32660</t>
  </si>
  <si>
    <t>JTO50224</t>
  </si>
  <si>
    <t>OYA41269</t>
  </si>
  <si>
    <t>RKB95356</t>
  </si>
  <si>
    <t>ALI86690</t>
  </si>
  <si>
    <t>XZI52182</t>
  </si>
  <si>
    <t>AOJ87475</t>
  </si>
  <si>
    <t>LID92158</t>
  </si>
  <si>
    <t>RNB42487</t>
  </si>
  <si>
    <t>ERI31058</t>
  </si>
  <si>
    <t>RMC48101</t>
  </si>
  <si>
    <t>FHP48293</t>
  </si>
  <si>
    <t>WLU80386</t>
  </si>
  <si>
    <t>MJU44253</t>
  </si>
  <si>
    <t>TWH61493</t>
  </si>
  <si>
    <t>TUD11190</t>
  </si>
  <si>
    <t>BQO32035</t>
  </si>
  <si>
    <t>GZH35654</t>
  </si>
  <si>
    <t>DEH93694</t>
  </si>
  <si>
    <t>ZTS12970</t>
  </si>
  <si>
    <t>SNL78832</t>
  </si>
  <si>
    <t>PAE76784</t>
  </si>
  <si>
    <t>SQT96348</t>
  </si>
  <si>
    <t>PND69183</t>
  </si>
  <si>
    <t>ZTG65553</t>
  </si>
  <si>
    <t>NCC89380</t>
  </si>
  <si>
    <t>OGV62307</t>
  </si>
  <si>
    <t>GGY41496</t>
  </si>
  <si>
    <t>ZRM84184</t>
  </si>
  <si>
    <t>ZVY84429</t>
  </si>
  <si>
    <t>QFF23928</t>
  </si>
  <si>
    <t>ZFI39321</t>
  </si>
  <si>
    <t>SAK32940</t>
  </si>
  <si>
    <t>CCY62645</t>
  </si>
  <si>
    <t>LRD39073</t>
  </si>
  <si>
    <t>ZFW55392</t>
  </si>
  <si>
    <t>ZUZ85484</t>
  </si>
  <si>
    <t>GGF71395</t>
  </si>
  <si>
    <t>BAX29796</t>
  </si>
  <si>
    <t>TWL50281</t>
  </si>
  <si>
    <t>IHP45341</t>
  </si>
  <si>
    <t>QFF13061</t>
  </si>
  <si>
    <t>LND58729</t>
  </si>
  <si>
    <t>OGD80870</t>
  </si>
  <si>
    <t>UCF60506</t>
  </si>
  <si>
    <t>OFB59860</t>
  </si>
  <si>
    <t>PKU98163</t>
  </si>
  <si>
    <t>DJE67758</t>
  </si>
  <si>
    <t>YTD43246</t>
  </si>
  <si>
    <t>AJL10097</t>
  </si>
  <si>
    <t>KKC56827</t>
  </si>
  <si>
    <t>YST56620</t>
  </si>
  <si>
    <t>JDU90102</t>
  </si>
  <si>
    <t>EJI60875</t>
  </si>
  <si>
    <t>ITQ19357</t>
  </si>
  <si>
    <t>IWE28506</t>
  </si>
  <si>
    <t>PCN57081</t>
  </si>
  <si>
    <t>FEN72240</t>
  </si>
  <si>
    <t>JLC23464</t>
  </si>
  <si>
    <t>QFO24091</t>
  </si>
  <si>
    <t>VPT45048</t>
  </si>
  <si>
    <t>WRA67777</t>
  </si>
  <si>
    <t>KAU49795</t>
  </si>
  <si>
    <t>CSC86866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</si>
</sst>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0"/>
      <color rgb="FF000000"/>
      <name val="Arial"/>
      <scheme val="minor"/>
    </font>
    <font>
      <sz val="10"/>
      <color theme="1"/>
      <name val="Arial"/>
      <family val="2"/>
      <scheme val="minor"/>
    </font>
    <font>
      <sz val="10"/>
      <color rgb="FF000000"/>
      <name val="Arial"/>
      <family val="2"/>
      <scheme val="minor"/>
    </font>
    <font>
      <sz val="10"/>
      <color rgb="FF3F4A58"/>
      <name val="Arial"/>
      <family val="2"/>
      <scheme val="minor"/>
    </font>
    <font>
      <sz val="10"/>
      <color rgb="FF000000"/>
      <name val="Tahoma"/>
      <family val="2"/>
    </font>
    <font>
      <b/>
      <sz val="10"/>
      <color rgb="FF000000"/>
      <name val="Tahoma"/>
      <family val="2"/>
    </font>
    <font>
      <b/>
      <sz val="10"/>
      <color theme="1"/>
      <name val="Arial"/>
      <family val="2"/>
      <scheme val="minor"/>
    </font>
    <font>
      <b/>
      <sz val="10"/>
      <color rgb="FF3F4A58"/>
      <name val="Arial"/>
      <family val="2"/>
      <scheme val="minor"/>
    </font>
  </fonts>
  <fills count="4">
    <fill>
      <patternFill patternType="none"/>
    </fill>
    <fill>
      <patternFill patternType="gray125"/>
    </fill>
    <fill>
      <patternFill patternType="solid">
        <fgColor rgb="FFE8EEF4"/>
        <bgColor indexed="64"/>
      </patternFill>
    </fill>
    <fill>
      <patternFill patternType="solid">
        <fgColor rgb="FFF5F8FB"/>
        <bgColor indexed="64"/>
      </patternFill>
    </fill>
  </fills>
  <borders count="13">
    <border>
      <left/>
      <right/>
      <top/>
      <bottom/>
      <diagonal/>
    </border>
    <border>
      <left style="hair">
        <color rgb="FFD8E0E8"/>
      </left>
      <right/>
      <top style="hair">
        <color rgb="FFD8E0E8"/>
      </top>
      <bottom/>
      <diagonal/>
    </border>
    <border>
      <left/>
      <right/>
      <top style="hair">
        <color rgb="FFD8E0E8"/>
      </top>
      <bottom/>
      <diagonal/>
    </border>
    <border>
      <left style="thin">
        <color rgb="FF356854"/>
      </left>
      <right/>
      <top style="hair">
        <color rgb="FFD8E0E8"/>
      </top>
      <bottom/>
      <diagonal/>
    </border>
    <border>
      <left style="hair">
        <color rgb="FFD8E0E8"/>
      </left>
      <right/>
      <top style="thin">
        <color auto="1"/>
      </top>
      <bottom/>
      <diagonal/>
    </border>
    <border>
      <left/>
      <right/>
      <top style="thin">
        <color auto="1"/>
      </top>
      <bottom/>
      <diagonal/>
    </border>
    <border>
      <left style="thin">
        <color rgb="FF356854"/>
      </left>
      <right/>
      <top style="thin">
        <color auto="1"/>
      </top>
      <bottom/>
      <diagonal/>
    </border>
    <border>
      <left style="hair">
        <color rgb="FFD8E0E8"/>
      </left>
      <right/>
      <top style="hair">
        <color rgb="FFECF0F4"/>
      </top>
      <bottom/>
      <diagonal/>
    </border>
    <border>
      <left/>
      <right/>
      <top style="hair">
        <color rgb="FFECF0F4"/>
      </top>
      <bottom/>
      <diagonal/>
    </border>
    <border>
      <left style="thin">
        <color rgb="FF356854"/>
      </left>
      <right/>
      <top style="hair">
        <color rgb="FFECF0F4"/>
      </top>
      <bottom/>
      <diagonal/>
    </border>
    <border>
      <left style="hair">
        <color rgb="FFD8E0E8"/>
      </left>
      <right/>
      <top style="hair">
        <color rgb="FFECF0F4"/>
      </top>
      <bottom style="hair">
        <color rgb="FFD8E0E8"/>
      </bottom>
      <diagonal/>
    </border>
    <border>
      <left/>
      <right/>
      <top style="hair">
        <color rgb="FFECF0F4"/>
      </top>
      <bottom style="hair">
        <color rgb="FFD8E0E8"/>
      </bottom>
      <diagonal/>
    </border>
    <border>
      <left style="thin">
        <color rgb="FF356854"/>
      </left>
      <right/>
      <top style="hair">
        <color rgb="FFECF0F4"/>
      </top>
      <bottom style="hair">
        <color rgb="FFD8E0E8"/>
      </bottom>
      <diagonal/>
    </border>
  </borders>
  <cellStyleXfs count="2">
    <xf numFmtId="0" fontId="0" fillId="0" borderId="0"/>
    <xf numFmtId="0" fontId="2" fillId="0" borderId="0"/>
  </cellStyleXfs>
  <cellXfs count="40">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xf numFmtId="164" fontId="0" fillId="0" borderId="0" xfId="0" applyNumberFormat="1"/>
    <xf numFmtId="2" fontId="0" fillId="0" borderId="0" xfId="0" applyNumberFormat="1"/>
    <xf numFmtId="0" fontId="0" fillId="0" borderId="0" xfId="0"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7" fillId="2"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7" fillId="2"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6" fillId="2"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3" fillId="3" borderId="6"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3"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1" fillId="3" borderId="6" xfId="0" applyFont="1" applyFill="1" applyBorder="1" applyAlignment="1">
      <alignment horizontal="center" vertical="center"/>
    </xf>
    <xf numFmtId="9" fontId="1" fillId="3" borderId="5" xfId="0" applyNumberFormat="1"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3" fillId="0" borderId="9" xfId="0" applyFont="1" applyBorder="1" applyAlignment="1">
      <alignment horizontal="center" vertical="center"/>
      <extLst>
        <ext xmlns:xfpb="http://schemas.microsoft.com/office/spreadsheetml/2022/featurepropertybag" uri="{C7286773-470A-42A8-94C5-96B5CB345126}">
          <xfpb:xfComplement i="0"/>
        </ext>
      </extLst>
    </xf>
    <xf numFmtId="0" fontId="3" fillId="0" borderId="8" xfId="0" applyFont="1" applyBorder="1" applyAlignment="1">
      <alignment horizontal="center" vertical="center"/>
      <extLst>
        <ext xmlns:xfpb="http://schemas.microsoft.com/office/spreadsheetml/2022/featurepropertybag" uri="{C7286773-470A-42A8-94C5-96B5CB345126}">
          <xfpb:xfComplement i="0"/>
        </ext>
      </extLst>
    </xf>
    <xf numFmtId="0" fontId="1" fillId="0" borderId="9" xfId="0" applyFont="1" applyBorder="1" applyAlignment="1">
      <alignment horizontal="center" vertical="center"/>
    </xf>
    <xf numFmtId="9" fontId="1" fillId="0" borderId="8" xfId="0" applyNumberFormat="1" applyFont="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3" fillId="3" borderId="9"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3" borderId="8" xfId="0" applyFont="1" applyFill="1" applyBorder="1" applyAlignment="1">
      <alignment horizontal="center" vertical="center"/>
      <extLst>
        <ext xmlns:xfpb="http://schemas.microsoft.com/office/spreadsheetml/2022/featurepropertybag" uri="{C7286773-470A-42A8-94C5-96B5CB345126}">
          <xfpb:xfComplement i="0"/>
        </ext>
      </extLst>
    </xf>
    <xf numFmtId="0" fontId="1" fillId="3" borderId="9" xfId="0" applyFont="1" applyFill="1" applyBorder="1" applyAlignment="1">
      <alignment horizontal="center" vertical="center"/>
    </xf>
    <xf numFmtId="9" fontId="1" fillId="3" borderId="8" xfId="0" applyNumberFormat="1"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3" fillId="3" borderId="12"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3" borderId="11" xfId="0" applyFont="1" applyFill="1" applyBorder="1" applyAlignment="1">
      <alignment horizontal="center" vertical="center"/>
      <extLst>
        <ext xmlns:xfpb="http://schemas.microsoft.com/office/spreadsheetml/2022/featurepropertybag" uri="{C7286773-470A-42A8-94C5-96B5CB345126}">
          <xfpb:xfComplement i="0"/>
        </ext>
      </extLst>
    </xf>
    <xf numFmtId="0" fontId="1" fillId="3" borderId="12" xfId="0" applyFont="1" applyFill="1" applyBorder="1" applyAlignment="1">
      <alignment horizontal="center" vertical="center"/>
    </xf>
    <xf numFmtId="9" fontId="1" fillId="3" borderId="11" xfId="0" applyNumberFormat="1" applyFont="1" applyFill="1" applyBorder="1" applyAlignment="1">
      <alignment horizontal="center" vertical="center"/>
    </xf>
  </cellXfs>
  <cellStyles count="2">
    <cellStyle name="Normal" xfId="0" builtinId="0"/>
    <cellStyle name="Normal 2" xfId="1" xr:uid="{E24C90E3-2734-B149-B611-0E6AC5E040E3}"/>
  </cellStyles>
  <dxfs count="59">
    <dxf>
      <font>
        <color rgb="FFBB463C"/>
      </font>
      <fill>
        <patternFill patternType="solid">
          <fgColor rgb="FFFFD9D6"/>
          <bgColor rgb="FFFFD9D6"/>
        </patternFill>
      </fil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style="thin">
          <color rgb="FF356854"/>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style="thin">
          <color rgb="FF356854"/>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style="thin">
          <color rgb="FF356854"/>
        </left>
        <right/>
        <top style="hair">
          <color rgb="FFECF0F4"/>
        </top>
        <bottom/>
        <vertical/>
        <horizontal/>
      </border>
    </dxf>
    <dxf>
      <font>
        <b val="0"/>
        <i val="0"/>
        <strike val="0"/>
        <condense val="0"/>
        <extend val="0"/>
        <outline val="0"/>
        <shadow val="0"/>
        <u val="none"/>
        <vertAlign val="baseline"/>
        <sz val="10"/>
        <color theme="1"/>
        <name val="Arial"/>
        <family val="2"/>
        <scheme val="minor"/>
      </font>
      <numFmt numFmtId="13" formatCode="0%"/>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style="thin">
          <color rgb="FF356854"/>
        </left>
        <right/>
        <top style="hair">
          <color rgb="FFECF0F4"/>
        </top>
        <bottom/>
        <vertical/>
        <horizontal/>
      </border>
    </dxf>
    <dxf>
      <font>
        <b val="0"/>
        <i val="0"/>
        <strike val="0"/>
        <condense val="0"/>
        <extend val="0"/>
        <outline val="0"/>
        <shadow val="0"/>
        <u val="none"/>
        <vertAlign val="baseline"/>
        <sz val="10"/>
        <color rgb="FF3F4A58"/>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rgb="FF3F4A58"/>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style="thin">
          <color rgb="FF356854"/>
        </left>
        <right/>
        <top style="hair">
          <color rgb="FFECF0F4"/>
        </top>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right/>
        <top style="hair">
          <color rgb="FFECF0F4"/>
        </top>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border diagonalUp="0" diagonalDown="0">
        <left style="hair">
          <color rgb="FFD8E0E8"/>
        </left>
        <right/>
        <top style="hair">
          <color rgb="FFECF0F4"/>
        </top>
        <bottom/>
        <vertical/>
        <horizontal/>
      </border>
    </dxf>
    <dxf>
      <alignment horizontal="center" vertical="center" textRotation="0" wrapText="0" indent="0" justifyLastLine="0" shrinkToFit="0" readingOrder="0"/>
    </dxf>
    <dxf>
      <border outline="0">
        <right style="hair">
          <color rgb="FFD8E0E8"/>
        </right>
      </border>
    </dxf>
    <dxf>
      <font>
        <b val="0"/>
        <i val="0"/>
        <strike val="0"/>
        <condense val="0"/>
        <extend val="0"/>
        <outline val="0"/>
        <shadow val="0"/>
        <u val="none"/>
        <vertAlign val="baseline"/>
        <sz val="10"/>
        <color theme="1"/>
        <name val="Arial"/>
        <family val="2"/>
        <scheme val="minor"/>
      </font>
      <fill>
        <patternFill patternType="solid">
          <fgColor indexed="64"/>
          <bgColor rgb="FFF5F8FB"/>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minor"/>
      </font>
      <fill>
        <patternFill patternType="solid">
          <fgColor indexed="64"/>
          <bgColor rgb="FFE8EEF4"/>
        </patternFill>
      </fill>
      <alignment horizontal="center" vertical="center" textRotation="0" wrapText="0" indent="0" justifyLastLine="0" shrinkToFit="0" readingOrder="0"/>
    </dxf>
    <dxf>
      <fill>
        <patternFill>
          <bgColor rgb="FFF5F8FB"/>
        </patternFill>
      </fill>
    </dxf>
    <dxf>
      <fill>
        <patternFill>
          <bgColor rgb="FFE8EEF4"/>
        </patternFill>
      </fill>
      <border>
        <top style="thin">
          <color auto="1"/>
        </top>
      </border>
    </dxf>
    <dxf>
      <font>
        <b/>
        <i val="0"/>
        <color rgb="FF2A3F54"/>
      </font>
      <fill>
        <patternFill>
          <bgColor rgb="FFE8EEF4"/>
        </patternFill>
      </fill>
      <border>
        <bottom style="thin">
          <color auto="1"/>
        </bottom>
      </border>
    </dxf>
    <dxf>
      <font>
        <color rgb="FF3A4654"/>
      </font>
      <border>
        <left style="hair">
          <color rgb="FFD8E0E8"/>
        </left>
        <right style="hair">
          <color rgb="FFD8E0E8"/>
        </right>
        <top style="hair">
          <color rgb="FFD8E0E8"/>
        </top>
        <bottom style="hair">
          <color rgb="FFD8E0E8"/>
        </bottom>
        <horizontal style="hair">
          <color rgb="FFECF0F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6">
    <tableStyle name="Questions-style" pivot="0" count="4" xr9:uid="{00000000-0011-0000-FFFF-FFFF00000000}">
      <tableStyleElement type="wholeTable" size="0" dxfId="58"/>
      <tableStyleElement type="headerRow" dxfId="57"/>
      <tableStyleElement type="firstRowStripe" dxfId="56"/>
      <tableStyleElement type="secondRowStripe" dxfId="55"/>
    </tableStyle>
    <tableStyle name="Task Models-style" pivot="0" count="4" xr9:uid="{00000000-0011-0000-FFFF-FFFF01000000}">
      <tableStyleElement type="wholeTable" size="0" dxfId="54"/>
      <tableStyleElement type="headerRow" dxfId="53"/>
      <tableStyleElement type="firstRowStripe" dxfId="52"/>
      <tableStyleElement type="secondRowStripe" dxfId="51"/>
    </tableStyle>
    <tableStyle name="Scores-style" pivot="0" count="4" xr9:uid="{00000000-0011-0000-FFFF-FFFF02000000}">
      <tableStyleElement type="wholeTable" size="0" dxfId="50"/>
      <tableStyleElement type="headerRow" dxfId="49"/>
      <tableStyleElement type="firstRowStripe" dxfId="48"/>
      <tableStyleElement type="secondRowStripe" dxfId="47"/>
    </tableStyle>
    <tableStyle name="Skill Standards-style" pivot="0" count="4" xr9:uid="{00000000-0011-0000-FFFF-FFFF03000000}">
      <tableStyleElement type="wholeTable" size="0" dxfId="46"/>
      <tableStyleElement type="headerRow" dxfId="45"/>
      <tableStyleElement type="firstRowStripe" dxfId="44"/>
      <tableStyleElement type="secondRowStripe" dxfId="43"/>
    </tableStyle>
    <tableStyle name="Content Standards-style" pivot="0" count="4" xr9:uid="{00000000-0011-0000-FFFF-FFFF04000000}">
      <tableStyleElement type="wholeTable" size="0" dxfId="42"/>
      <tableStyleElement type="headerRow" dxfId="41"/>
      <tableStyleElement type="firstRowStripe" dxfId="40"/>
      <tableStyleElement type="secondRowStripe" dxfId="39"/>
    </tableStyle>
    <tableStyle name="Light and Airy" count="4" xr9:uid="{D3C6459B-EC7F-4F41-B005-22E80AE40871}">
      <tableStyleElement type="wholeTable" dxfId="38"/>
      <tableStyleElement type="headerRow" dxfId="37"/>
      <tableStyleElement type="totalRow" dxfId="36"/>
      <tableStyleElement type="first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7B861-B9F2-C349-9CEE-8CA337C06ED3}" name="Scores" displayName="Scores" ref="A1:AB82" totalsRowShown="0" headerRowDxfId="34" dataDxfId="33" tableBorderDxfId="32">
  <autoFilter ref="A1:AB82" xr:uid="{0FB7B861-B9F2-C349-9CEE-8CA337C06ED3}"/>
  <tableColumns count="28">
    <tableColumn id="1" xr3:uid="{BDA62A2B-B3CF-1C42-B26C-859C05903E15}" name="Key" dataDxfId="31"/>
    <tableColumn id="2" xr3:uid="{B0B24296-AFCF-A649-81B0-797BEB307C4C}" name="Class" dataDxfId="30"/>
    <tableColumn id="3" xr3:uid="{3E4EABAF-90C9-9E45-B32C-3EE0290EB454}" name="Period" dataDxfId="29"/>
    <tableColumn id="4" xr3:uid="{C8AD8DDD-6CF2-B44B-9413-E525D4CC5073}" name="ELL" dataDxfId="28"/>
    <tableColumn id="5" xr3:uid="{D7AFA008-A5EC-0A49-B514-792B12195C8D}" name="IEP" dataDxfId="27"/>
    <tableColumn id="6" xr3:uid="{B389A40C-5893-DD4D-8A49-52AC9F46E8DC}" name="MC" dataDxfId="26">
      <calculatedColumnFormula>SUM(U2:AB2)</calculatedColumnFormula>
    </tableColumn>
    <tableColumn id="7" xr3:uid="{6D925722-96DA-1749-A527-ACB45D97657F}" name="CRQ" dataDxfId="25">
      <calculatedColumnFormula>SUM(Q2:T2)</calculatedColumnFormula>
    </tableColumn>
    <tableColumn id="8" xr3:uid="{D6CC8E81-E712-E74D-B287-58B154A14A59}" name="Final" dataDxfId="24">
      <calculatedColumnFormula>SUM(F2:G2)/12</calculatedColumnFormula>
    </tableColumn>
    <tableColumn id="9" xr3:uid="{D1D28B64-20BB-A248-9F60-F9562825ED9A}" name="1" dataDxfId="23"/>
    <tableColumn id="10" xr3:uid="{DD495C25-BB33-2345-91D2-F162C405127D}" name="2" dataDxfId="22"/>
    <tableColumn id="11" xr3:uid="{877B2BEA-ABD1-4141-9BCB-AE69EC7CD0E1}" name="3" dataDxfId="21"/>
    <tableColumn id="12" xr3:uid="{E3553FF6-A35E-F24D-8F9B-FDFF853CA939}" name="4" dataDxfId="20"/>
    <tableColumn id="13" xr3:uid="{F53C2052-E00C-5D47-94E2-6EEAA85E072A}" name="5" dataDxfId="19"/>
    <tableColumn id="14" xr3:uid="{35F06D73-5AA1-6B40-9E5F-B9B979ED3AEF}" name="6" dataDxfId="18"/>
    <tableColumn id="15" xr3:uid="{39F41D5F-D329-AA46-8E9E-8ADB32807EA2}" name="7" dataDxfId="17"/>
    <tableColumn id="16" xr3:uid="{C1B096E8-3D38-8940-97B2-71D100A0AEFE}" name="8" dataDxfId="16"/>
    <tableColumn id="17" xr3:uid="{939E4559-1632-1F41-9C13-FEDC9442CD17}" name="9" dataDxfId="15"/>
    <tableColumn id="18" xr3:uid="{76B6A234-B47B-5648-88B2-B69A0A91AA7F}" name="10" dataDxfId="14"/>
    <tableColumn id="19" xr3:uid="{4572F0CE-AA1A-FA40-B8BC-8D9A1BE127FD}" name="11a" dataDxfId="13"/>
    <tableColumn id="20" xr3:uid="{E57F7912-B3EE-6546-A077-CCEDE62E69CB}" name="11b" dataDxfId="12"/>
    <tableColumn id="21" xr3:uid="{BE7F2F6D-BF60-B946-A037-26D6B1B11F6E}" name="Q1" dataDxfId="11">
      <calculatedColumnFormula>IF(I2=VLOOKUP(VALUE(I$1),Questions[#All],5,FALSE),1,0)</calculatedColumnFormula>
    </tableColumn>
    <tableColumn id="22" xr3:uid="{063CA0F4-6645-C64D-83B7-DC255660A115}" name="Q2" dataDxfId="10">
      <calculatedColumnFormula>IF(J2=VLOOKUP(VALUE(J$1),Questions[#All],5,FALSE),1,0)</calculatedColumnFormula>
    </tableColumn>
    <tableColumn id="23" xr3:uid="{D9FF7CCF-E3CE-E346-BDFA-80BAB418F49E}" name="Q3" dataDxfId="9">
      <calculatedColumnFormula>IF(K2=VLOOKUP(VALUE(K$1),Questions[#All],5,FALSE),1,0)</calculatedColumnFormula>
    </tableColumn>
    <tableColumn id="24" xr3:uid="{09C89755-22BC-4447-9D0A-0863BC742B45}" name="Q4" dataDxfId="8">
      <calculatedColumnFormula>IF(L2=VLOOKUP(VALUE(L$1),Questions[#All],5,FALSE),1,0)</calculatedColumnFormula>
    </tableColumn>
    <tableColumn id="25" xr3:uid="{BE88876E-C474-3643-A5CC-00B7AD3AA5C8}" name="Q5" dataDxfId="7">
      <calculatedColumnFormula>IF(M2=VLOOKUP(VALUE(M$1),Questions[#All],5,FALSE),1,0)</calculatedColumnFormula>
    </tableColumn>
    <tableColumn id="26" xr3:uid="{2DCEBFD7-23EB-8042-A4B6-1DE27B9DBEEB}" name="Q6" dataDxfId="6">
      <calculatedColumnFormula>IF(N2=VLOOKUP(VALUE(N$1),Questions[#All],5,FALSE),1,0)</calculatedColumnFormula>
    </tableColumn>
    <tableColumn id="27" xr3:uid="{6279084C-A701-514B-80D0-60A3AC2988F8}" name="Q7" dataDxfId="5">
      <calculatedColumnFormula>IF(O2=VLOOKUP(VALUE(O$1),Questions[#All],5,FALSE),1,0)</calculatedColumnFormula>
    </tableColumn>
    <tableColumn id="28" xr3:uid="{9F80D501-AEF1-0045-854D-12FF8420DBD3}" name="Q8" dataDxfId="4">
      <calculatedColumnFormula>IF(P2=VLOOKUP(VALUE(P$1),Questions[#All],5,FALSE),1,0)</calculatedColumnFormula>
    </tableColumn>
  </tableColumns>
  <tableStyleInfo name="Light and Air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ions" displayName="Questions" ref="A1:Q13">
  <tableColumns count="17">
    <tableColumn id="1" xr3:uid="{00000000-0010-0000-0100-000001000000}" name="#"/>
    <tableColumn id="2" xr3:uid="{00000000-0010-0000-0100-000002000000}" name="Part"/>
    <tableColumn id="3" xr3:uid="{00000000-0010-0000-0100-000003000000}" name="Stimulus"/>
    <tableColumn id="4" xr3:uid="{00000000-0010-0000-0100-000004000000}" name="Question"/>
    <tableColumn id="5" xr3:uid="{00000000-0010-0000-0100-000005000000}" name="Key"/>
    <tableColumn id="6" xr3:uid="{00000000-0010-0000-0100-000006000000}" name="Option_1"/>
    <tableColumn id="7" xr3:uid="{00000000-0010-0000-0100-000007000000}" name="Option_2"/>
    <tableColumn id="8" xr3:uid="{00000000-0010-0000-0100-000008000000}" name="Option_3"/>
    <tableColumn id="9" xr3:uid="{00000000-0010-0000-0100-000009000000}" name="Option_4"/>
    <tableColumn id="10" xr3:uid="{00000000-0010-0000-0100-00000A000000}" name="Stimulus_type"/>
    <tableColumn id="11" xr3:uid="{00000000-0010-0000-0100-00000B000000}" name="Source_type"/>
    <tableColumn id="12" xr3:uid="{00000000-0010-0000-0100-00000C000000}" name="Task_model"/>
    <tableColumn id="13" xr3:uid="{00000000-0010-0000-0100-00000D000000}" name="Skill_standard"/>
    <tableColumn id="14" xr3:uid="{00000000-0010-0000-0100-00000E000000}" name="Need_OI?"/>
    <tableColumn id="15" xr3:uid="{00000000-0010-0000-0100-00000F000000}" name="Content_standard"/>
    <tableColumn id="16" xr3:uid="{00000000-0010-0000-0100-000010000000}" name="Pct_Correct" dataDxfId="3">
      <calculatedColumnFormula>AVERAGE(INDEX(Scores!$U$2:$AB$82,0,Questions[[#This Row],['#]]))</calculatedColumnFormula>
    </tableColumn>
    <tableColumn id="17" xr3:uid="{00000000-0010-0000-0100-000011000000}" name="Point_Biserial" dataDxfId="2">
      <calculatedColumnFormula array="1">_xlfn.LET(_xlpm.item,INDEX(Scores!$U$2:$AB$82,0,Questions[[#This Row],['#]]),CORREL(_xlpm.item,Scores!$F$2:$F$82-_xlpm.item))</calculatedColumnFormula>
    </tableColumn>
  </tableColumns>
  <tableStyleInfo name="Light and Airy"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B19">
  <tableColumns count="2">
    <tableColumn id="1" xr3:uid="{00000000-0010-0000-0200-000001000000}" name="Model"/>
    <tableColumn id="2" xr3:uid="{00000000-0010-0000-0200-000002000000}" name="Detail"/>
  </tableColumns>
  <tableStyleInfo name="Light and Airy"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1:C42">
  <tableColumns count="3">
    <tableColumn id="1" xr3:uid="{00000000-0010-0000-0300-000001000000}" name="Standard"/>
    <tableColumn id="2" xr3:uid="{00000000-0010-0000-0300-000002000000}" name="Concept"/>
    <tableColumn id="3" xr3:uid="{00000000-0010-0000-0300-000003000000}" name="Specification"/>
  </tableColumns>
  <tableStyleInfo name="Light and Airy"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1:D178">
  <tableColumns count="4">
    <tableColumn id="1" xr3:uid="{00000000-0010-0000-0400-000001000000}" name="#"/>
    <tableColumn id="2" xr3:uid="{00000000-0010-0000-0400-000002000000}" name="Framework"/>
    <tableColumn id="3" xr3:uid="{00000000-0010-0000-0400-000003000000}" name="Specifications"/>
    <tableColumn id="4" xr3:uid="{37E3D24F-9292-BD43-B3FC-16D6A7D0B3AB}" name="Concatenated" dataDxfId="1">
      <calculatedColumnFormula>_xlfn.CONCAT(Table3[[#This Row],['#]],": ",Table3[[#This Row],[Framework]])</calculatedColumnFormula>
    </tableColumn>
  </tableColumns>
  <tableStyleInfo name="Light and Airy"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98D88C-0534-5547-8769-1B5A76224AC8}">
  <we:reference id="WA200009404" version="1.0.0.8" store="Omex" storeType="OMEX"/>
  <we:alternateReferences>
    <we:reference id="WA200009404" version="1.0.0.8" store="WA200009404" storeType="OMEX"/>
  </we:alternateReferences>
  <we:properties>
    <we:property name="claude.fileId" value="&quot;563beb48-9926-4e68-9d68-8992f78c724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82"/>
  <sheetViews>
    <sheetView showGridLines="0" tabSelected="1" workbookViewId="0">
      <pane xSplit="1" ySplit="1" topLeftCell="B60" activePane="bottomRight" state="frozen"/>
      <selection pane="topRight" activeCell="B1" sqref="B1"/>
      <selection pane="bottomLeft" activeCell="A2" sqref="A2"/>
      <selection pane="bottomRight" sqref="A1:A1048576"/>
    </sheetView>
  </sheetViews>
  <sheetFormatPr baseColWidth="10" defaultColWidth="12.6640625" defaultRowHeight="15.75" customHeight="1" outlineLevelCol="1" x14ac:dyDescent="0.15"/>
  <cols>
    <col min="1" max="1" width="12.6640625" style="10"/>
    <col min="2" max="2" width="12.83203125" customWidth="1"/>
    <col min="3" max="3" width="10.1640625" style="8" customWidth="1"/>
    <col min="4" max="5" width="10.1640625" style="5" customWidth="1"/>
    <col min="6" max="20" width="10.1640625" customWidth="1"/>
    <col min="21" max="28" width="10.1640625" customWidth="1" outlineLevel="1"/>
  </cols>
  <sheetData>
    <row r="1" spans="1:28" ht="22.5" customHeight="1" x14ac:dyDescent="0.15">
      <c r="A1" s="9" t="s">
        <v>12</v>
      </c>
      <c r="B1" s="11" t="s">
        <v>6</v>
      </c>
      <c r="C1" s="12" t="s">
        <v>8</v>
      </c>
      <c r="D1" s="13" t="s">
        <v>10</v>
      </c>
      <c r="E1" s="14" t="s">
        <v>17</v>
      </c>
      <c r="F1" s="15" t="s">
        <v>20</v>
      </c>
      <c r="G1" s="12" t="s">
        <v>23</v>
      </c>
      <c r="H1" s="12" t="s">
        <v>26</v>
      </c>
      <c r="I1" s="15" t="s">
        <v>30</v>
      </c>
      <c r="J1" s="12" t="s">
        <v>32</v>
      </c>
      <c r="K1" s="12" t="s">
        <v>34</v>
      </c>
      <c r="L1" s="12" t="s">
        <v>36</v>
      </c>
      <c r="M1" s="12" t="s">
        <v>38</v>
      </c>
      <c r="N1" s="12" t="s">
        <v>39</v>
      </c>
      <c r="O1" s="12" t="s">
        <v>41</v>
      </c>
      <c r="P1" s="12" t="s">
        <v>43</v>
      </c>
      <c r="Q1" s="15" t="s">
        <v>53</v>
      </c>
      <c r="R1" s="12" t="s">
        <v>55</v>
      </c>
      <c r="S1" s="12" t="s">
        <v>57</v>
      </c>
      <c r="T1" s="12" t="s">
        <v>58</v>
      </c>
      <c r="U1" s="15" t="s">
        <v>60</v>
      </c>
      <c r="V1" s="12" t="s">
        <v>63</v>
      </c>
      <c r="W1" s="12" t="s">
        <v>65</v>
      </c>
      <c r="X1" s="12" t="s">
        <v>67</v>
      </c>
      <c r="Y1" s="12" t="s">
        <v>70</v>
      </c>
      <c r="Z1" s="12" t="s">
        <v>72</v>
      </c>
      <c r="AA1" s="12" t="s">
        <v>74</v>
      </c>
      <c r="AB1" s="12" t="s">
        <v>77</v>
      </c>
    </row>
    <row r="2" spans="1:28" ht="22.5" customHeight="1" x14ac:dyDescent="0.15">
      <c r="A2" s="10" t="s">
        <v>775</v>
      </c>
      <c r="B2" s="16" t="s">
        <v>69</v>
      </c>
      <c r="C2" s="17">
        <v>8</v>
      </c>
      <c r="D2" s="18" t="b">
        <v>0</v>
      </c>
      <c r="E2" s="19" t="b">
        <v>0</v>
      </c>
      <c r="F2" s="20">
        <f t="shared" ref="F2:F82" si="0">SUM(U2:AB2)</f>
        <v>8</v>
      </c>
      <c r="G2" s="17">
        <f t="shared" ref="G2:G82" si="1">SUM(Q2:T2)</f>
        <v>0</v>
      </c>
      <c r="H2" s="21">
        <f t="shared" ref="H2:H82" si="2">SUM(F2:G2)/12</f>
        <v>0.66666666666666663</v>
      </c>
      <c r="I2" s="20">
        <v>2</v>
      </c>
      <c r="J2" s="17">
        <v>2</v>
      </c>
      <c r="K2" s="17">
        <v>1</v>
      </c>
      <c r="L2" s="17">
        <v>3</v>
      </c>
      <c r="M2" s="17">
        <v>2</v>
      </c>
      <c r="N2" s="17">
        <v>3</v>
      </c>
      <c r="O2" s="17">
        <v>3</v>
      </c>
      <c r="P2" s="17">
        <v>3</v>
      </c>
      <c r="Q2" s="20"/>
      <c r="R2" s="17"/>
      <c r="S2" s="17"/>
      <c r="T2" s="17"/>
      <c r="U2" s="20">
        <f>IF(I2=VLOOKUP(VALUE(I$1),Questions[#All],5,FALSE),1,0)</f>
        <v>1</v>
      </c>
      <c r="V2" s="17">
        <f>IF(J2=VLOOKUP(VALUE(J$1),Questions[#All],5,FALSE),1,0)</f>
        <v>1</v>
      </c>
      <c r="W2" s="17">
        <f>IF(K2=VLOOKUP(VALUE(K$1),Questions[#All],5,FALSE),1,0)</f>
        <v>1</v>
      </c>
      <c r="X2" s="17">
        <f>IF(L2=VLOOKUP(VALUE(L$1),Questions[#All],5,FALSE),1,0)</f>
        <v>1</v>
      </c>
      <c r="Y2" s="17">
        <f>IF(M2=VLOOKUP(VALUE(M$1),Questions[#All],5,FALSE),1,0)</f>
        <v>1</v>
      </c>
      <c r="Z2" s="17">
        <f>IF(N2=VLOOKUP(VALUE(N$1),Questions[#All],5,FALSE),1,0)</f>
        <v>1</v>
      </c>
      <c r="AA2" s="17">
        <f>IF(O2=VLOOKUP(VALUE(O$1),Questions[#All],5,FALSE),1,0)</f>
        <v>1</v>
      </c>
      <c r="AB2" s="17">
        <f>IF(P2=VLOOKUP(VALUE(P$1),Questions[#All],5,FALSE),1,0)</f>
        <v>1</v>
      </c>
    </row>
    <row r="3" spans="1:28" ht="22.5" customHeight="1" x14ac:dyDescent="0.15">
      <c r="A3" s="10" t="s">
        <v>776</v>
      </c>
      <c r="B3" s="22" t="s">
        <v>69</v>
      </c>
      <c r="C3" s="23">
        <v>8</v>
      </c>
      <c r="D3" s="24" t="b">
        <v>0</v>
      </c>
      <c r="E3" s="25" t="b">
        <v>0</v>
      </c>
      <c r="F3" s="26">
        <f t="shared" si="0"/>
        <v>3</v>
      </c>
      <c r="G3" s="23">
        <f t="shared" si="1"/>
        <v>0</v>
      </c>
      <c r="H3" s="27">
        <f t="shared" si="2"/>
        <v>0.25</v>
      </c>
      <c r="I3" s="26">
        <v>2</v>
      </c>
      <c r="J3" s="23">
        <v>2</v>
      </c>
      <c r="K3" s="23">
        <v>3</v>
      </c>
      <c r="L3" s="23">
        <v>1</v>
      </c>
      <c r="M3" s="23">
        <v>4</v>
      </c>
      <c r="N3" s="23">
        <v>2</v>
      </c>
      <c r="O3" s="23">
        <v>3</v>
      </c>
      <c r="P3" s="23">
        <v>1</v>
      </c>
      <c r="Q3" s="26"/>
      <c r="R3" s="23"/>
      <c r="S3" s="23"/>
      <c r="T3" s="23"/>
      <c r="U3" s="26">
        <f>IF(I3=VLOOKUP(VALUE(I$1),Questions[#All],5,FALSE),1,0)</f>
        <v>1</v>
      </c>
      <c r="V3" s="23">
        <f>IF(J3=VLOOKUP(VALUE(J$1),Questions[#All],5,FALSE),1,0)</f>
        <v>1</v>
      </c>
      <c r="W3" s="23">
        <f>IF(K3=VLOOKUP(VALUE(K$1),Questions[#All],5,FALSE),1,0)</f>
        <v>0</v>
      </c>
      <c r="X3" s="23">
        <f>IF(L3=VLOOKUP(VALUE(L$1),Questions[#All],5,FALSE),1,0)</f>
        <v>0</v>
      </c>
      <c r="Y3" s="23">
        <f>IF(M3=VLOOKUP(VALUE(M$1),Questions[#All],5,FALSE),1,0)</f>
        <v>0</v>
      </c>
      <c r="Z3" s="23">
        <f>IF(N3=VLOOKUP(VALUE(N$1),Questions[#All],5,FALSE),1,0)</f>
        <v>0</v>
      </c>
      <c r="AA3" s="23">
        <f>IF(O3=VLOOKUP(VALUE(O$1),Questions[#All],5,FALSE),1,0)</f>
        <v>1</v>
      </c>
      <c r="AB3" s="23">
        <f>IF(P3=VLOOKUP(VALUE(P$1),Questions[#All],5,FALSE),1,0)</f>
        <v>0</v>
      </c>
    </row>
    <row r="4" spans="1:28" ht="22.5" customHeight="1" x14ac:dyDescent="0.15">
      <c r="A4" s="10" t="s">
        <v>777</v>
      </c>
      <c r="B4" s="28" t="s">
        <v>69</v>
      </c>
      <c r="C4" s="29">
        <v>8</v>
      </c>
      <c r="D4" s="30" t="b">
        <v>0</v>
      </c>
      <c r="E4" s="31" t="b">
        <v>0</v>
      </c>
      <c r="F4" s="32">
        <f t="shared" si="0"/>
        <v>4</v>
      </c>
      <c r="G4" s="29">
        <f t="shared" si="1"/>
        <v>0</v>
      </c>
      <c r="H4" s="33">
        <f t="shared" si="2"/>
        <v>0.33333333333333331</v>
      </c>
      <c r="I4" s="32">
        <v>1</v>
      </c>
      <c r="J4" s="29">
        <v>2</v>
      </c>
      <c r="K4" s="29">
        <v>3</v>
      </c>
      <c r="L4" s="29">
        <v>3</v>
      </c>
      <c r="M4" s="29">
        <v>2</v>
      </c>
      <c r="N4" s="29">
        <v>4</v>
      </c>
      <c r="O4" s="29">
        <v>1</v>
      </c>
      <c r="P4" s="29">
        <v>3</v>
      </c>
      <c r="Q4" s="32"/>
      <c r="R4" s="29"/>
      <c r="S4" s="29"/>
      <c r="T4" s="29"/>
      <c r="U4" s="32">
        <f>IF(I4=VLOOKUP(VALUE(I$1),Questions[#All],5,FALSE),1,0)</f>
        <v>0</v>
      </c>
      <c r="V4" s="29">
        <f>IF(J4=VLOOKUP(VALUE(J$1),Questions[#All],5,FALSE),1,0)</f>
        <v>1</v>
      </c>
      <c r="W4" s="29">
        <f>IF(K4=VLOOKUP(VALUE(K$1),Questions[#All],5,FALSE),1,0)</f>
        <v>0</v>
      </c>
      <c r="X4" s="29">
        <f>IF(L4=VLOOKUP(VALUE(L$1),Questions[#All],5,FALSE),1,0)</f>
        <v>1</v>
      </c>
      <c r="Y4" s="29">
        <f>IF(M4=VLOOKUP(VALUE(M$1),Questions[#All],5,FALSE),1,0)</f>
        <v>1</v>
      </c>
      <c r="Z4" s="29">
        <f>IF(N4=VLOOKUP(VALUE(N$1),Questions[#All],5,FALSE),1,0)</f>
        <v>0</v>
      </c>
      <c r="AA4" s="29">
        <f>IF(O4=VLOOKUP(VALUE(O$1),Questions[#All],5,FALSE),1,0)</f>
        <v>0</v>
      </c>
      <c r="AB4" s="29">
        <f>IF(P4=VLOOKUP(VALUE(P$1),Questions[#All],5,FALSE),1,0)</f>
        <v>1</v>
      </c>
    </row>
    <row r="5" spans="1:28" ht="22.5" customHeight="1" x14ac:dyDescent="0.15">
      <c r="A5" s="10" t="s">
        <v>778</v>
      </c>
      <c r="B5" s="22" t="s">
        <v>69</v>
      </c>
      <c r="C5" s="23">
        <v>8</v>
      </c>
      <c r="D5" s="24" t="b">
        <v>0</v>
      </c>
      <c r="E5" s="25" t="b">
        <v>0</v>
      </c>
      <c r="F5" s="26">
        <f t="shared" si="0"/>
        <v>7</v>
      </c>
      <c r="G5" s="23">
        <f t="shared" si="1"/>
        <v>0</v>
      </c>
      <c r="H5" s="27">
        <f t="shared" si="2"/>
        <v>0.58333333333333337</v>
      </c>
      <c r="I5" s="26">
        <v>1</v>
      </c>
      <c r="J5" s="23">
        <v>2</v>
      </c>
      <c r="K5" s="23">
        <v>1</v>
      </c>
      <c r="L5" s="23">
        <v>3</v>
      </c>
      <c r="M5" s="23">
        <v>2</v>
      </c>
      <c r="N5" s="23">
        <v>3</v>
      </c>
      <c r="O5" s="23">
        <v>3</v>
      </c>
      <c r="P5" s="23">
        <v>3</v>
      </c>
      <c r="Q5" s="26"/>
      <c r="R5" s="23"/>
      <c r="S5" s="23"/>
      <c r="T5" s="23"/>
      <c r="U5" s="26">
        <f>IF(I5=VLOOKUP(VALUE(I$1),Questions[#All],5,FALSE),1,0)</f>
        <v>0</v>
      </c>
      <c r="V5" s="23">
        <f>IF(J5=VLOOKUP(VALUE(J$1),Questions[#All],5,FALSE),1,0)</f>
        <v>1</v>
      </c>
      <c r="W5" s="23">
        <f>IF(K5=VLOOKUP(VALUE(K$1),Questions[#All],5,FALSE),1,0)</f>
        <v>1</v>
      </c>
      <c r="X5" s="23">
        <f>IF(L5=VLOOKUP(VALUE(L$1),Questions[#All],5,FALSE),1,0)</f>
        <v>1</v>
      </c>
      <c r="Y5" s="23">
        <f>IF(M5=VLOOKUP(VALUE(M$1),Questions[#All],5,FALSE),1,0)</f>
        <v>1</v>
      </c>
      <c r="Z5" s="23">
        <f>IF(N5=VLOOKUP(VALUE(N$1),Questions[#All],5,FALSE),1,0)</f>
        <v>1</v>
      </c>
      <c r="AA5" s="23">
        <f>IF(O5=VLOOKUP(VALUE(O$1),Questions[#All],5,FALSE),1,0)</f>
        <v>1</v>
      </c>
      <c r="AB5" s="23">
        <f>IF(P5=VLOOKUP(VALUE(P$1),Questions[#All],5,FALSE),1,0)</f>
        <v>1</v>
      </c>
    </row>
    <row r="6" spans="1:28" ht="22.5" customHeight="1" x14ac:dyDescent="0.15">
      <c r="A6" s="10" t="s">
        <v>779</v>
      </c>
      <c r="B6" s="28" t="s">
        <v>69</v>
      </c>
      <c r="C6" s="29">
        <v>8</v>
      </c>
      <c r="D6" s="30" t="b">
        <v>0</v>
      </c>
      <c r="E6" s="31" t="b">
        <v>0</v>
      </c>
      <c r="F6" s="32">
        <f t="shared" si="0"/>
        <v>7</v>
      </c>
      <c r="G6" s="29">
        <f t="shared" si="1"/>
        <v>0</v>
      </c>
      <c r="H6" s="33">
        <f t="shared" si="2"/>
        <v>0.58333333333333337</v>
      </c>
      <c r="I6" s="32">
        <v>2</v>
      </c>
      <c r="J6" s="29">
        <v>2</v>
      </c>
      <c r="K6" s="29">
        <v>1</v>
      </c>
      <c r="L6" s="29">
        <v>3</v>
      </c>
      <c r="M6" s="29">
        <v>2</v>
      </c>
      <c r="N6" s="29">
        <v>3</v>
      </c>
      <c r="O6" s="29">
        <v>3</v>
      </c>
      <c r="P6" s="29">
        <v>1</v>
      </c>
      <c r="Q6" s="32"/>
      <c r="R6" s="29"/>
      <c r="S6" s="29"/>
      <c r="T6" s="29"/>
      <c r="U6" s="32">
        <f>IF(I6=VLOOKUP(VALUE(I$1),Questions[#All],5,FALSE),1,0)</f>
        <v>1</v>
      </c>
      <c r="V6" s="29">
        <f>IF(J6=VLOOKUP(VALUE(J$1),Questions[#All],5,FALSE),1,0)</f>
        <v>1</v>
      </c>
      <c r="W6" s="29">
        <f>IF(K6=VLOOKUP(VALUE(K$1),Questions[#All],5,FALSE),1,0)</f>
        <v>1</v>
      </c>
      <c r="X6" s="29">
        <f>IF(L6=VLOOKUP(VALUE(L$1),Questions[#All],5,FALSE),1,0)</f>
        <v>1</v>
      </c>
      <c r="Y6" s="29">
        <f>IF(M6=VLOOKUP(VALUE(M$1),Questions[#All],5,FALSE),1,0)</f>
        <v>1</v>
      </c>
      <c r="Z6" s="29">
        <f>IF(N6=VLOOKUP(VALUE(N$1),Questions[#All],5,FALSE),1,0)</f>
        <v>1</v>
      </c>
      <c r="AA6" s="29">
        <f>IF(O6=VLOOKUP(VALUE(O$1),Questions[#All],5,FALSE),1,0)</f>
        <v>1</v>
      </c>
      <c r="AB6" s="29">
        <f>IF(P6=VLOOKUP(VALUE(P$1),Questions[#All],5,FALSE),1,0)</f>
        <v>0</v>
      </c>
    </row>
    <row r="7" spans="1:28" ht="22.5" customHeight="1" x14ac:dyDescent="0.15">
      <c r="A7" s="10" t="s">
        <v>780</v>
      </c>
      <c r="B7" s="22" t="s">
        <v>69</v>
      </c>
      <c r="C7" s="23">
        <v>8</v>
      </c>
      <c r="D7" s="24" t="b">
        <v>0</v>
      </c>
      <c r="E7" s="25" t="b">
        <v>0</v>
      </c>
      <c r="F7" s="26">
        <f t="shared" si="0"/>
        <v>2</v>
      </c>
      <c r="G7" s="23">
        <f t="shared" si="1"/>
        <v>0</v>
      </c>
      <c r="H7" s="27">
        <f t="shared" si="2"/>
        <v>0.16666666666666666</v>
      </c>
      <c r="I7" s="26">
        <v>4</v>
      </c>
      <c r="J7" s="23">
        <v>2</v>
      </c>
      <c r="K7" s="23">
        <v>3</v>
      </c>
      <c r="L7" s="23">
        <v>1</v>
      </c>
      <c r="M7" s="23">
        <v>3</v>
      </c>
      <c r="N7" s="23">
        <v>1</v>
      </c>
      <c r="O7" s="23">
        <v>3</v>
      </c>
      <c r="P7" s="23"/>
      <c r="Q7" s="26"/>
      <c r="R7" s="23"/>
      <c r="S7" s="23"/>
      <c r="T7" s="23"/>
      <c r="U7" s="26">
        <f>IF(I7=VLOOKUP(VALUE(I$1),Questions[#All],5,FALSE),1,0)</f>
        <v>0</v>
      </c>
      <c r="V7" s="23">
        <f>IF(J7=VLOOKUP(VALUE(J$1),Questions[#All],5,FALSE),1,0)</f>
        <v>1</v>
      </c>
      <c r="W7" s="23">
        <f>IF(K7=VLOOKUP(VALUE(K$1),Questions[#All],5,FALSE),1,0)</f>
        <v>0</v>
      </c>
      <c r="X7" s="23">
        <f>IF(L7=VLOOKUP(VALUE(L$1),Questions[#All],5,FALSE),1,0)</f>
        <v>0</v>
      </c>
      <c r="Y7" s="23">
        <f>IF(M7=VLOOKUP(VALUE(M$1),Questions[#All],5,FALSE),1,0)</f>
        <v>0</v>
      </c>
      <c r="Z7" s="23">
        <f>IF(N7=VLOOKUP(VALUE(N$1),Questions[#All],5,FALSE),1,0)</f>
        <v>0</v>
      </c>
      <c r="AA7" s="23">
        <f>IF(O7=VLOOKUP(VALUE(O$1),Questions[#All],5,FALSE),1,0)</f>
        <v>1</v>
      </c>
      <c r="AB7" s="23">
        <f>IF(P7=VLOOKUP(VALUE(P$1),Questions[#All],5,FALSE),1,0)</f>
        <v>0</v>
      </c>
    </row>
    <row r="8" spans="1:28" ht="22.5" customHeight="1" x14ac:dyDescent="0.15">
      <c r="A8" s="10" t="s">
        <v>781</v>
      </c>
      <c r="B8" s="28" t="s">
        <v>69</v>
      </c>
      <c r="C8" s="29">
        <v>8</v>
      </c>
      <c r="D8" s="30" t="b">
        <v>0</v>
      </c>
      <c r="E8" s="31" t="b">
        <v>0</v>
      </c>
      <c r="F8" s="32">
        <f t="shared" si="0"/>
        <v>8</v>
      </c>
      <c r="G8" s="29">
        <f t="shared" si="1"/>
        <v>0</v>
      </c>
      <c r="H8" s="33">
        <f t="shared" si="2"/>
        <v>0.66666666666666663</v>
      </c>
      <c r="I8" s="32">
        <v>2</v>
      </c>
      <c r="J8" s="29">
        <v>2</v>
      </c>
      <c r="K8" s="29">
        <v>1</v>
      </c>
      <c r="L8" s="29">
        <v>3</v>
      </c>
      <c r="M8" s="29">
        <v>2</v>
      </c>
      <c r="N8" s="29">
        <v>3</v>
      </c>
      <c r="O8" s="29">
        <v>3</v>
      </c>
      <c r="P8" s="29">
        <v>3</v>
      </c>
      <c r="Q8" s="32"/>
      <c r="R8" s="29"/>
      <c r="S8" s="29"/>
      <c r="T8" s="29"/>
      <c r="U8" s="32">
        <f>IF(I8=VLOOKUP(VALUE(I$1),Questions[#All],5,FALSE),1,0)</f>
        <v>1</v>
      </c>
      <c r="V8" s="29">
        <f>IF(J8=VLOOKUP(VALUE(J$1),Questions[#All],5,FALSE),1,0)</f>
        <v>1</v>
      </c>
      <c r="W8" s="29">
        <f>IF(K8=VLOOKUP(VALUE(K$1),Questions[#All],5,FALSE),1,0)</f>
        <v>1</v>
      </c>
      <c r="X8" s="29">
        <f>IF(L8=VLOOKUP(VALUE(L$1),Questions[#All],5,FALSE),1,0)</f>
        <v>1</v>
      </c>
      <c r="Y8" s="29">
        <f>IF(M8=VLOOKUP(VALUE(M$1),Questions[#All],5,FALSE),1,0)</f>
        <v>1</v>
      </c>
      <c r="Z8" s="29">
        <f>IF(N8=VLOOKUP(VALUE(N$1),Questions[#All],5,FALSE),1,0)</f>
        <v>1</v>
      </c>
      <c r="AA8" s="29">
        <f>IF(O8=VLOOKUP(VALUE(O$1),Questions[#All],5,FALSE),1,0)</f>
        <v>1</v>
      </c>
      <c r="AB8" s="29">
        <f>IF(P8=VLOOKUP(VALUE(P$1),Questions[#All],5,FALSE),1,0)</f>
        <v>1</v>
      </c>
    </row>
    <row r="9" spans="1:28" ht="22.5" customHeight="1" x14ac:dyDescent="0.15">
      <c r="A9" s="10" t="s">
        <v>782</v>
      </c>
      <c r="B9" s="22" t="s">
        <v>69</v>
      </c>
      <c r="C9" s="23">
        <v>8</v>
      </c>
      <c r="D9" s="24" t="b">
        <v>0</v>
      </c>
      <c r="E9" s="25" t="b">
        <v>0</v>
      </c>
      <c r="F9" s="26">
        <f t="shared" si="0"/>
        <v>4</v>
      </c>
      <c r="G9" s="23">
        <f t="shared" si="1"/>
        <v>0</v>
      </c>
      <c r="H9" s="27">
        <f t="shared" si="2"/>
        <v>0.33333333333333331</v>
      </c>
      <c r="I9" s="26">
        <v>2</v>
      </c>
      <c r="J9" s="23">
        <v>4</v>
      </c>
      <c r="K9" s="23">
        <v>4</v>
      </c>
      <c r="L9" s="23">
        <v>1</v>
      </c>
      <c r="M9" s="23">
        <v>2</v>
      </c>
      <c r="N9" s="23">
        <v>4</v>
      </c>
      <c r="O9" s="23">
        <v>3</v>
      </c>
      <c r="P9" s="23">
        <v>3</v>
      </c>
      <c r="Q9" s="26"/>
      <c r="R9" s="23"/>
      <c r="S9" s="23"/>
      <c r="T9" s="23"/>
      <c r="U9" s="26">
        <f>IF(I9=VLOOKUP(VALUE(I$1),Questions[#All],5,FALSE),1,0)</f>
        <v>1</v>
      </c>
      <c r="V9" s="23">
        <f>IF(J9=VLOOKUP(VALUE(J$1),Questions[#All],5,FALSE),1,0)</f>
        <v>0</v>
      </c>
      <c r="W9" s="23">
        <f>IF(K9=VLOOKUP(VALUE(K$1),Questions[#All],5,FALSE),1,0)</f>
        <v>0</v>
      </c>
      <c r="X9" s="23">
        <f>IF(L9=VLOOKUP(VALUE(L$1),Questions[#All],5,FALSE),1,0)</f>
        <v>0</v>
      </c>
      <c r="Y9" s="23">
        <f>IF(M9=VLOOKUP(VALUE(M$1),Questions[#All],5,FALSE),1,0)</f>
        <v>1</v>
      </c>
      <c r="Z9" s="23">
        <f>IF(N9=VLOOKUP(VALUE(N$1),Questions[#All],5,FALSE),1,0)</f>
        <v>0</v>
      </c>
      <c r="AA9" s="23">
        <f>IF(O9=VLOOKUP(VALUE(O$1),Questions[#All],5,FALSE),1,0)</f>
        <v>1</v>
      </c>
      <c r="AB9" s="23">
        <f>IF(P9=VLOOKUP(VALUE(P$1),Questions[#All],5,FALSE),1,0)</f>
        <v>1</v>
      </c>
    </row>
    <row r="10" spans="1:28" ht="22.5" customHeight="1" x14ac:dyDescent="0.15">
      <c r="A10" s="10" t="s">
        <v>783</v>
      </c>
      <c r="B10" s="28" t="s">
        <v>69</v>
      </c>
      <c r="C10" s="29">
        <v>8</v>
      </c>
      <c r="D10" s="30" t="b">
        <v>0</v>
      </c>
      <c r="E10" s="31" t="b">
        <v>0</v>
      </c>
      <c r="F10" s="32">
        <f t="shared" si="0"/>
        <v>5</v>
      </c>
      <c r="G10" s="29">
        <f t="shared" si="1"/>
        <v>0</v>
      </c>
      <c r="H10" s="33">
        <f t="shared" si="2"/>
        <v>0.41666666666666669</v>
      </c>
      <c r="I10" s="32">
        <v>2</v>
      </c>
      <c r="J10" s="29">
        <v>2</v>
      </c>
      <c r="K10" s="29">
        <v>1</v>
      </c>
      <c r="L10" s="29">
        <v>1</v>
      </c>
      <c r="M10" s="29">
        <v>2</v>
      </c>
      <c r="N10" s="29">
        <v>2</v>
      </c>
      <c r="O10" s="29">
        <v>1</v>
      </c>
      <c r="P10" s="29">
        <v>3</v>
      </c>
      <c r="Q10" s="32"/>
      <c r="R10" s="29"/>
      <c r="S10" s="29"/>
      <c r="T10" s="29"/>
      <c r="U10" s="32">
        <f>IF(I10=VLOOKUP(VALUE(I$1),Questions[#All],5,FALSE),1,0)</f>
        <v>1</v>
      </c>
      <c r="V10" s="29">
        <f>IF(J10=VLOOKUP(VALUE(J$1),Questions[#All],5,FALSE),1,0)</f>
        <v>1</v>
      </c>
      <c r="W10" s="29">
        <f>IF(K10=VLOOKUP(VALUE(K$1),Questions[#All],5,FALSE),1,0)</f>
        <v>1</v>
      </c>
      <c r="X10" s="29">
        <f>IF(L10=VLOOKUP(VALUE(L$1),Questions[#All],5,FALSE),1,0)</f>
        <v>0</v>
      </c>
      <c r="Y10" s="29">
        <f>IF(M10=VLOOKUP(VALUE(M$1),Questions[#All],5,FALSE),1,0)</f>
        <v>1</v>
      </c>
      <c r="Z10" s="29">
        <f>IF(N10=VLOOKUP(VALUE(N$1),Questions[#All],5,FALSE),1,0)</f>
        <v>0</v>
      </c>
      <c r="AA10" s="29">
        <f>IF(O10=VLOOKUP(VALUE(O$1),Questions[#All],5,FALSE),1,0)</f>
        <v>0</v>
      </c>
      <c r="AB10" s="29">
        <f>IF(P10=VLOOKUP(VALUE(P$1),Questions[#All],5,FALSE),1,0)</f>
        <v>1</v>
      </c>
    </row>
    <row r="11" spans="1:28" ht="22.5" customHeight="1" x14ac:dyDescent="0.15">
      <c r="A11" s="10" t="s">
        <v>784</v>
      </c>
      <c r="B11" s="22" t="s">
        <v>69</v>
      </c>
      <c r="C11" s="23">
        <v>8</v>
      </c>
      <c r="D11" s="24" t="b">
        <v>0</v>
      </c>
      <c r="E11" s="25" t="b">
        <v>0</v>
      </c>
      <c r="F11" s="26">
        <f t="shared" si="0"/>
        <v>3</v>
      </c>
      <c r="G11" s="23">
        <f t="shared" si="1"/>
        <v>0</v>
      </c>
      <c r="H11" s="27">
        <f t="shared" si="2"/>
        <v>0.25</v>
      </c>
      <c r="I11" s="26">
        <v>1</v>
      </c>
      <c r="J11" s="23">
        <v>2</v>
      </c>
      <c r="K11" s="23">
        <v>1</v>
      </c>
      <c r="L11" s="23">
        <v>1</v>
      </c>
      <c r="M11" s="23">
        <v>1</v>
      </c>
      <c r="N11" s="23">
        <v>2</v>
      </c>
      <c r="O11" s="23">
        <v>3</v>
      </c>
      <c r="P11" s="23">
        <v>2</v>
      </c>
      <c r="Q11" s="26"/>
      <c r="R11" s="23"/>
      <c r="S11" s="23"/>
      <c r="T11" s="23"/>
      <c r="U11" s="26">
        <f>IF(I11=VLOOKUP(VALUE(I$1),Questions[#All],5,FALSE),1,0)</f>
        <v>0</v>
      </c>
      <c r="V11" s="23">
        <f>IF(J11=VLOOKUP(VALUE(J$1),Questions[#All],5,FALSE),1,0)</f>
        <v>1</v>
      </c>
      <c r="W11" s="23">
        <f>IF(K11=VLOOKUP(VALUE(K$1),Questions[#All],5,FALSE),1,0)</f>
        <v>1</v>
      </c>
      <c r="X11" s="23">
        <f>IF(L11=VLOOKUP(VALUE(L$1),Questions[#All],5,FALSE),1,0)</f>
        <v>0</v>
      </c>
      <c r="Y11" s="23">
        <f>IF(M11=VLOOKUP(VALUE(M$1),Questions[#All],5,FALSE),1,0)</f>
        <v>0</v>
      </c>
      <c r="Z11" s="23">
        <f>IF(N11=VLOOKUP(VALUE(N$1),Questions[#All],5,FALSE),1,0)</f>
        <v>0</v>
      </c>
      <c r="AA11" s="23">
        <f>IF(O11=VLOOKUP(VALUE(O$1),Questions[#All],5,FALSE),1,0)</f>
        <v>1</v>
      </c>
      <c r="AB11" s="23">
        <f>IF(P11=VLOOKUP(VALUE(P$1),Questions[#All],5,FALSE),1,0)</f>
        <v>0</v>
      </c>
    </row>
    <row r="12" spans="1:28" ht="22.5" customHeight="1" x14ac:dyDescent="0.15">
      <c r="A12" s="10" t="s">
        <v>785</v>
      </c>
      <c r="B12" s="28" t="s">
        <v>69</v>
      </c>
      <c r="C12" s="29">
        <v>8</v>
      </c>
      <c r="D12" s="30" t="b">
        <v>0</v>
      </c>
      <c r="E12" s="31" t="b">
        <v>0</v>
      </c>
      <c r="F12" s="32">
        <f t="shared" si="0"/>
        <v>7</v>
      </c>
      <c r="G12" s="29">
        <f t="shared" si="1"/>
        <v>0</v>
      </c>
      <c r="H12" s="33">
        <f t="shared" si="2"/>
        <v>0.58333333333333337</v>
      </c>
      <c r="I12" s="32">
        <v>2</v>
      </c>
      <c r="J12" s="29">
        <v>2</v>
      </c>
      <c r="K12" s="29">
        <v>1</v>
      </c>
      <c r="L12" s="29">
        <v>3</v>
      </c>
      <c r="M12" s="29">
        <v>2</v>
      </c>
      <c r="N12" s="29">
        <v>3</v>
      </c>
      <c r="O12" s="29">
        <v>2</v>
      </c>
      <c r="P12" s="29">
        <v>3</v>
      </c>
      <c r="Q12" s="32"/>
      <c r="R12" s="29"/>
      <c r="S12" s="29"/>
      <c r="T12" s="29"/>
      <c r="U12" s="32">
        <f>IF(I12=VLOOKUP(VALUE(I$1),Questions[#All],5,FALSE),1,0)</f>
        <v>1</v>
      </c>
      <c r="V12" s="29">
        <f>IF(J12=VLOOKUP(VALUE(J$1),Questions[#All],5,FALSE),1,0)</f>
        <v>1</v>
      </c>
      <c r="W12" s="29">
        <f>IF(K12=VLOOKUP(VALUE(K$1),Questions[#All],5,FALSE),1,0)</f>
        <v>1</v>
      </c>
      <c r="X12" s="29">
        <f>IF(L12=VLOOKUP(VALUE(L$1),Questions[#All],5,FALSE),1,0)</f>
        <v>1</v>
      </c>
      <c r="Y12" s="29">
        <f>IF(M12=VLOOKUP(VALUE(M$1),Questions[#All],5,FALSE),1,0)</f>
        <v>1</v>
      </c>
      <c r="Z12" s="29">
        <f>IF(N12=VLOOKUP(VALUE(N$1),Questions[#All],5,FALSE),1,0)</f>
        <v>1</v>
      </c>
      <c r="AA12" s="29">
        <f>IF(O12=VLOOKUP(VALUE(O$1),Questions[#All],5,FALSE),1,0)</f>
        <v>0</v>
      </c>
      <c r="AB12" s="29">
        <f>IF(P12=VLOOKUP(VALUE(P$1),Questions[#All],5,FALSE),1,0)</f>
        <v>1</v>
      </c>
    </row>
    <row r="13" spans="1:28" ht="22.5" customHeight="1" x14ac:dyDescent="0.15">
      <c r="A13" s="10" t="s">
        <v>786</v>
      </c>
      <c r="B13" s="22" t="s">
        <v>69</v>
      </c>
      <c r="C13" s="23">
        <v>8</v>
      </c>
      <c r="D13" s="24" t="b">
        <v>0</v>
      </c>
      <c r="E13" s="25" t="b">
        <v>0</v>
      </c>
      <c r="F13" s="26">
        <f t="shared" si="0"/>
        <v>8</v>
      </c>
      <c r="G13" s="23">
        <f t="shared" si="1"/>
        <v>0</v>
      </c>
      <c r="H13" s="27">
        <f t="shared" si="2"/>
        <v>0.66666666666666663</v>
      </c>
      <c r="I13" s="26">
        <v>2</v>
      </c>
      <c r="J13" s="23">
        <v>2</v>
      </c>
      <c r="K13" s="23">
        <v>1</v>
      </c>
      <c r="L13" s="23">
        <v>3</v>
      </c>
      <c r="M13" s="23">
        <v>2</v>
      </c>
      <c r="N13" s="23">
        <v>3</v>
      </c>
      <c r="O13" s="23">
        <v>3</v>
      </c>
      <c r="P13" s="23">
        <v>3</v>
      </c>
      <c r="Q13" s="26"/>
      <c r="R13" s="23"/>
      <c r="S13" s="23"/>
      <c r="T13" s="23"/>
      <c r="U13" s="26">
        <f>IF(I13=VLOOKUP(VALUE(I$1),Questions[#All],5,FALSE),1,0)</f>
        <v>1</v>
      </c>
      <c r="V13" s="23">
        <f>IF(J13=VLOOKUP(VALUE(J$1),Questions[#All],5,FALSE),1,0)</f>
        <v>1</v>
      </c>
      <c r="W13" s="23">
        <f>IF(K13=VLOOKUP(VALUE(K$1),Questions[#All],5,FALSE),1,0)</f>
        <v>1</v>
      </c>
      <c r="X13" s="23">
        <f>IF(L13=VLOOKUP(VALUE(L$1),Questions[#All],5,FALSE),1,0)</f>
        <v>1</v>
      </c>
      <c r="Y13" s="23">
        <f>IF(M13=VLOOKUP(VALUE(M$1),Questions[#All],5,FALSE),1,0)</f>
        <v>1</v>
      </c>
      <c r="Z13" s="23">
        <f>IF(N13=VLOOKUP(VALUE(N$1),Questions[#All],5,FALSE),1,0)</f>
        <v>1</v>
      </c>
      <c r="AA13" s="23">
        <f>IF(O13=VLOOKUP(VALUE(O$1),Questions[#All],5,FALSE),1,0)</f>
        <v>1</v>
      </c>
      <c r="AB13" s="23">
        <f>IF(P13=VLOOKUP(VALUE(P$1),Questions[#All],5,FALSE),1,0)</f>
        <v>1</v>
      </c>
    </row>
    <row r="14" spans="1:28" ht="22.5" customHeight="1" x14ac:dyDescent="0.15">
      <c r="A14" s="10" t="s">
        <v>787</v>
      </c>
      <c r="B14" s="28" t="s">
        <v>69</v>
      </c>
      <c r="C14" s="29">
        <v>8</v>
      </c>
      <c r="D14" s="30" t="b">
        <v>0</v>
      </c>
      <c r="E14" s="31" t="b">
        <v>0</v>
      </c>
      <c r="F14" s="32">
        <f t="shared" si="0"/>
        <v>8</v>
      </c>
      <c r="G14" s="29">
        <f t="shared" si="1"/>
        <v>0</v>
      </c>
      <c r="H14" s="33">
        <f t="shared" si="2"/>
        <v>0.66666666666666663</v>
      </c>
      <c r="I14" s="32">
        <v>2</v>
      </c>
      <c r="J14" s="29">
        <v>2</v>
      </c>
      <c r="K14" s="29">
        <v>1</v>
      </c>
      <c r="L14" s="29">
        <v>3</v>
      </c>
      <c r="M14" s="29">
        <v>2</v>
      </c>
      <c r="N14" s="29">
        <v>3</v>
      </c>
      <c r="O14" s="29">
        <v>3</v>
      </c>
      <c r="P14" s="29">
        <v>3</v>
      </c>
      <c r="Q14" s="32"/>
      <c r="R14" s="29"/>
      <c r="S14" s="29"/>
      <c r="T14" s="29"/>
      <c r="U14" s="32">
        <f>IF(I14=VLOOKUP(VALUE(I$1),Questions[#All],5,FALSE),1,0)</f>
        <v>1</v>
      </c>
      <c r="V14" s="29">
        <f>IF(J14=VLOOKUP(VALUE(J$1),Questions[#All],5,FALSE),1,0)</f>
        <v>1</v>
      </c>
      <c r="W14" s="29">
        <f>IF(K14=VLOOKUP(VALUE(K$1),Questions[#All],5,FALSE),1,0)</f>
        <v>1</v>
      </c>
      <c r="X14" s="29">
        <f>IF(L14=VLOOKUP(VALUE(L$1),Questions[#All],5,FALSE),1,0)</f>
        <v>1</v>
      </c>
      <c r="Y14" s="29">
        <f>IF(M14=VLOOKUP(VALUE(M$1),Questions[#All],5,FALSE),1,0)</f>
        <v>1</v>
      </c>
      <c r="Z14" s="29">
        <f>IF(N14=VLOOKUP(VALUE(N$1),Questions[#All],5,FALSE),1,0)</f>
        <v>1</v>
      </c>
      <c r="AA14" s="29">
        <f>IF(O14=VLOOKUP(VALUE(O$1),Questions[#All],5,FALSE),1,0)</f>
        <v>1</v>
      </c>
      <c r="AB14" s="29">
        <f>IF(P14=VLOOKUP(VALUE(P$1),Questions[#All],5,FALSE),1,0)</f>
        <v>1</v>
      </c>
    </row>
    <row r="15" spans="1:28" ht="22.5" customHeight="1" x14ac:dyDescent="0.15">
      <c r="A15" s="10" t="s">
        <v>788</v>
      </c>
      <c r="B15" s="22" t="s">
        <v>69</v>
      </c>
      <c r="C15" s="23">
        <v>8</v>
      </c>
      <c r="D15" s="24" t="b">
        <v>0</v>
      </c>
      <c r="E15" s="25" t="b">
        <v>0</v>
      </c>
      <c r="F15" s="26">
        <f t="shared" si="0"/>
        <v>5</v>
      </c>
      <c r="G15" s="23">
        <f t="shared" si="1"/>
        <v>0</v>
      </c>
      <c r="H15" s="27">
        <f t="shared" si="2"/>
        <v>0.41666666666666669</v>
      </c>
      <c r="I15" s="26">
        <v>2</v>
      </c>
      <c r="J15" s="23">
        <v>3</v>
      </c>
      <c r="K15" s="23">
        <v>4</v>
      </c>
      <c r="L15" s="23">
        <v>3</v>
      </c>
      <c r="M15" s="23">
        <v>2</v>
      </c>
      <c r="N15" s="23">
        <v>1</v>
      </c>
      <c r="O15" s="23">
        <v>3</v>
      </c>
      <c r="P15" s="23">
        <v>3</v>
      </c>
      <c r="Q15" s="26"/>
      <c r="R15" s="23"/>
      <c r="S15" s="23"/>
      <c r="T15" s="23"/>
      <c r="U15" s="26">
        <f>IF(I15=VLOOKUP(VALUE(I$1),Questions[#All],5,FALSE),1,0)</f>
        <v>1</v>
      </c>
      <c r="V15" s="23">
        <f>IF(J15=VLOOKUP(VALUE(J$1),Questions[#All],5,FALSE),1,0)</f>
        <v>0</v>
      </c>
      <c r="W15" s="23">
        <f>IF(K15=VLOOKUP(VALUE(K$1),Questions[#All],5,FALSE),1,0)</f>
        <v>0</v>
      </c>
      <c r="X15" s="23">
        <f>IF(L15=VLOOKUP(VALUE(L$1),Questions[#All],5,FALSE),1,0)</f>
        <v>1</v>
      </c>
      <c r="Y15" s="23">
        <f>IF(M15=VLOOKUP(VALUE(M$1),Questions[#All],5,FALSE),1,0)</f>
        <v>1</v>
      </c>
      <c r="Z15" s="23">
        <f>IF(N15=VLOOKUP(VALUE(N$1),Questions[#All],5,FALSE),1,0)</f>
        <v>0</v>
      </c>
      <c r="AA15" s="23">
        <f>IF(O15=VLOOKUP(VALUE(O$1),Questions[#All],5,FALSE),1,0)</f>
        <v>1</v>
      </c>
      <c r="AB15" s="23">
        <f>IF(P15=VLOOKUP(VALUE(P$1),Questions[#All],5,FALSE),1,0)</f>
        <v>1</v>
      </c>
    </row>
    <row r="16" spans="1:28" ht="22.5" customHeight="1" x14ac:dyDescent="0.15">
      <c r="A16" s="10" t="s">
        <v>789</v>
      </c>
      <c r="B16" s="28" t="s">
        <v>69</v>
      </c>
      <c r="C16" s="29">
        <v>8</v>
      </c>
      <c r="D16" s="30" t="b">
        <v>0</v>
      </c>
      <c r="E16" s="31" t="b">
        <v>0</v>
      </c>
      <c r="F16" s="32">
        <f t="shared" si="0"/>
        <v>7</v>
      </c>
      <c r="G16" s="29">
        <f t="shared" si="1"/>
        <v>0</v>
      </c>
      <c r="H16" s="33">
        <f t="shared" si="2"/>
        <v>0.58333333333333337</v>
      </c>
      <c r="I16" s="32">
        <v>2</v>
      </c>
      <c r="J16" s="29">
        <v>1</v>
      </c>
      <c r="K16" s="29">
        <v>1</v>
      </c>
      <c r="L16" s="29">
        <v>3</v>
      </c>
      <c r="M16" s="29">
        <v>2</v>
      </c>
      <c r="N16" s="29">
        <v>3</v>
      </c>
      <c r="O16" s="29">
        <v>3</v>
      </c>
      <c r="P16" s="29">
        <v>3</v>
      </c>
      <c r="Q16" s="32"/>
      <c r="R16" s="29"/>
      <c r="S16" s="29"/>
      <c r="T16" s="29"/>
      <c r="U16" s="32">
        <f>IF(I16=VLOOKUP(VALUE(I$1),Questions[#All],5,FALSE),1,0)</f>
        <v>1</v>
      </c>
      <c r="V16" s="29">
        <f>IF(J16=VLOOKUP(VALUE(J$1),Questions[#All],5,FALSE),1,0)</f>
        <v>0</v>
      </c>
      <c r="W16" s="29">
        <f>IF(K16=VLOOKUP(VALUE(K$1),Questions[#All],5,FALSE),1,0)</f>
        <v>1</v>
      </c>
      <c r="X16" s="29">
        <f>IF(L16=VLOOKUP(VALUE(L$1),Questions[#All],5,FALSE),1,0)</f>
        <v>1</v>
      </c>
      <c r="Y16" s="29">
        <f>IF(M16=VLOOKUP(VALUE(M$1),Questions[#All],5,FALSE),1,0)</f>
        <v>1</v>
      </c>
      <c r="Z16" s="29">
        <f>IF(N16=VLOOKUP(VALUE(N$1),Questions[#All],5,FALSE),1,0)</f>
        <v>1</v>
      </c>
      <c r="AA16" s="29">
        <f>IF(O16=VLOOKUP(VALUE(O$1),Questions[#All],5,FALSE),1,0)</f>
        <v>1</v>
      </c>
      <c r="AB16" s="29">
        <f>IF(P16=VLOOKUP(VALUE(P$1),Questions[#All],5,FALSE),1,0)</f>
        <v>1</v>
      </c>
    </row>
    <row r="17" spans="1:28" ht="22.5" customHeight="1" x14ac:dyDescent="0.15">
      <c r="A17" s="10" t="s">
        <v>790</v>
      </c>
      <c r="B17" s="22" t="s">
        <v>69</v>
      </c>
      <c r="C17" s="23">
        <v>8</v>
      </c>
      <c r="D17" s="24" t="b">
        <v>0</v>
      </c>
      <c r="E17" s="25" t="b">
        <v>0</v>
      </c>
      <c r="F17" s="26">
        <f t="shared" si="0"/>
        <v>3</v>
      </c>
      <c r="G17" s="23">
        <f t="shared" si="1"/>
        <v>0</v>
      </c>
      <c r="H17" s="27">
        <f t="shared" si="2"/>
        <v>0.25</v>
      </c>
      <c r="I17" s="26">
        <v>3</v>
      </c>
      <c r="J17" s="23">
        <v>2</v>
      </c>
      <c r="K17" s="23">
        <v>1</v>
      </c>
      <c r="L17" s="23">
        <v>2</v>
      </c>
      <c r="M17" s="23">
        <v>3</v>
      </c>
      <c r="N17" s="23">
        <v>1</v>
      </c>
      <c r="O17" s="23">
        <v>1</v>
      </c>
      <c r="P17" s="23">
        <v>3</v>
      </c>
      <c r="Q17" s="26"/>
      <c r="R17" s="23"/>
      <c r="S17" s="23"/>
      <c r="T17" s="23"/>
      <c r="U17" s="26">
        <f>IF(I17=VLOOKUP(VALUE(I$1),Questions[#All],5,FALSE),1,0)</f>
        <v>0</v>
      </c>
      <c r="V17" s="23">
        <f>IF(J17=VLOOKUP(VALUE(J$1),Questions[#All],5,FALSE),1,0)</f>
        <v>1</v>
      </c>
      <c r="W17" s="23">
        <f>IF(K17=VLOOKUP(VALUE(K$1),Questions[#All],5,FALSE),1,0)</f>
        <v>1</v>
      </c>
      <c r="X17" s="23">
        <f>IF(L17=VLOOKUP(VALUE(L$1),Questions[#All],5,FALSE),1,0)</f>
        <v>0</v>
      </c>
      <c r="Y17" s="23">
        <f>IF(M17=VLOOKUP(VALUE(M$1),Questions[#All],5,FALSE),1,0)</f>
        <v>0</v>
      </c>
      <c r="Z17" s="23">
        <f>IF(N17=VLOOKUP(VALUE(N$1),Questions[#All],5,FALSE),1,0)</f>
        <v>0</v>
      </c>
      <c r="AA17" s="23">
        <f>IF(O17=VLOOKUP(VALUE(O$1),Questions[#All],5,FALSE),1,0)</f>
        <v>0</v>
      </c>
      <c r="AB17" s="23">
        <f>IF(P17=VLOOKUP(VALUE(P$1),Questions[#All],5,FALSE),1,0)</f>
        <v>1</v>
      </c>
    </row>
    <row r="18" spans="1:28" ht="22.5" customHeight="1" x14ac:dyDescent="0.15">
      <c r="A18" s="10" t="s">
        <v>791</v>
      </c>
      <c r="B18" s="28" t="s">
        <v>69</v>
      </c>
      <c r="C18" s="29">
        <v>6</v>
      </c>
      <c r="D18" s="30" t="b">
        <v>0</v>
      </c>
      <c r="E18" s="31" t="b">
        <v>0</v>
      </c>
      <c r="F18" s="32">
        <f t="shared" si="0"/>
        <v>6</v>
      </c>
      <c r="G18" s="29">
        <f t="shared" si="1"/>
        <v>0</v>
      </c>
      <c r="H18" s="33">
        <f t="shared" si="2"/>
        <v>0.5</v>
      </c>
      <c r="I18" s="32">
        <v>2</v>
      </c>
      <c r="J18" s="29">
        <v>2</v>
      </c>
      <c r="K18" s="29">
        <v>3</v>
      </c>
      <c r="L18" s="29">
        <v>1</v>
      </c>
      <c r="M18" s="29">
        <v>2</v>
      </c>
      <c r="N18" s="29">
        <v>3</v>
      </c>
      <c r="O18" s="29">
        <v>3</v>
      </c>
      <c r="P18" s="29">
        <v>3</v>
      </c>
      <c r="Q18" s="32"/>
      <c r="R18" s="29"/>
      <c r="S18" s="29"/>
      <c r="T18" s="29"/>
      <c r="U18" s="32">
        <f>IF(I18=VLOOKUP(VALUE(I$1),Questions[#All],5,FALSE),1,0)</f>
        <v>1</v>
      </c>
      <c r="V18" s="29">
        <f>IF(J18=VLOOKUP(VALUE(J$1),Questions[#All],5,FALSE),1,0)</f>
        <v>1</v>
      </c>
      <c r="W18" s="29">
        <f>IF(K18=VLOOKUP(VALUE(K$1),Questions[#All],5,FALSE),1,0)</f>
        <v>0</v>
      </c>
      <c r="X18" s="29">
        <f>IF(L18=VLOOKUP(VALUE(L$1),Questions[#All],5,FALSE),1,0)</f>
        <v>0</v>
      </c>
      <c r="Y18" s="29">
        <f>IF(M18=VLOOKUP(VALUE(M$1),Questions[#All],5,FALSE),1,0)</f>
        <v>1</v>
      </c>
      <c r="Z18" s="29">
        <f>IF(N18=VLOOKUP(VALUE(N$1),Questions[#All],5,FALSE),1,0)</f>
        <v>1</v>
      </c>
      <c r="AA18" s="29">
        <f>IF(O18=VLOOKUP(VALUE(O$1),Questions[#All],5,FALSE),1,0)</f>
        <v>1</v>
      </c>
      <c r="AB18" s="29">
        <f>IF(P18=VLOOKUP(VALUE(P$1),Questions[#All],5,FALSE),1,0)</f>
        <v>1</v>
      </c>
    </row>
    <row r="19" spans="1:28" ht="22.5" customHeight="1" x14ac:dyDescent="0.15">
      <c r="A19" s="10" t="s">
        <v>792</v>
      </c>
      <c r="B19" s="22" t="s">
        <v>69</v>
      </c>
      <c r="C19" s="23">
        <v>6</v>
      </c>
      <c r="D19" s="24" t="b">
        <v>0</v>
      </c>
      <c r="E19" s="25" t="b">
        <v>0</v>
      </c>
      <c r="F19" s="26">
        <f t="shared" si="0"/>
        <v>5</v>
      </c>
      <c r="G19" s="23">
        <f t="shared" si="1"/>
        <v>0</v>
      </c>
      <c r="H19" s="27">
        <f t="shared" si="2"/>
        <v>0.41666666666666669</v>
      </c>
      <c r="I19" s="26">
        <v>1</v>
      </c>
      <c r="J19" s="23">
        <v>2</v>
      </c>
      <c r="K19" s="23">
        <v>1</v>
      </c>
      <c r="L19" s="23">
        <v>3</v>
      </c>
      <c r="M19" s="23">
        <v>1</v>
      </c>
      <c r="N19" s="23">
        <v>3</v>
      </c>
      <c r="O19" s="23">
        <v>3</v>
      </c>
      <c r="P19" s="23">
        <v>4</v>
      </c>
      <c r="Q19" s="26"/>
      <c r="R19" s="23"/>
      <c r="S19" s="23"/>
      <c r="T19" s="23"/>
      <c r="U19" s="26">
        <f>IF(I19=VLOOKUP(VALUE(I$1),Questions[#All],5,FALSE),1,0)</f>
        <v>0</v>
      </c>
      <c r="V19" s="23">
        <f>IF(J19=VLOOKUP(VALUE(J$1),Questions[#All],5,FALSE),1,0)</f>
        <v>1</v>
      </c>
      <c r="W19" s="23">
        <f>IF(K19=VLOOKUP(VALUE(K$1),Questions[#All],5,FALSE),1,0)</f>
        <v>1</v>
      </c>
      <c r="X19" s="23">
        <f>IF(L19=VLOOKUP(VALUE(L$1),Questions[#All],5,FALSE),1,0)</f>
        <v>1</v>
      </c>
      <c r="Y19" s="23">
        <f>IF(M19=VLOOKUP(VALUE(M$1),Questions[#All],5,FALSE),1,0)</f>
        <v>0</v>
      </c>
      <c r="Z19" s="23">
        <f>IF(N19=VLOOKUP(VALUE(N$1),Questions[#All],5,FALSE),1,0)</f>
        <v>1</v>
      </c>
      <c r="AA19" s="23">
        <f>IF(O19=VLOOKUP(VALUE(O$1),Questions[#All],5,FALSE),1,0)</f>
        <v>1</v>
      </c>
      <c r="AB19" s="23">
        <f>IF(P19=VLOOKUP(VALUE(P$1),Questions[#All],5,FALSE),1,0)</f>
        <v>0</v>
      </c>
    </row>
    <row r="20" spans="1:28" ht="22.5" customHeight="1" x14ac:dyDescent="0.15">
      <c r="A20" s="10" t="s">
        <v>793</v>
      </c>
      <c r="B20" s="28" t="s">
        <v>69</v>
      </c>
      <c r="C20" s="29">
        <v>6</v>
      </c>
      <c r="D20" s="30" t="b">
        <v>0</v>
      </c>
      <c r="E20" s="31" t="b">
        <v>0</v>
      </c>
      <c r="F20" s="32">
        <f t="shared" si="0"/>
        <v>7</v>
      </c>
      <c r="G20" s="29">
        <f t="shared" si="1"/>
        <v>0</v>
      </c>
      <c r="H20" s="33">
        <f t="shared" si="2"/>
        <v>0.58333333333333337</v>
      </c>
      <c r="I20" s="32">
        <v>2</v>
      </c>
      <c r="J20" s="29">
        <v>2</v>
      </c>
      <c r="K20" s="29">
        <v>1</v>
      </c>
      <c r="L20" s="29">
        <v>3</v>
      </c>
      <c r="M20" s="29">
        <v>2</v>
      </c>
      <c r="N20" s="29">
        <v>3</v>
      </c>
      <c r="O20" s="29">
        <v>1</v>
      </c>
      <c r="P20" s="29">
        <v>3</v>
      </c>
      <c r="Q20" s="32"/>
      <c r="R20" s="29"/>
      <c r="S20" s="29"/>
      <c r="T20" s="29"/>
      <c r="U20" s="32">
        <f>IF(I20=VLOOKUP(VALUE(I$1),Questions[#All],5,FALSE),1,0)</f>
        <v>1</v>
      </c>
      <c r="V20" s="29">
        <f>IF(J20=VLOOKUP(VALUE(J$1),Questions[#All],5,FALSE),1,0)</f>
        <v>1</v>
      </c>
      <c r="W20" s="29">
        <f>IF(K20=VLOOKUP(VALUE(K$1),Questions[#All],5,FALSE),1,0)</f>
        <v>1</v>
      </c>
      <c r="X20" s="29">
        <f>IF(L20=VLOOKUP(VALUE(L$1),Questions[#All],5,FALSE),1,0)</f>
        <v>1</v>
      </c>
      <c r="Y20" s="29">
        <f>IF(M20=VLOOKUP(VALUE(M$1),Questions[#All],5,FALSE),1,0)</f>
        <v>1</v>
      </c>
      <c r="Z20" s="29">
        <f>IF(N20=VLOOKUP(VALUE(N$1),Questions[#All],5,FALSE),1,0)</f>
        <v>1</v>
      </c>
      <c r="AA20" s="29">
        <f>IF(O20=VLOOKUP(VALUE(O$1),Questions[#All],5,FALSE),1,0)</f>
        <v>0</v>
      </c>
      <c r="AB20" s="29">
        <f>IF(P20=VLOOKUP(VALUE(P$1),Questions[#All],5,FALSE),1,0)</f>
        <v>1</v>
      </c>
    </row>
    <row r="21" spans="1:28" ht="22.5" customHeight="1" x14ac:dyDescent="0.15">
      <c r="A21" s="10" t="s">
        <v>794</v>
      </c>
      <c r="B21" s="22" t="s">
        <v>69</v>
      </c>
      <c r="C21" s="23">
        <v>6</v>
      </c>
      <c r="D21" s="24" t="b">
        <v>0</v>
      </c>
      <c r="E21" s="25" t="b">
        <v>0</v>
      </c>
      <c r="F21" s="26">
        <f t="shared" si="0"/>
        <v>7</v>
      </c>
      <c r="G21" s="23">
        <f t="shared" si="1"/>
        <v>0</v>
      </c>
      <c r="H21" s="27">
        <f t="shared" si="2"/>
        <v>0.58333333333333337</v>
      </c>
      <c r="I21" s="26">
        <v>2</v>
      </c>
      <c r="J21" s="23">
        <v>2</v>
      </c>
      <c r="K21" s="23">
        <v>1</v>
      </c>
      <c r="L21" s="23">
        <v>3</v>
      </c>
      <c r="M21" s="23">
        <v>2</v>
      </c>
      <c r="N21" s="23">
        <v>3</v>
      </c>
      <c r="O21" s="23">
        <v>3</v>
      </c>
      <c r="P21" s="23">
        <v>4</v>
      </c>
      <c r="Q21" s="26"/>
      <c r="R21" s="23"/>
      <c r="S21" s="23"/>
      <c r="T21" s="23"/>
      <c r="U21" s="26">
        <f>IF(I21=VLOOKUP(VALUE(I$1),Questions[#All],5,FALSE),1,0)</f>
        <v>1</v>
      </c>
      <c r="V21" s="23">
        <f>IF(J21=VLOOKUP(VALUE(J$1),Questions[#All],5,FALSE),1,0)</f>
        <v>1</v>
      </c>
      <c r="W21" s="23">
        <f>IF(K21=VLOOKUP(VALUE(K$1),Questions[#All],5,FALSE),1,0)</f>
        <v>1</v>
      </c>
      <c r="X21" s="23">
        <f>IF(L21=VLOOKUP(VALUE(L$1),Questions[#All],5,FALSE),1,0)</f>
        <v>1</v>
      </c>
      <c r="Y21" s="23">
        <f>IF(M21=VLOOKUP(VALUE(M$1),Questions[#All],5,FALSE),1,0)</f>
        <v>1</v>
      </c>
      <c r="Z21" s="23">
        <f>IF(N21=VLOOKUP(VALUE(N$1),Questions[#All],5,FALSE),1,0)</f>
        <v>1</v>
      </c>
      <c r="AA21" s="23">
        <f>IF(O21=VLOOKUP(VALUE(O$1),Questions[#All],5,FALSE),1,0)</f>
        <v>1</v>
      </c>
      <c r="AB21" s="23">
        <f>IF(P21=VLOOKUP(VALUE(P$1),Questions[#All],5,FALSE),1,0)</f>
        <v>0</v>
      </c>
    </row>
    <row r="22" spans="1:28" ht="22.5" customHeight="1" x14ac:dyDescent="0.15">
      <c r="A22" s="10" t="s">
        <v>795</v>
      </c>
      <c r="B22" s="28" t="s">
        <v>69</v>
      </c>
      <c r="C22" s="29">
        <v>6</v>
      </c>
      <c r="D22" s="30" t="b">
        <v>0</v>
      </c>
      <c r="E22" s="31" t="b">
        <v>0</v>
      </c>
      <c r="F22" s="32">
        <f t="shared" si="0"/>
        <v>7</v>
      </c>
      <c r="G22" s="29">
        <f t="shared" si="1"/>
        <v>0</v>
      </c>
      <c r="H22" s="33">
        <f t="shared" si="2"/>
        <v>0.58333333333333337</v>
      </c>
      <c r="I22" s="32">
        <v>2</v>
      </c>
      <c r="J22" s="29">
        <v>2</v>
      </c>
      <c r="K22" s="29">
        <v>3</v>
      </c>
      <c r="L22" s="29">
        <v>3</v>
      </c>
      <c r="M22" s="29">
        <v>2</v>
      </c>
      <c r="N22" s="29">
        <v>3</v>
      </c>
      <c r="O22" s="29">
        <v>3</v>
      </c>
      <c r="P22" s="29">
        <v>3</v>
      </c>
      <c r="Q22" s="32"/>
      <c r="R22" s="29"/>
      <c r="S22" s="29"/>
      <c r="T22" s="29"/>
      <c r="U22" s="32">
        <f>IF(I22=VLOOKUP(VALUE(I$1),Questions[#All],5,FALSE),1,0)</f>
        <v>1</v>
      </c>
      <c r="V22" s="29">
        <f>IF(J22=VLOOKUP(VALUE(J$1),Questions[#All],5,FALSE),1,0)</f>
        <v>1</v>
      </c>
      <c r="W22" s="29">
        <f>IF(K22=VLOOKUP(VALUE(K$1),Questions[#All],5,FALSE),1,0)</f>
        <v>0</v>
      </c>
      <c r="X22" s="29">
        <f>IF(L22=VLOOKUP(VALUE(L$1),Questions[#All],5,FALSE),1,0)</f>
        <v>1</v>
      </c>
      <c r="Y22" s="29">
        <f>IF(M22=VLOOKUP(VALUE(M$1),Questions[#All],5,FALSE),1,0)</f>
        <v>1</v>
      </c>
      <c r="Z22" s="29">
        <f>IF(N22=VLOOKUP(VALUE(N$1),Questions[#All],5,FALSE),1,0)</f>
        <v>1</v>
      </c>
      <c r="AA22" s="29">
        <f>IF(O22=VLOOKUP(VALUE(O$1),Questions[#All],5,FALSE),1,0)</f>
        <v>1</v>
      </c>
      <c r="AB22" s="29">
        <f>IF(P22=VLOOKUP(VALUE(P$1),Questions[#All],5,FALSE),1,0)</f>
        <v>1</v>
      </c>
    </row>
    <row r="23" spans="1:28" ht="22.5" customHeight="1" x14ac:dyDescent="0.15">
      <c r="A23" s="10" t="s">
        <v>796</v>
      </c>
      <c r="B23" s="22" t="s">
        <v>69</v>
      </c>
      <c r="C23" s="23">
        <v>6</v>
      </c>
      <c r="D23" s="24" t="b">
        <v>0</v>
      </c>
      <c r="E23" s="25" t="b">
        <v>0</v>
      </c>
      <c r="F23" s="26">
        <f t="shared" si="0"/>
        <v>7</v>
      </c>
      <c r="G23" s="23">
        <f t="shared" si="1"/>
        <v>0</v>
      </c>
      <c r="H23" s="27">
        <f t="shared" si="2"/>
        <v>0.58333333333333337</v>
      </c>
      <c r="I23" s="26">
        <v>2</v>
      </c>
      <c r="J23" s="23">
        <v>2</v>
      </c>
      <c r="K23" s="23">
        <v>3</v>
      </c>
      <c r="L23" s="23">
        <v>3</v>
      </c>
      <c r="M23" s="23">
        <v>2</v>
      </c>
      <c r="N23" s="23">
        <v>3</v>
      </c>
      <c r="O23" s="23">
        <v>3</v>
      </c>
      <c r="P23" s="23">
        <v>3</v>
      </c>
      <c r="Q23" s="26"/>
      <c r="R23" s="23"/>
      <c r="S23" s="23"/>
      <c r="T23" s="23"/>
      <c r="U23" s="26">
        <f>IF(I23=VLOOKUP(VALUE(I$1),Questions[#All],5,FALSE),1,0)</f>
        <v>1</v>
      </c>
      <c r="V23" s="23">
        <f>IF(J23=VLOOKUP(VALUE(J$1),Questions[#All],5,FALSE),1,0)</f>
        <v>1</v>
      </c>
      <c r="W23" s="23">
        <f>IF(K23=VLOOKUP(VALUE(K$1),Questions[#All],5,FALSE),1,0)</f>
        <v>0</v>
      </c>
      <c r="X23" s="23">
        <f>IF(L23=VLOOKUP(VALUE(L$1),Questions[#All],5,FALSE),1,0)</f>
        <v>1</v>
      </c>
      <c r="Y23" s="23">
        <f>IF(M23=VLOOKUP(VALUE(M$1),Questions[#All],5,FALSE),1,0)</f>
        <v>1</v>
      </c>
      <c r="Z23" s="23">
        <f>IF(N23=VLOOKUP(VALUE(N$1),Questions[#All],5,FALSE),1,0)</f>
        <v>1</v>
      </c>
      <c r="AA23" s="23">
        <f>IF(O23=VLOOKUP(VALUE(O$1),Questions[#All],5,FALSE),1,0)</f>
        <v>1</v>
      </c>
      <c r="AB23" s="23">
        <f>IF(P23=VLOOKUP(VALUE(P$1),Questions[#All],5,FALSE),1,0)</f>
        <v>1</v>
      </c>
    </row>
    <row r="24" spans="1:28" ht="22.5" customHeight="1" x14ac:dyDescent="0.15">
      <c r="A24" s="10" t="s">
        <v>797</v>
      </c>
      <c r="B24" s="28" t="s">
        <v>69</v>
      </c>
      <c r="C24" s="29">
        <v>6</v>
      </c>
      <c r="D24" s="30" t="b">
        <v>0</v>
      </c>
      <c r="E24" s="31" t="b">
        <v>0</v>
      </c>
      <c r="F24" s="32">
        <f t="shared" si="0"/>
        <v>8</v>
      </c>
      <c r="G24" s="29">
        <f t="shared" si="1"/>
        <v>0</v>
      </c>
      <c r="H24" s="33">
        <f t="shared" si="2"/>
        <v>0.66666666666666663</v>
      </c>
      <c r="I24" s="32">
        <v>2</v>
      </c>
      <c r="J24" s="29">
        <v>2</v>
      </c>
      <c r="K24" s="29">
        <v>1</v>
      </c>
      <c r="L24" s="29">
        <v>3</v>
      </c>
      <c r="M24" s="29">
        <v>2</v>
      </c>
      <c r="N24" s="29">
        <v>3</v>
      </c>
      <c r="O24" s="29">
        <v>3</v>
      </c>
      <c r="P24" s="29">
        <v>3</v>
      </c>
      <c r="Q24" s="32"/>
      <c r="R24" s="29"/>
      <c r="S24" s="29"/>
      <c r="T24" s="29"/>
      <c r="U24" s="32">
        <f>IF(I24=VLOOKUP(VALUE(I$1),Questions[#All],5,FALSE),1,0)</f>
        <v>1</v>
      </c>
      <c r="V24" s="29">
        <f>IF(J24=VLOOKUP(VALUE(J$1),Questions[#All],5,FALSE),1,0)</f>
        <v>1</v>
      </c>
      <c r="W24" s="29">
        <f>IF(K24=VLOOKUP(VALUE(K$1),Questions[#All],5,FALSE),1,0)</f>
        <v>1</v>
      </c>
      <c r="X24" s="29">
        <f>IF(L24=VLOOKUP(VALUE(L$1),Questions[#All],5,FALSE),1,0)</f>
        <v>1</v>
      </c>
      <c r="Y24" s="29">
        <f>IF(M24=VLOOKUP(VALUE(M$1),Questions[#All],5,FALSE),1,0)</f>
        <v>1</v>
      </c>
      <c r="Z24" s="29">
        <f>IF(N24=VLOOKUP(VALUE(N$1),Questions[#All],5,FALSE),1,0)</f>
        <v>1</v>
      </c>
      <c r="AA24" s="29">
        <f>IF(O24=VLOOKUP(VALUE(O$1),Questions[#All],5,FALSE),1,0)</f>
        <v>1</v>
      </c>
      <c r="AB24" s="29">
        <f>IF(P24=VLOOKUP(VALUE(P$1),Questions[#All],5,FALSE),1,0)</f>
        <v>1</v>
      </c>
    </row>
    <row r="25" spans="1:28" ht="22.5" customHeight="1" x14ac:dyDescent="0.15">
      <c r="A25" s="10" t="s">
        <v>798</v>
      </c>
      <c r="B25" s="22" t="s">
        <v>69</v>
      </c>
      <c r="C25" s="23">
        <v>6</v>
      </c>
      <c r="D25" s="24" t="b">
        <v>0</v>
      </c>
      <c r="E25" s="25" t="b">
        <v>0</v>
      </c>
      <c r="F25" s="26">
        <f t="shared" si="0"/>
        <v>5</v>
      </c>
      <c r="G25" s="23">
        <f t="shared" si="1"/>
        <v>0</v>
      </c>
      <c r="H25" s="27">
        <f t="shared" si="2"/>
        <v>0.41666666666666669</v>
      </c>
      <c r="I25" s="26">
        <v>2</v>
      </c>
      <c r="J25" s="23">
        <v>1</v>
      </c>
      <c r="K25" s="23">
        <v>1</v>
      </c>
      <c r="L25" s="23">
        <v>1</v>
      </c>
      <c r="M25" s="23">
        <v>2</v>
      </c>
      <c r="N25" s="23">
        <v>1</v>
      </c>
      <c r="O25" s="23">
        <v>3</v>
      </c>
      <c r="P25" s="23">
        <v>3</v>
      </c>
      <c r="Q25" s="26"/>
      <c r="R25" s="23"/>
      <c r="S25" s="23"/>
      <c r="T25" s="23"/>
      <c r="U25" s="26">
        <f>IF(I25=VLOOKUP(VALUE(I$1),Questions[#All],5,FALSE),1,0)</f>
        <v>1</v>
      </c>
      <c r="V25" s="23">
        <f>IF(J25=VLOOKUP(VALUE(J$1),Questions[#All],5,FALSE),1,0)</f>
        <v>0</v>
      </c>
      <c r="W25" s="23">
        <f>IF(K25=VLOOKUP(VALUE(K$1),Questions[#All],5,FALSE),1,0)</f>
        <v>1</v>
      </c>
      <c r="X25" s="23">
        <f>IF(L25=VLOOKUP(VALUE(L$1),Questions[#All],5,FALSE),1,0)</f>
        <v>0</v>
      </c>
      <c r="Y25" s="23">
        <f>IF(M25=VLOOKUP(VALUE(M$1),Questions[#All],5,FALSE),1,0)</f>
        <v>1</v>
      </c>
      <c r="Z25" s="23">
        <f>IF(N25=VLOOKUP(VALUE(N$1),Questions[#All],5,FALSE),1,0)</f>
        <v>0</v>
      </c>
      <c r="AA25" s="23">
        <f>IF(O25=VLOOKUP(VALUE(O$1),Questions[#All],5,FALSE),1,0)</f>
        <v>1</v>
      </c>
      <c r="AB25" s="23">
        <f>IF(P25=VLOOKUP(VALUE(P$1),Questions[#All],5,FALSE),1,0)</f>
        <v>1</v>
      </c>
    </row>
    <row r="26" spans="1:28" ht="22.5" customHeight="1" x14ac:dyDescent="0.15">
      <c r="A26" s="10" t="s">
        <v>799</v>
      </c>
      <c r="B26" s="28" t="s">
        <v>69</v>
      </c>
      <c r="C26" s="29">
        <v>6</v>
      </c>
      <c r="D26" s="30" t="b">
        <v>0</v>
      </c>
      <c r="E26" s="31" t="b">
        <v>0</v>
      </c>
      <c r="F26" s="32">
        <f t="shared" si="0"/>
        <v>6</v>
      </c>
      <c r="G26" s="29">
        <f t="shared" si="1"/>
        <v>0</v>
      </c>
      <c r="H26" s="33">
        <f t="shared" si="2"/>
        <v>0.5</v>
      </c>
      <c r="I26" s="32">
        <v>2</v>
      </c>
      <c r="J26" s="29">
        <v>2</v>
      </c>
      <c r="K26" s="29">
        <v>1</v>
      </c>
      <c r="L26" s="29">
        <v>1</v>
      </c>
      <c r="M26" s="29">
        <v>2</v>
      </c>
      <c r="N26" s="29">
        <v>2</v>
      </c>
      <c r="O26" s="29">
        <v>3</v>
      </c>
      <c r="P26" s="29">
        <v>3</v>
      </c>
      <c r="Q26" s="32"/>
      <c r="R26" s="29"/>
      <c r="S26" s="29"/>
      <c r="T26" s="29"/>
      <c r="U26" s="32">
        <f>IF(I26=VLOOKUP(VALUE(I$1),Questions[#All],5,FALSE),1,0)</f>
        <v>1</v>
      </c>
      <c r="V26" s="29">
        <f>IF(J26=VLOOKUP(VALUE(J$1),Questions[#All],5,FALSE),1,0)</f>
        <v>1</v>
      </c>
      <c r="W26" s="29">
        <f>IF(K26=VLOOKUP(VALUE(K$1),Questions[#All],5,FALSE),1,0)</f>
        <v>1</v>
      </c>
      <c r="X26" s="29">
        <f>IF(L26=VLOOKUP(VALUE(L$1),Questions[#All],5,FALSE),1,0)</f>
        <v>0</v>
      </c>
      <c r="Y26" s="29">
        <f>IF(M26=VLOOKUP(VALUE(M$1),Questions[#All],5,FALSE),1,0)</f>
        <v>1</v>
      </c>
      <c r="Z26" s="29">
        <f>IF(N26=VLOOKUP(VALUE(N$1),Questions[#All],5,FALSE),1,0)</f>
        <v>0</v>
      </c>
      <c r="AA26" s="29">
        <f>IF(O26=VLOOKUP(VALUE(O$1),Questions[#All],5,FALSE),1,0)</f>
        <v>1</v>
      </c>
      <c r="AB26" s="29">
        <f>IF(P26=VLOOKUP(VALUE(P$1),Questions[#All],5,FALSE),1,0)</f>
        <v>1</v>
      </c>
    </row>
    <row r="27" spans="1:28" ht="22.5" customHeight="1" x14ac:dyDescent="0.15">
      <c r="A27" s="10" t="s">
        <v>800</v>
      </c>
      <c r="B27" s="22" t="s">
        <v>69</v>
      </c>
      <c r="C27" s="23">
        <v>6</v>
      </c>
      <c r="D27" s="24" t="b">
        <v>0</v>
      </c>
      <c r="E27" s="25" t="b">
        <v>0</v>
      </c>
      <c r="F27" s="26">
        <f t="shared" si="0"/>
        <v>7</v>
      </c>
      <c r="G27" s="23">
        <f t="shared" si="1"/>
        <v>0</v>
      </c>
      <c r="H27" s="27">
        <f t="shared" si="2"/>
        <v>0.58333333333333337</v>
      </c>
      <c r="I27" s="26">
        <v>2</v>
      </c>
      <c r="J27" s="23">
        <v>2</v>
      </c>
      <c r="K27" s="23">
        <v>3</v>
      </c>
      <c r="L27" s="23">
        <v>3</v>
      </c>
      <c r="M27" s="23">
        <v>2</v>
      </c>
      <c r="N27" s="23">
        <v>3</v>
      </c>
      <c r="O27" s="23">
        <v>3</v>
      </c>
      <c r="P27" s="23">
        <v>3</v>
      </c>
      <c r="Q27" s="26"/>
      <c r="R27" s="23"/>
      <c r="S27" s="23"/>
      <c r="T27" s="23"/>
      <c r="U27" s="26">
        <f>IF(I27=VLOOKUP(VALUE(I$1),Questions[#All],5,FALSE),1,0)</f>
        <v>1</v>
      </c>
      <c r="V27" s="23">
        <f>IF(J27=VLOOKUP(VALUE(J$1),Questions[#All],5,FALSE),1,0)</f>
        <v>1</v>
      </c>
      <c r="W27" s="23">
        <f>IF(K27=VLOOKUP(VALUE(K$1),Questions[#All],5,FALSE),1,0)</f>
        <v>0</v>
      </c>
      <c r="X27" s="23">
        <f>IF(L27=VLOOKUP(VALUE(L$1),Questions[#All],5,FALSE),1,0)</f>
        <v>1</v>
      </c>
      <c r="Y27" s="23">
        <f>IF(M27=VLOOKUP(VALUE(M$1),Questions[#All],5,FALSE),1,0)</f>
        <v>1</v>
      </c>
      <c r="Z27" s="23">
        <f>IF(N27=VLOOKUP(VALUE(N$1),Questions[#All],5,FALSE),1,0)</f>
        <v>1</v>
      </c>
      <c r="AA27" s="23">
        <f>IF(O27=VLOOKUP(VALUE(O$1),Questions[#All],5,FALSE),1,0)</f>
        <v>1</v>
      </c>
      <c r="AB27" s="23">
        <f>IF(P27=VLOOKUP(VALUE(P$1),Questions[#All],5,FALSE),1,0)</f>
        <v>1</v>
      </c>
    </row>
    <row r="28" spans="1:28" ht="22.5" customHeight="1" x14ac:dyDescent="0.15">
      <c r="A28" s="10" t="s">
        <v>801</v>
      </c>
      <c r="B28" s="28" t="s">
        <v>69</v>
      </c>
      <c r="C28" s="29">
        <v>6</v>
      </c>
      <c r="D28" s="30" t="b">
        <v>0</v>
      </c>
      <c r="E28" s="31" t="b">
        <v>0</v>
      </c>
      <c r="F28" s="32">
        <f t="shared" si="0"/>
        <v>8</v>
      </c>
      <c r="G28" s="29">
        <f t="shared" si="1"/>
        <v>0</v>
      </c>
      <c r="H28" s="33">
        <f t="shared" si="2"/>
        <v>0.66666666666666663</v>
      </c>
      <c r="I28" s="32">
        <v>2</v>
      </c>
      <c r="J28" s="29">
        <v>2</v>
      </c>
      <c r="K28" s="29">
        <v>1</v>
      </c>
      <c r="L28" s="29">
        <v>3</v>
      </c>
      <c r="M28" s="29">
        <v>2</v>
      </c>
      <c r="N28" s="29">
        <v>3</v>
      </c>
      <c r="O28" s="29">
        <v>3</v>
      </c>
      <c r="P28" s="29">
        <v>3</v>
      </c>
      <c r="Q28" s="32"/>
      <c r="R28" s="29"/>
      <c r="S28" s="29"/>
      <c r="T28" s="29"/>
      <c r="U28" s="32">
        <f>IF(I28=VLOOKUP(VALUE(I$1),Questions[#All],5,FALSE),1,0)</f>
        <v>1</v>
      </c>
      <c r="V28" s="29">
        <f>IF(J28=VLOOKUP(VALUE(J$1),Questions[#All],5,FALSE),1,0)</f>
        <v>1</v>
      </c>
      <c r="W28" s="29">
        <f>IF(K28=VLOOKUP(VALUE(K$1),Questions[#All],5,FALSE),1,0)</f>
        <v>1</v>
      </c>
      <c r="X28" s="29">
        <f>IF(L28=VLOOKUP(VALUE(L$1),Questions[#All],5,FALSE),1,0)</f>
        <v>1</v>
      </c>
      <c r="Y28" s="29">
        <f>IF(M28=VLOOKUP(VALUE(M$1),Questions[#All],5,FALSE),1,0)</f>
        <v>1</v>
      </c>
      <c r="Z28" s="29">
        <f>IF(N28=VLOOKUP(VALUE(N$1),Questions[#All],5,FALSE),1,0)</f>
        <v>1</v>
      </c>
      <c r="AA28" s="29">
        <f>IF(O28=VLOOKUP(VALUE(O$1),Questions[#All],5,FALSE),1,0)</f>
        <v>1</v>
      </c>
      <c r="AB28" s="29">
        <f>IF(P28=VLOOKUP(VALUE(P$1),Questions[#All],5,FALSE),1,0)</f>
        <v>1</v>
      </c>
    </row>
    <row r="29" spans="1:28" ht="22.5" customHeight="1" x14ac:dyDescent="0.15">
      <c r="A29" s="10" t="s">
        <v>802</v>
      </c>
      <c r="B29" s="22" t="s">
        <v>69</v>
      </c>
      <c r="C29" s="23">
        <v>6</v>
      </c>
      <c r="D29" s="24" t="b">
        <v>0</v>
      </c>
      <c r="E29" s="25" t="b">
        <v>0</v>
      </c>
      <c r="F29" s="26">
        <f t="shared" si="0"/>
        <v>6</v>
      </c>
      <c r="G29" s="23">
        <f t="shared" si="1"/>
        <v>0</v>
      </c>
      <c r="H29" s="27">
        <f t="shared" si="2"/>
        <v>0.5</v>
      </c>
      <c r="I29" s="26">
        <v>2</v>
      </c>
      <c r="J29" s="23">
        <v>2</v>
      </c>
      <c r="K29" s="23">
        <v>3</v>
      </c>
      <c r="L29" s="23">
        <v>3</v>
      </c>
      <c r="M29" s="23">
        <v>2</v>
      </c>
      <c r="N29" s="23">
        <v>3</v>
      </c>
      <c r="O29" s="23">
        <v>3</v>
      </c>
      <c r="P29" s="23">
        <v>4</v>
      </c>
      <c r="Q29" s="26"/>
      <c r="R29" s="23"/>
      <c r="S29" s="23"/>
      <c r="T29" s="23"/>
      <c r="U29" s="26">
        <f>IF(I29=VLOOKUP(VALUE(I$1),Questions[#All],5,FALSE),1,0)</f>
        <v>1</v>
      </c>
      <c r="V29" s="23">
        <f>IF(J29=VLOOKUP(VALUE(J$1),Questions[#All],5,FALSE),1,0)</f>
        <v>1</v>
      </c>
      <c r="W29" s="23">
        <f>IF(K29=VLOOKUP(VALUE(K$1),Questions[#All],5,FALSE),1,0)</f>
        <v>0</v>
      </c>
      <c r="X29" s="23">
        <f>IF(L29=VLOOKUP(VALUE(L$1),Questions[#All],5,FALSE),1,0)</f>
        <v>1</v>
      </c>
      <c r="Y29" s="23">
        <f>IF(M29=VLOOKUP(VALUE(M$1),Questions[#All],5,FALSE),1,0)</f>
        <v>1</v>
      </c>
      <c r="Z29" s="23">
        <f>IF(N29=VLOOKUP(VALUE(N$1),Questions[#All],5,FALSE),1,0)</f>
        <v>1</v>
      </c>
      <c r="AA29" s="23">
        <f>IF(O29=VLOOKUP(VALUE(O$1),Questions[#All],5,FALSE),1,0)</f>
        <v>1</v>
      </c>
      <c r="AB29" s="23">
        <f>IF(P29=VLOOKUP(VALUE(P$1),Questions[#All],5,FALSE),1,0)</f>
        <v>0</v>
      </c>
    </row>
    <row r="30" spans="1:28" ht="22.5" customHeight="1" x14ac:dyDescent="0.15">
      <c r="A30" s="10" t="s">
        <v>803</v>
      </c>
      <c r="B30" s="28" t="s">
        <v>69</v>
      </c>
      <c r="C30" s="29">
        <v>6</v>
      </c>
      <c r="D30" s="30" t="b">
        <v>0</v>
      </c>
      <c r="E30" s="31" t="b">
        <v>0</v>
      </c>
      <c r="F30" s="32">
        <f t="shared" si="0"/>
        <v>5</v>
      </c>
      <c r="G30" s="29">
        <f t="shared" si="1"/>
        <v>0</v>
      </c>
      <c r="H30" s="33">
        <f t="shared" si="2"/>
        <v>0.41666666666666669</v>
      </c>
      <c r="I30" s="32">
        <v>4</v>
      </c>
      <c r="J30" s="29">
        <v>2</v>
      </c>
      <c r="K30" s="29">
        <v>2</v>
      </c>
      <c r="L30" s="29">
        <v>1</v>
      </c>
      <c r="M30" s="29">
        <v>2</v>
      </c>
      <c r="N30" s="29">
        <v>3</v>
      </c>
      <c r="O30" s="29">
        <v>3</v>
      </c>
      <c r="P30" s="29">
        <v>3</v>
      </c>
      <c r="Q30" s="32"/>
      <c r="R30" s="29"/>
      <c r="S30" s="29"/>
      <c r="T30" s="29"/>
      <c r="U30" s="32">
        <f>IF(I30=VLOOKUP(VALUE(I$1),Questions[#All],5,FALSE),1,0)</f>
        <v>0</v>
      </c>
      <c r="V30" s="29">
        <f>IF(J30=VLOOKUP(VALUE(J$1),Questions[#All],5,FALSE),1,0)</f>
        <v>1</v>
      </c>
      <c r="W30" s="29">
        <f>IF(K30=VLOOKUP(VALUE(K$1),Questions[#All],5,FALSE),1,0)</f>
        <v>0</v>
      </c>
      <c r="X30" s="29">
        <f>IF(L30=VLOOKUP(VALUE(L$1),Questions[#All],5,FALSE),1,0)</f>
        <v>0</v>
      </c>
      <c r="Y30" s="29">
        <f>IF(M30=VLOOKUP(VALUE(M$1),Questions[#All],5,FALSE),1,0)</f>
        <v>1</v>
      </c>
      <c r="Z30" s="29">
        <f>IF(N30=VLOOKUP(VALUE(N$1),Questions[#All],5,FALSE),1,0)</f>
        <v>1</v>
      </c>
      <c r="AA30" s="29">
        <f>IF(O30=VLOOKUP(VALUE(O$1),Questions[#All],5,FALSE),1,0)</f>
        <v>1</v>
      </c>
      <c r="AB30" s="29">
        <f>IF(P30=VLOOKUP(VALUE(P$1),Questions[#All],5,FALSE),1,0)</f>
        <v>1</v>
      </c>
    </row>
    <row r="31" spans="1:28" ht="22.5" customHeight="1" x14ac:dyDescent="0.15">
      <c r="A31" s="10" t="s">
        <v>804</v>
      </c>
      <c r="B31" s="22" t="s">
        <v>69</v>
      </c>
      <c r="C31" s="23">
        <v>6</v>
      </c>
      <c r="D31" s="24" t="b">
        <v>0</v>
      </c>
      <c r="E31" s="25" t="b">
        <v>0</v>
      </c>
      <c r="F31" s="26">
        <f t="shared" si="0"/>
        <v>6</v>
      </c>
      <c r="G31" s="23">
        <f t="shared" si="1"/>
        <v>0</v>
      </c>
      <c r="H31" s="27">
        <f t="shared" si="2"/>
        <v>0.5</v>
      </c>
      <c r="I31" s="26">
        <v>2</v>
      </c>
      <c r="J31" s="23">
        <v>4</v>
      </c>
      <c r="K31" s="23">
        <v>3</v>
      </c>
      <c r="L31" s="23">
        <v>3</v>
      </c>
      <c r="M31" s="23">
        <v>2</v>
      </c>
      <c r="N31" s="23">
        <v>3</v>
      </c>
      <c r="O31" s="23">
        <v>3</v>
      </c>
      <c r="P31" s="23">
        <v>3</v>
      </c>
      <c r="Q31" s="26"/>
      <c r="R31" s="23"/>
      <c r="S31" s="23"/>
      <c r="T31" s="23"/>
      <c r="U31" s="26">
        <f>IF(I31=VLOOKUP(VALUE(I$1),Questions[#All],5,FALSE),1,0)</f>
        <v>1</v>
      </c>
      <c r="V31" s="23">
        <f>IF(J31=VLOOKUP(VALUE(J$1),Questions[#All],5,FALSE),1,0)</f>
        <v>0</v>
      </c>
      <c r="W31" s="23">
        <f>IF(K31=VLOOKUP(VALUE(K$1),Questions[#All],5,FALSE),1,0)</f>
        <v>0</v>
      </c>
      <c r="X31" s="23">
        <f>IF(L31=VLOOKUP(VALUE(L$1),Questions[#All],5,FALSE),1,0)</f>
        <v>1</v>
      </c>
      <c r="Y31" s="23">
        <f>IF(M31=VLOOKUP(VALUE(M$1),Questions[#All],5,FALSE),1,0)</f>
        <v>1</v>
      </c>
      <c r="Z31" s="23">
        <f>IF(N31=VLOOKUP(VALUE(N$1),Questions[#All],5,FALSE),1,0)</f>
        <v>1</v>
      </c>
      <c r="AA31" s="23">
        <f>IF(O31=VLOOKUP(VALUE(O$1),Questions[#All],5,FALSE),1,0)</f>
        <v>1</v>
      </c>
      <c r="AB31" s="23">
        <f>IF(P31=VLOOKUP(VALUE(P$1),Questions[#All],5,FALSE),1,0)</f>
        <v>1</v>
      </c>
    </row>
    <row r="32" spans="1:28" ht="22.5" customHeight="1" x14ac:dyDescent="0.15">
      <c r="A32" s="10" t="s">
        <v>805</v>
      </c>
      <c r="B32" s="28" t="s">
        <v>69</v>
      </c>
      <c r="C32" s="29">
        <v>6</v>
      </c>
      <c r="D32" s="30" t="b">
        <v>0</v>
      </c>
      <c r="E32" s="31" t="b">
        <v>0</v>
      </c>
      <c r="F32" s="32">
        <f t="shared" si="0"/>
        <v>8</v>
      </c>
      <c r="G32" s="29">
        <f t="shared" si="1"/>
        <v>0</v>
      </c>
      <c r="H32" s="33">
        <f t="shared" si="2"/>
        <v>0.66666666666666663</v>
      </c>
      <c r="I32" s="32">
        <v>2</v>
      </c>
      <c r="J32" s="29">
        <v>2</v>
      </c>
      <c r="K32" s="29">
        <v>1</v>
      </c>
      <c r="L32" s="29">
        <v>3</v>
      </c>
      <c r="M32" s="29">
        <v>2</v>
      </c>
      <c r="N32" s="29">
        <v>3</v>
      </c>
      <c r="O32" s="29">
        <v>3</v>
      </c>
      <c r="P32" s="29">
        <v>3</v>
      </c>
      <c r="Q32" s="32"/>
      <c r="R32" s="29"/>
      <c r="S32" s="29"/>
      <c r="T32" s="29"/>
      <c r="U32" s="32">
        <f>IF(I32=VLOOKUP(VALUE(I$1),Questions[#All],5,FALSE),1,0)</f>
        <v>1</v>
      </c>
      <c r="V32" s="29">
        <f>IF(J32=VLOOKUP(VALUE(J$1),Questions[#All],5,FALSE),1,0)</f>
        <v>1</v>
      </c>
      <c r="W32" s="29">
        <f>IF(K32=VLOOKUP(VALUE(K$1),Questions[#All],5,FALSE),1,0)</f>
        <v>1</v>
      </c>
      <c r="X32" s="29">
        <f>IF(L32=VLOOKUP(VALUE(L$1),Questions[#All],5,FALSE),1,0)</f>
        <v>1</v>
      </c>
      <c r="Y32" s="29">
        <f>IF(M32=VLOOKUP(VALUE(M$1),Questions[#All],5,FALSE),1,0)</f>
        <v>1</v>
      </c>
      <c r="Z32" s="29">
        <f>IF(N32=VLOOKUP(VALUE(N$1),Questions[#All],5,FALSE),1,0)</f>
        <v>1</v>
      </c>
      <c r="AA32" s="29">
        <f>IF(O32=VLOOKUP(VALUE(O$1),Questions[#All],5,FALSE),1,0)</f>
        <v>1</v>
      </c>
      <c r="AB32" s="29">
        <f>IF(P32=VLOOKUP(VALUE(P$1),Questions[#All],5,FALSE),1,0)</f>
        <v>1</v>
      </c>
    </row>
    <row r="33" spans="1:28" ht="22.5" customHeight="1" x14ac:dyDescent="0.15">
      <c r="A33" s="10" t="s">
        <v>806</v>
      </c>
      <c r="B33" s="22" t="s">
        <v>69</v>
      </c>
      <c r="C33" s="23">
        <v>6</v>
      </c>
      <c r="D33" s="24" t="b">
        <v>0</v>
      </c>
      <c r="E33" s="25" t="b">
        <v>0</v>
      </c>
      <c r="F33" s="26">
        <f t="shared" si="0"/>
        <v>7</v>
      </c>
      <c r="G33" s="23">
        <f t="shared" si="1"/>
        <v>0</v>
      </c>
      <c r="H33" s="27">
        <f t="shared" si="2"/>
        <v>0.58333333333333337</v>
      </c>
      <c r="I33" s="26">
        <v>2</v>
      </c>
      <c r="J33" s="23">
        <v>2</v>
      </c>
      <c r="K33" s="23">
        <v>1</v>
      </c>
      <c r="L33" s="23">
        <v>3</v>
      </c>
      <c r="M33" s="23">
        <v>2</v>
      </c>
      <c r="N33" s="23">
        <v>3</v>
      </c>
      <c r="O33" s="23">
        <v>1</v>
      </c>
      <c r="P33" s="23">
        <v>3</v>
      </c>
      <c r="Q33" s="26"/>
      <c r="R33" s="23"/>
      <c r="S33" s="23"/>
      <c r="T33" s="23"/>
      <c r="U33" s="26">
        <f>IF(I33=VLOOKUP(VALUE(I$1),Questions[#All],5,FALSE),1,0)</f>
        <v>1</v>
      </c>
      <c r="V33" s="23">
        <f>IF(J33=VLOOKUP(VALUE(J$1),Questions[#All],5,FALSE),1,0)</f>
        <v>1</v>
      </c>
      <c r="W33" s="23">
        <f>IF(K33=VLOOKUP(VALUE(K$1),Questions[#All],5,FALSE),1,0)</f>
        <v>1</v>
      </c>
      <c r="X33" s="23">
        <f>IF(L33=VLOOKUP(VALUE(L$1),Questions[#All],5,FALSE),1,0)</f>
        <v>1</v>
      </c>
      <c r="Y33" s="23">
        <f>IF(M33=VLOOKUP(VALUE(M$1),Questions[#All],5,FALSE),1,0)</f>
        <v>1</v>
      </c>
      <c r="Z33" s="23">
        <f>IF(N33=VLOOKUP(VALUE(N$1),Questions[#All],5,FALSE),1,0)</f>
        <v>1</v>
      </c>
      <c r="AA33" s="23">
        <f>IF(O33=VLOOKUP(VALUE(O$1),Questions[#All],5,FALSE),1,0)</f>
        <v>0</v>
      </c>
      <c r="AB33" s="23">
        <f>IF(P33=VLOOKUP(VALUE(P$1),Questions[#All],5,FALSE),1,0)</f>
        <v>1</v>
      </c>
    </row>
    <row r="34" spans="1:28" ht="22.5" customHeight="1" x14ac:dyDescent="0.15">
      <c r="A34" s="10" t="s">
        <v>807</v>
      </c>
      <c r="B34" s="28" t="s">
        <v>69</v>
      </c>
      <c r="C34" s="29">
        <v>6</v>
      </c>
      <c r="D34" s="30" t="b">
        <v>0</v>
      </c>
      <c r="E34" s="31" t="b">
        <v>0</v>
      </c>
      <c r="F34" s="32">
        <f t="shared" si="0"/>
        <v>7</v>
      </c>
      <c r="G34" s="29">
        <f t="shared" si="1"/>
        <v>0</v>
      </c>
      <c r="H34" s="33">
        <f t="shared" si="2"/>
        <v>0.58333333333333337</v>
      </c>
      <c r="I34" s="32">
        <v>2</v>
      </c>
      <c r="J34" s="29">
        <v>2</v>
      </c>
      <c r="K34" s="29">
        <v>1</v>
      </c>
      <c r="L34" s="29">
        <v>3</v>
      </c>
      <c r="M34" s="29">
        <v>2</v>
      </c>
      <c r="N34" s="29">
        <v>3</v>
      </c>
      <c r="O34" s="29">
        <v>1</v>
      </c>
      <c r="P34" s="29">
        <v>3</v>
      </c>
      <c r="Q34" s="32"/>
      <c r="R34" s="29"/>
      <c r="S34" s="29"/>
      <c r="T34" s="29"/>
      <c r="U34" s="32">
        <f>IF(I34=VLOOKUP(VALUE(I$1),Questions[#All],5,FALSE),1,0)</f>
        <v>1</v>
      </c>
      <c r="V34" s="29">
        <f>IF(J34=VLOOKUP(VALUE(J$1),Questions[#All],5,FALSE),1,0)</f>
        <v>1</v>
      </c>
      <c r="W34" s="29">
        <f>IF(K34=VLOOKUP(VALUE(K$1),Questions[#All],5,FALSE),1,0)</f>
        <v>1</v>
      </c>
      <c r="X34" s="29">
        <f>IF(L34=VLOOKUP(VALUE(L$1),Questions[#All],5,FALSE),1,0)</f>
        <v>1</v>
      </c>
      <c r="Y34" s="29">
        <f>IF(M34=VLOOKUP(VALUE(M$1),Questions[#All],5,FALSE),1,0)</f>
        <v>1</v>
      </c>
      <c r="Z34" s="29">
        <f>IF(N34=VLOOKUP(VALUE(N$1),Questions[#All],5,FALSE),1,0)</f>
        <v>1</v>
      </c>
      <c r="AA34" s="29">
        <f>IF(O34=VLOOKUP(VALUE(O$1),Questions[#All],5,FALSE),1,0)</f>
        <v>0</v>
      </c>
      <c r="AB34" s="29">
        <f>IF(P34=VLOOKUP(VALUE(P$1),Questions[#All],5,FALSE),1,0)</f>
        <v>1</v>
      </c>
    </row>
    <row r="35" spans="1:28" ht="22.5" customHeight="1" x14ac:dyDescent="0.15">
      <c r="A35" s="10" t="s">
        <v>808</v>
      </c>
      <c r="B35" s="22" t="s">
        <v>69</v>
      </c>
      <c r="C35" s="23">
        <v>6</v>
      </c>
      <c r="D35" s="24" t="b">
        <v>0</v>
      </c>
      <c r="E35" s="25" t="b">
        <v>0</v>
      </c>
      <c r="F35" s="26">
        <f t="shared" si="0"/>
        <v>6</v>
      </c>
      <c r="G35" s="23">
        <f t="shared" si="1"/>
        <v>0</v>
      </c>
      <c r="H35" s="27">
        <f t="shared" si="2"/>
        <v>0.5</v>
      </c>
      <c r="I35" s="26">
        <v>2</v>
      </c>
      <c r="J35" s="23">
        <v>2</v>
      </c>
      <c r="K35" s="23">
        <v>4</v>
      </c>
      <c r="L35" s="23">
        <v>3</v>
      </c>
      <c r="M35" s="23">
        <v>2</v>
      </c>
      <c r="N35" s="23">
        <v>3</v>
      </c>
      <c r="O35" s="23">
        <v>1</v>
      </c>
      <c r="P35" s="23">
        <v>3</v>
      </c>
      <c r="Q35" s="26"/>
      <c r="R35" s="23"/>
      <c r="S35" s="23"/>
      <c r="T35" s="23"/>
      <c r="U35" s="26">
        <f>IF(I35=VLOOKUP(VALUE(I$1),Questions[#All],5,FALSE),1,0)</f>
        <v>1</v>
      </c>
      <c r="V35" s="23">
        <f>IF(J35=VLOOKUP(VALUE(J$1),Questions[#All],5,FALSE),1,0)</f>
        <v>1</v>
      </c>
      <c r="W35" s="23">
        <f>IF(K35=VLOOKUP(VALUE(K$1),Questions[#All],5,FALSE),1,0)</f>
        <v>0</v>
      </c>
      <c r="X35" s="23">
        <f>IF(L35=VLOOKUP(VALUE(L$1),Questions[#All],5,FALSE),1,0)</f>
        <v>1</v>
      </c>
      <c r="Y35" s="23">
        <f>IF(M35=VLOOKUP(VALUE(M$1),Questions[#All],5,FALSE),1,0)</f>
        <v>1</v>
      </c>
      <c r="Z35" s="23">
        <f>IF(N35=VLOOKUP(VALUE(N$1),Questions[#All],5,FALSE),1,0)</f>
        <v>1</v>
      </c>
      <c r="AA35" s="23">
        <f>IF(O35=VLOOKUP(VALUE(O$1),Questions[#All],5,FALSE),1,0)</f>
        <v>0</v>
      </c>
      <c r="AB35" s="23">
        <f>IF(P35=VLOOKUP(VALUE(P$1),Questions[#All],5,FALSE),1,0)</f>
        <v>1</v>
      </c>
    </row>
    <row r="36" spans="1:28" ht="22.5" customHeight="1" x14ac:dyDescent="0.15">
      <c r="A36" s="10" t="s">
        <v>809</v>
      </c>
      <c r="B36" s="28" t="s">
        <v>69</v>
      </c>
      <c r="C36" s="29">
        <v>6</v>
      </c>
      <c r="D36" s="30" t="b">
        <v>0</v>
      </c>
      <c r="E36" s="31" t="b">
        <v>0</v>
      </c>
      <c r="F36" s="32">
        <f t="shared" si="0"/>
        <v>1</v>
      </c>
      <c r="G36" s="29">
        <f t="shared" si="1"/>
        <v>0</v>
      </c>
      <c r="H36" s="33">
        <f t="shared" si="2"/>
        <v>8.3333333333333329E-2</v>
      </c>
      <c r="I36" s="32">
        <v>1</v>
      </c>
      <c r="J36" s="29">
        <v>2</v>
      </c>
      <c r="K36" s="29">
        <v>4</v>
      </c>
      <c r="L36" s="29">
        <v>1</v>
      </c>
      <c r="M36" s="29">
        <v>4</v>
      </c>
      <c r="N36" s="29">
        <v>4</v>
      </c>
      <c r="O36" s="29">
        <v>1</v>
      </c>
      <c r="P36" s="29">
        <v>1</v>
      </c>
      <c r="Q36" s="32"/>
      <c r="R36" s="29"/>
      <c r="S36" s="29"/>
      <c r="T36" s="29"/>
      <c r="U36" s="32">
        <f>IF(I36=VLOOKUP(VALUE(I$1),Questions[#All],5,FALSE),1,0)</f>
        <v>0</v>
      </c>
      <c r="V36" s="29">
        <f>IF(J36=VLOOKUP(VALUE(J$1),Questions[#All],5,FALSE),1,0)</f>
        <v>1</v>
      </c>
      <c r="W36" s="29">
        <f>IF(K36=VLOOKUP(VALUE(K$1),Questions[#All],5,FALSE),1,0)</f>
        <v>0</v>
      </c>
      <c r="X36" s="29">
        <f>IF(L36=VLOOKUP(VALUE(L$1),Questions[#All],5,FALSE),1,0)</f>
        <v>0</v>
      </c>
      <c r="Y36" s="29">
        <f>IF(M36=VLOOKUP(VALUE(M$1),Questions[#All],5,FALSE),1,0)</f>
        <v>0</v>
      </c>
      <c r="Z36" s="29">
        <f>IF(N36=VLOOKUP(VALUE(N$1),Questions[#All],5,FALSE),1,0)</f>
        <v>0</v>
      </c>
      <c r="AA36" s="29">
        <f>IF(O36=VLOOKUP(VALUE(O$1),Questions[#All],5,FALSE),1,0)</f>
        <v>0</v>
      </c>
      <c r="AB36" s="29">
        <f>IF(P36=VLOOKUP(VALUE(P$1),Questions[#All],5,FALSE),1,0)</f>
        <v>0</v>
      </c>
    </row>
    <row r="37" spans="1:28" ht="22.5" customHeight="1" x14ac:dyDescent="0.15">
      <c r="A37" s="10" t="s">
        <v>810</v>
      </c>
      <c r="B37" s="22" t="s">
        <v>69</v>
      </c>
      <c r="C37" s="23">
        <v>6</v>
      </c>
      <c r="D37" s="24" t="b">
        <v>0</v>
      </c>
      <c r="E37" s="25" t="b">
        <v>0</v>
      </c>
      <c r="F37" s="26">
        <f t="shared" si="0"/>
        <v>4</v>
      </c>
      <c r="G37" s="23">
        <f t="shared" si="1"/>
        <v>0</v>
      </c>
      <c r="H37" s="27">
        <f t="shared" si="2"/>
        <v>0.33333333333333331</v>
      </c>
      <c r="I37" s="26">
        <v>1</v>
      </c>
      <c r="J37" s="23">
        <v>1</v>
      </c>
      <c r="K37" s="23">
        <v>4</v>
      </c>
      <c r="L37" s="23">
        <v>3</v>
      </c>
      <c r="M37" s="23">
        <v>2</v>
      </c>
      <c r="N37" s="23">
        <v>3</v>
      </c>
      <c r="O37" s="23">
        <v>3</v>
      </c>
      <c r="P37" s="23">
        <v>4</v>
      </c>
      <c r="Q37" s="26"/>
      <c r="R37" s="23"/>
      <c r="S37" s="23"/>
      <c r="T37" s="23"/>
      <c r="U37" s="26">
        <f>IF(I37=VLOOKUP(VALUE(I$1),Questions[#All],5,FALSE),1,0)</f>
        <v>0</v>
      </c>
      <c r="V37" s="23">
        <f>IF(J37=VLOOKUP(VALUE(J$1),Questions[#All],5,FALSE),1,0)</f>
        <v>0</v>
      </c>
      <c r="W37" s="23">
        <f>IF(K37=VLOOKUP(VALUE(K$1),Questions[#All],5,FALSE),1,0)</f>
        <v>0</v>
      </c>
      <c r="X37" s="23">
        <f>IF(L37=VLOOKUP(VALUE(L$1),Questions[#All],5,FALSE),1,0)</f>
        <v>1</v>
      </c>
      <c r="Y37" s="23">
        <f>IF(M37=VLOOKUP(VALUE(M$1),Questions[#All],5,FALSE),1,0)</f>
        <v>1</v>
      </c>
      <c r="Z37" s="23">
        <f>IF(N37=VLOOKUP(VALUE(N$1),Questions[#All],5,FALSE),1,0)</f>
        <v>1</v>
      </c>
      <c r="AA37" s="23">
        <f>IF(O37=VLOOKUP(VALUE(O$1),Questions[#All],5,FALSE),1,0)</f>
        <v>1</v>
      </c>
      <c r="AB37" s="23">
        <f>IF(P37=VLOOKUP(VALUE(P$1),Questions[#All],5,FALSE),1,0)</f>
        <v>0</v>
      </c>
    </row>
    <row r="38" spans="1:28" ht="22.5" customHeight="1" x14ac:dyDescent="0.15">
      <c r="A38" s="10" t="s">
        <v>811</v>
      </c>
      <c r="B38" s="28" t="s">
        <v>69</v>
      </c>
      <c r="C38" s="29">
        <v>6</v>
      </c>
      <c r="D38" s="30" t="b">
        <v>0</v>
      </c>
      <c r="E38" s="31" t="b">
        <v>0</v>
      </c>
      <c r="F38" s="32">
        <f t="shared" si="0"/>
        <v>6</v>
      </c>
      <c r="G38" s="29">
        <f t="shared" si="1"/>
        <v>0</v>
      </c>
      <c r="H38" s="33">
        <f t="shared" si="2"/>
        <v>0.5</v>
      </c>
      <c r="I38" s="32">
        <v>2</v>
      </c>
      <c r="J38" s="29">
        <v>1</v>
      </c>
      <c r="K38" s="29">
        <v>1</v>
      </c>
      <c r="L38" s="29">
        <v>3</v>
      </c>
      <c r="M38" s="29">
        <v>2</v>
      </c>
      <c r="N38" s="29">
        <v>3</v>
      </c>
      <c r="O38" s="29">
        <v>3</v>
      </c>
      <c r="P38" s="29">
        <v>4</v>
      </c>
      <c r="Q38" s="32"/>
      <c r="R38" s="29"/>
      <c r="S38" s="29"/>
      <c r="T38" s="29"/>
      <c r="U38" s="32">
        <f>IF(I38=VLOOKUP(VALUE(I$1),Questions[#All],5,FALSE),1,0)</f>
        <v>1</v>
      </c>
      <c r="V38" s="29">
        <f>IF(J38=VLOOKUP(VALUE(J$1),Questions[#All],5,FALSE),1,0)</f>
        <v>0</v>
      </c>
      <c r="W38" s="29">
        <f>IF(K38=VLOOKUP(VALUE(K$1),Questions[#All],5,FALSE),1,0)</f>
        <v>1</v>
      </c>
      <c r="X38" s="29">
        <f>IF(L38=VLOOKUP(VALUE(L$1),Questions[#All],5,FALSE),1,0)</f>
        <v>1</v>
      </c>
      <c r="Y38" s="29">
        <f>IF(M38=VLOOKUP(VALUE(M$1),Questions[#All],5,FALSE),1,0)</f>
        <v>1</v>
      </c>
      <c r="Z38" s="29">
        <f>IF(N38=VLOOKUP(VALUE(N$1),Questions[#All],5,FALSE),1,0)</f>
        <v>1</v>
      </c>
      <c r="AA38" s="29">
        <f>IF(O38=VLOOKUP(VALUE(O$1),Questions[#All],5,FALSE),1,0)</f>
        <v>1</v>
      </c>
      <c r="AB38" s="29">
        <f>IF(P38=VLOOKUP(VALUE(P$1),Questions[#All],5,FALSE),1,0)</f>
        <v>0</v>
      </c>
    </row>
    <row r="39" spans="1:28" ht="22.5" customHeight="1" x14ac:dyDescent="0.15">
      <c r="A39" s="10" t="s">
        <v>812</v>
      </c>
      <c r="B39" s="22" t="s">
        <v>69</v>
      </c>
      <c r="C39" s="23">
        <v>6</v>
      </c>
      <c r="D39" s="24" t="b">
        <v>0</v>
      </c>
      <c r="E39" s="25" t="b">
        <v>0</v>
      </c>
      <c r="F39" s="26">
        <f t="shared" si="0"/>
        <v>8</v>
      </c>
      <c r="G39" s="23">
        <f t="shared" si="1"/>
        <v>0</v>
      </c>
      <c r="H39" s="27">
        <f t="shared" si="2"/>
        <v>0.66666666666666663</v>
      </c>
      <c r="I39" s="26">
        <v>2</v>
      </c>
      <c r="J39" s="23">
        <v>2</v>
      </c>
      <c r="K39" s="23">
        <v>1</v>
      </c>
      <c r="L39" s="23">
        <v>3</v>
      </c>
      <c r="M39" s="23">
        <v>2</v>
      </c>
      <c r="N39" s="23">
        <v>3</v>
      </c>
      <c r="O39" s="23">
        <v>3</v>
      </c>
      <c r="P39" s="23">
        <v>3</v>
      </c>
      <c r="Q39" s="26"/>
      <c r="R39" s="23"/>
      <c r="S39" s="23"/>
      <c r="T39" s="23"/>
      <c r="U39" s="26">
        <f>IF(I39=VLOOKUP(VALUE(I$1),Questions[#All],5,FALSE),1,0)</f>
        <v>1</v>
      </c>
      <c r="V39" s="23">
        <f>IF(J39=VLOOKUP(VALUE(J$1),Questions[#All],5,FALSE),1,0)</f>
        <v>1</v>
      </c>
      <c r="W39" s="23">
        <f>IF(K39=VLOOKUP(VALUE(K$1),Questions[#All],5,FALSE),1,0)</f>
        <v>1</v>
      </c>
      <c r="X39" s="23">
        <f>IF(L39=VLOOKUP(VALUE(L$1),Questions[#All],5,FALSE),1,0)</f>
        <v>1</v>
      </c>
      <c r="Y39" s="23">
        <f>IF(M39=VLOOKUP(VALUE(M$1),Questions[#All],5,FALSE),1,0)</f>
        <v>1</v>
      </c>
      <c r="Z39" s="23">
        <f>IF(N39=VLOOKUP(VALUE(N$1),Questions[#All],5,FALSE),1,0)</f>
        <v>1</v>
      </c>
      <c r="AA39" s="23">
        <f>IF(O39=VLOOKUP(VALUE(O$1),Questions[#All],5,FALSE),1,0)</f>
        <v>1</v>
      </c>
      <c r="AB39" s="23">
        <f>IF(P39=VLOOKUP(VALUE(P$1),Questions[#All],5,FALSE),1,0)</f>
        <v>1</v>
      </c>
    </row>
    <row r="40" spans="1:28" ht="22.5" customHeight="1" x14ac:dyDescent="0.15">
      <c r="A40" s="10" t="s">
        <v>813</v>
      </c>
      <c r="B40" s="28" t="s">
        <v>46</v>
      </c>
      <c r="C40" s="29">
        <v>8</v>
      </c>
      <c r="D40" s="30" t="b">
        <v>0</v>
      </c>
      <c r="E40" s="31" t="b">
        <v>1</v>
      </c>
      <c r="F40" s="32">
        <f t="shared" si="0"/>
        <v>1</v>
      </c>
      <c r="G40" s="29">
        <f t="shared" si="1"/>
        <v>0</v>
      </c>
      <c r="H40" s="33">
        <f t="shared" si="2"/>
        <v>8.3333333333333329E-2</v>
      </c>
      <c r="I40" s="32">
        <v>4</v>
      </c>
      <c r="J40" s="29">
        <v>1</v>
      </c>
      <c r="K40" s="29">
        <v>4</v>
      </c>
      <c r="L40" s="29">
        <v>2</v>
      </c>
      <c r="M40" s="29">
        <v>3</v>
      </c>
      <c r="N40" s="29">
        <v>2</v>
      </c>
      <c r="O40" s="29">
        <v>2</v>
      </c>
      <c r="P40" s="29">
        <v>3</v>
      </c>
      <c r="Q40" s="32"/>
      <c r="R40" s="29"/>
      <c r="S40" s="29"/>
      <c r="T40" s="29"/>
      <c r="U40" s="32">
        <f>IF(I40=VLOOKUP(VALUE(I$1),Questions[#All],5,FALSE),1,0)</f>
        <v>0</v>
      </c>
      <c r="V40" s="29">
        <f>IF(J40=VLOOKUP(VALUE(J$1),Questions[#All],5,FALSE),1,0)</f>
        <v>0</v>
      </c>
      <c r="W40" s="29">
        <f>IF(K40=VLOOKUP(VALUE(K$1),Questions[#All],5,FALSE),1,0)</f>
        <v>0</v>
      </c>
      <c r="X40" s="29">
        <f>IF(L40=VLOOKUP(VALUE(L$1),Questions[#All],5,FALSE),1,0)</f>
        <v>0</v>
      </c>
      <c r="Y40" s="29">
        <f>IF(M40=VLOOKUP(VALUE(M$1),Questions[#All],5,FALSE),1,0)</f>
        <v>0</v>
      </c>
      <c r="Z40" s="29">
        <f>IF(N40=VLOOKUP(VALUE(N$1),Questions[#All],5,FALSE),1,0)</f>
        <v>0</v>
      </c>
      <c r="AA40" s="29">
        <f>IF(O40=VLOOKUP(VALUE(O$1),Questions[#All],5,FALSE),1,0)</f>
        <v>0</v>
      </c>
      <c r="AB40" s="29">
        <f>IF(P40=VLOOKUP(VALUE(P$1),Questions[#All],5,FALSE),1,0)</f>
        <v>1</v>
      </c>
    </row>
    <row r="41" spans="1:28" ht="22.5" customHeight="1" x14ac:dyDescent="0.15">
      <c r="A41" s="10" t="s">
        <v>814</v>
      </c>
      <c r="B41" s="22" t="s">
        <v>46</v>
      </c>
      <c r="C41" s="23">
        <v>8</v>
      </c>
      <c r="D41" s="24" t="b">
        <v>0</v>
      </c>
      <c r="E41" s="25" t="b">
        <v>0</v>
      </c>
      <c r="F41" s="26">
        <f t="shared" si="0"/>
        <v>7</v>
      </c>
      <c r="G41" s="23">
        <f t="shared" si="1"/>
        <v>0</v>
      </c>
      <c r="H41" s="27">
        <f t="shared" si="2"/>
        <v>0.58333333333333337</v>
      </c>
      <c r="I41" s="26">
        <v>2</v>
      </c>
      <c r="J41" s="23">
        <v>2</v>
      </c>
      <c r="K41" s="23">
        <v>1</v>
      </c>
      <c r="L41" s="23">
        <v>3</v>
      </c>
      <c r="M41" s="23">
        <v>2</v>
      </c>
      <c r="N41" s="23">
        <v>4</v>
      </c>
      <c r="O41" s="23">
        <v>3</v>
      </c>
      <c r="P41" s="23">
        <v>3</v>
      </c>
      <c r="Q41" s="26"/>
      <c r="R41" s="23"/>
      <c r="S41" s="23"/>
      <c r="T41" s="23"/>
      <c r="U41" s="26">
        <f>IF(I41=VLOOKUP(VALUE(I$1),Questions[#All],5,FALSE),1,0)</f>
        <v>1</v>
      </c>
      <c r="V41" s="23">
        <f>IF(J41=VLOOKUP(VALUE(J$1),Questions[#All],5,FALSE),1,0)</f>
        <v>1</v>
      </c>
      <c r="W41" s="23">
        <f>IF(K41=VLOOKUP(VALUE(K$1),Questions[#All],5,FALSE),1,0)</f>
        <v>1</v>
      </c>
      <c r="X41" s="23">
        <f>IF(L41=VLOOKUP(VALUE(L$1),Questions[#All],5,FALSE),1,0)</f>
        <v>1</v>
      </c>
      <c r="Y41" s="23">
        <f>IF(M41=VLOOKUP(VALUE(M$1),Questions[#All],5,FALSE),1,0)</f>
        <v>1</v>
      </c>
      <c r="Z41" s="23">
        <f>IF(N41=VLOOKUP(VALUE(N$1),Questions[#All],5,FALSE),1,0)</f>
        <v>0</v>
      </c>
      <c r="AA41" s="23">
        <f>IF(O41=VLOOKUP(VALUE(O$1),Questions[#All],5,FALSE),1,0)</f>
        <v>1</v>
      </c>
      <c r="AB41" s="23">
        <f>IF(P41=VLOOKUP(VALUE(P$1),Questions[#All],5,FALSE),1,0)</f>
        <v>1</v>
      </c>
    </row>
    <row r="42" spans="1:28" ht="22.5" customHeight="1" x14ac:dyDescent="0.15">
      <c r="A42" s="10" t="s">
        <v>815</v>
      </c>
      <c r="B42" s="28" t="s">
        <v>46</v>
      </c>
      <c r="C42" s="29">
        <v>8</v>
      </c>
      <c r="D42" s="30" t="b">
        <v>0</v>
      </c>
      <c r="E42" s="31" t="b">
        <v>0</v>
      </c>
      <c r="F42" s="32">
        <f t="shared" si="0"/>
        <v>7</v>
      </c>
      <c r="G42" s="29">
        <f t="shared" si="1"/>
        <v>0</v>
      </c>
      <c r="H42" s="33">
        <f t="shared" si="2"/>
        <v>0.58333333333333337</v>
      </c>
      <c r="I42" s="32">
        <v>1</v>
      </c>
      <c r="J42" s="29">
        <v>2</v>
      </c>
      <c r="K42" s="29">
        <v>1</v>
      </c>
      <c r="L42" s="29">
        <v>3</v>
      </c>
      <c r="M42" s="29">
        <v>2</v>
      </c>
      <c r="N42" s="29">
        <v>3</v>
      </c>
      <c r="O42" s="29">
        <v>3</v>
      </c>
      <c r="P42" s="29">
        <v>3</v>
      </c>
      <c r="Q42" s="32"/>
      <c r="R42" s="29"/>
      <c r="S42" s="29"/>
      <c r="T42" s="29"/>
      <c r="U42" s="32">
        <f>IF(I42=VLOOKUP(VALUE(I$1),Questions[#All],5,FALSE),1,0)</f>
        <v>0</v>
      </c>
      <c r="V42" s="29">
        <f>IF(J42=VLOOKUP(VALUE(J$1),Questions[#All],5,FALSE),1,0)</f>
        <v>1</v>
      </c>
      <c r="W42" s="29">
        <f>IF(K42=VLOOKUP(VALUE(K$1),Questions[#All],5,FALSE),1,0)</f>
        <v>1</v>
      </c>
      <c r="X42" s="29">
        <f>IF(L42=VLOOKUP(VALUE(L$1),Questions[#All],5,FALSE),1,0)</f>
        <v>1</v>
      </c>
      <c r="Y42" s="29">
        <f>IF(M42=VLOOKUP(VALUE(M$1),Questions[#All],5,FALSE),1,0)</f>
        <v>1</v>
      </c>
      <c r="Z42" s="29">
        <f>IF(N42=VLOOKUP(VALUE(N$1),Questions[#All],5,FALSE),1,0)</f>
        <v>1</v>
      </c>
      <c r="AA42" s="29">
        <f>IF(O42=VLOOKUP(VALUE(O$1),Questions[#All],5,FALSE),1,0)</f>
        <v>1</v>
      </c>
      <c r="AB42" s="29">
        <f>IF(P42=VLOOKUP(VALUE(P$1),Questions[#All],5,FALSE),1,0)</f>
        <v>1</v>
      </c>
    </row>
    <row r="43" spans="1:28" ht="22.5" customHeight="1" x14ac:dyDescent="0.15">
      <c r="A43" s="10" t="s">
        <v>816</v>
      </c>
      <c r="B43" s="22" t="s">
        <v>46</v>
      </c>
      <c r="C43" s="23">
        <v>8</v>
      </c>
      <c r="D43" s="24" t="b">
        <v>0</v>
      </c>
      <c r="E43" s="25" t="b">
        <v>1</v>
      </c>
      <c r="F43" s="26">
        <f t="shared" si="0"/>
        <v>1</v>
      </c>
      <c r="G43" s="23">
        <f t="shared" si="1"/>
        <v>0</v>
      </c>
      <c r="H43" s="27">
        <f t="shared" si="2"/>
        <v>8.3333333333333329E-2</v>
      </c>
      <c r="I43" s="26">
        <v>1</v>
      </c>
      <c r="J43" s="23">
        <v>1</v>
      </c>
      <c r="K43" s="23">
        <v>4</v>
      </c>
      <c r="L43" s="23">
        <v>1</v>
      </c>
      <c r="M43" s="23">
        <v>3</v>
      </c>
      <c r="N43" s="23">
        <v>3</v>
      </c>
      <c r="O43" s="23">
        <v>4</v>
      </c>
      <c r="P43" s="23">
        <v>2</v>
      </c>
      <c r="Q43" s="26"/>
      <c r="R43" s="23"/>
      <c r="S43" s="23"/>
      <c r="T43" s="23"/>
      <c r="U43" s="26">
        <f>IF(I43=VLOOKUP(VALUE(I$1),Questions[#All],5,FALSE),1,0)</f>
        <v>0</v>
      </c>
      <c r="V43" s="23">
        <f>IF(J43=VLOOKUP(VALUE(J$1),Questions[#All],5,FALSE),1,0)</f>
        <v>0</v>
      </c>
      <c r="W43" s="23">
        <f>IF(K43=VLOOKUP(VALUE(K$1),Questions[#All],5,FALSE),1,0)</f>
        <v>0</v>
      </c>
      <c r="X43" s="23">
        <f>IF(L43=VLOOKUP(VALUE(L$1),Questions[#All],5,FALSE),1,0)</f>
        <v>0</v>
      </c>
      <c r="Y43" s="23">
        <f>IF(M43=VLOOKUP(VALUE(M$1),Questions[#All],5,FALSE),1,0)</f>
        <v>0</v>
      </c>
      <c r="Z43" s="23">
        <f>IF(N43=VLOOKUP(VALUE(N$1),Questions[#All],5,FALSE),1,0)</f>
        <v>1</v>
      </c>
      <c r="AA43" s="23">
        <f>IF(O43=VLOOKUP(VALUE(O$1),Questions[#All],5,FALSE),1,0)</f>
        <v>0</v>
      </c>
      <c r="AB43" s="23">
        <f>IF(P43=VLOOKUP(VALUE(P$1),Questions[#All],5,FALSE),1,0)</f>
        <v>0</v>
      </c>
    </row>
    <row r="44" spans="1:28" ht="22.5" customHeight="1" x14ac:dyDescent="0.15">
      <c r="A44" s="10" t="s">
        <v>817</v>
      </c>
      <c r="B44" s="28" t="s">
        <v>46</v>
      </c>
      <c r="C44" s="29">
        <v>8</v>
      </c>
      <c r="D44" s="30" t="b">
        <v>0</v>
      </c>
      <c r="E44" s="31" t="b">
        <v>0</v>
      </c>
      <c r="F44" s="32">
        <f t="shared" si="0"/>
        <v>7</v>
      </c>
      <c r="G44" s="29">
        <f t="shared" si="1"/>
        <v>0</v>
      </c>
      <c r="H44" s="33">
        <f t="shared" si="2"/>
        <v>0.58333333333333337</v>
      </c>
      <c r="I44" s="32">
        <v>2</v>
      </c>
      <c r="J44" s="29">
        <v>2</v>
      </c>
      <c r="K44" s="29">
        <v>2</v>
      </c>
      <c r="L44" s="29">
        <v>3</v>
      </c>
      <c r="M44" s="29">
        <v>2</v>
      </c>
      <c r="N44" s="29">
        <v>3</v>
      </c>
      <c r="O44" s="29">
        <v>3</v>
      </c>
      <c r="P44" s="29">
        <v>3</v>
      </c>
      <c r="Q44" s="32"/>
      <c r="R44" s="29"/>
      <c r="S44" s="29"/>
      <c r="T44" s="29"/>
      <c r="U44" s="32">
        <f>IF(I44=VLOOKUP(VALUE(I$1),Questions[#All],5,FALSE),1,0)</f>
        <v>1</v>
      </c>
      <c r="V44" s="29">
        <f>IF(J44=VLOOKUP(VALUE(J$1),Questions[#All],5,FALSE),1,0)</f>
        <v>1</v>
      </c>
      <c r="W44" s="29">
        <f>IF(K44=VLOOKUP(VALUE(K$1),Questions[#All],5,FALSE),1,0)</f>
        <v>0</v>
      </c>
      <c r="X44" s="29">
        <f>IF(L44=VLOOKUP(VALUE(L$1),Questions[#All],5,FALSE),1,0)</f>
        <v>1</v>
      </c>
      <c r="Y44" s="29">
        <f>IF(M44=VLOOKUP(VALUE(M$1),Questions[#All],5,FALSE),1,0)</f>
        <v>1</v>
      </c>
      <c r="Z44" s="29">
        <f>IF(N44=VLOOKUP(VALUE(N$1),Questions[#All],5,FALSE),1,0)</f>
        <v>1</v>
      </c>
      <c r="AA44" s="29">
        <f>IF(O44=VLOOKUP(VALUE(O$1),Questions[#All],5,FALSE),1,0)</f>
        <v>1</v>
      </c>
      <c r="AB44" s="29">
        <f>IF(P44=VLOOKUP(VALUE(P$1),Questions[#All],5,FALSE),1,0)</f>
        <v>1</v>
      </c>
    </row>
    <row r="45" spans="1:28" ht="22.5" customHeight="1" x14ac:dyDescent="0.15">
      <c r="A45" s="10" t="s">
        <v>818</v>
      </c>
      <c r="B45" s="22" t="s">
        <v>46</v>
      </c>
      <c r="C45" s="23">
        <v>8</v>
      </c>
      <c r="D45" s="24" t="b">
        <v>0</v>
      </c>
      <c r="E45" s="25" t="b">
        <v>1</v>
      </c>
      <c r="F45" s="26">
        <f t="shared" si="0"/>
        <v>2</v>
      </c>
      <c r="G45" s="23">
        <f t="shared" si="1"/>
        <v>0</v>
      </c>
      <c r="H45" s="27">
        <f t="shared" si="2"/>
        <v>0.16666666666666666</v>
      </c>
      <c r="I45" s="26">
        <v>3</v>
      </c>
      <c r="J45" s="23">
        <v>2</v>
      </c>
      <c r="K45" s="23">
        <v>3</v>
      </c>
      <c r="L45" s="23">
        <v>3</v>
      </c>
      <c r="M45" s="23">
        <v>1</v>
      </c>
      <c r="N45" s="23">
        <v>2</v>
      </c>
      <c r="O45" s="23">
        <v>1</v>
      </c>
      <c r="P45" s="23">
        <v>2</v>
      </c>
      <c r="Q45" s="26"/>
      <c r="R45" s="23"/>
      <c r="S45" s="23"/>
      <c r="T45" s="23"/>
      <c r="U45" s="26">
        <f>IF(I45=VLOOKUP(VALUE(I$1),Questions[#All],5,FALSE),1,0)</f>
        <v>0</v>
      </c>
      <c r="V45" s="23">
        <f>IF(J45=VLOOKUP(VALUE(J$1),Questions[#All],5,FALSE),1,0)</f>
        <v>1</v>
      </c>
      <c r="W45" s="23">
        <f>IF(K45=VLOOKUP(VALUE(K$1),Questions[#All],5,FALSE),1,0)</f>
        <v>0</v>
      </c>
      <c r="X45" s="23">
        <f>IF(L45=VLOOKUP(VALUE(L$1),Questions[#All],5,FALSE),1,0)</f>
        <v>1</v>
      </c>
      <c r="Y45" s="23">
        <f>IF(M45=VLOOKUP(VALUE(M$1),Questions[#All],5,FALSE),1,0)</f>
        <v>0</v>
      </c>
      <c r="Z45" s="23">
        <f>IF(N45=VLOOKUP(VALUE(N$1),Questions[#All],5,FALSE),1,0)</f>
        <v>0</v>
      </c>
      <c r="AA45" s="23">
        <f>IF(O45=VLOOKUP(VALUE(O$1),Questions[#All],5,FALSE),1,0)</f>
        <v>0</v>
      </c>
      <c r="AB45" s="23">
        <f>IF(P45=VLOOKUP(VALUE(P$1),Questions[#All],5,FALSE),1,0)</f>
        <v>0</v>
      </c>
    </row>
    <row r="46" spans="1:28" ht="22.5" customHeight="1" x14ac:dyDescent="0.15">
      <c r="A46" s="10" t="s">
        <v>819</v>
      </c>
      <c r="B46" s="28" t="s">
        <v>46</v>
      </c>
      <c r="C46" s="29">
        <v>8</v>
      </c>
      <c r="D46" s="30" t="b">
        <v>0</v>
      </c>
      <c r="E46" s="31" t="b">
        <v>0</v>
      </c>
      <c r="F46" s="32">
        <f t="shared" si="0"/>
        <v>3</v>
      </c>
      <c r="G46" s="29">
        <f t="shared" si="1"/>
        <v>0</v>
      </c>
      <c r="H46" s="33">
        <f t="shared" si="2"/>
        <v>0.25</v>
      </c>
      <c r="I46" s="32">
        <v>1</v>
      </c>
      <c r="J46" s="29">
        <v>2</v>
      </c>
      <c r="K46" s="29">
        <v>1</v>
      </c>
      <c r="L46" s="29">
        <v>1</v>
      </c>
      <c r="M46" s="29">
        <v>1</v>
      </c>
      <c r="N46" s="29">
        <v>3</v>
      </c>
      <c r="O46" s="29"/>
      <c r="P46" s="29"/>
      <c r="Q46" s="32"/>
      <c r="R46" s="29"/>
      <c r="S46" s="29"/>
      <c r="T46" s="29"/>
      <c r="U46" s="32">
        <f>IF(I46=VLOOKUP(VALUE(I$1),Questions[#All],5,FALSE),1,0)</f>
        <v>0</v>
      </c>
      <c r="V46" s="29">
        <f>IF(J46=VLOOKUP(VALUE(J$1),Questions[#All],5,FALSE),1,0)</f>
        <v>1</v>
      </c>
      <c r="W46" s="29">
        <f>IF(K46=VLOOKUP(VALUE(K$1),Questions[#All],5,FALSE),1,0)</f>
        <v>1</v>
      </c>
      <c r="X46" s="29">
        <f>IF(L46=VLOOKUP(VALUE(L$1),Questions[#All],5,FALSE),1,0)</f>
        <v>0</v>
      </c>
      <c r="Y46" s="29">
        <f>IF(M46=VLOOKUP(VALUE(M$1),Questions[#All],5,FALSE),1,0)</f>
        <v>0</v>
      </c>
      <c r="Z46" s="29">
        <f>IF(N46=VLOOKUP(VALUE(N$1),Questions[#All],5,FALSE),1,0)</f>
        <v>1</v>
      </c>
      <c r="AA46" s="29">
        <f>IF(O46=VLOOKUP(VALUE(O$1),Questions[#All],5,FALSE),1,0)</f>
        <v>0</v>
      </c>
      <c r="AB46" s="29">
        <f>IF(P46=VLOOKUP(VALUE(P$1),Questions[#All],5,FALSE),1,0)</f>
        <v>0</v>
      </c>
    </row>
    <row r="47" spans="1:28" ht="22.5" customHeight="1" x14ac:dyDescent="0.15">
      <c r="A47" s="10" t="s">
        <v>820</v>
      </c>
      <c r="B47" s="22" t="s">
        <v>46</v>
      </c>
      <c r="C47" s="23">
        <v>8</v>
      </c>
      <c r="D47" s="24" t="b">
        <v>0</v>
      </c>
      <c r="E47" s="25" t="b">
        <v>0</v>
      </c>
      <c r="F47" s="26">
        <f t="shared" si="0"/>
        <v>5</v>
      </c>
      <c r="G47" s="23">
        <f t="shared" si="1"/>
        <v>0</v>
      </c>
      <c r="H47" s="27">
        <f t="shared" si="2"/>
        <v>0.41666666666666669</v>
      </c>
      <c r="I47" s="26">
        <v>1</v>
      </c>
      <c r="J47" s="23">
        <v>2</v>
      </c>
      <c r="K47" s="23">
        <v>1</v>
      </c>
      <c r="L47" s="23">
        <v>3</v>
      </c>
      <c r="M47" s="23">
        <v>2</v>
      </c>
      <c r="N47" s="23">
        <v>3</v>
      </c>
      <c r="O47" s="23">
        <v>1</v>
      </c>
      <c r="P47" s="23">
        <v>2</v>
      </c>
      <c r="Q47" s="26"/>
      <c r="R47" s="23"/>
      <c r="S47" s="23"/>
      <c r="T47" s="23"/>
      <c r="U47" s="26">
        <f>IF(I47=VLOOKUP(VALUE(I$1),Questions[#All],5,FALSE),1,0)</f>
        <v>0</v>
      </c>
      <c r="V47" s="23">
        <f>IF(J47=VLOOKUP(VALUE(J$1),Questions[#All],5,FALSE),1,0)</f>
        <v>1</v>
      </c>
      <c r="W47" s="23">
        <f>IF(K47=VLOOKUP(VALUE(K$1),Questions[#All],5,FALSE),1,0)</f>
        <v>1</v>
      </c>
      <c r="X47" s="23">
        <f>IF(L47=VLOOKUP(VALUE(L$1),Questions[#All],5,FALSE),1,0)</f>
        <v>1</v>
      </c>
      <c r="Y47" s="23">
        <f>IF(M47=VLOOKUP(VALUE(M$1),Questions[#All],5,FALSE),1,0)</f>
        <v>1</v>
      </c>
      <c r="Z47" s="23">
        <f>IF(N47=VLOOKUP(VALUE(N$1),Questions[#All],5,FALSE),1,0)</f>
        <v>1</v>
      </c>
      <c r="AA47" s="23">
        <f>IF(O47=VLOOKUP(VALUE(O$1),Questions[#All],5,FALSE),1,0)</f>
        <v>0</v>
      </c>
      <c r="AB47" s="23">
        <f>IF(P47=VLOOKUP(VALUE(P$1),Questions[#All],5,FALSE),1,0)</f>
        <v>0</v>
      </c>
    </row>
    <row r="48" spans="1:28" ht="22.5" customHeight="1" x14ac:dyDescent="0.15">
      <c r="A48" s="10" t="s">
        <v>821</v>
      </c>
      <c r="B48" s="28" t="s">
        <v>46</v>
      </c>
      <c r="C48" s="29">
        <v>8</v>
      </c>
      <c r="D48" s="30" t="b">
        <v>0</v>
      </c>
      <c r="E48" s="31" t="b">
        <v>1</v>
      </c>
      <c r="F48" s="32">
        <f t="shared" si="0"/>
        <v>3</v>
      </c>
      <c r="G48" s="29">
        <f t="shared" si="1"/>
        <v>0</v>
      </c>
      <c r="H48" s="33">
        <f t="shared" si="2"/>
        <v>0.25</v>
      </c>
      <c r="I48" s="32">
        <v>3</v>
      </c>
      <c r="J48" s="29">
        <v>2</v>
      </c>
      <c r="K48" s="29">
        <v>1</v>
      </c>
      <c r="L48" s="29">
        <v>2</v>
      </c>
      <c r="M48" s="29">
        <v>1</v>
      </c>
      <c r="N48" s="29">
        <v>1</v>
      </c>
      <c r="O48" s="29">
        <v>4</v>
      </c>
      <c r="P48" s="29">
        <v>3</v>
      </c>
      <c r="Q48" s="32"/>
      <c r="R48" s="29"/>
      <c r="S48" s="29"/>
      <c r="T48" s="29"/>
      <c r="U48" s="32">
        <f>IF(I48=VLOOKUP(VALUE(I$1),Questions[#All],5,FALSE),1,0)</f>
        <v>0</v>
      </c>
      <c r="V48" s="29">
        <f>IF(J48=VLOOKUP(VALUE(J$1),Questions[#All],5,FALSE),1,0)</f>
        <v>1</v>
      </c>
      <c r="W48" s="29">
        <f>IF(K48=VLOOKUP(VALUE(K$1),Questions[#All],5,FALSE),1,0)</f>
        <v>1</v>
      </c>
      <c r="X48" s="29">
        <f>IF(L48=VLOOKUP(VALUE(L$1),Questions[#All],5,FALSE),1,0)</f>
        <v>0</v>
      </c>
      <c r="Y48" s="29">
        <f>IF(M48=VLOOKUP(VALUE(M$1),Questions[#All],5,FALSE),1,0)</f>
        <v>0</v>
      </c>
      <c r="Z48" s="29">
        <f>IF(N48=VLOOKUP(VALUE(N$1),Questions[#All],5,FALSE),1,0)</f>
        <v>0</v>
      </c>
      <c r="AA48" s="29">
        <f>IF(O48=VLOOKUP(VALUE(O$1),Questions[#All],5,FALSE),1,0)</f>
        <v>0</v>
      </c>
      <c r="AB48" s="29">
        <f>IF(P48=VLOOKUP(VALUE(P$1),Questions[#All],5,FALSE),1,0)</f>
        <v>1</v>
      </c>
    </row>
    <row r="49" spans="1:28" ht="22.5" customHeight="1" x14ac:dyDescent="0.15">
      <c r="A49" s="10" t="s">
        <v>822</v>
      </c>
      <c r="B49" s="22" t="s">
        <v>46</v>
      </c>
      <c r="C49" s="23">
        <v>8</v>
      </c>
      <c r="D49" s="24" t="b">
        <v>0</v>
      </c>
      <c r="E49" s="25" t="b">
        <v>0</v>
      </c>
      <c r="F49" s="26">
        <f t="shared" si="0"/>
        <v>7</v>
      </c>
      <c r="G49" s="23">
        <f t="shared" si="1"/>
        <v>0</v>
      </c>
      <c r="H49" s="27">
        <f t="shared" si="2"/>
        <v>0.58333333333333337</v>
      </c>
      <c r="I49" s="26">
        <v>1</v>
      </c>
      <c r="J49" s="23">
        <v>2</v>
      </c>
      <c r="K49" s="23">
        <v>1</v>
      </c>
      <c r="L49" s="23">
        <v>3</v>
      </c>
      <c r="M49" s="23">
        <v>2</v>
      </c>
      <c r="N49" s="23">
        <v>3</v>
      </c>
      <c r="O49" s="23">
        <v>3</v>
      </c>
      <c r="P49" s="23">
        <v>3</v>
      </c>
      <c r="Q49" s="26"/>
      <c r="R49" s="23"/>
      <c r="S49" s="23"/>
      <c r="T49" s="23"/>
      <c r="U49" s="26">
        <f>IF(I49=VLOOKUP(VALUE(I$1),Questions[#All],5,FALSE),1,0)</f>
        <v>0</v>
      </c>
      <c r="V49" s="23">
        <f>IF(J49=VLOOKUP(VALUE(J$1),Questions[#All],5,FALSE),1,0)</f>
        <v>1</v>
      </c>
      <c r="W49" s="23">
        <f>IF(K49=VLOOKUP(VALUE(K$1),Questions[#All],5,FALSE),1,0)</f>
        <v>1</v>
      </c>
      <c r="X49" s="23">
        <f>IF(L49=VLOOKUP(VALUE(L$1),Questions[#All],5,FALSE),1,0)</f>
        <v>1</v>
      </c>
      <c r="Y49" s="23">
        <f>IF(M49=VLOOKUP(VALUE(M$1),Questions[#All],5,FALSE),1,0)</f>
        <v>1</v>
      </c>
      <c r="Z49" s="23">
        <f>IF(N49=VLOOKUP(VALUE(N$1),Questions[#All],5,FALSE),1,0)</f>
        <v>1</v>
      </c>
      <c r="AA49" s="23">
        <f>IF(O49=VLOOKUP(VALUE(O$1),Questions[#All],5,FALSE),1,0)</f>
        <v>1</v>
      </c>
      <c r="AB49" s="23">
        <f>IF(P49=VLOOKUP(VALUE(P$1),Questions[#All],5,FALSE),1,0)</f>
        <v>1</v>
      </c>
    </row>
    <row r="50" spans="1:28" ht="22.5" customHeight="1" x14ac:dyDescent="0.15">
      <c r="A50" s="10" t="s">
        <v>823</v>
      </c>
      <c r="B50" s="28" t="s">
        <v>46</v>
      </c>
      <c r="C50" s="29">
        <v>8</v>
      </c>
      <c r="D50" s="30" t="b">
        <v>0</v>
      </c>
      <c r="E50" s="31" t="b">
        <v>0</v>
      </c>
      <c r="F50" s="32">
        <f t="shared" si="0"/>
        <v>7</v>
      </c>
      <c r="G50" s="29">
        <f t="shared" si="1"/>
        <v>0</v>
      </c>
      <c r="H50" s="33">
        <f t="shared" si="2"/>
        <v>0.58333333333333337</v>
      </c>
      <c r="I50" s="32">
        <v>2</v>
      </c>
      <c r="J50" s="29">
        <v>2</v>
      </c>
      <c r="K50" s="29">
        <v>1</v>
      </c>
      <c r="L50" s="29">
        <v>3</v>
      </c>
      <c r="M50" s="29">
        <v>2</v>
      </c>
      <c r="N50" s="29">
        <v>3</v>
      </c>
      <c r="O50" s="29">
        <v>1</v>
      </c>
      <c r="P50" s="29">
        <v>3</v>
      </c>
      <c r="Q50" s="32"/>
      <c r="R50" s="29"/>
      <c r="S50" s="29"/>
      <c r="T50" s="29"/>
      <c r="U50" s="32">
        <f>IF(I50=VLOOKUP(VALUE(I$1),Questions[#All],5,FALSE),1,0)</f>
        <v>1</v>
      </c>
      <c r="V50" s="29">
        <f>IF(J50=VLOOKUP(VALUE(J$1),Questions[#All],5,FALSE),1,0)</f>
        <v>1</v>
      </c>
      <c r="W50" s="29">
        <f>IF(K50=VLOOKUP(VALUE(K$1),Questions[#All],5,FALSE),1,0)</f>
        <v>1</v>
      </c>
      <c r="X50" s="29">
        <f>IF(L50=VLOOKUP(VALUE(L$1),Questions[#All],5,FALSE),1,0)</f>
        <v>1</v>
      </c>
      <c r="Y50" s="29">
        <f>IF(M50=VLOOKUP(VALUE(M$1),Questions[#All],5,FALSE),1,0)</f>
        <v>1</v>
      </c>
      <c r="Z50" s="29">
        <f>IF(N50=VLOOKUP(VALUE(N$1),Questions[#All],5,FALSE),1,0)</f>
        <v>1</v>
      </c>
      <c r="AA50" s="29">
        <f>IF(O50=VLOOKUP(VALUE(O$1),Questions[#All],5,FALSE),1,0)</f>
        <v>0</v>
      </c>
      <c r="AB50" s="29">
        <f>IF(P50=VLOOKUP(VALUE(P$1),Questions[#All],5,FALSE),1,0)</f>
        <v>1</v>
      </c>
    </row>
    <row r="51" spans="1:28" ht="22.5" customHeight="1" x14ac:dyDescent="0.15">
      <c r="A51" s="10" t="s">
        <v>824</v>
      </c>
      <c r="B51" s="22" t="s">
        <v>46</v>
      </c>
      <c r="C51" s="23">
        <v>8</v>
      </c>
      <c r="D51" s="24" t="b">
        <v>0</v>
      </c>
      <c r="E51" s="25" t="b">
        <v>0</v>
      </c>
      <c r="F51" s="26">
        <f t="shared" si="0"/>
        <v>4</v>
      </c>
      <c r="G51" s="23">
        <f t="shared" si="1"/>
        <v>0</v>
      </c>
      <c r="H51" s="27">
        <f t="shared" si="2"/>
        <v>0.33333333333333331</v>
      </c>
      <c r="I51" s="26">
        <v>1</v>
      </c>
      <c r="J51" s="23">
        <v>2</v>
      </c>
      <c r="K51" s="23">
        <v>2</v>
      </c>
      <c r="L51" s="23">
        <v>1</v>
      </c>
      <c r="M51" s="23">
        <v>2</v>
      </c>
      <c r="N51" s="23">
        <v>4</v>
      </c>
      <c r="O51" s="23">
        <v>3</v>
      </c>
      <c r="P51" s="23">
        <v>3</v>
      </c>
      <c r="Q51" s="26"/>
      <c r="R51" s="23"/>
      <c r="S51" s="23"/>
      <c r="T51" s="23"/>
      <c r="U51" s="26">
        <f>IF(I51=VLOOKUP(VALUE(I$1),Questions[#All],5,FALSE),1,0)</f>
        <v>0</v>
      </c>
      <c r="V51" s="23">
        <f>IF(J51=VLOOKUP(VALUE(J$1),Questions[#All],5,FALSE),1,0)</f>
        <v>1</v>
      </c>
      <c r="W51" s="23">
        <f>IF(K51=VLOOKUP(VALUE(K$1),Questions[#All],5,FALSE),1,0)</f>
        <v>0</v>
      </c>
      <c r="X51" s="23">
        <f>IF(L51=VLOOKUP(VALUE(L$1),Questions[#All],5,FALSE),1,0)</f>
        <v>0</v>
      </c>
      <c r="Y51" s="23">
        <f>IF(M51=VLOOKUP(VALUE(M$1),Questions[#All],5,FALSE),1,0)</f>
        <v>1</v>
      </c>
      <c r="Z51" s="23">
        <f>IF(N51=VLOOKUP(VALUE(N$1),Questions[#All],5,FALSE),1,0)</f>
        <v>0</v>
      </c>
      <c r="AA51" s="23">
        <f>IF(O51=VLOOKUP(VALUE(O$1),Questions[#All],5,FALSE),1,0)</f>
        <v>1</v>
      </c>
      <c r="AB51" s="23">
        <f>IF(P51=VLOOKUP(VALUE(P$1),Questions[#All],5,FALSE),1,0)</f>
        <v>1</v>
      </c>
    </row>
    <row r="52" spans="1:28" ht="22.5" customHeight="1" x14ac:dyDescent="0.15">
      <c r="A52" s="10" t="s">
        <v>825</v>
      </c>
      <c r="B52" s="28" t="s">
        <v>46</v>
      </c>
      <c r="C52" s="29">
        <v>8</v>
      </c>
      <c r="D52" s="30" t="b">
        <v>0</v>
      </c>
      <c r="E52" s="31" t="b">
        <v>1</v>
      </c>
      <c r="F52" s="32">
        <f t="shared" si="0"/>
        <v>7</v>
      </c>
      <c r="G52" s="29">
        <f t="shared" si="1"/>
        <v>0</v>
      </c>
      <c r="H52" s="33">
        <f t="shared" si="2"/>
        <v>0.58333333333333337</v>
      </c>
      <c r="I52" s="32">
        <v>2</v>
      </c>
      <c r="J52" s="29">
        <v>2</v>
      </c>
      <c r="K52" s="29">
        <v>1</v>
      </c>
      <c r="L52" s="29">
        <v>3</v>
      </c>
      <c r="M52" s="29">
        <v>2</v>
      </c>
      <c r="N52" s="29">
        <v>3</v>
      </c>
      <c r="O52" s="29">
        <v>1</v>
      </c>
      <c r="P52" s="29">
        <v>3</v>
      </c>
      <c r="Q52" s="32"/>
      <c r="R52" s="29"/>
      <c r="S52" s="29"/>
      <c r="T52" s="29"/>
      <c r="U52" s="32">
        <f>IF(I52=VLOOKUP(VALUE(I$1),Questions[#All],5,FALSE),1,0)</f>
        <v>1</v>
      </c>
      <c r="V52" s="29">
        <f>IF(J52=VLOOKUP(VALUE(J$1),Questions[#All],5,FALSE),1,0)</f>
        <v>1</v>
      </c>
      <c r="W52" s="29">
        <f>IF(K52=VLOOKUP(VALUE(K$1),Questions[#All],5,FALSE),1,0)</f>
        <v>1</v>
      </c>
      <c r="X52" s="29">
        <f>IF(L52=VLOOKUP(VALUE(L$1),Questions[#All],5,FALSE),1,0)</f>
        <v>1</v>
      </c>
      <c r="Y52" s="29">
        <f>IF(M52=VLOOKUP(VALUE(M$1),Questions[#All],5,FALSE),1,0)</f>
        <v>1</v>
      </c>
      <c r="Z52" s="29">
        <f>IF(N52=VLOOKUP(VALUE(N$1),Questions[#All],5,FALSE),1,0)</f>
        <v>1</v>
      </c>
      <c r="AA52" s="29">
        <f>IF(O52=VLOOKUP(VALUE(O$1),Questions[#All],5,FALSE),1,0)</f>
        <v>0</v>
      </c>
      <c r="AB52" s="29">
        <f>IF(P52=VLOOKUP(VALUE(P$1),Questions[#All],5,FALSE),1,0)</f>
        <v>1</v>
      </c>
    </row>
    <row r="53" spans="1:28" ht="22.5" customHeight="1" x14ac:dyDescent="0.15">
      <c r="A53" s="10" t="s">
        <v>826</v>
      </c>
      <c r="B53" s="22" t="s">
        <v>46</v>
      </c>
      <c r="C53" s="23">
        <v>8</v>
      </c>
      <c r="D53" s="24" t="b">
        <v>0</v>
      </c>
      <c r="E53" s="25" t="b">
        <v>0</v>
      </c>
      <c r="F53" s="26">
        <f t="shared" si="0"/>
        <v>5</v>
      </c>
      <c r="G53" s="23">
        <f t="shared" si="1"/>
        <v>0</v>
      </c>
      <c r="H53" s="27">
        <f t="shared" si="2"/>
        <v>0.41666666666666669</v>
      </c>
      <c r="I53" s="26">
        <v>2</v>
      </c>
      <c r="J53" s="23">
        <v>2</v>
      </c>
      <c r="K53" s="23">
        <v>2</v>
      </c>
      <c r="L53" s="23">
        <v>3</v>
      </c>
      <c r="M53" s="23">
        <v>2</v>
      </c>
      <c r="N53" s="23">
        <v>3</v>
      </c>
      <c r="O53" s="23">
        <v>2</v>
      </c>
      <c r="P53" s="23">
        <v>2</v>
      </c>
      <c r="Q53" s="26"/>
      <c r="R53" s="23"/>
      <c r="S53" s="23"/>
      <c r="T53" s="23"/>
      <c r="U53" s="26">
        <f>IF(I53=VLOOKUP(VALUE(I$1),Questions[#All],5,FALSE),1,0)</f>
        <v>1</v>
      </c>
      <c r="V53" s="23">
        <f>IF(J53=VLOOKUP(VALUE(J$1),Questions[#All],5,FALSE),1,0)</f>
        <v>1</v>
      </c>
      <c r="W53" s="23">
        <f>IF(K53=VLOOKUP(VALUE(K$1),Questions[#All],5,FALSE),1,0)</f>
        <v>0</v>
      </c>
      <c r="X53" s="23">
        <f>IF(L53=VLOOKUP(VALUE(L$1),Questions[#All],5,FALSE),1,0)</f>
        <v>1</v>
      </c>
      <c r="Y53" s="23">
        <f>IF(M53=VLOOKUP(VALUE(M$1),Questions[#All],5,FALSE),1,0)</f>
        <v>1</v>
      </c>
      <c r="Z53" s="23">
        <f>IF(N53=VLOOKUP(VALUE(N$1),Questions[#All],5,FALSE),1,0)</f>
        <v>1</v>
      </c>
      <c r="AA53" s="23">
        <f>IF(O53=VLOOKUP(VALUE(O$1),Questions[#All],5,FALSE),1,0)</f>
        <v>0</v>
      </c>
      <c r="AB53" s="23">
        <f>IF(P53=VLOOKUP(VALUE(P$1),Questions[#All],5,FALSE),1,0)</f>
        <v>0</v>
      </c>
    </row>
    <row r="54" spans="1:28" ht="22.5" customHeight="1" x14ac:dyDescent="0.15">
      <c r="A54" s="10" t="s">
        <v>827</v>
      </c>
      <c r="B54" s="28" t="s">
        <v>46</v>
      </c>
      <c r="C54" s="29">
        <v>8</v>
      </c>
      <c r="D54" s="30" t="b">
        <v>0</v>
      </c>
      <c r="E54" s="31" t="b">
        <v>1</v>
      </c>
      <c r="F54" s="32">
        <f t="shared" si="0"/>
        <v>6</v>
      </c>
      <c r="G54" s="29">
        <f t="shared" si="1"/>
        <v>0</v>
      </c>
      <c r="H54" s="33">
        <f t="shared" si="2"/>
        <v>0.5</v>
      </c>
      <c r="I54" s="32">
        <v>1</v>
      </c>
      <c r="J54" s="29">
        <v>2</v>
      </c>
      <c r="K54" s="29">
        <v>1</v>
      </c>
      <c r="L54" s="29">
        <v>3</v>
      </c>
      <c r="M54" s="29">
        <v>2</v>
      </c>
      <c r="N54" s="29">
        <v>4</v>
      </c>
      <c r="O54" s="29">
        <v>3</v>
      </c>
      <c r="P54" s="29">
        <v>3</v>
      </c>
      <c r="Q54" s="32"/>
      <c r="R54" s="29"/>
      <c r="S54" s="29"/>
      <c r="T54" s="29"/>
      <c r="U54" s="32">
        <f>IF(I54=VLOOKUP(VALUE(I$1),Questions[#All],5,FALSE),1,0)</f>
        <v>0</v>
      </c>
      <c r="V54" s="29">
        <f>IF(J54=VLOOKUP(VALUE(J$1),Questions[#All],5,FALSE),1,0)</f>
        <v>1</v>
      </c>
      <c r="W54" s="29">
        <f>IF(K54=VLOOKUP(VALUE(K$1),Questions[#All],5,FALSE),1,0)</f>
        <v>1</v>
      </c>
      <c r="X54" s="29">
        <f>IF(L54=VLOOKUP(VALUE(L$1),Questions[#All],5,FALSE),1,0)</f>
        <v>1</v>
      </c>
      <c r="Y54" s="29">
        <f>IF(M54=VLOOKUP(VALUE(M$1),Questions[#All],5,FALSE),1,0)</f>
        <v>1</v>
      </c>
      <c r="Z54" s="29">
        <f>IF(N54=VLOOKUP(VALUE(N$1),Questions[#All],5,FALSE),1,0)</f>
        <v>0</v>
      </c>
      <c r="AA54" s="29">
        <f>IF(O54=VLOOKUP(VALUE(O$1),Questions[#All],5,FALSE),1,0)</f>
        <v>1</v>
      </c>
      <c r="AB54" s="29">
        <f>IF(P54=VLOOKUP(VALUE(P$1),Questions[#All],5,FALSE),1,0)</f>
        <v>1</v>
      </c>
    </row>
    <row r="55" spans="1:28" ht="22.5" customHeight="1" x14ac:dyDescent="0.15">
      <c r="A55" s="10" t="s">
        <v>828</v>
      </c>
      <c r="B55" s="22" t="s">
        <v>46</v>
      </c>
      <c r="C55" s="23">
        <v>8</v>
      </c>
      <c r="D55" s="24" t="b">
        <v>0</v>
      </c>
      <c r="E55" s="25" t="b">
        <v>0</v>
      </c>
      <c r="F55" s="26">
        <f t="shared" si="0"/>
        <v>1</v>
      </c>
      <c r="G55" s="23">
        <f t="shared" si="1"/>
        <v>0</v>
      </c>
      <c r="H55" s="27">
        <f t="shared" si="2"/>
        <v>8.3333333333333329E-2</v>
      </c>
      <c r="I55" s="26">
        <v>3</v>
      </c>
      <c r="J55" s="23">
        <v>4</v>
      </c>
      <c r="K55" s="23">
        <v>4</v>
      </c>
      <c r="L55" s="23">
        <v>3</v>
      </c>
      <c r="M55" s="23">
        <v>3</v>
      </c>
      <c r="N55" s="23">
        <v>1</v>
      </c>
      <c r="O55" s="23">
        <v>2</v>
      </c>
      <c r="P55" s="23">
        <v>4</v>
      </c>
      <c r="Q55" s="26"/>
      <c r="R55" s="23"/>
      <c r="S55" s="23"/>
      <c r="T55" s="23"/>
      <c r="U55" s="26">
        <f>IF(I55=VLOOKUP(VALUE(I$1),Questions[#All],5,FALSE),1,0)</f>
        <v>0</v>
      </c>
      <c r="V55" s="23">
        <f>IF(J55=VLOOKUP(VALUE(J$1),Questions[#All],5,FALSE),1,0)</f>
        <v>0</v>
      </c>
      <c r="W55" s="23">
        <f>IF(K55=VLOOKUP(VALUE(K$1),Questions[#All],5,FALSE),1,0)</f>
        <v>0</v>
      </c>
      <c r="X55" s="23">
        <f>IF(L55=VLOOKUP(VALUE(L$1),Questions[#All],5,FALSE),1,0)</f>
        <v>1</v>
      </c>
      <c r="Y55" s="23">
        <f>IF(M55=VLOOKUP(VALUE(M$1),Questions[#All],5,FALSE),1,0)</f>
        <v>0</v>
      </c>
      <c r="Z55" s="23">
        <f>IF(N55=VLOOKUP(VALUE(N$1),Questions[#All],5,FALSE),1,0)</f>
        <v>0</v>
      </c>
      <c r="AA55" s="23">
        <f>IF(O55=VLOOKUP(VALUE(O$1),Questions[#All],5,FALSE),1,0)</f>
        <v>0</v>
      </c>
      <c r="AB55" s="23">
        <f>IF(P55=VLOOKUP(VALUE(P$1),Questions[#All],5,FALSE),1,0)</f>
        <v>0</v>
      </c>
    </row>
    <row r="56" spans="1:28" ht="22.5" customHeight="1" x14ac:dyDescent="0.15">
      <c r="A56" s="10" t="s">
        <v>829</v>
      </c>
      <c r="B56" s="28" t="s">
        <v>46</v>
      </c>
      <c r="C56" s="29">
        <v>8</v>
      </c>
      <c r="D56" s="30" t="b">
        <v>0</v>
      </c>
      <c r="E56" s="31" t="b">
        <v>1</v>
      </c>
      <c r="F56" s="32">
        <f t="shared" si="0"/>
        <v>3</v>
      </c>
      <c r="G56" s="29">
        <f t="shared" si="1"/>
        <v>0</v>
      </c>
      <c r="H56" s="33">
        <f t="shared" si="2"/>
        <v>0.25</v>
      </c>
      <c r="I56" s="32">
        <v>3</v>
      </c>
      <c r="J56" s="29">
        <v>4</v>
      </c>
      <c r="K56" s="29">
        <v>1</v>
      </c>
      <c r="L56" s="29">
        <v>2</v>
      </c>
      <c r="M56" s="29">
        <v>4</v>
      </c>
      <c r="N56" s="29">
        <v>3</v>
      </c>
      <c r="O56" s="29">
        <v>3</v>
      </c>
      <c r="P56" s="29">
        <v>1</v>
      </c>
      <c r="Q56" s="32"/>
      <c r="R56" s="29"/>
      <c r="S56" s="29"/>
      <c r="T56" s="29"/>
      <c r="U56" s="32">
        <f>IF(I56=VLOOKUP(VALUE(I$1),Questions[#All],5,FALSE),1,0)</f>
        <v>0</v>
      </c>
      <c r="V56" s="29">
        <f>IF(J56=VLOOKUP(VALUE(J$1),Questions[#All],5,FALSE),1,0)</f>
        <v>0</v>
      </c>
      <c r="W56" s="29">
        <f>IF(K56=VLOOKUP(VALUE(K$1),Questions[#All],5,FALSE),1,0)</f>
        <v>1</v>
      </c>
      <c r="X56" s="29">
        <f>IF(L56=VLOOKUP(VALUE(L$1),Questions[#All],5,FALSE),1,0)</f>
        <v>0</v>
      </c>
      <c r="Y56" s="29">
        <f>IF(M56=VLOOKUP(VALUE(M$1),Questions[#All],5,FALSE),1,0)</f>
        <v>0</v>
      </c>
      <c r="Z56" s="29">
        <f>IF(N56=VLOOKUP(VALUE(N$1),Questions[#All],5,FALSE),1,0)</f>
        <v>1</v>
      </c>
      <c r="AA56" s="29">
        <f>IF(O56=VLOOKUP(VALUE(O$1),Questions[#All],5,FALSE),1,0)</f>
        <v>1</v>
      </c>
      <c r="AB56" s="29">
        <f>IF(P56=VLOOKUP(VALUE(P$1),Questions[#All],5,FALSE),1,0)</f>
        <v>0</v>
      </c>
    </row>
    <row r="57" spans="1:28" ht="22.5" customHeight="1" x14ac:dyDescent="0.15">
      <c r="A57" s="10" t="s">
        <v>830</v>
      </c>
      <c r="B57" s="22" t="s">
        <v>46</v>
      </c>
      <c r="C57" s="23">
        <v>4</v>
      </c>
      <c r="D57" s="24" t="b">
        <v>0</v>
      </c>
      <c r="E57" s="25" t="b">
        <v>0</v>
      </c>
      <c r="F57" s="26">
        <f t="shared" si="0"/>
        <v>4</v>
      </c>
      <c r="G57" s="23">
        <f t="shared" si="1"/>
        <v>0</v>
      </c>
      <c r="H57" s="27">
        <f t="shared" si="2"/>
        <v>0.33333333333333331</v>
      </c>
      <c r="I57" s="26">
        <v>2</v>
      </c>
      <c r="J57" s="23">
        <v>2</v>
      </c>
      <c r="K57" s="23">
        <v>3</v>
      </c>
      <c r="L57" s="23">
        <v>3</v>
      </c>
      <c r="M57" s="23">
        <v>2</v>
      </c>
      <c r="N57" s="23"/>
      <c r="O57" s="23"/>
      <c r="P57" s="23"/>
      <c r="Q57" s="26"/>
      <c r="R57" s="23"/>
      <c r="S57" s="23"/>
      <c r="T57" s="23"/>
      <c r="U57" s="26">
        <f>IF(I57=VLOOKUP(VALUE(I$1),Questions[#All],5,FALSE),1,0)</f>
        <v>1</v>
      </c>
      <c r="V57" s="23">
        <f>IF(J57=VLOOKUP(VALUE(J$1),Questions[#All],5,FALSE),1,0)</f>
        <v>1</v>
      </c>
      <c r="W57" s="23">
        <f>IF(K57=VLOOKUP(VALUE(K$1),Questions[#All],5,FALSE),1,0)</f>
        <v>0</v>
      </c>
      <c r="X57" s="23">
        <f>IF(L57=VLOOKUP(VALUE(L$1),Questions[#All],5,FALSE),1,0)</f>
        <v>1</v>
      </c>
      <c r="Y57" s="23">
        <f>IF(M57=VLOOKUP(VALUE(M$1),Questions[#All],5,FALSE),1,0)</f>
        <v>1</v>
      </c>
      <c r="Z57" s="23">
        <f>IF(N57=VLOOKUP(VALUE(N$1),Questions[#All],5,FALSE),1,0)</f>
        <v>0</v>
      </c>
      <c r="AA57" s="23">
        <f>IF(O57=VLOOKUP(VALUE(O$1),Questions[#All],5,FALSE),1,0)</f>
        <v>0</v>
      </c>
      <c r="AB57" s="23">
        <f>IF(P57=VLOOKUP(VALUE(P$1),Questions[#All],5,FALSE),1,0)</f>
        <v>0</v>
      </c>
    </row>
    <row r="58" spans="1:28" ht="22.5" customHeight="1" x14ac:dyDescent="0.15">
      <c r="A58" s="10" t="s">
        <v>831</v>
      </c>
      <c r="B58" s="28" t="s">
        <v>46</v>
      </c>
      <c r="C58" s="29">
        <v>4</v>
      </c>
      <c r="D58" s="30" t="b">
        <v>0</v>
      </c>
      <c r="E58" s="31" t="b">
        <v>0</v>
      </c>
      <c r="F58" s="32">
        <f t="shared" si="0"/>
        <v>6</v>
      </c>
      <c r="G58" s="29">
        <f t="shared" si="1"/>
        <v>0</v>
      </c>
      <c r="H58" s="33">
        <f t="shared" si="2"/>
        <v>0.5</v>
      </c>
      <c r="I58" s="32">
        <v>2</v>
      </c>
      <c r="J58" s="29">
        <v>2</v>
      </c>
      <c r="K58" s="29">
        <v>3</v>
      </c>
      <c r="L58" s="29">
        <v>3</v>
      </c>
      <c r="M58" s="29">
        <v>2</v>
      </c>
      <c r="N58" s="29">
        <v>3</v>
      </c>
      <c r="O58" s="29">
        <v>4</v>
      </c>
      <c r="P58" s="29">
        <v>3</v>
      </c>
      <c r="Q58" s="32"/>
      <c r="R58" s="29"/>
      <c r="S58" s="29"/>
      <c r="T58" s="29"/>
      <c r="U58" s="32">
        <f>IF(I58=VLOOKUP(VALUE(I$1),Questions[#All],5,FALSE),1,0)</f>
        <v>1</v>
      </c>
      <c r="V58" s="29">
        <f>IF(J58=VLOOKUP(VALUE(J$1),Questions[#All],5,FALSE),1,0)</f>
        <v>1</v>
      </c>
      <c r="W58" s="29">
        <f>IF(K58=VLOOKUP(VALUE(K$1),Questions[#All],5,FALSE),1,0)</f>
        <v>0</v>
      </c>
      <c r="X58" s="29">
        <f>IF(L58=VLOOKUP(VALUE(L$1),Questions[#All],5,FALSE),1,0)</f>
        <v>1</v>
      </c>
      <c r="Y58" s="29">
        <f>IF(M58=VLOOKUP(VALUE(M$1),Questions[#All],5,FALSE),1,0)</f>
        <v>1</v>
      </c>
      <c r="Z58" s="29">
        <f>IF(N58=VLOOKUP(VALUE(N$1),Questions[#All],5,FALSE),1,0)</f>
        <v>1</v>
      </c>
      <c r="AA58" s="29">
        <f>IF(O58=VLOOKUP(VALUE(O$1),Questions[#All],5,FALSE),1,0)</f>
        <v>0</v>
      </c>
      <c r="AB58" s="29">
        <f>IF(P58=VLOOKUP(VALUE(P$1),Questions[#All],5,FALSE),1,0)</f>
        <v>1</v>
      </c>
    </row>
    <row r="59" spans="1:28" ht="22.5" customHeight="1" x14ac:dyDescent="0.15">
      <c r="A59" s="10" t="s">
        <v>832</v>
      </c>
      <c r="B59" s="22" t="s">
        <v>46</v>
      </c>
      <c r="C59" s="23">
        <v>4</v>
      </c>
      <c r="D59" s="24" t="b">
        <v>0</v>
      </c>
      <c r="E59" s="25" t="b">
        <v>1</v>
      </c>
      <c r="F59" s="26">
        <f t="shared" si="0"/>
        <v>4</v>
      </c>
      <c r="G59" s="23">
        <f t="shared" si="1"/>
        <v>0</v>
      </c>
      <c r="H59" s="27">
        <f t="shared" si="2"/>
        <v>0.33333333333333331</v>
      </c>
      <c r="I59" s="26">
        <v>3</v>
      </c>
      <c r="J59" s="23">
        <v>4</v>
      </c>
      <c r="K59" s="23">
        <v>3</v>
      </c>
      <c r="L59" s="23">
        <v>1</v>
      </c>
      <c r="M59" s="23">
        <v>2</v>
      </c>
      <c r="N59" s="23">
        <v>3</v>
      </c>
      <c r="O59" s="23">
        <v>3</v>
      </c>
      <c r="P59" s="23">
        <v>3</v>
      </c>
      <c r="Q59" s="26"/>
      <c r="R59" s="23"/>
      <c r="S59" s="23"/>
      <c r="T59" s="23"/>
      <c r="U59" s="26">
        <f>IF(I59=VLOOKUP(VALUE(I$1),Questions[#All],5,FALSE),1,0)</f>
        <v>0</v>
      </c>
      <c r="V59" s="23">
        <f>IF(J59=VLOOKUP(VALUE(J$1),Questions[#All],5,FALSE),1,0)</f>
        <v>0</v>
      </c>
      <c r="W59" s="23">
        <f>IF(K59=VLOOKUP(VALUE(K$1),Questions[#All],5,FALSE),1,0)</f>
        <v>0</v>
      </c>
      <c r="X59" s="23">
        <f>IF(L59=VLOOKUP(VALUE(L$1),Questions[#All],5,FALSE),1,0)</f>
        <v>0</v>
      </c>
      <c r="Y59" s="23">
        <f>IF(M59=VLOOKUP(VALUE(M$1),Questions[#All],5,FALSE),1,0)</f>
        <v>1</v>
      </c>
      <c r="Z59" s="23">
        <f>IF(N59=VLOOKUP(VALUE(N$1),Questions[#All],5,FALSE),1,0)</f>
        <v>1</v>
      </c>
      <c r="AA59" s="23">
        <f>IF(O59=VLOOKUP(VALUE(O$1),Questions[#All],5,FALSE),1,0)</f>
        <v>1</v>
      </c>
      <c r="AB59" s="23">
        <f>IF(P59=VLOOKUP(VALUE(P$1),Questions[#All],5,FALSE),1,0)</f>
        <v>1</v>
      </c>
    </row>
    <row r="60" spans="1:28" ht="22.5" customHeight="1" x14ac:dyDescent="0.15">
      <c r="A60" s="10" t="s">
        <v>833</v>
      </c>
      <c r="B60" s="28" t="s">
        <v>46</v>
      </c>
      <c r="C60" s="29">
        <v>4</v>
      </c>
      <c r="D60" s="30" t="b">
        <v>0</v>
      </c>
      <c r="E60" s="31" t="b">
        <v>0</v>
      </c>
      <c r="F60" s="32">
        <f t="shared" si="0"/>
        <v>6</v>
      </c>
      <c r="G60" s="29">
        <f t="shared" si="1"/>
        <v>0</v>
      </c>
      <c r="H60" s="33">
        <f t="shared" si="2"/>
        <v>0.5</v>
      </c>
      <c r="I60" s="32">
        <v>2</v>
      </c>
      <c r="J60" s="29">
        <v>2</v>
      </c>
      <c r="K60" s="29">
        <v>1</v>
      </c>
      <c r="L60" s="29">
        <v>3</v>
      </c>
      <c r="M60" s="29">
        <v>2</v>
      </c>
      <c r="N60" s="29">
        <v>3</v>
      </c>
      <c r="O60" s="29">
        <v>4</v>
      </c>
      <c r="P60" s="29">
        <v>1</v>
      </c>
      <c r="Q60" s="32"/>
      <c r="R60" s="29"/>
      <c r="S60" s="29"/>
      <c r="T60" s="29"/>
      <c r="U60" s="32">
        <f>IF(I60=VLOOKUP(VALUE(I$1),Questions[#All],5,FALSE),1,0)</f>
        <v>1</v>
      </c>
      <c r="V60" s="29">
        <f>IF(J60=VLOOKUP(VALUE(J$1),Questions[#All],5,FALSE),1,0)</f>
        <v>1</v>
      </c>
      <c r="W60" s="29">
        <f>IF(K60=VLOOKUP(VALUE(K$1),Questions[#All],5,FALSE),1,0)</f>
        <v>1</v>
      </c>
      <c r="X60" s="29">
        <f>IF(L60=VLOOKUP(VALUE(L$1),Questions[#All],5,FALSE),1,0)</f>
        <v>1</v>
      </c>
      <c r="Y60" s="29">
        <f>IF(M60=VLOOKUP(VALUE(M$1),Questions[#All],5,FALSE),1,0)</f>
        <v>1</v>
      </c>
      <c r="Z60" s="29">
        <f>IF(N60=VLOOKUP(VALUE(N$1),Questions[#All],5,FALSE),1,0)</f>
        <v>1</v>
      </c>
      <c r="AA60" s="29">
        <f>IF(O60=VLOOKUP(VALUE(O$1),Questions[#All],5,FALSE),1,0)</f>
        <v>0</v>
      </c>
      <c r="AB60" s="29">
        <f>IF(P60=VLOOKUP(VALUE(P$1),Questions[#All],5,FALSE),1,0)</f>
        <v>0</v>
      </c>
    </row>
    <row r="61" spans="1:28" ht="22.5" customHeight="1" x14ac:dyDescent="0.15">
      <c r="A61" s="10" t="s">
        <v>834</v>
      </c>
      <c r="B61" s="22" t="s">
        <v>46</v>
      </c>
      <c r="C61" s="23">
        <v>4</v>
      </c>
      <c r="D61" s="24" t="b">
        <v>0</v>
      </c>
      <c r="E61" s="25" t="b">
        <v>0</v>
      </c>
      <c r="F61" s="26">
        <f t="shared" si="0"/>
        <v>7</v>
      </c>
      <c r="G61" s="23">
        <f t="shared" si="1"/>
        <v>0</v>
      </c>
      <c r="H61" s="27">
        <f t="shared" si="2"/>
        <v>0.58333333333333337</v>
      </c>
      <c r="I61" s="26">
        <v>2</v>
      </c>
      <c r="J61" s="23">
        <v>2</v>
      </c>
      <c r="K61" s="23">
        <v>1</v>
      </c>
      <c r="L61" s="23">
        <v>3</v>
      </c>
      <c r="M61" s="23">
        <v>2</v>
      </c>
      <c r="N61" s="23">
        <v>3</v>
      </c>
      <c r="O61" s="23">
        <v>2</v>
      </c>
      <c r="P61" s="23">
        <v>3</v>
      </c>
      <c r="Q61" s="26"/>
      <c r="R61" s="23"/>
      <c r="S61" s="23"/>
      <c r="T61" s="23"/>
      <c r="U61" s="26">
        <f>IF(I61=VLOOKUP(VALUE(I$1),Questions[#All],5,FALSE),1,0)</f>
        <v>1</v>
      </c>
      <c r="V61" s="23">
        <f>IF(J61=VLOOKUP(VALUE(J$1),Questions[#All],5,FALSE),1,0)</f>
        <v>1</v>
      </c>
      <c r="W61" s="23">
        <f>IF(K61=VLOOKUP(VALUE(K$1),Questions[#All],5,FALSE),1,0)</f>
        <v>1</v>
      </c>
      <c r="X61" s="23">
        <f>IF(L61=VLOOKUP(VALUE(L$1),Questions[#All],5,FALSE),1,0)</f>
        <v>1</v>
      </c>
      <c r="Y61" s="23">
        <f>IF(M61=VLOOKUP(VALUE(M$1),Questions[#All],5,FALSE),1,0)</f>
        <v>1</v>
      </c>
      <c r="Z61" s="23">
        <f>IF(N61=VLOOKUP(VALUE(N$1),Questions[#All],5,FALSE),1,0)</f>
        <v>1</v>
      </c>
      <c r="AA61" s="23">
        <f>IF(O61=VLOOKUP(VALUE(O$1),Questions[#All],5,FALSE),1,0)</f>
        <v>0</v>
      </c>
      <c r="AB61" s="23">
        <f>IF(P61=VLOOKUP(VALUE(P$1),Questions[#All],5,FALSE),1,0)</f>
        <v>1</v>
      </c>
    </row>
    <row r="62" spans="1:28" ht="22.5" customHeight="1" x14ac:dyDescent="0.15">
      <c r="A62" s="10" t="s">
        <v>835</v>
      </c>
      <c r="B62" s="28" t="s">
        <v>46</v>
      </c>
      <c r="C62" s="29">
        <v>4</v>
      </c>
      <c r="D62" s="30" t="b">
        <v>0</v>
      </c>
      <c r="E62" s="31" t="b">
        <v>0</v>
      </c>
      <c r="F62" s="32">
        <f t="shared" si="0"/>
        <v>4</v>
      </c>
      <c r="G62" s="29">
        <f t="shared" si="1"/>
        <v>0</v>
      </c>
      <c r="H62" s="33">
        <f t="shared" si="2"/>
        <v>0.33333333333333331</v>
      </c>
      <c r="I62" s="32">
        <v>1</v>
      </c>
      <c r="J62" s="29">
        <v>2</v>
      </c>
      <c r="K62" s="29">
        <v>3</v>
      </c>
      <c r="L62" s="29">
        <v>3</v>
      </c>
      <c r="M62" s="29">
        <v>2</v>
      </c>
      <c r="N62" s="29">
        <v>3</v>
      </c>
      <c r="O62" s="29">
        <v>4</v>
      </c>
      <c r="P62" s="29">
        <v>4</v>
      </c>
      <c r="Q62" s="32"/>
      <c r="R62" s="29"/>
      <c r="S62" s="29"/>
      <c r="T62" s="29"/>
      <c r="U62" s="32">
        <f>IF(I62=VLOOKUP(VALUE(I$1),Questions[#All],5,FALSE),1,0)</f>
        <v>0</v>
      </c>
      <c r="V62" s="29">
        <f>IF(J62=VLOOKUP(VALUE(J$1),Questions[#All],5,FALSE),1,0)</f>
        <v>1</v>
      </c>
      <c r="W62" s="29">
        <f>IF(K62=VLOOKUP(VALUE(K$1),Questions[#All],5,FALSE),1,0)</f>
        <v>0</v>
      </c>
      <c r="X62" s="29">
        <f>IF(L62=VLOOKUP(VALUE(L$1),Questions[#All],5,FALSE),1,0)</f>
        <v>1</v>
      </c>
      <c r="Y62" s="29">
        <f>IF(M62=VLOOKUP(VALUE(M$1),Questions[#All],5,FALSE),1,0)</f>
        <v>1</v>
      </c>
      <c r="Z62" s="29">
        <f>IF(N62=VLOOKUP(VALUE(N$1),Questions[#All],5,FALSE),1,0)</f>
        <v>1</v>
      </c>
      <c r="AA62" s="29">
        <f>IF(O62=VLOOKUP(VALUE(O$1),Questions[#All],5,FALSE),1,0)</f>
        <v>0</v>
      </c>
      <c r="AB62" s="29">
        <f>IF(P62=VLOOKUP(VALUE(P$1),Questions[#All],5,FALSE),1,0)</f>
        <v>0</v>
      </c>
    </row>
    <row r="63" spans="1:28" ht="22.5" customHeight="1" x14ac:dyDescent="0.15">
      <c r="A63" s="10" t="s">
        <v>836</v>
      </c>
      <c r="B63" s="22" t="s">
        <v>46</v>
      </c>
      <c r="C63" s="23">
        <v>4</v>
      </c>
      <c r="D63" s="24" t="b">
        <v>0</v>
      </c>
      <c r="E63" s="25" t="b">
        <v>0</v>
      </c>
      <c r="F63" s="26">
        <f t="shared" si="0"/>
        <v>6</v>
      </c>
      <c r="G63" s="23">
        <f t="shared" si="1"/>
        <v>0</v>
      </c>
      <c r="H63" s="27">
        <f t="shared" si="2"/>
        <v>0.5</v>
      </c>
      <c r="I63" s="26">
        <v>1</v>
      </c>
      <c r="J63" s="23">
        <v>2</v>
      </c>
      <c r="K63" s="23">
        <v>1</v>
      </c>
      <c r="L63" s="23">
        <v>3</v>
      </c>
      <c r="M63" s="23">
        <v>2</v>
      </c>
      <c r="N63" s="23">
        <v>3</v>
      </c>
      <c r="O63" s="23">
        <v>1</v>
      </c>
      <c r="P63" s="23">
        <v>3</v>
      </c>
      <c r="Q63" s="26"/>
      <c r="R63" s="23"/>
      <c r="S63" s="23"/>
      <c r="T63" s="23"/>
      <c r="U63" s="26">
        <f>IF(I63=VLOOKUP(VALUE(I$1),Questions[#All],5,FALSE),1,0)</f>
        <v>0</v>
      </c>
      <c r="V63" s="23">
        <f>IF(J63=VLOOKUP(VALUE(J$1),Questions[#All],5,FALSE),1,0)</f>
        <v>1</v>
      </c>
      <c r="W63" s="23">
        <f>IF(K63=VLOOKUP(VALUE(K$1),Questions[#All],5,FALSE),1,0)</f>
        <v>1</v>
      </c>
      <c r="X63" s="23">
        <f>IF(L63=VLOOKUP(VALUE(L$1),Questions[#All],5,FALSE),1,0)</f>
        <v>1</v>
      </c>
      <c r="Y63" s="23">
        <f>IF(M63=VLOOKUP(VALUE(M$1),Questions[#All],5,FALSE),1,0)</f>
        <v>1</v>
      </c>
      <c r="Z63" s="23">
        <f>IF(N63=VLOOKUP(VALUE(N$1),Questions[#All],5,FALSE),1,0)</f>
        <v>1</v>
      </c>
      <c r="AA63" s="23">
        <f>IF(O63=VLOOKUP(VALUE(O$1),Questions[#All],5,FALSE),1,0)</f>
        <v>0</v>
      </c>
      <c r="AB63" s="23">
        <f>IF(P63=VLOOKUP(VALUE(P$1),Questions[#All],5,FALSE),1,0)</f>
        <v>1</v>
      </c>
    </row>
    <row r="64" spans="1:28" ht="22.5" customHeight="1" x14ac:dyDescent="0.15">
      <c r="A64" s="10" t="s">
        <v>837</v>
      </c>
      <c r="B64" s="28" t="s">
        <v>46</v>
      </c>
      <c r="C64" s="29">
        <v>4</v>
      </c>
      <c r="D64" s="30" t="b">
        <v>0</v>
      </c>
      <c r="E64" s="31" t="b">
        <v>0</v>
      </c>
      <c r="F64" s="32">
        <f t="shared" si="0"/>
        <v>6</v>
      </c>
      <c r="G64" s="29">
        <f t="shared" si="1"/>
        <v>0</v>
      </c>
      <c r="H64" s="33">
        <f t="shared" si="2"/>
        <v>0.5</v>
      </c>
      <c r="I64" s="32">
        <v>4</v>
      </c>
      <c r="J64" s="29">
        <v>2</v>
      </c>
      <c r="K64" s="29">
        <v>1</v>
      </c>
      <c r="L64" s="29">
        <v>1</v>
      </c>
      <c r="M64" s="29">
        <v>2</v>
      </c>
      <c r="N64" s="29">
        <v>3</v>
      </c>
      <c r="O64" s="29">
        <v>3</v>
      </c>
      <c r="P64" s="29">
        <v>3</v>
      </c>
      <c r="Q64" s="32"/>
      <c r="R64" s="29"/>
      <c r="S64" s="29"/>
      <c r="T64" s="29"/>
      <c r="U64" s="32">
        <f>IF(I64=VLOOKUP(VALUE(I$1),Questions[#All],5,FALSE),1,0)</f>
        <v>0</v>
      </c>
      <c r="V64" s="29">
        <f>IF(J64=VLOOKUP(VALUE(J$1),Questions[#All],5,FALSE),1,0)</f>
        <v>1</v>
      </c>
      <c r="W64" s="29">
        <f>IF(K64=VLOOKUP(VALUE(K$1),Questions[#All],5,FALSE),1,0)</f>
        <v>1</v>
      </c>
      <c r="X64" s="29">
        <f>IF(L64=VLOOKUP(VALUE(L$1),Questions[#All],5,FALSE),1,0)</f>
        <v>0</v>
      </c>
      <c r="Y64" s="29">
        <f>IF(M64=VLOOKUP(VALUE(M$1),Questions[#All],5,FALSE),1,0)</f>
        <v>1</v>
      </c>
      <c r="Z64" s="29">
        <f>IF(N64=VLOOKUP(VALUE(N$1),Questions[#All],5,FALSE),1,0)</f>
        <v>1</v>
      </c>
      <c r="AA64" s="29">
        <f>IF(O64=VLOOKUP(VALUE(O$1),Questions[#All],5,FALSE),1,0)</f>
        <v>1</v>
      </c>
      <c r="AB64" s="29">
        <f>IF(P64=VLOOKUP(VALUE(P$1),Questions[#All],5,FALSE),1,0)</f>
        <v>1</v>
      </c>
    </row>
    <row r="65" spans="1:28" ht="22.5" customHeight="1" x14ac:dyDescent="0.15">
      <c r="A65" s="10" t="s">
        <v>838</v>
      </c>
      <c r="B65" s="22" t="s">
        <v>46</v>
      </c>
      <c r="C65" s="23">
        <v>4</v>
      </c>
      <c r="D65" s="24" t="b">
        <v>0</v>
      </c>
      <c r="E65" s="25" t="b">
        <v>0</v>
      </c>
      <c r="F65" s="26">
        <f t="shared" si="0"/>
        <v>7</v>
      </c>
      <c r="G65" s="23">
        <f t="shared" si="1"/>
        <v>0</v>
      </c>
      <c r="H65" s="27">
        <f t="shared" si="2"/>
        <v>0.58333333333333337</v>
      </c>
      <c r="I65" s="26">
        <v>2</v>
      </c>
      <c r="J65" s="23">
        <v>2</v>
      </c>
      <c r="K65" s="23">
        <v>1</v>
      </c>
      <c r="L65" s="23">
        <v>3</v>
      </c>
      <c r="M65" s="23">
        <v>2</v>
      </c>
      <c r="N65" s="23">
        <v>3</v>
      </c>
      <c r="O65" s="23">
        <v>2</v>
      </c>
      <c r="P65" s="23">
        <v>3</v>
      </c>
      <c r="Q65" s="26"/>
      <c r="R65" s="23"/>
      <c r="S65" s="23"/>
      <c r="T65" s="23"/>
      <c r="U65" s="26">
        <f>IF(I65=VLOOKUP(VALUE(I$1),Questions[#All],5,FALSE),1,0)</f>
        <v>1</v>
      </c>
      <c r="V65" s="23">
        <f>IF(J65=VLOOKUP(VALUE(J$1),Questions[#All],5,FALSE),1,0)</f>
        <v>1</v>
      </c>
      <c r="W65" s="23">
        <f>IF(K65=VLOOKUP(VALUE(K$1),Questions[#All],5,FALSE),1,0)</f>
        <v>1</v>
      </c>
      <c r="X65" s="23">
        <f>IF(L65=VLOOKUP(VALUE(L$1),Questions[#All],5,FALSE),1,0)</f>
        <v>1</v>
      </c>
      <c r="Y65" s="23">
        <f>IF(M65=VLOOKUP(VALUE(M$1),Questions[#All],5,FALSE),1,0)</f>
        <v>1</v>
      </c>
      <c r="Z65" s="23">
        <f>IF(N65=VLOOKUP(VALUE(N$1),Questions[#All],5,FALSE),1,0)</f>
        <v>1</v>
      </c>
      <c r="AA65" s="23">
        <f>IF(O65=VLOOKUP(VALUE(O$1),Questions[#All],5,FALSE),1,0)</f>
        <v>0</v>
      </c>
      <c r="AB65" s="23">
        <f>IF(P65=VLOOKUP(VALUE(P$1),Questions[#All],5,FALSE),1,0)</f>
        <v>1</v>
      </c>
    </row>
    <row r="66" spans="1:28" ht="22.5" customHeight="1" x14ac:dyDescent="0.15">
      <c r="A66" s="10" t="s">
        <v>839</v>
      </c>
      <c r="B66" s="28" t="s">
        <v>46</v>
      </c>
      <c r="C66" s="29">
        <v>4</v>
      </c>
      <c r="D66" s="30" t="b">
        <v>0</v>
      </c>
      <c r="E66" s="31" t="b">
        <v>0</v>
      </c>
      <c r="F66" s="32">
        <f t="shared" si="0"/>
        <v>8</v>
      </c>
      <c r="G66" s="29">
        <f t="shared" si="1"/>
        <v>0</v>
      </c>
      <c r="H66" s="33">
        <f t="shared" si="2"/>
        <v>0.66666666666666663</v>
      </c>
      <c r="I66" s="32">
        <v>2</v>
      </c>
      <c r="J66" s="29">
        <v>2</v>
      </c>
      <c r="K66" s="29">
        <v>1</v>
      </c>
      <c r="L66" s="29">
        <v>3</v>
      </c>
      <c r="M66" s="29">
        <v>2</v>
      </c>
      <c r="N66" s="29">
        <v>3</v>
      </c>
      <c r="O66" s="29">
        <v>3</v>
      </c>
      <c r="P66" s="29">
        <v>3</v>
      </c>
      <c r="Q66" s="32"/>
      <c r="R66" s="29"/>
      <c r="S66" s="29"/>
      <c r="T66" s="29"/>
      <c r="U66" s="32">
        <f>IF(I66=VLOOKUP(VALUE(I$1),Questions[#All],5,FALSE),1,0)</f>
        <v>1</v>
      </c>
      <c r="V66" s="29">
        <f>IF(J66=VLOOKUP(VALUE(J$1),Questions[#All],5,FALSE),1,0)</f>
        <v>1</v>
      </c>
      <c r="W66" s="29">
        <f>IF(K66=VLOOKUP(VALUE(K$1),Questions[#All],5,FALSE),1,0)</f>
        <v>1</v>
      </c>
      <c r="X66" s="29">
        <f>IF(L66=VLOOKUP(VALUE(L$1),Questions[#All],5,FALSE),1,0)</f>
        <v>1</v>
      </c>
      <c r="Y66" s="29">
        <f>IF(M66=VLOOKUP(VALUE(M$1),Questions[#All],5,FALSE),1,0)</f>
        <v>1</v>
      </c>
      <c r="Z66" s="29">
        <f>IF(N66=VLOOKUP(VALUE(N$1),Questions[#All],5,FALSE),1,0)</f>
        <v>1</v>
      </c>
      <c r="AA66" s="29">
        <f>IF(O66=VLOOKUP(VALUE(O$1),Questions[#All],5,FALSE),1,0)</f>
        <v>1</v>
      </c>
      <c r="AB66" s="29">
        <f>IF(P66=VLOOKUP(VALUE(P$1),Questions[#All],5,FALSE),1,0)</f>
        <v>1</v>
      </c>
    </row>
    <row r="67" spans="1:28" ht="22.5" customHeight="1" x14ac:dyDescent="0.15">
      <c r="A67" s="10" t="s">
        <v>840</v>
      </c>
      <c r="B67" s="22" t="s">
        <v>46</v>
      </c>
      <c r="C67" s="23">
        <v>4</v>
      </c>
      <c r="D67" s="24" t="b">
        <v>0</v>
      </c>
      <c r="E67" s="25" t="b">
        <v>0</v>
      </c>
      <c r="F67" s="26">
        <f t="shared" si="0"/>
        <v>7</v>
      </c>
      <c r="G67" s="23">
        <f t="shared" si="1"/>
        <v>0</v>
      </c>
      <c r="H67" s="27">
        <f t="shared" si="2"/>
        <v>0.58333333333333337</v>
      </c>
      <c r="I67" s="26">
        <v>2</v>
      </c>
      <c r="J67" s="23">
        <v>2</v>
      </c>
      <c r="K67" s="23">
        <v>1</v>
      </c>
      <c r="L67" s="23">
        <v>3</v>
      </c>
      <c r="M67" s="23">
        <v>2</v>
      </c>
      <c r="N67" s="23">
        <v>3</v>
      </c>
      <c r="O67" s="23">
        <v>3</v>
      </c>
      <c r="P67" s="23">
        <v>4</v>
      </c>
      <c r="Q67" s="26"/>
      <c r="R67" s="23"/>
      <c r="S67" s="23"/>
      <c r="T67" s="23"/>
      <c r="U67" s="26">
        <f>IF(I67=VLOOKUP(VALUE(I$1),Questions[#All],5,FALSE),1,0)</f>
        <v>1</v>
      </c>
      <c r="V67" s="23">
        <f>IF(J67=VLOOKUP(VALUE(J$1),Questions[#All],5,FALSE),1,0)</f>
        <v>1</v>
      </c>
      <c r="W67" s="23">
        <f>IF(K67=VLOOKUP(VALUE(K$1),Questions[#All],5,FALSE),1,0)</f>
        <v>1</v>
      </c>
      <c r="X67" s="23">
        <f>IF(L67=VLOOKUP(VALUE(L$1),Questions[#All],5,FALSE),1,0)</f>
        <v>1</v>
      </c>
      <c r="Y67" s="23">
        <f>IF(M67=VLOOKUP(VALUE(M$1),Questions[#All],5,FALSE),1,0)</f>
        <v>1</v>
      </c>
      <c r="Z67" s="23">
        <f>IF(N67=VLOOKUP(VALUE(N$1),Questions[#All],5,FALSE),1,0)</f>
        <v>1</v>
      </c>
      <c r="AA67" s="23">
        <f>IF(O67=VLOOKUP(VALUE(O$1),Questions[#All],5,FALSE),1,0)</f>
        <v>1</v>
      </c>
      <c r="AB67" s="23">
        <f>IF(P67=VLOOKUP(VALUE(P$1),Questions[#All],5,FALSE),1,0)</f>
        <v>0</v>
      </c>
    </row>
    <row r="68" spans="1:28" ht="22.5" customHeight="1" x14ac:dyDescent="0.15">
      <c r="A68" s="10" t="s">
        <v>841</v>
      </c>
      <c r="B68" s="28" t="s">
        <v>46</v>
      </c>
      <c r="C68" s="29">
        <v>4</v>
      </c>
      <c r="D68" s="30" t="b">
        <v>0</v>
      </c>
      <c r="E68" s="31" t="b">
        <v>0</v>
      </c>
      <c r="F68" s="32">
        <f t="shared" si="0"/>
        <v>4</v>
      </c>
      <c r="G68" s="29">
        <f t="shared" si="1"/>
        <v>0</v>
      </c>
      <c r="H68" s="33">
        <f t="shared" si="2"/>
        <v>0.33333333333333331</v>
      </c>
      <c r="I68" s="32">
        <v>4</v>
      </c>
      <c r="J68" s="29">
        <v>2</v>
      </c>
      <c r="K68" s="29">
        <v>3</v>
      </c>
      <c r="L68" s="29">
        <v>1</v>
      </c>
      <c r="M68" s="29">
        <v>2</v>
      </c>
      <c r="N68" s="29">
        <v>3</v>
      </c>
      <c r="O68" s="29">
        <v>2</v>
      </c>
      <c r="P68" s="29">
        <v>3</v>
      </c>
      <c r="Q68" s="32"/>
      <c r="R68" s="29"/>
      <c r="S68" s="29"/>
      <c r="T68" s="29"/>
      <c r="U68" s="32">
        <f>IF(I68=VLOOKUP(VALUE(I$1),Questions[#All],5,FALSE),1,0)</f>
        <v>0</v>
      </c>
      <c r="V68" s="29">
        <f>IF(J68=VLOOKUP(VALUE(J$1),Questions[#All],5,FALSE),1,0)</f>
        <v>1</v>
      </c>
      <c r="W68" s="29">
        <f>IF(K68=VLOOKUP(VALUE(K$1),Questions[#All],5,FALSE),1,0)</f>
        <v>0</v>
      </c>
      <c r="X68" s="29">
        <f>IF(L68=VLOOKUP(VALUE(L$1),Questions[#All],5,FALSE),1,0)</f>
        <v>0</v>
      </c>
      <c r="Y68" s="29">
        <f>IF(M68=VLOOKUP(VALUE(M$1),Questions[#All],5,FALSE),1,0)</f>
        <v>1</v>
      </c>
      <c r="Z68" s="29">
        <f>IF(N68=VLOOKUP(VALUE(N$1),Questions[#All],5,FALSE),1,0)</f>
        <v>1</v>
      </c>
      <c r="AA68" s="29">
        <f>IF(O68=VLOOKUP(VALUE(O$1),Questions[#All],5,FALSE),1,0)</f>
        <v>0</v>
      </c>
      <c r="AB68" s="29">
        <f>IF(P68=VLOOKUP(VALUE(P$1),Questions[#All],5,FALSE),1,0)</f>
        <v>1</v>
      </c>
    </row>
    <row r="69" spans="1:28" ht="22.5" customHeight="1" x14ac:dyDescent="0.15">
      <c r="A69" s="10" t="s">
        <v>842</v>
      </c>
      <c r="B69" s="22" t="s">
        <v>46</v>
      </c>
      <c r="C69" s="23">
        <v>4</v>
      </c>
      <c r="D69" s="24" t="b">
        <v>1</v>
      </c>
      <c r="E69" s="25" t="b">
        <v>0</v>
      </c>
      <c r="F69" s="26">
        <f t="shared" si="0"/>
        <v>8</v>
      </c>
      <c r="G69" s="23">
        <f t="shared" si="1"/>
        <v>0</v>
      </c>
      <c r="H69" s="27">
        <f t="shared" si="2"/>
        <v>0.66666666666666663</v>
      </c>
      <c r="I69" s="26">
        <v>2</v>
      </c>
      <c r="J69" s="23">
        <v>2</v>
      </c>
      <c r="K69" s="23">
        <v>1</v>
      </c>
      <c r="L69" s="23">
        <v>3</v>
      </c>
      <c r="M69" s="23">
        <v>2</v>
      </c>
      <c r="N69" s="23">
        <v>3</v>
      </c>
      <c r="O69" s="23">
        <v>3</v>
      </c>
      <c r="P69" s="23">
        <v>3</v>
      </c>
      <c r="Q69" s="26"/>
      <c r="R69" s="23"/>
      <c r="S69" s="23"/>
      <c r="T69" s="23"/>
      <c r="U69" s="26">
        <f>IF(I69=VLOOKUP(VALUE(I$1),Questions[#All],5,FALSE),1,0)</f>
        <v>1</v>
      </c>
      <c r="V69" s="23">
        <f>IF(J69=VLOOKUP(VALUE(J$1),Questions[#All],5,FALSE),1,0)</f>
        <v>1</v>
      </c>
      <c r="W69" s="23">
        <f>IF(K69=VLOOKUP(VALUE(K$1),Questions[#All],5,FALSE),1,0)</f>
        <v>1</v>
      </c>
      <c r="X69" s="23">
        <f>IF(L69=VLOOKUP(VALUE(L$1),Questions[#All],5,FALSE),1,0)</f>
        <v>1</v>
      </c>
      <c r="Y69" s="23">
        <f>IF(M69=VLOOKUP(VALUE(M$1),Questions[#All],5,FALSE),1,0)</f>
        <v>1</v>
      </c>
      <c r="Z69" s="23">
        <f>IF(N69=VLOOKUP(VALUE(N$1),Questions[#All],5,FALSE),1,0)</f>
        <v>1</v>
      </c>
      <c r="AA69" s="23">
        <f>IF(O69=VLOOKUP(VALUE(O$1),Questions[#All],5,FALSE),1,0)</f>
        <v>1</v>
      </c>
      <c r="AB69" s="23">
        <f>IF(P69=VLOOKUP(VALUE(P$1),Questions[#All],5,FALSE),1,0)</f>
        <v>1</v>
      </c>
    </row>
    <row r="70" spans="1:28" ht="22.5" customHeight="1" x14ac:dyDescent="0.15">
      <c r="A70" s="10" t="s">
        <v>843</v>
      </c>
      <c r="B70" s="28" t="s">
        <v>46</v>
      </c>
      <c r="C70" s="29">
        <v>4</v>
      </c>
      <c r="D70" s="30" t="b">
        <v>0</v>
      </c>
      <c r="E70" s="31" t="b">
        <v>0</v>
      </c>
      <c r="F70" s="32">
        <f t="shared" si="0"/>
        <v>8</v>
      </c>
      <c r="G70" s="29">
        <f t="shared" si="1"/>
        <v>0</v>
      </c>
      <c r="H70" s="33">
        <f t="shared" si="2"/>
        <v>0.66666666666666663</v>
      </c>
      <c r="I70" s="32">
        <v>2</v>
      </c>
      <c r="J70" s="29">
        <v>2</v>
      </c>
      <c r="K70" s="29">
        <v>1</v>
      </c>
      <c r="L70" s="29">
        <v>3</v>
      </c>
      <c r="M70" s="29">
        <v>2</v>
      </c>
      <c r="N70" s="29">
        <v>3</v>
      </c>
      <c r="O70" s="29">
        <v>3</v>
      </c>
      <c r="P70" s="29">
        <v>3</v>
      </c>
      <c r="Q70" s="32"/>
      <c r="R70" s="29"/>
      <c r="S70" s="29"/>
      <c r="T70" s="29"/>
      <c r="U70" s="32">
        <f>IF(I70=VLOOKUP(VALUE(I$1),Questions[#All],5,FALSE),1,0)</f>
        <v>1</v>
      </c>
      <c r="V70" s="29">
        <f>IF(J70=VLOOKUP(VALUE(J$1),Questions[#All],5,FALSE),1,0)</f>
        <v>1</v>
      </c>
      <c r="W70" s="29">
        <f>IF(K70=VLOOKUP(VALUE(K$1),Questions[#All],5,FALSE),1,0)</f>
        <v>1</v>
      </c>
      <c r="X70" s="29">
        <f>IF(L70=VLOOKUP(VALUE(L$1),Questions[#All],5,FALSE),1,0)</f>
        <v>1</v>
      </c>
      <c r="Y70" s="29">
        <f>IF(M70=VLOOKUP(VALUE(M$1),Questions[#All],5,FALSE),1,0)</f>
        <v>1</v>
      </c>
      <c r="Z70" s="29">
        <f>IF(N70=VLOOKUP(VALUE(N$1),Questions[#All],5,FALSE),1,0)</f>
        <v>1</v>
      </c>
      <c r="AA70" s="29">
        <f>IF(O70=VLOOKUP(VALUE(O$1),Questions[#All],5,FALSE),1,0)</f>
        <v>1</v>
      </c>
      <c r="AB70" s="29">
        <f>IF(P70=VLOOKUP(VALUE(P$1),Questions[#All],5,FALSE),1,0)</f>
        <v>1</v>
      </c>
    </row>
    <row r="71" spans="1:28" ht="22.5" customHeight="1" x14ac:dyDescent="0.15">
      <c r="A71" s="10" t="s">
        <v>844</v>
      </c>
      <c r="B71" s="22" t="s">
        <v>46</v>
      </c>
      <c r="C71" s="23">
        <v>4</v>
      </c>
      <c r="D71" s="24" t="b">
        <v>0</v>
      </c>
      <c r="E71" s="25" t="b">
        <v>1</v>
      </c>
      <c r="F71" s="26">
        <f t="shared" si="0"/>
        <v>5</v>
      </c>
      <c r="G71" s="23">
        <f t="shared" si="1"/>
        <v>0</v>
      </c>
      <c r="H71" s="27">
        <f t="shared" si="2"/>
        <v>0.41666666666666669</v>
      </c>
      <c r="I71" s="26">
        <v>2</v>
      </c>
      <c r="J71" s="23">
        <v>2</v>
      </c>
      <c r="K71" s="23">
        <v>3</v>
      </c>
      <c r="L71" s="23">
        <v>3</v>
      </c>
      <c r="M71" s="23">
        <v>1</v>
      </c>
      <c r="N71" s="23">
        <v>3</v>
      </c>
      <c r="O71" s="23">
        <v>2</v>
      </c>
      <c r="P71" s="23">
        <v>3</v>
      </c>
      <c r="Q71" s="26"/>
      <c r="R71" s="23"/>
      <c r="S71" s="23"/>
      <c r="T71" s="23"/>
      <c r="U71" s="26">
        <f>IF(I71=VLOOKUP(VALUE(I$1),Questions[#All],5,FALSE),1,0)</f>
        <v>1</v>
      </c>
      <c r="V71" s="23">
        <f>IF(J71=VLOOKUP(VALUE(J$1),Questions[#All],5,FALSE),1,0)</f>
        <v>1</v>
      </c>
      <c r="W71" s="23">
        <f>IF(K71=VLOOKUP(VALUE(K$1),Questions[#All],5,FALSE),1,0)</f>
        <v>0</v>
      </c>
      <c r="X71" s="23">
        <f>IF(L71=VLOOKUP(VALUE(L$1),Questions[#All],5,FALSE),1,0)</f>
        <v>1</v>
      </c>
      <c r="Y71" s="23">
        <f>IF(M71=VLOOKUP(VALUE(M$1),Questions[#All],5,FALSE),1,0)</f>
        <v>0</v>
      </c>
      <c r="Z71" s="23">
        <f>IF(N71=VLOOKUP(VALUE(N$1),Questions[#All],5,FALSE),1,0)</f>
        <v>1</v>
      </c>
      <c r="AA71" s="23">
        <f>IF(O71=VLOOKUP(VALUE(O$1),Questions[#All],5,FALSE),1,0)</f>
        <v>0</v>
      </c>
      <c r="AB71" s="23">
        <f>IF(P71=VLOOKUP(VALUE(P$1),Questions[#All],5,FALSE),1,0)</f>
        <v>1</v>
      </c>
    </row>
    <row r="72" spans="1:28" ht="22.5" customHeight="1" x14ac:dyDescent="0.15">
      <c r="A72" s="10" t="s">
        <v>845</v>
      </c>
      <c r="B72" s="28" t="s">
        <v>46</v>
      </c>
      <c r="C72" s="29">
        <v>4</v>
      </c>
      <c r="D72" s="30" t="b">
        <v>0</v>
      </c>
      <c r="E72" s="31" t="b">
        <v>0</v>
      </c>
      <c r="F72" s="32">
        <f t="shared" si="0"/>
        <v>4</v>
      </c>
      <c r="G72" s="29">
        <f t="shared" si="1"/>
        <v>0</v>
      </c>
      <c r="H72" s="33">
        <f t="shared" si="2"/>
        <v>0.33333333333333331</v>
      </c>
      <c r="I72" s="32">
        <v>1</v>
      </c>
      <c r="J72" s="29">
        <v>2</v>
      </c>
      <c r="K72" s="29">
        <v>4</v>
      </c>
      <c r="L72" s="29">
        <v>3</v>
      </c>
      <c r="M72" s="29">
        <v>2</v>
      </c>
      <c r="N72" s="29">
        <v>3</v>
      </c>
      <c r="O72" s="29">
        <v>1</v>
      </c>
      <c r="P72" s="29">
        <v>2</v>
      </c>
      <c r="Q72" s="32"/>
      <c r="R72" s="29"/>
      <c r="S72" s="29"/>
      <c r="T72" s="29"/>
      <c r="U72" s="32">
        <f>IF(I72=VLOOKUP(VALUE(I$1),Questions[#All],5,FALSE),1,0)</f>
        <v>0</v>
      </c>
      <c r="V72" s="29">
        <f>IF(J72=VLOOKUP(VALUE(J$1),Questions[#All],5,FALSE),1,0)</f>
        <v>1</v>
      </c>
      <c r="W72" s="29">
        <f>IF(K72=VLOOKUP(VALUE(K$1),Questions[#All],5,FALSE),1,0)</f>
        <v>0</v>
      </c>
      <c r="X72" s="29">
        <f>IF(L72=VLOOKUP(VALUE(L$1),Questions[#All],5,FALSE),1,0)</f>
        <v>1</v>
      </c>
      <c r="Y72" s="29">
        <f>IF(M72=VLOOKUP(VALUE(M$1),Questions[#All],5,FALSE),1,0)</f>
        <v>1</v>
      </c>
      <c r="Z72" s="29">
        <f>IF(N72=VLOOKUP(VALUE(N$1),Questions[#All],5,FALSE),1,0)</f>
        <v>1</v>
      </c>
      <c r="AA72" s="29">
        <f>IF(O72=VLOOKUP(VALUE(O$1),Questions[#All],5,FALSE),1,0)</f>
        <v>0</v>
      </c>
      <c r="AB72" s="29">
        <f>IF(P72=VLOOKUP(VALUE(P$1),Questions[#All],5,FALSE),1,0)</f>
        <v>0</v>
      </c>
    </row>
    <row r="73" spans="1:28" ht="22.5" customHeight="1" x14ac:dyDescent="0.15">
      <c r="A73" s="10" t="s">
        <v>846</v>
      </c>
      <c r="B73" s="22" t="s">
        <v>46</v>
      </c>
      <c r="C73" s="23">
        <v>4</v>
      </c>
      <c r="D73" s="24" t="b">
        <v>0</v>
      </c>
      <c r="E73" s="25" t="b">
        <v>0</v>
      </c>
      <c r="F73" s="26">
        <f t="shared" si="0"/>
        <v>8</v>
      </c>
      <c r="G73" s="23">
        <f t="shared" si="1"/>
        <v>0</v>
      </c>
      <c r="H73" s="27">
        <f t="shared" si="2"/>
        <v>0.66666666666666663</v>
      </c>
      <c r="I73" s="26">
        <v>2</v>
      </c>
      <c r="J73" s="23">
        <v>2</v>
      </c>
      <c r="K73" s="23">
        <v>1</v>
      </c>
      <c r="L73" s="23">
        <v>3</v>
      </c>
      <c r="M73" s="23">
        <v>2</v>
      </c>
      <c r="N73" s="23">
        <v>3</v>
      </c>
      <c r="O73" s="23">
        <v>3</v>
      </c>
      <c r="P73" s="23">
        <v>3</v>
      </c>
      <c r="Q73" s="26"/>
      <c r="R73" s="23"/>
      <c r="S73" s="23"/>
      <c r="T73" s="23"/>
      <c r="U73" s="26">
        <f>IF(I73=VLOOKUP(VALUE(I$1),Questions[#All],5,FALSE),1,0)</f>
        <v>1</v>
      </c>
      <c r="V73" s="23">
        <f>IF(J73=VLOOKUP(VALUE(J$1),Questions[#All],5,FALSE),1,0)</f>
        <v>1</v>
      </c>
      <c r="W73" s="23">
        <f>IF(K73=VLOOKUP(VALUE(K$1),Questions[#All],5,FALSE),1,0)</f>
        <v>1</v>
      </c>
      <c r="X73" s="23">
        <f>IF(L73=VLOOKUP(VALUE(L$1),Questions[#All],5,FALSE),1,0)</f>
        <v>1</v>
      </c>
      <c r="Y73" s="23">
        <f>IF(M73=VLOOKUP(VALUE(M$1),Questions[#All],5,FALSE),1,0)</f>
        <v>1</v>
      </c>
      <c r="Z73" s="23">
        <f>IF(N73=VLOOKUP(VALUE(N$1),Questions[#All],5,FALSE),1,0)</f>
        <v>1</v>
      </c>
      <c r="AA73" s="23">
        <f>IF(O73=VLOOKUP(VALUE(O$1),Questions[#All],5,FALSE),1,0)</f>
        <v>1</v>
      </c>
      <c r="AB73" s="23">
        <f>IF(P73=VLOOKUP(VALUE(P$1),Questions[#All],5,FALSE),1,0)</f>
        <v>1</v>
      </c>
    </row>
    <row r="74" spans="1:28" ht="22.5" customHeight="1" x14ac:dyDescent="0.15">
      <c r="A74" s="10" t="s">
        <v>847</v>
      </c>
      <c r="B74" s="28" t="s">
        <v>46</v>
      </c>
      <c r="C74" s="29">
        <v>4</v>
      </c>
      <c r="D74" s="30" t="b">
        <v>0</v>
      </c>
      <c r="E74" s="31" t="b">
        <v>0</v>
      </c>
      <c r="F74" s="32">
        <f t="shared" si="0"/>
        <v>5</v>
      </c>
      <c r="G74" s="29">
        <f t="shared" si="1"/>
        <v>0</v>
      </c>
      <c r="H74" s="33">
        <f t="shared" si="2"/>
        <v>0.41666666666666669</v>
      </c>
      <c r="I74" s="32">
        <v>2</v>
      </c>
      <c r="J74" s="29">
        <v>2</v>
      </c>
      <c r="K74" s="29">
        <v>3</v>
      </c>
      <c r="L74" s="29">
        <v>3</v>
      </c>
      <c r="M74" s="29">
        <v>2</v>
      </c>
      <c r="N74" s="29">
        <v>3</v>
      </c>
      <c r="O74" s="29">
        <v>2</v>
      </c>
      <c r="P74" s="29">
        <v>1</v>
      </c>
      <c r="Q74" s="32"/>
      <c r="R74" s="29"/>
      <c r="S74" s="29"/>
      <c r="T74" s="29"/>
      <c r="U74" s="32">
        <f>IF(I74=VLOOKUP(VALUE(I$1),Questions[#All],5,FALSE),1,0)</f>
        <v>1</v>
      </c>
      <c r="V74" s="29">
        <f>IF(J74=VLOOKUP(VALUE(J$1),Questions[#All],5,FALSE),1,0)</f>
        <v>1</v>
      </c>
      <c r="W74" s="29">
        <f>IF(K74=VLOOKUP(VALUE(K$1),Questions[#All],5,FALSE),1,0)</f>
        <v>0</v>
      </c>
      <c r="X74" s="29">
        <f>IF(L74=VLOOKUP(VALUE(L$1),Questions[#All],5,FALSE),1,0)</f>
        <v>1</v>
      </c>
      <c r="Y74" s="29">
        <f>IF(M74=VLOOKUP(VALUE(M$1),Questions[#All],5,FALSE),1,0)</f>
        <v>1</v>
      </c>
      <c r="Z74" s="29">
        <f>IF(N74=VLOOKUP(VALUE(N$1),Questions[#All],5,FALSE),1,0)</f>
        <v>1</v>
      </c>
      <c r="AA74" s="29">
        <f>IF(O74=VLOOKUP(VALUE(O$1),Questions[#All],5,FALSE),1,0)</f>
        <v>0</v>
      </c>
      <c r="AB74" s="29">
        <f>IF(P74=VLOOKUP(VALUE(P$1),Questions[#All],5,FALSE),1,0)</f>
        <v>0</v>
      </c>
    </row>
    <row r="75" spans="1:28" ht="22.5" customHeight="1" x14ac:dyDescent="0.15">
      <c r="A75" s="10" t="s">
        <v>848</v>
      </c>
      <c r="B75" s="22" t="s">
        <v>46</v>
      </c>
      <c r="C75" s="23">
        <v>4</v>
      </c>
      <c r="D75" s="24" t="b">
        <v>0</v>
      </c>
      <c r="E75" s="25" t="b">
        <v>0</v>
      </c>
      <c r="F75" s="26">
        <f t="shared" si="0"/>
        <v>6</v>
      </c>
      <c r="G75" s="23">
        <f t="shared" si="1"/>
        <v>0</v>
      </c>
      <c r="H75" s="27">
        <f t="shared" si="2"/>
        <v>0.5</v>
      </c>
      <c r="I75" s="26">
        <v>2</v>
      </c>
      <c r="J75" s="23">
        <v>2</v>
      </c>
      <c r="K75" s="23">
        <v>1</v>
      </c>
      <c r="L75" s="23">
        <v>1</v>
      </c>
      <c r="M75" s="23">
        <v>2</v>
      </c>
      <c r="N75" s="23">
        <v>3</v>
      </c>
      <c r="O75" s="23">
        <v>4</v>
      </c>
      <c r="P75" s="23">
        <v>3</v>
      </c>
      <c r="Q75" s="26"/>
      <c r="R75" s="23"/>
      <c r="S75" s="23"/>
      <c r="T75" s="23"/>
      <c r="U75" s="26">
        <f>IF(I75=VLOOKUP(VALUE(I$1),Questions[#All],5,FALSE),1,0)</f>
        <v>1</v>
      </c>
      <c r="V75" s="23">
        <f>IF(J75=VLOOKUP(VALUE(J$1),Questions[#All],5,FALSE),1,0)</f>
        <v>1</v>
      </c>
      <c r="W75" s="23">
        <f>IF(K75=VLOOKUP(VALUE(K$1),Questions[#All],5,FALSE),1,0)</f>
        <v>1</v>
      </c>
      <c r="X75" s="23">
        <f>IF(L75=VLOOKUP(VALUE(L$1),Questions[#All],5,FALSE),1,0)</f>
        <v>0</v>
      </c>
      <c r="Y75" s="23">
        <f>IF(M75=VLOOKUP(VALUE(M$1),Questions[#All],5,FALSE),1,0)</f>
        <v>1</v>
      </c>
      <c r="Z75" s="23">
        <f>IF(N75=VLOOKUP(VALUE(N$1),Questions[#All],5,FALSE),1,0)</f>
        <v>1</v>
      </c>
      <c r="AA75" s="23">
        <f>IF(O75=VLOOKUP(VALUE(O$1),Questions[#All],5,FALSE),1,0)</f>
        <v>0</v>
      </c>
      <c r="AB75" s="23">
        <f>IF(P75=VLOOKUP(VALUE(P$1),Questions[#All],5,FALSE),1,0)</f>
        <v>1</v>
      </c>
    </row>
    <row r="76" spans="1:28" ht="22.5" customHeight="1" x14ac:dyDescent="0.15">
      <c r="A76" s="10" t="s">
        <v>849</v>
      </c>
      <c r="B76" s="28" t="s">
        <v>46</v>
      </c>
      <c r="C76" s="29">
        <v>4</v>
      </c>
      <c r="D76" s="30" t="b">
        <v>0</v>
      </c>
      <c r="E76" s="31" t="b">
        <v>0</v>
      </c>
      <c r="F76" s="32">
        <f t="shared" si="0"/>
        <v>5</v>
      </c>
      <c r="G76" s="29">
        <f t="shared" si="1"/>
        <v>0</v>
      </c>
      <c r="H76" s="33">
        <f t="shared" si="2"/>
        <v>0.41666666666666669</v>
      </c>
      <c r="I76" s="32">
        <v>2</v>
      </c>
      <c r="J76" s="29">
        <v>2</v>
      </c>
      <c r="K76" s="29">
        <v>1</v>
      </c>
      <c r="L76" s="29">
        <v>3</v>
      </c>
      <c r="M76" s="29">
        <v>2</v>
      </c>
      <c r="N76" s="29">
        <v>4</v>
      </c>
      <c r="O76" s="29"/>
      <c r="P76" s="29"/>
      <c r="Q76" s="32"/>
      <c r="R76" s="29"/>
      <c r="S76" s="29"/>
      <c r="T76" s="29"/>
      <c r="U76" s="32">
        <f>IF(I76=VLOOKUP(VALUE(I$1),Questions[#All],5,FALSE),1,0)</f>
        <v>1</v>
      </c>
      <c r="V76" s="29">
        <f>IF(J76=VLOOKUP(VALUE(J$1),Questions[#All],5,FALSE),1,0)</f>
        <v>1</v>
      </c>
      <c r="W76" s="29">
        <f>IF(K76=VLOOKUP(VALUE(K$1),Questions[#All],5,FALSE),1,0)</f>
        <v>1</v>
      </c>
      <c r="X76" s="29">
        <f>IF(L76=VLOOKUP(VALUE(L$1),Questions[#All],5,FALSE),1,0)</f>
        <v>1</v>
      </c>
      <c r="Y76" s="29">
        <f>IF(M76=VLOOKUP(VALUE(M$1),Questions[#All],5,FALSE),1,0)</f>
        <v>1</v>
      </c>
      <c r="Z76" s="29">
        <f>IF(N76=VLOOKUP(VALUE(N$1),Questions[#All],5,FALSE),1,0)</f>
        <v>0</v>
      </c>
      <c r="AA76" s="29">
        <f>IF(O76=VLOOKUP(VALUE(O$1),Questions[#All],5,FALSE),1,0)</f>
        <v>0</v>
      </c>
      <c r="AB76" s="29">
        <f>IF(P76=VLOOKUP(VALUE(P$1),Questions[#All],5,FALSE),1,0)</f>
        <v>0</v>
      </c>
    </row>
    <row r="77" spans="1:28" ht="22.5" customHeight="1" x14ac:dyDescent="0.15">
      <c r="A77" s="10" t="s">
        <v>850</v>
      </c>
      <c r="B77" s="22" t="s">
        <v>46</v>
      </c>
      <c r="C77" s="23">
        <v>4</v>
      </c>
      <c r="D77" s="24" t="b">
        <v>0</v>
      </c>
      <c r="E77" s="25" t="b">
        <v>0</v>
      </c>
      <c r="F77" s="26">
        <f t="shared" si="0"/>
        <v>6</v>
      </c>
      <c r="G77" s="23">
        <f t="shared" si="1"/>
        <v>0</v>
      </c>
      <c r="H77" s="27">
        <f t="shared" si="2"/>
        <v>0.5</v>
      </c>
      <c r="I77" s="26">
        <v>4</v>
      </c>
      <c r="J77" s="23">
        <v>2</v>
      </c>
      <c r="K77" s="23">
        <v>4</v>
      </c>
      <c r="L77" s="23">
        <v>3</v>
      </c>
      <c r="M77" s="23">
        <v>2</v>
      </c>
      <c r="N77" s="23">
        <v>3</v>
      </c>
      <c r="O77" s="23">
        <v>3</v>
      </c>
      <c r="P77" s="23">
        <v>3</v>
      </c>
      <c r="Q77" s="26"/>
      <c r="R77" s="23"/>
      <c r="S77" s="23"/>
      <c r="T77" s="23"/>
      <c r="U77" s="26">
        <f>IF(I77=VLOOKUP(VALUE(I$1),Questions[#All],5,FALSE),1,0)</f>
        <v>0</v>
      </c>
      <c r="V77" s="23">
        <f>IF(J77=VLOOKUP(VALUE(J$1),Questions[#All],5,FALSE),1,0)</f>
        <v>1</v>
      </c>
      <c r="W77" s="23">
        <f>IF(K77=VLOOKUP(VALUE(K$1),Questions[#All],5,FALSE),1,0)</f>
        <v>0</v>
      </c>
      <c r="X77" s="23">
        <f>IF(L77=VLOOKUP(VALUE(L$1),Questions[#All],5,FALSE),1,0)</f>
        <v>1</v>
      </c>
      <c r="Y77" s="23">
        <f>IF(M77=VLOOKUP(VALUE(M$1),Questions[#All],5,FALSE),1,0)</f>
        <v>1</v>
      </c>
      <c r="Z77" s="23">
        <f>IF(N77=VLOOKUP(VALUE(N$1),Questions[#All],5,FALSE),1,0)</f>
        <v>1</v>
      </c>
      <c r="AA77" s="23">
        <f>IF(O77=VLOOKUP(VALUE(O$1),Questions[#All],5,FALSE),1,0)</f>
        <v>1</v>
      </c>
      <c r="AB77" s="23">
        <f>IF(P77=VLOOKUP(VALUE(P$1),Questions[#All],5,FALSE),1,0)</f>
        <v>1</v>
      </c>
    </row>
    <row r="78" spans="1:28" ht="22.5" customHeight="1" x14ac:dyDescent="0.15">
      <c r="A78" s="10" t="s">
        <v>851</v>
      </c>
      <c r="B78" s="28" t="s">
        <v>46</v>
      </c>
      <c r="C78" s="29">
        <v>4</v>
      </c>
      <c r="D78" s="30" t="b">
        <v>0</v>
      </c>
      <c r="E78" s="31" t="b">
        <v>1</v>
      </c>
      <c r="F78" s="32">
        <f t="shared" si="0"/>
        <v>3</v>
      </c>
      <c r="G78" s="29">
        <f t="shared" si="1"/>
        <v>0</v>
      </c>
      <c r="H78" s="33">
        <f t="shared" si="2"/>
        <v>0.25</v>
      </c>
      <c r="I78" s="32">
        <v>2</v>
      </c>
      <c r="J78" s="29">
        <v>4</v>
      </c>
      <c r="K78" s="29">
        <v>3</v>
      </c>
      <c r="L78" s="29">
        <v>2</v>
      </c>
      <c r="M78" s="29">
        <v>1</v>
      </c>
      <c r="N78" s="29">
        <v>3</v>
      </c>
      <c r="O78" s="29">
        <v>1</v>
      </c>
      <c r="P78" s="29">
        <v>3</v>
      </c>
      <c r="Q78" s="32"/>
      <c r="R78" s="29"/>
      <c r="S78" s="29"/>
      <c r="T78" s="29"/>
      <c r="U78" s="32">
        <f>IF(I78=VLOOKUP(VALUE(I$1),Questions[#All],5,FALSE),1,0)</f>
        <v>1</v>
      </c>
      <c r="V78" s="29">
        <f>IF(J78=VLOOKUP(VALUE(J$1),Questions[#All],5,FALSE),1,0)</f>
        <v>0</v>
      </c>
      <c r="W78" s="29">
        <f>IF(K78=VLOOKUP(VALUE(K$1),Questions[#All],5,FALSE),1,0)</f>
        <v>0</v>
      </c>
      <c r="X78" s="29">
        <f>IF(L78=VLOOKUP(VALUE(L$1),Questions[#All],5,FALSE),1,0)</f>
        <v>0</v>
      </c>
      <c r="Y78" s="29">
        <f>IF(M78=VLOOKUP(VALUE(M$1),Questions[#All],5,FALSE),1,0)</f>
        <v>0</v>
      </c>
      <c r="Z78" s="29">
        <f>IF(N78=VLOOKUP(VALUE(N$1),Questions[#All],5,FALSE),1,0)</f>
        <v>1</v>
      </c>
      <c r="AA78" s="29">
        <f>IF(O78=VLOOKUP(VALUE(O$1),Questions[#All],5,FALSE),1,0)</f>
        <v>0</v>
      </c>
      <c r="AB78" s="29">
        <f>IF(P78=VLOOKUP(VALUE(P$1),Questions[#All],5,FALSE),1,0)</f>
        <v>1</v>
      </c>
    </row>
    <row r="79" spans="1:28" ht="22.5" customHeight="1" x14ac:dyDescent="0.15">
      <c r="A79" s="10" t="s">
        <v>852</v>
      </c>
      <c r="B79" s="22" t="s">
        <v>46</v>
      </c>
      <c r="C79" s="23">
        <v>4</v>
      </c>
      <c r="D79" s="24" t="b">
        <v>0</v>
      </c>
      <c r="E79" s="25" t="b">
        <v>0</v>
      </c>
      <c r="F79" s="26">
        <f t="shared" si="0"/>
        <v>3</v>
      </c>
      <c r="G79" s="23">
        <f t="shared" si="1"/>
        <v>0</v>
      </c>
      <c r="H79" s="27">
        <f t="shared" si="2"/>
        <v>0.25</v>
      </c>
      <c r="I79" s="26">
        <v>2</v>
      </c>
      <c r="J79" s="23">
        <v>4</v>
      </c>
      <c r="K79" s="23">
        <v>1</v>
      </c>
      <c r="L79" s="23">
        <v>1</v>
      </c>
      <c r="M79" s="23">
        <v>4</v>
      </c>
      <c r="N79" s="23">
        <v>2</v>
      </c>
      <c r="O79" s="23">
        <v>3</v>
      </c>
      <c r="P79" s="23">
        <v>2</v>
      </c>
      <c r="Q79" s="26"/>
      <c r="R79" s="23"/>
      <c r="S79" s="23"/>
      <c r="T79" s="23"/>
      <c r="U79" s="26">
        <f>IF(I79=VLOOKUP(VALUE(I$1),Questions[#All],5,FALSE),1,0)</f>
        <v>1</v>
      </c>
      <c r="V79" s="23">
        <f>IF(J79=VLOOKUP(VALUE(J$1),Questions[#All],5,FALSE),1,0)</f>
        <v>0</v>
      </c>
      <c r="W79" s="23">
        <f>IF(K79=VLOOKUP(VALUE(K$1),Questions[#All],5,FALSE),1,0)</f>
        <v>1</v>
      </c>
      <c r="X79" s="23">
        <f>IF(L79=VLOOKUP(VALUE(L$1),Questions[#All],5,FALSE),1,0)</f>
        <v>0</v>
      </c>
      <c r="Y79" s="23">
        <f>IF(M79=VLOOKUP(VALUE(M$1),Questions[#All],5,FALSE),1,0)</f>
        <v>0</v>
      </c>
      <c r="Z79" s="23">
        <f>IF(N79=VLOOKUP(VALUE(N$1),Questions[#All],5,FALSE),1,0)</f>
        <v>0</v>
      </c>
      <c r="AA79" s="23">
        <f>IF(O79=VLOOKUP(VALUE(O$1),Questions[#All],5,FALSE),1,0)</f>
        <v>1</v>
      </c>
      <c r="AB79" s="23">
        <f>IF(P79=VLOOKUP(VALUE(P$1),Questions[#All],5,FALSE),1,0)</f>
        <v>0</v>
      </c>
    </row>
    <row r="80" spans="1:28" ht="22.5" customHeight="1" x14ac:dyDescent="0.15">
      <c r="A80" s="10" t="s">
        <v>853</v>
      </c>
      <c r="B80" s="28" t="s">
        <v>46</v>
      </c>
      <c r="C80" s="29">
        <v>4</v>
      </c>
      <c r="D80" s="30" t="b">
        <v>0</v>
      </c>
      <c r="E80" s="31" t="b">
        <v>0</v>
      </c>
      <c r="F80" s="32">
        <f t="shared" si="0"/>
        <v>8</v>
      </c>
      <c r="G80" s="29">
        <f t="shared" si="1"/>
        <v>0</v>
      </c>
      <c r="H80" s="33">
        <f t="shared" si="2"/>
        <v>0.66666666666666663</v>
      </c>
      <c r="I80" s="32">
        <v>2</v>
      </c>
      <c r="J80" s="29">
        <v>2</v>
      </c>
      <c r="K80" s="29">
        <v>1</v>
      </c>
      <c r="L80" s="29">
        <v>3</v>
      </c>
      <c r="M80" s="29">
        <v>2</v>
      </c>
      <c r="N80" s="29">
        <v>3</v>
      </c>
      <c r="O80" s="29">
        <v>3</v>
      </c>
      <c r="P80" s="29">
        <v>3</v>
      </c>
      <c r="Q80" s="32"/>
      <c r="R80" s="29"/>
      <c r="S80" s="29"/>
      <c r="T80" s="29"/>
      <c r="U80" s="32">
        <f>IF(I80=VLOOKUP(VALUE(I$1),Questions[#All],5,FALSE),1,0)</f>
        <v>1</v>
      </c>
      <c r="V80" s="29">
        <f>IF(J80=VLOOKUP(VALUE(J$1),Questions[#All],5,FALSE),1,0)</f>
        <v>1</v>
      </c>
      <c r="W80" s="29">
        <f>IF(K80=VLOOKUP(VALUE(K$1),Questions[#All],5,FALSE),1,0)</f>
        <v>1</v>
      </c>
      <c r="X80" s="29">
        <f>IF(L80=VLOOKUP(VALUE(L$1),Questions[#All],5,FALSE),1,0)</f>
        <v>1</v>
      </c>
      <c r="Y80" s="29">
        <f>IF(M80=VLOOKUP(VALUE(M$1),Questions[#All],5,FALSE),1,0)</f>
        <v>1</v>
      </c>
      <c r="Z80" s="29">
        <f>IF(N80=VLOOKUP(VALUE(N$1),Questions[#All],5,FALSE),1,0)</f>
        <v>1</v>
      </c>
      <c r="AA80" s="29">
        <f>IF(O80=VLOOKUP(VALUE(O$1),Questions[#All],5,FALSE),1,0)</f>
        <v>1</v>
      </c>
      <c r="AB80" s="29">
        <f>IF(P80=VLOOKUP(VALUE(P$1),Questions[#All],5,FALSE),1,0)</f>
        <v>1</v>
      </c>
    </row>
    <row r="81" spans="1:28" ht="22.5" customHeight="1" x14ac:dyDescent="0.15">
      <c r="A81" s="10" t="s">
        <v>854</v>
      </c>
      <c r="B81" s="22" t="s">
        <v>46</v>
      </c>
      <c r="C81" s="23">
        <v>4</v>
      </c>
      <c r="D81" s="24" t="b">
        <v>0</v>
      </c>
      <c r="E81" s="25" t="b">
        <v>1</v>
      </c>
      <c r="F81" s="26">
        <f t="shared" si="0"/>
        <v>4</v>
      </c>
      <c r="G81" s="23">
        <f t="shared" si="1"/>
        <v>0</v>
      </c>
      <c r="H81" s="27">
        <f t="shared" si="2"/>
        <v>0.33333333333333331</v>
      </c>
      <c r="I81" s="26">
        <v>3</v>
      </c>
      <c r="J81" s="23">
        <v>2</v>
      </c>
      <c r="K81" s="23">
        <v>4</v>
      </c>
      <c r="L81" s="23">
        <v>3</v>
      </c>
      <c r="M81" s="23">
        <v>2</v>
      </c>
      <c r="N81" s="23">
        <v>3</v>
      </c>
      <c r="O81" s="23">
        <v>1</v>
      </c>
      <c r="P81" s="23">
        <v>4</v>
      </c>
      <c r="Q81" s="26"/>
      <c r="R81" s="23"/>
      <c r="S81" s="23"/>
      <c r="T81" s="23"/>
      <c r="U81" s="26">
        <f>IF(I81=VLOOKUP(VALUE(I$1),Questions[#All],5,FALSE),1,0)</f>
        <v>0</v>
      </c>
      <c r="V81" s="23">
        <f>IF(J81=VLOOKUP(VALUE(J$1),Questions[#All],5,FALSE),1,0)</f>
        <v>1</v>
      </c>
      <c r="W81" s="23">
        <f>IF(K81=VLOOKUP(VALUE(K$1),Questions[#All],5,FALSE),1,0)</f>
        <v>0</v>
      </c>
      <c r="X81" s="23">
        <f>IF(L81=VLOOKUP(VALUE(L$1),Questions[#All],5,FALSE),1,0)</f>
        <v>1</v>
      </c>
      <c r="Y81" s="23">
        <f>IF(M81=VLOOKUP(VALUE(M$1),Questions[#All],5,FALSE),1,0)</f>
        <v>1</v>
      </c>
      <c r="Z81" s="23">
        <f>IF(N81=VLOOKUP(VALUE(N$1),Questions[#All],5,FALSE),1,0)</f>
        <v>1</v>
      </c>
      <c r="AA81" s="23">
        <f>IF(O81=VLOOKUP(VALUE(O$1),Questions[#All],5,FALSE),1,0)</f>
        <v>0</v>
      </c>
      <c r="AB81" s="23">
        <f>IF(P81=VLOOKUP(VALUE(P$1),Questions[#All],5,FALSE),1,0)</f>
        <v>0</v>
      </c>
    </row>
    <row r="82" spans="1:28" ht="22.5" customHeight="1" x14ac:dyDescent="0.15">
      <c r="A82" s="10" t="s">
        <v>855</v>
      </c>
      <c r="B82" s="34" t="s">
        <v>46</v>
      </c>
      <c r="C82" s="35">
        <v>4</v>
      </c>
      <c r="D82" s="36" t="b">
        <v>0</v>
      </c>
      <c r="E82" s="37" t="b">
        <v>1</v>
      </c>
      <c r="F82" s="38">
        <f t="shared" si="0"/>
        <v>4</v>
      </c>
      <c r="G82" s="35">
        <f t="shared" si="1"/>
        <v>0</v>
      </c>
      <c r="H82" s="39">
        <f t="shared" si="2"/>
        <v>0.33333333333333331</v>
      </c>
      <c r="I82" s="38">
        <v>2</v>
      </c>
      <c r="J82" s="35">
        <v>4</v>
      </c>
      <c r="K82" s="35">
        <v>1</v>
      </c>
      <c r="L82" s="35">
        <v>3</v>
      </c>
      <c r="M82" s="35">
        <v>4</v>
      </c>
      <c r="N82" s="35">
        <v>2</v>
      </c>
      <c r="O82" s="35">
        <v>3</v>
      </c>
      <c r="P82" s="35">
        <v>2</v>
      </c>
      <c r="Q82" s="38"/>
      <c r="R82" s="35"/>
      <c r="S82" s="35"/>
      <c r="T82" s="35"/>
      <c r="U82" s="38">
        <f>IF(I82=VLOOKUP(VALUE(I$1),Questions[#All],5,FALSE),1,0)</f>
        <v>1</v>
      </c>
      <c r="V82" s="35">
        <f>IF(J82=VLOOKUP(VALUE(J$1),Questions[#All],5,FALSE),1,0)</f>
        <v>0</v>
      </c>
      <c r="W82" s="35">
        <f>IF(K82=VLOOKUP(VALUE(K$1),Questions[#All],5,FALSE),1,0)</f>
        <v>1</v>
      </c>
      <c r="X82" s="35">
        <f>IF(L82=VLOOKUP(VALUE(L$1),Questions[#All],5,FALSE),1,0)</f>
        <v>1</v>
      </c>
      <c r="Y82" s="35">
        <f>IF(M82=VLOOKUP(VALUE(M$1),Questions[#All],5,FALSE),1,0)</f>
        <v>0</v>
      </c>
      <c r="Z82" s="35">
        <f>IF(N82=VLOOKUP(VALUE(N$1),Questions[#All],5,FALSE),1,0)</f>
        <v>0</v>
      </c>
      <c r="AA82" s="35">
        <f>IF(O82=VLOOKUP(VALUE(O$1),Questions[#All],5,FALSE),1,0)</f>
        <v>1</v>
      </c>
      <c r="AB82" s="35">
        <f>IF(P82=VLOOKUP(VALUE(P$1),Questions[#All],5,FALSE),1,0)</f>
        <v>0</v>
      </c>
    </row>
  </sheetData>
  <conditionalFormatting sqref="I2:P82">
    <cfRule type="expression" dxfId="0" priority="1">
      <formula>U2=0</formula>
    </cfRule>
  </conditionalFormatting>
  <dataValidations count="2">
    <dataValidation type="list" allowBlank="1" sqref="B2:B82" xr:uid="{00000000-0002-0000-0000-000000000000}">
      <formula1>"Dushin,Sourial"</formula1>
    </dataValidation>
    <dataValidation type="custom" allowBlank="1" showDropDown="1" sqref="H2:H82" xr:uid="{00000000-0002-0000-0000-000001000000}">
      <formula1>AND(ISNUMBER(H2),(NOT(OR(NOT(ISERROR(DATEVALUE(H2))), AND(ISNUMBER(H2), LEFT(CELL("format", H2))="D")))))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3"/>
  <sheetViews>
    <sheetView showGridLines="0" workbookViewId="0">
      <pane ySplit="1" topLeftCell="A2" activePane="bottomLeft" state="frozen"/>
      <selection pane="bottomLeft" activeCell="J12" sqref="J12"/>
    </sheetView>
  </sheetViews>
  <sheetFormatPr baseColWidth="10" defaultColWidth="12.6640625" defaultRowHeight="15.75" customHeight="1" x14ac:dyDescent="0.15"/>
  <cols>
    <col min="1" max="1" width="10.1640625" customWidth="1"/>
    <col min="3" max="4" width="37.6640625" customWidth="1"/>
    <col min="5" max="5" width="10.1640625" customWidth="1"/>
    <col min="6" max="9" width="25.1640625" customWidth="1"/>
    <col min="10" max="10" width="19.1640625" customWidth="1"/>
    <col min="11" max="11" width="17.83203125" customWidth="1"/>
    <col min="12" max="12" width="17.6640625" customWidth="1"/>
    <col min="13" max="13" width="19.1640625" customWidth="1"/>
    <col min="14" max="14" width="15.6640625" customWidth="1"/>
    <col min="15" max="15" width="21.83203125" customWidth="1"/>
    <col min="16" max="16" width="14.1640625" customWidth="1"/>
    <col min="17" max="17" width="15.6640625" customWidth="1"/>
  </cols>
  <sheetData>
    <row r="1" spans="1:17" ht="22.5" customHeight="1" x14ac:dyDescent="0.15">
      <c r="A1" s="2" t="s">
        <v>1</v>
      </c>
      <c r="B1" s="1" t="s">
        <v>3</v>
      </c>
      <c r="C1" s="1" t="s">
        <v>4</v>
      </c>
      <c r="D1" s="1" t="s">
        <v>7</v>
      </c>
      <c r="E1" s="2" t="s">
        <v>12</v>
      </c>
      <c r="F1" s="1" t="s">
        <v>14</v>
      </c>
      <c r="G1" s="1" t="s">
        <v>16</v>
      </c>
      <c r="H1" s="1" t="s">
        <v>19</v>
      </c>
      <c r="I1" s="1" t="s">
        <v>22</v>
      </c>
      <c r="J1" s="1" t="s">
        <v>25</v>
      </c>
      <c r="K1" s="1" t="s">
        <v>27</v>
      </c>
      <c r="L1" s="1" t="s">
        <v>29</v>
      </c>
      <c r="M1" s="1" t="s">
        <v>33</v>
      </c>
      <c r="N1" s="1" t="s">
        <v>37</v>
      </c>
      <c r="O1" s="1" t="s">
        <v>42</v>
      </c>
      <c r="P1" s="1" t="s">
        <v>44</v>
      </c>
      <c r="Q1" s="1" t="s">
        <v>47</v>
      </c>
    </row>
    <row r="2" spans="1:17" ht="22.5" customHeight="1" x14ac:dyDescent="0.15">
      <c r="A2" s="2">
        <v>1</v>
      </c>
      <c r="B2" s="3" t="s">
        <v>51</v>
      </c>
      <c r="C2" t="s">
        <v>711</v>
      </c>
      <c r="D2" t="s">
        <v>712</v>
      </c>
      <c r="E2" s="2">
        <v>2</v>
      </c>
      <c r="F2" t="s">
        <v>713</v>
      </c>
      <c r="G2" t="s">
        <v>714</v>
      </c>
      <c r="H2" t="s">
        <v>715</v>
      </c>
      <c r="I2" t="s">
        <v>716</v>
      </c>
      <c r="J2" s="3" t="s">
        <v>717</v>
      </c>
      <c r="K2" s="3" t="s">
        <v>718</v>
      </c>
      <c r="L2" s="3" t="s">
        <v>81</v>
      </c>
      <c r="M2" s="3" t="s">
        <v>98</v>
      </c>
      <c r="N2" s="3" t="s">
        <v>719</v>
      </c>
      <c r="O2" s="3" t="s">
        <v>720</v>
      </c>
      <c r="P2" s="6">
        <f>AVERAGE(INDEX(Scores!$U$2:$AB$82,0,Questions[[#This Row],['#]]))</f>
        <v>0.64197530864197527</v>
      </c>
      <c r="Q2" s="7" cm="1">
        <f t="array" ref="Q2">_xlfn.LET(_xlpm.item,INDEX(Scores!$U$2:$AB$82,0,Questions[[#This Row],['#]]),CORREL(_xlpm.item,Scores!$F$2:$F$82-_xlpm.item))</f>
        <v>0.40059982104646302</v>
      </c>
    </row>
    <row r="3" spans="1:17" ht="22.5" customHeight="1" x14ac:dyDescent="0.15">
      <c r="A3" s="2">
        <v>2</v>
      </c>
      <c r="B3" s="3" t="s">
        <v>51</v>
      </c>
      <c r="C3" t="s">
        <v>721</v>
      </c>
      <c r="D3" t="s">
        <v>722</v>
      </c>
      <c r="E3" s="2">
        <v>2</v>
      </c>
      <c r="F3" t="s">
        <v>723</v>
      </c>
      <c r="G3" t="s">
        <v>724</v>
      </c>
      <c r="H3" t="s">
        <v>725</v>
      </c>
      <c r="I3" t="s">
        <v>726</v>
      </c>
      <c r="J3" s="3" t="s">
        <v>717</v>
      </c>
      <c r="K3" s="3" t="s">
        <v>718</v>
      </c>
      <c r="L3" s="3" t="s">
        <v>56</v>
      </c>
      <c r="M3" s="3" t="s">
        <v>128</v>
      </c>
      <c r="N3" s="3" t="s">
        <v>719</v>
      </c>
      <c r="O3" s="3" t="s">
        <v>720</v>
      </c>
      <c r="P3" s="6">
        <f>AVERAGE(INDEX(Scores!$U$2:$AB$82,0,Questions[[#This Row],['#]]))</f>
        <v>0.81481481481481477</v>
      </c>
      <c r="Q3" s="7" cm="1">
        <f t="array" ref="Q3">_xlfn.LET(_xlpm.item,INDEX(Scores!$U$2:$AB$82,0,Questions[[#This Row],['#]]),CORREL(_xlpm.item,Scores!$F$2:$F$82-_xlpm.item))</f>
        <v>0.23810932312496966</v>
      </c>
    </row>
    <row r="4" spans="1:17" ht="22.5" customHeight="1" x14ac:dyDescent="0.15">
      <c r="A4" s="2">
        <v>3</v>
      </c>
      <c r="B4" s="3" t="s">
        <v>51</v>
      </c>
      <c r="C4" t="s">
        <v>721</v>
      </c>
      <c r="D4" t="s">
        <v>727</v>
      </c>
      <c r="E4" s="2">
        <v>1</v>
      </c>
      <c r="F4" t="s">
        <v>728</v>
      </c>
      <c r="G4" t="s">
        <v>729</v>
      </c>
      <c r="H4" t="s">
        <v>730</v>
      </c>
      <c r="I4" t="s">
        <v>731</v>
      </c>
      <c r="J4" s="3" t="s">
        <v>717</v>
      </c>
      <c r="K4" s="3" t="s">
        <v>718</v>
      </c>
      <c r="L4" s="3" t="s">
        <v>45</v>
      </c>
      <c r="M4" s="3" t="s">
        <v>109</v>
      </c>
      <c r="N4" s="3" t="s">
        <v>719</v>
      </c>
      <c r="O4" s="3" t="s">
        <v>720</v>
      </c>
      <c r="P4" s="6">
        <f>AVERAGE(INDEX(Scores!$U$2:$AB$82,0,Questions[[#This Row],['#]]))</f>
        <v>0.59259259259259256</v>
      </c>
      <c r="Q4" s="7" cm="1">
        <f t="array" ref="Q4">_xlfn.LET(_xlpm.item,INDEX(Scores!$U$2:$AB$82,0,Questions[[#This Row],['#]]),CORREL(_xlpm.item,Scores!$F$2:$F$82-_xlpm.item))</f>
        <v>0.28398455912630444</v>
      </c>
    </row>
    <row r="5" spans="1:17" ht="22.5" customHeight="1" x14ac:dyDescent="0.15">
      <c r="A5" s="2">
        <v>4</v>
      </c>
      <c r="B5" s="3" t="s">
        <v>51</v>
      </c>
      <c r="C5" t="s">
        <v>732</v>
      </c>
      <c r="D5" t="s">
        <v>733</v>
      </c>
      <c r="E5" s="2">
        <v>3</v>
      </c>
      <c r="F5" t="s">
        <v>734</v>
      </c>
      <c r="G5" t="s">
        <v>735</v>
      </c>
      <c r="H5" t="s">
        <v>736</v>
      </c>
      <c r="I5" t="s">
        <v>737</v>
      </c>
      <c r="J5" s="3" t="s">
        <v>717</v>
      </c>
      <c r="K5" s="3" t="s">
        <v>738</v>
      </c>
      <c r="L5" s="3" t="s">
        <v>5</v>
      </c>
      <c r="M5" s="3" t="s">
        <v>91</v>
      </c>
      <c r="N5" s="3" t="s">
        <v>719</v>
      </c>
      <c r="O5" s="3" t="s">
        <v>739</v>
      </c>
      <c r="P5" s="6">
        <f>AVERAGE(INDEX(Scores!$U$2:$AB$82,0,Questions[[#This Row],['#]]))</f>
        <v>0.71604938271604934</v>
      </c>
      <c r="Q5" s="7" cm="1">
        <f t="array" ref="Q5">_xlfn.LET(_xlpm.item,INDEX(Scores!$U$2:$AB$82,0,Questions[[#This Row],['#]]),CORREL(_xlpm.item,Scores!$F$2:$F$82-_xlpm.item))</f>
        <v>0.42338067987099925</v>
      </c>
    </row>
    <row r="6" spans="1:17" ht="22.5" customHeight="1" x14ac:dyDescent="0.15">
      <c r="A6" s="2">
        <v>5</v>
      </c>
      <c r="B6" s="3" t="s">
        <v>51</v>
      </c>
      <c r="C6" t="s">
        <v>740</v>
      </c>
      <c r="D6" t="s">
        <v>741</v>
      </c>
      <c r="E6" s="2">
        <v>2</v>
      </c>
      <c r="F6" t="s">
        <v>742</v>
      </c>
      <c r="G6" t="s">
        <v>743</v>
      </c>
      <c r="H6" t="s">
        <v>744</v>
      </c>
      <c r="I6" t="s">
        <v>745</v>
      </c>
      <c r="J6" s="3" t="s">
        <v>717</v>
      </c>
      <c r="K6" s="3" t="s">
        <v>718</v>
      </c>
      <c r="L6" s="3" t="s">
        <v>49</v>
      </c>
      <c r="M6" s="3" t="s">
        <v>107</v>
      </c>
      <c r="N6" s="3" t="s">
        <v>719</v>
      </c>
      <c r="O6" s="3" t="s">
        <v>746</v>
      </c>
      <c r="P6" s="6">
        <f>AVERAGE(INDEX(Scores!$U$2:$AB$82,0,Questions[[#This Row],['#]]))</f>
        <v>0.79012345679012341</v>
      </c>
      <c r="Q6" s="7" cm="1">
        <f t="array" ref="Q6">_xlfn.LET(_xlpm.item,INDEX(Scores!$U$2:$AB$82,0,Questions[[#This Row],['#]]),CORREL(_xlpm.item,Scores!$F$2:$F$82-_xlpm.item))</f>
        <v>0.6229701963155303</v>
      </c>
    </row>
    <row r="7" spans="1:17" ht="22.5" customHeight="1" x14ac:dyDescent="0.15">
      <c r="A7" s="2">
        <v>6</v>
      </c>
      <c r="B7" s="3" t="s">
        <v>51</v>
      </c>
      <c r="C7" t="s">
        <v>747</v>
      </c>
      <c r="D7" t="s">
        <v>748</v>
      </c>
      <c r="E7" s="2">
        <v>3</v>
      </c>
      <c r="F7" t="s">
        <v>749</v>
      </c>
      <c r="G7" t="s">
        <v>750</v>
      </c>
      <c r="H7" t="s">
        <v>751</v>
      </c>
      <c r="I7" t="s">
        <v>752</v>
      </c>
      <c r="J7" s="3" t="s">
        <v>753</v>
      </c>
      <c r="K7" s="3" t="s">
        <v>718</v>
      </c>
      <c r="L7" s="3" t="s">
        <v>68</v>
      </c>
      <c r="M7" s="3" t="s">
        <v>137</v>
      </c>
      <c r="N7" s="3" t="s">
        <v>719</v>
      </c>
      <c r="O7" s="3" t="s">
        <v>754</v>
      </c>
      <c r="P7" s="6">
        <f>AVERAGE(INDEX(Scores!$U$2:$AB$82,0,Questions[[#This Row],['#]]))</f>
        <v>0.72839506172839508</v>
      </c>
      <c r="Q7" s="7" cm="1">
        <f t="array" ref="Q7">_xlfn.LET(_xlpm.item,INDEX(Scores!$U$2:$AB$82,0,Questions[[#This Row],['#]]),CORREL(_xlpm.item,Scores!$F$2:$F$82-_xlpm.item))</f>
        <v>0.39200433954708791</v>
      </c>
    </row>
    <row r="8" spans="1:17" ht="22.5" customHeight="1" x14ac:dyDescent="0.15">
      <c r="A8" s="2">
        <v>7</v>
      </c>
      <c r="B8" s="3" t="s">
        <v>51</v>
      </c>
      <c r="C8" t="s">
        <v>755</v>
      </c>
      <c r="D8" t="s">
        <v>756</v>
      </c>
      <c r="E8" s="2">
        <v>3</v>
      </c>
      <c r="F8" t="s">
        <v>757</v>
      </c>
      <c r="G8" t="s">
        <v>758</v>
      </c>
      <c r="H8" t="s">
        <v>759</v>
      </c>
      <c r="I8" t="s">
        <v>760</v>
      </c>
      <c r="J8" s="3" t="s">
        <v>717</v>
      </c>
      <c r="K8" s="3" t="s">
        <v>738</v>
      </c>
      <c r="L8" s="3" t="s">
        <v>5</v>
      </c>
      <c r="M8" s="3" t="s">
        <v>91</v>
      </c>
      <c r="N8" s="3" t="s">
        <v>719</v>
      </c>
      <c r="O8" s="3" t="s">
        <v>761</v>
      </c>
      <c r="P8" s="6">
        <f>AVERAGE(INDEX(Scores!$U$2:$AB$82,0,Questions[[#This Row],['#]]))</f>
        <v>0.58024691358024694</v>
      </c>
      <c r="Q8" s="7" cm="1">
        <f t="array" ref="Q8">_xlfn.LET(_xlpm.item,INDEX(Scores!$U$2:$AB$82,0,Questions[[#This Row],['#]]),CORREL(_xlpm.item,Scores!$F$2:$F$82-_xlpm.item))</f>
        <v>0.14094467796619645</v>
      </c>
    </row>
    <row r="9" spans="1:17" ht="22.5" customHeight="1" x14ac:dyDescent="0.15">
      <c r="A9" s="2">
        <v>8</v>
      </c>
      <c r="B9" s="3" t="s">
        <v>51</v>
      </c>
      <c r="C9" t="s">
        <v>755</v>
      </c>
      <c r="D9" t="s">
        <v>762</v>
      </c>
      <c r="E9" s="2">
        <v>3</v>
      </c>
      <c r="F9" t="s">
        <v>763</v>
      </c>
      <c r="G9" t="s">
        <v>764</v>
      </c>
      <c r="H9" t="s">
        <v>765</v>
      </c>
      <c r="I9" t="s">
        <v>766</v>
      </c>
      <c r="J9" s="3" t="s">
        <v>717</v>
      </c>
      <c r="K9" s="3" t="s">
        <v>738</v>
      </c>
      <c r="L9" s="3" t="s">
        <v>56</v>
      </c>
      <c r="M9" s="3" t="s">
        <v>126</v>
      </c>
      <c r="N9" s="3" t="s">
        <v>767</v>
      </c>
      <c r="O9" s="3" t="s">
        <v>761</v>
      </c>
      <c r="P9" s="6">
        <f>AVERAGE(INDEX(Scores!$U$2:$AB$82,0,Questions[[#This Row],['#]]))</f>
        <v>0.66666666666666663</v>
      </c>
      <c r="Q9" s="7" cm="1">
        <f t="array" ref="Q9">_xlfn.LET(_xlpm.item,INDEX(Scores!$U$2:$AB$82,0,Questions[[#This Row],['#]]),CORREL(_xlpm.item,Scores!$F$2:$F$82-_xlpm.item))</f>
        <v>0.31706488201475336</v>
      </c>
    </row>
    <row r="10" spans="1:17" ht="22.5" customHeight="1" x14ac:dyDescent="0.15">
      <c r="A10" s="2">
        <v>9</v>
      </c>
      <c r="B10" s="3" t="s">
        <v>94</v>
      </c>
      <c r="C10" t="s">
        <v>768</v>
      </c>
      <c r="D10" t="s">
        <v>769</v>
      </c>
      <c r="E10" s="2">
        <v>1</v>
      </c>
      <c r="J10" s="3" t="s">
        <v>717</v>
      </c>
      <c r="K10" s="3" t="s">
        <v>738</v>
      </c>
      <c r="L10" s="3" t="s">
        <v>52</v>
      </c>
      <c r="M10" s="3" t="s">
        <v>132</v>
      </c>
      <c r="N10" s="3" t="s">
        <v>767</v>
      </c>
      <c r="O10" s="3" t="s">
        <v>739</v>
      </c>
    </row>
    <row r="11" spans="1:17" ht="22.5" customHeight="1" x14ac:dyDescent="0.15">
      <c r="A11" s="2">
        <v>10</v>
      </c>
      <c r="B11" s="3" t="s">
        <v>94</v>
      </c>
      <c r="C11" t="s">
        <v>732</v>
      </c>
      <c r="D11" t="s">
        <v>770</v>
      </c>
      <c r="E11" s="2">
        <v>1</v>
      </c>
      <c r="J11" s="3" t="s">
        <v>717</v>
      </c>
      <c r="K11" s="3" t="s">
        <v>738</v>
      </c>
      <c r="L11" s="3" t="s">
        <v>11</v>
      </c>
      <c r="M11" s="3" t="s">
        <v>93</v>
      </c>
      <c r="N11" s="3" t="s">
        <v>767</v>
      </c>
      <c r="O11" s="3" t="s">
        <v>739</v>
      </c>
    </row>
    <row r="12" spans="1:17" ht="22.5" customHeight="1" x14ac:dyDescent="0.15">
      <c r="A12" s="2" t="s">
        <v>57</v>
      </c>
      <c r="B12" s="3" t="s">
        <v>94</v>
      </c>
      <c r="C12" t="s">
        <v>771</v>
      </c>
      <c r="D12" t="s">
        <v>772</v>
      </c>
      <c r="E12" s="2">
        <v>1</v>
      </c>
      <c r="J12" s="3" t="s">
        <v>773</v>
      </c>
      <c r="K12" s="3" t="s">
        <v>738</v>
      </c>
      <c r="L12" s="3" t="s">
        <v>61</v>
      </c>
      <c r="M12" s="3" t="s">
        <v>128</v>
      </c>
      <c r="N12" s="3" t="s">
        <v>719</v>
      </c>
      <c r="O12" s="3" t="s">
        <v>739</v>
      </c>
    </row>
    <row r="13" spans="1:17" ht="22.5" customHeight="1" x14ac:dyDescent="0.15">
      <c r="A13" s="2" t="s">
        <v>58</v>
      </c>
      <c r="B13" s="3" t="s">
        <v>94</v>
      </c>
      <c r="C13" t="s">
        <v>771</v>
      </c>
      <c r="D13" t="s">
        <v>774</v>
      </c>
      <c r="E13" s="2">
        <v>1</v>
      </c>
      <c r="J13" s="3" t="s">
        <v>773</v>
      </c>
      <c r="K13" s="3" t="s">
        <v>738</v>
      </c>
      <c r="L13" s="3" t="s">
        <v>61</v>
      </c>
      <c r="M13" s="3" t="s">
        <v>102</v>
      </c>
      <c r="N13" s="3" t="s">
        <v>719</v>
      </c>
      <c r="O13" s="3" t="s">
        <v>739</v>
      </c>
    </row>
  </sheetData>
  <dataValidations count="4">
    <dataValidation type="list" allowBlank="1" sqref="N2:N13" xr:uid="{00000000-0002-0000-0100-000000000000}">
      <formula1>"Yes,No"</formula1>
    </dataValidation>
    <dataValidation type="custom" allowBlank="1" showDropDown="1" sqref="A2:A13" xr:uid="{00000000-0002-0000-0100-000001000000}">
      <formula1>AND(ISNUMBER(A2),(NOT(OR(NOT(ISERROR(DATEVALUE(A2))), AND(ISNUMBER(A2), LEFT(CELL("format", A2))="D")))))</formula1>
    </dataValidation>
    <dataValidation type="list" allowBlank="1" sqref="J2:J13" xr:uid="{00000000-0002-0000-0100-000002000000}">
      <formula1>"Text-based,Data-based,Map-based,Visual-based,Multiple"</formula1>
    </dataValidation>
    <dataValidation type="list" allowBlank="1" sqref="K2:K13" xr:uid="{00000000-0002-0000-0100-000004000000}">
      <formula1>"Primary,Secondary,Both"</formula1>
    </dataValidation>
  </dataValidations>
  <pageMargins left="0.7" right="0.7" top="0.75" bottom="0.75" header="0.3" footer="0.3"/>
  <pageSetup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xr:uid="{00000000-0002-0000-0100-000003000000}">
          <x14:formula1>
            <xm:f>'Skill Standards'!$B$2:$B$42</xm:f>
          </x14:formula1>
          <xm:sqref>M2:M13</xm:sqref>
        </x14:dataValidation>
        <x14:dataValidation type="list" allowBlank="1" xr:uid="{17BAD928-2D68-7247-8BA3-5EDF5CA429FA}">
          <x14:formula1>
            <xm:f>'Content Standards'!$D$2:$D$178</xm:f>
          </x14:formula1>
          <xm:sqref>O2:O13</xm:sqref>
        </x14:dataValidation>
        <x14:dataValidation type="list" allowBlank="1" xr:uid="{2997BD61-FC26-3843-AE48-C6B1334193BF}">
          <x14:formula1>
            <xm:f>'Task Models'!$A$2:$A$19</xm:f>
          </x14:formula1>
          <xm:sqref>L2:L13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9"/>
  <sheetViews>
    <sheetView showGridLines="0" workbookViewId="0">
      <pane ySplit="1" topLeftCell="A2" activePane="bottomLeft" state="frozen"/>
      <selection pane="bottomLeft" activeCell="B12" sqref="B12"/>
    </sheetView>
  </sheetViews>
  <sheetFormatPr baseColWidth="10" defaultColWidth="12.6640625" defaultRowHeight="15.75" customHeight="1" x14ac:dyDescent="0.15"/>
  <cols>
    <col min="1" max="1" width="36.6640625" customWidth="1"/>
    <col min="2" max="2" width="37.6640625" customWidth="1"/>
  </cols>
  <sheetData>
    <row r="1" spans="1:2" ht="22.5" customHeight="1" x14ac:dyDescent="0.15">
      <c r="A1" s="1" t="s">
        <v>0</v>
      </c>
      <c r="B1" s="1" t="s">
        <v>2</v>
      </c>
    </row>
    <row r="2" spans="1:2" ht="22.5" customHeight="1" x14ac:dyDescent="0.15">
      <c r="A2" s="3" t="s">
        <v>5</v>
      </c>
      <c r="B2" s="3" t="s">
        <v>9</v>
      </c>
    </row>
    <row r="3" spans="1:2" ht="22.5" customHeight="1" x14ac:dyDescent="0.15">
      <c r="A3" s="3" t="s">
        <v>11</v>
      </c>
      <c r="B3" s="3" t="s">
        <v>13</v>
      </c>
    </row>
    <row r="4" spans="1:2" ht="22.5" customHeight="1" x14ac:dyDescent="0.15">
      <c r="A4" s="3" t="s">
        <v>15</v>
      </c>
      <c r="B4" s="3" t="s">
        <v>18</v>
      </c>
    </row>
    <row r="5" spans="1:2" ht="22.5" customHeight="1" x14ac:dyDescent="0.15">
      <c r="A5" s="3" t="s">
        <v>21</v>
      </c>
      <c r="B5" s="3" t="s">
        <v>24</v>
      </c>
    </row>
    <row r="6" spans="1:2" ht="22.5" customHeight="1" x14ac:dyDescent="0.15">
      <c r="A6" s="3" t="s">
        <v>28</v>
      </c>
      <c r="B6" s="3" t="s">
        <v>31</v>
      </c>
    </row>
    <row r="7" spans="1:2" ht="22.5" customHeight="1" x14ac:dyDescent="0.15">
      <c r="A7" s="3" t="s">
        <v>35</v>
      </c>
      <c r="B7" s="3" t="s">
        <v>40</v>
      </c>
    </row>
    <row r="8" spans="1:2" ht="22.5" customHeight="1" x14ac:dyDescent="0.15">
      <c r="A8" s="3" t="s">
        <v>45</v>
      </c>
      <c r="B8" s="3" t="s">
        <v>48</v>
      </c>
    </row>
    <row r="9" spans="1:2" ht="22.5" customHeight="1" x14ac:dyDescent="0.15">
      <c r="A9" s="3" t="s">
        <v>49</v>
      </c>
      <c r="B9" s="3" t="s">
        <v>50</v>
      </c>
    </row>
    <row r="10" spans="1:2" ht="22.5" customHeight="1" x14ac:dyDescent="0.15">
      <c r="A10" s="3" t="s">
        <v>52</v>
      </c>
      <c r="B10" s="3" t="s">
        <v>54</v>
      </c>
    </row>
    <row r="11" spans="1:2" ht="22.5" customHeight="1" x14ac:dyDescent="0.15">
      <c r="A11" s="3" t="s">
        <v>56</v>
      </c>
      <c r="B11" s="3" t="s">
        <v>59</v>
      </c>
    </row>
    <row r="12" spans="1:2" ht="22.5" customHeight="1" x14ac:dyDescent="0.15">
      <c r="A12" s="3" t="s">
        <v>61</v>
      </c>
      <c r="B12" s="3" t="s">
        <v>62</v>
      </c>
    </row>
    <row r="13" spans="1:2" ht="22.5" customHeight="1" x14ac:dyDescent="0.15">
      <c r="A13" s="3" t="s">
        <v>64</v>
      </c>
      <c r="B13" s="3" t="s">
        <v>66</v>
      </c>
    </row>
    <row r="14" spans="1:2" ht="22.5" customHeight="1" x14ac:dyDescent="0.15">
      <c r="A14" s="3" t="s">
        <v>68</v>
      </c>
      <c r="B14" s="3" t="s">
        <v>71</v>
      </c>
    </row>
    <row r="15" spans="1:2" ht="22.5" customHeight="1" x14ac:dyDescent="0.15">
      <c r="A15" s="3" t="s">
        <v>73</v>
      </c>
      <c r="B15" s="3" t="s">
        <v>75</v>
      </c>
    </row>
    <row r="16" spans="1:2" ht="22.5" customHeight="1" x14ac:dyDescent="0.15">
      <c r="A16" s="3" t="s">
        <v>76</v>
      </c>
      <c r="B16" s="3" t="s">
        <v>78</v>
      </c>
    </row>
    <row r="17" spans="1:2" ht="22.5" customHeight="1" x14ac:dyDescent="0.15">
      <c r="A17" s="3" t="s">
        <v>79</v>
      </c>
      <c r="B17" s="3" t="s">
        <v>80</v>
      </c>
    </row>
    <row r="18" spans="1:2" ht="22.5" customHeight="1" x14ac:dyDescent="0.15">
      <c r="A18" s="3" t="s">
        <v>81</v>
      </c>
      <c r="B18" s="3" t="s">
        <v>82</v>
      </c>
    </row>
    <row r="19" spans="1:2" ht="22.5" customHeight="1" x14ac:dyDescent="0.15">
      <c r="A19" s="3" t="s">
        <v>83</v>
      </c>
      <c r="B19" s="3" t="s">
        <v>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42"/>
  <sheetViews>
    <sheetView showGridLines="0" workbookViewId="0">
      <pane ySplit="1" topLeftCell="A32" activePane="bottomLeft" state="frozen"/>
      <selection pane="bottomLeft" activeCell="B11" sqref="B11"/>
    </sheetView>
  </sheetViews>
  <sheetFormatPr baseColWidth="10" defaultColWidth="12.6640625" defaultRowHeight="15.75" customHeight="1" x14ac:dyDescent="0.15"/>
  <cols>
    <col min="1" max="1" width="35.83203125" customWidth="1"/>
    <col min="2" max="2" width="30.1640625" customWidth="1"/>
    <col min="3" max="3" width="188.6640625" bestFit="1" customWidth="1"/>
  </cols>
  <sheetData>
    <row r="1" spans="1:3" ht="22.5" customHeight="1" x14ac:dyDescent="0.15">
      <c r="A1" s="1" t="s">
        <v>85</v>
      </c>
      <c r="B1" s="1" t="s">
        <v>86</v>
      </c>
      <c r="C1" s="1" t="s">
        <v>87</v>
      </c>
    </row>
    <row r="2" spans="1:3" ht="22.5" customHeight="1" x14ac:dyDescent="0.15">
      <c r="A2" s="3" t="s">
        <v>88</v>
      </c>
      <c r="B2" s="3" t="s">
        <v>89</v>
      </c>
      <c r="C2" s="3" t="s">
        <v>90</v>
      </c>
    </row>
    <row r="3" spans="1:3" ht="22.5" customHeight="1" x14ac:dyDescent="0.15">
      <c r="A3" s="3" t="s">
        <v>88</v>
      </c>
      <c r="B3" s="3" t="s">
        <v>91</v>
      </c>
      <c r="C3" s="3" t="s">
        <v>92</v>
      </c>
    </row>
    <row r="4" spans="1:3" ht="22.5" customHeight="1" x14ac:dyDescent="0.15">
      <c r="A4" s="3" t="s">
        <v>88</v>
      </c>
      <c r="B4" s="3" t="s">
        <v>93</v>
      </c>
      <c r="C4" s="3" t="s">
        <v>95</v>
      </c>
    </row>
    <row r="5" spans="1:3" ht="22.5" customHeight="1" x14ac:dyDescent="0.15">
      <c r="A5" s="3" t="s">
        <v>88</v>
      </c>
      <c r="B5" s="3" t="s">
        <v>96</v>
      </c>
      <c r="C5" s="3" t="s">
        <v>97</v>
      </c>
    </row>
    <row r="6" spans="1:3" ht="22.5" customHeight="1" x14ac:dyDescent="0.15">
      <c r="A6" s="3" t="s">
        <v>88</v>
      </c>
      <c r="B6" s="3" t="s">
        <v>98</v>
      </c>
      <c r="C6" s="3" t="s">
        <v>99</v>
      </c>
    </row>
    <row r="7" spans="1:3" ht="22.5" customHeight="1" x14ac:dyDescent="0.15">
      <c r="A7" s="3" t="s">
        <v>88</v>
      </c>
      <c r="B7" s="3" t="s">
        <v>100</v>
      </c>
      <c r="C7" s="3" t="s">
        <v>101</v>
      </c>
    </row>
    <row r="8" spans="1:3" ht="22.5" customHeight="1" x14ac:dyDescent="0.15">
      <c r="A8" s="3" t="s">
        <v>88</v>
      </c>
      <c r="B8" s="3" t="s">
        <v>102</v>
      </c>
      <c r="C8" s="3" t="s">
        <v>103</v>
      </c>
    </row>
    <row r="9" spans="1:3" ht="22.5" customHeight="1" x14ac:dyDescent="0.15">
      <c r="A9" s="3" t="s">
        <v>104</v>
      </c>
      <c r="B9" s="3" t="s">
        <v>105</v>
      </c>
      <c r="C9" s="3" t="s">
        <v>106</v>
      </c>
    </row>
    <row r="10" spans="1:3" ht="22.5" customHeight="1" x14ac:dyDescent="0.15">
      <c r="A10" s="3" t="s">
        <v>104</v>
      </c>
      <c r="B10" s="3" t="s">
        <v>107</v>
      </c>
      <c r="C10" s="3" t="s">
        <v>108</v>
      </c>
    </row>
    <row r="11" spans="1:3" ht="22.5" customHeight="1" x14ac:dyDescent="0.15">
      <c r="A11" s="3" t="s">
        <v>104</v>
      </c>
      <c r="B11" s="3" t="s">
        <v>109</v>
      </c>
      <c r="C11" s="3" t="s">
        <v>110</v>
      </c>
    </row>
    <row r="12" spans="1:3" ht="22.5" customHeight="1" x14ac:dyDescent="0.15">
      <c r="A12" s="3" t="s">
        <v>104</v>
      </c>
      <c r="B12" s="3" t="s">
        <v>111</v>
      </c>
      <c r="C12" s="3" t="s">
        <v>112</v>
      </c>
    </row>
    <row r="13" spans="1:3" ht="22.5" customHeight="1" x14ac:dyDescent="0.15">
      <c r="A13" s="3" t="s">
        <v>104</v>
      </c>
      <c r="B13" s="3" t="s">
        <v>113</v>
      </c>
      <c r="C13" s="3" t="s">
        <v>114</v>
      </c>
    </row>
    <row r="14" spans="1:3" ht="22.5" customHeight="1" x14ac:dyDescent="0.15">
      <c r="A14" s="3" t="s">
        <v>104</v>
      </c>
      <c r="B14" s="3" t="s">
        <v>115</v>
      </c>
      <c r="C14" s="3" t="s">
        <v>116</v>
      </c>
    </row>
    <row r="15" spans="1:3" ht="22.5" customHeight="1" x14ac:dyDescent="0.15">
      <c r="A15" s="3" t="s">
        <v>104</v>
      </c>
      <c r="B15" s="3" t="s">
        <v>117</v>
      </c>
      <c r="C15" s="3" t="s">
        <v>118</v>
      </c>
    </row>
    <row r="16" spans="1:3" ht="22.5" customHeight="1" x14ac:dyDescent="0.15">
      <c r="A16" s="3" t="s">
        <v>104</v>
      </c>
      <c r="B16" s="3" t="s">
        <v>119</v>
      </c>
      <c r="C16" s="3" t="s">
        <v>120</v>
      </c>
    </row>
    <row r="17" spans="1:3" ht="22.5" customHeight="1" x14ac:dyDescent="0.15">
      <c r="A17" s="3" t="s">
        <v>121</v>
      </c>
      <c r="B17" s="3" t="s">
        <v>122</v>
      </c>
      <c r="C17" s="3" t="s">
        <v>123</v>
      </c>
    </row>
    <row r="18" spans="1:3" ht="22.5" customHeight="1" x14ac:dyDescent="0.15">
      <c r="A18" s="3" t="s">
        <v>121</v>
      </c>
      <c r="B18" s="3" t="s">
        <v>124</v>
      </c>
      <c r="C18" s="3" t="s">
        <v>125</v>
      </c>
    </row>
    <row r="19" spans="1:3" ht="22.5" customHeight="1" x14ac:dyDescent="0.15">
      <c r="A19" s="3" t="s">
        <v>121</v>
      </c>
      <c r="B19" s="3" t="s">
        <v>126</v>
      </c>
      <c r="C19" s="3" t="s">
        <v>127</v>
      </c>
    </row>
    <row r="20" spans="1:3" ht="22.5" customHeight="1" x14ac:dyDescent="0.15">
      <c r="A20" s="3" t="s">
        <v>121</v>
      </c>
      <c r="B20" s="3" t="s">
        <v>128</v>
      </c>
      <c r="C20" s="3" t="s">
        <v>129</v>
      </c>
    </row>
    <row r="21" spans="1:3" ht="22.5" customHeight="1" x14ac:dyDescent="0.15">
      <c r="A21" s="3" t="s">
        <v>121</v>
      </c>
      <c r="B21" s="3" t="s">
        <v>130</v>
      </c>
      <c r="C21" s="3" t="s">
        <v>131</v>
      </c>
    </row>
    <row r="22" spans="1:3" ht="22.5" customHeight="1" x14ac:dyDescent="0.15">
      <c r="A22" s="3" t="s">
        <v>121</v>
      </c>
      <c r="B22" s="3" t="s">
        <v>132</v>
      </c>
      <c r="C22" s="3" t="s">
        <v>133</v>
      </c>
    </row>
    <row r="23" spans="1:3" ht="22.5" customHeight="1" x14ac:dyDescent="0.15">
      <c r="A23" s="3" t="s">
        <v>134</v>
      </c>
      <c r="B23" s="3" t="s">
        <v>135</v>
      </c>
      <c r="C23" s="3" t="s">
        <v>136</v>
      </c>
    </row>
    <row r="24" spans="1:3" ht="22.5" customHeight="1" x14ac:dyDescent="0.15">
      <c r="A24" s="3" t="s">
        <v>134</v>
      </c>
      <c r="B24" s="3" t="s">
        <v>137</v>
      </c>
      <c r="C24" s="3" t="s">
        <v>138</v>
      </c>
    </row>
    <row r="25" spans="1:3" ht="22.5" customHeight="1" x14ac:dyDescent="0.15">
      <c r="A25" s="3" t="s">
        <v>134</v>
      </c>
      <c r="B25" s="3" t="s">
        <v>139</v>
      </c>
      <c r="C25" s="3" t="s">
        <v>140</v>
      </c>
    </row>
    <row r="26" spans="1:3" ht="22.5" customHeight="1" x14ac:dyDescent="0.15">
      <c r="A26" s="3" t="s">
        <v>134</v>
      </c>
      <c r="B26" s="3" t="s">
        <v>141</v>
      </c>
      <c r="C26" s="3" t="s">
        <v>142</v>
      </c>
    </row>
    <row r="27" spans="1:3" ht="22.5" customHeight="1" x14ac:dyDescent="0.15">
      <c r="A27" s="3" t="s">
        <v>134</v>
      </c>
      <c r="B27" s="3" t="s">
        <v>143</v>
      </c>
      <c r="C27" s="3" t="s">
        <v>144</v>
      </c>
    </row>
    <row r="28" spans="1:3" ht="22.5" customHeight="1" x14ac:dyDescent="0.15">
      <c r="A28" s="3" t="s">
        <v>134</v>
      </c>
      <c r="B28" s="3" t="s">
        <v>145</v>
      </c>
      <c r="C28" s="3" t="s">
        <v>146</v>
      </c>
    </row>
    <row r="29" spans="1:3" ht="22.5" customHeight="1" x14ac:dyDescent="0.15">
      <c r="A29" s="3" t="s">
        <v>147</v>
      </c>
      <c r="B29" s="3" t="s">
        <v>149</v>
      </c>
      <c r="C29" s="3" t="s">
        <v>151</v>
      </c>
    </row>
    <row r="30" spans="1:3" ht="22.5" customHeight="1" x14ac:dyDescent="0.15">
      <c r="A30" s="3" t="s">
        <v>147</v>
      </c>
      <c r="B30" s="3" t="s">
        <v>155</v>
      </c>
      <c r="C30" s="3" t="s">
        <v>157</v>
      </c>
    </row>
    <row r="31" spans="1:3" ht="22.5" customHeight="1" x14ac:dyDescent="0.15">
      <c r="A31" s="3" t="s">
        <v>147</v>
      </c>
      <c r="B31" s="3" t="s">
        <v>161</v>
      </c>
      <c r="C31" s="3" t="s">
        <v>163</v>
      </c>
    </row>
    <row r="32" spans="1:3" ht="22.5" customHeight="1" x14ac:dyDescent="0.15">
      <c r="A32" s="3" t="s">
        <v>147</v>
      </c>
      <c r="B32" s="3" t="s">
        <v>166</v>
      </c>
      <c r="C32" s="3" t="s">
        <v>169</v>
      </c>
    </row>
    <row r="33" spans="1:3" ht="22.5" customHeight="1" x14ac:dyDescent="0.15">
      <c r="A33" s="3" t="s">
        <v>147</v>
      </c>
      <c r="B33" s="3" t="s">
        <v>173</v>
      </c>
      <c r="C33" s="3" t="s">
        <v>175</v>
      </c>
    </row>
    <row r="34" spans="1:3" ht="22.5" customHeight="1" x14ac:dyDescent="0.15">
      <c r="A34" s="3" t="s">
        <v>147</v>
      </c>
      <c r="B34" s="3" t="s">
        <v>178</v>
      </c>
      <c r="C34" s="3" t="s">
        <v>180</v>
      </c>
    </row>
    <row r="35" spans="1:3" ht="22.5" customHeight="1" x14ac:dyDescent="0.15">
      <c r="A35" s="3" t="s">
        <v>183</v>
      </c>
      <c r="B35" s="3" t="s">
        <v>186</v>
      </c>
      <c r="C35" s="3" t="s">
        <v>188</v>
      </c>
    </row>
    <row r="36" spans="1:3" ht="22.5" customHeight="1" x14ac:dyDescent="0.15">
      <c r="A36" s="3" t="s">
        <v>183</v>
      </c>
      <c r="B36" s="3" t="s">
        <v>192</v>
      </c>
      <c r="C36" s="3" t="s">
        <v>195</v>
      </c>
    </row>
    <row r="37" spans="1:3" ht="22.5" customHeight="1" x14ac:dyDescent="0.15">
      <c r="A37" s="3" t="s">
        <v>183</v>
      </c>
      <c r="B37" s="3" t="s">
        <v>199</v>
      </c>
      <c r="C37" s="3" t="s">
        <v>200</v>
      </c>
    </row>
    <row r="38" spans="1:3" ht="22.5" customHeight="1" x14ac:dyDescent="0.15">
      <c r="A38" s="3" t="s">
        <v>183</v>
      </c>
      <c r="B38" s="3" t="s">
        <v>204</v>
      </c>
      <c r="C38" s="3" t="s">
        <v>206</v>
      </c>
    </row>
    <row r="39" spans="1:3" ht="22.5" customHeight="1" x14ac:dyDescent="0.15">
      <c r="A39" s="3" t="s">
        <v>183</v>
      </c>
      <c r="B39" s="3" t="s">
        <v>210</v>
      </c>
      <c r="C39" s="3" t="s">
        <v>212</v>
      </c>
    </row>
    <row r="40" spans="1:3" ht="22.5" customHeight="1" x14ac:dyDescent="0.15">
      <c r="A40" s="3" t="s">
        <v>183</v>
      </c>
      <c r="B40" s="3" t="s">
        <v>215</v>
      </c>
      <c r="C40" s="3" t="s">
        <v>218</v>
      </c>
    </row>
    <row r="41" spans="1:3" ht="22.5" customHeight="1" x14ac:dyDescent="0.15">
      <c r="A41" s="3" t="s">
        <v>183</v>
      </c>
      <c r="B41" s="3" t="s">
        <v>220</v>
      </c>
      <c r="C41" s="3" t="s">
        <v>223</v>
      </c>
    </row>
    <row r="42" spans="1:3" ht="22.5" customHeight="1" x14ac:dyDescent="0.15">
      <c r="A42" s="3" t="s">
        <v>183</v>
      </c>
      <c r="B42" s="3" t="s">
        <v>227</v>
      </c>
      <c r="C42" s="3" t="s">
        <v>230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78"/>
  <sheetViews>
    <sheetView showGridLines="0" topLeftCell="C1" workbookViewId="0">
      <pane ySplit="1" topLeftCell="A156" activePane="bottomLeft" state="frozen"/>
      <selection pane="bottomLeft" activeCell="D3" sqref="D3"/>
    </sheetView>
  </sheetViews>
  <sheetFormatPr baseColWidth="10" defaultColWidth="12.6640625" defaultRowHeight="15.75" customHeight="1" x14ac:dyDescent="0.15"/>
  <cols>
    <col min="2" max="2" width="37.6640625" customWidth="1"/>
    <col min="3" max="3" width="80.83203125" customWidth="1"/>
    <col min="4" max="4" width="76.33203125" bestFit="1" customWidth="1"/>
  </cols>
  <sheetData>
    <row r="1" spans="1:4" ht="22.5" customHeight="1" x14ac:dyDescent="0.15">
      <c r="A1" s="1" t="s">
        <v>1</v>
      </c>
      <c r="B1" s="1" t="s">
        <v>148</v>
      </c>
      <c r="C1" s="1" t="s">
        <v>150</v>
      </c>
      <c r="D1" s="4" t="s">
        <v>710</v>
      </c>
    </row>
    <row r="2" spans="1:4" ht="22.5" customHeight="1" x14ac:dyDescent="0.15">
      <c r="A2" s="3" t="s">
        <v>152</v>
      </c>
      <c r="B2" s="3" t="s">
        <v>153</v>
      </c>
      <c r="C2" s="3" t="s">
        <v>154</v>
      </c>
      <c r="D2" t="str">
        <f>_xlfn.CONCAT(Table3[[#This Row],['#]],": ",Table3[[#This Row],[Framework]])</f>
        <v>10.01a.1: Mughal &amp; Ottoman (c. 1750)</v>
      </c>
    </row>
    <row r="3" spans="1:4" ht="22.5" customHeight="1" x14ac:dyDescent="0.15">
      <c r="A3" s="3" t="s">
        <v>156</v>
      </c>
      <c r="B3" s="3" t="s">
        <v>158</v>
      </c>
      <c r="C3" s="3" t="s">
        <v>159</v>
      </c>
      <c r="D3" t="str">
        <f>_xlfn.CONCAT(Table3[[#This Row],['#]],": ",Table3[[#This Row],[Framework]])</f>
        <v>10.01a.2: Tokugawa Shogunate</v>
      </c>
    </row>
    <row r="4" spans="1:4" ht="22.5" customHeight="1" x14ac:dyDescent="0.15">
      <c r="A4" s="3" t="s">
        <v>160</v>
      </c>
      <c r="B4" s="3" t="s">
        <v>162</v>
      </c>
      <c r="C4" s="3" t="s">
        <v>164</v>
      </c>
      <c r="D4" t="str">
        <f>_xlfn.CONCAT(Table3[[#This Row],['#]],": ",Table3[[#This Row],[Framework]])</f>
        <v>10.01a.3: Comparing Tokugawa Shogunate &amp; Bourbon Dynasty</v>
      </c>
    </row>
    <row r="5" spans="1:4" ht="22.5" customHeight="1" x14ac:dyDescent="0.15">
      <c r="A5" s="3" t="s">
        <v>165</v>
      </c>
      <c r="B5" s="3" t="s">
        <v>167</v>
      </c>
      <c r="C5" s="3" t="s">
        <v>168</v>
      </c>
      <c r="D5" t="str">
        <f>_xlfn.CONCAT(Table3[[#This Row],['#]],": ",Table3[[#This Row],[Framework]])</f>
        <v>10.01b.1: Tokugawa &amp; Mughal Responses to Outsiders</v>
      </c>
    </row>
    <row r="6" spans="1:4" ht="22.5" customHeight="1" x14ac:dyDescent="0.15">
      <c r="A6" s="3" t="s">
        <v>170</v>
      </c>
      <c r="B6" s="3" t="s">
        <v>171</v>
      </c>
      <c r="C6" s="3" t="s">
        <v>172</v>
      </c>
      <c r="D6" t="str">
        <f>_xlfn.CONCAT(Table3[[#This Row],['#]],": ",Table3[[#This Row],[Framework]])</f>
        <v>10.01b.2: Eurasia World Map</v>
      </c>
    </row>
    <row r="7" spans="1:4" ht="22.5" customHeight="1" x14ac:dyDescent="0.15">
      <c r="A7" s="3" t="s">
        <v>174</v>
      </c>
      <c r="B7" s="3" t="s">
        <v>176</v>
      </c>
      <c r="C7" s="3" t="s">
        <v>177</v>
      </c>
      <c r="D7" t="str">
        <f>_xlfn.CONCAT(Table3[[#This Row],['#]],": ",Table3[[#This Row],[Framework]])</f>
        <v>10.01b.3: Comparing Empire's Geography &amp; Power</v>
      </c>
    </row>
    <row r="8" spans="1:4" ht="22.5" customHeight="1" x14ac:dyDescent="0.15">
      <c r="A8" s="3" t="s">
        <v>179</v>
      </c>
      <c r="B8" s="3" t="s">
        <v>181</v>
      </c>
      <c r="C8" s="3" t="s">
        <v>182</v>
      </c>
      <c r="D8" t="str">
        <f>_xlfn.CONCAT(Table3[[#This Row],['#]],": ",Table3[[#This Row],[Framework]])</f>
        <v>10.02a.1: Political Philosophies</v>
      </c>
    </row>
    <row r="9" spans="1:4" ht="22.5" customHeight="1" x14ac:dyDescent="0.15">
      <c r="A9" s="3" t="s">
        <v>184</v>
      </c>
      <c r="B9" s="3" t="s">
        <v>185</v>
      </c>
      <c r="C9" s="3" t="s">
        <v>187</v>
      </c>
      <c r="D9" t="str">
        <f>_xlfn.CONCAT(Table3[[#This Row],['#]],": ",Table3[[#This Row],[Framework]])</f>
        <v>10.02b.1: Gender &amp; Abolition</v>
      </c>
    </row>
    <row r="10" spans="1:4" ht="22.5" customHeight="1" x14ac:dyDescent="0.15">
      <c r="A10" s="3" t="s">
        <v>189</v>
      </c>
      <c r="B10" s="3" t="s">
        <v>190</v>
      </c>
      <c r="C10" s="3" t="s">
        <v>191</v>
      </c>
      <c r="D10" t="str">
        <f>_xlfn.CONCAT(Table3[[#This Row],['#]],": ",Table3[[#This Row],[Framework]])</f>
        <v>10.02b.2: Enlightened Despots</v>
      </c>
    </row>
    <row r="11" spans="1:4" ht="22.5" customHeight="1" x14ac:dyDescent="0.15">
      <c r="A11" s="3" t="s">
        <v>193</v>
      </c>
      <c r="B11" s="3" t="s">
        <v>194</v>
      </c>
      <c r="C11" s="3" t="s">
        <v>196</v>
      </c>
      <c r="D11" t="str">
        <f>_xlfn.CONCAT(Table3[[#This Row],['#]],": ",Table3[[#This Row],[Framework]])</f>
        <v>10.02c.1: French Revolutions</v>
      </c>
    </row>
    <row r="12" spans="1:4" ht="22.5" customHeight="1" x14ac:dyDescent="0.15">
      <c r="A12" s="3" t="s">
        <v>197</v>
      </c>
      <c r="B12" s="3" t="s">
        <v>198</v>
      </c>
      <c r="C12" s="3" t="s">
        <v>201</v>
      </c>
      <c r="D12" t="str">
        <f>_xlfn.CONCAT(Table3[[#This Row],['#]],": ",Table3[[#This Row],[Framework]])</f>
        <v>10.02c.2: Latin American Revolutions</v>
      </c>
    </row>
    <row r="13" spans="1:4" ht="22.5" customHeight="1" x14ac:dyDescent="0.15">
      <c r="A13" s="3" t="s">
        <v>202</v>
      </c>
      <c r="B13" s="3" t="s">
        <v>203</v>
      </c>
      <c r="C13" s="3" t="s">
        <v>205</v>
      </c>
      <c r="D13" t="str">
        <f>_xlfn.CONCAT(Table3[[#This Row],['#]],": ",Table3[[#This Row],[Framework]])</f>
        <v>10.02d.1: Italy, Germany &amp; Ottoman, Austrian</v>
      </c>
    </row>
    <row r="14" spans="1:4" ht="22.5" customHeight="1" x14ac:dyDescent="0.15">
      <c r="A14" s="3" t="s">
        <v>207</v>
      </c>
      <c r="B14" s="3" t="s">
        <v>208</v>
      </c>
      <c r="C14" s="3" t="s">
        <v>209</v>
      </c>
      <c r="D14" t="str">
        <f>_xlfn.CONCAT(Table3[[#This Row],['#]],": ",Table3[[#This Row],[Framework]])</f>
        <v>10.03a.1: British Agricultural Revolution</v>
      </c>
    </row>
    <row r="15" spans="1:4" ht="22.5" customHeight="1" x14ac:dyDescent="0.15">
      <c r="A15" s="3" t="s">
        <v>211</v>
      </c>
      <c r="B15" s="3" t="s">
        <v>213</v>
      </c>
      <c r="C15" s="3" t="s">
        <v>214</v>
      </c>
      <c r="D15" t="str">
        <f>_xlfn.CONCAT(Table3[[#This Row],['#]],": ",Table3[[#This Row],[Framework]])</f>
        <v>10.03b.1: Industrial Production &amp; Economic Practices</v>
      </c>
    </row>
    <row r="16" spans="1:4" ht="22.5" customHeight="1" x14ac:dyDescent="0.15">
      <c r="A16" s="3" t="s">
        <v>216</v>
      </c>
      <c r="B16" s="3" t="s">
        <v>217</v>
      </c>
      <c r="C16" s="3" t="s">
        <v>219</v>
      </c>
      <c r="D16" t="str">
        <f>_xlfn.CONCAT(Table3[[#This Row],['#]],": ",Table3[[#This Row],[Framework]])</f>
        <v>10.03b.2: Wealth of Nations</v>
      </c>
    </row>
    <row r="17" spans="1:4" ht="22.5" customHeight="1" x14ac:dyDescent="0.15">
      <c r="A17" s="3" t="s">
        <v>221</v>
      </c>
      <c r="B17" s="3" t="s">
        <v>222</v>
      </c>
      <c r="C17" s="3" t="s">
        <v>224</v>
      </c>
      <c r="D17" t="str">
        <f>_xlfn.CONCAT(Table3[[#This Row],['#]],": ",Table3[[#This Row],[Framework]])</f>
        <v>10.03b.3: Energy, Technology, Communication, &amp; Transportation</v>
      </c>
    </row>
    <row r="18" spans="1:4" ht="22.5" customHeight="1" x14ac:dyDescent="0.15">
      <c r="A18" s="3" t="s">
        <v>225</v>
      </c>
      <c r="B18" s="3" t="s">
        <v>226</v>
      </c>
      <c r="C18" s="3" t="s">
        <v>228</v>
      </c>
      <c r="D18" t="str">
        <f>_xlfn.CONCAT(Table3[[#This Row],['#]],": ",Table3[[#This Row],[Framework]])</f>
        <v>10.03c.1: Comparing Victorian England &amp; Meiji Japan</v>
      </c>
    </row>
    <row r="19" spans="1:4" ht="22.5" customHeight="1" x14ac:dyDescent="0.15">
      <c r="A19" s="3" t="s">
        <v>229</v>
      </c>
      <c r="B19" s="3" t="s">
        <v>231</v>
      </c>
      <c r="C19" s="3" t="s">
        <v>232</v>
      </c>
      <c r="D19" t="str">
        <f>_xlfn.CONCAT(Table3[[#This Row],['#]],": ",Table3[[#This Row],[Framework]])</f>
        <v>10.03d.1: Suffrage, Education/ Labor Reforms, &amp; Marxism</v>
      </c>
    </row>
    <row r="20" spans="1:4" ht="22.5" customHeight="1" x14ac:dyDescent="0.15">
      <c r="A20" s="3" t="s">
        <v>233</v>
      </c>
      <c r="B20" s="3" t="s">
        <v>234</v>
      </c>
      <c r="C20" s="3" t="s">
        <v>235</v>
      </c>
      <c r="D20" t="str">
        <f>_xlfn.CONCAT(Table3[[#This Row],['#]],": ",Table3[[#This Row],[Framework]])</f>
        <v>10.03d.2: Irish Potato Famine</v>
      </c>
    </row>
    <row r="21" spans="1:4" ht="22.5" customHeight="1" x14ac:dyDescent="0.15">
      <c r="A21" s="3" t="s">
        <v>236</v>
      </c>
      <c r="B21" s="3" t="s">
        <v>237</v>
      </c>
      <c r="C21" s="3" t="s">
        <v>238</v>
      </c>
      <c r="D21" t="str">
        <f>_xlfn.CONCAT(Table3[[#This Row],['#]],": ",Table3[[#This Row],[Framework]])</f>
        <v>10.04a.1: Perspectives on Imperialism</v>
      </c>
    </row>
    <row r="22" spans="1:4" ht="22.5" customHeight="1" x14ac:dyDescent="0.15">
      <c r="A22" s="3" t="s">
        <v>239</v>
      </c>
      <c r="B22" s="3" t="s">
        <v>240</v>
      </c>
      <c r="C22" s="3" t="s">
        <v>241</v>
      </c>
      <c r="D22" t="str">
        <f>_xlfn.CONCAT(Table3[[#This Row],['#]],": ",Table3[[#This Row],[Framework]])</f>
        <v>10.04a.2: Control &amp; Spheres of Influence in Africa &amp; China</v>
      </c>
    </row>
    <row r="23" spans="1:4" ht="22.5" customHeight="1" x14ac:dyDescent="0.15">
      <c r="A23" s="3" t="s">
        <v>242</v>
      </c>
      <c r="B23" s="3" t="s">
        <v>243</v>
      </c>
      <c r="C23" s="3" t="s">
        <v>244</v>
      </c>
      <c r="D23" t="str">
        <f>_xlfn.CONCAT(Table3[[#This Row],['#]],": ",Table3[[#This Row],[Framework]])</f>
        <v>10.04b.1: Resistance in Africa &amp; China</v>
      </c>
    </row>
    <row r="24" spans="1:4" ht="22.5" customHeight="1" x14ac:dyDescent="0.15">
      <c r="A24" s="3" t="s">
        <v>245</v>
      </c>
      <c r="B24" s="3" t="s">
        <v>246</v>
      </c>
      <c r="C24" s="3" t="s">
        <v>247</v>
      </c>
      <c r="D24" t="str">
        <f>_xlfn.CONCAT(Table3[[#This Row],['#]],": ",Table3[[#This Row],[Framework]])</f>
        <v>10.04b.2: Japanese Reaction to Western Imperialism</v>
      </c>
    </row>
    <row r="25" spans="1:4" ht="22.5" customHeight="1" x14ac:dyDescent="0.15">
      <c r="A25" s="3" t="s">
        <v>248</v>
      </c>
      <c r="B25" s="3" t="s">
        <v>249</v>
      </c>
      <c r="C25" s="3" t="s">
        <v>250</v>
      </c>
      <c r="D25" t="str">
        <f>_xlfn.CONCAT(Table3[[#This Row],['#]],": ",Table3[[#This Row],[Framework]])</f>
        <v>10.04c.1: Comparing Geography of Africa (c. 1800-1914)</v>
      </c>
    </row>
    <row r="26" spans="1:4" ht="22.5" customHeight="1" x14ac:dyDescent="0.15">
      <c r="A26" s="3" t="s">
        <v>251</v>
      </c>
      <c r="B26" s="3" t="s">
        <v>252</v>
      </c>
      <c r="C26" s="3" t="s">
        <v>253</v>
      </c>
      <c r="D26" t="str">
        <f>_xlfn.CONCAT(Table3[[#This Row],['#]],": ",Table3[[#This Row],[Framework]])</f>
        <v>10.05a.1: Comparing Cause &amp; Effects of the World Wars</v>
      </c>
    </row>
    <row r="27" spans="1:4" ht="22.5" customHeight="1" x14ac:dyDescent="0.15">
      <c r="A27" s="3" t="s">
        <v>254</v>
      </c>
      <c r="B27" s="3" t="s">
        <v>255</v>
      </c>
      <c r="C27" s="3" t="s">
        <v>256</v>
      </c>
      <c r="D27" t="str">
        <f>_xlfn.CONCAT(Table3[[#This Row],['#]],": ",Table3[[#This Row],[Framework]])</f>
        <v>10.05b.1: Technological Development &amp; Devastation</v>
      </c>
    </row>
    <row r="28" spans="1:4" ht="22.5" customHeight="1" x14ac:dyDescent="0.15">
      <c r="A28" s="3" t="s">
        <v>257</v>
      </c>
      <c r="B28" s="3" t="s">
        <v>258</v>
      </c>
      <c r="C28" s="3" t="s">
        <v>259</v>
      </c>
      <c r="D28" t="str">
        <f>_xlfn.CONCAT(Table3[[#This Row],['#]],": ",Table3[[#This Row],[Framework]])</f>
        <v>10.05c.1: Fourteen Points, the Treaty of Versailles, League of Nations, &amp; United Nations</v>
      </c>
    </row>
    <row r="29" spans="1:4" ht="22.5" customHeight="1" x14ac:dyDescent="0.15">
      <c r="A29" s="3" t="s">
        <v>260</v>
      </c>
      <c r="B29" s="3" t="s">
        <v>261</v>
      </c>
      <c r="C29" s="3" t="s">
        <v>262</v>
      </c>
      <c r="D29" t="str">
        <f>_xlfn.CONCAT(Table3[[#This Row],['#]],": ",Table3[[#This Row],[Framework]])</f>
        <v>10.05d.1: Russian Revolution, Soviet Union, Lenin &amp; Stalin</v>
      </c>
    </row>
    <row r="30" spans="1:4" ht="22.5" customHeight="1" x14ac:dyDescent="0.15">
      <c r="A30" s="3" t="s">
        <v>263</v>
      </c>
      <c r="B30" s="3" t="s">
        <v>264</v>
      </c>
      <c r="C30" s="3" t="s">
        <v>265</v>
      </c>
      <c r="D30" t="str">
        <f>_xlfn.CONCAT(Table3[[#This Row],['#]],": ",Table3[[#This Row],[Framework]])</f>
        <v>10.05d.2: Nationalism, the Nazi Party, &amp; Hitler in Germany</v>
      </c>
    </row>
    <row r="31" spans="1:4" ht="22.5" customHeight="1" x14ac:dyDescent="0.15">
      <c r="A31" s="3" t="s">
        <v>266</v>
      </c>
      <c r="B31" s="3" t="s">
        <v>267</v>
      </c>
      <c r="C31" s="3" t="s">
        <v>268</v>
      </c>
      <c r="D31" t="str">
        <f>_xlfn.CONCAT(Table3[[#This Row],['#]],": ",Table3[[#This Row],[Framework]])</f>
        <v>10.05d.3: Nationalism &amp; Militarism in Japan</v>
      </c>
    </row>
    <row r="32" spans="1:4" ht="22.5" customHeight="1" x14ac:dyDescent="0.15">
      <c r="A32" s="3" t="s">
        <v>269</v>
      </c>
      <c r="B32" s="3" t="s">
        <v>270</v>
      </c>
      <c r="C32" s="3" t="s">
        <v>271</v>
      </c>
      <c r="D32" t="str">
        <f>_xlfn.CONCAT(Table3[[#This Row],['#]],": ",Table3[[#This Row],[Framework]])</f>
        <v>10.05d.4: Great Depression &amp; Totalitarian Dictators</v>
      </c>
    </row>
    <row r="33" spans="1:4" ht="22.5" customHeight="1" x14ac:dyDescent="0.15">
      <c r="A33" s="3" t="s">
        <v>272</v>
      </c>
      <c r="B33" s="3" t="s">
        <v>273</v>
      </c>
      <c r="C33" s="3" t="s">
        <v>274</v>
      </c>
      <c r="D33" t="str">
        <f>_xlfn.CONCAT(Table3[[#This Row],['#]],": ",Table3[[#This Row],[Framework]])</f>
        <v>10.05e.1: Armenian Genocide, Ukranian Holodomor, &amp; the Holocaust</v>
      </c>
    </row>
    <row r="34" spans="1:4" ht="22.5" customHeight="1" x14ac:dyDescent="0.15">
      <c r="A34" s="3" t="s">
        <v>275</v>
      </c>
      <c r="B34" s="3" t="s">
        <v>276</v>
      </c>
      <c r="C34" s="3" t="s">
        <v>277</v>
      </c>
      <c r="D34" t="str">
        <f>_xlfn.CONCAT(Table3[[#This Row],['#]],": ",Table3[[#This Row],[Framework]])</f>
        <v>10.06a.1: Conceptions of Peace vs the Reality of Post-War Europe</v>
      </c>
    </row>
    <row r="35" spans="1:4" ht="22.5" customHeight="1" x14ac:dyDescent="0.15">
      <c r="A35" s="3" t="s">
        <v>278</v>
      </c>
      <c r="B35" s="3" t="s">
        <v>279</v>
      </c>
      <c r="C35" s="3" t="s">
        <v>280</v>
      </c>
      <c r="D35" t="str">
        <f>_xlfn.CONCAT(Table3[[#This Row],['#]],": ",Table3[[#This Row],[Framework]])</f>
        <v>10.06b.1: Cuba, Vietnam, Afghanistan</v>
      </c>
    </row>
    <row r="36" spans="1:4" ht="22.5" customHeight="1" x14ac:dyDescent="0.15">
      <c r="A36" s="3" t="s">
        <v>281</v>
      </c>
      <c r="B36" s="3" t="s">
        <v>282</v>
      </c>
      <c r="C36" s="3" t="s">
        <v>283</v>
      </c>
      <c r="D36" t="str">
        <f>_xlfn.CONCAT(Table3[[#This Row],['#]],": ",Table3[[#This Row],[Framework]])</f>
        <v>10.06b.2: Military Alliances, Nuclear Proliferation, &amp; the Military-Industrial Complex</v>
      </c>
    </row>
    <row r="37" spans="1:4" ht="22.5" customHeight="1" x14ac:dyDescent="0.15">
      <c r="A37" s="3" t="s">
        <v>284</v>
      </c>
      <c r="B37" s="3" t="s">
        <v>285</v>
      </c>
      <c r="C37" s="3" t="s">
        <v>286</v>
      </c>
      <c r="D37" t="str">
        <f>_xlfn.CONCAT(Table3[[#This Row],['#]],": ",Table3[[#This Row],[Framework]])</f>
        <v>10.06b.3: Nonalignment</v>
      </c>
    </row>
    <row r="38" spans="1:4" ht="22.5" customHeight="1" x14ac:dyDescent="0.15">
      <c r="A38" s="3" t="s">
        <v>287</v>
      </c>
      <c r="B38" s="3" t="s">
        <v>288</v>
      </c>
      <c r="C38" s="3" t="s">
        <v>289</v>
      </c>
      <c r="D38" t="str">
        <f>_xlfn.CONCAT(Table3[[#This Row],['#]],": ",Table3[[#This Row],[Framework]])</f>
        <v>10.06b.4: Détente Perspectives</v>
      </c>
    </row>
    <row r="39" spans="1:4" ht="22.5" customHeight="1" x14ac:dyDescent="0.15">
      <c r="A39" s="3" t="s">
        <v>290</v>
      </c>
      <c r="B39" s="3" t="s">
        <v>291</v>
      </c>
      <c r="C39" s="3" t="s">
        <v>292</v>
      </c>
      <c r="D39" t="str">
        <f>_xlfn.CONCAT(Table3[[#This Row],['#]],": ",Table3[[#This Row],[Framework]])</f>
        <v>10.06c.1: Glasnost &amp; Perestroika Reforms</v>
      </c>
    </row>
    <row r="40" spans="1:4" ht="22.5" customHeight="1" x14ac:dyDescent="0.15">
      <c r="A40" s="3" t="s">
        <v>293</v>
      </c>
      <c r="B40" s="3" t="s">
        <v>294</v>
      </c>
      <c r="C40" s="3" t="s">
        <v>295</v>
      </c>
      <c r="D40" t="str">
        <f>_xlfn.CONCAT(Table3[[#This Row],['#]],": ",Table3[[#This Row],[Framework]])</f>
        <v>10.06c.2: Impact of Reform on the Soviet Union, Bloc, and the World</v>
      </c>
    </row>
    <row r="41" spans="1:4" ht="22.5" customHeight="1" x14ac:dyDescent="0.15">
      <c r="A41" s="3" t="s">
        <v>296</v>
      </c>
      <c r="B41" s="3" t="s">
        <v>297</v>
      </c>
      <c r="C41" s="3" t="s">
        <v>298</v>
      </c>
      <c r="D41" t="str">
        <f>_xlfn.CONCAT(Table3[[#This Row],['#]],": ",Table3[[#This Row],[Framework]])</f>
        <v>10.07a.1: Gandhi’s Nonviolent Nationalist Movement, the Muslim League, &amp; Partition</v>
      </c>
    </row>
    <row r="42" spans="1:4" ht="22.5" customHeight="1" x14ac:dyDescent="0.15">
      <c r="A42" s="3" t="s">
        <v>299</v>
      </c>
      <c r="B42" s="3" t="s">
        <v>300</v>
      </c>
      <c r="C42" s="3" t="s">
        <v>301</v>
      </c>
      <c r="D42" t="str">
        <f>_xlfn.CONCAT(Table3[[#This Row],['#]],": ",Table3[[#This Row],[Framework]])</f>
        <v>10.07a.2: Comparing Gandhi &amp; Ho Chi Minh</v>
      </c>
    </row>
    <row r="43" spans="1:4" ht="22.5" customHeight="1" x14ac:dyDescent="0.15">
      <c r="A43" s="3" t="s">
        <v>302</v>
      </c>
      <c r="B43" s="3" t="s">
        <v>303</v>
      </c>
      <c r="C43" s="3" t="s">
        <v>304</v>
      </c>
      <c r="D43" t="str">
        <f>_xlfn.CONCAT(Table3[[#This Row],['#]],": ",Table3[[#This Row],[Framework]])</f>
        <v>10.07b.1: Ghana, Algeria, and/or Kenya</v>
      </c>
    </row>
    <row r="44" spans="1:4" ht="22.5" customHeight="1" x14ac:dyDescent="0.15">
      <c r="A44" s="3" t="s">
        <v>305</v>
      </c>
      <c r="B44" s="3" t="s">
        <v>306</v>
      </c>
      <c r="C44" s="3" t="s">
        <v>307</v>
      </c>
      <c r="D44" t="str">
        <f>_xlfn.CONCAT(Table3[[#This Row],['#]],": ",Table3[[#This Row],[Framework]])</f>
        <v>10.07c.1: Zionism, Mandates, &amp; Arab Nationalism</v>
      </c>
    </row>
    <row r="45" spans="1:4" ht="22.5" customHeight="1" x14ac:dyDescent="0.15">
      <c r="A45" s="3" t="s">
        <v>308</v>
      </c>
      <c r="B45" s="3" t="s">
        <v>309</v>
      </c>
      <c r="C45" s="3" t="s">
        <v>310</v>
      </c>
      <c r="D45" t="str">
        <f>_xlfn.CONCAT(Table3[[#This Row],['#]],": ",Table3[[#This Row],[Framework]])</f>
        <v>10.07c.2: Arab-Israeli Conflict</v>
      </c>
    </row>
    <row r="46" spans="1:4" ht="22.5" customHeight="1" x14ac:dyDescent="0.15">
      <c r="A46" s="3" t="s">
        <v>311</v>
      </c>
      <c r="B46" s="3" t="s">
        <v>312</v>
      </c>
      <c r="C46" s="3" t="s">
        <v>313</v>
      </c>
      <c r="D46" t="str">
        <f>_xlfn.CONCAT(Table3[[#This Row],['#]],": ",Table3[[#This Row],[Framework]])</f>
        <v>10.07d.1: Chinese Civil War, Communist China, &amp; Nationalist Taiwan</v>
      </c>
    </row>
    <row r="47" spans="1:4" ht="22.5" customHeight="1" x14ac:dyDescent="0.15">
      <c r="A47" s="3" t="s">
        <v>314</v>
      </c>
      <c r="B47" s="3" t="s">
        <v>315</v>
      </c>
      <c r="C47" s="3" t="s">
        <v>316</v>
      </c>
      <c r="D47" t="str">
        <f>_xlfn.CONCAT(Table3[[#This Row],['#]],": ",Table3[[#This Row],[Framework]])</f>
        <v>10.07d.2: Comparing Mao Zedong &amp; Deng Xiaoping</v>
      </c>
    </row>
    <row r="48" spans="1:4" ht="22.5" customHeight="1" x14ac:dyDescent="0.15">
      <c r="A48" s="3" t="s">
        <v>317</v>
      </c>
      <c r="B48" s="3" t="s">
        <v>318</v>
      </c>
      <c r="C48" s="3" t="s">
        <v>319</v>
      </c>
      <c r="D48" t="str">
        <f>_xlfn.CONCAT(Table3[[#This Row],['#]],": ",Table3[[#This Row],[Framework]])</f>
        <v>10.08a.1: Changes in Social Roles &amp; Institutions</v>
      </c>
    </row>
    <row r="49" spans="1:4" ht="22.5" customHeight="1" x14ac:dyDescent="0.15">
      <c r="A49" s="3" t="s">
        <v>320</v>
      </c>
      <c r="B49" s="3" t="s">
        <v>321</v>
      </c>
      <c r="C49" s="3" t="s">
        <v>322</v>
      </c>
      <c r="D49" t="str">
        <f>_xlfn.CONCAT(Table3[[#This Row],['#]],": ",Table3[[#This Row],[Framework]])</f>
        <v>10.08b.1: Comparing Turkey (Kemal Atatürk) &amp; Iran (Pahlavis &amp; the Ayatollahs)</v>
      </c>
    </row>
    <row r="50" spans="1:4" ht="22.5" customHeight="1" x14ac:dyDescent="0.15">
      <c r="A50" s="3" t="s">
        <v>323</v>
      </c>
      <c r="B50" s="3" t="s">
        <v>324</v>
      </c>
      <c r="C50" s="3" t="s">
        <v>325</v>
      </c>
      <c r="D50" t="str">
        <f>_xlfn.CONCAT(Table3[[#This Row],['#]],": ",Table3[[#This Row],[Framework]])</f>
        <v>10.08b.2: Advancements in Communications &amp; Transportation Effect on Authority</v>
      </c>
    </row>
    <row r="51" spans="1:4" ht="22.5" customHeight="1" x14ac:dyDescent="0.15">
      <c r="A51" s="3" t="s">
        <v>326</v>
      </c>
      <c r="B51" s="3" t="s">
        <v>327</v>
      </c>
      <c r="C51" s="3" t="s">
        <v>328</v>
      </c>
      <c r="D51" t="str">
        <f>_xlfn.CONCAT(Table3[[#This Row],['#]],": ",Table3[[#This Row],[Framework]])</f>
        <v>10.09a.1: Information &amp; Business Changes</v>
      </c>
    </row>
    <row r="52" spans="1:4" ht="22.5" customHeight="1" x14ac:dyDescent="0.15">
      <c r="A52" s="3" t="s">
        <v>329</v>
      </c>
      <c r="B52" s="3" t="s">
        <v>330</v>
      </c>
      <c r="C52" s="3" t="s">
        <v>331</v>
      </c>
      <c r="D52" t="str">
        <f>_xlfn.CONCAT(Table3[[#This Row],['#]],": ",Table3[[#This Row],[Framework]])</f>
        <v>10.09a.2: Infectious Diseases Response</v>
      </c>
    </row>
    <row r="53" spans="1:4" ht="22.5" customHeight="1" x14ac:dyDescent="0.15">
      <c r="A53" s="3" t="s">
        <v>332</v>
      </c>
      <c r="B53" s="3" t="s">
        <v>333</v>
      </c>
      <c r="C53" s="3" t="s">
        <v>334</v>
      </c>
      <c r="D53" t="str">
        <f>_xlfn.CONCAT(Table3[[#This Row],['#]],": ",Table3[[#This Row],[Framework]])</f>
        <v>10.09b.1: Globalization Arguments</v>
      </c>
    </row>
    <row r="54" spans="1:4" ht="22.5" customHeight="1" x14ac:dyDescent="0.15">
      <c r="A54" s="3" t="s">
        <v>335</v>
      </c>
      <c r="B54" s="3" t="s">
        <v>336</v>
      </c>
      <c r="C54" s="3" t="s">
        <v>337</v>
      </c>
      <c r="D54" t="str">
        <f>_xlfn.CONCAT(Table3[[#This Row],['#]],": ",Table3[[#This Row],[Framework]])</f>
        <v>10.09c.1: Population Growth &amp; Distribution</v>
      </c>
    </row>
    <row r="55" spans="1:4" ht="22.5" customHeight="1" x14ac:dyDescent="0.15">
      <c r="A55" s="3" t="s">
        <v>338</v>
      </c>
      <c r="B55" s="3" t="s">
        <v>339</v>
      </c>
      <c r="C55" s="3" t="s">
        <v>340</v>
      </c>
      <c r="D55" t="str">
        <f>_xlfn.CONCAT(Table3[[#This Row],['#]],": ",Table3[[#This Row],[Framework]])</f>
        <v>10.09c.2: Industrial Agriculture</v>
      </c>
    </row>
    <row r="56" spans="1:4" ht="22.5" customHeight="1" x14ac:dyDescent="0.15">
      <c r="A56" s="3" t="s">
        <v>341</v>
      </c>
      <c r="B56" s="3" t="s">
        <v>342</v>
      </c>
      <c r="C56" s="3" t="s">
        <v>343</v>
      </c>
      <c r="D56" t="str">
        <f>_xlfn.CONCAT(Table3[[#This Row],['#]],": ",Table3[[#This Row],[Framework]])</f>
        <v>10.09c.3: Environmental Strains</v>
      </c>
    </row>
    <row r="57" spans="1:4" ht="22.5" customHeight="1" x14ac:dyDescent="0.15">
      <c r="A57" s="3" t="s">
        <v>344</v>
      </c>
      <c r="B57" s="3" t="s">
        <v>345</v>
      </c>
      <c r="C57" s="3" t="s">
        <v>346</v>
      </c>
      <c r="D57" t="str">
        <f>_xlfn.CONCAT(Table3[[#This Row],['#]],": ",Table3[[#This Row],[Framework]])</f>
        <v>10.09d.1: Attempts at Cooperation with the UN, NATO, EU, &amp; NGOs</v>
      </c>
    </row>
    <row r="58" spans="1:4" ht="22.5" customHeight="1" x14ac:dyDescent="0.15">
      <c r="A58" s="3" t="s">
        <v>347</v>
      </c>
      <c r="B58" s="3" t="s">
        <v>348</v>
      </c>
      <c r="C58" s="3" t="s">
        <v>349</v>
      </c>
      <c r="D58" t="str">
        <f>_xlfn.CONCAT(Table3[[#This Row],['#]],": ",Table3[[#This Row],[Framework]])</f>
        <v>10.09d.2: Organizations &amp; International Action against Environmental Issues</v>
      </c>
    </row>
    <row r="59" spans="1:4" ht="22.5" customHeight="1" x14ac:dyDescent="0.15">
      <c r="A59" s="3" t="s">
        <v>350</v>
      </c>
      <c r="B59" s="3" t="s">
        <v>351</v>
      </c>
      <c r="C59" s="3" t="s">
        <v>352</v>
      </c>
      <c r="D59" t="str">
        <f>_xlfn.CONCAT(Table3[[#This Row],['#]],": ",Table3[[#This Row],[Framework]])</f>
        <v>10.09d.3: Threats to Global Security</v>
      </c>
    </row>
    <row r="60" spans="1:4" ht="22.5" customHeight="1" x14ac:dyDescent="0.15">
      <c r="A60" s="3" t="s">
        <v>353</v>
      </c>
      <c r="B60" s="3" t="s">
        <v>354</v>
      </c>
      <c r="C60" s="3" t="s">
        <v>355</v>
      </c>
      <c r="D60" t="str">
        <f>_xlfn.CONCAT(Table3[[#This Row],['#]],": ",Table3[[#This Row],[Framework]])</f>
        <v>10.10a.1: Impact of the Holocaust, Nuremberg Trials, &amp; Tokyo Trials</v>
      </c>
    </row>
    <row r="61" spans="1:4" ht="22.5" customHeight="1" x14ac:dyDescent="0.15">
      <c r="A61" s="3" t="s">
        <v>356</v>
      </c>
      <c r="B61" s="3" t="s">
        <v>357</v>
      </c>
      <c r="C61" s="3" t="s">
        <v>358</v>
      </c>
      <c r="D61" t="str">
        <f>_xlfn.CONCAT(Table3[[#This Row],['#]],": ",Table3[[#This Row],[Framework]])</f>
        <v>10.10a.2: The United Nations Universal Declaration of Human Rights (1948)</v>
      </c>
    </row>
    <row r="62" spans="1:4" ht="22.5" customHeight="1" x14ac:dyDescent="0.15">
      <c r="A62" s="3" t="s">
        <v>359</v>
      </c>
      <c r="B62" s="3" t="s">
        <v>360</v>
      </c>
      <c r="C62" s="3" t="s">
        <v>361</v>
      </c>
      <c r="D62" t="str">
        <f>_xlfn.CONCAT(Table3[[#This Row],['#]],": ",Table3[[#This Row],[Framework]])</f>
        <v>10.10b.1: Treaties &amp; International Courts</v>
      </c>
    </row>
    <row r="63" spans="1:4" ht="22.5" customHeight="1" x14ac:dyDescent="0.15">
      <c r="A63" s="3" t="s">
        <v>362</v>
      </c>
      <c r="B63" s="3" t="s">
        <v>363</v>
      </c>
      <c r="C63" s="3" t="s">
        <v>364</v>
      </c>
      <c r="D63" t="str">
        <f>_xlfn.CONCAT(Table3[[#This Row],['#]],": ",Table3[[#This Row],[Framework]])</f>
        <v>10.10b.2: International Organization for Peace, Stability, Prosperity, &amp; Protection from Violence</v>
      </c>
    </row>
    <row r="64" spans="1:4" ht="22.5" customHeight="1" x14ac:dyDescent="0.15">
      <c r="A64" s="3" t="s">
        <v>365</v>
      </c>
      <c r="B64" s="3" t="s">
        <v>366</v>
      </c>
      <c r="C64" s="3" t="s">
        <v>367</v>
      </c>
      <c r="D64" t="str">
        <f>_xlfn.CONCAT(Table3[[#This Row],['#]],": ",Table3[[#This Row],[Framework]])</f>
        <v>10.10c.1: Atrocities of Augusto Pinochet, Deng Xiaoping, &amp; Slobodan Milosevic</v>
      </c>
    </row>
    <row r="65" spans="1:4" ht="22.5" customHeight="1" x14ac:dyDescent="0.15">
      <c r="A65" s="3" t="s">
        <v>368</v>
      </c>
      <c r="B65" s="3" t="s">
        <v>369</v>
      </c>
      <c r="C65" s="3" t="s">
        <v>370</v>
      </c>
      <c r="D65" t="str">
        <f>_xlfn.CONCAT(Table3[[#This Row],['#]],": ",Table3[[#This Row],[Framework]])</f>
        <v>10.10c.2: Perpetrators &amp; Bystanders in Cambodia, Rwanda, &amp; Darfur</v>
      </c>
    </row>
    <row r="66" spans="1:4" ht="22.5" customHeight="1" x14ac:dyDescent="0.15">
      <c r="A66" s="3" t="s">
        <v>371</v>
      </c>
      <c r="B66" s="3" t="s">
        <v>372</v>
      </c>
      <c r="C66" s="3" t="s">
        <v>373</v>
      </c>
      <c r="D66" t="str">
        <f>_xlfn.CONCAT(Table3[[#This Row],['#]],": ",Table3[[#This Row],[Framework]])</f>
        <v>10.10c.3: Anti-Apartheid &amp; Nelson Mandela</v>
      </c>
    </row>
    <row r="67" spans="1:4" ht="22.5" customHeight="1" x14ac:dyDescent="0.15">
      <c r="A67" s="3" t="s">
        <v>374</v>
      </c>
      <c r="B67" s="3" t="s">
        <v>375</v>
      </c>
      <c r="C67" s="3" t="s">
        <v>376</v>
      </c>
      <c r="D67" t="str">
        <f>_xlfn.CONCAT(Table3[[#This Row],['#]],": ",Table3[[#This Row],[Framework]])</f>
        <v>10.10c.4: Efforts to Address Human Rights Violations</v>
      </c>
    </row>
    <row r="68" spans="1:4" ht="22.5" customHeight="1" x14ac:dyDescent="0.15">
      <c r="A68" s="3" t="s">
        <v>377</v>
      </c>
      <c r="B68" s="3" t="s">
        <v>378</v>
      </c>
      <c r="C68" s="3" t="s">
        <v>379</v>
      </c>
      <c r="D68" t="str">
        <f>_xlfn.CONCAT(Table3[[#This Row],['#]],": ",Table3[[#This Row],[Framework]])</f>
        <v>11.01a.1: European Colonizing Nations</v>
      </c>
    </row>
    <row r="69" spans="1:4" ht="22.5" customHeight="1" x14ac:dyDescent="0.15">
      <c r="A69" s="3" t="s">
        <v>380</v>
      </c>
      <c r="B69" s="3" t="s">
        <v>381</v>
      </c>
      <c r="C69" s="3" t="s">
        <v>382</v>
      </c>
      <c r="D69" t="str">
        <f>_xlfn.CONCAT(Table3[[#This Row],['#]],": ",Table3[[#This Row],[Framework]])</f>
        <v>11.01a.2: Colonization Impact on Native Americans</v>
      </c>
    </row>
    <row r="70" spans="1:4" ht="22.5" customHeight="1" x14ac:dyDescent="0.15">
      <c r="A70" s="3" t="s">
        <v>383</v>
      </c>
      <c r="B70" s="3" t="s">
        <v>384</v>
      </c>
      <c r="C70" s="3" t="s">
        <v>385</v>
      </c>
      <c r="D70" t="str">
        <f>_xlfn.CONCAT(Table3[[#This Row],['#]],": ",Table3[[#This Row],[Framework]])</f>
        <v>11.01b.1: Geography &amp; Economic Systems</v>
      </c>
    </row>
    <row r="71" spans="1:4" ht="22.5" customHeight="1" x14ac:dyDescent="0.15">
      <c r="A71" s="3" t="s">
        <v>386</v>
      </c>
      <c r="B71" s="3" t="s">
        <v>387</v>
      </c>
      <c r="C71" s="3" t="s">
        <v>388</v>
      </c>
      <c r="D71" t="str">
        <f>_xlfn.CONCAT(Table3[[#This Row],['#]],": ",Table3[[#This Row],[Framework]])</f>
        <v>11.01b.2: Social Structures &amp; Labor</v>
      </c>
    </row>
    <row r="72" spans="1:4" ht="22.5" customHeight="1" x14ac:dyDescent="0.15">
      <c r="A72" s="3" t="s">
        <v>389</v>
      </c>
      <c r="B72" s="3" t="s">
        <v>390</v>
      </c>
      <c r="C72" s="3" t="s">
        <v>391</v>
      </c>
      <c r="D72" t="str">
        <f>_xlfn.CONCAT(Table3[[#This Row],['#]],": ",Table3[[#This Row],[Framework]])</f>
        <v>11.01b.3: Colonial Slavery</v>
      </c>
    </row>
    <row r="73" spans="1:4" ht="22.5" customHeight="1" x14ac:dyDescent="0.15">
      <c r="A73" s="3" t="s">
        <v>392</v>
      </c>
      <c r="B73" s="3" t="s">
        <v>393</v>
      </c>
      <c r="C73" s="3" t="s">
        <v>394</v>
      </c>
      <c r="D73" t="str">
        <f>_xlfn.CONCAT(Table3[[#This Row],['#]],": ",Table3[[#This Row],[Framework]])</f>
        <v>11.01c.1: Enlightenment &amp; British Traditions</v>
      </c>
    </row>
    <row r="74" spans="1:4" ht="22.5" customHeight="1" x14ac:dyDescent="0.15">
      <c r="A74" s="3" t="s">
        <v>395</v>
      </c>
      <c r="B74" s="3" t="s">
        <v>396</v>
      </c>
      <c r="C74" s="3" t="s">
        <v>397</v>
      </c>
      <c r="D74" t="str">
        <f>_xlfn.CONCAT(Table3[[#This Row],['#]],": ",Table3[[#This Row],[Framework]])</f>
        <v>11.01c.2: Colonial Democracy &amp; Key Documents</v>
      </c>
    </row>
    <row r="75" spans="1:4" ht="22.5" customHeight="1" x14ac:dyDescent="0.15">
      <c r="A75" s="3" t="s">
        <v>398</v>
      </c>
      <c r="B75" s="3" t="s">
        <v>399</v>
      </c>
      <c r="C75" s="3" t="s">
        <v>400</v>
      </c>
      <c r="D75" t="str">
        <f>_xlfn.CONCAT(Table3[[#This Row],['#]],": ",Table3[[#This Row],[Framework]])</f>
        <v>11.02a.1: British Control &amp; Colonial Resistance</v>
      </c>
    </row>
    <row r="76" spans="1:4" ht="22.5" customHeight="1" x14ac:dyDescent="0.15">
      <c r="A76" s="3" t="s">
        <v>401</v>
      </c>
      <c r="B76" s="3" t="s">
        <v>402</v>
      </c>
      <c r="C76" s="3" t="s">
        <v>403</v>
      </c>
      <c r="D76" t="str">
        <f>_xlfn.CONCAT(Table3[[#This Row],['#]],": ",Table3[[#This Row],[Framework]])</f>
        <v>11.02b.1: Declaration of Independence</v>
      </c>
    </row>
    <row r="77" spans="1:4" ht="22.5" customHeight="1" x14ac:dyDescent="0.15">
      <c r="A77" s="3" t="s">
        <v>404</v>
      </c>
      <c r="B77" s="3" t="s">
        <v>405</v>
      </c>
      <c r="C77" s="3" t="s">
        <v>406</v>
      </c>
      <c r="D77" t="str">
        <f>_xlfn.CONCAT(Table3[[#This Row],['#]],": ",Table3[[#This Row],[Framework]])</f>
        <v>11.02b.2: Impact on Marginalized Groups</v>
      </c>
    </row>
    <row r="78" spans="1:4" ht="22.5" customHeight="1" x14ac:dyDescent="0.15">
      <c r="A78" s="3" t="s">
        <v>407</v>
      </c>
      <c r="B78" s="3" t="s">
        <v>408</v>
      </c>
      <c r="C78" s="3" t="s">
        <v>409</v>
      </c>
      <c r="D78" t="str">
        <f>_xlfn.CONCAT(Table3[[#This Row],['#]],": ",Table3[[#This Row],[Framework]])</f>
        <v>11.02c.1: Articles of Confederation</v>
      </c>
    </row>
    <row r="79" spans="1:4" ht="22.5" customHeight="1" x14ac:dyDescent="0.15">
      <c r="A79" s="3" t="s">
        <v>410</v>
      </c>
      <c r="B79" s="3" t="s">
        <v>411</v>
      </c>
      <c r="C79" s="3" t="s">
        <v>412</v>
      </c>
      <c r="D79" t="str">
        <f>_xlfn.CONCAT(Table3[[#This Row],['#]],": ",Table3[[#This Row],[Framework]])</f>
        <v>11.02c.2: Constitution Development &amp; Debates</v>
      </c>
    </row>
    <row r="80" spans="1:4" ht="22.5" customHeight="1" x14ac:dyDescent="0.15">
      <c r="A80" s="3" t="s">
        <v>413</v>
      </c>
      <c r="B80" s="3" t="s">
        <v>414</v>
      </c>
      <c r="C80" s="3" t="s">
        <v>415</v>
      </c>
      <c r="D80" t="str">
        <f>_xlfn.CONCAT(Table3[[#This Row],['#]],": ",Table3[[#This Row],[Framework]])</f>
        <v>11.02c.3: Federal Government Structure &amp; Principles</v>
      </c>
    </row>
    <row r="81" spans="1:4" ht="22.5" customHeight="1" x14ac:dyDescent="0.15">
      <c r="A81" s="3" t="s">
        <v>416</v>
      </c>
      <c r="B81" s="3" t="s">
        <v>417</v>
      </c>
      <c r="C81" s="3" t="s">
        <v>418</v>
      </c>
      <c r="D81" t="str">
        <f>_xlfn.CONCAT(Table3[[#This Row],['#]],": ",Table3[[#This Row],[Framework]])</f>
        <v>11.02c.4: Federalist vs. Antifederalist</v>
      </c>
    </row>
    <row r="82" spans="1:4" ht="22.5" customHeight="1" x14ac:dyDescent="0.15">
      <c r="A82" s="3" t="s">
        <v>419</v>
      </c>
      <c r="B82" s="3" t="s">
        <v>420</v>
      </c>
      <c r="C82" s="3" t="s">
        <v>421</v>
      </c>
      <c r="D82" t="str">
        <f>_xlfn.CONCAT(Table3[[#This Row],['#]],": ",Table3[[#This Row],[Framework]])</f>
        <v>11.02c.5: Bill of Rights</v>
      </c>
    </row>
    <row r="83" spans="1:4" ht="22.5" customHeight="1" x14ac:dyDescent="0.15">
      <c r="A83" s="3" t="s">
        <v>422</v>
      </c>
      <c r="B83" s="3" t="s">
        <v>423</v>
      </c>
      <c r="C83" s="3" t="s">
        <v>424</v>
      </c>
      <c r="D83" t="str">
        <f>_xlfn.CONCAT(Table3[[#This Row],['#]],": ",Table3[[#This Row],[Framework]])</f>
        <v>11.02d.1: President George Washington</v>
      </c>
    </row>
    <row r="84" spans="1:4" ht="22.5" customHeight="1" x14ac:dyDescent="0.15">
      <c r="A84" s="3" t="s">
        <v>425</v>
      </c>
      <c r="B84" s="3" t="s">
        <v>426</v>
      </c>
      <c r="C84" s="3" t="s">
        <v>427</v>
      </c>
      <c r="D84" t="str">
        <f>_xlfn.CONCAT(Table3[[#This Row],['#]],": ",Table3[[#This Row],[Framework]])</f>
        <v>11.02d.2: Hamilton's Economic Plan &amp; Political Parties</v>
      </c>
    </row>
    <row r="85" spans="1:4" ht="22.5" customHeight="1" x14ac:dyDescent="0.15">
      <c r="A85" s="3" t="s">
        <v>428</v>
      </c>
      <c r="B85" s="3" t="s">
        <v>429</v>
      </c>
      <c r="C85" s="3" t="s">
        <v>430</v>
      </c>
      <c r="D85" t="str">
        <f>_xlfn.CONCAT(Table3[[#This Row],['#]],": ",Table3[[#This Row],[Framework]])</f>
        <v>11.02d.3: Peaceful Transfers of Power: 1800 vs. 2000</v>
      </c>
    </row>
    <row r="86" spans="1:4" ht="22.5" customHeight="1" x14ac:dyDescent="0.15">
      <c r="A86" s="3" t="s">
        <v>431</v>
      </c>
      <c r="B86" s="3" t="s">
        <v>432</v>
      </c>
      <c r="C86" s="3" t="s">
        <v>433</v>
      </c>
      <c r="D86" t="str">
        <f>_xlfn.CONCAT(Table3[[#This Row],['#]],": ",Table3[[#This Row],[Framework]])</f>
        <v>11.02d.4: Early Supreme Court Cases</v>
      </c>
    </row>
    <row r="87" spans="1:4" ht="22.5" customHeight="1" x14ac:dyDescent="0.15">
      <c r="A87" s="3" t="s">
        <v>434</v>
      </c>
      <c r="B87" s="3" t="s">
        <v>435</v>
      </c>
      <c r="C87" s="3" t="s">
        <v>436</v>
      </c>
      <c r="D87" t="str">
        <f>_xlfn.CONCAT(Table3[[#This Row],['#]],": ",Table3[[#This Row],[Framework]])</f>
        <v>11.03a.1: American Nationalism</v>
      </c>
    </row>
    <row r="88" spans="1:4" ht="22.5" customHeight="1" x14ac:dyDescent="0.15">
      <c r="A88" s="3" t="s">
        <v>437</v>
      </c>
      <c r="B88" s="3" t="s">
        <v>438</v>
      </c>
      <c r="C88" s="3" t="s">
        <v>439</v>
      </c>
      <c r="D88" t="str">
        <f>_xlfn.CONCAT(Table3[[#This Row],['#]],": ",Table3[[#This Row],[Framework]])</f>
        <v>11.03a.2: Market Revolution</v>
      </c>
    </row>
    <row r="89" spans="1:4" ht="22.5" customHeight="1" x14ac:dyDescent="0.15">
      <c r="A89" s="3" t="s">
        <v>440</v>
      </c>
      <c r="B89" s="3" t="s">
        <v>441</v>
      </c>
      <c r="C89" s="3" t="s">
        <v>442</v>
      </c>
      <c r="D89" t="str">
        <f>_xlfn.CONCAT(Table3[[#This Row],['#]],": ",Table3[[#This Row],[Framework]])</f>
        <v>11.03a.3: President Jackson</v>
      </c>
    </row>
    <row r="90" spans="1:4" ht="22.5" customHeight="1" x14ac:dyDescent="0.15">
      <c r="A90" s="3" t="s">
        <v>443</v>
      </c>
      <c r="B90" s="3" t="s">
        <v>444</v>
      </c>
      <c r="C90" s="3" t="s">
        <v>445</v>
      </c>
      <c r="D90" t="str">
        <f>_xlfn.CONCAT(Table3[[#This Row],['#]],": ",Table3[[#This Row],[Framework]])</f>
        <v>11.03b.1: Resolutions &amp; Nullifications</v>
      </c>
    </row>
    <row r="91" spans="1:4" ht="22.5" customHeight="1" x14ac:dyDescent="0.15">
      <c r="A91" s="3" t="s">
        <v>446</v>
      </c>
      <c r="B91" s="3" t="s">
        <v>447</v>
      </c>
      <c r="C91" s="3" t="s">
        <v>448</v>
      </c>
      <c r="D91" t="str">
        <f>_xlfn.CONCAT(Table3[[#This Row],['#]],": ",Table3[[#This Row],[Framework]])</f>
        <v>11.03b.2: Resistance &amp; Abolitionism</v>
      </c>
    </row>
    <row r="92" spans="1:4" ht="22.5" customHeight="1" x14ac:dyDescent="0.15">
      <c r="A92" s="3" t="s">
        <v>449</v>
      </c>
      <c r="B92" s="3" t="s">
        <v>450</v>
      </c>
      <c r="C92" s="3" t="s">
        <v>451</v>
      </c>
      <c r="D92" t="str">
        <f>_xlfn.CONCAT(Table3[[#This Row],['#]],": ",Table3[[#This Row],[Framework]])</f>
        <v>11.03b.3: Early Women's Rights Movement</v>
      </c>
    </row>
    <row r="93" spans="1:4" ht="22.5" customHeight="1" x14ac:dyDescent="0.15">
      <c r="A93" s="3" t="s">
        <v>452</v>
      </c>
      <c r="B93" s="3" t="s">
        <v>453</v>
      </c>
      <c r="C93" s="3" t="s">
        <v>454</v>
      </c>
      <c r="D93" t="str">
        <f>_xlfn.CONCAT(Table3[[#This Row],['#]],": ",Table3[[#This Row],[Framework]])</f>
        <v>11.03b.4: Expansion of Slavery</v>
      </c>
    </row>
    <row r="94" spans="1:4" ht="22.5" customHeight="1" x14ac:dyDescent="0.15">
      <c r="A94" s="3" t="s">
        <v>455</v>
      </c>
      <c r="B94" s="3" t="s">
        <v>456</v>
      </c>
      <c r="C94" s="3" t="s">
        <v>457</v>
      </c>
      <c r="D94" t="str">
        <f>_xlfn.CONCAT(Table3[[#This Row],['#]],": ",Table3[[#This Row],[Framework]])</f>
        <v>11.03c.1: Union vs. Confederacy</v>
      </c>
    </row>
    <row r="95" spans="1:4" ht="22.5" customHeight="1" x14ac:dyDescent="0.15">
      <c r="A95" s="3" t="s">
        <v>458</v>
      </c>
      <c r="B95" s="3" t="s">
        <v>459</v>
      </c>
      <c r="C95" s="3" t="s">
        <v>460</v>
      </c>
      <c r="D95" t="str">
        <f>_xlfn.CONCAT(Table3[[#This Row],['#]],": ",Table3[[#This Row],[Framework]])</f>
        <v>11.03c.2: Federal Power: Habeas Corpus &amp; Emancipation</v>
      </c>
    </row>
    <row r="96" spans="1:4" ht="22.5" customHeight="1" x14ac:dyDescent="0.15">
      <c r="A96" s="3" t="s">
        <v>461</v>
      </c>
      <c r="B96" s="3" t="s">
        <v>462</v>
      </c>
      <c r="C96" s="3" t="s">
        <v>463</v>
      </c>
      <c r="D96" t="str">
        <f>_xlfn.CONCAT(Table3[[#This Row],['#]],": ",Table3[[#This Row],[Framework]])</f>
        <v>11.03c.3: Gettysburg Address</v>
      </c>
    </row>
    <row r="97" spans="1:4" ht="22.5" customHeight="1" x14ac:dyDescent="0.15">
      <c r="A97" s="3" t="s">
        <v>464</v>
      </c>
      <c r="B97" s="3" t="s">
        <v>465</v>
      </c>
      <c r="C97" s="3" t="s">
        <v>466</v>
      </c>
      <c r="D97" t="str">
        <f>_xlfn.CONCAT(Table3[[#This Row],['#]],": ",Table3[[#This Row],[Framework]])</f>
        <v>11.04a.1: Amendments &amp; Reconstruction</v>
      </c>
    </row>
    <row r="98" spans="1:4" ht="22.5" customHeight="1" x14ac:dyDescent="0.15">
      <c r="A98" s="3" t="s">
        <v>467</v>
      </c>
      <c r="B98" s="3" t="s">
        <v>468</v>
      </c>
      <c r="C98" s="3" t="s">
        <v>469</v>
      </c>
      <c r="D98" t="str">
        <f>_xlfn.CONCAT(Table3[[#This Row],['#]],": ",Table3[[#This Row],[Framework]])</f>
        <v>11.04a.2: Limiting of Black Rights</v>
      </c>
    </row>
    <row r="99" spans="1:4" ht="22.5" customHeight="1" x14ac:dyDescent="0.15">
      <c r="A99" s="3" t="s">
        <v>470</v>
      </c>
      <c r="B99" s="3" t="s">
        <v>471</v>
      </c>
      <c r="C99" s="3" t="s">
        <v>472</v>
      </c>
      <c r="D99" t="str">
        <f>_xlfn.CONCAT(Table3[[#This Row],['#]],": ",Table3[[#This Row],[Framework]])</f>
        <v>11.04a.3: Freedmen's Pursuit of Independence</v>
      </c>
    </row>
    <row r="100" spans="1:4" ht="22.5" customHeight="1" x14ac:dyDescent="0.15">
      <c r="A100" s="3" t="s">
        <v>473</v>
      </c>
      <c r="B100" s="3" t="s">
        <v>474</v>
      </c>
      <c r="C100" s="3" t="s">
        <v>475</v>
      </c>
      <c r="D100" t="str">
        <f>_xlfn.CONCAT(Table3[[#This Row],['#]],": ",Table3[[#This Row],[Framework]])</f>
        <v>11.04a.4: End of Reconstruction</v>
      </c>
    </row>
    <row r="101" spans="1:4" ht="22.5" customHeight="1" x14ac:dyDescent="0.15">
      <c r="A101" s="3" t="s">
        <v>476</v>
      </c>
      <c r="B101" s="3" t="s">
        <v>477</v>
      </c>
      <c r="C101" s="3" t="s">
        <v>478</v>
      </c>
      <c r="D101" t="str">
        <f>_xlfn.CONCAT(Table3[[#This Row],['#]],": ",Table3[[#This Row],[Framework]])</f>
        <v>11.04b.1: Exclusion of Women &amp; Struggle for Rights</v>
      </c>
    </row>
    <row r="102" spans="1:4" ht="22.5" customHeight="1" x14ac:dyDescent="0.15">
      <c r="A102" s="3" t="s">
        <v>479</v>
      </c>
      <c r="B102" s="3" t="s">
        <v>480</v>
      </c>
      <c r="C102" s="3" t="s">
        <v>481</v>
      </c>
      <c r="D102" t="str">
        <f>_xlfn.CONCAT(Table3[[#This Row],['#]],": ",Table3[[#This Row],[Framework]])</f>
        <v>11.04c.1: Federal Policies &amp; Western Expansion</v>
      </c>
    </row>
    <row r="103" spans="1:4" ht="22.5" customHeight="1" x14ac:dyDescent="0.15">
      <c r="A103" s="3" t="s">
        <v>482</v>
      </c>
      <c r="B103" s="3" t="s">
        <v>483</v>
      </c>
      <c r="C103" s="3" t="s">
        <v>484</v>
      </c>
      <c r="D103" t="str">
        <f>_xlfn.CONCAT(Table3[[#This Row],['#]],": ",Table3[[#This Row],[Framework]])</f>
        <v>11.04c.2: Western Expansion &amp; Native American Impact</v>
      </c>
    </row>
    <row r="104" spans="1:4" ht="22.5" customHeight="1" x14ac:dyDescent="0.15">
      <c r="A104" s="3" t="s">
        <v>485</v>
      </c>
      <c r="B104" s="3" t="s">
        <v>486</v>
      </c>
      <c r="C104" s="3" t="s">
        <v>487</v>
      </c>
      <c r="D104" t="str">
        <f>_xlfn.CONCAT(Table3[[#This Row],['#]],": ",Table3[[#This Row],[Framework]])</f>
        <v>11.04d.1: Treatment of Mexicans &amp; Mexican Americans</v>
      </c>
    </row>
    <row r="105" spans="1:4" ht="22.5" customHeight="1" x14ac:dyDescent="0.15">
      <c r="A105" s="3" t="s">
        <v>488</v>
      </c>
      <c r="B105" s="3" t="s">
        <v>489</v>
      </c>
      <c r="C105" s="3" t="s">
        <v>490</v>
      </c>
      <c r="D105" t="str">
        <f>_xlfn.CONCAT(Table3[[#This Row],['#]],": ",Table3[[#This Row],[Framework]])</f>
        <v>11.04d.2: Chinese Immigration &amp; Exclusion</v>
      </c>
    </row>
    <row r="106" spans="1:4" ht="22.5" customHeight="1" x14ac:dyDescent="0.15">
      <c r="A106" s="3" t="s">
        <v>491</v>
      </c>
      <c r="B106" s="3" t="s">
        <v>492</v>
      </c>
      <c r="C106" s="3" t="s">
        <v>493</v>
      </c>
      <c r="D106" t="str">
        <f>_xlfn.CONCAT(Table3[[#This Row],['#]],": ",Table3[[#This Row],[Framework]])</f>
        <v>11.05a.1: Technological Innovations</v>
      </c>
    </row>
    <row r="107" spans="1:4" ht="22.5" customHeight="1" x14ac:dyDescent="0.15">
      <c r="A107" s="3" t="s">
        <v>494</v>
      </c>
      <c r="B107" s="3" t="s">
        <v>495</v>
      </c>
      <c r="C107" s="3" t="s">
        <v>496</v>
      </c>
      <c r="D107" t="str">
        <f>_xlfn.CONCAT(Table3[[#This Row],['#]],": ",Table3[[#This Row],[Framework]])</f>
        <v>11.05a.2: Growth of Industrial Businesses</v>
      </c>
    </row>
    <row r="108" spans="1:4" ht="22.5" customHeight="1" x14ac:dyDescent="0.15">
      <c r="A108" s="3" t="s">
        <v>497</v>
      </c>
      <c r="B108" s="3" t="s">
        <v>498</v>
      </c>
      <c r="C108" s="3" t="s">
        <v>499</v>
      </c>
      <c r="D108" t="str">
        <f>_xlfn.CONCAT(Table3[[#This Row],['#]],": ",Table3[[#This Row],[Framework]])</f>
        <v>11.05a.3: Regulation vs Monopolies</v>
      </c>
    </row>
    <row r="109" spans="1:4" ht="22.5" customHeight="1" x14ac:dyDescent="0.15">
      <c r="A109" s="3" t="s">
        <v>500</v>
      </c>
      <c r="B109" s="3" t="s">
        <v>501</v>
      </c>
      <c r="C109" s="3" t="s">
        <v>502</v>
      </c>
      <c r="D109" t="str">
        <f>_xlfn.CONCAT(Table3[[#This Row],['#]],": ",Table3[[#This Row],[Framework]])</f>
        <v>11.05b.1: Urbanization &amp; Immigration</v>
      </c>
    </row>
    <row r="110" spans="1:4" ht="22.5" customHeight="1" x14ac:dyDescent="0.15">
      <c r="A110" s="3" t="s">
        <v>503</v>
      </c>
      <c r="B110" s="3" t="s">
        <v>504</v>
      </c>
      <c r="C110" s="3" t="s">
        <v>505</v>
      </c>
      <c r="D110" t="str">
        <f>_xlfn.CONCAT(Table3[[#This Row],['#]],": ",Table3[[#This Row],[Framework]])</f>
        <v>11.05b.2: Grange Movement &amp; Populist Party</v>
      </c>
    </row>
    <row r="111" spans="1:4" ht="22.5" customHeight="1" x14ac:dyDescent="0.15">
      <c r="A111" s="3" t="s">
        <v>506</v>
      </c>
      <c r="B111" s="3" t="s">
        <v>507</v>
      </c>
      <c r="C111" s="3" t="s">
        <v>508</v>
      </c>
      <c r="D111" t="str">
        <f>_xlfn.CONCAT(Table3[[#This Row],['#]],": ",Table3[[#This Row],[Framework]])</f>
        <v>11.05b.3: Early Unionization</v>
      </c>
    </row>
    <row r="112" spans="1:4" ht="22.5" customHeight="1" x14ac:dyDescent="0.15">
      <c r="A112" s="3" t="s">
        <v>509</v>
      </c>
      <c r="B112" s="3" t="s">
        <v>510</v>
      </c>
      <c r="C112" s="3" t="s">
        <v>511</v>
      </c>
      <c r="D112" t="str">
        <f>_xlfn.CONCAT(Table3[[#This Row],['#]],": ",Table3[[#This Row],[Framework]])</f>
        <v>11.05b.4: Progressive Era</v>
      </c>
    </row>
    <row r="113" spans="1:4" ht="22.5" customHeight="1" x14ac:dyDescent="0.15">
      <c r="A113" s="3" t="s">
        <v>512</v>
      </c>
      <c r="B113" s="3" t="s">
        <v>513</v>
      </c>
      <c r="C113" s="3" t="s">
        <v>514</v>
      </c>
      <c r="D113" t="str">
        <f>_xlfn.CONCAT(Table3[[#This Row],['#]],": ",Table3[[#This Row],[Framework]])</f>
        <v>11.05b.5: Women's Suffrage</v>
      </c>
    </row>
    <row r="114" spans="1:4" ht="22.5" customHeight="1" x14ac:dyDescent="0.15">
      <c r="A114" s="3" t="s">
        <v>515</v>
      </c>
      <c r="B114" s="3" t="s">
        <v>516</v>
      </c>
      <c r="C114" s="3" t="s">
        <v>517</v>
      </c>
      <c r="D114" t="str">
        <f>_xlfn.CONCAT(Table3[[#This Row],['#]],": ",Table3[[#This Row],[Framework]])</f>
        <v>11.05b.6: Temperance &amp; Prohibition</v>
      </c>
    </row>
    <row r="115" spans="1:4" ht="22.5" customHeight="1" x14ac:dyDescent="0.15">
      <c r="A115" s="3" t="s">
        <v>518</v>
      </c>
      <c r="B115" s="3" t="s">
        <v>519</v>
      </c>
      <c r="C115" s="3" t="s">
        <v>520</v>
      </c>
      <c r="D115" t="str">
        <f>_xlfn.CONCAT(Table3[[#This Row],['#]],": ",Table3[[#This Row],[Framework]])</f>
        <v>11.05b.7: Influential Documents of the Progressive Era</v>
      </c>
    </row>
    <row r="116" spans="1:4" ht="22.5" customHeight="1" x14ac:dyDescent="0.15">
      <c r="A116" s="3" t="s">
        <v>521</v>
      </c>
      <c r="B116" s="3" t="s">
        <v>522</v>
      </c>
      <c r="C116" s="3" t="s">
        <v>523</v>
      </c>
      <c r="D116" t="str">
        <f>_xlfn.CONCAT(Table3[[#This Row],['#]],": ",Table3[[#This Row],[Framework]])</f>
        <v>11.06a.1: Gowing Economic Interests, Foreign Involvement, &amp; Hawaii</v>
      </c>
    </row>
    <row r="117" spans="1:4" ht="22.5" customHeight="1" x14ac:dyDescent="0.15">
      <c r="A117" s="3" t="s">
        <v>524</v>
      </c>
      <c r="B117" s="3" t="s">
        <v>525</v>
      </c>
      <c r="C117" s="3" t="s">
        <v>526</v>
      </c>
      <c r="D117" t="str">
        <f>_xlfn.CONCAT(Table3[[#This Row],['#]],": ",Table3[[#This Row],[Framework]])</f>
        <v>11.06a.2: Spanish American War</v>
      </c>
    </row>
    <row r="118" spans="1:4" ht="22.5" customHeight="1" x14ac:dyDescent="0.15">
      <c r="A118" s="3" t="s">
        <v>527</v>
      </c>
      <c r="B118" s="3" t="s">
        <v>528</v>
      </c>
      <c r="C118" s="3" t="s">
        <v>529</v>
      </c>
      <c r="D118" t="str">
        <f>_xlfn.CONCAT(Table3[[#This Row],['#]],": ",Table3[[#This Row],[Framework]])</f>
        <v>11.06a.3: (Anti) Imperialism &amp; the Philippines</v>
      </c>
    </row>
    <row r="119" spans="1:4" ht="22.5" customHeight="1" x14ac:dyDescent="0.15">
      <c r="A119" s="3" t="s">
        <v>530</v>
      </c>
      <c r="B119" s="3" t="s">
        <v>531</v>
      </c>
      <c r="C119" s="3" t="s">
        <v>532</v>
      </c>
      <c r="D119" t="str">
        <f>_xlfn.CONCAT(Table3[[#This Row],['#]],": ",Table3[[#This Row],[Framework]])</f>
        <v>11.06a.4: Imperialism in the Caribbean &amp; Latin America</v>
      </c>
    </row>
    <row r="120" spans="1:4" ht="22.5" customHeight="1" x14ac:dyDescent="0.15">
      <c r="A120" s="3" t="s">
        <v>533</v>
      </c>
      <c r="B120" s="3" t="s">
        <v>534</v>
      </c>
      <c r="C120" s="3" t="s">
        <v>535</v>
      </c>
      <c r="D120" t="str">
        <f>_xlfn.CONCAT(Table3[[#This Row],['#]],": ",Table3[[#This Row],[Framework]])</f>
        <v>11.06b.1: President Wilson: Neutrality to Involvement</v>
      </c>
    </row>
    <row r="121" spans="1:4" ht="22.5" customHeight="1" x14ac:dyDescent="0.15">
      <c r="A121" s="3" t="s">
        <v>536</v>
      </c>
      <c r="B121" s="3" t="s">
        <v>537</v>
      </c>
      <c r="C121" s="3" t="s">
        <v>538</v>
      </c>
      <c r="D121" t="str">
        <f>_xlfn.CONCAT(Table3[[#This Row],['#]],": ",Table3[[#This Row],[Framework]])</f>
        <v>11.06b.2: Attempts at Peace after WWI</v>
      </c>
    </row>
    <row r="122" spans="1:4" ht="22.5" customHeight="1" x14ac:dyDescent="0.15">
      <c r="A122" s="3" t="s">
        <v>539</v>
      </c>
      <c r="B122" s="3" t="s">
        <v>540</v>
      </c>
      <c r="C122" s="3" t="s">
        <v>541</v>
      </c>
      <c r="D122" t="str">
        <f>_xlfn.CONCAT(Table3[[#This Row],['#]],": ",Table3[[#This Row],[Framework]])</f>
        <v>11.06b.3: Unsuccessful Ratification of the Treaty of Versailles</v>
      </c>
    </row>
    <row r="123" spans="1:4" ht="22.5" customHeight="1" x14ac:dyDescent="0.15">
      <c r="A123" s="3" t="s">
        <v>542</v>
      </c>
      <c r="B123" s="3" t="s">
        <v>543</v>
      </c>
      <c r="C123" s="3" t="s">
        <v>544</v>
      </c>
      <c r="D123" t="str">
        <f>_xlfn.CONCAT(Table3[[#This Row],['#]],": ",Table3[[#This Row],[Framework]])</f>
        <v>11.06c.1: Mobilization Economic Effects</v>
      </c>
    </row>
    <row r="124" spans="1:4" ht="22.5" customHeight="1" x14ac:dyDescent="0.15">
      <c r="A124" s="3" t="s">
        <v>545</v>
      </c>
      <c r="B124" s="3" t="s">
        <v>546</v>
      </c>
      <c r="C124" s="3" t="s">
        <v>547</v>
      </c>
      <c r="D124" t="str">
        <f>_xlfn.CONCAT(Table3[[#This Row],['#]],": ",Table3[[#This Row],[Framework]])</f>
        <v>11.06c.2: Great Migration</v>
      </c>
    </row>
    <row r="125" spans="1:4" ht="22.5" customHeight="1" x14ac:dyDescent="0.15">
      <c r="A125" s="3" t="s">
        <v>548</v>
      </c>
      <c r="B125" s="3" t="s">
        <v>549</v>
      </c>
      <c r="C125" s="3" t="s">
        <v>550</v>
      </c>
      <c r="D125" t="str">
        <f>_xlfn.CONCAT(Table3[[#This Row],['#]],": ",Table3[[#This Row],[Framework]])</f>
        <v>11.06c.3: Schenck v. US (1919)</v>
      </c>
    </row>
    <row r="126" spans="1:4" ht="22.5" customHeight="1" x14ac:dyDescent="0.15">
      <c r="A126" s="3" t="s">
        <v>551</v>
      </c>
      <c r="B126" s="3" t="s">
        <v>552</v>
      </c>
      <c r="C126" s="3" t="s">
        <v>553</v>
      </c>
      <c r="D126" t="str">
        <f>_xlfn.CONCAT(Table3[[#This Row],['#]],": ",Table3[[#This Row],[Framework]])</f>
        <v>11.06c.4: Fear of Radicals, Xenophobia, and the Red Scare</v>
      </c>
    </row>
    <row r="127" spans="1:4" ht="22.5" customHeight="1" x14ac:dyDescent="0.15">
      <c r="A127" s="3" t="s">
        <v>554</v>
      </c>
      <c r="B127" s="3" t="s">
        <v>555</v>
      </c>
      <c r="C127" s="3" t="s">
        <v>556</v>
      </c>
      <c r="D127" t="str">
        <f>_xlfn.CONCAT(Table3[[#This Row],['#]],": ",Table3[[#This Row],[Framework]])</f>
        <v>11.07a.1: Roaring Twenties</v>
      </c>
    </row>
    <row r="128" spans="1:4" ht="22.5" customHeight="1" x14ac:dyDescent="0.15">
      <c r="A128" s="3" t="s">
        <v>557</v>
      </c>
      <c r="B128" s="3" t="s">
        <v>558</v>
      </c>
      <c r="C128" s="3" t="s">
        <v>559</v>
      </c>
      <c r="D128" t="str">
        <f>_xlfn.CONCAT(Table3[[#This Row],['#]],": ",Table3[[#This Row],[Framework]])</f>
        <v>11.07a.2: Prohibition</v>
      </c>
    </row>
    <row r="129" spans="1:4" ht="22.5" customHeight="1" x14ac:dyDescent="0.15">
      <c r="A129" s="3" t="s">
        <v>560</v>
      </c>
      <c r="B129" s="3" t="s">
        <v>561</v>
      </c>
      <c r="C129" s="3" t="s">
        <v>562</v>
      </c>
      <c r="D129" t="str">
        <f>_xlfn.CONCAT(Table3[[#This Row],['#]],": ",Table3[[#This Row],[Framework]])</f>
        <v>11.07a.3: Immigration in the 1920's</v>
      </c>
    </row>
    <row r="130" spans="1:4" ht="22.5" customHeight="1" x14ac:dyDescent="0.15">
      <c r="A130" s="3" t="s">
        <v>563</v>
      </c>
      <c r="B130" s="3" t="s">
        <v>564</v>
      </c>
      <c r="C130" s="3" t="s">
        <v>565</v>
      </c>
      <c r="D130" t="str">
        <f>_xlfn.CONCAT(Table3[[#This Row],['#]],": ",Table3[[#This Row],[Framework]])</f>
        <v>11.07a.4: Resurgence of the KKK</v>
      </c>
    </row>
    <row r="131" spans="1:4" ht="22.5" customHeight="1" x14ac:dyDescent="0.15">
      <c r="A131" s="3" t="s">
        <v>566</v>
      </c>
      <c r="B131" s="3" t="s">
        <v>567</v>
      </c>
      <c r="C131" s="3" t="s">
        <v>568</v>
      </c>
      <c r="D131" t="str">
        <f>_xlfn.CONCAT(Table3[[#This Row],['#]],": ",Table3[[#This Row],[Framework]])</f>
        <v>11.07a.5: Scopes Trial</v>
      </c>
    </row>
    <row r="132" spans="1:4" ht="22.5" customHeight="1" x14ac:dyDescent="0.15">
      <c r="A132" s="3" t="s">
        <v>569</v>
      </c>
      <c r="B132" s="3" t="s">
        <v>570</v>
      </c>
      <c r="C132" s="3" t="s">
        <v>571</v>
      </c>
      <c r="D132" t="str">
        <f>_xlfn.CONCAT(Table3[[#This Row],['#]],": ",Table3[[#This Row],[Framework]])</f>
        <v>11.07b.1: Harlem Renaissance</v>
      </c>
    </row>
    <row r="133" spans="1:4" ht="22.5" customHeight="1" x14ac:dyDescent="0.15">
      <c r="A133" s="3" t="s">
        <v>572</v>
      </c>
      <c r="B133" s="3" t="s">
        <v>573</v>
      </c>
      <c r="C133" s="3" t="s">
        <v>574</v>
      </c>
      <c r="D133" t="str">
        <f>_xlfn.CONCAT(Table3[[#This Row],['#]],": ",Table3[[#This Row],[Framework]])</f>
        <v>11.07b.2: Black Pride, Nationalism &amp; Marcus Garvey</v>
      </c>
    </row>
    <row r="134" spans="1:4" ht="22.5" customHeight="1" x14ac:dyDescent="0.15">
      <c r="A134" s="3" t="s">
        <v>575</v>
      </c>
      <c r="B134" s="3" t="s">
        <v>576</v>
      </c>
      <c r="C134" s="3" t="s">
        <v>577</v>
      </c>
      <c r="D134" t="str">
        <f>_xlfn.CONCAT(Table3[[#This Row],['#]],": ",Table3[[#This Row],[Framework]])</f>
        <v>11.07c.1: Economic Prosperity</v>
      </c>
    </row>
    <row r="135" spans="1:4" ht="22.5" customHeight="1" x14ac:dyDescent="0.15">
      <c r="A135" s="3" t="s">
        <v>578</v>
      </c>
      <c r="B135" s="3" t="s">
        <v>579</v>
      </c>
      <c r="C135" s="3" t="s">
        <v>580</v>
      </c>
      <c r="D135" t="str">
        <f>_xlfn.CONCAT(Table3[[#This Row],['#]],": ",Table3[[#This Row],[Framework]])</f>
        <v>11.07c.2: The Great Depression</v>
      </c>
    </row>
    <row r="136" spans="1:4" ht="22.5" customHeight="1" x14ac:dyDescent="0.15">
      <c r="A136" s="3" t="s">
        <v>581</v>
      </c>
      <c r="B136" s="3" t="s">
        <v>582</v>
      </c>
      <c r="C136" s="3" t="s">
        <v>583</v>
      </c>
      <c r="D136" t="str">
        <f>_xlfn.CONCAT(Table3[[#This Row],['#]],": ",Table3[[#This Row],[Framework]])</f>
        <v>11.07c.3: Hoover vs. FDR</v>
      </c>
    </row>
    <row r="137" spans="1:4" ht="22.5" customHeight="1" x14ac:dyDescent="0.15">
      <c r="A137" s="3" t="s">
        <v>584</v>
      </c>
      <c r="B137" s="3" t="s">
        <v>585</v>
      </c>
      <c r="C137" s="3" t="s">
        <v>586</v>
      </c>
      <c r="D137" t="str">
        <f>_xlfn.CONCAT(Table3[[#This Row],['#]],": ",Table3[[#This Row],[Framework]])</f>
        <v>11.07c.4: Dust Bowl</v>
      </c>
    </row>
    <row r="138" spans="1:4" ht="22.5" customHeight="1" x14ac:dyDescent="0.15">
      <c r="A138" s="3" t="s">
        <v>587</v>
      </c>
      <c r="B138" s="3" t="s">
        <v>588</v>
      </c>
      <c r="C138" s="3" t="s">
        <v>589</v>
      </c>
      <c r="D138" t="str">
        <f>_xlfn.CONCAT(Table3[[#This Row],['#]],": ",Table3[[#This Row],[Framework]])</f>
        <v>11.07c.5: New Deal</v>
      </c>
    </row>
    <row r="139" spans="1:4" ht="22.5" customHeight="1" x14ac:dyDescent="0.15">
      <c r="A139" s="3" t="s">
        <v>590</v>
      </c>
      <c r="B139" s="3" t="s">
        <v>591</v>
      </c>
      <c r="C139" s="3" t="s">
        <v>592</v>
      </c>
      <c r="D139" t="str">
        <f>_xlfn.CONCAT(Table3[[#This Row],['#]],": ",Table3[[#This Row],[Framework]])</f>
        <v>11.08a.1: Neutrality Acts</v>
      </c>
    </row>
    <row r="140" spans="1:4" ht="22.5" customHeight="1" x14ac:dyDescent="0.15">
      <c r="A140" s="3" t="s">
        <v>593</v>
      </c>
      <c r="B140" s="3" t="s">
        <v>594</v>
      </c>
      <c r="C140" s="3" t="s">
        <v>595</v>
      </c>
      <c r="D140" t="str">
        <f>_xlfn.CONCAT(Table3[[#This Row],['#]],": ",Table3[[#This Row],[Framework]])</f>
        <v>11.08a.2: Negotiations with Japan</v>
      </c>
    </row>
    <row r="141" spans="1:4" ht="22.5" customHeight="1" x14ac:dyDescent="0.15">
      <c r="A141" s="3" t="s">
        <v>596</v>
      </c>
      <c r="B141" s="3" t="s">
        <v>597</v>
      </c>
      <c r="C141" s="3" t="s">
        <v>598</v>
      </c>
      <c r="D141" t="str">
        <f>_xlfn.CONCAT(Table3[[#This Row],['#]],": ",Table3[[#This Row],[Framework]])</f>
        <v>11.08a.3: Pearl Harbor</v>
      </c>
    </row>
    <row r="142" spans="1:4" ht="22.5" customHeight="1" x14ac:dyDescent="0.15">
      <c r="A142" s="3" t="s">
        <v>599</v>
      </c>
      <c r="B142" s="3" t="s">
        <v>600</v>
      </c>
      <c r="C142" s="3" t="s">
        <v>601</v>
      </c>
      <c r="D142" t="str">
        <f>_xlfn.CONCAT(Table3[[#This Row],['#]],": ",Table3[[#This Row],[Framework]])</f>
        <v>11.08a.4: FDR &amp; the Grand Alliance</v>
      </c>
    </row>
    <row r="143" spans="1:4" ht="22.5" customHeight="1" x14ac:dyDescent="0.15">
      <c r="A143" s="3" t="s">
        <v>602</v>
      </c>
      <c r="B143" s="3" t="s">
        <v>603</v>
      </c>
      <c r="C143" s="3" t="s">
        <v>604</v>
      </c>
      <c r="D143" t="str">
        <f>_xlfn.CONCAT(Table3[[#This Row],['#]],": ",Table3[[#This Row],[Framework]])</f>
        <v>11.08a.5: Technological Advancements &amp; the Atomic Bomb</v>
      </c>
    </row>
    <row r="144" spans="1:4" ht="22.5" customHeight="1" x14ac:dyDescent="0.15">
      <c r="A144" s="3" t="s">
        <v>605</v>
      </c>
      <c r="B144" s="3" t="s">
        <v>606</v>
      </c>
      <c r="C144" s="3" t="s">
        <v>607</v>
      </c>
      <c r="D144" t="str">
        <f>_xlfn.CONCAT(Table3[[#This Row],['#]],": ",Table3[[#This Row],[Framework]])</f>
        <v>11.08b.1: Mobilizations</v>
      </c>
    </row>
    <row r="145" spans="1:4" ht="22.5" customHeight="1" x14ac:dyDescent="0.15">
      <c r="A145" s="3" t="s">
        <v>608</v>
      </c>
      <c r="B145" s="3" t="s">
        <v>609</v>
      </c>
      <c r="C145" s="3" t="s">
        <v>610</v>
      </c>
      <c r="D145" t="str">
        <f>_xlfn.CONCAT(Table3[[#This Row],['#]],": ",Table3[[#This Row],[Framework]])</f>
        <v>11.08b.2: Japanese Internment</v>
      </c>
    </row>
    <row r="146" spans="1:4" ht="22.5" customHeight="1" x14ac:dyDescent="0.15">
      <c r="A146" s="3" t="s">
        <v>611</v>
      </c>
      <c r="B146" s="3" t="s">
        <v>612</v>
      </c>
      <c r="C146" s="3" t="s">
        <v>613</v>
      </c>
      <c r="D146" t="str">
        <f>_xlfn.CONCAT(Table3[[#This Row],['#]],": ",Table3[[#This Row],[Framework]])</f>
        <v>11.08b.3: Women &amp; BIPOC Contribution to WW2</v>
      </c>
    </row>
    <row r="147" spans="1:4" ht="22.5" customHeight="1" x14ac:dyDescent="0.15">
      <c r="A147" s="3" t="s">
        <v>614</v>
      </c>
      <c r="B147" s="3" t="s">
        <v>615</v>
      </c>
      <c r="C147" s="3" t="s">
        <v>616</v>
      </c>
      <c r="D147" t="str">
        <f>_xlfn.CONCAT(Table3[[#This Row],['#]],": ",Table3[[#This Row],[Framework]])</f>
        <v>11.08c.1: Holocaust</v>
      </c>
    </row>
    <row r="148" spans="1:4" ht="22.5" customHeight="1" x14ac:dyDescent="0.15">
      <c r="A148" s="3" t="s">
        <v>617</v>
      </c>
      <c r="B148" s="3" t="s">
        <v>618</v>
      </c>
      <c r="C148" s="3" t="s">
        <v>619</v>
      </c>
      <c r="D148" t="str">
        <f>_xlfn.CONCAT(Table3[[#This Row],['#]],": ",Table3[[#This Row],[Framework]])</f>
        <v>11.08c.2: Nuremberg War Crime Trials</v>
      </c>
    </row>
    <row r="149" spans="1:4" ht="22.5" customHeight="1" x14ac:dyDescent="0.15">
      <c r="A149" s="3" t="s">
        <v>620</v>
      </c>
      <c r="B149" s="3" t="s">
        <v>621</v>
      </c>
      <c r="C149" s="3" t="s">
        <v>622</v>
      </c>
      <c r="D149" t="str">
        <f>_xlfn.CONCAT(Table3[[#This Row],['#]],": ",Table3[[#This Row],[Framework]])</f>
        <v>11.08c.3: Eleanor Roosevelt &amp; UN's Universal Declaration of Human Rights</v>
      </c>
    </row>
    <row r="150" spans="1:4" ht="22.5" customHeight="1" x14ac:dyDescent="0.15">
      <c r="A150" s="3" t="s">
        <v>623</v>
      </c>
      <c r="B150" s="3" t="s">
        <v>624</v>
      </c>
      <c r="C150" s="3" t="s">
        <v>625</v>
      </c>
      <c r="D150" t="str">
        <f>_xlfn.CONCAT(Table3[[#This Row],['#]],": ",Table3[[#This Row],[Framework]])</f>
        <v>11.09a.1: US Decisions for post-war Europe</v>
      </c>
    </row>
    <row r="151" spans="1:4" ht="22.5" customHeight="1" x14ac:dyDescent="0.15">
      <c r="A151" s="3" t="s">
        <v>626</v>
      </c>
      <c r="B151" s="3" t="s">
        <v>627</v>
      </c>
      <c r="C151" s="3" t="s">
        <v>628</v>
      </c>
      <c r="D151" t="str">
        <f>_xlfn.CONCAT(Table3[[#This Row],['#]],": ",Table3[[#This Row],[Framework]])</f>
        <v>11.09a.2: Containment Policies</v>
      </c>
    </row>
    <row r="152" spans="1:4" ht="22.5" customHeight="1" x14ac:dyDescent="0.15">
      <c r="A152" s="3" t="s">
        <v>629</v>
      </c>
      <c r="B152" s="3" t="s">
        <v>630</v>
      </c>
      <c r="C152" s="3" t="s">
        <v>631</v>
      </c>
      <c r="D152" t="str">
        <f>_xlfn.CONCAT(Table3[[#This Row],['#]],": ",Table3[[#This Row],[Framework]])</f>
        <v>11.09a.3: McCarthyism</v>
      </c>
    </row>
    <row r="153" spans="1:4" ht="22.5" customHeight="1" x14ac:dyDescent="0.15">
      <c r="A153" s="3" t="s">
        <v>632</v>
      </c>
      <c r="B153" s="3" t="s">
        <v>633</v>
      </c>
      <c r="C153" s="3" t="s">
        <v>634</v>
      </c>
      <c r="D153" t="str">
        <f>_xlfn.CONCAT(Table3[[#This Row],['#]],": ",Table3[[#This Row],[Framework]])</f>
        <v>11.09a.4: Korean War</v>
      </c>
    </row>
    <row r="154" spans="1:4" ht="22.5" customHeight="1" x14ac:dyDescent="0.15">
      <c r="A154" s="3" t="s">
        <v>635</v>
      </c>
      <c r="B154" s="3" t="s">
        <v>636</v>
      </c>
      <c r="C154" s="3" t="s">
        <v>637</v>
      </c>
      <c r="D154" t="str">
        <f>_xlfn.CONCAT(Table3[[#This Row],['#]],": ",Table3[[#This Row],[Framework]])</f>
        <v>11.09a.5: Vietnam War</v>
      </c>
    </row>
    <row r="155" spans="1:4" ht="22.5" customHeight="1" x14ac:dyDescent="0.15">
      <c r="A155" s="3" t="s">
        <v>638</v>
      </c>
      <c r="B155" s="3" t="s">
        <v>639</v>
      </c>
      <c r="C155" s="3" t="s">
        <v>640</v>
      </c>
      <c r="D155" t="str">
        <f>_xlfn.CONCAT(Table3[[#This Row],['#]],": ",Table3[[#This Row],[Framework]])</f>
        <v>11.09a.6: Antiwar Movement &amp; Watergate</v>
      </c>
    </row>
    <row r="156" spans="1:4" ht="22.5" customHeight="1" x14ac:dyDescent="0.15">
      <c r="A156" s="3" t="s">
        <v>641</v>
      </c>
      <c r="B156" s="3" t="s">
        <v>642</v>
      </c>
      <c r="C156" s="3" t="s">
        <v>643</v>
      </c>
      <c r="D156" t="str">
        <f>_xlfn.CONCAT(Table3[[#This Row],['#]],": ",Table3[[#This Row],[Framework]])</f>
        <v>11.09a.7: War Powers Act</v>
      </c>
    </row>
    <row r="157" spans="1:4" ht="22.5" customHeight="1" x14ac:dyDescent="0.15">
      <c r="A157" s="3" t="s">
        <v>644</v>
      </c>
      <c r="B157" s="3" t="s">
        <v>645</v>
      </c>
      <c r="C157" s="3" t="s">
        <v>646</v>
      </c>
      <c r="D157" t="str">
        <f>_xlfn.CONCAT(Table3[[#This Row],['#]],": ",Table3[[#This Row],[Framework]])</f>
        <v>11.09b.1: Nuclear Arms Race</v>
      </c>
    </row>
    <row r="158" spans="1:4" ht="22.5" customHeight="1" x14ac:dyDescent="0.15">
      <c r="A158" s="3" t="s">
        <v>647</v>
      </c>
      <c r="B158" s="3" t="s">
        <v>648</v>
      </c>
      <c r="C158" s="3" t="s">
        <v>649</v>
      </c>
      <c r="D158" t="str">
        <f>_xlfn.CONCAT(Table3[[#This Row],['#]],": ",Table3[[#This Row],[Framework]])</f>
        <v>11.09b.2: Cuban Missile Crisis &amp; the Nuclear Test Ban Treaty</v>
      </c>
    </row>
    <row r="159" spans="1:4" ht="22.5" customHeight="1" x14ac:dyDescent="0.15">
      <c r="A159" s="3" t="s">
        <v>650</v>
      </c>
      <c r="B159" s="3" t="s">
        <v>651</v>
      </c>
      <c r="C159" s="3" t="s">
        <v>652</v>
      </c>
      <c r="D159" t="str">
        <f>_xlfn.CONCAT(Table3[[#This Row],['#]],": ",Table3[[#This Row],[Framework]])</f>
        <v>11.09b.3: Détente</v>
      </c>
    </row>
    <row r="160" spans="1:4" ht="22.5" customHeight="1" x14ac:dyDescent="0.15">
      <c r="A160" s="3" t="s">
        <v>653</v>
      </c>
      <c r="B160" s="3" t="s">
        <v>654</v>
      </c>
      <c r="C160" s="3" t="s">
        <v>655</v>
      </c>
      <c r="D160" t="str">
        <f>_xlfn.CONCAT(Table3[[#This Row],['#]],": ",Table3[[#This Row],[Framework]])</f>
        <v>11.09c.1: Israel &amp; the Camp David Accords</v>
      </c>
    </row>
    <row r="161" spans="1:4" ht="22.5" customHeight="1" x14ac:dyDescent="0.15">
      <c r="A161" s="3" t="s">
        <v>656</v>
      </c>
      <c r="B161" s="3" t="s">
        <v>657</v>
      </c>
      <c r="C161" s="3" t="s">
        <v>658</v>
      </c>
      <c r="D161" t="str">
        <f>_xlfn.CONCAT(Table3[[#This Row],['#]],": ",Table3[[#This Row],[Framework]])</f>
        <v>11.09d.1: Berlin Wall &amp; the Soviet Loss of Control</v>
      </c>
    </row>
    <row r="162" spans="1:4" ht="22.5" customHeight="1" x14ac:dyDescent="0.15">
      <c r="A162" s="3" t="s">
        <v>659</v>
      </c>
      <c r="B162" s="3" t="s">
        <v>660</v>
      </c>
      <c r="C162" s="3" t="s">
        <v>661</v>
      </c>
      <c r="D162" t="str">
        <f>_xlfn.CONCAT(Table3[[#This Row],['#]],": ",Table3[[#This Row],[Framework]])</f>
        <v>11.10a.1: Important Civil Rights Individuals</v>
      </c>
    </row>
    <row r="163" spans="1:4" ht="22.5" customHeight="1" x14ac:dyDescent="0.15">
      <c r="A163" s="3" t="s">
        <v>662</v>
      </c>
      <c r="B163" s="3" t="s">
        <v>663</v>
      </c>
      <c r="C163" s="3" t="s">
        <v>664</v>
      </c>
      <c r="D163" t="str">
        <f>_xlfn.CONCAT(Table3[[#This Row],['#]],": ",Table3[[#This Row],[Framework]])</f>
        <v>11.10a.2: Civil Rights Groups &amp; Tactics</v>
      </c>
    </row>
    <row r="164" spans="1:4" ht="22.5" customHeight="1" x14ac:dyDescent="0.15">
      <c r="A164" s="3" t="s">
        <v>665</v>
      </c>
      <c r="B164" s="3" t="s">
        <v>666</v>
      </c>
      <c r="C164" s="3" t="s">
        <v>667</v>
      </c>
      <c r="D164" t="str">
        <f>_xlfn.CONCAT(Table3[[#This Row],['#]],": ",Table3[[#This Row],[Framework]])</f>
        <v>11.10a.3: Civil Rights Judicial &amp; Legislative Achievements</v>
      </c>
    </row>
    <row r="165" spans="1:4" ht="22.5" customHeight="1" x14ac:dyDescent="0.15">
      <c r="A165" s="3" t="s">
        <v>668</v>
      </c>
      <c r="B165" s="3" t="s">
        <v>669</v>
      </c>
      <c r="C165" s="3" t="s">
        <v>670</v>
      </c>
      <c r="D165" t="str">
        <f>_xlfn.CONCAT(Table3[[#This Row],['#]],": ",Table3[[#This Row],[Framework]])</f>
        <v>11.10a.4: Civil Rights Protests &amp; Civil Resistance</v>
      </c>
    </row>
    <row r="166" spans="1:4" ht="22.5" customHeight="1" x14ac:dyDescent="0.15">
      <c r="A166" s="3" t="s">
        <v>671</v>
      </c>
      <c r="B166" s="3" t="s">
        <v>672</v>
      </c>
      <c r="C166" s="3" t="s">
        <v>673</v>
      </c>
      <c r="D166" t="str">
        <f>_xlfn.CONCAT(Table3[[#This Row],['#]],": ",Table3[[#This Row],[Framework]])</f>
        <v>11.10b.1: Individuals &amp; Groups Fight for Equality</v>
      </c>
    </row>
    <row r="167" spans="1:4" ht="22.5" customHeight="1" x14ac:dyDescent="0.15">
      <c r="A167" s="3" t="s">
        <v>674</v>
      </c>
      <c r="B167" s="3" t="s">
        <v>675</v>
      </c>
      <c r="C167" s="3" t="s">
        <v>676</v>
      </c>
      <c r="D167" t="str">
        <f>_xlfn.CONCAT(Table3[[#This Row],['#]],": ",Table3[[#This Row],[Framework]])</f>
        <v>11.10b.2: Civil Rights Case Studies</v>
      </c>
    </row>
    <row r="168" spans="1:4" ht="22.5" customHeight="1" x14ac:dyDescent="0.15">
      <c r="A168" s="3" t="s">
        <v>677</v>
      </c>
      <c r="B168" s="3" t="s">
        <v>678</v>
      </c>
      <c r="C168" s="3" t="s">
        <v>679</v>
      </c>
      <c r="D168" t="str">
        <f>_xlfn.CONCAT(Table3[[#This Row],['#]],": ",Table3[[#This Row],[Framework]])</f>
        <v>11.10c.1: Great Society vs Reaganomics</v>
      </c>
    </row>
    <row r="169" spans="1:4" ht="22.5" customHeight="1" x14ac:dyDescent="0.15">
      <c r="A169" s="3" t="s">
        <v>680</v>
      </c>
      <c r="B169" s="3" t="s">
        <v>681</v>
      </c>
      <c r="C169" s="3" t="s">
        <v>682</v>
      </c>
      <c r="D169" t="str">
        <f>_xlfn.CONCAT(Table3[[#This Row],['#]],": ",Table3[[#This Row],[Framework]])</f>
        <v>11.10c.2: Great Recession</v>
      </c>
    </row>
    <row r="170" spans="1:4" ht="22.5" customHeight="1" x14ac:dyDescent="0.15">
      <c r="A170" s="3" t="s">
        <v>683</v>
      </c>
      <c r="B170" s="3" t="s">
        <v>684</v>
      </c>
      <c r="C170" s="3" t="s">
        <v>685</v>
      </c>
      <c r="D170" t="str">
        <f>_xlfn.CONCAT(Table3[[#This Row],['#]],": ",Table3[[#This Row],[Framework]])</f>
        <v>11.10c.3: Social Safety Nets</v>
      </c>
    </row>
    <row r="171" spans="1:4" ht="22.5" customHeight="1" x14ac:dyDescent="0.15">
      <c r="A171" s="3" t="s">
        <v>686</v>
      </c>
      <c r="B171" s="3" t="s">
        <v>687</v>
      </c>
      <c r="C171" s="3" t="s">
        <v>688</v>
      </c>
      <c r="D171" t="str">
        <f>_xlfn.CONCAT(Table3[[#This Row],['#]],": ",Table3[[#This Row],[Framework]])</f>
        <v>11.11a.1: Persian Gulf War</v>
      </c>
    </row>
    <row r="172" spans="1:4" ht="22.5" customHeight="1" x14ac:dyDescent="0.15">
      <c r="A172" s="3" t="s">
        <v>689</v>
      </c>
      <c r="B172" s="3" t="s">
        <v>690</v>
      </c>
      <c r="C172" s="3" t="s">
        <v>691</v>
      </c>
      <c r="D172" t="str">
        <f>_xlfn.CONCAT(Table3[[#This Row],['#]],": ",Table3[[#This Row],[Framework]])</f>
        <v>11.11a.2: Reluctance to Defend Human Rights</v>
      </c>
    </row>
    <row r="173" spans="1:4" ht="22.5" customHeight="1" x14ac:dyDescent="0.15">
      <c r="A173" s="3" t="s">
        <v>692</v>
      </c>
      <c r="B173" s="3" t="s">
        <v>693</v>
      </c>
      <c r="C173" s="3" t="s">
        <v>694</v>
      </c>
      <c r="D173" t="str">
        <f>_xlfn.CONCAT(Table3[[#This Row],['#]],": ",Table3[[#This Row],[Framework]])</f>
        <v>11.11b.1: 9-11, War on Terror, &amp; PATRIOT Act</v>
      </c>
    </row>
    <row r="174" spans="1:4" ht="22.5" customHeight="1" x14ac:dyDescent="0.15">
      <c r="A174" s="3" t="s">
        <v>695</v>
      </c>
      <c r="B174" s="3" t="s">
        <v>696</v>
      </c>
      <c r="C174" s="3" t="s">
        <v>697</v>
      </c>
      <c r="D174" t="str">
        <f>_xlfn.CONCAT(Table3[[#This Row],['#]],": ",Table3[[#This Row],[Framework]])</f>
        <v>11.11b.2: Invasion of Iraq</v>
      </c>
    </row>
    <row r="175" spans="1:4" ht="22.5" customHeight="1" x14ac:dyDescent="0.15">
      <c r="A175" s="3" t="s">
        <v>698</v>
      </c>
      <c r="B175" s="3" t="s">
        <v>699</v>
      </c>
      <c r="C175" s="3" t="s">
        <v>700</v>
      </c>
      <c r="D175" t="str">
        <f>_xlfn.CONCAT(Table3[[#This Row],['#]],": ",Table3[[#This Row],[Framework]])</f>
        <v>11.11b.3: Violation of Civil Liberties &amp; Surveillance</v>
      </c>
    </row>
    <row r="176" spans="1:4" ht="22.5" customHeight="1" x14ac:dyDescent="0.15">
      <c r="A176" s="3" t="s">
        <v>701</v>
      </c>
      <c r="B176" s="3" t="s">
        <v>702</v>
      </c>
      <c r="C176" s="3" t="s">
        <v>703</v>
      </c>
      <c r="D176" t="str">
        <f>_xlfn.CONCAT(Table3[[#This Row],['#]],": ",Table3[[#This Row],[Framework]])</f>
        <v>11.11c.1: Globalization &amp; the US Economy</v>
      </c>
    </row>
    <row r="177" spans="1:4" ht="22.5" customHeight="1" x14ac:dyDescent="0.15">
      <c r="A177" s="3" t="s">
        <v>704</v>
      </c>
      <c r="B177" s="3" t="s">
        <v>705</v>
      </c>
      <c r="C177" s="3" t="s">
        <v>706</v>
      </c>
      <c r="D177" t="str">
        <f>_xlfn.CONCAT(Table3[[#This Row],['#]],": ",Table3[[#This Row],[Framework]])</f>
        <v>11.11c.2: Multinational Corporations</v>
      </c>
    </row>
    <row r="178" spans="1:4" ht="22.5" customHeight="1" x14ac:dyDescent="0.15">
      <c r="A178" s="3" t="s">
        <v>707</v>
      </c>
      <c r="B178" s="3" t="s">
        <v>708</v>
      </c>
      <c r="C178" s="3" t="s">
        <v>709</v>
      </c>
      <c r="D178" t="str">
        <f>_xlfn.CONCAT(Table3[[#This Row],['#]],": ",Table3[[#This Row],[Framework]])</f>
        <v>11.11c.3: US vs China Rivalry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Scores</vt:lpstr>
      <vt:lpstr>Questions</vt:lpstr>
      <vt:lpstr>Task Models</vt:lpstr>
      <vt:lpstr>Skill Standards</vt:lpstr>
      <vt:lpstr>Content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Cole Dushin</cp:lastModifiedBy>
  <dcterms:created xsi:type="dcterms:W3CDTF">2026-10-13T17:06:27Z</dcterms:created>
  <dcterms:modified xsi:type="dcterms:W3CDTF">2026-10-16T09:31:45Z</dcterms:modified>
</cp:coreProperties>
</file>