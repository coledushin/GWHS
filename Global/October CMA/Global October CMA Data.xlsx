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Global/October CMA/"/>
    </mc:Choice>
  </mc:AlternateContent>
  <xr:revisionPtr revIDLastSave="0" documentId="13_ncr:1_{32C8CC1F-8467-D04E-9B6D-64E1F9F60BB1}" xr6:coauthVersionLast="47" xr6:coauthVersionMax="47" xr10:uidLastSave="{00000000-0000-0000-0000-000000000000}"/>
  <bookViews>
    <workbookView xWindow="0" yWindow="600" windowWidth="28160" windowHeight="1552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AD82" i="1"/>
  <c r="AC82" i="1"/>
  <c r="AB82" i="1"/>
  <c r="AA82" i="1"/>
  <c r="Z82" i="1"/>
  <c r="Y82" i="1"/>
  <c r="X82" i="1"/>
  <c r="W82" i="1"/>
  <c r="I82" i="1"/>
  <c r="B82" i="1"/>
  <c r="C82" i="1" s="1"/>
  <c r="AD81" i="1"/>
  <c r="AC81" i="1"/>
  <c r="AB81" i="1"/>
  <c r="AA81" i="1"/>
  <c r="Z81" i="1"/>
  <c r="Y81" i="1"/>
  <c r="X81" i="1"/>
  <c r="W81" i="1"/>
  <c r="I81" i="1"/>
  <c r="C81" i="1"/>
  <c r="B81" i="1"/>
  <c r="AD80" i="1"/>
  <c r="AC80" i="1"/>
  <c r="AB80" i="1"/>
  <c r="AA80" i="1"/>
  <c r="Z80" i="1"/>
  <c r="Y80" i="1"/>
  <c r="X80" i="1"/>
  <c r="W80" i="1"/>
  <c r="I80" i="1"/>
  <c r="B80" i="1"/>
  <c r="C80" i="1" s="1"/>
  <c r="AD79" i="1"/>
  <c r="AC79" i="1"/>
  <c r="AB79" i="1"/>
  <c r="AA79" i="1"/>
  <c r="Z79" i="1"/>
  <c r="Y79" i="1"/>
  <c r="X79" i="1"/>
  <c r="W79" i="1"/>
  <c r="I79" i="1"/>
  <c r="B79" i="1"/>
  <c r="C79" i="1" s="1"/>
  <c r="AD78" i="1"/>
  <c r="AC78" i="1"/>
  <c r="AB78" i="1"/>
  <c r="AA78" i="1"/>
  <c r="Z78" i="1"/>
  <c r="Y78" i="1"/>
  <c r="X78" i="1"/>
  <c r="W78" i="1"/>
  <c r="I78" i="1"/>
  <c r="C78" i="1"/>
  <c r="B78" i="1"/>
  <c r="AD77" i="1"/>
  <c r="AC77" i="1"/>
  <c r="AB77" i="1"/>
  <c r="AA77" i="1"/>
  <c r="Z77" i="1"/>
  <c r="Y77" i="1"/>
  <c r="X77" i="1"/>
  <c r="W77" i="1"/>
  <c r="I77" i="1"/>
  <c r="B77" i="1"/>
  <c r="C77" i="1" s="1"/>
  <c r="AD76" i="1"/>
  <c r="AC76" i="1"/>
  <c r="AB76" i="1"/>
  <c r="AA76" i="1"/>
  <c r="Z76" i="1"/>
  <c r="Y76" i="1"/>
  <c r="X76" i="1"/>
  <c r="W76" i="1"/>
  <c r="I76" i="1"/>
  <c r="B76" i="1"/>
  <c r="C76" i="1" s="1"/>
  <c r="AD75" i="1"/>
  <c r="AC75" i="1"/>
  <c r="AB75" i="1"/>
  <c r="AA75" i="1"/>
  <c r="Z75" i="1"/>
  <c r="Y75" i="1"/>
  <c r="X75" i="1"/>
  <c r="W75" i="1"/>
  <c r="I75" i="1"/>
  <c r="B75" i="1"/>
  <c r="C75" i="1" s="1"/>
  <c r="AD74" i="1"/>
  <c r="AC74" i="1"/>
  <c r="AB74" i="1"/>
  <c r="AA74" i="1"/>
  <c r="Z74" i="1"/>
  <c r="Y74" i="1"/>
  <c r="X74" i="1"/>
  <c r="W74" i="1"/>
  <c r="I74" i="1"/>
  <c r="B74" i="1"/>
  <c r="C74" i="1" s="1"/>
  <c r="AD73" i="1"/>
  <c r="AC73" i="1"/>
  <c r="AB73" i="1"/>
  <c r="AA73" i="1"/>
  <c r="Z73" i="1"/>
  <c r="Y73" i="1"/>
  <c r="X73" i="1"/>
  <c r="W73" i="1"/>
  <c r="I73" i="1"/>
  <c r="B73" i="1"/>
  <c r="C73" i="1" s="1"/>
  <c r="AD72" i="1"/>
  <c r="AC72" i="1"/>
  <c r="AB72" i="1"/>
  <c r="AA72" i="1"/>
  <c r="Z72" i="1"/>
  <c r="Y72" i="1"/>
  <c r="X72" i="1"/>
  <c r="W72" i="1"/>
  <c r="I72" i="1"/>
  <c r="C72" i="1"/>
  <c r="B72" i="1"/>
  <c r="AD71" i="1"/>
  <c r="AC71" i="1"/>
  <c r="AB71" i="1"/>
  <c r="AA71" i="1"/>
  <c r="Z71" i="1"/>
  <c r="Y71" i="1"/>
  <c r="X71" i="1"/>
  <c r="W71" i="1"/>
  <c r="I71" i="1"/>
  <c r="B71" i="1"/>
  <c r="C71" i="1" s="1"/>
  <c r="AD70" i="1"/>
  <c r="AC70" i="1"/>
  <c r="AB70" i="1"/>
  <c r="AA70" i="1"/>
  <c r="Z70" i="1"/>
  <c r="Y70" i="1"/>
  <c r="X70" i="1"/>
  <c r="W70" i="1"/>
  <c r="I70" i="1"/>
  <c r="B70" i="1"/>
  <c r="C70" i="1" s="1"/>
  <c r="AD69" i="1"/>
  <c r="AC69" i="1"/>
  <c r="AB69" i="1"/>
  <c r="AA69" i="1"/>
  <c r="Z69" i="1"/>
  <c r="Y69" i="1"/>
  <c r="X69" i="1"/>
  <c r="W69" i="1"/>
  <c r="I69" i="1"/>
  <c r="B69" i="1"/>
  <c r="C69" i="1" s="1"/>
  <c r="AD68" i="1"/>
  <c r="AC68" i="1"/>
  <c r="AB68" i="1"/>
  <c r="AA68" i="1"/>
  <c r="Z68" i="1"/>
  <c r="Y68" i="1"/>
  <c r="X68" i="1"/>
  <c r="W68" i="1"/>
  <c r="I68" i="1"/>
  <c r="B68" i="1"/>
  <c r="C68" i="1" s="1"/>
  <c r="AD67" i="1"/>
  <c r="AC67" i="1"/>
  <c r="AB67" i="1"/>
  <c r="AA67" i="1"/>
  <c r="Z67" i="1"/>
  <c r="Y67" i="1"/>
  <c r="X67" i="1"/>
  <c r="W67" i="1"/>
  <c r="I67" i="1"/>
  <c r="B67" i="1"/>
  <c r="C67" i="1" s="1"/>
  <c r="AD66" i="1"/>
  <c r="AC66" i="1"/>
  <c r="AB66" i="1"/>
  <c r="AA66" i="1"/>
  <c r="Z66" i="1"/>
  <c r="Y66" i="1"/>
  <c r="X66" i="1"/>
  <c r="W66" i="1"/>
  <c r="I66" i="1"/>
  <c r="C66" i="1"/>
  <c r="B66" i="1"/>
  <c r="AD65" i="1"/>
  <c r="AC65" i="1"/>
  <c r="AB65" i="1"/>
  <c r="AA65" i="1"/>
  <c r="Z65" i="1"/>
  <c r="Y65" i="1"/>
  <c r="X65" i="1"/>
  <c r="W65" i="1"/>
  <c r="I65" i="1"/>
  <c r="B65" i="1"/>
  <c r="C65" i="1" s="1"/>
  <c r="AD64" i="1"/>
  <c r="AC64" i="1"/>
  <c r="AB64" i="1"/>
  <c r="AA64" i="1"/>
  <c r="Z64" i="1"/>
  <c r="Y64" i="1"/>
  <c r="X64" i="1"/>
  <c r="W64" i="1"/>
  <c r="I64" i="1"/>
  <c r="B64" i="1"/>
  <c r="C64" i="1" s="1"/>
  <c r="AD63" i="1"/>
  <c r="AC63" i="1"/>
  <c r="AB63" i="1"/>
  <c r="AA63" i="1"/>
  <c r="Z63" i="1"/>
  <c r="Y63" i="1"/>
  <c r="X63" i="1"/>
  <c r="W63" i="1"/>
  <c r="I63" i="1"/>
  <c r="B63" i="1"/>
  <c r="C63" i="1" s="1"/>
  <c r="AD62" i="1"/>
  <c r="AC62" i="1"/>
  <c r="AB62" i="1"/>
  <c r="AA62" i="1"/>
  <c r="Z62" i="1"/>
  <c r="Y62" i="1"/>
  <c r="X62" i="1"/>
  <c r="W62" i="1"/>
  <c r="I62" i="1"/>
  <c r="B62" i="1"/>
  <c r="C62" i="1" s="1"/>
  <c r="AD61" i="1"/>
  <c r="AC61" i="1"/>
  <c r="AB61" i="1"/>
  <c r="AA61" i="1"/>
  <c r="Z61" i="1"/>
  <c r="Y61" i="1"/>
  <c r="X61" i="1"/>
  <c r="W61" i="1"/>
  <c r="I61" i="1"/>
  <c r="B61" i="1"/>
  <c r="C61" i="1" s="1"/>
  <c r="AD60" i="1"/>
  <c r="AC60" i="1"/>
  <c r="AB60" i="1"/>
  <c r="AA60" i="1"/>
  <c r="Z60" i="1"/>
  <c r="Y60" i="1"/>
  <c r="X60" i="1"/>
  <c r="W60" i="1"/>
  <c r="I60" i="1"/>
  <c r="C60" i="1"/>
  <c r="B60" i="1"/>
  <c r="AD59" i="1"/>
  <c r="AC59" i="1"/>
  <c r="AB59" i="1"/>
  <c r="AA59" i="1"/>
  <c r="Z59" i="1"/>
  <c r="Y59" i="1"/>
  <c r="X59" i="1"/>
  <c r="W59" i="1"/>
  <c r="I59" i="1"/>
  <c r="B59" i="1"/>
  <c r="C59" i="1" s="1"/>
  <c r="AD58" i="1"/>
  <c r="AC58" i="1"/>
  <c r="AB58" i="1"/>
  <c r="AA58" i="1"/>
  <c r="Z58" i="1"/>
  <c r="Y58" i="1"/>
  <c r="X58" i="1"/>
  <c r="W58" i="1"/>
  <c r="I58" i="1"/>
  <c r="B58" i="1"/>
  <c r="C58" i="1" s="1"/>
  <c r="AD57" i="1"/>
  <c r="AC57" i="1"/>
  <c r="AB57" i="1"/>
  <c r="AA57" i="1"/>
  <c r="Z57" i="1"/>
  <c r="Y57" i="1"/>
  <c r="X57" i="1"/>
  <c r="W57" i="1"/>
  <c r="I57" i="1"/>
  <c r="B57" i="1"/>
  <c r="C57" i="1" s="1"/>
  <c r="AD56" i="1"/>
  <c r="AC56" i="1"/>
  <c r="AB56" i="1"/>
  <c r="AA56" i="1"/>
  <c r="Z56" i="1"/>
  <c r="Y56" i="1"/>
  <c r="X56" i="1"/>
  <c r="W56" i="1"/>
  <c r="I56" i="1"/>
  <c r="B56" i="1"/>
  <c r="C56" i="1" s="1"/>
  <c r="AD55" i="1"/>
  <c r="AC55" i="1"/>
  <c r="AB55" i="1"/>
  <c r="AA55" i="1"/>
  <c r="Z55" i="1"/>
  <c r="Y55" i="1"/>
  <c r="X55" i="1"/>
  <c r="W55" i="1"/>
  <c r="I55" i="1"/>
  <c r="B55" i="1"/>
  <c r="C55" i="1" s="1"/>
  <c r="AD54" i="1"/>
  <c r="AC54" i="1"/>
  <c r="AB54" i="1"/>
  <c r="AA54" i="1"/>
  <c r="Z54" i="1"/>
  <c r="Y54" i="1"/>
  <c r="X54" i="1"/>
  <c r="W54" i="1"/>
  <c r="I54" i="1"/>
  <c r="C54" i="1"/>
  <c r="B54" i="1"/>
  <c r="AD53" i="1"/>
  <c r="AC53" i="1"/>
  <c r="AB53" i="1"/>
  <c r="AA53" i="1"/>
  <c r="Z53" i="1"/>
  <c r="Y53" i="1"/>
  <c r="X53" i="1"/>
  <c r="W53" i="1"/>
  <c r="I53" i="1"/>
  <c r="B53" i="1"/>
  <c r="C53" i="1" s="1"/>
  <c r="AD52" i="1"/>
  <c r="AC52" i="1"/>
  <c r="AB52" i="1"/>
  <c r="AA52" i="1"/>
  <c r="Z52" i="1"/>
  <c r="Y52" i="1"/>
  <c r="X52" i="1"/>
  <c r="W52" i="1"/>
  <c r="I52" i="1"/>
  <c r="B52" i="1"/>
  <c r="C52" i="1" s="1"/>
  <c r="AD51" i="1"/>
  <c r="AC51" i="1"/>
  <c r="AB51" i="1"/>
  <c r="AA51" i="1"/>
  <c r="Z51" i="1"/>
  <c r="Y51" i="1"/>
  <c r="X51" i="1"/>
  <c r="W51" i="1"/>
  <c r="I51" i="1"/>
  <c r="B51" i="1"/>
  <c r="C51" i="1" s="1"/>
  <c r="AD50" i="1"/>
  <c r="AC50" i="1"/>
  <c r="AB50" i="1"/>
  <c r="AA50" i="1"/>
  <c r="Z50" i="1"/>
  <c r="Y50" i="1"/>
  <c r="X50" i="1"/>
  <c r="W50" i="1"/>
  <c r="I50" i="1"/>
  <c r="B50" i="1"/>
  <c r="C50" i="1" s="1"/>
  <c r="AD49" i="1"/>
  <c r="AC49" i="1"/>
  <c r="AB49" i="1"/>
  <c r="AA49" i="1"/>
  <c r="Z49" i="1"/>
  <c r="Y49" i="1"/>
  <c r="X49" i="1"/>
  <c r="W49" i="1"/>
  <c r="I49" i="1"/>
  <c r="B49" i="1"/>
  <c r="C49" i="1" s="1"/>
  <c r="AD48" i="1"/>
  <c r="AC48" i="1"/>
  <c r="AB48" i="1"/>
  <c r="AA48" i="1"/>
  <c r="Z48" i="1"/>
  <c r="Y48" i="1"/>
  <c r="X48" i="1"/>
  <c r="W48" i="1"/>
  <c r="I48" i="1"/>
  <c r="C48" i="1"/>
  <c r="B48" i="1"/>
  <c r="AD47" i="1"/>
  <c r="AC47" i="1"/>
  <c r="AB47" i="1"/>
  <c r="AA47" i="1"/>
  <c r="Z47" i="1"/>
  <c r="Y47" i="1"/>
  <c r="X47" i="1"/>
  <c r="W47" i="1"/>
  <c r="I47" i="1"/>
  <c r="C47" i="1"/>
  <c r="B47" i="1"/>
  <c r="AD46" i="1"/>
  <c r="AC46" i="1"/>
  <c r="AB46" i="1"/>
  <c r="AA46" i="1"/>
  <c r="Z46" i="1"/>
  <c r="Y46" i="1"/>
  <c r="X46" i="1"/>
  <c r="W46" i="1"/>
  <c r="I46" i="1"/>
  <c r="B46" i="1"/>
  <c r="C46" i="1" s="1"/>
  <c r="AD45" i="1"/>
  <c r="AC45" i="1"/>
  <c r="AB45" i="1"/>
  <c r="AA45" i="1"/>
  <c r="Z45" i="1"/>
  <c r="Y45" i="1"/>
  <c r="X45" i="1"/>
  <c r="W45" i="1"/>
  <c r="I45" i="1"/>
  <c r="B45" i="1"/>
  <c r="C45" i="1" s="1"/>
  <c r="AD44" i="1"/>
  <c r="AC44" i="1"/>
  <c r="AB44" i="1"/>
  <c r="AA44" i="1"/>
  <c r="Z44" i="1"/>
  <c r="Y44" i="1"/>
  <c r="X44" i="1"/>
  <c r="W44" i="1"/>
  <c r="I44" i="1"/>
  <c r="B44" i="1"/>
  <c r="C44" i="1" s="1"/>
  <c r="AD43" i="1"/>
  <c r="AC43" i="1"/>
  <c r="AB43" i="1"/>
  <c r="AA43" i="1"/>
  <c r="Z43" i="1"/>
  <c r="Y43" i="1"/>
  <c r="X43" i="1"/>
  <c r="W43" i="1"/>
  <c r="I43" i="1"/>
  <c r="B43" i="1"/>
  <c r="C43" i="1" s="1"/>
  <c r="AD42" i="1"/>
  <c r="AC42" i="1"/>
  <c r="AB42" i="1"/>
  <c r="AA42" i="1"/>
  <c r="Z42" i="1"/>
  <c r="Y42" i="1"/>
  <c r="X42" i="1"/>
  <c r="W42" i="1"/>
  <c r="I42" i="1"/>
  <c r="B42" i="1"/>
  <c r="C42" i="1" s="1"/>
  <c r="AD41" i="1"/>
  <c r="AC41" i="1"/>
  <c r="AB41" i="1"/>
  <c r="AA41" i="1"/>
  <c r="Z41" i="1"/>
  <c r="Y41" i="1"/>
  <c r="X41" i="1"/>
  <c r="W41" i="1"/>
  <c r="I41" i="1"/>
  <c r="C41" i="1"/>
  <c r="B41" i="1"/>
  <c r="AD40" i="1"/>
  <c r="AC40" i="1"/>
  <c r="AB40" i="1"/>
  <c r="AA40" i="1"/>
  <c r="Z40" i="1"/>
  <c r="Y40" i="1"/>
  <c r="X40" i="1"/>
  <c r="W40" i="1"/>
  <c r="I40" i="1"/>
  <c r="B40" i="1"/>
  <c r="C40" i="1" s="1"/>
  <c r="AD39" i="1"/>
  <c r="AC39" i="1"/>
  <c r="AB39" i="1"/>
  <c r="AA39" i="1"/>
  <c r="Z39" i="1"/>
  <c r="Y39" i="1"/>
  <c r="X39" i="1"/>
  <c r="W39" i="1"/>
  <c r="I39" i="1"/>
  <c r="B39" i="1"/>
  <c r="C39" i="1" s="1"/>
  <c r="AD38" i="1"/>
  <c r="AC38" i="1"/>
  <c r="AB38" i="1"/>
  <c r="AA38" i="1"/>
  <c r="Z38" i="1"/>
  <c r="Y38" i="1"/>
  <c r="X38" i="1"/>
  <c r="W38" i="1"/>
  <c r="I38" i="1"/>
  <c r="B38" i="1"/>
  <c r="C38" i="1" s="1"/>
  <c r="AD37" i="1"/>
  <c r="AC37" i="1"/>
  <c r="AB37" i="1"/>
  <c r="AA37" i="1"/>
  <c r="Z37" i="1"/>
  <c r="Y37" i="1"/>
  <c r="X37" i="1"/>
  <c r="W37" i="1"/>
  <c r="I37" i="1"/>
  <c r="B37" i="1"/>
  <c r="C37" i="1" s="1"/>
  <c r="AD36" i="1"/>
  <c r="AC36" i="1"/>
  <c r="AB36" i="1"/>
  <c r="AA36" i="1"/>
  <c r="Z36" i="1"/>
  <c r="Y36" i="1"/>
  <c r="X36" i="1"/>
  <c r="W36" i="1"/>
  <c r="I36" i="1"/>
  <c r="B36" i="1"/>
  <c r="C36" i="1" s="1"/>
  <c r="AD35" i="1"/>
  <c r="AC35" i="1"/>
  <c r="AB35" i="1"/>
  <c r="AA35" i="1"/>
  <c r="Z35" i="1"/>
  <c r="Y35" i="1"/>
  <c r="X35" i="1"/>
  <c r="W35" i="1"/>
  <c r="I35" i="1"/>
  <c r="C35" i="1"/>
  <c r="B35" i="1"/>
  <c r="AD34" i="1"/>
  <c r="AC34" i="1"/>
  <c r="AB34" i="1"/>
  <c r="AA34" i="1"/>
  <c r="Z34" i="1"/>
  <c r="Y34" i="1"/>
  <c r="X34" i="1"/>
  <c r="W34" i="1"/>
  <c r="I34" i="1"/>
  <c r="B34" i="1"/>
  <c r="C34" i="1" s="1"/>
  <c r="AD33" i="1"/>
  <c r="AC33" i="1"/>
  <c r="AB33" i="1"/>
  <c r="AA33" i="1"/>
  <c r="Z33" i="1"/>
  <c r="Y33" i="1"/>
  <c r="X33" i="1"/>
  <c r="W33" i="1"/>
  <c r="I33" i="1"/>
  <c r="B33" i="1"/>
  <c r="C33" i="1" s="1"/>
  <c r="AD32" i="1"/>
  <c r="AC32" i="1"/>
  <c r="AB32" i="1"/>
  <c r="AA32" i="1"/>
  <c r="Z32" i="1"/>
  <c r="Y32" i="1"/>
  <c r="X32" i="1"/>
  <c r="W32" i="1"/>
  <c r="I32" i="1"/>
  <c r="C32" i="1"/>
  <c r="B32" i="1"/>
  <c r="AD31" i="1"/>
  <c r="AC31" i="1"/>
  <c r="AB31" i="1"/>
  <c r="AA31" i="1"/>
  <c r="Z31" i="1"/>
  <c r="Y31" i="1"/>
  <c r="X31" i="1"/>
  <c r="W31" i="1"/>
  <c r="I31" i="1"/>
  <c r="C31" i="1"/>
  <c r="B31" i="1"/>
  <c r="AD30" i="1"/>
  <c r="AC30" i="1"/>
  <c r="AB30" i="1"/>
  <c r="AA30" i="1"/>
  <c r="Z30" i="1"/>
  <c r="Y30" i="1"/>
  <c r="X30" i="1"/>
  <c r="W30" i="1"/>
  <c r="I30" i="1"/>
  <c r="C30" i="1"/>
  <c r="B30" i="1"/>
  <c r="AD29" i="1"/>
  <c r="AC29" i="1"/>
  <c r="AB29" i="1"/>
  <c r="AA29" i="1"/>
  <c r="Z29" i="1"/>
  <c r="Y29" i="1"/>
  <c r="X29" i="1"/>
  <c r="W29" i="1"/>
  <c r="I29" i="1"/>
  <c r="C29" i="1"/>
  <c r="B29" i="1"/>
  <c r="AD28" i="1"/>
  <c r="AC28" i="1"/>
  <c r="AB28" i="1"/>
  <c r="AA28" i="1"/>
  <c r="Z28" i="1"/>
  <c r="Y28" i="1"/>
  <c r="X28" i="1"/>
  <c r="W28" i="1"/>
  <c r="I28" i="1"/>
  <c r="B28" i="1"/>
  <c r="C28" i="1" s="1"/>
  <c r="AD27" i="1"/>
  <c r="AC27" i="1"/>
  <c r="AB27" i="1"/>
  <c r="AA27" i="1"/>
  <c r="Z27" i="1"/>
  <c r="Y27" i="1"/>
  <c r="X27" i="1"/>
  <c r="W27" i="1"/>
  <c r="I27" i="1"/>
  <c r="B27" i="1"/>
  <c r="C27" i="1" s="1"/>
  <c r="AD26" i="1"/>
  <c r="AC26" i="1"/>
  <c r="AB26" i="1"/>
  <c r="AA26" i="1"/>
  <c r="Z26" i="1"/>
  <c r="Y26" i="1"/>
  <c r="X26" i="1"/>
  <c r="W26" i="1"/>
  <c r="I26" i="1"/>
  <c r="B26" i="1"/>
  <c r="C26" i="1" s="1"/>
  <c r="AD25" i="1"/>
  <c r="AC25" i="1"/>
  <c r="AB25" i="1"/>
  <c r="AA25" i="1"/>
  <c r="Z25" i="1"/>
  <c r="Y25" i="1"/>
  <c r="X25" i="1"/>
  <c r="W25" i="1"/>
  <c r="I25" i="1"/>
  <c r="B25" i="1"/>
  <c r="C25" i="1" s="1"/>
  <c r="AD24" i="1"/>
  <c r="AC24" i="1"/>
  <c r="AB24" i="1"/>
  <c r="AA24" i="1"/>
  <c r="Z24" i="1"/>
  <c r="Y24" i="1"/>
  <c r="X24" i="1"/>
  <c r="W24" i="1"/>
  <c r="I24" i="1"/>
  <c r="B24" i="1"/>
  <c r="C24" i="1" s="1"/>
  <c r="AD23" i="1"/>
  <c r="AC23" i="1"/>
  <c r="AB23" i="1"/>
  <c r="AA23" i="1"/>
  <c r="Z23" i="1"/>
  <c r="Y23" i="1"/>
  <c r="X23" i="1"/>
  <c r="W23" i="1"/>
  <c r="I23" i="1"/>
  <c r="C23" i="1"/>
  <c r="B23" i="1"/>
  <c r="AD22" i="1"/>
  <c r="AC22" i="1"/>
  <c r="AB22" i="1"/>
  <c r="AA22" i="1"/>
  <c r="Z22" i="1"/>
  <c r="Y22" i="1"/>
  <c r="X22" i="1"/>
  <c r="W22" i="1"/>
  <c r="I22" i="1"/>
  <c r="B22" i="1"/>
  <c r="C22" i="1" s="1"/>
  <c r="AD21" i="1"/>
  <c r="AC21" i="1"/>
  <c r="AB21" i="1"/>
  <c r="AA21" i="1"/>
  <c r="Z21" i="1"/>
  <c r="Y21" i="1"/>
  <c r="X21" i="1"/>
  <c r="W21" i="1"/>
  <c r="I21" i="1"/>
  <c r="B21" i="1"/>
  <c r="C21" i="1" s="1"/>
  <c r="AD20" i="1"/>
  <c r="AC20" i="1"/>
  <c r="AB20" i="1"/>
  <c r="AA20" i="1"/>
  <c r="Z20" i="1"/>
  <c r="Y20" i="1"/>
  <c r="X20" i="1"/>
  <c r="W20" i="1"/>
  <c r="I20" i="1"/>
  <c r="B20" i="1"/>
  <c r="C20" i="1" s="1"/>
  <c r="AD19" i="1"/>
  <c r="AC19" i="1"/>
  <c r="AB19" i="1"/>
  <c r="AA19" i="1"/>
  <c r="Z19" i="1"/>
  <c r="Y19" i="1"/>
  <c r="X19" i="1"/>
  <c r="W19" i="1"/>
  <c r="I19" i="1"/>
  <c r="B19" i="1"/>
  <c r="C19" i="1" s="1"/>
  <c r="AD18" i="1"/>
  <c r="AC18" i="1"/>
  <c r="AB18" i="1"/>
  <c r="AA18" i="1"/>
  <c r="Z18" i="1"/>
  <c r="Y18" i="1"/>
  <c r="X18" i="1"/>
  <c r="W18" i="1"/>
  <c r="I18" i="1"/>
  <c r="B18" i="1"/>
  <c r="C18" i="1" s="1"/>
  <c r="AD17" i="1"/>
  <c r="AC17" i="1"/>
  <c r="AB17" i="1"/>
  <c r="AA17" i="1"/>
  <c r="Z17" i="1"/>
  <c r="Y17" i="1"/>
  <c r="X17" i="1"/>
  <c r="W17" i="1"/>
  <c r="I17" i="1"/>
  <c r="C17" i="1"/>
  <c r="B17" i="1"/>
  <c r="AD16" i="1"/>
  <c r="AC16" i="1"/>
  <c r="AB16" i="1"/>
  <c r="AA16" i="1"/>
  <c r="Z16" i="1"/>
  <c r="Y16" i="1"/>
  <c r="X16" i="1"/>
  <c r="W16" i="1"/>
  <c r="I16" i="1"/>
  <c r="B16" i="1"/>
  <c r="C16" i="1" s="1"/>
  <c r="AD15" i="1"/>
  <c r="AC15" i="1"/>
  <c r="AB15" i="1"/>
  <c r="AA15" i="1"/>
  <c r="Z15" i="1"/>
  <c r="Y15" i="1"/>
  <c r="X15" i="1"/>
  <c r="W15" i="1"/>
  <c r="I15" i="1"/>
  <c r="B15" i="1"/>
  <c r="C15" i="1" s="1"/>
  <c r="AD14" i="1"/>
  <c r="AC14" i="1"/>
  <c r="AB14" i="1"/>
  <c r="AA14" i="1"/>
  <c r="Z14" i="1"/>
  <c r="Y14" i="1"/>
  <c r="X14" i="1"/>
  <c r="W14" i="1"/>
  <c r="I14" i="1"/>
  <c r="B14" i="1"/>
  <c r="C14" i="1" s="1"/>
  <c r="AD13" i="1"/>
  <c r="AC13" i="1"/>
  <c r="AB13" i="1"/>
  <c r="AA13" i="1"/>
  <c r="Z13" i="1"/>
  <c r="Y13" i="1"/>
  <c r="X13" i="1"/>
  <c r="W13" i="1"/>
  <c r="I13" i="1"/>
  <c r="B13" i="1"/>
  <c r="C13" i="1" s="1"/>
  <c r="AD12" i="1"/>
  <c r="AC12" i="1"/>
  <c r="AB12" i="1"/>
  <c r="AA12" i="1"/>
  <c r="Z12" i="1"/>
  <c r="Y12" i="1"/>
  <c r="X12" i="1"/>
  <c r="W12" i="1"/>
  <c r="I12" i="1"/>
  <c r="B12" i="1"/>
  <c r="C12" i="1" s="1"/>
  <c r="AD11" i="1"/>
  <c r="AC11" i="1"/>
  <c r="AB11" i="1"/>
  <c r="AA11" i="1"/>
  <c r="Z11" i="1"/>
  <c r="Y11" i="1"/>
  <c r="X11" i="1"/>
  <c r="W11" i="1"/>
  <c r="I11" i="1"/>
  <c r="C11" i="1"/>
  <c r="B11" i="1"/>
  <c r="AD10" i="1"/>
  <c r="AC10" i="1"/>
  <c r="AB10" i="1"/>
  <c r="AA10" i="1"/>
  <c r="Z10" i="1"/>
  <c r="Y10" i="1"/>
  <c r="X10" i="1"/>
  <c r="W10" i="1"/>
  <c r="I10" i="1"/>
  <c r="B10" i="1"/>
  <c r="C10" i="1" s="1"/>
  <c r="AD9" i="1"/>
  <c r="AC9" i="1"/>
  <c r="AB9" i="1"/>
  <c r="AA9" i="1"/>
  <c r="Z9" i="1"/>
  <c r="Y9" i="1"/>
  <c r="X9" i="1"/>
  <c r="W9" i="1"/>
  <c r="I9" i="1"/>
  <c r="B9" i="1"/>
  <c r="C9" i="1" s="1"/>
  <c r="AD8" i="1"/>
  <c r="AC8" i="1"/>
  <c r="AB8" i="1"/>
  <c r="AA8" i="1"/>
  <c r="Z8" i="1"/>
  <c r="Y8" i="1"/>
  <c r="X8" i="1"/>
  <c r="W8" i="1"/>
  <c r="I8" i="1"/>
  <c r="B8" i="1"/>
  <c r="C8" i="1" s="1"/>
  <c r="AD7" i="1"/>
  <c r="AC7" i="1"/>
  <c r="AB7" i="1"/>
  <c r="AA7" i="1"/>
  <c r="Z7" i="1"/>
  <c r="Y7" i="1"/>
  <c r="X7" i="1"/>
  <c r="W7" i="1"/>
  <c r="I7" i="1"/>
  <c r="B7" i="1"/>
  <c r="C7" i="1" s="1"/>
  <c r="AD6" i="1"/>
  <c r="AC6" i="1"/>
  <c r="AB6" i="1"/>
  <c r="AA6" i="1"/>
  <c r="Z6" i="1"/>
  <c r="Y6" i="1"/>
  <c r="X6" i="1"/>
  <c r="W6" i="1"/>
  <c r="I6" i="1"/>
  <c r="B6" i="1"/>
  <c r="C6" i="1" s="1"/>
  <c r="AD5" i="1"/>
  <c r="AC5" i="1"/>
  <c r="AB5" i="1"/>
  <c r="AA5" i="1"/>
  <c r="Z5" i="1"/>
  <c r="Y5" i="1"/>
  <c r="X5" i="1"/>
  <c r="W5" i="1"/>
  <c r="I5" i="1"/>
  <c r="C5" i="1"/>
  <c r="B5" i="1"/>
  <c r="AD4" i="1"/>
  <c r="AC4" i="1"/>
  <c r="AB4" i="1"/>
  <c r="AA4" i="1"/>
  <c r="Z4" i="1"/>
  <c r="Y4" i="1"/>
  <c r="X4" i="1"/>
  <c r="W4" i="1"/>
  <c r="I4" i="1"/>
  <c r="B4" i="1"/>
  <c r="C4" i="1" s="1"/>
  <c r="AD3" i="1"/>
  <c r="AC3" i="1"/>
  <c r="AB3" i="1"/>
  <c r="AA3" i="1"/>
  <c r="Z3" i="1"/>
  <c r="Y3" i="1"/>
  <c r="X3" i="1"/>
  <c r="W3" i="1"/>
  <c r="I3" i="1"/>
  <c r="B3" i="1"/>
  <c r="C3" i="1" s="1"/>
  <c r="AD2" i="1"/>
  <c r="AC2" i="1"/>
  <c r="AB2" i="1"/>
  <c r="AA2" i="1"/>
  <c r="Z2" i="1"/>
  <c r="Y2" i="1"/>
  <c r="P4" i="2" s="1"/>
  <c r="X2" i="1"/>
  <c r="W2" i="1"/>
  <c r="I2" i="1"/>
  <c r="B2" i="1"/>
  <c r="C2" i="1" s="1"/>
  <c r="P7" i="2" l="1"/>
  <c r="P8" i="2"/>
  <c r="P2" i="2"/>
  <c r="P3" i="2"/>
  <c r="P9" i="2"/>
  <c r="P5" i="2"/>
  <c r="P6" i="2"/>
  <c r="H81" i="1"/>
  <c r="J81" i="1" s="1"/>
  <c r="H82" i="1"/>
  <c r="J82" i="1" s="1"/>
  <c r="H59" i="1"/>
  <c r="J59" i="1" s="1"/>
  <c r="H31" i="1"/>
  <c r="J31" i="1" s="1"/>
  <c r="H77" i="1"/>
  <c r="J77" i="1" s="1"/>
  <c r="H65" i="1"/>
  <c r="J65" i="1" s="1"/>
  <c r="H18" i="1"/>
  <c r="J18" i="1" s="1"/>
  <c r="H7" i="1"/>
  <c r="J7" i="1" s="1"/>
  <c r="H71" i="1"/>
  <c r="J71" i="1" s="1"/>
  <c r="H72" i="1"/>
  <c r="J72" i="1" s="1"/>
  <c r="H61" i="1"/>
  <c r="J61" i="1" s="1"/>
  <c r="H24" i="1"/>
  <c r="J24" i="1" s="1"/>
  <c r="H47" i="1"/>
  <c r="J47" i="1" s="1"/>
  <c r="H13" i="1"/>
  <c r="J13" i="1" s="1"/>
  <c r="H19" i="1"/>
  <c r="J19" i="1" s="1"/>
  <c r="H25" i="1"/>
  <c r="J25" i="1" s="1"/>
  <c r="H53" i="1"/>
  <c r="J53" i="1" s="1"/>
  <c r="H30" i="1"/>
  <c r="J30" i="1" s="1"/>
  <c r="H54" i="1"/>
  <c r="J54" i="1" s="1"/>
  <c r="H67" i="1"/>
  <c r="J67" i="1" s="1"/>
  <c r="H6" i="1"/>
  <c r="J6" i="1" s="1"/>
  <c r="H40" i="1"/>
  <c r="J40" i="1" s="1"/>
  <c r="H49" i="1"/>
  <c r="J49" i="1" s="1"/>
  <c r="H11" i="1"/>
  <c r="J11" i="1" s="1"/>
  <c r="H12" i="1"/>
  <c r="J12" i="1" s="1"/>
  <c r="H34" i="1"/>
  <c r="J34" i="1" s="1"/>
  <c r="H42" i="1"/>
  <c r="J42" i="1" s="1"/>
  <c r="H46" i="1"/>
  <c r="J46" i="1" s="1"/>
  <c r="H60" i="1"/>
  <c r="J60" i="1" s="1"/>
  <c r="H78" i="1"/>
  <c r="J78" i="1" s="1"/>
  <c r="H80" i="1"/>
  <c r="J80" i="1" s="1"/>
  <c r="H5" i="1"/>
  <c r="J5" i="1" s="1"/>
  <c r="H29" i="1"/>
  <c r="J29" i="1" s="1"/>
  <c r="H36" i="1"/>
  <c r="J36" i="1" s="1"/>
  <c r="H10" i="1"/>
  <c r="J10" i="1" s="1"/>
  <c r="H23" i="1"/>
  <c r="J23" i="1" s="1"/>
  <c r="H16" i="1"/>
  <c r="J16" i="1" s="1"/>
  <c r="H28" i="1"/>
  <c r="J28" i="1" s="1"/>
  <c r="H35" i="1"/>
  <c r="J35" i="1" s="1"/>
  <c r="H55" i="1"/>
  <c r="J55" i="1" s="1"/>
  <c r="H73" i="1"/>
  <c r="J73" i="1" s="1"/>
  <c r="H17" i="1"/>
  <c r="J17" i="1" s="1"/>
  <c r="H41" i="1"/>
  <c r="J41" i="1" s="1"/>
  <c r="H43" i="1"/>
  <c r="J43" i="1" s="1"/>
  <c r="H48" i="1"/>
  <c r="J48" i="1" s="1"/>
  <c r="H66" i="1"/>
  <c r="J66" i="1" s="1"/>
  <c r="H79" i="1"/>
  <c r="J79" i="1" s="1"/>
  <c r="H4" i="1"/>
  <c r="J4" i="1" s="1"/>
  <c r="H22" i="1"/>
  <c r="J22" i="1" s="1"/>
  <c r="H9" i="1"/>
  <c r="J9" i="1" s="1"/>
  <c r="H15" i="1"/>
  <c r="J15" i="1" s="1"/>
  <c r="H21" i="1"/>
  <c r="J21" i="1" s="1"/>
  <c r="H45" i="1"/>
  <c r="J45" i="1" s="1"/>
  <c r="H2" i="1"/>
  <c r="H14" i="1"/>
  <c r="J14" i="1" s="1"/>
  <c r="H20" i="1"/>
  <c r="J20" i="1" s="1"/>
  <c r="H26" i="1"/>
  <c r="J26" i="1" s="1"/>
  <c r="H69" i="1"/>
  <c r="J69" i="1" s="1"/>
  <c r="H38" i="1"/>
  <c r="J38" i="1" s="1"/>
  <c r="H27" i="1"/>
  <c r="J27" i="1" s="1"/>
  <c r="H37" i="1"/>
  <c r="J37" i="1" s="1"/>
  <c r="H3" i="1"/>
  <c r="J3" i="1" s="1"/>
  <c r="H33" i="1"/>
  <c r="J33" i="1" s="1"/>
  <c r="H8" i="1"/>
  <c r="J8" i="1" s="1"/>
  <c r="H32" i="1"/>
  <c r="J32" i="1" s="1"/>
  <c r="H44" i="1"/>
  <c r="J44" i="1" s="1"/>
  <c r="H52" i="1"/>
  <c r="J52" i="1" s="1"/>
  <c r="H58" i="1"/>
  <c r="J58" i="1" s="1"/>
  <c r="H64" i="1"/>
  <c r="J64" i="1" s="1"/>
  <c r="H70" i="1"/>
  <c r="J70" i="1" s="1"/>
  <c r="H76" i="1"/>
  <c r="J76" i="1" s="1"/>
  <c r="H51" i="1"/>
  <c r="J51" i="1" s="1"/>
  <c r="H57" i="1"/>
  <c r="J57" i="1" s="1"/>
  <c r="H63" i="1"/>
  <c r="J63" i="1" s="1"/>
  <c r="H75" i="1"/>
  <c r="J75" i="1" s="1"/>
  <c r="H39" i="1"/>
  <c r="J39" i="1" s="1"/>
  <c r="H50" i="1"/>
  <c r="J50" i="1" s="1"/>
  <c r="H56" i="1"/>
  <c r="J56" i="1" s="1"/>
  <c r="H62" i="1"/>
  <c r="J62" i="1" s="1"/>
  <c r="H68" i="1"/>
  <c r="J68" i="1" s="1"/>
  <c r="H74" i="1"/>
  <c r="J74" i="1" s="1"/>
  <c r="J2" i="1" l="1"/>
  <c r="Q2" i="2" a="1"/>
  <c r="Q2" i="2" s="1"/>
  <c r="Q6" i="2" a="1"/>
  <c r="Q6" i="2" s="1"/>
  <c r="Q3" i="2" a="1"/>
  <c r="Q3" i="2" s="1"/>
  <c r="Q7" i="2" a="1"/>
  <c r="Q7" i="2" s="1"/>
  <c r="Q8" i="2" a="1"/>
  <c r="Q8" i="2" s="1"/>
  <c r="Q9" i="2" a="1"/>
  <c r="Q9" i="2" s="1"/>
  <c r="Q4" i="2" a="1"/>
  <c r="Q4" i="2" s="1"/>
  <c r="Q5" i="2" a="1"/>
  <c r="Q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Cole Dushin</author>
  </authors>
  <commentList>
    <comment ref="A1" authorId="0" shapeId="0" xr:uid="{28508BC6-9F85-484E-82EE-A2644F22FBF7}">
      <text>
        <r>
          <rPr>
            <b/>
            <sz val="10"/>
            <color rgb="FF000000"/>
            <rFont val="Tahoma"/>
            <family val="2"/>
          </rPr>
          <t>Cole Dushin:</t>
        </r>
        <r>
          <rPr>
            <sz val="10"/>
            <color rgb="FF000000"/>
            <rFont val="Tahoma"/>
            <family val="2"/>
          </rPr>
          <t xml:space="preserve">
Source: Global II October CMA_2026.pdf, uploaded 2026-10-13. Stimulus/question/options transcribed from exam; task model, skill, content standard, and Need OI are best-guess classifications.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<sst xmlns="http://schemas.openxmlformats.org/spreadsheetml/2006/main" count="1050" uniqueCount="859">
  <si>
    <t>Model</t>
  </si>
  <si>
    <t>#</t>
  </si>
  <si>
    <t>Student</t>
  </si>
  <si>
    <t>Detail</t>
  </si>
  <si>
    <t>First</t>
  </si>
  <si>
    <t>Part</t>
  </si>
  <si>
    <t>Last</t>
  </si>
  <si>
    <t>Stimulus</t>
  </si>
  <si>
    <t>1. Best Use</t>
  </si>
  <si>
    <t>Class</t>
  </si>
  <si>
    <t>Question</t>
  </si>
  <si>
    <t>Period</t>
  </si>
  <si>
    <t>Students are given a stimulus and asked to evaluate and classify (identify) best use.</t>
  </si>
  <si>
    <t>ELL</t>
  </si>
  <si>
    <t>2. POV</t>
  </si>
  <si>
    <t>Key</t>
  </si>
  <si>
    <t>Students are given a stimulus and asked to identify point of view, purpose, context, bias, format of source, location of source in time and/or place, and/or intended audience of sources using background knowledge.</t>
  </si>
  <si>
    <t>Option_1</t>
  </si>
  <si>
    <t>3. Claim Validity (With Outside Information)</t>
  </si>
  <si>
    <t>Option_2</t>
  </si>
  <si>
    <t>IEP</t>
  </si>
  <si>
    <t>Students are given a stimulus and asked to identify support for a claim found in the stimulus (bound in the same timeframe/event/space). It must require students to draw on their knowledge rather than on straight comprehension of text.</t>
  </si>
  <si>
    <t>Option_3</t>
  </si>
  <si>
    <t>MC</t>
  </si>
  <si>
    <t>4. Claim Validity (Without Outside Information)</t>
  </si>
  <si>
    <t>Option_4</t>
  </si>
  <si>
    <t>CRQ</t>
  </si>
  <si>
    <t>Students are given a stimulus and asked to select a plausible claim that logically follows from evidence presented.</t>
  </si>
  <si>
    <t>Stimulus_type</t>
  </si>
  <si>
    <t>Final</t>
  </si>
  <si>
    <t>Source_type</t>
  </si>
  <si>
    <t>5. Turning Point</t>
  </si>
  <si>
    <t>Task_model</t>
  </si>
  <si>
    <t>1</t>
  </si>
  <si>
    <t>Students are given a stimulus and asked to identify the significance of a turning point in history.</t>
  </si>
  <si>
    <t>2</t>
  </si>
  <si>
    <t>Skill_standard</t>
  </si>
  <si>
    <t>3</t>
  </si>
  <si>
    <t>6. Change Over Time</t>
  </si>
  <si>
    <t>4</t>
  </si>
  <si>
    <t>Need_OI?</t>
  </si>
  <si>
    <t>5</t>
  </si>
  <si>
    <t>6</t>
  </si>
  <si>
    <t>Students are given a stimulus and asked to identify significance of an event, action, idea, or development as part of change or part of continuity in history.</t>
  </si>
  <si>
    <t>7</t>
  </si>
  <si>
    <t>Content_standard</t>
  </si>
  <si>
    <t>8</t>
  </si>
  <si>
    <t>Pct_Correct</t>
  </si>
  <si>
    <t>7. Cause</t>
  </si>
  <si>
    <t>Dushin</t>
  </si>
  <si>
    <t>Point_Biserial</t>
  </si>
  <si>
    <t>Students are given a stimulus and asked to identify a central cause of the described phenomenon.</t>
  </si>
  <si>
    <t>8. Effect</t>
  </si>
  <si>
    <t>Students are given a stimulus and asked to identify a central effect of the described phenomenon.</t>
  </si>
  <si>
    <t>Part I</t>
  </si>
  <si>
    <t>9. Impact of Setting</t>
  </si>
  <si>
    <t>9</t>
  </si>
  <si>
    <t>Students are given a stimulus and asked to identify the impact of time and place on an issue or event linked to that stimulus.</t>
  </si>
  <si>
    <t>10</t>
  </si>
  <si>
    <t>10. Compare</t>
  </si>
  <si>
    <t>11a</t>
  </si>
  <si>
    <t>11b</t>
  </si>
  <si>
    <t>Students are given one stimulus or two stimuli and asked to identify a similarity in the described phenomenon (historical development, historical event, geographic setting, economic situation, individual’s action/belief) (implicit comparison).</t>
  </si>
  <si>
    <t>Q1</t>
  </si>
  <si>
    <t>11. Contrast</t>
  </si>
  <si>
    <t>Students are given one/two stimuli and asked to identify a difference in the described phenomenon (historical development, historical event, geographic setting, economic situation, individual’s action/belief) (implicit comparison).</t>
  </si>
  <si>
    <t>Q2</t>
  </si>
  <si>
    <t>12. Informed Civic Action</t>
  </si>
  <si>
    <t>Q3</t>
  </si>
  <si>
    <t>Students are given a stimulus and asked to identify an informed action taken by an individual, group, or government connected to civic activism.</t>
  </si>
  <si>
    <t>Q4</t>
  </si>
  <si>
    <t>13. Interpret Visual Data</t>
  </si>
  <si>
    <t>Sourial</t>
  </si>
  <si>
    <t>Q5</t>
  </si>
  <si>
    <t>Students are given a visual stimulus such as a map, graph, chart, timeline, cartoon, or photograph and asked to extract and interpret relevant information to answer a question.</t>
  </si>
  <si>
    <t>Q6</t>
  </si>
  <si>
    <t>14. Stakeholder Issue</t>
  </si>
  <si>
    <t>Q7</t>
  </si>
  <si>
    <t>Students are given one stimulus or two stimuli and asked to identify a stakeholder or a stakeholder’s issue.</t>
  </si>
  <si>
    <t>15. Recommended Action</t>
  </si>
  <si>
    <t>Q8</t>
  </si>
  <si>
    <t>Students are given a stimulus and asked to identify a course of action recommended by a historical figure, a group, or a government.</t>
  </si>
  <si>
    <t>IDRIS ALMIRHABI</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</si>
  <si>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</si>
  <si>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</si>
  <si>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</si>
  <si>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</si>
  <si>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</si>
  <si>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</si>
  <si>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</si>
  <si>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</si>
  <si>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</si>
  <si>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</si>
  <si>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</si>
  <si>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</si>
  <si>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</si>
  <si>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</si>
  <si>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</si>
  <si>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Part II</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</si>
  <si>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</si>
  <si>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</si>
  <si>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</si>
  <si>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</si>
  <si>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</si>
  <si>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</si>
  <si>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</si>
  <si>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</si>
  <si>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</si>
  <si>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GIOVANNI BERMEJO ANGEL</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</si>
  <si>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</si>
  <si>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</si>
  <si>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</si>
  <si>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</si>
  <si>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</si>
  <si>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</si>
  <si>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</si>
  <si>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</si>
  <si>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</si>
  <si>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</si>
  <si>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</si>
  <si>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</si>
  <si>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</si>
  <si>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</si>
  <si>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</si>
  <si>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</si>
  <si>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</si>
  <si>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</si>
  <si>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</si>
  <si>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</si>
  <si>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</si>
  <si>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</si>
  <si>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</si>
  <si>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</si>
  <si>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</si>
  <si>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</si>
  <si>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</si>
  <si>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</si>
  <si>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</si>
  <si>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</si>
  <si>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</si>
  <si>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</si>
  <si>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</si>
  <si>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</si>
  <si>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</si>
  <si>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</si>
  <si>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</si>
  <si>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</si>
  <si>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</si>
  <si>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</si>
  <si>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</si>
  <si>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</si>
  <si>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</si>
  <si>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</si>
  <si>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Framework</t>
  </si>
  <si>
    <t>E.1: Marginal Benefits &amp; Costs</t>
  </si>
  <si>
    <t>Specifications</t>
  </si>
  <si>
    <t>Use marginal benefits and marginal costs to construct an argument for or against an approach or solution to an economic issue.</t>
  </si>
  <si>
    <t>10.01a.1</t>
  </si>
  <si>
    <t>Mughal &amp; Ottoman (c. 1750)</t>
  </si>
  <si>
    <t>Students will compare and contrast the Mughal Empire and the Ottoman Empire in 1750 in terms of religious and ethnic tolerance, political organization, and commercial activity.</t>
  </si>
  <si>
    <t>E.2: Incentives in Markets</t>
  </si>
  <si>
    <t>10.01a.2</t>
  </si>
  <si>
    <t>Analyze the ways in which incentives influence what is produced and distributed in a market system.</t>
  </si>
  <si>
    <t>Tokugawa Shogunate</t>
  </si>
  <si>
    <t>Students will examine efforts to unify, stabilize, and centralize Japan under the rule of the Tokugawa Shogunate.</t>
  </si>
  <si>
    <t>10.01a.3</t>
  </si>
  <si>
    <t>E.3: Market Competition</t>
  </si>
  <si>
    <t>Comparing Tokugawa Shogunate &amp; Bourbon Dynasty</t>
  </si>
  <si>
    <t>Evaluate the extent to which competition between sellers and between buyers exists in specific markets.</t>
  </si>
  <si>
    <t>Students will compare and contrast the Tokugawa Shogunate in Japan with France under the rule of the Bourbon Dynasty, looking at the role of Edo and Paris/Versailles, attempts to control the daimyo and nobles, and the development of bureaucracies.</t>
  </si>
  <si>
    <t>10.01b.1</t>
  </si>
  <si>
    <t>E.4: Property Rights &amp; Rule of Law</t>
  </si>
  <si>
    <t>Tokugawa &amp; Mughal Responses to Outsiders</t>
  </si>
  <si>
    <t>Students will compare and contrast the Tokugawa and Mughal responses to outsiders, with attention to the impacts of those decisions.</t>
  </si>
  <si>
    <t>Describe concepts of property rights and rule of law as they apply to a market economy.</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</si>
  <si>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</si>
  <si>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</si>
  <si>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</si>
  <si>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E.5: Economic Indicators</t>
  </si>
  <si>
    <t>10.01b.3</t>
  </si>
  <si>
    <t>Use economic indicators to analyze the current and future state of the economy.</t>
  </si>
  <si>
    <t>Comparing Empire's Geography &amp; Power</t>
  </si>
  <si>
    <t>Students will compare the size of these states, empires, and kingdoms relative to the power they wielded in their regions and in the world.</t>
  </si>
  <si>
    <t>E.6: Government Economic Policy</t>
  </si>
  <si>
    <t>10.02a.1</t>
  </si>
  <si>
    <t>Analyze government economic policies and the effects on the national and global economy.</t>
  </si>
  <si>
    <t>Political Philosophies</t>
  </si>
  <si>
    <t>SEVEN BILAL</t>
  </si>
  <si>
    <t>Students will examine at least three Enlightenment thinkers, including John Locke, Baron de Montesquieu, and Jean-Jacques Rousseau, and key ideas from their written works.</t>
  </si>
  <si>
    <t>F. Civic Participation</t>
  </si>
  <si>
    <t>10.02b.1</t>
  </si>
  <si>
    <t>Gender &amp; Abolition</t>
  </si>
  <si>
    <t>F.1: Respectful Civil Discourse</t>
  </si>
  <si>
    <t>Students will explore the influence of Enlightenment ideals on issues of gender and abolition by examining the ideas of individuals such as Mary Wollstonecraft and William Wilberforce.</t>
  </si>
  <si>
    <t>Demonstrate respect for the rights of others in discussions and classroom debates; respectfully disagree with other viewpoints and provide evidence for a counter-argument.</t>
  </si>
  <si>
    <t>10.02b.2</t>
  </si>
  <si>
    <t>Enlightened Despots</t>
  </si>
  <si>
    <t>Students will examine enlightened despots including Catherine the Great.</t>
  </si>
  <si>
    <t>F.2: Civic Engagement</t>
  </si>
  <si>
    <t>10.02c.1</t>
  </si>
  <si>
    <t>French Revolutions</t>
  </si>
  <si>
    <t>Participate in activities that focus on a classroom, school, community, state, or national issue or problem.</t>
  </si>
  <si>
    <t>Students will examine evidence related to the preconditions of the French Revolution and the course of the revolution, noting the roles of Olympe de Gouges, Maximilien Robespierre, and Napoleon Bonaparte.</t>
  </si>
  <si>
    <t>10.02c.2</t>
  </si>
  <si>
    <t>Latin American Revolutions</t>
  </si>
  <si>
    <t>F.3: Philosophies of Participation</t>
  </si>
  <si>
    <t>Explain differing philosophies of social and political participation and the role of the individual leading to group-driven philosophies.</t>
  </si>
  <si>
    <t>Students will examine the evidence related to the impacts of the French Revolution on resistance and revolutionary movements, noting the roles of Toussaint L'Ouverture and Simon Bolivar.</t>
  </si>
  <si>
    <t>10.02d.1</t>
  </si>
  <si>
    <t>Italy, Germany &amp; Ottoman, Austrian</t>
  </si>
  <si>
    <t>F.4: Individual Civic Roles</t>
  </si>
  <si>
    <t>Students will investigate the role of cultural identity and nationalism in the unification of Italy and Germany and in the dissolution of the Ottoman and Austrian Empires.</t>
  </si>
  <si>
    <t>Identify, describe, and contrast the roles of the individual in opportunities for social and political participation in different societies.</t>
  </si>
  <si>
    <t>10.03a.1</t>
  </si>
  <si>
    <t>British Agricultural Revolution</t>
  </si>
  <si>
    <t>Students will examine the agricultural revolution in Great Britain.</t>
  </si>
  <si>
    <t>F.5: Negotiation &amp; Compromise</t>
  </si>
  <si>
    <t>10.03b.1</t>
  </si>
  <si>
    <t>Participate in persuading, debating, negotiating, and compromising in the resolution of conflicts and differences.</t>
  </si>
  <si>
    <t>Industrial Production &amp; Economic Practices</t>
  </si>
  <si>
    <t>Students will analyze the factors and conditions needed to industrialize and to expand industrial production, as well as shifts in economic practices.</t>
  </si>
  <si>
    <t>F.6: Identifying Need for Action</t>
  </si>
  <si>
    <t>10.03b.2</t>
  </si>
  <si>
    <t>Wealth of Nations</t>
  </si>
  <si>
    <t>Identify situations in which social actions are required and determine an appropriate course of action.</t>
  </si>
  <si>
    <t>Students will examine the economic theory presented in The Wealth of Nations.</t>
  </si>
  <si>
    <t>F.7: Advocating for Rights</t>
  </si>
  <si>
    <t>10.03b.3</t>
  </si>
  <si>
    <t>Energy, Technology, Communication, &amp; Transportation</t>
  </si>
  <si>
    <t>Work to influence those in positions of power to strive for extensions of freedom, social justice, and human rights.</t>
  </si>
  <si>
    <t>Students will examine changes and innovations in energy, technology, communication, and transportation that enabled industrialization.</t>
  </si>
  <si>
    <t>10.03c.1</t>
  </si>
  <si>
    <t>Comparing Victorian England &amp; Meiji Japan</t>
  </si>
  <si>
    <t>F.8: Civic Responsibility</t>
  </si>
  <si>
    <t>Students will investigate the social, political, and economic impacts of industrialization in Victorian England and Meiji Japan and compare and contrast them.</t>
  </si>
  <si>
    <t>10.03d.1</t>
  </si>
  <si>
    <t>Fulfill social and political responsibilities associated with citizenship in a democratic society and interdependent global community by developing awareness of and/or engaging in the political process.</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</si>
  <si>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</si>
  <si>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</si>
  <si>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</si>
  <si>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</si>
  <si>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</si>
  <si>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</si>
  <si>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</si>
  <si>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</si>
  <si>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</si>
  <si>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</si>
  <si>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</si>
  <si>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</si>
  <si>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</si>
  <si>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</si>
  <si>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</si>
  <si>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</si>
  <si>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</si>
  <si>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</si>
  <si>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</si>
  <si>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</si>
  <si>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</si>
  <si>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</si>
  <si>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</si>
  <si>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</si>
  <si>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</si>
  <si>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</si>
  <si>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</si>
  <si>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</si>
  <si>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</si>
  <si>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</si>
  <si>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</si>
  <si>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</si>
  <si>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</si>
  <si>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</si>
  <si>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</si>
  <si>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</si>
  <si>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</si>
  <si>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</si>
  <si>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</si>
  <si>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</si>
  <si>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</si>
  <si>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</si>
  <si>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</si>
  <si>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</si>
  <si>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</si>
  <si>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</si>
  <si>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</si>
  <si>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</si>
  <si>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</si>
  <si>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</si>
  <si>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</si>
  <si>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</si>
  <si>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</si>
  <si>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</si>
  <si>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</si>
  <si>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</si>
  <si>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</si>
  <si>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</si>
  <si>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</si>
  <si>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GIOVANNI DE JESUS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</si>
  <si>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</si>
  <si>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</si>
  <si>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</si>
  <si>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</si>
  <si>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</si>
  <si>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</si>
  <si>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</si>
  <si>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</si>
  <si>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</si>
  <si>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</si>
  <si>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</si>
  <si>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</si>
  <si>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</si>
  <si>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</si>
  <si>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</si>
  <si>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</si>
  <si>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</si>
  <si>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</si>
  <si>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</si>
  <si>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</si>
  <si>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</si>
  <si>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</si>
  <si>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</si>
  <si>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</si>
  <si>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</si>
  <si>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</si>
  <si>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</si>
  <si>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</si>
  <si>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</si>
  <si>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</si>
  <si>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</si>
  <si>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</si>
  <si>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</si>
  <si>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</si>
  <si>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</si>
  <si>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</si>
  <si>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</si>
  <si>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</si>
  <si>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</si>
  <si>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</si>
  <si>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</si>
  <si>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</si>
  <si>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</si>
  <si>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</si>
  <si>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</si>
  <si>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</si>
  <si>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</si>
  <si>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</si>
  <si>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</si>
  <si>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</si>
  <si>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</si>
  <si>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</si>
  <si>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</si>
  <si>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</si>
  <si>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</si>
  <si>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</si>
  <si>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</si>
  <si>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</si>
  <si>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</si>
  <si>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</si>
  <si>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</si>
  <si>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</si>
  <si>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</si>
  <si>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</si>
  <si>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</si>
  <si>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</si>
  <si>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</si>
  <si>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BRIANNA GARNER</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</si>
  <si>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</si>
  <si>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</si>
  <si>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</si>
  <si>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</si>
  <si>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</si>
  <si>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</si>
  <si>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</si>
  <si>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</si>
  <si>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</si>
  <si>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</si>
  <si>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</si>
  <si>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</si>
  <si>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</si>
  <si>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</si>
  <si>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</si>
  <si>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</si>
  <si>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</si>
  <si>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</si>
  <si>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</si>
  <si>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</si>
  <si>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</si>
  <si>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</si>
  <si>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</si>
  <si>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</si>
  <si>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</si>
  <si>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</si>
  <si>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</si>
  <si>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</si>
  <si>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</si>
  <si>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</si>
  <si>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</si>
  <si>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</si>
  <si>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</si>
  <si>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</si>
  <si>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</si>
  <si>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</si>
  <si>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</si>
  <si>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</si>
  <si>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</si>
  <si>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</si>
  <si>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</si>
  <si>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</si>
  <si>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</si>
  <si>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</si>
  <si>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</si>
  <si>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</si>
  <si>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</si>
  <si>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</si>
  <si>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</si>
  <si>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</si>
  <si>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</si>
  <si>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</si>
  <si>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</si>
  <si>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</si>
  <si>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</si>
  <si>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</si>
  <si>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</si>
  <si>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</si>
  <si>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</si>
  <si>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</si>
  <si>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</si>
  <si>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</si>
  <si>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</si>
  <si>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</si>
  <si>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</si>
  <si>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</si>
  <si>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</si>
  <si>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</si>
  <si>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</si>
  <si>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</si>
  <si>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</si>
  <si>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</si>
  <si>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</si>
  <si>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</si>
  <si>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</si>
  <si>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</si>
  <si>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</si>
  <si>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</si>
  <si>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</si>
  <si>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</si>
  <si>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</si>
  <si>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</si>
  <si>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</si>
  <si>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</si>
  <si>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</si>
  <si>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</si>
  <si>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</si>
  <si>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</si>
  <si>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</si>
  <si>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</si>
  <si>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</si>
  <si>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</si>
  <si>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</si>
  <si>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</si>
  <si>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SHAIED MOHAMMAD IRZE</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</si>
  <si>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</si>
  <si>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</si>
  <si>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</si>
  <si>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</si>
  <si>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</si>
  <si>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</si>
  <si>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</si>
  <si>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</si>
  <si>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</si>
  <si>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</si>
  <si>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</si>
  <si>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</si>
  <si>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</si>
  <si>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</si>
  <si>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</si>
  <si>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</si>
  <si>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</si>
  <si>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</si>
  <si>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</si>
  <si>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</si>
  <si>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</si>
  <si>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</si>
  <si>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</si>
  <si>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</si>
  <si>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</si>
  <si>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</si>
  <si>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</si>
  <si>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</si>
  <si>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</si>
  <si>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</si>
  <si>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</si>
  <si>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</si>
  <si>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</si>
  <si>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</si>
  <si>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</si>
  <si>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</si>
  <si>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</si>
  <si>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</si>
  <si>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</si>
  <si>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</si>
  <si>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</si>
  <si>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</si>
  <si>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</si>
  <si>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</si>
  <si>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</si>
  <si>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</si>
  <si>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</si>
  <si>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</si>
  <si>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</si>
  <si>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</si>
  <si>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</si>
  <si>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</si>
  <si>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</si>
  <si>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</si>
  <si>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</si>
  <si>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</si>
  <si>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</si>
  <si>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</si>
  <si>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</si>
  <si>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</si>
  <si>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</si>
  <si>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</si>
  <si>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</si>
  <si>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</si>
  <si>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</si>
  <si>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</si>
  <si>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</si>
  <si>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</si>
  <si>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</si>
  <si>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</si>
  <si>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</si>
  <si>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</si>
  <si>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ETHAN LOGAN</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</si>
  <si>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</si>
  <si>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</si>
  <si>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</si>
  <si>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</si>
  <si>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</si>
  <si>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</si>
  <si>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</si>
  <si>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</si>
  <si>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</si>
  <si>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</si>
  <si>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</si>
  <si>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</si>
  <si>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</si>
  <si>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</si>
  <si>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</si>
  <si>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</si>
  <si>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</si>
  <si>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</si>
  <si>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</si>
  <si>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</si>
  <si>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</si>
  <si>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</si>
  <si>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</si>
  <si>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</si>
  <si>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</si>
  <si>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</si>
  <si>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</si>
  <si>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</si>
  <si>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</si>
  <si>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</si>
  <si>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</si>
  <si>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</si>
  <si>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</si>
  <si>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</si>
  <si>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</si>
  <si>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</si>
  <si>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</si>
  <si>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</si>
  <si>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</si>
  <si>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</si>
  <si>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</si>
  <si>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</si>
  <si>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</si>
  <si>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</si>
  <si>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</si>
  <si>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</si>
  <si>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</si>
  <si>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</si>
  <si>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</si>
  <si>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</si>
  <si>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</si>
  <si>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</si>
  <si>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</si>
  <si>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</si>
  <si>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</si>
  <si>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</si>
  <si>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</si>
  <si>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</si>
  <si>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</si>
  <si>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</si>
  <si>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</si>
  <si>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</si>
  <si>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</si>
  <si>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</si>
  <si>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</si>
  <si>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</si>
  <si>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</si>
  <si>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</si>
  <si>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</si>
  <si>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</si>
  <si>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</si>
  <si>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</si>
  <si>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</si>
  <si>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</si>
  <si>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</si>
  <si>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</si>
  <si>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</si>
  <si>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</si>
  <si>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</si>
  <si>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</si>
  <si>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</si>
  <si>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</si>
  <si>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</si>
  <si>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</si>
  <si>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</si>
  <si>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</si>
  <si>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</si>
  <si>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</si>
  <si>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</si>
  <si>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</si>
  <si>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</si>
  <si>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</si>
  <si>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</si>
  <si>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</si>
  <si>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</si>
  <si>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</si>
  <si>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</si>
  <si>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</si>
  <si>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</si>
  <si>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</si>
  <si>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</si>
  <si>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</si>
  <si>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</si>
  <si>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</si>
  <si>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</si>
  <si>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</si>
  <si>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</si>
  <si>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MACKENZIE MUNROE</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</si>
  <si>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</si>
  <si>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</si>
  <si>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</si>
  <si>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</si>
  <si>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</si>
  <si>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</si>
  <si>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</si>
  <si>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</si>
  <si>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</si>
  <si>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</si>
  <si>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</si>
  <si>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</si>
  <si>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</si>
  <si>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</si>
  <si>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</si>
  <si>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</si>
  <si>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</si>
  <si>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</si>
  <si>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</si>
  <si>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</si>
  <si>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</si>
  <si>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</si>
  <si>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</si>
  <si>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</si>
  <si>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</si>
  <si>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</si>
  <si>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</si>
  <si>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</si>
  <si>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</si>
  <si>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</si>
  <si>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</si>
  <si>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</si>
  <si>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</si>
  <si>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</si>
  <si>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</si>
  <si>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</si>
  <si>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</si>
  <si>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</si>
  <si>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</si>
  <si>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</si>
  <si>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</si>
  <si>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</si>
  <si>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</si>
  <si>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</si>
  <si>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</si>
  <si>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</si>
  <si>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</si>
  <si>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</si>
  <si>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</si>
  <si>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</si>
  <si>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</si>
  <si>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</si>
  <si>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</si>
  <si>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</si>
  <si>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</si>
  <si>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</si>
  <si>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</si>
  <si>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</si>
  <si>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</si>
  <si>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</si>
  <si>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</si>
  <si>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</si>
  <si>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</si>
  <si>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</si>
  <si>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</si>
  <si>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</si>
  <si>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</si>
  <si>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</si>
  <si>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</si>
  <si>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</si>
  <si>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</si>
  <si>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</si>
  <si>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</si>
  <si>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</si>
  <si>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</si>
  <si>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</si>
  <si>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</si>
  <si>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</si>
  <si>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</si>
  <si>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</si>
  <si>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CRISTIAN NAJERA JIMENEZ</t>
  </si>
  <si>
    <t>HELEN PUNINA YANCHATIPAN</t>
  </si>
  <si>
    <t>QUINTEN REED</t>
  </si>
  <si>
    <t>ANDRES SALAZAR</t>
  </si>
  <si>
    <t>VANCE SAMUELS JR</t>
  </si>
  <si>
    <t>DESHAWN TURNER</t>
  </si>
  <si>
    <t>JAIYANA WINTZ</t>
  </si>
  <si>
    <t>HASSON WRIGHT</t>
  </si>
  <si>
    <t>RALPH AVELINO</t>
  </si>
  <si>
    <t>KOLAWOLE-QASIM BAKARE-MORRISON</t>
  </si>
  <si>
    <t>NEVAEH BANKS</t>
  </si>
  <si>
    <t>JAYLIN BOYCE</t>
  </si>
  <si>
    <t>GLORY CELESTIN</t>
  </si>
  <si>
    <t>KIYAN DALY</t>
  </si>
  <si>
    <t>LIAM FLEMING</t>
  </si>
  <si>
    <t>RADELY GONZALEZ</t>
  </si>
  <si>
    <t>CHAD JOHNSON</t>
  </si>
  <si>
    <t>JIEQUAN JOHNSON SPENCER</t>
  </si>
  <si>
    <t>MADISON KYDD ALCINE</t>
  </si>
  <si>
    <t>MARK MARTIN</t>
  </si>
  <si>
    <t>ASHTON MAYERS</t>
  </si>
  <si>
    <t>SOLANGE MONTERO</t>
  </si>
  <si>
    <t>ANDREA PEREZ</t>
  </si>
  <si>
    <t>SEBASTIAN PEREZ RODRIGUEZ</t>
  </si>
  <si>
    <t>MANUEL RODRIGUEZ</t>
  </si>
  <si>
    <t>MADISON RUBIN</t>
  </si>
  <si>
    <t>DOMINIC STANISLAS</t>
  </si>
  <si>
    <t>ARTURO YAHIR VAZQUEZ</t>
  </si>
  <si>
    <t>MALACHI WALTERS</t>
  </si>
  <si>
    <t>MIA WILLIS</t>
  </si>
  <si>
    <t>GERMANE BROOKS</t>
  </si>
  <si>
    <t>MYA BRYANT</t>
  </si>
  <si>
    <t>RODRIGO CARRION-CAZALES</t>
  </si>
  <si>
    <t>JAMIR CHARLES</t>
  </si>
  <si>
    <t>ARMANII DOUGLAS</t>
  </si>
  <si>
    <t>TAMIA DRAKE</t>
  </si>
  <si>
    <t>JETZYEL GONZALEZ</t>
  </si>
  <si>
    <t>ZACHARY HEREDIA</t>
  </si>
  <si>
    <t>KYMANI JAMES</t>
  </si>
  <si>
    <t>JENAE LIVERPOOL</t>
  </si>
  <si>
    <t>ERRIS MACULA</t>
  </si>
  <si>
    <t>JOSHUA MARTINEZ</t>
  </si>
  <si>
    <t>WINSTON MCFARLANE</t>
  </si>
  <si>
    <t>DAVID MENDEZ</t>
  </si>
  <si>
    <t>SHANE MITCHELL</t>
  </si>
  <si>
    <t>SEAN PRESSLEY</t>
  </si>
  <si>
    <t>DYLAN TIRO</t>
  </si>
  <si>
    <t>SULAIMAN ALMASHMALLY</t>
  </si>
  <si>
    <t>SANAI BROWN</t>
  </si>
  <si>
    <t>MALAYAH BRYAN</t>
  </si>
  <si>
    <t>KEENAN MALACHI EDOUAZIN</t>
  </si>
  <si>
    <t>SELAYRIA FORTUNE</t>
  </si>
  <si>
    <t>AIDEN GANTEAUME</t>
  </si>
  <si>
    <t>DEEJAY GRANT</t>
  </si>
  <si>
    <t>DOUGLIN LATTA</t>
  </si>
  <si>
    <t>AIDEN MAYERS</t>
  </si>
  <si>
    <t>AHMED MOHAMED</t>
  </si>
  <si>
    <t>DYLAN MORALES</t>
  </si>
  <si>
    <t>NAYOMEY MURPH</t>
  </si>
  <si>
    <t>PILARAH PAILLANT</t>
  </si>
  <si>
    <t>ADDINUR PATWARY</t>
  </si>
  <si>
    <t>HENRIQUE PAXTOR TOC</t>
  </si>
  <si>
    <t>TRISTAN QUINONES</t>
  </si>
  <si>
    <t>HEILY RODRIGUEZ</t>
  </si>
  <si>
    <t>AMADOR ROJAS</t>
  </si>
  <si>
    <t>CRISTAL ROMERO MELENDEZ</t>
  </si>
  <si>
    <t>TIMYA RUSSELL</t>
  </si>
  <si>
    <t>KRISTOPHER SMITH</t>
  </si>
  <si>
    <t>MATTHEW SOTO</t>
  </si>
  <si>
    <t>GENESIS TAVERAS TEJADA</t>
  </si>
  <si>
    <t>ZOE TONEY</t>
  </si>
  <si>
    <t>NEVAEH WATKINS</t>
  </si>
  <si>
    <t>JOSLIN YOUNGE</t>
  </si>
  <si>
    <t>Concatenated</t>
  </si>
  <si>
    <t>BBC passage on factors in the Ottoman Empire's decline</t>
  </si>
  <si>
    <t>Based on the passage, identify an issue faced by the Ottoman Empire in the 1600s.</t>
  </si>
  <si>
    <t>The empire became too large to govern.</t>
  </si>
  <si>
    <t>Global trade routes shifted.</t>
  </si>
  <si>
    <t>Rulers were responsive to the needs of people living in the empire.</t>
  </si>
  <si>
    <t>Trade increased in the empire.</t>
  </si>
  <si>
    <t>Text-based</t>
  </si>
  <si>
    <t>Secondary</t>
  </si>
  <si>
    <t>No</t>
  </si>
  <si>
    <t>10.01a.1: Mughal &amp; Ottoman (c. 1750)</t>
  </si>
  <si>
    <t>Ansary excerpts on Aurangzeb's Mughal rule and Ottoman society</t>
  </si>
  <si>
    <t>Based on these passages, what is a primary similarity between the Mughal and Ottoman Empires?</t>
  </si>
  <si>
    <t>Social conflict did not exist in either empire.</t>
  </si>
  <si>
    <t>Each empire experienced a period of success.</t>
  </si>
  <si>
    <t>Each empire lasted less than a century.</t>
  </si>
  <si>
    <t>Hinduism had little influence in their development.</t>
  </si>
  <si>
    <t>Which statement best explains a reason the Mughal Empire declined and a reason the Ottoman Empire declined?</t>
  </si>
  <si>
    <t>Mughal leaders were ineffective; Ottoman society was too interconnected.</t>
  </si>
  <si>
    <t>Mughal society was too secular; policies of Ottoman sultans were inconsistent.</t>
  </si>
  <si>
    <t>Religious diversity in the Mughal Empire was lacking; the Ottoman Empire never worked efficiently.</t>
  </si>
  <si>
    <t>Mughal society paid little attention to the government; Ottoman social groups were too isolated.</t>
  </si>
  <si>
    <t>Tokugawa Edict of 1635 closing Japan</t>
  </si>
  <si>
    <t>Identify the best use of this document for a historian.</t>
  </si>
  <si>
    <t>To determine the effects of the Edict of 1635 Ordering the Closing of Japan on merchants</t>
  </si>
  <si>
    <t>To find out how Japanese Christians felt about the Tokugawa shogunate</t>
  </si>
  <si>
    <t>To explore the views of the Japanese government towards outsiders in 1635</t>
  </si>
  <si>
    <t>To identify the goods exported by Japanese merchants</t>
  </si>
  <si>
    <t>Primary</t>
  </si>
  <si>
    <t>10.01b.1: Tokugawa &amp; Mughal Responses to Outsiders</t>
  </si>
  <si>
    <t>Britannica passage on the sankin kōtai system</t>
  </si>
  <si>
    <t>One effect of the policy described in this passage was that it</t>
  </si>
  <si>
    <t>promoted local resistance</t>
  </si>
  <si>
    <t>strengthened the power of the shogun</t>
  </si>
  <si>
    <t>renewed trade agreements</t>
  </si>
  <si>
    <t>increased the wealth of the samurai</t>
  </si>
  <si>
    <t>10.01a.2: Tokugawa Shogunate</t>
  </si>
  <si>
    <t>Map of the Ottoman Empire at its height</t>
  </si>
  <si>
    <t>This map shows that at the height of the Ottoman Empire, the empire</t>
  </si>
  <si>
    <t>controlled the port cities of Barcelona and Marseille</t>
  </si>
  <si>
    <t>governed the Persian Empire</t>
  </si>
  <si>
    <t>included territory in Europe, Africa, and Asia</t>
  </si>
  <si>
    <t>completely surrounded the Red Sea</t>
  </si>
  <si>
    <t>Map-based</t>
  </si>
  <si>
    <t>10.01b.2: Eurasia World Map</t>
  </si>
  <si>
    <t>Saint-Simon memoir on Louis XIV's court at Versailles</t>
  </si>
  <si>
    <t>A historian would find this passage most useful for understanding the</t>
  </si>
  <si>
    <t>rules of diplomacy followed by Louis XIV</t>
  </si>
  <si>
    <t>effectiveness of Louis XIV's reign</t>
  </si>
  <si>
    <t>methods Louis XIV used to control the nobility</t>
  </si>
  <si>
    <t>divine right beliefs of Louis XIV</t>
  </si>
  <si>
    <t>10.01a.3: Comparing Tokugawa Shogunate &amp; Bourbon Dynasty</t>
  </si>
  <si>
    <t>Which historical situation is most similar to the one described in this passage?</t>
  </si>
  <si>
    <t>the rebellions in Cuba led by Fidel Castro</t>
  </si>
  <si>
    <t>the emancipation of serfs in Russia under Catherine the Great</t>
  </si>
  <si>
    <t>the implementation of an alternative attendance system in Tokugawa Japan</t>
  </si>
  <si>
    <t>the mobilization of the Red Guard to remove corrupt officials under Mao Zedong</t>
  </si>
  <si>
    <t>Yes</t>
  </si>
  <si>
    <t>Jahangir's 1617 letter to King James I granting English trade rights</t>
  </si>
  <si>
    <t>Explain the historical circumstances that led to the developments shown in this passage.</t>
  </si>
  <si>
    <t>Based on the excerpt, explain the author's point of view regarding Europeans in the Tokugawa Shogunate.</t>
  </si>
  <si>
    <t>Jahangir's letter to James I and Tokugawa Edict of 1635</t>
  </si>
  <si>
    <t>Identify a similarity or a difference between the treatment of outsiders in the Mughal Empire in the 1750s and the Tokugawa Shogunate in 1635.</t>
  </si>
  <si>
    <t>Multiple</t>
  </si>
  <si>
    <t>Explain the similarity or difference you identified using evidence from both documents.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</si>
</sst>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6" x14ac:knownFonts="1">
    <font>
      <sz val="10"/>
      <color rgb="FF000000"/>
      <name val="Arial"/>
      <scheme val="minor"/>
    </font>
    <font>
      <sz val="10"/>
      <color theme="1"/>
      <name val="Arial"/>
      <family val="2"/>
      <scheme val="minor"/>
    </font>
    <font>
      <sz val="10"/>
      <color rgb="FF000000"/>
      <name val="Arial"/>
      <family val="2"/>
      <scheme val="minor"/>
    </font>
    <font>
      <sz val="10"/>
      <color rgb="FF3F4A58"/>
      <name val="Arial"/>
      <family val="2"/>
      <scheme val="minor"/>
    </font>
    <font>
      <sz val="10"/>
      <color rgb="FF000000"/>
      <name val="Tahoma"/>
      <family val="2"/>
    </font>
    <font>
      <b/>
      <sz val="10"/>
      <color rgb="FF000000"/>
      <name val="Tahoma"/>
      <family val="2"/>
    </font>
  </fonts>
  <fills count="2">
    <fill>
      <patternFill patternType="none"/>
    </fill>
    <fill>
      <patternFill patternType="gray125"/>
    </fill>
  </fills>
  <borders count="3">
    <border>
      <left/>
      <right/>
      <top/>
      <bottom/>
      <diagonal/>
    </border>
    <border>
      <left style="thin">
        <color rgb="FF356854"/>
      </left>
      <right/>
      <top/>
      <bottom/>
      <diagonal/>
    </border>
    <border>
      <left/>
      <right style="thin">
        <color rgb="FF356854"/>
      </right>
      <top/>
      <bottom/>
      <diagonal/>
    </border>
  </borders>
  <cellStyleXfs count="2">
    <xf numFmtId="0" fontId="0" fillId="0" borderId="0"/>
    <xf numFmtId="0" fontId="2" fillId="0" borderId="0"/>
  </cellStyleXfs>
  <cellXfs count="16">
    <xf numFmtId="0" fontId="0" fillId="0" borderId="0" xfId="0"/>
    <xf numFmtId="0" fontId="1" fillId="0" borderId="0" xfId="0" applyFont="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9" fontId="1" fillId="0" borderId="2" xfId="0" applyNumberFormat="1" applyFont="1" applyBorder="1" applyAlignment="1">
      <alignment horizontal="center" vertical="center"/>
    </xf>
    <xf numFmtId="9" fontId="1" fillId="0" borderId="0" xfId="0" applyNumberFormat="1" applyFont="1" applyAlignment="1">
      <alignment horizontal="center" vertical="center"/>
    </xf>
    <xf numFmtId="0" fontId="3"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extLst>
        <ext xmlns:xfpb="http://schemas.microsoft.com/office/spreadsheetml/2022/featurepropertybag" uri="{C7286773-470A-42A8-94C5-96B5CB345126}">
          <xfpb:xfComplement i="0"/>
        </ext>
      </extLst>
    </xf>
    <xf numFmtId="0" fontId="2" fillId="0" borderId="0" xfId="0" applyFont="1"/>
    <xf numFmtId="0" fontId="3" fillId="0" borderId="0" xfId="0" applyFont="1"/>
    <xf numFmtId="164" fontId="0" fillId="0" borderId="0" xfId="0" applyNumberFormat="1"/>
    <xf numFmtId="2" fontId="0" fillId="0" borderId="0" xfId="0" applyNumberFormat="1"/>
    <xf numFmtId="0" fontId="0" fillId="0" borderId="0" xfId="0" applyAlignment="1">
      <alignment horizontal="center"/>
    </xf>
  </cellXfs>
  <cellStyles count="2">
    <cellStyle name="Normal" xfId="0" builtinId="0"/>
    <cellStyle name="Normal 2" xfId="1" xr:uid="{E24C90E3-2734-B149-B611-0E6AC5E040E3}"/>
  </cellStyles>
  <dxfs count="31">
    <dxf>
      <alignment horizontal="center" textRotation="0" wrapText="0" indent="0" justifyLastLine="0" shrinkToFit="0" readingOrder="0"/>
    </dxf>
    <dxf>
      <font>
        <strike val="0"/>
        <outline val="0"/>
        <shadow val="0"/>
        <u val="none"/>
        <vertAlign val="baseline"/>
        <sz val="10"/>
        <color rgb="FF3F4A58"/>
        <name val="Arial"/>
        <scheme val="minor"/>
      </font>
      <extLst>
        <ext xmlns:xfpb="http://schemas.microsoft.com/office/spreadsheetml/2022/featurepropertybag" uri="{0417FA29-78FA-4A13-93AC-8FF0FAFDF519}">
          <xfpb:DXFComplement i="0"/>
        </ext>
      </extLst>
    </dxf>
    <dxf>
      <numFmt numFmtId="0" formatCode="General"/>
    </dxf>
    <dxf>
      <numFmt numFmtId="0" formatCode="General"/>
    </dxf>
    <dxf>
      <font>
        <color rgb="FFBB463C"/>
      </font>
      <fill>
        <patternFill patternType="solid">
          <fgColor rgb="FFFFD9D6"/>
          <bgColor rgb="FFFFD9D6"/>
        </patternFill>
      </fill>
    </dxf>
    <dxf>
      <numFmt numFmtId="0" formatCode="General"/>
    </dxf>
    <dxf>
      <font>
        <strike val="0"/>
        <outline val="0"/>
        <shadow val="0"/>
        <u val="none"/>
        <vertAlign val="baseline"/>
        <sz val="10"/>
        <color rgb="FF3F4A58"/>
        <name val="Arial"/>
        <scheme val="minor"/>
      </font>
      <extLst>
        <ext xmlns:xfpb="http://schemas.microsoft.com/office/spreadsheetml/2022/featurepropertybag" uri="{0417FA29-78FA-4A13-93AC-8FF0FAFDF519}">
          <xfpb:DXFComplement i="0"/>
        </ext>
      </extLst>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Questions-style" pivot="0" count="4" xr9:uid="{00000000-0011-0000-FFFF-FFFF00000000}">
      <tableStyleElement type="wholeTable" size="0" dxfId="30"/>
      <tableStyleElement type="headerRow" dxfId="29"/>
      <tableStyleElement type="firstRowStripe" dxfId="28"/>
      <tableStyleElement type="secondRowStripe" dxfId="27"/>
    </tableStyle>
    <tableStyle name="Task Models-style" pivot="0" count="4" xr9:uid="{00000000-0011-0000-FFFF-FFFF01000000}">
      <tableStyleElement type="wholeTable" size="0" dxfId="26"/>
      <tableStyleElement type="headerRow" dxfId="25"/>
      <tableStyleElement type="firstRowStripe" dxfId="24"/>
      <tableStyleElement type="secondRowStripe" dxfId="23"/>
    </tableStyle>
    <tableStyle name="Scores-style" pivot="0" count="4" xr9:uid="{00000000-0011-0000-FFFF-FFFF02000000}">
      <tableStyleElement type="wholeTable" size="0" dxfId="22"/>
      <tableStyleElement type="headerRow" dxfId="21"/>
      <tableStyleElement type="firstRowStripe" dxfId="20"/>
      <tableStyleElement type="secondRowStripe" dxfId="19"/>
    </tableStyle>
    <tableStyle name="Skill Standards-style" pivot="0" count="4" xr9:uid="{00000000-0011-0000-FFFF-FFFF03000000}">
      <tableStyleElement type="wholeTable" size="0" dxfId="18"/>
      <tableStyleElement type="headerRow" dxfId="17"/>
      <tableStyleElement type="firstRowStripe" dxfId="16"/>
      <tableStyleElement type="secondRowStripe" dxfId="15"/>
    </tableStyle>
    <tableStyle name="Content Standards-style" pivot="0" count="4" xr9:uid="{00000000-0011-0000-FFFF-FFFF04000000}">
      <tableStyleElement type="wholeTable" size="0" dxfId="14"/>
      <tableStyleElement type="headerRow" dxfId="13"/>
      <tableStyleElement type="firstRowStripe" dxfId="12"/>
      <tableStyleElement type="secondRowStripe" dxfId="11"/>
    </tableStyle>
    <tableStyle name="Light and Airy" count="4" xr9:uid="{D3C6459B-EC7F-4F41-B005-22E80AE40871}">
      <tableStyleElement type="wholeTable" dxfId="10"/>
      <tableStyleElement type="headerRow" dxfId="9"/>
      <tableStyleElement type="totalRow" dxfId="8"/>
      <tableStyleElement type="first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D82">
  <tableColumns count="30">
    <tableColumn id="1" xr3:uid="{00000000-0010-0000-0000-000001000000}" name="Student"/>
    <tableColumn id="2" xr3:uid="{00000000-0010-0000-0000-000002000000}" name="First"/>
    <tableColumn id="3" xr3:uid="{00000000-0010-0000-0000-000003000000}" name="Last"/>
    <tableColumn id="4" xr3:uid="{00000000-0010-0000-0000-000004000000}" name="Class"/>
    <tableColumn id="5" xr3:uid="{00000000-0010-0000-0000-000005000000}" name="Period" dataDxfId="0"/>
    <tableColumn id="6" xr3:uid="{00000000-0010-0000-0000-000006000000}" name="ELL" dataDxfId="1"/>
    <tableColumn id="7" xr3:uid="{00000000-0010-0000-0000-000007000000}" name="IEP" dataDxfId="6"/>
    <tableColumn id="8" xr3:uid="{00000000-0010-0000-0000-000008000000}" name="MC"/>
    <tableColumn id="9" xr3:uid="{00000000-0010-0000-0000-000009000000}" name="CRQ"/>
    <tableColumn id="10" xr3:uid="{00000000-0010-0000-0000-00000A000000}" name="Final"/>
    <tableColumn id="11" xr3:uid="{00000000-0010-0000-0000-00000B000000}" name="1"/>
    <tableColumn id="12" xr3:uid="{00000000-0010-0000-0000-00000C000000}" name="2"/>
    <tableColumn id="13" xr3:uid="{00000000-0010-0000-0000-00000D000000}" name="3"/>
    <tableColumn id="14" xr3:uid="{00000000-0010-0000-0000-00000E000000}" name="4"/>
    <tableColumn id="15" xr3:uid="{00000000-0010-0000-0000-00000F000000}" name="5"/>
    <tableColumn id="16" xr3:uid="{00000000-0010-0000-0000-000010000000}" name="6"/>
    <tableColumn id="17" xr3:uid="{00000000-0010-0000-0000-000011000000}" name="7"/>
    <tableColumn id="18" xr3:uid="{00000000-0010-0000-0000-000012000000}" name="8"/>
    <tableColumn id="19" xr3:uid="{00000000-0010-0000-0000-000013000000}" name="9"/>
    <tableColumn id="20" xr3:uid="{00000000-0010-0000-0000-000014000000}" name="10"/>
    <tableColumn id="21" xr3:uid="{00000000-0010-0000-0000-000015000000}" name="11a"/>
    <tableColumn id="22" xr3:uid="{00000000-0010-0000-0000-000016000000}" name="11b"/>
    <tableColumn id="23" xr3:uid="{00000000-0010-0000-0000-000017000000}" name="Q1"/>
    <tableColumn id="24" xr3:uid="{00000000-0010-0000-0000-000018000000}" name="Q2"/>
    <tableColumn id="25" xr3:uid="{00000000-0010-0000-0000-000019000000}" name="Q3"/>
    <tableColumn id="26" xr3:uid="{00000000-0010-0000-0000-00001A000000}" name="Q4"/>
    <tableColumn id="27" xr3:uid="{00000000-0010-0000-0000-00001B000000}" name="Q5"/>
    <tableColumn id="28" xr3:uid="{00000000-0010-0000-0000-00001C000000}" name="Q6"/>
    <tableColumn id="29" xr3:uid="{00000000-0010-0000-0000-00001D000000}" name="Q7"/>
    <tableColumn id="30" xr3:uid="{00000000-0010-0000-0000-00001E000000}" name="Q8"/>
  </tableColumns>
  <tableStyleInfo name="Light and Airy"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13">
  <tableColumns count="17">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Key"/>
    <tableColumn id="6" xr3:uid="{00000000-0010-0000-0100-000006000000}" name="Option_1"/>
    <tableColumn id="7" xr3:uid="{00000000-0010-0000-0100-000007000000}" name="Option_2"/>
    <tableColumn id="8" xr3:uid="{00000000-0010-0000-0100-000008000000}" name="Option_3"/>
    <tableColumn id="9" xr3:uid="{00000000-0010-0000-0100-000009000000}" name="Option_4"/>
    <tableColumn id="10" xr3:uid="{00000000-0010-0000-0100-00000A000000}" name="Stimulus_type"/>
    <tableColumn id="11" xr3:uid="{00000000-0010-0000-0100-00000B000000}" name="Source_type"/>
    <tableColumn id="12" xr3:uid="{00000000-0010-0000-0100-00000C000000}" name="Task_model"/>
    <tableColumn id="13" xr3:uid="{00000000-0010-0000-0100-00000D000000}" name="Skill_standard"/>
    <tableColumn id="14" xr3:uid="{00000000-0010-0000-0100-00000E000000}" name="Need_OI?"/>
    <tableColumn id="15" xr3:uid="{00000000-0010-0000-0100-00000F000000}" name="Content_standard"/>
    <tableColumn id="16" xr3:uid="{00000000-0010-0000-0100-000010000000}" name="Pct_Correct" dataDxfId="3">
      <calculatedColumnFormula>AVERAGE(INDEX(Scores[[Q1]:[Q8]],0,Questions[[#This Row],['#]]))</calculatedColumnFormula>
    </tableColumn>
    <tableColumn id="17" xr3:uid="{00000000-0010-0000-0100-000011000000}" name="Point_Biserial" dataDxfId="2">
      <calculatedColumnFormula array="1">_xlfn.LET(_xlpm.item,INDEX(Scores[[Q1]:[Q8]],0,Questions[[#This Row],['#]]),CORREL(_xlpm.item,Scores[MC]-_xlpm.item))</calculatedColumnFormula>
    </tableColumn>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37E3D24F-9292-BD43-B3FC-16D6A7D0B3AB}" name="Concatenated" dataDxfId="5">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98D88C-0534-5547-8769-1B5A76224AC8}">
  <we:reference id="WA200009404" version="1.0.0.8" store="Omex" storeType="OMEX"/>
  <we:alternateReferences>
    <we:reference id="WA200009404" version="1.0.0.8" store="WA200009404" storeType="OMEX"/>
  </we:alternateReferences>
  <we:properties>
    <we:property name="claude.fileId" value="&quot;563beb48-9926-4e68-9d68-8992f78c72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82"/>
  <sheetViews>
    <sheetView showGridLines="0" tabSelected="1" topLeftCell="I1" workbookViewId="0">
      <pane ySplit="1" topLeftCell="A2" activePane="bottomLeft" state="frozen"/>
      <selection pane="bottomLeft" activeCell="X7" sqref="X7"/>
    </sheetView>
  </sheetViews>
  <sheetFormatPr baseColWidth="10" defaultColWidth="12.6640625" defaultRowHeight="15.75" customHeight="1" outlineLevelCol="1" x14ac:dyDescent="0.15"/>
  <cols>
    <col min="1" max="3" width="22.6640625" customWidth="1"/>
    <col min="4" max="4" width="12.83203125" customWidth="1"/>
    <col min="5" max="5" width="10.1640625" style="15" customWidth="1"/>
    <col min="6" max="7" width="10.1640625" style="12" customWidth="1"/>
    <col min="8" max="22" width="10.1640625" customWidth="1"/>
    <col min="23" max="30" width="10.1640625" customWidth="1" outlineLevel="1"/>
  </cols>
  <sheetData>
    <row r="1" spans="1:30" ht="22.5" customHeight="1" x14ac:dyDescent="0.15">
      <c r="A1" s="2" t="s">
        <v>2</v>
      </c>
      <c r="B1" s="2" t="s">
        <v>4</v>
      </c>
      <c r="C1" s="2" t="s">
        <v>6</v>
      </c>
      <c r="D1" s="3" t="s">
        <v>9</v>
      </c>
      <c r="E1" s="3" t="s">
        <v>11</v>
      </c>
      <c r="F1" s="9" t="s">
        <v>13</v>
      </c>
      <c r="G1" s="10" t="s">
        <v>20</v>
      </c>
      <c r="H1" s="5" t="s">
        <v>23</v>
      </c>
      <c r="I1" s="3" t="s">
        <v>26</v>
      </c>
      <c r="J1" s="6" t="s">
        <v>29</v>
      </c>
      <c r="K1" s="5" t="s">
        <v>33</v>
      </c>
      <c r="L1" s="3" t="s">
        <v>35</v>
      </c>
      <c r="M1" s="3" t="s">
        <v>37</v>
      </c>
      <c r="N1" s="3" t="s">
        <v>39</v>
      </c>
      <c r="O1" s="3" t="s">
        <v>41</v>
      </c>
      <c r="P1" s="3" t="s">
        <v>42</v>
      </c>
      <c r="Q1" s="3" t="s">
        <v>44</v>
      </c>
      <c r="R1" s="6" t="s">
        <v>46</v>
      </c>
      <c r="S1" s="3" t="s">
        <v>56</v>
      </c>
      <c r="T1" s="3" t="s">
        <v>58</v>
      </c>
      <c r="U1" s="3" t="s">
        <v>60</v>
      </c>
      <c r="V1" s="6" t="s">
        <v>61</v>
      </c>
      <c r="W1" s="3" t="s">
        <v>63</v>
      </c>
      <c r="X1" s="3" t="s">
        <v>66</v>
      </c>
      <c r="Y1" s="3" t="s">
        <v>68</v>
      </c>
      <c r="Z1" s="3" t="s">
        <v>70</v>
      </c>
      <c r="AA1" s="3" t="s">
        <v>73</v>
      </c>
      <c r="AB1" s="3" t="s">
        <v>75</v>
      </c>
      <c r="AC1" s="3" t="s">
        <v>77</v>
      </c>
      <c r="AD1" s="3" t="s">
        <v>80</v>
      </c>
    </row>
    <row r="2" spans="1:30" ht="22.5" customHeight="1" x14ac:dyDescent="0.15">
      <c r="A2" s="4" t="s">
        <v>82</v>
      </c>
      <c r="B2" s="4" t="str">
        <f t="shared" ref="B2:B82" si="0">LEFT(A2,FIND(" ",A2))</f>
        <v xml:space="preserve">IDRIS </v>
      </c>
      <c r="C2" s="4" t="str">
        <f t="shared" ref="C2:C82" si="1">RIGHT(A2,LEN(A2)-LEN(B2))</f>
        <v>ALMIRHABI</v>
      </c>
      <c r="D2" s="3" t="s">
        <v>72</v>
      </c>
      <c r="E2" s="3">
        <v>8</v>
      </c>
      <c r="F2" s="9" t="b">
        <v>0</v>
      </c>
      <c r="G2" s="10" t="b">
        <v>0</v>
      </c>
      <c r="H2" s="5">
        <f t="shared" ref="H2:H82" si="2">SUM(W2:AD2)</f>
        <v>8</v>
      </c>
      <c r="I2" s="3">
        <f t="shared" ref="I2:I82" si="3">SUM(S2:V2)</f>
        <v>0</v>
      </c>
      <c r="J2" s="7">
        <f t="shared" ref="J2:J82" si="4">SUM(H2:I2)/12</f>
        <v>0.66666666666666663</v>
      </c>
      <c r="K2" s="5">
        <v>2</v>
      </c>
      <c r="L2" s="3">
        <v>2</v>
      </c>
      <c r="M2" s="3">
        <v>1</v>
      </c>
      <c r="N2" s="3">
        <v>3</v>
      </c>
      <c r="O2" s="3">
        <v>2</v>
      </c>
      <c r="P2" s="3">
        <v>3</v>
      </c>
      <c r="Q2" s="3">
        <v>3</v>
      </c>
      <c r="R2" s="6">
        <v>3</v>
      </c>
      <c r="S2" s="3"/>
      <c r="T2" s="3"/>
      <c r="U2" s="3"/>
      <c r="V2" s="6"/>
      <c r="W2" s="3">
        <f>IF(K2=VLOOKUP(VALUE(K$1),Questions[#All],5,FALSE),1,0)</f>
        <v>1</v>
      </c>
      <c r="X2" s="3">
        <f>IF(L2=VLOOKUP(VALUE(L$1),Questions[#All],5,FALSE),1,0)</f>
        <v>1</v>
      </c>
      <c r="Y2" s="3">
        <f>IF(M2=VLOOKUP(VALUE(M$1),Questions[#All],5,FALSE),1,0)</f>
        <v>1</v>
      </c>
      <c r="Z2" s="3">
        <f>IF(N2=VLOOKUP(VALUE(N$1),Questions[#All],5,FALSE),1,0)</f>
        <v>1</v>
      </c>
      <c r="AA2" s="3">
        <f>IF(O2=VLOOKUP(VALUE(O$1),Questions[#All],5,FALSE),1,0)</f>
        <v>1</v>
      </c>
      <c r="AB2" s="3">
        <f>IF(P2=VLOOKUP(VALUE(P$1),Questions[#All],5,FALSE),1,0)</f>
        <v>1</v>
      </c>
      <c r="AC2" s="3">
        <f>IF(Q2=VLOOKUP(VALUE(Q$1),Questions[#All],5,FALSE),1,0)</f>
        <v>1</v>
      </c>
      <c r="AD2" s="3">
        <f>IF(R2=VLOOKUP(VALUE(R$1),Questions[#All],5,FALSE),1,0)</f>
        <v>1</v>
      </c>
    </row>
    <row r="3" spans="1:30" ht="22.5" customHeight="1" x14ac:dyDescent="0.15">
      <c r="A3" s="4" t="s">
        <v>108</v>
      </c>
      <c r="B3" s="4" t="str">
        <f t="shared" si="0"/>
        <v xml:space="preserve">GIOVANNI </v>
      </c>
      <c r="C3" s="4" t="str">
        <f t="shared" si="1"/>
        <v>BERMEJO ANGEL</v>
      </c>
      <c r="D3" s="3" t="s">
        <v>72</v>
      </c>
      <c r="E3" s="3">
        <v>8</v>
      </c>
      <c r="F3" s="9" t="b">
        <v>0</v>
      </c>
      <c r="G3" s="10" t="b">
        <v>0</v>
      </c>
      <c r="H3" s="5">
        <f t="shared" si="2"/>
        <v>3</v>
      </c>
      <c r="I3" s="3">
        <f t="shared" si="3"/>
        <v>0</v>
      </c>
      <c r="J3" s="7">
        <f t="shared" si="4"/>
        <v>0.25</v>
      </c>
      <c r="K3" s="5">
        <v>2</v>
      </c>
      <c r="L3" s="3">
        <v>2</v>
      </c>
      <c r="M3" s="3">
        <v>3</v>
      </c>
      <c r="N3" s="3">
        <v>1</v>
      </c>
      <c r="O3" s="3">
        <v>4</v>
      </c>
      <c r="P3" s="3">
        <v>2</v>
      </c>
      <c r="Q3" s="3">
        <v>3</v>
      </c>
      <c r="R3" s="6">
        <v>1</v>
      </c>
      <c r="S3" s="3"/>
      <c r="T3" s="3"/>
      <c r="U3" s="3"/>
      <c r="V3" s="6"/>
      <c r="W3" s="3">
        <f>IF(K3=VLOOKUP(VALUE(K$1),Questions[#All],5,FALSE),1,0)</f>
        <v>1</v>
      </c>
      <c r="X3" s="3">
        <f>IF(L3=VLOOKUP(VALUE(L$1),Questions[#All],5,FALSE),1,0)</f>
        <v>1</v>
      </c>
      <c r="Y3" s="3">
        <f>IF(M3=VLOOKUP(VALUE(M$1),Questions[#All],5,FALSE),1,0)</f>
        <v>0</v>
      </c>
      <c r="Z3" s="3">
        <f>IF(N3=VLOOKUP(VALUE(N$1),Questions[#All],5,FALSE),1,0)</f>
        <v>0</v>
      </c>
      <c r="AA3" s="3">
        <f>IF(O3=VLOOKUP(VALUE(O$1),Questions[#All],5,FALSE),1,0)</f>
        <v>0</v>
      </c>
      <c r="AB3" s="3">
        <f>IF(P3=VLOOKUP(VALUE(P$1),Questions[#All],5,FALSE),1,0)</f>
        <v>0</v>
      </c>
      <c r="AC3" s="3">
        <f>IF(Q3=VLOOKUP(VALUE(Q$1),Questions[#All],5,FALSE),1,0)</f>
        <v>1</v>
      </c>
      <c r="AD3" s="3">
        <f>IF(R3=VLOOKUP(VALUE(R$1),Questions[#All],5,FALSE),1,0)</f>
        <v>0</v>
      </c>
    </row>
    <row r="4" spans="1:30" ht="22.5" customHeight="1" x14ac:dyDescent="0.15">
      <c r="A4" s="4" t="s">
        <v>187</v>
      </c>
      <c r="B4" s="4" t="str">
        <f t="shared" si="0"/>
        <v xml:space="preserve">SEVEN </v>
      </c>
      <c r="C4" s="4" t="str">
        <f t="shared" si="1"/>
        <v>BILAL</v>
      </c>
      <c r="D4" s="3" t="s">
        <v>72</v>
      </c>
      <c r="E4" s="3">
        <v>8</v>
      </c>
      <c r="F4" s="9" t="b">
        <v>0</v>
      </c>
      <c r="G4" s="10" t="b">
        <v>0</v>
      </c>
      <c r="H4" s="5">
        <f t="shared" si="2"/>
        <v>4</v>
      </c>
      <c r="I4" s="3">
        <f t="shared" si="3"/>
        <v>0</v>
      </c>
      <c r="J4" s="7">
        <f t="shared" si="4"/>
        <v>0.33333333333333331</v>
      </c>
      <c r="K4" s="5">
        <v>1</v>
      </c>
      <c r="L4" s="3">
        <v>2</v>
      </c>
      <c r="M4" s="3">
        <v>3</v>
      </c>
      <c r="N4" s="3">
        <v>3</v>
      </c>
      <c r="O4" s="3">
        <v>2</v>
      </c>
      <c r="P4" s="3">
        <v>4</v>
      </c>
      <c r="Q4" s="3">
        <v>1</v>
      </c>
      <c r="R4" s="6">
        <v>3</v>
      </c>
      <c r="S4" s="3"/>
      <c r="T4" s="3"/>
      <c r="U4" s="3"/>
      <c r="V4" s="6"/>
      <c r="W4" s="3">
        <f>IF(K4=VLOOKUP(VALUE(K$1),Questions[#All],5,FALSE),1,0)</f>
        <v>0</v>
      </c>
      <c r="X4" s="3">
        <f>IF(L4=VLOOKUP(VALUE(L$1),Questions[#All],5,FALSE),1,0)</f>
        <v>1</v>
      </c>
      <c r="Y4" s="3">
        <f>IF(M4=VLOOKUP(VALUE(M$1),Questions[#All],5,FALSE),1,0)</f>
        <v>0</v>
      </c>
      <c r="Z4" s="3">
        <f>IF(N4=VLOOKUP(VALUE(N$1),Questions[#All],5,FALSE),1,0)</f>
        <v>1</v>
      </c>
      <c r="AA4" s="3">
        <f>IF(O4=VLOOKUP(VALUE(O$1),Questions[#All],5,FALSE),1,0)</f>
        <v>1</v>
      </c>
      <c r="AB4" s="3">
        <f>IF(P4=VLOOKUP(VALUE(P$1),Questions[#All],5,FALSE),1,0)</f>
        <v>0</v>
      </c>
      <c r="AC4" s="3">
        <f>IF(Q4=VLOOKUP(VALUE(Q$1),Questions[#All],5,FALSE),1,0)</f>
        <v>0</v>
      </c>
      <c r="AD4" s="3">
        <f>IF(R4=VLOOKUP(VALUE(R$1),Questions[#All],5,FALSE),1,0)</f>
        <v>1</v>
      </c>
    </row>
    <row r="5" spans="1:30" ht="22.5" customHeight="1" x14ac:dyDescent="0.15">
      <c r="A5" s="4" t="s">
        <v>296</v>
      </c>
      <c r="B5" s="4" t="str">
        <f t="shared" si="0"/>
        <v xml:space="preserve">GIOVANNI </v>
      </c>
      <c r="C5" s="4" t="str">
        <f t="shared" si="1"/>
        <v>DE JESUS</v>
      </c>
      <c r="D5" s="3" t="s">
        <v>72</v>
      </c>
      <c r="E5" s="3">
        <v>8</v>
      </c>
      <c r="F5" s="9" t="b">
        <v>0</v>
      </c>
      <c r="G5" s="10" t="b">
        <v>0</v>
      </c>
      <c r="H5" s="5">
        <f t="shared" si="2"/>
        <v>7</v>
      </c>
      <c r="I5" s="3">
        <f t="shared" si="3"/>
        <v>0</v>
      </c>
      <c r="J5" s="7">
        <f t="shared" si="4"/>
        <v>0.58333333333333337</v>
      </c>
      <c r="K5" s="5">
        <v>1</v>
      </c>
      <c r="L5" s="3">
        <v>2</v>
      </c>
      <c r="M5" s="3">
        <v>1</v>
      </c>
      <c r="N5" s="3">
        <v>3</v>
      </c>
      <c r="O5" s="3">
        <v>2</v>
      </c>
      <c r="P5" s="3">
        <v>3</v>
      </c>
      <c r="Q5" s="3">
        <v>3</v>
      </c>
      <c r="R5" s="6">
        <v>3</v>
      </c>
      <c r="S5" s="3"/>
      <c r="T5" s="3"/>
      <c r="U5" s="3"/>
      <c r="V5" s="6"/>
      <c r="W5" s="3">
        <f>IF(K5=VLOOKUP(VALUE(K$1),Questions[#All],5,FALSE),1,0)</f>
        <v>0</v>
      </c>
      <c r="X5" s="3">
        <f>IF(L5=VLOOKUP(VALUE(L$1),Questions[#All],5,FALSE),1,0)</f>
        <v>1</v>
      </c>
      <c r="Y5" s="3">
        <f>IF(M5=VLOOKUP(VALUE(M$1),Questions[#All],5,FALSE),1,0)</f>
        <v>1</v>
      </c>
      <c r="Z5" s="3">
        <f>IF(N5=VLOOKUP(VALUE(N$1),Questions[#All],5,FALSE),1,0)</f>
        <v>1</v>
      </c>
      <c r="AA5" s="3">
        <f>IF(O5=VLOOKUP(VALUE(O$1),Questions[#All],5,FALSE),1,0)</f>
        <v>1</v>
      </c>
      <c r="AB5" s="3">
        <f>IF(P5=VLOOKUP(VALUE(P$1),Questions[#All],5,FALSE),1,0)</f>
        <v>1</v>
      </c>
      <c r="AC5" s="3">
        <f>IF(Q5=VLOOKUP(VALUE(Q$1),Questions[#All],5,FALSE),1,0)</f>
        <v>1</v>
      </c>
      <c r="AD5" s="3">
        <f>IF(R5=VLOOKUP(VALUE(R$1),Questions[#All],5,FALSE),1,0)</f>
        <v>1</v>
      </c>
    </row>
    <row r="6" spans="1:30" ht="22.5" customHeight="1" x14ac:dyDescent="0.15">
      <c r="A6" s="4" t="s">
        <v>364</v>
      </c>
      <c r="B6" s="4" t="str">
        <f t="shared" si="0"/>
        <v xml:space="preserve">BRIANNA </v>
      </c>
      <c r="C6" s="4" t="str">
        <f t="shared" si="1"/>
        <v>GARNER</v>
      </c>
      <c r="D6" s="3" t="s">
        <v>72</v>
      </c>
      <c r="E6" s="3">
        <v>8</v>
      </c>
      <c r="F6" s="9" t="b">
        <v>0</v>
      </c>
      <c r="G6" s="10" t="b">
        <v>0</v>
      </c>
      <c r="H6" s="5">
        <f t="shared" si="2"/>
        <v>7</v>
      </c>
      <c r="I6" s="3">
        <f t="shared" si="3"/>
        <v>0</v>
      </c>
      <c r="J6" s="7">
        <f t="shared" si="4"/>
        <v>0.58333333333333337</v>
      </c>
      <c r="K6" s="5">
        <v>2</v>
      </c>
      <c r="L6" s="3">
        <v>2</v>
      </c>
      <c r="M6" s="3">
        <v>1</v>
      </c>
      <c r="N6" s="3">
        <v>3</v>
      </c>
      <c r="O6" s="3">
        <v>2</v>
      </c>
      <c r="P6" s="3">
        <v>3</v>
      </c>
      <c r="Q6" s="3">
        <v>3</v>
      </c>
      <c r="R6" s="6">
        <v>1</v>
      </c>
      <c r="S6" s="3"/>
      <c r="T6" s="3"/>
      <c r="U6" s="3"/>
      <c r="V6" s="6"/>
      <c r="W6" s="3">
        <f>IF(K6=VLOOKUP(VALUE(K$1),Questions[#All],5,FALSE),1,0)</f>
        <v>1</v>
      </c>
      <c r="X6" s="3">
        <f>IF(L6=VLOOKUP(VALUE(L$1),Questions[#All],5,FALSE),1,0)</f>
        <v>1</v>
      </c>
      <c r="Y6" s="3">
        <f>IF(M6=VLOOKUP(VALUE(M$1),Questions[#All],5,FALSE),1,0)</f>
        <v>1</v>
      </c>
      <c r="Z6" s="3">
        <f>IF(N6=VLOOKUP(VALUE(N$1),Questions[#All],5,FALSE),1,0)</f>
        <v>1</v>
      </c>
      <c r="AA6" s="3">
        <f>IF(O6=VLOOKUP(VALUE(O$1),Questions[#All],5,FALSE),1,0)</f>
        <v>1</v>
      </c>
      <c r="AB6" s="3">
        <f>IF(P6=VLOOKUP(VALUE(P$1),Questions[#All],5,FALSE),1,0)</f>
        <v>1</v>
      </c>
      <c r="AC6" s="3">
        <f>IF(Q6=VLOOKUP(VALUE(Q$1),Questions[#All],5,FALSE),1,0)</f>
        <v>1</v>
      </c>
      <c r="AD6" s="3">
        <f>IF(R6=VLOOKUP(VALUE(R$1),Questions[#All],5,FALSE),1,0)</f>
        <v>0</v>
      </c>
    </row>
    <row r="7" spans="1:30" ht="22.5" customHeight="1" x14ac:dyDescent="0.15">
      <c r="A7" s="4" t="s">
        <v>459</v>
      </c>
      <c r="B7" s="4" t="str">
        <f t="shared" si="0"/>
        <v xml:space="preserve">SHAIED </v>
      </c>
      <c r="C7" s="4" t="str">
        <f t="shared" si="1"/>
        <v>MOHAMMAD IRZE</v>
      </c>
      <c r="D7" s="3" t="s">
        <v>72</v>
      </c>
      <c r="E7" s="3">
        <v>8</v>
      </c>
      <c r="F7" s="9" t="b">
        <v>0</v>
      </c>
      <c r="G7" s="10" t="b">
        <v>0</v>
      </c>
      <c r="H7" s="5">
        <f t="shared" si="2"/>
        <v>2</v>
      </c>
      <c r="I7" s="3">
        <f t="shared" si="3"/>
        <v>0</v>
      </c>
      <c r="J7" s="7">
        <f t="shared" si="4"/>
        <v>0.16666666666666666</v>
      </c>
      <c r="K7" s="5">
        <v>4</v>
      </c>
      <c r="L7" s="3">
        <v>2</v>
      </c>
      <c r="M7" s="3">
        <v>3</v>
      </c>
      <c r="N7" s="3">
        <v>1</v>
      </c>
      <c r="O7" s="3">
        <v>3</v>
      </c>
      <c r="P7" s="3">
        <v>1</v>
      </c>
      <c r="Q7" s="3">
        <v>3</v>
      </c>
      <c r="R7" s="6"/>
      <c r="S7" s="3"/>
      <c r="T7" s="3"/>
      <c r="U7" s="3"/>
      <c r="V7" s="6"/>
      <c r="W7" s="3">
        <f>IF(K7=VLOOKUP(VALUE(K$1),Questions[#All],5,FALSE),1,0)</f>
        <v>0</v>
      </c>
      <c r="X7" s="3">
        <f>IF(L7=VLOOKUP(VALUE(L$1),Questions[#All],5,FALSE),1,0)</f>
        <v>1</v>
      </c>
      <c r="Y7" s="3">
        <f>IF(M7=VLOOKUP(VALUE(M$1),Questions[#All],5,FALSE),1,0)</f>
        <v>0</v>
      </c>
      <c r="Z7" s="3">
        <f>IF(N7=VLOOKUP(VALUE(N$1),Questions[#All],5,FALSE),1,0)</f>
        <v>0</v>
      </c>
      <c r="AA7" s="3">
        <f>IF(O7=VLOOKUP(VALUE(O$1),Questions[#All],5,FALSE),1,0)</f>
        <v>0</v>
      </c>
      <c r="AB7" s="3">
        <f>IF(P7=VLOOKUP(VALUE(P$1),Questions[#All],5,FALSE),1,0)</f>
        <v>0</v>
      </c>
      <c r="AC7" s="3">
        <f>IF(Q7=VLOOKUP(VALUE(Q$1),Questions[#All],5,FALSE),1,0)</f>
        <v>1</v>
      </c>
      <c r="AD7" s="3">
        <f>IF(R7=VLOOKUP(VALUE(R$1),Questions[#All],5,FALSE),1,0)</f>
        <v>0</v>
      </c>
    </row>
    <row r="8" spans="1:30" ht="22.5" customHeight="1" x14ac:dyDescent="0.15">
      <c r="A8" s="4" t="s">
        <v>532</v>
      </c>
      <c r="B8" s="4" t="str">
        <f t="shared" si="0"/>
        <v xml:space="preserve">ETHAN </v>
      </c>
      <c r="C8" s="4" t="str">
        <f t="shared" si="1"/>
        <v>LOGAN</v>
      </c>
      <c r="D8" s="3" t="s">
        <v>72</v>
      </c>
      <c r="E8" s="3">
        <v>8</v>
      </c>
      <c r="F8" s="9" t="b">
        <v>0</v>
      </c>
      <c r="G8" s="10" t="b">
        <v>0</v>
      </c>
      <c r="H8" s="5">
        <f t="shared" si="2"/>
        <v>8</v>
      </c>
      <c r="I8" s="3">
        <f t="shared" si="3"/>
        <v>0</v>
      </c>
      <c r="J8" s="7">
        <f t="shared" si="4"/>
        <v>0.66666666666666663</v>
      </c>
      <c r="K8" s="5">
        <v>2</v>
      </c>
      <c r="L8" s="3">
        <v>2</v>
      </c>
      <c r="M8" s="3">
        <v>1</v>
      </c>
      <c r="N8" s="3">
        <v>3</v>
      </c>
      <c r="O8" s="3">
        <v>2</v>
      </c>
      <c r="P8" s="3">
        <v>3</v>
      </c>
      <c r="Q8" s="3">
        <v>3</v>
      </c>
      <c r="R8" s="6">
        <v>3</v>
      </c>
      <c r="S8" s="3"/>
      <c r="T8" s="3"/>
      <c r="U8" s="3"/>
      <c r="V8" s="6"/>
      <c r="W8" s="3">
        <f>IF(K8=VLOOKUP(VALUE(K$1),Questions[#All],5,FALSE),1,0)</f>
        <v>1</v>
      </c>
      <c r="X8" s="3">
        <f>IF(L8=VLOOKUP(VALUE(L$1),Questions[#All],5,FALSE),1,0)</f>
        <v>1</v>
      </c>
      <c r="Y8" s="3">
        <f>IF(M8=VLOOKUP(VALUE(M$1),Questions[#All],5,FALSE),1,0)</f>
        <v>1</v>
      </c>
      <c r="Z8" s="3">
        <f>IF(N8=VLOOKUP(VALUE(N$1),Questions[#All],5,FALSE),1,0)</f>
        <v>1</v>
      </c>
      <c r="AA8" s="3">
        <f>IF(O8=VLOOKUP(VALUE(O$1),Questions[#All],5,FALSE),1,0)</f>
        <v>1</v>
      </c>
      <c r="AB8" s="3">
        <f>IF(P8=VLOOKUP(VALUE(P$1),Questions[#All],5,FALSE),1,0)</f>
        <v>1</v>
      </c>
      <c r="AC8" s="3">
        <f>IF(Q8=VLOOKUP(VALUE(Q$1),Questions[#All],5,FALSE),1,0)</f>
        <v>1</v>
      </c>
      <c r="AD8" s="3">
        <f>IF(R8=VLOOKUP(VALUE(R$1),Questions[#All],5,FALSE),1,0)</f>
        <v>1</v>
      </c>
    </row>
    <row r="9" spans="1:30" ht="22.5" customHeight="1" x14ac:dyDescent="0.15">
      <c r="A9" s="4" t="s">
        <v>640</v>
      </c>
      <c r="B9" s="4" t="str">
        <f t="shared" si="0"/>
        <v xml:space="preserve">MACKENZIE </v>
      </c>
      <c r="C9" s="4" t="str">
        <f t="shared" si="1"/>
        <v>MUNROE</v>
      </c>
      <c r="D9" s="3" t="s">
        <v>72</v>
      </c>
      <c r="E9" s="3">
        <v>8</v>
      </c>
      <c r="F9" s="9" t="b">
        <v>0</v>
      </c>
      <c r="G9" s="10" t="b">
        <v>0</v>
      </c>
      <c r="H9" s="5">
        <f t="shared" si="2"/>
        <v>4</v>
      </c>
      <c r="I9" s="3">
        <f t="shared" si="3"/>
        <v>0</v>
      </c>
      <c r="J9" s="7">
        <f t="shared" si="4"/>
        <v>0.33333333333333331</v>
      </c>
      <c r="K9" s="5">
        <v>2</v>
      </c>
      <c r="L9" s="3">
        <v>4</v>
      </c>
      <c r="M9" s="3">
        <v>4</v>
      </c>
      <c r="N9" s="3">
        <v>1</v>
      </c>
      <c r="O9" s="3">
        <v>2</v>
      </c>
      <c r="P9" s="3">
        <v>4</v>
      </c>
      <c r="Q9" s="3">
        <v>3</v>
      </c>
      <c r="R9" s="6">
        <v>3</v>
      </c>
      <c r="S9" s="3"/>
      <c r="T9" s="3"/>
      <c r="U9" s="3"/>
      <c r="V9" s="6"/>
      <c r="W9" s="3">
        <f>IF(K9=VLOOKUP(VALUE(K$1),Questions[#All],5,FALSE),1,0)</f>
        <v>1</v>
      </c>
      <c r="X9" s="3">
        <f>IF(L9=VLOOKUP(VALUE(L$1),Questions[#All],5,FALSE),1,0)</f>
        <v>0</v>
      </c>
      <c r="Y9" s="3">
        <f>IF(M9=VLOOKUP(VALUE(M$1),Questions[#All],5,FALSE),1,0)</f>
        <v>0</v>
      </c>
      <c r="Z9" s="3">
        <f>IF(N9=VLOOKUP(VALUE(N$1),Questions[#All],5,FALSE),1,0)</f>
        <v>0</v>
      </c>
      <c r="AA9" s="3">
        <f>IF(O9=VLOOKUP(VALUE(O$1),Questions[#All],5,FALSE),1,0)</f>
        <v>1</v>
      </c>
      <c r="AB9" s="3">
        <f>IF(P9=VLOOKUP(VALUE(P$1),Questions[#All],5,FALSE),1,0)</f>
        <v>0</v>
      </c>
      <c r="AC9" s="3">
        <f>IF(Q9=VLOOKUP(VALUE(Q$1),Questions[#All],5,FALSE),1,0)</f>
        <v>1</v>
      </c>
      <c r="AD9" s="3">
        <f>IF(R9=VLOOKUP(VALUE(R$1),Questions[#All],5,FALSE),1,0)</f>
        <v>1</v>
      </c>
    </row>
    <row r="10" spans="1:30" ht="22.5" customHeight="1" x14ac:dyDescent="0.15">
      <c r="A10" s="4" t="s">
        <v>721</v>
      </c>
      <c r="B10" s="4" t="str">
        <f t="shared" si="0"/>
        <v xml:space="preserve">CRISTIAN </v>
      </c>
      <c r="C10" s="4" t="str">
        <f t="shared" si="1"/>
        <v>NAJERA JIMENEZ</v>
      </c>
      <c r="D10" s="3" t="s">
        <v>72</v>
      </c>
      <c r="E10" s="3">
        <v>8</v>
      </c>
      <c r="F10" s="9" t="b">
        <v>0</v>
      </c>
      <c r="G10" s="10" t="b">
        <v>0</v>
      </c>
      <c r="H10" s="5">
        <f t="shared" si="2"/>
        <v>5</v>
      </c>
      <c r="I10" s="3">
        <f t="shared" si="3"/>
        <v>0</v>
      </c>
      <c r="J10" s="7">
        <f t="shared" si="4"/>
        <v>0.41666666666666669</v>
      </c>
      <c r="K10" s="5">
        <v>2</v>
      </c>
      <c r="L10" s="3">
        <v>2</v>
      </c>
      <c r="M10" s="3">
        <v>1</v>
      </c>
      <c r="N10" s="3">
        <v>1</v>
      </c>
      <c r="O10" s="3">
        <v>2</v>
      </c>
      <c r="P10" s="3">
        <v>2</v>
      </c>
      <c r="Q10" s="3">
        <v>1</v>
      </c>
      <c r="R10" s="6">
        <v>3</v>
      </c>
      <c r="S10" s="3"/>
      <c r="T10" s="3"/>
      <c r="U10" s="3"/>
      <c r="V10" s="6"/>
      <c r="W10" s="3">
        <f>IF(K10=VLOOKUP(VALUE(K$1),Questions[#All],5,FALSE),1,0)</f>
        <v>1</v>
      </c>
      <c r="X10" s="3">
        <f>IF(L10=VLOOKUP(VALUE(L$1),Questions[#All],5,FALSE),1,0)</f>
        <v>1</v>
      </c>
      <c r="Y10" s="3">
        <f>IF(M10=VLOOKUP(VALUE(M$1),Questions[#All],5,FALSE),1,0)</f>
        <v>1</v>
      </c>
      <c r="Z10" s="3">
        <f>IF(N10=VLOOKUP(VALUE(N$1),Questions[#All],5,FALSE),1,0)</f>
        <v>0</v>
      </c>
      <c r="AA10" s="3">
        <f>IF(O10=VLOOKUP(VALUE(O$1),Questions[#All],5,FALSE),1,0)</f>
        <v>1</v>
      </c>
      <c r="AB10" s="3">
        <f>IF(P10=VLOOKUP(VALUE(P$1),Questions[#All],5,FALSE),1,0)</f>
        <v>0</v>
      </c>
      <c r="AC10" s="3">
        <f>IF(Q10=VLOOKUP(VALUE(Q$1),Questions[#All],5,FALSE),1,0)</f>
        <v>0</v>
      </c>
      <c r="AD10" s="3">
        <f>IF(R10=VLOOKUP(VALUE(R$1),Questions[#All],5,FALSE),1,0)</f>
        <v>1</v>
      </c>
    </row>
    <row r="11" spans="1:30" ht="22.5" customHeight="1" x14ac:dyDescent="0.15">
      <c r="A11" s="4" t="s">
        <v>722</v>
      </c>
      <c r="B11" s="4" t="str">
        <f t="shared" si="0"/>
        <v xml:space="preserve">HELEN </v>
      </c>
      <c r="C11" s="4" t="str">
        <f t="shared" si="1"/>
        <v>PUNINA YANCHATIPAN</v>
      </c>
      <c r="D11" s="3" t="s">
        <v>72</v>
      </c>
      <c r="E11" s="3">
        <v>8</v>
      </c>
      <c r="F11" s="9" t="b">
        <v>0</v>
      </c>
      <c r="G11" s="10" t="b">
        <v>0</v>
      </c>
      <c r="H11" s="5">
        <f t="shared" si="2"/>
        <v>3</v>
      </c>
      <c r="I11" s="3">
        <f t="shared" si="3"/>
        <v>0</v>
      </c>
      <c r="J11" s="7">
        <f t="shared" si="4"/>
        <v>0.25</v>
      </c>
      <c r="K11" s="5">
        <v>1</v>
      </c>
      <c r="L11" s="3">
        <v>2</v>
      </c>
      <c r="M11" s="3">
        <v>1</v>
      </c>
      <c r="N11" s="3">
        <v>1</v>
      </c>
      <c r="O11" s="3">
        <v>1</v>
      </c>
      <c r="P11" s="3">
        <v>2</v>
      </c>
      <c r="Q11" s="3">
        <v>3</v>
      </c>
      <c r="R11" s="6">
        <v>2</v>
      </c>
      <c r="S11" s="3"/>
      <c r="T11" s="3"/>
      <c r="U11" s="3"/>
      <c r="V11" s="6"/>
      <c r="W11" s="3">
        <f>IF(K11=VLOOKUP(VALUE(K$1),Questions[#All],5,FALSE),1,0)</f>
        <v>0</v>
      </c>
      <c r="X11" s="3">
        <f>IF(L11=VLOOKUP(VALUE(L$1),Questions[#All],5,FALSE),1,0)</f>
        <v>1</v>
      </c>
      <c r="Y11" s="3">
        <f>IF(M11=VLOOKUP(VALUE(M$1),Questions[#All],5,FALSE),1,0)</f>
        <v>1</v>
      </c>
      <c r="Z11" s="3">
        <f>IF(N11=VLOOKUP(VALUE(N$1),Questions[#All],5,FALSE),1,0)</f>
        <v>0</v>
      </c>
      <c r="AA11" s="3">
        <f>IF(O11=VLOOKUP(VALUE(O$1),Questions[#All],5,FALSE),1,0)</f>
        <v>0</v>
      </c>
      <c r="AB11" s="3">
        <f>IF(P11=VLOOKUP(VALUE(P$1),Questions[#All],5,FALSE),1,0)</f>
        <v>0</v>
      </c>
      <c r="AC11" s="3">
        <f>IF(Q11=VLOOKUP(VALUE(Q$1),Questions[#All],5,FALSE),1,0)</f>
        <v>1</v>
      </c>
      <c r="AD11" s="3">
        <f>IF(R11=VLOOKUP(VALUE(R$1),Questions[#All],5,FALSE),1,0)</f>
        <v>0</v>
      </c>
    </row>
    <row r="12" spans="1:30" ht="22.5" customHeight="1" x14ac:dyDescent="0.15">
      <c r="A12" s="4" t="s">
        <v>723</v>
      </c>
      <c r="B12" s="4" t="str">
        <f t="shared" si="0"/>
        <v xml:space="preserve">QUINTEN </v>
      </c>
      <c r="C12" s="4" t="str">
        <f t="shared" si="1"/>
        <v>REED</v>
      </c>
      <c r="D12" s="3" t="s">
        <v>72</v>
      </c>
      <c r="E12" s="3">
        <v>8</v>
      </c>
      <c r="F12" s="9" t="b">
        <v>0</v>
      </c>
      <c r="G12" s="10" t="b">
        <v>0</v>
      </c>
      <c r="H12" s="5">
        <f t="shared" si="2"/>
        <v>7</v>
      </c>
      <c r="I12" s="3">
        <f t="shared" si="3"/>
        <v>0</v>
      </c>
      <c r="J12" s="7">
        <f t="shared" si="4"/>
        <v>0.58333333333333337</v>
      </c>
      <c r="K12" s="5">
        <v>2</v>
      </c>
      <c r="L12" s="3">
        <v>2</v>
      </c>
      <c r="M12" s="3">
        <v>1</v>
      </c>
      <c r="N12" s="3">
        <v>3</v>
      </c>
      <c r="O12" s="3">
        <v>2</v>
      </c>
      <c r="P12" s="3">
        <v>3</v>
      </c>
      <c r="Q12" s="3">
        <v>2</v>
      </c>
      <c r="R12" s="6">
        <v>3</v>
      </c>
      <c r="S12" s="3"/>
      <c r="T12" s="3"/>
      <c r="U12" s="3"/>
      <c r="V12" s="6"/>
      <c r="W12" s="3">
        <f>IF(K12=VLOOKUP(VALUE(K$1),Questions[#All],5,FALSE),1,0)</f>
        <v>1</v>
      </c>
      <c r="X12" s="3">
        <f>IF(L12=VLOOKUP(VALUE(L$1),Questions[#All],5,FALSE),1,0)</f>
        <v>1</v>
      </c>
      <c r="Y12" s="3">
        <f>IF(M12=VLOOKUP(VALUE(M$1),Questions[#All],5,FALSE),1,0)</f>
        <v>1</v>
      </c>
      <c r="Z12" s="3">
        <f>IF(N12=VLOOKUP(VALUE(N$1),Questions[#All],5,FALSE),1,0)</f>
        <v>1</v>
      </c>
      <c r="AA12" s="3">
        <f>IF(O12=VLOOKUP(VALUE(O$1),Questions[#All],5,FALSE),1,0)</f>
        <v>1</v>
      </c>
      <c r="AB12" s="3">
        <f>IF(P12=VLOOKUP(VALUE(P$1),Questions[#All],5,FALSE),1,0)</f>
        <v>1</v>
      </c>
      <c r="AC12" s="3">
        <f>IF(Q12=VLOOKUP(VALUE(Q$1),Questions[#All],5,FALSE),1,0)</f>
        <v>0</v>
      </c>
      <c r="AD12" s="3">
        <f>IF(R12=VLOOKUP(VALUE(R$1),Questions[#All],5,FALSE),1,0)</f>
        <v>1</v>
      </c>
    </row>
    <row r="13" spans="1:30" ht="22.5" customHeight="1" x14ac:dyDescent="0.15">
      <c r="A13" s="4" t="s">
        <v>724</v>
      </c>
      <c r="B13" s="4" t="str">
        <f t="shared" si="0"/>
        <v xml:space="preserve">ANDRES </v>
      </c>
      <c r="C13" s="4" t="str">
        <f t="shared" si="1"/>
        <v>SALAZAR</v>
      </c>
      <c r="D13" s="3" t="s">
        <v>72</v>
      </c>
      <c r="E13" s="3">
        <v>8</v>
      </c>
      <c r="F13" s="9" t="b">
        <v>0</v>
      </c>
      <c r="G13" s="10" t="b">
        <v>0</v>
      </c>
      <c r="H13" s="5">
        <f t="shared" si="2"/>
        <v>8</v>
      </c>
      <c r="I13" s="3">
        <f t="shared" si="3"/>
        <v>0</v>
      </c>
      <c r="J13" s="7">
        <f t="shared" si="4"/>
        <v>0.66666666666666663</v>
      </c>
      <c r="K13" s="5">
        <v>2</v>
      </c>
      <c r="L13" s="3">
        <v>2</v>
      </c>
      <c r="M13" s="3">
        <v>1</v>
      </c>
      <c r="N13" s="3">
        <v>3</v>
      </c>
      <c r="O13" s="3">
        <v>2</v>
      </c>
      <c r="P13" s="3">
        <v>3</v>
      </c>
      <c r="Q13" s="3">
        <v>3</v>
      </c>
      <c r="R13" s="6">
        <v>3</v>
      </c>
      <c r="S13" s="3"/>
      <c r="T13" s="3"/>
      <c r="U13" s="3"/>
      <c r="V13" s="6"/>
      <c r="W13" s="3">
        <f>IF(K13=VLOOKUP(VALUE(K$1),Questions[#All],5,FALSE),1,0)</f>
        <v>1</v>
      </c>
      <c r="X13" s="3">
        <f>IF(L13=VLOOKUP(VALUE(L$1),Questions[#All],5,FALSE),1,0)</f>
        <v>1</v>
      </c>
      <c r="Y13" s="3">
        <f>IF(M13=VLOOKUP(VALUE(M$1),Questions[#All],5,FALSE),1,0)</f>
        <v>1</v>
      </c>
      <c r="Z13" s="3">
        <f>IF(N13=VLOOKUP(VALUE(N$1),Questions[#All],5,FALSE),1,0)</f>
        <v>1</v>
      </c>
      <c r="AA13" s="3">
        <f>IF(O13=VLOOKUP(VALUE(O$1),Questions[#All],5,FALSE),1,0)</f>
        <v>1</v>
      </c>
      <c r="AB13" s="3">
        <f>IF(P13=VLOOKUP(VALUE(P$1),Questions[#All],5,FALSE),1,0)</f>
        <v>1</v>
      </c>
      <c r="AC13" s="3">
        <f>IF(Q13=VLOOKUP(VALUE(Q$1),Questions[#All],5,FALSE),1,0)</f>
        <v>1</v>
      </c>
      <c r="AD13" s="3">
        <f>IF(R13=VLOOKUP(VALUE(R$1),Questions[#All],5,FALSE),1,0)</f>
        <v>1</v>
      </c>
    </row>
    <row r="14" spans="1:30" ht="22.5" customHeight="1" x14ac:dyDescent="0.15">
      <c r="A14" s="4" t="s">
        <v>725</v>
      </c>
      <c r="B14" s="4" t="str">
        <f t="shared" si="0"/>
        <v xml:space="preserve">VANCE </v>
      </c>
      <c r="C14" s="4" t="str">
        <f t="shared" si="1"/>
        <v>SAMUELS JR</v>
      </c>
      <c r="D14" s="3" t="s">
        <v>72</v>
      </c>
      <c r="E14" s="3">
        <v>8</v>
      </c>
      <c r="F14" s="9" t="b">
        <v>0</v>
      </c>
      <c r="G14" s="10" t="b">
        <v>0</v>
      </c>
      <c r="H14" s="5">
        <f t="shared" si="2"/>
        <v>8</v>
      </c>
      <c r="I14" s="3">
        <f t="shared" si="3"/>
        <v>0</v>
      </c>
      <c r="J14" s="7">
        <f t="shared" si="4"/>
        <v>0.66666666666666663</v>
      </c>
      <c r="K14" s="5">
        <v>2</v>
      </c>
      <c r="L14" s="3">
        <v>2</v>
      </c>
      <c r="M14" s="3">
        <v>1</v>
      </c>
      <c r="N14" s="3">
        <v>3</v>
      </c>
      <c r="O14" s="3">
        <v>2</v>
      </c>
      <c r="P14" s="3">
        <v>3</v>
      </c>
      <c r="Q14" s="3">
        <v>3</v>
      </c>
      <c r="R14" s="6">
        <v>3</v>
      </c>
      <c r="S14" s="3"/>
      <c r="T14" s="3"/>
      <c r="U14" s="3"/>
      <c r="V14" s="6"/>
      <c r="W14" s="3">
        <f>IF(K14=VLOOKUP(VALUE(K$1),Questions[#All],5,FALSE),1,0)</f>
        <v>1</v>
      </c>
      <c r="X14" s="3">
        <f>IF(L14=VLOOKUP(VALUE(L$1),Questions[#All],5,FALSE),1,0)</f>
        <v>1</v>
      </c>
      <c r="Y14" s="3">
        <f>IF(M14=VLOOKUP(VALUE(M$1),Questions[#All],5,FALSE),1,0)</f>
        <v>1</v>
      </c>
      <c r="Z14" s="3">
        <f>IF(N14=VLOOKUP(VALUE(N$1),Questions[#All],5,FALSE),1,0)</f>
        <v>1</v>
      </c>
      <c r="AA14" s="3">
        <f>IF(O14=VLOOKUP(VALUE(O$1),Questions[#All],5,FALSE),1,0)</f>
        <v>1</v>
      </c>
      <c r="AB14" s="3">
        <f>IF(P14=VLOOKUP(VALUE(P$1),Questions[#All],5,FALSE),1,0)</f>
        <v>1</v>
      </c>
      <c r="AC14" s="3">
        <f>IF(Q14=VLOOKUP(VALUE(Q$1),Questions[#All],5,FALSE),1,0)</f>
        <v>1</v>
      </c>
      <c r="AD14" s="3">
        <f>IF(R14=VLOOKUP(VALUE(R$1),Questions[#All],5,FALSE),1,0)</f>
        <v>1</v>
      </c>
    </row>
    <row r="15" spans="1:30" ht="22.5" customHeight="1" x14ac:dyDescent="0.15">
      <c r="A15" s="4" t="s">
        <v>726</v>
      </c>
      <c r="B15" s="4" t="str">
        <f t="shared" si="0"/>
        <v xml:space="preserve">DESHAWN </v>
      </c>
      <c r="C15" s="4" t="str">
        <f t="shared" si="1"/>
        <v>TURNER</v>
      </c>
      <c r="D15" s="3" t="s">
        <v>72</v>
      </c>
      <c r="E15" s="3">
        <v>8</v>
      </c>
      <c r="F15" s="9" t="b">
        <v>0</v>
      </c>
      <c r="G15" s="10" t="b">
        <v>0</v>
      </c>
      <c r="H15" s="5">
        <f t="shared" si="2"/>
        <v>5</v>
      </c>
      <c r="I15" s="3">
        <f t="shared" si="3"/>
        <v>0</v>
      </c>
      <c r="J15" s="7">
        <f t="shared" si="4"/>
        <v>0.41666666666666669</v>
      </c>
      <c r="K15" s="5">
        <v>2</v>
      </c>
      <c r="L15" s="3">
        <v>3</v>
      </c>
      <c r="M15" s="3">
        <v>4</v>
      </c>
      <c r="N15" s="3">
        <v>3</v>
      </c>
      <c r="O15" s="3">
        <v>2</v>
      </c>
      <c r="P15" s="3">
        <v>1</v>
      </c>
      <c r="Q15" s="3">
        <v>3</v>
      </c>
      <c r="R15" s="6">
        <v>3</v>
      </c>
      <c r="S15" s="3"/>
      <c r="T15" s="3"/>
      <c r="U15" s="3"/>
      <c r="V15" s="6"/>
      <c r="W15" s="3">
        <f>IF(K15=VLOOKUP(VALUE(K$1),Questions[#All],5,FALSE),1,0)</f>
        <v>1</v>
      </c>
      <c r="X15" s="3">
        <f>IF(L15=VLOOKUP(VALUE(L$1),Questions[#All],5,FALSE),1,0)</f>
        <v>0</v>
      </c>
      <c r="Y15" s="3">
        <f>IF(M15=VLOOKUP(VALUE(M$1),Questions[#All],5,FALSE),1,0)</f>
        <v>0</v>
      </c>
      <c r="Z15" s="3">
        <f>IF(N15=VLOOKUP(VALUE(N$1),Questions[#All],5,FALSE),1,0)</f>
        <v>1</v>
      </c>
      <c r="AA15" s="3">
        <f>IF(O15=VLOOKUP(VALUE(O$1),Questions[#All],5,FALSE),1,0)</f>
        <v>1</v>
      </c>
      <c r="AB15" s="3">
        <f>IF(P15=VLOOKUP(VALUE(P$1),Questions[#All],5,FALSE),1,0)</f>
        <v>0</v>
      </c>
      <c r="AC15" s="3">
        <f>IF(Q15=VLOOKUP(VALUE(Q$1),Questions[#All],5,FALSE),1,0)</f>
        <v>1</v>
      </c>
      <c r="AD15" s="3">
        <f>IF(R15=VLOOKUP(VALUE(R$1),Questions[#All],5,FALSE),1,0)</f>
        <v>1</v>
      </c>
    </row>
    <row r="16" spans="1:30" ht="22.5" customHeight="1" x14ac:dyDescent="0.15">
      <c r="A16" s="4" t="s">
        <v>727</v>
      </c>
      <c r="B16" s="4" t="str">
        <f t="shared" si="0"/>
        <v xml:space="preserve">JAIYANA </v>
      </c>
      <c r="C16" s="4" t="str">
        <f t="shared" si="1"/>
        <v>WINTZ</v>
      </c>
      <c r="D16" s="3" t="s">
        <v>72</v>
      </c>
      <c r="E16" s="3">
        <v>8</v>
      </c>
      <c r="F16" s="9" t="b">
        <v>0</v>
      </c>
      <c r="G16" s="10" t="b">
        <v>0</v>
      </c>
      <c r="H16" s="5">
        <f t="shared" si="2"/>
        <v>7</v>
      </c>
      <c r="I16" s="3">
        <f t="shared" si="3"/>
        <v>0</v>
      </c>
      <c r="J16" s="7">
        <f t="shared" si="4"/>
        <v>0.58333333333333337</v>
      </c>
      <c r="K16" s="5">
        <v>2</v>
      </c>
      <c r="L16" s="3">
        <v>1</v>
      </c>
      <c r="M16" s="3">
        <v>1</v>
      </c>
      <c r="N16" s="3">
        <v>3</v>
      </c>
      <c r="O16" s="3">
        <v>2</v>
      </c>
      <c r="P16" s="3">
        <v>3</v>
      </c>
      <c r="Q16" s="3">
        <v>3</v>
      </c>
      <c r="R16" s="6">
        <v>3</v>
      </c>
      <c r="S16" s="3"/>
      <c r="T16" s="3"/>
      <c r="U16" s="3"/>
      <c r="V16" s="6"/>
      <c r="W16" s="3">
        <f>IF(K16=VLOOKUP(VALUE(K$1),Questions[#All],5,FALSE),1,0)</f>
        <v>1</v>
      </c>
      <c r="X16" s="3">
        <f>IF(L16=VLOOKUP(VALUE(L$1),Questions[#All],5,FALSE),1,0)</f>
        <v>0</v>
      </c>
      <c r="Y16" s="3">
        <f>IF(M16=VLOOKUP(VALUE(M$1),Questions[#All],5,FALSE),1,0)</f>
        <v>1</v>
      </c>
      <c r="Z16" s="3">
        <f>IF(N16=VLOOKUP(VALUE(N$1),Questions[#All],5,FALSE),1,0)</f>
        <v>1</v>
      </c>
      <c r="AA16" s="3">
        <f>IF(O16=VLOOKUP(VALUE(O$1),Questions[#All],5,FALSE),1,0)</f>
        <v>1</v>
      </c>
      <c r="AB16" s="3">
        <f>IF(P16=VLOOKUP(VALUE(P$1),Questions[#All],5,FALSE),1,0)</f>
        <v>1</v>
      </c>
      <c r="AC16" s="3">
        <f>IF(Q16=VLOOKUP(VALUE(Q$1),Questions[#All],5,FALSE),1,0)</f>
        <v>1</v>
      </c>
      <c r="AD16" s="3">
        <f>IF(R16=VLOOKUP(VALUE(R$1),Questions[#All],5,FALSE),1,0)</f>
        <v>1</v>
      </c>
    </row>
    <row r="17" spans="1:30" ht="22.5" customHeight="1" x14ac:dyDescent="0.15">
      <c r="A17" s="4" t="s">
        <v>728</v>
      </c>
      <c r="B17" s="4" t="str">
        <f t="shared" si="0"/>
        <v xml:space="preserve">HASSON </v>
      </c>
      <c r="C17" s="4" t="str">
        <f t="shared" si="1"/>
        <v>WRIGHT</v>
      </c>
      <c r="D17" s="3" t="s">
        <v>72</v>
      </c>
      <c r="E17" s="3">
        <v>8</v>
      </c>
      <c r="F17" s="9" t="b">
        <v>0</v>
      </c>
      <c r="G17" s="10" t="b">
        <v>0</v>
      </c>
      <c r="H17" s="5">
        <f t="shared" si="2"/>
        <v>3</v>
      </c>
      <c r="I17" s="3">
        <f t="shared" si="3"/>
        <v>0</v>
      </c>
      <c r="J17" s="7">
        <f t="shared" si="4"/>
        <v>0.25</v>
      </c>
      <c r="K17" s="5">
        <v>3</v>
      </c>
      <c r="L17" s="3">
        <v>2</v>
      </c>
      <c r="M17" s="3">
        <v>1</v>
      </c>
      <c r="N17" s="3">
        <v>2</v>
      </c>
      <c r="O17" s="3">
        <v>3</v>
      </c>
      <c r="P17" s="3">
        <v>1</v>
      </c>
      <c r="Q17" s="3">
        <v>1</v>
      </c>
      <c r="R17" s="6">
        <v>3</v>
      </c>
      <c r="S17" s="3"/>
      <c r="T17" s="3"/>
      <c r="U17" s="3"/>
      <c r="V17" s="6"/>
      <c r="W17" s="3">
        <f>IF(K17=VLOOKUP(VALUE(K$1),Questions[#All],5,FALSE),1,0)</f>
        <v>0</v>
      </c>
      <c r="X17" s="3">
        <f>IF(L17=VLOOKUP(VALUE(L$1),Questions[#All],5,FALSE),1,0)</f>
        <v>1</v>
      </c>
      <c r="Y17" s="3">
        <f>IF(M17=VLOOKUP(VALUE(M$1),Questions[#All],5,FALSE),1,0)</f>
        <v>1</v>
      </c>
      <c r="Z17" s="3">
        <f>IF(N17=VLOOKUP(VALUE(N$1),Questions[#All],5,FALSE),1,0)</f>
        <v>0</v>
      </c>
      <c r="AA17" s="3">
        <f>IF(O17=VLOOKUP(VALUE(O$1),Questions[#All],5,FALSE),1,0)</f>
        <v>0</v>
      </c>
      <c r="AB17" s="3">
        <f>IF(P17=VLOOKUP(VALUE(P$1),Questions[#All],5,FALSE),1,0)</f>
        <v>0</v>
      </c>
      <c r="AC17" s="3">
        <f>IF(Q17=VLOOKUP(VALUE(Q$1),Questions[#All],5,FALSE),1,0)</f>
        <v>0</v>
      </c>
      <c r="AD17" s="3">
        <f>IF(R17=VLOOKUP(VALUE(R$1),Questions[#All],5,FALSE),1,0)</f>
        <v>1</v>
      </c>
    </row>
    <row r="18" spans="1:30" ht="22.5" customHeight="1" x14ac:dyDescent="0.15">
      <c r="A18" s="4" t="s">
        <v>729</v>
      </c>
      <c r="B18" s="4" t="str">
        <f t="shared" si="0"/>
        <v xml:space="preserve">RALPH </v>
      </c>
      <c r="C18" s="4" t="str">
        <f t="shared" si="1"/>
        <v>AVELINO</v>
      </c>
      <c r="D18" s="3" t="s">
        <v>72</v>
      </c>
      <c r="E18" s="3">
        <v>6</v>
      </c>
      <c r="F18" s="9" t="b">
        <v>0</v>
      </c>
      <c r="G18" s="10" t="b">
        <v>0</v>
      </c>
      <c r="H18" s="3">
        <f t="shared" si="2"/>
        <v>6</v>
      </c>
      <c r="I18" s="3">
        <f t="shared" si="3"/>
        <v>0</v>
      </c>
      <c r="J18" s="8">
        <f t="shared" si="4"/>
        <v>0.5</v>
      </c>
      <c r="K18" s="5">
        <v>2</v>
      </c>
      <c r="L18" s="3">
        <v>2</v>
      </c>
      <c r="M18" s="3">
        <v>3</v>
      </c>
      <c r="N18" s="3">
        <v>1</v>
      </c>
      <c r="O18" s="3">
        <v>2</v>
      </c>
      <c r="P18" s="3">
        <v>3</v>
      </c>
      <c r="Q18" s="3">
        <v>3</v>
      </c>
      <c r="R18" s="6">
        <v>3</v>
      </c>
      <c r="S18" s="3"/>
      <c r="T18" s="3"/>
      <c r="U18" s="3"/>
      <c r="V18" s="6"/>
      <c r="W18" s="3">
        <f>IF(K18=VLOOKUP(VALUE(K$1),Questions[#All],5,FALSE),1,0)</f>
        <v>1</v>
      </c>
      <c r="X18" s="3">
        <f>IF(L18=VLOOKUP(VALUE(L$1),Questions[#All],5,FALSE),1,0)</f>
        <v>1</v>
      </c>
      <c r="Y18" s="3">
        <f>IF(M18=VLOOKUP(VALUE(M$1),Questions[#All],5,FALSE),1,0)</f>
        <v>0</v>
      </c>
      <c r="Z18" s="3">
        <f>IF(N18=VLOOKUP(VALUE(N$1),Questions[#All],5,FALSE),1,0)</f>
        <v>0</v>
      </c>
      <c r="AA18" s="3">
        <f>IF(O18=VLOOKUP(VALUE(O$1),Questions[#All],5,FALSE),1,0)</f>
        <v>1</v>
      </c>
      <c r="AB18" s="3">
        <f>IF(P18=VLOOKUP(VALUE(P$1),Questions[#All],5,FALSE),1,0)</f>
        <v>1</v>
      </c>
      <c r="AC18" s="3">
        <f>IF(Q18=VLOOKUP(VALUE(Q$1),Questions[#All],5,FALSE),1,0)</f>
        <v>1</v>
      </c>
      <c r="AD18" s="3">
        <f>IF(R18=VLOOKUP(VALUE(R$1),Questions[#All],5,FALSE),1,0)</f>
        <v>1</v>
      </c>
    </row>
    <row r="19" spans="1:30" ht="22.5" customHeight="1" x14ac:dyDescent="0.15">
      <c r="A19" s="4" t="s">
        <v>730</v>
      </c>
      <c r="B19" s="4" t="str">
        <f t="shared" si="0"/>
        <v xml:space="preserve">KOLAWOLE-QASIM </v>
      </c>
      <c r="C19" s="4" t="str">
        <f t="shared" si="1"/>
        <v>BAKARE-MORRISON</v>
      </c>
      <c r="D19" s="3" t="s">
        <v>72</v>
      </c>
      <c r="E19" s="3">
        <v>6</v>
      </c>
      <c r="F19" s="9" t="b">
        <v>0</v>
      </c>
      <c r="G19" s="10" t="b">
        <v>0</v>
      </c>
      <c r="H19" s="3">
        <f t="shared" si="2"/>
        <v>5</v>
      </c>
      <c r="I19" s="3">
        <f t="shared" si="3"/>
        <v>0</v>
      </c>
      <c r="J19" s="8">
        <f t="shared" si="4"/>
        <v>0.41666666666666669</v>
      </c>
      <c r="K19" s="5">
        <v>1</v>
      </c>
      <c r="L19" s="3">
        <v>2</v>
      </c>
      <c r="M19" s="3">
        <v>1</v>
      </c>
      <c r="N19" s="3">
        <v>3</v>
      </c>
      <c r="O19" s="3">
        <v>1</v>
      </c>
      <c r="P19" s="3">
        <v>3</v>
      </c>
      <c r="Q19" s="3">
        <v>3</v>
      </c>
      <c r="R19" s="6">
        <v>4</v>
      </c>
      <c r="S19" s="3"/>
      <c r="T19" s="3"/>
      <c r="U19" s="3"/>
      <c r="V19" s="6"/>
      <c r="W19" s="3">
        <f>IF(K19=VLOOKUP(VALUE(K$1),Questions[#All],5,FALSE),1,0)</f>
        <v>0</v>
      </c>
      <c r="X19" s="3">
        <f>IF(L19=VLOOKUP(VALUE(L$1),Questions[#All],5,FALSE),1,0)</f>
        <v>1</v>
      </c>
      <c r="Y19" s="3">
        <f>IF(M19=VLOOKUP(VALUE(M$1),Questions[#All],5,FALSE),1,0)</f>
        <v>1</v>
      </c>
      <c r="Z19" s="3">
        <f>IF(N19=VLOOKUP(VALUE(N$1),Questions[#All],5,FALSE),1,0)</f>
        <v>1</v>
      </c>
      <c r="AA19" s="3">
        <f>IF(O19=VLOOKUP(VALUE(O$1),Questions[#All],5,FALSE),1,0)</f>
        <v>0</v>
      </c>
      <c r="AB19" s="3">
        <f>IF(P19=VLOOKUP(VALUE(P$1),Questions[#All],5,FALSE),1,0)</f>
        <v>1</v>
      </c>
      <c r="AC19" s="3">
        <f>IF(Q19=VLOOKUP(VALUE(Q$1),Questions[#All],5,FALSE),1,0)</f>
        <v>1</v>
      </c>
      <c r="AD19" s="3">
        <f>IF(R19=VLOOKUP(VALUE(R$1),Questions[#All],5,FALSE),1,0)</f>
        <v>0</v>
      </c>
    </row>
    <row r="20" spans="1:30" ht="22.5" customHeight="1" x14ac:dyDescent="0.15">
      <c r="A20" s="4" t="s">
        <v>731</v>
      </c>
      <c r="B20" s="4" t="str">
        <f t="shared" si="0"/>
        <v xml:space="preserve">NEVAEH </v>
      </c>
      <c r="C20" s="4" t="str">
        <f t="shared" si="1"/>
        <v>BANKS</v>
      </c>
      <c r="D20" s="3" t="s">
        <v>72</v>
      </c>
      <c r="E20" s="3">
        <v>6</v>
      </c>
      <c r="F20" s="9" t="b">
        <v>0</v>
      </c>
      <c r="G20" s="10" t="b">
        <v>0</v>
      </c>
      <c r="H20" s="3">
        <f t="shared" si="2"/>
        <v>7</v>
      </c>
      <c r="I20" s="3">
        <f t="shared" si="3"/>
        <v>0</v>
      </c>
      <c r="J20" s="8">
        <f t="shared" si="4"/>
        <v>0.58333333333333337</v>
      </c>
      <c r="K20" s="5">
        <v>2</v>
      </c>
      <c r="L20" s="3">
        <v>2</v>
      </c>
      <c r="M20" s="3">
        <v>1</v>
      </c>
      <c r="N20" s="3">
        <v>3</v>
      </c>
      <c r="O20" s="3">
        <v>2</v>
      </c>
      <c r="P20" s="3">
        <v>3</v>
      </c>
      <c r="Q20" s="3">
        <v>1</v>
      </c>
      <c r="R20" s="6">
        <v>3</v>
      </c>
      <c r="S20" s="3"/>
      <c r="T20" s="3"/>
      <c r="U20" s="3"/>
      <c r="V20" s="6"/>
      <c r="W20" s="3">
        <f>IF(K20=VLOOKUP(VALUE(K$1),Questions[#All],5,FALSE),1,0)</f>
        <v>1</v>
      </c>
      <c r="X20" s="3">
        <f>IF(L20=VLOOKUP(VALUE(L$1),Questions[#All],5,FALSE),1,0)</f>
        <v>1</v>
      </c>
      <c r="Y20" s="3">
        <f>IF(M20=VLOOKUP(VALUE(M$1),Questions[#All],5,FALSE),1,0)</f>
        <v>1</v>
      </c>
      <c r="Z20" s="3">
        <f>IF(N20=VLOOKUP(VALUE(N$1),Questions[#All],5,FALSE),1,0)</f>
        <v>1</v>
      </c>
      <c r="AA20" s="3">
        <f>IF(O20=VLOOKUP(VALUE(O$1),Questions[#All],5,FALSE),1,0)</f>
        <v>1</v>
      </c>
      <c r="AB20" s="3">
        <f>IF(P20=VLOOKUP(VALUE(P$1),Questions[#All],5,FALSE),1,0)</f>
        <v>1</v>
      </c>
      <c r="AC20" s="3">
        <f>IF(Q20=VLOOKUP(VALUE(Q$1),Questions[#All],5,FALSE),1,0)</f>
        <v>0</v>
      </c>
      <c r="AD20" s="3">
        <f>IF(R20=VLOOKUP(VALUE(R$1),Questions[#All],5,FALSE),1,0)</f>
        <v>1</v>
      </c>
    </row>
    <row r="21" spans="1:30" ht="22.5" customHeight="1" x14ac:dyDescent="0.15">
      <c r="A21" s="4" t="s">
        <v>732</v>
      </c>
      <c r="B21" s="4" t="str">
        <f t="shared" si="0"/>
        <v xml:space="preserve">JAYLIN </v>
      </c>
      <c r="C21" s="4" t="str">
        <f t="shared" si="1"/>
        <v>BOYCE</v>
      </c>
      <c r="D21" s="3" t="s">
        <v>72</v>
      </c>
      <c r="E21" s="3">
        <v>6</v>
      </c>
      <c r="F21" s="9" t="b">
        <v>0</v>
      </c>
      <c r="G21" s="10" t="b">
        <v>0</v>
      </c>
      <c r="H21" s="3">
        <f t="shared" si="2"/>
        <v>7</v>
      </c>
      <c r="I21" s="3">
        <f t="shared" si="3"/>
        <v>0</v>
      </c>
      <c r="J21" s="8">
        <f t="shared" si="4"/>
        <v>0.58333333333333337</v>
      </c>
      <c r="K21" s="5">
        <v>2</v>
      </c>
      <c r="L21" s="3">
        <v>2</v>
      </c>
      <c r="M21" s="3">
        <v>1</v>
      </c>
      <c r="N21" s="3">
        <v>3</v>
      </c>
      <c r="O21" s="3">
        <v>2</v>
      </c>
      <c r="P21" s="3">
        <v>3</v>
      </c>
      <c r="Q21" s="3">
        <v>3</v>
      </c>
      <c r="R21" s="6">
        <v>4</v>
      </c>
      <c r="S21" s="3"/>
      <c r="T21" s="3"/>
      <c r="U21" s="3"/>
      <c r="V21" s="6"/>
      <c r="W21" s="3">
        <f>IF(K21=VLOOKUP(VALUE(K$1),Questions[#All],5,FALSE),1,0)</f>
        <v>1</v>
      </c>
      <c r="X21" s="3">
        <f>IF(L21=VLOOKUP(VALUE(L$1),Questions[#All],5,FALSE),1,0)</f>
        <v>1</v>
      </c>
      <c r="Y21" s="3">
        <f>IF(M21=VLOOKUP(VALUE(M$1),Questions[#All],5,FALSE),1,0)</f>
        <v>1</v>
      </c>
      <c r="Z21" s="3">
        <f>IF(N21=VLOOKUP(VALUE(N$1),Questions[#All],5,FALSE),1,0)</f>
        <v>1</v>
      </c>
      <c r="AA21" s="3">
        <f>IF(O21=VLOOKUP(VALUE(O$1),Questions[#All],5,FALSE),1,0)</f>
        <v>1</v>
      </c>
      <c r="AB21" s="3">
        <f>IF(P21=VLOOKUP(VALUE(P$1),Questions[#All],5,FALSE),1,0)</f>
        <v>1</v>
      </c>
      <c r="AC21" s="3">
        <f>IF(Q21=VLOOKUP(VALUE(Q$1),Questions[#All],5,FALSE),1,0)</f>
        <v>1</v>
      </c>
      <c r="AD21" s="3">
        <f>IF(R21=VLOOKUP(VALUE(R$1),Questions[#All],5,FALSE),1,0)</f>
        <v>0</v>
      </c>
    </row>
    <row r="22" spans="1:30" ht="22.5" customHeight="1" x14ac:dyDescent="0.15">
      <c r="A22" s="4" t="s">
        <v>733</v>
      </c>
      <c r="B22" s="4" t="str">
        <f t="shared" si="0"/>
        <v xml:space="preserve">GLORY </v>
      </c>
      <c r="C22" s="4" t="str">
        <f t="shared" si="1"/>
        <v>CELESTIN</v>
      </c>
      <c r="D22" s="3" t="s">
        <v>72</v>
      </c>
      <c r="E22" s="3">
        <v>6</v>
      </c>
      <c r="F22" s="9" t="b">
        <v>0</v>
      </c>
      <c r="G22" s="10" t="b">
        <v>0</v>
      </c>
      <c r="H22" s="3">
        <f t="shared" si="2"/>
        <v>7</v>
      </c>
      <c r="I22" s="3">
        <f t="shared" si="3"/>
        <v>0</v>
      </c>
      <c r="J22" s="8">
        <f t="shared" si="4"/>
        <v>0.58333333333333337</v>
      </c>
      <c r="K22" s="5">
        <v>2</v>
      </c>
      <c r="L22" s="3">
        <v>2</v>
      </c>
      <c r="M22" s="3">
        <v>3</v>
      </c>
      <c r="N22" s="3">
        <v>3</v>
      </c>
      <c r="O22" s="3">
        <v>2</v>
      </c>
      <c r="P22" s="3">
        <v>3</v>
      </c>
      <c r="Q22" s="3">
        <v>3</v>
      </c>
      <c r="R22" s="6">
        <v>3</v>
      </c>
      <c r="S22" s="3"/>
      <c r="T22" s="3"/>
      <c r="U22" s="3"/>
      <c r="V22" s="6"/>
      <c r="W22" s="3">
        <f>IF(K22=VLOOKUP(VALUE(K$1),Questions[#All],5,FALSE),1,0)</f>
        <v>1</v>
      </c>
      <c r="X22" s="3">
        <f>IF(L22=VLOOKUP(VALUE(L$1),Questions[#All],5,FALSE),1,0)</f>
        <v>1</v>
      </c>
      <c r="Y22" s="3">
        <f>IF(M22=VLOOKUP(VALUE(M$1),Questions[#All],5,FALSE),1,0)</f>
        <v>0</v>
      </c>
      <c r="Z22" s="3">
        <f>IF(N22=VLOOKUP(VALUE(N$1),Questions[#All],5,FALSE),1,0)</f>
        <v>1</v>
      </c>
      <c r="AA22" s="3">
        <f>IF(O22=VLOOKUP(VALUE(O$1),Questions[#All],5,FALSE),1,0)</f>
        <v>1</v>
      </c>
      <c r="AB22" s="3">
        <f>IF(P22=VLOOKUP(VALUE(P$1),Questions[#All],5,FALSE),1,0)</f>
        <v>1</v>
      </c>
      <c r="AC22" s="3">
        <f>IF(Q22=VLOOKUP(VALUE(Q$1),Questions[#All],5,FALSE),1,0)</f>
        <v>1</v>
      </c>
      <c r="AD22" s="3">
        <f>IF(R22=VLOOKUP(VALUE(R$1),Questions[#All],5,FALSE),1,0)</f>
        <v>1</v>
      </c>
    </row>
    <row r="23" spans="1:30" ht="22.5" customHeight="1" x14ac:dyDescent="0.15">
      <c r="A23" s="4" t="s">
        <v>734</v>
      </c>
      <c r="B23" s="4" t="str">
        <f t="shared" si="0"/>
        <v xml:space="preserve">KIYAN </v>
      </c>
      <c r="C23" s="4" t="str">
        <f t="shared" si="1"/>
        <v>DALY</v>
      </c>
      <c r="D23" s="3" t="s">
        <v>72</v>
      </c>
      <c r="E23" s="3">
        <v>6</v>
      </c>
      <c r="F23" s="9" t="b">
        <v>0</v>
      </c>
      <c r="G23" s="10" t="b">
        <v>0</v>
      </c>
      <c r="H23" s="3">
        <f t="shared" si="2"/>
        <v>7</v>
      </c>
      <c r="I23" s="3">
        <f t="shared" si="3"/>
        <v>0</v>
      </c>
      <c r="J23" s="8">
        <f t="shared" si="4"/>
        <v>0.58333333333333337</v>
      </c>
      <c r="K23" s="5">
        <v>2</v>
      </c>
      <c r="L23" s="3">
        <v>2</v>
      </c>
      <c r="M23" s="3">
        <v>3</v>
      </c>
      <c r="N23" s="3">
        <v>3</v>
      </c>
      <c r="O23" s="3">
        <v>2</v>
      </c>
      <c r="P23" s="3">
        <v>3</v>
      </c>
      <c r="Q23" s="3">
        <v>3</v>
      </c>
      <c r="R23" s="6">
        <v>3</v>
      </c>
      <c r="S23" s="3"/>
      <c r="T23" s="3"/>
      <c r="U23" s="3"/>
      <c r="V23" s="6"/>
      <c r="W23" s="3">
        <f>IF(K23=VLOOKUP(VALUE(K$1),Questions[#All],5,FALSE),1,0)</f>
        <v>1</v>
      </c>
      <c r="X23" s="3">
        <f>IF(L23=VLOOKUP(VALUE(L$1),Questions[#All],5,FALSE),1,0)</f>
        <v>1</v>
      </c>
      <c r="Y23" s="3">
        <f>IF(M23=VLOOKUP(VALUE(M$1),Questions[#All],5,FALSE),1,0)</f>
        <v>0</v>
      </c>
      <c r="Z23" s="3">
        <f>IF(N23=VLOOKUP(VALUE(N$1),Questions[#All],5,FALSE),1,0)</f>
        <v>1</v>
      </c>
      <c r="AA23" s="3">
        <f>IF(O23=VLOOKUP(VALUE(O$1),Questions[#All],5,FALSE),1,0)</f>
        <v>1</v>
      </c>
      <c r="AB23" s="3">
        <f>IF(P23=VLOOKUP(VALUE(P$1),Questions[#All],5,FALSE),1,0)</f>
        <v>1</v>
      </c>
      <c r="AC23" s="3">
        <f>IF(Q23=VLOOKUP(VALUE(Q$1),Questions[#All],5,FALSE),1,0)</f>
        <v>1</v>
      </c>
      <c r="AD23" s="3">
        <f>IF(R23=VLOOKUP(VALUE(R$1),Questions[#All],5,FALSE),1,0)</f>
        <v>1</v>
      </c>
    </row>
    <row r="24" spans="1:30" ht="22.5" customHeight="1" x14ac:dyDescent="0.15">
      <c r="A24" s="4" t="s">
        <v>735</v>
      </c>
      <c r="B24" s="4" t="str">
        <f t="shared" si="0"/>
        <v xml:space="preserve">LIAM </v>
      </c>
      <c r="C24" s="4" t="str">
        <f t="shared" si="1"/>
        <v>FLEMING</v>
      </c>
      <c r="D24" s="3" t="s">
        <v>72</v>
      </c>
      <c r="E24" s="3">
        <v>6</v>
      </c>
      <c r="F24" s="9" t="b">
        <v>0</v>
      </c>
      <c r="G24" s="10" t="b">
        <v>0</v>
      </c>
      <c r="H24" s="3">
        <f t="shared" si="2"/>
        <v>8</v>
      </c>
      <c r="I24" s="3">
        <f t="shared" si="3"/>
        <v>0</v>
      </c>
      <c r="J24" s="8">
        <f t="shared" si="4"/>
        <v>0.66666666666666663</v>
      </c>
      <c r="K24" s="5">
        <v>2</v>
      </c>
      <c r="L24" s="3">
        <v>2</v>
      </c>
      <c r="M24" s="3">
        <v>1</v>
      </c>
      <c r="N24" s="3">
        <v>3</v>
      </c>
      <c r="O24" s="3">
        <v>2</v>
      </c>
      <c r="P24" s="3">
        <v>3</v>
      </c>
      <c r="Q24" s="3">
        <v>3</v>
      </c>
      <c r="R24" s="6">
        <v>3</v>
      </c>
      <c r="S24" s="3"/>
      <c r="T24" s="3"/>
      <c r="U24" s="3"/>
      <c r="V24" s="6"/>
      <c r="W24" s="3">
        <f>IF(K24=VLOOKUP(VALUE(K$1),Questions[#All],5,FALSE),1,0)</f>
        <v>1</v>
      </c>
      <c r="X24" s="3">
        <f>IF(L24=VLOOKUP(VALUE(L$1),Questions[#All],5,FALSE),1,0)</f>
        <v>1</v>
      </c>
      <c r="Y24" s="3">
        <f>IF(M24=VLOOKUP(VALUE(M$1),Questions[#All],5,FALSE),1,0)</f>
        <v>1</v>
      </c>
      <c r="Z24" s="3">
        <f>IF(N24=VLOOKUP(VALUE(N$1),Questions[#All],5,FALSE),1,0)</f>
        <v>1</v>
      </c>
      <c r="AA24" s="3">
        <f>IF(O24=VLOOKUP(VALUE(O$1),Questions[#All],5,FALSE),1,0)</f>
        <v>1</v>
      </c>
      <c r="AB24" s="3">
        <f>IF(P24=VLOOKUP(VALUE(P$1),Questions[#All],5,FALSE),1,0)</f>
        <v>1</v>
      </c>
      <c r="AC24" s="3">
        <f>IF(Q24=VLOOKUP(VALUE(Q$1),Questions[#All],5,FALSE),1,0)</f>
        <v>1</v>
      </c>
      <c r="AD24" s="3">
        <f>IF(R24=VLOOKUP(VALUE(R$1),Questions[#All],5,FALSE),1,0)</f>
        <v>1</v>
      </c>
    </row>
    <row r="25" spans="1:30" ht="22.5" customHeight="1" x14ac:dyDescent="0.15">
      <c r="A25" s="4" t="s">
        <v>736</v>
      </c>
      <c r="B25" s="4" t="str">
        <f t="shared" si="0"/>
        <v xml:space="preserve">RADELY </v>
      </c>
      <c r="C25" s="4" t="str">
        <f t="shared" si="1"/>
        <v>GONZALEZ</v>
      </c>
      <c r="D25" s="3" t="s">
        <v>72</v>
      </c>
      <c r="E25" s="3">
        <v>6</v>
      </c>
      <c r="F25" s="9" t="b">
        <v>0</v>
      </c>
      <c r="G25" s="10" t="b">
        <v>0</v>
      </c>
      <c r="H25" s="3">
        <f t="shared" si="2"/>
        <v>5</v>
      </c>
      <c r="I25" s="3">
        <f t="shared" si="3"/>
        <v>0</v>
      </c>
      <c r="J25" s="8">
        <f t="shared" si="4"/>
        <v>0.41666666666666669</v>
      </c>
      <c r="K25" s="5">
        <v>2</v>
      </c>
      <c r="L25" s="3">
        <v>1</v>
      </c>
      <c r="M25" s="3">
        <v>1</v>
      </c>
      <c r="N25" s="3">
        <v>1</v>
      </c>
      <c r="O25" s="3">
        <v>2</v>
      </c>
      <c r="P25" s="3">
        <v>1</v>
      </c>
      <c r="Q25" s="3">
        <v>3</v>
      </c>
      <c r="R25" s="6">
        <v>3</v>
      </c>
      <c r="S25" s="3"/>
      <c r="T25" s="3"/>
      <c r="U25" s="3"/>
      <c r="V25" s="6"/>
      <c r="W25" s="3">
        <f>IF(K25=VLOOKUP(VALUE(K$1),Questions[#All],5,FALSE),1,0)</f>
        <v>1</v>
      </c>
      <c r="X25" s="3">
        <f>IF(L25=VLOOKUP(VALUE(L$1),Questions[#All],5,FALSE),1,0)</f>
        <v>0</v>
      </c>
      <c r="Y25" s="3">
        <f>IF(M25=VLOOKUP(VALUE(M$1),Questions[#All],5,FALSE),1,0)</f>
        <v>1</v>
      </c>
      <c r="Z25" s="3">
        <f>IF(N25=VLOOKUP(VALUE(N$1),Questions[#All],5,FALSE),1,0)</f>
        <v>0</v>
      </c>
      <c r="AA25" s="3">
        <f>IF(O25=VLOOKUP(VALUE(O$1),Questions[#All],5,FALSE),1,0)</f>
        <v>1</v>
      </c>
      <c r="AB25" s="3">
        <f>IF(P25=VLOOKUP(VALUE(P$1),Questions[#All],5,FALSE),1,0)</f>
        <v>0</v>
      </c>
      <c r="AC25" s="3">
        <f>IF(Q25=VLOOKUP(VALUE(Q$1),Questions[#All],5,FALSE),1,0)</f>
        <v>1</v>
      </c>
      <c r="AD25" s="3">
        <f>IF(R25=VLOOKUP(VALUE(R$1),Questions[#All],5,FALSE),1,0)</f>
        <v>1</v>
      </c>
    </row>
    <row r="26" spans="1:30" ht="22.5" customHeight="1" x14ac:dyDescent="0.15">
      <c r="A26" s="4" t="s">
        <v>737</v>
      </c>
      <c r="B26" s="4" t="str">
        <f t="shared" si="0"/>
        <v xml:space="preserve">CHAD </v>
      </c>
      <c r="C26" s="4" t="str">
        <f t="shared" si="1"/>
        <v>JOHNSON</v>
      </c>
      <c r="D26" s="3" t="s">
        <v>72</v>
      </c>
      <c r="E26" s="3">
        <v>6</v>
      </c>
      <c r="F26" s="9" t="b">
        <v>0</v>
      </c>
      <c r="G26" s="10" t="b">
        <v>0</v>
      </c>
      <c r="H26" s="3">
        <f t="shared" si="2"/>
        <v>6</v>
      </c>
      <c r="I26" s="3">
        <f t="shared" si="3"/>
        <v>0</v>
      </c>
      <c r="J26" s="8">
        <f t="shared" si="4"/>
        <v>0.5</v>
      </c>
      <c r="K26" s="5">
        <v>2</v>
      </c>
      <c r="L26" s="3">
        <v>2</v>
      </c>
      <c r="M26" s="3">
        <v>1</v>
      </c>
      <c r="N26" s="3">
        <v>1</v>
      </c>
      <c r="O26" s="3">
        <v>2</v>
      </c>
      <c r="P26" s="3">
        <v>2</v>
      </c>
      <c r="Q26" s="3">
        <v>3</v>
      </c>
      <c r="R26" s="6">
        <v>3</v>
      </c>
      <c r="S26" s="3"/>
      <c r="T26" s="3"/>
      <c r="U26" s="3"/>
      <c r="V26" s="6"/>
      <c r="W26" s="3">
        <f>IF(K26=VLOOKUP(VALUE(K$1),Questions[#All],5,FALSE),1,0)</f>
        <v>1</v>
      </c>
      <c r="X26" s="3">
        <f>IF(L26=VLOOKUP(VALUE(L$1),Questions[#All],5,FALSE),1,0)</f>
        <v>1</v>
      </c>
      <c r="Y26" s="3">
        <f>IF(M26=VLOOKUP(VALUE(M$1),Questions[#All],5,FALSE),1,0)</f>
        <v>1</v>
      </c>
      <c r="Z26" s="3">
        <f>IF(N26=VLOOKUP(VALUE(N$1),Questions[#All],5,FALSE),1,0)</f>
        <v>0</v>
      </c>
      <c r="AA26" s="3">
        <f>IF(O26=VLOOKUP(VALUE(O$1),Questions[#All],5,FALSE),1,0)</f>
        <v>1</v>
      </c>
      <c r="AB26" s="3">
        <f>IF(P26=VLOOKUP(VALUE(P$1),Questions[#All],5,FALSE),1,0)</f>
        <v>0</v>
      </c>
      <c r="AC26" s="3">
        <f>IF(Q26=VLOOKUP(VALUE(Q$1),Questions[#All],5,FALSE),1,0)</f>
        <v>1</v>
      </c>
      <c r="AD26" s="3">
        <f>IF(R26=VLOOKUP(VALUE(R$1),Questions[#All],5,FALSE),1,0)</f>
        <v>1</v>
      </c>
    </row>
    <row r="27" spans="1:30" ht="22.5" customHeight="1" x14ac:dyDescent="0.15">
      <c r="A27" s="4" t="s">
        <v>738</v>
      </c>
      <c r="B27" s="4" t="str">
        <f t="shared" si="0"/>
        <v xml:space="preserve">JIEQUAN </v>
      </c>
      <c r="C27" s="4" t="str">
        <f t="shared" si="1"/>
        <v>JOHNSON SPENCER</v>
      </c>
      <c r="D27" s="3" t="s">
        <v>72</v>
      </c>
      <c r="E27" s="3">
        <v>6</v>
      </c>
      <c r="F27" s="9" t="b">
        <v>0</v>
      </c>
      <c r="G27" s="10" t="b">
        <v>0</v>
      </c>
      <c r="H27" s="3">
        <f t="shared" si="2"/>
        <v>7</v>
      </c>
      <c r="I27" s="3">
        <f t="shared" si="3"/>
        <v>0</v>
      </c>
      <c r="J27" s="8">
        <f t="shared" si="4"/>
        <v>0.58333333333333337</v>
      </c>
      <c r="K27" s="5">
        <v>2</v>
      </c>
      <c r="L27" s="3">
        <v>2</v>
      </c>
      <c r="M27" s="3">
        <v>3</v>
      </c>
      <c r="N27" s="3">
        <v>3</v>
      </c>
      <c r="O27" s="3">
        <v>2</v>
      </c>
      <c r="P27" s="3">
        <v>3</v>
      </c>
      <c r="Q27" s="3">
        <v>3</v>
      </c>
      <c r="R27" s="6">
        <v>3</v>
      </c>
      <c r="S27" s="3"/>
      <c r="T27" s="3"/>
      <c r="U27" s="3"/>
      <c r="V27" s="6"/>
      <c r="W27" s="3">
        <f>IF(K27=VLOOKUP(VALUE(K$1),Questions[#All],5,FALSE),1,0)</f>
        <v>1</v>
      </c>
      <c r="X27" s="3">
        <f>IF(L27=VLOOKUP(VALUE(L$1),Questions[#All],5,FALSE),1,0)</f>
        <v>1</v>
      </c>
      <c r="Y27" s="3">
        <f>IF(M27=VLOOKUP(VALUE(M$1),Questions[#All],5,FALSE),1,0)</f>
        <v>0</v>
      </c>
      <c r="Z27" s="3">
        <f>IF(N27=VLOOKUP(VALUE(N$1),Questions[#All],5,FALSE),1,0)</f>
        <v>1</v>
      </c>
      <c r="AA27" s="3">
        <f>IF(O27=VLOOKUP(VALUE(O$1),Questions[#All],5,FALSE),1,0)</f>
        <v>1</v>
      </c>
      <c r="AB27" s="3">
        <f>IF(P27=VLOOKUP(VALUE(P$1),Questions[#All],5,FALSE),1,0)</f>
        <v>1</v>
      </c>
      <c r="AC27" s="3">
        <f>IF(Q27=VLOOKUP(VALUE(Q$1),Questions[#All],5,FALSE),1,0)</f>
        <v>1</v>
      </c>
      <c r="AD27" s="3">
        <f>IF(R27=VLOOKUP(VALUE(R$1),Questions[#All],5,FALSE),1,0)</f>
        <v>1</v>
      </c>
    </row>
    <row r="28" spans="1:30" ht="22.5" customHeight="1" x14ac:dyDescent="0.15">
      <c r="A28" s="4" t="s">
        <v>739</v>
      </c>
      <c r="B28" s="4" t="str">
        <f t="shared" si="0"/>
        <v xml:space="preserve">MADISON </v>
      </c>
      <c r="C28" s="4" t="str">
        <f t="shared" si="1"/>
        <v>KYDD ALCINE</v>
      </c>
      <c r="D28" s="3" t="s">
        <v>72</v>
      </c>
      <c r="E28" s="3">
        <v>6</v>
      </c>
      <c r="F28" s="9" t="b">
        <v>0</v>
      </c>
      <c r="G28" s="10" t="b">
        <v>0</v>
      </c>
      <c r="H28" s="3">
        <f t="shared" si="2"/>
        <v>8</v>
      </c>
      <c r="I28" s="3">
        <f t="shared" si="3"/>
        <v>0</v>
      </c>
      <c r="J28" s="8">
        <f t="shared" si="4"/>
        <v>0.66666666666666663</v>
      </c>
      <c r="K28" s="5">
        <v>2</v>
      </c>
      <c r="L28" s="3">
        <v>2</v>
      </c>
      <c r="M28" s="3">
        <v>1</v>
      </c>
      <c r="N28" s="3">
        <v>3</v>
      </c>
      <c r="O28" s="3">
        <v>2</v>
      </c>
      <c r="P28" s="3">
        <v>3</v>
      </c>
      <c r="Q28" s="3">
        <v>3</v>
      </c>
      <c r="R28" s="6">
        <v>3</v>
      </c>
      <c r="S28" s="3"/>
      <c r="T28" s="3"/>
      <c r="U28" s="3"/>
      <c r="V28" s="6"/>
      <c r="W28" s="3">
        <f>IF(K28=VLOOKUP(VALUE(K$1),Questions[#All],5,FALSE),1,0)</f>
        <v>1</v>
      </c>
      <c r="X28" s="3">
        <f>IF(L28=VLOOKUP(VALUE(L$1),Questions[#All],5,FALSE),1,0)</f>
        <v>1</v>
      </c>
      <c r="Y28" s="3">
        <f>IF(M28=VLOOKUP(VALUE(M$1),Questions[#All],5,FALSE),1,0)</f>
        <v>1</v>
      </c>
      <c r="Z28" s="3">
        <f>IF(N28=VLOOKUP(VALUE(N$1),Questions[#All],5,FALSE),1,0)</f>
        <v>1</v>
      </c>
      <c r="AA28" s="3">
        <f>IF(O28=VLOOKUP(VALUE(O$1),Questions[#All],5,FALSE),1,0)</f>
        <v>1</v>
      </c>
      <c r="AB28" s="3">
        <f>IF(P28=VLOOKUP(VALUE(P$1),Questions[#All],5,FALSE),1,0)</f>
        <v>1</v>
      </c>
      <c r="AC28" s="3">
        <f>IF(Q28=VLOOKUP(VALUE(Q$1),Questions[#All],5,FALSE),1,0)</f>
        <v>1</v>
      </c>
      <c r="AD28" s="3">
        <f>IF(R28=VLOOKUP(VALUE(R$1),Questions[#All],5,FALSE),1,0)</f>
        <v>1</v>
      </c>
    </row>
    <row r="29" spans="1:30" ht="22.5" customHeight="1" x14ac:dyDescent="0.15">
      <c r="A29" s="4" t="s">
        <v>740</v>
      </c>
      <c r="B29" s="4" t="str">
        <f t="shared" si="0"/>
        <v xml:space="preserve">MARK </v>
      </c>
      <c r="C29" s="4" t="str">
        <f t="shared" si="1"/>
        <v>MARTIN</v>
      </c>
      <c r="D29" s="3" t="s">
        <v>72</v>
      </c>
      <c r="E29" s="3">
        <v>6</v>
      </c>
      <c r="F29" s="9" t="b">
        <v>0</v>
      </c>
      <c r="G29" s="10" t="b">
        <v>0</v>
      </c>
      <c r="H29" s="3">
        <f t="shared" si="2"/>
        <v>6</v>
      </c>
      <c r="I29" s="3">
        <f t="shared" si="3"/>
        <v>0</v>
      </c>
      <c r="J29" s="8">
        <f t="shared" si="4"/>
        <v>0.5</v>
      </c>
      <c r="K29" s="5">
        <v>2</v>
      </c>
      <c r="L29" s="3">
        <v>2</v>
      </c>
      <c r="M29" s="3">
        <v>3</v>
      </c>
      <c r="N29" s="3">
        <v>3</v>
      </c>
      <c r="O29" s="3">
        <v>2</v>
      </c>
      <c r="P29" s="3">
        <v>3</v>
      </c>
      <c r="Q29" s="3">
        <v>3</v>
      </c>
      <c r="R29" s="6">
        <v>4</v>
      </c>
      <c r="S29" s="3"/>
      <c r="T29" s="3"/>
      <c r="U29" s="3"/>
      <c r="V29" s="6"/>
      <c r="W29" s="3">
        <f>IF(K29=VLOOKUP(VALUE(K$1),Questions[#All],5,FALSE),1,0)</f>
        <v>1</v>
      </c>
      <c r="X29" s="3">
        <f>IF(L29=VLOOKUP(VALUE(L$1),Questions[#All],5,FALSE),1,0)</f>
        <v>1</v>
      </c>
      <c r="Y29" s="3">
        <f>IF(M29=VLOOKUP(VALUE(M$1),Questions[#All],5,FALSE),1,0)</f>
        <v>0</v>
      </c>
      <c r="Z29" s="3">
        <f>IF(N29=VLOOKUP(VALUE(N$1),Questions[#All],5,FALSE),1,0)</f>
        <v>1</v>
      </c>
      <c r="AA29" s="3">
        <f>IF(O29=VLOOKUP(VALUE(O$1),Questions[#All],5,FALSE),1,0)</f>
        <v>1</v>
      </c>
      <c r="AB29" s="3">
        <f>IF(P29=VLOOKUP(VALUE(P$1),Questions[#All],5,FALSE),1,0)</f>
        <v>1</v>
      </c>
      <c r="AC29" s="3">
        <f>IF(Q29=VLOOKUP(VALUE(Q$1),Questions[#All],5,FALSE),1,0)</f>
        <v>1</v>
      </c>
      <c r="AD29" s="3">
        <f>IF(R29=VLOOKUP(VALUE(R$1),Questions[#All],5,FALSE),1,0)</f>
        <v>0</v>
      </c>
    </row>
    <row r="30" spans="1:30" ht="22.5" customHeight="1" x14ac:dyDescent="0.15">
      <c r="A30" s="4" t="s">
        <v>741</v>
      </c>
      <c r="B30" s="4" t="str">
        <f t="shared" si="0"/>
        <v xml:space="preserve">ASHTON </v>
      </c>
      <c r="C30" s="4" t="str">
        <f t="shared" si="1"/>
        <v>MAYERS</v>
      </c>
      <c r="D30" s="3" t="s">
        <v>72</v>
      </c>
      <c r="E30" s="3">
        <v>6</v>
      </c>
      <c r="F30" s="9" t="b">
        <v>0</v>
      </c>
      <c r="G30" s="10" t="b">
        <v>0</v>
      </c>
      <c r="H30" s="3">
        <f t="shared" si="2"/>
        <v>5</v>
      </c>
      <c r="I30" s="3">
        <f t="shared" si="3"/>
        <v>0</v>
      </c>
      <c r="J30" s="8">
        <f t="shared" si="4"/>
        <v>0.41666666666666669</v>
      </c>
      <c r="K30" s="5">
        <v>4</v>
      </c>
      <c r="L30" s="3">
        <v>2</v>
      </c>
      <c r="M30" s="3">
        <v>2</v>
      </c>
      <c r="N30" s="3">
        <v>1</v>
      </c>
      <c r="O30" s="3">
        <v>2</v>
      </c>
      <c r="P30" s="3">
        <v>3</v>
      </c>
      <c r="Q30" s="3">
        <v>3</v>
      </c>
      <c r="R30" s="6">
        <v>3</v>
      </c>
      <c r="S30" s="3"/>
      <c r="T30" s="3"/>
      <c r="U30" s="3"/>
      <c r="V30" s="6"/>
      <c r="W30" s="3">
        <f>IF(K30=VLOOKUP(VALUE(K$1),Questions[#All],5,FALSE),1,0)</f>
        <v>0</v>
      </c>
      <c r="X30" s="3">
        <f>IF(L30=VLOOKUP(VALUE(L$1),Questions[#All],5,FALSE),1,0)</f>
        <v>1</v>
      </c>
      <c r="Y30" s="3">
        <f>IF(M30=VLOOKUP(VALUE(M$1),Questions[#All],5,FALSE),1,0)</f>
        <v>0</v>
      </c>
      <c r="Z30" s="3">
        <f>IF(N30=VLOOKUP(VALUE(N$1),Questions[#All],5,FALSE),1,0)</f>
        <v>0</v>
      </c>
      <c r="AA30" s="3">
        <f>IF(O30=VLOOKUP(VALUE(O$1),Questions[#All],5,FALSE),1,0)</f>
        <v>1</v>
      </c>
      <c r="AB30" s="3">
        <f>IF(P30=VLOOKUP(VALUE(P$1),Questions[#All],5,FALSE),1,0)</f>
        <v>1</v>
      </c>
      <c r="AC30" s="3">
        <f>IF(Q30=VLOOKUP(VALUE(Q$1),Questions[#All],5,FALSE),1,0)</f>
        <v>1</v>
      </c>
      <c r="AD30" s="3">
        <f>IF(R30=VLOOKUP(VALUE(R$1),Questions[#All],5,FALSE),1,0)</f>
        <v>1</v>
      </c>
    </row>
    <row r="31" spans="1:30" ht="22.5" customHeight="1" x14ac:dyDescent="0.15">
      <c r="A31" s="4" t="s">
        <v>742</v>
      </c>
      <c r="B31" s="4" t="str">
        <f t="shared" si="0"/>
        <v xml:space="preserve">SOLANGE </v>
      </c>
      <c r="C31" s="4" t="str">
        <f t="shared" si="1"/>
        <v>MONTERO</v>
      </c>
      <c r="D31" s="3" t="s">
        <v>72</v>
      </c>
      <c r="E31" s="3">
        <v>6</v>
      </c>
      <c r="F31" s="9" t="b">
        <v>0</v>
      </c>
      <c r="G31" s="10" t="b">
        <v>0</v>
      </c>
      <c r="H31" s="3">
        <f t="shared" si="2"/>
        <v>6</v>
      </c>
      <c r="I31" s="3">
        <f t="shared" si="3"/>
        <v>0</v>
      </c>
      <c r="J31" s="8">
        <f t="shared" si="4"/>
        <v>0.5</v>
      </c>
      <c r="K31" s="5">
        <v>2</v>
      </c>
      <c r="L31" s="3">
        <v>4</v>
      </c>
      <c r="M31" s="3">
        <v>3</v>
      </c>
      <c r="N31" s="3">
        <v>3</v>
      </c>
      <c r="O31" s="3">
        <v>2</v>
      </c>
      <c r="P31" s="3">
        <v>3</v>
      </c>
      <c r="Q31" s="3">
        <v>3</v>
      </c>
      <c r="R31" s="6">
        <v>3</v>
      </c>
      <c r="S31" s="3"/>
      <c r="T31" s="3"/>
      <c r="U31" s="3"/>
      <c r="V31" s="6"/>
      <c r="W31" s="3">
        <f>IF(K31=VLOOKUP(VALUE(K$1),Questions[#All],5,FALSE),1,0)</f>
        <v>1</v>
      </c>
      <c r="X31" s="3">
        <f>IF(L31=VLOOKUP(VALUE(L$1),Questions[#All],5,FALSE),1,0)</f>
        <v>0</v>
      </c>
      <c r="Y31" s="3">
        <f>IF(M31=VLOOKUP(VALUE(M$1),Questions[#All],5,FALSE),1,0)</f>
        <v>0</v>
      </c>
      <c r="Z31" s="3">
        <f>IF(N31=VLOOKUP(VALUE(N$1),Questions[#All],5,FALSE),1,0)</f>
        <v>1</v>
      </c>
      <c r="AA31" s="3">
        <f>IF(O31=VLOOKUP(VALUE(O$1),Questions[#All],5,FALSE),1,0)</f>
        <v>1</v>
      </c>
      <c r="AB31" s="3">
        <f>IF(P31=VLOOKUP(VALUE(P$1),Questions[#All],5,FALSE),1,0)</f>
        <v>1</v>
      </c>
      <c r="AC31" s="3">
        <f>IF(Q31=VLOOKUP(VALUE(Q$1),Questions[#All],5,FALSE),1,0)</f>
        <v>1</v>
      </c>
      <c r="AD31" s="3">
        <f>IF(R31=VLOOKUP(VALUE(R$1),Questions[#All],5,FALSE),1,0)</f>
        <v>1</v>
      </c>
    </row>
    <row r="32" spans="1:30" ht="22.5" customHeight="1" x14ac:dyDescent="0.15">
      <c r="A32" s="4" t="s">
        <v>743</v>
      </c>
      <c r="B32" s="4" t="str">
        <f t="shared" si="0"/>
        <v xml:space="preserve">ANDREA </v>
      </c>
      <c r="C32" s="4" t="str">
        <f t="shared" si="1"/>
        <v>PEREZ</v>
      </c>
      <c r="D32" s="3" t="s">
        <v>72</v>
      </c>
      <c r="E32" s="3">
        <v>6</v>
      </c>
      <c r="F32" s="9" t="b">
        <v>0</v>
      </c>
      <c r="G32" s="10" t="b">
        <v>0</v>
      </c>
      <c r="H32" s="3">
        <f t="shared" si="2"/>
        <v>8</v>
      </c>
      <c r="I32" s="3">
        <f t="shared" si="3"/>
        <v>0</v>
      </c>
      <c r="J32" s="8">
        <f t="shared" si="4"/>
        <v>0.66666666666666663</v>
      </c>
      <c r="K32" s="5">
        <v>2</v>
      </c>
      <c r="L32" s="3">
        <v>2</v>
      </c>
      <c r="M32" s="3">
        <v>1</v>
      </c>
      <c r="N32" s="3">
        <v>3</v>
      </c>
      <c r="O32" s="3">
        <v>2</v>
      </c>
      <c r="P32" s="3">
        <v>3</v>
      </c>
      <c r="Q32" s="3">
        <v>3</v>
      </c>
      <c r="R32" s="6">
        <v>3</v>
      </c>
      <c r="S32" s="3"/>
      <c r="T32" s="3"/>
      <c r="U32" s="3"/>
      <c r="V32" s="6"/>
      <c r="W32" s="3">
        <f>IF(K32=VLOOKUP(VALUE(K$1),Questions[#All],5,FALSE),1,0)</f>
        <v>1</v>
      </c>
      <c r="X32" s="3">
        <f>IF(L32=VLOOKUP(VALUE(L$1),Questions[#All],5,FALSE),1,0)</f>
        <v>1</v>
      </c>
      <c r="Y32" s="3">
        <f>IF(M32=VLOOKUP(VALUE(M$1),Questions[#All],5,FALSE),1,0)</f>
        <v>1</v>
      </c>
      <c r="Z32" s="3">
        <f>IF(N32=VLOOKUP(VALUE(N$1),Questions[#All],5,FALSE),1,0)</f>
        <v>1</v>
      </c>
      <c r="AA32" s="3">
        <f>IF(O32=VLOOKUP(VALUE(O$1),Questions[#All],5,FALSE),1,0)</f>
        <v>1</v>
      </c>
      <c r="AB32" s="3">
        <f>IF(P32=VLOOKUP(VALUE(P$1),Questions[#All],5,FALSE),1,0)</f>
        <v>1</v>
      </c>
      <c r="AC32" s="3">
        <f>IF(Q32=VLOOKUP(VALUE(Q$1),Questions[#All],5,FALSE),1,0)</f>
        <v>1</v>
      </c>
      <c r="AD32" s="3">
        <f>IF(R32=VLOOKUP(VALUE(R$1),Questions[#All],5,FALSE),1,0)</f>
        <v>1</v>
      </c>
    </row>
    <row r="33" spans="1:30" ht="22.5" customHeight="1" x14ac:dyDescent="0.15">
      <c r="A33" s="4" t="s">
        <v>744</v>
      </c>
      <c r="B33" s="4" t="str">
        <f t="shared" si="0"/>
        <v xml:space="preserve">SEBASTIAN </v>
      </c>
      <c r="C33" s="4" t="str">
        <f t="shared" si="1"/>
        <v>PEREZ RODRIGUEZ</v>
      </c>
      <c r="D33" s="3" t="s">
        <v>72</v>
      </c>
      <c r="E33" s="3">
        <v>6</v>
      </c>
      <c r="F33" s="9" t="b">
        <v>0</v>
      </c>
      <c r="G33" s="10" t="b">
        <v>0</v>
      </c>
      <c r="H33" s="3">
        <f t="shared" si="2"/>
        <v>7</v>
      </c>
      <c r="I33" s="3">
        <f t="shared" si="3"/>
        <v>0</v>
      </c>
      <c r="J33" s="8">
        <f t="shared" si="4"/>
        <v>0.58333333333333337</v>
      </c>
      <c r="K33" s="5">
        <v>2</v>
      </c>
      <c r="L33" s="3">
        <v>2</v>
      </c>
      <c r="M33" s="3">
        <v>1</v>
      </c>
      <c r="N33" s="3">
        <v>3</v>
      </c>
      <c r="O33" s="3">
        <v>2</v>
      </c>
      <c r="P33" s="3">
        <v>3</v>
      </c>
      <c r="Q33" s="3">
        <v>1</v>
      </c>
      <c r="R33" s="6">
        <v>3</v>
      </c>
      <c r="S33" s="3"/>
      <c r="T33" s="3"/>
      <c r="U33" s="3"/>
      <c r="V33" s="6"/>
      <c r="W33" s="3">
        <f>IF(K33=VLOOKUP(VALUE(K$1),Questions[#All],5,FALSE),1,0)</f>
        <v>1</v>
      </c>
      <c r="X33" s="3">
        <f>IF(L33=VLOOKUP(VALUE(L$1),Questions[#All],5,FALSE),1,0)</f>
        <v>1</v>
      </c>
      <c r="Y33" s="3">
        <f>IF(M33=VLOOKUP(VALUE(M$1),Questions[#All],5,FALSE),1,0)</f>
        <v>1</v>
      </c>
      <c r="Z33" s="3">
        <f>IF(N33=VLOOKUP(VALUE(N$1),Questions[#All],5,FALSE),1,0)</f>
        <v>1</v>
      </c>
      <c r="AA33" s="3">
        <f>IF(O33=VLOOKUP(VALUE(O$1),Questions[#All],5,FALSE),1,0)</f>
        <v>1</v>
      </c>
      <c r="AB33" s="3">
        <f>IF(P33=VLOOKUP(VALUE(P$1),Questions[#All],5,FALSE),1,0)</f>
        <v>1</v>
      </c>
      <c r="AC33" s="3">
        <f>IF(Q33=VLOOKUP(VALUE(Q$1),Questions[#All],5,FALSE),1,0)</f>
        <v>0</v>
      </c>
      <c r="AD33" s="3">
        <f>IF(R33=VLOOKUP(VALUE(R$1),Questions[#All],5,FALSE),1,0)</f>
        <v>1</v>
      </c>
    </row>
    <row r="34" spans="1:30" ht="22.5" customHeight="1" x14ac:dyDescent="0.15">
      <c r="A34" s="4" t="s">
        <v>745</v>
      </c>
      <c r="B34" s="4" t="str">
        <f t="shared" si="0"/>
        <v xml:space="preserve">MANUEL </v>
      </c>
      <c r="C34" s="4" t="str">
        <f t="shared" si="1"/>
        <v>RODRIGUEZ</v>
      </c>
      <c r="D34" s="3" t="s">
        <v>72</v>
      </c>
      <c r="E34" s="3">
        <v>6</v>
      </c>
      <c r="F34" s="9" t="b">
        <v>0</v>
      </c>
      <c r="G34" s="10" t="b">
        <v>0</v>
      </c>
      <c r="H34" s="3">
        <f t="shared" si="2"/>
        <v>7</v>
      </c>
      <c r="I34" s="3">
        <f t="shared" si="3"/>
        <v>0</v>
      </c>
      <c r="J34" s="8">
        <f t="shared" si="4"/>
        <v>0.58333333333333337</v>
      </c>
      <c r="K34" s="5">
        <v>2</v>
      </c>
      <c r="L34" s="3">
        <v>2</v>
      </c>
      <c r="M34" s="3">
        <v>1</v>
      </c>
      <c r="N34" s="3">
        <v>3</v>
      </c>
      <c r="O34" s="3">
        <v>2</v>
      </c>
      <c r="P34" s="3">
        <v>3</v>
      </c>
      <c r="Q34" s="3">
        <v>1</v>
      </c>
      <c r="R34" s="6">
        <v>3</v>
      </c>
      <c r="S34" s="3"/>
      <c r="T34" s="3"/>
      <c r="U34" s="3"/>
      <c r="V34" s="6"/>
      <c r="W34" s="3">
        <f>IF(K34=VLOOKUP(VALUE(K$1),Questions[#All],5,FALSE),1,0)</f>
        <v>1</v>
      </c>
      <c r="X34" s="3">
        <f>IF(L34=VLOOKUP(VALUE(L$1),Questions[#All],5,FALSE),1,0)</f>
        <v>1</v>
      </c>
      <c r="Y34" s="3">
        <f>IF(M34=VLOOKUP(VALUE(M$1),Questions[#All],5,FALSE),1,0)</f>
        <v>1</v>
      </c>
      <c r="Z34" s="3">
        <f>IF(N34=VLOOKUP(VALUE(N$1),Questions[#All],5,FALSE),1,0)</f>
        <v>1</v>
      </c>
      <c r="AA34" s="3">
        <f>IF(O34=VLOOKUP(VALUE(O$1),Questions[#All],5,FALSE),1,0)</f>
        <v>1</v>
      </c>
      <c r="AB34" s="3">
        <f>IF(P34=VLOOKUP(VALUE(P$1),Questions[#All],5,FALSE),1,0)</f>
        <v>1</v>
      </c>
      <c r="AC34" s="3">
        <f>IF(Q34=VLOOKUP(VALUE(Q$1),Questions[#All],5,FALSE),1,0)</f>
        <v>0</v>
      </c>
      <c r="AD34" s="3">
        <f>IF(R34=VLOOKUP(VALUE(R$1),Questions[#All],5,FALSE),1,0)</f>
        <v>1</v>
      </c>
    </row>
    <row r="35" spans="1:30" ht="22.5" customHeight="1" x14ac:dyDescent="0.15">
      <c r="A35" s="4" t="s">
        <v>746</v>
      </c>
      <c r="B35" s="4" t="str">
        <f t="shared" si="0"/>
        <v xml:space="preserve">MADISON </v>
      </c>
      <c r="C35" s="4" t="str">
        <f t="shared" si="1"/>
        <v>RUBIN</v>
      </c>
      <c r="D35" s="3" t="s">
        <v>72</v>
      </c>
      <c r="E35" s="3">
        <v>6</v>
      </c>
      <c r="F35" s="9" t="b">
        <v>0</v>
      </c>
      <c r="G35" s="10" t="b">
        <v>0</v>
      </c>
      <c r="H35" s="3">
        <f t="shared" si="2"/>
        <v>6</v>
      </c>
      <c r="I35" s="3">
        <f t="shared" si="3"/>
        <v>0</v>
      </c>
      <c r="J35" s="8">
        <f t="shared" si="4"/>
        <v>0.5</v>
      </c>
      <c r="K35" s="5">
        <v>2</v>
      </c>
      <c r="L35" s="3">
        <v>2</v>
      </c>
      <c r="M35" s="3">
        <v>4</v>
      </c>
      <c r="N35" s="3">
        <v>3</v>
      </c>
      <c r="O35" s="3">
        <v>2</v>
      </c>
      <c r="P35" s="3">
        <v>3</v>
      </c>
      <c r="Q35" s="3">
        <v>1</v>
      </c>
      <c r="R35" s="6">
        <v>3</v>
      </c>
      <c r="S35" s="3"/>
      <c r="T35" s="3"/>
      <c r="U35" s="3"/>
      <c r="V35" s="6"/>
      <c r="W35" s="3">
        <f>IF(K35=VLOOKUP(VALUE(K$1),Questions[#All],5,FALSE),1,0)</f>
        <v>1</v>
      </c>
      <c r="X35" s="3">
        <f>IF(L35=VLOOKUP(VALUE(L$1),Questions[#All],5,FALSE),1,0)</f>
        <v>1</v>
      </c>
      <c r="Y35" s="3">
        <f>IF(M35=VLOOKUP(VALUE(M$1),Questions[#All],5,FALSE),1,0)</f>
        <v>0</v>
      </c>
      <c r="Z35" s="3">
        <f>IF(N35=VLOOKUP(VALUE(N$1),Questions[#All],5,FALSE),1,0)</f>
        <v>1</v>
      </c>
      <c r="AA35" s="3">
        <f>IF(O35=VLOOKUP(VALUE(O$1),Questions[#All],5,FALSE),1,0)</f>
        <v>1</v>
      </c>
      <c r="AB35" s="3">
        <f>IF(P35=VLOOKUP(VALUE(P$1),Questions[#All],5,FALSE),1,0)</f>
        <v>1</v>
      </c>
      <c r="AC35" s="3">
        <f>IF(Q35=VLOOKUP(VALUE(Q$1),Questions[#All],5,FALSE),1,0)</f>
        <v>0</v>
      </c>
      <c r="AD35" s="3">
        <f>IF(R35=VLOOKUP(VALUE(R$1),Questions[#All],5,FALSE),1,0)</f>
        <v>1</v>
      </c>
    </row>
    <row r="36" spans="1:30" ht="22.5" customHeight="1" x14ac:dyDescent="0.15">
      <c r="A36" s="4" t="s">
        <v>747</v>
      </c>
      <c r="B36" s="4" t="str">
        <f t="shared" si="0"/>
        <v xml:space="preserve">DOMINIC </v>
      </c>
      <c r="C36" s="4" t="str">
        <f t="shared" si="1"/>
        <v>STANISLAS</v>
      </c>
      <c r="D36" s="3" t="s">
        <v>72</v>
      </c>
      <c r="E36" s="3">
        <v>6</v>
      </c>
      <c r="F36" s="9" t="b">
        <v>0</v>
      </c>
      <c r="G36" s="10" t="b">
        <v>0</v>
      </c>
      <c r="H36" s="3">
        <f t="shared" si="2"/>
        <v>1</v>
      </c>
      <c r="I36" s="3">
        <f t="shared" si="3"/>
        <v>0</v>
      </c>
      <c r="J36" s="8">
        <f t="shared" si="4"/>
        <v>8.3333333333333329E-2</v>
      </c>
      <c r="K36" s="5">
        <v>1</v>
      </c>
      <c r="L36" s="3">
        <v>2</v>
      </c>
      <c r="M36" s="3">
        <v>4</v>
      </c>
      <c r="N36" s="3">
        <v>1</v>
      </c>
      <c r="O36" s="3">
        <v>4</v>
      </c>
      <c r="P36" s="3">
        <v>4</v>
      </c>
      <c r="Q36" s="3">
        <v>1</v>
      </c>
      <c r="R36" s="6">
        <v>1</v>
      </c>
      <c r="S36" s="3"/>
      <c r="T36" s="3"/>
      <c r="U36" s="3"/>
      <c r="V36" s="6"/>
      <c r="W36" s="3">
        <f>IF(K36=VLOOKUP(VALUE(K$1),Questions[#All],5,FALSE),1,0)</f>
        <v>0</v>
      </c>
      <c r="X36" s="3">
        <f>IF(L36=VLOOKUP(VALUE(L$1),Questions[#All],5,FALSE),1,0)</f>
        <v>1</v>
      </c>
      <c r="Y36" s="3">
        <f>IF(M36=VLOOKUP(VALUE(M$1),Questions[#All],5,FALSE),1,0)</f>
        <v>0</v>
      </c>
      <c r="Z36" s="3">
        <f>IF(N36=VLOOKUP(VALUE(N$1),Questions[#All],5,FALSE),1,0)</f>
        <v>0</v>
      </c>
      <c r="AA36" s="3">
        <f>IF(O36=VLOOKUP(VALUE(O$1),Questions[#All],5,FALSE),1,0)</f>
        <v>0</v>
      </c>
      <c r="AB36" s="3">
        <f>IF(P36=VLOOKUP(VALUE(P$1),Questions[#All],5,FALSE),1,0)</f>
        <v>0</v>
      </c>
      <c r="AC36" s="3">
        <f>IF(Q36=VLOOKUP(VALUE(Q$1),Questions[#All],5,FALSE),1,0)</f>
        <v>0</v>
      </c>
      <c r="AD36" s="3">
        <f>IF(R36=VLOOKUP(VALUE(R$1),Questions[#All],5,FALSE),1,0)</f>
        <v>0</v>
      </c>
    </row>
    <row r="37" spans="1:30" ht="22.5" customHeight="1" x14ac:dyDescent="0.15">
      <c r="A37" s="4" t="s">
        <v>748</v>
      </c>
      <c r="B37" s="4" t="str">
        <f t="shared" si="0"/>
        <v xml:space="preserve">ARTURO </v>
      </c>
      <c r="C37" s="4" t="str">
        <f t="shared" si="1"/>
        <v>YAHIR VAZQUEZ</v>
      </c>
      <c r="D37" s="3" t="s">
        <v>72</v>
      </c>
      <c r="E37" s="3">
        <v>6</v>
      </c>
      <c r="F37" s="9" t="b">
        <v>0</v>
      </c>
      <c r="G37" s="10" t="b">
        <v>0</v>
      </c>
      <c r="H37" s="3">
        <f t="shared" si="2"/>
        <v>4</v>
      </c>
      <c r="I37" s="3">
        <f t="shared" si="3"/>
        <v>0</v>
      </c>
      <c r="J37" s="8">
        <f t="shared" si="4"/>
        <v>0.33333333333333331</v>
      </c>
      <c r="K37" s="5">
        <v>1</v>
      </c>
      <c r="L37" s="3">
        <v>1</v>
      </c>
      <c r="M37" s="3">
        <v>4</v>
      </c>
      <c r="N37" s="3">
        <v>3</v>
      </c>
      <c r="O37" s="3">
        <v>2</v>
      </c>
      <c r="P37" s="3">
        <v>3</v>
      </c>
      <c r="Q37" s="3">
        <v>3</v>
      </c>
      <c r="R37" s="6">
        <v>4</v>
      </c>
      <c r="S37" s="3"/>
      <c r="T37" s="3"/>
      <c r="U37" s="3"/>
      <c r="V37" s="6"/>
      <c r="W37" s="3">
        <f>IF(K37=VLOOKUP(VALUE(K$1),Questions[#All],5,FALSE),1,0)</f>
        <v>0</v>
      </c>
      <c r="X37" s="3">
        <f>IF(L37=VLOOKUP(VALUE(L$1),Questions[#All],5,FALSE),1,0)</f>
        <v>0</v>
      </c>
      <c r="Y37" s="3">
        <f>IF(M37=VLOOKUP(VALUE(M$1),Questions[#All],5,FALSE),1,0)</f>
        <v>0</v>
      </c>
      <c r="Z37" s="3">
        <f>IF(N37=VLOOKUP(VALUE(N$1),Questions[#All],5,FALSE),1,0)</f>
        <v>1</v>
      </c>
      <c r="AA37" s="3">
        <f>IF(O37=VLOOKUP(VALUE(O$1),Questions[#All],5,FALSE),1,0)</f>
        <v>1</v>
      </c>
      <c r="AB37" s="3">
        <f>IF(P37=VLOOKUP(VALUE(P$1),Questions[#All],5,FALSE),1,0)</f>
        <v>1</v>
      </c>
      <c r="AC37" s="3">
        <f>IF(Q37=VLOOKUP(VALUE(Q$1),Questions[#All],5,FALSE),1,0)</f>
        <v>1</v>
      </c>
      <c r="AD37" s="3">
        <f>IF(R37=VLOOKUP(VALUE(R$1),Questions[#All],5,FALSE),1,0)</f>
        <v>0</v>
      </c>
    </row>
    <row r="38" spans="1:30" ht="22.5" customHeight="1" x14ac:dyDescent="0.15">
      <c r="A38" s="4" t="s">
        <v>749</v>
      </c>
      <c r="B38" s="4" t="str">
        <f t="shared" si="0"/>
        <v xml:space="preserve">MALACHI </v>
      </c>
      <c r="C38" s="4" t="str">
        <f t="shared" si="1"/>
        <v>WALTERS</v>
      </c>
      <c r="D38" s="3" t="s">
        <v>72</v>
      </c>
      <c r="E38" s="3">
        <v>6</v>
      </c>
      <c r="F38" s="9" t="b">
        <v>0</v>
      </c>
      <c r="G38" s="10" t="b">
        <v>0</v>
      </c>
      <c r="H38" s="3">
        <f t="shared" si="2"/>
        <v>6</v>
      </c>
      <c r="I38" s="3">
        <f t="shared" si="3"/>
        <v>0</v>
      </c>
      <c r="J38" s="8">
        <f t="shared" si="4"/>
        <v>0.5</v>
      </c>
      <c r="K38" s="5">
        <v>2</v>
      </c>
      <c r="L38" s="3">
        <v>1</v>
      </c>
      <c r="M38" s="3">
        <v>1</v>
      </c>
      <c r="N38" s="3">
        <v>3</v>
      </c>
      <c r="O38" s="3">
        <v>2</v>
      </c>
      <c r="P38" s="3">
        <v>3</v>
      </c>
      <c r="Q38" s="3">
        <v>3</v>
      </c>
      <c r="R38" s="6">
        <v>4</v>
      </c>
      <c r="S38" s="3"/>
      <c r="T38" s="3"/>
      <c r="U38" s="3"/>
      <c r="V38" s="6"/>
      <c r="W38" s="3">
        <f>IF(K38=VLOOKUP(VALUE(K$1),Questions[#All],5,FALSE),1,0)</f>
        <v>1</v>
      </c>
      <c r="X38" s="3">
        <f>IF(L38=VLOOKUP(VALUE(L$1),Questions[#All],5,FALSE),1,0)</f>
        <v>0</v>
      </c>
      <c r="Y38" s="3">
        <f>IF(M38=VLOOKUP(VALUE(M$1),Questions[#All],5,FALSE),1,0)</f>
        <v>1</v>
      </c>
      <c r="Z38" s="3">
        <f>IF(N38=VLOOKUP(VALUE(N$1),Questions[#All],5,FALSE),1,0)</f>
        <v>1</v>
      </c>
      <c r="AA38" s="3">
        <f>IF(O38=VLOOKUP(VALUE(O$1),Questions[#All],5,FALSE),1,0)</f>
        <v>1</v>
      </c>
      <c r="AB38" s="3">
        <f>IF(P38=VLOOKUP(VALUE(P$1),Questions[#All],5,FALSE),1,0)</f>
        <v>1</v>
      </c>
      <c r="AC38" s="3">
        <f>IF(Q38=VLOOKUP(VALUE(Q$1),Questions[#All],5,FALSE),1,0)</f>
        <v>1</v>
      </c>
      <c r="AD38" s="3">
        <f>IF(R38=VLOOKUP(VALUE(R$1),Questions[#All],5,FALSE),1,0)</f>
        <v>0</v>
      </c>
    </row>
    <row r="39" spans="1:30" ht="22.5" customHeight="1" x14ac:dyDescent="0.15">
      <c r="A39" s="4" t="s">
        <v>750</v>
      </c>
      <c r="B39" s="4" t="str">
        <f t="shared" si="0"/>
        <v xml:space="preserve">MIA </v>
      </c>
      <c r="C39" s="4" t="str">
        <f t="shared" si="1"/>
        <v>WILLIS</v>
      </c>
      <c r="D39" s="3" t="s">
        <v>72</v>
      </c>
      <c r="E39" s="3">
        <v>6</v>
      </c>
      <c r="F39" s="9" t="b">
        <v>0</v>
      </c>
      <c r="G39" s="10" t="b">
        <v>0</v>
      </c>
      <c r="H39" s="3">
        <f t="shared" si="2"/>
        <v>8</v>
      </c>
      <c r="I39" s="3">
        <f t="shared" si="3"/>
        <v>0</v>
      </c>
      <c r="J39" s="8">
        <f t="shared" si="4"/>
        <v>0.66666666666666663</v>
      </c>
      <c r="K39" s="5">
        <v>2</v>
      </c>
      <c r="L39" s="3">
        <v>2</v>
      </c>
      <c r="M39" s="3">
        <v>1</v>
      </c>
      <c r="N39" s="3">
        <v>3</v>
      </c>
      <c r="O39" s="3">
        <v>2</v>
      </c>
      <c r="P39" s="3">
        <v>3</v>
      </c>
      <c r="Q39" s="3">
        <v>3</v>
      </c>
      <c r="R39" s="6">
        <v>3</v>
      </c>
      <c r="S39" s="3"/>
      <c r="T39" s="3"/>
      <c r="U39" s="3"/>
      <c r="V39" s="6"/>
      <c r="W39" s="3">
        <f>IF(K39=VLOOKUP(VALUE(K$1),Questions[#All],5,FALSE),1,0)</f>
        <v>1</v>
      </c>
      <c r="X39" s="3">
        <f>IF(L39=VLOOKUP(VALUE(L$1),Questions[#All],5,FALSE),1,0)</f>
        <v>1</v>
      </c>
      <c r="Y39" s="3">
        <f>IF(M39=VLOOKUP(VALUE(M$1),Questions[#All],5,FALSE),1,0)</f>
        <v>1</v>
      </c>
      <c r="Z39" s="3">
        <f>IF(N39=VLOOKUP(VALUE(N$1),Questions[#All],5,FALSE),1,0)</f>
        <v>1</v>
      </c>
      <c r="AA39" s="3">
        <f>IF(O39=VLOOKUP(VALUE(O$1),Questions[#All],5,FALSE),1,0)</f>
        <v>1</v>
      </c>
      <c r="AB39" s="3">
        <f>IF(P39=VLOOKUP(VALUE(P$1),Questions[#All],5,FALSE),1,0)</f>
        <v>1</v>
      </c>
      <c r="AC39" s="3">
        <f>IF(Q39=VLOOKUP(VALUE(Q$1),Questions[#All],5,FALSE),1,0)</f>
        <v>1</v>
      </c>
      <c r="AD39" s="3">
        <f>IF(R39=VLOOKUP(VALUE(R$1),Questions[#All],5,FALSE),1,0)</f>
        <v>1</v>
      </c>
    </row>
    <row r="40" spans="1:30" ht="22.5" customHeight="1" x14ac:dyDescent="0.15">
      <c r="A40" s="4" t="s">
        <v>751</v>
      </c>
      <c r="B40" s="4" t="str">
        <f t="shared" si="0"/>
        <v xml:space="preserve">GERMANE </v>
      </c>
      <c r="C40" s="4" t="str">
        <f t="shared" si="1"/>
        <v>BROOKS</v>
      </c>
      <c r="D40" s="3" t="s">
        <v>49</v>
      </c>
      <c r="E40" s="3">
        <v>8</v>
      </c>
      <c r="F40" s="9" t="b">
        <v>0</v>
      </c>
      <c r="G40" s="10" t="b">
        <v>0</v>
      </c>
      <c r="H40" s="3">
        <f t="shared" si="2"/>
        <v>1</v>
      </c>
      <c r="I40" s="3">
        <f t="shared" si="3"/>
        <v>0</v>
      </c>
      <c r="J40" s="8">
        <f t="shared" si="4"/>
        <v>8.3333333333333329E-2</v>
      </c>
      <c r="K40" s="5">
        <v>4</v>
      </c>
      <c r="L40" s="3">
        <v>1</v>
      </c>
      <c r="M40" s="3">
        <v>4</v>
      </c>
      <c r="N40" s="3">
        <v>2</v>
      </c>
      <c r="O40" s="3">
        <v>3</v>
      </c>
      <c r="P40" s="3">
        <v>2</v>
      </c>
      <c r="Q40" s="3">
        <v>2</v>
      </c>
      <c r="R40" s="6">
        <v>3</v>
      </c>
      <c r="S40" s="3"/>
      <c r="T40" s="3"/>
      <c r="U40" s="3"/>
      <c r="V40" s="6"/>
      <c r="W40" s="3">
        <f>IF(K40=VLOOKUP(VALUE(K$1),Questions[#All],5,FALSE),1,0)</f>
        <v>0</v>
      </c>
      <c r="X40" s="3">
        <f>IF(L40=VLOOKUP(VALUE(L$1),Questions[#All],5,FALSE),1,0)</f>
        <v>0</v>
      </c>
      <c r="Y40" s="3">
        <f>IF(M40=VLOOKUP(VALUE(M$1),Questions[#All],5,FALSE),1,0)</f>
        <v>0</v>
      </c>
      <c r="Z40" s="3">
        <f>IF(N40=VLOOKUP(VALUE(N$1),Questions[#All],5,FALSE),1,0)</f>
        <v>0</v>
      </c>
      <c r="AA40" s="3">
        <f>IF(O40=VLOOKUP(VALUE(O$1),Questions[#All],5,FALSE),1,0)</f>
        <v>0</v>
      </c>
      <c r="AB40" s="3">
        <f>IF(P40=VLOOKUP(VALUE(P$1),Questions[#All],5,FALSE),1,0)</f>
        <v>0</v>
      </c>
      <c r="AC40" s="3">
        <f>IF(Q40=VLOOKUP(VALUE(Q$1),Questions[#All],5,FALSE),1,0)</f>
        <v>0</v>
      </c>
      <c r="AD40" s="3">
        <f>IF(R40=VLOOKUP(VALUE(R$1),Questions[#All],5,FALSE),1,0)</f>
        <v>1</v>
      </c>
    </row>
    <row r="41" spans="1:30" ht="22.5" customHeight="1" x14ac:dyDescent="0.15">
      <c r="A41" s="4" t="s">
        <v>752</v>
      </c>
      <c r="B41" s="4" t="str">
        <f t="shared" si="0"/>
        <v xml:space="preserve">MYA </v>
      </c>
      <c r="C41" s="4" t="str">
        <f t="shared" si="1"/>
        <v>BRYANT</v>
      </c>
      <c r="D41" s="3" t="s">
        <v>49</v>
      </c>
      <c r="E41" s="3">
        <v>8</v>
      </c>
      <c r="F41" s="9" t="b">
        <v>0</v>
      </c>
      <c r="G41" s="10" t="b">
        <v>0</v>
      </c>
      <c r="H41" s="3">
        <f t="shared" si="2"/>
        <v>7</v>
      </c>
      <c r="I41" s="3">
        <f t="shared" si="3"/>
        <v>0</v>
      </c>
      <c r="J41" s="8">
        <f t="shared" si="4"/>
        <v>0.58333333333333337</v>
      </c>
      <c r="K41" s="5">
        <v>2</v>
      </c>
      <c r="L41" s="3">
        <v>2</v>
      </c>
      <c r="M41" s="3">
        <v>1</v>
      </c>
      <c r="N41" s="3">
        <v>3</v>
      </c>
      <c r="O41" s="3">
        <v>2</v>
      </c>
      <c r="P41" s="3">
        <v>4</v>
      </c>
      <c r="Q41" s="3">
        <v>3</v>
      </c>
      <c r="R41" s="6">
        <v>3</v>
      </c>
      <c r="S41" s="3"/>
      <c r="T41" s="3"/>
      <c r="U41" s="3"/>
      <c r="V41" s="6"/>
      <c r="W41" s="3">
        <f>IF(K41=VLOOKUP(VALUE(K$1),Questions[#All],5,FALSE),1,0)</f>
        <v>1</v>
      </c>
      <c r="X41" s="3">
        <f>IF(L41=VLOOKUP(VALUE(L$1),Questions[#All],5,FALSE),1,0)</f>
        <v>1</v>
      </c>
      <c r="Y41" s="3">
        <f>IF(M41=VLOOKUP(VALUE(M$1),Questions[#All],5,FALSE),1,0)</f>
        <v>1</v>
      </c>
      <c r="Z41" s="3">
        <f>IF(N41=VLOOKUP(VALUE(N$1),Questions[#All],5,FALSE),1,0)</f>
        <v>1</v>
      </c>
      <c r="AA41" s="3">
        <f>IF(O41=VLOOKUP(VALUE(O$1),Questions[#All],5,FALSE),1,0)</f>
        <v>1</v>
      </c>
      <c r="AB41" s="3">
        <f>IF(P41=VLOOKUP(VALUE(P$1),Questions[#All],5,FALSE),1,0)</f>
        <v>0</v>
      </c>
      <c r="AC41" s="3">
        <f>IF(Q41=VLOOKUP(VALUE(Q$1),Questions[#All],5,FALSE),1,0)</f>
        <v>1</v>
      </c>
      <c r="AD41" s="3">
        <f>IF(R41=VLOOKUP(VALUE(R$1),Questions[#All],5,FALSE),1,0)</f>
        <v>1</v>
      </c>
    </row>
    <row r="42" spans="1:30" ht="22.5" customHeight="1" x14ac:dyDescent="0.15">
      <c r="A42" s="4" t="s">
        <v>753</v>
      </c>
      <c r="B42" s="4" t="str">
        <f t="shared" si="0"/>
        <v xml:space="preserve">RODRIGO </v>
      </c>
      <c r="C42" s="4" t="str">
        <f t="shared" si="1"/>
        <v>CARRION-CAZALES</v>
      </c>
      <c r="D42" s="3" t="s">
        <v>49</v>
      </c>
      <c r="E42" s="3">
        <v>8</v>
      </c>
      <c r="F42" s="9" t="b">
        <v>0</v>
      </c>
      <c r="G42" s="10" t="b">
        <v>0</v>
      </c>
      <c r="H42" s="3">
        <f t="shared" si="2"/>
        <v>7</v>
      </c>
      <c r="I42" s="3">
        <f t="shared" si="3"/>
        <v>0</v>
      </c>
      <c r="J42" s="8">
        <f t="shared" si="4"/>
        <v>0.58333333333333337</v>
      </c>
      <c r="K42" s="5">
        <v>1</v>
      </c>
      <c r="L42" s="3">
        <v>2</v>
      </c>
      <c r="M42" s="3">
        <v>1</v>
      </c>
      <c r="N42" s="3">
        <v>3</v>
      </c>
      <c r="O42" s="3">
        <v>2</v>
      </c>
      <c r="P42" s="3">
        <v>3</v>
      </c>
      <c r="Q42" s="3">
        <v>3</v>
      </c>
      <c r="R42" s="6">
        <v>3</v>
      </c>
      <c r="S42" s="3"/>
      <c r="T42" s="3"/>
      <c r="U42" s="3"/>
      <c r="V42" s="6"/>
      <c r="W42" s="3">
        <f>IF(K42=VLOOKUP(VALUE(K$1),Questions[#All],5,FALSE),1,0)</f>
        <v>0</v>
      </c>
      <c r="X42" s="3">
        <f>IF(L42=VLOOKUP(VALUE(L$1),Questions[#All],5,FALSE),1,0)</f>
        <v>1</v>
      </c>
      <c r="Y42" s="3">
        <f>IF(M42=VLOOKUP(VALUE(M$1),Questions[#All],5,FALSE),1,0)</f>
        <v>1</v>
      </c>
      <c r="Z42" s="3">
        <f>IF(N42=VLOOKUP(VALUE(N$1),Questions[#All],5,FALSE),1,0)</f>
        <v>1</v>
      </c>
      <c r="AA42" s="3">
        <f>IF(O42=VLOOKUP(VALUE(O$1),Questions[#All],5,FALSE),1,0)</f>
        <v>1</v>
      </c>
      <c r="AB42" s="3">
        <f>IF(P42=VLOOKUP(VALUE(P$1),Questions[#All],5,FALSE),1,0)</f>
        <v>1</v>
      </c>
      <c r="AC42" s="3">
        <f>IF(Q42=VLOOKUP(VALUE(Q$1),Questions[#All],5,FALSE),1,0)</f>
        <v>1</v>
      </c>
      <c r="AD42" s="3">
        <f>IF(R42=VLOOKUP(VALUE(R$1),Questions[#All],5,FALSE),1,0)</f>
        <v>1</v>
      </c>
    </row>
    <row r="43" spans="1:30" ht="22.5" customHeight="1" x14ac:dyDescent="0.15">
      <c r="A43" s="4" t="s">
        <v>754</v>
      </c>
      <c r="B43" s="4" t="str">
        <f t="shared" si="0"/>
        <v xml:space="preserve">JAMIR </v>
      </c>
      <c r="C43" s="4" t="str">
        <f t="shared" si="1"/>
        <v>CHARLES</v>
      </c>
      <c r="D43" s="3" t="s">
        <v>49</v>
      </c>
      <c r="E43" s="3">
        <v>8</v>
      </c>
      <c r="F43" s="9" t="b">
        <v>0</v>
      </c>
      <c r="G43" s="10" t="b">
        <v>0</v>
      </c>
      <c r="H43" s="3">
        <f t="shared" si="2"/>
        <v>1</v>
      </c>
      <c r="I43" s="3">
        <f t="shared" si="3"/>
        <v>0</v>
      </c>
      <c r="J43" s="8">
        <f t="shared" si="4"/>
        <v>8.3333333333333329E-2</v>
      </c>
      <c r="K43" s="5">
        <v>1</v>
      </c>
      <c r="L43" s="3">
        <v>1</v>
      </c>
      <c r="M43" s="3">
        <v>4</v>
      </c>
      <c r="N43" s="3">
        <v>1</v>
      </c>
      <c r="O43" s="3">
        <v>3</v>
      </c>
      <c r="P43" s="3">
        <v>3</v>
      </c>
      <c r="Q43" s="3">
        <v>4</v>
      </c>
      <c r="R43" s="6">
        <v>2</v>
      </c>
      <c r="S43" s="3"/>
      <c r="T43" s="3"/>
      <c r="U43" s="3"/>
      <c r="V43" s="6"/>
      <c r="W43" s="3">
        <f>IF(K43=VLOOKUP(VALUE(K$1),Questions[#All],5,FALSE),1,0)</f>
        <v>0</v>
      </c>
      <c r="X43" s="3">
        <f>IF(L43=VLOOKUP(VALUE(L$1),Questions[#All],5,FALSE),1,0)</f>
        <v>0</v>
      </c>
      <c r="Y43" s="3">
        <f>IF(M43=VLOOKUP(VALUE(M$1),Questions[#All],5,FALSE),1,0)</f>
        <v>0</v>
      </c>
      <c r="Z43" s="3">
        <f>IF(N43=VLOOKUP(VALUE(N$1),Questions[#All],5,FALSE),1,0)</f>
        <v>0</v>
      </c>
      <c r="AA43" s="3">
        <f>IF(O43=VLOOKUP(VALUE(O$1),Questions[#All],5,FALSE),1,0)</f>
        <v>0</v>
      </c>
      <c r="AB43" s="3">
        <f>IF(P43=VLOOKUP(VALUE(P$1),Questions[#All],5,FALSE),1,0)</f>
        <v>1</v>
      </c>
      <c r="AC43" s="3">
        <f>IF(Q43=VLOOKUP(VALUE(Q$1),Questions[#All],5,FALSE),1,0)</f>
        <v>0</v>
      </c>
      <c r="AD43" s="3">
        <f>IF(R43=VLOOKUP(VALUE(R$1),Questions[#All],5,FALSE),1,0)</f>
        <v>0</v>
      </c>
    </row>
    <row r="44" spans="1:30" ht="22.5" customHeight="1" x14ac:dyDescent="0.15">
      <c r="A44" s="4" t="s">
        <v>755</v>
      </c>
      <c r="B44" s="4" t="str">
        <f t="shared" si="0"/>
        <v xml:space="preserve">ARMANII </v>
      </c>
      <c r="C44" s="4" t="str">
        <f t="shared" si="1"/>
        <v>DOUGLAS</v>
      </c>
      <c r="D44" s="3" t="s">
        <v>49</v>
      </c>
      <c r="E44" s="3">
        <v>8</v>
      </c>
      <c r="F44" s="9" t="b">
        <v>0</v>
      </c>
      <c r="G44" s="10" t="b">
        <v>0</v>
      </c>
      <c r="H44" s="3">
        <f t="shared" si="2"/>
        <v>7</v>
      </c>
      <c r="I44" s="3">
        <f t="shared" si="3"/>
        <v>0</v>
      </c>
      <c r="J44" s="8">
        <f t="shared" si="4"/>
        <v>0.58333333333333337</v>
      </c>
      <c r="K44" s="5">
        <v>2</v>
      </c>
      <c r="L44" s="3">
        <v>2</v>
      </c>
      <c r="M44" s="3">
        <v>2</v>
      </c>
      <c r="N44" s="3">
        <v>3</v>
      </c>
      <c r="O44" s="3">
        <v>2</v>
      </c>
      <c r="P44" s="3">
        <v>3</v>
      </c>
      <c r="Q44" s="3">
        <v>3</v>
      </c>
      <c r="R44" s="6">
        <v>3</v>
      </c>
      <c r="S44" s="3"/>
      <c r="T44" s="3"/>
      <c r="U44" s="3"/>
      <c r="V44" s="6"/>
      <c r="W44" s="3">
        <f>IF(K44=VLOOKUP(VALUE(K$1),Questions[#All],5,FALSE),1,0)</f>
        <v>1</v>
      </c>
      <c r="X44" s="3">
        <f>IF(L44=VLOOKUP(VALUE(L$1),Questions[#All],5,FALSE),1,0)</f>
        <v>1</v>
      </c>
      <c r="Y44" s="3">
        <f>IF(M44=VLOOKUP(VALUE(M$1),Questions[#All],5,FALSE),1,0)</f>
        <v>0</v>
      </c>
      <c r="Z44" s="3">
        <f>IF(N44=VLOOKUP(VALUE(N$1),Questions[#All],5,FALSE),1,0)</f>
        <v>1</v>
      </c>
      <c r="AA44" s="3">
        <f>IF(O44=VLOOKUP(VALUE(O$1),Questions[#All],5,FALSE),1,0)</f>
        <v>1</v>
      </c>
      <c r="AB44" s="3">
        <f>IF(P44=VLOOKUP(VALUE(P$1),Questions[#All],5,FALSE),1,0)</f>
        <v>1</v>
      </c>
      <c r="AC44" s="3">
        <f>IF(Q44=VLOOKUP(VALUE(Q$1),Questions[#All],5,FALSE),1,0)</f>
        <v>1</v>
      </c>
      <c r="AD44" s="3">
        <f>IF(R44=VLOOKUP(VALUE(R$1),Questions[#All],5,FALSE),1,0)</f>
        <v>1</v>
      </c>
    </row>
    <row r="45" spans="1:30" ht="22.5" customHeight="1" x14ac:dyDescent="0.15">
      <c r="A45" s="4" t="s">
        <v>756</v>
      </c>
      <c r="B45" s="4" t="str">
        <f t="shared" si="0"/>
        <v xml:space="preserve">TAMIA </v>
      </c>
      <c r="C45" s="4" t="str">
        <f t="shared" si="1"/>
        <v>DRAKE</v>
      </c>
      <c r="D45" s="3" t="s">
        <v>49</v>
      </c>
      <c r="E45" s="3">
        <v>8</v>
      </c>
      <c r="F45" s="9" t="b">
        <v>0</v>
      </c>
      <c r="G45" s="10" t="b">
        <v>0</v>
      </c>
      <c r="H45" s="3">
        <f t="shared" si="2"/>
        <v>2</v>
      </c>
      <c r="I45" s="3">
        <f t="shared" si="3"/>
        <v>0</v>
      </c>
      <c r="J45" s="8">
        <f t="shared" si="4"/>
        <v>0.16666666666666666</v>
      </c>
      <c r="K45" s="5">
        <v>3</v>
      </c>
      <c r="L45" s="3">
        <v>2</v>
      </c>
      <c r="M45" s="3">
        <v>3</v>
      </c>
      <c r="N45" s="3">
        <v>3</v>
      </c>
      <c r="O45" s="3">
        <v>1</v>
      </c>
      <c r="P45" s="3">
        <v>2</v>
      </c>
      <c r="Q45" s="3">
        <v>1</v>
      </c>
      <c r="R45" s="6">
        <v>2</v>
      </c>
      <c r="S45" s="3"/>
      <c r="T45" s="3"/>
      <c r="U45" s="3"/>
      <c r="V45" s="6"/>
      <c r="W45" s="3">
        <f>IF(K45=VLOOKUP(VALUE(K$1),Questions[#All],5,FALSE),1,0)</f>
        <v>0</v>
      </c>
      <c r="X45" s="3">
        <f>IF(L45=VLOOKUP(VALUE(L$1),Questions[#All],5,FALSE),1,0)</f>
        <v>1</v>
      </c>
      <c r="Y45" s="3">
        <f>IF(M45=VLOOKUP(VALUE(M$1),Questions[#All],5,FALSE),1,0)</f>
        <v>0</v>
      </c>
      <c r="Z45" s="3">
        <f>IF(N45=VLOOKUP(VALUE(N$1),Questions[#All],5,FALSE),1,0)</f>
        <v>1</v>
      </c>
      <c r="AA45" s="3">
        <f>IF(O45=VLOOKUP(VALUE(O$1),Questions[#All],5,FALSE),1,0)</f>
        <v>0</v>
      </c>
      <c r="AB45" s="3">
        <f>IF(P45=VLOOKUP(VALUE(P$1),Questions[#All],5,FALSE),1,0)</f>
        <v>0</v>
      </c>
      <c r="AC45" s="3">
        <f>IF(Q45=VLOOKUP(VALUE(Q$1),Questions[#All],5,FALSE),1,0)</f>
        <v>0</v>
      </c>
      <c r="AD45" s="3">
        <f>IF(R45=VLOOKUP(VALUE(R$1),Questions[#All],5,FALSE),1,0)</f>
        <v>0</v>
      </c>
    </row>
    <row r="46" spans="1:30" ht="22.5" customHeight="1" x14ac:dyDescent="0.15">
      <c r="A46" s="4" t="s">
        <v>757</v>
      </c>
      <c r="B46" s="4" t="str">
        <f t="shared" si="0"/>
        <v xml:space="preserve">JETZYEL </v>
      </c>
      <c r="C46" s="4" t="str">
        <f t="shared" si="1"/>
        <v>GONZALEZ</v>
      </c>
      <c r="D46" s="3" t="s">
        <v>49</v>
      </c>
      <c r="E46" s="3">
        <v>8</v>
      </c>
      <c r="F46" s="9" t="b">
        <v>0</v>
      </c>
      <c r="G46" s="10" t="b">
        <v>0</v>
      </c>
      <c r="H46" s="3">
        <f t="shared" si="2"/>
        <v>3</v>
      </c>
      <c r="I46" s="3">
        <f t="shared" si="3"/>
        <v>0</v>
      </c>
      <c r="J46" s="8">
        <f t="shared" si="4"/>
        <v>0.25</v>
      </c>
      <c r="K46" s="5">
        <v>1</v>
      </c>
      <c r="L46" s="3">
        <v>2</v>
      </c>
      <c r="M46" s="3">
        <v>1</v>
      </c>
      <c r="N46" s="3">
        <v>1</v>
      </c>
      <c r="O46" s="3">
        <v>1</v>
      </c>
      <c r="P46" s="3">
        <v>3</v>
      </c>
      <c r="Q46" s="3"/>
      <c r="R46" s="6"/>
      <c r="S46" s="3"/>
      <c r="T46" s="3"/>
      <c r="U46" s="3"/>
      <c r="V46" s="6"/>
      <c r="W46" s="3">
        <f>IF(K46=VLOOKUP(VALUE(K$1),Questions[#All],5,FALSE),1,0)</f>
        <v>0</v>
      </c>
      <c r="X46" s="3">
        <f>IF(L46=VLOOKUP(VALUE(L$1),Questions[#All],5,FALSE),1,0)</f>
        <v>1</v>
      </c>
      <c r="Y46" s="3">
        <f>IF(M46=VLOOKUP(VALUE(M$1),Questions[#All],5,FALSE),1,0)</f>
        <v>1</v>
      </c>
      <c r="Z46" s="3">
        <f>IF(N46=VLOOKUP(VALUE(N$1),Questions[#All],5,FALSE),1,0)</f>
        <v>0</v>
      </c>
      <c r="AA46" s="3">
        <f>IF(O46=VLOOKUP(VALUE(O$1),Questions[#All],5,FALSE),1,0)</f>
        <v>0</v>
      </c>
      <c r="AB46" s="3">
        <f>IF(P46=VLOOKUP(VALUE(P$1),Questions[#All],5,FALSE),1,0)</f>
        <v>1</v>
      </c>
      <c r="AC46" s="3">
        <f>IF(Q46=VLOOKUP(VALUE(Q$1),Questions[#All],5,FALSE),1,0)</f>
        <v>0</v>
      </c>
      <c r="AD46" s="3">
        <f>IF(R46=VLOOKUP(VALUE(R$1),Questions[#All],5,FALSE),1,0)</f>
        <v>0</v>
      </c>
    </row>
    <row r="47" spans="1:30" ht="22.5" customHeight="1" x14ac:dyDescent="0.15">
      <c r="A47" s="4" t="s">
        <v>758</v>
      </c>
      <c r="B47" s="4" t="str">
        <f t="shared" si="0"/>
        <v xml:space="preserve">ZACHARY </v>
      </c>
      <c r="C47" s="4" t="str">
        <f t="shared" si="1"/>
        <v>HEREDIA</v>
      </c>
      <c r="D47" s="3" t="s">
        <v>49</v>
      </c>
      <c r="E47" s="3">
        <v>8</v>
      </c>
      <c r="F47" s="9" t="b">
        <v>0</v>
      </c>
      <c r="G47" s="10" t="b">
        <v>0</v>
      </c>
      <c r="H47" s="3">
        <f t="shared" si="2"/>
        <v>5</v>
      </c>
      <c r="I47" s="3">
        <f t="shared" si="3"/>
        <v>0</v>
      </c>
      <c r="J47" s="8">
        <f t="shared" si="4"/>
        <v>0.41666666666666669</v>
      </c>
      <c r="K47" s="5">
        <v>1</v>
      </c>
      <c r="L47" s="3">
        <v>2</v>
      </c>
      <c r="M47" s="3">
        <v>1</v>
      </c>
      <c r="N47" s="3">
        <v>3</v>
      </c>
      <c r="O47" s="3">
        <v>2</v>
      </c>
      <c r="P47" s="3">
        <v>3</v>
      </c>
      <c r="Q47" s="3">
        <v>1</v>
      </c>
      <c r="R47" s="6">
        <v>2</v>
      </c>
      <c r="S47" s="3"/>
      <c r="T47" s="3"/>
      <c r="U47" s="3"/>
      <c r="V47" s="6"/>
      <c r="W47" s="3">
        <f>IF(K47=VLOOKUP(VALUE(K$1),Questions[#All],5,FALSE),1,0)</f>
        <v>0</v>
      </c>
      <c r="X47" s="3">
        <f>IF(L47=VLOOKUP(VALUE(L$1),Questions[#All],5,FALSE),1,0)</f>
        <v>1</v>
      </c>
      <c r="Y47" s="3">
        <f>IF(M47=VLOOKUP(VALUE(M$1),Questions[#All],5,FALSE),1,0)</f>
        <v>1</v>
      </c>
      <c r="Z47" s="3">
        <f>IF(N47=VLOOKUP(VALUE(N$1),Questions[#All],5,FALSE),1,0)</f>
        <v>1</v>
      </c>
      <c r="AA47" s="3">
        <f>IF(O47=VLOOKUP(VALUE(O$1),Questions[#All],5,FALSE),1,0)</f>
        <v>1</v>
      </c>
      <c r="AB47" s="3">
        <f>IF(P47=VLOOKUP(VALUE(P$1),Questions[#All],5,FALSE),1,0)</f>
        <v>1</v>
      </c>
      <c r="AC47" s="3">
        <f>IF(Q47=VLOOKUP(VALUE(Q$1),Questions[#All],5,FALSE),1,0)</f>
        <v>0</v>
      </c>
      <c r="AD47" s="3">
        <f>IF(R47=VLOOKUP(VALUE(R$1),Questions[#All],5,FALSE),1,0)</f>
        <v>0</v>
      </c>
    </row>
    <row r="48" spans="1:30" ht="22.5" customHeight="1" x14ac:dyDescent="0.15">
      <c r="A48" s="4" t="s">
        <v>759</v>
      </c>
      <c r="B48" s="4" t="str">
        <f t="shared" si="0"/>
        <v xml:space="preserve">KYMANI </v>
      </c>
      <c r="C48" s="4" t="str">
        <f t="shared" si="1"/>
        <v>JAMES</v>
      </c>
      <c r="D48" s="3" t="s">
        <v>49</v>
      </c>
      <c r="E48" s="3">
        <v>8</v>
      </c>
      <c r="F48" s="9" t="b">
        <v>0</v>
      </c>
      <c r="G48" s="10" t="b">
        <v>0</v>
      </c>
      <c r="H48" s="3">
        <f t="shared" si="2"/>
        <v>3</v>
      </c>
      <c r="I48" s="3">
        <f t="shared" si="3"/>
        <v>0</v>
      </c>
      <c r="J48" s="8">
        <f t="shared" si="4"/>
        <v>0.25</v>
      </c>
      <c r="K48" s="5">
        <v>3</v>
      </c>
      <c r="L48" s="3">
        <v>2</v>
      </c>
      <c r="M48" s="3">
        <v>1</v>
      </c>
      <c r="N48" s="3">
        <v>2</v>
      </c>
      <c r="O48" s="3">
        <v>1</v>
      </c>
      <c r="P48" s="3">
        <v>1</v>
      </c>
      <c r="Q48" s="3">
        <v>4</v>
      </c>
      <c r="R48" s="6">
        <v>3</v>
      </c>
      <c r="S48" s="3"/>
      <c r="T48" s="3"/>
      <c r="U48" s="3"/>
      <c r="V48" s="6"/>
      <c r="W48" s="3">
        <f>IF(K48=VLOOKUP(VALUE(K$1),Questions[#All],5,FALSE),1,0)</f>
        <v>0</v>
      </c>
      <c r="X48" s="3">
        <f>IF(L48=VLOOKUP(VALUE(L$1),Questions[#All],5,FALSE),1,0)</f>
        <v>1</v>
      </c>
      <c r="Y48" s="3">
        <f>IF(M48=VLOOKUP(VALUE(M$1),Questions[#All],5,FALSE),1,0)</f>
        <v>1</v>
      </c>
      <c r="Z48" s="3">
        <f>IF(N48=VLOOKUP(VALUE(N$1),Questions[#All],5,FALSE),1,0)</f>
        <v>0</v>
      </c>
      <c r="AA48" s="3">
        <f>IF(O48=VLOOKUP(VALUE(O$1),Questions[#All],5,FALSE),1,0)</f>
        <v>0</v>
      </c>
      <c r="AB48" s="3">
        <f>IF(P48=VLOOKUP(VALUE(P$1),Questions[#All],5,FALSE),1,0)</f>
        <v>0</v>
      </c>
      <c r="AC48" s="3">
        <f>IF(Q48=VLOOKUP(VALUE(Q$1),Questions[#All],5,FALSE),1,0)</f>
        <v>0</v>
      </c>
      <c r="AD48" s="3">
        <f>IF(R48=VLOOKUP(VALUE(R$1),Questions[#All],5,FALSE),1,0)</f>
        <v>1</v>
      </c>
    </row>
    <row r="49" spans="1:30" ht="22.5" customHeight="1" x14ac:dyDescent="0.15">
      <c r="A49" s="4" t="s">
        <v>760</v>
      </c>
      <c r="B49" s="4" t="str">
        <f t="shared" si="0"/>
        <v xml:space="preserve">JENAE </v>
      </c>
      <c r="C49" s="4" t="str">
        <f t="shared" si="1"/>
        <v>LIVERPOOL</v>
      </c>
      <c r="D49" s="3" t="s">
        <v>49</v>
      </c>
      <c r="E49" s="3">
        <v>8</v>
      </c>
      <c r="F49" s="9" t="b">
        <v>0</v>
      </c>
      <c r="G49" s="10" t="b">
        <v>0</v>
      </c>
      <c r="H49" s="3">
        <f t="shared" si="2"/>
        <v>7</v>
      </c>
      <c r="I49" s="3">
        <f t="shared" si="3"/>
        <v>0</v>
      </c>
      <c r="J49" s="8">
        <f t="shared" si="4"/>
        <v>0.58333333333333337</v>
      </c>
      <c r="K49" s="5">
        <v>1</v>
      </c>
      <c r="L49" s="3">
        <v>2</v>
      </c>
      <c r="M49" s="3">
        <v>1</v>
      </c>
      <c r="N49" s="3">
        <v>3</v>
      </c>
      <c r="O49" s="3">
        <v>2</v>
      </c>
      <c r="P49" s="3">
        <v>3</v>
      </c>
      <c r="Q49" s="3">
        <v>3</v>
      </c>
      <c r="R49" s="6">
        <v>3</v>
      </c>
      <c r="S49" s="3"/>
      <c r="T49" s="3"/>
      <c r="U49" s="3"/>
      <c r="V49" s="6"/>
      <c r="W49" s="3">
        <f>IF(K49=VLOOKUP(VALUE(K$1),Questions[#All],5,FALSE),1,0)</f>
        <v>0</v>
      </c>
      <c r="X49" s="3">
        <f>IF(L49=VLOOKUP(VALUE(L$1),Questions[#All],5,FALSE),1,0)</f>
        <v>1</v>
      </c>
      <c r="Y49" s="3">
        <f>IF(M49=VLOOKUP(VALUE(M$1),Questions[#All],5,FALSE),1,0)</f>
        <v>1</v>
      </c>
      <c r="Z49" s="3">
        <f>IF(N49=VLOOKUP(VALUE(N$1),Questions[#All],5,FALSE),1,0)</f>
        <v>1</v>
      </c>
      <c r="AA49" s="3">
        <f>IF(O49=VLOOKUP(VALUE(O$1),Questions[#All],5,FALSE),1,0)</f>
        <v>1</v>
      </c>
      <c r="AB49" s="3">
        <f>IF(P49=VLOOKUP(VALUE(P$1),Questions[#All],5,FALSE),1,0)</f>
        <v>1</v>
      </c>
      <c r="AC49" s="3">
        <f>IF(Q49=VLOOKUP(VALUE(Q$1),Questions[#All],5,FALSE),1,0)</f>
        <v>1</v>
      </c>
      <c r="AD49" s="3">
        <f>IF(R49=VLOOKUP(VALUE(R$1),Questions[#All],5,FALSE),1,0)</f>
        <v>1</v>
      </c>
    </row>
    <row r="50" spans="1:30" ht="22.5" customHeight="1" x14ac:dyDescent="0.15">
      <c r="A50" s="4" t="s">
        <v>761</v>
      </c>
      <c r="B50" s="4" t="str">
        <f t="shared" si="0"/>
        <v xml:space="preserve">ERRIS </v>
      </c>
      <c r="C50" s="4" t="str">
        <f t="shared" si="1"/>
        <v>MACULA</v>
      </c>
      <c r="D50" s="3" t="s">
        <v>49</v>
      </c>
      <c r="E50" s="3">
        <v>8</v>
      </c>
      <c r="F50" s="9" t="b">
        <v>0</v>
      </c>
      <c r="G50" s="10" t="b">
        <v>0</v>
      </c>
      <c r="H50" s="3">
        <f t="shared" si="2"/>
        <v>7</v>
      </c>
      <c r="I50" s="3">
        <f t="shared" si="3"/>
        <v>0</v>
      </c>
      <c r="J50" s="8">
        <f t="shared" si="4"/>
        <v>0.58333333333333337</v>
      </c>
      <c r="K50" s="5">
        <v>2</v>
      </c>
      <c r="L50" s="3">
        <v>2</v>
      </c>
      <c r="M50" s="3">
        <v>1</v>
      </c>
      <c r="N50" s="3">
        <v>3</v>
      </c>
      <c r="O50" s="3">
        <v>2</v>
      </c>
      <c r="P50" s="3">
        <v>3</v>
      </c>
      <c r="Q50" s="3">
        <v>1</v>
      </c>
      <c r="R50" s="6">
        <v>3</v>
      </c>
      <c r="S50" s="3"/>
      <c r="T50" s="3"/>
      <c r="U50" s="3"/>
      <c r="V50" s="6"/>
      <c r="W50" s="3">
        <f>IF(K50=VLOOKUP(VALUE(K$1),Questions[#All],5,FALSE),1,0)</f>
        <v>1</v>
      </c>
      <c r="X50" s="3">
        <f>IF(L50=VLOOKUP(VALUE(L$1),Questions[#All],5,FALSE),1,0)</f>
        <v>1</v>
      </c>
      <c r="Y50" s="3">
        <f>IF(M50=VLOOKUP(VALUE(M$1),Questions[#All],5,FALSE),1,0)</f>
        <v>1</v>
      </c>
      <c r="Z50" s="3">
        <f>IF(N50=VLOOKUP(VALUE(N$1),Questions[#All],5,FALSE),1,0)</f>
        <v>1</v>
      </c>
      <c r="AA50" s="3">
        <f>IF(O50=VLOOKUP(VALUE(O$1),Questions[#All],5,FALSE),1,0)</f>
        <v>1</v>
      </c>
      <c r="AB50" s="3">
        <f>IF(P50=VLOOKUP(VALUE(P$1),Questions[#All],5,FALSE),1,0)</f>
        <v>1</v>
      </c>
      <c r="AC50" s="3">
        <f>IF(Q50=VLOOKUP(VALUE(Q$1),Questions[#All],5,FALSE),1,0)</f>
        <v>0</v>
      </c>
      <c r="AD50" s="3">
        <f>IF(R50=VLOOKUP(VALUE(R$1),Questions[#All],5,FALSE),1,0)</f>
        <v>1</v>
      </c>
    </row>
    <row r="51" spans="1:30" ht="22.5" customHeight="1" x14ac:dyDescent="0.15">
      <c r="A51" s="4" t="s">
        <v>762</v>
      </c>
      <c r="B51" s="4" t="str">
        <f t="shared" si="0"/>
        <v xml:space="preserve">JOSHUA </v>
      </c>
      <c r="C51" s="4" t="str">
        <f t="shared" si="1"/>
        <v>MARTINEZ</v>
      </c>
      <c r="D51" s="3" t="s">
        <v>49</v>
      </c>
      <c r="E51" s="3">
        <v>8</v>
      </c>
      <c r="F51" s="9" t="b">
        <v>0</v>
      </c>
      <c r="G51" s="10" t="b">
        <v>0</v>
      </c>
      <c r="H51" s="3">
        <f t="shared" si="2"/>
        <v>4</v>
      </c>
      <c r="I51" s="3">
        <f t="shared" si="3"/>
        <v>0</v>
      </c>
      <c r="J51" s="8">
        <f t="shared" si="4"/>
        <v>0.33333333333333331</v>
      </c>
      <c r="K51" s="5">
        <v>1</v>
      </c>
      <c r="L51" s="3">
        <v>2</v>
      </c>
      <c r="M51" s="3">
        <v>2</v>
      </c>
      <c r="N51" s="3">
        <v>1</v>
      </c>
      <c r="O51" s="3">
        <v>2</v>
      </c>
      <c r="P51" s="3">
        <v>4</v>
      </c>
      <c r="Q51" s="3">
        <v>3</v>
      </c>
      <c r="R51" s="6">
        <v>3</v>
      </c>
      <c r="S51" s="3"/>
      <c r="T51" s="3"/>
      <c r="U51" s="3"/>
      <c r="V51" s="6"/>
      <c r="W51" s="3">
        <f>IF(K51=VLOOKUP(VALUE(K$1),Questions[#All],5,FALSE),1,0)</f>
        <v>0</v>
      </c>
      <c r="X51" s="3">
        <f>IF(L51=VLOOKUP(VALUE(L$1),Questions[#All],5,FALSE),1,0)</f>
        <v>1</v>
      </c>
      <c r="Y51" s="3">
        <f>IF(M51=VLOOKUP(VALUE(M$1),Questions[#All],5,FALSE),1,0)</f>
        <v>0</v>
      </c>
      <c r="Z51" s="3">
        <f>IF(N51=VLOOKUP(VALUE(N$1),Questions[#All],5,FALSE),1,0)</f>
        <v>0</v>
      </c>
      <c r="AA51" s="3">
        <f>IF(O51=VLOOKUP(VALUE(O$1),Questions[#All],5,FALSE),1,0)</f>
        <v>1</v>
      </c>
      <c r="AB51" s="3">
        <f>IF(P51=VLOOKUP(VALUE(P$1),Questions[#All],5,FALSE),1,0)</f>
        <v>0</v>
      </c>
      <c r="AC51" s="3">
        <f>IF(Q51=VLOOKUP(VALUE(Q$1),Questions[#All],5,FALSE),1,0)</f>
        <v>1</v>
      </c>
      <c r="AD51" s="3">
        <f>IF(R51=VLOOKUP(VALUE(R$1),Questions[#All],5,FALSE),1,0)</f>
        <v>1</v>
      </c>
    </row>
    <row r="52" spans="1:30" ht="22.5" customHeight="1" x14ac:dyDescent="0.15">
      <c r="A52" s="4" t="s">
        <v>763</v>
      </c>
      <c r="B52" s="4" t="str">
        <f t="shared" si="0"/>
        <v xml:space="preserve">WINSTON </v>
      </c>
      <c r="C52" s="4" t="str">
        <f t="shared" si="1"/>
        <v>MCFARLANE</v>
      </c>
      <c r="D52" s="3" t="s">
        <v>49</v>
      </c>
      <c r="E52" s="3">
        <v>8</v>
      </c>
      <c r="F52" s="9" t="b">
        <v>0</v>
      </c>
      <c r="G52" s="10" t="b">
        <v>0</v>
      </c>
      <c r="H52" s="3">
        <f t="shared" si="2"/>
        <v>7</v>
      </c>
      <c r="I52" s="3">
        <f t="shared" si="3"/>
        <v>0</v>
      </c>
      <c r="J52" s="8">
        <f t="shared" si="4"/>
        <v>0.58333333333333337</v>
      </c>
      <c r="K52" s="5">
        <v>2</v>
      </c>
      <c r="L52" s="3">
        <v>2</v>
      </c>
      <c r="M52" s="3">
        <v>1</v>
      </c>
      <c r="N52" s="3">
        <v>3</v>
      </c>
      <c r="O52" s="3">
        <v>2</v>
      </c>
      <c r="P52" s="3">
        <v>3</v>
      </c>
      <c r="Q52" s="3">
        <v>1</v>
      </c>
      <c r="R52" s="6">
        <v>3</v>
      </c>
      <c r="S52" s="3"/>
      <c r="T52" s="3"/>
      <c r="U52" s="3"/>
      <c r="V52" s="6"/>
      <c r="W52" s="3">
        <f>IF(K52=VLOOKUP(VALUE(K$1),Questions[#All],5,FALSE),1,0)</f>
        <v>1</v>
      </c>
      <c r="X52" s="3">
        <f>IF(L52=VLOOKUP(VALUE(L$1),Questions[#All],5,FALSE),1,0)</f>
        <v>1</v>
      </c>
      <c r="Y52" s="3">
        <f>IF(M52=VLOOKUP(VALUE(M$1),Questions[#All],5,FALSE),1,0)</f>
        <v>1</v>
      </c>
      <c r="Z52" s="3">
        <f>IF(N52=VLOOKUP(VALUE(N$1),Questions[#All],5,FALSE),1,0)</f>
        <v>1</v>
      </c>
      <c r="AA52" s="3">
        <f>IF(O52=VLOOKUP(VALUE(O$1),Questions[#All],5,FALSE),1,0)</f>
        <v>1</v>
      </c>
      <c r="AB52" s="3">
        <f>IF(P52=VLOOKUP(VALUE(P$1),Questions[#All],5,FALSE),1,0)</f>
        <v>1</v>
      </c>
      <c r="AC52" s="3">
        <f>IF(Q52=VLOOKUP(VALUE(Q$1),Questions[#All],5,FALSE),1,0)</f>
        <v>0</v>
      </c>
      <c r="AD52" s="3">
        <f>IF(R52=VLOOKUP(VALUE(R$1),Questions[#All],5,FALSE),1,0)</f>
        <v>1</v>
      </c>
    </row>
    <row r="53" spans="1:30" ht="22.5" customHeight="1" x14ac:dyDescent="0.15">
      <c r="A53" s="4" t="s">
        <v>764</v>
      </c>
      <c r="B53" s="4" t="str">
        <f t="shared" si="0"/>
        <v xml:space="preserve">DAVID </v>
      </c>
      <c r="C53" s="4" t="str">
        <f t="shared" si="1"/>
        <v>MENDEZ</v>
      </c>
      <c r="D53" s="3" t="s">
        <v>49</v>
      </c>
      <c r="E53" s="3">
        <v>8</v>
      </c>
      <c r="F53" s="9" t="b">
        <v>0</v>
      </c>
      <c r="G53" s="10" t="b">
        <v>0</v>
      </c>
      <c r="H53" s="3">
        <f t="shared" si="2"/>
        <v>5</v>
      </c>
      <c r="I53" s="3">
        <f t="shared" si="3"/>
        <v>0</v>
      </c>
      <c r="J53" s="8">
        <f t="shared" si="4"/>
        <v>0.41666666666666669</v>
      </c>
      <c r="K53" s="5">
        <v>2</v>
      </c>
      <c r="L53" s="3">
        <v>2</v>
      </c>
      <c r="M53" s="3">
        <v>2</v>
      </c>
      <c r="N53" s="3">
        <v>3</v>
      </c>
      <c r="O53" s="3">
        <v>2</v>
      </c>
      <c r="P53" s="3">
        <v>3</v>
      </c>
      <c r="Q53" s="3">
        <v>2</v>
      </c>
      <c r="R53" s="6">
        <v>2</v>
      </c>
      <c r="S53" s="3"/>
      <c r="T53" s="3"/>
      <c r="U53" s="3"/>
      <c r="V53" s="6"/>
      <c r="W53" s="3">
        <f>IF(K53=VLOOKUP(VALUE(K$1),Questions[#All],5,FALSE),1,0)</f>
        <v>1</v>
      </c>
      <c r="X53" s="3">
        <f>IF(L53=VLOOKUP(VALUE(L$1),Questions[#All],5,FALSE),1,0)</f>
        <v>1</v>
      </c>
      <c r="Y53" s="3">
        <f>IF(M53=VLOOKUP(VALUE(M$1),Questions[#All],5,FALSE),1,0)</f>
        <v>0</v>
      </c>
      <c r="Z53" s="3">
        <f>IF(N53=VLOOKUP(VALUE(N$1),Questions[#All],5,FALSE),1,0)</f>
        <v>1</v>
      </c>
      <c r="AA53" s="3">
        <f>IF(O53=VLOOKUP(VALUE(O$1),Questions[#All],5,FALSE),1,0)</f>
        <v>1</v>
      </c>
      <c r="AB53" s="3">
        <f>IF(P53=VLOOKUP(VALUE(P$1),Questions[#All],5,FALSE),1,0)</f>
        <v>1</v>
      </c>
      <c r="AC53" s="3">
        <f>IF(Q53=VLOOKUP(VALUE(Q$1),Questions[#All],5,FALSE),1,0)</f>
        <v>0</v>
      </c>
      <c r="AD53" s="3">
        <f>IF(R53=VLOOKUP(VALUE(R$1),Questions[#All],5,FALSE),1,0)</f>
        <v>0</v>
      </c>
    </row>
    <row r="54" spans="1:30" ht="22.5" customHeight="1" x14ac:dyDescent="0.15">
      <c r="A54" s="4" t="s">
        <v>765</v>
      </c>
      <c r="B54" s="4" t="str">
        <f t="shared" si="0"/>
        <v xml:space="preserve">SHANE </v>
      </c>
      <c r="C54" s="4" t="str">
        <f t="shared" si="1"/>
        <v>MITCHELL</v>
      </c>
      <c r="D54" s="3" t="s">
        <v>49</v>
      </c>
      <c r="E54" s="3">
        <v>8</v>
      </c>
      <c r="F54" s="9" t="b">
        <v>0</v>
      </c>
      <c r="G54" s="10" t="b">
        <v>0</v>
      </c>
      <c r="H54" s="3">
        <f t="shared" si="2"/>
        <v>6</v>
      </c>
      <c r="I54" s="3">
        <f t="shared" si="3"/>
        <v>0</v>
      </c>
      <c r="J54" s="8">
        <f t="shared" si="4"/>
        <v>0.5</v>
      </c>
      <c r="K54" s="5">
        <v>1</v>
      </c>
      <c r="L54" s="3">
        <v>2</v>
      </c>
      <c r="M54" s="3">
        <v>1</v>
      </c>
      <c r="N54" s="3">
        <v>3</v>
      </c>
      <c r="O54" s="3">
        <v>2</v>
      </c>
      <c r="P54" s="3">
        <v>4</v>
      </c>
      <c r="Q54" s="3">
        <v>3</v>
      </c>
      <c r="R54" s="6">
        <v>3</v>
      </c>
      <c r="S54" s="3"/>
      <c r="T54" s="3"/>
      <c r="U54" s="3"/>
      <c r="V54" s="6"/>
      <c r="W54" s="3">
        <f>IF(K54=VLOOKUP(VALUE(K$1),Questions[#All],5,FALSE),1,0)</f>
        <v>0</v>
      </c>
      <c r="X54" s="3">
        <f>IF(L54=VLOOKUP(VALUE(L$1),Questions[#All],5,FALSE),1,0)</f>
        <v>1</v>
      </c>
      <c r="Y54" s="3">
        <f>IF(M54=VLOOKUP(VALUE(M$1),Questions[#All],5,FALSE),1,0)</f>
        <v>1</v>
      </c>
      <c r="Z54" s="3">
        <f>IF(N54=VLOOKUP(VALUE(N$1),Questions[#All],5,FALSE),1,0)</f>
        <v>1</v>
      </c>
      <c r="AA54" s="3">
        <f>IF(O54=VLOOKUP(VALUE(O$1),Questions[#All],5,FALSE),1,0)</f>
        <v>1</v>
      </c>
      <c r="AB54" s="3">
        <f>IF(P54=VLOOKUP(VALUE(P$1),Questions[#All],5,FALSE),1,0)</f>
        <v>0</v>
      </c>
      <c r="AC54" s="3">
        <f>IF(Q54=VLOOKUP(VALUE(Q$1),Questions[#All],5,FALSE),1,0)</f>
        <v>1</v>
      </c>
      <c r="AD54" s="3">
        <f>IF(R54=VLOOKUP(VALUE(R$1),Questions[#All],5,FALSE),1,0)</f>
        <v>1</v>
      </c>
    </row>
    <row r="55" spans="1:30" ht="22.5" customHeight="1" x14ac:dyDescent="0.15">
      <c r="A55" s="4" t="s">
        <v>766</v>
      </c>
      <c r="B55" s="4" t="str">
        <f t="shared" si="0"/>
        <v xml:space="preserve">SEAN </v>
      </c>
      <c r="C55" s="4" t="str">
        <f t="shared" si="1"/>
        <v>PRESSLEY</v>
      </c>
      <c r="D55" s="3" t="s">
        <v>49</v>
      </c>
      <c r="E55" s="3">
        <v>8</v>
      </c>
      <c r="F55" s="9" t="b">
        <v>0</v>
      </c>
      <c r="G55" s="10" t="b">
        <v>0</v>
      </c>
      <c r="H55" s="3">
        <f t="shared" si="2"/>
        <v>1</v>
      </c>
      <c r="I55" s="3">
        <f t="shared" si="3"/>
        <v>0</v>
      </c>
      <c r="J55" s="8">
        <f t="shared" si="4"/>
        <v>8.3333333333333329E-2</v>
      </c>
      <c r="K55" s="5">
        <v>3</v>
      </c>
      <c r="L55" s="3">
        <v>4</v>
      </c>
      <c r="M55" s="3">
        <v>4</v>
      </c>
      <c r="N55" s="3">
        <v>3</v>
      </c>
      <c r="O55" s="3">
        <v>3</v>
      </c>
      <c r="P55" s="3">
        <v>1</v>
      </c>
      <c r="Q55" s="3">
        <v>2</v>
      </c>
      <c r="R55" s="6">
        <v>4</v>
      </c>
      <c r="S55" s="3"/>
      <c r="T55" s="3"/>
      <c r="U55" s="3"/>
      <c r="V55" s="6"/>
      <c r="W55" s="3">
        <f>IF(K55=VLOOKUP(VALUE(K$1),Questions[#All],5,FALSE),1,0)</f>
        <v>0</v>
      </c>
      <c r="X55" s="3">
        <f>IF(L55=VLOOKUP(VALUE(L$1),Questions[#All],5,FALSE),1,0)</f>
        <v>0</v>
      </c>
      <c r="Y55" s="3">
        <f>IF(M55=VLOOKUP(VALUE(M$1),Questions[#All],5,FALSE),1,0)</f>
        <v>0</v>
      </c>
      <c r="Z55" s="3">
        <f>IF(N55=VLOOKUP(VALUE(N$1),Questions[#All],5,FALSE),1,0)</f>
        <v>1</v>
      </c>
      <c r="AA55" s="3">
        <f>IF(O55=VLOOKUP(VALUE(O$1),Questions[#All],5,FALSE),1,0)</f>
        <v>0</v>
      </c>
      <c r="AB55" s="3">
        <f>IF(P55=VLOOKUP(VALUE(P$1),Questions[#All],5,FALSE),1,0)</f>
        <v>0</v>
      </c>
      <c r="AC55" s="3">
        <f>IF(Q55=VLOOKUP(VALUE(Q$1),Questions[#All],5,FALSE),1,0)</f>
        <v>0</v>
      </c>
      <c r="AD55" s="3">
        <f>IF(R55=VLOOKUP(VALUE(R$1),Questions[#All],5,FALSE),1,0)</f>
        <v>0</v>
      </c>
    </row>
    <row r="56" spans="1:30" ht="22.5" customHeight="1" x14ac:dyDescent="0.15">
      <c r="A56" s="4" t="s">
        <v>767</v>
      </c>
      <c r="B56" s="4" t="str">
        <f t="shared" si="0"/>
        <v xml:space="preserve">DYLAN </v>
      </c>
      <c r="C56" s="4" t="str">
        <f t="shared" si="1"/>
        <v>TIRO</v>
      </c>
      <c r="D56" s="3" t="s">
        <v>49</v>
      </c>
      <c r="E56" s="3">
        <v>8</v>
      </c>
      <c r="F56" s="9" t="b">
        <v>0</v>
      </c>
      <c r="G56" s="10" t="b">
        <v>0</v>
      </c>
      <c r="H56" s="3">
        <f t="shared" si="2"/>
        <v>3</v>
      </c>
      <c r="I56" s="3">
        <f t="shared" si="3"/>
        <v>0</v>
      </c>
      <c r="J56" s="8">
        <f t="shared" si="4"/>
        <v>0.25</v>
      </c>
      <c r="K56" s="5">
        <v>3</v>
      </c>
      <c r="L56" s="3">
        <v>4</v>
      </c>
      <c r="M56" s="3">
        <v>1</v>
      </c>
      <c r="N56" s="3">
        <v>2</v>
      </c>
      <c r="O56" s="3">
        <v>4</v>
      </c>
      <c r="P56" s="3">
        <v>3</v>
      </c>
      <c r="Q56" s="3">
        <v>3</v>
      </c>
      <c r="R56" s="6">
        <v>1</v>
      </c>
      <c r="S56" s="3"/>
      <c r="T56" s="3"/>
      <c r="U56" s="3"/>
      <c r="V56" s="6"/>
      <c r="W56" s="3">
        <f>IF(K56=VLOOKUP(VALUE(K$1),Questions[#All],5,FALSE),1,0)</f>
        <v>0</v>
      </c>
      <c r="X56" s="3">
        <f>IF(L56=VLOOKUP(VALUE(L$1),Questions[#All],5,FALSE),1,0)</f>
        <v>0</v>
      </c>
      <c r="Y56" s="3">
        <f>IF(M56=VLOOKUP(VALUE(M$1),Questions[#All],5,FALSE),1,0)</f>
        <v>1</v>
      </c>
      <c r="Z56" s="3">
        <f>IF(N56=VLOOKUP(VALUE(N$1),Questions[#All],5,FALSE),1,0)</f>
        <v>0</v>
      </c>
      <c r="AA56" s="3">
        <f>IF(O56=VLOOKUP(VALUE(O$1),Questions[#All],5,FALSE),1,0)</f>
        <v>0</v>
      </c>
      <c r="AB56" s="3">
        <f>IF(P56=VLOOKUP(VALUE(P$1),Questions[#All],5,FALSE),1,0)</f>
        <v>1</v>
      </c>
      <c r="AC56" s="3">
        <f>IF(Q56=VLOOKUP(VALUE(Q$1),Questions[#All],5,FALSE),1,0)</f>
        <v>1</v>
      </c>
      <c r="AD56" s="3">
        <f>IF(R56=VLOOKUP(VALUE(R$1),Questions[#All],5,FALSE),1,0)</f>
        <v>0</v>
      </c>
    </row>
    <row r="57" spans="1:30" ht="22.5" customHeight="1" x14ac:dyDescent="0.15">
      <c r="A57" s="4" t="s">
        <v>768</v>
      </c>
      <c r="B57" s="4" t="str">
        <f t="shared" si="0"/>
        <v xml:space="preserve">SULAIMAN </v>
      </c>
      <c r="C57" s="4" t="str">
        <f t="shared" si="1"/>
        <v>ALMASHMALLY</v>
      </c>
      <c r="D57" s="3" t="s">
        <v>49</v>
      </c>
      <c r="E57" s="3">
        <v>4</v>
      </c>
      <c r="F57" s="9" t="b">
        <v>0</v>
      </c>
      <c r="G57" s="10" t="b">
        <v>0</v>
      </c>
      <c r="H57" s="3">
        <f t="shared" si="2"/>
        <v>4</v>
      </c>
      <c r="I57" s="3">
        <f t="shared" si="3"/>
        <v>0</v>
      </c>
      <c r="J57" s="8">
        <f t="shared" si="4"/>
        <v>0.33333333333333331</v>
      </c>
      <c r="K57" s="5">
        <v>2</v>
      </c>
      <c r="L57" s="3">
        <v>2</v>
      </c>
      <c r="M57" s="3">
        <v>3</v>
      </c>
      <c r="N57" s="3">
        <v>3</v>
      </c>
      <c r="O57" s="3">
        <v>2</v>
      </c>
      <c r="P57" s="3"/>
      <c r="Q57" s="3"/>
      <c r="R57" s="6"/>
      <c r="S57" s="3"/>
      <c r="T57" s="3"/>
      <c r="U57" s="3"/>
      <c r="V57" s="6"/>
      <c r="W57" s="3">
        <f>IF(K57=VLOOKUP(VALUE(K$1),Questions[#All],5,FALSE),1,0)</f>
        <v>1</v>
      </c>
      <c r="X57" s="3">
        <f>IF(L57=VLOOKUP(VALUE(L$1),Questions[#All],5,FALSE),1,0)</f>
        <v>1</v>
      </c>
      <c r="Y57" s="3">
        <f>IF(M57=VLOOKUP(VALUE(M$1),Questions[#All],5,FALSE),1,0)</f>
        <v>0</v>
      </c>
      <c r="Z57" s="3">
        <f>IF(N57=VLOOKUP(VALUE(N$1),Questions[#All],5,FALSE),1,0)</f>
        <v>1</v>
      </c>
      <c r="AA57" s="3">
        <f>IF(O57=VLOOKUP(VALUE(O$1),Questions[#All],5,FALSE),1,0)</f>
        <v>1</v>
      </c>
      <c r="AB57" s="3">
        <f>IF(P57=VLOOKUP(VALUE(P$1),Questions[#All],5,FALSE),1,0)</f>
        <v>0</v>
      </c>
      <c r="AC57" s="3">
        <f>IF(Q57=VLOOKUP(VALUE(Q$1),Questions[#All],5,FALSE),1,0)</f>
        <v>0</v>
      </c>
      <c r="AD57" s="3">
        <f>IF(R57=VLOOKUP(VALUE(R$1),Questions[#All],5,FALSE),1,0)</f>
        <v>0</v>
      </c>
    </row>
    <row r="58" spans="1:30" ht="22.5" customHeight="1" x14ac:dyDescent="0.15">
      <c r="A58" s="4" t="s">
        <v>769</v>
      </c>
      <c r="B58" s="4" t="str">
        <f t="shared" si="0"/>
        <v xml:space="preserve">SANAI </v>
      </c>
      <c r="C58" s="4" t="str">
        <f t="shared" si="1"/>
        <v>BROWN</v>
      </c>
      <c r="D58" s="3" t="s">
        <v>49</v>
      </c>
      <c r="E58" s="3">
        <v>4</v>
      </c>
      <c r="F58" s="9" t="b">
        <v>0</v>
      </c>
      <c r="G58" s="10" t="b">
        <v>0</v>
      </c>
      <c r="H58" s="3">
        <f t="shared" si="2"/>
        <v>6</v>
      </c>
      <c r="I58" s="3">
        <f t="shared" si="3"/>
        <v>0</v>
      </c>
      <c r="J58" s="8">
        <f t="shared" si="4"/>
        <v>0.5</v>
      </c>
      <c r="K58" s="5">
        <v>2</v>
      </c>
      <c r="L58" s="3">
        <v>2</v>
      </c>
      <c r="M58" s="3">
        <v>3</v>
      </c>
      <c r="N58" s="3">
        <v>3</v>
      </c>
      <c r="O58" s="3">
        <v>2</v>
      </c>
      <c r="P58" s="3">
        <v>3</v>
      </c>
      <c r="Q58" s="3">
        <v>4</v>
      </c>
      <c r="R58" s="6">
        <v>3</v>
      </c>
      <c r="S58" s="3"/>
      <c r="T58" s="3"/>
      <c r="U58" s="3"/>
      <c r="V58" s="6"/>
      <c r="W58" s="3">
        <f>IF(K58=VLOOKUP(VALUE(K$1),Questions[#All],5,FALSE),1,0)</f>
        <v>1</v>
      </c>
      <c r="X58" s="3">
        <f>IF(L58=VLOOKUP(VALUE(L$1),Questions[#All],5,FALSE),1,0)</f>
        <v>1</v>
      </c>
      <c r="Y58" s="3">
        <f>IF(M58=VLOOKUP(VALUE(M$1),Questions[#All],5,FALSE),1,0)</f>
        <v>0</v>
      </c>
      <c r="Z58" s="3">
        <f>IF(N58=VLOOKUP(VALUE(N$1),Questions[#All],5,FALSE),1,0)</f>
        <v>1</v>
      </c>
      <c r="AA58" s="3">
        <f>IF(O58=VLOOKUP(VALUE(O$1),Questions[#All],5,FALSE),1,0)</f>
        <v>1</v>
      </c>
      <c r="AB58" s="3">
        <f>IF(P58=VLOOKUP(VALUE(P$1),Questions[#All],5,FALSE),1,0)</f>
        <v>1</v>
      </c>
      <c r="AC58" s="3">
        <f>IF(Q58=VLOOKUP(VALUE(Q$1),Questions[#All],5,FALSE),1,0)</f>
        <v>0</v>
      </c>
      <c r="AD58" s="3">
        <f>IF(R58=VLOOKUP(VALUE(R$1),Questions[#All],5,FALSE),1,0)</f>
        <v>1</v>
      </c>
    </row>
    <row r="59" spans="1:30" ht="22.5" customHeight="1" x14ac:dyDescent="0.15">
      <c r="A59" s="4" t="s">
        <v>770</v>
      </c>
      <c r="B59" s="4" t="str">
        <f t="shared" si="0"/>
        <v xml:space="preserve">MALAYAH </v>
      </c>
      <c r="C59" s="4" t="str">
        <f t="shared" si="1"/>
        <v>BRYAN</v>
      </c>
      <c r="D59" s="3" t="s">
        <v>49</v>
      </c>
      <c r="E59" s="3">
        <v>4</v>
      </c>
      <c r="F59" s="9" t="b">
        <v>0</v>
      </c>
      <c r="G59" s="10" t="b">
        <v>0</v>
      </c>
      <c r="H59" s="3">
        <f t="shared" si="2"/>
        <v>4</v>
      </c>
      <c r="I59" s="3">
        <f t="shared" si="3"/>
        <v>0</v>
      </c>
      <c r="J59" s="8">
        <f t="shared" si="4"/>
        <v>0.33333333333333331</v>
      </c>
      <c r="K59" s="5">
        <v>3</v>
      </c>
      <c r="L59" s="3">
        <v>4</v>
      </c>
      <c r="M59" s="3">
        <v>3</v>
      </c>
      <c r="N59" s="3">
        <v>1</v>
      </c>
      <c r="O59" s="3">
        <v>2</v>
      </c>
      <c r="P59" s="3">
        <v>3</v>
      </c>
      <c r="Q59" s="3">
        <v>3</v>
      </c>
      <c r="R59" s="6">
        <v>3</v>
      </c>
      <c r="S59" s="3"/>
      <c r="T59" s="3"/>
      <c r="U59" s="3"/>
      <c r="V59" s="6"/>
      <c r="W59" s="3">
        <f>IF(K59=VLOOKUP(VALUE(K$1),Questions[#All],5,FALSE),1,0)</f>
        <v>0</v>
      </c>
      <c r="X59" s="3">
        <f>IF(L59=VLOOKUP(VALUE(L$1),Questions[#All],5,FALSE),1,0)</f>
        <v>0</v>
      </c>
      <c r="Y59" s="3">
        <f>IF(M59=VLOOKUP(VALUE(M$1),Questions[#All],5,FALSE),1,0)</f>
        <v>0</v>
      </c>
      <c r="Z59" s="3">
        <f>IF(N59=VLOOKUP(VALUE(N$1),Questions[#All],5,FALSE),1,0)</f>
        <v>0</v>
      </c>
      <c r="AA59" s="3">
        <f>IF(O59=VLOOKUP(VALUE(O$1),Questions[#All],5,FALSE),1,0)</f>
        <v>1</v>
      </c>
      <c r="AB59" s="3">
        <f>IF(P59=VLOOKUP(VALUE(P$1),Questions[#All],5,FALSE),1,0)</f>
        <v>1</v>
      </c>
      <c r="AC59" s="3">
        <f>IF(Q59=VLOOKUP(VALUE(Q$1),Questions[#All],5,FALSE),1,0)</f>
        <v>1</v>
      </c>
      <c r="AD59" s="3">
        <f>IF(R59=VLOOKUP(VALUE(R$1),Questions[#All],5,FALSE),1,0)</f>
        <v>1</v>
      </c>
    </row>
    <row r="60" spans="1:30" ht="22.5" customHeight="1" x14ac:dyDescent="0.15">
      <c r="A60" s="4" t="s">
        <v>771</v>
      </c>
      <c r="B60" s="4" t="str">
        <f t="shared" si="0"/>
        <v xml:space="preserve">KEENAN </v>
      </c>
      <c r="C60" s="4" t="str">
        <f t="shared" si="1"/>
        <v>MALACHI EDOUAZIN</v>
      </c>
      <c r="D60" s="3" t="s">
        <v>49</v>
      </c>
      <c r="E60" s="3">
        <v>4</v>
      </c>
      <c r="F60" s="9" t="b">
        <v>0</v>
      </c>
      <c r="G60" s="10" t="b">
        <v>0</v>
      </c>
      <c r="H60" s="3">
        <f t="shared" si="2"/>
        <v>6</v>
      </c>
      <c r="I60" s="3">
        <f t="shared" si="3"/>
        <v>0</v>
      </c>
      <c r="J60" s="8">
        <f t="shared" si="4"/>
        <v>0.5</v>
      </c>
      <c r="K60" s="5">
        <v>2</v>
      </c>
      <c r="L60" s="3">
        <v>2</v>
      </c>
      <c r="M60" s="3">
        <v>1</v>
      </c>
      <c r="N60" s="3">
        <v>3</v>
      </c>
      <c r="O60" s="3">
        <v>2</v>
      </c>
      <c r="P60" s="3">
        <v>3</v>
      </c>
      <c r="Q60" s="3">
        <v>4</v>
      </c>
      <c r="R60" s="6">
        <v>1</v>
      </c>
      <c r="S60" s="3"/>
      <c r="T60" s="3"/>
      <c r="U60" s="3"/>
      <c r="V60" s="6"/>
      <c r="W60" s="3">
        <f>IF(K60=VLOOKUP(VALUE(K$1),Questions[#All],5,FALSE),1,0)</f>
        <v>1</v>
      </c>
      <c r="X60" s="3">
        <f>IF(L60=VLOOKUP(VALUE(L$1),Questions[#All],5,FALSE),1,0)</f>
        <v>1</v>
      </c>
      <c r="Y60" s="3">
        <f>IF(M60=VLOOKUP(VALUE(M$1),Questions[#All],5,FALSE),1,0)</f>
        <v>1</v>
      </c>
      <c r="Z60" s="3">
        <f>IF(N60=VLOOKUP(VALUE(N$1),Questions[#All],5,FALSE),1,0)</f>
        <v>1</v>
      </c>
      <c r="AA60" s="3">
        <f>IF(O60=VLOOKUP(VALUE(O$1),Questions[#All],5,FALSE),1,0)</f>
        <v>1</v>
      </c>
      <c r="AB60" s="3">
        <f>IF(P60=VLOOKUP(VALUE(P$1),Questions[#All],5,FALSE),1,0)</f>
        <v>1</v>
      </c>
      <c r="AC60" s="3">
        <f>IF(Q60=VLOOKUP(VALUE(Q$1),Questions[#All],5,FALSE),1,0)</f>
        <v>0</v>
      </c>
      <c r="AD60" s="3">
        <f>IF(R60=VLOOKUP(VALUE(R$1),Questions[#All],5,FALSE),1,0)</f>
        <v>0</v>
      </c>
    </row>
    <row r="61" spans="1:30" ht="22.5" customHeight="1" x14ac:dyDescent="0.15">
      <c r="A61" s="4" t="s">
        <v>772</v>
      </c>
      <c r="B61" s="4" t="str">
        <f t="shared" si="0"/>
        <v xml:space="preserve">SELAYRIA </v>
      </c>
      <c r="C61" s="4" t="str">
        <f t="shared" si="1"/>
        <v>FORTUNE</v>
      </c>
      <c r="D61" s="3" t="s">
        <v>49</v>
      </c>
      <c r="E61" s="3">
        <v>4</v>
      </c>
      <c r="F61" s="9" t="b">
        <v>0</v>
      </c>
      <c r="G61" s="10" t="b">
        <v>0</v>
      </c>
      <c r="H61" s="3">
        <f t="shared" si="2"/>
        <v>7</v>
      </c>
      <c r="I61" s="3">
        <f t="shared" si="3"/>
        <v>0</v>
      </c>
      <c r="J61" s="8">
        <f t="shared" si="4"/>
        <v>0.58333333333333337</v>
      </c>
      <c r="K61" s="5">
        <v>2</v>
      </c>
      <c r="L61" s="3">
        <v>2</v>
      </c>
      <c r="M61" s="3">
        <v>1</v>
      </c>
      <c r="N61" s="3">
        <v>3</v>
      </c>
      <c r="O61" s="3">
        <v>2</v>
      </c>
      <c r="P61" s="3">
        <v>3</v>
      </c>
      <c r="Q61" s="3">
        <v>2</v>
      </c>
      <c r="R61" s="6">
        <v>3</v>
      </c>
      <c r="S61" s="3"/>
      <c r="T61" s="3"/>
      <c r="U61" s="3"/>
      <c r="V61" s="6"/>
      <c r="W61" s="3">
        <f>IF(K61=VLOOKUP(VALUE(K$1),Questions[#All],5,FALSE),1,0)</f>
        <v>1</v>
      </c>
      <c r="X61" s="3">
        <f>IF(L61=VLOOKUP(VALUE(L$1),Questions[#All],5,FALSE),1,0)</f>
        <v>1</v>
      </c>
      <c r="Y61" s="3">
        <f>IF(M61=VLOOKUP(VALUE(M$1),Questions[#All],5,FALSE),1,0)</f>
        <v>1</v>
      </c>
      <c r="Z61" s="3">
        <f>IF(N61=VLOOKUP(VALUE(N$1),Questions[#All],5,FALSE),1,0)</f>
        <v>1</v>
      </c>
      <c r="AA61" s="3">
        <f>IF(O61=VLOOKUP(VALUE(O$1),Questions[#All],5,FALSE),1,0)</f>
        <v>1</v>
      </c>
      <c r="AB61" s="3">
        <f>IF(P61=VLOOKUP(VALUE(P$1),Questions[#All],5,FALSE),1,0)</f>
        <v>1</v>
      </c>
      <c r="AC61" s="3">
        <f>IF(Q61=VLOOKUP(VALUE(Q$1),Questions[#All],5,FALSE),1,0)</f>
        <v>0</v>
      </c>
      <c r="AD61" s="3">
        <f>IF(R61=VLOOKUP(VALUE(R$1),Questions[#All],5,FALSE),1,0)</f>
        <v>1</v>
      </c>
    </row>
    <row r="62" spans="1:30" ht="22.5" customHeight="1" x14ac:dyDescent="0.15">
      <c r="A62" s="4" t="s">
        <v>773</v>
      </c>
      <c r="B62" s="4" t="str">
        <f t="shared" si="0"/>
        <v xml:space="preserve">AIDEN </v>
      </c>
      <c r="C62" s="4" t="str">
        <f t="shared" si="1"/>
        <v>GANTEAUME</v>
      </c>
      <c r="D62" s="3" t="s">
        <v>49</v>
      </c>
      <c r="E62" s="3">
        <v>4</v>
      </c>
      <c r="F62" s="9" t="b">
        <v>0</v>
      </c>
      <c r="G62" s="10" t="b">
        <v>0</v>
      </c>
      <c r="H62" s="3">
        <f t="shared" si="2"/>
        <v>4</v>
      </c>
      <c r="I62" s="3">
        <f t="shared" si="3"/>
        <v>0</v>
      </c>
      <c r="J62" s="8">
        <f t="shared" si="4"/>
        <v>0.33333333333333331</v>
      </c>
      <c r="K62" s="5">
        <v>1</v>
      </c>
      <c r="L62" s="3">
        <v>2</v>
      </c>
      <c r="M62" s="3">
        <v>3</v>
      </c>
      <c r="N62" s="3">
        <v>3</v>
      </c>
      <c r="O62" s="3">
        <v>2</v>
      </c>
      <c r="P62" s="3">
        <v>3</v>
      </c>
      <c r="Q62" s="3">
        <v>4</v>
      </c>
      <c r="R62" s="6">
        <v>4</v>
      </c>
      <c r="S62" s="3"/>
      <c r="T62" s="3"/>
      <c r="U62" s="3"/>
      <c r="V62" s="6"/>
      <c r="W62" s="3">
        <f>IF(K62=VLOOKUP(VALUE(K$1),Questions[#All],5,FALSE),1,0)</f>
        <v>0</v>
      </c>
      <c r="X62" s="3">
        <f>IF(L62=VLOOKUP(VALUE(L$1),Questions[#All],5,FALSE),1,0)</f>
        <v>1</v>
      </c>
      <c r="Y62" s="3">
        <f>IF(M62=VLOOKUP(VALUE(M$1),Questions[#All],5,FALSE),1,0)</f>
        <v>0</v>
      </c>
      <c r="Z62" s="3">
        <f>IF(N62=VLOOKUP(VALUE(N$1),Questions[#All],5,FALSE),1,0)</f>
        <v>1</v>
      </c>
      <c r="AA62" s="3">
        <f>IF(O62=VLOOKUP(VALUE(O$1),Questions[#All],5,FALSE),1,0)</f>
        <v>1</v>
      </c>
      <c r="AB62" s="3">
        <f>IF(P62=VLOOKUP(VALUE(P$1),Questions[#All],5,FALSE),1,0)</f>
        <v>1</v>
      </c>
      <c r="AC62" s="3">
        <f>IF(Q62=VLOOKUP(VALUE(Q$1),Questions[#All],5,FALSE),1,0)</f>
        <v>0</v>
      </c>
      <c r="AD62" s="3">
        <f>IF(R62=VLOOKUP(VALUE(R$1),Questions[#All],5,FALSE),1,0)</f>
        <v>0</v>
      </c>
    </row>
    <row r="63" spans="1:30" ht="22.5" customHeight="1" x14ac:dyDescent="0.15">
      <c r="A63" s="4" t="s">
        <v>774</v>
      </c>
      <c r="B63" s="4" t="str">
        <f t="shared" si="0"/>
        <v xml:space="preserve">DEEJAY </v>
      </c>
      <c r="C63" s="4" t="str">
        <f t="shared" si="1"/>
        <v>GRANT</v>
      </c>
      <c r="D63" s="3" t="s">
        <v>49</v>
      </c>
      <c r="E63" s="3">
        <v>4</v>
      </c>
      <c r="F63" s="9" t="b">
        <v>0</v>
      </c>
      <c r="G63" s="10" t="b">
        <v>0</v>
      </c>
      <c r="H63" s="3">
        <f t="shared" si="2"/>
        <v>6</v>
      </c>
      <c r="I63" s="3">
        <f t="shared" si="3"/>
        <v>0</v>
      </c>
      <c r="J63" s="8">
        <f t="shared" si="4"/>
        <v>0.5</v>
      </c>
      <c r="K63" s="5">
        <v>1</v>
      </c>
      <c r="L63" s="3">
        <v>2</v>
      </c>
      <c r="M63" s="3">
        <v>1</v>
      </c>
      <c r="N63" s="3">
        <v>3</v>
      </c>
      <c r="O63" s="3">
        <v>2</v>
      </c>
      <c r="P63" s="3">
        <v>3</v>
      </c>
      <c r="Q63" s="3">
        <v>1</v>
      </c>
      <c r="R63" s="6">
        <v>3</v>
      </c>
      <c r="S63" s="3"/>
      <c r="T63" s="3"/>
      <c r="U63" s="3"/>
      <c r="V63" s="6"/>
      <c r="W63" s="3">
        <f>IF(K63=VLOOKUP(VALUE(K$1),Questions[#All],5,FALSE),1,0)</f>
        <v>0</v>
      </c>
      <c r="X63" s="3">
        <f>IF(L63=VLOOKUP(VALUE(L$1),Questions[#All],5,FALSE),1,0)</f>
        <v>1</v>
      </c>
      <c r="Y63" s="3">
        <f>IF(M63=VLOOKUP(VALUE(M$1),Questions[#All],5,FALSE),1,0)</f>
        <v>1</v>
      </c>
      <c r="Z63" s="3">
        <f>IF(N63=VLOOKUP(VALUE(N$1),Questions[#All],5,FALSE),1,0)</f>
        <v>1</v>
      </c>
      <c r="AA63" s="3">
        <f>IF(O63=VLOOKUP(VALUE(O$1),Questions[#All],5,FALSE),1,0)</f>
        <v>1</v>
      </c>
      <c r="AB63" s="3">
        <f>IF(P63=VLOOKUP(VALUE(P$1),Questions[#All],5,FALSE),1,0)</f>
        <v>1</v>
      </c>
      <c r="AC63" s="3">
        <f>IF(Q63=VLOOKUP(VALUE(Q$1),Questions[#All],5,FALSE),1,0)</f>
        <v>0</v>
      </c>
      <c r="AD63" s="3">
        <f>IF(R63=VLOOKUP(VALUE(R$1),Questions[#All],5,FALSE),1,0)</f>
        <v>1</v>
      </c>
    </row>
    <row r="64" spans="1:30" ht="22.5" customHeight="1" x14ac:dyDescent="0.15">
      <c r="A64" s="4" t="s">
        <v>775</v>
      </c>
      <c r="B64" s="4" t="str">
        <f t="shared" si="0"/>
        <v xml:space="preserve">DOUGLIN </v>
      </c>
      <c r="C64" s="4" t="str">
        <f t="shared" si="1"/>
        <v>LATTA</v>
      </c>
      <c r="D64" s="3" t="s">
        <v>49</v>
      </c>
      <c r="E64" s="3">
        <v>4</v>
      </c>
      <c r="F64" s="9" t="b">
        <v>0</v>
      </c>
      <c r="G64" s="10" t="b">
        <v>0</v>
      </c>
      <c r="H64" s="3">
        <f t="shared" si="2"/>
        <v>6</v>
      </c>
      <c r="I64" s="3">
        <f t="shared" si="3"/>
        <v>0</v>
      </c>
      <c r="J64" s="8">
        <f t="shared" si="4"/>
        <v>0.5</v>
      </c>
      <c r="K64" s="5">
        <v>4</v>
      </c>
      <c r="L64" s="3">
        <v>2</v>
      </c>
      <c r="M64" s="3">
        <v>1</v>
      </c>
      <c r="N64" s="3">
        <v>1</v>
      </c>
      <c r="O64" s="3">
        <v>2</v>
      </c>
      <c r="P64" s="3">
        <v>3</v>
      </c>
      <c r="Q64" s="3">
        <v>3</v>
      </c>
      <c r="R64" s="6">
        <v>3</v>
      </c>
      <c r="S64" s="3"/>
      <c r="T64" s="3"/>
      <c r="U64" s="3"/>
      <c r="V64" s="6"/>
      <c r="W64" s="3">
        <f>IF(K64=VLOOKUP(VALUE(K$1),Questions[#All],5,FALSE),1,0)</f>
        <v>0</v>
      </c>
      <c r="X64" s="3">
        <f>IF(L64=VLOOKUP(VALUE(L$1),Questions[#All],5,FALSE),1,0)</f>
        <v>1</v>
      </c>
      <c r="Y64" s="3">
        <f>IF(M64=VLOOKUP(VALUE(M$1),Questions[#All],5,FALSE),1,0)</f>
        <v>1</v>
      </c>
      <c r="Z64" s="3">
        <f>IF(N64=VLOOKUP(VALUE(N$1),Questions[#All],5,FALSE),1,0)</f>
        <v>0</v>
      </c>
      <c r="AA64" s="3">
        <f>IF(O64=VLOOKUP(VALUE(O$1),Questions[#All],5,FALSE),1,0)</f>
        <v>1</v>
      </c>
      <c r="AB64" s="3">
        <f>IF(P64=VLOOKUP(VALUE(P$1),Questions[#All],5,FALSE),1,0)</f>
        <v>1</v>
      </c>
      <c r="AC64" s="3">
        <f>IF(Q64=VLOOKUP(VALUE(Q$1),Questions[#All],5,FALSE),1,0)</f>
        <v>1</v>
      </c>
      <c r="AD64" s="3">
        <f>IF(R64=VLOOKUP(VALUE(R$1),Questions[#All],5,FALSE),1,0)</f>
        <v>1</v>
      </c>
    </row>
    <row r="65" spans="1:30" ht="22.5" customHeight="1" x14ac:dyDescent="0.15">
      <c r="A65" s="4" t="s">
        <v>776</v>
      </c>
      <c r="B65" s="4" t="str">
        <f t="shared" si="0"/>
        <v xml:space="preserve">AIDEN </v>
      </c>
      <c r="C65" s="4" t="str">
        <f t="shared" si="1"/>
        <v>MAYERS</v>
      </c>
      <c r="D65" s="3" t="s">
        <v>49</v>
      </c>
      <c r="E65" s="3">
        <v>4</v>
      </c>
      <c r="F65" s="9" t="b">
        <v>0</v>
      </c>
      <c r="G65" s="10" t="b">
        <v>0</v>
      </c>
      <c r="H65" s="3">
        <f t="shared" si="2"/>
        <v>7</v>
      </c>
      <c r="I65" s="3">
        <f t="shared" si="3"/>
        <v>0</v>
      </c>
      <c r="J65" s="8">
        <f t="shared" si="4"/>
        <v>0.58333333333333337</v>
      </c>
      <c r="K65" s="5">
        <v>2</v>
      </c>
      <c r="L65" s="3">
        <v>2</v>
      </c>
      <c r="M65" s="3">
        <v>1</v>
      </c>
      <c r="N65" s="3">
        <v>3</v>
      </c>
      <c r="O65" s="3">
        <v>2</v>
      </c>
      <c r="P65" s="3">
        <v>3</v>
      </c>
      <c r="Q65" s="3">
        <v>2</v>
      </c>
      <c r="R65" s="6">
        <v>3</v>
      </c>
      <c r="S65" s="3"/>
      <c r="T65" s="3"/>
      <c r="U65" s="3"/>
      <c r="V65" s="6"/>
      <c r="W65" s="3">
        <f>IF(K65=VLOOKUP(VALUE(K$1),Questions[#All],5,FALSE),1,0)</f>
        <v>1</v>
      </c>
      <c r="X65" s="3">
        <f>IF(L65=VLOOKUP(VALUE(L$1),Questions[#All],5,FALSE),1,0)</f>
        <v>1</v>
      </c>
      <c r="Y65" s="3">
        <f>IF(M65=VLOOKUP(VALUE(M$1),Questions[#All],5,FALSE),1,0)</f>
        <v>1</v>
      </c>
      <c r="Z65" s="3">
        <f>IF(N65=VLOOKUP(VALUE(N$1),Questions[#All],5,FALSE),1,0)</f>
        <v>1</v>
      </c>
      <c r="AA65" s="3">
        <f>IF(O65=VLOOKUP(VALUE(O$1),Questions[#All],5,FALSE),1,0)</f>
        <v>1</v>
      </c>
      <c r="AB65" s="3">
        <f>IF(P65=VLOOKUP(VALUE(P$1),Questions[#All],5,FALSE),1,0)</f>
        <v>1</v>
      </c>
      <c r="AC65" s="3">
        <f>IF(Q65=VLOOKUP(VALUE(Q$1),Questions[#All],5,FALSE),1,0)</f>
        <v>0</v>
      </c>
      <c r="AD65" s="3">
        <f>IF(R65=VLOOKUP(VALUE(R$1),Questions[#All],5,FALSE),1,0)</f>
        <v>1</v>
      </c>
    </row>
    <row r="66" spans="1:30" ht="22.5" customHeight="1" x14ac:dyDescent="0.15">
      <c r="A66" s="4" t="s">
        <v>777</v>
      </c>
      <c r="B66" s="4" t="str">
        <f t="shared" si="0"/>
        <v xml:space="preserve">AHMED </v>
      </c>
      <c r="C66" s="4" t="str">
        <f t="shared" si="1"/>
        <v>MOHAMED</v>
      </c>
      <c r="D66" s="3" t="s">
        <v>49</v>
      </c>
      <c r="E66" s="3">
        <v>4</v>
      </c>
      <c r="F66" s="9" t="b">
        <v>0</v>
      </c>
      <c r="G66" s="10" t="b">
        <v>0</v>
      </c>
      <c r="H66" s="3">
        <f t="shared" si="2"/>
        <v>8</v>
      </c>
      <c r="I66" s="3">
        <f t="shared" si="3"/>
        <v>0</v>
      </c>
      <c r="J66" s="8">
        <f t="shared" si="4"/>
        <v>0.66666666666666663</v>
      </c>
      <c r="K66" s="5">
        <v>2</v>
      </c>
      <c r="L66" s="3">
        <v>2</v>
      </c>
      <c r="M66" s="3">
        <v>1</v>
      </c>
      <c r="N66" s="3">
        <v>3</v>
      </c>
      <c r="O66" s="3">
        <v>2</v>
      </c>
      <c r="P66" s="3">
        <v>3</v>
      </c>
      <c r="Q66" s="3">
        <v>3</v>
      </c>
      <c r="R66" s="6">
        <v>3</v>
      </c>
      <c r="S66" s="3"/>
      <c r="T66" s="3"/>
      <c r="U66" s="3"/>
      <c r="V66" s="6"/>
      <c r="W66" s="3">
        <f>IF(K66=VLOOKUP(VALUE(K$1),Questions[#All],5,FALSE),1,0)</f>
        <v>1</v>
      </c>
      <c r="X66" s="3">
        <f>IF(L66=VLOOKUP(VALUE(L$1),Questions[#All],5,FALSE),1,0)</f>
        <v>1</v>
      </c>
      <c r="Y66" s="3">
        <f>IF(M66=VLOOKUP(VALUE(M$1),Questions[#All],5,FALSE),1,0)</f>
        <v>1</v>
      </c>
      <c r="Z66" s="3">
        <f>IF(N66=VLOOKUP(VALUE(N$1),Questions[#All],5,FALSE),1,0)</f>
        <v>1</v>
      </c>
      <c r="AA66" s="3">
        <f>IF(O66=VLOOKUP(VALUE(O$1),Questions[#All],5,FALSE),1,0)</f>
        <v>1</v>
      </c>
      <c r="AB66" s="3">
        <f>IF(P66=VLOOKUP(VALUE(P$1),Questions[#All],5,FALSE),1,0)</f>
        <v>1</v>
      </c>
      <c r="AC66" s="3">
        <f>IF(Q66=VLOOKUP(VALUE(Q$1),Questions[#All],5,FALSE),1,0)</f>
        <v>1</v>
      </c>
      <c r="AD66" s="3">
        <f>IF(R66=VLOOKUP(VALUE(R$1),Questions[#All],5,FALSE),1,0)</f>
        <v>1</v>
      </c>
    </row>
    <row r="67" spans="1:30" ht="22.5" customHeight="1" x14ac:dyDescent="0.15">
      <c r="A67" s="4" t="s">
        <v>778</v>
      </c>
      <c r="B67" s="4" t="str">
        <f t="shared" si="0"/>
        <v xml:space="preserve">DYLAN </v>
      </c>
      <c r="C67" s="4" t="str">
        <f t="shared" si="1"/>
        <v>MORALES</v>
      </c>
      <c r="D67" s="3" t="s">
        <v>49</v>
      </c>
      <c r="E67" s="3">
        <v>4</v>
      </c>
      <c r="F67" s="9" t="b">
        <v>0</v>
      </c>
      <c r="G67" s="10" t="b">
        <v>0</v>
      </c>
      <c r="H67" s="3">
        <f t="shared" si="2"/>
        <v>7</v>
      </c>
      <c r="I67" s="3">
        <f t="shared" si="3"/>
        <v>0</v>
      </c>
      <c r="J67" s="8">
        <f t="shared" si="4"/>
        <v>0.58333333333333337</v>
      </c>
      <c r="K67" s="5">
        <v>2</v>
      </c>
      <c r="L67" s="3">
        <v>2</v>
      </c>
      <c r="M67" s="3">
        <v>1</v>
      </c>
      <c r="N67" s="3">
        <v>3</v>
      </c>
      <c r="O67" s="3">
        <v>2</v>
      </c>
      <c r="P67" s="3">
        <v>3</v>
      </c>
      <c r="Q67" s="3">
        <v>3</v>
      </c>
      <c r="R67" s="6">
        <v>4</v>
      </c>
      <c r="S67" s="3"/>
      <c r="T67" s="3"/>
      <c r="U67" s="3"/>
      <c r="V67" s="6"/>
      <c r="W67" s="3">
        <f>IF(K67=VLOOKUP(VALUE(K$1),Questions[#All],5,FALSE),1,0)</f>
        <v>1</v>
      </c>
      <c r="X67" s="3">
        <f>IF(L67=VLOOKUP(VALUE(L$1),Questions[#All],5,FALSE),1,0)</f>
        <v>1</v>
      </c>
      <c r="Y67" s="3">
        <f>IF(M67=VLOOKUP(VALUE(M$1),Questions[#All],5,FALSE),1,0)</f>
        <v>1</v>
      </c>
      <c r="Z67" s="3">
        <f>IF(N67=VLOOKUP(VALUE(N$1),Questions[#All],5,FALSE),1,0)</f>
        <v>1</v>
      </c>
      <c r="AA67" s="3">
        <f>IF(O67=VLOOKUP(VALUE(O$1),Questions[#All],5,FALSE),1,0)</f>
        <v>1</v>
      </c>
      <c r="AB67" s="3">
        <f>IF(P67=VLOOKUP(VALUE(P$1),Questions[#All],5,FALSE),1,0)</f>
        <v>1</v>
      </c>
      <c r="AC67" s="3">
        <f>IF(Q67=VLOOKUP(VALUE(Q$1),Questions[#All],5,FALSE),1,0)</f>
        <v>1</v>
      </c>
      <c r="AD67" s="3">
        <f>IF(R67=VLOOKUP(VALUE(R$1),Questions[#All],5,FALSE),1,0)</f>
        <v>0</v>
      </c>
    </row>
    <row r="68" spans="1:30" ht="22.5" customHeight="1" x14ac:dyDescent="0.15">
      <c r="A68" s="4" t="s">
        <v>779</v>
      </c>
      <c r="B68" s="4" t="str">
        <f t="shared" si="0"/>
        <v xml:space="preserve">NAYOMEY </v>
      </c>
      <c r="C68" s="4" t="str">
        <f t="shared" si="1"/>
        <v>MURPH</v>
      </c>
      <c r="D68" s="3" t="s">
        <v>49</v>
      </c>
      <c r="E68" s="3">
        <v>4</v>
      </c>
      <c r="F68" s="9" t="b">
        <v>0</v>
      </c>
      <c r="G68" s="10" t="b">
        <v>0</v>
      </c>
      <c r="H68" s="3">
        <f t="shared" si="2"/>
        <v>4</v>
      </c>
      <c r="I68" s="3">
        <f t="shared" si="3"/>
        <v>0</v>
      </c>
      <c r="J68" s="8">
        <f t="shared" si="4"/>
        <v>0.33333333333333331</v>
      </c>
      <c r="K68" s="5">
        <v>4</v>
      </c>
      <c r="L68" s="3">
        <v>2</v>
      </c>
      <c r="M68" s="3">
        <v>3</v>
      </c>
      <c r="N68" s="3">
        <v>1</v>
      </c>
      <c r="O68" s="3">
        <v>2</v>
      </c>
      <c r="P68" s="3">
        <v>3</v>
      </c>
      <c r="Q68" s="3">
        <v>2</v>
      </c>
      <c r="R68" s="6">
        <v>3</v>
      </c>
      <c r="S68" s="3"/>
      <c r="T68" s="3"/>
      <c r="U68" s="3"/>
      <c r="V68" s="6"/>
      <c r="W68" s="3">
        <f>IF(K68=VLOOKUP(VALUE(K$1),Questions[#All],5,FALSE),1,0)</f>
        <v>0</v>
      </c>
      <c r="X68" s="3">
        <f>IF(L68=VLOOKUP(VALUE(L$1),Questions[#All],5,FALSE),1,0)</f>
        <v>1</v>
      </c>
      <c r="Y68" s="3">
        <f>IF(M68=VLOOKUP(VALUE(M$1),Questions[#All],5,FALSE),1,0)</f>
        <v>0</v>
      </c>
      <c r="Z68" s="3">
        <f>IF(N68=VLOOKUP(VALUE(N$1),Questions[#All],5,FALSE),1,0)</f>
        <v>0</v>
      </c>
      <c r="AA68" s="3">
        <f>IF(O68=VLOOKUP(VALUE(O$1),Questions[#All],5,FALSE),1,0)</f>
        <v>1</v>
      </c>
      <c r="AB68" s="3">
        <f>IF(P68=VLOOKUP(VALUE(P$1),Questions[#All],5,FALSE),1,0)</f>
        <v>1</v>
      </c>
      <c r="AC68" s="3">
        <f>IF(Q68=VLOOKUP(VALUE(Q$1),Questions[#All],5,FALSE),1,0)</f>
        <v>0</v>
      </c>
      <c r="AD68" s="3">
        <f>IF(R68=VLOOKUP(VALUE(R$1),Questions[#All],5,FALSE),1,0)</f>
        <v>1</v>
      </c>
    </row>
    <row r="69" spans="1:30" ht="22.5" customHeight="1" x14ac:dyDescent="0.15">
      <c r="A69" s="4" t="s">
        <v>780</v>
      </c>
      <c r="B69" s="4" t="str">
        <f t="shared" si="0"/>
        <v xml:space="preserve">PILARAH </v>
      </c>
      <c r="C69" s="4" t="str">
        <f t="shared" si="1"/>
        <v>PAILLANT</v>
      </c>
      <c r="D69" s="3" t="s">
        <v>49</v>
      </c>
      <c r="E69" s="3">
        <v>4</v>
      </c>
      <c r="F69" s="9" t="b">
        <v>0</v>
      </c>
      <c r="G69" s="10" t="b">
        <v>0</v>
      </c>
      <c r="H69" s="3">
        <f t="shared" si="2"/>
        <v>8</v>
      </c>
      <c r="I69" s="3">
        <f t="shared" si="3"/>
        <v>0</v>
      </c>
      <c r="J69" s="8">
        <f t="shared" si="4"/>
        <v>0.66666666666666663</v>
      </c>
      <c r="K69" s="5">
        <v>2</v>
      </c>
      <c r="L69" s="3">
        <v>2</v>
      </c>
      <c r="M69" s="3">
        <v>1</v>
      </c>
      <c r="N69" s="3">
        <v>3</v>
      </c>
      <c r="O69" s="3">
        <v>2</v>
      </c>
      <c r="P69" s="3">
        <v>3</v>
      </c>
      <c r="Q69" s="3">
        <v>3</v>
      </c>
      <c r="R69" s="6">
        <v>3</v>
      </c>
      <c r="S69" s="3"/>
      <c r="T69" s="3"/>
      <c r="U69" s="3"/>
      <c r="V69" s="6"/>
      <c r="W69" s="3">
        <f>IF(K69=VLOOKUP(VALUE(K$1),Questions[#All],5,FALSE),1,0)</f>
        <v>1</v>
      </c>
      <c r="X69" s="3">
        <f>IF(L69=VLOOKUP(VALUE(L$1),Questions[#All],5,FALSE),1,0)</f>
        <v>1</v>
      </c>
      <c r="Y69" s="3">
        <f>IF(M69=VLOOKUP(VALUE(M$1),Questions[#All],5,FALSE),1,0)</f>
        <v>1</v>
      </c>
      <c r="Z69" s="3">
        <f>IF(N69=VLOOKUP(VALUE(N$1),Questions[#All],5,FALSE),1,0)</f>
        <v>1</v>
      </c>
      <c r="AA69" s="3">
        <f>IF(O69=VLOOKUP(VALUE(O$1),Questions[#All],5,FALSE),1,0)</f>
        <v>1</v>
      </c>
      <c r="AB69" s="3">
        <f>IF(P69=VLOOKUP(VALUE(P$1),Questions[#All],5,FALSE),1,0)</f>
        <v>1</v>
      </c>
      <c r="AC69" s="3">
        <f>IF(Q69=VLOOKUP(VALUE(Q$1),Questions[#All],5,FALSE),1,0)</f>
        <v>1</v>
      </c>
      <c r="AD69" s="3">
        <f>IF(R69=VLOOKUP(VALUE(R$1),Questions[#All],5,FALSE),1,0)</f>
        <v>1</v>
      </c>
    </row>
    <row r="70" spans="1:30" ht="22.5" customHeight="1" x14ac:dyDescent="0.15">
      <c r="A70" s="4" t="s">
        <v>781</v>
      </c>
      <c r="B70" s="4" t="str">
        <f t="shared" si="0"/>
        <v xml:space="preserve">ADDINUR </v>
      </c>
      <c r="C70" s="4" t="str">
        <f t="shared" si="1"/>
        <v>PATWARY</v>
      </c>
      <c r="D70" s="3" t="s">
        <v>49</v>
      </c>
      <c r="E70" s="3">
        <v>4</v>
      </c>
      <c r="F70" s="9" t="b">
        <v>0</v>
      </c>
      <c r="G70" s="10" t="b">
        <v>0</v>
      </c>
      <c r="H70" s="3">
        <f t="shared" si="2"/>
        <v>8</v>
      </c>
      <c r="I70" s="3">
        <f t="shared" si="3"/>
        <v>0</v>
      </c>
      <c r="J70" s="8">
        <f t="shared" si="4"/>
        <v>0.66666666666666663</v>
      </c>
      <c r="K70" s="5">
        <v>2</v>
      </c>
      <c r="L70" s="3">
        <v>2</v>
      </c>
      <c r="M70" s="3">
        <v>1</v>
      </c>
      <c r="N70" s="3">
        <v>3</v>
      </c>
      <c r="O70" s="3">
        <v>2</v>
      </c>
      <c r="P70" s="3">
        <v>3</v>
      </c>
      <c r="Q70" s="3">
        <v>3</v>
      </c>
      <c r="R70" s="6">
        <v>3</v>
      </c>
      <c r="S70" s="3"/>
      <c r="T70" s="3"/>
      <c r="U70" s="3"/>
      <c r="V70" s="6"/>
      <c r="W70" s="3">
        <f>IF(K70=VLOOKUP(VALUE(K$1),Questions[#All],5,FALSE),1,0)</f>
        <v>1</v>
      </c>
      <c r="X70" s="3">
        <f>IF(L70=VLOOKUP(VALUE(L$1),Questions[#All],5,FALSE),1,0)</f>
        <v>1</v>
      </c>
      <c r="Y70" s="3">
        <f>IF(M70=VLOOKUP(VALUE(M$1),Questions[#All],5,FALSE),1,0)</f>
        <v>1</v>
      </c>
      <c r="Z70" s="3">
        <f>IF(N70=VLOOKUP(VALUE(N$1),Questions[#All],5,FALSE),1,0)</f>
        <v>1</v>
      </c>
      <c r="AA70" s="3">
        <f>IF(O70=VLOOKUP(VALUE(O$1),Questions[#All],5,FALSE),1,0)</f>
        <v>1</v>
      </c>
      <c r="AB70" s="3">
        <f>IF(P70=VLOOKUP(VALUE(P$1),Questions[#All],5,FALSE),1,0)</f>
        <v>1</v>
      </c>
      <c r="AC70" s="3">
        <f>IF(Q70=VLOOKUP(VALUE(Q$1),Questions[#All],5,FALSE),1,0)</f>
        <v>1</v>
      </c>
      <c r="AD70" s="3">
        <f>IF(R70=VLOOKUP(VALUE(R$1),Questions[#All],5,FALSE),1,0)</f>
        <v>1</v>
      </c>
    </row>
    <row r="71" spans="1:30" ht="22.5" customHeight="1" x14ac:dyDescent="0.15">
      <c r="A71" s="4" t="s">
        <v>782</v>
      </c>
      <c r="B71" s="4" t="str">
        <f t="shared" si="0"/>
        <v xml:space="preserve">HENRIQUE </v>
      </c>
      <c r="C71" s="4" t="str">
        <f t="shared" si="1"/>
        <v>PAXTOR TOC</v>
      </c>
      <c r="D71" s="3" t="s">
        <v>49</v>
      </c>
      <c r="E71" s="3">
        <v>4</v>
      </c>
      <c r="F71" s="9" t="b">
        <v>0</v>
      </c>
      <c r="G71" s="10" t="b">
        <v>0</v>
      </c>
      <c r="H71" s="3">
        <f t="shared" si="2"/>
        <v>5</v>
      </c>
      <c r="I71" s="3">
        <f t="shared" si="3"/>
        <v>0</v>
      </c>
      <c r="J71" s="8">
        <f t="shared" si="4"/>
        <v>0.41666666666666669</v>
      </c>
      <c r="K71" s="5">
        <v>2</v>
      </c>
      <c r="L71" s="3">
        <v>2</v>
      </c>
      <c r="M71" s="3">
        <v>3</v>
      </c>
      <c r="N71" s="3">
        <v>3</v>
      </c>
      <c r="O71" s="3">
        <v>1</v>
      </c>
      <c r="P71" s="3">
        <v>3</v>
      </c>
      <c r="Q71" s="3">
        <v>2</v>
      </c>
      <c r="R71" s="6">
        <v>3</v>
      </c>
      <c r="S71" s="3"/>
      <c r="T71" s="3"/>
      <c r="U71" s="3"/>
      <c r="V71" s="6"/>
      <c r="W71" s="3">
        <f>IF(K71=VLOOKUP(VALUE(K$1),Questions[#All],5,FALSE),1,0)</f>
        <v>1</v>
      </c>
      <c r="X71" s="3">
        <f>IF(L71=VLOOKUP(VALUE(L$1),Questions[#All],5,FALSE),1,0)</f>
        <v>1</v>
      </c>
      <c r="Y71" s="3">
        <f>IF(M71=VLOOKUP(VALUE(M$1),Questions[#All],5,FALSE),1,0)</f>
        <v>0</v>
      </c>
      <c r="Z71" s="3">
        <f>IF(N71=VLOOKUP(VALUE(N$1),Questions[#All],5,FALSE),1,0)</f>
        <v>1</v>
      </c>
      <c r="AA71" s="3">
        <f>IF(O71=VLOOKUP(VALUE(O$1),Questions[#All],5,FALSE),1,0)</f>
        <v>0</v>
      </c>
      <c r="AB71" s="3">
        <f>IF(P71=VLOOKUP(VALUE(P$1),Questions[#All],5,FALSE),1,0)</f>
        <v>1</v>
      </c>
      <c r="AC71" s="3">
        <f>IF(Q71=VLOOKUP(VALUE(Q$1),Questions[#All],5,FALSE),1,0)</f>
        <v>0</v>
      </c>
      <c r="AD71" s="3">
        <f>IF(R71=VLOOKUP(VALUE(R$1),Questions[#All],5,FALSE),1,0)</f>
        <v>1</v>
      </c>
    </row>
    <row r="72" spans="1:30" ht="22.5" customHeight="1" x14ac:dyDescent="0.15">
      <c r="A72" s="4" t="s">
        <v>783</v>
      </c>
      <c r="B72" s="4" t="str">
        <f t="shared" si="0"/>
        <v xml:space="preserve">TRISTAN </v>
      </c>
      <c r="C72" s="4" t="str">
        <f t="shared" si="1"/>
        <v>QUINONES</v>
      </c>
      <c r="D72" s="3" t="s">
        <v>49</v>
      </c>
      <c r="E72" s="3">
        <v>4</v>
      </c>
      <c r="F72" s="9" t="b">
        <v>0</v>
      </c>
      <c r="G72" s="10" t="b">
        <v>0</v>
      </c>
      <c r="H72" s="3">
        <f t="shared" si="2"/>
        <v>4</v>
      </c>
      <c r="I72" s="3">
        <f t="shared" si="3"/>
        <v>0</v>
      </c>
      <c r="J72" s="8">
        <f t="shared" si="4"/>
        <v>0.33333333333333331</v>
      </c>
      <c r="K72" s="5">
        <v>1</v>
      </c>
      <c r="L72" s="3">
        <v>2</v>
      </c>
      <c r="M72" s="3">
        <v>4</v>
      </c>
      <c r="N72" s="3">
        <v>3</v>
      </c>
      <c r="O72" s="3">
        <v>2</v>
      </c>
      <c r="P72" s="3">
        <v>3</v>
      </c>
      <c r="Q72" s="3">
        <v>1</v>
      </c>
      <c r="R72" s="6">
        <v>2</v>
      </c>
      <c r="S72" s="3"/>
      <c r="T72" s="3"/>
      <c r="U72" s="3"/>
      <c r="V72" s="6"/>
      <c r="W72" s="3">
        <f>IF(K72=VLOOKUP(VALUE(K$1),Questions[#All],5,FALSE),1,0)</f>
        <v>0</v>
      </c>
      <c r="X72" s="3">
        <f>IF(L72=VLOOKUP(VALUE(L$1),Questions[#All],5,FALSE),1,0)</f>
        <v>1</v>
      </c>
      <c r="Y72" s="3">
        <f>IF(M72=VLOOKUP(VALUE(M$1),Questions[#All],5,FALSE),1,0)</f>
        <v>0</v>
      </c>
      <c r="Z72" s="3">
        <f>IF(N72=VLOOKUP(VALUE(N$1),Questions[#All],5,FALSE),1,0)</f>
        <v>1</v>
      </c>
      <c r="AA72" s="3">
        <f>IF(O72=VLOOKUP(VALUE(O$1),Questions[#All],5,FALSE),1,0)</f>
        <v>1</v>
      </c>
      <c r="AB72" s="3">
        <f>IF(P72=VLOOKUP(VALUE(P$1),Questions[#All],5,FALSE),1,0)</f>
        <v>1</v>
      </c>
      <c r="AC72" s="3">
        <f>IF(Q72=VLOOKUP(VALUE(Q$1),Questions[#All],5,FALSE),1,0)</f>
        <v>0</v>
      </c>
      <c r="AD72" s="3">
        <f>IF(R72=VLOOKUP(VALUE(R$1),Questions[#All],5,FALSE),1,0)</f>
        <v>0</v>
      </c>
    </row>
    <row r="73" spans="1:30" ht="22.5" customHeight="1" x14ac:dyDescent="0.15">
      <c r="A73" s="4" t="s">
        <v>784</v>
      </c>
      <c r="B73" s="4" t="str">
        <f t="shared" si="0"/>
        <v xml:space="preserve">HEILY </v>
      </c>
      <c r="C73" s="4" t="str">
        <f t="shared" si="1"/>
        <v>RODRIGUEZ</v>
      </c>
      <c r="D73" s="3" t="s">
        <v>49</v>
      </c>
      <c r="E73" s="3">
        <v>4</v>
      </c>
      <c r="F73" s="9" t="b">
        <v>0</v>
      </c>
      <c r="G73" s="10" t="b">
        <v>0</v>
      </c>
      <c r="H73" s="3">
        <f t="shared" si="2"/>
        <v>8</v>
      </c>
      <c r="I73" s="3">
        <f t="shared" si="3"/>
        <v>0</v>
      </c>
      <c r="J73" s="8">
        <f t="shared" si="4"/>
        <v>0.66666666666666663</v>
      </c>
      <c r="K73" s="5">
        <v>2</v>
      </c>
      <c r="L73" s="3">
        <v>2</v>
      </c>
      <c r="M73" s="3">
        <v>1</v>
      </c>
      <c r="N73" s="3">
        <v>3</v>
      </c>
      <c r="O73" s="3">
        <v>2</v>
      </c>
      <c r="P73" s="3">
        <v>3</v>
      </c>
      <c r="Q73" s="3">
        <v>3</v>
      </c>
      <c r="R73" s="6">
        <v>3</v>
      </c>
      <c r="S73" s="3"/>
      <c r="T73" s="3"/>
      <c r="U73" s="3"/>
      <c r="V73" s="6"/>
      <c r="W73" s="3">
        <f>IF(K73=VLOOKUP(VALUE(K$1),Questions[#All],5,FALSE),1,0)</f>
        <v>1</v>
      </c>
      <c r="X73" s="3">
        <f>IF(L73=VLOOKUP(VALUE(L$1),Questions[#All],5,FALSE),1,0)</f>
        <v>1</v>
      </c>
      <c r="Y73" s="3">
        <f>IF(M73=VLOOKUP(VALUE(M$1),Questions[#All],5,FALSE),1,0)</f>
        <v>1</v>
      </c>
      <c r="Z73" s="3">
        <f>IF(N73=VLOOKUP(VALUE(N$1),Questions[#All],5,FALSE),1,0)</f>
        <v>1</v>
      </c>
      <c r="AA73" s="3">
        <f>IF(O73=VLOOKUP(VALUE(O$1),Questions[#All],5,FALSE),1,0)</f>
        <v>1</v>
      </c>
      <c r="AB73" s="3">
        <f>IF(P73=VLOOKUP(VALUE(P$1),Questions[#All],5,FALSE),1,0)</f>
        <v>1</v>
      </c>
      <c r="AC73" s="3">
        <f>IF(Q73=VLOOKUP(VALUE(Q$1),Questions[#All],5,FALSE),1,0)</f>
        <v>1</v>
      </c>
      <c r="AD73" s="3">
        <f>IF(R73=VLOOKUP(VALUE(R$1),Questions[#All],5,FALSE),1,0)</f>
        <v>1</v>
      </c>
    </row>
    <row r="74" spans="1:30" ht="22.5" customHeight="1" x14ac:dyDescent="0.15">
      <c r="A74" s="4" t="s">
        <v>785</v>
      </c>
      <c r="B74" s="4" t="str">
        <f t="shared" si="0"/>
        <v xml:space="preserve">AMADOR </v>
      </c>
      <c r="C74" s="4" t="str">
        <f t="shared" si="1"/>
        <v>ROJAS</v>
      </c>
      <c r="D74" s="3" t="s">
        <v>49</v>
      </c>
      <c r="E74" s="3">
        <v>4</v>
      </c>
      <c r="F74" s="9" t="b">
        <v>0</v>
      </c>
      <c r="G74" s="10" t="b">
        <v>0</v>
      </c>
      <c r="H74" s="3">
        <f t="shared" si="2"/>
        <v>5</v>
      </c>
      <c r="I74" s="3">
        <f t="shared" si="3"/>
        <v>0</v>
      </c>
      <c r="J74" s="8">
        <f t="shared" si="4"/>
        <v>0.41666666666666669</v>
      </c>
      <c r="K74" s="5">
        <v>2</v>
      </c>
      <c r="L74" s="3">
        <v>2</v>
      </c>
      <c r="M74" s="3">
        <v>3</v>
      </c>
      <c r="N74" s="3">
        <v>3</v>
      </c>
      <c r="O74" s="3">
        <v>2</v>
      </c>
      <c r="P74" s="3">
        <v>3</v>
      </c>
      <c r="Q74" s="3">
        <v>2</v>
      </c>
      <c r="R74" s="6">
        <v>1</v>
      </c>
      <c r="S74" s="3"/>
      <c r="T74" s="3"/>
      <c r="U74" s="3"/>
      <c r="V74" s="6"/>
      <c r="W74" s="3">
        <f>IF(K74=VLOOKUP(VALUE(K$1),Questions[#All],5,FALSE),1,0)</f>
        <v>1</v>
      </c>
      <c r="X74" s="3">
        <f>IF(L74=VLOOKUP(VALUE(L$1),Questions[#All],5,FALSE),1,0)</f>
        <v>1</v>
      </c>
      <c r="Y74" s="3">
        <f>IF(M74=VLOOKUP(VALUE(M$1),Questions[#All],5,FALSE),1,0)</f>
        <v>0</v>
      </c>
      <c r="Z74" s="3">
        <f>IF(N74=VLOOKUP(VALUE(N$1),Questions[#All],5,FALSE),1,0)</f>
        <v>1</v>
      </c>
      <c r="AA74" s="3">
        <f>IF(O74=VLOOKUP(VALUE(O$1),Questions[#All],5,FALSE),1,0)</f>
        <v>1</v>
      </c>
      <c r="AB74" s="3">
        <f>IF(P74=VLOOKUP(VALUE(P$1),Questions[#All],5,FALSE),1,0)</f>
        <v>1</v>
      </c>
      <c r="AC74" s="3">
        <f>IF(Q74=VLOOKUP(VALUE(Q$1),Questions[#All],5,FALSE),1,0)</f>
        <v>0</v>
      </c>
      <c r="AD74" s="3">
        <f>IF(R74=VLOOKUP(VALUE(R$1),Questions[#All],5,FALSE),1,0)</f>
        <v>0</v>
      </c>
    </row>
    <row r="75" spans="1:30" ht="22.5" customHeight="1" x14ac:dyDescent="0.15">
      <c r="A75" s="4" t="s">
        <v>786</v>
      </c>
      <c r="B75" s="4" t="str">
        <f t="shared" si="0"/>
        <v xml:space="preserve">CRISTAL </v>
      </c>
      <c r="C75" s="4" t="str">
        <f t="shared" si="1"/>
        <v>ROMERO MELENDEZ</v>
      </c>
      <c r="D75" s="3" t="s">
        <v>49</v>
      </c>
      <c r="E75" s="3">
        <v>4</v>
      </c>
      <c r="F75" s="9" t="b">
        <v>0</v>
      </c>
      <c r="G75" s="10" t="b">
        <v>0</v>
      </c>
      <c r="H75" s="3">
        <f t="shared" si="2"/>
        <v>6</v>
      </c>
      <c r="I75" s="3">
        <f t="shared" si="3"/>
        <v>0</v>
      </c>
      <c r="J75" s="8">
        <f t="shared" si="4"/>
        <v>0.5</v>
      </c>
      <c r="K75" s="5">
        <v>2</v>
      </c>
      <c r="L75" s="3">
        <v>2</v>
      </c>
      <c r="M75" s="3">
        <v>1</v>
      </c>
      <c r="N75" s="3">
        <v>1</v>
      </c>
      <c r="O75" s="3">
        <v>2</v>
      </c>
      <c r="P75" s="3">
        <v>3</v>
      </c>
      <c r="Q75" s="3">
        <v>4</v>
      </c>
      <c r="R75" s="6">
        <v>3</v>
      </c>
      <c r="S75" s="3"/>
      <c r="T75" s="3"/>
      <c r="U75" s="3"/>
      <c r="V75" s="6"/>
      <c r="W75" s="3">
        <f>IF(K75=VLOOKUP(VALUE(K$1),Questions[#All],5,FALSE),1,0)</f>
        <v>1</v>
      </c>
      <c r="X75" s="3">
        <f>IF(L75=VLOOKUP(VALUE(L$1),Questions[#All],5,FALSE),1,0)</f>
        <v>1</v>
      </c>
      <c r="Y75" s="3">
        <f>IF(M75=VLOOKUP(VALUE(M$1),Questions[#All],5,FALSE),1,0)</f>
        <v>1</v>
      </c>
      <c r="Z75" s="3">
        <f>IF(N75=VLOOKUP(VALUE(N$1),Questions[#All],5,FALSE),1,0)</f>
        <v>0</v>
      </c>
      <c r="AA75" s="3">
        <f>IF(O75=VLOOKUP(VALUE(O$1),Questions[#All],5,FALSE),1,0)</f>
        <v>1</v>
      </c>
      <c r="AB75" s="3">
        <f>IF(P75=VLOOKUP(VALUE(P$1),Questions[#All],5,FALSE),1,0)</f>
        <v>1</v>
      </c>
      <c r="AC75" s="3">
        <f>IF(Q75=VLOOKUP(VALUE(Q$1),Questions[#All],5,FALSE),1,0)</f>
        <v>0</v>
      </c>
      <c r="AD75" s="3">
        <f>IF(R75=VLOOKUP(VALUE(R$1),Questions[#All],5,FALSE),1,0)</f>
        <v>1</v>
      </c>
    </row>
    <row r="76" spans="1:30" ht="22.5" customHeight="1" x14ac:dyDescent="0.15">
      <c r="A76" s="4" t="s">
        <v>787</v>
      </c>
      <c r="B76" s="4" t="str">
        <f t="shared" si="0"/>
        <v xml:space="preserve">TIMYA </v>
      </c>
      <c r="C76" s="4" t="str">
        <f t="shared" si="1"/>
        <v>RUSSELL</v>
      </c>
      <c r="D76" s="3" t="s">
        <v>49</v>
      </c>
      <c r="E76" s="3">
        <v>4</v>
      </c>
      <c r="F76" s="9" t="b">
        <v>0</v>
      </c>
      <c r="G76" s="10" t="b">
        <v>0</v>
      </c>
      <c r="H76" s="3">
        <f t="shared" si="2"/>
        <v>5</v>
      </c>
      <c r="I76" s="3">
        <f t="shared" si="3"/>
        <v>0</v>
      </c>
      <c r="J76" s="8">
        <f t="shared" si="4"/>
        <v>0.41666666666666669</v>
      </c>
      <c r="K76" s="5">
        <v>2</v>
      </c>
      <c r="L76" s="3">
        <v>2</v>
      </c>
      <c r="M76" s="3">
        <v>1</v>
      </c>
      <c r="N76" s="3">
        <v>3</v>
      </c>
      <c r="O76" s="3">
        <v>2</v>
      </c>
      <c r="P76" s="3">
        <v>4</v>
      </c>
      <c r="Q76" s="3"/>
      <c r="R76" s="6"/>
      <c r="S76" s="3"/>
      <c r="T76" s="3"/>
      <c r="U76" s="3"/>
      <c r="V76" s="6"/>
      <c r="W76" s="3">
        <f>IF(K76=VLOOKUP(VALUE(K$1),Questions[#All],5,FALSE),1,0)</f>
        <v>1</v>
      </c>
      <c r="X76" s="3">
        <f>IF(L76=VLOOKUP(VALUE(L$1),Questions[#All],5,FALSE),1,0)</f>
        <v>1</v>
      </c>
      <c r="Y76" s="3">
        <f>IF(M76=VLOOKUP(VALUE(M$1),Questions[#All],5,FALSE),1,0)</f>
        <v>1</v>
      </c>
      <c r="Z76" s="3">
        <f>IF(N76=VLOOKUP(VALUE(N$1),Questions[#All],5,FALSE),1,0)</f>
        <v>1</v>
      </c>
      <c r="AA76" s="3">
        <f>IF(O76=VLOOKUP(VALUE(O$1),Questions[#All],5,FALSE),1,0)</f>
        <v>1</v>
      </c>
      <c r="AB76" s="3">
        <f>IF(P76=VLOOKUP(VALUE(P$1),Questions[#All],5,FALSE),1,0)</f>
        <v>0</v>
      </c>
      <c r="AC76" s="3">
        <f>IF(Q76=VLOOKUP(VALUE(Q$1),Questions[#All],5,FALSE),1,0)</f>
        <v>0</v>
      </c>
      <c r="AD76" s="3">
        <f>IF(R76=VLOOKUP(VALUE(R$1),Questions[#All],5,FALSE),1,0)</f>
        <v>0</v>
      </c>
    </row>
    <row r="77" spans="1:30" ht="22.5" customHeight="1" x14ac:dyDescent="0.15">
      <c r="A77" s="4" t="s">
        <v>788</v>
      </c>
      <c r="B77" s="4" t="str">
        <f t="shared" si="0"/>
        <v xml:space="preserve">KRISTOPHER </v>
      </c>
      <c r="C77" s="4" t="str">
        <f t="shared" si="1"/>
        <v>SMITH</v>
      </c>
      <c r="D77" s="3" t="s">
        <v>49</v>
      </c>
      <c r="E77" s="3">
        <v>4</v>
      </c>
      <c r="F77" s="9" t="b">
        <v>0</v>
      </c>
      <c r="G77" s="10" t="b">
        <v>0</v>
      </c>
      <c r="H77" s="3">
        <f t="shared" si="2"/>
        <v>6</v>
      </c>
      <c r="I77" s="3">
        <f t="shared" si="3"/>
        <v>0</v>
      </c>
      <c r="J77" s="8">
        <f t="shared" si="4"/>
        <v>0.5</v>
      </c>
      <c r="K77" s="5">
        <v>4</v>
      </c>
      <c r="L77" s="3">
        <v>2</v>
      </c>
      <c r="M77" s="3">
        <v>4</v>
      </c>
      <c r="N77" s="3">
        <v>3</v>
      </c>
      <c r="O77" s="3">
        <v>2</v>
      </c>
      <c r="P77" s="3">
        <v>3</v>
      </c>
      <c r="Q77" s="3">
        <v>3</v>
      </c>
      <c r="R77" s="6">
        <v>3</v>
      </c>
      <c r="S77" s="3"/>
      <c r="T77" s="3"/>
      <c r="U77" s="3"/>
      <c r="V77" s="6"/>
      <c r="W77" s="3">
        <f>IF(K77=VLOOKUP(VALUE(K$1),Questions[#All],5,FALSE),1,0)</f>
        <v>0</v>
      </c>
      <c r="X77" s="3">
        <f>IF(L77=VLOOKUP(VALUE(L$1),Questions[#All],5,FALSE),1,0)</f>
        <v>1</v>
      </c>
      <c r="Y77" s="3">
        <f>IF(M77=VLOOKUP(VALUE(M$1),Questions[#All],5,FALSE),1,0)</f>
        <v>0</v>
      </c>
      <c r="Z77" s="3">
        <f>IF(N77=VLOOKUP(VALUE(N$1),Questions[#All],5,FALSE),1,0)</f>
        <v>1</v>
      </c>
      <c r="AA77" s="3">
        <f>IF(O77=VLOOKUP(VALUE(O$1),Questions[#All],5,FALSE),1,0)</f>
        <v>1</v>
      </c>
      <c r="AB77" s="3">
        <f>IF(P77=VLOOKUP(VALUE(P$1),Questions[#All],5,FALSE),1,0)</f>
        <v>1</v>
      </c>
      <c r="AC77" s="3">
        <f>IF(Q77=VLOOKUP(VALUE(Q$1),Questions[#All],5,FALSE),1,0)</f>
        <v>1</v>
      </c>
      <c r="AD77" s="3">
        <f>IF(R77=VLOOKUP(VALUE(R$1),Questions[#All],5,FALSE),1,0)</f>
        <v>1</v>
      </c>
    </row>
    <row r="78" spans="1:30" ht="22.5" customHeight="1" x14ac:dyDescent="0.15">
      <c r="A78" s="4" t="s">
        <v>789</v>
      </c>
      <c r="B78" s="4" t="str">
        <f t="shared" si="0"/>
        <v xml:space="preserve">MATTHEW </v>
      </c>
      <c r="C78" s="4" t="str">
        <f t="shared" si="1"/>
        <v>SOTO</v>
      </c>
      <c r="D78" s="3" t="s">
        <v>49</v>
      </c>
      <c r="E78" s="3">
        <v>4</v>
      </c>
      <c r="F78" s="9" t="b">
        <v>0</v>
      </c>
      <c r="G78" s="10" t="b">
        <v>0</v>
      </c>
      <c r="H78" s="3">
        <f t="shared" si="2"/>
        <v>3</v>
      </c>
      <c r="I78" s="3">
        <f t="shared" si="3"/>
        <v>0</v>
      </c>
      <c r="J78" s="8">
        <f t="shared" si="4"/>
        <v>0.25</v>
      </c>
      <c r="K78" s="5">
        <v>2</v>
      </c>
      <c r="L78" s="3">
        <v>4</v>
      </c>
      <c r="M78" s="3">
        <v>3</v>
      </c>
      <c r="N78" s="3">
        <v>2</v>
      </c>
      <c r="O78" s="3">
        <v>1</v>
      </c>
      <c r="P78" s="3">
        <v>3</v>
      </c>
      <c r="Q78" s="3">
        <v>1</v>
      </c>
      <c r="R78" s="6">
        <v>3</v>
      </c>
      <c r="S78" s="3"/>
      <c r="T78" s="3"/>
      <c r="U78" s="3"/>
      <c r="V78" s="6"/>
      <c r="W78" s="3">
        <f>IF(K78=VLOOKUP(VALUE(K$1),Questions[#All],5,FALSE),1,0)</f>
        <v>1</v>
      </c>
      <c r="X78" s="3">
        <f>IF(L78=VLOOKUP(VALUE(L$1),Questions[#All],5,FALSE),1,0)</f>
        <v>0</v>
      </c>
      <c r="Y78" s="3">
        <f>IF(M78=VLOOKUP(VALUE(M$1),Questions[#All],5,FALSE),1,0)</f>
        <v>0</v>
      </c>
      <c r="Z78" s="3">
        <f>IF(N78=VLOOKUP(VALUE(N$1),Questions[#All],5,FALSE),1,0)</f>
        <v>0</v>
      </c>
      <c r="AA78" s="3">
        <f>IF(O78=VLOOKUP(VALUE(O$1),Questions[#All],5,FALSE),1,0)</f>
        <v>0</v>
      </c>
      <c r="AB78" s="3">
        <f>IF(P78=VLOOKUP(VALUE(P$1),Questions[#All],5,FALSE),1,0)</f>
        <v>1</v>
      </c>
      <c r="AC78" s="3">
        <f>IF(Q78=VLOOKUP(VALUE(Q$1),Questions[#All],5,FALSE),1,0)</f>
        <v>0</v>
      </c>
      <c r="AD78" s="3">
        <f>IF(R78=VLOOKUP(VALUE(R$1),Questions[#All],5,FALSE),1,0)</f>
        <v>1</v>
      </c>
    </row>
    <row r="79" spans="1:30" ht="22.5" customHeight="1" x14ac:dyDescent="0.15">
      <c r="A79" s="4" t="s">
        <v>790</v>
      </c>
      <c r="B79" s="4" t="str">
        <f t="shared" si="0"/>
        <v xml:space="preserve">GENESIS </v>
      </c>
      <c r="C79" s="4" t="str">
        <f t="shared" si="1"/>
        <v>TAVERAS TEJADA</v>
      </c>
      <c r="D79" s="3" t="s">
        <v>49</v>
      </c>
      <c r="E79" s="3">
        <v>4</v>
      </c>
      <c r="F79" s="9" t="b">
        <v>0</v>
      </c>
      <c r="G79" s="10" t="b">
        <v>0</v>
      </c>
      <c r="H79" s="3">
        <f t="shared" si="2"/>
        <v>3</v>
      </c>
      <c r="I79" s="3">
        <f t="shared" si="3"/>
        <v>0</v>
      </c>
      <c r="J79" s="8">
        <f t="shared" si="4"/>
        <v>0.25</v>
      </c>
      <c r="K79" s="5">
        <v>2</v>
      </c>
      <c r="L79" s="3">
        <v>4</v>
      </c>
      <c r="M79" s="3">
        <v>1</v>
      </c>
      <c r="N79" s="3">
        <v>1</v>
      </c>
      <c r="O79" s="3">
        <v>4</v>
      </c>
      <c r="P79" s="3">
        <v>2</v>
      </c>
      <c r="Q79" s="3">
        <v>3</v>
      </c>
      <c r="R79" s="6">
        <v>2</v>
      </c>
      <c r="S79" s="3"/>
      <c r="T79" s="3"/>
      <c r="U79" s="3"/>
      <c r="V79" s="6"/>
      <c r="W79" s="3">
        <f>IF(K79=VLOOKUP(VALUE(K$1),Questions[#All],5,FALSE),1,0)</f>
        <v>1</v>
      </c>
      <c r="X79" s="3">
        <f>IF(L79=VLOOKUP(VALUE(L$1),Questions[#All],5,FALSE),1,0)</f>
        <v>0</v>
      </c>
      <c r="Y79" s="3">
        <f>IF(M79=VLOOKUP(VALUE(M$1),Questions[#All],5,FALSE),1,0)</f>
        <v>1</v>
      </c>
      <c r="Z79" s="3">
        <f>IF(N79=VLOOKUP(VALUE(N$1),Questions[#All],5,FALSE),1,0)</f>
        <v>0</v>
      </c>
      <c r="AA79" s="3">
        <f>IF(O79=VLOOKUP(VALUE(O$1),Questions[#All],5,FALSE),1,0)</f>
        <v>0</v>
      </c>
      <c r="AB79" s="3">
        <f>IF(P79=VLOOKUP(VALUE(P$1),Questions[#All],5,FALSE),1,0)</f>
        <v>0</v>
      </c>
      <c r="AC79" s="3">
        <f>IF(Q79=VLOOKUP(VALUE(Q$1),Questions[#All],5,FALSE),1,0)</f>
        <v>1</v>
      </c>
      <c r="AD79" s="3">
        <f>IF(R79=VLOOKUP(VALUE(R$1),Questions[#All],5,FALSE),1,0)</f>
        <v>0</v>
      </c>
    </row>
    <row r="80" spans="1:30" ht="22.5" customHeight="1" x14ac:dyDescent="0.15">
      <c r="A80" s="4" t="s">
        <v>791</v>
      </c>
      <c r="B80" s="4" t="str">
        <f t="shared" si="0"/>
        <v xml:space="preserve">ZOE </v>
      </c>
      <c r="C80" s="4" t="str">
        <f t="shared" si="1"/>
        <v>TONEY</v>
      </c>
      <c r="D80" s="3" t="s">
        <v>49</v>
      </c>
      <c r="E80" s="3">
        <v>4</v>
      </c>
      <c r="F80" s="9" t="b">
        <v>0</v>
      </c>
      <c r="G80" s="10" t="b">
        <v>0</v>
      </c>
      <c r="H80" s="3">
        <f t="shared" si="2"/>
        <v>8</v>
      </c>
      <c r="I80" s="3">
        <f t="shared" si="3"/>
        <v>0</v>
      </c>
      <c r="J80" s="8">
        <f t="shared" si="4"/>
        <v>0.66666666666666663</v>
      </c>
      <c r="K80" s="5">
        <v>2</v>
      </c>
      <c r="L80" s="3">
        <v>2</v>
      </c>
      <c r="M80" s="3">
        <v>1</v>
      </c>
      <c r="N80" s="3">
        <v>3</v>
      </c>
      <c r="O80" s="3">
        <v>2</v>
      </c>
      <c r="P80" s="3">
        <v>3</v>
      </c>
      <c r="Q80" s="3">
        <v>3</v>
      </c>
      <c r="R80" s="6">
        <v>3</v>
      </c>
      <c r="S80" s="3"/>
      <c r="T80" s="3"/>
      <c r="U80" s="3"/>
      <c r="V80" s="6"/>
      <c r="W80" s="3">
        <f>IF(K80=VLOOKUP(VALUE(K$1),Questions[#All],5,FALSE),1,0)</f>
        <v>1</v>
      </c>
      <c r="X80" s="3">
        <f>IF(L80=VLOOKUP(VALUE(L$1),Questions[#All],5,FALSE),1,0)</f>
        <v>1</v>
      </c>
      <c r="Y80" s="3">
        <f>IF(M80=VLOOKUP(VALUE(M$1),Questions[#All],5,FALSE),1,0)</f>
        <v>1</v>
      </c>
      <c r="Z80" s="3">
        <f>IF(N80=VLOOKUP(VALUE(N$1),Questions[#All],5,FALSE),1,0)</f>
        <v>1</v>
      </c>
      <c r="AA80" s="3">
        <f>IF(O80=VLOOKUP(VALUE(O$1),Questions[#All],5,FALSE),1,0)</f>
        <v>1</v>
      </c>
      <c r="AB80" s="3">
        <f>IF(P80=VLOOKUP(VALUE(P$1),Questions[#All],5,FALSE),1,0)</f>
        <v>1</v>
      </c>
      <c r="AC80" s="3">
        <f>IF(Q80=VLOOKUP(VALUE(Q$1),Questions[#All],5,FALSE),1,0)</f>
        <v>1</v>
      </c>
      <c r="AD80" s="3">
        <f>IF(R80=VLOOKUP(VALUE(R$1),Questions[#All],5,FALSE),1,0)</f>
        <v>1</v>
      </c>
    </row>
    <row r="81" spans="1:30" ht="22.5" customHeight="1" x14ac:dyDescent="0.15">
      <c r="A81" s="4" t="s">
        <v>792</v>
      </c>
      <c r="B81" s="4" t="str">
        <f t="shared" si="0"/>
        <v xml:space="preserve">NEVAEH </v>
      </c>
      <c r="C81" s="4" t="str">
        <f t="shared" si="1"/>
        <v>WATKINS</v>
      </c>
      <c r="D81" s="3" t="s">
        <v>49</v>
      </c>
      <c r="E81" s="3">
        <v>4</v>
      </c>
      <c r="F81" s="9" t="b">
        <v>0</v>
      </c>
      <c r="G81" s="10" t="b">
        <v>0</v>
      </c>
      <c r="H81" s="3">
        <f t="shared" si="2"/>
        <v>4</v>
      </c>
      <c r="I81" s="3">
        <f t="shared" si="3"/>
        <v>0</v>
      </c>
      <c r="J81" s="8">
        <f t="shared" si="4"/>
        <v>0.33333333333333331</v>
      </c>
      <c r="K81" s="5">
        <v>3</v>
      </c>
      <c r="L81" s="3">
        <v>2</v>
      </c>
      <c r="M81" s="3">
        <v>4</v>
      </c>
      <c r="N81" s="3">
        <v>3</v>
      </c>
      <c r="O81" s="3">
        <v>2</v>
      </c>
      <c r="P81" s="3">
        <v>3</v>
      </c>
      <c r="Q81" s="3">
        <v>1</v>
      </c>
      <c r="R81" s="6">
        <v>4</v>
      </c>
      <c r="S81" s="3"/>
      <c r="T81" s="3"/>
      <c r="U81" s="3"/>
      <c r="V81" s="6"/>
      <c r="W81" s="3">
        <f>IF(K81=VLOOKUP(VALUE(K$1),Questions[#All],5,FALSE),1,0)</f>
        <v>0</v>
      </c>
      <c r="X81" s="3">
        <f>IF(L81=VLOOKUP(VALUE(L$1),Questions[#All],5,FALSE),1,0)</f>
        <v>1</v>
      </c>
      <c r="Y81" s="3">
        <f>IF(M81=VLOOKUP(VALUE(M$1),Questions[#All],5,FALSE),1,0)</f>
        <v>0</v>
      </c>
      <c r="Z81" s="3">
        <f>IF(N81=VLOOKUP(VALUE(N$1),Questions[#All],5,FALSE),1,0)</f>
        <v>1</v>
      </c>
      <c r="AA81" s="3">
        <f>IF(O81=VLOOKUP(VALUE(O$1),Questions[#All],5,FALSE),1,0)</f>
        <v>1</v>
      </c>
      <c r="AB81" s="3">
        <f>IF(P81=VLOOKUP(VALUE(P$1),Questions[#All],5,FALSE),1,0)</f>
        <v>1</v>
      </c>
      <c r="AC81" s="3">
        <f>IF(Q81=VLOOKUP(VALUE(Q$1),Questions[#All],5,FALSE),1,0)</f>
        <v>0</v>
      </c>
      <c r="AD81" s="3">
        <f>IF(R81=VLOOKUP(VALUE(R$1),Questions[#All],5,FALSE),1,0)</f>
        <v>0</v>
      </c>
    </row>
    <row r="82" spans="1:30" ht="22.5" customHeight="1" x14ac:dyDescent="0.15">
      <c r="A82" s="4" t="s">
        <v>793</v>
      </c>
      <c r="B82" s="4" t="str">
        <f t="shared" si="0"/>
        <v xml:space="preserve">JOSLIN </v>
      </c>
      <c r="C82" s="4" t="str">
        <f t="shared" si="1"/>
        <v>YOUNGE</v>
      </c>
      <c r="D82" s="3" t="s">
        <v>49</v>
      </c>
      <c r="E82" s="3">
        <v>4</v>
      </c>
      <c r="F82" s="9" t="b">
        <v>0</v>
      </c>
      <c r="G82" s="10" t="b">
        <v>0</v>
      </c>
      <c r="H82" s="3">
        <f t="shared" si="2"/>
        <v>4</v>
      </c>
      <c r="I82" s="3">
        <f t="shared" si="3"/>
        <v>0</v>
      </c>
      <c r="J82" s="8">
        <f t="shared" si="4"/>
        <v>0.33333333333333331</v>
      </c>
      <c r="K82" s="5">
        <v>2</v>
      </c>
      <c r="L82" s="3">
        <v>4</v>
      </c>
      <c r="M82" s="3">
        <v>1</v>
      </c>
      <c r="N82" s="3">
        <v>3</v>
      </c>
      <c r="O82" s="3">
        <v>4</v>
      </c>
      <c r="P82" s="3">
        <v>2</v>
      </c>
      <c r="Q82" s="3">
        <v>3</v>
      </c>
      <c r="R82" s="6">
        <v>2</v>
      </c>
      <c r="S82" s="3"/>
      <c r="T82" s="3"/>
      <c r="U82" s="3"/>
      <c r="V82" s="6"/>
      <c r="W82" s="3">
        <f>IF(K82=VLOOKUP(VALUE(K$1),Questions[#All],5,FALSE),1,0)</f>
        <v>1</v>
      </c>
      <c r="X82" s="3">
        <f>IF(L82=VLOOKUP(VALUE(L$1),Questions[#All],5,FALSE),1,0)</f>
        <v>0</v>
      </c>
      <c r="Y82" s="3">
        <f>IF(M82=VLOOKUP(VALUE(M$1),Questions[#All],5,FALSE),1,0)</f>
        <v>1</v>
      </c>
      <c r="Z82" s="3">
        <f>IF(N82=VLOOKUP(VALUE(N$1),Questions[#All],5,FALSE),1,0)</f>
        <v>1</v>
      </c>
      <c r="AA82" s="3">
        <f>IF(O82=VLOOKUP(VALUE(O$1),Questions[#All],5,FALSE),1,0)</f>
        <v>0</v>
      </c>
      <c r="AB82" s="3">
        <f>IF(P82=VLOOKUP(VALUE(P$1),Questions[#All],5,FALSE),1,0)</f>
        <v>0</v>
      </c>
      <c r="AC82" s="3">
        <f>IF(Q82=VLOOKUP(VALUE(Q$1),Questions[#All],5,FALSE),1,0)</f>
        <v>1</v>
      </c>
      <c r="AD82" s="3">
        <f>IF(R82=VLOOKUP(VALUE(R$1),Questions[#All],5,FALSE),1,0)</f>
        <v>0</v>
      </c>
    </row>
  </sheetData>
  <conditionalFormatting sqref="K2:R82">
    <cfRule type="expression" dxfId="4" priority="1">
      <formula>W2=0</formula>
    </cfRule>
  </conditionalFormatting>
  <dataValidations count="2">
    <dataValidation type="list" allowBlank="1" sqref="D2:D82" xr:uid="{00000000-0002-0000-0000-000000000000}">
      <formula1>"Dushin,Sourial"</formula1>
    </dataValidation>
    <dataValidation type="custom" allowBlank="1" showDropDown="1" sqref="J2:J82" xr:uid="{00000000-0002-0000-0000-000001000000}">
      <formula1>AND(ISNUMBER(J2),(NOT(OR(NOT(ISERROR(DATEVALUE(J2))), AND(ISNUMBER(J2), LEFT(CELL("format", J2))="D")))))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3"/>
  <sheetViews>
    <sheetView showGridLines="0" workbookViewId="0">
      <pane ySplit="1" topLeftCell="A2" activePane="bottomLeft" state="frozen"/>
      <selection pane="bottomLeft" activeCell="C9" sqref="C9"/>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4.1640625" customWidth="1"/>
    <col min="17" max="17" width="15.6640625" customWidth="1"/>
  </cols>
  <sheetData>
    <row r="1" spans="1:17" ht="22.5" customHeight="1" x14ac:dyDescent="0.15">
      <c r="A1" s="3" t="s">
        <v>1</v>
      </c>
      <c r="B1" s="1" t="s">
        <v>5</v>
      </c>
      <c r="C1" s="1" t="s">
        <v>7</v>
      </c>
      <c r="D1" s="1" t="s">
        <v>10</v>
      </c>
      <c r="E1" s="3" t="s">
        <v>15</v>
      </c>
      <c r="F1" s="1" t="s">
        <v>17</v>
      </c>
      <c r="G1" s="1" t="s">
        <v>19</v>
      </c>
      <c r="H1" s="1" t="s">
        <v>22</v>
      </c>
      <c r="I1" s="1" t="s">
        <v>25</v>
      </c>
      <c r="J1" s="1" t="s">
        <v>28</v>
      </c>
      <c r="K1" s="1" t="s">
        <v>30</v>
      </c>
      <c r="L1" s="1" t="s">
        <v>32</v>
      </c>
      <c r="M1" s="1" t="s">
        <v>36</v>
      </c>
      <c r="N1" s="1" t="s">
        <v>40</v>
      </c>
      <c r="O1" s="1" t="s">
        <v>45</v>
      </c>
      <c r="P1" s="1" t="s">
        <v>47</v>
      </c>
      <c r="Q1" s="1" t="s">
        <v>50</v>
      </c>
    </row>
    <row r="2" spans="1:17" ht="22.5" customHeight="1" x14ac:dyDescent="0.15">
      <c r="A2" s="3">
        <v>1</v>
      </c>
      <c r="B2" s="4" t="s">
        <v>54</v>
      </c>
      <c r="C2" t="s">
        <v>795</v>
      </c>
      <c r="D2" t="s">
        <v>796</v>
      </c>
      <c r="E2" s="3">
        <v>2</v>
      </c>
      <c r="F2" t="s">
        <v>797</v>
      </c>
      <c r="G2" t="s">
        <v>798</v>
      </c>
      <c r="H2" t="s">
        <v>799</v>
      </c>
      <c r="I2" t="s">
        <v>800</v>
      </c>
      <c r="J2" s="4" t="s">
        <v>801</v>
      </c>
      <c r="K2" s="4" t="s">
        <v>802</v>
      </c>
      <c r="L2" s="4" t="s">
        <v>85</v>
      </c>
      <c r="M2" s="4" t="s">
        <v>102</v>
      </c>
      <c r="N2" s="4" t="s">
        <v>803</v>
      </c>
      <c r="O2" s="4" t="s">
        <v>804</v>
      </c>
      <c r="P2" s="13">
        <f>AVERAGE(INDEX(Scores[[Q1]:[Q8]],0,Questions[[#This Row],['#]]))</f>
        <v>0.64197530864197527</v>
      </c>
      <c r="Q2" s="14" cm="1">
        <f t="array" ref="Q2">_xlfn.LET(_xlpm.item,INDEX(Scores[[Q1]:[Q8]],0,Questions[[#This Row],['#]]),CORREL(_xlpm.item,Scores[MC]-_xlpm.item))</f>
        <v>0.40059982104646302</v>
      </c>
    </row>
    <row r="3" spans="1:17" ht="22.5" customHeight="1" x14ac:dyDescent="0.15">
      <c r="A3" s="3">
        <v>2</v>
      </c>
      <c r="B3" s="4" t="s">
        <v>54</v>
      </c>
      <c r="C3" t="s">
        <v>805</v>
      </c>
      <c r="D3" t="s">
        <v>806</v>
      </c>
      <c r="E3" s="3">
        <v>2</v>
      </c>
      <c r="F3" t="s">
        <v>807</v>
      </c>
      <c r="G3" t="s">
        <v>808</v>
      </c>
      <c r="H3" t="s">
        <v>809</v>
      </c>
      <c r="I3" t="s">
        <v>810</v>
      </c>
      <c r="J3" s="4" t="s">
        <v>801</v>
      </c>
      <c r="K3" s="4" t="s">
        <v>802</v>
      </c>
      <c r="L3" s="4" t="s">
        <v>59</v>
      </c>
      <c r="M3" s="4" t="s">
        <v>133</v>
      </c>
      <c r="N3" s="4" t="s">
        <v>803</v>
      </c>
      <c r="O3" s="4" t="s">
        <v>804</v>
      </c>
      <c r="P3" s="13">
        <f>AVERAGE(INDEX(Scores[[Q1]:[Q8]],0,Questions[[#This Row],['#]]))</f>
        <v>0.81481481481481477</v>
      </c>
      <c r="Q3" s="14" cm="1">
        <f t="array" ref="Q3">_xlfn.LET(_xlpm.item,INDEX(Scores[[Q1]:[Q8]],0,Questions[[#This Row],['#]]),CORREL(_xlpm.item,Scores[MC]-_xlpm.item))</f>
        <v>0.23810932312496966</v>
      </c>
    </row>
    <row r="4" spans="1:17" ht="22.5" customHeight="1" x14ac:dyDescent="0.15">
      <c r="A4" s="3">
        <v>3</v>
      </c>
      <c r="B4" s="4" t="s">
        <v>54</v>
      </c>
      <c r="C4" t="s">
        <v>805</v>
      </c>
      <c r="D4" t="s">
        <v>811</v>
      </c>
      <c r="E4" s="3">
        <v>1</v>
      </c>
      <c r="F4" t="s">
        <v>812</v>
      </c>
      <c r="G4" t="s">
        <v>813</v>
      </c>
      <c r="H4" t="s">
        <v>814</v>
      </c>
      <c r="I4" t="s">
        <v>815</v>
      </c>
      <c r="J4" s="4" t="s">
        <v>801</v>
      </c>
      <c r="K4" s="4" t="s">
        <v>802</v>
      </c>
      <c r="L4" s="4" t="s">
        <v>48</v>
      </c>
      <c r="M4" s="4" t="s">
        <v>114</v>
      </c>
      <c r="N4" s="4" t="s">
        <v>803</v>
      </c>
      <c r="O4" s="4" t="s">
        <v>804</v>
      </c>
      <c r="P4" s="13">
        <f>AVERAGE(INDEX(Scores[[Q1]:[Q8]],0,Questions[[#This Row],['#]]))</f>
        <v>0.59259259259259256</v>
      </c>
      <c r="Q4" s="14" cm="1">
        <f t="array" ref="Q4">_xlfn.LET(_xlpm.item,INDEX(Scores[[Q1]:[Q8]],0,Questions[[#This Row],['#]]),CORREL(_xlpm.item,Scores[MC]-_xlpm.item))</f>
        <v>0.28398455912630444</v>
      </c>
    </row>
    <row r="5" spans="1:17" ht="22.5" customHeight="1" x14ac:dyDescent="0.15">
      <c r="A5" s="3">
        <v>4</v>
      </c>
      <c r="B5" s="4" t="s">
        <v>54</v>
      </c>
      <c r="C5" t="s">
        <v>816</v>
      </c>
      <c r="D5" t="s">
        <v>817</v>
      </c>
      <c r="E5" s="3">
        <v>3</v>
      </c>
      <c r="F5" t="s">
        <v>818</v>
      </c>
      <c r="G5" t="s">
        <v>819</v>
      </c>
      <c r="H5" t="s">
        <v>820</v>
      </c>
      <c r="I5" t="s">
        <v>821</v>
      </c>
      <c r="J5" s="4" t="s">
        <v>801</v>
      </c>
      <c r="K5" s="4" t="s">
        <v>822</v>
      </c>
      <c r="L5" s="4" t="s">
        <v>8</v>
      </c>
      <c r="M5" s="4" t="s">
        <v>95</v>
      </c>
      <c r="N5" s="4" t="s">
        <v>803</v>
      </c>
      <c r="O5" s="4" t="s">
        <v>823</v>
      </c>
      <c r="P5" s="13">
        <f>AVERAGE(INDEX(Scores[[Q1]:[Q8]],0,Questions[[#This Row],['#]]))</f>
        <v>0.71604938271604934</v>
      </c>
      <c r="Q5" s="14" cm="1">
        <f t="array" ref="Q5">_xlfn.LET(_xlpm.item,INDEX(Scores[[Q1]:[Q8]],0,Questions[[#This Row],['#]]),CORREL(_xlpm.item,Scores[MC]-_xlpm.item))</f>
        <v>0.42338067987099925</v>
      </c>
    </row>
    <row r="6" spans="1:17" ht="22.5" customHeight="1" x14ac:dyDescent="0.15">
      <c r="A6" s="3">
        <v>5</v>
      </c>
      <c r="B6" s="4" t="s">
        <v>54</v>
      </c>
      <c r="C6" t="s">
        <v>824</v>
      </c>
      <c r="D6" t="s">
        <v>825</v>
      </c>
      <c r="E6" s="3">
        <v>2</v>
      </c>
      <c r="F6" t="s">
        <v>826</v>
      </c>
      <c r="G6" t="s">
        <v>827</v>
      </c>
      <c r="H6" t="s">
        <v>828</v>
      </c>
      <c r="I6" t="s">
        <v>829</v>
      </c>
      <c r="J6" s="4" t="s">
        <v>801</v>
      </c>
      <c r="K6" s="4" t="s">
        <v>802</v>
      </c>
      <c r="L6" s="4" t="s">
        <v>52</v>
      </c>
      <c r="M6" s="4" t="s">
        <v>112</v>
      </c>
      <c r="N6" s="4" t="s">
        <v>803</v>
      </c>
      <c r="O6" s="4" t="s">
        <v>830</v>
      </c>
      <c r="P6" s="13">
        <f>AVERAGE(INDEX(Scores[[Q1]:[Q8]],0,Questions[[#This Row],['#]]))</f>
        <v>0.79012345679012341</v>
      </c>
      <c r="Q6" s="14" cm="1">
        <f t="array" ref="Q6">_xlfn.LET(_xlpm.item,INDEX(Scores[[Q1]:[Q8]],0,Questions[[#This Row],['#]]),CORREL(_xlpm.item,Scores[MC]-_xlpm.item))</f>
        <v>0.6229701963155303</v>
      </c>
    </row>
    <row r="7" spans="1:17" ht="22.5" customHeight="1" x14ac:dyDescent="0.15">
      <c r="A7" s="3">
        <v>6</v>
      </c>
      <c r="B7" s="4" t="s">
        <v>54</v>
      </c>
      <c r="C7" t="s">
        <v>831</v>
      </c>
      <c r="D7" t="s">
        <v>832</v>
      </c>
      <c r="E7" s="3">
        <v>3</v>
      </c>
      <c r="F7" t="s">
        <v>833</v>
      </c>
      <c r="G7" t="s">
        <v>834</v>
      </c>
      <c r="H7" t="s">
        <v>835</v>
      </c>
      <c r="I7" t="s">
        <v>836</v>
      </c>
      <c r="J7" s="4" t="s">
        <v>837</v>
      </c>
      <c r="K7" s="4" t="s">
        <v>802</v>
      </c>
      <c r="L7" s="4" t="s">
        <v>71</v>
      </c>
      <c r="M7" s="4" t="s">
        <v>142</v>
      </c>
      <c r="N7" s="4" t="s">
        <v>803</v>
      </c>
      <c r="O7" s="4" t="s">
        <v>838</v>
      </c>
      <c r="P7" s="13">
        <f>AVERAGE(INDEX(Scores[[Q1]:[Q8]],0,Questions[[#This Row],['#]]))</f>
        <v>0.72839506172839508</v>
      </c>
      <c r="Q7" s="14" cm="1">
        <f t="array" ref="Q7">_xlfn.LET(_xlpm.item,INDEX(Scores[[Q1]:[Q8]],0,Questions[[#This Row],['#]]),CORREL(_xlpm.item,Scores[MC]-_xlpm.item))</f>
        <v>0.39200433954708791</v>
      </c>
    </row>
    <row r="8" spans="1:17" ht="22.5" customHeight="1" x14ac:dyDescent="0.15">
      <c r="A8" s="3">
        <v>7</v>
      </c>
      <c r="B8" s="4" t="s">
        <v>54</v>
      </c>
      <c r="C8" t="s">
        <v>839</v>
      </c>
      <c r="D8" t="s">
        <v>840</v>
      </c>
      <c r="E8" s="3">
        <v>3</v>
      </c>
      <c r="F8" t="s">
        <v>841</v>
      </c>
      <c r="G8" t="s">
        <v>842</v>
      </c>
      <c r="H8" t="s">
        <v>843</v>
      </c>
      <c r="I8" t="s">
        <v>844</v>
      </c>
      <c r="J8" s="4" t="s">
        <v>801</v>
      </c>
      <c r="K8" s="4" t="s">
        <v>822</v>
      </c>
      <c r="L8" s="4" t="s">
        <v>8</v>
      </c>
      <c r="M8" s="4" t="s">
        <v>95</v>
      </c>
      <c r="N8" s="4" t="s">
        <v>803</v>
      </c>
      <c r="O8" s="4" t="s">
        <v>845</v>
      </c>
      <c r="P8" s="13">
        <f>AVERAGE(INDEX(Scores[[Q1]:[Q8]],0,Questions[[#This Row],['#]]))</f>
        <v>0.58024691358024694</v>
      </c>
      <c r="Q8" s="14" cm="1">
        <f t="array" ref="Q8">_xlfn.LET(_xlpm.item,INDEX(Scores[[Q1]:[Q8]],0,Questions[[#This Row],['#]]),CORREL(_xlpm.item,Scores[MC]-_xlpm.item))</f>
        <v>0.14094467796619645</v>
      </c>
    </row>
    <row r="9" spans="1:17" ht="22.5" customHeight="1" x14ac:dyDescent="0.15">
      <c r="A9" s="3">
        <v>8</v>
      </c>
      <c r="B9" s="4" t="s">
        <v>54</v>
      </c>
      <c r="C9" t="s">
        <v>839</v>
      </c>
      <c r="D9" t="s">
        <v>846</v>
      </c>
      <c r="E9" s="3">
        <v>3</v>
      </c>
      <c r="F9" t="s">
        <v>847</v>
      </c>
      <c r="G9" t="s">
        <v>848</v>
      </c>
      <c r="H9" t="s">
        <v>849</v>
      </c>
      <c r="I9" t="s">
        <v>850</v>
      </c>
      <c r="J9" s="4" t="s">
        <v>801</v>
      </c>
      <c r="K9" s="4" t="s">
        <v>822</v>
      </c>
      <c r="L9" s="4" t="s">
        <v>59</v>
      </c>
      <c r="M9" s="4" t="s">
        <v>131</v>
      </c>
      <c r="N9" s="4" t="s">
        <v>851</v>
      </c>
      <c r="O9" s="4" t="s">
        <v>845</v>
      </c>
      <c r="P9" s="13">
        <f>AVERAGE(INDEX(Scores[[Q1]:[Q8]],0,Questions[[#This Row],['#]]))</f>
        <v>0.66666666666666663</v>
      </c>
      <c r="Q9" s="14" cm="1">
        <f t="array" ref="Q9">_xlfn.LET(_xlpm.item,INDEX(Scores[[Q1]:[Q8]],0,Questions[[#This Row],['#]]),CORREL(_xlpm.item,Scores[MC]-_xlpm.item))</f>
        <v>0.31706488201475336</v>
      </c>
    </row>
    <row r="10" spans="1:17" ht="22.5" customHeight="1" x14ac:dyDescent="0.15">
      <c r="A10" s="3">
        <v>9</v>
      </c>
      <c r="B10" s="4" t="s">
        <v>98</v>
      </c>
      <c r="C10" t="s">
        <v>852</v>
      </c>
      <c r="D10" t="s">
        <v>853</v>
      </c>
      <c r="E10" s="3">
        <v>1</v>
      </c>
      <c r="J10" s="4" t="s">
        <v>801</v>
      </c>
      <c r="K10" s="4" t="s">
        <v>822</v>
      </c>
      <c r="L10" s="4" t="s">
        <v>55</v>
      </c>
      <c r="M10" s="4" t="s">
        <v>137</v>
      </c>
      <c r="N10" s="4" t="s">
        <v>851</v>
      </c>
      <c r="O10" s="4" t="s">
        <v>823</v>
      </c>
    </row>
    <row r="11" spans="1:17" ht="22.5" customHeight="1" x14ac:dyDescent="0.15">
      <c r="A11" s="3">
        <v>10</v>
      </c>
      <c r="B11" s="4" t="s">
        <v>98</v>
      </c>
      <c r="C11" t="s">
        <v>816</v>
      </c>
      <c r="D11" t="s">
        <v>854</v>
      </c>
      <c r="E11" s="3">
        <v>1</v>
      </c>
      <c r="J11" s="4" t="s">
        <v>801</v>
      </c>
      <c r="K11" s="4" t="s">
        <v>822</v>
      </c>
      <c r="L11" s="4" t="s">
        <v>14</v>
      </c>
      <c r="M11" s="4" t="s">
        <v>97</v>
      </c>
      <c r="N11" s="4" t="s">
        <v>851</v>
      </c>
      <c r="O11" s="4" t="s">
        <v>823</v>
      </c>
    </row>
    <row r="12" spans="1:17" ht="22.5" customHeight="1" x14ac:dyDescent="0.15">
      <c r="A12" s="3" t="s">
        <v>60</v>
      </c>
      <c r="B12" s="4" t="s">
        <v>98</v>
      </c>
      <c r="C12" t="s">
        <v>855</v>
      </c>
      <c r="D12" t="s">
        <v>856</v>
      </c>
      <c r="E12" s="3">
        <v>1</v>
      </c>
      <c r="J12" s="4" t="s">
        <v>857</v>
      </c>
      <c r="K12" s="4" t="s">
        <v>822</v>
      </c>
      <c r="L12" s="4" t="s">
        <v>64</v>
      </c>
      <c r="M12" s="4" t="s">
        <v>133</v>
      </c>
      <c r="N12" s="4" t="s">
        <v>803</v>
      </c>
      <c r="O12" s="4" t="s">
        <v>823</v>
      </c>
    </row>
    <row r="13" spans="1:17" ht="22.5" customHeight="1" x14ac:dyDescent="0.15">
      <c r="A13" s="3" t="s">
        <v>61</v>
      </c>
      <c r="B13" s="4" t="s">
        <v>98</v>
      </c>
      <c r="C13" t="s">
        <v>855</v>
      </c>
      <c r="D13" t="s">
        <v>858</v>
      </c>
      <c r="E13" s="3">
        <v>1</v>
      </c>
      <c r="J13" s="4" t="s">
        <v>857</v>
      </c>
      <c r="K13" s="4" t="s">
        <v>822</v>
      </c>
      <c r="L13" s="4" t="s">
        <v>64</v>
      </c>
      <c r="M13" s="4" t="s">
        <v>106</v>
      </c>
      <c r="N13" s="4" t="s">
        <v>803</v>
      </c>
      <c r="O13" s="4" t="s">
        <v>823</v>
      </c>
    </row>
  </sheetData>
  <dataValidations count="4">
    <dataValidation type="list" allowBlank="1" sqref="N2:N13" xr:uid="{00000000-0002-0000-0100-000000000000}">
      <formula1>"Yes,No"</formula1>
    </dataValidation>
    <dataValidation type="custom" allowBlank="1" showDropDown="1" sqref="A2:A13" xr:uid="{00000000-0002-0000-0100-000001000000}">
      <formula1>AND(ISNUMBER(A2),(NOT(OR(NOT(ISERROR(DATEVALUE(A2))), AND(ISNUMBER(A2), LEFT(CELL("format", A2))="D")))))</formula1>
    </dataValidation>
    <dataValidation type="list" allowBlank="1" sqref="J2:J13" xr:uid="{00000000-0002-0000-0100-000002000000}">
      <formula1>"Text-based,Data-based,Map-based,Visual-based,Multiple"</formula1>
    </dataValidation>
    <dataValidation type="list" allowBlank="1" sqref="K2:K13" xr:uid="{00000000-0002-0000-0100-000004000000}">
      <formula1>"Primary,Secondary,Both"</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'Skill Standards'!$B$2:$B$42</xm:f>
          </x14:formula1>
          <xm:sqref>M2:M13</xm:sqref>
        </x14:dataValidation>
        <x14:dataValidation type="list" allowBlank="1" xr:uid="{17BAD928-2D68-7247-8BA3-5EDF5CA429FA}">
          <x14:formula1>
            <xm:f>'Content Standards'!$D$2:$D$178</xm:f>
          </x14:formula1>
          <xm:sqref>O2:O13</xm:sqref>
        </x14:dataValidation>
        <x14:dataValidation type="list" allowBlank="1" xr:uid="{2997BD61-FC26-3843-AE48-C6B1334193BF}">
          <x14:formula1>
            <xm:f>'Task Models'!$A$2:$A$19</xm:f>
          </x14:formula1>
          <xm:sqref>L2:L13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12" sqref="B12"/>
    </sheetView>
  </sheetViews>
  <sheetFormatPr baseColWidth="10" defaultColWidth="12.6640625" defaultRowHeight="15.75" customHeight="1" x14ac:dyDescent="0.15"/>
  <cols>
    <col min="1" max="1" width="36.6640625" customWidth="1"/>
    <col min="2" max="2" width="37.6640625" customWidth="1"/>
  </cols>
  <sheetData>
    <row r="1" spans="1:2" ht="22.5" customHeight="1" x14ac:dyDescent="0.15">
      <c r="A1" s="1" t="s">
        <v>0</v>
      </c>
      <c r="B1" s="1" t="s">
        <v>3</v>
      </c>
    </row>
    <row r="2" spans="1:2" ht="22.5" customHeight="1" x14ac:dyDescent="0.15">
      <c r="A2" s="4" t="s">
        <v>8</v>
      </c>
      <c r="B2" s="4" t="s">
        <v>12</v>
      </c>
    </row>
    <row r="3" spans="1:2" ht="22.5" customHeight="1" x14ac:dyDescent="0.15">
      <c r="A3" s="4" t="s">
        <v>14</v>
      </c>
      <c r="B3" s="4" t="s">
        <v>16</v>
      </c>
    </row>
    <row r="4" spans="1:2" ht="22.5" customHeight="1" x14ac:dyDescent="0.15">
      <c r="A4" s="4" t="s">
        <v>18</v>
      </c>
      <c r="B4" s="4" t="s">
        <v>21</v>
      </c>
    </row>
    <row r="5" spans="1:2" ht="22.5" customHeight="1" x14ac:dyDescent="0.15">
      <c r="A5" s="4" t="s">
        <v>24</v>
      </c>
      <c r="B5" s="4" t="s">
        <v>27</v>
      </c>
    </row>
    <row r="6" spans="1:2" ht="22.5" customHeight="1" x14ac:dyDescent="0.15">
      <c r="A6" s="4" t="s">
        <v>31</v>
      </c>
      <c r="B6" s="4" t="s">
        <v>34</v>
      </c>
    </row>
    <row r="7" spans="1:2" ht="22.5" customHeight="1" x14ac:dyDescent="0.15">
      <c r="A7" s="4" t="s">
        <v>38</v>
      </c>
      <c r="B7" s="4" t="s">
        <v>43</v>
      </c>
    </row>
    <row r="8" spans="1:2" ht="22.5" customHeight="1" x14ac:dyDescent="0.15">
      <c r="A8" s="4" t="s">
        <v>48</v>
      </c>
      <c r="B8" s="4" t="s">
        <v>51</v>
      </c>
    </row>
    <row r="9" spans="1:2" ht="22.5" customHeight="1" x14ac:dyDescent="0.15">
      <c r="A9" s="4" t="s">
        <v>52</v>
      </c>
      <c r="B9" s="4" t="s">
        <v>53</v>
      </c>
    </row>
    <row r="10" spans="1:2" ht="22.5" customHeight="1" x14ac:dyDescent="0.15">
      <c r="A10" s="4" t="s">
        <v>55</v>
      </c>
      <c r="B10" s="4" t="s">
        <v>57</v>
      </c>
    </row>
    <row r="11" spans="1:2" ht="22.5" customHeight="1" x14ac:dyDescent="0.15">
      <c r="A11" s="4" t="s">
        <v>59</v>
      </c>
      <c r="B11" s="4" t="s">
        <v>62</v>
      </c>
    </row>
    <row r="12" spans="1:2" ht="22.5" customHeight="1" x14ac:dyDescent="0.15">
      <c r="A12" s="4" t="s">
        <v>64</v>
      </c>
      <c r="B12" s="4" t="s">
        <v>65</v>
      </c>
    </row>
    <row r="13" spans="1:2" ht="22.5" customHeight="1" x14ac:dyDescent="0.15">
      <c r="A13" s="4" t="s">
        <v>67</v>
      </c>
      <c r="B13" s="4" t="s">
        <v>69</v>
      </c>
    </row>
    <row r="14" spans="1:2" ht="22.5" customHeight="1" x14ac:dyDescent="0.15">
      <c r="A14" s="4" t="s">
        <v>71</v>
      </c>
      <c r="B14" s="4" t="s">
        <v>74</v>
      </c>
    </row>
    <row r="15" spans="1:2" ht="22.5" customHeight="1" x14ac:dyDescent="0.15">
      <c r="A15" s="4" t="s">
        <v>76</v>
      </c>
      <c r="B15" s="4" t="s">
        <v>78</v>
      </c>
    </row>
    <row r="16" spans="1:2" ht="22.5" customHeight="1" x14ac:dyDescent="0.15">
      <c r="A16" s="4" t="s">
        <v>79</v>
      </c>
      <c r="B16" s="4" t="s">
        <v>81</v>
      </c>
    </row>
    <row r="17" spans="1:2" ht="22.5" customHeight="1" x14ac:dyDescent="0.15">
      <c r="A17" s="4" t="s">
        <v>83</v>
      </c>
      <c r="B17" s="4" t="s">
        <v>84</v>
      </c>
    </row>
    <row r="18" spans="1:2" ht="22.5" customHeight="1" x14ac:dyDescent="0.15">
      <c r="A18" s="4" t="s">
        <v>85</v>
      </c>
      <c r="B18" s="4" t="s">
        <v>86</v>
      </c>
    </row>
    <row r="19" spans="1:2" ht="22.5" customHeight="1" x14ac:dyDescent="0.15">
      <c r="A19" s="4" t="s">
        <v>87</v>
      </c>
      <c r="B19" s="4" t="s">
        <v>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32" activePane="bottomLeft" state="frozen"/>
      <selection pane="bottomLeft" activeCell="B11" sqref="B11"/>
    </sheetView>
  </sheetViews>
  <sheetFormatPr baseColWidth="10" defaultColWidth="12.6640625" defaultRowHeight="15.75" customHeight="1" x14ac:dyDescent="0.15"/>
  <cols>
    <col min="1" max="1" width="35.83203125" customWidth="1"/>
    <col min="2" max="2" width="30.1640625" customWidth="1"/>
    <col min="3" max="3" width="188.6640625" bestFit="1" customWidth="1"/>
  </cols>
  <sheetData>
    <row r="1" spans="1:3" ht="22.5" customHeight="1" x14ac:dyDescent="0.15">
      <c r="A1" s="1" t="s">
        <v>89</v>
      </c>
      <c r="B1" s="1" t="s">
        <v>90</v>
      </c>
      <c r="C1" s="1" t="s">
        <v>91</v>
      </c>
    </row>
    <row r="2" spans="1:3" ht="22.5" customHeight="1" x14ac:dyDescent="0.15">
      <c r="A2" s="4" t="s">
        <v>92</v>
      </c>
      <c r="B2" s="4" t="s">
        <v>93</v>
      </c>
      <c r="C2" s="4" t="s">
        <v>94</v>
      </c>
    </row>
    <row r="3" spans="1:3" ht="22.5" customHeight="1" x14ac:dyDescent="0.15">
      <c r="A3" s="4" t="s">
        <v>92</v>
      </c>
      <c r="B3" s="4" t="s">
        <v>95</v>
      </c>
      <c r="C3" s="4" t="s">
        <v>96</v>
      </c>
    </row>
    <row r="4" spans="1:3" ht="22.5" customHeight="1" x14ac:dyDescent="0.15">
      <c r="A4" s="4" t="s">
        <v>92</v>
      </c>
      <c r="B4" s="4" t="s">
        <v>97</v>
      </c>
      <c r="C4" s="4" t="s">
        <v>99</v>
      </c>
    </row>
    <row r="5" spans="1:3" ht="22.5" customHeight="1" x14ac:dyDescent="0.15">
      <c r="A5" s="4" t="s">
        <v>92</v>
      </c>
      <c r="B5" s="4" t="s">
        <v>100</v>
      </c>
      <c r="C5" s="4" t="s">
        <v>101</v>
      </c>
    </row>
    <row r="6" spans="1:3" ht="22.5" customHeight="1" x14ac:dyDescent="0.15">
      <c r="A6" s="4" t="s">
        <v>92</v>
      </c>
      <c r="B6" s="4" t="s">
        <v>102</v>
      </c>
      <c r="C6" s="4" t="s">
        <v>103</v>
      </c>
    </row>
    <row r="7" spans="1:3" ht="22.5" customHeight="1" x14ac:dyDescent="0.15">
      <c r="A7" s="4" t="s">
        <v>92</v>
      </c>
      <c r="B7" s="4" t="s">
        <v>104</v>
      </c>
      <c r="C7" s="4" t="s">
        <v>105</v>
      </c>
    </row>
    <row r="8" spans="1:3" ht="22.5" customHeight="1" x14ac:dyDescent="0.15">
      <c r="A8" s="4" t="s">
        <v>92</v>
      </c>
      <c r="B8" s="4" t="s">
        <v>106</v>
      </c>
      <c r="C8" s="4" t="s">
        <v>107</v>
      </c>
    </row>
    <row r="9" spans="1:3" ht="22.5" customHeight="1" x14ac:dyDescent="0.15">
      <c r="A9" s="4" t="s">
        <v>109</v>
      </c>
      <c r="B9" s="4" t="s">
        <v>110</v>
      </c>
      <c r="C9" s="4" t="s">
        <v>111</v>
      </c>
    </row>
    <row r="10" spans="1:3" ht="22.5" customHeight="1" x14ac:dyDescent="0.15">
      <c r="A10" s="4" t="s">
        <v>109</v>
      </c>
      <c r="B10" s="4" t="s">
        <v>112</v>
      </c>
      <c r="C10" s="4" t="s">
        <v>113</v>
      </c>
    </row>
    <row r="11" spans="1:3" ht="22.5" customHeight="1" x14ac:dyDescent="0.15">
      <c r="A11" s="4" t="s">
        <v>109</v>
      </c>
      <c r="B11" s="4" t="s">
        <v>114</v>
      </c>
      <c r="C11" s="4" t="s">
        <v>115</v>
      </c>
    </row>
    <row r="12" spans="1:3" ht="22.5" customHeight="1" x14ac:dyDescent="0.15">
      <c r="A12" s="4" t="s">
        <v>109</v>
      </c>
      <c r="B12" s="4" t="s">
        <v>116</v>
      </c>
      <c r="C12" s="4" t="s">
        <v>117</v>
      </c>
    </row>
    <row r="13" spans="1:3" ht="22.5" customHeight="1" x14ac:dyDescent="0.15">
      <c r="A13" s="4" t="s">
        <v>109</v>
      </c>
      <c r="B13" s="4" t="s">
        <v>118</v>
      </c>
      <c r="C13" s="4" t="s">
        <v>119</v>
      </c>
    </row>
    <row r="14" spans="1:3" ht="22.5" customHeight="1" x14ac:dyDescent="0.15">
      <c r="A14" s="4" t="s">
        <v>109</v>
      </c>
      <c r="B14" s="4" t="s">
        <v>120</v>
      </c>
      <c r="C14" s="4" t="s">
        <v>121</v>
      </c>
    </row>
    <row r="15" spans="1:3" ht="22.5" customHeight="1" x14ac:dyDescent="0.15">
      <c r="A15" s="4" t="s">
        <v>109</v>
      </c>
      <c r="B15" s="4" t="s">
        <v>122</v>
      </c>
      <c r="C15" s="4" t="s">
        <v>123</v>
      </c>
    </row>
    <row r="16" spans="1:3" ht="22.5" customHeight="1" x14ac:dyDescent="0.15">
      <c r="A16" s="4" t="s">
        <v>109</v>
      </c>
      <c r="B16" s="4" t="s">
        <v>124</v>
      </c>
      <c r="C16" s="4" t="s">
        <v>125</v>
      </c>
    </row>
    <row r="17" spans="1:3" ht="22.5" customHeight="1" x14ac:dyDescent="0.15">
      <c r="A17" s="4" t="s">
        <v>126</v>
      </c>
      <c r="B17" s="4" t="s">
        <v>127</v>
      </c>
      <c r="C17" s="4" t="s">
        <v>128</v>
      </c>
    </row>
    <row r="18" spans="1:3" ht="22.5" customHeight="1" x14ac:dyDescent="0.15">
      <c r="A18" s="4" t="s">
        <v>126</v>
      </c>
      <c r="B18" s="4" t="s">
        <v>129</v>
      </c>
      <c r="C18" s="4" t="s">
        <v>130</v>
      </c>
    </row>
    <row r="19" spans="1:3" ht="22.5" customHeight="1" x14ac:dyDescent="0.15">
      <c r="A19" s="4" t="s">
        <v>126</v>
      </c>
      <c r="B19" s="4" t="s">
        <v>131</v>
      </c>
      <c r="C19" s="4" t="s">
        <v>132</v>
      </c>
    </row>
    <row r="20" spans="1:3" ht="22.5" customHeight="1" x14ac:dyDescent="0.15">
      <c r="A20" s="4" t="s">
        <v>126</v>
      </c>
      <c r="B20" s="4" t="s">
        <v>133</v>
      </c>
      <c r="C20" s="4" t="s">
        <v>134</v>
      </c>
    </row>
    <row r="21" spans="1:3" ht="22.5" customHeight="1" x14ac:dyDescent="0.15">
      <c r="A21" s="4" t="s">
        <v>126</v>
      </c>
      <c r="B21" s="4" t="s">
        <v>135</v>
      </c>
      <c r="C21" s="4" t="s">
        <v>136</v>
      </c>
    </row>
    <row r="22" spans="1:3" ht="22.5" customHeight="1" x14ac:dyDescent="0.15">
      <c r="A22" s="4" t="s">
        <v>126</v>
      </c>
      <c r="B22" s="4" t="s">
        <v>137</v>
      </c>
      <c r="C22" s="4" t="s">
        <v>138</v>
      </c>
    </row>
    <row r="23" spans="1:3" ht="22.5" customHeight="1" x14ac:dyDescent="0.15">
      <c r="A23" s="4" t="s">
        <v>139</v>
      </c>
      <c r="B23" s="4" t="s">
        <v>140</v>
      </c>
      <c r="C23" s="4" t="s">
        <v>141</v>
      </c>
    </row>
    <row r="24" spans="1:3" ht="22.5" customHeight="1" x14ac:dyDescent="0.15">
      <c r="A24" s="4" t="s">
        <v>139</v>
      </c>
      <c r="B24" s="4" t="s">
        <v>142</v>
      </c>
      <c r="C24" s="4" t="s">
        <v>143</v>
      </c>
    </row>
    <row r="25" spans="1:3" ht="22.5" customHeight="1" x14ac:dyDescent="0.15">
      <c r="A25" s="4" t="s">
        <v>139</v>
      </c>
      <c r="B25" s="4" t="s">
        <v>144</v>
      </c>
      <c r="C25" s="4" t="s">
        <v>145</v>
      </c>
    </row>
    <row r="26" spans="1:3" ht="22.5" customHeight="1" x14ac:dyDescent="0.15">
      <c r="A26" s="4" t="s">
        <v>139</v>
      </c>
      <c r="B26" s="4" t="s">
        <v>146</v>
      </c>
      <c r="C26" s="4" t="s">
        <v>147</v>
      </c>
    </row>
    <row r="27" spans="1:3" ht="22.5" customHeight="1" x14ac:dyDescent="0.15">
      <c r="A27" s="4" t="s">
        <v>139</v>
      </c>
      <c r="B27" s="4" t="s">
        <v>148</v>
      </c>
      <c r="C27" s="4" t="s">
        <v>149</v>
      </c>
    </row>
    <row r="28" spans="1:3" ht="22.5" customHeight="1" x14ac:dyDescent="0.15">
      <c r="A28" s="4" t="s">
        <v>139</v>
      </c>
      <c r="B28" s="4" t="s">
        <v>150</v>
      </c>
      <c r="C28" s="4" t="s">
        <v>151</v>
      </c>
    </row>
    <row r="29" spans="1:3" ht="22.5" customHeight="1" x14ac:dyDescent="0.15">
      <c r="A29" s="4" t="s">
        <v>152</v>
      </c>
      <c r="B29" s="4" t="s">
        <v>154</v>
      </c>
      <c r="C29" s="4" t="s">
        <v>156</v>
      </c>
    </row>
    <row r="30" spans="1:3" ht="22.5" customHeight="1" x14ac:dyDescent="0.15">
      <c r="A30" s="4" t="s">
        <v>152</v>
      </c>
      <c r="B30" s="4" t="s">
        <v>160</v>
      </c>
      <c r="C30" s="4" t="s">
        <v>162</v>
      </c>
    </row>
    <row r="31" spans="1:3" ht="22.5" customHeight="1" x14ac:dyDescent="0.15">
      <c r="A31" s="4" t="s">
        <v>152</v>
      </c>
      <c r="B31" s="4" t="s">
        <v>166</v>
      </c>
      <c r="C31" s="4" t="s">
        <v>168</v>
      </c>
    </row>
    <row r="32" spans="1:3" ht="22.5" customHeight="1" x14ac:dyDescent="0.15">
      <c r="A32" s="4" t="s">
        <v>152</v>
      </c>
      <c r="B32" s="4" t="s">
        <v>171</v>
      </c>
      <c r="C32" s="4" t="s">
        <v>174</v>
      </c>
    </row>
    <row r="33" spans="1:3" ht="22.5" customHeight="1" x14ac:dyDescent="0.15">
      <c r="A33" s="4" t="s">
        <v>152</v>
      </c>
      <c r="B33" s="4" t="s">
        <v>178</v>
      </c>
      <c r="C33" s="4" t="s">
        <v>180</v>
      </c>
    </row>
    <row r="34" spans="1:3" ht="22.5" customHeight="1" x14ac:dyDescent="0.15">
      <c r="A34" s="4" t="s">
        <v>152</v>
      </c>
      <c r="B34" s="4" t="s">
        <v>183</v>
      </c>
      <c r="C34" s="4" t="s">
        <v>185</v>
      </c>
    </row>
    <row r="35" spans="1:3" ht="22.5" customHeight="1" x14ac:dyDescent="0.15">
      <c r="A35" s="4" t="s">
        <v>189</v>
      </c>
      <c r="B35" s="4" t="s">
        <v>192</v>
      </c>
      <c r="C35" s="4" t="s">
        <v>194</v>
      </c>
    </row>
    <row r="36" spans="1:3" ht="22.5" customHeight="1" x14ac:dyDescent="0.15">
      <c r="A36" s="4" t="s">
        <v>189</v>
      </c>
      <c r="B36" s="4" t="s">
        <v>198</v>
      </c>
      <c r="C36" s="4" t="s">
        <v>201</v>
      </c>
    </row>
    <row r="37" spans="1:3" ht="22.5" customHeight="1" x14ac:dyDescent="0.15">
      <c r="A37" s="4" t="s">
        <v>189</v>
      </c>
      <c r="B37" s="4" t="s">
        <v>205</v>
      </c>
      <c r="C37" s="4" t="s">
        <v>206</v>
      </c>
    </row>
    <row r="38" spans="1:3" ht="22.5" customHeight="1" x14ac:dyDescent="0.15">
      <c r="A38" s="4" t="s">
        <v>189</v>
      </c>
      <c r="B38" s="4" t="s">
        <v>210</v>
      </c>
      <c r="C38" s="4" t="s">
        <v>212</v>
      </c>
    </row>
    <row r="39" spans="1:3" ht="22.5" customHeight="1" x14ac:dyDescent="0.15">
      <c r="A39" s="4" t="s">
        <v>189</v>
      </c>
      <c r="B39" s="4" t="s">
        <v>216</v>
      </c>
      <c r="C39" s="4" t="s">
        <v>218</v>
      </c>
    </row>
    <row r="40" spans="1:3" ht="22.5" customHeight="1" x14ac:dyDescent="0.15">
      <c r="A40" s="4" t="s">
        <v>189</v>
      </c>
      <c r="B40" s="4" t="s">
        <v>221</v>
      </c>
      <c r="C40" s="4" t="s">
        <v>224</v>
      </c>
    </row>
    <row r="41" spans="1:3" ht="22.5" customHeight="1" x14ac:dyDescent="0.15">
      <c r="A41" s="4" t="s">
        <v>189</v>
      </c>
      <c r="B41" s="4" t="s">
        <v>226</v>
      </c>
      <c r="C41" s="4" t="s">
        <v>229</v>
      </c>
    </row>
    <row r="42" spans="1:3" ht="22.5" customHeight="1" x14ac:dyDescent="0.15">
      <c r="A42" s="4" t="s">
        <v>189</v>
      </c>
      <c r="B42" s="4" t="s">
        <v>233</v>
      </c>
      <c r="C42" s="4" t="s">
        <v>236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156" activePane="bottomLeft" state="frozen"/>
      <selection pane="bottomLeft" activeCell="D3" sqref="D3"/>
    </sheetView>
  </sheetViews>
  <sheetFormatPr baseColWidth="10" defaultColWidth="12.6640625" defaultRowHeight="15.75" customHeight="1" x14ac:dyDescent="0.15"/>
  <cols>
    <col min="2" max="2" width="37.6640625" customWidth="1"/>
    <col min="3" max="3" width="80.83203125" customWidth="1"/>
    <col min="4" max="4" width="76.33203125" bestFit="1" customWidth="1"/>
  </cols>
  <sheetData>
    <row r="1" spans="1:4" ht="22.5" customHeight="1" x14ac:dyDescent="0.15">
      <c r="A1" s="1" t="s">
        <v>1</v>
      </c>
      <c r="B1" s="1" t="s">
        <v>153</v>
      </c>
      <c r="C1" s="1" t="s">
        <v>155</v>
      </c>
      <c r="D1" s="11" t="s">
        <v>794</v>
      </c>
    </row>
    <row r="2" spans="1:4" ht="22.5" customHeight="1" x14ac:dyDescent="0.15">
      <c r="A2" s="4" t="s">
        <v>157</v>
      </c>
      <c r="B2" s="4" t="s">
        <v>158</v>
      </c>
      <c r="C2" s="4" t="s">
        <v>159</v>
      </c>
      <c r="D2" t="str">
        <f>_xlfn.CONCAT(Table3[[#This Row],['#]],": ",Table3[[#This Row],[Framework]])</f>
        <v>10.01a.1: Mughal &amp; Ottoman (c. 1750)</v>
      </c>
    </row>
    <row r="3" spans="1:4" ht="22.5" customHeight="1" x14ac:dyDescent="0.15">
      <c r="A3" s="4" t="s">
        <v>161</v>
      </c>
      <c r="B3" s="4" t="s">
        <v>163</v>
      </c>
      <c r="C3" s="4" t="s">
        <v>164</v>
      </c>
      <c r="D3" t="str">
        <f>_xlfn.CONCAT(Table3[[#This Row],['#]],": ",Table3[[#This Row],[Framework]])</f>
        <v>10.01a.2: Tokugawa Shogunate</v>
      </c>
    </row>
    <row r="4" spans="1:4" ht="22.5" customHeight="1" x14ac:dyDescent="0.15">
      <c r="A4" s="4" t="s">
        <v>165</v>
      </c>
      <c r="B4" s="4" t="s">
        <v>167</v>
      </c>
      <c r="C4" s="4" t="s">
        <v>169</v>
      </c>
      <c r="D4" t="str">
        <f>_xlfn.CONCAT(Table3[[#This Row],['#]],": ",Table3[[#This Row],[Framework]])</f>
        <v>10.01a.3: Comparing Tokugawa Shogunate &amp; Bourbon Dynasty</v>
      </c>
    </row>
    <row r="5" spans="1:4" ht="22.5" customHeight="1" x14ac:dyDescent="0.15">
      <c r="A5" s="4" t="s">
        <v>170</v>
      </c>
      <c r="B5" s="4" t="s">
        <v>172</v>
      </c>
      <c r="C5" s="4" t="s">
        <v>173</v>
      </c>
      <c r="D5" t="str">
        <f>_xlfn.CONCAT(Table3[[#This Row],['#]],": ",Table3[[#This Row],[Framework]])</f>
        <v>10.01b.1: Tokugawa &amp; Mughal Responses to Outsiders</v>
      </c>
    </row>
    <row r="6" spans="1:4" ht="22.5" customHeight="1" x14ac:dyDescent="0.15">
      <c r="A6" s="4" t="s">
        <v>175</v>
      </c>
      <c r="B6" s="4" t="s">
        <v>176</v>
      </c>
      <c r="C6" s="4" t="s">
        <v>177</v>
      </c>
      <c r="D6" t="str">
        <f>_xlfn.CONCAT(Table3[[#This Row],['#]],": ",Table3[[#This Row],[Framework]])</f>
        <v>10.01b.2: Eurasia World Map</v>
      </c>
    </row>
    <row r="7" spans="1:4" ht="22.5" customHeight="1" x14ac:dyDescent="0.15">
      <c r="A7" s="4" t="s">
        <v>179</v>
      </c>
      <c r="B7" s="4" t="s">
        <v>181</v>
      </c>
      <c r="C7" s="4" t="s">
        <v>182</v>
      </c>
      <c r="D7" t="str">
        <f>_xlfn.CONCAT(Table3[[#This Row],['#]],": ",Table3[[#This Row],[Framework]])</f>
        <v>10.01b.3: Comparing Empire's Geography &amp; Power</v>
      </c>
    </row>
    <row r="8" spans="1:4" ht="22.5" customHeight="1" x14ac:dyDescent="0.15">
      <c r="A8" s="4" t="s">
        <v>184</v>
      </c>
      <c r="B8" s="4" t="s">
        <v>186</v>
      </c>
      <c r="C8" s="4" t="s">
        <v>188</v>
      </c>
      <c r="D8" t="str">
        <f>_xlfn.CONCAT(Table3[[#This Row],['#]],": ",Table3[[#This Row],[Framework]])</f>
        <v>10.02a.1: Political Philosophies</v>
      </c>
    </row>
    <row r="9" spans="1:4" ht="22.5" customHeight="1" x14ac:dyDescent="0.15">
      <c r="A9" s="4" t="s">
        <v>190</v>
      </c>
      <c r="B9" s="4" t="s">
        <v>191</v>
      </c>
      <c r="C9" s="4" t="s">
        <v>193</v>
      </c>
      <c r="D9" t="str">
        <f>_xlfn.CONCAT(Table3[[#This Row],['#]],": ",Table3[[#This Row],[Framework]])</f>
        <v>10.02b.1: Gender &amp; Abolition</v>
      </c>
    </row>
    <row r="10" spans="1:4" ht="22.5" customHeight="1" x14ac:dyDescent="0.15">
      <c r="A10" s="4" t="s">
        <v>195</v>
      </c>
      <c r="B10" s="4" t="s">
        <v>196</v>
      </c>
      <c r="C10" s="4" t="s">
        <v>197</v>
      </c>
      <c r="D10" t="str">
        <f>_xlfn.CONCAT(Table3[[#This Row],['#]],": ",Table3[[#This Row],[Framework]])</f>
        <v>10.02b.2: Enlightened Despots</v>
      </c>
    </row>
    <row r="11" spans="1:4" ht="22.5" customHeight="1" x14ac:dyDescent="0.15">
      <c r="A11" s="4" t="s">
        <v>199</v>
      </c>
      <c r="B11" s="4" t="s">
        <v>200</v>
      </c>
      <c r="C11" s="4" t="s">
        <v>202</v>
      </c>
      <c r="D11" t="str">
        <f>_xlfn.CONCAT(Table3[[#This Row],['#]],": ",Table3[[#This Row],[Framework]])</f>
        <v>10.02c.1: French Revolutions</v>
      </c>
    </row>
    <row r="12" spans="1:4" ht="22.5" customHeight="1" x14ac:dyDescent="0.15">
      <c r="A12" s="4" t="s">
        <v>203</v>
      </c>
      <c r="B12" s="4" t="s">
        <v>204</v>
      </c>
      <c r="C12" s="4" t="s">
        <v>207</v>
      </c>
      <c r="D12" t="str">
        <f>_xlfn.CONCAT(Table3[[#This Row],['#]],": ",Table3[[#This Row],[Framework]])</f>
        <v>10.02c.2: Latin American Revolutions</v>
      </c>
    </row>
    <row r="13" spans="1:4" ht="22.5" customHeight="1" x14ac:dyDescent="0.15">
      <c r="A13" s="4" t="s">
        <v>208</v>
      </c>
      <c r="B13" s="4" t="s">
        <v>209</v>
      </c>
      <c r="C13" s="4" t="s">
        <v>211</v>
      </c>
      <c r="D13" t="str">
        <f>_xlfn.CONCAT(Table3[[#This Row],['#]],": ",Table3[[#This Row],[Framework]])</f>
        <v>10.02d.1: Italy, Germany &amp; Ottoman, Austrian</v>
      </c>
    </row>
    <row r="14" spans="1:4" ht="22.5" customHeight="1" x14ac:dyDescent="0.15">
      <c r="A14" s="4" t="s">
        <v>213</v>
      </c>
      <c r="B14" s="4" t="s">
        <v>214</v>
      </c>
      <c r="C14" s="4" t="s">
        <v>215</v>
      </c>
      <c r="D14" t="str">
        <f>_xlfn.CONCAT(Table3[[#This Row],['#]],": ",Table3[[#This Row],[Framework]])</f>
        <v>10.03a.1: British Agricultural Revolution</v>
      </c>
    </row>
    <row r="15" spans="1:4" ht="22.5" customHeight="1" x14ac:dyDescent="0.15">
      <c r="A15" s="4" t="s">
        <v>217</v>
      </c>
      <c r="B15" s="4" t="s">
        <v>219</v>
      </c>
      <c r="C15" s="4" t="s">
        <v>220</v>
      </c>
      <c r="D15" t="str">
        <f>_xlfn.CONCAT(Table3[[#This Row],['#]],": ",Table3[[#This Row],[Framework]])</f>
        <v>10.03b.1: Industrial Production &amp; Economic Practices</v>
      </c>
    </row>
    <row r="16" spans="1:4" ht="22.5" customHeight="1" x14ac:dyDescent="0.15">
      <c r="A16" s="4" t="s">
        <v>222</v>
      </c>
      <c r="B16" s="4" t="s">
        <v>223</v>
      </c>
      <c r="C16" s="4" t="s">
        <v>225</v>
      </c>
      <c r="D16" t="str">
        <f>_xlfn.CONCAT(Table3[[#This Row],['#]],": ",Table3[[#This Row],[Framework]])</f>
        <v>10.03b.2: Wealth of Nations</v>
      </c>
    </row>
    <row r="17" spans="1:4" ht="22.5" customHeight="1" x14ac:dyDescent="0.15">
      <c r="A17" s="4" t="s">
        <v>227</v>
      </c>
      <c r="B17" s="4" t="s">
        <v>228</v>
      </c>
      <c r="C17" s="4" t="s">
        <v>230</v>
      </c>
      <c r="D17" t="str">
        <f>_xlfn.CONCAT(Table3[[#This Row],['#]],": ",Table3[[#This Row],[Framework]])</f>
        <v>10.03b.3: Energy, Technology, Communication, &amp; Transportation</v>
      </c>
    </row>
    <row r="18" spans="1:4" ht="22.5" customHeight="1" x14ac:dyDescent="0.15">
      <c r="A18" s="4" t="s">
        <v>231</v>
      </c>
      <c r="B18" s="4" t="s">
        <v>232</v>
      </c>
      <c r="C18" s="4" t="s">
        <v>234</v>
      </c>
      <c r="D18" t="str">
        <f>_xlfn.CONCAT(Table3[[#This Row],['#]],": ",Table3[[#This Row],[Framework]])</f>
        <v>10.03c.1: Comparing Victorian England &amp; Meiji Japan</v>
      </c>
    </row>
    <row r="19" spans="1:4" ht="22.5" customHeight="1" x14ac:dyDescent="0.15">
      <c r="A19" s="4" t="s">
        <v>235</v>
      </c>
      <c r="B19" s="4" t="s">
        <v>237</v>
      </c>
      <c r="C19" s="4" t="s">
        <v>238</v>
      </c>
      <c r="D19" t="str">
        <f>_xlfn.CONCAT(Table3[[#This Row],['#]],": ",Table3[[#This Row],[Framework]])</f>
        <v>10.03d.1: Suffrage, Education/ Labor Reforms, &amp; Marxism</v>
      </c>
    </row>
    <row r="20" spans="1:4" ht="22.5" customHeight="1" x14ac:dyDescent="0.15">
      <c r="A20" s="4" t="s">
        <v>239</v>
      </c>
      <c r="B20" s="4" t="s">
        <v>240</v>
      </c>
      <c r="C20" s="4" t="s">
        <v>241</v>
      </c>
      <c r="D20" t="str">
        <f>_xlfn.CONCAT(Table3[[#This Row],['#]],": ",Table3[[#This Row],[Framework]])</f>
        <v>10.03d.2: Irish Potato Famine</v>
      </c>
    </row>
    <row r="21" spans="1:4" ht="22.5" customHeight="1" x14ac:dyDescent="0.15">
      <c r="A21" s="4" t="s">
        <v>242</v>
      </c>
      <c r="B21" s="4" t="s">
        <v>243</v>
      </c>
      <c r="C21" s="4" t="s">
        <v>244</v>
      </c>
      <c r="D21" t="str">
        <f>_xlfn.CONCAT(Table3[[#This Row],['#]],": ",Table3[[#This Row],[Framework]])</f>
        <v>10.04a.1: Perspectives on Imperialism</v>
      </c>
    </row>
    <row r="22" spans="1:4" ht="22.5" customHeight="1" x14ac:dyDescent="0.15">
      <c r="A22" s="4" t="s">
        <v>245</v>
      </c>
      <c r="B22" s="4" t="s">
        <v>246</v>
      </c>
      <c r="C22" s="4" t="s">
        <v>247</v>
      </c>
      <c r="D22" t="str">
        <f>_xlfn.CONCAT(Table3[[#This Row],['#]],": ",Table3[[#This Row],[Framework]])</f>
        <v>10.04a.2: Control &amp; Spheres of Influence in Africa &amp; China</v>
      </c>
    </row>
    <row r="23" spans="1:4" ht="22.5" customHeight="1" x14ac:dyDescent="0.15">
      <c r="A23" s="4" t="s">
        <v>248</v>
      </c>
      <c r="B23" s="4" t="s">
        <v>249</v>
      </c>
      <c r="C23" s="4" t="s">
        <v>250</v>
      </c>
      <c r="D23" t="str">
        <f>_xlfn.CONCAT(Table3[[#This Row],['#]],": ",Table3[[#This Row],[Framework]])</f>
        <v>10.04b.1: Resistance in Africa &amp; China</v>
      </c>
    </row>
    <row r="24" spans="1:4" ht="22.5" customHeight="1" x14ac:dyDescent="0.15">
      <c r="A24" s="4" t="s">
        <v>251</v>
      </c>
      <c r="B24" s="4" t="s">
        <v>252</v>
      </c>
      <c r="C24" s="4" t="s">
        <v>253</v>
      </c>
      <c r="D24" t="str">
        <f>_xlfn.CONCAT(Table3[[#This Row],['#]],": ",Table3[[#This Row],[Framework]])</f>
        <v>10.04b.2: Japanese Reaction to Western Imperialism</v>
      </c>
    </row>
    <row r="25" spans="1:4" ht="22.5" customHeight="1" x14ac:dyDescent="0.15">
      <c r="A25" s="4" t="s">
        <v>254</v>
      </c>
      <c r="B25" s="4" t="s">
        <v>255</v>
      </c>
      <c r="C25" s="4" t="s">
        <v>256</v>
      </c>
      <c r="D25" t="str">
        <f>_xlfn.CONCAT(Table3[[#This Row],['#]],": ",Table3[[#This Row],[Framework]])</f>
        <v>10.04c.1: Comparing Geography of Africa (c. 1800-1914)</v>
      </c>
    </row>
    <row r="26" spans="1:4" ht="22.5" customHeight="1" x14ac:dyDescent="0.15">
      <c r="A26" s="4" t="s">
        <v>257</v>
      </c>
      <c r="B26" s="4" t="s">
        <v>258</v>
      </c>
      <c r="C26" s="4" t="s">
        <v>259</v>
      </c>
      <c r="D26" t="str">
        <f>_xlfn.CONCAT(Table3[[#This Row],['#]],": ",Table3[[#This Row],[Framework]])</f>
        <v>10.05a.1: Comparing Cause &amp; Effects of the World Wars</v>
      </c>
    </row>
    <row r="27" spans="1:4" ht="22.5" customHeight="1" x14ac:dyDescent="0.15">
      <c r="A27" s="4" t="s">
        <v>260</v>
      </c>
      <c r="B27" s="4" t="s">
        <v>261</v>
      </c>
      <c r="C27" s="4" t="s">
        <v>262</v>
      </c>
      <c r="D27" t="str">
        <f>_xlfn.CONCAT(Table3[[#This Row],['#]],": ",Table3[[#This Row],[Framework]])</f>
        <v>10.05b.1: Technological Development &amp; Devastation</v>
      </c>
    </row>
    <row r="28" spans="1:4" ht="22.5" customHeight="1" x14ac:dyDescent="0.15">
      <c r="A28" s="4" t="s">
        <v>263</v>
      </c>
      <c r="B28" s="4" t="s">
        <v>264</v>
      </c>
      <c r="C28" s="4" t="s">
        <v>265</v>
      </c>
      <c r="D28" t="str">
        <f>_xlfn.CONCAT(Table3[[#This Row],['#]],": ",Table3[[#This Row],[Framework]])</f>
        <v>10.05c.1: Fourteen Points, the Treaty of Versailles, League of Nations, &amp; United Nations</v>
      </c>
    </row>
    <row r="29" spans="1:4" ht="22.5" customHeight="1" x14ac:dyDescent="0.15">
      <c r="A29" s="4" t="s">
        <v>266</v>
      </c>
      <c r="B29" s="4" t="s">
        <v>267</v>
      </c>
      <c r="C29" s="4" t="s">
        <v>268</v>
      </c>
      <c r="D29" t="str">
        <f>_xlfn.CONCAT(Table3[[#This Row],['#]],": ",Table3[[#This Row],[Framework]])</f>
        <v>10.05d.1: Russian Revolution, Soviet Union, Lenin &amp; Stalin</v>
      </c>
    </row>
    <row r="30" spans="1:4" ht="22.5" customHeight="1" x14ac:dyDescent="0.15">
      <c r="A30" s="4" t="s">
        <v>269</v>
      </c>
      <c r="B30" s="4" t="s">
        <v>270</v>
      </c>
      <c r="C30" s="4" t="s">
        <v>271</v>
      </c>
      <c r="D30" t="str">
        <f>_xlfn.CONCAT(Table3[[#This Row],['#]],": ",Table3[[#This Row],[Framework]])</f>
        <v>10.05d.2: Nationalism, the Nazi Party, &amp; Hitler in Germany</v>
      </c>
    </row>
    <row r="31" spans="1:4" ht="22.5" customHeight="1" x14ac:dyDescent="0.15">
      <c r="A31" s="4" t="s">
        <v>272</v>
      </c>
      <c r="B31" s="4" t="s">
        <v>273</v>
      </c>
      <c r="C31" s="4" t="s">
        <v>274</v>
      </c>
      <c r="D31" t="str">
        <f>_xlfn.CONCAT(Table3[[#This Row],['#]],": ",Table3[[#This Row],[Framework]])</f>
        <v>10.05d.3: Nationalism &amp; Militarism in Japan</v>
      </c>
    </row>
    <row r="32" spans="1:4" ht="22.5" customHeight="1" x14ac:dyDescent="0.15">
      <c r="A32" s="4" t="s">
        <v>275</v>
      </c>
      <c r="B32" s="4" t="s">
        <v>276</v>
      </c>
      <c r="C32" s="4" t="s">
        <v>277</v>
      </c>
      <c r="D32" t="str">
        <f>_xlfn.CONCAT(Table3[[#This Row],['#]],": ",Table3[[#This Row],[Framework]])</f>
        <v>10.05d.4: Great Depression &amp; Totalitarian Dictators</v>
      </c>
    </row>
    <row r="33" spans="1:4" ht="22.5" customHeight="1" x14ac:dyDescent="0.15">
      <c r="A33" s="4" t="s">
        <v>278</v>
      </c>
      <c r="B33" s="4" t="s">
        <v>279</v>
      </c>
      <c r="C33" s="4" t="s">
        <v>280</v>
      </c>
      <c r="D33" t="str">
        <f>_xlfn.CONCAT(Table3[[#This Row],['#]],": ",Table3[[#This Row],[Framework]])</f>
        <v>10.05e.1: Armenian Genocide, Ukranian Holodomor, &amp; the Holocaust</v>
      </c>
    </row>
    <row r="34" spans="1:4" ht="22.5" customHeight="1" x14ac:dyDescent="0.15">
      <c r="A34" s="4" t="s">
        <v>281</v>
      </c>
      <c r="B34" s="4" t="s">
        <v>282</v>
      </c>
      <c r="C34" s="4" t="s">
        <v>283</v>
      </c>
      <c r="D34" t="str">
        <f>_xlfn.CONCAT(Table3[[#This Row],['#]],": ",Table3[[#This Row],[Framework]])</f>
        <v>10.06a.1: Conceptions of Peace vs the Reality of Post-War Europe</v>
      </c>
    </row>
    <row r="35" spans="1:4" ht="22.5" customHeight="1" x14ac:dyDescent="0.15">
      <c r="A35" s="4" t="s">
        <v>284</v>
      </c>
      <c r="B35" s="4" t="s">
        <v>285</v>
      </c>
      <c r="C35" s="4" t="s">
        <v>286</v>
      </c>
      <c r="D35" t="str">
        <f>_xlfn.CONCAT(Table3[[#This Row],['#]],": ",Table3[[#This Row],[Framework]])</f>
        <v>10.06b.1: Cuba, Vietnam, Afghanistan</v>
      </c>
    </row>
    <row r="36" spans="1:4" ht="22.5" customHeight="1" x14ac:dyDescent="0.15">
      <c r="A36" s="4" t="s">
        <v>287</v>
      </c>
      <c r="B36" s="4" t="s">
        <v>288</v>
      </c>
      <c r="C36" s="4" t="s">
        <v>289</v>
      </c>
      <c r="D36" t="str">
        <f>_xlfn.CONCAT(Table3[[#This Row],['#]],": ",Table3[[#This Row],[Framework]])</f>
        <v>10.06b.2: Military Alliances, Nuclear Proliferation, &amp; the Military-Industrial Complex</v>
      </c>
    </row>
    <row r="37" spans="1:4" ht="22.5" customHeight="1" x14ac:dyDescent="0.15">
      <c r="A37" s="4" t="s">
        <v>290</v>
      </c>
      <c r="B37" s="4" t="s">
        <v>291</v>
      </c>
      <c r="C37" s="4" t="s">
        <v>292</v>
      </c>
      <c r="D37" t="str">
        <f>_xlfn.CONCAT(Table3[[#This Row],['#]],": ",Table3[[#This Row],[Framework]])</f>
        <v>10.06b.3: Nonalignment</v>
      </c>
    </row>
    <row r="38" spans="1:4" ht="22.5" customHeight="1" x14ac:dyDescent="0.15">
      <c r="A38" s="4" t="s">
        <v>293</v>
      </c>
      <c r="B38" s="4" t="s">
        <v>294</v>
      </c>
      <c r="C38" s="4" t="s">
        <v>295</v>
      </c>
      <c r="D38" t="str">
        <f>_xlfn.CONCAT(Table3[[#This Row],['#]],": ",Table3[[#This Row],[Framework]])</f>
        <v>10.06b.4: Détente Perspectives</v>
      </c>
    </row>
    <row r="39" spans="1:4" ht="22.5" customHeight="1" x14ac:dyDescent="0.15">
      <c r="A39" s="4" t="s">
        <v>297</v>
      </c>
      <c r="B39" s="4" t="s">
        <v>298</v>
      </c>
      <c r="C39" s="4" t="s">
        <v>299</v>
      </c>
      <c r="D39" t="str">
        <f>_xlfn.CONCAT(Table3[[#This Row],['#]],": ",Table3[[#This Row],[Framework]])</f>
        <v>10.06c.1: Glasnost &amp; Perestroika Reforms</v>
      </c>
    </row>
    <row r="40" spans="1:4" ht="22.5" customHeight="1" x14ac:dyDescent="0.15">
      <c r="A40" s="4" t="s">
        <v>300</v>
      </c>
      <c r="B40" s="4" t="s">
        <v>301</v>
      </c>
      <c r="C40" s="4" t="s">
        <v>302</v>
      </c>
      <c r="D40" t="str">
        <f>_xlfn.CONCAT(Table3[[#This Row],['#]],": ",Table3[[#This Row],[Framework]])</f>
        <v>10.06c.2: Impact of Reform on the Soviet Union, Bloc, and the World</v>
      </c>
    </row>
    <row r="41" spans="1:4" ht="22.5" customHeight="1" x14ac:dyDescent="0.15">
      <c r="A41" s="4" t="s">
        <v>303</v>
      </c>
      <c r="B41" s="4" t="s">
        <v>304</v>
      </c>
      <c r="C41" s="4" t="s">
        <v>305</v>
      </c>
      <c r="D41" t="str">
        <f>_xlfn.CONCAT(Table3[[#This Row],['#]],": ",Table3[[#This Row],[Framework]])</f>
        <v>10.07a.1: Gandhi’s Nonviolent Nationalist Movement, the Muslim League, &amp; Partition</v>
      </c>
    </row>
    <row r="42" spans="1:4" ht="22.5" customHeight="1" x14ac:dyDescent="0.15">
      <c r="A42" s="4" t="s">
        <v>306</v>
      </c>
      <c r="B42" s="4" t="s">
        <v>307</v>
      </c>
      <c r="C42" s="4" t="s">
        <v>308</v>
      </c>
      <c r="D42" t="str">
        <f>_xlfn.CONCAT(Table3[[#This Row],['#]],": ",Table3[[#This Row],[Framework]])</f>
        <v>10.07a.2: Comparing Gandhi &amp; Ho Chi Minh</v>
      </c>
    </row>
    <row r="43" spans="1:4" ht="22.5" customHeight="1" x14ac:dyDescent="0.15">
      <c r="A43" s="4" t="s">
        <v>309</v>
      </c>
      <c r="B43" s="4" t="s">
        <v>310</v>
      </c>
      <c r="C43" s="4" t="s">
        <v>311</v>
      </c>
      <c r="D43" t="str">
        <f>_xlfn.CONCAT(Table3[[#This Row],['#]],": ",Table3[[#This Row],[Framework]])</f>
        <v>10.07b.1: Ghana, Algeria, and/or Kenya</v>
      </c>
    </row>
    <row r="44" spans="1:4" ht="22.5" customHeight="1" x14ac:dyDescent="0.15">
      <c r="A44" s="4" t="s">
        <v>312</v>
      </c>
      <c r="B44" s="4" t="s">
        <v>313</v>
      </c>
      <c r="C44" s="4" t="s">
        <v>314</v>
      </c>
      <c r="D44" t="str">
        <f>_xlfn.CONCAT(Table3[[#This Row],['#]],": ",Table3[[#This Row],[Framework]])</f>
        <v>10.07c.1: Zionism, Mandates, &amp; Arab Nationalism</v>
      </c>
    </row>
    <row r="45" spans="1:4" ht="22.5" customHeight="1" x14ac:dyDescent="0.15">
      <c r="A45" s="4" t="s">
        <v>315</v>
      </c>
      <c r="B45" s="4" t="s">
        <v>316</v>
      </c>
      <c r="C45" s="4" t="s">
        <v>317</v>
      </c>
      <c r="D45" t="str">
        <f>_xlfn.CONCAT(Table3[[#This Row],['#]],": ",Table3[[#This Row],[Framework]])</f>
        <v>10.07c.2: Arab-Israeli Conflict</v>
      </c>
    </row>
    <row r="46" spans="1:4" ht="22.5" customHeight="1" x14ac:dyDescent="0.15">
      <c r="A46" s="4" t="s">
        <v>318</v>
      </c>
      <c r="B46" s="4" t="s">
        <v>319</v>
      </c>
      <c r="C46" s="4" t="s">
        <v>320</v>
      </c>
      <c r="D46" t="str">
        <f>_xlfn.CONCAT(Table3[[#This Row],['#]],": ",Table3[[#This Row],[Framework]])</f>
        <v>10.07d.1: Chinese Civil War, Communist China, &amp; Nationalist Taiwan</v>
      </c>
    </row>
    <row r="47" spans="1:4" ht="22.5" customHeight="1" x14ac:dyDescent="0.15">
      <c r="A47" s="4" t="s">
        <v>321</v>
      </c>
      <c r="B47" s="4" t="s">
        <v>322</v>
      </c>
      <c r="C47" s="4" t="s">
        <v>323</v>
      </c>
      <c r="D47" t="str">
        <f>_xlfn.CONCAT(Table3[[#This Row],['#]],": ",Table3[[#This Row],[Framework]])</f>
        <v>10.07d.2: Comparing Mao Zedong &amp; Deng Xiaoping</v>
      </c>
    </row>
    <row r="48" spans="1:4" ht="22.5" customHeight="1" x14ac:dyDescent="0.15">
      <c r="A48" s="4" t="s">
        <v>324</v>
      </c>
      <c r="B48" s="4" t="s">
        <v>325</v>
      </c>
      <c r="C48" s="4" t="s">
        <v>326</v>
      </c>
      <c r="D48" t="str">
        <f>_xlfn.CONCAT(Table3[[#This Row],['#]],": ",Table3[[#This Row],[Framework]])</f>
        <v>10.08a.1: Changes in Social Roles &amp; Institutions</v>
      </c>
    </row>
    <row r="49" spans="1:4" ht="22.5" customHeight="1" x14ac:dyDescent="0.15">
      <c r="A49" s="4" t="s">
        <v>327</v>
      </c>
      <c r="B49" s="4" t="s">
        <v>328</v>
      </c>
      <c r="C49" s="4" t="s">
        <v>329</v>
      </c>
      <c r="D49" t="str">
        <f>_xlfn.CONCAT(Table3[[#This Row],['#]],": ",Table3[[#This Row],[Framework]])</f>
        <v>10.08b.1: Comparing Turkey (Kemal Atatürk) &amp; Iran (Pahlavis &amp; the Ayatollahs)</v>
      </c>
    </row>
    <row r="50" spans="1:4" ht="22.5" customHeight="1" x14ac:dyDescent="0.15">
      <c r="A50" s="4" t="s">
        <v>330</v>
      </c>
      <c r="B50" s="4" t="s">
        <v>331</v>
      </c>
      <c r="C50" s="4" t="s">
        <v>332</v>
      </c>
      <c r="D50" t="str">
        <f>_xlfn.CONCAT(Table3[[#This Row],['#]],": ",Table3[[#This Row],[Framework]])</f>
        <v>10.08b.2: Advancements in Communications &amp; Transportation Effect on Authority</v>
      </c>
    </row>
    <row r="51" spans="1:4" ht="22.5" customHeight="1" x14ac:dyDescent="0.15">
      <c r="A51" s="4" t="s">
        <v>333</v>
      </c>
      <c r="B51" s="4" t="s">
        <v>334</v>
      </c>
      <c r="C51" s="4" t="s">
        <v>335</v>
      </c>
      <c r="D51" t="str">
        <f>_xlfn.CONCAT(Table3[[#This Row],['#]],": ",Table3[[#This Row],[Framework]])</f>
        <v>10.09a.1: Information &amp; Business Changes</v>
      </c>
    </row>
    <row r="52" spans="1:4" ht="22.5" customHeight="1" x14ac:dyDescent="0.15">
      <c r="A52" s="4" t="s">
        <v>336</v>
      </c>
      <c r="B52" s="4" t="s">
        <v>337</v>
      </c>
      <c r="C52" s="4" t="s">
        <v>338</v>
      </c>
      <c r="D52" t="str">
        <f>_xlfn.CONCAT(Table3[[#This Row],['#]],": ",Table3[[#This Row],[Framework]])</f>
        <v>10.09a.2: Infectious Diseases Response</v>
      </c>
    </row>
    <row r="53" spans="1:4" ht="22.5" customHeight="1" x14ac:dyDescent="0.15">
      <c r="A53" s="4" t="s">
        <v>339</v>
      </c>
      <c r="B53" s="4" t="s">
        <v>340</v>
      </c>
      <c r="C53" s="4" t="s">
        <v>341</v>
      </c>
      <c r="D53" t="str">
        <f>_xlfn.CONCAT(Table3[[#This Row],['#]],": ",Table3[[#This Row],[Framework]])</f>
        <v>10.09b.1: Globalization Arguments</v>
      </c>
    </row>
    <row r="54" spans="1:4" ht="22.5" customHeight="1" x14ac:dyDescent="0.15">
      <c r="A54" s="4" t="s">
        <v>342</v>
      </c>
      <c r="B54" s="4" t="s">
        <v>343</v>
      </c>
      <c r="C54" s="4" t="s">
        <v>344</v>
      </c>
      <c r="D54" t="str">
        <f>_xlfn.CONCAT(Table3[[#This Row],['#]],": ",Table3[[#This Row],[Framework]])</f>
        <v>10.09c.1: Population Growth &amp; Distribution</v>
      </c>
    </row>
    <row r="55" spans="1:4" ht="22.5" customHeight="1" x14ac:dyDescent="0.15">
      <c r="A55" s="4" t="s">
        <v>345</v>
      </c>
      <c r="B55" s="4" t="s">
        <v>346</v>
      </c>
      <c r="C55" s="4" t="s">
        <v>347</v>
      </c>
      <c r="D55" t="str">
        <f>_xlfn.CONCAT(Table3[[#This Row],['#]],": ",Table3[[#This Row],[Framework]])</f>
        <v>10.09c.2: Industrial Agriculture</v>
      </c>
    </row>
    <row r="56" spans="1:4" ht="22.5" customHeight="1" x14ac:dyDescent="0.15">
      <c r="A56" s="4" t="s">
        <v>348</v>
      </c>
      <c r="B56" s="4" t="s">
        <v>349</v>
      </c>
      <c r="C56" s="4" t="s">
        <v>350</v>
      </c>
      <c r="D56" t="str">
        <f>_xlfn.CONCAT(Table3[[#This Row],['#]],": ",Table3[[#This Row],[Framework]])</f>
        <v>10.09c.3: Environmental Strains</v>
      </c>
    </row>
    <row r="57" spans="1:4" ht="22.5" customHeight="1" x14ac:dyDescent="0.15">
      <c r="A57" s="4" t="s">
        <v>351</v>
      </c>
      <c r="B57" s="4" t="s">
        <v>352</v>
      </c>
      <c r="C57" s="4" t="s">
        <v>353</v>
      </c>
      <c r="D57" t="str">
        <f>_xlfn.CONCAT(Table3[[#This Row],['#]],": ",Table3[[#This Row],[Framework]])</f>
        <v>10.09d.1: Attempts at Cooperation with the UN, NATO, EU, &amp; NGOs</v>
      </c>
    </row>
    <row r="58" spans="1:4" ht="22.5" customHeight="1" x14ac:dyDescent="0.15">
      <c r="A58" s="4" t="s">
        <v>354</v>
      </c>
      <c r="B58" s="4" t="s">
        <v>355</v>
      </c>
      <c r="C58" s="4" t="s">
        <v>356</v>
      </c>
      <c r="D58" t="str">
        <f>_xlfn.CONCAT(Table3[[#This Row],['#]],": ",Table3[[#This Row],[Framework]])</f>
        <v>10.09d.2: Organizations &amp; International Action against Environmental Issues</v>
      </c>
    </row>
    <row r="59" spans="1:4" ht="22.5" customHeight="1" x14ac:dyDescent="0.15">
      <c r="A59" s="4" t="s">
        <v>357</v>
      </c>
      <c r="B59" s="4" t="s">
        <v>358</v>
      </c>
      <c r="C59" s="4" t="s">
        <v>359</v>
      </c>
      <c r="D59" t="str">
        <f>_xlfn.CONCAT(Table3[[#This Row],['#]],": ",Table3[[#This Row],[Framework]])</f>
        <v>10.09d.3: Threats to Global Security</v>
      </c>
    </row>
    <row r="60" spans="1:4" ht="22.5" customHeight="1" x14ac:dyDescent="0.15">
      <c r="A60" s="4" t="s">
        <v>360</v>
      </c>
      <c r="B60" s="4" t="s">
        <v>361</v>
      </c>
      <c r="C60" s="4" t="s">
        <v>362</v>
      </c>
      <c r="D60" t="str">
        <f>_xlfn.CONCAT(Table3[[#This Row],['#]],": ",Table3[[#This Row],[Framework]])</f>
        <v>10.10a.1: Impact of the Holocaust, Nuremberg Trials, &amp; Tokyo Trials</v>
      </c>
    </row>
    <row r="61" spans="1:4" ht="22.5" customHeight="1" x14ac:dyDescent="0.15">
      <c r="A61" s="4" t="s">
        <v>363</v>
      </c>
      <c r="B61" s="4" t="s">
        <v>365</v>
      </c>
      <c r="C61" s="4" t="s">
        <v>366</v>
      </c>
      <c r="D61" t="str">
        <f>_xlfn.CONCAT(Table3[[#This Row],['#]],": ",Table3[[#This Row],[Framework]])</f>
        <v>10.10a.2: The United Nations Universal Declaration of Human Rights (1948)</v>
      </c>
    </row>
    <row r="62" spans="1:4" ht="22.5" customHeight="1" x14ac:dyDescent="0.15">
      <c r="A62" s="4" t="s">
        <v>367</v>
      </c>
      <c r="B62" s="4" t="s">
        <v>368</v>
      </c>
      <c r="C62" s="4" t="s">
        <v>369</v>
      </c>
      <c r="D62" t="str">
        <f>_xlfn.CONCAT(Table3[[#This Row],['#]],": ",Table3[[#This Row],[Framework]])</f>
        <v>10.10b.1: Treaties &amp; International Courts</v>
      </c>
    </row>
    <row r="63" spans="1:4" ht="22.5" customHeight="1" x14ac:dyDescent="0.15">
      <c r="A63" s="4" t="s">
        <v>370</v>
      </c>
      <c r="B63" s="4" t="s">
        <v>371</v>
      </c>
      <c r="C63" s="4" t="s">
        <v>372</v>
      </c>
      <c r="D63" t="str">
        <f>_xlfn.CONCAT(Table3[[#This Row],['#]],": ",Table3[[#This Row],[Framework]])</f>
        <v>10.10b.2: International Organization for Peace, Stability, Prosperity, &amp; Protection from Violence</v>
      </c>
    </row>
    <row r="64" spans="1:4" ht="22.5" customHeight="1" x14ac:dyDescent="0.15">
      <c r="A64" s="4" t="s">
        <v>373</v>
      </c>
      <c r="B64" s="4" t="s">
        <v>374</v>
      </c>
      <c r="C64" s="4" t="s">
        <v>375</v>
      </c>
      <c r="D64" t="str">
        <f>_xlfn.CONCAT(Table3[[#This Row],['#]],": ",Table3[[#This Row],[Framework]])</f>
        <v>10.10c.1: Atrocities of Augusto Pinochet, Deng Xiaoping, &amp; Slobodan Milosevic</v>
      </c>
    </row>
    <row r="65" spans="1:4" ht="22.5" customHeight="1" x14ac:dyDescent="0.15">
      <c r="A65" s="4" t="s">
        <v>376</v>
      </c>
      <c r="B65" s="4" t="s">
        <v>377</v>
      </c>
      <c r="C65" s="4" t="s">
        <v>378</v>
      </c>
      <c r="D65" t="str">
        <f>_xlfn.CONCAT(Table3[[#This Row],['#]],": ",Table3[[#This Row],[Framework]])</f>
        <v>10.10c.2: Perpetrators &amp; Bystanders in Cambodia, Rwanda, &amp; Darfur</v>
      </c>
    </row>
    <row r="66" spans="1:4" ht="22.5" customHeight="1" x14ac:dyDescent="0.15">
      <c r="A66" s="4" t="s">
        <v>379</v>
      </c>
      <c r="B66" s="4" t="s">
        <v>380</v>
      </c>
      <c r="C66" s="4" t="s">
        <v>381</v>
      </c>
      <c r="D66" t="str">
        <f>_xlfn.CONCAT(Table3[[#This Row],['#]],": ",Table3[[#This Row],[Framework]])</f>
        <v>10.10c.3: Anti-Apartheid &amp; Nelson Mandela</v>
      </c>
    </row>
    <row r="67" spans="1:4" ht="22.5" customHeight="1" x14ac:dyDescent="0.15">
      <c r="A67" s="4" t="s">
        <v>382</v>
      </c>
      <c r="B67" s="4" t="s">
        <v>383</v>
      </c>
      <c r="C67" s="4" t="s">
        <v>384</v>
      </c>
      <c r="D67" t="str">
        <f>_xlfn.CONCAT(Table3[[#This Row],['#]],": ",Table3[[#This Row],[Framework]])</f>
        <v>10.10c.4: Efforts to Address Human Rights Violations</v>
      </c>
    </row>
    <row r="68" spans="1:4" ht="22.5" customHeight="1" x14ac:dyDescent="0.15">
      <c r="A68" s="4" t="s">
        <v>385</v>
      </c>
      <c r="B68" s="4" t="s">
        <v>386</v>
      </c>
      <c r="C68" s="4" t="s">
        <v>387</v>
      </c>
      <c r="D68" t="str">
        <f>_xlfn.CONCAT(Table3[[#This Row],['#]],": ",Table3[[#This Row],[Framework]])</f>
        <v>11.01a.1: European Colonizing Nations</v>
      </c>
    </row>
    <row r="69" spans="1:4" ht="22.5" customHeight="1" x14ac:dyDescent="0.15">
      <c r="A69" s="4" t="s">
        <v>388</v>
      </c>
      <c r="B69" s="4" t="s">
        <v>389</v>
      </c>
      <c r="C69" s="4" t="s">
        <v>390</v>
      </c>
      <c r="D69" t="str">
        <f>_xlfn.CONCAT(Table3[[#This Row],['#]],": ",Table3[[#This Row],[Framework]])</f>
        <v>11.01a.2: Colonization Impact on Native Americans</v>
      </c>
    </row>
    <row r="70" spans="1:4" ht="22.5" customHeight="1" x14ac:dyDescent="0.15">
      <c r="A70" s="4" t="s">
        <v>391</v>
      </c>
      <c r="B70" s="4" t="s">
        <v>392</v>
      </c>
      <c r="C70" s="4" t="s">
        <v>393</v>
      </c>
      <c r="D70" t="str">
        <f>_xlfn.CONCAT(Table3[[#This Row],['#]],": ",Table3[[#This Row],[Framework]])</f>
        <v>11.01b.1: Geography &amp; Economic Systems</v>
      </c>
    </row>
    <row r="71" spans="1:4" ht="22.5" customHeight="1" x14ac:dyDescent="0.15">
      <c r="A71" s="4" t="s">
        <v>394</v>
      </c>
      <c r="B71" s="4" t="s">
        <v>395</v>
      </c>
      <c r="C71" s="4" t="s">
        <v>396</v>
      </c>
      <c r="D71" t="str">
        <f>_xlfn.CONCAT(Table3[[#This Row],['#]],": ",Table3[[#This Row],[Framework]])</f>
        <v>11.01b.2: Social Structures &amp; Labor</v>
      </c>
    </row>
    <row r="72" spans="1:4" ht="22.5" customHeight="1" x14ac:dyDescent="0.15">
      <c r="A72" s="4" t="s">
        <v>397</v>
      </c>
      <c r="B72" s="4" t="s">
        <v>398</v>
      </c>
      <c r="C72" s="4" t="s">
        <v>399</v>
      </c>
      <c r="D72" t="str">
        <f>_xlfn.CONCAT(Table3[[#This Row],['#]],": ",Table3[[#This Row],[Framework]])</f>
        <v>11.01b.3: Colonial Slavery</v>
      </c>
    </row>
    <row r="73" spans="1:4" ht="22.5" customHeight="1" x14ac:dyDescent="0.15">
      <c r="A73" s="4" t="s">
        <v>400</v>
      </c>
      <c r="B73" s="4" t="s">
        <v>401</v>
      </c>
      <c r="C73" s="4" t="s">
        <v>402</v>
      </c>
      <c r="D73" t="str">
        <f>_xlfn.CONCAT(Table3[[#This Row],['#]],": ",Table3[[#This Row],[Framework]])</f>
        <v>11.01c.1: Enlightenment &amp; British Traditions</v>
      </c>
    </row>
    <row r="74" spans="1:4" ht="22.5" customHeight="1" x14ac:dyDescent="0.15">
      <c r="A74" s="4" t="s">
        <v>403</v>
      </c>
      <c r="B74" s="4" t="s">
        <v>404</v>
      </c>
      <c r="C74" s="4" t="s">
        <v>405</v>
      </c>
      <c r="D74" t="str">
        <f>_xlfn.CONCAT(Table3[[#This Row],['#]],": ",Table3[[#This Row],[Framework]])</f>
        <v>11.01c.2: Colonial Democracy &amp; Key Documents</v>
      </c>
    </row>
    <row r="75" spans="1:4" ht="22.5" customHeight="1" x14ac:dyDescent="0.15">
      <c r="A75" s="4" t="s">
        <v>406</v>
      </c>
      <c r="B75" s="4" t="s">
        <v>407</v>
      </c>
      <c r="C75" s="4" t="s">
        <v>408</v>
      </c>
      <c r="D75" t="str">
        <f>_xlfn.CONCAT(Table3[[#This Row],['#]],": ",Table3[[#This Row],[Framework]])</f>
        <v>11.02a.1: British Control &amp; Colonial Resistance</v>
      </c>
    </row>
    <row r="76" spans="1:4" ht="22.5" customHeight="1" x14ac:dyDescent="0.15">
      <c r="A76" s="4" t="s">
        <v>409</v>
      </c>
      <c r="B76" s="4" t="s">
        <v>410</v>
      </c>
      <c r="C76" s="4" t="s">
        <v>411</v>
      </c>
      <c r="D76" t="str">
        <f>_xlfn.CONCAT(Table3[[#This Row],['#]],": ",Table3[[#This Row],[Framework]])</f>
        <v>11.02b.1: Declaration of Independence</v>
      </c>
    </row>
    <row r="77" spans="1:4" ht="22.5" customHeight="1" x14ac:dyDescent="0.15">
      <c r="A77" s="4" t="s">
        <v>412</v>
      </c>
      <c r="B77" s="4" t="s">
        <v>413</v>
      </c>
      <c r="C77" s="4" t="s">
        <v>414</v>
      </c>
      <c r="D77" t="str">
        <f>_xlfn.CONCAT(Table3[[#This Row],['#]],": ",Table3[[#This Row],[Framework]])</f>
        <v>11.02b.2: Impact on Marginalized Groups</v>
      </c>
    </row>
    <row r="78" spans="1:4" ht="22.5" customHeight="1" x14ac:dyDescent="0.15">
      <c r="A78" s="4" t="s">
        <v>415</v>
      </c>
      <c r="B78" s="4" t="s">
        <v>416</v>
      </c>
      <c r="C78" s="4" t="s">
        <v>417</v>
      </c>
      <c r="D78" t="str">
        <f>_xlfn.CONCAT(Table3[[#This Row],['#]],": ",Table3[[#This Row],[Framework]])</f>
        <v>11.02c.1: Articles of Confederation</v>
      </c>
    </row>
    <row r="79" spans="1:4" ht="22.5" customHeight="1" x14ac:dyDescent="0.15">
      <c r="A79" s="4" t="s">
        <v>418</v>
      </c>
      <c r="B79" s="4" t="s">
        <v>419</v>
      </c>
      <c r="C79" s="4" t="s">
        <v>420</v>
      </c>
      <c r="D79" t="str">
        <f>_xlfn.CONCAT(Table3[[#This Row],['#]],": ",Table3[[#This Row],[Framework]])</f>
        <v>11.02c.2: Constitution Development &amp; Debates</v>
      </c>
    </row>
    <row r="80" spans="1:4" ht="22.5" customHeight="1" x14ac:dyDescent="0.15">
      <c r="A80" s="4" t="s">
        <v>421</v>
      </c>
      <c r="B80" s="4" t="s">
        <v>422</v>
      </c>
      <c r="C80" s="4" t="s">
        <v>423</v>
      </c>
      <c r="D80" t="str">
        <f>_xlfn.CONCAT(Table3[[#This Row],['#]],": ",Table3[[#This Row],[Framework]])</f>
        <v>11.02c.3: Federal Government Structure &amp; Principles</v>
      </c>
    </row>
    <row r="81" spans="1:4" ht="22.5" customHeight="1" x14ac:dyDescent="0.15">
      <c r="A81" s="4" t="s">
        <v>424</v>
      </c>
      <c r="B81" s="4" t="s">
        <v>425</v>
      </c>
      <c r="C81" s="4" t="s">
        <v>426</v>
      </c>
      <c r="D81" t="str">
        <f>_xlfn.CONCAT(Table3[[#This Row],['#]],": ",Table3[[#This Row],[Framework]])</f>
        <v>11.02c.4: Federalist vs. Antifederalist</v>
      </c>
    </row>
    <row r="82" spans="1:4" ht="22.5" customHeight="1" x14ac:dyDescent="0.15">
      <c r="A82" s="4" t="s">
        <v>427</v>
      </c>
      <c r="B82" s="4" t="s">
        <v>428</v>
      </c>
      <c r="C82" s="4" t="s">
        <v>429</v>
      </c>
      <c r="D82" t="str">
        <f>_xlfn.CONCAT(Table3[[#This Row],['#]],": ",Table3[[#This Row],[Framework]])</f>
        <v>11.02c.5: Bill of Rights</v>
      </c>
    </row>
    <row r="83" spans="1:4" ht="22.5" customHeight="1" x14ac:dyDescent="0.15">
      <c r="A83" s="4" t="s">
        <v>430</v>
      </c>
      <c r="B83" s="4" t="s">
        <v>431</v>
      </c>
      <c r="C83" s="4" t="s">
        <v>432</v>
      </c>
      <c r="D83" t="str">
        <f>_xlfn.CONCAT(Table3[[#This Row],['#]],": ",Table3[[#This Row],[Framework]])</f>
        <v>11.02d.1: President George Washington</v>
      </c>
    </row>
    <row r="84" spans="1:4" ht="22.5" customHeight="1" x14ac:dyDescent="0.15">
      <c r="A84" s="4" t="s">
        <v>433</v>
      </c>
      <c r="B84" s="4" t="s">
        <v>434</v>
      </c>
      <c r="C84" s="4" t="s">
        <v>435</v>
      </c>
      <c r="D84" t="str">
        <f>_xlfn.CONCAT(Table3[[#This Row],['#]],": ",Table3[[#This Row],[Framework]])</f>
        <v>11.02d.2: Hamilton's Economic Plan &amp; Political Parties</v>
      </c>
    </row>
    <row r="85" spans="1:4" ht="22.5" customHeight="1" x14ac:dyDescent="0.15">
      <c r="A85" s="4" t="s">
        <v>436</v>
      </c>
      <c r="B85" s="4" t="s">
        <v>437</v>
      </c>
      <c r="C85" s="4" t="s">
        <v>438</v>
      </c>
      <c r="D85" t="str">
        <f>_xlfn.CONCAT(Table3[[#This Row],['#]],": ",Table3[[#This Row],[Framework]])</f>
        <v>11.02d.3: Peaceful Transfers of Power: 1800 vs. 2000</v>
      </c>
    </row>
    <row r="86" spans="1:4" ht="22.5" customHeight="1" x14ac:dyDescent="0.15">
      <c r="A86" s="4" t="s">
        <v>439</v>
      </c>
      <c r="B86" s="4" t="s">
        <v>440</v>
      </c>
      <c r="C86" s="4" t="s">
        <v>441</v>
      </c>
      <c r="D86" t="str">
        <f>_xlfn.CONCAT(Table3[[#This Row],['#]],": ",Table3[[#This Row],[Framework]])</f>
        <v>11.02d.4: Early Supreme Court Cases</v>
      </c>
    </row>
    <row r="87" spans="1:4" ht="22.5" customHeight="1" x14ac:dyDescent="0.15">
      <c r="A87" s="4" t="s">
        <v>442</v>
      </c>
      <c r="B87" s="4" t="s">
        <v>443</v>
      </c>
      <c r="C87" s="4" t="s">
        <v>444</v>
      </c>
      <c r="D87" t="str">
        <f>_xlfn.CONCAT(Table3[[#This Row],['#]],": ",Table3[[#This Row],[Framework]])</f>
        <v>11.03a.1: American Nationalism</v>
      </c>
    </row>
    <row r="88" spans="1:4" ht="22.5" customHeight="1" x14ac:dyDescent="0.15">
      <c r="A88" s="4" t="s">
        <v>445</v>
      </c>
      <c r="B88" s="4" t="s">
        <v>446</v>
      </c>
      <c r="C88" s="4" t="s">
        <v>447</v>
      </c>
      <c r="D88" t="str">
        <f>_xlfn.CONCAT(Table3[[#This Row],['#]],": ",Table3[[#This Row],[Framework]])</f>
        <v>11.03a.2: Market Revolution</v>
      </c>
    </row>
    <row r="89" spans="1:4" ht="22.5" customHeight="1" x14ac:dyDescent="0.15">
      <c r="A89" s="4" t="s">
        <v>448</v>
      </c>
      <c r="B89" s="4" t="s">
        <v>449</v>
      </c>
      <c r="C89" s="4" t="s">
        <v>450</v>
      </c>
      <c r="D89" t="str">
        <f>_xlfn.CONCAT(Table3[[#This Row],['#]],": ",Table3[[#This Row],[Framework]])</f>
        <v>11.03a.3: President Jackson</v>
      </c>
    </row>
    <row r="90" spans="1:4" ht="22.5" customHeight="1" x14ac:dyDescent="0.15">
      <c r="A90" s="4" t="s">
        <v>451</v>
      </c>
      <c r="B90" s="4" t="s">
        <v>452</v>
      </c>
      <c r="C90" s="4" t="s">
        <v>453</v>
      </c>
      <c r="D90" t="str">
        <f>_xlfn.CONCAT(Table3[[#This Row],['#]],": ",Table3[[#This Row],[Framework]])</f>
        <v>11.03b.1: Resolutions &amp; Nullifications</v>
      </c>
    </row>
    <row r="91" spans="1:4" ht="22.5" customHeight="1" x14ac:dyDescent="0.15">
      <c r="A91" s="4" t="s">
        <v>454</v>
      </c>
      <c r="B91" s="4" t="s">
        <v>455</v>
      </c>
      <c r="C91" s="4" t="s">
        <v>456</v>
      </c>
      <c r="D91" t="str">
        <f>_xlfn.CONCAT(Table3[[#This Row],['#]],": ",Table3[[#This Row],[Framework]])</f>
        <v>11.03b.2: Resistance &amp; Abolitionism</v>
      </c>
    </row>
    <row r="92" spans="1:4" ht="22.5" customHeight="1" x14ac:dyDescent="0.15">
      <c r="A92" s="4" t="s">
        <v>457</v>
      </c>
      <c r="B92" s="4" t="s">
        <v>458</v>
      </c>
      <c r="C92" s="4" t="s">
        <v>460</v>
      </c>
      <c r="D92" t="str">
        <f>_xlfn.CONCAT(Table3[[#This Row],['#]],": ",Table3[[#This Row],[Framework]])</f>
        <v>11.03b.3: Early Women's Rights Movement</v>
      </c>
    </row>
    <row r="93" spans="1:4" ht="22.5" customHeight="1" x14ac:dyDescent="0.15">
      <c r="A93" s="4" t="s">
        <v>461</v>
      </c>
      <c r="B93" s="4" t="s">
        <v>462</v>
      </c>
      <c r="C93" s="4" t="s">
        <v>463</v>
      </c>
      <c r="D93" t="str">
        <f>_xlfn.CONCAT(Table3[[#This Row],['#]],": ",Table3[[#This Row],[Framework]])</f>
        <v>11.03b.4: Expansion of Slavery</v>
      </c>
    </row>
    <row r="94" spans="1:4" ht="22.5" customHeight="1" x14ac:dyDescent="0.15">
      <c r="A94" s="4" t="s">
        <v>464</v>
      </c>
      <c r="B94" s="4" t="s">
        <v>465</v>
      </c>
      <c r="C94" s="4" t="s">
        <v>466</v>
      </c>
      <c r="D94" t="str">
        <f>_xlfn.CONCAT(Table3[[#This Row],['#]],": ",Table3[[#This Row],[Framework]])</f>
        <v>11.03c.1: Union vs. Confederacy</v>
      </c>
    </row>
    <row r="95" spans="1:4" ht="22.5" customHeight="1" x14ac:dyDescent="0.15">
      <c r="A95" s="4" t="s">
        <v>467</v>
      </c>
      <c r="B95" s="4" t="s">
        <v>468</v>
      </c>
      <c r="C95" s="4" t="s">
        <v>469</v>
      </c>
      <c r="D95" t="str">
        <f>_xlfn.CONCAT(Table3[[#This Row],['#]],": ",Table3[[#This Row],[Framework]])</f>
        <v>11.03c.2: Federal Power: Habeas Corpus &amp; Emancipation</v>
      </c>
    </row>
    <row r="96" spans="1:4" ht="22.5" customHeight="1" x14ac:dyDescent="0.15">
      <c r="A96" s="4" t="s">
        <v>470</v>
      </c>
      <c r="B96" s="4" t="s">
        <v>471</v>
      </c>
      <c r="C96" s="4" t="s">
        <v>472</v>
      </c>
      <c r="D96" t="str">
        <f>_xlfn.CONCAT(Table3[[#This Row],['#]],": ",Table3[[#This Row],[Framework]])</f>
        <v>11.03c.3: Gettysburg Address</v>
      </c>
    </row>
    <row r="97" spans="1:4" ht="22.5" customHeight="1" x14ac:dyDescent="0.15">
      <c r="A97" s="4" t="s">
        <v>473</v>
      </c>
      <c r="B97" s="4" t="s">
        <v>474</v>
      </c>
      <c r="C97" s="4" t="s">
        <v>475</v>
      </c>
      <c r="D97" t="str">
        <f>_xlfn.CONCAT(Table3[[#This Row],['#]],": ",Table3[[#This Row],[Framework]])</f>
        <v>11.04a.1: Amendments &amp; Reconstruction</v>
      </c>
    </row>
    <row r="98" spans="1:4" ht="22.5" customHeight="1" x14ac:dyDescent="0.15">
      <c r="A98" s="4" t="s">
        <v>476</v>
      </c>
      <c r="B98" s="4" t="s">
        <v>477</v>
      </c>
      <c r="C98" s="4" t="s">
        <v>478</v>
      </c>
      <c r="D98" t="str">
        <f>_xlfn.CONCAT(Table3[[#This Row],['#]],": ",Table3[[#This Row],[Framework]])</f>
        <v>11.04a.2: Limiting of Black Rights</v>
      </c>
    </row>
    <row r="99" spans="1:4" ht="22.5" customHeight="1" x14ac:dyDescent="0.15">
      <c r="A99" s="4" t="s">
        <v>479</v>
      </c>
      <c r="B99" s="4" t="s">
        <v>480</v>
      </c>
      <c r="C99" s="4" t="s">
        <v>481</v>
      </c>
      <c r="D99" t="str">
        <f>_xlfn.CONCAT(Table3[[#This Row],['#]],": ",Table3[[#This Row],[Framework]])</f>
        <v>11.04a.3: Freedmen's Pursuit of Independence</v>
      </c>
    </row>
    <row r="100" spans="1:4" ht="22.5" customHeight="1" x14ac:dyDescent="0.15">
      <c r="A100" s="4" t="s">
        <v>482</v>
      </c>
      <c r="B100" s="4" t="s">
        <v>483</v>
      </c>
      <c r="C100" s="4" t="s">
        <v>484</v>
      </c>
      <c r="D100" t="str">
        <f>_xlfn.CONCAT(Table3[[#This Row],['#]],": ",Table3[[#This Row],[Framework]])</f>
        <v>11.04a.4: End of Reconstruction</v>
      </c>
    </row>
    <row r="101" spans="1:4" ht="22.5" customHeight="1" x14ac:dyDescent="0.15">
      <c r="A101" s="4" t="s">
        <v>485</v>
      </c>
      <c r="B101" s="4" t="s">
        <v>486</v>
      </c>
      <c r="C101" s="4" t="s">
        <v>487</v>
      </c>
      <c r="D101" t="str">
        <f>_xlfn.CONCAT(Table3[[#This Row],['#]],": ",Table3[[#This Row],[Framework]])</f>
        <v>11.04b.1: Exclusion of Women &amp; Struggle for Rights</v>
      </c>
    </row>
    <row r="102" spans="1:4" ht="22.5" customHeight="1" x14ac:dyDescent="0.15">
      <c r="A102" s="4" t="s">
        <v>488</v>
      </c>
      <c r="B102" s="4" t="s">
        <v>489</v>
      </c>
      <c r="C102" s="4" t="s">
        <v>490</v>
      </c>
      <c r="D102" t="str">
        <f>_xlfn.CONCAT(Table3[[#This Row],['#]],": ",Table3[[#This Row],[Framework]])</f>
        <v>11.04c.1: Federal Policies &amp; Western Expansion</v>
      </c>
    </row>
    <row r="103" spans="1:4" ht="22.5" customHeight="1" x14ac:dyDescent="0.15">
      <c r="A103" s="4" t="s">
        <v>491</v>
      </c>
      <c r="B103" s="4" t="s">
        <v>492</v>
      </c>
      <c r="C103" s="4" t="s">
        <v>493</v>
      </c>
      <c r="D103" t="str">
        <f>_xlfn.CONCAT(Table3[[#This Row],['#]],": ",Table3[[#This Row],[Framework]])</f>
        <v>11.04c.2: Western Expansion &amp; Native American Impact</v>
      </c>
    </row>
    <row r="104" spans="1:4" ht="22.5" customHeight="1" x14ac:dyDescent="0.15">
      <c r="A104" s="4" t="s">
        <v>494</v>
      </c>
      <c r="B104" s="4" t="s">
        <v>495</v>
      </c>
      <c r="C104" s="4" t="s">
        <v>496</v>
      </c>
      <c r="D104" t="str">
        <f>_xlfn.CONCAT(Table3[[#This Row],['#]],": ",Table3[[#This Row],[Framework]])</f>
        <v>11.04d.1: Treatment of Mexicans &amp; Mexican Americans</v>
      </c>
    </row>
    <row r="105" spans="1:4" ht="22.5" customHeight="1" x14ac:dyDescent="0.15">
      <c r="A105" s="4" t="s">
        <v>497</v>
      </c>
      <c r="B105" s="4" t="s">
        <v>498</v>
      </c>
      <c r="C105" s="4" t="s">
        <v>499</v>
      </c>
      <c r="D105" t="str">
        <f>_xlfn.CONCAT(Table3[[#This Row],['#]],": ",Table3[[#This Row],[Framework]])</f>
        <v>11.04d.2: Chinese Immigration &amp; Exclusion</v>
      </c>
    </row>
    <row r="106" spans="1:4" ht="22.5" customHeight="1" x14ac:dyDescent="0.15">
      <c r="A106" s="4" t="s">
        <v>500</v>
      </c>
      <c r="B106" s="4" t="s">
        <v>501</v>
      </c>
      <c r="C106" s="4" t="s">
        <v>502</v>
      </c>
      <c r="D106" t="str">
        <f>_xlfn.CONCAT(Table3[[#This Row],['#]],": ",Table3[[#This Row],[Framework]])</f>
        <v>11.05a.1: Technological Innovations</v>
      </c>
    </row>
    <row r="107" spans="1:4" ht="22.5" customHeight="1" x14ac:dyDescent="0.15">
      <c r="A107" s="4" t="s">
        <v>503</v>
      </c>
      <c r="B107" s="4" t="s">
        <v>504</v>
      </c>
      <c r="C107" s="4" t="s">
        <v>505</v>
      </c>
      <c r="D107" t="str">
        <f>_xlfn.CONCAT(Table3[[#This Row],['#]],": ",Table3[[#This Row],[Framework]])</f>
        <v>11.05a.2: Growth of Industrial Businesses</v>
      </c>
    </row>
    <row r="108" spans="1:4" ht="22.5" customHeight="1" x14ac:dyDescent="0.15">
      <c r="A108" s="4" t="s">
        <v>506</v>
      </c>
      <c r="B108" s="4" t="s">
        <v>507</v>
      </c>
      <c r="C108" s="4" t="s">
        <v>508</v>
      </c>
      <c r="D108" t="str">
        <f>_xlfn.CONCAT(Table3[[#This Row],['#]],": ",Table3[[#This Row],[Framework]])</f>
        <v>11.05a.3: Regulation vs Monopolies</v>
      </c>
    </row>
    <row r="109" spans="1:4" ht="22.5" customHeight="1" x14ac:dyDescent="0.15">
      <c r="A109" s="4" t="s">
        <v>509</v>
      </c>
      <c r="B109" s="4" t="s">
        <v>510</v>
      </c>
      <c r="C109" s="4" t="s">
        <v>511</v>
      </c>
      <c r="D109" t="str">
        <f>_xlfn.CONCAT(Table3[[#This Row],['#]],": ",Table3[[#This Row],[Framework]])</f>
        <v>11.05b.1: Urbanization &amp; Immigration</v>
      </c>
    </row>
    <row r="110" spans="1:4" ht="22.5" customHeight="1" x14ac:dyDescent="0.15">
      <c r="A110" s="4" t="s">
        <v>512</v>
      </c>
      <c r="B110" s="4" t="s">
        <v>513</v>
      </c>
      <c r="C110" s="4" t="s">
        <v>514</v>
      </c>
      <c r="D110" t="str">
        <f>_xlfn.CONCAT(Table3[[#This Row],['#]],": ",Table3[[#This Row],[Framework]])</f>
        <v>11.05b.2: Grange Movement &amp; Populist Party</v>
      </c>
    </row>
    <row r="111" spans="1:4" ht="22.5" customHeight="1" x14ac:dyDescent="0.15">
      <c r="A111" s="4" t="s">
        <v>515</v>
      </c>
      <c r="B111" s="4" t="s">
        <v>516</v>
      </c>
      <c r="C111" s="4" t="s">
        <v>517</v>
      </c>
      <c r="D111" t="str">
        <f>_xlfn.CONCAT(Table3[[#This Row],['#]],": ",Table3[[#This Row],[Framework]])</f>
        <v>11.05b.3: Early Unionization</v>
      </c>
    </row>
    <row r="112" spans="1:4" ht="22.5" customHeight="1" x14ac:dyDescent="0.15">
      <c r="A112" s="4" t="s">
        <v>518</v>
      </c>
      <c r="B112" s="4" t="s">
        <v>519</v>
      </c>
      <c r="C112" s="4" t="s">
        <v>520</v>
      </c>
      <c r="D112" t="str">
        <f>_xlfn.CONCAT(Table3[[#This Row],['#]],": ",Table3[[#This Row],[Framework]])</f>
        <v>11.05b.4: Progressive Era</v>
      </c>
    </row>
    <row r="113" spans="1:4" ht="22.5" customHeight="1" x14ac:dyDescent="0.15">
      <c r="A113" s="4" t="s">
        <v>521</v>
      </c>
      <c r="B113" s="4" t="s">
        <v>522</v>
      </c>
      <c r="C113" s="4" t="s">
        <v>523</v>
      </c>
      <c r="D113" t="str">
        <f>_xlfn.CONCAT(Table3[[#This Row],['#]],": ",Table3[[#This Row],[Framework]])</f>
        <v>11.05b.5: Women's Suffrage</v>
      </c>
    </row>
    <row r="114" spans="1:4" ht="22.5" customHeight="1" x14ac:dyDescent="0.15">
      <c r="A114" s="4" t="s">
        <v>524</v>
      </c>
      <c r="B114" s="4" t="s">
        <v>525</v>
      </c>
      <c r="C114" s="4" t="s">
        <v>526</v>
      </c>
      <c r="D114" t="str">
        <f>_xlfn.CONCAT(Table3[[#This Row],['#]],": ",Table3[[#This Row],[Framework]])</f>
        <v>11.05b.6: Temperance &amp; Prohibition</v>
      </c>
    </row>
    <row r="115" spans="1:4" ht="22.5" customHeight="1" x14ac:dyDescent="0.15">
      <c r="A115" s="4" t="s">
        <v>527</v>
      </c>
      <c r="B115" s="4" t="s">
        <v>528</v>
      </c>
      <c r="C115" s="4" t="s">
        <v>529</v>
      </c>
      <c r="D115" t="str">
        <f>_xlfn.CONCAT(Table3[[#This Row],['#]],": ",Table3[[#This Row],[Framework]])</f>
        <v>11.05b.7: Influential Documents of the Progressive Era</v>
      </c>
    </row>
    <row r="116" spans="1:4" ht="22.5" customHeight="1" x14ac:dyDescent="0.15">
      <c r="A116" s="4" t="s">
        <v>530</v>
      </c>
      <c r="B116" s="4" t="s">
        <v>531</v>
      </c>
      <c r="C116" s="4" t="s">
        <v>533</v>
      </c>
      <c r="D116" t="str">
        <f>_xlfn.CONCAT(Table3[[#This Row],['#]],": ",Table3[[#This Row],[Framework]])</f>
        <v>11.06a.1: Gowing Economic Interests, Foreign Involvement, &amp; Hawaii</v>
      </c>
    </row>
    <row r="117" spans="1:4" ht="22.5" customHeight="1" x14ac:dyDescent="0.15">
      <c r="A117" s="4" t="s">
        <v>534</v>
      </c>
      <c r="B117" s="4" t="s">
        <v>535</v>
      </c>
      <c r="C117" s="4" t="s">
        <v>536</v>
      </c>
      <c r="D117" t="str">
        <f>_xlfn.CONCAT(Table3[[#This Row],['#]],": ",Table3[[#This Row],[Framework]])</f>
        <v>11.06a.2: Spanish American War</v>
      </c>
    </row>
    <row r="118" spans="1:4" ht="22.5" customHeight="1" x14ac:dyDescent="0.15">
      <c r="A118" s="4" t="s">
        <v>537</v>
      </c>
      <c r="B118" s="4" t="s">
        <v>538</v>
      </c>
      <c r="C118" s="4" t="s">
        <v>539</v>
      </c>
      <c r="D118" t="str">
        <f>_xlfn.CONCAT(Table3[[#This Row],['#]],": ",Table3[[#This Row],[Framework]])</f>
        <v>11.06a.3: (Anti) Imperialism &amp; the Philippines</v>
      </c>
    </row>
    <row r="119" spans="1:4" ht="22.5" customHeight="1" x14ac:dyDescent="0.15">
      <c r="A119" s="4" t="s">
        <v>540</v>
      </c>
      <c r="B119" s="4" t="s">
        <v>541</v>
      </c>
      <c r="C119" s="4" t="s">
        <v>542</v>
      </c>
      <c r="D119" t="str">
        <f>_xlfn.CONCAT(Table3[[#This Row],['#]],": ",Table3[[#This Row],[Framework]])</f>
        <v>11.06a.4: Imperialism in the Caribbean &amp; Latin America</v>
      </c>
    </row>
    <row r="120" spans="1:4" ht="22.5" customHeight="1" x14ac:dyDescent="0.15">
      <c r="A120" s="4" t="s">
        <v>543</v>
      </c>
      <c r="B120" s="4" t="s">
        <v>544</v>
      </c>
      <c r="C120" s="4" t="s">
        <v>545</v>
      </c>
      <c r="D120" t="str">
        <f>_xlfn.CONCAT(Table3[[#This Row],['#]],": ",Table3[[#This Row],[Framework]])</f>
        <v>11.06b.1: President Wilson: Neutrality to Involvement</v>
      </c>
    </row>
    <row r="121" spans="1:4" ht="22.5" customHeight="1" x14ac:dyDescent="0.15">
      <c r="A121" s="4" t="s">
        <v>546</v>
      </c>
      <c r="B121" s="4" t="s">
        <v>547</v>
      </c>
      <c r="C121" s="4" t="s">
        <v>548</v>
      </c>
      <c r="D121" t="str">
        <f>_xlfn.CONCAT(Table3[[#This Row],['#]],": ",Table3[[#This Row],[Framework]])</f>
        <v>11.06b.2: Attempts at Peace after WWI</v>
      </c>
    </row>
    <row r="122" spans="1:4" ht="22.5" customHeight="1" x14ac:dyDescent="0.15">
      <c r="A122" s="4" t="s">
        <v>549</v>
      </c>
      <c r="B122" s="4" t="s">
        <v>550</v>
      </c>
      <c r="C122" s="4" t="s">
        <v>551</v>
      </c>
      <c r="D122" t="str">
        <f>_xlfn.CONCAT(Table3[[#This Row],['#]],": ",Table3[[#This Row],[Framework]])</f>
        <v>11.06b.3: Unsuccessful Ratification of the Treaty of Versailles</v>
      </c>
    </row>
    <row r="123" spans="1:4" ht="22.5" customHeight="1" x14ac:dyDescent="0.15">
      <c r="A123" s="4" t="s">
        <v>552</v>
      </c>
      <c r="B123" s="4" t="s">
        <v>553</v>
      </c>
      <c r="C123" s="4" t="s">
        <v>554</v>
      </c>
      <c r="D123" t="str">
        <f>_xlfn.CONCAT(Table3[[#This Row],['#]],": ",Table3[[#This Row],[Framework]])</f>
        <v>11.06c.1: Mobilization Economic Effects</v>
      </c>
    </row>
    <row r="124" spans="1:4" ht="22.5" customHeight="1" x14ac:dyDescent="0.15">
      <c r="A124" s="4" t="s">
        <v>555</v>
      </c>
      <c r="B124" s="4" t="s">
        <v>556</v>
      </c>
      <c r="C124" s="4" t="s">
        <v>557</v>
      </c>
      <c r="D124" t="str">
        <f>_xlfn.CONCAT(Table3[[#This Row],['#]],": ",Table3[[#This Row],[Framework]])</f>
        <v>11.06c.2: Great Migration</v>
      </c>
    </row>
    <row r="125" spans="1:4" ht="22.5" customHeight="1" x14ac:dyDescent="0.15">
      <c r="A125" s="4" t="s">
        <v>558</v>
      </c>
      <c r="B125" s="4" t="s">
        <v>559</v>
      </c>
      <c r="C125" s="4" t="s">
        <v>560</v>
      </c>
      <c r="D125" t="str">
        <f>_xlfn.CONCAT(Table3[[#This Row],['#]],": ",Table3[[#This Row],[Framework]])</f>
        <v>11.06c.3: Schenck v. US (1919)</v>
      </c>
    </row>
    <row r="126" spans="1:4" ht="22.5" customHeight="1" x14ac:dyDescent="0.15">
      <c r="A126" s="4" t="s">
        <v>561</v>
      </c>
      <c r="B126" s="4" t="s">
        <v>562</v>
      </c>
      <c r="C126" s="4" t="s">
        <v>563</v>
      </c>
      <c r="D126" t="str">
        <f>_xlfn.CONCAT(Table3[[#This Row],['#]],": ",Table3[[#This Row],[Framework]])</f>
        <v>11.06c.4: Fear of Radicals, Xenophobia, and the Red Scare</v>
      </c>
    </row>
    <row r="127" spans="1:4" ht="22.5" customHeight="1" x14ac:dyDescent="0.15">
      <c r="A127" s="4" t="s">
        <v>564</v>
      </c>
      <c r="B127" s="4" t="s">
        <v>565</v>
      </c>
      <c r="C127" s="4" t="s">
        <v>566</v>
      </c>
      <c r="D127" t="str">
        <f>_xlfn.CONCAT(Table3[[#This Row],['#]],": ",Table3[[#This Row],[Framework]])</f>
        <v>11.07a.1: Roaring Twenties</v>
      </c>
    </row>
    <row r="128" spans="1:4" ht="22.5" customHeight="1" x14ac:dyDescent="0.15">
      <c r="A128" s="4" t="s">
        <v>567</v>
      </c>
      <c r="B128" s="4" t="s">
        <v>568</v>
      </c>
      <c r="C128" s="4" t="s">
        <v>569</v>
      </c>
      <c r="D128" t="str">
        <f>_xlfn.CONCAT(Table3[[#This Row],['#]],": ",Table3[[#This Row],[Framework]])</f>
        <v>11.07a.2: Prohibition</v>
      </c>
    </row>
    <row r="129" spans="1:4" ht="22.5" customHeight="1" x14ac:dyDescent="0.15">
      <c r="A129" s="4" t="s">
        <v>570</v>
      </c>
      <c r="B129" s="4" t="s">
        <v>571</v>
      </c>
      <c r="C129" s="4" t="s">
        <v>572</v>
      </c>
      <c r="D129" t="str">
        <f>_xlfn.CONCAT(Table3[[#This Row],['#]],": ",Table3[[#This Row],[Framework]])</f>
        <v>11.07a.3: Immigration in the 1920's</v>
      </c>
    </row>
    <row r="130" spans="1:4" ht="22.5" customHeight="1" x14ac:dyDescent="0.15">
      <c r="A130" s="4" t="s">
        <v>573</v>
      </c>
      <c r="B130" s="4" t="s">
        <v>574</v>
      </c>
      <c r="C130" s="4" t="s">
        <v>575</v>
      </c>
      <c r="D130" t="str">
        <f>_xlfn.CONCAT(Table3[[#This Row],['#]],": ",Table3[[#This Row],[Framework]])</f>
        <v>11.07a.4: Resurgence of the KKK</v>
      </c>
    </row>
    <row r="131" spans="1:4" ht="22.5" customHeight="1" x14ac:dyDescent="0.15">
      <c r="A131" s="4" t="s">
        <v>576</v>
      </c>
      <c r="B131" s="4" t="s">
        <v>577</v>
      </c>
      <c r="C131" s="4" t="s">
        <v>578</v>
      </c>
      <c r="D131" t="str">
        <f>_xlfn.CONCAT(Table3[[#This Row],['#]],": ",Table3[[#This Row],[Framework]])</f>
        <v>11.07a.5: Scopes Trial</v>
      </c>
    </row>
    <row r="132" spans="1:4" ht="22.5" customHeight="1" x14ac:dyDescent="0.15">
      <c r="A132" s="4" t="s">
        <v>579</v>
      </c>
      <c r="B132" s="4" t="s">
        <v>580</v>
      </c>
      <c r="C132" s="4" t="s">
        <v>581</v>
      </c>
      <c r="D132" t="str">
        <f>_xlfn.CONCAT(Table3[[#This Row],['#]],": ",Table3[[#This Row],[Framework]])</f>
        <v>11.07b.1: Harlem Renaissance</v>
      </c>
    </row>
    <row r="133" spans="1:4" ht="22.5" customHeight="1" x14ac:dyDescent="0.15">
      <c r="A133" s="4" t="s">
        <v>582</v>
      </c>
      <c r="B133" s="4" t="s">
        <v>583</v>
      </c>
      <c r="C133" s="4" t="s">
        <v>584</v>
      </c>
      <c r="D133" t="str">
        <f>_xlfn.CONCAT(Table3[[#This Row],['#]],": ",Table3[[#This Row],[Framework]])</f>
        <v>11.07b.2: Black Pride, Nationalism &amp; Marcus Garvey</v>
      </c>
    </row>
    <row r="134" spans="1:4" ht="22.5" customHeight="1" x14ac:dyDescent="0.15">
      <c r="A134" s="4" t="s">
        <v>585</v>
      </c>
      <c r="B134" s="4" t="s">
        <v>586</v>
      </c>
      <c r="C134" s="4" t="s">
        <v>587</v>
      </c>
      <c r="D134" t="str">
        <f>_xlfn.CONCAT(Table3[[#This Row],['#]],": ",Table3[[#This Row],[Framework]])</f>
        <v>11.07c.1: Economic Prosperity</v>
      </c>
    </row>
    <row r="135" spans="1:4" ht="22.5" customHeight="1" x14ac:dyDescent="0.15">
      <c r="A135" s="4" t="s">
        <v>588</v>
      </c>
      <c r="B135" s="4" t="s">
        <v>589</v>
      </c>
      <c r="C135" s="4" t="s">
        <v>590</v>
      </c>
      <c r="D135" t="str">
        <f>_xlfn.CONCAT(Table3[[#This Row],['#]],": ",Table3[[#This Row],[Framework]])</f>
        <v>11.07c.2: The Great Depression</v>
      </c>
    </row>
    <row r="136" spans="1:4" ht="22.5" customHeight="1" x14ac:dyDescent="0.15">
      <c r="A136" s="4" t="s">
        <v>591</v>
      </c>
      <c r="B136" s="4" t="s">
        <v>592</v>
      </c>
      <c r="C136" s="4" t="s">
        <v>593</v>
      </c>
      <c r="D136" t="str">
        <f>_xlfn.CONCAT(Table3[[#This Row],['#]],": ",Table3[[#This Row],[Framework]])</f>
        <v>11.07c.3: Hoover vs. FDR</v>
      </c>
    </row>
    <row r="137" spans="1:4" ht="22.5" customHeight="1" x14ac:dyDescent="0.15">
      <c r="A137" s="4" t="s">
        <v>594</v>
      </c>
      <c r="B137" s="4" t="s">
        <v>595</v>
      </c>
      <c r="C137" s="4" t="s">
        <v>596</v>
      </c>
      <c r="D137" t="str">
        <f>_xlfn.CONCAT(Table3[[#This Row],['#]],": ",Table3[[#This Row],[Framework]])</f>
        <v>11.07c.4: Dust Bowl</v>
      </c>
    </row>
    <row r="138" spans="1:4" ht="22.5" customHeight="1" x14ac:dyDescent="0.15">
      <c r="A138" s="4" t="s">
        <v>597</v>
      </c>
      <c r="B138" s="4" t="s">
        <v>598</v>
      </c>
      <c r="C138" s="4" t="s">
        <v>599</v>
      </c>
      <c r="D138" t="str">
        <f>_xlfn.CONCAT(Table3[[#This Row],['#]],": ",Table3[[#This Row],[Framework]])</f>
        <v>11.07c.5: New Deal</v>
      </c>
    </row>
    <row r="139" spans="1:4" ht="22.5" customHeight="1" x14ac:dyDescent="0.15">
      <c r="A139" s="4" t="s">
        <v>600</v>
      </c>
      <c r="B139" s="4" t="s">
        <v>601</v>
      </c>
      <c r="C139" s="4" t="s">
        <v>602</v>
      </c>
      <c r="D139" t="str">
        <f>_xlfn.CONCAT(Table3[[#This Row],['#]],": ",Table3[[#This Row],[Framework]])</f>
        <v>11.08a.1: Neutrality Acts</v>
      </c>
    </row>
    <row r="140" spans="1:4" ht="22.5" customHeight="1" x14ac:dyDescent="0.15">
      <c r="A140" s="4" t="s">
        <v>603</v>
      </c>
      <c r="B140" s="4" t="s">
        <v>604</v>
      </c>
      <c r="C140" s="4" t="s">
        <v>605</v>
      </c>
      <c r="D140" t="str">
        <f>_xlfn.CONCAT(Table3[[#This Row],['#]],": ",Table3[[#This Row],[Framework]])</f>
        <v>11.08a.2: Negotiations with Japan</v>
      </c>
    </row>
    <row r="141" spans="1:4" ht="22.5" customHeight="1" x14ac:dyDescent="0.15">
      <c r="A141" s="4" t="s">
        <v>606</v>
      </c>
      <c r="B141" s="4" t="s">
        <v>607</v>
      </c>
      <c r="C141" s="4" t="s">
        <v>608</v>
      </c>
      <c r="D141" t="str">
        <f>_xlfn.CONCAT(Table3[[#This Row],['#]],": ",Table3[[#This Row],[Framework]])</f>
        <v>11.08a.3: Pearl Harbor</v>
      </c>
    </row>
    <row r="142" spans="1:4" ht="22.5" customHeight="1" x14ac:dyDescent="0.15">
      <c r="A142" s="4" t="s">
        <v>609</v>
      </c>
      <c r="B142" s="4" t="s">
        <v>610</v>
      </c>
      <c r="C142" s="4" t="s">
        <v>611</v>
      </c>
      <c r="D142" t="str">
        <f>_xlfn.CONCAT(Table3[[#This Row],['#]],": ",Table3[[#This Row],[Framework]])</f>
        <v>11.08a.4: FDR &amp; the Grand Alliance</v>
      </c>
    </row>
    <row r="143" spans="1:4" ht="22.5" customHeight="1" x14ac:dyDescent="0.15">
      <c r="A143" s="4" t="s">
        <v>612</v>
      </c>
      <c r="B143" s="4" t="s">
        <v>613</v>
      </c>
      <c r="C143" s="4" t="s">
        <v>614</v>
      </c>
      <c r="D143" t="str">
        <f>_xlfn.CONCAT(Table3[[#This Row],['#]],": ",Table3[[#This Row],[Framework]])</f>
        <v>11.08a.5: Technological Advancements &amp; the Atomic Bomb</v>
      </c>
    </row>
    <row r="144" spans="1:4" ht="22.5" customHeight="1" x14ac:dyDescent="0.15">
      <c r="A144" s="4" t="s">
        <v>615</v>
      </c>
      <c r="B144" s="4" t="s">
        <v>616</v>
      </c>
      <c r="C144" s="4" t="s">
        <v>617</v>
      </c>
      <c r="D144" t="str">
        <f>_xlfn.CONCAT(Table3[[#This Row],['#]],": ",Table3[[#This Row],[Framework]])</f>
        <v>11.08b.1: Mobilizations</v>
      </c>
    </row>
    <row r="145" spans="1:4" ht="22.5" customHeight="1" x14ac:dyDescent="0.15">
      <c r="A145" s="4" t="s">
        <v>618</v>
      </c>
      <c r="B145" s="4" t="s">
        <v>619</v>
      </c>
      <c r="C145" s="4" t="s">
        <v>620</v>
      </c>
      <c r="D145" t="str">
        <f>_xlfn.CONCAT(Table3[[#This Row],['#]],": ",Table3[[#This Row],[Framework]])</f>
        <v>11.08b.2: Japanese Internment</v>
      </c>
    </row>
    <row r="146" spans="1:4" ht="22.5" customHeight="1" x14ac:dyDescent="0.15">
      <c r="A146" s="4" t="s">
        <v>621</v>
      </c>
      <c r="B146" s="4" t="s">
        <v>622</v>
      </c>
      <c r="C146" s="4" t="s">
        <v>623</v>
      </c>
      <c r="D146" t="str">
        <f>_xlfn.CONCAT(Table3[[#This Row],['#]],": ",Table3[[#This Row],[Framework]])</f>
        <v>11.08b.3: Women &amp; BIPOC Contribution to WW2</v>
      </c>
    </row>
    <row r="147" spans="1:4" ht="22.5" customHeight="1" x14ac:dyDescent="0.15">
      <c r="A147" s="4" t="s">
        <v>624</v>
      </c>
      <c r="B147" s="4" t="s">
        <v>625</v>
      </c>
      <c r="C147" s="4" t="s">
        <v>626</v>
      </c>
      <c r="D147" t="str">
        <f>_xlfn.CONCAT(Table3[[#This Row],['#]],": ",Table3[[#This Row],[Framework]])</f>
        <v>11.08c.1: Holocaust</v>
      </c>
    </row>
    <row r="148" spans="1:4" ht="22.5" customHeight="1" x14ac:dyDescent="0.15">
      <c r="A148" s="4" t="s">
        <v>627</v>
      </c>
      <c r="B148" s="4" t="s">
        <v>628</v>
      </c>
      <c r="C148" s="4" t="s">
        <v>629</v>
      </c>
      <c r="D148" t="str">
        <f>_xlfn.CONCAT(Table3[[#This Row],['#]],": ",Table3[[#This Row],[Framework]])</f>
        <v>11.08c.2: Nuremberg War Crime Trials</v>
      </c>
    </row>
    <row r="149" spans="1:4" ht="22.5" customHeight="1" x14ac:dyDescent="0.15">
      <c r="A149" s="4" t="s">
        <v>630</v>
      </c>
      <c r="B149" s="4" t="s">
        <v>631</v>
      </c>
      <c r="C149" s="4" t="s">
        <v>632</v>
      </c>
      <c r="D149" t="str">
        <f>_xlfn.CONCAT(Table3[[#This Row],['#]],": ",Table3[[#This Row],[Framework]])</f>
        <v>11.08c.3: Eleanor Roosevelt &amp; UN's Universal Declaration of Human Rights</v>
      </c>
    </row>
    <row r="150" spans="1:4" ht="22.5" customHeight="1" x14ac:dyDescent="0.15">
      <c r="A150" s="4" t="s">
        <v>633</v>
      </c>
      <c r="B150" s="4" t="s">
        <v>634</v>
      </c>
      <c r="C150" s="4" t="s">
        <v>635</v>
      </c>
      <c r="D150" t="str">
        <f>_xlfn.CONCAT(Table3[[#This Row],['#]],": ",Table3[[#This Row],[Framework]])</f>
        <v>11.09a.1: US Decisions for post-war Europe</v>
      </c>
    </row>
    <row r="151" spans="1:4" ht="22.5" customHeight="1" x14ac:dyDescent="0.15">
      <c r="A151" s="4" t="s">
        <v>636</v>
      </c>
      <c r="B151" s="4" t="s">
        <v>637</v>
      </c>
      <c r="C151" s="4" t="s">
        <v>638</v>
      </c>
      <c r="D151" t="str">
        <f>_xlfn.CONCAT(Table3[[#This Row],['#]],": ",Table3[[#This Row],[Framework]])</f>
        <v>11.09a.2: Containment Policies</v>
      </c>
    </row>
    <row r="152" spans="1:4" ht="22.5" customHeight="1" x14ac:dyDescent="0.15">
      <c r="A152" s="4" t="s">
        <v>639</v>
      </c>
      <c r="B152" s="4" t="s">
        <v>641</v>
      </c>
      <c r="C152" s="4" t="s">
        <v>642</v>
      </c>
      <c r="D152" t="str">
        <f>_xlfn.CONCAT(Table3[[#This Row],['#]],": ",Table3[[#This Row],[Framework]])</f>
        <v>11.09a.3: McCarthyism</v>
      </c>
    </row>
    <row r="153" spans="1:4" ht="22.5" customHeight="1" x14ac:dyDescent="0.15">
      <c r="A153" s="4" t="s">
        <v>643</v>
      </c>
      <c r="B153" s="4" t="s">
        <v>644</v>
      </c>
      <c r="C153" s="4" t="s">
        <v>645</v>
      </c>
      <c r="D153" t="str">
        <f>_xlfn.CONCAT(Table3[[#This Row],['#]],": ",Table3[[#This Row],[Framework]])</f>
        <v>11.09a.4: Korean War</v>
      </c>
    </row>
    <row r="154" spans="1:4" ht="22.5" customHeight="1" x14ac:dyDescent="0.15">
      <c r="A154" s="4" t="s">
        <v>646</v>
      </c>
      <c r="B154" s="4" t="s">
        <v>647</v>
      </c>
      <c r="C154" s="4" t="s">
        <v>648</v>
      </c>
      <c r="D154" t="str">
        <f>_xlfn.CONCAT(Table3[[#This Row],['#]],": ",Table3[[#This Row],[Framework]])</f>
        <v>11.09a.5: Vietnam War</v>
      </c>
    </row>
    <row r="155" spans="1:4" ht="22.5" customHeight="1" x14ac:dyDescent="0.15">
      <c r="A155" s="4" t="s">
        <v>649</v>
      </c>
      <c r="B155" s="4" t="s">
        <v>650</v>
      </c>
      <c r="C155" s="4" t="s">
        <v>651</v>
      </c>
      <c r="D155" t="str">
        <f>_xlfn.CONCAT(Table3[[#This Row],['#]],": ",Table3[[#This Row],[Framework]])</f>
        <v>11.09a.6: Antiwar Movement &amp; Watergate</v>
      </c>
    </row>
    <row r="156" spans="1:4" ht="22.5" customHeight="1" x14ac:dyDescent="0.15">
      <c r="A156" s="4" t="s">
        <v>652</v>
      </c>
      <c r="B156" s="4" t="s">
        <v>653</v>
      </c>
      <c r="C156" s="4" t="s">
        <v>654</v>
      </c>
      <c r="D156" t="str">
        <f>_xlfn.CONCAT(Table3[[#This Row],['#]],": ",Table3[[#This Row],[Framework]])</f>
        <v>11.09a.7: War Powers Act</v>
      </c>
    </row>
    <row r="157" spans="1:4" ht="22.5" customHeight="1" x14ac:dyDescent="0.15">
      <c r="A157" s="4" t="s">
        <v>655</v>
      </c>
      <c r="B157" s="4" t="s">
        <v>656</v>
      </c>
      <c r="C157" s="4" t="s">
        <v>657</v>
      </c>
      <c r="D157" t="str">
        <f>_xlfn.CONCAT(Table3[[#This Row],['#]],": ",Table3[[#This Row],[Framework]])</f>
        <v>11.09b.1: Nuclear Arms Race</v>
      </c>
    </row>
    <row r="158" spans="1:4" ht="22.5" customHeight="1" x14ac:dyDescent="0.15">
      <c r="A158" s="4" t="s">
        <v>658</v>
      </c>
      <c r="B158" s="4" t="s">
        <v>659</v>
      </c>
      <c r="C158" s="4" t="s">
        <v>660</v>
      </c>
      <c r="D158" t="str">
        <f>_xlfn.CONCAT(Table3[[#This Row],['#]],": ",Table3[[#This Row],[Framework]])</f>
        <v>11.09b.2: Cuban Missile Crisis &amp; the Nuclear Test Ban Treaty</v>
      </c>
    </row>
    <row r="159" spans="1:4" ht="22.5" customHeight="1" x14ac:dyDescent="0.15">
      <c r="A159" s="4" t="s">
        <v>661</v>
      </c>
      <c r="B159" s="4" t="s">
        <v>662</v>
      </c>
      <c r="C159" s="4" t="s">
        <v>663</v>
      </c>
      <c r="D159" t="str">
        <f>_xlfn.CONCAT(Table3[[#This Row],['#]],": ",Table3[[#This Row],[Framework]])</f>
        <v>11.09b.3: Détente</v>
      </c>
    </row>
    <row r="160" spans="1:4" ht="22.5" customHeight="1" x14ac:dyDescent="0.15">
      <c r="A160" s="4" t="s">
        <v>664</v>
      </c>
      <c r="B160" s="4" t="s">
        <v>665</v>
      </c>
      <c r="C160" s="4" t="s">
        <v>666</v>
      </c>
      <c r="D160" t="str">
        <f>_xlfn.CONCAT(Table3[[#This Row],['#]],": ",Table3[[#This Row],[Framework]])</f>
        <v>11.09c.1: Israel &amp; the Camp David Accords</v>
      </c>
    </row>
    <row r="161" spans="1:4" ht="22.5" customHeight="1" x14ac:dyDescent="0.15">
      <c r="A161" s="4" t="s">
        <v>667</v>
      </c>
      <c r="B161" s="4" t="s">
        <v>668</v>
      </c>
      <c r="C161" s="4" t="s">
        <v>669</v>
      </c>
      <c r="D161" t="str">
        <f>_xlfn.CONCAT(Table3[[#This Row],['#]],": ",Table3[[#This Row],[Framework]])</f>
        <v>11.09d.1: Berlin Wall &amp; the Soviet Loss of Control</v>
      </c>
    </row>
    <row r="162" spans="1:4" ht="22.5" customHeight="1" x14ac:dyDescent="0.15">
      <c r="A162" s="4" t="s">
        <v>670</v>
      </c>
      <c r="B162" s="4" t="s">
        <v>671</v>
      </c>
      <c r="C162" s="4" t="s">
        <v>672</v>
      </c>
      <c r="D162" t="str">
        <f>_xlfn.CONCAT(Table3[[#This Row],['#]],": ",Table3[[#This Row],[Framework]])</f>
        <v>11.10a.1: Important Civil Rights Individuals</v>
      </c>
    </row>
    <row r="163" spans="1:4" ht="22.5" customHeight="1" x14ac:dyDescent="0.15">
      <c r="A163" s="4" t="s">
        <v>673</v>
      </c>
      <c r="B163" s="4" t="s">
        <v>674</v>
      </c>
      <c r="C163" s="4" t="s">
        <v>675</v>
      </c>
      <c r="D163" t="str">
        <f>_xlfn.CONCAT(Table3[[#This Row],['#]],": ",Table3[[#This Row],[Framework]])</f>
        <v>11.10a.2: Civil Rights Groups &amp; Tactics</v>
      </c>
    </row>
    <row r="164" spans="1:4" ht="22.5" customHeight="1" x14ac:dyDescent="0.15">
      <c r="A164" s="4" t="s">
        <v>676</v>
      </c>
      <c r="B164" s="4" t="s">
        <v>677</v>
      </c>
      <c r="C164" s="4" t="s">
        <v>678</v>
      </c>
      <c r="D164" t="str">
        <f>_xlfn.CONCAT(Table3[[#This Row],['#]],": ",Table3[[#This Row],[Framework]])</f>
        <v>11.10a.3: Civil Rights Judicial &amp; Legislative Achievements</v>
      </c>
    </row>
    <row r="165" spans="1:4" ht="22.5" customHeight="1" x14ac:dyDescent="0.15">
      <c r="A165" s="4" t="s">
        <v>679</v>
      </c>
      <c r="B165" s="4" t="s">
        <v>680</v>
      </c>
      <c r="C165" s="4" t="s">
        <v>681</v>
      </c>
      <c r="D165" t="str">
        <f>_xlfn.CONCAT(Table3[[#This Row],['#]],": ",Table3[[#This Row],[Framework]])</f>
        <v>11.10a.4: Civil Rights Protests &amp; Civil Resistance</v>
      </c>
    </row>
    <row r="166" spans="1:4" ht="22.5" customHeight="1" x14ac:dyDescent="0.15">
      <c r="A166" s="4" t="s">
        <v>682</v>
      </c>
      <c r="B166" s="4" t="s">
        <v>683</v>
      </c>
      <c r="C166" s="4" t="s">
        <v>684</v>
      </c>
      <c r="D166" t="str">
        <f>_xlfn.CONCAT(Table3[[#This Row],['#]],": ",Table3[[#This Row],[Framework]])</f>
        <v>11.10b.1: Individuals &amp; Groups Fight for Equality</v>
      </c>
    </row>
    <row r="167" spans="1:4" ht="22.5" customHeight="1" x14ac:dyDescent="0.15">
      <c r="A167" s="4" t="s">
        <v>685</v>
      </c>
      <c r="B167" s="4" t="s">
        <v>686</v>
      </c>
      <c r="C167" s="4" t="s">
        <v>687</v>
      </c>
      <c r="D167" t="str">
        <f>_xlfn.CONCAT(Table3[[#This Row],['#]],": ",Table3[[#This Row],[Framework]])</f>
        <v>11.10b.2: Civil Rights Case Studies</v>
      </c>
    </row>
    <row r="168" spans="1:4" ht="22.5" customHeight="1" x14ac:dyDescent="0.15">
      <c r="A168" s="4" t="s">
        <v>688</v>
      </c>
      <c r="B168" s="4" t="s">
        <v>689</v>
      </c>
      <c r="C168" s="4" t="s">
        <v>690</v>
      </c>
      <c r="D168" t="str">
        <f>_xlfn.CONCAT(Table3[[#This Row],['#]],": ",Table3[[#This Row],[Framework]])</f>
        <v>11.10c.1: Great Society vs Reaganomics</v>
      </c>
    </row>
    <row r="169" spans="1:4" ht="22.5" customHeight="1" x14ac:dyDescent="0.15">
      <c r="A169" s="4" t="s">
        <v>691</v>
      </c>
      <c r="B169" s="4" t="s">
        <v>692</v>
      </c>
      <c r="C169" s="4" t="s">
        <v>693</v>
      </c>
      <c r="D169" t="str">
        <f>_xlfn.CONCAT(Table3[[#This Row],['#]],": ",Table3[[#This Row],[Framework]])</f>
        <v>11.10c.2: Great Recession</v>
      </c>
    </row>
    <row r="170" spans="1:4" ht="22.5" customHeight="1" x14ac:dyDescent="0.15">
      <c r="A170" s="4" t="s">
        <v>694</v>
      </c>
      <c r="B170" s="4" t="s">
        <v>695</v>
      </c>
      <c r="C170" s="4" t="s">
        <v>696</v>
      </c>
      <c r="D170" t="str">
        <f>_xlfn.CONCAT(Table3[[#This Row],['#]],": ",Table3[[#This Row],[Framework]])</f>
        <v>11.10c.3: Social Safety Nets</v>
      </c>
    </row>
    <row r="171" spans="1:4" ht="22.5" customHeight="1" x14ac:dyDescent="0.15">
      <c r="A171" s="4" t="s">
        <v>697</v>
      </c>
      <c r="B171" s="4" t="s">
        <v>698</v>
      </c>
      <c r="C171" s="4" t="s">
        <v>699</v>
      </c>
      <c r="D171" t="str">
        <f>_xlfn.CONCAT(Table3[[#This Row],['#]],": ",Table3[[#This Row],[Framework]])</f>
        <v>11.11a.1: Persian Gulf War</v>
      </c>
    </row>
    <row r="172" spans="1:4" ht="22.5" customHeight="1" x14ac:dyDescent="0.15">
      <c r="A172" s="4" t="s">
        <v>700</v>
      </c>
      <c r="B172" s="4" t="s">
        <v>701</v>
      </c>
      <c r="C172" s="4" t="s">
        <v>702</v>
      </c>
      <c r="D172" t="str">
        <f>_xlfn.CONCAT(Table3[[#This Row],['#]],": ",Table3[[#This Row],[Framework]])</f>
        <v>11.11a.2: Reluctance to Defend Human Rights</v>
      </c>
    </row>
    <row r="173" spans="1:4" ht="22.5" customHeight="1" x14ac:dyDescent="0.15">
      <c r="A173" s="4" t="s">
        <v>703</v>
      </c>
      <c r="B173" s="4" t="s">
        <v>704</v>
      </c>
      <c r="C173" s="4" t="s">
        <v>705</v>
      </c>
      <c r="D173" t="str">
        <f>_xlfn.CONCAT(Table3[[#This Row],['#]],": ",Table3[[#This Row],[Framework]])</f>
        <v>11.11b.1: 9-11, War on Terror, &amp; PATRIOT Act</v>
      </c>
    </row>
    <row r="174" spans="1:4" ht="22.5" customHeight="1" x14ac:dyDescent="0.15">
      <c r="A174" s="4" t="s">
        <v>706</v>
      </c>
      <c r="B174" s="4" t="s">
        <v>707</v>
      </c>
      <c r="C174" s="4" t="s">
        <v>708</v>
      </c>
      <c r="D174" t="str">
        <f>_xlfn.CONCAT(Table3[[#This Row],['#]],": ",Table3[[#This Row],[Framework]])</f>
        <v>11.11b.2: Invasion of Iraq</v>
      </c>
    </row>
    <row r="175" spans="1:4" ht="22.5" customHeight="1" x14ac:dyDescent="0.15">
      <c r="A175" s="4" t="s">
        <v>709</v>
      </c>
      <c r="B175" s="4" t="s">
        <v>710</v>
      </c>
      <c r="C175" s="4" t="s">
        <v>711</v>
      </c>
      <c r="D175" t="str">
        <f>_xlfn.CONCAT(Table3[[#This Row],['#]],": ",Table3[[#This Row],[Framework]])</f>
        <v>11.11b.3: Violation of Civil Liberties &amp; Surveillance</v>
      </c>
    </row>
    <row r="176" spans="1:4" ht="22.5" customHeight="1" x14ac:dyDescent="0.15">
      <c r="A176" s="4" t="s">
        <v>712</v>
      </c>
      <c r="B176" s="4" t="s">
        <v>713</v>
      </c>
      <c r="C176" s="4" t="s">
        <v>714</v>
      </c>
      <c r="D176" t="str">
        <f>_xlfn.CONCAT(Table3[[#This Row],['#]],": ",Table3[[#This Row],[Framework]])</f>
        <v>11.11c.1: Globalization &amp; the US Economy</v>
      </c>
    </row>
    <row r="177" spans="1:4" ht="22.5" customHeight="1" x14ac:dyDescent="0.15">
      <c r="A177" s="4" t="s">
        <v>715</v>
      </c>
      <c r="B177" s="4" t="s">
        <v>716</v>
      </c>
      <c r="C177" s="4" t="s">
        <v>717</v>
      </c>
      <c r="D177" t="str">
        <f>_xlfn.CONCAT(Table3[[#This Row],['#]],": ",Table3[[#This Row],[Framework]])</f>
        <v>11.11c.2: Multinational Corporations</v>
      </c>
    </row>
    <row r="178" spans="1:4" ht="22.5" customHeight="1" x14ac:dyDescent="0.15">
      <c r="A178" s="4" t="s">
        <v>718</v>
      </c>
      <c r="B178" s="4" t="s">
        <v>719</v>
      </c>
      <c r="C178" s="4" t="s">
        <v>720</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2026-10-13T17:06:27Z</dcterms:created>
  <dcterms:modified xsi:type="dcterms:W3CDTF">2026-10-13T17:06:50Z</dcterms:modified>
</cp:coreProperties>
</file>