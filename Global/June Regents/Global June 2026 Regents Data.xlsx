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coledushin/Documents/GWHS/Global/June Regents/"/>
    </mc:Choice>
  </mc:AlternateContent>
  <xr:revisionPtr revIDLastSave="0" documentId="13_ncr:1_{273823C7-629F-D544-B56E-4432A57CBF6B}" xr6:coauthVersionLast="47" xr6:coauthVersionMax="47" xr10:uidLastSave="{00000000-0000-0000-0000-000000000000}"/>
  <bookViews>
    <workbookView xWindow="0" yWindow="600" windowWidth="28160" windowHeight="15320" xr2:uid="{92930205-DDD3-5F4C-BB6B-45BF200B3E9A}"/>
  </bookViews>
  <sheets>
    <sheet name="Scores" sheetId="1" r:id="rId1"/>
    <sheet name="Questions" sheetId="2" r:id="rId2"/>
    <sheet name="Task Models" sheetId="5" r:id="rId3"/>
    <sheet name="Content Standards" sheetId="6" r:id="rId4"/>
    <sheet name="Skill Standards" sheetId="7" r:id="rId5"/>
    <sheet name="Conversion Chart" sheetId="4"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7" i="1" l="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F17" i="1"/>
  <c r="BF18" i="1"/>
  <c r="BF19" i="1"/>
  <c r="BF20" i="1"/>
  <c r="BF21" i="1"/>
  <c r="BF22" i="1"/>
  <c r="BF23" i="1"/>
  <c r="BF24" i="1"/>
  <c r="BF25" i="1"/>
  <c r="BF26" i="1"/>
  <c r="BF27" i="1"/>
  <c r="BF28" i="1"/>
  <c r="BF29" i="1"/>
  <c r="BF30" i="1"/>
  <c r="BF31" i="1"/>
  <c r="BF32" i="1"/>
  <c r="BF33" i="1"/>
  <c r="BF34" i="1"/>
  <c r="BF35" i="1"/>
  <c r="BF36" i="1"/>
  <c r="BF37" i="1"/>
  <c r="BF38" i="1"/>
  <c r="BF39" i="1"/>
  <c r="BF40" i="1"/>
  <c r="BF41" i="1"/>
  <c r="BF42" i="1"/>
  <c r="BF43" i="1"/>
  <c r="BF44" i="1"/>
  <c r="BF45" i="1"/>
  <c r="BF46" i="1"/>
  <c r="BF47" i="1"/>
  <c r="BF48" i="1"/>
  <c r="BF49" i="1"/>
  <c r="BF50" i="1"/>
  <c r="BF51" i="1"/>
  <c r="BF52" i="1"/>
  <c r="BF53" i="1"/>
  <c r="BF54" i="1"/>
  <c r="BF55" i="1"/>
  <c r="BF56" i="1"/>
  <c r="BF57" i="1"/>
  <c r="BF58" i="1"/>
  <c r="BF59" i="1"/>
  <c r="BF60" i="1"/>
  <c r="BF61" i="1"/>
  <c r="BF62" i="1"/>
  <c r="BF63" i="1"/>
  <c r="BF64" i="1"/>
  <c r="BF65" i="1"/>
  <c r="BF66" i="1"/>
  <c r="BF67" i="1"/>
  <c r="BF68" i="1"/>
  <c r="BF69" i="1"/>
  <c r="BF70" i="1"/>
  <c r="BF71" i="1"/>
  <c r="BF72" i="1"/>
  <c r="BF73" i="1"/>
  <c r="BF74" i="1"/>
  <c r="BF75"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1" i="1"/>
  <c r="BF102" i="1"/>
  <c r="BF103" i="1"/>
  <c r="BF104" i="1"/>
  <c r="BF105" i="1"/>
  <c r="BF106" i="1"/>
  <c r="BF107" i="1"/>
  <c r="BF108" i="1"/>
  <c r="BF109" i="1"/>
  <c r="BF110" i="1"/>
  <c r="BF111" i="1"/>
  <c r="BF112" i="1"/>
  <c r="BF113" i="1"/>
  <c r="BF114" i="1"/>
  <c r="BF115" i="1"/>
  <c r="BF116" i="1"/>
  <c r="BF117" i="1"/>
  <c r="BF118" i="1"/>
  <c r="BF119" i="1"/>
  <c r="BF120" i="1"/>
  <c r="BF121" i="1"/>
  <c r="BF122" i="1"/>
  <c r="BF123" i="1"/>
  <c r="BF124" i="1"/>
  <c r="BF125" i="1"/>
  <c r="BF126" i="1"/>
  <c r="BF127" i="1"/>
  <c r="BF128" i="1"/>
  <c r="BF129" i="1"/>
  <c r="BF130" i="1"/>
  <c r="BF131" i="1"/>
  <c r="BF132" i="1"/>
  <c r="BF133" i="1"/>
  <c r="BF134" i="1"/>
  <c r="BF135" i="1"/>
  <c r="BF136" i="1"/>
  <c r="BG17" i="1"/>
  <c r="BG18" i="1"/>
  <c r="BG19" i="1"/>
  <c r="BG20" i="1"/>
  <c r="BG21" i="1"/>
  <c r="BG22" i="1"/>
  <c r="BG23" i="1"/>
  <c r="BG24" i="1"/>
  <c r="BG25" i="1"/>
  <c r="BG26" i="1"/>
  <c r="BG27" i="1"/>
  <c r="BG28" i="1"/>
  <c r="BG29" i="1"/>
  <c r="BG30"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H17" i="1"/>
  <c r="BH18" i="1"/>
  <c r="BH19" i="1"/>
  <c r="BH20" i="1"/>
  <c r="BH21" i="1"/>
  <c r="BH22" i="1"/>
  <c r="BH23" i="1"/>
  <c r="BH24" i="1"/>
  <c r="BH25" i="1"/>
  <c r="BH26" i="1"/>
  <c r="BH27" i="1"/>
  <c r="BH28" i="1"/>
  <c r="BH29" i="1"/>
  <c r="BH30" i="1"/>
  <c r="BH31" i="1"/>
  <c r="BH32" i="1"/>
  <c r="BH33" i="1"/>
  <c r="BH34" i="1"/>
  <c r="BH35" i="1"/>
  <c r="BH36" i="1"/>
  <c r="BH37" i="1"/>
  <c r="BH38" i="1"/>
  <c r="BH39" i="1"/>
  <c r="BH40" i="1"/>
  <c r="BH41" i="1"/>
  <c r="BH42" i="1"/>
  <c r="BH43" i="1"/>
  <c r="BH44" i="1"/>
  <c r="BH45" i="1"/>
  <c r="BH46" i="1"/>
  <c r="BH47" i="1"/>
  <c r="BH48" i="1"/>
  <c r="BH49" i="1"/>
  <c r="BH50" i="1"/>
  <c r="BH51" i="1"/>
  <c r="BH52" i="1"/>
  <c r="BH53" i="1"/>
  <c r="BH54" i="1"/>
  <c r="BH55" i="1"/>
  <c r="BH56" i="1"/>
  <c r="BH57" i="1"/>
  <c r="BH58" i="1"/>
  <c r="BH59" i="1"/>
  <c r="BH60" i="1"/>
  <c r="BH61" i="1"/>
  <c r="BH62" i="1"/>
  <c r="BH63" i="1"/>
  <c r="BH64" i="1"/>
  <c r="BH65" i="1"/>
  <c r="BH66" i="1"/>
  <c r="BH67" i="1"/>
  <c r="BH68" i="1"/>
  <c r="BH69" i="1"/>
  <c r="BH70" i="1"/>
  <c r="BH71" i="1"/>
  <c r="BH72" i="1"/>
  <c r="BH73" i="1"/>
  <c r="BH74" i="1"/>
  <c r="BH75" i="1"/>
  <c r="BH76" i="1"/>
  <c r="BH77" i="1"/>
  <c r="BH78" i="1"/>
  <c r="BH79" i="1"/>
  <c r="BH80" i="1"/>
  <c r="BH81" i="1"/>
  <c r="BH82" i="1"/>
  <c r="BH83" i="1"/>
  <c r="BH84" i="1"/>
  <c r="BH85" i="1"/>
  <c r="BH86" i="1"/>
  <c r="BH87" i="1"/>
  <c r="BH88" i="1"/>
  <c r="BH89" i="1"/>
  <c r="BH90" i="1"/>
  <c r="BH91" i="1"/>
  <c r="BH92" i="1"/>
  <c r="BH93" i="1"/>
  <c r="BH94" i="1"/>
  <c r="BH95" i="1"/>
  <c r="BH96" i="1"/>
  <c r="BH97" i="1"/>
  <c r="BH98" i="1"/>
  <c r="BH99" i="1"/>
  <c r="BH100" i="1"/>
  <c r="BH101" i="1"/>
  <c r="BH102" i="1"/>
  <c r="BH103" i="1"/>
  <c r="BH104" i="1"/>
  <c r="BH105" i="1"/>
  <c r="BH106" i="1"/>
  <c r="BH107" i="1"/>
  <c r="BH108" i="1"/>
  <c r="BH109" i="1"/>
  <c r="BH110" i="1"/>
  <c r="BH111" i="1"/>
  <c r="BH112" i="1"/>
  <c r="BH113" i="1"/>
  <c r="BH114" i="1"/>
  <c r="BH115" i="1"/>
  <c r="BH116" i="1"/>
  <c r="BH117" i="1"/>
  <c r="BH118" i="1"/>
  <c r="BH119" i="1"/>
  <c r="BH120" i="1"/>
  <c r="BH121" i="1"/>
  <c r="BH122" i="1"/>
  <c r="BH123" i="1"/>
  <c r="BH124" i="1"/>
  <c r="BH125" i="1"/>
  <c r="BH126" i="1"/>
  <c r="BH127" i="1"/>
  <c r="BH128" i="1"/>
  <c r="BH129" i="1"/>
  <c r="BH130" i="1"/>
  <c r="BH131" i="1"/>
  <c r="BH132" i="1"/>
  <c r="BH133" i="1"/>
  <c r="BH134" i="1"/>
  <c r="BH135" i="1"/>
  <c r="BH136" i="1"/>
  <c r="BI17" i="1"/>
  <c r="BI18" i="1"/>
  <c r="BI19" i="1"/>
  <c r="BI20" i="1"/>
  <c r="BI21" i="1"/>
  <c r="BI22" i="1"/>
  <c r="BI23" i="1"/>
  <c r="BI24" i="1"/>
  <c r="BI25" i="1"/>
  <c r="BI26" i="1"/>
  <c r="BI27" i="1"/>
  <c r="BI28" i="1"/>
  <c r="BI29" i="1"/>
  <c r="BI30" i="1"/>
  <c r="BI31" i="1"/>
  <c r="BI32" i="1"/>
  <c r="BI33" i="1"/>
  <c r="BI34" i="1"/>
  <c r="BI35" i="1"/>
  <c r="BI36" i="1"/>
  <c r="BI37" i="1"/>
  <c r="BI38" i="1"/>
  <c r="BI39" i="1"/>
  <c r="BI40" i="1"/>
  <c r="BI41" i="1"/>
  <c r="BI42" i="1"/>
  <c r="BI43" i="1"/>
  <c r="BI44" i="1"/>
  <c r="BI45" i="1"/>
  <c r="BI46" i="1"/>
  <c r="BI47" i="1"/>
  <c r="BI48" i="1"/>
  <c r="BI49" i="1"/>
  <c r="BI50" i="1"/>
  <c r="BI51" i="1"/>
  <c r="BI52" i="1"/>
  <c r="BI53" i="1"/>
  <c r="BI54" i="1"/>
  <c r="BI55" i="1"/>
  <c r="BI56" i="1"/>
  <c r="BI57" i="1"/>
  <c r="BI58" i="1"/>
  <c r="BI59" i="1"/>
  <c r="BI60" i="1"/>
  <c r="BI61" i="1"/>
  <c r="BI62" i="1"/>
  <c r="BI63" i="1"/>
  <c r="BI64" i="1"/>
  <c r="BI65" i="1"/>
  <c r="BI66" i="1"/>
  <c r="BI67" i="1"/>
  <c r="BI68" i="1"/>
  <c r="BI69" i="1"/>
  <c r="BI70" i="1"/>
  <c r="BI71" i="1"/>
  <c r="BI72" i="1"/>
  <c r="BI73" i="1"/>
  <c r="BI74" i="1"/>
  <c r="BI75" i="1"/>
  <c r="BI76" i="1"/>
  <c r="BI77" i="1"/>
  <c r="BI78" i="1"/>
  <c r="BI79" i="1"/>
  <c r="BI80" i="1"/>
  <c r="BI81" i="1"/>
  <c r="BI82" i="1"/>
  <c r="BI83" i="1"/>
  <c r="BI84" i="1"/>
  <c r="BI85" i="1"/>
  <c r="BI86" i="1"/>
  <c r="BI87" i="1"/>
  <c r="BI88" i="1"/>
  <c r="BI89" i="1"/>
  <c r="BI90" i="1"/>
  <c r="BI91" i="1"/>
  <c r="BI92" i="1"/>
  <c r="BI93" i="1"/>
  <c r="BI94" i="1"/>
  <c r="BI95" i="1"/>
  <c r="BI96" i="1"/>
  <c r="BI97" i="1"/>
  <c r="BI98" i="1"/>
  <c r="BI99" i="1"/>
  <c r="BI100" i="1"/>
  <c r="BI101" i="1"/>
  <c r="BI102" i="1"/>
  <c r="BI103" i="1"/>
  <c r="BI104" i="1"/>
  <c r="BI105" i="1"/>
  <c r="BI106" i="1"/>
  <c r="BI107" i="1"/>
  <c r="BI108" i="1"/>
  <c r="BI109" i="1"/>
  <c r="BI110" i="1"/>
  <c r="BI111" i="1"/>
  <c r="BI112" i="1"/>
  <c r="BI113" i="1"/>
  <c r="BI114" i="1"/>
  <c r="BI115" i="1"/>
  <c r="BI116" i="1"/>
  <c r="BI117" i="1"/>
  <c r="BI118" i="1"/>
  <c r="BI119" i="1"/>
  <c r="BI120" i="1"/>
  <c r="BI121" i="1"/>
  <c r="BI122" i="1"/>
  <c r="BI123" i="1"/>
  <c r="BI124" i="1"/>
  <c r="BI125" i="1"/>
  <c r="BI126" i="1"/>
  <c r="BI127" i="1"/>
  <c r="BI128" i="1"/>
  <c r="BI129" i="1"/>
  <c r="BI130" i="1"/>
  <c r="BI131" i="1"/>
  <c r="BI132" i="1"/>
  <c r="BI133" i="1"/>
  <c r="BI134" i="1"/>
  <c r="BI135" i="1"/>
  <c r="BI136" i="1"/>
  <c r="BJ17" i="1"/>
  <c r="BJ18" i="1"/>
  <c r="BJ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01" i="1"/>
  <c r="BJ102" i="1"/>
  <c r="BJ103" i="1"/>
  <c r="BJ104" i="1"/>
  <c r="BJ105" i="1"/>
  <c r="BJ106" i="1"/>
  <c r="BJ107" i="1"/>
  <c r="BJ108" i="1"/>
  <c r="BJ109" i="1"/>
  <c r="BJ110" i="1"/>
  <c r="BJ111" i="1"/>
  <c r="BJ112" i="1"/>
  <c r="BJ113" i="1"/>
  <c r="BJ114" i="1"/>
  <c r="BJ115" i="1"/>
  <c r="BJ116" i="1"/>
  <c r="BJ117" i="1"/>
  <c r="BJ118" i="1"/>
  <c r="BJ119" i="1"/>
  <c r="BJ120" i="1"/>
  <c r="BJ121" i="1"/>
  <c r="BJ122" i="1"/>
  <c r="BJ123" i="1"/>
  <c r="BJ124" i="1"/>
  <c r="BJ125" i="1"/>
  <c r="BJ126" i="1"/>
  <c r="BJ127" i="1"/>
  <c r="BJ128" i="1"/>
  <c r="BJ129" i="1"/>
  <c r="BJ130" i="1"/>
  <c r="BJ131" i="1"/>
  <c r="BJ132" i="1"/>
  <c r="BJ133" i="1"/>
  <c r="BJ134" i="1"/>
  <c r="BJ135" i="1"/>
  <c r="BJ13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L17" i="1"/>
  <c r="BL18" i="1"/>
  <c r="BL19" i="1"/>
  <c r="BL20" i="1"/>
  <c r="BL21" i="1"/>
  <c r="BL22" i="1"/>
  <c r="BL23" i="1"/>
  <c r="BL24" i="1"/>
  <c r="BL25" i="1"/>
  <c r="BL26" i="1"/>
  <c r="BL27" i="1"/>
  <c r="BL28" i="1"/>
  <c r="BL29" i="1"/>
  <c r="BL30" i="1"/>
  <c r="BL31" i="1"/>
  <c r="BL32"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BL79" i="1"/>
  <c r="BL80" i="1"/>
  <c r="BL81" i="1"/>
  <c r="BL82" i="1"/>
  <c r="BL83" i="1"/>
  <c r="BL84" i="1"/>
  <c r="BL85" i="1"/>
  <c r="BL86" i="1"/>
  <c r="BL87" i="1"/>
  <c r="BL88" i="1"/>
  <c r="BL89" i="1"/>
  <c r="BL90" i="1"/>
  <c r="BL91" i="1"/>
  <c r="BL92" i="1"/>
  <c r="BL93" i="1"/>
  <c r="BL94" i="1"/>
  <c r="BL95" i="1"/>
  <c r="BL96" i="1"/>
  <c r="BL97" i="1"/>
  <c r="BL98" i="1"/>
  <c r="BL99" i="1"/>
  <c r="BL100" i="1"/>
  <c r="BL101" i="1"/>
  <c r="BL102" i="1"/>
  <c r="BL103" i="1"/>
  <c r="BL104" i="1"/>
  <c r="BL105" i="1"/>
  <c r="BL106" i="1"/>
  <c r="BL107" i="1"/>
  <c r="BL108" i="1"/>
  <c r="BL109" i="1"/>
  <c r="BL110" i="1"/>
  <c r="BL111" i="1"/>
  <c r="BL112" i="1"/>
  <c r="BL113" i="1"/>
  <c r="BL114" i="1"/>
  <c r="BL115" i="1"/>
  <c r="BL116" i="1"/>
  <c r="BL117" i="1"/>
  <c r="BL118" i="1"/>
  <c r="BL119" i="1"/>
  <c r="BL120" i="1"/>
  <c r="BL121" i="1"/>
  <c r="BL122" i="1"/>
  <c r="BL123" i="1"/>
  <c r="BL124" i="1"/>
  <c r="BL125" i="1"/>
  <c r="BL126" i="1"/>
  <c r="BL127" i="1"/>
  <c r="BL128" i="1"/>
  <c r="BL129" i="1"/>
  <c r="BL130" i="1"/>
  <c r="BL131" i="1"/>
  <c r="BL132" i="1"/>
  <c r="BL133" i="1"/>
  <c r="BL134" i="1"/>
  <c r="BL135" i="1"/>
  <c r="BL136" i="1"/>
  <c r="BM17" i="1"/>
  <c r="BM18" i="1"/>
  <c r="BM19" i="1"/>
  <c r="BM20" i="1"/>
  <c r="BM21" i="1"/>
  <c r="BM22" i="1"/>
  <c r="BM23" i="1"/>
  <c r="BM24" i="1"/>
  <c r="BM25" i="1"/>
  <c r="BM26" i="1"/>
  <c r="BM27" i="1"/>
  <c r="BM28" i="1"/>
  <c r="BM29" i="1"/>
  <c r="BM30" i="1"/>
  <c r="BM31" i="1"/>
  <c r="BM32" i="1"/>
  <c r="BM33" i="1"/>
  <c r="BM34" i="1"/>
  <c r="BM35" i="1"/>
  <c r="BM36" i="1"/>
  <c r="BM37" i="1"/>
  <c r="BM38" i="1"/>
  <c r="BM39" i="1"/>
  <c r="BM40" i="1"/>
  <c r="BM41" i="1"/>
  <c r="BM42" i="1"/>
  <c r="BM43" i="1"/>
  <c r="BM44" i="1"/>
  <c r="BM45" i="1"/>
  <c r="BM46" i="1"/>
  <c r="BM47" i="1"/>
  <c r="BM48" i="1"/>
  <c r="BM49" i="1"/>
  <c r="BM50" i="1"/>
  <c r="BM51" i="1"/>
  <c r="BM52" i="1"/>
  <c r="BM53" i="1"/>
  <c r="BM54" i="1"/>
  <c r="BM55" i="1"/>
  <c r="BM56" i="1"/>
  <c r="BM57" i="1"/>
  <c r="BM58" i="1"/>
  <c r="BM59" i="1"/>
  <c r="BM60" i="1"/>
  <c r="BM61" i="1"/>
  <c r="BM62" i="1"/>
  <c r="BM63" i="1"/>
  <c r="BM64" i="1"/>
  <c r="BM65" i="1"/>
  <c r="BM66" i="1"/>
  <c r="BM67" i="1"/>
  <c r="BM68" i="1"/>
  <c r="BM69" i="1"/>
  <c r="BM70" i="1"/>
  <c r="BM71" i="1"/>
  <c r="BM72" i="1"/>
  <c r="BM73" i="1"/>
  <c r="BM74" i="1"/>
  <c r="BM75" i="1"/>
  <c r="BM76" i="1"/>
  <c r="BM77" i="1"/>
  <c r="BM78" i="1"/>
  <c r="BM79" i="1"/>
  <c r="BM80" i="1"/>
  <c r="BM81" i="1"/>
  <c r="BM82" i="1"/>
  <c r="BM83" i="1"/>
  <c r="BM84" i="1"/>
  <c r="BM85" i="1"/>
  <c r="BM86" i="1"/>
  <c r="BM87" i="1"/>
  <c r="BM88" i="1"/>
  <c r="BM89" i="1"/>
  <c r="BM90" i="1"/>
  <c r="BM91" i="1"/>
  <c r="BM92" i="1"/>
  <c r="BM93" i="1"/>
  <c r="BM94" i="1"/>
  <c r="BM95" i="1"/>
  <c r="BM96" i="1"/>
  <c r="BM97" i="1"/>
  <c r="BM98" i="1"/>
  <c r="BM99" i="1"/>
  <c r="BM100" i="1"/>
  <c r="BM101" i="1"/>
  <c r="BM102" i="1"/>
  <c r="BM103" i="1"/>
  <c r="BM104" i="1"/>
  <c r="BM105" i="1"/>
  <c r="BM106" i="1"/>
  <c r="BM107" i="1"/>
  <c r="BM108" i="1"/>
  <c r="BM109" i="1"/>
  <c r="BM110" i="1"/>
  <c r="BM111" i="1"/>
  <c r="BM112" i="1"/>
  <c r="BM113" i="1"/>
  <c r="BM114" i="1"/>
  <c r="BM115" i="1"/>
  <c r="BM116" i="1"/>
  <c r="BM117" i="1"/>
  <c r="BM118" i="1"/>
  <c r="BM119" i="1"/>
  <c r="BM120" i="1"/>
  <c r="BM121" i="1"/>
  <c r="BM122" i="1"/>
  <c r="BM123" i="1"/>
  <c r="BM124" i="1"/>
  <c r="BM125" i="1"/>
  <c r="BM126" i="1"/>
  <c r="BM127" i="1"/>
  <c r="BM128" i="1"/>
  <c r="BM129" i="1"/>
  <c r="BM130" i="1"/>
  <c r="BM131" i="1"/>
  <c r="BM132" i="1"/>
  <c r="BM133" i="1"/>
  <c r="BM134" i="1"/>
  <c r="BM135" i="1"/>
  <c r="BM13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O17" i="1"/>
  <c r="BO18" i="1"/>
  <c r="BO19" i="1"/>
  <c r="BO20" i="1"/>
  <c r="BO21" i="1"/>
  <c r="BO22" i="1"/>
  <c r="BO23" i="1"/>
  <c r="BO24" i="1"/>
  <c r="BO25" i="1"/>
  <c r="BO26" i="1"/>
  <c r="BO27" i="1"/>
  <c r="BO28" i="1"/>
  <c r="BO29" i="1"/>
  <c r="BO30" i="1"/>
  <c r="BO31" i="1"/>
  <c r="BO32" i="1"/>
  <c r="BO33" i="1"/>
  <c r="BO34" i="1"/>
  <c r="BO35" i="1"/>
  <c r="BO36" i="1"/>
  <c r="BO37" i="1"/>
  <c r="BO38" i="1"/>
  <c r="BO39" i="1"/>
  <c r="BO40" i="1"/>
  <c r="BO41" i="1"/>
  <c r="BO42" i="1"/>
  <c r="BO43" i="1"/>
  <c r="BO44" i="1"/>
  <c r="BO45" i="1"/>
  <c r="BO46" i="1"/>
  <c r="BO47" i="1"/>
  <c r="BO48" i="1"/>
  <c r="BO49" i="1"/>
  <c r="BO50" i="1"/>
  <c r="BO51" i="1"/>
  <c r="BO52" i="1"/>
  <c r="BO53" i="1"/>
  <c r="BO54" i="1"/>
  <c r="BO55" i="1"/>
  <c r="BO56" i="1"/>
  <c r="BO57" i="1"/>
  <c r="BO58" i="1"/>
  <c r="BO59" i="1"/>
  <c r="BO60" i="1"/>
  <c r="BO61" i="1"/>
  <c r="BO62" i="1"/>
  <c r="BO63" i="1"/>
  <c r="BO64" i="1"/>
  <c r="BO65" i="1"/>
  <c r="BO66" i="1"/>
  <c r="BO67" i="1"/>
  <c r="BO68" i="1"/>
  <c r="BO69" i="1"/>
  <c r="BO70" i="1"/>
  <c r="BO71" i="1"/>
  <c r="BO72" i="1"/>
  <c r="BO73" i="1"/>
  <c r="BO74" i="1"/>
  <c r="BO75" i="1"/>
  <c r="BO76" i="1"/>
  <c r="BO77" i="1"/>
  <c r="BO78" i="1"/>
  <c r="BO79" i="1"/>
  <c r="BO80" i="1"/>
  <c r="BO81" i="1"/>
  <c r="BO82" i="1"/>
  <c r="BO83" i="1"/>
  <c r="BO84" i="1"/>
  <c r="BO85" i="1"/>
  <c r="BO86" i="1"/>
  <c r="BO87" i="1"/>
  <c r="BO88" i="1"/>
  <c r="BO89" i="1"/>
  <c r="BO90" i="1"/>
  <c r="BO91" i="1"/>
  <c r="BO92" i="1"/>
  <c r="BO93" i="1"/>
  <c r="BO94" i="1"/>
  <c r="BO95" i="1"/>
  <c r="BO96" i="1"/>
  <c r="BO97" i="1"/>
  <c r="BO98" i="1"/>
  <c r="BO99" i="1"/>
  <c r="BO100" i="1"/>
  <c r="BO101" i="1"/>
  <c r="BO102" i="1"/>
  <c r="BO103" i="1"/>
  <c r="BO104" i="1"/>
  <c r="BO105" i="1"/>
  <c r="BO106" i="1"/>
  <c r="BO107" i="1"/>
  <c r="BO108" i="1"/>
  <c r="BO109" i="1"/>
  <c r="BO110" i="1"/>
  <c r="BO111" i="1"/>
  <c r="BO112" i="1"/>
  <c r="BO113" i="1"/>
  <c r="BO114" i="1"/>
  <c r="BO115" i="1"/>
  <c r="BO116" i="1"/>
  <c r="BO117" i="1"/>
  <c r="BO118" i="1"/>
  <c r="BO119" i="1"/>
  <c r="BO120" i="1"/>
  <c r="BO121" i="1"/>
  <c r="BO122" i="1"/>
  <c r="BO123" i="1"/>
  <c r="BO124" i="1"/>
  <c r="BO125" i="1"/>
  <c r="BO126" i="1"/>
  <c r="BO127" i="1"/>
  <c r="BO128" i="1"/>
  <c r="BO129" i="1"/>
  <c r="BO130" i="1"/>
  <c r="BO131" i="1"/>
  <c r="BO132" i="1"/>
  <c r="BO133" i="1"/>
  <c r="BO134" i="1"/>
  <c r="BO135" i="1"/>
  <c r="BO13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Q17" i="1"/>
  <c r="BQ18" i="1"/>
  <c r="BQ19" i="1"/>
  <c r="BQ20" i="1"/>
  <c r="BQ21" i="1"/>
  <c r="BQ22" i="1"/>
  <c r="BQ23" i="1"/>
  <c r="BQ24" i="1"/>
  <c r="BQ25" i="1"/>
  <c r="BQ26" i="1"/>
  <c r="BQ27" i="1"/>
  <c r="BQ28" i="1"/>
  <c r="BQ29" i="1"/>
  <c r="BQ30" i="1"/>
  <c r="BQ31" i="1"/>
  <c r="BQ32" i="1"/>
  <c r="BQ33" i="1"/>
  <c r="BQ34" i="1"/>
  <c r="BQ35" i="1"/>
  <c r="BQ36" i="1"/>
  <c r="BQ37" i="1"/>
  <c r="BQ38" i="1"/>
  <c r="BQ39" i="1"/>
  <c r="BQ40" i="1"/>
  <c r="BQ41" i="1"/>
  <c r="BQ42" i="1"/>
  <c r="BQ43" i="1"/>
  <c r="BQ44" i="1"/>
  <c r="BQ45" i="1"/>
  <c r="BQ46" i="1"/>
  <c r="BQ47" i="1"/>
  <c r="BQ48" i="1"/>
  <c r="BQ49" i="1"/>
  <c r="BQ50" i="1"/>
  <c r="BQ51" i="1"/>
  <c r="BQ52" i="1"/>
  <c r="BQ53" i="1"/>
  <c r="BQ54" i="1"/>
  <c r="BQ55" i="1"/>
  <c r="BQ56" i="1"/>
  <c r="BQ57" i="1"/>
  <c r="BQ58" i="1"/>
  <c r="BQ59" i="1"/>
  <c r="BQ60" i="1"/>
  <c r="BQ61" i="1"/>
  <c r="BQ62" i="1"/>
  <c r="BQ63" i="1"/>
  <c r="BQ64" i="1"/>
  <c r="BQ65" i="1"/>
  <c r="BQ66" i="1"/>
  <c r="BQ67" i="1"/>
  <c r="BQ68" i="1"/>
  <c r="BQ69" i="1"/>
  <c r="BQ70" i="1"/>
  <c r="BQ71" i="1"/>
  <c r="BQ72" i="1"/>
  <c r="BQ73" i="1"/>
  <c r="BQ74" i="1"/>
  <c r="BQ75" i="1"/>
  <c r="BQ76" i="1"/>
  <c r="BQ77" i="1"/>
  <c r="BQ78" i="1"/>
  <c r="BQ79" i="1"/>
  <c r="BQ80" i="1"/>
  <c r="BQ81" i="1"/>
  <c r="BQ82" i="1"/>
  <c r="BQ83" i="1"/>
  <c r="BQ84" i="1"/>
  <c r="BQ85" i="1"/>
  <c r="BQ86" i="1"/>
  <c r="BQ87" i="1"/>
  <c r="BQ88" i="1"/>
  <c r="BQ89" i="1"/>
  <c r="BQ90" i="1"/>
  <c r="BQ91" i="1"/>
  <c r="BQ92" i="1"/>
  <c r="BQ93" i="1"/>
  <c r="BQ94" i="1"/>
  <c r="BQ95" i="1"/>
  <c r="BQ96" i="1"/>
  <c r="BQ97" i="1"/>
  <c r="BQ98" i="1"/>
  <c r="BQ99" i="1"/>
  <c r="BQ100" i="1"/>
  <c r="BQ101" i="1"/>
  <c r="BQ102" i="1"/>
  <c r="BQ103" i="1"/>
  <c r="BQ104" i="1"/>
  <c r="BQ105" i="1"/>
  <c r="BQ106" i="1"/>
  <c r="BQ107" i="1"/>
  <c r="BQ108" i="1"/>
  <c r="BQ109" i="1"/>
  <c r="BQ110" i="1"/>
  <c r="BQ111" i="1"/>
  <c r="BQ112" i="1"/>
  <c r="BQ113" i="1"/>
  <c r="BQ114" i="1"/>
  <c r="BQ115" i="1"/>
  <c r="BQ116" i="1"/>
  <c r="BQ117" i="1"/>
  <c r="BQ118" i="1"/>
  <c r="BQ119" i="1"/>
  <c r="BQ120" i="1"/>
  <c r="BQ121" i="1"/>
  <c r="BQ122" i="1"/>
  <c r="BQ123" i="1"/>
  <c r="BQ124" i="1"/>
  <c r="BQ125" i="1"/>
  <c r="BQ126" i="1"/>
  <c r="BQ127" i="1"/>
  <c r="BQ128" i="1"/>
  <c r="BQ129" i="1"/>
  <c r="BQ130" i="1"/>
  <c r="BQ131" i="1"/>
  <c r="BQ132" i="1"/>
  <c r="BQ133" i="1"/>
  <c r="BQ134" i="1"/>
  <c r="BQ135" i="1"/>
  <c r="BQ136" i="1"/>
  <c r="BR17" i="1"/>
  <c r="BR18" i="1"/>
  <c r="BR19" i="1"/>
  <c r="BR20" i="1"/>
  <c r="BR21" i="1"/>
  <c r="BR22" i="1"/>
  <c r="BR23" i="1"/>
  <c r="BR24" i="1"/>
  <c r="BR25" i="1"/>
  <c r="BR26" i="1"/>
  <c r="BR27" i="1"/>
  <c r="BR28" i="1"/>
  <c r="BR29" i="1"/>
  <c r="BR30" i="1"/>
  <c r="BR31" i="1"/>
  <c r="BR32" i="1"/>
  <c r="BR33" i="1"/>
  <c r="BR34" i="1"/>
  <c r="BR35" i="1"/>
  <c r="BR36" i="1"/>
  <c r="BR37" i="1"/>
  <c r="BR38" i="1"/>
  <c r="BR39" i="1"/>
  <c r="BR40" i="1"/>
  <c r="BR41" i="1"/>
  <c r="BR42" i="1"/>
  <c r="BR43" i="1"/>
  <c r="BR44" i="1"/>
  <c r="BR45" i="1"/>
  <c r="BR46" i="1"/>
  <c r="BR47" i="1"/>
  <c r="BR48" i="1"/>
  <c r="BR49" i="1"/>
  <c r="BR50" i="1"/>
  <c r="BR51" i="1"/>
  <c r="BR52" i="1"/>
  <c r="BR53" i="1"/>
  <c r="BR54" i="1"/>
  <c r="BR55" i="1"/>
  <c r="BR56" i="1"/>
  <c r="BR57" i="1"/>
  <c r="BR58" i="1"/>
  <c r="BR59" i="1"/>
  <c r="BR60" i="1"/>
  <c r="BR61" i="1"/>
  <c r="BR62" i="1"/>
  <c r="BR63" i="1"/>
  <c r="BR64" i="1"/>
  <c r="BR65" i="1"/>
  <c r="BR66" i="1"/>
  <c r="BR67" i="1"/>
  <c r="BR68" i="1"/>
  <c r="BR69" i="1"/>
  <c r="BR70" i="1"/>
  <c r="BR71" i="1"/>
  <c r="BR72" i="1"/>
  <c r="BR73" i="1"/>
  <c r="BR74" i="1"/>
  <c r="BR75" i="1"/>
  <c r="BR76" i="1"/>
  <c r="BR77" i="1"/>
  <c r="BR78" i="1"/>
  <c r="BR79" i="1"/>
  <c r="BR80" i="1"/>
  <c r="BR81" i="1"/>
  <c r="BR82" i="1"/>
  <c r="BR83" i="1"/>
  <c r="BR84" i="1"/>
  <c r="BR85" i="1"/>
  <c r="BR86" i="1"/>
  <c r="BR87" i="1"/>
  <c r="BR88" i="1"/>
  <c r="BR89" i="1"/>
  <c r="BR90" i="1"/>
  <c r="BR91" i="1"/>
  <c r="BR92" i="1"/>
  <c r="BR93" i="1"/>
  <c r="BR94" i="1"/>
  <c r="BR95" i="1"/>
  <c r="BR96" i="1"/>
  <c r="BR97" i="1"/>
  <c r="BR98" i="1"/>
  <c r="BR99" i="1"/>
  <c r="BR100" i="1"/>
  <c r="BR101" i="1"/>
  <c r="BR102" i="1"/>
  <c r="BR103" i="1"/>
  <c r="BR104" i="1"/>
  <c r="BR105" i="1"/>
  <c r="BR106" i="1"/>
  <c r="BR107" i="1"/>
  <c r="BR108" i="1"/>
  <c r="BR109" i="1"/>
  <c r="BR110" i="1"/>
  <c r="BR111" i="1"/>
  <c r="BR112" i="1"/>
  <c r="BR113" i="1"/>
  <c r="BR114" i="1"/>
  <c r="BR115" i="1"/>
  <c r="BR116" i="1"/>
  <c r="BR117" i="1"/>
  <c r="BR118" i="1"/>
  <c r="BR119" i="1"/>
  <c r="BR120" i="1"/>
  <c r="BR121" i="1"/>
  <c r="BR122" i="1"/>
  <c r="BR123" i="1"/>
  <c r="BR124" i="1"/>
  <c r="BR125" i="1"/>
  <c r="BR126" i="1"/>
  <c r="BR127" i="1"/>
  <c r="BR128" i="1"/>
  <c r="BR129" i="1"/>
  <c r="BR130" i="1"/>
  <c r="BR131" i="1"/>
  <c r="BR132" i="1"/>
  <c r="BR133" i="1"/>
  <c r="BR134" i="1"/>
  <c r="BR135" i="1"/>
  <c r="BR136" i="1"/>
  <c r="BS17" i="1"/>
  <c r="BS18" i="1"/>
  <c r="BS19" i="1"/>
  <c r="BS20" i="1"/>
  <c r="BS21" i="1"/>
  <c r="BS22" i="1"/>
  <c r="BS23" i="1"/>
  <c r="BS24" i="1"/>
  <c r="BS25" i="1"/>
  <c r="BS26" i="1"/>
  <c r="BS27" i="1"/>
  <c r="BS28" i="1"/>
  <c r="BS29" i="1"/>
  <c r="BS30" i="1"/>
  <c r="BS31" i="1"/>
  <c r="BS32" i="1"/>
  <c r="BS33" i="1"/>
  <c r="BS34" i="1"/>
  <c r="BS35" i="1"/>
  <c r="BS36" i="1"/>
  <c r="BS37" i="1"/>
  <c r="BS38" i="1"/>
  <c r="BS39" i="1"/>
  <c r="BS40" i="1"/>
  <c r="BS41" i="1"/>
  <c r="BS42" i="1"/>
  <c r="BS43" i="1"/>
  <c r="BS44" i="1"/>
  <c r="BS45" i="1"/>
  <c r="BS46" i="1"/>
  <c r="BS47" i="1"/>
  <c r="BS48" i="1"/>
  <c r="BS49" i="1"/>
  <c r="BS50" i="1"/>
  <c r="BS51" i="1"/>
  <c r="BS52" i="1"/>
  <c r="BS53" i="1"/>
  <c r="BS54" i="1"/>
  <c r="BS55" i="1"/>
  <c r="BS56" i="1"/>
  <c r="BS57" i="1"/>
  <c r="BS58" i="1"/>
  <c r="BS59" i="1"/>
  <c r="BS60" i="1"/>
  <c r="BS61" i="1"/>
  <c r="BS62" i="1"/>
  <c r="BS63" i="1"/>
  <c r="BS64" i="1"/>
  <c r="BS65" i="1"/>
  <c r="BS66" i="1"/>
  <c r="BS67" i="1"/>
  <c r="BS68" i="1"/>
  <c r="BS69" i="1"/>
  <c r="BS70" i="1"/>
  <c r="BS71" i="1"/>
  <c r="BS72" i="1"/>
  <c r="BS73" i="1"/>
  <c r="BS74" i="1"/>
  <c r="BS75" i="1"/>
  <c r="BS76" i="1"/>
  <c r="BS77" i="1"/>
  <c r="BS78" i="1"/>
  <c r="BS79" i="1"/>
  <c r="BS80" i="1"/>
  <c r="BS81" i="1"/>
  <c r="BS82" i="1"/>
  <c r="BS83" i="1"/>
  <c r="BS84" i="1"/>
  <c r="BS85" i="1"/>
  <c r="BS86" i="1"/>
  <c r="BS87" i="1"/>
  <c r="BS88" i="1"/>
  <c r="BS89" i="1"/>
  <c r="BS90" i="1"/>
  <c r="BS91" i="1"/>
  <c r="BS92" i="1"/>
  <c r="BS93" i="1"/>
  <c r="BS94" i="1"/>
  <c r="BS95" i="1"/>
  <c r="BS96" i="1"/>
  <c r="BS97" i="1"/>
  <c r="BS98" i="1"/>
  <c r="BS99" i="1"/>
  <c r="BS100" i="1"/>
  <c r="BS101" i="1"/>
  <c r="BS102" i="1"/>
  <c r="BS103" i="1"/>
  <c r="BS104" i="1"/>
  <c r="BS105" i="1"/>
  <c r="BS106" i="1"/>
  <c r="BS107" i="1"/>
  <c r="BS108" i="1"/>
  <c r="BS109" i="1"/>
  <c r="BS110" i="1"/>
  <c r="BS111" i="1"/>
  <c r="BS112" i="1"/>
  <c r="BS113" i="1"/>
  <c r="BS114" i="1"/>
  <c r="BS115" i="1"/>
  <c r="BS116" i="1"/>
  <c r="BS117" i="1"/>
  <c r="BS118" i="1"/>
  <c r="BS119" i="1"/>
  <c r="BS120" i="1"/>
  <c r="BS121" i="1"/>
  <c r="BS122" i="1"/>
  <c r="BS123" i="1"/>
  <c r="BS124" i="1"/>
  <c r="BS125" i="1"/>
  <c r="BS126" i="1"/>
  <c r="BS127" i="1"/>
  <c r="BS128" i="1"/>
  <c r="BS129" i="1"/>
  <c r="BS130" i="1"/>
  <c r="BS131" i="1"/>
  <c r="BS132" i="1"/>
  <c r="BS133" i="1"/>
  <c r="BS134" i="1"/>
  <c r="BS135" i="1"/>
  <c r="BS136" i="1"/>
  <c r="E15" i="1"/>
  <c r="F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E12" i="1"/>
  <c r="F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E2" i="1"/>
  <c r="F2" i="1"/>
  <c r="AR2" i="1"/>
  <c r="AS2" i="1"/>
  <c r="AT2" i="1"/>
  <c r="AU2" i="1"/>
  <c r="AV2" i="1"/>
  <c r="AW2" i="1"/>
  <c r="AX2" i="1"/>
  <c r="AY2" i="1"/>
  <c r="AZ2" i="1"/>
  <c r="BA2" i="1"/>
  <c r="BB2" i="1"/>
  <c r="BC2" i="1"/>
  <c r="BD2" i="1"/>
  <c r="BE2" i="1"/>
  <c r="BF2" i="1"/>
  <c r="BG2" i="1"/>
  <c r="BH2" i="1"/>
  <c r="BI2" i="1"/>
  <c r="BJ2" i="1"/>
  <c r="BK2" i="1"/>
  <c r="BL2" i="1"/>
  <c r="BM2" i="1"/>
  <c r="BN2" i="1"/>
  <c r="BO2" i="1"/>
  <c r="BP2" i="1"/>
  <c r="BQ2" i="1"/>
  <c r="BR2" i="1"/>
  <c r="BS2" i="1"/>
  <c r="E3" i="1"/>
  <c r="F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E6" i="1"/>
  <c r="F6" i="1"/>
  <c r="AR6" i="1"/>
  <c r="AS6" i="1"/>
  <c r="AT6" i="1"/>
  <c r="AU6" i="1"/>
  <c r="AV6" i="1"/>
  <c r="AW6" i="1"/>
  <c r="AX6" i="1"/>
  <c r="AY6" i="1"/>
  <c r="AZ6" i="1"/>
  <c r="BA6" i="1"/>
  <c r="BB6" i="1"/>
  <c r="BC6" i="1"/>
  <c r="BD6" i="1"/>
  <c r="BE6" i="1"/>
  <c r="BF6" i="1"/>
  <c r="BG6" i="1"/>
  <c r="BH6" i="1"/>
  <c r="BI6" i="1"/>
  <c r="BJ6" i="1"/>
  <c r="BK6" i="1"/>
  <c r="BL6" i="1"/>
  <c r="BM6" i="1"/>
  <c r="BN6" i="1"/>
  <c r="BO6" i="1"/>
  <c r="BP6" i="1"/>
  <c r="BQ6" i="1"/>
  <c r="BR6" i="1"/>
  <c r="BS6" i="1"/>
  <c r="E4" i="1"/>
  <c r="F4" i="1"/>
  <c r="AR4" i="1"/>
  <c r="AS4" i="1"/>
  <c r="AT4" i="1"/>
  <c r="AU4" i="1"/>
  <c r="AV4" i="1"/>
  <c r="AW4" i="1"/>
  <c r="AX4" i="1"/>
  <c r="AY4" i="1"/>
  <c r="AZ4" i="1"/>
  <c r="BA4" i="1"/>
  <c r="BB4" i="1"/>
  <c r="BC4" i="1"/>
  <c r="BD4" i="1"/>
  <c r="BE4" i="1"/>
  <c r="BF4" i="1"/>
  <c r="BG4" i="1"/>
  <c r="BH4" i="1"/>
  <c r="BI4" i="1"/>
  <c r="BJ4" i="1"/>
  <c r="BK4" i="1"/>
  <c r="BL4" i="1"/>
  <c r="BM4" i="1"/>
  <c r="BN4" i="1"/>
  <c r="BO4" i="1"/>
  <c r="BP4" i="1"/>
  <c r="BQ4" i="1"/>
  <c r="BR4" i="1"/>
  <c r="BS4" i="1"/>
  <c r="E7" i="1"/>
  <c r="F7" i="1"/>
  <c r="AR7" i="1"/>
  <c r="AS7" i="1"/>
  <c r="AT7" i="1"/>
  <c r="AU7" i="1"/>
  <c r="AV7" i="1"/>
  <c r="AW7" i="1"/>
  <c r="AX7" i="1"/>
  <c r="AY7" i="1"/>
  <c r="AZ7" i="1"/>
  <c r="BA7" i="1"/>
  <c r="BB7" i="1"/>
  <c r="BC7" i="1"/>
  <c r="BD7" i="1"/>
  <c r="BE7" i="1"/>
  <c r="BF7" i="1"/>
  <c r="BG7" i="1"/>
  <c r="BH7" i="1"/>
  <c r="BI7" i="1"/>
  <c r="BJ7" i="1"/>
  <c r="BK7" i="1"/>
  <c r="BL7" i="1"/>
  <c r="BM7" i="1"/>
  <c r="BN7" i="1"/>
  <c r="BO7" i="1"/>
  <c r="BP7" i="1"/>
  <c r="BQ7" i="1"/>
  <c r="BR7" i="1"/>
  <c r="BS7" i="1"/>
  <c r="E11" i="1"/>
  <c r="F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E16" i="1"/>
  <c r="F16" i="1"/>
  <c r="AR16" i="1"/>
  <c r="AS16" i="1"/>
  <c r="AT16" i="1"/>
  <c r="AU16" i="1"/>
  <c r="AV16" i="1"/>
  <c r="AW16" i="1"/>
  <c r="AX16" i="1"/>
  <c r="AY16" i="1"/>
  <c r="AZ16" i="1"/>
  <c r="BA16" i="1"/>
  <c r="BB16" i="1"/>
  <c r="BC16" i="1"/>
  <c r="BD16" i="1"/>
  <c r="BE16" i="1"/>
  <c r="BF16" i="1"/>
  <c r="BG16" i="1"/>
  <c r="BH16" i="1"/>
  <c r="BI16" i="1"/>
  <c r="BJ16" i="1"/>
  <c r="BK16" i="1"/>
  <c r="BL16" i="1"/>
  <c r="BM16" i="1"/>
  <c r="BN16" i="1"/>
  <c r="BO16" i="1"/>
  <c r="BP16" i="1"/>
  <c r="BQ16" i="1"/>
  <c r="BR16" i="1"/>
  <c r="BS16" i="1"/>
  <c r="E9" i="1"/>
  <c r="F9" i="1"/>
  <c r="AR9" i="1"/>
  <c r="AS9" i="1"/>
  <c r="AT9" i="1"/>
  <c r="AU9" i="1"/>
  <c r="AV9" i="1"/>
  <c r="AW9" i="1"/>
  <c r="AX9" i="1"/>
  <c r="AY9" i="1"/>
  <c r="AZ9" i="1"/>
  <c r="BA9" i="1"/>
  <c r="BB9" i="1"/>
  <c r="BC9" i="1"/>
  <c r="BD9" i="1"/>
  <c r="BE9" i="1"/>
  <c r="BF9" i="1"/>
  <c r="BG9" i="1"/>
  <c r="BH9" i="1"/>
  <c r="BI9" i="1"/>
  <c r="BJ9" i="1"/>
  <c r="BK9" i="1"/>
  <c r="BL9" i="1"/>
  <c r="BM9" i="1"/>
  <c r="BN9" i="1"/>
  <c r="BO9" i="1"/>
  <c r="BP9" i="1"/>
  <c r="BQ9" i="1"/>
  <c r="BR9" i="1"/>
  <c r="BS9" i="1"/>
  <c r="E13" i="1"/>
  <c r="F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BR13" i="1"/>
  <c r="BS13" i="1"/>
  <c r="E8" i="1"/>
  <c r="F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E14" i="1"/>
  <c r="F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BR14" i="1"/>
  <c r="BS14" i="1"/>
  <c r="E5" i="1"/>
  <c r="F5" i="1"/>
  <c r="AR5" i="1"/>
  <c r="AS5" i="1"/>
  <c r="AT5" i="1"/>
  <c r="AU5" i="1"/>
  <c r="AV5" i="1"/>
  <c r="AW5" i="1"/>
  <c r="AX5" i="1"/>
  <c r="AY5" i="1"/>
  <c r="AZ5" i="1"/>
  <c r="BA5" i="1"/>
  <c r="BB5" i="1"/>
  <c r="BC5" i="1"/>
  <c r="BD5" i="1"/>
  <c r="BE5" i="1"/>
  <c r="BF5" i="1"/>
  <c r="BG5" i="1"/>
  <c r="BH5" i="1"/>
  <c r="BI5" i="1"/>
  <c r="BJ5" i="1"/>
  <c r="BK5" i="1"/>
  <c r="BL5" i="1"/>
  <c r="BM5" i="1"/>
  <c r="BN5" i="1"/>
  <c r="BO5" i="1"/>
  <c r="BP5" i="1"/>
  <c r="BQ5" i="1"/>
  <c r="BR5" i="1"/>
  <c r="BS5" i="1"/>
  <c r="E10" i="1"/>
  <c r="F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E137" i="1" l="1"/>
  <c r="D136" i="1"/>
  <c r="G136" i="1" s="1"/>
  <c r="D130" i="1"/>
  <c r="G130" i="1" s="1"/>
  <c r="D124" i="1"/>
  <c r="G124" i="1" s="1"/>
  <c r="D118" i="1"/>
  <c r="G118" i="1" s="1"/>
  <c r="D112" i="1"/>
  <c r="G112" i="1" s="1"/>
  <c r="D106" i="1"/>
  <c r="G106" i="1" s="1"/>
  <c r="D100" i="1"/>
  <c r="G100" i="1" s="1"/>
  <c r="D94" i="1"/>
  <c r="G94" i="1" s="1"/>
  <c r="D88" i="1"/>
  <c r="G88" i="1" s="1"/>
  <c r="D82" i="1"/>
  <c r="G82" i="1" s="1"/>
  <c r="D76" i="1"/>
  <c r="G76" i="1" s="1"/>
  <c r="D70" i="1"/>
  <c r="G70" i="1" s="1"/>
  <c r="D64" i="1"/>
  <c r="G64" i="1" s="1"/>
  <c r="D58" i="1"/>
  <c r="G58" i="1" s="1"/>
  <c r="D52" i="1"/>
  <c r="G52" i="1" s="1"/>
  <c r="D135" i="1"/>
  <c r="D129" i="1"/>
  <c r="G129" i="1" s="1"/>
  <c r="D123" i="1"/>
  <c r="G123" i="1" s="1"/>
  <c r="D117" i="1"/>
  <c r="G117" i="1" s="1"/>
  <c r="D111" i="1"/>
  <c r="G111" i="1" s="1"/>
  <c r="D105" i="1"/>
  <c r="G105" i="1" s="1"/>
  <c r="D99" i="1"/>
  <c r="G99" i="1" s="1"/>
  <c r="D93" i="1"/>
  <c r="G93" i="1" s="1"/>
  <c r="D87" i="1"/>
  <c r="G87" i="1" s="1"/>
  <c r="D81" i="1"/>
  <c r="G81" i="1" s="1"/>
  <c r="D75" i="1"/>
  <c r="G75" i="1" s="1"/>
  <c r="D69" i="1"/>
  <c r="G69" i="1" s="1"/>
  <c r="D63" i="1"/>
  <c r="G63" i="1" s="1"/>
  <c r="D57" i="1"/>
  <c r="G57" i="1" s="1"/>
  <c r="D51" i="1"/>
  <c r="G51" i="1" s="1"/>
  <c r="D45" i="1"/>
  <c r="G45" i="1" s="1"/>
  <c r="D39" i="1"/>
  <c r="G39" i="1" s="1"/>
  <c r="D33" i="1"/>
  <c r="G33" i="1" s="1"/>
  <c r="D27" i="1"/>
  <c r="G27" i="1" s="1"/>
  <c r="D21" i="1"/>
  <c r="G21" i="1" s="1"/>
  <c r="D134" i="1"/>
  <c r="G134" i="1" s="1"/>
  <c r="D128" i="1"/>
  <c r="G128" i="1" s="1"/>
  <c r="D122" i="1"/>
  <c r="G122" i="1" s="1"/>
  <c r="D116" i="1"/>
  <c r="G116" i="1" s="1"/>
  <c r="D110" i="1"/>
  <c r="G110" i="1" s="1"/>
  <c r="D104" i="1"/>
  <c r="G104" i="1" s="1"/>
  <c r="D98" i="1"/>
  <c r="G98" i="1" s="1"/>
  <c r="D92" i="1"/>
  <c r="G92" i="1" s="1"/>
  <c r="D86" i="1"/>
  <c r="G86" i="1" s="1"/>
  <c r="D80" i="1"/>
  <c r="G80" i="1" s="1"/>
  <c r="D74" i="1"/>
  <c r="G74" i="1" s="1"/>
  <c r="D68" i="1"/>
  <c r="G68" i="1" s="1"/>
  <c r="D62" i="1"/>
  <c r="G62" i="1" s="1"/>
  <c r="D56" i="1"/>
  <c r="G56" i="1" s="1"/>
  <c r="D50" i="1"/>
  <c r="G50" i="1" s="1"/>
  <c r="D44" i="1"/>
  <c r="G44" i="1" s="1"/>
  <c r="D38" i="1"/>
  <c r="G38" i="1" s="1"/>
  <c r="D32" i="1"/>
  <c r="G32" i="1" s="1"/>
  <c r="D26" i="1"/>
  <c r="G26" i="1" s="1"/>
  <c r="D20" i="1"/>
  <c r="G20" i="1" s="1"/>
  <c r="D133" i="1"/>
  <c r="G133" i="1" s="1"/>
  <c r="D127" i="1"/>
  <c r="G127" i="1" s="1"/>
  <c r="D121" i="1"/>
  <c r="G121" i="1" s="1"/>
  <c r="D115" i="1"/>
  <c r="G115" i="1" s="1"/>
  <c r="D109" i="1"/>
  <c r="G109" i="1" s="1"/>
  <c r="D103" i="1"/>
  <c r="G103" i="1" s="1"/>
  <c r="D97" i="1"/>
  <c r="G97" i="1" s="1"/>
  <c r="D91" i="1"/>
  <c r="G91" i="1" s="1"/>
  <c r="D85" i="1"/>
  <c r="G85" i="1" s="1"/>
  <c r="D79" i="1"/>
  <c r="G79" i="1" s="1"/>
  <c r="D73" i="1"/>
  <c r="G73" i="1" s="1"/>
  <c r="D67" i="1"/>
  <c r="G67" i="1" s="1"/>
  <c r="D61" i="1"/>
  <c r="G61" i="1" s="1"/>
  <c r="D55" i="1"/>
  <c r="G55" i="1" s="1"/>
  <c r="D49" i="1"/>
  <c r="G49" i="1" s="1"/>
  <c r="D43" i="1"/>
  <c r="G43" i="1" s="1"/>
  <c r="D37" i="1"/>
  <c r="G37" i="1" s="1"/>
  <c r="D31" i="1"/>
  <c r="G31" i="1" s="1"/>
  <c r="D25" i="1"/>
  <c r="G25" i="1" s="1"/>
  <c r="D19" i="1"/>
  <c r="G19" i="1" s="1"/>
  <c r="D24" i="1"/>
  <c r="G24" i="1" s="1"/>
  <c r="D42" i="1"/>
  <c r="G42" i="1" s="1"/>
  <c r="D36" i="1"/>
  <c r="G36" i="1" s="1"/>
  <c r="D30" i="1"/>
  <c r="G30" i="1" s="1"/>
  <c r="D132" i="1"/>
  <c r="G132" i="1" s="1"/>
  <c r="D126" i="1"/>
  <c r="G126" i="1" s="1"/>
  <c r="D120" i="1"/>
  <c r="G120" i="1" s="1"/>
  <c r="D114" i="1"/>
  <c r="G114" i="1" s="1"/>
  <c r="D108" i="1"/>
  <c r="G108" i="1" s="1"/>
  <c r="D102" i="1"/>
  <c r="G102" i="1" s="1"/>
  <c r="D96" i="1"/>
  <c r="G96" i="1" s="1"/>
  <c r="D90" i="1"/>
  <c r="G90" i="1" s="1"/>
  <c r="D84" i="1"/>
  <c r="G84" i="1" s="1"/>
  <c r="D78" i="1"/>
  <c r="G78" i="1" s="1"/>
  <c r="D72" i="1"/>
  <c r="G72" i="1" s="1"/>
  <c r="D66" i="1"/>
  <c r="G66" i="1" s="1"/>
  <c r="D60" i="1"/>
  <c r="G60" i="1" s="1"/>
  <c r="D54" i="1"/>
  <c r="G54" i="1" s="1"/>
  <c r="D48" i="1"/>
  <c r="G48" i="1" s="1"/>
  <c r="D18" i="1"/>
  <c r="G18" i="1" s="1"/>
  <c r="D17" i="1"/>
  <c r="G17" i="1" s="1"/>
  <c r="D35" i="1"/>
  <c r="G35" i="1" s="1"/>
  <c r="D29" i="1"/>
  <c r="G29" i="1" s="1"/>
  <c r="D23" i="1"/>
  <c r="G23" i="1" s="1"/>
  <c r="D131" i="1"/>
  <c r="G131" i="1" s="1"/>
  <c r="D125" i="1"/>
  <c r="G125" i="1" s="1"/>
  <c r="D119" i="1"/>
  <c r="G119" i="1" s="1"/>
  <c r="D113" i="1"/>
  <c r="G113" i="1" s="1"/>
  <c r="D107" i="1"/>
  <c r="G107" i="1" s="1"/>
  <c r="D101" i="1"/>
  <c r="G101" i="1" s="1"/>
  <c r="D95" i="1"/>
  <c r="G95" i="1" s="1"/>
  <c r="D89" i="1"/>
  <c r="G89" i="1" s="1"/>
  <c r="D83" i="1"/>
  <c r="G83" i="1" s="1"/>
  <c r="D77" i="1"/>
  <c r="G77" i="1" s="1"/>
  <c r="D71" i="1"/>
  <c r="G71" i="1" s="1"/>
  <c r="D65" i="1"/>
  <c r="G65" i="1" s="1"/>
  <c r="D59" i="1"/>
  <c r="G59" i="1" s="1"/>
  <c r="D53" i="1"/>
  <c r="G53" i="1" s="1"/>
  <c r="D47" i="1"/>
  <c r="G47" i="1" s="1"/>
  <c r="D41" i="1"/>
  <c r="G41" i="1" s="1"/>
  <c r="Q25" i="2"/>
  <c r="Q19" i="2"/>
  <c r="Q13" i="2"/>
  <c r="D46" i="1"/>
  <c r="G46" i="1" s="1"/>
  <c r="D40" i="1"/>
  <c r="G40" i="1" s="1"/>
  <c r="D34" i="1"/>
  <c r="G34" i="1" s="1"/>
  <c r="D28" i="1"/>
  <c r="G28" i="1" s="1"/>
  <c r="D22" i="1"/>
  <c r="G22" i="1" s="1"/>
  <c r="F137" i="1"/>
  <c r="Q14" i="2"/>
  <c r="Q4" i="2"/>
  <c r="Q16" i="2"/>
  <c r="Q15" i="2"/>
  <c r="Q9" i="2"/>
  <c r="Q3" i="2"/>
  <c r="Q8" i="2"/>
  <c r="Q28" i="2"/>
  <c r="Q10" i="2"/>
  <c r="Q27" i="2"/>
  <c r="Q2" i="2"/>
  <c r="Q20" i="2"/>
  <c r="Q22" i="2"/>
  <c r="Q21" i="2"/>
  <c r="Q7" i="2"/>
  <c r="Q24" i="2"/>
  <c r="Q18" i="2"/>
  <c r="Q12" i="2"/>
  <c r="Q6" i="2"/>
  <c r="Q26" i="2"/>
  <c r="Q29" i="2"/>
  <c r="Q23" i="2"/>
  <c r="Q17" i="2"/>
  <c r="Q11" i="2"/>
  <c r="Q5" i="2"/>
  <c r="D10" i="1"/>
  <c r="G10" i="1" s="1"/>
  <c r="D5" i="1"/>
  <c r="G5" i="1" s="1"/>
  <c r="D14" i="1"/>
  <c r="G14" i="1" s="1"/>
  <c r="D8" i="1"/>
  <c r="G8" i="1" s="1"/>
  <c r="D13" i="1"/>
  <c r="G13" i="1" s="1"/>
  <c r="D9" i="1"/>
  <c r="G9" i="1" s="1"/>
  <c r="D16" i="1"/>
  <c r="G16" i="1" s="1"/>
  <c r="D11" i="1"/>
  <c r="D7" i="1"/>
  <c r="G7" i="1" s="1"/>
  <c r="D4" i="1"/>
  <c r="G4" i="1" s="1"/>
  <c r="D6" i="1"/>
  <c r="G6" i="1" s="1"/>
  <c r="D3" i="1"/>
  <c r="G3" i="1" s="1"/>
  <c r="D12" i="1"/>
  <c r="G12" i="1" s="1"/>
  <c r="D15" i="1"/>
  <c r="D2" i="1"/>
  <c r="G135" i="1" l="1"/>
  <c r="D137" i="1"/>
  <c r="R32" i="2"/>
  <c r="R38" i="2"/>
  <c r="R33" i="2"/>
  <c r="R39" i="2"/>
  <c r="R41" i="2"/>
  <c r="R36" i="2"/>
  <c r="R31" i="2"/>
  <c r="R34" i="2"/>
  <c r="R40" i="2"/>
  <c r="R35" i="2"/>
  <c r="R30" i="2"/>
  <c r="R37" i="2"/>
  <c r="G11" i="1"/>
  <c r="R29" i="2"/>
  <c r="R23" i="2"/>
  <c r="R17" i="2"/>
  <c r="R11" i="2"/>
  <c r="R5" i="2"/>
  <c r="R22" i="2"/>
  <c r="R16" i="2"/>
  <c r="R28" i="2"/>
  <c r="R10" i="2"/>
  <c r="R4" i="2"/>
  <c r="R21" i="2"/>
  <c r="R15" i="2"/>
  <c r="R9" i="2"/>
  <c r="R3" i="2"/>
  <c r="R14" i="2"/>
  <c r="R13" i="2"/>
  <c r="R18" i="2"/>
  <c r="R12" i="2"/>
  <c r="R27" i="2"/>
  <c r="R26" i="2"/>
  <c r="R20" i="2"/>
  <c r="R8" i="2"/>
  <c r="R2" i="2"/>
  <c r="R19" i="2"/>
  <c r="R7" i="2"/>
  <c r="R24" i="2"/>
  <c r="R6" i="2"/>
  <c r="R25" i="2"/>
  <c r="G2" i="1"/>
  <c r="G15" i="1"/>
  <c r="G137" i="1" l="1"/>
</calcChain>
</file>

<file path=xl/sharedStrings.xml><?xml version="1.0" encoding="utf-8"?>
<sst xmlns="http://schemas.openxmlformats.org/spreadsheetml/2006/main" count="1234" uniqueCount="936">
  <si>
    <t>ID</t>
  </si>
  <si>
    <t>ELL</t>
  </si>
  <si>
    <t>IEP</t>
  </si>
  <si>
    <t>Part I</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</si>
  <si>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</si>
  <si>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</si>
  <si>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</si>
  <si>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</si>
  <si>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</si>
  <si>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</si>
  <si>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</si>
  <si>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</si>
  <si>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</si>
  <si>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</si>
  <si>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</si>
  <si>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</si>
  <si>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</si>
  <si>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</si>
  <si>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</si>
  <si>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</si>
  <si>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</si>
  <si>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</si>
  <si>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</si>
  <si>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</si>
  <si>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</si>
  <si>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</si>
  <si>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</si>
  <si>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</si>
  <si>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</si>
  <si>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</si>
  <si>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</si>
  <si>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</si>
  <si>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t>
  </si>
  <si>
    <t>Question</t>
  </si>
  <si>
    <t>Final</t>
  </si>
  <si>
    <t>MC</t>
  </si>
  <si>
    <t>Stimulus_type</t>
  </si>
  <si>
    <t>Stimulus</t>
  </si>
  <si>
    <t>Source_type</t>
  </si>
  <si>
    <t>Task_model</t>
  </si>
  <si>
    <t>Need_OI?</t>
  </si>
  <si>
    <t>Pct_correct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</si>
  <si>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</si>
  <si>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</si>
  <si>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</si>
  <si>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</si>
  <si>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</si>
  <si>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</si>
  <si>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</si>
  <si>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</si>
  <si>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</si>
  <si>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</si>
  <si>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</si>
  <si>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</si>
  <si>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</si>
  <si>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</si>
  <si>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</si>
  <si>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</si>
  <si>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</si>
  <si>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</si>
  <si>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</si>
  <si>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</si>
  <si>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</si>
  <si>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</si>
  <si>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</si>
  <si>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</si>
  <si>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</si>
  <si>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</si>
  <si>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</si>
  <si>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</si>
  <si>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</si>
  <si>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</si>
  <si>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</si>
  <si>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</si>
  <si>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</si>
  <si>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Yes</t>
  </si>
  <si>
    <t>35</t>
  </si>
  <si>
    <t>Primary</t>
  </si>
  <si>
    <t>Students are given a stimulus and asked to evaluate and classify (identify) best use.</t>
  </si>
  <si>
    <t>1. Best Use</t>
  </si>
  <si>
    <t>Students are given a stimulus and asked to identify point of view, purpose, context, bias, format of source, location of source in time and/or place, and/or intended audience of sources using background knowledge.</t>
  </si>
  <si>
    <t>2. POV</t>
  </si>
  <si>
    <t>Students are given a stimulus and asked to identify support for a claim found in the stimulus (bound in the same timeframe/event/space). It must require students to draw on their knowledge rather than on straight comprehension of text.</t>
  </si>
  <si>
    <t>3. Claim Validity (With Outside Information)</t>
  </si>
  <si>
    <t>Students are given a stimulus and asked to select a plausible claim that logically follows from evidence presented.</t>
  </si>
  <si>
    <t>4. Claim Validity (Without Outside Information)</t>
  </si>
  <si>
    <t>Students are given a stimulus and asked to identify the significance of a turning point in history.</t>
  </si>
  <si>
    <t>5. Turning Point</t>
  </si>
  <si>
    <t>Students are given a stimulus and asked to identify significance of an event, action, idea, or development as part of change or part of continuity in history.</t>
  </si>
  <si>
    <t>6. Change Over Time</t>
  </si>
  <si>
    <t>Students are given a stimulus and asked to identify a central cause of the described phenomenon.</t>
  </si>
  <si>
    <t>7. Cause</t>
  </si>
  <si>
    <t>Students are given a stimulus and asked to identify a central effect of the described phenomenon.</t>
  </si>
  <si>
    <t>8. Effect</t>
  </si>
  <si>
    <t>Students are given a stimulus and asked to identify the impact of time and place on an issue or event linked to that stimulus.</t>
  </si>
  <si>
    <t>9. Impact of Setting</t>
  </si>
  <si>
    <t>Students are given one stimulus or two stimuli and asked to identify a similarity in the described phenomenon (historical development, historical event, geographic setting, economic situation, individual’s action/belief) (implicit comparison).</t>
  </si>
  <si>
    <t>10. Compare</t>
  </si>
  <si>
    <t>Students are given one/two stimuli and asked to identify a difference in the described phenomenon (historical development, historical event, geographic setting, economic situation, individual’s action/belief) (implicit comparison).</t>
  </si>
  <si>
    <t>11. Contrast</t>
  </si>
  <si>
    <t>Students are given a stimulus and asked to identify an informed action taken by an individual, group, or government connected to civic activism.</t>
  </si>
  <si>
    <t>12. Informed Civic Action</t>
  </si>
  <si>
    <t>Students are given a visual stimulus such as a map, graph, chart, timeline, cartoon, or photograph and asked to extract and interpret relevant information to answer a question.</t>
  </si>
  <si>
    <t>13. Interpret Visual Data</t>
  </si>
  <si>
    <t>Students are given one stimulus or two stimuli and asked to identify a stakeholder or a stakeholder’s issue.</t>
  </si>
  <si>
    <t>14. Stakeholder Issue</t>
  </si>
  <si>
    <t>Students are given a stimulus and asked to identify a course of action recommended by a historical figure, a group, or a government.</t>
  </si>
  <si>
    <t>15. Recommended Action</t>
  </si>
  <si>
    <t>Students are given a stimulus and asked to identify how historical events are related chronologically.</t>
  </si>
  <si>
    <t>16. Sequence of Events</t>
  </si>
  <si>
    <t>Students are given one stimulus or two stimuli and asked to identify a problem (issue).</t>
  </si>
  <si>
    <t>17. Problem</t>
  </si>
  <si>
    <t>Students are given one stimulus or two stimuli and asked to identify a response to a problem (issue).</t>
  </si>
  <si>
    <t>18. Response to Problem</t>
  </si>
  <si>
    <t>Model</t>
  </si>
  <si>
    <t>Detail</t>
  </si>
  <si>
    <t>Specifications</t>
  </si>
  <si>
    <t>10.01a.1</t>
  </si>
  <si>
    <t>Mughal &amp; Ottoman (c. 1750)</t>
  </si>
  <si>
    <t>Students will compare and contrast the Mughal Empire and the Ottoman Empire in 1750 in terms of religious and ethnic tolerance, political organization, and commercial activity.</t>
  </si>
  <si>
    <t>10.01a.2</t>
  </si>
  <si>
    <t>Tokugawa Shogunate</t>
  </si>
  <si>
    <t>Students will examine efforts to unify, stabilize, and centralize Japan under the rule of the Tokugawa Shogunate.</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</si>
  <si>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</si>
  <si>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</si>
  <si>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</si>
  <si>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10.01b.1</t>
  </si>
  <si>
    <t>Tokugawa &amp; Mughal Responses to Outsiders</t>
  </si>
  <si>
    <t>Students will compare and contrast the Tokugawa and Mughal responses to outsiders, with attention to the impacts of those decisions.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</si>
  <si>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</si>
  <si>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</si>
  <si>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</si>
  <si>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10.01b.3</t>
  </si>
  <si>
    <t>Comparing Empire's Geography &amp; Power</t>
  </si>
  <si>
    <t>Students will compare the size of these states, empires, and kingdoms relative to the power they wielded in their regions and in the world.</t>
  </si>
  <si>
    <t>Political Philosophies</t>
  </si>
  <si>
    <t>10.02a.1</t>
  </si>
  <si>
    <t>Students will examine at least three Enlightenment thinkers, including John Locke, Baron de Montesquieu, and Jean-Jacques Rousseau, and key ideas from their written works.</t>
  </si>
  <si>
    <t>10.02b.1</t>
  </si>
  <si>
    <t>Gender &amp; Abolition</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</si>
  <si>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</si>
  <si>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</si>
  <si>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</si>
  <si>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</si>
  <si>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10.02c.1</t>
  </si>
  <si>
    <t>French Revolutions</t>
  </si>
  <si>
    <t>Students will examine evidence related to the preconditions of the French Revolution and the course of the revolution, noting the roles of Olympe de Gouges, Maximilien Robespierre, and Napoleon Bonaparte.</t>
  </si>
  <si>
    <t>10.02c.2</t>
  </si>
  <si>
    <t>Latin American Revolutions</t>
  </si>
  <si>
    <t>Students will examine the evidence related to the impacts of the French Revolution on resistance and revolutionary movements, noting the roles of Toussaint L'Ouverture and Simon Bolivar.</t>
  </si>
  <si>
    <t>10.02d.1</t>
  </si>
  <si>
    <t>Italy, Germany &amp; Ottoman, Austrian</t>
  </si>
  <si>
    <t>Students will investigate the role of cultural identity and nationalism in the unification of Italy and Germany and in the dissolution of the Ottoman and Austrian Empires.</t>
  </si>
  <si>
    <t>10.03a.1</t>
  </si>
  <si>
    <t>British Agricultural Revolution</t>
  </si>
  <si>
    <t>Students will examine the agricultural revolution in Great Britain.</t>
  </si>
  <si>
    <t>10.03b.1</t>
  </si>
  <si>
    <t>Industrial Production &amp; Economic Practices</t>
  </si>
  <si>
    <t>Students will analyze the factors and conditions needed to industrialize and to expand industrial production, as well as shifts in economic practices.</t>
  </si>
  <si>
    <t>10.03b.2</t>
  </si>
  <si>
    <t>"Wealth of Nations"</t>
  </si>
  <si>
    <t>Students will examine the economic theory presented in The Wealth of Nations.</t>
  </si>
  <si>
    <t>10.03b.3</t>
  </si>
  <si>
    <t>Energy, Technology, Communication, &amp; Transportation</t>
  </si>
  <si>
    <t>Students will examine changes and innovations in energy, technology, communication, and transportation that enabled industrialization.</t>
  </si>
  <si>
    <t>10.03c.1</t>
  </si>
  <si>
    <t>Comparing Victorian England &amp; Meiji Japan</t>
  </si>
  <si>
    <t>Students will investigate the social, political, and economic impacts of industrialization in Victorian England and Meiji Japan and compare and contrast them.</t>
  </si>
  <si>
    <t>10.03d.1</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</si>
  <si>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</si>
  <si>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</si>
  <si>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</si>
  <si>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</si>
  <si>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</si>
  <si>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10.04a.1</t>
  </si>
  <si>
    <t>Perspectives on Imperialism</t>
  </si>
  <si>
    <t>Students will explore imperialism from a variety of perspectives such as those of missionaries, indigenous peoples, women, merchants/business people, and government officials.</t>
  </si>
  <si>
    <t>10.04a.2</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</si>
  <si>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</si>
  <si>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</si>
  <si>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</si>
  <si>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</si>
  <si>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</si>
  <si>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</si>
  <si>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</si>
  <si>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</si>
  <si>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10.04c.1</t>
  </si>
  <si>
    <t>Comparing Geography of Africa (c. 1800-1914)</t>
  </si>
  <si>
    <t>Students will compare and contrast maps of Africa from ca. 1800 and ca. 1914, noting the changes and continuities of ethnic groups and regions, African states, and European claims.</t>
  </si>
  <si>
    <t>10.05a.1</t>
  </si>
  <si>
    <t>Comparing Cause &amp; Effects of the World Wars</t>
  </si>
  <si>
    <t>Students will compare and contrast long- and short-term causes and effects of World War I and World War II.</t>
  </si>
  <si>
    <t>10.05b.1</t>
  </si>
  <si>
    <t>Technological Development &amp; Devastation</t>
  </si>
  <si>
    <t>Students will compare and contrast the technologies utilized in both World War I and World War II, noting the human and environmental devastation.</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</si>
  <si>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</si>
  <si>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</si>
  <si>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</si>
  <si>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10.05d.1</t>
  </si>
  <si>
    <t>Russian Revolution, Soviet Union, Lenin &amp; Stalin</t>
  </si>
  <si>
    <t>Students will examine the Russian Revolution and the development of Soviet ideology and nationalism under Lenin and Stalin.</t>
  </si>
  <si>
    <t>10.05d.2</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</si>
  <si>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</si>
  <si>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</si>
  <si>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</si>
  <si>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</si>
  <si>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</si>
  <si>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10.05d.4</t>
  </si>
  <si>
    <t>Great Depression &amp; Totalitarian Dictators</t>
  </si>
  <si>
    <t>Students will investigate the causes of the Great Depression and its influence on the rise of totalitarian dictators and determine the common characteristics of these dictators.</t>
  </si>
  <si>
    <t>10.05e.1</t>
  </si>
  <si>
    <t>Armenian Genocide, Ukranian Holodomor, &amp; the Holocaust</t>
  </si>
  <si>
    <t>Students will examine the atrocities against the Armenians; examine the Ukrainian Holodomor, and examine the Holocaust.</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</si>
  <si>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</si>
  <si>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</si>
  <si>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</si>
  <si>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10.06b.1</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</si>
  <si>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</si>
  <si>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</si>
  <si>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</si>
  <si>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</si>
  <si>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</si>
  <si>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</si>
  <si>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</si>
  <si>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</si>
  <si>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</si>
  <si>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</si>
  <si>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</si>
  <si>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10.06c.1</t>
  </si>
  <si>
    <t>Glasnost &amp; Perestroika Reforms</t>
  </si>
  <si>
    <t>Students will investigate the political reforms of glasnost and economic reforms of perestroika.</t>
  </si>
  <si>
    <t>10.06c.2</t>
  </si>
  <si>
    <t>Impact of Reform on the Soviet Union, Bloc, and the World</t>
  </si>
  <si>
    <t>Students will examine the impacts of those reforms within the Soviet Union, on the Soviet communist bloc, and in the world.</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</si>
  <si>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</si>
  <si>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</si>
  <si>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</si>
  <si>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10.07a.2</t>
  </si>
  <si>
    <t>Comparing Gandhi &amp; Ho Chi Minh</t>
  </si>
  <si>
    <t>Students will compare and contrast the ideologies and methodologies of Gandhi and Ho Chi Minh as nationalist leaders.</t>
  </si>
  <si>
    <t>10.07b.1</t>
  </si>
  <si>
    <t>Ghana, Algeria, and/or Kenya</t>
  </si>
  <si>
    <t>Students will explore at least two of these three African independence movements: Ghana, Algeria, Kenya.</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</si>
  <si>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</si>
  <si>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</si>
  <si>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</si>
  <si>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</si>
  <si>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</si>
  <si>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</si>
  <si>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</si>
  <si>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</si>
  <si>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</si>
  <si>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</si>
  <si>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</si>
  <si>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</si>
  <si>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</si>
  <si>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</si>
  <si>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</si>
  <si>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10.08b.1</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</si>
  <si>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</si>
  <si>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</si>
  <si>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</si>
  <si>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</si>
  <si>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</si>
  <si>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</si>
  <si>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</si>
  <si>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</si>
  <si>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</si>
  <si>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</si>
  <si>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</si>
  <si>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10.09b.1</t>
  </si>
  <si>
    <t>Globalization Arguments</t>
  </si>
  <si>
    <t>Students will compare and contrast arguments supporting and criticizing globalization by examining concerns including...</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</si>
  <si>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</si>
  <si>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</si>
  <si>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</si>
  <si>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</si>
  <si>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</si>
  <si>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</si>
  <si>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10.09c.3</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</si>
  <si>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</si>
  <si>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</si>
  <si>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10.09d.1</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</si>
  <si>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</si>
  <si>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</si>
  <si>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</si>
  <si>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</si>
  <si>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</si>
  <si>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</si>
  <si>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</si>
  <si>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</si>
  <si>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</si>
  <si>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</si>
  <si>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</si>
  <si>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</si>
  <si>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</si>
  <si>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</si>
  <si>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</si>
  <si>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</si>
  <si>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</si>
  <si>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</si>
  <si>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</si>
  <si>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</si>
  <si>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</si>
  <si>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</si>
  <si>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</si>
  <si>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</si>
  <si>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</si>
  <si>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</si>
  <si>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</si>
  <si>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</si>
  <si>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</si>
  <si>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</si>
  <si>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</si>
  <si>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</si>
  <si>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11.01a.1</t>
  </si>
  <si>
    <t>European Colonizing Nations</t>
  </si>
  <si>
    <t>Students will trace European contact with Native Americans, including the Dutch, the English, the French and the Spanish.</t>
  </si>
  <si>
    <t>11.01a.2</t>
  </si>
  <si>
    <t>Colonization Impact on Native Americans</t>
  </si>
  <si>
    <t>Students will examine the impacts of European colonization on Native Americans, who eventually lost much of their land and experienced a drastic decline in population through diseases and armed conflict.</t>
  </si>
  <si>
    <t>11.01b.1</t>
  </si>
  <si>
    <t>Geography &amp; Economic Systems</t>
  </si>
  <si>
    <t>Students will examine the impacts of geographic factors on patterns of settlement and the development of colonial economic systems.</t>
  </si>
  <si>
    <t>11.01b.2</t>
  </si>
  <si>
    <t>Social Structures &amp; Labor</t>
  </si>
  <si>
    <t>Students will examine the factors influencing variations in colonial social structures and labor systems.</t>
  </si>
  <si>
    <t>11.01b.3</t>
  </si>
  <si>
    <t>Colonial Slavery</t>
  </si>
  <si>
    <t>Students will analyze slavery as a deeply established component of the colonial economic system and social structure, indentured servitude vs. slavery, the increased concentration of slaves in the South, and the development of slavery asa racial institution.</t>
  </si>
  <si>
    <t>11.01c.1</t>
  </si>
  <si>
    <t>Enlightenment &amp; British Traditions</t>
  </si>
  <si>
    <t>Students will examine colonial political institutions to determine how they were influenced by Enlightenment ideas, British traditions such as the Magna Carta, and the colonial experience.</t>
  </si>
  <si>
    <t>11.01c.2</t>
  </si>
  <si>
    <t>Colonial Democracy &amp; Key Documents</t>
  </si>
  <si>
    <t>Students will examine colonial democratic principles by studying documents such as the Mayflower Compact and the Maryland Toleration Act of 1649, colonial governmental structures such as New England town meetings and the Virginia House of Burgesses, and the practice of the right of petition in New Netherland.</t>
  </si>
  <si>
    <t>11.02a.1</t>
  </si>
  <si>
    <t>British Control &amp; Colonial Resistance</t>
  </si>
  <si>
    <t>Students will examine British efforts to gain greater political and economic control, such as the Proclamation of 1763, the Stamp Act, the Townsend Acts, the Tea Act, the Boston Massacre, and the Coercive Acts, and colonial reactions to these efforts.</t>
  </si>
  <si>
    <t>Declaration of Independence</t>
  </si>
  <si>
    <t>11.02b.1</t>
  </si>
  <si>
    <t>Students will examine the purpose of and the ideas contained in the Declaration of Independence and consider its long term impacts.</t>
  </si>
  <si>
    <t>11.02b.2</t>
  </si>
  <si>
    <t>Impact on Marginalized Groups</t>
  </si>
  <si>
    <t>Students will examine the impacts of the Revolutionary War on workers, African Americans, women, and Native Americans.</t>
  </si>
  <si>
    <t>11.02c.1</t>
  </si>
  <si>
    <t>Articles of Confederation</t>
  </si>
  <si>
    <t>Students will examine the weaknesses and successes of government under the Articles of Confederation.</t>
  </si>
  <si>
    <t>11.02c.2</t>
  </si>
  <si>
    <t>Constitution Development &amp; Debates</t>
  </si>
  <si>
    <t>Students will explore the development of the Constitution, including the major debates and their resolutions, which included compromises over representation, taxation, and slavery.</t>
  </si>
  <si>
    <t>11.02c.3</t>
  </si>
  <si>
    <t>Federal Government Structure &amp; Principles</t>
  </si>
  <si>
    <t>Students will examine the structure, power, and function of the federal government as created by the Constitution, including key constitutional principles such as the division of power between federal and state government, the separation of powers at the federal level, the creation of checks and balances, the sovereignty of the people, and judicial independence.</t>
  </si>
  <si>
    <t>11.02c.4</t>
  </si>
  <si>
    <t>Federalist vs. Antifederalist</t>
  </si>
  <si>
    <t>Students will examine the key points of debate expressed in the Federalist Papers and the Antifederalist Papers, focusing on the protection of individual rights and the proper size for a republic.</t>
  </si>
  <si>
    <t>11.02c.5</t>
  </si>
  <si>
    <t>Bill of Rights</t>
  </si>
  <si>
    <t>Students will examine the rights and protections provided by the Bill of Rights and to whom they initially applied.</t>
  </si>
  <si>
    <t>11.02d.1</t>
  </si>
  <si>
    <t>President George Washington</t>
  </si>
  <si>
    <t>Students will identify presidential actions and precedents established by George Washington, including those articulated in his Farewell Address.</t>
  </si>
  <si>
    <t>11.02d.2</t>
  </si>
  <si>
    <t>Hamilton's Economic Plan &amp; Political Parties</t>
  </si>
  <si>
    <t>Students will examine Hamilton’s economic plan, the debate surrounding the plan, and its impacts on the development of political parties.</t>
  </si>
  <si>
    <t>11.02d.3</t>
  </si>
  <si>
    <t>Peaceful Transfers of Power: 1800 vs. 2000</t>
  </si>
  <si>
    <t>Students will examine the tradition of a peaceful transfer of power established in the presidential election of 1800 and compare it to the presidential election of 2000, focusing on the roles of the Electoral College and Congress in 1800 and the Electoral College and the Supreme Court in 2000.</t>
  </si>
  <si>
    <t>11.02d.4</t>
  </si>
  <si>
    <t>Early Supreme Court Cases</t>
  </si>
  <si>
    <t>Students will examine Supreme Court cases, including Marbury v. Madison, McCulloch v. Maryland, and Gibbons v. Ogden, and analyze how these decisions strengthened the powers of the federal government.</t>
  </si>
  <si>
    <t>11.03a.1</t>
  </si>
  <si>
    <t>American Nationalism</t>
  </si>
  <si>
    <t>Students will examine how the Louisiana Purchase, the War of 1812, and the Monroe Doctrine strengthened nationalism.</t>
  </si>
  <si>
    <t>11.03a.2</t>
  </si>
  <si>
    <t>Market Revolution</t>
  </si>
  <si>
    <t>Students will examine the market revolution, including technological developments, the development of transportation networks, the growth of domestic industries, the increased demands for free and enslaved labor, the changing role of women, and the rise of political democracy</t>
  </si>
  <si>
    <t>11.03a.3</t>
  </si>
  <si>
    <t>President Jackson</t>
  </si>
  <si>
    <t>Students will examine Jackson’s presidency, noting the ways it strengthened presidential power yet challenged constitutional principles in the case of Worcester v. Georgia (1832), including the controversy concerning the Indian Removal Act and its implementation.</t>
  </si>
  <si>
    <t>11.03b.1</t>
  </si>
  <si>
    <t>Resolutions &amp; Nullifications</t>
  </si>
  <si>
    <t>Students will compare different perspectives on States rights by examining the Kentucky and Virginia Resolutions and the nullification crisis</t>
  </si>
  <si>
    <t>11.03b.2</t>
  </si>
  <si>
    <t>Resistance &amp; Abolitionism</t>
  </si>
  <si>
    <t>Students will investigate the development of the abolitionist movement, focusing on Nat Turner’s Rebellion, Sojourner Truth, William Lloyd Garrison (The Liberator), Frederick Douglass (The Autobiography of Frederick Douglass and The North Star), and Harriet Beecher Stowe (Uncle Tom’s Cabin).</t>
  </si>
  <si>
    <t>11.03b.3</t>
  </si>
  <si>
    <t>Early Women's Rights Movement</t>
  </si>
  <si>
    <t>Students will examine the emergence of the women’s rights movement out of the abolitionist movement, including the role of the Grimké sisters, Lucretia Mott,and Elizabeth Cady Stanton, and evaluate the demands made at the Seneca Falls Convention (1848).</t>
  </si>
  <si>
    <t>11.03b.4</t>
  </si>
  <si>
    <t>Expansion of Slavery</t>
  </si>
  <si>
    <t>Students will examine the issues surrounding the expansion of slavery into new territories, by exploring the Missouri Compromise, Manifest Destiny, Texas and the Mexican-American war, the Compromise of 1850, the Kansas-Nebraska Act, the Dred Scott decision, and John Brown’s raid.</t>
  </si>
  <si>
    <t>11.03c.1</t>
  </si>
  <si>
    <t>Union vs. Confederacy</t>
  </si>
  <si>
    <t>Students will compare the relative strengths of the Union and the Confederacy in terms of industrial capacity, transportation facilities, and military leadership, and evaluate the reasons why the North prevailed over the South and the impacts of the war.</t>
  </si>
  <si>
    <t>11.03c.2</t>
  </si>
  <si>
    <t>Federal Power: Habeas Corpus &amp; Emancipation</t>
  </si>
  <si>
    <t>Students will examine the expansion of executive and federal power as they relate to the suspension of habeas corpus within the Union and the issuance of the Emancipation Proclamation.</t>
  </si>
  <si>
    <t>11.03c.3</t>
  </si>
  <si>
    <t>Gettysburg Address</t>
  </si>
  <si>
    <t>Students will analyze the ideas expressed in the Gettysburg Address, considering its long-term effects.</t>
  </si>
  <si>
    <t>11.04a.1</t>
  </si>
  <si>
    <t>Amendments &amp; Reconstruction</t>
  </si>
  <si>
    <t>Students will examine the 13th, 14th, and 15th amendments and consider the role of Radical Republicans in Reconstruction</t>
  </si>
  <si>
    <t>11.04a.2</t>
  </si>
  <si>
    <t>Limiting of Black Rights</t>
  </si>
  <si>
    <t>Students will investigate the ways individuals, groups, and government institutions limited the rights of African Americans, including the use of Black Codes, the passage of Jim Crow laws, the Ku Klux Klan, restrictions on voting rights, and Supreme Court cases including the Civil Rights Cases (1883) and Plessy v. Ferguson (1896).</t>
  </si>
  <si>
    <t>11.04a.3</t>
  </si>
  <si>
    <t>Freedmen's Pursuit of Independence</t>
  </si>
  <si>
    <t>Students will examine the ways in which freedmen attempted to build independent lives, including the activities of the Freedmen’s Bureau, the creation of educational institutions, and political participation.</t>
  </si>
  <si>
    <t>11.04a.4</t>
  </si>
  <si>
    <t>End of Reconstruction</t>
  </si>
  <si>
    <t>Students will examine the impacts of the election of 1876 and the compromise of 1877 on African Americans.</t>
  </si>
  <si>
    <t>11.04b.1</t>
  </si>
  <si>
    <t>Exclusion of Women &amp; Struggle for Rights</t>
  </si>
  <si>
    <t>Students will examine the exclusion of women from the 14th and 15th amendments and the subsequent struggle for voting and increased property rights in the late 19th century. The students will examine the work of Susan B.Anthony.</t>
  </si>
  <si>
    <t>11.04c.1</t>
  </si>
  <si>
    <t>Federal Policies &amp; Western Expansion</t>
  </si>
  <si>
    <t>Students will examine the economic effects of the Homestead Act (1862) and the Pacific Railway Act (1862) on westward expansion.</t>
  </si>
  <si>
    <t>11.04c.2</t>
  </si>
  <si>
    <t>Western Expansion &amp; Native American Impact</t>
  </si>
  <si>
    <t>Students will examine the effect of federal policies on Native Americans, including reservation policies, the Dawes Act (1887), and forced assimilation efforts (Carlisle Indian School).</t>
  </si>
  <si>
    <t>11.04d.1</t>
  </si>
  <si>
    <t>Treatment of Mexicans &amp; Mexican Americans</t>
  </si>
  <si>
    <t>Students will analyze relevant provisions of the Treaty of Guadalupe Hidalgo as compared with the actual treatment of Mexicans and Mexican Americans in the Southwest, including California, from 1848 to 1900.</t>
  </si>
  <si>
    <t>11.04d.2</t>
  </si>
  <si>
    <t>Chinese Immigration &amp; Exclusion</t>
  </si>
  <si>
    <t>Students will examine the contributions of Chinese to the national economy and reasons for nativist opposition to their continued immigration (Chinese Exclusion Act of 1882).</t>
  </si>
  <si>
    <t>11.05a.1</t>
  </si>
  <si>
    <t>Technological Innovations</t>
  </si>
  <si>
    <t>Students will examine the technological innovations that facilitated industrialization, considering energy sources, natural resources, transportation, and communication.</t>
  </si>
  <si>
    <t>11.05a.2</t>
  </si>
  <si>
    <t>Growth of Industrial Businesses</t>
  </si>
  <si>
    <t>Students will examine the growth of industries under the leadership of businessmen such as John D. Rockefeller, Andrew Carnegie, J.P. Morgan, and Henry Ford and analyze their business practices and organizational structures.</t>
  </si>
  <si>
    <t>11.05a.3</t>
  </si>
  <si>
    <t>Regulation vs Monopolies</t>
  </si>
  <si>
    <t>Students will evaluate the effectiveness of state and federal attempts to regulate business by examining the Supreme Court decision in Wabash, St. Louis &amp; Pacific R.R. v. Illinois (1886), the Interstate Commerce Act (1887), the Sherman Antitrust Act (1890), and President Theodore Roosevelt’s trust-busting role as evidenced in Northern Securities Co. v. United States (1904).</t>
  </si>
  <si>
    <t>11.05b.1</t>
  </si>
  <si>
    <t>Urbanization &amp; Immigration</t>
  </si>
  <si>
    <t>Students will examine demographic trends associated with urbanization and immigration between 1840 and 1920, including push-pull factors regarding Irish immigration and immigration from southern and eastern Europe.</t>
  </si>
  <si>
    <t>11.05b.2</t>
  </si>
  <si>
    <t>Grange Movement &amp; Populist Party</t>
  </si>
  <si>
    <t>Students will examine problems faced by farmers between 1870 and 1900 and examine the goals and achievements of the Grange Movement and the Populist Party.</t>
  </si>
  <si>
    <t>11.05b.3</t>
  </si>
  <si>
    <t>Early Unionization</t>
  </si>
  <si>
    <t>Students will examine the attempts of workers to unionize from 1870 to 1920 in response to industrial working conditions, including the Knights of Labor, the American Federation of Labor, the American Railway Union, the International Ladies Garment Workers’ Union, and the Industrial Workers of the World, considering actions taken by the unions and the responses to these actions.</t>
  </si>
  <si>
    <t>11.05b.4</t>
  </si>
  <si>
    <t>Progressive Era</t>
  </si>
  <si>
    <t>Students will examine Progressive Era reforms, such as the 16th and 17th amendments (1913) and the establishment of the Federal Reserve System (1913).</t>
  </si>
  <si>
    <t>11.05b.5</t>
  </si>
  <si>
    <t>Women's Suffrage</t>
  </si>
  <si>
    <t>Students will examine the efforts of the women’s suffrage movement after 1900, leading to ratification of the 19th amendment(1920).</t>
  </si>
  <si>
    <t>11.05b.6</t>
  </si>
  <si>
    <t>Temperance &amp; Prohibition</t>
  </si>
  <si>
    <t>Students will trace the temperance and prohibition movements leading to the ratification of the 18th amendment (1919).</t>
  </si>
  <si>
    <t>11.05b.7</t>
  </si>
  <si>
    <t>Influential Documents of the Progressive Era</t>
  </si>
  <si>
    <t>Students will trace reform efforts by individuals and the consequences of those efforts, including:
Jane Addams and Hull House, Jacob Riis’ How the Other Half Lives, New York Governor Theodore Roosevelt and the Tenement Reform Commission, Upton Sinclair’s The Jungle and the Meat InspectionAct, Margaret Sanger and birth control, Ida Tarbell’s The History of the Standard Oil Company, Ida Wells and her writings about lynching of African Americans, Booker T. Washington’s contributions to education, including the creation of Tuskegee Institute, W. E. B. Du Bois and the founding of the National Association for the Advancement of Colored People (NAACP), the publication of The Crisis, and the Silent Protest (1917)</t>
  </si>
  <si>
    <t>11.06a.1</t>
  </si>
  <si>
    <t>Gowing Economic Interests, Foreign Involvement, &amp; Hawaii</t>
  </si>
  <si>
    <t>Students will examine factors such as the economic and strategic interests that led the United States to seek foreign markets, resources, and coaling stations, including interest in Hawaii.</t>
  </si>
  <si>
    <t>11.06a.2</t>
  </si>
  <si>
    <t>Spanish American War</t>
  </si>
  <si>
    <t>Students will investigate the causes and effects of the Spanish-American War, evaluating Spanish, Cuban, and United States interests and actions.</t>
  </si>
  <si>
    <t>11.06a.3</t>
  </si>
  <si>
    <t>Imperialism &amp; the Philippines</t>
  </si>
  <si>
    <t>Students will examine debates between anti-imperialists and imperialists surrounding ratification of the Treaty of Paris of 1898 and annexation of the Philippines.</t>
  </si>
  <si>
    <t>11.06a.4</t>
  </si>
  <si>
    <t>Imperialism in the Caribbean &amp; Latin America</t>
  </si>
  <si>
    <t>Students will investigate expanding American influence in the Caribbean and Latin America through the creation of the Panama Canal and the Roosevelt Corollary.</t>
  </si>
  <si>
    <t>11.06b.1</t>
  </si>
  <si>
    <t>President Wilson: Neutrality to Involvement</t>
  </si>
  <si>
    <t>Students will investigate the reasons for President Wilson’s shift from neutrality to involvement in World War I.</t>
  </si>
  <si>
    <t>11.06b.2</t>
  </si>
  <si>
    <t>Attempts at Peace after WWI</t>
  </si>
  <si>
    <t>Students will examine Wilson’s goals as expressed in the Fourteen Points, his role at the Versailles Peace Conference, and the compromises he was forced to make to gain approval for the League of Nations.</t>
  </si>
  <si>
    <t>11.06b.3</t>
  </si>
  <si>
    <t>Unsuccessful Ratification of the Treaty of Versailles</t>
  </si>
  <si>
    <t>Students will examine the reasons why President Wilson was unsuccessful in gaining support for Senate ratification of the Treaty of Versailles.</t>
  </si>
  <si>
    <t>11.06c.1</t>
  </si>
  <si>
    <t>Mobilization Economic Effects</t>
  </si>
  <si>
    <t>Students will investigate the effects of mobilization on the United States economy, including the role and contributions of women and African Americans in the war effort.</t>
  </si>
  <si>
    <t>11.06c.2</t>
  </si>
  <si>
    <t>Great Migration</t>
  </si>
  <si>
    <t>Students will investigate the causes and effects of the Great Migration on American society.</t>
  </si>
  <si>
    <t>11.06c.3</t>
  </si>
  <si>
    <t>Schenck v. US (1919)</t>
  </si>
  <si>
    <t>Students will examine the Supreme Court decision concerning civil liberties in Schenck v. United States (1919).</t>
  </si>
  <si>
    <t>11.06c.4</t>
  </si>
  <si>
    <t>Fear of Radicals, Xenophobia, and the Red Scare</t>
  </si>
  <si>
    <t>Students will examine the relationship between postwar recession, fear of radicals, xenophobia, and the Red Scare (1919–1921).</t>
  </si>
  <si>
    <t>11.07a.1</t>
  </si>
  <si>
    <t>Roaring Twenties</t>
  </si>
  <si>
    <t>Students will examine the cultural trends associated with the Roaring Twenties, including women’s efforts at self-expression and their changing roles.</t>
  </si>
  <si>
    <t>11.07a.2</t>
  </si>
  <si>
    <t>Prohibition</t>
  </si>
  <si>
    <t>Students will examine the impact of Prohibition on American society.</t>
  </si>
  <si>
    <t>11.07a.3</t>
  </si>
  <si>
    <t>Immigration in the 1920's</t>
  </si>
  <si>
    <t>Students will examine change in immigration policy as reflected by the passage of the Quota Acts of the 1920s.</t>
  </si>
  <si>
    <t>11.07a.4</t>
  </si>
  <si>
    <t>Resurgence of the KKK</t>
  </si>
  <si>
    <t>Students will examine the reasons for the resurgence of the Ku Klux Klan.</t>
  </si>
  <si>
    <t>11.07a.5</t>
  </si>
  <si>
    <t>Scopes Trial</t>
  </si>
  <si>
    <t>Students will examine the key issues related to the Scopes trial.</t>
  </si>
  <si>
    <t>11.07b.1</t>
  </si>
  <si>
    <t>Harlem Renaissance</t>
  </si>
  <si>
    <t>Students will examine literary and artistic contributions associated with the Harlem Renaissance and its impact on national culture.</t>
  </si>
  <si>
    <t>11.07b.2</t>
  </si>
  <si>
    <t>Black Pride, Nationalism &amp; Marcus Garvey</t>
  </si>
  <si>
    <t>Students will examine the rise of African American racial pride and Black Nationalism, including the role of Marcus Garvey.</t>
  </si>
  <si>
    <t>11.07c.1</t>
  </si>
  <si>
    <t>Economic Prosperity</t>
  </si>
  <si>
    <t>Students will examine the reasons for economic prosperity during the 1920s.</t>
  </si>
  <si>
    <t>11.07c.2</t>
  </si>
  <si>
    <t>The Great Depression</t>
  </si>
  <si>
    <t>Students will examine the underlying weaknesses of the economy that led to the stock market crash of 1929 and the Great Depression.</t>
  </si>
  <si>
    <t>11.07c.3</t>
  </si>
  <si>
    <t>Hoover vs. FDR</t>
  </si>
  <si>
    <t>Students will compare and contrast the responses of Presidents Herbert Hoover and Franklin D. Roosevelt to the Great Depression.</t>
  </si>
  <si>
    <t>11.07c.4</t>
  </si>
  <si>
    <t>Dust Bowl</t>
  </si>
  <si>
    <t>Students will examine the human and environmental causes of the Dust Bowl and its effects.</t>
  </si>
  <si>
    <t>11.07c.5</t>
  </si>
  <si>
    <t>New Deal</t>
  </si>
  <si>
    <t>Students will evaluate President Roosevelt’s leadership during the Depression, including key legislative initiatives of the New Deal, expansion of federal government power, and the constitutional challenge represented by his court packing effort.</t>
  </si>
  <si>
    <t>11.08a.1</t>
  </si>
  <si>
    <t>Neutrality Acts</t>
  </si>
  <si>
    <t>Students will examine reasons for the passage of the Neutrality Acts (1935–1937) and consider the national debate as a shift to pro-Allied policies, including “cash and carry” and Lend-Lease.</t>
  </si>
  <si>
    <t>11.08a.2</t>
  </si>
  <si>
    <t>Negotiations with Japan</t>
  </si>
  <si>
    <t>Students will trace ongoing negotiations with Japan and United States efforts to stop Japanese aggression without resorting to war and without appeasing Japanese demands.</t>
  </si>
  <si>
    <t>11.08a.3</t>
  </si>
  <si>
    <t>Pearl Harbor</t>
  </si>
  <si>
    <t>Students will examine the impact of the Japanese attack on Pearl Harbor.</t>
  </si>
  <si>
    <t>11.08a.4</t>
  </si>
  <si>
    <t>FDR &amp; the Grand Alliance</t>
  </si>
  <si>
    <t>Students will examine President Roosevelt’s leadership during World War II, including his role as commander in chief and his diplomatic efforts to maintain the Grand Alliance.</t>
  </si>
  <si>
    <t>11.08a.5</t>
  </si>
  <si>
    <t>Technological Advancements &amp; the Atomic Bomb</t>
  </si>
  <si>
    <t>Students will examine how technological advancements altered the nature of war and the extent of its devastation, including the use of airpower over civilian targets and President Truman’s decision to use the atomic bomb against the Japanese cities of Hiroshima and Nagasaki.</t>
  </si>
  <si>
    <t>11.08b.1</t>
  </si>
  <si>
    <t>Mobilizations</t>
  </si>
  <si>
    <t>Students will examine United States mobilization efforts and wartime production and their effects on unemployment rates.</t>
  </si>
  <si>
    <t>11.08b.2</t>
  </si>
  <si>
    <t>Japanese Internment</t>
  </si>
  <si>
    <t>Students will examine the reasons for President Roosevelt’s executive order for Japanese removal, the impact of removal on Japanese people living in the United States, and the Supreme Court’s decision in Korematsu v. United States(1944).</t>
  </si>
  <si>
    <t>11.08b.3</t>
  </si>
  <si>
    <t>Women &amp; BIPOC Contribution to WW2</t>
  </si>
  <si>
    <t>Students will examine the contributions of women, African Americans, Native Americans, Asian Americans, Mexican workers, and Mexican Americans to the war effort, as well as the discrimination that they experienced in the military and workforce.</t>
  </si>
  <si>
    <t>11.08c.1</t>
  </si>
  <si>
    <t>Holocaust</t>
  </si>
  <si>
    <t>Students will investigate American officials' knowledge of the Holocaust, evaluating the degree to which intervention may have been possible.</t>
  </si>
  <si>
    <t>11.08c.2</t>
  </si>
  <si>
    <t>Nuremberg War Crime Trials</t>
  </si>
  <si>
    <t>Students will examine the contributions of Supreme Court Justice Robert Jackson and his arguments made as Chief Prosecutor for the United States at the Nuremberg War Crimes trials.</t>
  </si>
  <si>
    <t>11.08c.3</t>
  </si>
  <si>
    <t>Eleanor Roosevelt &amp; UN's Universal Declaration of Human Rights</t>
  </si>
  <si>
    <t>Students will investigate the role of Eleanor Roosevelt in creating the United Nations Universal Declaration of Human Rights.</t>
  </si>
  <si>
    <t>11.09a.1</t>
  </si>
  <si>
    <t>US Decisions for post-war Europe</t>
  </si>
  <si>
    <t>Students will trace key decisions made at wartime conferences as they applied to Poland, Eastern Europe, and postwar Germany, and note how continuing disagreements over these decisions helped bring about the start of the Cold War.</t>
  </si>
  <si>
    <t>11.09a.2</t>
  </si>
  <si>
    <t>Containment Policies</t>
  </si>
  <si>
    <t>Students will trace United States containment policies, including the Truman Doctrine (1947), the Marshall Plan (1948), and the North Atlantic Treaty Organization (1949), and actions taken during the Berlin blockade, and consider how they represent a shift in American foreign policy.</t>
  </si>
  <si>
    <t>11.09a.3</t>
  </si>
  <si>
    <t>McCarthyism</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</si>
  <si>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</si>
  <si>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</si>
  <si>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</si>
  <si>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</si>
  <si>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</si>
  <si>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</si>
  <si>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</si>
  <si>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</si>
  <si>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</si>
  <si>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</si>
  <si>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</si>
  <si>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</si>
  <si>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</si>
  <si>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Nuclear Arms Race</t>
  </si>
  <si>
    <t>11.09b.1</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</si>
  <si>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</si>
  <si>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</si>
  <si>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</si>
  <si>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</si>
  <si>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</si>
  <si>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</si>
  <si>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</si>
  <si>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</si>
  <si>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</si>
  <si>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</si>
  <si>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</si>
  <si>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</si>
  <si>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</si>
  <si>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</si>
  <si>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</si>
  <si>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</si>
  <si>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</si>
  <si>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</si>
  <si>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</si>
  <si>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</si>
  <si>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</si>
  <si>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</si>
  <si>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</si>
  <si>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</si>
  <si>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</si>
  <si>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</si>
  <si>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</si>
  <si>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</si>
  <si>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</si>
  <si>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</si>
  <si>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</si>
  <si>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</si>
  <si>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</si>
  <si>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</si>
  <si>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</si>
  <si>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</si>
  <si>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</si>
  <si>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</si>
  <si>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</si>
  <si>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</si>
  <si>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</si>
  <si>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</si>
  <si>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</si>
  <si>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</si>
  <si>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</si>
  <si>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</si>
  <si>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</si>
  <si>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</si>
  <si>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</si>
  <si>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</si>
  <si>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</si>
  <si>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</si>
  <si>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</si>
  <si>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</si>
  <si>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</si>
  <si>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</si>
  <si>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</si>
  <si>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</si>
  <si>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</si>
  <si>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</si>
  <si>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</si>
  <si>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</si>
  <si>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</si>
  <si>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</si>
  <si>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Part</t>
  </si>
  <si>
    <t>CRQ</t>
  </si>
  <si>
    <t>EIE</t>
  </si>
  <si>
    <t>34a</t>
  </si>
  <si>
    <t>34b</t>
  </si>
  <si>
    <t>Visual-based</t>
  </si>
  <si>
    <t>Passage on the Kingdom of Benin</t>
  </si>
  <si>
    <t>Which claim about Benin is best supported by this passage?</t>
  </si>
  <si>
    <t>Its artisans produced goods for domestic use only</t>
  </si>
  <si>
    <t>It was fighting a war with Portugal</t>
  </si>
  <si>
    <t>Its wealth came from plantation agriculture</t>
  </si>
  <si>
    <t>It was engaged in vast trade networks</t>
  </si>
  <si>
    <t>Text-based</t>
  </si>
  <si>
    <t>Secondary</t>
  </si>
  <si>
    <t>No</t>
  </si>
  <si>
    <t>Which claim is best supported by this passage?</t>
  </si>
  <si>
    <t>Passage on Mughal religious intolerance</t>
  </si>
  <si>
    <t>The threat of the British unified Hindus and Muslims in the 1700s</t>
  </si>
  <si>
    <t>The military campaigns of Aurangzeb led to prosperity for Muslims in India</t>
  </si>
  <si>
    <t>Aurangzeb's rule was characterized by intolerance and oppression of Hindus</t>
  </si>
  <si>
    <t>The end of the Mughal Dynasty was marked by advances in learning and scholarship</t>
  </si>
  <si>
    <t>Based on this passage, which situation was a result of Aurangzeb's actions in India?</t>
  </si>
  <si>
    <t>The British seized the opportunity to increase their power in Mughal India</t>
  </si>
  <si>
    <t>The Puritans of India rebelled against the Muslims</t>
  </si>
  <si>
    <t>The Mughal rulers limited European trade to a single port</t>
  </si>
  <si>
    <t>The Mughal dynasty remained strong in India</t>
  </si>
  <si>
    <t>Passage on John Locke</t>
  </si>
  <si>
    <t>This passage would be most useful to a person attempting to prove the</t>
  </si>
  <si>
    <t>importance of Enlightenment thought in supporting the divine right of kings</t>
  </si>
  <si>
    <t>effect of Enlightenment ideas on future political and economic movements</t>
  </si>
  <si>
    <t>influence of the Enlightenment on the strengthening of absolutism</t>
  </si>
  <si>
    <t>rejection of Enlightenment ideas such as natural rights</t>
  </si>
  <si>
    <t>Passage on Tokugawa Japan</t>
  </si>
  <si>
    <t>One major change in Japan that resulted from the events described in this passage was</t>
  </si>
  <si>
    <t>This passage is most useful for studying</t>
  </si>
  <si>
    <t>Scale Scores to Performance Levels</t>
  </si>
  <si>
    <r>
      <rPr>
        <b/>
        <sz val="12"/>
        <color theme="1"/>
        <rFont val="Aptos Display"/>
        <scheme val="major"/>
      </rPr>
      <t>Level 1</t>
    </r>
    <r>
      <rPr>
        <sz val="12"/>
        <color theme="1"/>
        <rFont val="Aptos Display"/>
        <scheme val="major"/>
      </rPr>
      <t>:  0 - 54</t>
    </r>
  </si>
  <si>
    <r>
      <rPr>
        <b/>
        <sz val="12"/>
        <color theme="1"/>
        <rFont val="Aptos Display"/>
        <scheme val="major"/>
      </rPr>
      <t>Level 2</t>
    </r>
    <r>
      <rPr>
        <sz val="12"/>
        <color theme="1"/>
        <rFont val="Aptos Display"/>
        <scheme val="major"/>
      </rPr>
      <t>:  55 - 64</t>
    </r>
  </si>
  <si>
    <r>
      <rPr>
        <b/>
        <sz val="12"/>
        <color theme="1"/>
        <rFont val="Aptos Display"/>
        <scheme val="major"/>
      </rPr>
      <t>Level 3</t>
    </r>
    <r>
      <rPr>
        <sz val="12"/>
        <color theme="1"/>
        <rFont val="Aptos Display"/>
        <scheme val="major"/>
      </rPr>
      <t>:  65 - 78</t>
    </r>
  </si>
  <si>
    <r>
      <rPr>
        <b/>
        <sz val="12"/>
        <color theme="1"/>
        <rFont val="Aptos Display"/>
        <scheme val="major"/>
      </rPr>
      <t>Level 4</t>
    </r>
    <r>
      <rPr>
        <sz val="12"/>
        <color theme="1"/>
        <rFont val="Aptos Display"/>
        <scheme val="major"/>
      </rPr>
      <t>:  79 - 84</t>
    </r>
  </si>
  <si>
    <r>
      <rPr>
        <b/>
        <sz val="12"/>
        <color theme="1"/>
        <rFont val="Aptos Display"/>
        <scheme val="major"/>
      </rPr>
      <t>Level 5</t>
    </r>
    <r>
      <rPr>
        <sz val="12"/>
        <color theme="1"/>
        <rFont val="Aptos Display"/>
        <scheme val="major"/>
      </rPr>
      <t>:  85 - 100</t>
    </r>
  </si>
  <si>
    <t>the development of equal treaties</t>
  </si>
  <si>
    <t>an increase in the efforts to modernize</t>
  </si>
  <si>
    <t>an increase in the power of the samurai class</t>
  </si>
  <si>
    <t>the strengthening of isolationist policies</t>
  </si>
  <si>
    <t>ways to end peasant protests</t>
  </si>
  <si>
    <t>the reasons why the Shogunate gained power</t>
  </si>
  <si>
    <t>ways the Qing conducted military campaigns</t>
  </si>
  <si>
    <t>the impact of Western imperialism</t>
  </si>
  <si>
    <t>Who was most harmed by the circumstances described in this speech?</t>
  </si>
  <si>
    <t>government leaders</t>
  </si>
  <si>
    <t>merchant sailors</t>
  </si>
  <si>
    <t>tenant farmers</t>
  </si>
  <si>
    <t>business owners</t>
  </si>
  <si>
    <t>The situation described in this speech resulted in</t>
  </si>
  <si>
    <t>mass emigration</t>
  </si>
  <si>
    <t>a unified global response</t>
  </si>
  <si>
    <t>a shift to communal farming</t>
  </si>
  <si>
    <t>implementation of major political reforms</t>
  </si>
  <si>
    <t>Which key event influenced the creation of this image?</t>
  </si>
  <si>
    <t>the signing of a series of unequal treaties between China and Western powers</t>
  </si>
  <si>
    <t>the creation of a multinational intervention to protect Chinese interests</t>
  </si>
  <si>
    <t>the founding of the Republic of China with Sun Yixian [Sun Yat-sen] as president</t>
  </si>
  <si>
    <t>The establishment of an alliance between China, the United States, and Britain</t>
  </si>
  <si>
    <t>What do the animals surrounding China symbolize in this cartoon?</t>
  </si>
  <si>
    <t>nations seeking economic advantages</t>
  </si>
  <si>
    <t>allies offering aid to the Qing dynasty</t>
  </si>
  <si>
    <t>rival countries during World War II</t>
  </si>
  <si>
    <t>opium-importing countries</t>
  </si>
  <si>
    <t>"The Real Trouble Will Come With the Wake" cartoon</t>
  </si>
  <si>
    <t>For which purpose was this document written?</t>
  </si>
  <si>
    <t>to grant independence to former German overseas possessions</t>
  </si>
  <si>
    <t>to support the rebuilding of the German military</t>
  </si>
  <si>
    <t>to form a permanent alliance with Germany</t>
  </si>
  <si>
    <t>to punish Germany for its role in World War I</t>
  </si>
  <si>
    <t>Which situation was the result of these articles?</t>
  </si>
  <si>
    <t>Passage on Gandhi</t>
  </si>
  <si>
    <t>The actions taken by Gandhi described in this passage are most closely associated with</t>
  </si>
  <si>
    <t>civil disobedience</t>
  </si>
  <si>
    <t>nonalignment</t>
  </si>
  <si>
    <t>globalization</t>
  </si>
  <si>
    <t>religious toleration</t>
  </si>
  <si>
    <t>This passage is most useful for understanding</t>
  </si>
  <si>
    <t>tensions between India and Pakistan</t>
  </si>
  <si>
    <t>causes of the Sepoy Rebellion</t>
  </si>
  <si>
    <t>impact India's caste system had on daily life in British India</t>
  </si>
  <si>
    <t>ways nationalists challenged imperialism</t>
  </si>
  <si>
    <t>"Stepping Stones to Glory" cartoon</t>
  </si>
  <si>
    <t>What action is most responsible for the situation depicted in this cartoon?</t>
  </si>
  <si>
    <t>the Soviet takeover of Western Europe</t>
  </si>
  <si>
    <t>forced famine in Ukraine</t>
  </si>
  <si>
    <t>appeasement by European leaders</t>
  </si>
  <si>
    <t>the elimination of the Triple Alliance</t>
  </si>
  <si>
    <t>One result of the events depicted in this cartoon was the</t>
  </si>
  <si>
    <t>Berlin Conference</t>
  </si>
  <si>
    <t>Paris Peace Conference</t>
  </si>
  <si>
    <t>Great Depression</t>
  </si>
  <si>
    <t>invasion of Poland</t>
  </si>
  <si>
    <t>Charter of the International Military Tribunal</t>
  </si>
  <si>
    <t>Which organization is most responsible for addressing the principles outlined in this document?</t>
  </si>
  <si>
    <t>Warsaw Pact</t>
  </si>
  <si>
    <t>United Nations</t>
  </si>
  <si>
    <t>World Trade Organization</t>
  </si>
  <si>
    <t>International Monetary Fund</t>
  </si>
  <si>
    <t>Passage on West Germany</t>
  </si>
  <si>
    <t>Geographic location played a strategic role during the Cold War.</t>
  </si>
  <si>
    <t>Western allies welcomed the communist influence in Europe.</t>
  </si>
  <si>
    <t>A strong West Germany offered no advantages to its allies.</t>
  </si>
  <si>
    <t>People in France demanded the right to vote in democratic elections.</t>
  </si>
  <si>
    <t>Resentment led to the rise of the Nazi Party.</t>
  </si>
  <si>
    <t>Coal mines were given to Germany to pay for damages.</t>
  </si>
  <si>
    <t>Allied governments were held responsible for World War I.</t>
  </si>
  <si>
    <t>Which event led to the situation described in this passage?</t>
  </si>
  <si>
    <t>the signing of the Nazi-Soviet Pact</t>
  </si>
  <si>
    <t>the Soviet expansion into Eastern Europe</t>
  </si>
  <si>
    <t>the Cuban Missile Crisis</t>
  </si>
  <si>
    <t>the collapse of the Berlin Wall</t>
  </si>
  <si>
    <t>Passage on food in India</t>
  </si>
  <si>
    <t>The developments described in this passage are most related to the</t>
  </si>
  <si>
    <t>creation of the World Bank</t>
  </si>
  <si>
    <t>signing of the Kyoto Protocol</t>
  </si>
  <si>
    <t>impact of the Green Revolution</t>
  </si>
  <si>
    <t>establishment of the League of Nations</t>
  </si>
  <si>
    <t>Which situation occurred as a result of the developments described in this passage?</t>
  </si>
  <si>
    <t>Economic growth in India slowed down and eventually leveled off.</t>
  </si>
  <si>
    <t>India was able to increase crop yields in order to feed its people.</t>
  </si>
  <si>
    <t>Most people moved to the rural parts of India to take up farming.</t>
  </si>
  <si>
    <t>Indians began to export wheat to Mexico and other Latin American nations.</t>
  </si>
  <si>
    <t>Timeline of Tiananmen Square Protests</t>
  </si>
  <si>
    <t>The Treaty of Versailles</t>
  </si>
  <si>
    <t>Which response was the result of the actions taken in this timeline?</t>
  </si>
  <si>
    <t>The Chinese government mobilized the military to suppress the protests.</t>
  </si>
  <si>
    <t>The Chinese Civil War ended with the defeat of the nationalists.</t>
  </si>
  <si>
    <t>The Soviet Union and China were allied against the United States during the Cold War.</t>
  </si>
  <si>
    <t>The majority of Chinese universities were closed by the end of 1989.</t>
  </si>
  <si>
    <t>The best use for this timeline would be to</t>
  </si>
  <si>
    <t>determine how many students were attending Chinese universities</t>
  </si>
  <si>
    <t>explain the different policies of Chinese leaders Mao Zedong and Deng Xiaoping</t>
  </si>
  <si>
    <t>state the grievances of protestors against the Chinese government</t>
  </si>
  <si>
    <t>recount the impacts of industrialization on Chinese workers</t>
  </si>
  <si>
    <t>Which claim is best supported by this cartoon?</t>
  </si>
  <si>
    <t>UN reaction to genocide cartoon</t>
  </si>
  <si>
    <t>Human rights violations have not occurred in Rwanda or Bosnia.</t>
  </si>
  <si>
    <t>The United Nations has been unable to end genocide.</t>
  </si>
  <si>
    <t>Crimes against humanity no longer occur in Africa.</t>
  </si>
  <si>
    <t>The United Nations has been effective as peacekeepers in various regions.</t>
  </si>
  <si>
    <t>Government monitoring of social media reduced its usefulness.</t>
  </si>
  <si>
    <t>Twitter was the most important social media platform for revolutionaries.</t>
  </si>
  <si>
    <t>YouTube content had little impact on inspiring political movements.</t>
  </si>
  <si>
    <t>Use of social media helped raise support for the revolutions.</t>
  </si>
  <si>
    <t>Disagreement with government policy is valued and encouraged in Turkey.</t>
  </si>
  <si>
    <t>Long-term one-person rule has resulted in equality in Turkish society.</t>
  </si>
  <si>
    <t>The Turkish government emphasized economic development over protection of human rights.</t>
  </si>
  <si>
    <t>By following free market policies, Turkey has been able to increase its population.</t>
  </si>
  <si>
    <t>According to this passage, which evidence best supports the claim made by Khaled Hosseini about Afghanistan?</t>
  </si>
  <si>
    <t>Democratic reforms have not lasted in Afghanistan.</t>
  </si>
  <si>
    <t>The Taliban promised to be more tolerant of women's education.</t>
  </si>
  <si>
    <t>Western nations prevented a Taliban takeover.</t>
  </si>
  <si>
    <t>Decades of peace changed little in Afghan cities.</t>
  </si>
  <si>
    <t>Based on this passage, which statement described Khaled Hosseini's point of view?</t>
  </si>
  <si>
    <t>Years of working to implement democracy in Afghanistan have been reversed quickly.</t>
  </si>
  <si>
    <t>The Afghan government needed minimal outside support to function effectively.</t>
  </si>
  <si>
    <t>The majority of Afghans do not want to change their political institutions.</t>
  </si>
  <si>
    <t>NATO partners did not do enough to root out corruption in the elected government.</t>
  </si>
  <si>
    <t>Passage on British decolonization of India</t>
  </si>
  <si>
    <t>Explain the historical circumstances that led to the changes described in this passage.</t>
  </si>
  <si>
    <t>Photograph of the Partition</t>
  </si>
  <si>
    <t>Explain how audience affects the way that Margaret Bourke-White present the situation of Muslims in New Delhi, based on this photograph.</t>
  </si>
  <si>
    <t>—</t>
  </si>
  <si>
    <t>Identify and explain a cause-and-effect relationship between the events and/or ideas found in these documents. Be sure to use evidence from both Documents 1 and 2 in your response.</t>
  </si>
  <si>
    <t>Explain the historical circumstances that led to the changes described in this excerpt.</t>
  </si>
  <si>
    <t>Passage on the invention of the power loom</t>
  </si>
  <si>
    <t>Factories Inquiry Commission report</t>
  </si>
  <si>
    <t>Explain the purpose of the 1833 Factory Inquiry Commission's report based on this excerpt.</t>
  </si>
  <si>
    <t>Identify a turning point directly associated with the historical developments found in both Documents 1 and 2.</t>
  </si>
  <si>
    <t>Explain how the turning point you identified created significant change, using evidence from both Document 1 and 2.</t>
  </si>
  <si>
    <t>Passage on the Napoleonic Wars</t>
  </si>
  <si>
    <t>Passage on World War I</t>
  </si>
  <si>
    <t>Photographs of Hiroshima Before and After the Atomic Bombing</t>
  </si>
  <si>
    <t>Passage on Agent Orange</t>
  </si>
  <si>
    <t>Passage on ISIS's environmental damage</t>
  </si>
  <si>
    <t>Part II</t>
  </si>
  <si>
    <t>Part III</t>
  </si>
  <si>
    <t>Standard</t>
  </si>
  <si>
    <t>A. Gathering, Interpreting, and Using Evidence</t>
  </si>
  <si>
    <t>B. Chronological Reasoning and Causation</t>
  </si>
  <si>
    <t>C. Comparison and Contextualization</t>
  </si>
  <si>
    <t>D. Geographic Reasoning</t>
  </si>
  <si>
    <t>E. Economics and Economics Systems</t>
  </si>
  <si>
    <t>F. Civic Participation</t>
  </si>
  <si>
    <t>Specification</t>
  </si>
  <si>
    <t>Define and frame questions about events and the world in which we live, form hypotheses as potential answers to these questions, use evidence to answer these questions, and consider and analyze counter-hypotheses.</t>
  </si>
  <si>
    <t>Identify, describe, and evaluate evidence about events from diverse sources (including written documents, works of art, photographs, charts and graphs, artifacts, oral traditions, and other primary and secondary sources).</t>
  </si>
  <si>
    <t>Analyze evidence in terms of content, authorship, point of view, bias, purpose, format, and audience.</t>
  </si>
  <si>
    <t>Describe, analyze, and evaluate arguments of others.</t>
  </si>
  <si>
    <t>Make inferences and draw conclusions from evidence.</t>
  </si>
  <si>
    <t>Deconstruct and construct plausible and persuasive arguments, using evidence.</t>
  </si>
  <si>
    <t>Create meaningful and persuasive understandings of the past by fusing disparate and relevant evidence from primary and secondary sources and drawing connections to the present.</t>
  </si>
  <si>
    <t>Articulate how events are related chronologically to one another in time and explain the ways in which earlier ideas and events may influence subsequent ideas and events.</t>
  </si>
  <si>
    <t>Identify causes and effects using examples from different time periods and courses of study across several grade levels.</t>
  </si>
  <si>
    <t>Identify, analyze, and evaluate the relationship between multiple causes and effects</t>
  </si>
  <si>
    <t>Distinguish between long-term and immediate causes and multiple effects (time, continuity, and change).</t>
  </si>
  <si>
    <t>Recognize, analyze, and evaluate dynamics of historical continuity and change over periods of time and investigate factors that caused those changes over time.</t>
  </si>
  <si>
    <t>Recognize that choice of specific periodization favors or advantages one narrative, region, or group over another narrative, region, or group.</t>
  </si>
  <si>
    <t>Relate patterns of continuity and change to larger historical processes and themes.</t>
  </si>
  <si>
    <t>Describe, analyze, evaluate, and construct models of historical periodization that historians use to categorize events.</t>
  </si>
  <si>
    <t>Identify similarities and differences between geographic regions across historical time periods, and relate differences in geography to different historical events and outcomes.</t>
  </si>
  <si>
    <t>Identify, compare, and evaluate multiple perspectives on a given historical experience.</t>
  </si>
  <si>
    <t>Identify and compare similarities and differences between historical developments over time and in different geographical and cultural contexts.</t>
  </si>
  <si>
    <t>Describe, compare, and evaluate multiple historical developments (within societies; across and between societies; in various chronological and geographical contexts).</t>
  </si>
  <si>
    <t>Recognize the relationship between geography, economics, and history as a context for events and movements and as a matrix of time and place.</t>
  </si>
  <si>
    <t>Connect historical developments to specific circumstances of time and place and to broader regional, national, or global processes and draw connections to the present (where appropriate).</t>
  </si>
  <si>
    <t>Ask geographic questions about where places are located, why their locations are important, and how their locations are related to the locations of other places and people.</t>
  </si>
  <si>
    <t>Identify, describe, and evaluate the relationships between people, places, regions, and environments by using geographic tools to place them in a spatial context.</t>
  </si>
  <si>
    <t>Identify, analyze, and evaluate the relationship between the environment and human activities, how the physical environment is modified by human activities, and how human activities are also influenced by Earth’s physical features and processes.</t>
  </si>
  <si>
    <t>Recognize and interpret (at different scales) the relationships between patterns and processes.</t>
  </si>
  <si>
    <t>Recognize and analyze how place and region influence the social, cultural, and economic characteristics of civilizations.</t>
  </si>
  <si>
    <t>Characterize and analyze changing connections between places and regions.</t>
  </si>
  <si>
    <t>Use marginal benefits and marginal costs to construct an argument for or against an approach or solution to an economic issue.</t>
  </si>
  <si>
    <t>Analyze the ways in which incentives influence what is produced and distributed in a market system.</t>
  </si>
  <si>
    <t>Evaluate the extent to which competition between sellers and between buyers exists in specific markets.</t>
  </si>
  <si>
    <t>Describe concepts of property rights and rule of law as they apply to a market economy.</t>
  </si>
  <si>
    <t>Use economic indicators to analyze the current and future state of the economy.</t>
  </si>
  <si>
    <t>Analyze government economic policies and the effects on the national and global economy.</t>
  </si>
  <si>
    <t>Demonstrate respect for the rights of others in discussions and classroom debates; respectfully disagree with other viewpoints and provide evidence for a counter-argument.</t>
  </si>
  <si>
    <t>Participate in activities that focus on a classroom, school, community, state, or national issue or problem.</t>
  </si>
  <si>
    <t>Explain differing philosophies of social and political participation and the role of the individual leading to group-driven philosophies.</t>
  </si>
  <si>
    <t>Identify, describe, and contrast the roles of the individual in opportunities for social and political participation in different societies.</t>
  </si>
  <si>
    <t>Participate in persuading, debating, negotiating, and compromising in the resolution of conflicts and differences.</t>
  </si>
  <si>
    <t>Identify situations in which social actions are required and determine an appropriate course of action.</t>
  </si>
  <si>
    <t>Work to influence those in positions of power to strive for extensions of freedom, social justice, and human rights.</t>
  </si>
  <si>
    <t>Fulfill social and political responsibilities associated with citizenship in a democratic society and interdependent global community by developing awareness of and/or engaging in the political process.</t>
  </si>
  <si>
    <t>Concept</t>
  </si>
  <si>
    <t>A.1: Framing Questions &amp; Hypotheses</t>
  </si>
  <si>
    <t>A.2: Evaluating Sources</t>
  </si>
  <si>
    <t>A.3: Sourcing &amp; Point of View</t>
  </si>
  <si>
    <t>A.4: Evaluating Arguments</t>
  </si>
  <si>
    <t>A.5: Inferences &amp; Conclusions</t>
  </si>
  <si>
    <t>A.6: Constructing Arguments</t>
  </si>
  <si>
    <t>A.7: Synthesizing Evidence</t>
  </si>
  <si>
    <t>B.1: Chronological Relationships</t>
  </si>
  <si>
    <t>B.2: Cause &amp; Effect</t>
  </si>
  <si>
    <t>B.3: Multiple Causes &amp; Effects</t>
  </si>
  <si>
    <t>B.4: Long-Term vs. Immediate Causes</t>
  </si>
  <si>
    <t>B.5: Continuity &amp; Change</t>
  </si>
  <si>
    <t>B.6: Periodization &amp; Perspective</t>
  </si>
  <si>
    <t>B.7: Patterns &amp; Historical Themes</t>
  </si>
  <si>
    <t>B.8: Models of Periodization</t>
  </si>
  <si>
    <t>C.1: Comparing Regions</t>
  </si>
  <si>
    <t>C.2: Multiple Perspectives</t>
  </si>
  <si>
    <t>C.3: Comparing Developments</t>
  </si>
  <si>
    <t>C.4: Comparing Societies</t>
  </si>
  <si>
    <t>C.5: Geography, Economics &amp; History</t>
  </si>
  <si>
    <t>C.6: Historical Context</t>
  </si>
  <si>
    <t>D.1: Asking Geographic Questions</t>
  </si>
  <si>
    <t>D.2: Spatial Relationships</t>
  </si>
  <si>
    <t>D.3: Humans &amp; the Environment</t>
  </si>
  <si>
    <t>D.4: Patterns &amp; Processes</t>
  </si>
  <si>
    <t>D.5: Place &amp; Regional Influence</t>
  </si>
  <si>
    <t>D.6: Connections Between Regions</t>
  </si>
  <si>
    <t>E.1: Marginal Benefits &amp; Costs</t>
  </si>
  <si>
    <t>E.2: Incentives in Markets</t>
  </si>
  <si>
    <t>E.3: Market Competition</t>
  </si>
  <si>
    <t>E.4: Property Rights &amp; Rule of Law</t>
  </si>
  <si>
    <t>E.5: Economic Indicators</t>
  </si>
  <si>
    <t>E.6: Government Economic Policy</t>
  </si>
  <si>
    <t>F.1: Respectful Civil Discourse</t>
  </si>
  <si>
    <t>F.2: Civic Engagement</t>
  </si>
  <si>
    <t>F.3: Philosophies of Participation</t>
  </si>
  <si>
    <t>F.4: Individual Civic Roles</t>
  </si>
  <si>
    <t>F.5: Negotiation &amp; Compromise</t>
  </si>
  <si>
    <t>F.6: Identifying Need for Action</t>
  </si>
  <si>
    <t>F.7: Advocating for Rights</t>
  </si>
  <si>
    <t>F.8: Civic Responsibility</t>
  </si>
  <si>
    <t>Option_1</t>
  </si>
  <si>
    <t>Option_2</t>
  </si>
  <si>
    <t>Option_3</t>
  </si>
  <si>
    <t>Option_4</t>
  </si>
  <si>
    <t>Answer</t>
  </si>
  <si>
    <t>Skill_standard</t>
  </si>
  <si>
    <t>Content_specification</t>
  </si>
  <si>
    <t>Content_standard</t>
  </si>
  <si>
    <t>Queen Victoria, Speech to Parliament</t>
  </si>
  <si>
    <t>Article on Taliban Afghanistan</t>
  </si>
  <si>
    <t>Article on the Arab Spring</t>
  </si>
  <si>
    <t>Article on Erdogan's Turkey</t>
  </si>
  <si>
    <t>Pt_biserial</t>
  </si>
  <si>
    <t>Economic considerations played no role in European politics.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</si>
</sst>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
  </numFmts>
  <fonts count="9">
    <font>
      <sz val="12"/>
      <color theme="1"/>
      <name val="Aptos Narrow"/>
      <family val="2"/>
      <scheme val="minor"/>
    </font>
    <font>
      <sz val="8"/>
      <name val="Aptos Narrow"/>
      <family val="2"/>
      <scheme val="minor"/>
    </font>
    <font>
      <b/>
      <sz val="12"/>
      <color theme="1"/>
      <name val="Aptos Narrow"/>
      <scheme val="minor"/>
    </font>
    <font>
      <sz val="12"/>
      <color rgb="FF2A3F54"/>
      <name val="Aptos Narrow"/>
      <family val="2"/>
      <scheme val="minor"/>
    </font>
    <font>
      <sz val="12"/>
      <name val="Aptos Narrow"/>
      <scheme val="minor"/>
    </font>
    <font>
      <b/>
      <sz val="12"/>
      <color theme="1"/>
      <name val="Aptos Display"/>
      <scheme val="major"/>
    </font>
    <font>
      <sz val="12"/>
      <color theme="1"/>
      <name val="Aptos Display"/>
      <scheme val="major"/>
    </font>
    <font>
      <sz val="10"/>
      <color rgb="FF2A3F54"/>
      <name val="Aptos Narrow"/>
      <family val="2"/>
      <scheme val="minor"/>
    </font>
    <font>
      <sz val="12"/>
      <color theme="1"/>
      <name val="Aptos Narrow"/>
      <scheme val="minor"/>
    </font>
  </fonts>
  <fills count="13">
    <fill>
      <patternFill patternType="none"/>
    </fill>
    <fill>
      <patternFill patternType="gray125"/>
    </fill>
    <fill>
      <patternFill patternType="solid">
        <fgColor rgb="FFFFF2CC"/>
        <bgColor indexed="64"/>
      </patternFill>
    </fill>
    <fill>
      <patternFill patternType="solid">
        <fgColor rgb="FFBDD7EE"/>
        <bgColor indexed="64"/>
      </patternFill>
    </fill>
    <fill>
      <patternFill patternType="solid">
        <fgColor rgb="FFA9D08E"/>
        <bgColor indexed="64"/>
      </patternFill>
    </fill>
    <fill>
      <patternFill patternType="solid">
        <fgColor rgb="FFF8D2F8"/>
        <bgColor indexed="64"/>
      </patternFill>
    </fill>
    <fill>
      <patternFill patternType="solid">
        <fgColor rgb="FFF8CBAD"/>
        <bgColor indexed="64"/>
      </patternFill>
    </fill>
    <fill>
      <patternFill patternType="solid">
        <fgColor rgb="FFFFF2CC"/>
        <bgColor rgb="FFFFF2CC"/>
      </patternFill>
    </fill>
    <fill>
      <patternFill patternType="solid">
        <fgColor rgb="FFFFF2CC"/>
        <bgColor rgb="FF000000"/>
      </patternFill>
    </fill>
    <fill>
      <patternFill patternType="solid">
        <fgColor rgb="FFBDD7EE"/>
        <bgColor rgb="FF000000"/>
      </patternFill>
    </fill>
    <fill>
      <patternFill patternType="solid">
        <fgColor rgb="FFA9D08E"/>
        <bgColor rgb="FF000000"/>
      </patternFill>
    </fill>
    <fill>
      <patternFill patternType="solid">
        <fgColor rgb="FFF8D2F8"/>
        <bgColor rgb="FF000000"/>
      </patternFill>
    </fill>
    <fill>
      <patternFill patternType="solid">
        <fgColor rgb="FFF8CBAD"/>
        <bgColor rgb="FF000000"/>
      </patternFill>
    </fill>
  </fills>
  <borders count="36">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diagonal/>
    </border>
    <border>
      <left/>
      <right/>
      <top/>
      <bottom style="thin">
        <color auto="1"/>
      </bottom>
      <diagonal/>
    </border>
    <border>
      <left/>
      <right style="hair">
        <color indexed="64"/>
      </right>
      <top/>
      <bottom/>
      <diagonal/>
    </border>
    <border>
      <left/>
      <right style="hair">
        <color indexed="64"/>
      </right>
      <top/>
      <bottom style="thin">
        <color indexed="64"/>
      </bottom>
      <diagonal/>
    </border>
    <border>
      <left/>
      <right style="thin">
        <color indexed="64"/>
      </right>
      <top/>
      <bottom style="hair">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thin">
        <color rgb="FFB8C6D6"/>
      </left>
      <right/>
      <top/>
      <bottom/>
      <diagonal/>
    </border>
    <border>
      <left style="thin">
        <color rgb="FFB8C6D6"/>
      </left>
      <right style="thin">
        <color rgb="FFB8C6D6"/>
      </right>
      <top/>
      <bottom/>
      <diagonal/>
    </border>
    <border>
      <left/>
      <right style="thin">
        <color rgb="FFB8C6D6"/>
      </right>
      <top/>
      <bottom/>
      <diagonal/>
    </border>
  </borders>
  <cellStyleXfs count="1">
    <xf numFmtId="0" fontId="0" fillId="0" borderId="0"/>
  </cellStyleXfs>
  <cellXfs count="106">
    <xf numFmtId="0" fontId="0" fillId="0" borderId="0" xfId="0"/>
    <xf numFmtId="0" fontId="0"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NumberFormat="1"/>
    <xf numFmtId="0" fontId="0" fillId="0" borderId="0" xfId="0" applyNumberFormat="1" applyAlignment="1">
      <alignment horizontal="center"/>
    </xf>
    <xf numFmtId="0" fontId="0" fillId="0" borderId="0" xfId="0" applyAlignment="1">
      <alignment horizontal="left"/>
    </xf>
    <xf numFmtId="0" fontId="0" fillId="0" borderId="0" xfId="0" applyFill="1"/>
    <xf numFmtId="0" fontId="0" fillId="0" borderId="0" xfId="0">
      <extLst>
        <ext xmlns:xfpb="http://schemas.microsoft.com/office/spreadsheetml/2022/featurepropertybag" uri="{C7286773-470A-42A8-94C5-96B5CB345126}">
          <xfpb:xfComplement i="0"/>
        </ext>
      </extLst>
    </xf>
    <xf numFmtId="0" fontId="4" fillId="7" borderId="8" xfId="0" applyFont="1" applyFill="1" applyBorder="1" applyAlignment="1">
      <alignment horizontal="center"/>
    </xf>
    <xf numFmtId="0" fontId="4" fillId="7" borderId="4" xfId="0" applyFont="1" applyFill="1" applyBorder="1" applyAlignment="1">
      <alignment horizontal="center"/>
    </xf>
    <xf numFmtId="0" fontId="4" fillId="7" borderId="23" xfId="0" applyFont="1" applyFill="1" applyBorder="1" applyAlignment="1">
      <alignment horizontal="center"/>
    </xf>
    <xf numFmtId="0" fontId="4" fillId="7" borderId="12" xfId="0" applyFont="1" applyFill="1" applyBorder="1" applyAlignment="1">
      <alignment horizontal="center"/>
    </xf>
    <xf numFmtId="0" fontId="4" fillId="7" borderId="13" xfId="0" applyFont="1" applyFill="1" applyBorder="1" applyAlignment="1">
      <alignment horizontal="center"/>
    </xf>
    <xf numFmtId="0" fontId="4" fillId="7" borderId="19" xfId="0" applyFont="1" applyFill="1" applyBorder="1" applyAlignment="1">
      <alignment horizontal="center"/>
    </xf>
    <xf numFmtId="0" fontId="4" fillId="7" borderId="15" xfId="0" applyFont="1" applyFill="1" applyBorder="1" applyAlignment="1">
      <alignment horizontal="center"/>
    </xf>
    <xf numFmtId="0" fontId="4" fillId="7" borderId="0" xfId="0" applyFont="1" applyFill="1" applyBorder="1" applyAlignment="1">
      <alignment horizontal="center"/>
    </xf>
    <xf numFmtId="0" fontId="4" fillId="7" borderId="6" xfId="0" applyFont="1" applyFill="1" applyBorder="1" applyAlignment="1">
      <alignment horizontal="center"/>
    </xf>
    <xf numFmtId="0" fontId="4" fillId="7" borderId="9" xfId="0" applyFont="1" applyFill="1" applyBorder="1" applyAlignment="1">
      <alignment horizontal="center"/>
    </xf>
    <xf numFmtId="0" fontId="4" fillId="7" borderId="7" xfId="0" applyFont="1" applyFill="1" applyBorder="1" applyAlignment="1">
      <alignment horizontal="center"/>
    </xf>
    <xf numFmtId="0" fontId="4" fillId="8" borderId="13" xfId="0" applyFont="1" applyFill="1" applyBorder="1" applyAlignment="1">
      <alignment horizontal="center"/>
    </xf>
    <xf numFmtId="0" fontId="4" fillId="8" borderId="17" xfId="0" applyFont="1" applyFill="1" applyBorder="1" applyAlignment="1">
      <alignment horizontal="center"/>
    </xf>
    <xf numFmtId="0" fontId="4" fillId="8" borderId="20" xfId="0" applyFont="1" applyFill="1" applyBorder="1" applyAlignment="1">
      <alignment horizontal="center"/>
    </xf>
    <xf numFmtId="0" fontId="4" fillId="8" borderId="0" xfId="0" applyFont="1" applyFill="1" applyBorder="1" applyAlignment="1">
      <alignment horizontal="center"/>
    </xf>
    <xf numFmtId="0" fontId="4" fillId="8" borderId="7" xfId="0" applyFont="1" applyFill="1" applyBorder="1" applyAlignment="1">
      <alignment horizontal="center"/>
    </xf>
    <xf numFmtId="0" fontId="4" fillId="8" borderId="19" xfId="0" applyFont="1" applyFill="1" applyBorder="1" applyAlignment="1">
      <alignment horizontal="center"/>
    </xf>
    <xf numFmtId="0" fontId="4" fillId="9" borderId="19" xfId="0" applyFont="1" applyFill="1" applyBorder="1" applyAlignment="1">
      <alignment horizontal="center"/>
    </xf>
    <xf numFmtId="0" fontId="4" fillId="8" borderId="9" xfId="0" applyFont="1" applyFill="1" applyBorder="1" applyAlignment="1">
      <alignment horizontal="center"/>
    </xf>
    <xf numFmtId="0" fontId="4" fillId="9" borderId="13" xfId="0" applyFont="1" applyFill="1" applyBorder="1" applyAlignment="1">
      <alignment horizontal="center"/>
    </xf>
    <xf numFmtId="0" fontId="4" fillId="8" borderId="10" xfId="0" applyFont="1" applyFill="1" applyBorder="1" applyAlignment="1">
      <alignment horizontal="center"/>
    </xf>
    <xf numFmtId="0" fontId="4" fillId="9" borderId="9" xfId="0" applyFont="1" applyFill="1" applyBorder="1" applyAlignment="1">
      <alignment horizontal="center"/>
    </xf>
    <xf numFmtId="0" fontId="4" fillId="9" borderId="10" xfId="0" applyFont="1" applyFill="1" applyBorder="1" applyAlignment="1">
      <alignment horizontal="center"/>
    </xf>
    <xf numFmtId="0" fontId="4" fillId="9" borderId="20" xfId="0" applyFont="1" applyFill="1" applyBorder="1" applyAlignment="1">
      <alignment horizontal="center"/>
    </xf>
    <xf numFmtId="0" fontId="4" fillId="10" borderId="19" xfId="0" applyFont="1" applyFill="1" applyBorder="1" applyAlignment="1">
      <alignment horizontal="center"/>
    </xf>
    <xf numFmtId="0" fontId="4" fillId="10" borderId="13" xfId="0" applyFont="1" applyFill="1" applyBorder="1" applyAlignment="1">
      <alignment horizontal="center"/>
    </xf>
    <xf numFmtId="0" fontId="4" fillId="7" borderId="24" xfId="0" applyFont="1" applyFill="1" applyBorder="1" applyAlignment="1">
      <alignment horizontal="center"/>
    </xf>
    <xf numFmtId="0" fontId="4" fillId="7" borderId="25" xfId="0" applyFont="1" applyFill="1" applyBorder="1" applyAlignment="1">
      <alignment horizontal="center"/>
    </xf>
    <xf numFmtId="0" fontId="4" fillId="7" borderId="11" xfId="0" applyFont="1" applyFill="1" applyBorder="1" applyAlignment="1">
      <alignment horizontal="center"/>
    </xf>
    <xf numFmtId="0" fontId="4" fillId="8" borderId="21" xfId="0" applyFont="1" applyFill="1" applyBorder="1" applyAlignment="1">
      <alignment horizontal="center"/>
    </xf>
    <xf numFmtId="0" fontId="4" fillId="10" borderId="20" xfId="0" applyFont="1" applyFill="1" applyBorder="1" applyAlignment="1">
      <alignment horizontal="center"/>
    </xf>
    <xf numFmtId="0" fontId="4" fillId="9" borderId="12" xfId="0" applyFont="1" applyFill="1" applyBorder="1" applyAlignment="1">
      <alignment horizontal="center"/>
    </xf>
    <xf numFmtId="0" fontId="4" fillId="10" borderId="9" xfId="0" applyFont="1" applyFill="1" applyBorder="1" applyAlignment="1">
      <alignment horizontal="center"/>
    </xf>
    <xf numFmtId="0" fontId="4" fillId="10" borderId="14" xfId="0" applyFont="1" applyFill="1" applyBorder="1" applyAlignment="1">
      <alignment horizontal="center"/>
    </xf>
    <xf numFmtId="0" fontId="4" fillId="11" borderId="19" xfId="0" applyFont="1" applyFill="1" applyBorder="1" applyAlignment="1">
      <alignment horizontal="center"/>
    </xf>
    <xf numFmtId="0" fontId="4" fillId="9" borderId="24" xfId="0" applyFont="1" applyFill="1" applyBorder="1" applyAlignment="1">
      <alignment horizontal="center"/>
    </xf>
    <xf numFmtId="0" fontId="4" fillId="11" borderId="13" xfId="0" applyFont="1" applyFill="1" applyBorder="1" applyAlignment="1">
      <alignment horizontal="center"/>
    </xf>
    <xf numFmtId="0" fontId="4" fillId="9" borderId="22" xfId="0" applyFont="1" applyFill="1" applyBorder="1" applyAlignment="1">
      <alignment horizontal="center"/>
    </xf>
    <xf numFmtId="0" fontId="4" fillId="11" borderId="9" xfId="0" applyFont="1" applyFill="1" applyBorder="1" applyAlignment="1">
      <alignment horizontal="center"/>
    </xf>
    <xf numFmtId="0" fontId="4" fillId="11" borderId="10" xfId="0" applyFont="1" applyFill="1" applyBorder="1" applyAlignment="1">
      <alignment horizontal="center"/>
    </xf>
    <xf numFmtId="0" fontId="4" fillId="11" borderId="20" xfId="0" applyFont="1" applyFill="1" applyBorder="1" applyAlignment="1">
      <alignment horizontal="center"/>
    </xf>
    <xf numFmtId="0" fontId="4" fillId="9" borderId="21" xfId="0" applyFont="1" applyFill="1" applyBorder="1" applyAlignment="1">
      <alignment horizontal="center"/>
    </xf>
    <xf numFmtId="0" fontId="4" fillId="11" borderId="14" xfId="0" applyFont="1" applyFill="1" applyBorder="1" applyAlignment="1">
      <alignment horizontal="center"/>
    </xf>
    <xf numFmtId="0" fontId="4" fillId="12" borderId="19" xfId="0" applyFont="1" applyFill="1" applyBorder="1" applyAlignment="1">
      <alignment horizontal="center"/>
    </xf>
    <xf numFmtId="0" fontId="4" fillId="10" borderId="12" xfId="0" applyFont="1" applyFill="1" applyBorder="1" applyAlignment="1">
      <alignment horizontal="center"/>
    </xf>
    <xf numFmtId="0" fontId="4" fillId="12" borderId="13" xfId="0" applyFont="1" applyFill="1" applyBorder="1" applyAlignment="1">
      <alignment horizontal="center"/>
    </xf>
    <xf numFmtId="0" fontId="4" fillId="10" borderId="24" xfId="0" applyFont="1" applyFill="1" applyBorder="1" applyAlignment="1">
      <alignment horizontal="center"/>
    </xf>
    <xf numFmtId="0" fontId="4" fillId="10" borderId="21" xfId="0" applyFont="1" applyFill="1" applyBorder="1" applyAlignment="1">
      <alignment horizontal="center"/>
    </xf>
    <xf numFmtId="0" fontId="4" fillId="11" borderId="18" xfId="0" applyFont="1" applyFill="1" applyBorder="1" applyAlignment="1">
      <alignment horizontal="center"/>
    </xf>
    <xf numFmtId="0" fontId="4" fillId="11" borderId="16" xfId="0" applyFont="1" applyFill="1" applyBorder="1" applyAlignment="1">
      <alignment horizontal="center"/>
    </xf>
    <xf numFmtId="0" fontId="4" fillId="11" borderId="26" xfId="0" applyFont="1" applyFill="1" applyBorder="1" applyAlignment="1">
      <alignment horizontal="center"/>
    </xf>
    <xf numFmtId="0" fontId="4" fillId="12" borderId="18" xfId="0" applyFont="1" applyFill="1" applyBorder="1" applyAlignment="1">
      <alignment horizontal="center"/>
    </xf>
    <xf numFmtId="0" fontId="4" fillId="12" borderId="20" xfId="0" applyFont="1" applyFill="1" applyBorder="1" applyAlignment="1">
      <alignment horizont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1"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5" fillId="0" borderId="8"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6" fillId="2" borderId="32" xfId="0" applyFont="1" applyFill="1" applyBorder="1" applyAlignment="1">
      <alignment horizontal="center"/>
    </xf>
    <xf numFmtId="0" fontId="6" fillId="2" borderId="2" xfId="0" applyFont="1" applyFill="1" applyBorder="1" applyAlignment="1">
      <alignment horizontal="center"/>
    </xf>
    <xf numFmtId="0" fontId="6" fillId="3" borderId="2" xfId="0" applyFont="1" applyFill="1" applyBorder="1" applyAlignment="1">
      <alignment horizontal="center"/>
    </xf>
    <xf numFmtId="0" fontId="6" fillId="4" borderId="2" xfId="0" applyFont="1" applyFill="1" applyBorder="1" applyAlignment="1">
      <alignment horizontal="center"/>
    </xf>
    <xf numFmtId="0" fontId="6" fillId="5" borderId="2" xfId="0" applyFont="1" applyFill="1" applyBorder="1" applyAlignment="1">
      <alignment horizontal="center"/>
    </xf>
    <xf numFmtId="0" fontId="6" fillId="6" borderId="2" xfId="0" applyFont="1" applyFill="1" applyBorder="1" applyAlignment="1">
      <alignment horizontal="center"/>
    </xf>
    <xf numFmtId="0" fontId="6" fillId="6" borderId="1" xfId="0" applyFont="1" applyFill="1" applyBorder="1" applyAlignment="1">
      <alignment horizontal="center"/>
    </xf>
    <xf numFmtId="0" fontId="3" fillId="0" borderId="0" xfId="0" applyFont="1"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0" xfId="0" applyBorder="1" applyAlignment="1">
      <alignment horizontal="center"/>
    </xf>
    <xf numFmtId="0" fontId="8" fillId="0" borderId="0" xfId="0" applyFont="1"/>
    <xf numFmtId="0" fontId="0" fillId="0" borderId="0" xfId="0" applyFill="1" applyAlignment="1">
      <alignment horizontal="center" vertical="center"/>
    </xf>
    <xf numFmtId="0" fontId="0" fillId="0" borderId="0" xfId="0" applyFill="1" applyAlignment="1"/>
    <xf numFmtId="0" fontId="0" fillId="0" borderId="0" xfId="0" applyFill="1" applyAlignment="1">
      <alignment horizontal="center"/>
    </xf>
    <xf numFmtId="0" fontId="7" fillId="0" borderId="35" xfId="0" applyFont="1" applyFill="1" applyBorder="1" applyAlignment="1">
      <alignment horizontal="center"/>
    </xf>
    <xf numFmtId="0" fontId="3" fillId="0" borderId="35" xfId="0" applyFont="1" applyBorder="1" applyAlignment="1">
      <alignment horizontal="center"/>
    </xf>
    <xf numFmtId="0" fontId="3" fillId="0" borderId="33" xfId="0" applyFont="1" applyBorder="1" applyAlignment="1">
      <alignment horizontal="center"/>
    </xf>
    <xf numFmtId="2" fontId="0" fillId="0" borderId="0" xfId="0" applyNumberFormat="1" applyBorder="1" applyAlignment="1">
      <alignment horizontal="center"/>
    </xf>
    <xf numFmtId="172" fontId="0" fillId="0" borderId="0" xfId="0" applyNumberFormat="1" applyFill="1" applyAlignment="1">
      <alignment horizontal="center"/>
    </xf>
    <xf numFmtId="2" fontId="0" fillId="0" borderId="0" xfId="0" applyNumberFormat="1" applyFill="1" applyAlignment="1">
      <alignment horizontal="center"/>
    </xf>
    <xf numFmtId="172" fontId="0" fillId="0" borderId="35" xfId="0" applyNumberFormat="1" applyFont="1" applyBorder="1" applyAlignment="1">
      <alignment horizontal="center"/>
    </xf>
    <xf numFmtId="2" fontId="0" fillId="0" borderId="33" xfId="0" applyNumberFormat="1" applyFont="1" applyBorder="1" applyAlignment="1">
      <alignment horizontal="center"/>
    </xf>
    <xf numFmtId="2" fontId="0" fillId="0" borderId="0" xfId="0" applyNumberFormat="1" applyFont="1" applyBorder="1" applyAlignment="1">
      <alignment horizontal="center"/>
    </xf>
    <xf numFmtId="0" fontId="0" fillId="0" borderId="33" xfId="0" applyBorder="1" applyAlignment="1">
      <alignment horizontal="center" vertical="center"/>
    </xf>
    <xf numFmtId="0" fontId="0" fillId="0" borderId="0" xfId="0" applyBorder="1" applyAlignment="1">
      <alignment horizontal="center" vertical="center"/>
    </xf>
    <xf numFmtId="0" fontId="0" fillId="0" borderId="35" xfId="0" applyBorder="1" applyAlignment="1">
      <alignment horizontal="center" vertical="center"/>
    </xf>
    <xf numFmtId="2" fontId="0" fillId="0" borderId="0" xfId="0" applyNumberFormat="1" applyAlignment="1">
      <alignment horizontal="left"/>
    </xf>
  </cellXfs>
  <cellStyles count="1">
    <cellStyle name="Normal" xfId="0" builtinId="0"/>
  </cellStyles>
  <dxfs count="142">
    <dxf>
      <numFmt numFmtId="2" formatCode="0.00"/>
      <alignment horizontal="left" vertical="bottom" textRotation="0" wrapText="0" indent="0" justifyLastLine="0" shrinkToFit="0" readingOrder="0"/>
    </dxf>
    <dxf>
      <numFmt numFmtId="2" formatCode="0.0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border diagonalUp="0" diagonalDown="0" outline="0">
        <left/>
        <right style="thin">
          <color rgb="FFB8C6D6"/>
        </right>
        <top/>
        <bottom/>
      </border>
    </dxf>
    <dxf>
      <font>
        <b val="0"/>
        <i val="0"/>
        <strike val="0"/>
        <condense val="0"/>
        <extend val="0"/>
        <outline val="0"/>
        <shadow val="0"/>
        <u val="none"/>
        <vertAlign val="baseline"/>
        <sz val="12"/>
        <color theme="1"/>
        <name val="Aptos Narrow"/>
        <family val="2"/>
        <scheme val="minor"/>
      </font>
      <numFmt numFmtId="2" formatCode="0.00"/>
      <alignment horizontal="center" vertical="bottom"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right style="thin">
          <color rgb="FFB8C6D6"/>
        </right>
        <top/>
        <bottom/>
        <vertical/>
        <horizontal/>
      </border>
    </dxf>
    <dxf>
      <alignment horizontal="center" vertical="center" textRotation="0" wrapText="0" indent="0" justifyLastLine="0" shrinkToFit="0" readingOrder="0"/>
    </dxf>
    <dxf>
      <border diagonalUp="0" diagonalDown="0">
        <left/>
        <right style="thin">
          <color rgb="FFB8C6D6"/>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rgb="FFB8C6D6"/>
        </left>
        <right/>
        <top/>
        <bottom/>
        <vertical/>
        <horizontal/>
      </border>
    </dxf>
    <dxf>
      <font>
        <b val="0"/>
        <i val="0"/>
        <strike val="0"/>
        <condense val="0"/>
        <extend val="0"/>
        <outline val="0"/>
        <shadow val="0"/>
        <u val="none"/>
        <vertAlign val="baseline"/>
        <sz val="12"/>
        <color theme="1"/>
        <name val="Aptos Narrow"/>
        <family val="2"/>
        <scheme val="minor"/>
      </font>
      <numFmt numFmtId="172" formatCode="0.0%"/>
      <alignment horizontal="center" vertical="bottom" textRotation="0" wrapText="0" indent="0" justifyLastLine="0" shrinkToFit="0" readingOrder="0"/>
      <border diagonalUp="0" diagonalDown="0" outline="0">
        <left/>
        <right style="thin">
          <color rgb="FFB8C6D6"/>
        </right>
        <top/>
        <bottom/>
      </border>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2" formatCode="0.00"/>
      <alignment horizontal="center" vertical="bottom" textRotation="0" wrapText="0" indent="0" justifyLastLine="0" shrinkToFit="0" readingOrder="0"/>
      <border diagonalUp="0" diagonalDown="0" outline="0">
        <left style="thin">
          <color rgb="FFB8C6D6"/>
        </left>
        <right/>
        <top/>
        <bottom/>
      </border>
    </dxf>
    <dxf>
      <numFmt numFmtId="0" formatCode="General"/>
      <alignment horizontal="left"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2" formatCode="0.00"/>
      <alignment horizontal="center" vertical="bottom" textRotation="0" wrapText="0" indent="0" justifyLastLine="0" shrinkToFit="0" readingOrder="0"/>
      <border diagonalUp="0" diagonalDown="0" outline="0">
        <left/>
        <right/>
        <top/>
        <bottom/>
      </border>
    </dxf>
    <dxf>
      <alignment horizontal="center" vertical="center" textRotation="0" wrapText="0" indent="0" justifyLastLine="0" shrinkToFit="0" readingOrder="0"/>
    </dxf>
    <dxf>
      <alignment horizontal="center" vertical="bottom" textRotation="0" wrapText="0" indent="0" justifyLastLine="0" shrinkToFit="0" readingOrder="0"/>
      <border diagonalUp="0" diagonalDown="0" outline="0">
        <left/>
        <right/>
        <top/>
        <bottom/>
      </border>
    </dxf>
    <dxf>
      <fill>
        <patternFill>
          <bgColor rgb="FFF5F8FB"/>
        </patternFill>
      </fill>
    </dxf>
    <dxf>
      <fill>
        <patternFill>
          <bgColor rgb="FFE8EEF4"/>
        </patternFill>
      </fill>
      <border>
        <top style="thin">
          <color rgb="FF2A3F54"/>
        </top>
      </border>
    </dxf>
    <dxf>
      <font>
        <b/>
        <i val="0"/>
        <color rgb="FF2A3F54"/>
      </font>
      <fill>
        <patternFill>
          <bgColor rgb="FFE8EEF4"/>
        </patternFill>
      </fill>
      <border>
        <bottom style="thin">
          <color auto="1"/>
        </bottom>
      </border>
    </dxf>
    <dxf>
      <font>
        <color rgb="FF3A4654"/>
      </font>
      <border>
        <left style="hair">
          <color rgb="FFD8E0E8"/>
        </left>
        <right style="hair">
          <color rgb="FFD8E0E8"/>
        </right>
        <top style="hair">
          <color rgb="FFD8E0E8"/>
        </top>
        <bottom style="hair">
          <color rgb="FFD8E0E8"/>
        </bottom>
        <horizontal style="hair">
          <color rgb="FFECF0F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style="thin">
          <color rgb="FFB8C6D6"/>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outline="0">
        <left style="thin">
          <color rgb="FFB8C6D6"/>
        </left>
        <right/>
        <top/>
        <bottom/>
      </border>
    </dxf>
    <dxf>
      <font>
        <b val="0"/>
        <i val="0"/>
        <strike val="0"/>
        <condense val="0"/>
        <extend val="0"/>
        <outline val="0"/>
        <shadow val="0"/>
        <u val="none"/>
        <vertAlign val="baseline"/>
        <sz val="10"/>
        <color rgb="FF2A3F54"/>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style="thin">
          <color rgb="FFB8C6D6"/>
        </right>
        <top/>
        <bottom/>
      </border>
    </dxf>
    <dxf>
      <fill>
        <patternFill patternType="none">
          <fgColor indexed="64"/>
          <bgColor indexed="65"/>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rgb="FFB8C6D6"/>
        </left>
        <right style="thin">
          <color rgb="FFB8C6D6"/>
        </right>
        <top/>
        <bottom/>
        <vertical/>
        <horizontal/>
      </border>
    </dxf>
    <dxf>
      <alignment horizontal="center" vertical="bottom" textRotation="0" wrapText="0" indent="0" justifyLastLine="0" shrinkToFit="0" readingOrder="0"/>
      <border diagonalUp="0" diagonalDown="0" outline="0">
        <left style="thin">
          <color rgb="FFB8C6D6"/>
        </left>
        <right style="thin">
          <color rgb="FFB8C6D6"/>
        </right>
        <top/>
        <bottom/>
      </border>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border diagonalUp="0" diagonalDown="0">
        <left/>
        <right style="thin">
          <color rgb="FFB8C6D6"/>
        </right>
        <top/>
        <bottom/>
        <vertical/>
        <horizontal/>
      </border>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font>
        <strike val="0"/>
        <outline val="0"/>
        <shadow val="0"/>
        <u val="none"/>
        <vertAlign val="baseline"/>
        <sz val="12"/>
        <color rgb="FF2A3F54"/>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right/>
        <top/>
        <bottom/>
      </border>
    </dxf>
  </dxfs>
  <tableStyles count="1" defaultTableStyle="Light &amp; Airy" defaultPivotStyle="PivotStyleLight16">
    <tableStyle name="Light &amp; Airy" pivot="0" count="4" xr9:uid="{4A2B0605-5D4C-074C-B007-5BD6BE88C90B}">
      <tableStyleElement type="wholeTable" dxfId="57"/>
      <tableStyleElement type="headerRow" dxfId="56"/>
      <tableStyleElement type="totalRow" dxfId="55"/>
      <tableStyleElement type="firstRowStripe" dxfId="54"/>
    </tableStyle>
  </tableStyles>
  <colors>
    <mruColors>
      <color rgb="FFE8EEF4"/>
      <color rgb="FFD8E0E8"/>
      <color rgb="FFB8C6D6"/>
      <color rgb="FF2A3F54"/>
      <color rgb="FFF5F8FB"/>
      <color rgb="FFECF0F4"/>
      <color rgb="FF3A46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B8BAB4-6F86-2C44-A814-1508412BEE79}" name="Scores" displayName="Scores" ref="A1:BS137" totalsRowCount="1">
  <autoFilter ref="A1:BS136" xr:uid="{5DB8BAB4-6F86-2C44-A814-1508412BEE79}"/>
  <tableColumns count="71">
    <tableColumn id="7" xr3:uid="{DCB11C21-D7E6-4549-8D5E-DCE1B022B555}" name="ID" dataDxfId="1" totalsRowDxfId="0" dataCellStyle="Normal"/>
    <tableColumn id="8" xr3:uid="{3313EE5D-B080-0244-946F-B092099EA412}" name="ELL" totalsRowDxfId="69" dataCellStyle="Normal"/>
    <tableColumn id="9" xr3:uid="{BDA43F7C-0B9B-6745-A317-7D08A653608B}" name="IEP" totalsRowDxfId="68" dataCellStyle="Normal"/>
    <tableColumn id="10" xr3:uid="{AD35E5FE-E9FE-1E4A-B7D1-4FD009FDAFA5}" name="MC" totalsRowFunction="custom" dataDxfId="15" totalsRowDxfId="45" dataCellStyle="Normal">
      <calculatedColumnFormula>SUM(Scores[[#This Row],[Q1]:[Q28]])</calculatedColumnFormula>
      <totalsRowFormula>AVERAGE(Scores[MC])</totalsRowFormula>
    </tableColumn>
    <tableColumn id="11" xr3:uid="{6AE9E74A-2A79-8743-B23E-E43D74D0440E}" name="CRQ" totalsRowFunction="custom" dataDxfId="12" totalsRowDxfId="10" dataCellStyle="Normal">
      <calculatedColumnFormula>SUM(Scores[[#This Row],[29]:[34b]])</calculatedColumnFormula>
      <totalsRowFormula>AVERAGE(Scores[CRQ])</totalsRowFormula>
    </tableColumn>
    <tableColumn id="13" xr3:uid="{2D175AC5-FD14-BF4C-82B7-01885337EBDC}" name="EIE" totalsRowFunction="custom" dataDxfId="14" totalsRowDxfId="51" dataCellStyle="Normal">
      <calculatedColumnFormula>Scores[[#This Row],[35]]</calculatedColumnFormula>
      <totalsRowFormula>AVERAGE(Scores[EIE])</totalsRowFormula>
    </tableColumn>
    <tableColumn id="15" xr3:uid="{97A64074-81BA-7F43-A207-1284A67787CF}" name="Final" totalsRowFunction="custom" dataDxfId="13" totalsRowDxfId="16" dataCellStyle="Normal">
      <calculatedColumnFormula>INDEX('Conversion Chart'!$C$3:$M$38,MATCH(SUM(Scores[[#This Row],[MC]:[CRQ]]),'Conversion Chart'!$B$3:$B$38,0),MATCH(Scores[[#This Row],[EIE]],'Conversion Chart'!$C$2:$M$2,0))</calculatedColumnFormula>
      <totalsRowFormula>COUNTIF(Scores[Final],"&gt;=65")/COUNT(Scores[Final])</totalsRowFormula>
    </tableColumn>
    <tableColumn id="16" xr3:uid="{5F99D494-D2DF-BF4B-B8DC-9F3C54081AE9}" name="1" dataDxfId="44" totalsRowDxfId="53" dataCellStyle="Normal"/>
    <tableColumn id="17" xr3:uid="{95238458-8341-3645-BF8D-0D1DDF36F331}" name="2" dataDxfId="43" totalsRowDxfId="128" dataCellStyle="Normal"/>
    <tableColumn id="18" xr3:uid="{C602AF72-B16C-0D42-908E-16911C248AA6}" name="3" dataDxfId="42" totalsRowDxfId="127" dataCellStyle="Normal"/>
    <tableColumn id="19" xr3:uid="{AE3B5ADD-B6B3-0445-961B-79D168F992F5}" name="4" dataDxfId="41" totalsRowDxfId="126" dataCellStyle="Normal"/>
    <tableColumn id="20" xr3:uid="{726BDCF4-3B64-1A40-9A0E-16A00F7FC9FE}" name="5" dataDxfId="40" totalsRowDxfId="125" dataCellStyle="Normal"/>
    <tableColumn id="21" xr3:uid="{11DAFBF7-01DF-9E40-AB00-62F58350CDF1}" name="6" dataDxfId="39" totalsRowDxfId="124" dataCellStyle="Normal"/>
    <tableColumn id="22" xr3:uid="{93503E36-9D37-CD49-9A23-518635969CC2}" name="7" dataDxfId="38" totalsRowDxfId="123" dataCellStyle="Normal"/>
    <tableColumn id="23" xr3:uid="{01005B6B-E54C-0645-BFD6-8151183960C2}" name="8" dataDxfId="37" totalsRowDxfId="122" dataCellStyle="Normal"/>
    <tableColumn id="24" xr3:uid="{168DF746-2472-C846-A60C-91F8846817A6}" name="9" dataDxfId="36" totalsRowDxfId="121" dataCellStyle="Normal"/>
    <tableColumn id="25" xr3:uid="{6774BD2C-6D41-CA44-A231-A03D007C28B3}" name="10" dataDxfId="35" totalsRowDxfId="120" dataCellStyle="Normal"/>
    <tableColumn id="26" xr3:uid="{4A3A62FE-B811-6F4B-B842-5930DD60648D}" name="11" dataDxfId="34" totalsRowDxfId="119" dataCellStyle="Normal"/>
    <tableColumn id="27" xr3:uid="{9640DBC3-8212-084D-A5DC-33EFD0A14379}" name="12" dataDxfId="33" totalsRowDxfId="118" dataCellStyle="Normal"/>
    <tableColumn id="28" xr3:uid="{F5635563-A126-8546-B9DA-E96213D9381F}" name="13" dataDxfId="32" totalsRowDxfId="117" dataCellStyle="Normal"/>
    <tableColumn id="29" xr3:uid="{35CE1920-234B-224A-BA48-A892AAE983B3}" name="14" dataDxfId="31" totalsRowDxfId="116" dataCellStyle="Normal"/>
    <tableColumn id="30" xr3:uid="{8EDF549E-2CA3-FC4A-86C9-FD070B139F77}" name="15" dataDxfId="30" totalsRowDxfId="115" dataCellStyle="Normal"/>
    <tableColumn id="31" xr3:uid="{7DD32768-1305-6C40-A6AD-869A25CB68CD}" name="16" dataDxfId="29" totalsRowDxfId="114" dataCellStyle="Normal"/>
    <tableColumn id="32" xr3:uid="{541F47C9-F24E-814A-A00E-985D1F840A7A}" name="17" dataDxfId="28" totalsRowDxfId="113" dataCellStyle="Normal"/>
    <tableColumn id="33" xr3:uid="{349B7021-F6C6-474A-AB02-71B4A3599FB2}" name="18" dataDxfId="27" totalsRowDxfId="112" dataCellStyle="Normal"/>
    <tableColumn id="34" xr3:uid="{621E32D5-1A93-AA44-8674-2456E66665D4}" name="19" dataDxfId="26" totalsRowDxfId="111" dataCellStyle="Normal"/>
    <tableColumn id="35" xr3:uid="{2B31DC22-20F6-5F41-BC96-A7B2871C66A8}" name="20" dataDxfId="25" totalsRowDxfId="110" dataCellStyle="Normal"/>
    <tableColumn id="36" xr3:uid="{161CEA0E-78AE-794E-A3F0-4056F6C5D289}" name="21" dataDxfId="24" totalsRowDxfId="109" dataCellStyle="Normal"/>
    <tableColumn id="37" xr3:uid="{B8DFEE23-8B6D-D64E-A2DB-D94628FC5B02}" name="22" dataDxfId="23" totalsRowDxfId="108" dataCellStyle="Normal"/>
    <tableColumn id="38" xr3:uid="{CDF7B995-4598-7D4E-9618-E6D7CCF6D1DC}" name="23" dataDxfId="22" totalsRowDxfId="107" dataCellStyle="Normal"/>
    <tableColumn id="39" xr3:uid="{E81EE4F2-058C-C748-85D5-061B93C3E4ED}" name="24" dataDxfId="21" totalsRowDxfId="106" dataCellStyle="Normal"/>
    <tableColumn id="40" xr3:uid="{29971DD1-FC8D-BC47-A3FB-305DC4732C8B}" name="25" dataDxfId="20" totalsRowDxfId="105" dataCellStyle="Normal"/>
    <tableColumn id="41" xr3:uid="{D1F67E2C-B3E7-494B-8684-277E2E04D62A}" name="26" dataDxfId="19" totalsRowDxfId="104" dataCellStyle="Normal"/>
    <tableColumn id="42" xr3:uid="{C4FD56A4-4549-B745-ADCB-38D59801A40D}" name="27" dataDxfId="18" totalsRowDxfId="103" dataCellStyle="Normal"/>
    <tableColumn id="43" xr3:uid="{F6899D93-7856-FD4D-B976-81C1F1AB971F}" name="28" dataDxfId="11" totalsRowDxfId="9" dataCellStyle="Normal"/>
    <tableColumn id="44" xr3:uid="{EFCA4685-997A-534E-AF83-47A186A757B2}" name="29" dataDxfId="17" totalsRowDxfId="67"/>
    <tableColumn id="45" xr3:uid="{9F4965D5-8FDD-874B-BAF8-E8E1B3CD5C93}" name="30" dataDxfId="102" totalsRowDxfId="66"/>
    <tableColumn id="46" xr3:uid="{96F2228A-23B1-0A4D-8CA7-602C5D7CD219}" name="31" dataDxfId="101" totalsRowDxfId="65"/>
    <tableColumn id="78" xr3:uid="{7CC75C13-474D-F847-9A1E-257836660F79}" name="32" dataDxfId="100" totalsRowDxfId="64"/>
    <tableColumn id="79" xr3:uid="{54B9290B-9125-324B-AA19-D636AC16E1C6}" name="33" dataDxfId="99" totalsRowDxfId="63"/>
    <tableColumn id="80" xr3:uid="{F8DEC866-9B69-2D4F-8F84-1605E2C72DA9}" name="34a" dataDxfId="98" totalsRowDxfId="62"/>
    <tableColumn id="47" xr3:uid="{175FDE45-8DD7-1346-A45D-B4ECEC962021}" name="34b" dataDxfId="97" totalsRowDxfId="61"/>
    <tableColumn id="48" xr3:uid="{727360A4-EFD0-1849-AC66-3D2C2C135506}" name="35" dataDxfId="95" totalsRowDxfId="96"/>
    <tableColumn id="50" xr3:uid="{A9193F63-C60A-F841-8AF7-083F10EDCF81}" name="Q1" totalsRowDxfId="60">
      <calculatedColumnFormula>IF(H2=VLOOKUP(VALUE(H$1),Questions!$A:$E,5,FALSE),1,0)</calculatedColumnFormula>
    </tableColumn>
    <tableColumn id="51" xr3:uid="{BBA120F5-4B07-8C4D-BCFD-41302D803D0E}" name="Q2" totalsRowDxfId="59">
      <calculatedColumnFormula>IF(I2=VLOOKUP(VALUE(I$1),Questions!$A:$E,5,FALSE),1,0)</calculatedColumnFormula>
    </tableColumn>
    <tableColumn id="52" xr3:uid="{D220B84C-66B6-2C43-8780-802E711E3B0C}" name="Q3" totalsRowDxfId="58">
      <calculatedColumnFormula>IF(J2=VLOOKUP(VALUE(J$1),Questions!$A:$E,5,FALSE),1,0)</calculatedColumnFormula>
    </tableColumn>
    <tableColumn id="53" xr3:uid="{B7C45686-6904-964B-B4E1-05ED802CFE72}" name="Q4" totalsRowDxfId="94">
      <calculatedColumnFormula>IF(K2=VLOOKUP(VALUE(K$1),Questions!$A:$E,5,FALSE),1,0)</calculatedColumnFormula>
    </tableColumn>
    <tableColumn id="54" xr3:uid="{DC167D51-24DD-514E-8AF9-D9EBC8D59B60}" name="Q5" totalsRowDxfId="93">
      <calculatedColumnFormula>IF(L2=VLOOKUP(VALUE(L$1),Questions!$A:$E,5,FALSE),1,0)</calculatedColumnFormula>
    </tableColumn>
    <tableColumn id="55" xr3:uid="{9D33FC3C-F41C-0D43-BB88-38CB15D8FEB3}" name="Q6" totalsRowDxfId="92">
      <calculatedColumnFormula>IF(M2=VLOOKUP(VALUE(M$1),Questions!$A:$E,5,FALSE),1,0)</calculatedColumnFormula>
    </tableColumn>
    <tableColumn id="56" xr3:uid="{396E9832-78B5-A74C-887F-57391FEA5669}" name="Q7" totalsRowDxfId="91">
      <calculatedColumnFormula>IF(N2=VLOOKUP(VALUE(N$1),Questions!$A:$E,5,FALSE),1,0)</calculatedColumnFormula>
    </tableColumn>
    <tableColumn id="57" xr3:uid="{1D5DC549-C62F-7647-8D31-5482A0BCB775}" name="Q8" totalsRowDxfId="90">
      <calculatedColumnFormula>IF(O2=VLOOKUP(VALUE(O$1),Questions!$A:$E,5,FALSE),1,0)</calculatedColumnFormula>
    </tableColumn>
    <tableColumn id="58" xr3:uid="{10212FDF-AFA7-774D-BB6B-FBF5031EA523}" name="Q9" totalsRowDxfId="89">
      <calculatedColumnFormula>IF(P2=VLOOKUP(VALUE(P$1),Questions!$A:$E,5,FALSE),1,0)</calculatedColumnFormula>
    </tableColumn>
    <tableColumn id="59" xr3:uid="{9E2316DB-52B2-124E-A189-2EF75F3C8E7D}" name="Q10" totalsRowDxfId="88">
      <calculatedColumnFormula>IF(Q2=VLOOKUP(VALUE(Q$1),Questions!$A:$E,5,FALSE),1,0)</calculatedColumnFormula>
    </tableColumn>
    <tableColumn id="60" xr3:uid="{6D02E736-F8EF-3A42-A882-C472C4B6E110}" name="Q11" totalsRowDxfId="87">
      <calculatedColumnFormula>IF(R2=VLOOKUP(VALUE(R$1),Questions!$A:$E,5,FALSE),1,0)</calculatedColumnFormula>
    </tableColumn>
    <tableColumn id="61" xr3:uid="{DBEA05D2-D57D-C949-9FF9-FF94B8676852}" name="Q12" totalsRowDxfId="86">
      <calculatedColumnFormula>IF(S2=VLOOKUP(VALUE(S$1),Questions!$A:$E,5,FALSE),1,0)</calculatedColumnFormula>
    </tableColumn>
    <tableColumn id="62" xr3:uid="{48D0CC37-CB51-3746-B664-AEEB195981FD}" name="Q13" totalsRowDxfId="85">
      <calculatedColumnFormula>IF(T2=VLOOKUP(VALUE(T$1),Questions!$A:$E,5,FALSE),1,0)</calculatedColumnFormula>
    </tableColumn>
    <tableColumn id="63" xr3:uid="{A6963F14-4304-1D48-B1A5-DA798651FE45}" name="Q14" totalsRowDxfId="84">
      <calculatedColumnFormula>IF(U2=VLOOKUP(VALUE(U$1),Questions!$A:$E,5,FALSE),1,0)</calculatedColumnFormula>
    </tableColumn>
    <tableColumn id="64" xr3:uid="{6FE8D996-D1D0-A944-8338-537F4235C4B5}" name="Q15" totalsRowDxfId="83">
      <calculatedColumnFormula>IF(V2=VLOOKUP(VALUE(V$1),Questions!$A:$E,5,FALSE),1,0)</calculatedColumnFormula>
    </tableColumn>
    <tableColumn id="65" xr3:uid="{36111BC2-4741-A342-ABA7-4B05EDDA148A}" name="Q16" totalsRowDxfId="82">
      <calculatedColumnFormula>IF(W2=VLOOKUP(VALUE(W$1),Questions!$A:$E,5,FALSE),1,0)</calculatedColumnFormula>
    </tableColumn>
    <tableColumn id="66" xr3:uid="{47D74AF4-95E4-3D44-AA1C-96909943C735}" name="Q17" totalsRowDxfId="81">
      <calculatedColumnFormula>IF(X2=VLOOKUP(VALUE(X$1),Questions!$A:$E,5,FALSE),1,0)</calculatedColumnFormula>
    </tableColumn>
    <tableColumn id="67" xr3:uid="{CF041B2A-191A-8548-A5F3-1DA7FDA5D735}" name="Q18" totalsRowDxfId="80">
      <calculatedColumnFormula>IF(Y2=VLOOKUP(VALUE(Y$1),Questions!$A:$E,5,FALSE),1,0)</calculatedColumnFormula>
    </tableColumn>
    <tableColumn id="68" xr3:uid="{F000C20E-2888-4449-BFE8-50ED3EC8DEA5}" name="Q19" totalsRowDxfId="79">
      <calculatedColumnFormula>IF(Z2=VLOOKUP(VALUE(Z$1),Questions!$A:$E,5,FALSE),1,0)</calculatedColumnFormula>
    </tableColumn>
    <tableColumn id="69" xr3:uid="{F9EA4391-84A9-894A-9239-5D4576AA80E1}" name="Q20" totalsRowDxfId="78">
      <calculatedColumnFormula>IF(AA2=VLOOKUP(VALUE(AA$1),Questions!$A:$E,5,FALSE),1,0)</calculatedColumnFormula>
    </tableColumn>
    <tableColumn id="70" xr3:uid="{7AEB3220-7BBB-3C4E-B077-0F8630CE1132}" name="Q21" totalsRowDxfId="77">
      <calculatedColumnFormula>IF(AB2=VLOOKUP(VALUE(AB$1),Questions!$A:$E,5,FALSE),1,0)</calculatedColumnFormula>
    </tableColumn>
    <tableColumn id="71" xr3:uid="{F6494367-DD8A-3246-915A-3588AD62A5DF}" name="Q22" totalsRowDxfId="76">
      <calculatedColumnFormula>IF(AC2=VLOOKUP(VALUE(AC$1),Questions!$A:$E,5,FALSE),1,0)</calculatedColumnFormula>
    </tableColumn>
    <tableColumn id="72" xr3:uid="{7D5C0CE7-FF6A-0D44-A80B-F79DC2BE7944}" name="Q23" totalsRowDxfId="75">
      <calculatedColumnFormula>IF(AD2=VLOOKUP(VALUE(AD$1),Questions!$A:$E,5,FALSE),1,0)</calculatedColumnFormula>
    </tableColumn>
    <tableColumn id="73" xr3:uid="{49409B79-F8D1-654D-9A50-EA9A17C596DE}" name="Q24" totalsRowDxfId="74">
      <calculatedColumnFormula>IF(AE2=VLOOKUP(VALUE(AE$1),Questions!$A:$E,5,FALSE),1,0)</calculatedColumnFormula>
    </tableColumn>
    <tableColumn id="74" xr3:uid="{3EB2D48D-36F2-3542-BF56-7BA9E6FBADD6}" name="Q25" totalsRowDxfId="73">
      <calculatedColumnFormula>IF(AF2=VLOOKUP(VALUE(AF$1),Questions!$A:$E,5,FALSE),1,0)</calculatedColumnFormula>
    </tableColumn>
    <tableColumn id="75" xr3:uid="{6B81BA87-3D8D-8B41-86BD-1D650206A9CA}" name="Q26" totalsRowDxfId="72">
      <calculatedColumnFormula>IF(AG2=VLOOKUP(VALUE(AG$1),Questions!$A:$E,5,FALSE),1,0)</calculatedColumnFormula>
    </tableColumn>
    <tableColumn id="76" xr3:uid="{6176766D-D5D4-3D45-8DA3-0E2542BCE669}" name="Q27" totalsRowDxfId="71">
      <calculatedColumnFormula>IF(AH2=VLOOKUP(VALUE(AH$1),Questions!$A:$E,5,FALSE),1,0)</calculatedColumnFormula>
    </tableColumn>
    <tableColumn id="77" xr3:uid="{4BD592C0-6BB8-6F4C-BCC4-79CF5F35BCA5}" name="Q28" totalsRowDxfId="70">
      <calculatedColumnFormula>IF(AI2=VLOOKUP(VALUE(AI$1),Questions!$A:$E,5,FALSE),1,0)</calculatedColumnFormula>
    </tableColumn>
  </tableColumns>
  <tableStyleInfo name="Light &amp; Ai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A97502-99D1-2243-B0FF-88F81BB6D54B}" name="Questions" displayName="Questions" ref="A1:R41" totalsRowShown="0" tableBorderDxfId="141" headerRowCellStyle="Normal" dataCellStyle="Normal">
  <autoFilter ref="A1:R41" xr:uid="{74A97502-99D1-2243-B0FF-88F81BB6D54B}"/>
  <tableColumns count="18">
    <tableColumn id="1" xr3:uid="{5536C8DB-3E68-4E4C-A696-D5B9D6643E11}" name="#" dataDxfId="140" dataCellStyle="Normal"/>
    <tableColumn id="18" xr3:uid="{3A3BEE1B-B0DC-BA4B-9571-3617CE36FBAB}" name="Part" dataDxfId="139" dataCellStyle="Normal"/>
    <tableColumn id="2" xr3:uid="{52F91FE3-9B09-9B46-BE07-533A33BEBF3C}" name="Stimulus" dataCellStyle="Normal"/>
    <tableColumn id="3" xr3:uid="{85D8388F-EBD6-0B42-8E17-1D026705894C}" name="Question" dataCellStyle="Normal"/>
    <tableColumn id="4" xr3:uid="{7A927C84-383D-6E43-B20B-582CBC68914E}" name="Answer" dataDxfId="52" dataCellStyle="Normal"/>
    <tableColumn id="5" xr3:uid="{758CDFE1-9C21-1A4A-BC95-23C1C069913A}" name="Option_1" dataCellStyle="Normal"/>
    <tableColumn id="6" xr3:uid="{DFD8BC4F-6CC5-2344-9B94-64E357348EE5}" name="Option_2" dataCellStyle="Normal"/>
    <tableColumn id="7" xr3:uid="{681F43DB-3D00-7848-A1B3-A4E6CF34B934}" name="Option_3" dataCellStyle="Normal"/>
    <tableColumn id="8" xr3:uid="{9F4EF63C-0A1F-0843-80B1-53FB22470E25}" name="Option_4" dataCellStyle="Normal"/>
    <tableColumn id="9" xr3:uid="{85A210E3-083E-644E-89E5-68AB2B465684}" name="Stimulus_type" dataDxfId="130" dataCellStyle="Normal"/>
    <tableColumn id="10" xr3:uid="{944E3D12-A21E-9949-8EFB-6CA21E095B70}" name="Source_type" dataDxfId="129" dataCellStyle="Normal"/>
    <tableColumn id="11" xr3:uid="{E729FDA2-26ED-9B41-95DD-3C571FD46DE3}" name="Task_model" dataCellStyle="Normal"/>
    <tableColumn id="13" xr3:uid="{2C3E0546-55E2-4245-A5B7-BE43810EA20B}" name="Skill_standard" dataCellStyle="Normal"/>
    <tableColumn id="14" xr3:uid="{62BBD6A3-6BE6-4D4B-9E23-2CCBE035D956}" name="Need_OI?" dataDxfId="133" dataCellStyle="Normal"/>
    <tableColumn id="17" xr3:uid="{DD06A7E8-8171-B84F-B464-E58756199F3F}" name="Content_standard" dataDxfId="131" dataCellStyle="Normal"/>
    <tableColumn id="20" xr3:uid="{AF30C92E-9B81-2A47-88A9-D03F251CC7FC}" name="Content_specification" dataDxfId="132" dataCellStyle="Normal">
      <calculatedColumnFormula>IFERROR(VLOOKUP(Questions[[#This Row],[Content_standard]],Content[#All],2),"")</calculatedColumnFormula>
    </tableColumn>
    <tableColumn id="21" xr3:uid="{946FA20E-CF49-1E48-9E01-F298F68C7A20}" name="Pct_correct" dataDxfId="50" dataCellStyle="Normal">
      <calculatedColumnFormula>AVERAGE(INDEX(Scores[#Data],0,MATCH("Q"&amp;$A2,Scores[#Headers],0)))</calculatedColumnFormula>
    </tableColumn>
    <tableColumn id="22" xr3:uid="{F0031D49-EFC1-E646-96B5-5ACDEE7144A7}" name="Pt_biserial" dataDxfId="49" dataCellStyle="Normal">
      <calculatedColumnFormula>IFERROR(CORREL(INDEX(Scores[#Data],0,MATCH("Q"&amp;$A2,Scores[#Headers],0)),Scores[MC]),"")</calculatedColumnFormula>
    </tableColumn>
  </tableColumns>
  <tableStyleInfo name="Light &amp; Ai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0A06A6-D827-7745-BAB7-06A2EE76F7CF}" name="Task" displayName="Task" ref="A1:B19" totalsRowShown="0" headerRowCellStyle="Normal" dataCellStyle="Normal">
  <autoFilter ref="A1:B19" xr:uid="{A70A06A6-D827-7745-BAB7-06A2EE76F7CF}"/>
  <tableColumns count="2">
    <tableColumn id="1" xr3:uid="{1ED7C801-8C12-4547-8A21-043648FC222B}" name="Model" dataDxfId="137" dataCellStyle="Normal"/>
    <tableColumn id="2" xr3:uid="{EEAF2FCD-AC27-1142-B84A-8C9DC7EA38CE}" name="Detail" dataDxfId="136" dataCellStyle="Normal"/>
  </tableColumns>
  <tableStyleInfo name="Light &amp; Ai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05F26E-163F-1A40-AC13-2CC7B71582B1}" name="Content" displayName="Content" ref="A1:C178" totalsRowShown="0" headerRowCellStyle="Normal" dataCellStyle="Normal">
  <autoFilter ref="A1:C178" xr:uid="{4005F26E-163F-1A40-AC13-2CC7B71582B1}"/>
  <tableColumns count="3">
    <tableColumn id="1" xr3:uid="{AAC76080-BCE6-7945-8131-9CB3649EDBE1}" name="Standard" dataDxfId="138" dataCellStyle="Normal"/>
    <tableColumn id="2" xr3:uid="{43FA2F29-0C28-5549-AF7E-AA2C8CCC8AAB}" name="Concept" dataDxfId="135" dataCellStyle="Normal"/>
    <tableColumn id="4" xr3:uid="{619ACD92-F1C5-E44A-AE5C-F9C36F8CF4BB}" name="Specifications" dataDxfId="134" dataCellStyle="Normal"/>
  </tableColumns>
  <tableStyleInfo name="Light &amp; Air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9794BC-A9B1-A24D-A93C-F9EE4FFFB436}" name="SkillStandardsTable" displayName="SkillStandardsTable" ref="A1:C42" totalsRowShown="0">
  <autoFilter ref="A1:C42" xr:uid="{9C9794BC-A9B1-A24D-A93C-F9EE4FFFB436}"/>
  <tableColumns count="3">
    <tableColumn id="1" xr3:uid="{3988149A-BEB8-6B41-8B4D-487B7E0C6711}" name="Standard" dataDxfId="48"/>
    <tableColumn id="6" xr3:uid="{45E8B389-0505-7B40-8F6B-2055107B55A8}" name="Concept" dataDxfId="46"/>
    <tableColumn id="3" xr3:uid="{210E1936-7BA3-294B-A114-D0E14FD78154}" name="Specification" dataDxfId="47"/>
  </tableColumns>
  <tableStyleInfo name="Light &amp; Airy"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CC1277-9526-6D44-B7D4-2AF9C1950B50}">
  <we:reference id="wa200009404" version="1.0.0.8" store="en-US" storeType="OMEX"/>
  <we:alternateReferences>
    <we:reference id="WA200009404" version="1.0.0.8" store="WA200009404" storeType="OMEX"/>
  </we:alternateReferences>
  <we:properties>
    <we:property name="claude.fileId" value="&quot;a1febebc-05db-4e9f-9714-9e57fb8f6d6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3270-5BC8-1A41-A8ED-EDBB49F048A5}">
  <dimension ref="A1:BY137"/>
  <sheetViews>
    <sheetView showGridLines="0" tabSelected="1" zoomScale="112" workbookViewId="0">
      <selection activeCell="E6" sqref="E6"/>
    </sheetView>
  </sheetViews>
  <sheetFormatPr baseColWidth="10" defaultRowHeight="16"/>
  <cols>
    <col min="1" max="1" width="10.83203125" style="105"/>
    <col min="2" max="3" width="8.83203125" style="7" customWidth="1"/>
    <col min="4" max="4" width="8.83203125" style="85" customWidth="1"/>
    <col min="5" max="6" width="8.83203125" style="88" customWidth="1"/>
    <col min="7" max="7" width="8.83203125" style="87" customWidth="1"/>
    <col min="8" max="34" width="8.83203125" style="7" customWidth="1"/>
    <col min="35" max="35" width="8.83203125" style="87" customWidth="1"/>
    <col min="36" max="36" width="8.83203125" style="85" customWidth="1"/>
    <col min="37" max="41" width="8.83203125" style="88" customWidth="1"/>
    <col min="42" max="42" width="8.83203125" style="87" customWidth="1"/>
    <col min="43" max="43" width="8.83203125" style="86" customWidth="1"/>
    <col min="44" max="71" width="8.83203125" style="7" customWidth="1"/>
  </cols>
  <sheetData>
    <row r="1" spans="1:71">
      <c r="A1" s="105" t="s">
        <v>0</v>
      </c>
      <c r="B1" s="7" t="s">
        <v>1</v>
      </c>
      <c r="C1" s="88" t="s">
        <v>2</v>
      </c>
      <c r="D1" s="85" t="s">
        <v>35</v>
      </c>
      <c r="E1" s="88" t="s">
        <v>649</v>
      </c>
      <c r="F1" s="88" t="s">
        <v>650</v>
      </c>
      <c r="G1" s="87" t="s">
        <v>34</v>
      </c>
      <c r="H1" s="88" t="s">
        <v>42</v>
      </c>
      <c r="I1" s="7" t="s">
        <v>43</v>
      </c>
      <c r="J1" s="7" t="s">
        <v>44</v>
      </c>
      <c r="K1" s="7" t="s">
        <v>45</v>
      </c>
      <c r="L1" s="7" t="s">
        <v>46</v>
      </c>
      <c r="M1" s="7" t="s">
        <v>47</v>
      </c>
      <c r="N1" s="7" t="s">
        <v>48</v>
      </c>
      <c r="O1" s="7" t="s">
        <v>49</v>
      </c>
      <c r="P1" s="7" t="s">
        <v>50</v>
      </c>
      <c r="Q1" s="7" t="s">
        <v>51</v>
      </c>
      <c r="R1" s="7" t="s">
        <v>52</v>
      </c>
      <c r="S1" s="7" t="s">
        <v>53</v>
      </c>
      <c r="T1" s="7" t="s">
        <v>54</v>
      </c>
      <c r="U1" s="7" t="s">
        <v>55</v>
      </c>
      <c r="V1" s="7" t="s">
        <v>56</v>
      </c>
      <c r="W1" s="7" t="s">
        <v>57</v>
      </c>
      <c r="X1" s="7" t="s">
        <v>58</v>
      </c>
      <c r="Y1" s="7" t="s">
        <v>59</v>
      </c>
      <c r="Z1" s="7" t="s">
        <v>60</v>
      </c>
      <c r="AA1" s="7" t="s">
        <v>61</v>
      </c>
      <c r="AB1" s="7" t="s">
        <v>62</v>
      </c>
      <c r="AC1" s="7" t="s">
        <v>63</v>
      </c>
      <c r="AD1" s="7" t="s">
        <v>64</v>
      </c>
      <c r="AE1" s="7" t="s">
        <v>65</v>
      </c>
      <c r="AF1" s="7" t="s">
        <v>66</v>
      </c>
      <c r="AG1" s="7" t="s">
        <v>67</v>
      </c>
      <c r="AH1" s="7" t="s">
        <v>68</v>
      </c>
      <c r="AI1" s="87" t="s">
        <v>69</v>
      </c>
      <c r="AJ1" s="95" t="s">
        <v>70</v>
      </c>
      <c r="AK1" s="84" t="s">
        <v>71</v>
      </c>
      <c r="AL1" s="84" t="s">
        <v>72</v>
      </c>
      <c r="AM1" s="84" t="s">
        <v>73</v>
      </c>
      <c r="AN1" s="84" t="s">
        <v>74</v>
      </c>
      <c r="AO1" s="84" t="s">
        <v>651</v>
      </c>
      <c r="AP1" s="94" t="s">
        <v>652</v>
      </c>
      <c r="AQ1" s="86" t="s">
        <v>76</v>
      </c>
      <c r="AR1" s="7" t="s">
        <v>4</v>
      </c>
      <c r="AS1" s="7" t="s">
        <v>5</v>
      </c>
      <c r="AT1" s="7" t="s">
        <v>6</v>
      </c>
      <c r="AU1" s="7" t="s">
        <v>7</v>
      </c>
      <c r="AV1" s="7" t="s">
        <v>8</v>
      </c>
      <c r="AW1" s="7" t="s">
        <v>9</v>
      </c>
      <c r="AX1" s="7" t="s">
        <v>10</v>
      </c>
      <c r="AY1" s="7" t="s">
        <v>11</v>
      </c>
      <c r="AZ1" s="7" t="s">
        <v>12</v>
      </c>
      <c r="BA1" s="7" t="s">
        <v>13</v>
      </c>
      <c r="BB1" s="7" t="s">
        <v>14</v>
      </c>
      <c r="BC1" s="7" t="s">
        <v>15</v>
      </c>
      <c r="BD1" s="7" t="s">
        <v>16</v>
      </c>
      <c r="BE1" s="7" t="s">
        <v>17</v>
      </c>
      <c r="BF1" s="7" t="s">
        <v>18</v>
      </c>
      <c r="BG1" s="7" t="s">
        <v>19</v>
      </c>
      <c r="BH1" s="7" t="s">
        <v>20</v>
      </c>
      <c r="BI1" s="7" t="s">
        <v>21</v>
      </c>
      <c r="BJ1" s="7" t="s">
        <v>22</v>
      </c>
      <c r="BK1" s="7" t="s">
        <v>23</v>
      </c>
      <c r="BL1" s="7" t="s">
        <v>24</v>
      </c>
      <c r="BM1" s="7" t="s">
        <v>25</v>
      </c>
      <c r="BN1" s="7" t="s">
        <v>26</v>
      </c>
      <c r="BO1" s="7" t="s">
        <v>27</v>
      </c>
      <c r="BP1" s="7" t="s">
        <v>28</v>
      </c>
      <c r="BQ1" s="7" t="s">
        <v>29</v>
      </c>
      <c r="BR1" s="7" t="s">
        <v>30</v>
      </c>
      <c r="BS1" s="7" t="s">
        <v>31</v>
      </c>
    </row>
    <row r="2" spans="1:71">
      <c r="A2" s="10">
        <v>1</v>
      </c>
      <c r="B2" s="14" t="b">
        <v>0</v>
      </c>
      <c r="C2" s="14" t="b">
        <v>0</v>
      </c>
      <c r="D2" s="102">
        <f>SUM(Scores[[#This Row],[Q1]:[Q28]])</f>
        <v>22</v>
      </c>
      <c r="E2" s="103">
        <f>SUM(Scores[[#This Row],[29]:[34b]])</f>
        <v>0</v>
      </c>
      <c r="F2" s="103">
        <f>Scores[[#This Row],[35]]</f>
        <v>0</v>
      </c>
      <c r="G2" s="104">
        <f>INDEX('Conversion Chart'!$C$3:$M$38,MATCH(SUM(Scores[[#This Row],[MC]:[CRQ]]),'Conversion Chart'!$B$3:$B$38,0),MATCH(Scores[[#This Row],[EIE]],'Conversion Chart'!$C$2:$M$2,0))</f>
        <v>57</v>
      </c>
      <c r="H2" s="5">
        <v>4</v>
      </c>
      <c r="I2" s="5">
        <v>3</v>
      </c>
      <c r="J2" s="5">
        <v>1</v>
      </c>
      <c r="K2" s="5">
        <v>3</v>
      </c>
      <c r="L2" s="5">
        <v>2</v>
      </c>
      <c r="M2" s="5">
        <v>3</v>
      </c>
      <c r="N2" s="5">
        <v>3</v>
      </c>
      <c r="O2" s="5">
        <v>4</v>
      </c>
      <c r="P2" s="5">
        <v>1</v>
      </c>
      <c r="Q2" s="5">
        <v>1</v>
      </c>
      <c r="R2" s="5">
        <v>4</v>
      </c>
      <c r="S2" s="5">
        <v>3</v>
      </c>
      <c r="T2" s="5">
        <v>1</v>
      </c>
      <c r="U2" s="5">
        <v>4</v>
      </c>
      <c r="V2" s="5">
        <v>1</v>
      </c>
      <c r="W2" s="5">
        <v>4</v>
      </c>
      <c r="X2" s="5">
        <v>2</v>
      </c>
      <c r="Y2" s="5">
        <v>3</v>
      </c>
      <c r="Z2" s="5">
        <v>2</v>
      </c>
      <c r="AA2" s="5">
        <v>1</v>
      </c>
      <c r="AB2" s="5">
        <v>2</v>
      </c>
      <c r="AC2" s="5">
        <v>1</v>
      </c>
      <c r="AD2" s="5">
        <v>3</v>
      </c>
      <c r="AE2" s="5">
        <v>2</v>
      </c>
      <c r="AF2" s="5">
        <v>4</v>
      </c>
      <c r="AG2" s="5">
        <v>3</v>
      </c>
      <c r="AH2" s="5">
        <v>1</v>
      </c>
      <c r="AI2" s="104">
        <v>1</v>
      </c>
      <c r="AJ2" s="95"/>
      <c r="AK2" s="84"/>
      <c r="AL2" s="84"/>
      <c r="AM2" s="84"/>
      <c r="AN2" s="84"/>
      <c r="AO2" s="84"/>
      <c r="AP2" s="94"/>
      <c r="AR2" s="7">
        <f>IF(H2=VLOOKUP(VALUE(H$1),Questions!$A:$E,5,FALSE),1,0)</f>
        <v>1</v>
      </c>
      <c r="AS2" s="7">
        <f>IF(I2=VLOOKUP(VALUE(I$1),Questions!$A:$E,5,FALSE),1,0)</f>
        <v>1</v>
      </c>
      <c r="AT2" s="7">
        <f>IF(J2=VLOOKUP(VALUE(J$1),Questions!$A:$E,5,FALSE),1,0)</f>
        <v>1</v>
      </c>
      <c r="AU2" s="7">
        <f>IF(K2=VLOOKUP(VALUE(K$1),Questions!$A:$E,5,FALSE),1,0)</f>
        <v>0</v>
      </c>
      <c r="AV2" s="7">
        <f>IF(L2=VLOOKUP(VALUE(L$1),Questions!$A:$E,5,FALSE),1,0)</f>
        <v>1</v>
      </c>
      <c r="AW2" s="7">
        <f>IF(M2=VLOOKUP(VALUE(M$1),Questions!$A:$E,5,FALSE),1,0)</f>
        <v>0</v>
      </c>
      <c r="AX2" s="7">
        <f>IF(N2=VLOOKUP(VALUE(N$1),Questions!$A:$E,5,FALSE),1,0)</f>
        <v>1</v>
      </c>
      <c r="AY2" s="7">
        <f>IF(O2=VLOOKUP(VALUE(O$1),Questions!$A:$E,5,FALSE),1,0)</f>
        <v>0</v>
      </c>
      <c r="AZ2" s="7">
        <f>IF(P2=VLOOKUP(VALUE(P$1),Questions!$A:$E,5,FALSE),1,0)</f>
        <v>1</v>
      </c>
      <c r="BA2" s="7">
        <f>IF(Q2=VLOOKUP(VALUE(Q$1),Questions!$A:$E,5,FALSE),1,0)</f>
        <v>1</v>
      </c>
      <c r="BB2" s="7">
        <f>IF(R2=VLOOKUP(VALUE(R$1),Questions!$A:$E,5,FALSE),1,0)</f>
        <v>1</v>
      </c>
      <c r="BC2" s="7">
        <f>IF(S2=VLOOKUP(VALUE(S$1),Questions!$A:$E,5,FALSE),1,0)</f>
        <v>0</v>
      </c>
      <c r="BD2" s="7">
        <f>IF(T2=VLOOKUP(VALUE(T$1),Questions!$A:$E,5,FALSE),1,0)</f>
        <v>1</v>
      </c>
      <c r="BE2" s="7">
        <f>IF(U2=VLOOKUP(VALUE(U$1),Questions!$A:$E,5,FALSE),1,0)</f>
        <v>1</v>
      </c>
      <c r="BF2" s="7">
        <f>IF(V2=VLOOKUP(VALUE(V$1),Questions!$A:$E,5,FALSE),1,0)</f>
        <v>0</v>
      </c>
      <c r="BG2" s="7">
        <f>IF(W2=VLOOKUP(VALUE(W$1),Questions!$A:$E,5,FALSE),1,0)</f>
        <v>1</v>
      </c>
      <c r="BH2" s="7">
        <f>IF(X2=VLOOKUP(VALUE(X$1),Questions!$A:$E,5,FALSE),1,0)</f>
        <v>1</v>
      </c>
      <c r="BI2" s="7">
        <f>IF(Y2=VLOOKUP(VALUE(Y$1),Questions!$A:$E,5,FALSE),1,0)</f>
        <v>1</v>
      </c>
      <c r="BJ2" s="7">
        <f>IF(Z2=VLOOKUP(VALUE(Z$1),Questions!$A:$E,5,FALSE),1,0)</f>
        <v>1</v>
      </c>
      <c r="BK2" s="7">
        <f>IF(AA2=VLOOKUP(VALUE(AA$1),Questions!$A:$E,5,FALSE),1,0)</f>
        <v>0</v>
      </c>
      <c r="BL2" s="7">
        <f>IF(AB2=VLOOKUP(VALUE(AB$1),Questions!$A:$E,5,FALSE),1,0)</f>
        <v>1</v>
      </c>
      <c r="BM2" s="7">
        <f>IF(AC2=VLOOKUP(VALUE(AC$1),Questions!$A:$E,5,FALSE),1,0)</f>
        <v>1</v>
      </c>
      <c r="BN2" s="7">
        <f>IF(AD2=VLOOKUP(VALUE(AD$1),Questions!$A:$E,5,FALSE),1,0)</f>
        <v>1</v>
      </c>
      <c r="BO2" s="7">
        <f>IF(AE2=VLOOKUP(VALUE(AE$1),Questions!$A:$E,5,FALSE),1,0)</f>
        <v>1</v>
      </c>
      <c r="BP2" s="7">
        <f>IF(AF2=VLOOKUP(VALUE(AF$1),Questions!$A:$E,5,FALSE),1,0)</f>
        <v>1</v>
      </c>
      <c r="BQ2" s="7">
        <f>IF(AG2=VLOOKUP(VALUE(AG$1),Questions!$A:$E,5,FALSE),1,0)</f>
        <v>1</v>
      </c>
      <c r="BR2" s="7">
        <f>IF(AH2=VLOOKUP(VALUE(AH$1),Questions!$A:$E,5,FALSE),1,0)</f>
        <v>1</v>
      </c>
      <c r="BS2" s="7">
        <f>IF(AI2=VLOOKUP(VALUE(AI$1),Questions!$A:$E,5,FALSE),1,0)</f>
        <v>1</v>
      </c>
    </row>
    <row r="3" spans="1:71">
      <c r="A3" s="10">
        <v>2</v>
      </c>
      <c r="B3" s="14" t="b">
        <v>0</v>
      </c>
      <c r="C3" s="14" t="b">
        <v>0</v>
      </c>
      <c r="D3" s="102">
        <f>SUM(Scores[[#This Row],[Q1]:[Q28]])</f>
        <v>24</v>
      </c>
      <c r="E3" s="103">
        <f>SUM(Scores[[#This Row],[29]:[34b]])</f>
        <v>0</v>
      </c>
      <c r="F3" s="103">
        <f>Scores[[#This Row],[35]]</f>
        <v>0</v>
      </c>
      <c r="G3" s="104">
        <f>INDEX('Conversion Chart'!$C$3:$M$38,MATCH(SUM(Scores[[#This Row],[MC]:[CRQ]]),'Conversion Chart'!$B$3:$B$38,0),MATCH(Scores[[#This Row],[EIE]],'Conversion Chart'!$C$2:$M$2,0))</f>
        <v>61</v>
      </c>
      <c r="H3" s="5">
        <v>4</v>
      </c>
      <c r="I3" s="5">
        <v>3</v>
      </c>
      <c r="J3" s="5">
        <v>1</v>
      </c>
      <c r="K3" s="5">
        <v>2</v>
      </c>
      <c r="L3" s="5">
        <v>4</v>
      </c>
      <c r="M3" s="5">
        <v>4</v>
      </c>
      <c r="N3" s="5">
        <v>3</v>
      </c>
      <c r="O3" s="5">
        <v>4</v>
      </c>
      <c r="P3" s="5">
        <v>1</v>
      </c>
      <c r="Q3" s="5">
        <v>1</v>
      </c>
      <c r="R3" s="5">
        <v>4</v>
      </c>
      <c r="S3" s="5">
        <v>2</v>
      </c>
      <c r="T3" s="5">
        <v>1</v>
      </c>
      <c r="U3" s="5">
        <v>4</v>
      </c>
      <c r="V3" s="5">
        <v>3</v>
      </c>
      <c r="W3" s="5">
        <v>4</v>
      </c>
      <c r="X3" s="5">
        <v>2</v>
      </c>
      <c r="Y3" s="5">
        <v>3</v>
      </c>
      <c r="Z3" s="5">
        <v>2</v>
      </c>
      <c r="AA3" s="5">
        <v>3</v>
      </c>
      <c r="AB3" s="5">
        <v>2</v>
      </c>
      <c r="AC3" s="5">
        <v>3</v>
      </c>
      <c r="AD3" s="5">
        <v>3</v>
      </c>
      <c r="AE3" s="5">
        <v>4</v>
      </c>
      <c r="AF3" s="5">
        <v>4</v>
      </c>
      <c r="AG3" s="5">
        <v>3</v>
      </c>
      <c r="AH3" s="5">
        <v>1</v>
      </c>
      <c r="AI3" s="104">
        <v>1</v>
      </c>
      <c r="AJ3" s="95"/>
      <c r="AK3" s="84"/>
      <c r="AL3" s="84"/>
      <c r="AM3" s="84"/>
      <c r="AN3" s="84"/>
      <c r="AO3" s="84"/>
      <c r="AP3" s="94"/>
      <c r="AR3" s="11">
        <f>IF(H3=VLOOKUP(VALUE(H$1),Questions!$A:$E,5,FALSE),1,0)</f>
        <v>1</v>
      </c>
      <c r="AS3" s="11">
        <f>IF(I3=VLOOKUP(VALUE(I$1),Questions!$A:$E,5,FALSE),1,0)</f>
        <v>1</v>
      </c>
      <c r="AT3" s="11">
        <f>IF(J3=VLOOKUP(VALUE(J$1),Questions!$A:$E,5,FALSE),1,0)</f>
        <v>1</v>
      </c>
      <c r="AU3" s="11">
        <f>IF(K3=VLOOKUP(VALUE(K$1),Questions!$A:$E,5,FALSE),1,0)</f>
        <v>1</v>
      </c>
      <c r="AV3" s="11">
        <f>IF(L3=VLOOKUP(VALUE(L$1),Questions!$A:$E,5,FALSE),1,0)</f>
        <v>0</v>
      </c>
      <c r="AW3" s="11">
        <f>IF(M3=VLOOKUP(VALUE(M$1),Questions!$A:$E,5,FALSE),1,0)</f>
        <v>1</v>
      </c>
      <c r="AX3" s="11">
        <f>IF(N3=VLOOKUP(VALUE(N$1),Questions!$A:$E,5,FALSE),1,0)</f>
        <v>1</v>
      </c>
      <c r="AY3" s="11">
        <f>IF(O3=VLOOKUP(VALUE(O$1),Questions!$A:$E,5,FALSE),1,0)</f>
        <v>0</v>
      </c>
      <c r="AZ3" s="11">
        <f>IF(P3=VLOOKUP(VALUE(P$1),Questions!$A:$E,5,FALSE),1,0)</f>
        <v>1</v>
      </c>
      <c r="BA3" s="11">
        <f>IF(Q3=VLOOKUP(VALUE(Q$1),Questions!$A:$E,5,FALSE),1,0)</f>
        <v>1</v>
      </c>
      <c r="BB3" s="11">
        <f>IF(R3=VLOOKUP(VALUE(R$1),Questions!$A:$E,5,FALSE),1,0)</f>
        <v>1</v>
      </c>
      <c r="BC3" s="11">
        <f>IF(S3=VLOOKUP(VALUE(S$1),Questions!$A:$E,5,FALSE),1,0)</f>
        <v>1</v>
      </c>
      <c r="BD3" s="11">
        <f>IF(T3=VLOOKUP(VALUE(T$1),Questions!$A:$E,5,FALSE),1,0)</f>
        <v>1</v>
      </c>
      <c r="BE3" s="11">
        <f>IF(U3=VLOOKUP(VALUE(U$1),Questions!$A:$E,5,FALSE),1,0)</f>
        <v>1</v>
      </c>
      <c r="BF3" s="11">
        <f>IF(V3=VLOOKUP(VALUE(V$1),Questions!$A:$E,5,FALSE),1,0)</f>
        <v>1</v>
      </c>
      <c r="BG3" s="11">
        <f>IF(W3=VLOOKUP(VALUE(W$1),Questions!$A:$E,5,FALSE),1,0)</f>
        <v>1</v>
      </c>
      <c r="BH3" s="11">
        <f>IF(X3=VLOOKUP(VALUE(X$1),Questions!$A:$E,5,FALSE),1,0)</f>
        <v>1</v>
      </c>
      <c r="BI3" s="11">
        <f>IF(Y3=VLOOKUP(VALUE(Y$1),Questions!$A:$E,5,FALSE),1,0)</f>
        <v>1</v>
      </c>
      <c r="BJ3" s="11">
        <f>IF(Z3=VLOOKUP(VALUE(Z$1),Questions!$A:$E,5,FALSE),1,0)</f>
        <v>1</v>
      </c>
      <c r="BK3" s="11">
        <f>IF(AA3=VLOOKUP(VALUE(AA$1),Questions!$A:$E,5,FALSE),1,0)</f>
        <v>1</v>
      </c>
      <c r="BL3" s="11">
        <f>IF(AB3=VLOOKUP(VALUE(AB$1),Questions!$A:$E,5,FALSE),1,0)</f>
        <v>1</v>
      </c>
      <c r="BM3" s="11">
        <f>IF(AC3=VLOOKUP(VALUE(AC$1),Questions!$A:$E,5,FALSE),1,0)</f>
        <v>0</v>
      </c>
      <c r="BN3" s="11">
        <f>IF(AD3=VLOOKUP(VALUE(AD$1),Questions!$A:$E,5,FALSE),1,0)</f>
        <v>1</v>
      </c>
      <c r="BO3" s="11">
        <f>IF(AE3=VLOOKUP(VALUE(AE$1),Questions!$A:$E,5,FALSE),1,0)</f>
        <v>0</v>
      </c>
      <c r="BP3" s="11">
        <f>IF(AF3=VLOOKUP(VALUE(AF$1),Questions!$A:$E,5,FALSE),1,0)</f>
        <v>1</v>
      </c>
      <c r="BQ3" s="11">
        <f>IF(AG3=VLOOKUP(VALUE(AG$1),Questions!$A:$E,5,FALSE),1,0)</f>
        <v>1</v>
      </c>
      <c r="BR3" s="11">
        <f>IF(AH3=VLOOKUP(VALUE(AH$1),Questions!$A:$E,5,FALSE),1,0)</f>
        <v>1</v>
      </c>
      <c r="BS3" s="11">
        <f>IF(AI3=VLOOKUP(VALUE(AI$1),Questions!$A:$E,5,FALSE),1,0)</f>
        <v>1</v>
      </c>
    </row>
    <row r="4" spans="1:71">
      <c r="A4" s="10">
        <v>3</v>
      </c>
      <c r="B4" s="14" t="b">
        <v>0</v>
      </c>
      <c r="C4" s="14" t="b">
        <v>0</v>
      </c>
      <c r="D4" s="102">
        <f>SUM(Scores[[#This Row],[Q1]:[Q28]])</f>
        <v>15</v>
      </c>
      <c r="E4" s="103">
        <f>SUM(Scores[[#This Row],[29]:[34b]])</f>
        <v>0</v>
      </c>
      <c r="F4" s="103">
        <f>Scores[[#This Row],[35]]</f>
        <v>0</v>
      </c>
      <c r="G4" s="104">
        <f>INDEX('Conversion Chart'!$C$3:$M$38,MATCH(SUM(Scores[[#This Row],[MC]:[CRQ]]),'Conversion Chart'!$B$3:$B$38,0),MATCH(Scores[[#This Row],[EIE]],'Conversion Chart'!$C$2:$M$2,0))</f>
        <v>42</v>
      </c>
      <c r="H4" s="5">
        <v>4</v>
      </c>
      <c r="I4" s="5">
        <v>3</v>
      </c>
      <c r="J4" s="5">
        <v>1</v>
      </c>
      <c r="K4" s="5">
        <v>2</v>
      </c>
      <c r="L4" s="5">
        <v>1</v>
      </c>
      <c r="M4" s="5">
        <v>4</v>
      </c>
      <c r="N4" s="5">
        <v>3</v>
      </c>
      <c r="O4" s="5">
        <v>3</v>
      </c>
      <c r="P4" s="5">
        <v>2</v>
      </c>
      <c r="Q4" s="5">
        <v>3</v>
      </c>
      <c r="R4" s="5">
        <v>4</v>
      </c>
      <c r="S4" s="5">
        <v>3</v>
      </c>
      <c r="T4" s="5">
        <v>2</v>
      </c>
      <c r="U4" s="5">
        <v>1</v>
      </c>
      <c r="V4" s="5">
        <v>1</v>
      </c>
      <c r="W4" s="5">
        <v>4</v>
      </c>
      <c r="X4" s="5">
        <v>2</v>
      </c>
      <c r="Y4" s="5">
        <v>3</v>
      </c>
      <c r="Z4" s="5">
        <v>2</v>
      </c>
      <c r="AA4" s="5">
        <v>1</v>
      </c>
      <c r="AB4" s="5">
        <v>2</v>
      </c>
      <c r="AC4" s="5">
        <v>4</v>
      </c>
      <c r="AD4" s="5">
        <v>3</v>
      </c>
      <c r="AE4" s="5">
        <v>4</v>
      </c>
      <c r="AF4" s="5">
        <v>4</v>
      </c>
      <c r="AG4" s="5">
        <v>2</v>
      </c>
      <c r="AH4" s="5">
        <v>3</v>
      </c>
      <c r="AI4" s="104">
        <v>1</v>
      </c>
      <c r="AJ4" s="95"/>
      <c r="AK4" s="84"/>
      <c r="AL4" s="84"/>
      <c r="AM4" s="84"/>
      <c r="AN4" s="84"/>
      <c r="AO4" s="84"/>
      <c r="AP4" s="94"/>
      <c r="AR4" s="11">
        <f>IF(H4=VLOOKUP(VALUE(H$1),Questions!$A:$E,5,FALSE),1,0)</f>
        <v>1</v>
      </c>
      <c r="AS4" s="11">
        <f>IF(I4=VLOOKUP(VALUE(I$1),Questions!$A:$E,5,FALSE),1,0)</f>
        <v>1</v>
      </c>
      <c r="AT4" s="11">
        <f>IF(J4=VLOOKUP(VALUE(J$1),Questions!$A:$E,5,FALSE),1,0)</f>
        <v>1</v>
      </c>
      <c r="AU4" s="11">
        <f>IF(K4=VLOOKUP(VALUE(K$1),Questions!$A:$E,5,FALSE),1,0)</f>
        <v>1</v>
      </c>
      <c r="AV4" s="11">
        <f>IF(L4=VLOOKUP(VALUE(L$1),Questions!$A:$E,5,FALSE),1,0)</f>
        <v>0</v>
      </c>
      <c r="AW4" s="11">
        <f>IF(M4=VLOOKUP(VALUE(M$1),Questions!$A:$E,5,FALSE),1,0)</f>
        <v>1</v>
      </c>
      <c r="AX4" s="11">
        <f>IF(N4=VLOOKUP(VALUE(N$1),Questions!$A:$E,5,FALSE),1,0)</f>
        <v>1</v>
      </c>
      <c r="AY4" s="11">
        <f>IF(O4=VLOOKUP(VALUE(O$1),Questions!$A:$E,5,FALSE),1,0)</f>
        <v>0</v>
      </c>
      <c r="AZ4" s="11">
        <f>IF(P4=VLOOKUP(VALUE(P$1),Questions!$A:$E,5,FALSE),1,0)</f>
        <v>0</v>
      </c>
      <c r="BA4" s="11">
        <f>IF(Q4=VLOOKUP(VALUE(Q$1),Questions!$A:$E,5,FALSE),1,0)</f>
        <v>0</v>
      </c>
      <c r="BB4" s="11">
        <f>IF(R4=VLOOKUP(VALUE(R$1),Questions!$A:$E,5,FALSE),1,0)</f>
        <v>1</v>
      </c>
      <c r="BC4" s="11">
        <f>IF(S4=VLOOKUP(VALUE(S$1),Questions!$A:$E,5,FALSE),1,0)</f>
        <v>0</v>
      </c>
      <c r="BD4" s="11">
        <f>IF(T4=VLOOKUP(VALUE(T$1),Questions!$A:$E,5,FALSE),1,0)</f>
        <v>0</v>
      </c>
      <c r="BE4" s="11">
        <f>IF(U4=VLOOKUP(VALUE(U$1),Questions!$A:$E,5,FALSE),1,0)</f>
        <v>0</v>
      </c>
      <c r="BF4" s="11">
        <f>IF(V4=VLOOKUP(VALUE(V$1),Questions!$A:$E,5,FALSE),1,0)</f>
        <v>0</v>
      </c>
      <c r="BG4" s="11">
        <f>IF(W4=VLOOKUP(VALUE(W$1),Questions!$A:$E,5,FALSE),1,0)</f>
        <v>1</v>
      </c>
      <c r="BH4" s="11">
        <f>IF(X4=VLOOKUP(VALUE(X$1),Questions!$A:$E,5,FALSE),1,0)</f>
        <v>1</v>
      </c>
      <c r="BI4" s="11">
        <f>IF(Y4=VLOOKUP(VALUE(Y$1),Questions!$A:$E,5,FALSE),1,0)</f>
        <v>1</v>
      </c>
      <c r="BJ4" s="11">
        <f>IF(Z4=VLOOKUP(VALUE(Z$1),Questions!$A:$E,5,FALSE),1,0)</f>
        <v>1</v>
      </c>
      <c r="BK4" s="11">
        <f>IF(AA4=VLOOKUP(VALUE(AA$1),Questions!$A:$E,5,FALSE),1,0)</f>
        <v>0</v>
      </c>
      <c r="BL4" s="11">
        <f>IF(AB4=VLOOKUP(VALUE(AB$1),Questions!$A:$E,5,FALSE),1,0)</f>
        <v>1</v>
      </c>
      <c r="BM4" s="11">
        <f>IF(AC4=VLOOKUP(VALUE(AC$1),Questions!$A:$E,5,FALSE),1,0)</f>
        <v>0</v>
      </c>
      <c r="BN4" s="11">
        <f>IF(AD4=VLOOKUP(VALUE(AD$1),Questions!$A:$E,5,FALSE),1,0)</f>
        <v>1</v>
      </c>
      <c r="BO4" s="11">
        <f>IF(AE4=VLOOKUP(VALUE(AE$1),Questions!$A:$E,5,FALSE),1,0)</f>
        <v>0</v>
      </c>
      <c r="BP4" s="11">
        <f>IF(AF4=VLOOKUP(VALUE(AF$1),Questions!$A:$E,5,FALSE),1,0)</f>
        <v>1</v>
      </c>
      <c r="BQ4" s="11">
        <f>IF(AG4=VLOOKUP(VALUE(AG$1),Questions!$A:$E,5,FALSE),1,0)</f>
        <v>0</v>
      </c>
      <c r="BR4" s="11">
        <f>IF(AH4=VLOOKUP(VALUE(AH$1),Questions!$A:$E,5,FALSE),1,0)</f>
        <v>0</v>
      </c>
      <c r="BS4" s="11">
        <f>IF(AI4=VLOOKUP(VALUE(AI$1),Questions!$A:$E,5,FALSE),1,0)</f>
        <v>1</v>
      </c>
    </row>
    <row r="5" spans="1:71">
      <c r="A5" s="10">
        <v>4</v>
      </c>
      <c r="B5" s="14" t="b">
        <v>0</v>
      </c>
      <c r="C5" s="14" t="b">
        <v>0</v>
      </c>
      <c r="D5" s="102">
        <f>SUM(Scores[[#This Row],[Q1]:[Q28]])</f>
        <v>19</v>
      </c>
      <c r="E5" s="103">
        <f>SUM(Scores[[#This Row],[29]:[34b]])</f>
        <v>0</v>
      </c>
      <c r="F5" s="103">
        <f>Scores[[#This Row],[35]]</f>
        <v>0</v>
      </c>
      <c r="G5" s="104">
        <f>INDEX('Conversion Chart'!$C$3:$M$38,MATCH(SUM(Scores[[#This Row],[MC]:[CRQ]]),'Conversion Chart'!$B$3:$B$38,0),MATCH(Scores[[#This Row],[EIE]],'Conversion Chart'!$C$2:$M$2,0))</f>
        <v>51</v>
      </c>
      <c r="H5" s="5">
        <v>4</v>
      </c>
      <c r="I5" s="5">
        <v>3</v>
      </c>
      <c r="J5" s="5">
        <v>1</v>
      </c>
      <c r="K5" s="5">
        <v>4</v>
      </c>
      <c r="L5" s="5">
        <v>2</v>
      </c>
      <c r="M5" s="5">
        <v>4</v>
      </c>
      <c r="N5" s="5">
        <v>3</v>
      </c>
      <c r="O5" s="5">
        <v>4</v>
      </c>
      <c r="P5" s="5">
        <v>1</v>
      </c>
      <c r="Q5" s="5">
        <v>1</v>
      </c>
      <c r="R5" s="5">
        <v>4</v>
      </c>
      <c r="S5" s="5">
        <v>4</v>
      </c>
      <c r="T5" s="5">
        <v>1</v>
      </c>
      <c r="U5" s="5">
        <v>4</v>
      </c>
      <c r="V5" s="5">
        <v>1</v>
      </c>
      <c r="W5" s="5">
        <v>4</v>
      </c>
      <c r="X5" s="5">
        <v>2</v>
      </c>
      <c r="Y5" s="5">
        <v>2</v>
      </c>
      <c r="Z5" s="5">
        <v>1</v>
      </c>
      <c r="AA5" s="5">
        <v>3</v>
      </c>
      <c r="AB5" s="5">
        <v>2</v>
      </c>
      <c r="AC5" s="5">
        <v>3</v>
      </c>
      <c r="AD5" s="5">
        <v>3</v>
      </c>
      <c r="AE5" s="5">
        <v>4</v>
      </c>
      <c r="AF5" s="5">
        <v>4</v>
      </c>
      <c r="AG5" s="5">
        <v>2</v>
      </c>
      <c r="AH5" s="5">
        <v>1</v>
      </c>
      <c r="AI5" s="104">
        <v>1</v>
      </c>
      <c r="AJ5" s="95"/>
      <c r="AK5" s="84"/>
      <c r="AL5" s="84"/>
      <c r="AM5" s="84"/>
      <c r="AN5" s="84"/>
      <c r="AO5" s="84"/>
      <c r="AP5" s="94"/>
      <c r="AR5" s="11">
        <f>IF(H5=VLOOKUP(VALUE(H$1),Questions!$A:$E,5,FALSE),1,0)</f>
        <v>1</v>
      </c>
      <c r="AS5" s="11">
        <f>IF(I5=VLOOKUP(VALUE(I$1),Questions!$A:$E,5,FALSE),1,0)</f>
        <v>1</v>
      </c>
      <c r="AT5" s="11">
        <f>IF(J5=VLOOKUP(VALUE(J$1),Questions!$A:$E,5,FALSE),1,0)</f>
        <v>1</v>
      </c>
      <c r="AU5" s="11">
        <f>IF(K5=VLOOKUP(VALUE(K$1),Questions!$A:$E,5,FALSE),1,0)</f>
        <v>0</v>
      </c>
      <c r="AV5" s="11">
        <f>IF(L5=VLOOKUP(VALUE(L$1),Questions!$A:$E,5,FALSE),1,0)</f>
        <v>1</v>
      </c>
      <c r="AW5" s="11">
        <f>IF(M5=VLOOKUP(VALUE(M$1),Questions!$A:$E,5,FALSE),1,0)</f>
        <v>1</v>
      </c>
      <c r="AX5" s="11">
        <f>IF(N5=VLOOKUP(VALUE(N$1),Questions!$A:$E,5,FALSE),1,0)</f>
        <v>1</v>
      </c>
      <c r="AY5" s="11">
        <f>IF(O5=VLOOKUP(VALUE(O$1),Questions!$A:$E,5,FALSE),1,0)</f>
        <v>0</v>
      </c>
      <c r="AZ5" s="11">
        <f>IF(P5=VLOOKUP(VALUE(P$1),Questions!$A:$E,5,FALSE),1,0)</f>
        <v>1</v>
      </c>
      <c r="BA5" s="11">
        <f>IF(Q5=VLOOKUP(VALUE(Q$1),Questions!$A:$E,5,FALSE),1,0)</f>
        <v>1</v>
      </c>
      <c r="BB5" s="11">
        <f>IF(R5=VLOOKUP(VALUE(R$1),Questions!$A:$E,5,FALSE),1,0)</f>
        <v>1</v>
      </c>
      <c r="BC5" s="11">
        <f>IF(S5=VLOOKUP(VALUE(S$1),Questions!$A:$E,5,FALSE),1,0)</f>
        <v>0</v>
      </c>
      <c r="BD5" s="11">
        <f>IF(T5=VLOOKUP(VALUE(T$1),Questions!$A:$E,5,FALSE),1,0)</f>
        <v>1</v>
      </c>
      <c r="BE5" s="11">
        <f>IF(U5=VLOOKUP(VALUE(U$1),Questions!$A:$E,5,FALSE),1,0)</f>
        <v>1</v>
      </c>
      <c r="BF5" s="11">
        <f>IF(V5=VLOOKUP(VALUE(V$1),Questions!$A:$E,5,FALSE),1,0)</f>
        <v>0</v>
      </c>
      <c r="BG5" s="11">
        <f>IF(W5=VLOOKUP(VALUE(W$1),Questions!$A:$E,5,FALSE),1,0)</f>
        <v>1</v>
      </c>
      <c r="BH5" s="11">
        <f>IF(X5=VLOOKUP(VALUE(X$1),Questions!$A:$E,5,FALSE),1,0)</f>
        <v>1</v>
      </c>
      <c r="BI5" s="11">
        <f>IF(Y5=VLOOKUP(VALUE(Y$1),Questions!$A:$E,5,FALSE),1,0)</f>
        <v>0</v>
      </c>
      <c r="BJ5" s="11">
        <f>IF(Z5=VLOOKUP(VALUE(Z$1),Questions!$A:$E,5,FALSE),1,0)</f>
        <v>0</v>
      </c>
      <c r="BK5" s="11">
        <f>IF(AA5=VLOOKUP(VALUE(AA$1),Questions!$A:$E,5,FALSE),1,0)</f>
        <v>1</v>
      </c>
      <c r="BL5" s="11">
        <f>IF(AB5=VLOOKUP(VALUE(AB$1),Questions!$A:$E,5,FALSE),1,0)</f>
        <v>1</v>
      </c>
      <c r="BM5" s="11">
        <f>IF(AC5=VLOOKUP(VALUE(AC$1),Questions!$A:$E,5,FALSE),1,0)</f>
        <v>0</v>
      </c>
      <c r="BN5" s="11">
        <f>IF(AD5=VLOOKUP(VALUE(AD$1),Questions!$A:$E,5,FALSE),1,0)</f>
        <v>1</v>
      </c>
      <c r="BO5" s="11">
        <f>IF(AE5=VLOOKUP(VALUE(AE$1),Questions!$A:$E,5,FALSE),1,0)</f>
        <v>0</v>
      </c>
      <c r="BP5" s="11">
        <f>IF(AF5=VLOOKUP(VALUE(AF$1),Questions!$A:$E,5,FALSE),1,0)</f>
        <v>1</v>
      </c>
      <c r="BQ5" s="11">
        <f>IF(AG5=VLOOKUP(VALUE(AG$1),Questions!$A:$E,5,FALSE),1,0)</f>
        <v>0</v>
      </c>
      <c r="BR5" s="11">
        <f>IF(AH5=VLOOKUP(VALUE(AH$1),Questions!$A:$E,5,FALSE),1,0)</f>
        <v>1</v>
      </c>
      <c r="BS5" s="11">
        <f>IF(AI5=VLOOKUP(VALUE(AI$1),Questions!$A:$E,5,FALSE),1,0)</f>
        <v>1</v>
      </c>
    </row>
    <row r="6" spans="1:71">
      <c r="A6" s="10">
        <v>5</v>
      </c>
      <c r="B6" s="14" t="b">
        <v>0</v>
      </c>
      <c r="C6" s="14" t="b">
        <v>0</v>
      </c>
      <c r="D6" s="102">
        <f>SUM(Scores[[#This Row],[Q1]:[Q28]])</f>
        <v>20</v>
      </c>
      <c r="E6" s="103">
        <f>SUM(Scores[[#This Row],[29]:[34b]])</f>
        <v>0</v>
      </c>
      <c r="F6" s="103">
        <f>Scores[[#This Row],[35]]</f>
        <v>0</v>
      </c>
      <c r="G6" s="104">
        <f>INDEX('Conversion Chart'!$C$3:$M$38,MATCH(SUM(Scores[[#This Row],[MC]:[CRQ]]),'Conversion Chart'!$B$3:$B$38,0),MATCH(Scores[[#This Row],[EIE]],'Conversion Chart'!$C$2:$M$2,0))</f>
        <v>53</v>
      </c>
      <c r="H6" s="5">
        <v>4</v>
      </c>
      <c r="I6" s="5">
        <v>3</v>
      </c>
      <c r="J6" s="5">
        <v>1</v>
      </c>
      <c r="K6" s="5">
        <v>2</v>
      </c>
      <c r="L6" s="5">
        <v>4</v>
      </c>
      <c r="M6" s="5">
        <v>4</v>
      </c>
      <c r="N6" s="5">
        <v>3</v>
      </c>
      <c r="O6" s="5">
        <v>4</v>
      </c>
      <c r="P6" s="5">
        <v>1</v>
      </c>
      <c r="Q6" s="5">
        <v>1</v>
      </c>
      <c r="R6" s="5">
        <v>4</v>
      </c>
      <c r="S6" s="5">
        <v>2</v>
      </c>
      <c r="T6" s="5">
        <v>1</v>
      </c>
      <c r="U6" s="5">
        <v>4</v>
      </c>
      <c r="V6" s="5">
        <v>1</v>
      </c>
      <c r="W6" s="5">
        <v>4</v>
      </c>
      <c r="X6" s="5">
        <v>2</v>
      </c>
      <c r="Y6" s="5">
        <v>2</v>
      </c>
      <c r="Z6" s="5">
        <v>1</v>
      </c>
      <c r="AA6" s="5">
        <v>3</v>
      </c>
      <c r="AB6" s="5">
        <v>2</v>
      </c>
      <c r="AC6" s="5">
        <v>3</v>
      </c>
      <c r="AD6" s="5">
        <v>3</v>
      </c>
      <c r="AE6" s="5">
        <v>4</v>
      </c>
      <c r="AF6" s="5">
        <v>4</v>
      </c>
      <c r="AG6" s="5">
        <v>2</v>
      </c>
      <c r="AH6" s="5">
        <v>1</v>
      </c>
      <c r="AI6" s="104">
        <v>1</v>
      </c>
      <c r="AJ6" s="95"/>
      <c r="AK6" s="84"/>
      <c r="AL6" s="84"/>
      <c r="AM6" s="84"/>
      <c r="AN6" s="84"/>
      <c r="AO6" s="84"/>
      <c r="AP6" s="94"/>
      <c r="AR6" s="11">
        <f>IF(H6=VLOOKUP(VALUE(H$1),Questions!$A:$E,5,FALSE),1,0)</f>
        <v>1</v>
      </c>
      <c r="AS6" s="11">
        <f>IF(I6=VLOOKUP(VALUE(I$1),Questions!$A:$E,5,FALSE),1,0)</f>
        <v>1</v>
      </c>
      <c r="AT6" s="11">
        <f>IF(J6=VLOOKUP(VALUE(J$1),Questions!$A:$E,5,FALSE),1,0)</f>
        <v>1</v>
      </c>
      <c r="AU6" s="11">
        <f>IF(K6=VLOOKUP(VALUE(K$1),Questions!$A:$E,5,FALSE),1,0)</f>
        <v>1</v>
      </c>
      <c r="AV6" s="11">
        <f>IF(L6=VLOOKUP(VALUE(L$1),Questions!$A:$E,5,FALSE),1,0)</f>
        <v>0</v>
      </c>
      <c r="AW6" s="11">
        <f>IF(M6=VLOOKUP(VALUE(M$1),Questions!$A:$E,5,FALSE),1,0)</f>
        <v>1</v>
      </c>
      <c r="AX6" s="11">
        <f>IF(N6=VLOOKUP(VALUE(N$1),Questions!$A:$E,5,FALSE),1,0)</f>
        <v>1</v>
      </c>
      <c r="AY6" s="11">
        <f>IF(O6=VLOOKUP(VALUE(O$1),Questions!$A:$E,5,FALSE),1,0)</f>
        <v>0</v>
      </c>
      <c r="AZ6" s="11">
        <f>IF(P6=VLOOKUP(VALUE(P$1),Questions!$A:$E,5,FALSE),1,0)</f>
        <v>1</v>
      </c>
      <c r="BA6" s="11">
        <f>IF(Q6=VLOOKUP(VALUE(Q$1),Questions!$A:$E,5,FALSE),1,0)</f>
        <v>1</v>
      </c>
      <c r="BB6" s="11">
        <f>IF(R6=VLOOKUP(VALUE(R$1),Questions!$A:$E,5,FALSE),1,0)</f>
        <v>1</v>
      </c>
      <c r="BC6" s="11">
        <f>IF(S6=VLOOKUP(VALUE(S$1),Questions!$A:$E,5,FALSE),1,0)</f>
        <v>1</v>
      </c>
      <c r="BD6" s="11">
        <f>IF(T6=VLOOKUP(VALUE(T$1),Questions!$A:$E,5,FALSE),1,0)</f>
        <v>1</v>
      </c>
      <c r="BE6" s="11">
        <f>IF(U6=VLOOKUP(VALUE(U$1),Questions!$A:$E,5,FALSE),1,0)</f>
        <v>1</v>
      </c>
      <c r="BF6" s="11">
        <f>IF(V6=VLOOKUP(VALUE(V$1),Questions!$A:$E,5,FALSE),1,0)</f>
        <v>0</v>
      </c>
      <c r="BG6" s="11">
        <f>IF(W6=VLOOKUP(VALUE(W$1),Questions!$A:$E,5,FALSE),1,0)</f>
        <v>1</v>
      </c>
      <c r="BH6" s="11">
        <f>IF(X6=VLOOKUP(VALUE(X$1),Questions!$A:$E,5,FALSE),1,0)</f>
        <v>1</v>
      </c>
      <c r="BI6" s="11">
        <f>IF(Y6=VLOOKUP(VALUE(Y$1),Questions!$A:$E,5,FALSE),1,0)</f>
        <v>0</v>
      </c>
      <c r="BJ6" s="11">
        <f>IF(Z6=VLOOKUP(VALUE(Z$1),Questions!$A:$E,5,FALSE),1,0)</f>
        <v>0</v>
      </c>
      <c r="BK6" s="11">
        <f>IF(AA6=VLOOKUP(VALUE(AA$1),Questions!$A:$E,5,FALSE),1,0)</f>
        <v>1</v>
      </c>
      <c r="BL6" s="11">
        <f>IF(AB6=VLOOKUP(VALUE(AB$1),Questions!$A:$E,5,FALSE),1,0)</f>
        <v>1</v>
      </c>
      <c r="BM6" s="11">
        <f>IF(AC6=VLOOKUP(VALUE(AC$1),Questions!$A:$E,5,FALSE),1,0)</f>
        <v>0</v>
      </c>
      <c r="BN6" s="11">
        <f>IF(AD6=VLOOKUP(VALUE(AD$1),Questions!$A:$E,5,FALSE),1,0)</f>
        <v>1</v>
      </c>
      <c r="BO6" s="11">
        <f>IF(AE6=VLOOKUP(VALUE(AE$1),Questions!$A:$E,5,FALSE),1,0)</f>
        <v>0</v>
      </c>
      <c r="BP6" s="11">
        <f>IF(AF6=VLOOKUP(VALUE(AF$1),Questions!$A:$E,5,FALSE),1,0)</f>
        <v>1</v>
      </c>
      <c r="BQ6" s="11">
        <f>IF(AG6=VLOOKUP(VALUE(AG$1),Questions!$A:$E,5,FALSE),1,0)</f>
        <v>0</v>
      </c>
      <c r="BR6" s="11">
        <f>IF(AH6=VLOOKUP(VALUE(AH$1),Questions!$A:$E,5,FALSE),1,0)</f>
        <v>1</v>
      </c>
      <c r="BS6" s="11">
        <f>IF(AI6=VLOOKUP(VALUE(AI$1),Questions!$A:$E,5,FALSE),1,0)</f>
        <v>1</v>
      </c>
    </row>
    <row r="7" spans="1:71">
      <c r="A7" s="10">
        <v>6</v>
      </c>
      <c r="B7" s="14" t="b">
        <v>0</v>
      </c>
      <c r="C7" s="14" t="b">
        <v>0</v>
      </c>
      <c r="D7" s="102">
        <f>SUM(Scores[[#This Row],[Q1]:[Q28]])</f>
        <v>15</v>
      </c>
      <c r="E7" s="103">
        <f>SUM(Scores[[#This Row],[29]:[34b]])</f>
        <v>0</v>
      </c>
      <c r="F7" s="103">
        <f>Scores[[#This Row],[35]]</f>
        <v>0</v>
      </c>
      <c r="G7" s="104">
        <f>INDEX('Conversion Chart'!$C$3:$M$38,MATCH(SUM(Scores[[#This Row],[MC]:[CRQ]]),'Conversion Chart'!$B$3:$B$38,0),MATCH(Scores[[#This Row],[EIE]],'Conversion Chart'!$C$2:$M$2,0))</f>
        <v>42</v>
      </c>
      <c r="H7" s="5">
        <v>3</v>
      </c>
      <c r="I7" s="5">
        <v>3</v>
      </c>
      <c r="J7" s="5">
        <v>1</v>
      </c>
      <c r="K7" s="5">
        <v>2</v>
      </c>
      <c r="L7" s="5">
        <v>4</v>
      </c>
      <c r="M7" s="5">
        <v>4</v>
      </c>
      <c r="N7" s="5">
        <v>3</v>
      </c>
      <c r="O7" s="5">
        <v>2</v>
      </c>
      <c r="P7" s="5">
        <v>2</v>
      </c>
      <c r="Q7" s="5">
        <v>2</v>
      </c>
      <c r="R7" s="5">
        <v>4</v>
      </c>
      <c r="S7" s="5">
        <v>4</v>
      </c>
      <c r="T7" s="5">
        <v>1</v>
      </c>
      <c r="U7" s="5">
        <v>2</v>
      </c>
      <c r="V7" s="5">
        <v>3</v>
      </c>
      <c r="W7" s="5">
        <v>1</v>
      </c>
      <c r="X7" s="5">
        <v>3</v>
      </c>
      <c r="Y7" s="5">
        <v>3</v>
      </c>
      <c r="Z7" s="5">
        <v>1</v>
      </c>
      <c r="AA7" s="5">
        <v>1</v>
      </c>
      <c r="AB7" s="5">
        <v>2</v>
      </c>
      <c r="AC7" s="5">
        <v>1</v>
      </c>
      <c r="AD7" s="5">
        <v>3</v>
      </c>
      <c r="AE7" s="5">
        <v>2</v>
      </c>
      <c r="AF7" s="5">
        <v>4</v>
      </c>
      <c r="AG7" s="5"/>
      <c r="AH7" s="5"/>
      <c r="AI7" s="104">
        <v>1</v>
      </c>
      <c r="AJ7" s="95"/>
      <c r="AK7" s="84"/>
      <c r="AL7" s="84"/>
      <c r="AM7" s="84"/>
      <c r="AN7" s="84"/>
      <c r="AO7" s="84"/>
      <c r="AP7" s="94"/>
      <c r="AR7" s="11">
        <f>IF(H7=VLOOKUP(VALUE(H$1),Questions!$A:$E,5,FALSE),1,0)</f>
        <v>0</v>
      </c>
      <c r="AS7" s="11">
        <f>IF(I7=VLOOKUP(VALUE(I$1),Questions!$A:$E,5,FALSE),1,0)</f>
        <v>1</v>
      </c>
      <c r="AT7" s="11">
        <f>IF(J7=VLOOKUP(VALUE(J$1),Questions!$A:$E,5,FALSE),1,0)</f>
        <v>1</v>
      </c>
      <c r="AU7" s="11">
        <f>IF(K7=VLOOKUP(VALUE(K$1),Questions!$A:$E,5,FALSE),1,0)</f>
        <v>1</v>
      </c>
      <c r="AV7" s="11">
        <f>IF(L7=VLOOKUP(VALUE(L$1),Questions!$A:$E,5,FALSE),1,0)</f>
        <v>0</v>
      </c>
      <c r="AW7" s="11">
        <f>IF(M7=VLOOKUP(VALUE(M$1),Questions!$A:$E,5,FALSE),1,0)</f>
        <v>1</v>
      </c>
      <c r="AX7" s="11">
        <f>IF(N7=VLOOKUP(VALUE(N$1),Questions!$A:$E,5,FALSE),1,0)</f>
        <v>1</v>
      </c>
      <c r="AY7" s="11">
        <f>IF(O7=VLOOKUP(VALUE(O$1),Questions!$A:$E,5,FALSE),1,0)</f>
        <v>0</v>
      </c>
      <c r="AZ7" s="11">
        <f>IF(P7=VLOOKUP(VALUE(P$1),Questions!$A:$E,5,FALSE),1,0)</f>
        <v>0</v>
      </c>
      <c r="BA7" s="11">
        <f>IF(Q7=VLOOKUP(VALUE(Q$1),Questions!$A:$E,5,FALSE),1,0)</f>
        <v>0</v>
      </c>
      <c r="BB7" s="11">
        <f>IF(R7=VLOOKUP(VALUE(R$1),Questions!$A:$E,5,FALSE),1,0)</f>
        <v>1</v>
      </c>
      <c r="BC7" s="11">
        <f>IF(S7=VLOOKUP(VALUE(S$1),Questions!$A:$E,5,FALSE),1,0)</f>
        <v>0</v>
      </c>
      <c r="BD7" s="11">
        <f>IF(T7=VLOOKUP(VALUE(T$1),Questions!$A:$E,5,FALSE),1,0)</f>
        <v>1</v>
      </c>
      <c r="BE7" s="11">
        <f>IF(U7=VLOOKUP(VALUE(U$1),Questions!$A:$E,5,FALSE),1,0)</f>
        <v>0</v>
      </c>
      <c r="BF7" s="11">
        <f>IF(V7=VLOOKUP(VALUE(V$1),Questions!$A:$E,5,FALSE),1,0)</f>
        <v>1</v>
      </c>
      <c r="BG7" s="11">
        <f>IF(W7=VLOOKUP(VALUE(W$1),Questions!$A:$E,5,FALSE),1,0)</f>
        <v>0</v>
      </c>
      <c r="BH7" s="11">
        <f>IF(X7=VLOOKUP(VALUE(X$1),Questions!$A:$E,5,FALSE),1,0)</f>
        <v>0</v>
      </c>
      <c r="BI7" s="11">
        <f>IF(Y7=VLOOKUP(VALUE(Y$1),Questions!$A:$E,5,FALSE),1,0)</f>
        <v>1</v>
      </c>
      <c r="BJ7" s="11">
        <f>IF(Z7=VLOOKUP(VALUE(Z$1),Questions!$A:$E,5,FALSE),1,0)</f>
        <v>0</v>
      </c>
      <c r="BK7" s="11">
        <f>IF(AA7=VLOOKUP(VALUE(AA$1),Questions!$A:$E,5,FALSE),1,0)</f>
        <v>0</v>
      </c>
      <c r="BL7" s="11">
        <f>IF(AB7=VLOOKUP(VALUE(AB$1),Questions!$A:$E,5,FALSE),1,0)</f>
        <v>1</v>
      </c>
      <c r="BM7" s="11">
        <f>IF(AC7=VLOOKUP(VALUE(AC$1),Questions!$A:$E,5,FALSE),1,0)</f>
        <v>1</v>
      </c>
      <c r="BN7" s="11">
        <f>IF(AD7=VLOOKUP(VALUE(AD$1),Questions!$A:$E,5,FALSE),1,0)</f>
        <v>1</v>
      </c>
      <c r="BO7" s="11">
        <f>IF(AE7=VLOOKUP(VALUE(AE$1),Questions!$A:$E,5,FALSE),1,0)</f>
        <v>1</v>
      </c>
      <c r="BP7" s="11">
        <f>IF(AF7=VLOOKUP(VALUE(AF$1),Questions!$A:$E,5,FALSE),1,0)</f>
        <v>1</v>
      </c>
      <c r="BQ7" s="11">
        <f>IF(AG7=VLOOKUP(VALUE(AG$1),Questions!$A:$E,5,FALSE),1,0)</f>
        <v>0</v>
      </c>
      <c r="BR7" s="11">
        <f>IF(AH7=VLOOKUP(VALUE(AH$1),Questions!$A:$E,5,FALSE),1,0)</f>
        <v>0</v>
      </c>
      <c r="BS7" s="11">
        <f>IF(AI7=VLOOKUP(VALUE(AI$1),Questions!$A:$E,5,FALSE),1,0)</f>
        <v>1</v>
      </c>
    </row>
    <row r="8" spans="1:71">
      <c r="A8" s="10">
        <v>7</v>
      </c>
      <c r="B8" s="14" t="b">
        <v>0</v>
      </c>
      <c r="C8" s="14" t="b">
        <v>0</v>
      </c>
      <c r="D8" s="102">
        <f>SUM(Scores[[#This Row],[Q1]:[Q28]])</f>
        <v>17</v>
      </c>
      <c r="E8" s="103">
        <f>SUM(Scores[[#This Row],[29]:[34b]])</f>
        <v>0</v>
      </c>
      <c r="F8" s="103">
        <f>Scores[[#This Row],[35]]</f>
        <v>0</v>
      </c>
      <c r="G8" s="104">
        <f>INDEX('Conversion Chart'!$C$3:$M$38,MATCH(SUM(Scores[[#This Row],[MC]:[CRQ]]),'Conversion Chart'!$B$3:$B$38,0),MATCH(Scores[[#This Row],[EIE]],'Conversion Chart'!$C$2:$M$2,0))</f>
        <v>47</v>
      </c>
      <c r="H8" s="5">
        <v>4</v>
      </c>
      <c r="I8" s="5">
        <v>3</v>
      </c>
      <c r="J8" s="5">
        <v>1</v>
      </c>
      <c r="K8" s="5">
        <v>2</v>
      </c>
      <c r="L8" s="5">
        <v>3</v>
      </c>
      <c r="M8" s="5">
        <v>2</v>
      </c>
      <c r="N8" s="5">
        <v>3</v>
      </c>
      <c r="O8" s="5">
        <v>1</v>
      </c>
      <c r="P8" s="5">
        <v>2</v>
      </c>
      <c r="Q8" s="5">
        <v>2</v>
      </c>
      <c r="R8" s="5">
        <v>4</v>
      </c>
      <c r="S8" s="5">
        <v>3</v>
      </c>
      <c r="T8" s="5">
        <v>2</v>
      </c>
      <c r="U8" s="5">
        <v>4</v>
      </c>
      <c r="V8" s="5">
        <v>3</v>
      </c>
      <c r="W8" s="5">
        <v>1</v>
      </c>
      <c r="X8" s="5">
        <v>2</v>
      </c>
      <c r="Y8" s="5">
        <v>2</v>
      </c>
      <c r="Z8" s="5">
        <v>2</v>
      </c>
      <c r="AA8" s="5">
        <v>3</v>
      </c>
      <c r="AB8" s="5">
        <v>2</v>
      </c>
      <c r="AC8" s="5">
        <v>1</v>
      </c>
      <c r="AD8" s="5">
        <v>2</v>
      </c>
      <c r="AE8" s="5">
        <v>4</v>
      </c>
      <c r="AF8" s="5">
        <v>4</v>
      </c>
      <c r="AG8" s="5">
        <v>2</v>
      </c>
      <c r="AH8" s="5">
        <v>1</v>
      </c>
      <c r="AI8" s="104">
        <v>1</v>
      </c>
      <c r="AJ8" s="95"/>
      <c r="AK8" s="84"/>
      <c r="AL8" s="84"/>
      <c r="AM8" s="84"/>
      <c r="AN8" s="84"/>
      <c r="AO8" s="84"/>
      <c r="AP8" s="94"/>
      <c r="AR8" s="11">
        <f>IF(H8=VLOOKUP(VALUE(H$1),Questions!$A:$E,5,FALSE),1,0)</f>
        <v>1</v>
      </c>
      <c r="AS8" s="11">
        <f>IF(I8=VLOOKUP(VALUE(I$1),Questions!$A:$E,5,FALSE),1,0)</f>
        <v>1</v>
      </c>
      <c r="AT8" s="11">
        <f>IF(J8=VLOOKUP(VALUE(J$1),Questions!$A:$E,5,FALSE),1,0)</f>
        <v>1</v>
      </c>
      <c r="AU8" s="11">
        <f>IF(K8=VLOOKUP(VALUE(K$1),Questions!$A:$E,5,FALSE),1,0)</f>
        <v>1</v>
      </c>
      <c r="AV8" s="11">
        <f>IF(L8=VLOOKUP(VALUE(L$1),Questions!$A:$E,5,FALSE),1,0)</f>
        <v>0</v>
      </c>
      <c r="AW8" s="11">
        <f>IF(M8=VLOOKUP(VALUE(M$1),Questions!$A:$E,5,FALSE),1,0)</f>
        <v>0</v>
      </c>
      <c r="AX8" s="11">
        <f>IF(N8=VLOOKUP(VALUE(N$1),Questions!$A:$E,5,FALSE),1,0)</f>
        <v>1</v>
      </c>
      <c r="AY8" s="11">
        <f>IF(O8=VLOOKUP(VALUE(O$1),Questions!$A:$E,5,FALSE),1,0)</f>
        <v>1</v>
      </c>
      <c r="AZ8" s="11">
        <f>IF(P8=VLOOKUP(VALUE(P$1),Questions!$A:$E,5,FALSE),1,0)</f>
        <v>0</v>
      </c>
      <c r="BA8" s="11">
        <f>IF(Q8=VLOOKUP(VALUE(Q$1),Questions!$A:$E,5,FALSE),1,0)</f>
        <v>0</v>
      </c>
      <c r="BB8" s="11">
        <f>IF(R8=VLOOKUP(VALUE(R$1),Questions!$A:$E,5,FALSE),1,0)</f>
        <v>1</v>
      </c>
      <c r="BC8" s="11">
        <f>IF(S8=VLOOKUP(VALUE(S$1),Questions!$A:$E,5,FALSE),1,0)</f>
        <v>0</v>
      </c>
      <c r="BD8" s="11">
        <f>IF(T8=VLOOKUP(VALUE(T$1),Questions!$A:$E,5,FALSE),1,0)</f>
        <v>0</v>
      </c>
      <c r="BE8" s="11">
        <f>IF(U8=VLOOKUP(VALUE(U$1),Questions!$A:$E,5,FALSE),1,0)</f>
        <v>1</v>
      </c>
      <c r="BF8" s="11">
        <f>IF(V8=VLOOKUP(VALUE(V$1),Questions!$A:$E,5,FALSE),1,0)</f>
        <v>1</v>
      </c>
      <c r="BG8" s="11">
        <f>IF(W8=VLOOKUP(VALUE(W$1),Questions!$A:$E,5,FALSE),1,0)</f>
        <v>0</v>
      </c>
      <c r="BH8" s="11">
        <f>IF(X8=VLOOKUP(VALUE(X$1),Questions!$A:$E,5,FALSE),1,0)</f>
        <v>1</v>
      </c>
      <c r="BI8" s="11">
        <f>IF(Y8=VLOOKUP(VALUE(Y$1),Questions!$A:$E,5,FALSE),1,0)</f>
        <v>0</v>
      </c>
      <c r="BJ8" s="11">
        <f>IF(Z8=VLOOKUP(VALUE(Z$1),Questions!$A:$E,5,FALSE),1,0)</f>
        <v>1</v>
      </c>
      <c r="BK8" s="11">
        <f>IF(AA8=VLOOKUP(VALUE(AA$1),Questions!$A:$E,5,FALSE),1,0)</f>
        <v>1</v>
      </c>
      <c r="BL8" s="11">
        <f>IF(AB8=VLOOKUP(VALUE(AB$1),Questions!$A:$E,5,FALSE),1,0)</f>
        <v>1</v>
      </c>
      <c r="BM8" s="11">
        <f>IF(AC8=VLOOKUP(VALUE(AC$1),Questions!$A:$E,5,FALSE),1,0)</f>
        <v>1</v>
      </c>
      <c r="BN8" s="11">
        <f>IF(AD8=VLOOKUP(VALUE(AD$1),Questions!$A:$E,5,FALSE),1,0)</f>
        <v>0</v>
      </c>
      <c r="BO8" s="11">
        <f>IF(AE8=VLOOKUP(VALUE(AE$1),Questions!$A:$E,5,FALSE),1,0)</f>
        <v>0</v>
      </c>
      <c r="BP8" s="11">
        <f>IF(AF8=VLOOKUP(VALUE(AF$1),Questions!$A:$E,5,FALSE),1,0)</f>
        <v>1</v>
      </c>
      <c r="BQ8" s="11">
        <f>IF(AG8=VLOOKUP(VALUE(AG$1),Questions!$A:$E,5,FALSE),1,0)</f>
        <v>0</v>
      </c>
      <c r="BR8" s="11">
        <f>IF(AH8=VLOOKUP(VALUE(AH$1),Questions!$A:$E,5,FALSE),1,0)</f>
        <v>1</v>
      </c>
      <c r="BS8" s="11">
        <f>IF(AI8=VLOOKUP(VALUE(AI$1),Questions!$A:$E,5,FALSE),1,0)</f>
        <v>1</v>
      </c>
    </row>
    <row r="9" spans="1:71">
      <c r="A9" s="10">
        <v>8</v>
      </c>
      <c r="B9" s="14" t="b">
        <v>0</v>
      </c>
      <c r="C9" s="14" t="b">
        <v>0</v>
      </c>
      <c r="D9" s="102">
        <f>SUM(Scores[[#This Row],[Q1]:[Q28]])</f>
        <v>16</v>
      </c>
      <c r="E9" s="103">
        <f>SUM(Scores[[#This Row],[29]:[34b]])</f>
        <v>0</v>
      </c>
      <c r="F9" s="103">
        <f>Scores[[#This Row],[35]]</f>
        <v>0</v>
      </c>
      <c r="G9" s="104">
        <f>INDEX('Conversion Chart'!$C$3:$M$38,MATCH(SUM(Scores[[#This Row],[MC]:[CRQ]]),'Conversion Chart'!$B$3:$B$38,0),MATCH(Scores[[#This Row],[EIE]],'Conversion Chart'!$C$2:$M$2,0))</f>
        <v>45</v>
      </c>
      <c r="H9" s="5">
        <v>3</v>
      </c>
      <c r="I9" s="5">
        <v>3</v>
      </c>
      <c r="J9" s="5">
        <v>1</v>
      </c>
      <c r="K9" s="5">
        <v>2</v>
      </c>
      <c r="L9" s="5">
        <v>1</v>
      </c>
      <c r="M9" s="5">
        <v>4</v>
      </c>
      <c r="N9" s="5">
        <v>4</v>
      </c>
      <c r="O9" s="5">
        <v>1</v>
      </c>
      <c r="P9" s="5">
        <v>4</v>
      </c>
      <c r="Q9" s="5">
        <v>2</v>
      </c>
      <c r="R9" s="5">
        <v>4</v>
      </c>
      <c r="S9" s="5">
        <v>2</v>
      </c>
      <c r="T9" s="5">
        <v>1</v>
      </c>
      <c r="U9" s="5">
        <v>4</v>
      </c>
      <c r="V9" s="5">
        <v>1</v>
      </c>
      <c r="W9" s="5">
        <v>4</v>
      </c>
      <c r="X9" s="5">
        <v>2</v>
      </c>
      <c r="Y9" s="5">
        <v>2</v>
      </c>
      <c r="Z9" s="5">
        <v>1</v>
      </c>
      <c r="AA9" s="5">
        <v>4</v>
      </c>
      <c r="AB9" s="5">
        <v>4</v>
      </c>
      <c r="AC9" s="5">
        <v>2</v>
      </c>
      <c r="AD9" s="5">
        <v>3</v>
      </c>
      <c r="AE9" s="5">
        <v>4</v>
      </c>
      <c r="AF9" s="5">
        <v>4</v>
      </c>
      <c r="AG9" s="5">
        <v>3</v>
      </c>
      <c r="AH9" s="5">
        <v>1</v>
      </c>
      <c r="AI9" s="104">
        <v>1</v>
      </c>
      <c r="AJ9" s="95"/>
      <c r="AK9" s="84"/>
      <c r="AL9" s="84"/>
      <c r="AM9" s="84"/>
      <c r="AN9" s="84"/>
      <c r="AO9" s="84"/>
      <c r="AP9" s="94"/>
      <c r="AR9" s="11">
        <f>IF(H9=VLOOKUP(VALUE(H$1),Questions!$A:$E,5,FALSE),1,0)</f>
        <v>0</v>
      </c>
      <c r="AS9" s="11">
        <f>IF(I9=VLOOKUP(VALUE(I$1),Questions!$A:$E,5,FALSE),1,0)</f>
        <v>1</v>
      </c>
      <c r="AT9" s="11">
        <f>IF(J9=VLOOKUP(VALUE(J$1),Questions!$A:$E,5,FALSE),1,0)</f>
        <v>1</v>
      </c>
      <c r="AU9" s="11">
        <f>IF(K9=VLOOKUP(VALUE(K$1),Questions!$A:$E,5,FALSE),1,0)</f>
        <v>1</v>
      </c>
      <c r="AV9" s="11">
        <f>IF(L9=VLOOKUP(VALUE(L$1),Questions!$A:$E,5,FALSE),1,0)</f>
        <v>0</v>
      </c>
      <c r="AW9" s="11">
        <f>IF(M9=VLOOKUP(VALUE(M$1),Questions!$A:$E,5,FALSE),1,0)</f>
        <v>1</v>
      </c>
      <c r="AX9" s="11">
        <f>IF(N9=VLOOKUP(VALUE(N$1),Questions!$A:$E,5,FALSE),1,0)</f>
        <v>0</v>
      </c>
      <c r="AY9" s="11">
        <f>IF(O9=VLOOKUP(VALUE(O$1),Questions!$A:$E,5,FALSE),1,0)</f>
        <v>1</v>
      </c>
      <c r="AZ9" s="11">
        <f>IF(P9=VLOOKUP(VALUE(P$1),Questions!$A:$E,5,FALSE),1,0)</f>
        <v>0</v>
      </c>
      <c r="BA9" s="11">
        <f>IF(Q9=VLOOKUP(VALUE(Q$1),Questions!$A:$E,5,FALSE),1,0)</f>
        <v>0</v>
      </c>
      <c r="BB9" s="11">
        <f>IF(R9=VLOOKUP(VALUE(R$1),Questions!$A:$E,5,FALSE),1,0)</f>
        <v>1</v>
      </c>
      <c r="BC9" s="11">
        <f>IF(S9=VLOOKUP(VALUE(S$1),Questions!$A:$E,5,FALSE),1,0)</f>
        <v>1</v>
      </c>
      <c r="BD9" s="11">
        <f>IF(T9=VLOOKUP(VALUE(T$1),Questions!$A:$E,5,FALSE),1,0)</f>
        <v>1</v>
      </c>
      <c r="BE9" s="11">
        <f>IF(U9=VLOOKUP(VALUE(U$1),Questions!$A:$E,5,FALSE),1,0)</f>
        <v>1</v>
      </c>
      <c r="BF9" s="11">
        <f>IF(V9=VLOOKUP(VALUE(V$1),Questions!$A:$E,5,FALSE),1,0)</f>
        <v>0</v>
      </c>
      <c r="BG9" s="11">
        <f>IF(W9=VLOOKUP(VALUE(W$1),Questions!$A:$E,5,FALSE),1,0)</f>
        <v>1</v>
      </c>
      <c r="BH9" s="11">
        <f>IF(X9=VLOOKUP(VALUE(X$1),Questions!$A:$E,5,FALSE),1,0)</f>
        <v>1</v>
      </c>
      <c r="BI9" s="11">
        <f>IF(Y9=VLOOKUP(VALUE(Y$1),Questions!$A:$E,5,FALSE),1,0)</f>
        <v>0</v>
      </c>
      <c r="BJ9" s="11">
        <f>IF(Z9=VLOOKUP(VALUE(Z$1),Questions!$A:$E,5,FALSE),1,0)</f>
        <v>0</v>
      </c>
      <c r="BK9" s="11">
        <f>IF(AA9=VLOOKUP(VALUE(AA$1),Questions!$A:$E,5,FALSE),1,0)</f>
        <v>0</v>
      </c>
      <c r="BL9" s="11">
        <f>IF(AB9=VLOOKUP(VALUE(AB$1),Questions!$A:$E,5,FALSE),1,0)</f>
        <v>0</v>
      </c>
      <c r="BM9" s="11">
        <f>IF(AC9=VLOOKUP(VALUE(AC$1),Questions!$A:$E,5,FALSE),1,0)</f>
        <v>0</v>
      </c>
      <c r="BN9" s="11">
        <f>IF(AD9=VLOOKUP(VALUE(AD$1),Questions!$A:$E,5,FALSE),1,0)</f>
        <v>1</v>
      </c>
      <c r="BO9" s="11">
        <f>IF(AE9=VLOOKUP(VALUE(AE$1),Questions!$A:$E,5,FALSE),1,0)</f>
        <v>0</v>
      </c>
      <c r="BP9" s="11">
        <f>IF(AF9=VLOOKUP(VALUE(AF$1),Questions!$A:$E,5,FALSE),1,0)</f>
        <v>1</v>
      </c>
      <c r="BQ9" s="11">
        <f>IF(AG9=VLOOKUP(VALUE(AG$1),Questions!$A:$E,5,FALSE),1,0)</f>
        <v>1</v>
      </c>
      <c r="BR9" s="11">
        <f>IF(AH9=VLOOKUP(VALUE(AH$1),Questions!$A:$E,5,FALSE),1,0)</f>
        <v>1</v>
      </c>
      <c r="BS9" s="11">
        <f>IF(AI9=VLOOKUP(VALUE(AI$1),Questions!$A:$E,5,FALSE),1,0)</f>
        <v>1</v>
      </c>
    </row>
    <row r="10" spans="1:71">
      <c r="A10" s="10">
        <v>9</v>
      </c>
      <c r="B10" s="14" t="b">
        <v>0</v>
      </c>
      <c r="C10" s="14" t="b">
        <v>0</v>
      </c>
      <c r="D10" s="102">
        <f>SUM(Scores[[#This Row],[Q1]:[Q28]])</f>
        <v>25</v>
      </c>
      <c r="E10" s="103">
        <f>SUM(Scores[[#This Row],[29]:[34b]])</f>
        <v>0</v>
      </c>
      <c r="F10" s="103">
        <f>Scores[[#This Row],[35]]</f>
        <v>0</v>
      </c>
      <c r="G10" s="104">
        <f>INDEX('Conversion Chart'!$C$3:$M$38,MATCH(SUM(Scores[[#This Row],[MC]:[CRQ]]),'Conversion Chart'!$B$3:$B$38,0),MATCH(Scores[[#This Row],[EIE]],'Conversion Chart'!$C$2:$M$2,0))</f>
        <v>63</v>
      </c>
      <c r="H10" s="5">
        <v>4</v>
      </c>
      <c r="I10" s="5">
        <v>3</v>
      </c>
      <c r="J10" s="5">
        <v>1</v>
      </c>
      <c r="K10" s="5">
        <v>2</v>
      </c>
      <c r="L10" s="5">
        <v>2</v>
      </c>
      <c r="M10" s="5">
        <v>4</v>
      </c>
      <c r="N10" s="5">
        <v>3</v>
      </c>
      <c r="O10" s="5">
        <v>1</v>
      </c>
      <c r="P10" s="5">
        <v>1</v>
      </c>
      <c r="Q10" s="5">
        <v>1</v>
      </c>
      <c r="R10" s="5">
        <v>4</v>
      </c>
      <c r="S10" s="5">
        <v>2</v>
      </c>
      <c r="T10" s="5">
        <v>1</v>
      </c>
      <c r="U10" s="5">
        <v>4</v>
      </c>
      <c r="V10" s="5">
        <v>3</v>
      </c>
      <c r="W10" s="5">
        <v>1</v>
      </c>
      <c r="X10" s="5">
        <v>2</v>
      </c>
      <c r="Y10" s="5">
        <v>3</v>
      </c>
      <c r="Z10" s="5">
        <v>4</v>
      </c>
      <c r="AA10" s="5">
        <v>3</v>
      </c>
      <c r="AB10" s="5">
        <v>2</v>
      </c>
      <c r="AC10" s="5">
        <v>1</v>
      </c>
      <c r="AD10" s="5">
        <v>3</v>
      </c>
      <c r="AE10" s="5">
        <v>2</v>
      </c>
      <c r="AF10" s="5">
        <v>4</v>
      </c>
      <c r="AG10" s="5">
        <v>2</v>
      </c>
      <c r="AH10" s="5">
        <v>1</v>
      </c>
      <c r="AI10" s="104">
        <v>1</v>
      </c>
      <c r="AJ10" s="95"/>
      <c r="AK10" s="84"/>
      <c r="AL10" s="84"/>
      <c r="AM10" s="84"/>
      <c r="AN10" s="84"/>
      <c r="AO10" s="84"/>
      <c r="AP10" s="94"/>
      <c r="AR10" s="11">
        <f>IF(H10=VLOOKUP(VALUE(H$1),Questions!$A:$E,5,FALSE),1,0)</f>
        <v>1</v>
      </c>
      <c r="AS10" s="11">
        <f>IF(I10=VLOOKUP(VALUE(I$1),Questions!$A:$E,5,FALSE),1,0)</f>
        <v>1</v>
      </c>
      <c r="AT10" s="11">
        <f>IF(J10=VLOOKUP(VALUE(J$1),Questions!$A:$E,5,FALSE),1,0)</f>
        <v>1</v>
      </c>
      <c r="AU10" s="11">
        <f>IF(K10=VLOOKUP(VALUE(K$1),Questions!$A:$E,5,FALSE),1,0)</f>
        <v>1</v>
      </c>
      <c r="AV10" s="11">
        <f>IF(L10=VLOOKUP(VALUE(L$1),Questions!$A:$E,5,FALSE),1,0)</f>
        <v>1</v>
      </c>
      <c r="AW10" s="11">
        <f>IF(M10=VLOOKUP(VALUE(M$1),Questions!$A:$E,5,FALSE),1,0)</f>
        <v>1</v>
      </c>
      <c r="AX10" s="11">
        <f>IF(N10=VLOOKUP(VALUE(N$1),Questions!$A:$E,5,FALSE),1,0)</f>
        <v>1</v>
      </c>
      <c r="AY10" s="11">
        <f>IF(O10=VLOOKUP(VALUE(O$1),Questions!$A:$E,5,FALSE),1,0)</f>
        <v>1</v>
      </c>
      <c r="AZ10" s="11">
        <f>IF(P10=VLOOKUP(VALUE(P$1),Questions!$A:$E,5,FALSE),1,0)</f>
        <v>1</v>
      </c>
      <c r="BA10" s="11">
        <f>IF(Q10=VLOOKUP(VALUE(Q$1),Questions!$A:$E,5,FALSE),1,0)</f>
        <v>1</v>
      </c>
      <c r="BB10" s="11">
        <f>IF(R10=VLOOKUP(VALUE(R$1),Questions!$A:$E,5,FALSE),1,0)</f>
        <v>1</v>
      </c>
      <c r="BC10" s="11">
        <f>IF(S10=VLOOKUP(VALUE(S$1),Questions!$A:$E,5,FALSE),1,0)</f>
        <v>1</v>
      </c>
      <c r="BD10" s="11">
        <f>IF(T10=VLOOKUP(VALUE(T$1),Questions!$A:$E,5,FALSE),1,0)</f>
        <v>1</v>
      </c>
      <c r="BE10" s="11">
        <f>IF(U10=VLOOKUP(VALUE(U$1),Questions!$A:$E,5,FALSE),1,0)</f>
        <v>1</v>
      </c>
      <c r="BF10" s="11">
        <f>IF(V10=VLOOKUP(VALUE(V$1),Questions!$A:$E,5,FALSE),1,0)</f>
        <v>1</v>
      </c>
      <c r="BG10" s="11">
        <f>IF(W10=VLOOKUP(VALUE(W$1),Questions!$A:$E,5,FALSE),1,0)</f>
        <v>0</v>
      </c>
      <c r="BH10" s="11">
        <f>IF(X10=VLOOKUP(VALUE(X$1),Questions!$A:$E,5,FALSE),1,0)</f>
        <v>1</v>
      </c>
      <c r="BI10" s="11">
        <f>IF(Y10=VLOOKUP(VALUE(Y$1),Questions!$A:$E,5,FALSE),1,0)</f>
        <v>1</v>
      </c>
      <c r="BJ10" s="11">
        <f>IF(Z10=VLOOKUP(VALUE(Z$1),Questions!$A:$E,5,FALSE),1,0)</f>
        <v>0</v>
      </c>
      <c r="BK10" s="11">
        <f>IF(AA10=VLOOKUP(VALUE(AA$1),Questions!$A:$E,5,FALSE),1,0)</f>
        <v>1</v>
      </c>
      <c r="BL10" s="11">
        <f>IF(AB10=VLOOKUP(VALUE(AB$1),Questions!$A:$E,5,FALSE),1,0)</f>
        <v>1</v>
      </c>
      <c r="BM10" s="11">
        <f>IF(AC10=VLOOKUP(VALUE(AC$1),Questions!$A:$E,5,FALSE),1,0)</f>
        <v>1</v>
      </c>
      <c r="BN10" s="11">
        <f>IF(AD10=VLOOKUP(VALUE(AD$1),Questions!$A:$E,5,FALSE),1,0)</f>
        <v>1</v>
      </c>
      <c r="BO10" s="11">
        <f>IF(AE10=VLOOKUP(VALUE(AE$1),Questions!$A:$E,5,FALSE),1,0)</f>
        <v>1</v>
      </c>
      <c r="BP10" s="11">
        <f>IF(AF10=VLOOKUP(VALUE(AF$1),Questions!$A:$E,5,FALSE),1,0)</f>
        <v>1</v>
      </c>
      <c r="BQ10" s="11">
        <f>IF(AG10=VLOOKUP(VALUE(AG$1),Questions!$A:$E,5,FALSE),1,0)</f>
        <v>0</v>
      </c>
      <c r="BR10" s="11">
        <f>IF(AH10=VLOOKUP(VALUE(AH$1),Questions!$A:$E,5,FALSE),1,0)</f>
        <v>1</v>
      </c>
      <c r="BS10" s="11">
        <f>IF(AI10=VLOOKUP(VALUE(AI$1),Questions!$A:$E,5,FALSE),1,0)</f>
        <v>1</v>
      </c>
    </row>
    <row r="11" spans="1:71">
      <c r="A11" s="10">
        <v>10</v>
      </c>
      <c r="B11" s="14" t="b">
        <v>0</v>
      </c>
      <c r="C11" s="14" t="b">
        <v>0</v>
      </c>
      <c r="D11" s="102">
        <f>SUM(Scores[[#This Row],[Q1]:[Q28]])</f>
        <v>22</v>
      </c>
      <c r="E11" s="103">
        <f>SUM(Scores[[#This Row],[29]:[34b]])</f>
        <v>0</v>
      </c>
      <c r="F11" s="103">
        <f>Scores[[#This Row],[35]]</f>
        <v>0</v>
      </c>
      <c r="G11" s="104">
        <f>INDEX('Conversion Chart'!$C$3:$M$38,MATCH(SUM(Scores[[#This Row],[MC]:[CRQ]]),'Conversion Chart'!$B$3:$B$38,0),MATCH(Scores[[#This Row],[EIE]],'Conversion Chart'!$C$2:$M$2,0))</f>
        <v>57</v>
      </c>
      <c r="H11" s="5">
        <v>4</v>
      </c>
      <c r="I11" s="5">
        <v>3</v>
      </c>
      <c r="J11" s="5">
        <v>1</v>
      </c>
      <c r="K11" s="5">
        <v>2</v>
      </c>
      <c r="L11" s="5">
        <v>2</v>
      </c>
      <c r="M11" s="5">
        <v>4</v>
      </c>
      <c r="N11" s="5">
        <v>3</v>
      </c>
      <c r="O11" s="5">
        <v>1</v>
      </c>
      <c r="P11" s="5">
        <v>1</v>
      </c>
      <c r="Q11" s="5">
        <v>4</v>
      </c>
      <c r="R11" s="5">
        <v>4</v>
      </c>
      <c r="S11" s="5">
        <v>4</v>
      </c>
      <c r="T11" s="5">
        <v>1</v>
      </c>
      <c r="U11" s="5">
        <v>3</v>
      </c>
      <c r="V11" s="5">
        <v>3</v>
      </c>
      <c r="W11" s="5">
        <v>4</v>
      </c>
      <c r="X11" s="5">
        <v>2</v>
      </c>
      <c r="Y11" s="5">
        <v>3</v>
      </c>
      <c r="Z11" s="5">
        <v>3</v>
      </c>
      <c r="AA11" s="5">
        <v>3</v>
      </c>
      <c r="AB11" s="5">
        <v>2</v>
      </c>
      <c r="AC11" s="5">
        <v>3</v>
      </c>
      <c r="AD11" s="5">
        <v>3</v>
      </c>
      <c r="AE11" s="5">
        <v>2</v>
      </c>
      <c r="AF11" s="5">
        <v>4</v>
      </c>
      <c r="AG11" s="5">
        <v>1</v>
      </c>
      <c r="AH11" s="5">
        <v>1</v>
      </c>
      <c r="AI11" s="104">
        <v>1</v>
      </c>
      <c r="AJ11" s="95"/>
      <c r="AK11" s="84"/>
      <c r="AL11" s="84"/>
      <c r="AM11" s="84"/>
      <c r="AN11" s="84"/>
      <c r="AO11" s="84"/>
      <c r="AP11" s="94"/>
      <c r="AR11" s="11">
        <f>IF(H11=VLOOKUP(VALUE(H$1),Questions!$A:$E,5,FALSE),1,0)</f>
        <v>1</v>
      </c>
      <c r="AS11" s="11">
        <f>IF(I11=VLOOKUP(VALUE(I$1),Questions!$A:$E,5,FALSE),1,0)</f>
        <v>1</v>
      </c>
      <c r="AT11" s="11">
        <f>IF(J11=VLOOKUP(VALUE(J$1),Questions!$A:$E,5,FALSE),1,0)</f>
        <v>1</v>
      </c>
      <c r="AU11" s="11">
        <f>IF(K11=VLOOKUP(VALUE(K$1),Questions!$A:$E,5,FALSE),1,0)</f>
        <v>1</v>
      </c>
      <c r="AV11" s="11">
        <f>IF(L11=VLOOKUP(VALUE(L$1),Questions!$A:$E,5,FALSE),1,0)</f>
        <v>1</v>
      </c>
      <c r="AW11" s="11">
        <f>IF(M11=VLOOKUP(VALUE(M$1),Questions!$A:$E,5,FALSE),1,0)</f>
        <v>1</v>
      </c>
      <c r="AX11" s="11">
        <f>IF(N11=VLOOKUP(VALUE(N$1),Questions!$A:$E,5,FALSE),1,0)</f>
        <v>1</v>
      </c>
      <c r="AY11" s="11">
        <f>IF(O11=VLOOKUP(VALUE(O$1),Questions!$A:$E,5,FALSE),1,0)</f>
        <v>1</v>
      </c>
      <c r="AZ11" s="11">
        <f>IF(P11=VLOOKUP(VALUE(P$1),Questions!$A:$E,5,FALSE),1,0)</f>
        <v>1</v>
      </c>
      <c r="BA11" s="11">
        <f>IF(Q11=VLOOKUP(VALUE(Q$1),Questions!$A:$E,5,FALSE),1,0)</f>
        <v>0</v>
      </c>
      <c r="BB11" s="11">
        <f>IF(R11=VLOOKUP(VALUE(R$1),Questions!$A:$E,5,FALSE),1,0)</f>
        <v>1</v>
      </c>
      <c r="BC11" s="11">
        <f>IF(S11=VLOOKUP(VALUE(S$1),Questions!$A:$E,5,FALSE),1,0)</f>
        <v>0</v>
      </c>
      <c r="BD11" s="11">
        <f>IF(T11=VLOOKUP(VALUE(T$1),Questions!$A:$E,5,FALSE),1,0)</f>
        <v>1</v>
      </c>
      <c r="BE11" s="11">
        <f>IF(U11=VLOOKUP(VALUE(U$1),Questions!$A:$E,5,FALSE),1,0)</f>
        <v>0</v>
      </c>
      <c r="BF11" s="11">
        <f>IF(V11=VLOOKUP(VALUE(V$1),Questions!$A:$E,5,FALSE),1,0)</f>
        <v>1</v>
      </c>
      <c r="BG11" s="11">
        <f>IF(W11=VLOOKUP(VALUE(W$1),Questions!$A:$E,5,FALSE),1,0)</f>
        <v>1</v>
      </c>
      <c r="BH11" s="11">
        <f>IF(X11=VLOOKUP(VALUE(X$1),Questions!$A:$E,5,FALSE),1,0)</f>
        <v>1</v>
      </c>
      <c r="BI11" s="11">
        <f>IF(Y11=VLOOKUP(VALUE(Y$1),Questions!$A:$E,5,FALSE),1,0)</f>
        <v>1</v>
      </c>
      <c r="BJ11" s="11">
        <f>IF(Z11=VLOOKUP(VALUE(Z$1),Questions!$A:$E,5,FALSE),1,0)</f>
        <v>0</v>
      </c>
      <c r="BK11" s="11">
        <f>IF(AA11=VLOOKUP(VALUE(AA$1),Questions!$A:$E,5,FALSE),1,0)</f>
        <v>1</v>
      </c>
      <c r="BL11" s="11">
        <f>IF(AB11=VLOOKUP(VALUE(AB$1),Questions!$A:$E,5,FALSE),1,0)</f>
        <v>1</v>
      </c>
      <c r="BM11" s="11">
        <f>IF(AC11=VLOOKUP(VALUE(AC$1),Questions!$A:$E,5,FALSE),1,0)</f>
        <v>0</v>
      </c>
      <c r="BN11" s="11">
        <f>IF(AD11=VLOOKUP(VALUE(AD$1),Questions!$A:$E,5,FALSE),1,0)</f>
        <v>1</v>
      </c>
      <c r="BO11" s="11">
        <f>IF(AE11=VLOOKUP(VALUE(AE$1),Questions!$A:$E,5,FALSE),1,0)</f>
        <v>1</v>
      </c>
      <c r="BP11" s="11">
        <f>IF(AF11=VLOOKUP(VALUE(AF$1),Questions!$A:$E,5,FALSE),1,0)</f>
        <v>1</v>
      </c>
      <c r="BQ11" s="11">
        <f>IF(AG11=VLOOKUP(VALUE(AG$1),Questions!$A:$E,5,FALSE),1,0)</f>
        <v>0</v>
      </c>
      <c r="BR11" s="11">
        <f>IF(AH11=VLOOKUP(VALUE(AH$1),Questions!$A:$E,5,FALSE),1,0)</f>
        <v>1</v>
      </c>
      <c r="BS11" s="11">
        <f>IF(AI11=VLOOKUP(VALUE(AI$1),Questions!$A:$E,5,FALSE),1,0)</f>
        <v>1</v>
      </c>
    </row>
    <row r="12" spans="1:71">
      <c r="A12" s="10">
        <v>11</v>
      </c>
      <c r="B12" s="14" t="b">
        <v>0</v>
      </c>
      <c r="C12" s="14" t="b">
        <v>0</v>
      </c>
      <c r="D12" s="102">
        <f>SUM(Scores[[#This Row],[Q1]:[Q28]])</f>
        <v>12</v>
      </c>
      <c r="E12" s="103">
        <f>SUM(Scores[[#This Row],[29]:[34b]])</f>
        <v>0</v>
      </c>
      <c r="F12" s="103">
        <f>Scores[[#This Row],[35]]</f>
        <v>0</v>
      </c>
      <c r="G12" s="104">
        <f>INDEX('Conversion Chart'!$C$3:$M$38,MATCH(SUM(Scores[[#This Row],[MC]:[CRQ]]),'Conversion Chart'!$B$3:$B$38,0),MATCH(Scores[[#This Row],[EIE]],'Conversion Chart'!$C$2:$M$2,0))</f>
        <v>35</v>
      </c>
      <c r="H12" s="5">
        <v>4</v>
      </c>
      <c r="I12" s="5">
        <v>3</v>
      </c>
      <c r="J12" s="5">
        <v>3</v>
      </c>
      <c r="K12" s="5">
        <v>2</v>
      </c>
      <c r="L12" s="5">
        <v>1</v>
      </c>
      <c r="M12" s="5">
        <v>4</v>
      </c>
      <c r="N12" s="5">
        <v>3</v>
      </c>
      <c r="O12" s="5">
        <v>4</v>
      </c>
      <c r="P12" s="5">
        <v>1</v>
      </c>
      <c r="Q12" s="5">
        <v>3</v>
      </c>
      <c r="R12" s="5">
        <v>2</v>
      </c>
      <c r="S12" s="5">
        <v>4</v>
      </c>
      <c r="T12" s="5">
        <v>4</v>
      </c>
      <c r="U12" s="5">
        <v>3</v>
      </c>
      <c r="V12" s="5">
        <v>1</v>
      </c>
      <c r="W12" s="5">
        <v>3</v>
      </c>
      <c r="X12" s="5">
        <v>3</v>
      </c>
      <c r="Y12" s="5">
        <v>2</v>
      </c>
      <c r="Z12" s="5">
        <v>2</v>
      </c>
      <c r="AA12" s="5">
        <v>3</v>
      </c>
      <c r="AB12" s="5">
        <v>2</v>
      </c>
      <c r="AC12" s="5">
        <v>1</v>
      </c>
      <c r="AD12" s="5">
        <v>3</v>
      </c>
      <c r="AE12" s="5">
        <v>3</v>
      </c>
      <c r="AF12" s="5">
        <v>2</v>
      </c>
      <c r="AG12" s="5">
        <v>4</v>
      </c>
      <c r="AH12" s="5">
        <v>1</v>
      </c>
      <c r="AI12" s="104">
        <v>3</v>
      </c>
      <c r="AJ12" s="95"/>
      <c r="AK12" s="84"/>
      <c r="AL12" s="84"/>
      <c r="AM12" s="84"/>
      <c r="AN12" s="84"/>
      <c r="AO12" s="84"/>
      <c r="AP12" s="94"/>
      <c r="AR12" s="7">
        <f>IF(H12=VLOOKUP(VALUE(H$1),Questions!$A:$E,5,FALSE),1,0)</f>
        <v>1</v>
      </c>
      <c r="AS12" s="7">
        <f>IF(I12=VLOOKUP(VALUE(I$1),Questions!$A:$E,5,FALSE),1,0)</f>
        <v>1</v>
      </c>
      <c r="AT12" s="7">
        <f>IF(J12=VLOOKUP(VALUE(J$1),Questions!$A:$E,5,FALSE),1,0)</f>
        <v>0</v>
      </c>
      <c r="AU12" s="7">
        <f>IF(K12=VLOOKUP(VALUE(K$1),Questions!$A:$E,5,FALSE),1,0)</f>
        <v>1</v>
      </c>
      <c r="AV12" s="7">
        <f>IF(L12=VLOOKUP(VALUE(L$1),Questions!$A:$E,5,FALSE),1,0)</f>
        <v>0</v>
      </c>
      <c r="AW12" s="7">
        <f>IF(M12=VLOOKUP(VALUE(M$1),Questions!$A:$E,5,FALSE),1,0)</f>
        <v>1</v>
      </c>
      <c r="AX12" s="7">
        <f>IF(N12=VLOOKUP(VALUE(N$1),Questions!$A:$E,5,FALSE),1,0)</f>
        <v>1</v>
      </c>
      <c r="AY12" s="7">
        <f>IF(O12=VLOOKUP(VALUE(O$1),Questions!$A:$E,5,FALSE),1,0)</f>
        <v>0</v>
      </c>
      <c r="AZ12" s="7">
        <f>IF(P12=VLOOKUP(VALUE(P$1),Questions!$A:$E,5,FALSE),1,0)</f>
        <v>1</v>
      </c>
      <c r="BA12" s="7">
        <f>IF(Q12=VLOOKUP(VALUE(Q$1),Questions!$A:$E,5,FALSE),1,0)</f>
        <v>0</v>
      </c>
      <c r="BB12" s="7">
        <f>IF(R12=VLOOKUP(VALUE(R$1),Questions!$A:$E,5,FALSE),1,0)</f>
        <v>0</v>
      </c>
      <c r="BC12" s="7">
        <f>IF(S12=VLOOKUP(VALUE(S$1),Questions!$A:$E,5,FALSE),1,0)</f>
        <v>0</v>
      </c>
      <c r="BD12" s="7">
        <f>IF(T12=VLOOKUP(VALUE(T$1),Questions!$A:$E,5,FALSE),1,0)</f>
        <v>0</v>
      </c>
      <c r="BE12" s="7">
        <f>IF(U12=VLOOKUP(VALUE(U$1),Questions!$A:$E,5,FALSE),1,0)</f>
        <v>0</v>
      </c>
      <c r="BF12" s="7">
        <f>IF(V12=VLOOKUP(VALUE(V$1),Questions!$A:$E,5,FALSE),1,0)</f>
        <v>0</v>
      </c>
      <c r="BG12" s="7">
        <f>IF(W12=VLOOKUP(VALUE(W$1),Questions!$A:$E,5,FALSE),1,0)</f>
        <v>0</v>
      </c>
      <c r="BH12" s="7">
        <f>IF(X12=VLOOKUP(VALUE(X$1),Questions!$A:$E,5,FALSE),1,0)</f>
        <v>0</v>
      </c>
      <c r="BI12" s="7">
        <f>IF(Y12=VLOOKUP(VALUE(Y$1),Questions!$A:$E,5,FALSE),1,0)</f>
        <v>0</v>
      </c>
      <c r="BJ12" s="7">
        <f>IF(Z12=VLOOKUP(VALUE(Z$1),Questions!$A:$E,5,FALSE),1,0)</f>
        <v>1</v>
      </c>
      <c r="BK12" s="7">
        <f>IF(AA12=VLOOKUP(VALUE(AA$1),Questions!$A:$E,5,FALSE),1,0)</f>
        <v>1</v>
      </c>
      <c r="BL12" s="7">
        <f>IF(AB12=VLOOKUP(VALUE(AB$1),Questions!$A:$E,5,FALSE),1,0)</f>
        <v>1</v>
      </c>
      <c r="BM12" s="7">
        <f>IF(AC12=VLOOKUP(VALUE(AC$1),Questions!$A:$E,5,FALSE),1,0)</f>
        <v>1</v>
      </c>
      <c r="BN12" s="7">
        <f>IF(AD12=VLOOKUP(VALUE(AD$1),Questions!$A:$E,5,FALSE),1,0)</f>
        <v>1</v>
      </c>
      <c r="BO12" s="7">
        <f>IF(AE12=VLOOKUP(VALUE(AE$1),Questions!$A:$E,5,FALSE),1,0)</f>
        <v>0</v>
      </c>
      <c r="BP12" s="7">
        <f>IF(AF12=VLOOKUP(VALUE(AF$1),Questions!$A:$E,5,FALSE),1,0)</f>
        <v>0</v>
      </c>
      <c r="BQ12" s="7">
        <f>IF(AG12=VLOOKUP(VALUE(AG$1),Questions!$A:$E,5,FALSE),1,0)</f>
        <v>0</v>
      </c>
      <c r="BR12" s="7">
        <f>IF(AH12=VLOOKUP(VALUE(AH$1),Questions!$A:$E,5,FALSE),1,0)</f>
        <v>1</v>
      </c>
      <c r="BS12" s="7">
        <f>IF(AI12=VLOOKUP(VALUE(AI$1),Questions!$A:$E,5,FALSE),1,0)</f>
        <v>0</v>
      </c>
    </row>
    <row r="13" spans="1:71">
      <c r="A13" s="10">
        <v>12</v>
      </c>
      <c r="B13" s="14" t="b">
        <v>0</v>
      </c>
      <c r="C13" s="14" t="b">
        <v>0</v>
      </c>
      <c r="D13" s="102">
        <f>SUM(Scores[[#This Row],[Q1]:[Q28]])</f>
        <v>22</v>
      </c>
      <c r="E13" s="103">
        <f>SUM(Scores[[#This Row],[29]:[34b]])</f>
        <v>0</v>
      </c>
      <c r="F13" s="103">
        <f>Scores[[#This Row],[35]]</f>
        <v>0</v>
      </c>
      <c r="G13" s="104">
        <f>INDEX('Conversion Chart'!$C$3:$M$38,MATCH(SUM(Scores[[#This Row],[MC]:[CRQ]]),'Conversion Chart'!$B$3:$B$38,0),MATCH(Scores[[#This Row],[EIE]],'Conversion Chart'!$C$2:$M$2,0))</f>
        <v>57</v>
      </c>
      <c r="H13" s="5">
        <v>3</v>
      </c>
      <c r="I13" s="5">
        <v>3</v>
      </c>
      <c r="J13" s="5">
        <v>1</v>
      </c>
      <c r="K13" s="5">
        <v>2</v>
      </c>
      <c r="L13" s="5">
        <v>2</v>
      </c>
      <c r="M13" s="5">
        <v>4</v>
      </c>
      <c r="N13" s="5">
        <v>4</v>
      </c>
      <c r="O13" s="5">
        <v>1</v>
      </c>
      <c r="P13" s="5">
        <v>1</v>
      </c>
      <c r="Q13" s="5">
        <v>1</v>
      </c>
      <c r="R13" s="5">
        <v>4</v>
      </c>
      <c r="S13" s="5">
        <v>2</v>
      </c>
      <c r="T13" s="5">
        <v>1</v>
      </c>
      <c r="U13" s="5">
        <v>4</v>
      </c>
      <c r="V13" s="5">
        <v>3</v>
      </c>
      <c r="W13" s="5">
        <v>4</v>
      </c>
      <c r="X13" s="5">
        <v>2</v>
      </c>
      <c r="Y13" s="5">
        <v>3</v>
      </c>
      <c r="Z13" s="5">
        <v>1</v>
      </c>
      <c r="AA13" s="5">
        <v>1</v>
      </c>
      <c r="AB13" s="5">
        <v>4</v>
      </c>
      <c r="AC13" s="5">
        <v>1</v>
      </c>
      <c r="AD13" s="5">
        <v>3</v>
      </c>
      <c r="AE13" s="5">
        <v>2</v>
      </c>
      <c r="AF13" s="5">
        <v>4</v>
      </c>
      <c r="AG13" s="5">
        <v>3</v>
      </c>
      <c r="AH13" s="5">
        <v>1</v>
      </c>
      <c r="AI13" s="104">
        <v>4</v>
      </c>
      <c r="AJ13" s="95"/>
      <c r="AK13" s="84"/>
      <c r="AL13" s="84"/>
      <c r="AM13" s="84"/>
      <c r="AN13" s="84"/>
      <c r="AO13" s="84"/>
      <c r="AP13" s="94"/>
      <c r="AR13" s="11">
        <f>IF(H13=VLOOKUP(VALUE(H$1),Questions!$A:$E,5,FALSE),1,0)</f>
        <v>0</v>
      </c>
      <c r="AS13" s="11">
        <f>IF(I13=VLOOKUP(VALUE(I$1),Questions!$A:$E,5,FALSE),1,0)</f>
        <v>1</v>
      </c>
      <c r="AT13" s="11">
        <f>IF(J13=VLOOKUP(VALUE(J$1),Questions!$A:$E,5,FALSE),1,0)</f>
        <v>1</v>
      </c>
      <c r="AU13" s="11">
        <f>IF(K13=VLOOKUP(VALUE(K$1),Questions!$A:$E,5,FALSE),1,0)</f>
        <v>1</v>
      </c>
      <c r="AV13" s="11">
        <f>IF(L13=VLOOKUP(VALUE(L$1),Questions!$A:$E,5,FALSE),1,0)</f>
        <v>1</v>
      </c>
      <c r="AW13" s="11">
        <f>IF(M13=VLOOKUP(VALUE(M$1),Questions!$A:$E,5,FALSE),1,0)</f>
        <v>1</v>
      </c>
      <c r="AX13" s="11">
        <f>IF(N13=VLOOKUP(VALUE(N$1),Questions!$A:$E,5,FALSE),1,0)</f>
        <v>0</v>
      </c>
      <c r="AY13" s="11">
        <f>IF(O13=VLOOKUP(VALUE(O$1),Questions!$A:$E,5,FALSE),1,0)</f>
        <v>1</v>
      </c>
      <c r="AZ13" s="11">
        <f>IF(P13=VLOOKUP(VALUE(P$1),Questions!$A:$E,5,FALSE),1,0)</f>
        <v>1</v>
      </c>
      <c r="BA13" s="11">
        <f>IF(Q13=VLOOKUP(VALUE(Q$1),Questions!$A:$E,5,FALSE),1,0)</f>
        <v>1</v>
      </c>
      <c r="BB13" s="11">
        <f>IF(R13=VLOOKUP(VALUE(R$1),Questions!$A:$E,5,FALSE),1,0)</f>
        <v>1</v>
      </c>
      <c r="BC13" s="11">
        <f>IF(S13=VLOOKUP(VALUE(S$1),Questions!$A:$E,5,FALSE),1,0)</f>
        <v>1</v>
      </c>
      <c r="BD13" s="11">
        <f>IF(T13=VLOOKUP(VALUE(T$1),Questions!$A:$E,5,FALSE),1,0)</f>
        <v>1</v>
      </c>
      <c r="BE13" s="11">
        <f>IF(U13=VLOOKUP(VALUE(U$1),Questions!$A:$E,5,FALSE),1,0)</f>
        <v>1</v>
      </c>
      <c r="BF13" s="11">
        <f>IF(V13=VLOOKUP(VALUE(V$1),Questions!$A:$E,5,FALSE),1,0)</f>
        <v>1</v>
      </c>
      <c r="BG13" s="11">
        <f>IF(W13=VLOOKUP(VALUE(W$1),Questions!$A:$E,5,FALSE),1,0)</f>
        <v>1</v>
      </c>
      <c r="BH13" s="11">
        <f>IF(X13=VLOOKUP(VALUE(X$1),Questions!$A:$E,5,FALSE),1,0)</f>
        <v>1</v>
      </c>
      <c r="BI13" s="11">
        <f>IF(Y13=VLOOKUP(VALUE(Y$1),Questions!$A:$E,5,FALSE),1,0)</f>
        <v>1</v>
      </c>
      <c r="BJ13" s="11">
        <f>IF(Z13=VLOOKUP(VALUE(Z$1),Questions!$A:$E,5,FALSE),1,0)</f>
        <v>0</v>
      </c>
      <c r="BK13" s="11">
        <f>IF(AA13=VLOOKUP(VALUE(AA$1),Questions!$A:$E,5,FALSE),1,0)</f>
        <v>0</v>
      </c>
      <c r="BL13" s="11">
        <f>IF(AB13=VLOOKUP(VALUE(AB$1),Questions!$A:$E,5,FALSE),1,0)</f>
        <v>0</v>
      </c>
      <c r="BM13" s="11">
        <f>IF(AC13=VLOOKUP(VALUE(AC$1),Questions!$A:$E,5,FALSE),1,0)</f>
        <v>1</v>
      </c>
      <c r="BN13" s="11">
        <f>IF(AD13=VLOOKUP(VALUE(AD$1),Questions!$A:$E,5,FALSE),1,0)</f>
        <v>1</v>
      </c>
      <c r="BO13" s="11">
        <f>IF(AE13=VLOOKUP(VALUE(AE$1),Questions!$A:$E,5,FALSE),1,0)</f>
        <v>1</v>
      </c>
      <c r="BP13" s="11">
        <f>IF(AF13=VLOOKUP(VALUE(AF$1),Questions!$A:$E,5,FALSE),1,0)</f>
        <v>1</v>
      </c>
      <c r="BQ13" s="11">
        <f>IF(AG13=VLOOKUP(VALUE(AG$1),Questions!$A:$E,5,FALSE),1,0)</f>
        <v>1</v>
      </c>
      <c r="BR13" s="11">
        <f>IF(AH13=VLOOKUP(VALUE(AH$1),Questions!$A:$E,5,FALSE),1,0)</f>
        <v>1</v>
      </c>
      <c r="BS13" s="11">
        <f>IF(AI13=VLOOKUP(VALUE(AI$1),Questions!$A:$E,5,FALSE),1,0)</f>
        <v>0</v>
      </c>
    </row>
    <row r="14" spans="1:71">
      <c r="A14" s="10">
        <v>13</v>
      </c>
      <c r="B14" s="14" t="b">
        <v>0</v>
      </c>
      <c r="C14" s="14" t="b">
        <v>0</v>
      </c>
      <c r="D14" s="102">
        <f>SUM(Scores[[#This Row],[Q1]:[Q28]])</f>
        <v>24</v>
      </c>
      <c r="E14" s="103">
        <f>SUM(Scores[[#This Row],[29]:[34b]])</f>
        <v>0</v>
      </c>
      <c r="F14" s="103">
        <f>Scores[[#This Row],[35]]</f>
        <v>0</v>
      </c>
      <c r="G14" s="104">
        <f>INDEX('Conversion Chart'!$C$3:$M$38,MATCH(SUM(Scores[[#This Row],[MC]:[CRQ]]),'Conversion Chart'!$B$3:$B$38,0),MATCH(Scores[[#This Row],[EIE]],'Conversion Chart'!$C$2:$M$2,0))</f>
        <v>61</v>
      </c>
      <c r="H14" s="5">
        <v>3</v>
      </c>
      <c r="I14" s="5">
        <v>3</v>
      </c>
      <c r="J14" s="5">
        <v>1</v>
      </c>
      <c r="K14" s="5">
        <v>2</v>
      </c>
      <c r="L14" s="5">
        <v>2</v>
      </c>
      <c r="M14" s="5">
        <v>4</v>
      </c>
      <c r="N14" s="5">
        <v>3</v>
      </c>
      <c r="O14" s="5">
        <v>4</v>
      </c>
      <c r="P14" s="5">
        <v>1</v>
      </c>
      <c r="Q14" s="5">
        <v>1</v>
      </c>
      <c r="R14" s="5">
        <v>4</v>
      </c>
      <c r="S14" s="5">
        <v>2</v>
      </c>
      <c r="T14" s="5">
        <v>1</v>
      </c>
      <c r="U14" s="5">
        <v>4</v>
      </c>
      <c r="V14" s="5">
        <v>3</v>
      </c>
      <c r="W14" s="5">
        <v>3</v>
      </c>
      <c r="X14" s="5">
        <v>2</v>
      </c>
      <c r="Y14" s="5">
        <v>3</v>
      </c>
      <c r="Z14" s="5"/>
      <c r="AA14" s="5">
        <v>3</v>
      </c>
      <c r="AB14" s="5">
        <v>2</v>
      </c>
      <c r="AC14" s="5">
        <v>1</v>
      </c>
      <c r="AD14" s="5">
        <v>3</v>
      </c>
      <c r="AE14" s="5">
        <v>2</v>
      </c>
      <c r="AF14" s="5">
        <v>4</v>
      </c>
      <c r="AG14" s="5">
        <v>3</v>
      </c>
      <c r="AH14" s="5">
        <v>1</v>
      </c>
      <c r="AI14" s="104">
        <v>1</v>
      </c>
      <c r="AJ14" s="95"/>
      <c r="AK14" s="84"/>
      <c r="AL14" s="84"/>
      <c r="AM14" s="84"/>
      <c r="AN14" s="84"/>
      <c r="AO14" s="84"/>
      <c r="AP14" s="94"/>
      <c r="AR14" s="11">
        <f>IF(H14=VLOOKUP(VALUE(H$1),Questions!$A:$E,5,FALSE),1,0)</f>
        <v>0</v>
      </c>
      <c r="AS14" s="11">
        <f>IF(I14=VLOOKUP(VALUE(I$1),Questions!$A:$E,5,FALSE),1,0)</f>
        <v>1</v>
      </c>
      <c r="AT14" s="11">
        <f>IF(J14=VLOOKUP(VALUE(J$1),Questions!$A:$E,5,FALSE),1,0)</f>
        <v>1</v>
      </c>
      <c r="AU14" s="11">
        <f>IF(K14=VLOOKUP(VALUE(K$1),Questions!$A:$E,5,FALSE),1,0)</f>
        <v>1</v>
      </c>
      <c r="AV14" s="11">
        <f>IF(L14=VLOOKUP(VALUE(L$1),Questions!$A:$E,5,FALSE),1,0)</f>
        <v>1</v>
      </c>
      <c r="AW14" s="11">
        <f>IF(M14=VLOOKUP(VALUE(M$1),Questions!$A:$E,5,FALSE),1,0)</f>
        <v>1</v>
      </c>
      <c r="AX14" s="11">
        <f>IF(N14=VLOOKUP(VALUE(N$1),Questions!$A:$E,5,FALSE),1,0)</f>
        <v>1</v>
      </c>
      <c r="AY14" s="11">
        <f>IF(O14=VLOOKUP(VALUE(O$1),Questions!$A:$E,5,FALSE),1,0)</f>
        <v>0</v>
      </c>
      <c r="AZ14" s="11">
        <f>IF(P14=VLOOKUP(VALUE(P$1),Questions!$A:$E,5,FALSE),1,0)</f>
        <v>1</v>
      </c>
      <c r="BA14" s="11">
        <f>IF(Q14=VLOOKUP(VALUE(Q$1),Questions!$A:$E,5,FALSE),1,0)</f>
        <v>1</v>
      </c>
      <c r="BB14" s="11">
        <f>IF(R14=VLOOKUP(VALUE(R$1),Questions!$A:$E,5,FALSE),1,0)</f>
        <v>1</v>
      </c>
      <c r="BC14" s="11">
        <f>IF(S14=VLOOKUP(VALUE(S$1),Questions!$A:$E,5,FALSE),1,0)</f>
        <v>1</v>
      </c>
      <c r="BD14" s="11">
        <f>IF(T14=VLOOKUP(VALUE(T$1),Questions!$A:$E,5,FALSE),1,0)</f>
        <v>1</v>
      </c>
      <c r="BE14" s="11">
        <f>IF(U14=VLOOKUP(VALUE(U$1),Questions!$A:$E,5,FALSE),1,0)</f>
        <v>1</v>
      </c>
      <c r="BF14" s="11">
        <f>IF(V14=VLOOKUP(VALUE(V$1),Questions!$A:$E,5,FALSE),1,0)</f>
        <v>1</v>
      </c>
      <c r="BG14" s="11">
        <f>IF(W14=VLOOKUP(VALUE(W$1),Questions!$A:$E,5,FALSE),1,0)</f>
        <v>0</v>
      </c>
      <c r="BH14" s="11">
        <f>IF(X14=VLOOKUP(VALUE(X$1),Questions!$A:$E,5,FALSE),1,0)</f>
        <v>1</v>
      </c>
      <c r="BI14" s="11">
        <f>IF(Y14=VLOOKUP(VALUE(Y$1),Questions!$A:$E,5,FALSE),1,0)</f>
        <v>1</v>
      </c>
      <c r="BJ14" s="11">
        <f>IF(Z14=VLOOKUP(VALUE(Z$1),Questions!$A:$E,5,FALSE),1,0)</f>
        <v>0</v>
      </c>
      <c r="BK14" s="11">
        <f>IF(AA14=VLOOKUP(VALUE(AA$1),Questions!$A:$E,5,FALSE),1,0)</f>
        <v>1</v>
      </c>
      <c r="BL14" s="11">
        <f>IF(AB14=VLOOKUP(VALUE(AB$1),Questions!$A:$E,5,FALSE),1,0)</f>
        <v>1</v>
      </c>
      <c r="BM14" s="11">
        <f>IF(AC14=VLOOKUP(VALUE(AC$1),Questions!$A:$E,5,FALSE),1,0)</f>
        <v>1</v>
      </c>
      <c r="BN14" s="11">
        <f>IF(AD14=VLOOKUP(VALUE(AD$1),Questions!$A:$E,5,FALSE),1,0)</f>
        <v>1</v>
      </c>
      <c r="BO14" s="11">
        <f>IF(AE14=VLOOKUP(VALUE(AE$1),Questions!$A:$E,5,FALSE),1,0)</f>
        <v>1</v>
      </c>
      <c r="BP14" s="11">
        <f>IF(AF14=VLOOKUP(VALUE(AF$1),Questions!$A:$E,5,FALSE),1,0)</f>
        <v>1</v>
      </c>
      <c r="BQ14" s="11">
        <f>IF(AG14=VLOOKUP(VALUE(AG$1),Questions!$A:$E,5,FALSE),1,0)</f>
        <v>1</v>
      </c>
      <c r="BR14" s="11">
        <f>IF(AH14=VLOOKUP(VALUE(AH$1),Questions!$A:$E,5,FALSE),1,0)</f>
        <v>1</v>
      </c>
      <c r="BS14" s="11">
        <f>IF(AI14=VLOOKUP(VALUE(AI$1),Questions!$A:$E,5,FALSE),1,0)</f>
        <v>1</v>
      </c>
    </row>
    <row r="15" spans="1:71">
      <c r="A15" s="10">
        <v>14</v>
      </c>
      <c r="B15" s="14" t="b">
        <v>0</v>
      </c>
      <c r="C15" s="14" t="b">
        <v>0</v>
      </c>
      <c r="D15" s="102">
        <f>SUM(Scores[[#This Row],[Q1]:[Q28]])</f>
        <v>10</v>
      </c>
      <c r="E15" s="103">
        <f>SUM(Scores[[#This Row],[29]:[34b]])</f>
        <v>0</v>
      </c>
      <c r="F15" s="103">
        <f>Scores[[#This Row],[35]]</f>
        <v>0</v>
      </c>
      <c r="G15" s="104">
        <f>INDEX('Conversion Chart'!$C$3:$M$38,MATCH(SUM(Scores[[#This Row],[MC]:[CRQ]]),'Conversion Chart'!$B$3:$B$38,0),MATCH(Scores[[#This Row],[EIE]],'Conversion Chart'!$C$2:$M$2,0))</f>
        <v>30</v>
      </c>
      <c r="H15" s="5">
        <v>1</v>
      </c>
      <c r="I15" s="5">
        <v>3</v>
      </c>
      <c r="J15" s="5">
        <v>1</v>
      </c>
      <c r="K15" s="5">
        <v>2</v>
      </c>
      <c r="L15" s="5">
        <v>1</v>
      </c>
      <c r="M15" s="5">
        <v>2</v>
      </c>
      <c r="N15" s="5">
        <v>3</v>
      </c>
      <c r="O15" s="5">
        <v>3</v>
      </c>
      <c r="P15" s="5">
        <v>4</v>
      </c>
      <c r="Q15" s="5">
        <v>3</v>
      </c>
      <c r="R15" s="5">
        <v>4</v>
      </c>
      <c r="S15" s="5">
        <v>4</v>
      </c>
      <c r="T15" s="5">
        <v>4</v>
      </c>
      <c r="U15" s="5">
        <v>1</v>
      </c>
      <c r="V15" s="5">
        <v>4</v>
      </c>
      <c r="W15" s="5">
        <v>3</v>
      </c>
      <c r="X15" s="5">
        <v>1</v>
      </c>
      <c r="Y15" s="5">
        <v>2</v>
      </c>
      <c r="Z15" s="5">
        <v>4</v>
      </c>
      <c r="AA15" s="5">
        <v>1</v>
      </c>
      <c r="AB15" s="5">
        <v>2</v>
      </c>
      <c r="AC15" s="5">
        <v>4</v>
      </c>
      <c r="AD15" s="5">
        <v>3</v>
      </c>
      <c r="AE15" s="5">
        <v>4</v>
      </c>
      <c r="AF15" s="5">
        <v>4</v>
      </c>
      <c r="AG15" s="5">
        <v>1</v>
      </c>
      <c r="AH15" s="5">
        <v>1</v>
      </c>
      <c r="AI15" s="104">
        <v>1</v>
      </c>
      <c r="AJ15" s="95"/>
      <c r="AK15" s="84"/>
      <c r="AL15" s="84"/>
      <c r="AM15" s="84"/>
      <c r="AN15" s="84"/>
      <c r="AO15" s="84"/>
      <c r="AP15" s="94"/>
      <c r="AR15" s="7">
        <f>IF(H15=VLOOKUP(VALUE(H$1),Questions!$A:$E,5,FALSE),1,0)</f>
        <v>0</v>
      </c>
      <c r="AS15" s="7">
        <f>IF(I15=VLOOKUP(VALUE(I$1),Questions!$A:$E,5,FALSE),1,0)</f>
        <v>1</v>
      </c>
      <c r="AT15" s="7">
        <f>IF(J15=VLOOKUP(VALUE(J$1),Questions!$A:$E,5,FALSE),1,0)</f>
        <v>1</v>
      </c>
      <c r="AU15" s="7">
        <f>IF(K15=VLOOKUP(VALUE(K$1),Questions!$A:$E,5,FALSE),1,0)</f>
        <v>1</v>
      </c>
      <c r="AV15" s="7">
        <f>IF(L15=VLOOKUP(VALUE(L$1),Questions!$A:$E,5,FALSE),1,0)</f>
        <v>0</v>
      </c>
      <c r="AW15" s="7">
        <f>IF(M15=VLOOKUP(VALUE(M$1),Questions!$A:$E,5,FALSE),1,0)</f>
        <v>0</v>
      </c>
      <c r="AX15" s="7">
        <f>IF(N15=VLOOKUP(VALUE(N$1),Questions!$A:$E,5,FALSE),1,0)</f>
        <v>1</v>
      </c>
      <c r="AY15" s="7">
        <f>IF(O15=VLOOKUP(VALUE(O$1),Questions!$A:$E,5,FALSE),1,0)</f>
        <v>0</v>
      </c>
      <c r="AZ15" s="7">
        <f>IF(P15=VLOOKUP(VALUE(P$1),Questions!$A:$E,5,FALSE),1,0)</f>
        <v>0</v>
      </c>
      <c r="BA15" s="7">
        <f>IF(Q15=VLOOKUP(VALUE(Q$1),Questions!$A:$E,5,FALSE),1,0)</f>
        <v>0</v>
      </c>
      <c r="BB15" s="7">
        <f>IF(R15=VLOOKUP(VALUE(R$1),Questions!$A:$E,5,FALSE),1,0)</f>
        <v>1</v>
      </c>
      <c r="BC15" s="7">
        <f>IF(S15=VLOOKUP(VALUE(S$1),Questions!$A:$E,5,FALSE),1,0)</f>
        <v>0</v>
      </c>
      <c r="BD15" s="7">
        <f>IF(T15=VLOOKUP(VALUE(T$1),Questions!$A:$E,5,FALSE),1,0)</f>
        <v>0</v>
      </c>
      <c r="BE15" s="7">
        <f>IF(U15=VLOOKUP(VALUE(U$1),Questions!$A:$E,5,FALSE),1,0)</f>
        <v>0</v>
      </c>
      <c r="BF15" s="7">
        <f>IF(V15=VLOOKUP(VALUE(V$1),Questions!$A:$E,5,FALSE),1,0)</f>
        <v>0</v>
      </c>
      <c r="BG15" s="7">
        <f>IF(W15=VLOOKUP(VALUE(W$1),Questions!$A:$E,5,FALSE),1,0)</f>
        <v>0</v>
      </c>
      <c r="BH15" s="7">
        <f>IF(X15=VLOOKUP(VALUE(X$1),Questions!$A:$E,5,FALSE),1,0)</f>
        <v>0</v>
      </c>
      <c r="BI15" s="7">
        <f>IF(Y15=VLOOKUP(VALUE(Y$1),Questions!$A:$E,5,FALSE),1,0)</f>
        <v>0</v>
      </c>
      <c r="BJ15" s="7">
        <f>IF(Z15=VLOOKUP(VALUE(Z$1),Questions!$A:$E,5,FALSE),1,0)</f>
        <v>0</v>
      </c>
      <c r="BK15" s="7">
        <f>IF(AA15=VLOOKUP(VALUE(AA$1),Questions!$A:$E,5,FALSE),1,0)</f>
        <v>0</v>
      </c>
      <c r="BL15" s="7">
        <f>IF(AB15=VLOOKUP(VALUE(AB$1),Questions!$A:$E,5,FALSE),1,0)</f>
        <v>1</v>
      </c>
      <c r="BM15" s="7">
        <f>IF(AC15=VLOOKUP(VALUE(AC$1),Questions!$A:$E,5,FALSE),1,0)</f>
        <v>0</v>
      </c>
      <c r="BN15" s="7">
        <f>IF(AD15=VLOOKUP(VALUE(AD$1),Questions!$A:$E,5,FALSE),1,0)</f>
        <v>1</v>
      </c>
      <c r="BO15" s="7">
        <f>IF(AE15=VLOOKUP(VALUE(AE$1),Questions!$A:$E,5,FALSE),1,0)</f>
        <v>0</v>
      </c>
      <c r="BP15" s="7">
        <f>IF(AF15=VLOOKUP(VALUE(AF$1),Questions!$A:$E,5,FALSE),1,0)</f>
        <v>1</v>
      </c>
      <c r="BQ15" s="7">
        <f>IF(AG15=VLOOKUP(VALUE(AG$1),Questions!$A:$E,5,FALSE),1,0)</f>
        <v>0</v>
      </c>
      <c r="BR15" s="7">
        <f>IF(AH15=VLOOKUP(VALUE(AH$1),Questions!$A:$E,5,FALSE),1,0)</f>
        <v>1</v>
      </c>
      <c r="BS15" s="7">
        <f>IF(AI15=VLOOKUP(VALUE(AI$1),Questions!$A:$E,5,FALSE),1,0)</f>
        <v>1</v>
      </c>
    </row>
    <row r="16" spans="1:71">
      <c r="A16" s="10">
        <v>15</v>
      </c>
      <c r="B16" s="14" t="b">
        <v>0</v>
      </c>
      <c r="C16" s="14" t="b">
        <v>0</v>
      </c>
      <c r="D16" s="102">
        <f>SUM(Scores[[#This Row],[Q1]:[Q28]])</f>
        <v>25</v>
      </c>
      <c r="E16" s="103">
        <f>SUM(Scores[[#This Row],[29]:[34b]])</f>
        <v>0</v>
      </c>
      <c r="F16" s="103">
        <f>Scores[[#This Row],[35]]</f>
        <v>0</v>
      </c>
      <c r="G16" s="104">
        <f>INDEX('Conversion Chart'!$C$3:$M$38,MATCH(SUM(Scores[[#This Row],[MC]:[CRQ]]),'Conversion Chart'!$B$3:$B$38,0),MATCH(Scores[[#This Row],[EIE]],'Conversion Chart'!$C$2:$M$2,0))</f>
        <v>63</v>
      </c>
      <c r="H16" s="5">
        <v>4</v>
      </c>
      <c r="I16" s="5">
        <v>3</v>
      </c>
      <c r="J16" s="5">
        <v>1</v>
      </c>
      <c r="K16" s="5">
        <v>2</v>
      </c>
      <c r="L16" s="5">
        <v>2</v>
      </c>
      <c r="M16" s="5">
        <v>4</v>
      </c>
      <c r="N16" s="5">
        <v>1</v>
      </c>
      <c r="O16" s="5">
        <v>4</v>
      </c>
      <c r="P16" s="5">
        <v>1</v>
      </c>
      <c r="Q16" s="5">
        <v>1</v>
      </c>
      <c r="R16" s="5">
        <v>4</v>
      </c>
      <c r="S16" s="5">
        <v>2</v>
      </c>
      <c r="T16" s="5">
        <v>1</v>
      </c>
      <c r="U16" s="5">
        <v>4</v>
      </c>
      <c r="V16" s="5">
        <v>3</v>
      </c>
      <c r="W16" s="5">
        <v>4</v>
      </c>
      <c r="X16" s="5">
        <v>2</v>
      </c>
      <c r="Y16" s="5">
        <v>3</v>
      </c>
      <c r="Z16" s="5">
        <v>1</v>
      </c>
      <c r="AA16" s="5">
        <v>3</v>
      </c>
      <c r="AB16" s="5">
        <v>2</v>
      </c>
      <c r="AC16" s="5">
        <v>1</v>
      </c>
      <c r="AD16" s="5">
        <v>3</v>
      </c>
      <c r="AE16" s="5">
        <v>2</v>
      </c>
      <c r="AF16" s="5">
        <v>4</v>
      </c>
      <c r="AG16" s="5">
        <v>3</v>
      </c>
      <c r="AH16" s="5">
        <v>1</v>
      </c>
      <c r="AI16" s="104">
        <v>1</v>
      </c>
      <c r="AJ16" s="95"/>
      <c r="AK16" s="84"/>
      <c r="AL16" s="84"/>
      <c r="AM16" s="84"/>
      <c r="AN16" s="84"/>
      <c r="AO16" s="84"/>
      <c r="AP16" s="94"/>
      <c r="AR16" s="11">
        <f>IF(H16=VLOOKUP(VALUE(H$1),Questions!$A:$E,5,FALSE),1,0)</f>
        <v>1</v>
      </c>
      <c r="AS16" s="11">
        <f>IF(I16=VLOOKUP(VALUE(I$1),Questions!$A:$E,5,FALSE),1,0)</f>
        <v>1</v>
      </c>
      <c r="AT16" s="11">
        <f>IF(J16=VLOOKUP(VALUE(J$1),Questions!$A:$E,5,FALSE),1,0)</f>
        <v>1</v>
      </c>
      <c r="AU16" s="11">
        <f>IF(K16=VLOOKUP(VALUE(K$1),Questions!$A:$E,5,FALSE),1,0)</f>
        <v>1</v>
      </c>
      <c r="AV16" s="11">
        <f>IF(L16=VLOOKUP(VALUE(L$1),Questions!$A:$E,5,FALSE),1,0)</f>
        <v>1</v>
      </c>
      <c r="AW16" s="11">
        <f>IF(M16=VLOOKUP(VALUE(M$1),Questions!$A:$E,5,FALSE),1,0)</f>
        <v>1</v>
      </c>
      <c r="AX16" s="11">
        <f>IF(N16=VLOOKUP(VALUE(N$1),Questions!$A:$E,5,FALSE),1,0)</f>
        <v>0</v>
      </c>
      <c r="AY16" s="11">
        <f>IF(O16=VLOOKUP(VALUE(O$1),Questions!$A:$E,5,FALSE),1,0)</f>
        <v>0</v>
      </c>
      <c r="AZ16" s="11">
        <f>IF(P16=VLOOKUP(VALUE(P$1),Questions!$A:$E,5,FALSE),1,0)</f>
        <v>1</v>
      </c>
      <c r="BA16" s="11">
        <f>IF(Q16=VLOOKUP(VALUE(Q$1),Questions!$A:$E,5,FALSE),1,0)</f>
        <v>1</v>
      </c>
      <c r="BB16" s="11">
        <f>IF(R16=VLOOKUP(VALUE(R$1),Questions!$A:$E,5,FALSE),1,0)</f>
        <v>1</v>
      </c>
      <c r="BC16" s="11">
        <f>IF(S16=VLOOKUP(VALUE(S$1),Questions!$A:$E,5,FALSE),1,0)</f>
        <v>1</v>
      </c>
      <c r="BD16" s="11">
        <f>IF(T16=VLOOKUP(VALUE(T$1),Questions!$A:$E,5,FALSE),1,0)</f>
        <v>1</v>
      </c>
      <c r="BE16" s="11">
        <f>IF(U16=VLOOKUP(VALUE(U$1),Questions!$A:$E,5,FALSE),1,0)</f>
        <v>1</v>
      </c>
      <c r="BF16" s="11">
        <f>IF(V16=VLOOKUP(VALUE(V$1),Questions!$A:$E,5,FALSE),1,0)</f>
        <v>1</v>
      </c>
      <c r="BG16" s="11">
        <f>IF(W16=VLOOKUP(VALUE(W$1),Questions!$A:$E,5,FALSE),1,0)</f>
        <v>1</v>
      </c>
      <c r="BH16" s="11">
        <f>IF(X16=VLOOKUP(VALUE(X$1),Questions!$A:$E,5,FALSE),1,0)</f>
        <v>1</v>
      </c>
      <c r="BI16" s="11">
        <f>IF(Y16=VLOOKUP(VALUE(Y$1),Questions!$A:$E,5,FALSE),1,0)</f>
        <v>1</v>
      </c>
      <c r="BJ16" s="11">
        <f>IF(Z16=VLOOKUP(VALUE(Z$1),Questions!$A:$E,5,FALSE),1,0)</f>
        <v>0</v>
      </c>
      <c r="BK16" s="11">
        <f>IF(AA16=VLOOKUP(VALUE(AA$1),Questions!$A:$E,5,FALSE),1,0)</f>
        <v>1</v>
      </c>
      <c r="BL16" s="11">
        <f>IF(AB16=VLOOKUP(VALUE(AB$1),Questions!$A:$E,5,FALSE),1,0)</f>
        <v>1</v>
      </c>
      <c r="BM16" s="11">
        <f>IF(AC16=VLOOKUP(VALUE(AC$1),Questions!$A:$E,5,FALSE),1,0)</f>
        <v>1</v>
      </c>
      <c r="BN16" s="11">
        <f>IF(AD16=VLOOKUP(VALUE(AD$1),Questions!$A:$E,5,FALSE),1,0)</f>
        <v>1</v>
      </c>
      <c r="BO16" s="11">
        <f>IF(AE16=VLOOKUP(VALUE(AE$1),Questions!$A:$E,5,FALSE),1,0)</f>
        <v>1</v>
      </c>
      <c r="BP16" s="11">
        <f>IF(AF16=VLOOKUP(VALUE(AF$1),Questions!$A:$E,5,FALSE),1,0)</f>
        <v>1</v>
      </c>
      <c r="BQ16" s="11">
        <f>IF(AG16=VLOOKUP(VALUE(AG$1),Questions!$A:$E,5,FALSE),1,0)</f>
        <v>1</v>
      </c>
      <c r="BR16" s="11">
        <f>IF(AH16=VLOOKUP(VALUE(AH$1),Questions!$A:$E,5,FALSE),1,0)</f>
        <v>1</v>
      </c>
      <c r="BS16" s="11">
        <f>IF(AI16=VLOOKUP(VALUE(AI$1),Questions!$A:$E,5,FALSE),1,0)</f>
        <v>1</v>
      </c>
    </row>
    <row r="17" spans="1:71">
      <c r="A17" s="10">
        <v>16</v>
      </c>
      <c r="B17" s="14" t="b">
        <v>0</v>
      </c>
      <c r="C17" s="14" t="b">
        <v>0</v>
      </c>
      <c r="D17" s="102">
        <f>SUM(Scores[[#This Row],[Q1]:[Q28]])</f>
        <v>27</v>
      </c>
      <c r="E17" s="103">
        <f>SUM(Scores[[#This Row],[29]:[34b]])</f>
        <v>0</v>
      </c>
      <c r="F17" s="103">
        <f>Scores[[#This Row],[35]]</f>
        <v>0</v>
      </c>
      <c r="G17" s="104">
        <f>INDEX('Conversion Chart'!$C$3:$M$38,MATCH(SUM(Scores[[#This Row],[MC]:[CRQ]]),'Conversion Chart'!$B$3:$B$38,0),MATCH(Scores[[#This Row],[EIE]],'Conversion Chart'!$C$2:$M$2,0))</f>
        <v>66</v>
      </c>
      <c r="H17" s="5">
        <v>4</v>
      </c>
      <c r="I17" s="5">
        <v>3</v>
      </c>
      <c r="J17" s="5">
        <v>1</v>
      </c>
      <c r="K17" s="5">
        <v>2</v>
      </c>
      <c r="L17" s="5">
        <v>2</v>
      </c>
      <c r="M17" s="5">
        <v>4</v>
      </c>
      <c r="N17" s="5">
        <v>3</v>
      </c>
      <c r="O17" s="5">
        <v>4</v>
      </c>
      <c r="P17" s="5">
        <v>1</v>
      </c>
      <c r="Q17" s="5">
        <v>1</v>
      </c>
      <c r="R17" s="5">
        <v>4</v>
      </c>
      <c r="S17" s="5">
        <v>2</v>
      </c>
      <c r="T17" s="5">
        <v>1</v>
      </c>
      <c r="U17" s="5">
        <v>4</v>
      </c>
      <c r="V17" s="5">
        <v>3</v>
      </c>
      <c r="W17" s="5">
        <v>4</v>
      </c>
      <c r="X17" s="5">
        <v>2</v>
      </c>
      <c r="Y17" s="5">
        <v>3</v>
      </c>
      <c r="Z17" s="5">
        <v>2</v>
      </c>
      <c r="AA17" s="5">
        <v>3</v>
      </c>
      <c r="AB17" s="5">
        <v>2</v>
      </c>
      <c r="AC17" s="5">
        <v>1</v>
      </c>
      <c r="AD17" s="5">
        <v>3</v>
      </c>
      <c r="AE17" s="5">
        <v>2</v>
      </c>
      <c r="AF17" s="5">
        <v>4</v>
      </c>
      <c r="AG17" s="5">
        <v>3</v>
      </c>
      <c r="AH17" s="5">
        <v>1</v>
      </c>
      <c r="AI17" s="104">
        <v>1</v>
      </c>
      <c r="AJ17" s="95"/>
      <c r="AK17" s="84"/>
      <c r="AL17" s="84"/>
      <c r="AM17" s="84"/>
      <c r="AN17" s="84"/>
      <c r="AO17" s="84"/>
      <c r="AP17" s="94"/>
      <c r="AR17" s="7">
        <f>IF(H17=VLOOKUP(VALUE(H$1),Questions!$A:$E,5,FALSE),1,0)</f>
        <v>1</v>
      </c>
      <c r="AS17" s="7">
        <f>IF(I17=VLOOKUP(VALUE(I$1),Questions!$A:$E,5,FALSE),1,0)</f>
        <v>1</v>
      </c>
      <c r="AT17" s="7">
        <f>IF(J17=VLOOKUP(VALUE(J$1),Questions!$A:$E,5,FALSE),1,0)</f>
        <v>1</v>
      </c>
      <c r="AU17" s="7">
        <f>IF(K17=VLOOKUP(VALUE(K$1),Questions!$A:$E,5,FALSE),1,0)</f>
        <v>1</v>
      </c>
      <c r="AV17" s="7">
        <f>IF(L17=VLOOKUP(VALUE(L$1),Questions!$A:$E,5,FALSE),1,0)</f>
        <v>1</v>
      </c>
      <c r="AW17" s="7">
        <f>IF(M17=VLOOKUP(VALUE(M$1),Questions!$A:$E,5,FALSE),1,0)</f>
        <v>1</v>
      </c>
      <c r="AX17" s="7">
        <f>IF(N17=VLOOKUP(VALUE(N$1),Questions!$A:$E,5,FALSE),1,0)</f>
        <v>1</v>
      </c>
      <c r="AY17" s="7">
        <f>IF(O17=VLOOKUP(VALUE(O$1),Questions!$A:$E,5,FALSE),1,0)</f>
        <v>0</v>
      </c>
      <c r="AZ17" s="7">
        <f>IF(P17=VLOOKUP(VALUE(P$1),Questions!$A:$E,5,FALSE),1,0)</f>
        <v>1</v>
      </c>
      <c r="BA17" s="7">
        <f>IF(Q17=VLOOKUP(VALUE(Q$1),Questions!$A:$E,5,FALSE),1,0)</f>
        <v>1</v>
      </c>
      <c r="BB17" s="7">
        <f>IF(R17=VLOOKUP(VALUE(R$1),Questions!$A:$E,5,FALSE),1,0)</f>
        <v>1</v>
      </c>
      <c r="BC17" s="7">
        <f>IF(S17=VLOOKUP(VALUE(S$1),Questions!$A:$E,5,FALSE),1,0)</f>
        <v>1</v>
      </c>
      <c r="BD17" s="7">
        <f>IF(T17=VLOOKUP(VALUE(T$1),Questions!$A:$E,5,FALSE),1,0)</f>
        <v>1</v>
      </c>
      <c r="BE17" s="7">
        <f>IF(U17=VLOOKUP(VALUE(U$1),Questions!$A:$E,5,FALSE),1,0)</f>
        <v>1</v>
      </c>
      <c r="BF17" s="7">
        <f>IF(V17=VLOOKUP(VALUE(V$1),Questions!$A:$E,5,FALSE),1,0)</f>
        <v>1</v>
      </c>
      <c r="BG17" s="7">
        <f>IF(W17=VLOOKUP(VALUE(W$1),Questions!$A:$E,5,FALSE),1,0)</f>
        <v>1</v>
      </c>
      <c r="BH17" s="7">
        <f>IF(X17=VLOOKUP(VALUE(X$1),Questions!$A:$E,5,FALSE),1,0)</f>
        <v>1</v>
      </c>
      <c r="BI17" s="7">
        <f>IF(Y17=VLOOKUP(VALUE(Y$1),Questions!$A:$E,5,FALSE),1,0)</f>
        <v>1</v>
      </c>
      <c r="BJ17" s="7">
        <f>IF(Z17=VLOOKUP(VALUE(Z$1),Questions!$A:$E,5,FALSE),1,0)</f>
        <v>1</v>
      </c>
      <c r="BK17" s="7">
        <f>IF(AA17=VLOOKUP(VALUE(AA$1),Questions!$A:$E,5,FALSE),1,0)</f>
        <v>1</v>
      </c>
      <c r="BL17" s="7">
        <f>IF(AB17=VLOOKUP(VALUE(AB$1),Questions!$A:$E,5,FALSE),1,0)</f>
        <v>1</v>
      </c>
      <c r="BM17" s="7">
        <f>IF(AC17=VLOOKUP(VALUE(AC$1),Questions!$A:$E,5,FALSE),1,0)</f>
        <v>1</v>
      </c>
      <c r="BN17" s="7">
        <f>IF(AD17=VLOOKUP(VALUE(AD$1),Questions!$A:$E,5,FALSE),1,0)</f>
        <v>1</v>
      </c>
      <c r="BO17" s="7">
        <f>IF(AE17=VLOOKUP(VALUE(AE$1),Questions!$A:$E,5,FALSE),1,0)</f>
        <v>1</v>
      </c>
      <c r="BP17" s="7">
        <f>IF(AF17=VLOOKUP(VALUE(AF$1),Questions!$A:$E,5,FALSE),1,0)</f>
        <v>1</v>
      </c>
      <c r="BQ17" s="7">
        <f>IF(AG17=VLOOKUP(VALUE(AG$1),Questions!$A:$E,5,FALSE),1,0)</f>
        <v>1</v>
      </c>
      <c r="BR17" s="7">
        <f>IF(AH17=VLOOKUP(VALUE(AH$1),Questions!$A:$E,5,FALSE),1,0)</f>
        <v>1</v>
      </c>
      <c r="BS17" s="7">
        <f>IF(AI17=VLOOKUP(VALUE(AI$1),Questions!$A:$E,5,FALSE),1,0)</f>
        <v>1</v>
      </c>
    </row>
    <row r="18" spans="1:71">
      <c r="A18" s="10">
        <v>17</v>
      </c>
      <c r="B18" s="14" t="b">
        <v>0</v>
      </c>
      <c r="C18" s="14" t="b">
        <v>0</v>
      </c>
      <c r="D18" s="102">
        <f>SUM(Scores[[#This Row],[Q1]:[Q28]])</f>
        <v>24</v>
      </c>
      <c r="E18" s="103">
        <f>SUM(Scores[[#This Row],[29]:[34b]])</f>
        <v>0</v>
      </c>
      <c r="F18" s="103">
        <f>Scores[[#This Row],[35]]</f>
        <v>0</v>
      </c>
      <c r="G18" s="104">
        <f>INDEX('Conversion Chart'!$C$3:$M$38,MATCH(SUM(Scores[[#This Row],[MC]:[CRQ]]),'Conversion Chart'!$B$3:$B$38,0),MATCH(Scores[[#This Row],[EIE]],'Conversion Chart'!$C$2:$M$2,0))</f>
        <v>61</v>
      </c>
      <c r="H18" s="5">
        <v>4</v>
      </c>
      <c r="I18" s="5">
        <v>3</v>
      </c>
      <c r="J18" s="5">
        <v>1</v>
      </c>
      <c r="K18" s="5">
        <v>2</v>
      </c>
      <c r="L18" s="5">
        <v>2</v>
      </c>
      <c r="M18" s="5">
        <v>4</v>
      </c>
      <c r="N18" s="5">
        <v>3</v>
      </c>
      <c r="O18" s="5">
        <v>1</v>
      </c>
      <c r="P18" s="5">
        <v>3</v>
      </c>
      <c r="Q18" s="5">
        <v>1</v>
      </c>
      <c r="R18" s="5">
        <v>4</v>
      </c>
      <c r="S18" s="5">
        <v>2</v>
      </c>
      <c r="T18" s="5">
        <v>1</v>
      </c>
      <c r="U18" s="5">
        <v>3</v>
      </c>
      <c r="V18" s="5">
        <v>3</v>
      </c>
      <c r="W18" s="5">
        <v>4</v>
      </c>
      <c r="X18" s="5">
        <v>2</v>
      </c>
      <c r="Y18" s="5">
        <v>3</v>
      </c>
      <c r="Z18" s="5">
        <v>2</v>
      </c>
      <c r="AA18" s="5">
        <v>3</v>
      </c>
      <c r="AB18" s="5">
        <v>2</v>
      </c>
      <c r="AC18" s="5">
        <v>1</v>
      </c>
      <c r="AD18" s="5">
        <v>2</v>
      </c>
      <c r="AE18" s="5">
        <v>2</v>
      </c>
      <c r="AF18" s="5">
        <v>4</v>
      </c>
      <c r="AG18" s="5">
        <v>3</v>
      </c>
      <c r="AH18" s="5">
        <v>1</v>
      </c>
      <c r="AI18" s="104">
        <v>4</v>
      </c>
      <c r="AJ18" s="95"/>
      <c r="AK18" s="84"/>
      <c r="AL18" s="84"/>
      <c r="AM18" s="84"/>
      <c r="AN18" s="84"/>
      <c r="AO18" s="84"/>
      <c r="AP18" s="94"/>
      <c r="AR18" s="7">
        <f>IF(H18=VLOOKUP(VALUE(H$1),Questions!$A:$E,5,FALSE),1,0)</f>
        <v>1</v>
      </c>
      <c r="AS18" s="7">
        <f>IF(I18=VLOOKUP(VALUE(I$1),Questions!$A:$E,5,FALSE),1,0)</f>
        <v>1</v>
      </c>
      <c r="AT18" s="7">
        <f>IF(J18=VLOOKUP(VALUE(J$1),Questions!$A:$E,5,FALSE),1,0)</f>
        <v>1</v>
      </c>
      <c r="AU18" s="7">
        <f>IF(K18=VLOOKUP(VALUE(K$1),Questions!$A:$E,5,FALSE),1,0)</f>
        <v>1</v>
      </c>
      <c r="AV18" s="7">
        <f>IF(L18=VLOOKUP(VALUE(L$1),Questions!$A:$E,5,FALSE),1,0)</f>
        <v>1</v>
      </c>
      <c r="AW18" s="7">
        <f>IF(M18=VLOOKUP(VALUE(M$1),Questions!$A:$E,5,FALSE),1,0)</f>
        <v>1</v>
      </c>
      <c r="AX18" s="7">
        <f>IF(N18=VLOOKUP(VALUE(N$1),Questions!$A:$E,5,FALSE),1,0)</f>
        <v>1</v>
      </c>
      <c r="AY18" s="7">
        <f>IF(O18=VLOOKUP(VALUE(O$1),Questions!$A:$E,5,FALSE),1,0)</f>
        <v>1</v>
      </c>
      <c r="AZ18" s="7">
        <f>IF(P18=VLOOKUP(VALUE(P$1),Questions!$A:$E,5,FALSE),1,0)</f>
        <v>0</v>
      </c>
      <c r="BA18" s="7">
        <f>IF(Q18=VLOOKUP(VALUE(Q$1),Questions!$A:$E,5,FALSE),1,0)</f>
        <v>1</v>
      </c>
      <c r="BB18" s="7">
        <f>IF(R18=VLOOKUP(VALUE(R$1),Questions!$A:$E,5,FALSE),1,0)</f>
        <v>1</v>
      </c>
      <c r="BC18" s="7">
        <f>IF(S18=VLOOKUP(VALUE(S$1),Questions!$A:$E,5,FALSE),1,0)</f>
        <v>1</v>
      </c>
      <c r="BD18" s="7">
        <f>IF(T18=VLOOKUP(VALUE(T$1),Questions!$A:$E,5,FALSE),1,0)</f>
        <v>1</v>
      </c>
      <c r="BE18" s="7">
        <f>IF(U18=VLOOKUP(VALUE(U$1),Questions!$A:$E,5,FALSE),1,0)</f>
        <v>0</v>
      </c>
      <c r="BF18" s="7">
        <f>IF(V18=VLOOKUP(VALUE(V$1),Questions!$A:$E,5,FALSE),1,0)</f>
        <v>1</v>
      </c>
      <c r="BG18" s="7">
        <f>IF(W18=VLOOKUP(VALUE(W$1),Questions!$A:$E,5,FALSE),1,0)</f>
        <v>1</v>
      </c>
      <c r="BH18" s="7">
        <f>IF(X18=VLOOKUP(VALUE(X$1),Questions!$A:$E,5,FALSE),1,0)</f>
        <v>1</v>
      </c>
      <c r="BI18" s="7">
        <f>IF(Y18=VLOOKUP(VALUE(Y$1),Questions!$A:$E,5,FALSE),1,0)</f>
        <v>1</v>
      </c>
      <c r="BJ18" s="7">
        <f>IF(Z18=VLOOKUP(VALUE(Z$1),Questions!$A:$E,5,FALSE),1,0)</f>
        <v>1</v>
      </c>
      <c r="BK18" s="7">
        <f>IF(AA18=VLOOKUP(VALUE(AA$1),Questions!$A:$E,5,FALSE),1,0)</f>
        <v>1</v>
      </c>
      <c r="BL18" s="7">
        <f>IF(AB18=VLOOKUP(VALUE(AB$1),Questions!$A:$E,5,FALSE),1,0)</f>
        <v>1</v>
      </c>
      <c r="BM18" s="7">
        <f>IF(AC18=VLOOKUP(VALUE(AC$1),Questions!$A:$E,5,FALSE),1,0)</f>
        <v>1</v>
      </c>
      <c r="BN18" s="7">
        <f>IF(AD18=VLOOKUP(VALUE(AD$1),Questions!$A:$E,5,FALSE),1,0)</f>
        <v>0</v>
      </c>
      <c r="BO18" s="7">
        <f>IF(AE18=VLOOKUP(VALUE(AE$1),Questions!$A:$E,5,FALSE),1,0)</f>
        <v>1</v>
      </c>
      <c r="BP18" s="7">
        <f>IF(AF18=VLOOKUP(VALUE(AF$1),Questions!$A:$E,5,FALSE),1,0)</f>
        <v>1</v>
      </c>
      <c r="BQ18" s="7">
        <f>IF(AG18=VLOOKUP(VALUE(AG$1),Questions!$A:$E,5,FALSE),1,0)</f>
        <v>1</v>
      </c>
      <c r="BR18" s="7">
        <f>IF(AH18=VLOOKUP(VALUE(AH$1),Questions!$A:$E,5,FALSE),1,0)</f>
        <v>1</v>
      </c>
      <c r="BS18" s="7">
        <f>IF(AI18=VLOOKUP(VALUE(AI$1),Questions!$A:$E,5,FALSE),1,0)</f>
        <v>0</v>
      </c>
    </row>
    <row r="19" spans="1:71">
      <c r="A19" s="10">
        <v>18</v>
      </c>
      <c r="B19" s="14" t="b">
        <v>0</v>
      </c>
      <c r="C19" s="14" t="b">
        <v>0</v>
      </c>
      <c r="D19" s="102">
        <f>SUM(Scores[[#This Row],[Q1]:[Q28]])</f>
        <v>24</v>
      </c>
      <c r="E19" s="103">
        <f>SUM(Scores[[#This Row],[29]:[34b]])</f>
        <v>0</v>
      </c>
      <c r="F19" s="103">
        <f>Scores[[#This Row],[35]]</f>
        <v>0</v>
      </c>
      <c r="G19" s="104">
        <f>INDEX('Conversion Chart'!$C$3:$M$38,MATCH(SUM(Scores[[#This Row],[MC]:[CRQ]]),'Conversion Chart'!$B$3:$B$38,0),MATCH(Scores[[#This Row],[EIE]],'Conversion Chart'!$C$2:$M$2,0))</f>
        <v>61</v>
      </c>
      <c r="H19" s="5">
        <v>4</v>
      </c>
      <c r="I19" s="5">
        <v>3</v>
      </c>
      <c r="J19" s="5">
        <v>3</v>
      </c>
      <c r="K19" s="5">
        <v>2</v>
      </c>
      <c r="L19" s="5">
        <v>2</v>
      </c>
      <c r="M19" s="5">
        <v>4</v>
      </c>
      <c r="N19" s="5">
        <v>1</v>
      </c>
      <c r="O19" s="5">
        <v>4</v>
      </c>
      <c r="P19" s="5">
        <v>1</v>
      </c>
      <c r="Q19" s="5">
        <v>1</v>
      </c>
      <c r="R19" s="5">
        <v>4</v>
      </c>
      <c r="S19" s="5">
        <v>2</v>
      </c>
      <c r="T19" s="5">
        <v>1</v>
      </c>
      <c r="U19" s="5">
        <v>4</v>
      </c>
      <c r="V19" s="5">
        <v>3</v>
      </c>
      <c r="W19" s="5">
        <v>4</v>
      </c>
      <c r="X19" s="5">
        <v>2</v>
      </c>
      <c r="Y19" s="5">
        <v>3</v>
      </c>
      <c r="Z19" s="5">
        <v>1</v>
      </c>
      <c r="AA19" s="5">
        <v>3</v>
      </c>
      <c r="AB19" s="5">
        <v>2</v>
      </c>
      <c r="AC19" s="5">
        <v>1</v>
      </c>
      <c r="AD19" s="5">
        <v>3</v>
      </c>
      <c r="AE19" s="5">
        <v>2</v>
      </c>
      <c r="AF19" s="5">
        <v>4</v>
      </c>
      <c r="AG19" s="5">
        <v>3</v>
      </c>
      <c r="AH19" s="5">
        <v>1</v>
      </c>
      <c r="AI19" s="104">
        <v>1</v>
      </c>
      <c r="AJ19" s="95"/>
      <c r="AK19" s="84"/>
      <c r="AL19" s="84"/>
      <c r="AM19" s="84"/>
      <c r="AN19" s="84"/>
      <c r="AO19" s="84"/>
      <c r="AP19" s="94"/>
      <c r="AR19" s="7">
        <f>IF(H19=VLOOKUP(VALUE(H$1),Questions!$A:$E,5,FALSE),1,0)</f>
        <v>1</v>
      </c>
      <c r="AS19" s="7">
        <f>IF(I19=VLOOKUP(VALUE(I$1),Questions!$A:$E,5,FALSE),1,0)</f>
        <v>1</v>
      </c>
      <c r="AT19" s="7">
        <f>IF(J19=VLOOKUP(VALUE(J$1),Questions!$A:$E,5,FALSE),1,0)</f>
        <v>0</v>
      </c>
      <c r="AU19" s="7">
        <f>IF(K19=VLOOKUP(VALUE(K$1),Questions!$A:$E,5,FALSE),1,0)</f>
        <v>1</v>
      </c>
      <c r="AV19" s="7">
        <f>IF(L19=VLOOKUP(VALUE(L$1),Questions!$A:$E,5,FALSE),1,0)</f>
        <v>1</v>
      </c>
      <c r="AW19" s="7">
        <f>IF(M19=VLOOKUP(VALUE(M$1),Questions!$A:$E,5,FALSE),1,0)</f>
        <v>1</v>
      </c>
      <c r="AX19" s="7">
        <f>IF(N19=VLOOKUP(VALUE(N$1),Questions!$A:$E,5,FALSE),1,0)</f>
        <v>0</v>
      </c>
      <c r="AY19" s="7">
        <f>IF(O19=VLOOKUP(VALUE(O$1),Questions!$A:$E,5,FALSE),1,0)</f>
        <v>0</v>
      </c>
      <c r="AZ19" s="7">
        <f>IF(P19=VLOOKUP(VALUE(P$1),Questions!$A:$E,5,FALSE),1,0)</f>
        <v>1</v>
      </c>
      <c r="BA19" s="7">
        <f>IF(Q19=VLOOKUP(VALUE(Q$1),Questions!$A:$E,5,FALSE),1,0)</f>
        <v>1</v>
      </c>
      <c r="BB19" s="7">
        <f>IF(R19=VLOOKUP(VALUE(R$1),Questions!$A:$E,5,FALSE),1,0)</f>
        <v>1</v>
      </c>
      <c r="BC19" s="7">
        <f>IF(S19=VLOOKUP(VALUE(S$1),Questions!$A:$E,5,FALSE),1,0)</f>
        <v>1</v>
      </c>
      <c r="BD19" s="7">
        <f>IF(T19=VLOOKUP(VALUE(T$1),Questions!$A:$E,5,FALSE),1,0)</f>
        <v>1</v>
      </c>
      <c r="BE19" s="7">
        <f>IF(U19=VLOOKUP(VALUE(U$1),Questions!$A:$E,5,FALSE),1,0)</f>
        <v>1</v>
      </c>
      <c r="BF19" s="7">
        <f>IF(V19=VLOOKUP(VALUE(V$1),Questions!$A:$E,5,FALSE),1,0)</f>
        <v>1</v>
      </c>
      <c r="BG19" s="7">
        <f>IF(W19=VLOOKUP(VALUE(W$1),Questions!$A:$E,5,FALSE),1,0)</f>
        <v>1</v>
      </c>
      <c r="BH19" s="7">
        <f>IF(X19=VLOOKUP(VALUE(X$1),Questions!$A:$E,5,FALSE),1,0)</f>
        <v>1</v>
      </c>
      <c r="BI19" s="7">
        <f>IF(Y19=VLOOKUP(VALUE(Y$1),Questions!$A:$E,5,FALSE),1,0)</f>
        <v>1</v>
      </c>
      <c r="BJ19" s="7">
        <f>IF(Z19=VLOOKUP(VALUE(Z$1),Questions!$A:$E,5,FALSE),1,0)</f>
        <v>0</v>
      </c>
      <c r="BK19" s="7">
        <f>IF(AA19=VLOOKUP(VALUE(AA$1),Questions!$A:$E,5,FALSE),1,0)</f>
        <v>1</v>
      </c>
      <c r="BL19" s="7">
        <f>IF(AB19=VLOOKUP(VALUE(AB$1),Questions!$A:$E,5,FALSE),1,0)</f>
        <v>1</v>
      </c>
      <c r="BM19" s="7">
        <f>IF(AC19=VLOOKUP(VALUE(AC$1),Questions!$A:$E,5,FALSE),1,0)</f>
        <v>1</v>
      </c>
      <c r="BN19" s="7">
        <f>IF(AD19=VLOOKUP(VALUE(AD$1),Questions!$A:$E,5,FALSE),1,0)</f>
        <v>1</v>
      </c>
      <c r="BO19" s="7">
        <f>IF(AE19=VLOOKUP(VALUE(AE$1),Questions!$A:$E,5,FALSE),1,0)</f>
        <v>1</v>
      </c>
      <c r="BP19" s="7">
        <f>IF(AF19=VLOOKUP(VALUE(AF$1),Questions!$A:$E,5,FALSE),1,0)</f>
        <v>1</v>
      </c>
      <c r="BQ19" s="7">
        <f>IF(AG19=VLOOKUP(VALUE(AG$1),Questions!$A:$E,5,FALSE),1,0)</f>
        <v>1</v>
      </c>
      <c r="BR19" s="7">
        <f>IF(AH19=VLOOKUP(VALUE(AH$1),Questions!$A:$E,5,FALSE),1,0)</f>
        <v>1</v>
      </c>
      <c r="BS19" s="7">
        <f>IF(AI19=VLOOKUP(VALUE(AI$1),Questions!$A:$E,5,FALSE),1,0)</f>
        <v>1</v>
      </c>
    </row>
    <row r="20" spans="1:71">
      <c r="A20" s="10">
        <v>19</v>
      </c>
      <c r="B20" s="14" t="b">
        <v>0</v>
      </c>
      <c r="C20" s="14" t="b">
        <v>0</v>
      </c>
      <c r="D20" s="102">
        <f>SUM(Scores[[#This Row],[Q1]:[Q28]])</f>
        <v>28</v>
      </c>
      <c r="E20" s="103">
        <f>SUM(Scores[[#This Row],[29]:[34b]])</f>
        <v>0</v>
      </c>
      <c r="F20" s="103">
        <f>Scores[[#This Row],[35]]</f>
        <v>0</v>
      </c>
      <c r="G20" s="104">
        <f>INDEX('Conversion Chart'!$C$3:$M$38,MATCH(SUM(Scores[[#This Row],[MC]:[CRQ]]),'Conversion Chart'!$B$3:$B$38,0),MATCH(Scores[[#This Row],[EIE]],'Conversion Chart'!$C$2:$M$2,0))</f>
        <v>68</v>
      </c>
      <c r="H20" s="5">
        <v>4</v>
      </c>
      <c r="I20" s="5">
        <v>3</v>
      </c>
      <c r="J20" s="5">
        <v>1</v>
      </c>
      <c r="K20" s="5">
        <v>2</v>
      </c>
      <c r="L20" s="5">
        <v>2</v>
      </c>
      <c r="M20" s="5">
        <v>4</v>
      </c>
      <c r="N20" s="5">
        <v>3</v>
      </c>
      <c r="O20" s="5">
        <v>1</v>
      </c>
      <c r="P20" s="5">
        <v>1</v>
      </c>
      <c r="Q20" s="5">
        <v>1</v>
      </c>
      <c r="R20" s="5">
        <v>4</v>
      </c>
      <c r="S20" s="5">
        <v>2</v>
      </c>
      <c r="T20" s="5">
        <v>1</v>
      </c>
      <c r="U20" s="5">
        <v>4</v>
      </c>
      <c r="V20" s="5">
        <v>3</v>
      </c>
      <c r="W20" s="5">
        <v>4</v>
      </c>
      <c r="X20" s="5">
        <v>2</v>
      </c>
      <c r="Y20" s="5">
        <v>3</v>
      </c>
      <c r="Z20" s="5">
        <v>2</v>
      </c>
      <c r="AA20" s="5">
        <v>3</v>
      </c>
      <c r="AB20" s="5">
        <v>2</v>
      </c>
      <c r="AC20" s="5">
        <v>1</v>
      </c>
      <c r="AD20" s="5">
        <v>3</v>
      </c>
      <c r="AE20" s="5">
        <v>2</v>
      </c>
      <c r="AF20" s="5">
        <v>4</v>
      </c>
      <c r="AG20" s="5">
        <v>3</v>
      </c>
      <c r="AH20" s="5">
        <v>1</v>
      </c>
      <c r="AI20" s="104">
        <v>1</v>
      </c>
      <c r="AJ20" s="95"/>
      <c r="AK20" s="84"/>
      <c r="AL20" s="84"/>
      <c r="AM20" s="84"/>
      <c r="AN20" s="84"/>
      <c r="AO20" s="84"/>
      <c r="AP20" s="94"/>
      <c r="AR20" s="7">
        <f>IF(H20=VLOOKUP(VALUE(H$1),Questions!$A:$E,5,FALSE),1,0)</f>
        <v>1</v>
      </c>
      <c r="AS20" s="7">
        <f>IF(I20=VLOOKUP(VALUE(I$1),Questions!$A:$E,5,FALSE),1,0)</f>
        <v>1</v>
      </c>
      <c r="AT20" s="7">
        <f>IF(J20=VLOOKUP(VALUE(J$1),Questions!$A:$E,5,FALSE),1,0)</f>
        <v>1</v>
      </c>
      <c r="AU20" s="7">
        <f>IF(K20=VLOOKUP(VALUE(K$1),Questions!$A:$E,5,FALSE),1,0)</f>
        <v>1</v>
      </c>
      <c r="AV20" s="7">
        <f>IF(L20=VLOOKUP(VALUE(L$1),Questions!$A:$E,5,FALSE),1,0)</f>
        <v>1</v>
      </c>
      <c r="AW20" s="7">
        <f>IF(M20=VLOOKUP(VALUE(M$1),Questions!$A:$E,5,FALSE),1,0)</f>
        <v>1</v>
      </c>
      <c r="AX20" s="7">
        <f>IF(N20=VLOOKUP(VALUE(N$1),Questions!$A:$E,5,FALSE),1,0)</f>
        <v>1</v>
      </c>
      <c r="AY20" s="7">
        <f>IF(O20=VLOOKUP(VALUE(O$1),Questions!$A:$E,5,FALSE),1,0)</f>
        <v>1</v>
      </c>
      <c r="AZ20" s="7">
        <f>IF(P20=VLOOKUP(VALUE(P$1),Questions!$A:$E,5,FALSE),1,0)</f>
        <v>1</v>
      </c>
      <c r="BA20" s="7">
        <f>IF(Q20=VLOOKUP(VALUE(Q$1),Questions!$A:$E,5,FALSE),1,0)</f>
        <v>1</v>
      </c>
      <c r="BB20" s="7">
        <f>IF(R20=VLOOKUP(VALUE(R$1),Questions!$A:$E,5,FALSE),1,0)</f>
        <v>1</v>
      </c>
      <c r="BC20" s="7">
        <f>IF(S20=VLOOKUP(VALUE(S$1),Questions!$A:$E,5,FALSE),1,0)</f>
        <v>1</v>
      </c>
      <c r="BD20" s="7">
        <f>IF(T20=VLOOKUP(VALUE(T$1),Questions!$A:$E,5,FALSE),1,0)</f>
        <v>1</v>
      </c>
      <c r="BE20" s="7">
        <f>IF(U20=VLOOKUP(VALUE(U$1),Questions!$A:$E,5,FALSE),1,0)</f>
        <v>1</v>
      </c>
      <c r="BF20" s="7">
        <f>IF(V20=VLOOKUP(VALUE(V$1),Questions!$A:$E,5,FALSE),1,0)</f>
        <v>1</v>
      </c>
      <c r="BG20" s="7">
        <f>IF(W20=VLOOKUP(VALUE(W$1),Questions!$A:$E,5,FALSE),1,0)</f>
        <v>1</v>
      </c>
      <c r="BH20" s="7">
        <f>IF(X20=VLOOKUP(VALUE(X$1),Questions!$A:$E,5,FALSE),1,0)</f>
        <v>1</v>
      </c>
      <c r="BI20" s="7">
        <f>IF(Y20=VLOOKUP(VALUE(Y$1),Questions!$A:$E,5,FALSE),1,0)</f>
        <v>1</v>
      </c>
      <c r="BJ20" s="7">
        <f>IF(Z20=VLOOKUP(VALUE(Z$1),Questions!$A:$E,5,FALSE),1,0)</f>
        <v>1</v>
      </c>
      <c r="BK20" s="7">
        <f>IF(AA20=VLOOKUP(VALUE(AA$1),Questions!$A:$E,5,FALSE),1,0)</f>
        <v>1</v>
      </c>
      <c r="BL20" s="7">
        <f>IF(AB20=VLOOKUP(VALUE(AB$1),Questions!$A:$E,5,FALSE),1,0)</f>
        <v>1</v>
      </c>
      <c r="BM20" s="7">
        <f>IF(AC20=VLOOKUP(VALUE(AC$1),Questions!$A:$E,5,FALSE),1,0)</f>
        <v>1</v>
      </c>
      <c r="BN20" s="7">
        <f>IF(AD20=VLOOKUP(VALUE(AD$1),Questions!$A:$E,5,FALSE),1,0)</f>
        <v>1</v>
      </c>
      <c r="BO20" s="7">
        <f>IF(AE20=VLOOKUP(VALUE(AE$1),Questions!$A:$E,5,FALSE),1,0)</f>
        <v>1</v>
      </c>
      <c r="BP20" s="7">
        <f>IF(AF20=VLOOKUP(VALUE(AF$1),Questions!$A:$E,5,FALSE),1,0)</f>
        <v>1</v>
      </c>
      <c r="BQ20" s="7">
        <f>IF(AG20=VLOOKUP(VALUE(AG$1),Questions!$A:$E,5,FALSE),1,0)</f>
        <v>1</v>
      </c>
      <c r="BR20" s="7">
        <f>IF(AH20=VLOOKUP(VALUE(AH$1),Questions!$A:$E,5,FALSE),1,0)</f>
        <v>1</v>
      </c>
      <c r="BS20" s="7">
        <f>IF(AI20=VLOOKUP(VALUE(AI$1),Questions!$A:$E,5,FALSE),1,0)</f>
        <v>1</v>
      </c>
    </row>
    <row r="21" spans="1:71">
      <c r="A21" s="10">
        <v>20</v>
      </c>
      <c r="B21" s="14" t="b">
        <v>0</v>
      </c>
      <c r="C21" s="14" t="b">
        <v>0</v>
      </c>
      <c r="D21" s="102">
        <f>SUM(Scores[[#This Row],[Q1]:[Q28]])</f>
        <v>20</v>
      </c>
      <c r="E21" s="103">
        <f>SUM(Scores[[#This Row],[29]:[34b]])</f>
        <v>0</v>
      </c>
      <c r="F21" s="103">
        <f>Scores[[#This Row],[35]]</f>
        <v>0</v>
      </c>
      <c r="G21" s="104">
        <f>INDEX('Conversion Chart'!$C$3:$M$38,MATCH(SUM(Scores[[#This Row],[MC]:[CRQ]]),'Conversion Chart'!$B$3:$B$38,0),MATCH(Scores[[#This Row],[EIE]],'Conversion Chart'!$C$2:$M$2,0))</f>
        <v>53</v>
      </c>
      <c r="H21" s="5">
        <v>4</v>
      </c>
      <c r="I21" s="5">
        <v>3</v>
      </c>
      <c r="J21" s="5">
        <v>1</v>
      </c>
      <c r="K21" s="5">
        <v>2</v>
      </c>
      <c r="L21" s="5">
        <v>1</v>
      </c>
      <c r="M21" s="5">
        <v>4</v>
      </c>
      <c r="N21" s="5">
        <v>3</v>
      </c>
      <c r="O21" s="5">
        <v>1</v>
      </c>
      <c r="P21" s="5">
        <v>1</v>
      </c>
      <c r="Q21" s="5">
        <v>4</v>
      </c>
      <c r="R21" s="5">
        <v>1</v>
      </c>
      <c r="S21" s="5">
        <v>2</v>
      </c>
      <c r="T21" s="5">
        <v>1</v>
      </c>
      <c r="U21" s="5">
        <v>2</v>
      </c>
      <c r="V21" s="5">
        <v>3</v>
      </c>
      <c r="W21" s="5">
        <v>4</v>
      </c>
      <c r="X21" s="5">
        <v>2</v>
      </c>
      <c r="Y21" s="5">
        <v>2</v>
      </c>
      <c r="Z21" s="5">
        <v>4</v>
      </c>
      <c r="AA21" s="5">
        <v>3</v>
      </c>
      <c r="AB21" s="5">
        <v>4</v>
      </c>
      <c r="AC21" s="5">
        <v>1</v>
      </c>
      <c r="AD21" s="5">
        <v>2</v>
      </c>
      <c r="AE21" s="5">
        <v>2</v>
      </c>
      <c r="AF21" s="5">
        <v>4</v>
      </c>
      <c r="AG21" s="5">
        <v>3</v>
      </c>
      <c r="AH21" s="5">
        <v>1</v>
      </c>
      <c r="AI21" s="104">
        <v>1</v>
      </c>
      <c r="AJ21" s="95"/>
      <c r="AK21" s="84"/>
      <c r="AL21" s="84"/>
      <c r="AM21" s="84"/>
      <c r="AN21" s="84"/>
      <c r="AO21" s="84"/>
      <c r="AP21" s="94"/>
      <c r="AR21" s="7">
        <f>IF(H21=VLOOKUP(VALUE(H$1),Questions!$A:$E,5,FALSE),1,0)</f>
        <v>1</v>
      </c>
      <c r="AS21" s="7">
        <f>IF(I21=VLOOKUP(VALUE(I$1),Questions!$A:$E,5,FALSE),1,0)</f>
        <v>1</v>
      </c>
      <c r="AT21" s="7">
        <f>IF(J21=VLOOKUP(VALUE(J$1),Questions!$A:$E,5,FALSE),1,0)</f>
        <v>1</v>
      </c>
      <c r="AU21" s="7">
        <f>IF(K21=VLOOKUP(VALUE(K$1),Questions!$A:$E,5,FALSE),1,0)</f>
        <v>1</v>
      </c>
      <c r="AV21" s="7">
        <f>IF(L21=VLOOKUP(VALUE(L$1),Questions!$A:$E,5,FALSE),1,0)</f>
        <v>0</v>
      </c>
      <c r="AW21" s="7">
        <f>IF(M21=VLOOKUP(VALUE(M$1),Questions!$A:$E,5,FALSE),1,0)</f>
        <v>1</v>
      </c>
      <c r="AX21" s="7">
        <f>IF(N21=VLOOKUP(VALUE(N$1),Questions!$A:$E,5,FALSE),1,0)</f>
        <v>1</v>
      </c>
      <c r="AY21" s="7">
        <f>IF(O21=VLOOKUP(VALUE(O$1),Questions!$A:$E,5,FALSE),1,0)</f>
        <v>1</v>
      </c>
      <c r="AZ21" s="7">
        <f>IF(P21=VLOOKUP(VALUE(P$1),Questions!$A:$E,5,FALSE),1,0)</f>
        <v>1</v>
      </c>
      <c r="BA21" s="7">
        <f>IF(Q21=VLOOKUP(VALUE(Q$1),Questions!$A:$E,5,FALSE),1,0)</f>
        <v>0</v>
      </c>
      <c r="BB21" s="7">
        <f>IF(R21=VLOOKUP(VALUE(R$1),Questions!$A:$E,5,FALSE),1,0)</f>
        <v>0</v>
      </c>
      <c r="BC21" s="7">
        <f>IF(S21=VLOOKUP(VALUE(S$1),Questions!$A:$E,5,FALSE),1,0)</f>
        <v>1</v>
      </c>
      <c r="BD21" s="7">
        <f>IF(T21=VLOOKUP(VALUE(T$1),Questions!$A:$E,5,FALSE),1,0)</f>
        <v>1</v>
      </c>
      <c r="BE21" s="7">
        <f>IF(U21=VLOOKUP(VALUE(U$1),Questions!$A:$E,5,FALSE),1,0)</f>
        <v>0</v>
      </c>
      <c r="BF21" s="7">
        <f>IF(V21=VLOOKUP(VALUE(V$1),Questions!$A:$E,5,FALSE),1,0)</f>
        <v>1</v>
      </c>
      <c r="BG21" s="7">
        <f>IF(W21=VLOOKUP(VALUE(W$1),Questions!$A:$E,5,FALSE),1,0)</f>
        <v>1</v>
      </c>
      <c r="BH21" s="7">
        <f>IF(X21=VLOOKUP(VALUE(X$1),Questions!$A:$E,5,FALSE),1,0)</f>
        <v>1</v>
      </c>
      <c r="BI21" s="7">
        <f>IF(Y21=VLOOKUP(VALUE(Y$1),Questions!$A:$E,5,FALSE),1,0)</f>
        <v>0</v>
      </c>
      <c r="BJ21" s="7">
        <f>IF(Z21=VLOOKUP(VALUE(Z$1),Questions!$A:$E,5,FALSE),1,0)</f>
        <v>0</v>
      </c>
      <c r="BK21" s="7">
        <f>IF(AA21=VLOOKUP(VALUE(AA$1),Questions!$A:$E,5,FALSE),1,0)</f>
        <v>1</v>
      </c>
      <c r="BL21" s="7">
        <f>IF(AB21=VLOOKUP(VALUE(AB$1),Questions!$A:$E,5,FALSE),1,0)</f>
        <v>0</v>
      </c>
      <c r="BM21" s="7">
        <f>IF(AC21=VLOOKUP(VALUE(AC$1),Questions!$A:$E,5,FALSE),1,0)</f>
        <v>1</v>
      </c>
      <c r="BN21" s="7">
        <f>IF(AD21=VLOOKUP(VALUE(AD$1),Questions!$A:$E,5,FALSE),1,0)</f>
        <v>0</v>
      </c>
      <c r="BO21" s="7">
        <f>IF(AE21=VLOOKUP(VALUE(AE$1),Questions!$A:$E,5,FALSE),1,0)</f>
        <v>1</v>
      </c>
      <c r="BP21" s="7">
        <f>IF(AF21=VLOOKUP(VALUE(AF$1),Questions!$A:$E,5,FALSE),1,0)</f>
        <v>1</v>
      </c>
      <c r="BQ21" s="7">
        <f>IF(AG21=VLOOKUP(VALUE(AG$1),Questions!$A:$E,5,FALSE),1,0)</f>
        <v>1</v>
      </c>
      <c r="BR21" s="7">
        <f>IF(AH21=VLOOKUP(VALUE(AH$1),Questions!$A:$E,5,FALSE),1,0)</f>
        <v>1</v>
      </c>
      <c r="BS21" s="7">
        <f>IF(AI21=VLOOKUP(VALUE(AI$1),Questions!$A:$E,5,FALSE),1,0)</f>
        <v>1</v>
      </c>
    </row>
    <row r="22" spans="1:71">
      <c r="A22" s="10">
        <v>21</v>
      </c>
      <c r="B22" s="14" t="b">
        <v>0</v>
      </c>
      <c r="C22" s="14" t="b">
        <v>0</v>
      </c>
      <c r="D22" s="102">
        <f>SUM(Scores[[#This Row],[Q1]:[Q28]])</f>
        <v>16</v>
      </c>
      <c r="E22" s="103">
        <f>SUM(Scores[[#This Row],[29]:[34b]])</f>
        <v>0</v>
      </c>
      <c r="F22" s="103">
        <f>Scores[[#This Row],[35]]</f>
        <v>0</v>
      </c>
      <c r="G22" s="104">
        <f>INDEX('Conversion Chart'!$C$3:$M$38,MATCH(SUM(Scores[[#This Row],[MC]:[CRQ]]),'Conversion Chart'!$B$3:$B$38,0),MATCH(Scores[[#This Row],[EIE]],'Conversion Chart'!$C$2:$M$2,0))</f>
        <v>45</v>
      </c>
      <c r="H22" s="5">
        <v>4</v>
      </c>
      <c r="I22" s="5">
        <v>3</v>
      </c>
      <c r="J22" s="5">
        <v>1</v>
      </c>
      <c r="K22" s="5">
        <v>2</v>
      </c>
      <c r="L22" s="5">
        <v>3</v>
      </c>
      <c r="M22" s="5">
        <v>4</v>
      </c>
      <c r="N22" s="5">
        <v>3</v>
      </c>
      <c r="O22" s="5">
        <v>1</v>
      </c>
      <c r="P22" s="5">
        <v>3</v>
      </c>
      <c r="Q22" s="5">
        <v>1</v>
      </c>
      <c r="R22" s="5">
        <v>4</v>
      </c>
      <c r="S22" s="5">
        <v>3</v>
      </c>
      <c r="T22" s="5">
        <v>1</v>
      </c>
      <c r="U22" s="5">
        <v>3</v>
      </c>
      <c r="V22" s="5">
        <v>3</v>
      </c>
      <c r="W22" s="5">
        <v>4</v>
      </c>
      <c r="X22" s="5">
        <v>3</v>
      </c>
      <c r="Y22" s="5">
        <v>3</v>
      </c>
      <c r="Z22" s="5">
        <v>4</v>
      </c>
      <c r="AA22" s="5">
        <v>2</v>
      </c>
      <c r="AB22" s="5">
        <v>2</v>
      </c>
      <c r="AC22" s="5">
        <v>3</v>
      </c>
      <c r="AD22" s="5">
        <v>4</v>
      </c>
      <c r="AE22" s="5">
        <v>2</v>
      </c>
      <c r="AF22" s="5">
        <v>1</v>
      </c>
      <c r="AG22" s="5">
        <v>3</v>
      </c>
      <c r="AH22" s="5">
        <v>3</v>
      </c>
      <c r="AI22" s="104">
        <v>2</v>
      </c>
      <c r="AJ22" s="95"/>
      <c r="AK22" s="84"/>
      <c r="AL22" s="84"/>
      <c r="AM22" s="84"/>
      <c r="AN22" s="84"/>
      <c r="AO22" s="84"/>
      <c r="AP22" s="94"/>
      <c r="AR22" s="7">
        <f>IF(H22=VLOOKUP(VALUE(H$1),Questions!$A:$E,5,FALSE),1,0)</f>
        <v>1</v>
      </c>
      <c r="AS22" s="7">
        <f>IF(I22=VLOOKUP(VALUE(I$1),Questions!$A:$E,5,FALSE),1,0)</f>
        <v>1</v>
      </c>
      <c r="AT22" s="7">
        <f>IF(J22=VLOOKUP(VALUE(J$1),Questions!$A:$E,5,FALSE),1,0)</f>
        <v>1</v>
      </c>
      <c r="AU22" s="7">
        <f>IF(K22=VLOOKUP(VALUE(K$1),Questions!$A:$E,5,FALSE),1,0)</f>
        <v>1</v>
      </c>
      <c r="AV22" s="7">
        <f>IF(L22=VLOOKUP(VALUE(L$1),Questions!$A:$E,5,FALSE),1,0)</f>
        <v>0</v>
      </c>
      <c r="AW22" s="7">
        <f>IF(M22=VLOOKUP(VALUE(M$1),Questions!$A:$E,5,FALSE),1,0)</f>
        <v>1</v>
      </c>
      <c r="AX22" s="7">
        <f>IF(N22=VLOOKUP(VALUE(N$1),Questions!$A:$E,5,FALSE),1,0)</f>
        <v>1</v>
      </c>
      <c r="AY22" s="7">
        <f>IF(O22=VLOOKUP(VALUE(O$1),Questions!$A:$E,5,FALSE),1,0)</f>
        <v>1</v>
      </c>
      <c r="AZ22" s="7">
        <f>IF(P22=VLOOKUP(VALUE(P$1),Questions!$A:$E,5,FALSE),1,0)</f>
        <v>0</v>
      </c>
      <c r="BA22" s="7">
        <f>IF(Q22=VLOOKUP(VALUE(Q$1),Questions!$A:$E,5,FALSE),1,0)</f>
        <v>1</v>
      </c>
      <c r="BB22" s="7">
        <f>IF(R22=VLOOKUP(VALUE(R$1),Questions!$A:$E,5,FALSE),1,0)</f>
        <v>1</v>
      </c>
      <c r="BC22" s="7">
        <f>IF(S22=VLOOKUP(VALUE(S$1),Questions!$A:$E,5,FALSE),1,0)</f>
        <v>0</v>
      </c>
      <c r="BD22" s="7">
        <f>IF(T22=VLOOKUP(VALUE(T$1),Questions!$A:$E,5,FALSE),1,0)</f>
        <v>1</v>
      </c>
      <c r="BE22" s="7">
        <f>IF(U22=VLOOKUP(VALUE(U$1),Questions!$A:$E,5,FALSE),1,0)</f>
        <v>0</v>
      </c>
      <c r="BF22" s="7">
        <f>IF(V22=VLOOKUP(VALUE(V$1),Questions!$A:$E,5,FALSE),1,0)</f>
        <v>1</v>
      </c>
      <c r="BG22" s="7">
        <f>IF(W22=VLOOKUP(VALUE(W$1),Questions!$A:$E,5,FALSE),1,0)</f>
        <v>1</v>
      </c>
      <c r="BH22" s="7">
        <f>IF(X22=VLOOKUP(VALUE(X$1),Questions!$A:$E,5,FALSE),1,0)</f>
        <v>0</v>
      </c>
      <c r="BI22" s="7">
        <f>IF(Y22=VLOOKUP(VALUE(Y$1),Questions!$A:$E,5,FALSE),1,0)</f>
        <v>1</v>
      </c>
      <c r="BJ22" s="7">
        <f>IF(Z22=VLOOKUP(VALUE(Z$1),Questions!$A:$E,5,FALSE),1,0)</f>
        <v>0</v>
      </c>
      <c r="BK22" s="7">
        <f>IF(AA22=VLOOKUP(VALUE(AA$1),Questions!$A:$E,5,FALSE),1,0)</f>
        <v>0</v>
      </c>
      <c r="BL22" s="7">
        <f>IF(AB22=VLOOKUP(VALUE(AB$1),Questions!$A:$E,5,FALSE),1,0)</f>
        <v>1</v>
      </c>
      <c r="BM22" s="7">
        <f>IF(AC22=VLOOKUP(VALUE(AC$1),Questions!$A:$E,5,FALSE),1,0)</f>
        <v>0</v>
      </c>
      <c r="BN22" s="7">
        <f>IF(AD22=VLOOKUP(VALUE(AD$1),Questions!$A:$E,5,FALSE),1,0)</f>
        <v>0</v>
      </c>
      <c r="BO22" s="7">
        <f>IF(AE22=VLOOKUP(VALUE(AE$1),Questions!$A:$E,5,FALSE),1,0)</f>
        <v>1</v>
      </c>
      <c r="BP22" s="7">
        <f>IF(AF22=VLOOKUP(VALUE(AF$1),Questions!$A:$E,5,FALSE),1,0)</f>
        <v>0</v>
      </c>
      <c r="BQ22" s="7">
        <f>IF(AG22=VLOOKUP(VALUE(AG$1),Questions!$A:$E,5,FALSE),1,0)</f>
        <v>1</v>
      </c>
      <c r="BR22" s="7">
        <f>IF(AH22=VLOOKUP(VALUE(AH$1),Questions!$A:$E,5,FALSE),1,0)</f>
        <v>0</v>
      </c>
      <c r="BS22" s="7">
        <f>IF(AI22=VLOOKUP(VALUE(AI$1),Questions!$A:$E,5,FALSE),1,0)</f>
        <v>0</v>
      </c>
    </row>
    <row r="23" spans="1:71">
      <c r="A23" s="10">
        <v>22</v>
      </c>
      <c r="B23" s="14" t="b">
        <v>0</v>
      </c>
      <c r="C23" s="14" t="b">
        <v>0</v>
      </c>
      <c r="D23" s="102">
        <f>SUM(Scores[[#This Row],[Q1]:[Q28]])</f>
        <v>19</v>
      </c>
      <c r="E23" s="103">
        <f>SUM(Scores[[#This Row],[29]:[34b]])</f>
        <v>0</v>
      </c>
      <c r="F23" s="103">
        <f>Scores[[#This Row],[35]]</f>
        <v>0</v>
      </c>
      <c r="G23" s="104">
        <f>INDEX('Conversion Chart'!$C$3:$M$38,MATCH(SUM(Scores[[#This Row],[MC]:[CRQ]]),'Conversion Chart'!$B$3:$B$38,0),MATCH(Scores[[#This Row],[EIE]],'Conversion Chart'!$C$2:$M$2,0))</f>
        <v>51</v>
      </c>
      <c r="H23" s="5">
        <v>4</v>
      </c>
      <c r="I23" s="5">
        <v>3</v>
      </c>
      <c r="J23" s="5">
        <v>1</v>
      </c>
      <c r="K23" s="5">
        <v>2</v>
      </c>
      <c r="L23" s="5">
        <v>2</v>
      </c>
      <c r="M23" s="5">
        <v>4</v>
      </c>
      <c r="N23" s="5">
        <v>3</v>
      </c>
      <c r="O23" s="5">
        <v>3</v>
      </c>
      <c r="P23" s="5">
        <v>1</v>
      </c>
      <c r="Q23" s="5">
        <v>1</v>
      </c>
      <c r="R23" s="5">
        <v>4</v>
      </c>
      <c r="S23" s="5">
        <v>2</v>
      </c>
      <c r="T23" s="5">
        <v>4</v>
      </c>
      <c r="U23" s="5">
        <v>2</v>
      </c>
      <c r="V23" s="5">
        <v>3</v>
      </c>
      <c r="W23" s="5">
        <v>4</v>
      </c>
      <c r="X23" s="5">
        <v>2</v>
      </c>
      <c r="Y23" s="5">
        <v>2</v>
      </c>
      <c r="Z23" s="5">
        <v>1</v>
      </c>
      <c r="AA23" s="5">
        <v>2</v>
      </c>
      <c r="AB23" s="5">
        <v>2</v>
      </c>
      <c r="AC23" s="5">
        <v>3</v>
      </c>
      <c r="AD23" s="5">
        <v>3</v>
      </c>
      <c r="AE23" s="5">
        <v>4</v>
      </c>
      <c r="AF23" s="5">
        <v>4</v>
      </c>
      <c r="AG23" s="5">
        <v>2</v>
      </c>
      <c r="AH23" s="5">
        <v>1</v>
      </c>
      <c r="AI23" s="104">
        <v>1</v>
      </c>
      <c r="AJ23" s="95"/>
      <c r="AK23" s="84"/>
      <c r="AL23" s="84"/>
      <c r="AM23" s="84"/>
      <c r="AN23" s="84"/>
      <c r="AO23" s="84"/>
      <c r="AP23" s="94"/>
      <c r="AR23" s="7">
        <f>IF(H23=VLOOKUP(VALUE(H$1),Questions!$A:$E,5,FALSE),1,0)</f>
        <v>1</v>
      </c>
      <c r="AS23" s="7">
        <f>IF(I23=VLOOKUP(VALUE(I$1),Questions!$A:$E,5,FALSE),1,0)</f>
        <v>1</v>
      </c>
      <c r="AT23" s="7">
        <f>IF(J23=VLOOKUP(VALUE(J$1),Questions!$A:$E,5,FALSE),1,0)</f>
        <v>1</v>
      </c>
      <c r="AU23" s="7">
        <f>IF(K23=VLOOKUP(VALUE(K$1),Questions!$A:$E,5,FALSE),1,0)</f>
        <v>1</v>
      </c>
      <c r="AV23" s="7">
        <f>IF(L23=VLOOKUP(VALUE(L$1),Questions!$A:$E,5,FALSE),1,0)</f>
        <v>1</v>
      </c>
      <c r="AW23" s="7">
        <f>IF(M23=VLOOKUP(VALUE(M$1),Questions!$A:$E,5,FALSE),1,0)</f>
        <v>1</v>
      </c>
      <c r="AX23" s="7">
        <f>IF(N23=VLOOKUP(VALUE(N$1),Questions!$A:$E,5,FALSE),1,0)</f>
        <v>1</v>
      </c>
      <c r="AY23" s="7">
        <f>IF(O23=VLOOKUP(VALUE(O$1),Questions!$A:$E,5,FALSE),1,0)</f>
        <v>0</v>
      </c>
      <c r="AZ23" s="7">
        <f>IF(P23=VLOOKUP(VALUE(P$1),Questions!$A:$E,5,FALSE),1,0)</f>
        <v>1</v>
      </c>
      <c r="BA23" s="7">
        <f>IF(Q23=VLOOKUP(VALUE(Q$1),Questions!$A:$E,5,FALSE),1,0)</f>
        <v>1</v>
      </c>
      <c r="BB23" s="7">
        <f>IF(R23=VLOOKUP(VALUE(R$1),Questions!$A:$E,5,FALSE),1,0)</f>
        <v>1</v>
      </c>
      <c r="BC23" s="7">
        <f>IF(S23=VLOOKUP(VALUE(S$1),Questions!$A:$E,5,FALSE),1,0)</f>
        <v>1</v>
      </c>
      <c r="BD23" s="7">
        <f>IF(T23=VLOOKUP(VALUE(T$1),Questions!$A:$E,5,FALSE),1,0)</f>
        <v>0</v>
      </c>
      <c r="BE23" s="7">
        <f>IF(U23=VLOOKUP(VALUE(U$1),Questions!$A:$E,5,FALSE),1,0)</f>
        <v>0</v>
      </c>
      <c r="BF23" s="7">
        <f>IF(V23=VLOOKUP(VALUE(V$1),Questions!$A:$E,5,FALSE),1,0)</f>
        <v>1</v>
      </c>
      <c r="BG23" s="7">
        <f>IF(W23=VLOOKUP(VALUE(W$1),Questions!$A:$E,5,FALSE),1,0)</f>
        <v>1</v>
      </c>
      <c r="BH23" s="7">
        <f>IF(X23=VLOOKUP(VALUE(X$1),Questions!$A:$E,5,FALSE),1,0)</f>
        <v>1</v>
      </c>
      <c r="BI23" s="7">
        <f>IF(Y23=VLOOKUP(VALUE(Y$1),Questions!$A:$E,5,FALSE),1,0)</f>
        <v>0</v>
      </c>
      <c r="BJ23" s="7">
        <f>IF(Z23=VLOOKUP(VALUE(Z$1),Questions!$A:$E,5,FALSE),1,0)</f>
        <v>0</v>
      </c>
      <c r="BK23" s="7">
        <f>IF(AA23=VLOOKUP(VALUE(AA$1),Questions!$A:$E,5,FALSE),1,0)</f>
        <v>0</v>
      </c>
      <c r="BL23" s="7">
        <f>IF(AB23=VLOOKUP(VALUE(AB$1),Questions!$A:$E,5,FALSE),1,0)</f>
        <v>1</v>
      </c>
      <c r="BM23" s="7">
        <f>IF(AC23=VLOOKUP(VALUE(AC$1),Questions!$A:$E,5,FALSE),1,0)</f>
        <v>0</v>
      </c>
      <c r="BN23" s="7">
        <f>IF(AD23=VLOOKUP(VALUE(AD$1),Questions!$A:$E,5,FALSE),1,0)</f>
        <v>1</v>
      </c>
      <c r="BO23" s="7">
        <f>IF(AE23=VLOOKUP(VALUE(AE$1),Questions!$A:$E,5,FALSE),1,0)</f>
        <v>0</v>
      </c>
      <c r="BP23" s="7">
        <f>IF(AF23=VLOOKUP(VALUE(AF$1),Questions!$A:$E,5,FALSE),1,0)</f>
        <v>1</v>
      </c>
      <c r="BQ23" s="7">
        <f>IF(AG23=VLOOKUP(VALUE(AG$1),Questions!$A:$E,5,FALSE),1,0)</f>
        <v>0</v>
      </c>
      <c r="BR23" s="7">
        <f>IF(AH23=VLOOKUP(VALUE(AH$1),Questions!$A:$E,5,FALSE),1,0)</f>
        <v>1</v>
      </c>
      <c r="BS23" s="7">
        <f>IF(AI23=VLOOKUP(VALUE(AI$1),Questions!$A:$E,5,FALSE),1,0)</f>
        <v>1</v>
      </c>
    </row>
    <row r="24" spans="1:71">
      <c r="A24" s="10">
        <v>23</v>
      </c>
      <c r="B24" s="14" t="b">
        <v>0</v>
      </c>
      <c r="C24" s="14" t="b">
        <v>0</v>
      </c>
      <c r="D24" s="102">
        <f>SUM(Scores[[#This Row],[Q1]:[Q28]])</f>
        <v>15</v>
      </c>
      <c r="E24" s="103">
        <f>SUM(Scores[[#This Row],[29]:[34b]])</f>
        <v>0</v>
      </c>
      <c r="F24" s="103">
        <f>Scores[[#This Row],[35]]</f>
        <v>0</v>
      </c>
      <c r="G24" s="104">
        <f>INDEX('Conversion Chart'!$C$3:$M$38,MATCH(SUM(Scores[[#This Row],[MC]:[CRQ]]),'Conversion Chart'!$B$3:$B$38,0),MATCH(Scores[[#This Row],[EIE]],'Conversion Chart'!$C$2:$M$2,0))</f>
        <v>42</v>
      </c>
      <c r="H24" s="5">
        <v>3</v>
      </c>
      <c r="I24" s="5">
        <v>3</v>
      </c>
      <c r="J24" s="5">
        <v>1</v>
      </c>
      <c r="K24" s="5">
        <v>3</v>
      </c>
      <c r="L24" s="5">
        <v>2</v>
      </c>
      <c r="M24" s="5">
        <v>4</v>
      </c>
      <c r="N24" s="5">
        <v>1</v>
      </c>
      <c r="O24" s="5">
        <v>1</v>
      </c>
      <c r="P24" s="5">
        <v>1</v>
      </c>
      <c r="Q24" s="5">
        <v>1</v>
      </c>
      <c r="R24" s="5">
        <v>4</v>
      </c>
      <c r="S24" s="5">
        <v>4</v>
      </c>
      <c r="T24" s="5">
        <v>2</v>
      </c>
      <c r="U24" s="5">
        <v>1</v>
      </c>
      <c r="V24" s="5">
        <v>4</v>
      </c>
      <c r="W24" s="5">
        <v>1</v>
      </c>
      <c r="X24" s="5">
        <v>2</v>
      </c>
      <c r="Y24" s="5">
        <v>1</v>
      </c>
      <c r="Z24" s="5">
        <v>1</v>
      </c>
      <c r="AA24" s="5">
        <v>3</v>
      </c>
      <c r="AB24" s="5">
        <v>4</v>
      </c>
      <c r="AC24" s="5">
        <v>1</v>
      </c>
      <c r="AD24" s="5">
        <v>4</v>
      </c>
      <c r="AE24" s="5">
        <v>2</v>
      </c>
      <c r="AF24" s="5">
        <v>4</v>
      </c>
      <c r="AG24" s="5">
        <v>1</v>
      </c>
      <c r="AH24" s="5">
        <v>1</v>
      </c>
      <c r="AI24" s="104">
        <v>1</v>
      </c>
      <c r="AJ24" s="95"/>
      <c r="AK24" s="84"/>
      <c r="AL24" s="84"/>
      <c r="AM24" s="84"/>
      <c r="AN24" s="84"/>
      <c r="AO24" s="84"/>
      <c r="AP24" s="94"/>
      <c r="AR24" s="7">
        <f>IF(H24=VLOOKUP(VALUE(H$1),Questions!$A:$E,5,FALSE),1,0)</f>
        <v>0</v>
      </c>
      <c r="AS24" s="7">
        <f>IF(I24=VLOOKUP(VALUE(I$1),Questions!$A:$E,5,FALSE),1,0)</f>
        <v>1</v>
      </c>
      <c r="AT24" s="7">
        <f>IF(J24=VLOOKUP(VALUE(J$1),Questions!$A:$E,5,FALSE),1,0)</f>
        <v>1</v>
      </c>
      <c r="AU24" s="7">
        <f>IF(K24=VLOOKUP(VALUE(K$1),Questions!$A:$E,5,FALSE),1,0)</f>
        <v>0</v>
      </c>
      <c r="AV24" s="7">
        <f>IF(L24=VLOOKUP(VALUE(L$1),Questions!$A:$E,5,FALSE),1,0)</f>
        <v>1</v>
      </c>
      <c r="AW24" s="7">
        <f>IF(M24=VLOOKUP(VALUE(M$1),Questions!$A:$E,5,FALSE),1,0)</f>
        <v>1</v>
      </c>
      <c r="AX24" s="7">
        <f>IF(N24=VLOOKUP(VALUE(N$1),Questions!$A:$E,5,FALSE),1,0)</f>
        <v>0</v>
      </c>
      <c r="AY24" s="7">
        <f>IF(O24=VLOOKUP(VALUE(O$1),Questions!$A:$E,5,FALSE),1,0)</f>
        <v>1</v>
      </c>
      <c r="AZ24" s="7">
        <f>IF(P24=VLOOKUP(VALUE(P$1),Questions!$A:$E,5,FALSE),1,0)</f>
        <v>1</v>
      </c>
      <c r="BA24" s="7">
        <f>IF(Q24=VLOOKUP(VALUE(Q$1),Questions!$A:$E,5,FALSE),1,0)</f>
        <v>1</v>
      </c>
      <c r="BB24" s="7">
        <f>IF(R24=VLOOKUP(VALUE(R$1),Questions!$A:$E,5,FALSE),1,0)</f>
        <v>1</v>
      </c>
      <c r="BC24" s="7">
        <f>IF(S24=VLOOKUP(VALUE(S$1),Questions!$A:$E,5,FALSE),1,0)</f>
        <v>0</v>
      </c>
      <c r="BD24" s="7">
        <f>IF(T24=VLOOKUP(VALUE(T$1),Questions!$A:$E,5,FALSE),1,0)</f>
        <v>0</v>
      </c>
      <c r="BE24" s="7">
        <f>IF(U24=VLOOKUP(VALUE(U$1),Questions!$A:$E,5,FALSE),1,0)</f>
        <v>0</v>
      </c>
      <c r="BF24" s="7">
        <f>IF(V24=VLOOKUP(VALUE(V$1),Questions!$A:$E,5,FALSE),1,0)</f>
        <v>0</v>
      </c>
      <c r="BG24" s="7">
        <f>IF(W24=VLOOKUP(VALUE(W$1),Questions!$A:$E,5,FALSE),1,0)</f>
        <v>0</v>
      </c>
      <c r="BH24" s="7">
        <f>IF(X24=VLOOKUP(VALUE(X$1),Questions!$A:$E,5,FALSE),1,0)</f>
        <v>1</v>
      </c>
      <c r="BI24" s="7">
        <f>IF(Y24=VLOOKUP(VALUE(Y$1),Questions!$A:$E,5,FALSE),1,0)</f>
        <v>0</v>
      </c>
      <c r="BJ24" s="7">
        <f>IF(Z24=VLOOKUP(VALUE(Z$1),Questions!$A:$E,5,FALSE),1,0)</f>
        <v>0</v>
      </c>
      <c r="BK24" s="7">
        <f>IF(AA24=VLOOKUP(VALUE(AA$1),Questions!$A:$E,5,FALSE),1,0)</f>
        <v>1</v>
      </c>
      <c r="BL24" s="7">
        <f>IF(AB24=VLOOKUP(VALUE(AB$1),Questions!$A:$E,5,FALSE),1,0)</f>
        <v>0</v>
      </c>
      <c r="BM24" s="7">
        <f>IF(AC24=VLOOKUP(VALUE(AC$1),Questions!$A:$E,5,FALSE),1,0)</f>
        <v>1</v>
      </c>
      <c r="BN24" s="7">
        <f>IF(AD24=VLOOKUP(VALUE(AD$1),Questions!$A:$E,5,FALSE),1,0)</f>
        <v>0</v>
      </c>
      <c r="BO24" s="7">
        <f>IF(AE24=VLOOKUP(VALUE(AE$1),Questions!$A:$E,5,FALSE),1,0)</f>
        <v>1</v>
      </c>
      <c r="BP24" s="7">
        <f>IF(AF24=VLOOKUP(VALUE(AF$1),Questions!$A:$E,5,FALSE),1,0)</f>
        <v>1</v>
      </c>
      <c r="BQ24" s="7">
        <f>IF(AG24=VLOOKUP(VALUE(AG$1),Questions!$A:$E,5,FALSE),1,0)</f>
        <v>0</v>
      </c>
      <c r="BR24" s="7">
        <f>IF(AH24=VLOOKUP(VALUE(AH$1),Questions!$A:$E,5,FALSE),1,0)</f>
        <v>1</v>
      </c>
      <c r="BS24" s="7">
        <f>IF(AI24=VLOOKUP(VALUE(AI$1),Questions!$A:$E,5,FALSE),1,0)</f>
        <v>1</v>
      </c>
    </row>
    <row r="25" spans="1:71">
      <c r="A25" s="10">
        <v>24</v>
      </c>
      <c r="B25" s="14" t="b">
        <v>0</v>
      </c>
      <c r="C25" s="14" t="b">
        <v>0</v>
      </c>
      <c r="D25" s="102">
        <f>SUM(Scores[[#This Row],[Q1]:[Q28]])</f>
        <v>0</v>
      </c>
      <c r="E25" s="103">
        <f>SUM(Scores[[#This Row],[29]:[34b]])</f>
        <v>0</v>
      </c>
      <c r="F25" s="103">
        <f>Scores[[#This Row],[35]]</f>
        <v>0</v>
      </c>
      <c r="G25" s="104">
        <f>INDEX('Conversion Chart'!$C$3:$M$38,MATCH(SUM(Scores[[#This Row],[MC]:[CRQ]]),'Conversion Chart'!$B$3:$B$38,0),MATCH(Scores[[#This Row],[EIE]],'Conversion Chart'!$C$2:$M$2,0))</f>
        <v>0</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104"/>
      <c r="AJ25" s="95"/>
      <c r="AK25" s="84"/>
      <c r="AL25" s="84"/>
      <c r="AM25" s="84"/>
      <c r="AN25" s="84"/>
      <c r="AO25" s="84"/>
      <c r="AP25" s="94"/>
      <c r="AR25" s="7">
        <f>IF(H25=VLOOKUP(VALUE(H$1),Questions!$A:$E,5,FALSE),1,0)</f>
        <v>0</v>
      </c>
      <c r="AS25" s="7">
        <f>IF(I25=VLOOKUP(VALUE(I$1),Questions!$A:$E,5,FALSE),1,0)</f>
        <v>0</v>
      </c>
      <c r="AT25" s="7">
        <f>IF(J25=VLOOKUP(VALUE(J$1),Questions!$A:$E,5,FALSE),1,0)</f>
        <v>0</v>
      </c>
      <c r="AU25" s="7">
        <f>IF(K25=VLOOKUP(VALUE(K$1),Questions!$A:$E,5,FALSE),1,0)</f>
        <v>0</v>
      </c>
      <c r="AV25" s="7">
        <f>IF(L25=VLOOKUP(VALUE(L$1),Questions!$A:$E,5,FALSE),1,0)</f>
        <v>0</v>
      </c>
      <c r="AW25" s="7">
        <f>IF(M25=VLOOKUP(VALUE(M$1),Questions!$A:$E,5,FALSE),1,0)</f>
        <v>0</v>
      </c>
      <c r="AX25" s="7">
        <f>IF(N25=VLOOKUP(VALUE(N$1),Questions!$A:$E,5,FALSE),1,0)</f>
        <v>0</v>
      </c>
      <c r="AY25" s="7">
        <f>IF(O25=VLOOKUP(VALUE(O$1),Questions!$A:$E,5,FALSE),1,0)</f>
        <v>0</v>
      </c>
      <c r="AZ25" s="7">
        <f>IF(P25=VLOOKUP(VALUE(P$1),Questions!$A:$E,5,FALSE),1,0)</f>
        <v>0</v>
      </c>
      <c r="BA25" s="7">
        <f>IF(Q25=VLOOKUP(VALUE(Q$1),Questions!$A:$E,5,FALSE),1,0)</f>
        <v>0</v>
      </c>
      <c r="BB25" s="7">
        <f>IF(R25=VLOOKUP(VALUE(R$1),Questions!$A:$E,5,FALSE),1,0)</f>
        <v>0</v>
      </c>
      <c r="BC25" s="7">
        <f>IF(S25=VLOOKUP(VALUE(S$1),Questions!$A:$E,5,FALSE),1,0)</f>
        <v>0</v>
      </c>
      <c r="BD25" s="7">
        <f>IF(T25=VLOOKUP(VALUE(T$1),Questions!$A:$E,5,FALSE),1,0)</f>
        <v>0</v>
      </c>
      <c r="BE25" s="7">
        <f>IF(U25=VLOOKUP(VALUE(U$1),Questions!$A:$E,5,FALSE),1,0)</f>
        <v>0</v>
      </c>
      <c r="BF25" s="7">
        <f>IF(V25=VLOOKUP(VALUE(V$1),Questions!$A:$E,5,FALSE),1,0)</f>
        <v>0</v>
      </c>
      <c r="BG25" s="7">
        <f>IF(W25=VLOOKUP(VALUE(W$1),Questions!$A:$E,5,FALSE),1,0)</f>
        <v>0</v>
      </c>
      <c r="BH25" s="7">
        <f>IF(X25=VLOOKUP(VALUE(X$1),Questions!$A:$E,5,FALSE),1,0)</f>
        <v>0</v>
      </c>
      <c r="BI25" s="7">
        <f>IF(Y25=VLOOKUP(VALUE(Y$1),Questions!$A:$E,5,FALSE),1,0)</f>
        <v>0</v>
      </c>
      <c r="BJ25" s="7">
        <f>IF(Z25=VLOOKUP(VALUE(Z$1),Questions!$A:$E,5,FALSE),1,0)</f>
        <v>0</v>
      </c>
      <c r="BK25" s="7">
        <f>IF(AA25=VLOOKUP(VALUE(AA$1),Questions!$A:$E,5,FALSE),1,0)</f>
        <v>0</v>
      </c>
      <c r="BL25" s="7">
        <f>IF(AB25=VLOOKUP(VALUE(AB$1),Questions!$A:$E,5,FALSE),1,0)</f>
        <v>0</v>
      </c>
      <c r="BM25" s="7">
        <f>IF(AC25=VLOOKUP(VALUE(AC$1),Questions!$A:$E,5,FALSE),1,0)</f>
        <v>0</v>
      </c>
      <c r="BN25" s="7">
        <f>IF(AD25=VLOOKUP(VALUE(AD$1),Questions!$A:$E,5,FALSE),1,0)</f>
        <v>0</v>
      </c>
      <c r="BO25" s="7">
        <f>IF(AE25=VLOOKUP(VALUE(AE$1),Questions!$A:$E,5,FALSE),1,0)</f>
        <v>0</v>
      </c>
      <c r="BP25" s="7">
        <f>IF(AF25=VLOOKUP(VALUE(AF$1),Questions!$A:$E,5,FALSE),1,0)</f>
        <v>0</v>
      </c>
      <c r="BQ25" s="7">
        <f>IF(AG25=VLOOKUP(VALUE(AG$1),Questions!$A:$E,5,FALSE),1,0)</f>
        <v>0</v>
      </c>
      <c r="BR25" s="7">
        <f>IF(AH25=VLOOKUP(VALUE(AH$1),Questions!$A:$E,5,FALSE),1,0)</f>
        <v>0</v>
      </c>
      <c r="BS25" s="7">
        <f>IF(AI25=VLOOKUP(VALUE(AI$1),Questions!$A:$E,5,FALSE),1,0)</f>
        <v>0</v>
      </c>
    </row>
    <row r="26" spans="1:71">
      <c r="A26" s="10">
        <v>25</v>
      </c>
      <c r="B26" s="14" t="b">
        <v>0</v>
      </c>
      <c r="C26" s="14" t="b">
        <v>0</v>
      </c>
      <c r="D26" s="102">
        <f>SUM(Scores[[#This Row],[Q1]:[Q28]])</f>
        <v>17</v>
      </c>
      <c r="E26" s="103">
        <f>SUM(Scores[[#This Row],[29]:[34b]])</f>
        <v>0</v>
      </c>
      <c r="F26" s="103">
        <f>Scores[[#This Row],[35]]</f>
        <v>0</v>
      </c>
      <c r="G26" s="104">
        <f>INDEX('Conversion Chart'!$C$3:$M$38,MATCH(SUM(Scores[[#This Row],[MC]:[CRQ]]),'Conversion Chart'!$B$3:$B$38,0),MATCH(Scores[[#This Row],[EIE]],'Conversion Chart'!$C$2:$M$2,0))</f>
        <v>47</v>
      </c>
      <c r="H26" s="5">
        <v>4</v>
      </c>
      <c r="I26" s="5">
        <v>3</v>
      </c>
      <c r="J26" s="5">
        <v>1</v>
      </c>
      <c r="K26" s="5">
        <v>2</v>
      </c>
      <c r="L26" s="5">
        <v>3</v>
      </c>
      <c r="M26" s="5">
        <v>2</v>
      </c>
      <c r="N26" s="5">
        <v>2</v>
      </c>
      <c r="O26" s="5">
        <v>1</v>
      </c>
      <c r="P26" s="5">
        <v>2</v>
      </c>
      <c r="Q26" s="5">
        <v>1</v>
      </c>
      <c r="R26" s="5">
        <v>4</v>
      </c>
      <c r="S26" s="5">
        <v>2</v>
      </c>
      <c r="T26" s="5">
        <v>1</v>
      </c>
      <c r="U26" s="5">
        <v>4</v>
      </c>
      <c r="V26" s="5">
        <v>3</v>
      </c>
      <c r="W26" s="5">
        <v>1</v>
      </c>
      <c r="X26" s="5">
        <v>2</v>
      </c>
      <c r="Y26" s="5">
        <v>2</v>
      </c>
      <c r="Z26" s="5">
        <v>4</v>
      </c>
      <c r="AA26" s="5">
        <v>3</v>
      </c>
      <c r="AB26" s="5">
        <v>2</v>
      </c>
      <c r="AC26" s="5">
        <v>1</v>
      </c>
      <c r="AD26" s="5">
        <v>2</v>
      </c>
      <c r="AE26" s="5">
        <v>2</v>
      </c>
      <c r="AF26" s="5">
        <v>1</v>
      </c>
      <c r="AG26" s="5">
        <v>3</v>
      </c>
      <c r="AH26" s="5">
        <v>4</v>
      </c>
      <c r="AI26" s="104">
        <v>4</v>
      </c>
      <c r="AJ26" s="95"/>
      <c r="AK26" s="84"/>
      <c r="AL26" s="84"/>
      <c r="AM26" s="84"/>
      <c r="AN26" s="84"/>
      <c r="AO26" s="84"/>
      <c r="AP26" s="94"/>
      <c r="AR26" s="7">
        <f>IF(H26=VLOOKUP(VALUE(H$1),Questions!$A:$E,5,FALSE),1,0)</f>
        <v>1</v>
      </c>
      <c r="AS26" s="7">
        <f>IF(I26=VLOOKUP(VALUE(I$1),Questions!$A:$E,5,FALSE),1,0)</f>
        <v>1</v>
      </c>
      <c r="AT26" s="7">
        <f>IF(J26=VLOOKUP(VALUE(J$1),Questions!$A:$E,5,FALSE),1,0)</f>
        <v>1</v>
      </c>
      <c r="AU26" s="7">
        <f>IF(K26=VLOOKUP(VALUE(K$1),Questions!$A:$E,5,FALSE),1,0)</f>
        <v>1</v>
      </c>
      <c r="AV26" s="7">
        <f>IF(L26=VLOOKUP(VALUE(L$1),Questions!$A:$E,5,FALSE),1,0)</f>
        <v>0</v>
      </c>
      <c r="AW26" s="7">
        <f>IF(M26=VLOOKUP(VALUE(M$1),Questions!$A:$E,5,FALSE),1,0)</f>
        <v>0</v>
      </c>
      <c r="AX26" s="7">
        <f>IF(N26=VLOOKUP(VALUE(N$1),Questions!$A:$E,5,FALSE),1,0)</f>
        <v>0</v>
      </c>
      <c r="AY26" s="7">
        <f>IF(O26=VLOOKUP(VALUE(O$1),Questions!$A:$E,5,FALSE),1,0)</f>
        <v>1</v>
      </c>
      <c r="AZ26" s="7">
        <f>IF(P26=VLOOKUP(VALUE(P$1),Questions!$A:$E,5,FALSE),1,0)</f>
        <v>0</v>
      </c>
      <c r="BA26" s="7">
        <f>IF(Q26=VLOOKUP(VALUE(Q$1),Questions!$A:$E,5,FALSE),1,0)</f>
        <v>1</v>
      </c>
      <c r="BB26" s="7">
        <f>IF(R26=VLOOKUP(VALUE(R$1),Questions!$A:$E,5,FALSE),1,0)</f>
        <v>1</v>
      </c>
      <c r="BC26" s="7">
        <f>IF(S26=VLOOKUP(VALUE(S$1),Questions!$A:$E,5,FALSE),1,0)</f>
        <v>1</v>
      </c>
      <c r="BD26" s="7">
        <f>IF(T26=VLOOKUP(VALUE(T$1),Questions!$A:$E,5,FALSE),1,0)</f>
        <v>1</v>
      </c>
      <c r="BE26" s="7">
        <f>IF(U26=VLOOKUP(VALUE(U$1),Questions!$A:$E,5,FALSE),1,0)</f>
        <v>1</v>
      </c>
      <c r="BF26" s="7">
        <f>IF(V26=VLOOKUP(VALUE(V$1),Questions!$A:$E,5,FALSE),1,0)</f>
        <v>1</v>
      </c>
      <c r="BG26" s="7">
        <f>IF(W26=VLOOKUP(VALUE(W$1),Questions!$A:$E,5,FALSE),1,0)</f>
        <v>0</v>
      </c>
      <c r="BH26" s="7">
        <f>IF(X26=VLOOKUP(VALUE(X$1),Questions!$A:$E,5,FALSE),1,0)</f>
        <v>1</v>
      </c>
      <c r="BI26" s="7">
        <f>IF(Y26=VLOOKUP(VALUE(Y$1),Questions!$A:$E,5,FALSE),1,0)</f>
        <v>0</v>
      </c>
      <c r="BJ26" s="7">
        <f>IF(Z26=VLOOKUP(VALUE(Z$1),Questions!$A:$E,5,FALSE),1,0)</f>
        <v>0</v>
      </c>
      <c r="BK26" s="7">
        <f>IF(AA26=VLOOKUP(VALUE(AA$1),Questions!$A:$E,5,FALSE),1,0)</f>
        <v>1</v>
      </c>
      <c r="BL26" s="7">
        <f>IF(AB26=VLOOKUP(VALUE(AB$1),Questions!$A:$E,5,FALSE),1,0)</f>
        <v>1</v>
      </c>
      <c r="BM26" s="7">
        <f>IF(AC26=VLOOKUP(VALUE(AC$1),Questions!$A:$E,5,FALSE),1,0)</f>
        <v>1</v>
      </c>
      <c r="BN26" s="7">
        <f>IF(AD26=VLOOKUP(VALUE(AD$1),Questions!$A:$E,5,FALSE),1,0)</f>
        <v>0</v>
      </c>
      <c r="BO26" s="7">
        <f>IF(AE26=VLOOKUP(VALUE(AE$1),Questions!$A:$E,5,FALSE),1,0)</f>
        <v>1</v>
      </c>
      <c r="BP26" s="7">
        <f>IF(AF26=VLOOKUP(VALUE(AF$1),Questions!$A:$E,5,FALSE),1,0)</f>
        <v>0</v>
      </c>
      <c r="BQ26" s="7">
        <f>IF(AG26=VLOOKUP(VALUE(AG$1),Questions!$A:$E,5,FALSE),1,0)</f>
        <v>1</v>
      </c>
      <c r="BR26" s="7">
        <f>IF(AH26=VLOOKUP(VALUE(AH$1),Questions!$A:$E,5,FALSE),1,0)</f>
        <v>0</v>
      </c>
      <c r="BS26" s="7">
        <f>IF(AI26=VLOOKUP(VALUE(AI$1),Questions!$A:$E,5,FALSE),1,0)</f>
        <v>0</v>
      </c>
    </row>
    <row r="27" spans="1:71">
      <c r="A27" s="10">
        <v>26</v>
      </c>
      <c r="B27" s="14" t="b">
        <v>0</v>
      </c>
      <c r="C27" s="14" t="b">
        <v>0</v>
      </c>
      <c r="D27" s="102">
        <f>SUM(Scores[[#This Row],[Q1]:[Q28]])</f>
        <v>12</v>
      </c>
      <c r="E27" s="103">
        <f>SUM(Scores[[#This Row],[29]:[34b]])</f>
        <v>0</v>
      </c>
      <c r="F27" s="103">
        <f>Scores[[#This Row],[35]]</f>
        <v>0</v>
      </c>
      <c r="G27" s="104">
        <f>INDEX('Conversion Chart'!$C$3:$M$38,MATCH(SUM(Scores[[#This Row],[MC]:[CRQ]]),'Conversion Chart'!$B$3:$B$38,0),MATCH(Scores[[#This Row],[EIE]],'Conversion Chart'!$C$2:$M$2,0))</f>
        <v>35</v>
      </c>
      <c r="H27" s="5">
        <v>1</v>
      </c>
      <c r="I27" s="5">
        <v>3</v>
      </c>
      <c r="J27" s="5">
        <v>1</v>
      </c>
      <c r="K27" s="5">
        <v>2</v>
      </c>
      <c r="L27" s="5">
        <v>1</v>
      </c>
      <c r="M27" s="5">
        <v>4</v>
      </c>
      <c r="N27" s="5">
        <v>2</v>
      </c>
      <c r="O27" s="5">
        <v>3</v>
      </c>
      <c r="P27" s="5">
        <v>4</v>
      </c>
      <c r="Q27" s="5">
        <v>1</v>
      </c>
      <c r="R27" s="5">
        <v>4</v>
      </c>
      <c r="S27" s="5">
        <v>4</v>
      </c>
      <c r="T27" s="5">
        <v>1</v>
      </c>
      <c r="U27" s="5">
        <v>2</v>
      </c>
      <c r="V27" s="5">
        <v>1</v>
      </c>
      <c r="W27" s="5">
        <v>1</v>
      </c>
      <c r="X27" s="5">
        <v>2</v>
      </c>
      <c r="Y27" s="5">
        <v>2</v>
      </c>
      <c r="Z27" s="5">
        <v>2</v>
      </c>
      <c r="AA27" s="5">
        <v>3</v>
      </c>
      <c r="AB27" s="5">
        <v>1</v>
      </c>
      <c r="AC27" s="5">
        <v>3</v>
      </c>
      <c r="AD27" s="5">
        <v>2</v>
      </c>
      <c r="AE27" s="5">
        <v>2</v>
      </c>
      <c r="AF27" s="5">
        <v>1</v>
      </c>
      <c r="AG27" s="5">
        <v>4</v>
      </c>
      <c r="AH27" s="5">
        <v>1</v>
      </c>
      <c r="AI27" s="104">
        <v>4</v>
      </c>
      <c r="AJ27" s="95"/>
      <c r="AK27" s="84"/>
      <c r="AL27" s="84"/>
      <c r="AM27" s="84"/>
      <c r="AN27" s="84"/>
      <c r="AO27" s="84"/>
      <c r="AP27" s="94"/>
      <c r="AR27" s="7">
        <f>IF(H27=VLOOKUP(VALUE(H$1),Questions!$A:$E,5,FALSE),1,0)</f>
        <v>0</v>
      </c>
      <c r="AS27" s="7">
        <f>IF(I27=VLOOKUP(VALUE(I$1),Questions!$A:$E,5,FALSE),1,0)</f>
        <v>1</v>
      </c>
      <c r="AT27" s="7">
        <f>IF(J27=VLOOKUP(VALUE(J$1),Questions!$A:$E,5,FALSE),1,0)</f>
        <v>1</v>
      </c>
      <c r="AU27" s="7">
        <f>IF(K27=VLOOKUP(VALUE(K$1),Questions!$A:$E,5,FALSE),1,0)</f>
        <v>1</v>
      </c>
      <c r="AV27" s="7">
        <f>IF(L27=VLOOKUP(VALUE(L$1),Questions!$A:$E,5,FALSE),1,0)</f>
        <v>0</v>
      </c>
      <c r="AW27" s="7">
        <f>IF(M27=VLOOKUP(VALUE(M$1),Questions!$A:$E,5,FALSE),1,0)</f>
        <v>1</v>
      </c>
      <c r="AX27" s="7">
        <f>IF(N27=VLOOKUP(VALUE(N$1),Questions!$A:$E,5,FALSE),1,0)</f>
        <v>0</v>
      </c>
      <c r="AY27" s="7">
        <f>IF(O27=VLOOKUP(VALUE(O$1),Questions!$A:$E,5,FALSE),1,0)</f>
        <v>0</v>
      </c>
      <c r="AZ27" s="7">
        <f>IF(P27=VLOOKUP(VALUE(P$1),Questions!$A:$E,5,FALSE),1,0)</f>
        <v>0</v>
      </c>
      <c r="BA27" s="7">
        <f>IF(Q27=VLOOKUP(VALUE(Q$1),Questions!$A:$E,5,FALSE),1,0)</f>
        <v>1</v>
      </c>
      <c r="BB27" s="7">
        <f>IF(R27=VLOOKUP(VALUE(R$1),Questions!$A:$E,5,FALSE),1,0)</f>
        <v>1</v>
      </c>
      <c r="BC27" s="7">
        <f>IF(S27=VLOOKUP(VALUE(S$1),Questions!$A:$E,5,FALSE),1,0)</f>
        <v>0</v>
      </c>
      <c r="BD27" s="7">
        <f>IF(T27=VLOOKUP(VALUE(T$1),Questions!$A:$E,5,FALSE),1,0)</f>
        <v>1</v>
      </c>
      <c r="BE27" s="7">
        <f>IF(U27=VLOOKUP(VALUE(U$1),Questions!$A:$E,5,FALSE),1,0)</f>
        <v>0</v>
      </c>
      <c r="BF27" s="7">
        <f>IF(V27=VLOOKUP(VALUE(V$1),Questions!$A:$E,5,FALSE),1,0)</f>
        <v>0</v>
      </c>
      <c r="BG27" s="7">
        <f>IF(W27=VLOOKUP(VALUE(W$1),Questions!$A:$E,5,FALSE),1,0)</f>
        <v>0</v>
      </c>
      <c r="BH27" s="7">
        <f>IF(X27=VLOOKUP(VALUE(X$1),Questions!$A:$E,5,FALSE),1,0)</f>
        <v>1</v>
      </c>
      <c r="BI27" s="7">
        <f>IF(Y27=VLOOKUP(VALUE(Y$1),Questions!$A:$E,5,FALSE),1,0)</f>
        <v>0</v>
      </c>
      <c r="BJ27" s="7">
        <f>IF(Z27=VLOOKUP(VALUE(Z$1),Questions!$A:$E,5,FALSE),1,0)</f>
        <v>1</v>
      </c>
      <c r="BK27" s="7">
        <f>IF(AA27=VLOOKUP(VALUE(AA$1),Questions!$A:$E,5,FALSE),1,0)</f>
        <v>1</v>
      </c>
      <c r="BL27" s="7">
        <f>IF(AB27=VLOOKUP(VALUE(AB$1),Questions!$A:$E,5,FALSE),1,0)</f>
        <v>0</v>
      </c>
      <c r="BM27" s="7">
        <f>IF(AC27=VLOOKUP(VALUE(AC$1),Questions!$A:$E,5,FALSE),1,0)</f>
        <v>0</v>
      </c>
      <c r="BN27" s="7">
        <f>IF(AD27=VLOOKUP(VALUE(AD$1),Questions!$A:$E,5,FALSE),1,0)</f>
        <v>0</v>
      </c>
      <c r="BO27" s="7">
        <f>IF(AE27=VLOOKUP(VALUE(AE$1),Questions!$A:$E,5,FALSE),1,0)</f>
        <v>1</v>
      </c>
      <c r="BP27" s="7">
        <f>IF(AF27=VLOOKUP(VALUE(AF$1),Questions!$A:$E,5,FALSE),1,0)</f>
        <v>0</v>
      </c>
      <c r="BQ27" s="7">
        <f>IF(AG27=VLOOKUP(VALUE(AG$1),Questions!$A:$E,5,FALSE),1,0)</f>
        <v>0</v>
      </c>
      <c r="BR27" s="7">
        <f>IF(AH27=VLOOKUP(VALUE(AH$1),Questions!$A:$E,5,FALSE),1,0)</f>
        <v>1</v>
      </c>
      <c r="BS27" s="7">
        <f>IF(AI27=VLOOKUP(VALUE(AI$1),Questions!$A:$E,5,FALSE),1,0)</f>
        <v>0</v>
      </c>
    </row>
    <row r="28" spans="1:71">
      <c r="A28" s="10">
        <v>27</v>
      </c>
      <c r="B28" s="14" t="b">
        <v>0</v>
      </c>
      <c r="C28" s="14" t="b">
        <v>0</v>
      </c>
      <c r="D28" s="102">
        <f>SUM(Scores[[#This Row],[Q1]:[Q28]])</f>
        <v>24</v>
      </c>
      <c r="E28" s="103">
        <f>SUM(Scores[[#This Row],[29]:[34b]])</f>
        <v>0</v>
      </c>
      <c r="F28" s="103">
        <f>Scores[[#This Row],[35]]</f>
        <v>0</v>
      </c>
      <c r="G28" s="104">
        <f>INDEX('Conversion Chart'!$C$3:$M$38,MATCH(SUM(Scores[[#This Row],[MC]:[CRQ]]),'Conversion Chart'!$B$3:$B$38,0),MATCH(Scores[[#This Row],[EIE]],'Conversion Chart'!$C$2:$M$2,0))</f>
        <v>61</v>
      </c>
      <c r="H28" s="5">
        <v>4</v>
      </c>
      <c r="I28" s="5">
        <v>3</v>
      </c>
      <c r="J28" s="5">
        <v>1</v>
      </c>
      <c r="K28" s="5">
        <v>2</v>
      </c>
      <c r="L28" s="5">
        <v>2</v>
      </c>
      <c r="M28" s="5">
        <v>4</v>
      </c>
      <c r="N28" s="5">
        <v>3</v>
      </c>
      <c r="O28" s="5">
        <v>4</v>
      </c>
      <c r="P28" s="5">
        <v>1</v>
      </c>
      <c r="Q28" s="5">
        <v>1</v>
      </c>
      <c r="R28" s="5">
        <v>4</v>
      </c>
      <c r="S28" s="5">
        <v>3</v>
      </c>
      <c r="T28" s="5">
        <v>1</v>
      </c>
      <c r="U28" s="5">
        <v>4</v>
      </c>
      <c r="V28" s="5">
        <v>3</v>
      </c>
      <c r="W28" s="5">
        <v>4</v>
      </c>
      <c r="X28" s="5">
        <v>2</v>
      </c>
      <c r="Y28" s="5">
        <v>3</v>
      </c>
      <c r="Z28" s="5">
        <v>2</v>
      </c>
      <c r="AA28" s="5">
        <v>2</v>
      </c>
      <c r="AB28" s="5">
        <v>3</v>
      </c>
      <c r="AC28" s="5">
        <v>1</v>
      </c>
      <c r="AD28" s="5">
        <v>3</v>
      </c>
      <c r="AE28" s="5">
        <v>2</v>
      </c>
      <c r="AF28" s="5">
        <v>4</v>
      </c>
      <c r="AG28" s="5">
        <v>3</v>
      </c>
      <c r="AH28" s="5">
        <v>1</v>
      </c>
      <c r="AI28" s="104">
        <v>1</v>
      </c>
      <c r="AJ28" s="95"/>
      <c r="AK28" s="84"/>
      <c r="AL28" s="84"/>
      <c r="AM28" s="84"/>
      <c r="AN28" s="84"/>
      <c r="AO28" s="84"/>
      <c r="AP28" s="94"/>
      <c r="AR28" s="7">
        <f>IF(H28=VLOOKUP(VALUE(H$1),Questions!$A:$E,5,FALSE),1,0)</f>
        <v>1</v>
      </c>
      <c r="AS28" s="7">
        <f>IF(I28=VLOOKUP(VALUE(I$1),Questions!$A:$E,5,FALSE),1,0)</f>
        <v>1</v>
      </c>
      <c r="AT28" s="7">
        <f>IF(J28=VLOOKUP(VALUE(J$1),Questions!$A:$E,5,FALSE),1,0)</f>
        <v>1</v>
      </c>
      <c r="AU28" s="7">
        <f>IF(K28=VLOOKUP(VALUE(K$1),Questions!$A:$E,5,FALSE),1,0)</f>
        <v>1</v>
      </c>
      <c r="AV28" s="7">
        <f>IF(L28=VLOOKUP(VALUE(L$1),Questions!$A:$E,5,FALSE),1,0)</f>
        <v>1</v>
      </c>
      <c r="AW28" s="7">
        <f>IF(M28=VLOOKUP(VALUE(M$1),Questions!$A:$E,5,FALSE),1,0)</f>
        <v>1</v>
      </c>
      <c r="AX28" s="7">
        <f>IF(N28=VLOOKUP(VALUE(N$1),Questions!$A:$E,5,FALSE),1,0)</f>
        <v>1</v>
      </c>
      <c r="AY28" s="7">
        <f>IF(O28=VLOOKUP(VALUE(O$1),Questions!$A:$E,5,FALSE),1,0)</f>
        <v>0</v>
      </c>
      <c r="AZ28" s="7">
        <f>IF(P28=VLOOKUP(VALUE(P$1),Questions!$A:$E,5,FALSE),1,0)</f>
        <v>1</v>
      </c>
      <c r="BA28" s="7">
        <f>IF(Q28=VLOOKUP(VALUE(Q$1),Questions!$A:$E,5,FALSE),1,0)</f>
        <v>1</v>
      </c>
      <c r="BB28" s="7">
        <f>IF(R28=VLOOKUP(VALUE(R$1),Questions!$A:$E,5,FALSE),1,0)</f>
        <v>1</v>
      </c>
      <c r="BC28" s="7">
        <f>IF(S28=VLOOKUP(VALUE(S$1),Questions!$A:$E,5,FALSE),1,0)</f>
        <v>0</v>
      </c>
      <c r="BD28" s="7">
        <f>IF(T28=VLOOKUP(VALUE(T$1),Questions!$A:$E,5,FALSE),1,0)</f>
        <v>1</v>
      </c>
      <c r="BE28" s="7">
        <f>IF(U28=VLOOKUP(VALUE(U$1),Questions!$A:$E,5,FALSE),1,0)</f>
        <v>1</v>
      </c>
      <c r="BF28" s="7">
        <f>IF(V28=VLOOKUP(VALUE(V$1),Questions!$A:$E,5,FALSE),1,0)</f>
        <v>1</v>
      </c>
      <c r="BG28" s="7">
        <f>IF(W28=VLOOKUP(VALUE(W$1),Questions!$A:$E,5,FALSE),1,0)</f>
        <v>1</v>
      </c>
      <c r="BH28" s="7">
        <f>IF(X28=VLOOKUP(VALUE(X$1),Questions!$A:$E,5,FALSE),1,0)</f>
        <v>1</v>
      </c>
      <c r="BI28" s="7">
        <f>IF(Y28=VLOOKUP(VALUE(Y$1),Questions!$A:$E,5,FALSE),1,0)</f>
        <v>1</v>
      </c>
      <c r="BJ28" s="7">
        <f>IF(Z28=VLOOKUP(VALUE(Z$1),Questions!$A:$E,5,FALSE),1,0)</f>
        <v>1</v>
      </c>
      <c r="BK28" s="7">
        <f>IF(AA28=VLOOKUP(VALUE(AA$1),Questions!$A:$E,5,FALSE),1,0)</f>
        <v>0</v>
      </c>
      <c r="BL28" s="7">
        <f>IF(AB28=VLOOKUP(VALUE(AB$1),Questions!$A:$E,5,FALSE),1,0)</f>
        <v>0</v>
      </c>
      <c r="BM28" s="7">
        <f>IF(AC28=VLOOKUP(VALUE(AC$1),Questions!$A:$E,5,FALSE),1,0)</f>
        <v>1</v>
      </c>
      <c r="BN28" s="7">
        <f>IF(AD28=VLOOKUP(VALUE(AD$1),Questions!$A:$E,5,FALSE),1,0)</f>
        <v>1</v>
      </c>
      <c r="BO28" s="7">
        <f>IF(AE28=VLOOKUP(VALUE(AE$1),Questions!$A:$E,5,FALSE),1,0)</f>
        <v>1</v>
      </c>
      <c r="BP28" s="7">
        <f>IF(AF28=VLOOKUP(VALUE(AF$1),Questions!$A:$E,5,FALSE),1,0)</f>
        <v>1</v>
      </c>
      <c r="BQ28" s="7">
        <f>IF(AG28=VLOOKUP(VALUE(AG$1),Questions!$A:$E,5,FALSE),1,0)</f>
        <v>1</v>
      </c>
      <c r="BR28" s="7">
        <f>IF(AH28=VLOOKUP(VALUE(AH$1),Questions!$A:$E,5,FALSE),1,0)</f>
        <v>1</v>
      </c>
      <c r="BS28" s="7">
        <f>IF(AI28=VLOOKUP(VALUE(AI$1),Questions!$A:$E,5,FALSE),1,0)</f>
        <v>1</v>
      </c>
    </row>
    <row r="29" spans="1:71">
      <c r="A29" s="10">
        <v>28</v>
      </c>
      <c r="B29" s="14" t="b">
        <v>0</v>
      </c>
      <c r="C29" s="14" t="b">
        <v>0</v>
      </c>
      <c r="D29" s="102">
        <f>SUM(Scores[[#This Row],[Q1]:[Q28]])</f>
        <v>12</v>
      </c>
      <c r="E29" s="103">
        <f>SUM(Scores[[#This Row],[29]:[34b]])</f>
        <v>0</v>
      </c>
      <c r="F29" s="103">
        <f>Scores[[#This Row],[35]]</f>
        <v>0</v>
      </c>
      <c r="G29" s="104">
        <f>INDEX('Conversion Chart'!$C$3:$M$38,MATCH(SUM(Scores[[#This Row],[MC]:[CRQ]]),'Conversion Chart'!$B$3:$B$38,0),MATCH(Scores[[#This Row],[EIE]],'Conversion Chart'!$C$2:$M$2,0))</f>
        <v>35</v>
      </c>
      <c r="H29" s="5">
        <v>4</v>
      </c>
      <c r="I29" s="5">
        <v>3</v>
      </c>
      <c r="J29" s="5">
        <v>1</v>
      </c>
      <c r="K29" s="5">
        <v>4</v>
      </c>
      <c r="L29" s="5">
        <v>1</v>
      </c>
      <c r="M29" s="5">
        <v>4</v>
      </c>
      <c r="N29" s="5">
        <v>1</v>
      </c>
      <c r="O29" s="5">
        <v>3</v>
      </c>
      <c r="P29" s="5">
        <v>2</v>
      </c>
      <c r="Q29" s="5">
        <v>1</v>
      </c>
      <c r="R29" s="5">
        <v>4</v>
      </c>
      <c r="S29" s="5">
        <v>4</v>
      </c>
      <c r="T29" s="5">
        <v>1</v>
      </c>
      <c r="U29" s="5">
        <v>3</v>
      </c>
      <c r="V29" s="5">
        <v>1</v>
      </c>
      <c r="W29" s="5">
        <v>2</v>
      </c>
      <c r="X29" s="5">
        <v>3</v>
      </c>
      <c r="Y29" s="5">
        <v>1</v>
      </c>
      <c r="Z29" s="5">
        <v>1</v>
      </c>
      <c r="AA29" s="5">
        <v>3</v>
      </c>
      <c r="AB29" s="5">
        <v>4</v>
      </c>
      <c r="AC29" s="5">
        <v>4</v>
      </c>
      <c r="AD29" s="5">
        <v>3</v>
      </c>
      <c r="AE29" s="5">
        <v>2</v>
      </c>
      <c r="AF29" s="5">
        <v>4</v>
      </c>
      <c r="AG29" s="5">
        <v>3</v>
      </c>
      <c r="AH29" s="5">
        <v>4</v>
      </c>
      <c r="AI29" s="104">
        <v>3</v>
      </c>
      <c r="AJ29" s="95"/>
      <c r="AK29" s="84"/>
      <c r="AL29" s="84"/>
      <c r="AM29" s="84"/>
      <c r="AN29" s="84"/>
      <c r="AO29" s="84"/>
      <c r="AP29" s="94"/>
      <c r="AR29" s="7">
        <f>IF(H29=VLOOKUP(VALUE(H$1),Questions!$A:$E,5,FALSE),1,0)</f>
        <v>1</v>
      </c>
      <c r="AS29" s="7">
        <f>IF(I29=VLOOKUP(VALUE(I$1),Questions!$A:$E,5,FALSE),1,0)</f>
        <v>1</v>
      </c>
      <c r="AT29" s="7">
        <f>IF(J29=VLOOKUP(VALUE(J$1),Questions!$A:$E,5,FALSE),1,0)</f>
        <v>1</v>
      </c>
      <c r="AU29" s="7">
        <f>IF(K29=VLOOKUP(VALUE(K$1),Questions!$A:$E,5,FALSE),1,0)</f>
        <v>0</v>
      </c>
      <c r="AV29" s="7">
        <f>IF(L29=VLOOKUP(VALUE(L$1),Questions!$A:$E,5,FALSE),1,0)</f>
        <v>0</v>
      </c>
      <c r="AW29" s="7">
        <f>IF(M29=VLOOKUP(VALUE(M$1),Questions!$A:$E,5,FALSE),1,0)</f>
        <v>1</v>
      </c>
      <c r="AX29" s="7">
        <f>IF(N29=VLOOKUP(VALUE(N$1),Questions!$A:$E,5,FALSE),1,0)</f>
        <v>0</v>
      </c>
      <c r="AY29" s="7">
        <f>IF(O29=VLOOKUP(VALUE(O$1),Questions!$A:$E,5,FALSE),1,0)</f>
        <v>0</v>
      </c>
      <c r="AZ29" s="7">
        <f>IF(P29=VLOOKUP(VALUE(P$1),Questions!$A:$E,5,FALSE),1,0)</f>
        <v>0</v>
      </c>
      <c r="BA29" s="7">
        <f>IF(Q29=VLOOKUP(VALUE(Q$1),Questions!$A:$E,5,FALSE),1,0)</f>
        <v>1</v>
      </c>
      <c r="BB29" s="7">
        <f>IF(R29=VLOOKUP(VALUE(R$1),Questions!$A:$E,5,FALSE),1,0)</f>
        <v>1</v>
      </c>
      <c r="BC29" s="7">
        <f>IF(S29=VLOOKUP(VALUE(S$1),Questions!$A:$E,5,FALSE),1,0)</f>
        <v>0</v>
      </c>
      <c r="BD29" s="7">
        <f>IF(T29=VLOOKUP(VALUE(T$1),Questions!$A:$E,5,FALSE),1,0)</f>
        <v>1</v>
      </c>
      <c r="BE29" s="7">
        <f>IF(U29=VLOOKUP(VALUE(U$1),Questions!$A:$E,5,FALSE),1,0)</f>
        <v>0</v>
      </c>
      <c r="BF29" s="7">
        <f>IF(V29=VLOOKUP(VALUE(V$1),Questions!$A:$E,5,FALSE),1,0)</f>
        <v>0</v>
      </c>
      <c r="BG29" s="7">
        <f>IF(W29=VLOOKUP(VALUE(W$1),Questions!$A:$E,5,FALSE),1,0)</f>
        <v>0</v>
      </c>
      <c r="BH29" s="7">
        <f>IF(X29=VLOOKUP(VALUE(X$1),Questions!$A:$E,5,FALSE),1,0)</f>
        <v>0</v>
      </c>
      <c r="BI29" s="7">
        <f>IF(Y29=VLOOKUP(VALUE(Y$1),Questions!$A:$E,5,FALSE),1,0)</f>
        <v>0</v>
      </c>
      <c r="BJ29" s="7">
        <f>IF(Z29=VLOOKUP(VALUE(Z$1),Questions!$A:$E,5,FALSE),1,0)</f>
        <v>0</v>
      </c>
      <c r="BK29" s="7">
        <f>IF(AA29=VLOOKUP(VALUE(AA$1),Questions!$A:$E,5,FALSE),1,0)</f>
        <v>1</v>
      </c>
      <c r="BL29" s="7">
        <f>IF(AB29=VLOOKUP(VALUE(AB$1),Questions!$A:$E,5,FALSE),1,0)</f>
        <v>0</v>
      </c>
      <c r="BM29" s="7">
        <f>IF(AC29=VLOOKUP(VALUE(AC$1),Questions!$A:$E,5,FALSE),1,0)</f>
        <v>0</v>
      </c>
      <c r="BN29" s="7">
        <f>IF(AD29=VLOOKUP(VALUE(AD$1),Questions!$A:$E,5,FALSE),1,0)</f>
        <v>1</v>
      </c>
      <c r="BO29" s="7">
        <f>IF(AE29=VLOOKUP(VALUE(AE$1),Questions!$A:$E,5,FALSE),1,0)</f>
        <v>1</v>
      </c>
      <c r="BP29" s="7">
        <f>IF(AF29=VLOOKUP(VALUE(AF$1),Questions!$A:$E,5,FALSE),1,0)</f>
        <v>1</v>
      </c>
      <c r="BQ29" s="7">
        <f>IF(AG29=VLOOKUP(VALUE(AG$1),Questions!$A:$E,5,FALSE),1,0)</f>
        <v>1</v>
      </c>
      <c r="BR29" s="7">
        <f>IF(AH29=VLOOKUP(VALUE(AH$1),Questions!$A:$E,5,FALSE),1,0)</f>
        <v>0</v>
      </c>
      <c r="BS29" s="7">
        <f>IF(AI29=VLOOKUP(VALUE(AI$1),Questions!$A:$E,5,FALSE),1,0)</f>
        <v>0</v>
      </c>
    </row>
    <row r="30" spans="1:71">
      <c r="A30" s="10">
        <v>29</v>
      </c>
      <c r="B30" s="14" t="b">
        <v>0</v>
      </c>
      <c r="C30" s="14" t="b">
        <v>0</v>
      </c>
      <c r="D30" s="102">
        <f>SUM(Scores[[#This Row],[Q1]:[Q28]])</f>
        <v>21</v>
      </c>
      <c r="E30" s="103">
        <f>SUM(Scores[[#This Row],[29]:[34b]])</f>
        <v>0</v>
      </c>
      <c r="F30" s="103">
        <f>Scores[[#This Row],[35]]</f>
        <v>0</v>
      </c>
      <c r="G30" s="104">
        <f>INDEX('Conversion Chart'!$C$3:$M$38,MATCH(SUM(Scores[[#This Row],[MC]:[CRQ]]),'Conversion Chart'!$B$3:$B$38,0),MATCH(Scores[[#This Row],[EIE]],'Conversion Chart'!$C$2:$M$2,0))</f>
        <v>55</v>
      </c>
      <c r="H30" s="5">
        <v>4</v>
      </c>
      <c r="I30" s="5">
        <v>3</v>
      </c>
      <c r="J30" s="5">
        <v>1</v>
      </c>
      <c r="K30" s="5">
        <v>2</v>
      </c>
      <c r="L30" s="5">
        <v>1</v>
      </c>
      <c r="M30" s="5">
        <v>4</v>
      </c>
      <c r="N30" s="5">
        <v>3</v>
      </c>
      <c r="O30" s="5">
        <v>3</v>
      </c>
      <c r="P30" s="5">
        <v>1</v>
      </c>
      <c r="Q30" s="5">
        <v>4</v>
      </c>
      <c r="R30" s="5">
        <v>4</v>
      </c>
      <c r="S30" s="5">
        <v>4</v>
      </c>
      <c r="T30" s="5">
        <v>3</v>
      </c>
      <c r="U30" s="5">
        <v>4</v>
      </c>
      <c r="V30" s="5">
        <v>3</v>
      </c>
      <c r="W30" s="5">
        <v>4</v>
      </c>
      <c r="X30" s="5">
        <v>2</v>
      </c>
      <c r="Y30" s="5">
        <v>3</v>
      </c>
      <c r="Z30" s="5">
        <v>4</v>
      </c>
      <c r="AA30" s="5">
        <v>3</v>
      </c>
      <c r="AB30" s="5">
        <v>2</v>
      </c>
      <c r="AC30" s="5">
        <v>1</v>
      </c>
      <c r="AD30" s="5">
        <v>3</v>
      </c>
      <c r="AE30" s="5">
        <v>4</v>
      </c>
      <c r="AF30" s="5">
        <v>4</v>
      </c>
      <c r="AG30" s="5">
        <v>3</v>
      </c>
      <c r="AH30" s="5">
        <v>1</v>
      </c>
      <c r="AI30" s="104">
        <v>1</v>
      </c>
      <c r="AJ30" s="95"/>
      <c r="AK30" s="84"/>
      <c r="AL30" s="84"/>
      <c r="AM30" s="84"/>
      <c r="AN30" s="84"/>
      <c r="AO30" s="84"/>
      <c r="AP30" s="94"/>
      <c r="AR30" s="7">
        <f>IF(H30=VLOOKUP(VALUE(H$1),Questions!$A:$E,5,FALSE),1,0)</f>
        <v>1</v>
      </c>
      <c r="AS30" s="7">
        <f>IF(I30=VLOOKUP(VALUE(I$1),Questions!$A:$E,5,FALSE),1,0)</f>
        <v>1</v>
      </c>
      <c r="AT30" s="7">
        <f>IF(J30=VLOOKUP(VALUE(J$1),Questions!$A:$E,5,FALSE),1,0)</f>
        <v>1</v>
      </c>
      <c r="AU30" s="7">
        <f>IF(K30=VLOOKUP(VALUE(K$1),Questions!$A:$E,5,FALSE),1,0)</f>
        <v>1</v>
      </c>
      <c r="AV30" s="7">
        <f>IF(L30=VLOOKUP(VALUE(L$1),Questions!$A:$E,5,FALSE),1,0)</f>
        <v>0</v>
      </c>
      <c r="AW30" s="7">
        <f>IF(M30=VLOOKUP(VALUE(M$1),Questions!$A:$E,5,FALSE),1,0)</f>
        <v>1</v>
      </c>
      <c r="AX30" s="7">
        <f>IF(N30=VLOOKUP(VALUE(N$1),Questions!$A:$E,5,FALSE),1,0)</f>
        <v>1</v>
      </c>
      <c r="AY30" s="7">
        <f>IF(O30=VLOOKUP(VALUE(O$1),Questions!$A:$E,5,FALSE),1,0)</f>
        <v>0</v>
      </c>
      <c r="AZ30" s="7">
        <f>IF(P30=VLOOKUP(VALUE(P$1),Questions!$A:$E,5,FALSE),1,0)</f>
        <v>1</v>
      </c>
      <c r="BA30" s="7">
        <f>IF(Q30=VLOOKUP(VALUE(Q$1),Questions!$A:$E,5,FALSE),1,0)</f>
        <v>0</v>
      </c>
      <c r="BB30" s="7">
        <f>IF(R30=VLOOKUP(VALUE(R$1),Questions!$A:$E,5,FALSE),1,0)</f>
        <v>1</v>
      </c>
      <c r="BC30" s="7">
        <f>IF(S30=VLOOKUP(VALUE(S$1),Questions!$A:$E,5,FALSE),1,0)</f>
        <v>0</v>
      </c>
      <c r="BD30" s="7">
        <f>IF(T30=VLOOKUP(VALUE(T$1),Questions!$A:$E,5,FALSE),1,0)</f>
        <v>0</v>
      </c>
      <c r="BE30" s="7">
        <f>IF(U30=VLOOKUP(VALUE(U$1),Questions!$A:$E,5,FALSE),1,0)</f>
        <v>1</v>
      </c>
      <c r="BF30" s="7">
        <f>IF(V30=VLOOKUP(VALUE(V$1),Questions!$A:$E,5,FALSE),1,0)</f>
        <v>1</v>
      </c>
      <c r="BG30" s="7">
        <f>IF(W30=VLOOKUP(VALUE(W$1),Questions!$A:$E,5,FALSE),1,0)</f>
        <v>1</v>
      </c>
      <c r="BH30" s="7">
        <f>IF(X30=VLOOKUP(VALUE(X$1),Questions!$A:$E,5,FALSE),1,0)</f>
        <v>1</v>
      </c>
      <c r="BI30" s="7">
        <f>IF(Y30=VLOOKUP(VALUE(Y$1),Questions!$A:$E,5,FALSE),1,0)</f>
        <v>1</v>
      </c>
      <c r="BJ30" s="7">
        <f>IF(Z30=VLOOKUP(VALUE(Z$1),Questions!$A:$E,5,FALSE),1,0)</f>
        <v>0</v>
      </c>
      <c r="BK30" s="7">
        <f>IF(AA30=VLOOKUP(VALUE(AA$1),Questions!$A:$E,5,FALSE),1,0)</f>
        <v>1</v>
      </c>
      <c r="BL30" s="7">
        <f>IF(AB30=VLOOKUP(VALUE(AB$1),Questions!$A:$E,5,FALSE),1,0)</f>
        <v>1</v>
      </c>
      <c r="BM30" s="7">
        <f>IF(AC30=VLOOKUP(VALUE(AC$1),Questions!$A:$E,5,FALSE),1,0)</f>
        <v>1</v>
      </c>
      <c r="BN30" s="7">
        <f>IF(AD30=VLOOKUP(VALUE(AD$1),Questions!$A:$E,5,FALSE),1,0)</f>
        <v>1</v>
      </c>
      <c r="BO30" s="7">
        <f>IF(AE30=VLOOKUP(VALUE(AE$1),Questions!$A:$E,5,FALSE),1,0)</f>
        <v>0</v>
      </c>
      <c r="BP30" s="7">
        <f>IF(AF30=VLOOKUP(VALUE(AF$1),Questions!$A:$E,5,FALSE),1,0)</f>
        <v>1</v>
      </c>
      <c r="BQ30" s="7">
        <f>IF(AG30=VLOOKUP(VALUE(AG$1),Questions!$A:$E,5,FALSE),1,0)</f>
        <v>1</v>
      </c>
      <c r="BR30" s="7">
        <f>IF(AH30=VLOOKUP(VALUE(AH$1),Questions!$A:$E,5,FALSE),1,0)</f>
        <v>1</v>
      </c>
      <c r="BS30" s="7">
        <f>IF(AI30=VLOOKUP(VALUE(AI$1),Questions!$A:$E,5,FALSE),1,0)</f>
        <v>1</v>
      </c>
    </row>
    <row r="31" spans="1:71">
      <c r="A31" s="10">
        <v>30</v>
      </c>
      <c r="B31" s="14" t="b">
        <v>0</v>
      </c>
      <c r="C31" s="14" t="b">
        <v>0</v>
      </c>
      <c r="D31" s="102">
        <f>SUM(Scores[[#This Row],[Q1]:[Q28]])</f>
        <v>23</v>
      </c>
      <c r="E31" s="103">
        <f>SUM(Scores[[#This Row],[29]:[34b]])</f>
        <v>0</v>
      </c>
      <c r="F31" s="103">
        <f>Scores[[#This Row],[35]]</f>
        <v>0</v>
      </c>
      <c r="G31" s="104">
        <f>INDEX('Conversion Chart'!$C$3:$M$38,MATCH(SUM(Scores[[#This Row],[MC]:[CRQ]]),'Conversion Chart'!$B$3:$B$38,0),MATCH(Scores[[#This Row],[EIE]],'Conversion Chart'!$C$2:$M$2,0))</f>
        <v>59</v>
      </c>
      <c r="H31" s="5">
        <v>4</v>
      </c>
      <c r="I31" s="5">
        <v>3</v>
      </c>
      <c r="J31" s="5">
        <v>1</v>
      </c>
      <c r="K31" s="5">
        <v>2</v>
      </c>
      <c r="L31" s="5">
        <v>2</v>
      </c>
      <c r="M31" s="5">
        <v>4</v>
      </c>
      <c r="N31" s="5">
        <v>3</v>
      </c>
      <c r="O31" s="5">
        <v>1</v>
      </c>
      <c r="P31" s="5">
        <v>1</v>
      </c>
      <c r="Q31" s="5">
        <v>1</v>
      </c>
      <c r="R31" s="5">
        <v>4</v>
      </c>
      <c r="S31" s="5">
        <v>2</v>
      </c>
      <c r="T31" s="5">
        <v>1</v>
      </c>
      <c r="U31" s="5">
        <v>4</v>
      </c>
      <c r="V31" s="5">
        <v>1</v>
      </c>
      <c r="W31" s="5">
        <v>1</v>
      </c>
      <c r="X31" s="5">
        <v>1</v>
      </c>
      <c r="Y31" s="5">
        <v>3</v>
      </c>
      <c r="Z31" s="5">
        <v>4</v>
      </c>
      <c r="AA31" s="5">
        <v>3</v>
      </c>
      <c r="AB31" s="5">
        <v>2</v>
      </c>
      <c r="AC31" s="5">
        <v>1</v>
      </c>
      <c r="AD31" s="5">
        <v>3</v>
      </c>
      <c r="AE31" s="5">
        <v>2</v>
      </c>
      <c r="AF31" s="5">
        <v>4</v>
      </c>
      <c r="AG31" s="5">
        <v>3</v>
      </c>
      <c r="AH31" s="5">
        <v>4</v>
      </c>
      <c r="AI31" s="104">
        <v>1</v>
      </c>
      <c r="AJ31" s="95"/>
      <c r="AK31" s="84"/>
      <c r="AL31" s="84"/>
      <c r="AM31" s="84"/>
      <c r="AN31" s="84"/>
      <c r="AO31" s="84"/>
      <c r="AP31" s="94"/>
      <c r="AR31" s="7">
        <f>IF(H31=VLOOKUP(VALUE(H$1),Questions!$A:$E,5,FALSE),1,0)</f>
        <v>1</v>
      </c>
      <c r="AS31" s="7">
        <f>IF(I31=VLOOKUP(VALUE(I$1),Questions!$A:$E,5,FALSE),1,0)</f>
        <v>1</v>
      </c>
      <c r="AT31" s="7">
        <f>IF(J31=VLOOKUP(VALUE(J$1),Questions!$A:$E,5,FALSE),1,0)</f>
        <v>1</v>
      </c>
      <c r="AU31" s="7">
        <f>IF(K31=VLOOKUP(VALUE(K$1),Questions!$A:$E,5,FALSE),1,0)</f>
        <v>1</v>
      </c>
      <c r="AV31" s="7">
        <f>IF(L31=VLOOKUP(VALUE(L$1),Questions!$A:$E,5,FALSE),1,0)</f>
        <v>1</v>
      </c>
      <c r="AW31" s="7">
        <f>IF(M31=VLOOKUP(VALUE(M$1),Questions!$A:$E,5,FALSE),1,0)</f>
        <v>1</v>
      </c>
      <c r="AX31" s="7">
        <f>IF(N31=VLOOKUP(VALUE(N$1),Questions!$A:$E,5,FALSE),1,0)</f>
        <v>1</v>
      </c>
      <c r="AY31" s="7">
        <f>IF(O31=VLOOKUP(VALUE(O$1),Questions!$A:$E,5,FALSE),1,0)</f>
        <v>1</v>
      </c>
      <c r="AZ31" s="7">
        <f>IF(P31=VLOOKUP(VALUE(P$1),Questions!$A:$E,5,FALSE),1,0)</f>
        <v>1</v>
      </c>
      <c r="BA31" s="7">
        <f>IF(Q31=VLOOKUP(VALUE(Q$1),Questions!$A:$E,5,FALSE),1,0)</f>
        <v>1</v>
      </c>
      <c r="BB31" s="7">
        <f>IF(R31=VLOOKUP(VALUE(R$1),Questions!$A:$E,5,FALSE),1,0)</f>
        <v>1</v>
      </c>
      <c r="BC31" s="7">
        <f>IF(S31=VLOOKUP(VALUE(S$1),Questions!$A:$E,5,FALSE),1,0)</f>
        <v>1</v>
      </c>
      <c r="BD31" s="7">
        <f>IF(T31=VLOOKUP(VALUE(T$1),Questions!$A:$E,5,FALSE),1,0)</f>
        <v>1</v>
      </c>
      <c r="BE31" s="7">
        <f>IF(U31=VLOOKUP(VALUE(U$1),Questions!$A:$E,5,FALSE),1,0)</f>
        <v>1</v>
      </c>
      <c r="BF31" s="7">
        <f>IF(V31=VLOOKUP(VALUE(V$1),Questions!$A:$E,5,FALSE),1,0)</f>
        <v>0</v>
      </c>
      <c r="BG31" s="7">
        <f>IF(W31=VLOOKUP(VALUE(W$1),Questions!$A:$E,5,FALSE),1,0)</f>
        <v>0</v>
      </c>
      <c r="BH31" s="7">
        <f>IF(X31=VLOOKUP(VALUE(X$1),Questions!$A:$E,5,FALSE),1,0)</f>
        <v>0</v>
      </c>
      <c r="BI31" s="7">
        <f>IF(Y31=VLOOKUP(VALUE(Y$1),Questions!$A:$E,5,FALSE),1,0)</f>
        <v>1</v>
      </c>
      <c r="BJ31" s="7">
        <f>IF(Z31=VLOOKUP(VALUE(Z$1),Questions!$A:$E,5,FALSE),1,0)</f>
        <v>0</v>
      </c>
      <c r="BK31" s="7">
        <f>IF(AA31=VLOOKUP(VALUE(AA$1),Questions!$A:$E,5,FALSE),1,0)</f>
        <v>1</v>
      </c>
      <c r="BL31" s="7">
        <f>IF(AB31=VLOOKUP(VALUE(AB$1),Questions!$A:$E,5,FALSE),1,0)</f>
        <v>1</v>
      </c>
      <c r="BM31" s="7">
        <f>IF(AC31=VLOOKUP(VALUE(AC$1),Questions!$A:$E,5,FALSE),1,0)</f>
        <v>1</v>
      </c>
      <c r="BN31" s="7">
        <f>IF(AD31=VLOOKUP(VALUE(AD$1),Questions!$A:$E,5,FALSE),1,0)</f>
        <v>1</v>
      </c>
      <c r="BO31" s="7">
        <f>IF(AE31=VLOOKUP(VALUE(AE$1),Questions!$A:$E,5,FALSE),1,0)</f>
        <v>1</v>
      </c>
      <c r="BP31" s="7">
        <f>IF(AF31=VLOOKUP(VALUE(AF$1),Questions!$A:$E,5,FALSE),1,0)</f>
        <v>1</v>
      </c>
      <c r="BQ31" s="7">
        <f>IF(AG31=VLOOKUP(VALUE(AG$1),Questions!$A:$E,5,FALSE),1,0)</f>
        <v>1</v>
      </c>
      <c r="BR31" s="7">
        <f>IF(AH31=VLOOKUP(VALUE(AH$1),Questions!$A:$E,5,FALSE),1,0)</f>
        <v>0</v>
      </c>
      <c r="BS31" s="7">
        <f>IF(AI31=VLOOKUP(VALUE(AI$1),Questions!$A:$E,5,FALSE),1,0)</f>
        <v>1</v>
      </c>
    </row>
    <row r="32" spans="1:71">
      <c r="A32" s="10">
        <v>31</v>
      </c>
      <c r="B32" s="14" t="b">
        <v>0</v>
      </c>
      <c r="C32" s="14" t="b">
        <v>0</v>
      </c>
      <c r="D32" s="102">
        <f>SUM(Scores[[#This Row],[Q1]:[Q28]])</f>
        <v>27</v>
      </c>
      <c r="E32" s="103">
        <f>SUM(Scores[[#This Row],[29]:[34b]])</f>
        <v>0</v>
      </c>
      <c r="F32" s="103">
        <f>Scores[[#This Row],[35]]</f>
        <v>0</v>
      </c>
      <c r="G32" s="104">
        <f>INDEX('Conversion Chart'!$C$3:$M$38,MATCH(SUM(Scores[[#This Row],[MC]:[CRQ]]),'Conversion Chart'!$B$3:$B$38,0),MATCH(Scores[[#This Row],[EIE]],'Conversion Chart'!$C$2:$M$2,0))</f>
        <v>66</v>
      </c>
      <c r="H32" s="5">
        <v>4</v>
      </c>
      <c r="I32" s="5">
        <v>3</v>
      </c>
      <c r="J32" s="5">
        <v>1</v>
      </c>
      <c r="K32" s="5">
        <v>2</v>
      </c>
      <c r="L32" s="5">
        <v>2</v>
      </c>
      <c r="M32" s="5">
        <v>4</v>
      </c>
      <c r="N32" s="5">
        <v>3</v>
      </c>
      <c r="O32" s="5">
        <v>3</v>
      </c>
      <c r="P32" s="5">
        <v>1</v>
      </c>
      <c r="Q32" s="5">
        <v>1</v>
      </c>
      <c r="R32" s="5">
        <v>4</v>
      </c>
      <c r="S32" s="5">
        <v>2</v>
      </c>
      <c r="T32" s="5">
        <v>1</v>
      </c>
      <c r="U32" s="5">
        <v>4</v>
      </c>
      <c r="V32" s="5">
        <v>3</v>
      </c>
      <c r="W32" s="5">
        <v>4</v>
      </c>
      <c r="X32" s="5">
        <v>2</v>
      </c>
      <c r="Y32" s="5">
        <v>3</v>
      </c>
      <c r="Z32" s="5">
        <v>2</v>
      </c>
      <c r="AA32" s="5">
        <v>3</v>
      </c>
      <c r="AB32" s="5">
        <v>2</v>
      </c>
      <c r="AC32" s="5">
        <v>1</v>
      </c>
      <c r="AD32" s="5">
        <v>3</v>
      </c>
      <c r="AE32" s="5">
        <v>2</v>
      </c>
      <c r="AF32" s="5">
        <v>4</v>
      </c>
      <c r="AG32" s="5">
        <v>3</v>
      </c>
      <c r="AH32" s="5">
        <v>1</v>
      </c>
      <c r="AI32" s="104">
        <v>1</v>
      </c>
      <c r="AJ32" s="95"/>
      <c r="AK32" s="84"/>
      <c r="AL32" s="84"/>
      <c r="AM32" s="84"/>
      <c r="AN32" s="84"/>
      <c r="AO32" s="84"/>
      <c r="AP32" s="94"/>
      <c r="AR32" s="7">
        <f>IF(H32=VLOOKUP(VALUE(H$1),Questions!$A:$E,5,FALSE),1,0)</f>
        <v>1</v>
      </c>
      <c r="AS32" s="7">
        <f>IF(I32=VLOOKUP(VALUE(I$1),Questions!$A:$E,5,FALSE),1,0)</f>
        <v>1</v>
      </c>
      <c r="AT32" s="7">
        <f>IF(J32=VLOOKUP(VALUE(J$1),Questions!$A:$E,5,FALSE),1,0)</f>
        <v>1</v>
      </c>
      <c r="AU32" s="7">
        <f>IF(K32=VLOOKUP(VALUE(K$1),Questions!$A:$E,5,FALSE),1,0)</f>
        <v>1</v>
      </c>
      <c r="AV32" s="7">
        <f>IF(L32=VLOOKUP(VALUE(L$1),Questions!$A:$E,5,FALSE),1,0)</f>
        <v>1</v>
      </c>
      <c r="AW32" s="7">
        <f>IF(M32=VLOOKUP(VALUE(M$1),Questions!$A:$E,5,FALSE),1,0)</f>
        <v>1</v>
      </c>
      <c r="AX32" s="7">
        <f>IF(N32=VLOOKUP(VALUE(N$1),Questions!$A:$E,5,FALSE),1,0)</f>
        <v>1</v>
      </c>
      <c r="AY32" s="7">
        <f>IF(O32=VLOOKUP(VALUE(O$1),Questions!$A:$E,5,FALSE),1,0)</f>
        <v>0</v>
      </c>
      <c r="AZ32" s="7">
        <f>IF(P32=VLOOKUP(VALUE(P$1),Questions!$A:$E,5,FALSE),1,0)</f>
        <v>1</v>
      </c>
      <c r="BA32" s="7">
        <f>IF(Q32=VLOOKUP(VALUE(Q$1),Questions!$A:$E,5,FALSE),1,0)</f>
        <v>1</v>
      </c>
      <c r="BB32" s="7">
        <f>IF(R32=VLOOKUP(VALUE(R$1),Questions!$A:$E,5,FALSE),1,0)</f>
        <v>1</v>
      </c>
      <c r="BC32" s="7">
        <f>IF(S32=VLOOKUP(VALUE(S$1),Questions!$A:$E,5,FALSE),1,0)</f>
        <v>1</v>
      </c>
      <c r="BD32" s="7">
        <f>IF(T32=VLOOKUP(VALUE(T$1),Questions!$A:$E,5,FALSE),1,0)</f>
        <v>1</v>
      </c>
      <c r="BE32" s="7">
        <f>IF(U32=VLOOKUP(VALUE(U$1),Questions!$A:$E,5,FALSE),1,0)</f>
        <v>1</v>
      </c>
      <c r="BF32" s="7">
        <f>IF(V32=VLOOKUP(VALUE(V$1),Questions!$A:$E,5,FALSE),1,0)</f>
        <v>1</v>
      </c>
      <c r="BG32" s="7">
        <f>IF(W32=VLOOKUP(VALUE(W$1),Questions!$A:$E,5,FALSE),1,0)</f>
        <v>1</v>
      </c>
      <c r="BH32" s="7">
        <f>IF(X32=VLOOKUP(VALUE(X$1),Questions!$A:$E,5,FALSE),1,0)</f>
        <v>1</v>
      </c>
      <c r="BI32" s="7">
        <f>IF(Y32=VLOOKUP(VALUE(Y$1),Questions!$A:$E,5,FALSE),1,0)</f>
        <v>1</v>
      </c>
      <c r="BJ32" s="7">
        <f>IF(Z32=VLOOKUP(VALUE(Z$1),Questions!$A:$E,5,FALSE),1,0)</f>
        <v>1</v>
      </c>
      <c r="BK32" s="7">
        <f>IF(AA32=VLOOKUP(VALUE(AA$1),Questions!$A:$E,5,FALSE),1,0)</f>
        <v>1</v>
      </c>
      <c r="BL32" s="7">
        <f>IF(AB32=VLOOKUP(VALUE(AB$1),Questions!$A:$E,5,FALSE),1,0)</f>
        <v>1</v>
      </c>
      <c r="BM32" s="7">
        <f>IF(AC32=VLOOKUP(VALUE(AC$1),Questions!$A:$E,5,FALSE),1,0)</f>
        <v>1</v>
      </c>
      <c r="BN32" s="7">
        <f>IF(AD32=VLOOKUP(VALUE(AD$1),Questions!$A:$E,5,FALSE),1,0)</f>
        <v>1</v>
      </c>
      <c r="BO32" s="7">
        <f>IF(AE32=VLOOKUP(VALUE(AE$1),Questions!$A:$E,5,FALSE),1,0)</f>
        <v>1</v>
      </c>
      <c r="BP32" s="7">
        <f>IF(AF32=VLOOKUP(VALUE(AF$1),Questions!$A:$E,5,FALSE),1,0)</f>
        <v>1</v>
      </c>
      <c r="BQ32" s="7">
        <f>IF(AG32=VLOOKUP(VALUE(AG$1),Questions!$A:$E,5,FALSE),1,0)</f>
        <v>1</v>
      </c>
      <c r="BR32" s="7">
        <f>IF(AH32=VLOOKUP(VALUE(AH$1),Questions!$A:$E,5,FALSE),1,0)</f>
        <v>1</v>
      </c>
      <c r="BS32" s="7">
        <f>IF(AI32=VLOOKUP(VALUE(AI$1),Questions!$A:$E,5,FALSE),1,0)</f>
        <v>1</v>
      </c>
    </row>
    <row r="33" spans="1:71">
      <c r="A33" s="10">
        <v>32</v>
      </c>
      <c r="B33" s="14" t="b">
        <v>0</v>
      </c>
      <c r="C33" s="14" t="b">
        <v>0</v>
      </c>
      <c r="D33" s="102">
        <f>SUM(Scores[[#This Row],[Q1]:[Q28]])</f>
        <v>21</v>
      </c>
      <c r="E33" s="103">
        <f>SUM(Scores[[#This Row],[29]:[34b]])</f>
        <v>0</v>
      </c>
      <c r="F33" s="103">
        <f>Scores[[#This Row],[35]]</f>
        <v>0</v>
      </c>
      <c r="G33" s="104">
        <f>INDEX('Conversion Chart'!$C$3:$M$38,MATCH(SUM(Scores[[#This Row],[MC]:[CRQ]]),'Conversion Chart'!$B$3:$B$38,0),MATCH(Scores[[#This Row],[EIE]],'Conversion Chart'!$C$2:$M$2,0))</f>
        <v>55</v>
      </c>
      <c r="H33" s="5">
        <v>4</v>
      </c>
      <c r="I33" s="5">
        <v>3</v>
      </c>
      <c r="J33" s="5">
        <v>1</v>
      </c>
      <c r="K33" s="5">
        <v>2</v>
      </c>
      <c r="L33" s="5">
        <v>2</v>
      </c>
      <c r="M33" s="5">
        <v>4</v>
      </c>
      <c r="N33" s="5">
        <v>3</v>
      </c>
      <c r="O33" s="5">
        <v>2</v>
      </c>
      <c r="P33" s="5">
        <v>1</v>
      </c>
      <c r="Q33" s="5">
        <v>3</v>
      </c>
      <c r="R33" s="5">
        <v>1</v>
      </c>
      <c r="S33" s="5">
        <v>4</v>
      </c>
      <c r="T33" s="5">
        <v>1</v>
      </c>
      <c r="U33" s="5">
        <v>4</v>
      </c>
      <c r="V33" s="5">
        <v>1</v>
      </c>
      <c r="W33" s="5">
        <v>3</v>
      </c>
      <c r="X33" s="5">
        <v>1</v>
      </c>
      <c r="Y33" s="5">
        <v>3</v>
      </c>
      <c r="Z33" s="5">
        <v>2</v>
      </c>
      <c r="AA33" s="5">
        <v>3</v>
      </c>
      <c r="AB33" s="5">
        <v>2</v>
      </c>
      <c r="AC33" s="5">
        <v>1</v>
      </c>
      <c r="AD33" s="5">
        <v>3</v>
      </c>
      <c r="AE33" s="5">
        <v>2</v>
      </c>
      <c r="AF33" s="5">
        <v>4</v>
      </c>
      <c r="AG33" s="5">
        <v>3</v>
      </c>
      <c r="AH33" s="5">
        <v>1</v>
      </c>
      <c r="AI33" s="104">
        <v>1</v>
      </c>
      <c r="AJ33" s="95"/>
      <c r="AK33" s="84"/>
      <c r="AL33" s="84"/>
      <c r="AM33" s="84"/>
      <c r="AN33" s="84"/>
      <c r="AO33" s="84"/>
      <c r="AP33" s="94"/>
      <c r="AR33" s="7">
        <f>IF(H33=VLOOKUP(VALUE(H$1),Questions!$A:$E,5,FALSE),1,0)</f>
        <v>1</v>
      </c>
      <c r="AS33" s="7">
        <f>IF(I33=VLOOKUP(VALUE(I$1),Questions!$A:$E,5,FALSE),1,0)</f>
        <v>1</v>
      </c>
      <c r="AT33" s="7">
        <f>IF(J33=VLOOKUP(VALUE(J$1),Questions!$A:$E,5,FALSE),1,0)</f>
        <v>1</v>
      </c>
      <c r="AU33" s="7">
        <f>IF(K33=VLOOKUP(VALUE(K$1),Questions!$A:$E,5,FALSE),1,0)</f>
        <v>1</v>
      </c>
      <c r="AV33" s="7">
        <f>IF(L33=VLOOKUP(VALUE(L$1),Questions!$A:$E,5,FALSE),1,0)</f>
        <v>1</v>
      </c>
      <c r="AW33" s="7">
        <f>IF(M33=VLOOKUP(VALUE(M$1),Questions!$A:$E,5,FALSE),1,0)</f>
        <v>1</v>
      </c>
      <c r="AX33" s="7">
        <f>IF(N33=VLOOKUP(VALUE(N$1),Questions!$A:$E,5,FALSE),1,0)</f>
        <v>1</v>
      </c>
      <c r="AY33" s="7">
        <f>IF(O33=VLOOKUP(VALUE(O$1),Questions!$A:$E,5,FALSE),1,0)</f>
        <v>0</v>
      </c>
      <c r="AZ33" s="7">
        <f>IF(P33=VLOOKUP(VALUE(P$1),Questions!$A:$E,5,FALSE),1,0)</f>
        <v>1</v>
      </c>
      <c r="BA33" s="7">
        <f>IF(Q33=VLOOKUP(VALUE(Q$1),Questions!$A:$E,5,FALSE),1,0)</f>
        <v>0</v>
      </c>
      <c r="BB33" s="7">
        <f>IF(R33=VLOOKUP(VALUE(R$1),Questions!$A:$E,5,FALSE),1,0)</f>
        <v>0</v>
      </c>
      <c r="BC33" s="7">
        <f>IF(S33=VLOOKUP(VALUE(S$1),Questions!$A:$E,5,FALSE),1,0)</f>
        <v>0</v>
      </c>
      <c r="BD33" s="7">
        <f>IF(T33=VLOOKUP(VALUE(T$1),Questions!$A:$E,5,FALSE),1,0)</f>
        <v>1</v>
      </c>
      <c r="BE33" s="7">
        <f>IF(U33=VLOOKUP(VALUE(U$1),Questions!$A:$E,5,FALSE),1,0)</f>
        <v>1</v>
      </c>
      <c r="BF33" s="7">
        <f>IF(V33=VLOOKUP(VALUE(V$1),Questions!$A:$E,5,FALSE),1,0)</f>
        <v>0</v>
      </c>
      <c r="BG33" s="7">
        <f>IF(W33=VLOOKUP(VALUE(W$1),Questions!$A:$E,5,FALSE),1,0)</f>
        <v>0</v>
      </c>
      <c r="BH33" s="7">
        <f>IF(X33=VLOOKUP(VALUE(X$1),Questions!$A:$E,5,FALSE),1,0)</f>
        <v>0</v>
      </c>
      <c r="BI33" s="7">
        <f>IF(Y33=VLOOKUP(VALUE(Y$1),Questions!$A:$E,5,FALSE),1,0)</f>
        <v>1</v>
      </c>
      <c r="BJ33" s="7">
        <f>IF(Z33=VLOOKUP(VALUE(Z$1),Questions!$A:$E,5,FALSE),1,0)</f>
        <v>1</v>
      </c>
      <c r="BK33" s="7">
        <f>IF(AA33=VLOOKUP(VALUE(AA$1),Questions!$A:$E,5,FALSE),1,0)</f>
        <v>1</v>
      </c>
      <c r="BL33" s="7">
        <f>IF(AB33=VLOOKUP(VALUE(AB$1),Questions!$A:$E,5,FALSE),1,0)</f>
        <v>1</v>
      </c>
      <c r="BM33" s="7">
        <f>IF(AC33=VLOOKUP(VALUE(AC$1),Questions!$A:$E,5,FALSE),1,0)</f>
        <v>1</v>
      </c>
      <c r="BN33" s="7">
        <f>IF(AD33=VLOOKUP(VALUE(AD$1),Questions!$A:$E,5,FALSE),1,0)</f>
        <v>1</v>
      </c>
      <c r="BO33" s="7">
        <f>IF(AE33=VLOOKUP(VALUE(AE$1),Questions!$A:$E,5,FALSE),1,0)</f>
        <v>1</v>
      </c>
      <c r="BP33" s="7">
        <f>IF(AF33=VLOOKUP(VALUE(AF$1),Questions!$A:$E,5,FALSE),1,0)</f>
        <v>1</v>
      </c>
      <c r="BQ33" s="7">
        <f>IF(AG33=VLOOKUP(VALUE(AG$1),Questions!$A:$E,5,FALSE),1,0)</f>
        <v>1</v>
      </c>
      <c r="BR33" s="7">
        <f>IF(AH33=VLOOKUP(VALUE(AH$1),Questions!$A:$E,5,FALSE),1,0)</f>
        <v>1</v>
      </c>
      <c r="BS33" s="7">
        <f>IF(AI33=VLOOKUP(VALUE(AI$1),Questions!$A:$E,5,FALSE),1,0)</f>
        <v>1</v>
      </c>
    </row>
    <row r="34" spans="1:71">
      <c r="A34" s="10">
        <v>33</v>
      </c>
      <c r="B34" s="14" t="b">
        <v>0</v>
      </c>
      <c r="C34" s="14" t="b">
        <v>0</v>
      </c>
      <c r="D34" s="102">
        <f>SUM(Scores[[#This Row],[Q1]:[Q28]])</f>
        <v>16</v>
      </c>
      <c r="E34" s="103">
        <f>SUM(Scores[[#This Row],[29]:[34b]])</f>
        <v>0</v>
      </c>
      <c r="F34" s="103">
        <f>Scores[[#This Row],[35]]</f>
        <v>0</v>
      </c>
      <c r="G34" s="104">
        <f>INDEX('Conversion Chart'!$C$3:$M$38,MATCH(SUM(Scores[[#This Row],[MC]:[CRQ]]),'Conversion Chart'!$B$3:$B$38,0),MATCH(Scores[[#This Row],[EIE]],'Conversion Chart'!$C$2:$M$2,0))</f>
        <v>45</v>
      </c>
      <c r="H34" s="5">
        <v>4</v>
      </c>
      <c r="I34" s="5">
        <v>1</v>
      </c>
      <c r="J34" s="5">
        <v>1</v>
      </c>
      <c r="K34" s="5">
        <v>2</v>
      </c>
      <c r="L34" s="5">
        <v>1</v>
      </c>
      <c r="M34" s="5">
        <v>2</v>
      </c>
      <c r="N34" s="5">
        <v>3</v>
      </c>
      <c r="O34" s="5">
        <v>4</v>
      </c>
      <c r="P34" s="5">
        <v>1</v>
      </c>
      <c r="Q34" s="5">
        <v>1</v>
      </c>
      <c r="R34" s="5">
        <v>3</v>
      </c>
      <c r="S34" s="5">
        <v>4</v>
      </c>
      <c r="T34" s="5">
        <v>4</v>
      </c>
      <c r="U34" s="5">
        <v>3</v>
      </c>
      <c r="V34" s="5">
        <v>1</v>
      </c>
      <c r="W34" s="5">
        <v>4</v>
      </c>
      <c r="X34" s="5">
        <v>2</v>
      </c>
      <c r="Y34" s="5">
        <v>1</v>
      </c>
      <c r="Z34" s="5">
        <v>2</v>
      </c>
      <c r="AA34" s="5">
        <v>4</v>
      </c>
      <c r="AB34" s="5">
        <v>2</v>
      </c>
      <c r="AC34" s="5">
        <v>1</v>
      </c>
      <c r="AD34" s="5">
        <v>3</v>
      </c>
      <c r="AE34" s="5">
        <v>2</v>
      </c>
      <c r="AF34" s="5">
        <v>4</v>
      </c>
      <c r="AG34" s="5">
        <v>3</v>
      </c>
      <c r="AH34" s="5">
        <v>4</v>
      </c>
      <c r="AI34" s="104">
        <v>1</v>
      </c>
      <c r="AJ34" s="95"/>
      <c r="AK34" s="84"/>
      <c r="AL34" s="84"/>
      <c r="AM34" s="84"/>
      <c r="AN34" s="84"/>
      <c r="AO34" s="84"/>
      <c r="AP34" s="94"/>
      <c r="AR34" s="7">
        <f>IF(H34=VLOOKUP(VALUE(H$1),Questions!$A:$E,5,FALSE),1,0)</f>
        <v>1</v>
      </c>
      <c r="AS34" s="7">
        <f>IF(I34=VLOOKUP(VALUE(I$1),Questions!$A:$E,5,FALSE),1,0)</f>
        <v>0</v>
      </c>
      <c r="AT34" s="7">
        <f>IF(J34=VLOOKUP(VALUE(J$1),Questions!$A:$E,5,FALSE),1,0)</f>
        <v>1</v>
      </c>
      <c r="AU34" s="7">
        <f>IF(K34=VLOOKUP(VALUE(K$1),Questions!$A:$E,5,FALSE),1,0)</f>
        <v>1</v>
      </c>
      <c r="AV34" s="7">
        <f>IF(L34=VLOOKUP(VALUE(L$1),Questions!$A:$E,5,FALSE),1,0)</f>
        <v>0</v>
      </c>
      <c r="AW34" s="7">
        <f>IF(M34=VLOOKUP(VALUE(M$1),Questions!$A:$E,5,FALSE),1,0)</f>
        <v>0</v>
      </c>
      <c r="AX34" s="7">
        <f>IF(N34=VLOOKUP(VALUE(N$1),Questions!$A:$E,5,FALSE),1,0)</f>
        <v>1</v>
      </c>
      <c r="AY34" s="7">
        <f>IF(O34=VLOOKUP(VALUE(O$1),Questions!$A:$E,5,FALSE),1,0)</f>
        <v>0</v>
      </c>
      <c r="AZ34" s="7">
        <f>IF(P34=VLOOKUP(VALUE(P$1),Questions!$A:$E,5,FALSE),1,0)</f>
        <v>1</v>
      </c>
      <c r="BA34" s="7">
        <f>IF(Q34=VLOOKUP(VALUE(Q$1),Questions!$A:$E,5,FALSE),1,0)</f>
        <v>1</v>
      </c>
      <c r="BB34" s="7">
        <f>IF(R34=VLOOKUP(VALUE(R$1),Questions!$A:$E,5,FALSE),1,0)</f>
        <v>0</v>
      </c>
      <c r="BC34" s="7">
        <f>IF(S34=VLOOKUP(VALUE(S$1),Questions!$A:$E,5,FALSE),1,0)</f>
        <v>0</v>
      </c>
      <c r="BD34" s="7">
        <f>IF(T34=VLOOKUP(VALUE(T$1),Questions!$A:$E,5,FALSE),1,0)</f>
        <v>0</v>
      </c>
      <c r="BE34" s="7">
        <f>IF(U34=VLOOKUP(VALUE(U$1),Questions!$A:$E,5,FALSE),1,0)</f>
        <v>0</v>
      </c>
      <c r="BF34" s="7">
        <f>IF(V34=VLOOKUP(VALUE(V$1),Questions!$A:$E,5,FALSE),1,0)</f>
        <v>0</v>
      </c>
      <c r="BG34" s="7">
        <f>IF(W34=VLOOKUP(VALUE(W$1),Questions!$A:$E,5,FALSE),1,0)</f>
        <v>1</v>
      </c>
      <c r="BH34" s="7">
        <f>IF(X34=VLOOKUP(VALUE(X$1),Questions!$A:$E,5,FALSE),1,0)</f>
        <v>1</v>
      </c>
      <c r="BI34" s="7">
        <f>IF(Y34=VLOOKUP(VALUE(Y$1),Questions!$A:$E,5,FALSE),1,0)</f>
        <v>0</v>
      </c>
      <c r="BJ34" s="7">
        <f>IF(Z34=VLOOKUP(VALUE(Z$1),Questions!$A:$E,5,FALSE),1,0)</f>
        <v>1</v>
      </c>
      <c r="BK34" s="7">
        <f>IF(AA34=VLOOKUP(VALUE(AA$1),Questions!$A:$E,5,FALSE),1,0)</f>
        <v>0</v>
      </c>
      <c r="BL34" s="7">
        <f>IF(AB34=VLOOKUP(VALUE(AB$1),Questions!$A:$E,5,FALSE),1,0)</f>
        <v>1</v>
      </c>
      <c r="BM34" s="7">
        <f>IF(AC34=VLOOKUP(VALUE(AC$1),Questions!$A:$E,5,FALSE),1,0)</f>
        <v>1</v>
      </c>
      <c r="BN34" s="7">
        <f>IF(AD34=VLOOKUP(VALUE(AD$1),Questions!$A:$E,5,FALSE),1,0)</f>
        <v>1</v>
      </c>
      <c r="BO34" s="7">
        <f>IF(AE34=VLOOKUP(VALUE(AE$1),Questions!$A:$E,5,FALSE),1,0)</f>
        <v>1</v>
      </c>
      <c r="BP34" s="7">
        <f>IF(AF34=VLOOKUP(VALUE(AF$1),Questions!$A:$E,5,FALSE),1,0)</f>
        <v>1</v>
      </c>
      <c r="BQ34" s="7">
        <f>IF(AG34=VLOOKUP(VALUE(AG$1),Questions!$A:$E,5,FALSE),1,0)</f>
        <v>1</v>
      </c>
      <c r="BR34" s="7">
        <f>IF(AH34=VLOOKUP(VALUE(AH$1),Questions!$A:$E,5,FALSE),1,0)</f>
        <v>0</v>
      </c>
      <c r="BS34" s="7">
        <f>IF(AI34=VLOOKUP(VALUE(AI$1),Questions!$A:$E,5,FALSE),1,0)</f>
        <v>1</v>
      </c>
    </row>
    <row r="35" spans="1:71">
      <c r="A35" s="10">
        <v>34</v>
      </c>
      <c r="B35" s="14" t="b">
        <v>0</v>
      </c>
      <c r="C35" s="14" t="b">
        <v>0</v>
      </c>
      <c r="D35" s="102">
        <f>SUM(Scores[[#This Row],[Q1]:[Q28]])</f>
        <v>26</v>
      </c>
      <c r="E35" s="103">
        <f>SUM(Scores[[#This Row],[29]:[34b]])</f>
        <v>0</v>
      </c>
      <c r="F35" s="103">
        <f>Scores[[#This Row],[35]]</f>
        <v>0</v>
      </c>
      <c r="G35" s="104">
        <f>INDEX('Conversion Chart'!$C$3:$M$38,MATCH(SUM(Scores[[#This Row],[MC]:[CRQ]]),'Conversion Chart'!$B$3:$B$38,0),MATCH(Scores[[#This Row],[EIE]],'Conversion Chart'!$C$2:$M$2,0))</f>
        <v>64</v>
      </c>
      <c r="H35" s="5">
        <v>4</v>
      </c>
      <c r="I35" s="5">
        <v>3</v>
      </c>
      <c r="J35" s="5">
        <v>1</v>
      </c>
      <c r="K35" s="5">
        <v>2</v>
      </c>
      <c r="L35" s="5">
        <v>2</v>
      </c>
      <c r="M35" s="5">
        <v>4</v>
      </c>
      <c r="N35" s="5">
        <v>3</v>
      </c>
      <c r="O35" s="5">
        <v>3</v>
      </c>
      <c r="P35" s="5">
        <v>1</v>
      </c>
      <c r="Q35" s="5">
        <v>1</v>
      </c>
      <c r="R35" s="5">
        <v>4</v>
      </c>
      <c r="S35" s="5">
        <v>2</v>
      </c>
      <c r="T35" s="5">
        <v>1</v>
      </c>
      <c r="U35" s="5">
        <v>4</v>
      </c>
      <c r="V35" s="5">
        <v>3</v>
      </c>
      <c r="W35" s="5">
        <v>4</v>
      </c>
      <c r="X35" s="5">
        <v>2</v>
      </c>
      <c r="Y35" s="5">
        <v>3</v>
      </c>
      <c r="Z35" s="5">
        <v>2</v>
      </c>
      <c r="AA35" s="5">
        <v>4</v>
      </c>
      <c r="AB35" s="5">
        <v>2</v>
      </c>
      <c r="AC35" s="5">
        <v>1</v>
      </c>
      <c r="AD35" s="5">
        <v>3</v>
      </c>
      <c r="AE35" s="5">
        <v>2</v>
      </c>
      <c r="AF35" s="5">
        <v>4</v>
      </c>
      <c r="AG35" s="5">
        <v>3</v>
      </c>
      <c r="AH35" s="5">
        <v>1</v>
      </c>
      <c r="AI35" s="104">
        <v>1</v>
      </c>
      <c r="AJ35" s="95"/>
      <c r="AK35" s="84"/>
      <c r="AL35" s="84"/>
      <c r="AM35" s="84"/>
      <c r="AN35" s="84"/>
      <c r="AO35" s="84"/>
      <c r="AP35" s="94"/>
      <c r="AR35" s="7">
        <f>IF(H35=VLOOKUP(VALUE(H$1),Questions!$A:$E,5,FALSE),1,0)</f>
        <v>1</v>
      </c>
      <c r="AS35" s="7">
        <f>IF(I35=VLOOKUP(VALUE(I$1),Questions!$A:$E,5,FALSE),1,0)</f>
        <v>1</v>
      </c>
      <c r="AT35" s="7">
        <f>IF(J35=VLOOKUP(VALUE(J$1),Questions!$A:$E,5,FALSE),1,0)</f>
        <v>1</v>
      </c>
      <c r="AU35" s="7">
        <f>IF(K35=VLOOKUP(VALUE(K$1),Questions!$A:$E,5,FALSE),1,0)</f>
        <v>1</v>
      </c>
      <c r="AV35" s="7">
        <f>IF(L35=VLOOKUP(VALUE(L$1),Questions!$A:$E,5,FALSE),1,0)</f>
        <v>1</v>
      </c>
      <c r="AW35" s="7">
        <f>IF(M35=VLOOKUP(VALUE(M$1),Questions!$A:$E,5,FALSE),1,0)</f>
        <v>1</v>
      </c>
      <c r="AX35" s="7">
        <f>IF(N35=VLOOKUP(VALUE(N$1),Questions!$A:$E,5,FALSE),1,0)</f>
        <v>1</v>
      </c>
      <c r="AY35" s="7">
        <f>IF(O35=VLOOKUP(VALUE(O$1),Questions!$A:$E,5,FALSE),1,0)</f>
        <v>0</v>
      </c>
      <c r="AZ35" s="7">
        <f>IF(P35=VLOOKUP(VALUE(P$1),Questions!$A:$E,5,FALSE),1,0)</f>
        <v>1</v>
      </c>
      <c r="BA35" s="7">
        <f>IF(Q35=VLOOKUP(VALUE(Q$1),Questions!$A:$E,5,FALSE),1,0)</f>
        <v>1</v>
      </c>
      <c r="BB35" s="7">
        <f>IF(R35=VLOOKUP(VALUE(R$1),Questions!$A:$E,5,FALSE),1,0)</f>
        <v>1</v>
      </c>
      <c r="BC35" s="7">
        <f>IF(S35=VLOOKUP(VALUE(S$1),Questions!$A:$E,5,FALSE),1,0)</f>
        <v>1</v>
      </c>
      <c r="BD35" s="7">
        <f>IF(T35=VLOOKUP(VALUE(T$1),Questions!$A:$E,5,FALSE),1,0)</f>
        <v>1</v>
      </c>
      <c r="BE35" s="7">
        <f>IF(U35=VLOOKUP(VALUE(U$1),Questions!$A:$E,5,FALSE),1,0)</f>
        <v>1</v>
      </c>
      <c r="BF35" s="7">
        <f>IF(V35=VLOOKUP(VALUE(V$1),Questions!$A:$E,5,FALSE),1,0)</f>
        <v>1</v>
      </c>
      <c r="BG35" s="7">
        <f>IF(W35=VLOOKUP(VALUE(W$1),Questions!$A:$E,5,FALSE),1,0)</f>
        <v>1</v>
      </c>
      <c r="BH35" s="7">
        <f>IF(X35=VLOOKUP(VALUE(X$1),Questions!$A:$E,5,FALSE),1,0)</f>
        <v>1</v>
      </c>
      <c r="BI35" s="7">
        <f>IF(Y35=VLOOKUP(VALUE(Y$1),Questions!$A:$E,5,FALSE),1,0)</f>
        <v>1</v>
      </c>
      <c r="BJ35" s="7">
        <f>IF(Z35=VLOOKUP(VALUE(Z$1),Questions!$A:$E,5,FALSE),1,0)</f>
        <v>1</v>
      </c>
      <c r="BK35" s="7">
        <f>IF(AA35=VLOOKUP(VALUE(AA$1),Questions!$A:$E,5,FALSE),1,0)</f>
        <v>0</v>
      </c>
      <c r="BL35" s="7">
        <f>IF(AB35=VLOOKUP(VALUE(AB$1),Questions!$A:$E,5,FALSE),1,0)</f>
        <v>1</v>
      </c>
      <c r="BM35" s="7">
        <f>IF(AC35=VLOOKUP(VALUE(AC$1),Questions!$A:$E,5,FALSE),1,0)</f>
        <v>1</v>
      </c>
      <c r="BN35" s="7">
        <f>IF(AD35=VLOOKUP(VALUE(AD$1),Questions!$A:$E,5,FALSE),1,0)</f>
        <v>1</v>
      </c>
      <c r="BO35" s="7">
        <f>IF(AE35=VLOOKUP(VALUE(AE$1),Questions!$A:$E,5,FALSE),1,0)</f>
        <v>1</v>
      </c>
      <c r="BP35" s="7">
        <f>IF(AF35=VLOOKUP(VALUE(AF$1),Questions!$A:$E,5,FALSE),1,0)</f>
        <v>1</v>
      </c>
      <c r="BQ35" s="7">
        <f>IF(AG35=VLOOKUP(VALUE(AG$1),Questions!$A:$E,5,FALSE),1,0)</f>
        <v>1</v>
      </c>
      <c r="BR35" s="7">
        <f>IF(AH35=VLOOKUP(VALUE(AH$1),Questions!$A:$E,5,FALSE),1,0)</f>
        <v>1</v>
      </c>
      <c r="BS35" s="7">
        <f>IF(AI35=VLOOKUP(VALUE(AI$1),Questions!$A:$E,5,FALSE),1,0)</f>
        <v>1</v>
      </c>
    </row>
    <row r="36" spans="1:71">
      <c r="A36" s="10">
        <v>35</v>
      </c>
      <c r="B36" s="14" t="b">
        <v>0</v>
      </c>
      <c r="C36" s="14" t="b">
        <v>0</v>
      </c>
      <c r="D36" s="102">
        <f>SUM(Scores[[#This Row],[Q1]:[Q28]])</f>
        <v>20</v>
      </c>
      <c r="E36" s="103">
        <f>SUM(Scores[[#This Row],[29]:[34b]])</f>
        <v>0</v>
      </c>
      <c r="F36" s="103">
        <f>Scores[[#This Row],[35]]</f>
        <v>0</v>
      </c>
      <c r="G36" s="104">
        <f>INDEX('Conversion Chart'!$C$3:$M$38,MATCH(SUM(Scores[[#This Row],[MC]:[CRQ]]),'Conversion Chart'!$B$3:$B$38,0),MATCH(Scores[[#This Row],[EIE]],'Conversion Chart'!$C$2:$M$2,0))</f>
        <v>53</v>
      </c>
      <c r="H36" s="5">
        <v>4</v>
      </c>
      <c r="I36" s="5">
        <v>3</v>
      </c>
      <c r="J36" s="5">
        <v>1</v>
      </c>
      <c r="K36" s="5">
        <v>3</v>
      </c>
      <c r="L36" s="5">
        <v>4</v>
      </c>
      <c r="M36" s="5">
        <v>4</v>
      </c>
      <c r="N36" s="5">
        <v>3</v>
      </c>
      <c r="O36" s="5">
        <v>1</v>
      </c>
      <c r="P36" s="5">
        <v>4</v>
      </c>
      <c r="Q36" s="5">
        <v>1</v>
      </c>
      <c r="R36" s="5">
        <v>4</v>
      </c>
      <c r="S36" s="5">
        <v>3</v>
      </c>
      <c r="T36" s="5">
        <v>1</v>
      </c>
      <c r="U36" s="5">
        <v>4</v>
      </c>
      <c r="V36" s="5">
        <v>3</v>
      </c>
      <c r="W36" s="5">
        <v>1</v>
      </c>
      <c r="X36" s="5">
        <v>2</v>
      </c>
      <c r="Y36" s="5">
        <v>1</v>
      </c>
      <c r="Z36" s="5">
        <v>2</v>
      </c>
      <c r="AA36" s="5">
        <v>1</v>
      </c>
      <c r="AB36" s="5">
        <v>2</v>
      </c>
      <c r="AC36" s="5">
        <v>1</v>
      </c>
      <c r="AD36" s="5">
        <v>3</v>
      </c>
      <c r="AE36" s="5">
        <v>4</v>
      </c>
      <c r="AF36" s="5">
        <v>4</v>
      </c>
      <c r="AG36" s="5">
        <v>3</v>
      </c>
      <c r="AH36" s="5">
        <v>1</v>
      </c>
      <c r="AI36" s="104">
        <v>1</v>
      </c>
      <c r="AJ36" s="95"/>
      <c r="AK36" s="84"/>
      <c r="AL36" s="84"/>
      <c r="AM36" s="84"/>
      <c r="AN36" s="84"/>
      <c r="AO36" s="84"/>
      <c r="AP36" s="94"/>
      <c r="AR36" s="7">
        <f>IF(H36=VLOOKUP(VALUE(H$1),Questions!$A:$E,5,FALSE),1,0)</f>
        <v>1</v>
      </c>
      <c r="AS36" s="7">
        <f>IF(I36=VLOOKUP(VALUE(I$1),Questions!$A:$E,5,FALSE),1,0)</f>
        <v>1</v>
      </c>
      <c r="AT36" s="7">
        <f>IF(J36=VLOOKUP(VALUE(J$1),Questions!$A:$E,5,FALSE),1,0)</f>
        <v>1</v>
      </c>
      <c r="AU36" s="7">
        <f>IF(K36=VLOOKUP(VALUE(K$1),Questions!$A:$E,5,FALSE),1,0)</f>
        <v>0</v>
      </c>
      <c r="AV36" s="7">
        <f>IF(L36=VLOOKUP(VALUE(L$1),Questions!$A:$E,5,FALSE),1,0)</f>
        <v>0</v>
      </c>
      <c r="AW36" s="7">
        <f>IF(M36=VLOOKUP(VALUE(M$1),Questions!$A:$E,5,FALSE),1,0)</f>
        <v>1</v>
      </c>
      <c r="AX36" s="7">
        <f>IF(N36=VLOOKUP(VALUE(N$1),Questions!$A:$E,5,FALSE),1,0)</f>
        <v>1</v>
      </c>
      <c r="AY36" s="7">
        <f>IF(O36=VLOOKUP(VALUE(O$1),Questions!$A:$E,5,FALSE),1,0)</f>
        <v>1</v>
      </c>
      <c r="AZ36" s="7">
        <f>IF(P36=VLOOKUP(VALUE(P$1),Questions!$A:$E,5,FALSE),1,0)</f>
        <v>0</v>
      </c>
      <c r="BA36" s="7">
        <f>IF(Q36=VLOOKUP(VALUE(Q$1),Questions!$A:$E,5,FALSE),1,0)</f>
        <v>1</v>
      </c>
      <c r="BB36" s="7">
        <f>IF(R36=VLOOKUP(VALUE(R$1),Questions!$A:$E,5,FALSE),1,0)</f>
        <v>1</v>
      </c>
      <c r="BC36" s="7">
        <f>IF(S36=VLOOKUP(VALUE(S$1),Questions!$A:$E,5,FALSE),1,0)</f>
        <v>0</v>
      </c>
      <c r="BD36" s="7">
        <f>IF(T36=VLOOKUP(VALUE(T$1),Questions!$A:$E,5,FALSE),1,0)</f>
        <v>1</v>
      </c>
      <c r="BE36" s="7">
        <f>IF(U36=VLOOKUP(VALUE(U$1),Questions!$A:$E,5,FALSE),1,0)</f>
        <v>1</v>
      </c>
      <c r="BF36" s="7">
        <f>IF(V36=VLOOKUP(VALUE(V$1),Questions!$A:$E,5,FALSE),1,0)</f>
        <v>1</v>
      </c>
      <c r="BG36" s="7">
        <f>IF(W36=VLOOKUP(VALUE(W$1),Questions!$A:$E,5,FALSE),1,0)</f>
        <v>0</v>
      </c>
      <c r="BH36" s="7">
        <f>IF(X36=VLOOKUP(VALUE(X$1),Questions!$A:$E,5,FALSE),1,0)</f>
        <v>1</v>
      </c>
      <c r="BI36" s="7">
        <f>IF(Y36=VLOOKUP(VALUE(Y$1),Questions!$A:$E,5,FALSE),1,0)</f>
        <v>0</v>
      </c>
      <c r="BJ36" s="7">
        <f>IF(Z36=VLOOKUP(VALUE(Z$1),Questions!$A:$E,5,FALSE),1,0)</f>
        <v>1</v>
      </c>
      <c r="BK36" s="7">
        <f>IF(AA36=VLOOKUP(VALUE(AA$1),Questions!$A:$E,5,FALSE),1,0)</f>
        <v>0</v>
      </c>
      <c r="BL36" s="7">
        <f>IF(AB36=VLOOKUP(VALUE(AB$1),Questions!$A:$E,5,FALSE),1,0)</f>
        <v>1</v>
      </c>
      <c r="BM36" s="7">
        <f>IF(AC36=VLOOKUP(VALUE(AC$1),Questions!$A:$E,5,FALSE),1,0)</f>
        <v>1</v>
      </c>
      <c r="BN36" s="7">
        <f>IF(AD36=VLOOKUP(VALUE(AD$1),Questions!$A:$E,5,FALSE),1,0)</f>
        <v>1</v>
      </c>
      <c r="BO36" s="7">
        <f>IF(AE36=VLOOKUP(VALUE(AE$1),Questions!$A:$E,5,FALSE),1,0)</f>
        <v>0</v>
      </c>
      <c r="BP36" s="7">
        <f>IF(AF36=VLOOKUP(VALUE(AF$1),Questions!$A:$E,5,FALSE),1,0)</f>
        <v>1</v>
      </c>
      <c r="BQ36" s="7">
        <f>IF(AG36=VLOOKUP(VALUE(AG$1),Questions!$A:$E,5,FALSE),1,0)</f>
        <v>1</v>
      </c>
      <c r="BR36" s="7">
        <f>IF(AH36=VLOOKUP(VALUE(AH$1),Questions!$A:$E,5,FALSE),1,0)</f>
        <v>1</v>
      </c>
      <c r="BS36" s="7">
        <f>IF(AI36=VLOOKUP(VALUE(AI$1),Questions!$A:$E,5,FALSE),1,0)</f>
        <v>1</v>
      </c>
    </row>
    <row r="37" spans="1:71">
      <c r="A37" s="10">
        <v>36</v>
      </c>
      <c r="B37" s="14" t="b">
        <v>0</v>
      </c>
      <c r="C37" s="14" t="b">
        <v>0</v>
      </c>
      <c r="D37" s="102">
        <f>SUM(Scores[[#This Row],[Q1]:[Q28]])</f>
        <v>20</v>
      </c>
      <c r="E37" s="103">
        <f>SUM(Scores[[#This Row],[29]:[34b]])</f>
        <v>0</v>
      </c>
      <c r="F37" s="103">
        <f>Scores[[#This Row],[35]]</f>
        <v>0</v>
      </c>
      <c r="G37" s="104">
        <f>INDEX('Conversion Chart'!$C$3:$M$38,MATCH(SUM(Scores[[#This Row],[MC]:[CRQ]]),'Conversion Chart'!$B$3:$B$38,0),MATCH(Scores[[#This Row],[EIE]],'Conversion Chart'!$C$2:$M$2,0))</f>
        <v>53</v>
      </c>
      <c r="H37" s="5">
        <v>4</v>
      </c>
      <c r="I37" s="5">
        <v>3</v>
      </c>
      <c r="J37" s="5">
        <v>1</v>
      </c>
      <c r="K37" s="5">
        <v>3</v>
      </c>
      <c r="L37" s="5">
        <v>2</v>
      </c>
      <c r="M37" s="5">
        <v>3</v>
      </c>
      <c r="N37" s="5">
        <v>1</v>
      </c>
      <c r="O37" s="5">
        <v>4</v>
      </c>
      <c r="P37" s="5">
        <v>1</v>
      </c>
      <c r="Q37" s="5">
        <v>1</v>
      </c>
      <c r="R37" s="5">
        <v>4</v>
      </c>
      <c r="S37" s="5">
        <v>3</v>
      </c>
      <c r="T37" s="5">
        <v>1</v>
      </c>
      <c r="U37" s="5">
        <v>4</v>
      </c>
      <c r="V37" s="5">
        <v>1</v>
      </c>
      <c r="W37" s="5">
        <v>4</v>
      </c>
      <c r="X37" s="5">
        <v>1</v>
      </c>
      <c r="Y37" s="5">
        <v>3</v>
      </c>
      <c r="Z37" s="5">
        <v>2</v>
      </c>
      <c r="AA37" s="5">
        <v>1</v>
      </c>
      <c r="AB37" s="5">
        <v>2</v>
      </c>
      <c r="AC37" s="5">
        <v>1</v>
      </c>
      <c r="AD37" s="5">
        <v>3</v>
      </c>
      <c r="AE37" s="5">
        <v>2</v>
      </c>
      <c r="AF37" s="5">
        <v>4</v>
      </c>
      <c r="AG37" s="5">
        <v>3</v>
      </c>
      <c r="AH37" s="5">
        <v>1</v>
      </c>
      <c r="AI37" s="104">
        <v>1</v>
      </c>
      <c r="AJ37" s="95"/>
      <c r="AK37" s="84"/>
      <c r="AL37" s="84"/>
      <c r="AM37" s="84"/>
      <c r="AN37" s="84"/>
      <c r="AO37" s="84"/>
      <c r="AP37" s="94"/>
      <c r="AR37" s="7">
        <f>IF(H37=VLOOKUP(VALUE(H$1),Questions!$A:$E,5,FALSE),1,0)</f>
        <v>1</v>
      </c>
      <c r="AS37" s="7">
        <f>IF(I37=VLOOKUP(VALUE(I$1),Questions!$A:$E,5,FALSE),1,0)</f>
        <v>1</v>
      </c>
      <c r="AT37" s="7">
        <f>IF(J37=VLOOKUP(VALUE(J$1),Questions!$A:$E,5,FALSE),1,0)</f>
        <v>1</v>
      </c>
      <c r="AU37" s="7">
        <f>IF(K37=VLOOKUP(VALUE(K$1),Questions!$A:$E,5,FALSE),1,0)</f>
        <v>0</v>
      </c>
      <c r="AV37" s="7">
        <f>IF(L37=VLOOKUP(VALUE(L$1),Questions!$A:$E,5,FALSE),1,0)</f>
        <v>1</v>
      </c>
      <c r="AW37" s="7">
        <f>IF(M37=VLOOKUP(VALUE(M$1),Questions!$A:$E,5,FALSE),1,0)</f>
        <v>0</v>
      </c>
      <c r="AX37" s="7">
        <f>IF(N37=VLOOKUP(VALUE(N$1),Questions!$A:$E,5,FALSE),1,0)</f>
        <v>0</v>
      </c>
      <c r="AY37" s="7">
        <f>IF(O37=VLOOKUP(VALUE(O$1),Questions!$A:$E,5,FALSE),1,0)</f>
        <v>0</v>
      </c>
      <c r="AZ37" s="7">
        <f>IF(P37=VLOOKUP(VALUE(P$1),Questions!$A:$E,5,FALSE),1,0)</f>
        <v>1</v>
      </c>
      <c r="BA37" s="7">
        <f>IF(Q37=VLOOKUP(VALUE(Q$1),Questions!$A:$E,5,FALSE),1,0)</f>
        <v>1</v>
      </c>
      <c r="BB37" s="7">
        <f>IF(R37=VLOOKUP(VALUE(R$1),Questions!$A:$E,5,FALSE),1,0)</f>
        <v>1</v>
      </c>
      <c r="BC37" s="7">
        <f>IF(S37=VLOOKUP(VALUE(S$1),Questions!$A:$E,5,FALSE),1,0)</f>
        <v>0</v>
      </c>
      <c r="BD37" s="7">
        <f>IF(T37=VLOOKUP(VALUE(T$1),Questions!$A:$E,5,FALSE),1,0)</f>
        <v>1</v>
      </c>
      <c r="BE37" s="7">
        <f>IF(U37=VLOOKUP(VALUE(U$1),Questions!$A:$E,5,FALSE),1,0)</f>
        <v>1</v>
      </c>
      <c r="BF37" s="7">
        <f>IF(V37=VLOOKUP(VALUE(V$1),Questions!$A:$E,5,FALSE),1,0)</f>
        <v>0</v>
      </c>
      <c r="BG37" s="7">
        <f>IF(W37=VLOOKUP(VALUE(W$1),Questions!$A:$E,5,FALSE),1,0)</f>
        <v>1</v>
      </c>
      <c r="BH37" s="7">
        <f>IF(X37=VLOOKUP(VALUE(X$1),Questions!$A:$E,5,FALSE),1,0)</f>
        <v>0</v>
      </c>
      <c r="BI37" s="7">
        <f>IF(Y37=VLOOKUP(VALUE(Y$1),Questions!$A:$E,5,FALSE),1,0)</f>
        <v>1</v>
      </c>
      <c r="BJ37" s="7">
        <f>IF(Z37=VLOOKUP(VALUE(Z$1),Questions!$A:$E,5,FALSE),1,0)</f>
        <v>1</v>
      </c>
      <c r="BK37" s="7">
        <f>IF(AA37=VLOOKUP(VALUE(AA$1),Questions!$A:$E,5,FALSE),1,0)</f>
        <v>0</v>
      </c>
      <c r="BL37" s="7">
        <f>IF(AB37=VLOOKUP(VALUE(AB$1),Questions!$A:$E,5,FALSE),1,0)</f>
        <v>1</v>
      </c>
      <c r="BM37" s="7">
        <f>IF(AC37=VLOOKUP(VALUE(AC$1),Questions!$A:$E,5,FALSE),1,0)</f>
        <v>1</v>
      </c>
      <c r="BN37" s="7">
        <f>IF(AD37=VLOOKUP(VALUE(AD$1),Questions!$A:$E,5,FALSE),1,0)</f>
        <v>1</v>
      </c>
      <c r="BO37" s="7">
        <f>IF(AE37=VLOOKUP(VALUE(AE$1),Questions!$A:$E,5,FALSE),1,0)</f>
        <v>1</v>
      </c>
      <c r="BP37" s="7">
        <f>IF(AF37=VLOOKUP(VALUE(AF$1),Questions!$A:$E,5,FALSE),1,0)</f>
        <v>1</v>
      </c>
      <c r="BQ37" s="7">
        <f>IF(AG37=VLOOKUP(VALUE(AG$1),Questions!$A:$E,5,FALSE),1,0)</f>
        <v>1</v>
      </c>
      <c r="BR37" s="7">
        <f>IF(AH37=VLOOKUP(VALUE(AH$1),Questions!$A:$E,5,FALSE),1,0)</f>
        <v>1</v>
      </c>
      <c r="BS37" s="7">
        <f>IF(AI37=VLOOKUP(VALUE(AI$1),Questions!$A:$E,5,FALSE),1,0)</f>
        <v>1</v>
      </c>
    </row>
    <row r="38" spans="1:71">
      <c r="A38" s="10">
        <v>37</v>
      </c>
      <c r="B38" s="14" t="b">
        <v>0</v>
      </c>
      <c r="C38" s="14" t="b">
        <v>0</v>
      </c>
      <c r="D38" s="102">
        <f>SUM(Scores[[#This Row],[Q1]:[Q28]])</f>
        <v>9</v>
      </c>
      <c r="E38" s="103">
        <f>SUM(Scores[[#This Row],[29]:[34b]])</f>
        <v>0</v>
      </c>
      <c r="F38" s="103">
        <f>Scores[[#This Row],[35]]</f>
        <v>0</v>
      </c>
      <c r="G38" s="104">
        <f>INDEX('Conversion Chart'!$C$3:$M$38,MATCH(SUM(Scores[[#This Row],[MC]:[CRQ]]),'Conversion Chart'!$B$3:$B$38,0),MATCH(Scores[[#This Row],[EIE]],'Conversion Chart'!$C$2:$M$2,0))</f>
        <v>27</v>
      </c>
      <c r="H38" s="5">
        <v>4</v>
      </c>
      <c r="I38" s="5">
        <v>3</v>
      </c>
      <c r="J38" s="5">
        <v>1</v>
      </c>
      <c r="K38" s="5">
        <v>2</v>
      </c>
      <c r="L38" s="5">
        <v>1</v>
      </c>
      <c r="M38" s="5">
        <v>2</v>
      </c>
      <c r="N38" s="5">
        <v>2</v>
      </c>
      <c r="O38" s="5">
        <v>3</v>
      </c>
      <c r="P38" s="5">
        <v>1</v>
      </c>
      <c r="Q38" s="5">
        <v>3</v>
      </c>
      <c r="R38" s="5">
        <v>4</v>
      </c>
      <c r="S38" s="5">
        <v>4</v>
      </c>
      <c r="T38" s="5">
        <v>3</v>
      </c>
      <c r="U38" s="5">
        <v>1</v>
      </c>
      <c r="V38" s="5">
        <v>2</v>
      </c>
      <c r="W38" s="5">
        <v>3</v>
      </c>
      <c r="X38" s="5">
        <v>2</v>
      </c>
      <c r="Y38" s="5">
        <v>2</v>
      </c>
      <c r="Z38" s="5">
        <v>4</v>
      </c>
      <c r="AA38" s="5">
        <v>3</v>
      </c>
      <c r="AB38" s="5">
        <v>2</v>
      </c>
      <c r="AC38" s="5">
        <v>2</v>
      </c>
      <c r="AD38" s="5">
        <v>4</v>
      </c>
      <c r="AE38" s="5">
        <v>1</v>
      </c>
      <c r="AF38" s="5">
        <v>3</v>
      </c>
      <c r="AG38" s="5">
        <v>2</v>
      </c>
      <c r="AH38" s="5">
        <v>4</v>
      </c>
      <c r="AI38" s="104">
        <v>3</v>
      </c>
      <c r="AJ38" s="95"/>
      <c r="AK38" s="84"/>
      <c r="AL38" s="84"/>
      <c r="AM38" s="84"/>
      <c r="AN38" s="84"/>
      <c r="AO38" s="84"/>
      <c r="AP38" s="94"/>
      <c r="AR38" s="7">
        <f>IF(H38=VLOOKUP(VALUE(H$1),Questions!$A:$E,5,FALSE),1,0)</f>
        <v>1</v>
      </c>
      <c r="AS38" s="7">
        <f>IF(I38=VLOOKUP(VALUE(I$1),Questions!$A:$E,5,FALSE),1,0)</f>
        <v>1</v>
      </c>
      <c r="AT38" s="7">
        <f>IF(J38=VLOOKUP(VALUE(J$1),Questions!$A:$E,5,FALSE),1,0)</f>
        <v>1</v>
      </c>
      <c r="AU38" s="7">
        <f>IF(K38=VLOOKUP(VALUE(K$1),Questions!$A:$E,5,FALSE),1,0)</f>
        <v>1</v>
      </c>
      <c r="AV38" s="7">
        <f>IF(L38=VLOOKUP(VALUE(L$1),Questions!$A:$E,5,FALSE),1,0)</f>
        <v>0</v>
      </c>
      <c r="AW38" s="7">
        <f>IF(M38=VLOOKUP(VALUE(M$1),Questions!$A:$E,5,FALSE),1,0)</f>
        <v>0</v>
      </c>
      <c r="AX38" s="7">
        <f>IF(N38=VLOOKUP(VALUE(N$1),Questions!$A:$E,5,FALSE),1,0)</f>
        <v>0</v>
      </c>
      <c r="AY38" s="7">
        <f>IF(O38=VLOOKUP(VALUE(O$1),Questions!$A:$E,5,FALSE),1,0)</f>
        <v>0</v>
      </c>
      <c r="AZ38" s="7">
        <f>IF(P38=VLOOKUP(VALUE(P$1),Questions!$A:$E,5,FALSE),1,0)</f>
        <v>1</v>
      </c>
      <c r="BA38" s="7">
        <f>IF(Q38=VLOOKUP(VALUE(Q$1),Questions!$A:$E,5,FALSE),1,0)</f>
        <v>0</v>
      </c>
      <c r="BB38" s="7">
        <f>IF(R38=VLOOKUP(VALUE(R$1),Questions!$A:$E,5,FALSE),1,0)</f>
        <v>1</v>
      </c>
      <c r="BC38" s="7">
        <f>IF(S38=VLOOKUP(VALUE(S$1),Questions!$A:$E,5,FALSE),1,0)</f>
        <v>0</v>
      </c>
      <c r="BD38" s="7">
        <f>IF(T38=VLOOKUP(VALUE(T$1),Questions!$A:$E,5,FALSE),1,0)</f>
        <v>0</v>
      </c>
      <c r="BE38" s="7">
        <f>IF(U38=VLOOKUP(VALUE(U$1),Questions!$A:$E,5,FALSE),1,0)</f>
        <v>0</v>
      </c>
      <c r="BF38" s="7">
        <f>IF(V38=VLOOKUP(VALUE(V$1),Questions!$A:$E,5,FALSE),1,0)</f>
        <v>0</v>
      </c>
      <c r="BG38" s="7">
        <f>IF(W38=VLOOKUP(VALUE(W$1),Questions!$A:$E,5,FALSE),1,0)</f>
        <v>0</v>
      </c>
      <c r="BH38" s="7">
        <f>IF(X38=VLOOKUP(VALUE(X$1),Questions!$A:$E,5,FALSE),1,0)</f>
        <v>1</v>
      </c>
      <c r="BI38" s="7">
        <f>IF(Y38=VLOOKUP(VALUE(Y$1),Questions!$A:$E,5,FALSE),1,0)</f>
        <v>0</v>
      </c>
      <c r="BJ38" s="7">
        <f>IF(Z38=VLOOKUP(VALUE(Z$1),Questions!$A:$E,5,FALSE),1,0)</f>
        <v>0</v>
      </c>
      <c r="BK38" s="7">
        <f>IF(AA38=VLOOKUP(VALUE(AA$1),Questions!$A:$E,5,FALSE),1,0)</f>
        <v>1</v>
      </c>
      <c r="BL38" s="7">
        <f>IF(AB38=VLOOKUP(VALUE(AB$1),Questions!$A:$E,5,FALSE),1,0)</f>
        <v>1</v>
      </c>
      <c r="BM38" s="7">
        <f>IF(AC38=VLOOKUP(VALUE(AC$1),Questions!$A:$E,5,FALSE),1,0)</f>
        <v>0</v>
      </c>
      <c r="BN38" s="7">
        <f>IF(AD38=VLOOKUP(VALUE(AD$1),Questions!$A:$E,5,FALSE),1,0)</f>
        <v>0</v>
      </c>
      <c r="BO38" s="7">
        <f>IF(AE38=VLOOKUP(VALUE(AE$1),Questions!$A:$E,5,FALSE),1,0)</f>
        <v>0</v>
      </c>
      <c r="BP38" s="7">
        <f>IF(AF38=VLOOKUP(VALUE(AF$1),Questions!$A:$E,5,FALSE),1,0)</f>
        <v>0</v>
      </c>
      <c r="BQ38" s="7">
        <f>IF(AG38=VLOOKUP(VALUE(AG$1),Questions!$A:$E,5,FALSE),1,0)</f>
        <v>0</v>
      </c>
      <c r="BR38" s="7">
        <f>IF(AH38=VLOOKUP(VALUE(AH$1),Questions!$A:$E,5,FALSE),1,0)</f>
        <v>0</v>
      </c>
      <c r="BS38" s="7">
        <f>IF(AI38=VLOOKUP(VALUE(AI$1),Questions!$A:$E,5,FALSE),1,0)</f>
        <v>0</v>
      </c>
    </row>
    <row r="39" spans="1:71">
      <c r="A39" s="10">
        <v>38</v>
      </c>
      <c r="B39" s="14" t="b">
        <v>0</v>
      </c>
      <c r="C39" s="14" t="b">
        <v>0</v>
      </c>
      <c r="D39" s="102">
        <f>SUM(Scores[[#This Row],[Q1]:[Q28]])</f>
        <v>20</v>
      </c>
      <c r="E39" s="103">
        <f>SUM(Scores[[#This Row],[29]:[34b]])</f>
        <v>0</v>
      </c>
      <c r="F39" s="103">
        <f>Scores[[#This Row],[35]]</f>
        <v>0</v>
      </c>
      <c r="G39" s="104">
        <f>INDEX('Conversion Chart'!$C$3:$M$38,MATCH(SUM(Scores[[#This Row],[MC]:[CRQ]]),'Conversion Chart'!$B$3:$B$38,0),MATCH(Scores[[#This Row],[EIE]],'Conversion Chart'!$C$2:$M$2,0))</f>
        <v>53</v>
      </c>
      <c r="H39" s="5">
        <v>4</v>
      </c>
      <c r="I39" s="5">
        <v>3</v>
      </c>
      <c r="J39" s="5">
        <v>1</v>
      </c>
      <c r="K39" s="5">
        <v>3</v>
      </c>
      <c r="L39" s="5">
        <v>4</v>
      </c>
      <c r="M39" s="5">
        <v>3</v>
      </c>
      <c r="N39" s="5">
        <v>3</v>
      </c>
      <c r="O39" s="5">
        <v>1</v>
      </c>
      <c r="P39" s="5">
        <v>4</v>
      </c>
      <c r="Q39" s="5">
        <v>1</v>
      </c>
      <c r="R39" s="5">
        <v>4</v>
      </c>
      <c r="S39" s="5">
        <v>3</v>
      </c>
      <c r="T39" s="5">
        <v>1</v>
      </c>
      <c r="U39" s="5">
        <v>4</v>
      </c>
      <c r="V39" s="5">
        <v>1</v>
      </c>
      <c r="W39" s="5">
        <v>4</v>
      </c>
      <c r="X39" s="5">
        <v>1</v>
      </c>
      <c r="Y39" s="5">
        <v>3</v>
      </c>
      <c r="Z39" s="5">
        <v>2</v>
      </c>
      <c r="AA39" s="5">
        <v>1</v>
      </c>
      <c r="AB39" s="5">
        <v>2</v>
      </c>
      <c r="AC39" s="5">
        <v>1</v>
      </c>
      <c r="AD39" s="5">
        <v>3</v>
      </c>
      <c r="AE39" s="5">
        <v>2</v>
      </c>
      <c r="AF39" s="5">
        <v>4</v>
      </c>
      <c r="AG39" s="5">
        <v>3</v>
      </c>
      <c r="AH39" s="5">
        <v>1</v>
      </c>
      <c r="AI39" s="104">
        <v>1</v>
      </c>
      <c r="AJ39" s="95"/>
      <c r="AK39" s="84"/>
      <c r="AL39" s="84"/>
      <c r="AM39" s="84"/>
      <c r="AN39" s="84"/>
      <c r="AO39" s="84"/>
      <c r="AP39" s="94"/>
      <c r="AR39" s="7">
        <f>IF(H39=VLOOKUP(VALUE(H$1),Questions!$A:$E,5,FALSE),1,0)</f>
        <v>1</v>
      </c>
      <c r="AS39" s="7">
        <f>IF(I39=VLOOKUP(VALUE(I$1),Questions!$A:$E,5,FALSE),1,0)</f>
        <v>1</v>
      </c>
      <c r="AT39" s="7">
        <f>IF(J39=VLOOKUP(VALUE(J$1),Questions!$A:$E,5,FALSE),1,0)</f>
        <v>1</v>
      </c>
      <c r="AU39" s="7">
        <f>IF(K39=VLOOKUP(VALUE(K$1),Questions!$A:$E,5,FALSE),1,0)</f>
        <v>0</v>
      </c>
      <c r="AV39" s="7">
        <f>IF(L39=VLOOKUP(VALUE(L$1),Questions!$A:$E,5,FALSE),1,0)</f>
        <v>0</v>
      </c>
      <c r="AW39" s="7">
        <f>IF(M39=VLOOKUP(VALUE(M$1),Questions!$A:$E,5,FALSE),1,0)</f>
        <v>0</v>
      </c>
      <c r="AX39" s="7">
        <f>IF(N39=VLOOKUP(VALUE(N$1),Questions!$A:$E,5,FALSE),1,0)</f>
        <v>1</v>
      </c>
      <c r="AY39" s="7">
        <f>IF(O39=VLOOKUP(VALUE(O$1),Questions!$A:$E,5,FALSE),1,0)</f>
        <v>1</v>
      </c>
      <c r="AZ39" s="7">
        <f>IF(P39=VLOOKUP(VALUE(P$1),Questions!$A:$E,5,FALSE),1,0)</f>
        <v>0</v>
      </c>
      <c r="BA39" s="7">
        <f>IF(Q39=VLOOKUP(VALUE(Q$1),Questions!$A:$E,5,FALSE),1,0)</f>
        <v>1</v>
      </c>
      <c r="BB39" s="7">
        <f>IF(R39=VLOOKUP(VALUE(R$1),Questions!$A:$E,5,FALSE),1,0)</f>
        <v>1</v>
      </c>
      <c r="BC39" s="7">
        <f>IF(S39=VLOOKUP(VALUE(S$1),Questions!$A:$E,5,FALSE),1,0)</f>
        <v>0</v>
      </c>
      <c r="BD39" s="7">
        <f>IF(T39=VLOOKUP(VALUE(T$1),Questions!$A:$E,5,FALSE),1,0)</f>
        <v>1</v>
      </c>
      <c r="BE39" s="7">
        <f>IF(U39=VLOOKUP(VALUE(U$1),Questions!$A:$E,5,FALSE),1,0)</f>
        <v>1</v>
      </c>
      <c r="BF39" s="7">
        <f>IF(V39=VLOOKUP(VALUE(V$1),Questions!$A:$E,5,FALSE),1,0)</f>
        <v>0</v>
      </c>
      <c r="BG39" s="7">
        <f>IF(W39=VLOOKUP(VALUE(W$1),Questions!$A:$E,5,FALSE),1,0)</f>
        <v>1</v>
      </c>
      <c r="BH39" s="7">
        <f>IF(X39=VLOOKUP(VALUE(X$1),Questions!$A:$E,5,FALSE),1,0)</f>
        <v>0</v>
      </c>
      <c r="BI39" s="7">
        <f>IF(Y39=VLOOKUP(VALUE(Y$1),Questions!$A:$E,5,FALSE),1,0)</f>
        <v>1</v>
      </c>
      <c r="BJ39" s="7">
        <f>IF(Z39=VLOOKUP(VALUE(Z$1),Questions!$A:$E,5,FALSE),1,0)</f>
        <v>1</v>
      </c>
      <c r="BK39" s="7">
        <f>IF(AA39=VLOOKUP(VALUE(AA$1),Questions!$A:$E,5,FALSE),1,0)</f>
        <v>0</v>
      </c>
      <c r="BL39" s="7">
        <f>IF(AB39=VLOOKUP(VALUE(AB$1),Questions!$A:$E,5,FALSE),1,0)</f>
        <v>1</v>
      </c>
      <c r="BM39" s="7">
        <f>IF(AC39=VLOOKUP(VALUE(AC$1),Questions!$A:$E,5,FALSE),1,0)</f>
        <v>1</v>
      </c>
      <c r="BN39" s="7">
        <f>IF(AD39=VLOOKUP(VALUE(AD$1),Questions!$A:$E,5,FALSE),1,0)</f>
        <v>1</v>
      </c>
      <c r="BO39" s="7">
        <f>IF(AE39=VLOOKUP(VALUE(AE$1),Questions!$A:$E,5,FALSE),1,0)</f>
        <v>1</v>
      </c>
      <c r="BP39" s="7">
        <f>IF(AF39=VLOOKUP(VALUE(AF$1),Questions!$A:$E,5,FALSE),1,0)</f>
        <v>1</v>
      </c>
      <c r="BQ39" s="7">
        <f>IF(AG39=VLOOKUP(VALUE(AG$1),Questions!$A:$E,5,FALSE),1,0)</f>
        <v>1</v>
      </c>
      <c r="BR39" s="7">
        <f>IF(AH39=VLOOKUP(VALUE(AH$1),Questions!$A:$E,5,FALSE),1,0)</f>
        <v>1</v>
      </c>
      <c r="BS39" s="7">
        <f>IF(AI39=VLOOKUP(VALUE(AI$1),Questions!$A:$E,5,FALSE),1,0)</f>
        <v>1</v>
      </c>
    </row>
    <row r="40" spans="1:71">
      <c r="A40" s="10">
        <v>39</v>
      </c>
      <c r="B40" s="14" t="b">
        <v>0</v>
      </c>
      <c r="C40" s="14" t="b">
        <v>0</v>
      </c>
      <c r="D40" s="102">
        <f>SUM(Scores[[#This Row],[Q1]:[Q28]])</f>
        <v>21</v>
      </c>
      <c r="E40" s="103">
        <f>SUM(Scores[[#This Row],[29]:[34b]])</f>
        <v>0</v>
      </c>
      <c r="F40" s="103">
        <f>Scores[[#This Row],[35]]</f>
        <v>0</v>
      </c>
      <c r="G40" s="104">
        <f>INDEX('Conversion Chart'!$C$3:$M$38,MATCH(SUM(Scores[[#This Row],[MC]:[CRQ]]),'Conversion Chart'!$B$3:$B$38,0),MATCH(Scores[[#This Row],[EIE]],'Conversion Chart'!$C$2:$M$2,0))</f>
        <v>55</v>
      </c>
      <c r="H40" s="5">
        <v>4</v>
      </c>
      <c r="I40" s="5">
        <v>3</v>
      </c>
      <c r="J40" s="5">
        <v>1</v>
      </c>
      <c r="K40" s="5">
        <v>3</v>
      </c>
      <c r="L40" s="5">
        <v>2</v>
      </c>
      <c r="M40" s="5">
        <v>4</v>
      </c>
      <c r="N40" s="5">
        <v>1</v>
      </c>
      <c r="O40" s="5">
        <v>4</v>
      </c>
      <c r="P40" s="5">
        <v>1</v>
      </c>
      <c r="Q40" s="5">
        <v>1</v>
      </c>
      <c r="R40" s="5">
        <v>4</v>
      </c>
      <c r="S40" s="5">
        <v>3</v>
      </c>
      <c r="T40" s="5">
        <v>1</v>
      </c>
      <c r="U40" s="5">
        <v>4</v>
      </c>
      <c r="V40" s="5">
        <v>1</v>
      </c>
      <c r="W40" s="5">
        <v>4</v>
      </c>
      <c r="X40" s="5">
        <v>1</v>
      </c>
      <c r="Y40" s="5">
        <v>3</v>
      </c>
      <c r="Z40" s="5">
        <v>2</v>
      </c>
      <c r="AA40" s="5">
        <v>1</v>
      </c>
      <c r="AB40" s="5">
        <v>2</v>
      </c>
      <c r="AC40" s="5">
        <v>1</v>
      </c>
      <c r="AD40" s="5">
        <v>3</v>
      </c>
      <c r="AE40" s="5">
        <v>2</v>
      </c>
      <c r="AF40" s="5">
        <v>4</v>
      </c>
      <c r="AG40" s="5">
        <v>3</v>
      </c>
      <c r="AH40" s="5">
        <v>1</v>
      </c>
      <c r="AI40" s="104">
        <v>1</v>
      </c>
      <c r="AJ40" s="95"/>
      <c r="AK40" s="84"/>
      <c r="AL40" s="84"/>
      <c r="AM40" s="84"/>
      <c r="AN40" s="84"/>
      <c r="AO40" s="84"/>
      <c r="AP40" s="94"/>
      <c r="AR40" s="7">
        <f>IF(H40=VLOOKUP(VALUE(H$1),Questions!$A:$E,5,FALSE),1,0)</f>
        <v>1</v>
      </c>
      <c r="AS40" s="7">
        <f>IF(I40=VLOOKUP(VALUE(I$1),Questions!$A:$E,5,FALSE),1,0)</f>
        <v>1</v>
      </c>
      <c r="AT40" s="7">
        <f>IF(J40=VLOOKUP(VALUE(J$1),Questions!$A:$E,5,FALSE),1,0)</f>
        <v>1</v>
      </c>
      <c r="AU40" s="7">
        <f>IF(K40=VLOOKUP(VALUE(K$1),Questions!$A:$E,5,FALSE),1,0)</f>
        <v>0</v>
      </c>
      <c r="AV40" s="7">
        <f>IF(L40=VLOOKUP(VALUE(L$1),Questions!$A:$E,5,FALSE),1,0)</f>
        <v>1</v>
      </c>
      <c r="AW40" s="7">
        <f>IF(M40=VLOOKUP(VALUE(M$1),Questions!$A:$E,5,FALSE),1,0)</f>
        <v>1</v>
      </c>
      <c r="AX40" s="7">
        <f>IF(N40=VLOOKUP(VALUE(N$1),Questions!$A:$E,5,FALSE),1,0)</f>
        <v>0</v>
      </c>
      <c r="AY40" s="7">
        <f>IF(O40=VLOOKUP(VALUE(O$1),Questions!$A:$E,5,FALSE),1,0)</f>
        <v>0</v>
      </c>
      <c r="AZ40" s="7">
        <f>IF(P40=VLOOKUP(VALUE(P$1),Questions!$A:$E,5,FALSE),1,0)</f>
        <v>1</v>
      </c>
      <c r="BA40" s="7">
        <f>IF(Q40=VLOOKUP(VALUE(Q$1),Questions!$A:$E,5,FALSE),1,0)</f>
        <v>1</v>
      </c>
      <c r="BB40" s="7">
        <f>IF(R40=VLOOKUP(VALUE(R$1),Questions!$A:$E,5,FALSE),1,0)</f>
        <v>1</v>
      </c>
      <c r="BC40" s="7">
        <f>IF(S40=VLOOKUP(VALUE(S$1),Questions!$A:$E,5,FALSE),1,0)</f>
        <v>0</v>
      </c>
      <c r="BD40" s="7">
        <f>IF(T40=VLOOKUP(VALUE(T$1),Questions!$A:$E,5,FALSE),1,0)</f>
        <v>1</v>
      </c>
      <c r="BE40" s="7">
        <f>IF(U40=VLOOKUP(VALUE(U$1),Questions!$A:$E,5,FALSE),1,0)</f>
        <v>1</v>
      </c>
      <c r="BF40" s="7">
        <f>IF(V40=VLOOKUP(VALUE(V$1),Questions!$A:$E,5,FALSE),1,0)</f>
        <v>0</v>
      </c>
      <c r="BG40" s="7">
        <f>IF(W40=VLOOKUP(VALUE(W$1),Questions!$A:$E,5,FALSE),1,0)</f>
        <v>1</v>
      </c>
      <c r="BH40" s="7">
        <f>IF(X40=VLOOKUP(VALUE(X$1),Questions!$A:$E,5,FALSE),1,0)</f>
        <v>0</v>
      </c>
      <c r="BI40" s="7">
        <f>IF(Y40=VLOOKUP(VALUE(Y$1),Questions!$A:$E,5,FALSE),1,0)</f>
        <v>1</v>
      </c>
      <c r="BJ40" s="7">
        <f>IF(Z40=VLOOKUP(VALUE(Z$1),Questions!$A:$E,5,FALSE),1,0)</f>
        <v>1</v>
      </c>
      <c r="BK40" s="7">
        <f>IF(AA40=VLOOKUP(VALUE(AA$1),Questions!$A:$E,5,FALSE),1,0)</f>
        <v>0</v>
      </c>
      <c r="BL40" s="7">
        <f>IF(AB40=VLOOKUP(VALUE(AB$1),Questions!$A:$E,5,FALSE),1,0)</f>
        <v>1</v>
      </c>
      <c r="BM40" s="7">
        <f>IF(AC40=VLOOKUP(VALUE(AC$1),Questions!$A:$E,5,FALSE),1,0)</f>
        <v>1</v>
      </c>
      <c r="BN40" s="7">
        <f>IF(AD40=VLOOKUP(VALUE(AD$1),Questions!$A:$E,5,FALSE),1,0)</f>
        <v>1</v>
      </c>
      <c r="BO40" s="7">
        <f>IF(AE40=VLOOKUP(VALUE(AE$1),Questions!$A:$E,5,FALSE),1,0)</f>
        <v>1</v>
      </c>
      <c r="BP40" s="7">
        <f>IF(AF40=VLOOKUP(VALUE(AF$1),Questions!$A:$E,5,FALSE),1,0)</f>
        <v>1</v>
      </c>
      <c r="BQ40" s="7">
        <f>IF(AG40=VLOOKUP(VALUE(AG$1),Questions!$A:$E,5,FALSE),1,0)</f>
        <v>1</v>
      </c>
      <c r="BR40" s="7">
        <f>IF(AH40=VLOOKUP(VALUE(AH$1),Questions!$A:$E,5,FALSE),1,0)</f>
        <v>1</v>
      </c>
      <c r="BS40" s="7">
        <f>IF(AI40=VLOOKUP(VALUE(AI$1),Questions!$A:$E,5,FALSE),1,0)</f>
        <v>1</v>
      </c>
    </row>
    <row r="41" spans="1:71">
      <c r="A41" s="10">
        <v>40</v>
      </c>
      <c r="B41" s="14" t="b">
        <v>0</v>
      </c>
      <c r="C41" s="14" t="b">
        <v>0</v>
      </c>
      <c r="D41" s="102">
        <f>SUM(Scores[[#This Row],[Q1]:[Q28]])</f>
        <v>20</v>
      </c>
      <c r="E41" s="103">
        <f>SUM(Scores[[#This Row],[29]:[34b]])</f>
        <v>0</v>
      </c>
      <c r="F41" s="103">
        <f>Scores[[#This Row],[35]]</f>
        <v>0</v>
      </c>
      <c r="G41" s="104">
        <f>INDEX('Conversion Chart'!$C$3:$M$38,MATCH(SUM(Scores[[#This Row],[MC]:[CRQ]]),'Conversion Chart'!$B$3:$B$38,0),MATCH(Scores[[#This Row],[EIE]],'Conversion Chart'!$C$2:$M$2,0))</f>
        <v>53</v>
      </c>
      <c r="H41" s="5">
        <v>3</v>
      </c>
      <c r="I41" s="5">
        <v>1</v>
      </c>
      <c r="J41" s="5">
        <v>1</v>
      </c>
      <c r="K41" s="5">
        <v>3</v>
      </c>
      <c r="L41" s="5">
        <v>2</v>
      </c>
      <c r="M41" s="5">
        <v>4</v>
      </c>
      <c r="N41" s="5">
        <v>3</v>
      </c>
      <c r="O41" s="5">
        <v>1</v>
      </c>
      <c r="P41" s="5">
        <v>2</v>
      </c>
      <c r="Q41" s="5">
        <v>3</v>
      </c>
      <c r="R41" s="5">
        <v>4</v>
      </c>
      <c r="S41" s="5">
        <v>2</v>
      </c>
      <c r="T41" s="5">
        <v>4</v>
      </c>
      <c r="U41" s="5">
        <v>1</v>
      </c>
      <c r="V41" s="5">
        <v>3</v>
      </c>
      <c r="W41" s="5">
        <v>4</v>
      </c>
      <c r="X41" s="5">
        <v>2</v>
      </c>
      <c r="Y41" s="5">
        <v>3</v>
      </c>
      <c r="Z41" s="5">
        <v>2</v>
      </c>
      <c r="AA41" s="5">
        <v>3</v>
      </c>
      <c r="AB41" s="5">
        <v>4</v>
      </c>
      <c r="AC41" s="5">
        <v>1</v>
      </c>
      <c r="AD41" s="5">
        <v>3</v>
      </c>
      <c r="AE41" s="5">
        <v>2</v>
      </c>
      <c r="AF41" s="5">
        <v>4</v>
      </c>
      <c r="AG41" s="5">
        <v>3</v>
      </c>
      <c r="AH41" s="5">
        <v>1</v>
      </c>
      <c r="AI41" s="104">
        <v>1</v>
      </c>
      <c r="AJ41" s="95"/>
      <c r="AK41" s="84"/>
      <c r="AL41" s="84"/>
      <c r="AM41" s="84"/>
      <c r="AN41" s="84"/>
      <c r="AO41" s="84"/>
      <c r="AP41" s="94"/>
      <c r="AR41" s="7">
        <f>IF(H41=VLOOKUP(VALUE(H$1),Questions!$A:$E,5,FALSE),1,0)</f>
        <v>0</v>
      </c>
      <c r="AS41" s="7">
        <f>IF(I41=VLOOKUP(VALUE(I$1),Questions!$A:$E,5,FALSE),1,0)</f>
        <v>0</v>
      </c>
      <c r="AT41" s="7">
        <f>IF(J41=VLOOKUP(VALUE(J$1),Questions!$A:$E,5,FALSE),1,0)</f>
        <v>1</v>
      </c>
      <c r="AU41" s="7">
        <f>IF(K41=VLOOKUP(VALUE(K$1),Questions!$A:$E,5,FALSE),1,0)</f>
        <v>0</v>
      </c>
      <c r="AV41" s="7">
        <f>IF(L41=VLOOKUP(VALUE(L$1),Questions!$A:$E,5,FALSE),1,0)</f>
        <v>1</v>
      </c>
      <c r="AW41" s="7">
        <f>IF(M41=VLOOKUP(VALUE(M$1),Questions!$A:$E,5,FALSE),1,0)</f>
        <v>1</v>
      </c>
      <c r="AX41" s="7">
        <f>IF(N41=VLOOKUP(VALUE(N$1),Questions!$A:$E,5,FALSE),1,0)</f>
        <v>1</v>
      </c>
      <c r="AY41" s="7">
        <f>IF(O41=VLOOKUP(VALUE(O$1),Questions!$A:$E,5,FALSE),1,0)</f>
        <v>1</v>
      </c>
      <c r="AZ41" s="7">
        <f>IF(P41=VLOOKUP(VALUE(P$1),Questions!$A:$E,5,FALSE),1,0)</f>
        <v>0</v>
      </c>
      <c r="BA41" s="7">
        <f>IF(Q41=VLOOKUP(VALUE(Q$1),Questions!$A:$E,5,FALSE),1,0)</f>
        <v>0</v>
      </c>
      <c r="BB41" s="7">
        <f>IF(R41=VLOOKUP(VALUE(R$1),Questions!$A:$E,5,FALSE),1,0)</f>
        <v>1</v>
      </c>
      <c r="BC41" s="7">
        <f>IF(S41=VLOOKUP(VALUE(S$1),Questions!$A:$E,5,FALSE),1,0)</f>
        <v>1</v>
      </c>
      <c r="BD41" s="7">
        <f>IF(T41=VLOOKUP(VALUE(T$1),Questions!$A:$E,5,FALSE),1,0)</f>
        <v>0</v>
      </c>
      <c r="BE41" s="7">
        <f>IF(U41=VLOOKUP(VALUE(U$1),Questions!$A:$E,5,FALSE),1,0)</f>
        <v>0</v>
      </c>
      <c r="BF41" s="7">
        <f>IF(V41=VLOOKUP(VALUE(V$1),Questions!$A:$E,5,FALSE),1,0)</f>
        <v>1</v>
      </c>
      <c r="BG41" s="7">
        <f>IF(W41=VLOOKUP(VALUE(W$1),Questions!$A:$E,5,FALSE),1,0)</f>
        <v>1</v>
      </c>
      <c r="BH41" s="7">
        <f>IF(X41=VLOOKUP(VALUE(X$1),Questions!$A:$E,5,FALSE),1,0)</f>
        <v>1</v>
      </c>
      <c r="BI41" s="7">
        <f>IF(Y41=VLOOKUP(VALUE(Y$1),Questions!$A:$E,5,FALSE),1,0)</f>
        <v>1</v>
      </c>
      <c r="BJ41" s="7">
        <f>IF(Z41=VLOOKUP(VALUE(Z$1),Questions!$A:$E,5,FALSE),1,0)</f>
        <v>1</v>
      </c>
      <c r="BK41" s="7">
        <f>IF(AA41=VLOOKUP(VALUE(AA$1),Questions!$A:$E,5,FALSE),1,0)</f>
        <v>1</v>
      </c>
      <c r="BL41" s="7">
        <f>IF(AB41=VLOOKUP(VALUE(AB$1),Questions!$A:$E,5,FALSE),1,0)</f>
        <v>0</v>
      </c>
      <c r="BM41" s="7">
        <f>IF(AC41=VLOOKUP(VALUE(AC$1),Questions!$A:$E,5,FALSE),1,0)</f>
        <v>1</v>
      </c>
      <c r="BN41" s="7">
        <f>IF(AD41=VLOOKUP(VALUE(AD$1),Questions!$A:$E,5,FALSE),1,0)</f>
        <v>1</v>
      </c>
      <c r="BO41" s="7">
        <f>IF(AE41=VLOOKUP(VALUE(AE$1),Questions!$A:$E,5,FALSE),1,0)</f>
        <v>1</v>
      </c>
      <c r="BP41" s="7">
        <f>IF(AF41=VLOOKUP(VALUE(AF$1),Questions!$A:$E,5,FALSE),1,0)</f>
        <v>1</v>
      </c>
      <c r="BQ41" s="7">
        <f>IF(AG41=VLOOKUP(VALUE(AG$1),Questions!$A:$E,5,FALSE),1,0)</f>
        <v>1</v>
      </c>
      <c r="BR41" s="7">
        <f>IF(AH41=VLOOKUP(VALUE(AH$1),Questions!$A:$E,5,FALSE),1,0)</f>
        <v>1</v>
      </c>
      <c r="BS41" s="7">
        <f>IF(AI41=VLOOKUP(VALUE(AI$1),Questions!$A:$E,5,FALSE),1,0)</f>
        <v>1</v>
      </c>
    </row>
    <row r="42" spans="1:71">
      <c r="A42" s="10">
        <v>41</v>
      </c>
      <c r="B42" s="14" t="b">
        <v>0</v>
      </c>
      <c r="C42" s="14" t="b">
        <v>0</v>
      </c>
      <c r="D42" s="102">
        <f>SUM(Scores[[#This Row],[Q1]:[Q28]])</f>
        <v>18</v>
      </c>
      <c r="E42" s="103">
        <f>SUM(Scores[[#This Row],[29]:[34b]])</f>
        <v>0</v>
      </c>
      <c r="F42" s="103">
        <f>Scores[[#This Row],[35]]</f>
        <v>0</v>
      </c>
      <c r="G42" s="104">
        <f>INDEX('Conversion Chart'!$C$3:$M$38,MATCH(SUM(Scores[[#This Row],[MC]:[CRQ]]),'Conversion Chart'!$B$3:$B$38,0),MATCH(Scores[[#This Row],[EIE]],'Conversion Chart'!$C$2:$M$2,0))</f>
        <v>49</v>
      </c>
      <c r="H42" s="5">
        <v>4</v>
      </c>
      <c r="I42" s="5">
        <v>3</v>
      </c>
      <c r="J42" s="5">
        <v>2</v>
      </c>
      <c r="K42" s="5">
        <v>1</v>
      </c>
      <c r="L42" s="5">
        <v>1</v>
      </c>
      <c r="M42" s="5">
        <v>4</v>
      </c>
      <c r="N42" s="5">
        <v>3</v>
      </c>
      <c r="O42" s="5">
        <v>3</v>
      </c>
      <c r="P42" s="5">
        <v>1</v>
      </c>
      <c r="Q42" s="5">
        <v>2</v>
      </c>
      <c r="R42" s="5">
        <v>4</v>
      </c>
      <c r="S42" s="5">
        <v>2</v>
      </c>
      <c r="T42" s="5">
        <v>1</v>
      </c>
      <c r="U42" s="5">
        <v>4</v>
      </c>
      <c r="V42" s="5">
        <v>1</v>
      </c>
      <c r="W42" s="5">
        <v>4</v>
      </c>
      <c r="X42" s="5">
        <v>2</v>
      </c>
      <c r="Y42" s="5">
        <v>1</v>
      </c>
      <c r="Z42" s="5">
        <v>1</v>
      </c>
      <c r="AA42" s="5">
        <v>3</v>
      </c>
      <c r="AB42" s="5">
        <v>2</v>
      </c>
      <c r="AC42" s="5">
        <v>1</v>
      </c>
      <c r="AD42" s="5">
        <v>3</v>
      </c>
      <c r="AE42" s="5">
        <v>4</v>
      </c>
      <c r="AF42" s="5">
        <v>4</v>
      </c>
      <c r="AG42" s="5">
        <v>2</v>
      </c>
      <c r="AH42" s="5">
        <v>1</v>
      </c>
      <c r="AI42" s="104">
        <v>1</v>
      </c>
      <c r="AJ42" s="95"/>
      <c r="AK42" s="84"/>
      <c r="AL42" s="84"/>
      <c r="AM42" s="84"/>
      <c r="AN42" s="84"/>
      <c r="AO42" s="84"/>
      <c r="AP42" s="94"/>
      <c r="AR42" s="7">
        <f>IF(H42=VLOOKUP(VALUE(H$1),Questions!$A:$E,5,FALSE),1,0)</f>
        <v>1</v>
      </c>
      <c r="AS42" s="7">
        <f>IF(I42=VLOOKUP(VALUE(I$1),Questions!$A:$E,5,FALSE),1,0)</f>
        <v>1</v>
      </c>
      <c r="AT42" s="7">
        <f>IF(J42=VLOOKUP(VALUE(J$1),Questions!$A:$E,5,FALSE),1,0)</f>
        <v>0</v>
      </c>
      <c r="AU42" s="7">
        <f>IF(K42=VLOOKUP(VALUE(K$1),Questions!$A:$E,5,FALSE),1,0)</f>
        <v>0</v>
      </c>
      <c r="AV42" s="7">
        <f>IF(L42=VLOOKUP(VALUE(L$1),Questions!$A:$E,5,FALSE),1,0)</f>
        <v>0</v>
      </c>
      <c r="AW42" s="7">
        <f>IF(M42=VLOOKUP(VALUE(M$1),Questions!$A:$E,5,FALSE),1,0)</f>
        <v>1</v>
      </c>
      <c r="AX42" s="7">
        <f>IF(N42=VLOOKUP(VALUE(N$1),Questions!$A:$E,5,FALSE),1,0)</f>
        <v>1</v>
      </c>
      <c r="AY42" s="7">
        <f>IF(O42=VLOOKUP(VALUE(O$1),Questions!$A:$E,5,FALSE),1,0)</f>
        <v>0</v>
      </c>
      <c r="AZ42" s="7">
        <f>IF(P42=VLOOKUP(VALUE(P$1),Questions!$A:$E,5,FALSE),1,0)</f>
        <v>1</v>
      </c>
      <c r="BA42" s="7">
        <f>IF(Q42=VLOOKUP(VALUE(Q$1),Questions!$A:$E,5,FALSE),1,0)</f>
        <v>0</v>
      </c>
      <c r="BB42" s="7">
        <f>IF(R42=VLOOKUP(VALUE(R$1),Questions!$A:$E,5,FALSE),1,0)</f>
        <v>1</v>
      </c>
      <c r="BC42" s="7">
        <f>IF(S42=VLOOKUP(VALUE(S$1),Questions!$A:$E,5,FALSE),1,0)</f>
        <v>1</v>
      </c>
      <c r="BD42" s="7">
        <f>IF(T42=VLOOKUP(VALUE(T$1),Questions!$A:$E,5,FALSE),1,0)</f>
        <v>1</v>
      </c>
      <c r="BE42" s="7">
        <f>IF(U42=VLOOKUP(VALUE(U$1),Questions!$A:$E,5,FALSE),1,0)</f>
        <v>1</v>
      </c>
      <c r="BF42" s="7">
        <f>IF(V42=VLOOKUP(VALUE(V$1),Questions!$A:$E,5,FALSE),1,0)</f>
        <v>0</v>
      </c>
      <c r="BG42" s="7">
        <f>IF(W42=VLOOKUP(VALUE(W$1),Questions!$A:$E,5,FALSE),1,0)</f>
        <v>1</v>
      </c>
      <c r="BH42" s="7">
        <f>IF(X42=VLOOKUP(VALUE(X$1),Questions!$A:$E,5,FALSE),1,0)</f>
        <v>1</v>
      </c>
      <c r="BI42" s="7">
        <f>IF(Y42=VLOOKUP(VALUE(Y$1),Questions!$A:$E,5,FALSE),1,0)</f>
        <v>0</v>
      </c>
      <c r="BJ42" s="7">
        <f>IF(Z42=VLOOKUP(VALUE(Z$1),Questions!$A:$E,5,FALSE),1,0)</f>
        <v>0</v>
      </c>
      <c r="BK42" s="7">
        <f>IF(AA42=VLOOKUP(VALUE(AA$1),Questions!$A:$E,5,FALSE),1,0)</f>
        <v>1</v>
      </c>
      <c r="BL42" s="7">
        <f>IF(AB42=VLOOKUP(VALUE(AB$1),Questions!$A:$E,5,FALSE),1,0)</f>
        <v>1</v>
      </c>
      <c r="BM42" s="7">
        <f>IF(AC42=VLOOKUP(VALUE(AC$1),Questions!$A:$E,5,FALSE),1,0)</f>
        <v>1</v>
      </c>
      <c r="BN42" s="7">
        <f>IF(AD42=VLOOKUP(VALUE(AD$1),Questions!$A:$E,5,FALSE),1,0)</f>
        <v>1</v>
      </c>
      <c r="BO42" s="7">
        <f>IF(AE42=VLOOKUP(VALUE(AE$1),Questions!$A:$E,5,FALSE),1,0)</f>
        <v>0</v>
      </c>
      <c r="BP42" s="7">
        <f>IF(AF42=VLOOKUP(VALUE(AF$1),Questions!$A:$E,5,FALSE),1,0)</f>
        <v>1</v>
      </c>
      <c r="BQ42" s="7">
        <f>IF(AG42=VLOOKUP(VALUE(AG$1),Questions!$A:$E,5,FALSE),1,0)</f>
        <v>0</v>
      </c>
      <c r="BR42" s="7">
        <f>IF(AH42=VLOOKUP(VALUE(AH$1),Questions!$A:$E,5,FALSE),1,0)</f>
        <v>1</v>
      </c>
      <c r="BS42" s="7">
        <f>IF(AI42=VLOOKUP(VALUE(AI$1),Questions!$A:$E,5,FALSE),1,0)</f>
        <v>1</v>
      </c>
    </row>
    <row r="43" spans="1:71">
      <c r="A43" s="10">
        <v>42</v>
      </c>
      <c r="B43" s="14" t="b">
        <v>0</v>
      </c>
      <c r="C43" s="14" t="b">
        <v>0</v>
      </c>
      <c r="D43" s="102">
        <f>SUM(Scores[[#This Row],[Q1]:[Q28]])</f>
        <v>23</v>
      </c>
      <c r="E43" s="103">
        <f>SUM(Scores[[#This Row],[29]:[34b]])</f>
        <v>0</v>
      </c>
      <c r="F43" s="103">
        <f>Scores[[#This Row],[35]]</f>
        <v>0</v>
      </c>
      <c r="G43" s="104">
        <f>INDEX('Conversion Chart'!$C$3:$M$38,MATCH(SUM(Scores[[#This Row],[MC]:[CRQ]]),'Conversion Chart'!$B$3:$B$38,0),MATCH(Scores[[#This Row],[EIE]],'Conversion Chart'!$C$2:$M$2,0))</f>
        <v>59</v>
      </c>
      <c r="H43" s="5">
        <v>4</v>
      </c>
      <c r="I43" s="5">
        <v>3</v>
      </c>
      <c r="J43" s="5">
        <v>1</v>
      </c>
      <c r="K43" s="5">
        <v>3</v>
      </c>
      <c r="L43" s="5">
        <v>2</v>
      </c>
      <c r="M43" s="5">
        <v>4</v>
      </c>
      <c r="N43" s="5">
        <v>3</v>
      </c>
      <c r="O43" s="5">
        <v>1</v>
      </c>
      <c r="P43" s="5">
        <v>2</v>
      </c>
      <c r="Q43" s="5">
        <v>1</v>
      </c>
      <c r="R43" s="5">
        <v>4</v>
      </c>
      <c r="S43" s="5">
        <v>4</v>
      </c>
      <c r="T43" s="5">
        <v>1</v>
      </c>
      <c r="U43" s="5">
        <v>4</v>
      </c>
      <c r="V43" s="5">
        <v>4</v>
      </c>
      <c r="W43" s="5">
        <v>4</v>
      </c>
      <c r="X43" s="5">
        <v>2</v>
      </c>
      <c r="Y43" s="5">
        <v>3</v>
      </c>
      <c r="Z43" s="5">
        <v>4</v>
      </c>
      <c r="AA43" s="5">
        <v>3</v>
      </c>
      <c r="AB43" s="5">
        <v>2</v>
      </c>
      <c r="AC43" s="5">
        <v>1</v>
      </c>
      <c r="AD43" s="5">
        <v>3</v>
      </c>
      <c r="AE43" s="5">
        <v>2</v>
      </c>
      <c r="AF43" s="5">
        <v>4</v>
      </c>
      <c r="AG43" s="5">
        <v>3</v>
      </c>
      <c r="AH43" s="5">
        <v>1</v>
      </c>
      <c r="AI43" s="104">
        <v>1</v>
      </c>
      <c r="AJ43" s="95"/>
      <c r="AK43" s="84"/>
      <c r="AL43" s="84"/>
      <c r="AM43" s="84"/>
      <c r="AN43" s="84"/>
      <c r="AO43" s="84"/>
      <c r="AP43" s="94"/>
      <c r="AR43" s="7">
        <f>IF(H43=VLOOKUP(VALUE(H$1),Questions!$A:$E,5,FALSE),1,0)</f>
        <v>1</v>
      </c>
      <c r="AS43" s="7">
        <f>IF(I43=VLOOKUP(VALUE(I$1),Questions!$A:$E,5,FALSE),1,0)</f>
        <v>1</v>
      </c>
      <c r="AT43" s="7">
        <f>IF(J43=VLOOKUP(VALUE(J$1),Questions!$A:$E,5,FALSE),1,0)</f>
        <v>1</v>
      </c>
      <c r="AU43" s="7">
        <f>IF(K43=VLOOKUP(VALUE(K$1),Questions!$A:$E,5,FALSE),1,0)</f>
        <v>0</v>
      </c>
      <c r="AV43" s="7">
        <f>IF(L43=VLOOKUP(VALUE(L$1),Questions!$A:$E,5,FALSE),1,0)</f>
        <v>1</v>
      </c>
      <c r="AW43" s="7">
        <f>IF(M43=VLOOKUP(VALUE(M$1),Questions!$A:$E,5,FALSE),1,0)</f>
        <v>1</v>
      </c>
      <c r="AX43" s="7">
        <f>IF(N43=VLOOKUP(VALUE(N$1),Questions!$A:$E,5,FALSE),1,0)</f>
        <v>1</v>
      </c>
      <c r="AY43" s="7">
        <f>IF(O43=VLOOKUP(VALUE(O$1),Questions!$A:$E,5,FALSE),1,0)</f>
        <v>1</v>
      </c>
      <c r="AZ43" s="7">
        <f>IF(P43=VLOOKUP(VALUE(P$1),Questions!$A:$E,5,FALSE),1,0)</f>
        <v>0</v>
      </c>
      <c r="BA43" s="7">
        <f>IF(Q43=VLOOKUP(VALUE(Q$1),Questions!$A:$E,5,FALSE),1,0)</f>
        <v>1</v>
      </c>
      <c r="BB43" s="7">
        <f>IF(R43=VLOOKUP(VALUE(R$1),Questions!$A:$E,5,FALSE),1,0)</f>
        <v>1</v>
      </c>
      <c r="BC43" s="7">
        <f>IF(S43=VLOOKUP(VALUE(S$1),Questions!$A:$E,5,FALSE),1,0)</f>
        <v>0</v>
      </c>
      <c r="BD43" s="7">
        <f>IF(T43=VLOOKUP(VALUE(T$1),Questions!$A:$E,5,FALSE),1,0)</f>
        <v>1</v>
      </c>
      <c r="BE43" s="7">
        <f>IF(U43=VLOOKUP(VALUE(U$1),Questions!$A:$E,5,FALSE),1,0)</f>
        <v>1</v>
      </c>
      <c r="BF43" s="7">
        <f>IF(V43=VLOOKUP(VALUE(V$1),Questions!$A:$E,5,FALSE),1,0)</f>
        <v>0</v>
      </c>
      <c r="BG43" s="7">
        <f>IF(W43=VLOOKUP(VALUE(W$1),Questions!$A:$E,5,FALSE),1,0)</f>
        <v>1</v>
      </c>
      <c r="BH43" s="7">
        <f>IF(X43=VLOOKUP(VALUE(X$1),Questions!$A:$E,5,FALSE),1,0)</f>
        <v>1</v>
      </c>
      <c r="BI43" s="7">
        <f>IF(Y43=VLOOKUP(VALUE(Y$1),Questions!$A:$E,5,FALSE),1,0)</f>
        <v>1</v>
      </c>
      <c r="BJ43" s="7">
        <f>IF(Z43=VLOOKUP(VALUE(Z$1),Questions!$A:$E,5,FALSE),1,0)</f>
        <v>0</v>
      </c>
      <c r="BK43" s="7">
        <f>IF(AA43=VLOOKUP(VALUE(AA$1),Questions!$A:$E,5,FALSE),1,0)</f>
        <v>1</v>
      </c>
      <c r="BL43" s="7">
        <f>IF(AB43=VLOOKUP(VALUE(AB$1),Questions!$A:$E,5,FALSE),1,0)</f>
        <v>1</v>
      </c>
      <c r="BM43" s="7">
        <f>IF(AC43=VLOOKUP(VALUE(AC$1),Questions!$A:$E,5,FALSE),1,0)</f>
        <v>1</v>
      </c>
      <c r="BN43" s="7">
        <f>IF(AD43=VLOOKUP(VALUE(AD$1),Questions!$A:$E,5,FALSE),1,0)</f>
        <v>1</v>
      </c>
      <c r="BO43" s="7">
        <f>IF(AE43=VLOOKUP(VALUE(AE$1),Questions!$A:$E,5,FALSE),1,0)</f>
        <v>1</v>
      </c>
      <c r="BP43" s="7">
        <f>IF(AF43=VLOOKUP(VALUE(AF$1),Questions!$A:$E,5,FALSE),1,0)</f>
        <v>1</v>
      </c>
      <c r="BQ43" s="7">
        <f>IF(AG43=VLOOKUP(VALUE(AG$1),Questions!$A:$E,5,FALSE),1,0)</f>
        <v>1</v>
      </c>
      <c r="BR43" s="7">
        <f>IF(AH43=VLOOKUP(VALUE(AH$1),Questions!$A:$E,5,FALSE),1,0)</f>
        <v>1</v>
      </c>
      <c r="BS43" s="7">
        <f>IF(AI43=VLOOKUP(VALUE(AI$1),Questions!$A:$E,5,FALSE),1,0)</f>
        <v>1</v>
      </c>
    </row>
    <row r="44" spans="1:71">
      <c r="A44" s="10">
        <v>43</v>
      </c>
      <c r="B44" s="14" t="b">
        <v>0</v>
      </c>
      <c r="C44" s="14" t="b">
        <v>0</v>
      </c>
      <c r="D44" s="102">
        <f>SUM(Scores[[#This Row],[Q1]:[Q28]])</f>
        <v>0</v>
      </c>
      <c r="E44" s="103">
        <f>SUM(Scores[[#This Row],[29]:[34b]])</f>
        <v>0</v>
      </c>
      <c r="F44" s="103">
        <f>Scores[[#This Row],[35]]</f>
        <v>0</v>
      </c>
      <c r="G44" s="104">
        <f>INDEX('Conversion Chart'!$C$3:$M$38,MATCH(SUM(Scores[[#This Row],[MC]:[CRQ]]),'Conversion Chart'!$B$3:$B$38,0),MATCH(Scores[[#This Row],[EIE]],'Conversion Chart'!$C$2:$M$2,0))</f>
        <v>0</v>
      </c>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104"/>
      <c r="AJ44" s="95"/>
      <c r="AK44" s="84"/>
      <c r="AL44" s="84"/>
      <c r="AM44" s="84"/>
      <c r="AN44" s="84"/>
      <c r="AO44" s="84"/>
      <c r="AP44" s="94"/>
      <c r="AR44" s="7">
        <f>IF(H44=VLOOKUP(VALUE(H$1),Questions!$A:$E,5,FALSE),1,0)</f>
        <v>0</v>
      </c>
      <c r="AS44" s="7">
        <f>IF(I44=VLOOKUP(VALUE(I$1),Questions!$A:$E,5,FALSE),1,0)</f>
        <v>0</v>
      </c>
      <c r="AT44" s="7">
        <f>IF(J44=VLOOKUP(VALUE(J$1),Questions!$A:$E,5,FALSE),1,0)</f>
        <v>0</v>
      </c>
      <c r="AU44" s="7">
        <f>IF(K44=VLOOKUP(VALUE(K$1),Questions!$A:$E,5,FALSE),1,0)</f>
        <v>0</v>
      </c>
      <c r="AV44" s="7">
        <f>IF(L44=VLOOKUP(VALUE(L$1),Questions!$A:$E,5,FALSE),1,0)</f>
        <v>0</v>
      </c>
      <c r="AW44" s="7">
        <f>IF(M44=VLOOKUP(VALUE(M$1),Questions!$A:$E,5,FALSE),1,0)</f>
        <v>0</v>
      </c>
      <c r="AX44" s="7">
        <f>IF(N44=VLOOKUP(VALUE(N$1),Questions!$A:$E,5,FALSE),1,0)</f>
        <v>0</v>
      </c>
      <c r="AY44" s="7">
        <f>IF(O44=VLOOKUP(VALUE(O$1),Questions!$A:$E,5,FALSE),1,0)</f>
        <v>0</v>
      </c>
      <c r="AZ44" s="7">
        <f>IF(P44=VLOOKUP(VALUE(P$1),Questions!$A:$E,5,FALSE),1,0)</f>
        <v>0</v>
      </c>
      <c r="BA44" s="7">
        <f>IF(Q44=VLOOKUP(VALUE(Q$1),Questions!$A:$E,5,FALSE),1,0)</f>
        <v>0</v>
      </c>
      <c r="BB44" s="7">
        <f>IF(R44=VLOOKUP(VALUE(R$1),Questions!$A:$E,5,FALSE),1,0)</f>
        <v>0</v>
      </c>
      <c r="BC44" s="7">
        <f>IF(S44=VLOOKUP(VALUE(S$1),Questions!$A:$E,5,FALSE),1,0)</f>
        <v>0</v>
      </c>
      <c r="BD44" s="7">
        <f>IF(T44=VLOOKUP(VALUE(T$1),Questions!$A:$E,5,FALSE),1,0)</f>
        <v>0</v>
      </c>
      <c r="BE44" s="7">
        <f>IF(U44=VLOOKUP(VALUE(U$1),Questions!$A:$E,5,FALSE),1,0)</f>
        <v>0</v>
      </c>
      <c r="BF44" s="7">
        <f>IF(V44=VLOOKUP(VALUE(V$1),Questions!$A:$E,5,FALSE),1,0)</f>
        <v>0</v>
      </c>
      <c r="BG44" s="7">
        <f>IF(W44=VLOOKUP(VALUE(W$1),Questions!$A:$E,5,FALSE),1,0)</f>
        <v>0</v>
      </c>
      <c r="BH44" s="7">
        <f>IF(X44=VLOOKUP(VALUE(X$1),Questions!$A:$E,5,FALSE),1,0)</f>
        <v>0</v>
      </c>
      <c r="BI44" s="7">
        <f>IF(Y44=VLOOKUP(VALUE(Y$1),Questions!$A:$E,5,FALSE),1,0)</f>
        <v>0</v>
      </c>
      <c r="BJ44" s="7">
        <f>IF(Z44=VLOOKUP(VALUE(Z$1),Questions!$A:$E,5,FALSE),1,0)</f>
        <v>0</v>
      </c>
      <c r="BK44" s="7">
        <f>IF(AA44=VLOOKUP(VALUE(AA$1),Questions!$A:$E,5,FALSE),1,0)</f>
        <v>0</v>
      </c>
      <c r="BL44" s="7">
        <f>IF(AB44=VLOOKUP(VALUE(AB$1),Questions!$A:$E,5,FALSE),1,0)</f>
        <v>0</v>
      </c>
      <c r="BM44" s="7">
        <f>IF(AC44=VLOOKUP(VALUE(AC$1),Questions!$A:$E,5,FALSE),1,0)</f>
        <v>0</v>
      </c>
      <c r="BN44" s="7">
        <f>IF(AD44=VLOOKUP(VALUE(AD$1),Questions!$A:$E,5,FALSE),1,0)</f>
        <v>0</v>
      </c>
      <c r="BO44" s="7">
        <f>IF(AE44=VLOOKUP(VALUE(AE$1),Questions!$A:$E,5,FALSE),1,0)</f>
        <v>0</v>
      </c>
      <c r="BP44" s="7">
        <f>IF(AF44=VLOOKUP(VALUE(AF$1),Questions!$A:$E,5,FALSE),1,0)</f>
        <v>0</v>
      </c>
      <c r="BQ44" s="7">
        <f>IF(AG44=VLOOKUP(VALUE(AG$1),Questions!$A:$E,5,FALSE),1,0)</f>
        <v>0</v>
      </c>
      <c r="BR44" s="7">
        <f>IF(AH44=VLOOKUP(VALUE(AH$1),Questions!$A:$E,5,FALSE),1,0)</f>
        <v>0</v>
      </c>
      <c r="BS44" s="7">
        <f>IF(AI44=VLOOKUP(VALUE(AI$1),Questions!$A:$E,5,FALSE),1,0)</f>
        <v>0</v>
      </c>
    </row>
    <row r="45" spans="1:71">
      <c r="A45" s="10">
        <v>44</v>
      </c>
      <c r="B45" s="14" t="b">
        <v>0</v>
      </c>
      <c r="C45" s="14" t="b">
        <v>0</v>
      </c>
      <c r="D45" s="102">
        <f>SUM(Scores[[#This Row],[Q1]:[Q28]])</f>
        <v>22</v>
      </c>
      <c r="E45" s="103">
        <f>SUM(Scores[[#This Row],[29]:[34b]])</f>
        <v>0</v>
      </c>
      <c r="F45" s="103">
        <f>Scores[[#This Row],[35]]</f>
        <v>0</v>
      </c>
      <c r="G45" s="104">
        <f>INDEX('Conversion Chart'!$C$3:$M$38,MATCH(SUM(Scores[[#This Row],[MC]:[CRQ]]),'Conversion Chart'!$B$3:$B$38,0),MATCH(Scores[[#This Row],[EIE]],'Conversion Chart'!$C$2:$M$2,0))</f>
        <v>57</v>
      </c>
      <c r="H45" s="5">
        <v>4</v>
      </c>
      <c r="I45" s="5">
        <v>3</v>
      </c>
      <c r="J45" s="5">
        <v>1</v>
      </c>
      <c r="K45" s="5">
        <v>2</v>
      </c>
      <c r="L45" s="5">
        <v>2</v>
      </c>
      <c r="M45" s="5">
        <v>4</v>
      </c>
      <c r="N45" s="5">
        <v>3</v>
      </c>
      <c r="O45" s="5">
        <v>4</v>
      </c>
      <c r="P45" s="5">
        <v>1</v>
      </c>
      <c r="Q45" s="5">
        <v>1</v>
      </c>
      <c r="R45" s="5">
        <v>4</v>
      </c>
      <c r="S45" s="5">
        <v>3</v>
      </c>
      <c r="T45" s="5">
        <v>1</v>
      </c>
      <c r="U45" s="5">
        <v>2</v>
      </c>
      <c r="V45" s="5">
        <v>1</v>
      </c>
      <c r="W45" s="5">
        <v>3</v>
      </c>
      <c r="X45" s="5">
        <v>2</v>
      </c>
      <c r="Y45" s="5">
        <v>2</v>
      </c>
      <c r="Z45" s="5">
        <v>2</v>
      </c>
      <c r="AA45" s="5">
        <v>3</v>
      </c>
      <c r="AB45" s="5">
        <v>2</v>
      </c>
      <c r="AC45" s="5">
        <v>1</v>
      </c>
      <c r="AD45" s="5">
        <v>3</v>
      </c>
      <c r="AE45" s="5">
        <v>2</v>
      </c>
      <c r="AF45" s="5">
        <v>4</v>
      </c>
      <c r="AG45" s="5">
        <v>3</v>
      </c>
      <c r="AH45" s="5">
        <v>1</v>
      </c>
      <c r="AI45" s="104">
        <v>1</v>
      </c>
      <c r="AJ45" s="95"/>
      <c r="AK45" s="84"/>
      <c r="AL45" s="84"/>
      <c r="AM45" s="84"/>
      <c r="AN45" s="84"/>
      <c r="AO45" s="84"/>
      <c r="AP45" s="94"/>
      <c r="AR45" s="7">
        <f>IF(H45=VLOOKUP(VALUE(H$1),Questions!$A:$E,5,FALSE),1,0)</f>
        <v>1</v>
      </c>
      <c r="AS45" s="7">
        <f>IF(I45=VLOOKUP(VALUE(I$1),Questions!$A:$E,5,FALSE),1,0)</f>
        <v>1</v>
      </c>
      <c r="AT45" s="7">
        <f>IF(J45=VLOOKUP(VALUE(J$1),Questions!$A:$E,5,FALSE),1,0)</f>
        <v>1</v>
      </c>
      <c r="AU45" s="7">
        <f>IF(K45=VLOOKUP(VALUE(K$1),Questions!$A:$E,5,FALSE),1,0)</f>
        <v>1</v>
      </c>
      <c r="AV45" s="7">
        <f>IF(L45=VLOOKUP(VALUE(L$1),Questions!$A:$E,5,FALSE),1,0)</f>
        <v>1</v>
      </c>
      <c r="AW45" s="7">
        <f>IF(M45=VLOOKUP(VALUE(M$1),Questions!$A:$E,5,FALSE),1,0)</f>
        <v>1</v>
      </c>
      <c r="AX45" s="7">
        <f>IF(N45=VLOOKUP(VALUE(N$1),Questions!$A:$E,5,FALSE),1,0)</f>
        <v>1</v>
      </c>
      <c r="AY45" s="7">
        <f>IF(O45=VLOOKUP(VALUE(O$1),Questions!$A:$E,5,FALSE),1,0)</f>
        <v>0</v>
      </c>
      <c r="AZ45" s="7">
        <f>IF(P45=VLOOKUP(VALUE(P$1),Questions!$A:$E,5,FALSE),1,0)</f>
        <v>1</v>
      </c>
      <c r="BA45" s="7">
        <f>IF(Q45=VLOOKUP(VALUE(Q$1),Questions!$A:$E,5,FALSE),1,0)</f>
        <v>1</v>
      </c>
      <c r="BB45" s="7">
        <f>IF(R45=VLOOKUP(VALUE(R$1),Questions!$A:$E,5,FALSE),1,0)</f>
        <v>1</v>
      </c>
      <c r="BC45" s="7">
        <f>IF(S45=VLOOKUP(VALUE(S$1),Questions!$A:$E,5,FALSE),1,0)</f>
        <v>0</v>
      </c>
      <c r="BD45" s="7">
        <f>IF(T45=VLOOKUP(VALUE(T$1),Questions!$A:$E,5,FALSE),1,0)</f>
        <v>1</v>
      </c>
      <c r="BE45" s="7">
        <f>IF(U45=VLOOKUP(VALUE(U$1),Questions!$A:$E,5,FALSE),1,0)</f>
        <v>0</v>
      </c>
      <c r="BF45" s="7">
        <f>IF(V45=VLOOKUP(VALUE(V$1),Questions!$A:$E,5,FALSE),1,0)</f>
        <v>0</v>
      </c>
      <c r="BG45" s="7">
        <f>IF(W45=VLOOKUP(VALUE(W$1),Questions!$A:$E,5,FALSE),1,0)</f>
        <v>0</v>
      </c>
      <c r="BH45" s="7">
        <f>IF(X45=VLOOKUP(VALUE(X$1),Questions!$A:$E,5,FALSE),1,0)</f>
        <v>1</v>
      </c>
      <c r="BI45" s="7">
        <f>IF(Y45=VLOOKUP(VALUE(Y$1),Questions!$A:$E,5,FALSE),1,0)</f>
        <v>0</v>
      </c>
      <c r="BJ45" s="7">
        <f>IF(Z45=VLOOKUP(VALUE(Z$1),Questions!$A:$E,5,FALSE),1,0)</f>
        <v>1</v>
      </c>
      <c r="BK45" s="7">
        <f>IF(AA45=VLOOKUP(VALUE(AA$1),Questions!$A:$E,5,FALSE),1,0)</f>
        <v>1</v>
      </c>
      <c r="BL45" s="7">
        <f>IF(AB45=VLOOKUP(VALUE(AB$1),Questions!$A:$E,5,FALSE),1,0)</f>
        <v>1</v>
      </c>
      <c r="BM45" s="7">
        <f>IF(AC45=VLOOKUP(VALUE(AC$1),Questions!$A:$E,5,FALSE),1,0)</f>
        <v>1</v>
      </c>
      <c r="BN45" s="7">
        <f>IF(AD45=VLOOKUP(VALUE(AD$1),Questions!$A:$E,5,FALSE),1,0)</f>
        <v>1</v>
      </c>
      <c r="BO45" s="7">
        <f>IF(AE45=VLOOKUP(VALUE(AE$1),Questions!$A:$E,5,FALSE),1,0)</f>
        <v>1</v>
      </c>
      <c r="BP45" s="7">
        <f>IF(AF45=VLOOKUP(VALUE(AF$1),Questions!$A:$E,5,FALSE),1,0)</f>
        <v>1</v>
      </c>
      <c r="BQ45" s="7">
        <f>IF(AG45=VLOOKUP(VALUE(AG$1),Questions!$A:$E,5,FALSE),1,0)</f>
        <v>1</v>
      </c>
      <c r="BR45" s="7">
        <f>IF(AH45=VLOOKUP(VALUE(AH$1),Questions!$A:$E,5,FALSE),1,0)</f>
        <v>1</v>
      </c>
      <c r="BS45" s="7">
        <f>IF(AI45=VLOOKUP(VALUE(AI$1),Questions!$A:$E,5,FALSE),1,0)</f>
        <v>1</v>
      </c>
    </row>
    <row r="46" spans="1:71">
      <c r="A46" s="10">
        <v>45</v>
      </c>
      <c r="B46" s="14" t="b">
        <v>0</v>
      </c>
      <c r="C46" s="14" t="b">
        <v>0</v>
      </c>
      <c r="D46" s="102">
        <f>SUM(Scores[[#This Row],[Q1]:[Q28]])</f>
        <v>13</v>
      </c>
      <c r="E46" s="103">
        <f>SUM(Scores[[#This Row],[29]:[34b]])</f>
        <v>0</v>
      </c>
      <c r="F46" s="103">
        <f>Scores[[#This Row],[35]]</f>
        <v>0</v>
      </c>
      <c r="G46" s="104">
        <f>INDEX('Conversion Chart'!$C$3:$M$38,MATCH(SUM(Scores[[#This Row],[MC]:[CRQ]]),'Conversion Chart'!$B$3:$B$38,0),MATCH(Scores[[#This Row],[EIE]],'Conversion Chart'!$C$2:$M$2,0))</f>
        <v>38</v>
      </c>
      <c r="H46" s="5">
        <v>4</v>
      </c>
      <c r="I46" s="5">
        <v>3</v>
      </c>
      <c r="J46" s="5">
        <v>1</v>
      </c>
      <c r="K46" s="5">
        <v>2</v>
      </c>
      <c r="L46" s="5">
        <v>4</v>
      </c>
      <c r="M46" s="5">
        <v>4</v>
      </c>
      <c r="N46" s="5">
        <v>2</v>
      </c>
      <c r="O46" s="5">
        <v>3</v>
      </c>
      <c r="P46" s="5">
        <v>3</v>
      </c>
      <c r="Q46" s="5">
        <v>4</v>
      </c>
      <c r="R46" s="5">
        <v>1</v>
      </c>
      <c r="S46" s="5">
        <v>2</v>
      </c>
      <c r="T46" s="5">
        <v>3</v>
      </c>
      <c r="U46" s="5">
        <v>1</v>
      </c>
      <c r="V46" s="5">
        <v>1</v>
      </c>
      <c r="W46" s="5">
        <v>4</v>
      </c>
      <c r="X46" s="5">
        <v>2</v>
      </c>
      <c r="Y46" s="5">
        <v>3</v>
      </c>
      <c r="Z46" s="5">
        <v>1</v>
      </c>
      <c r="AA46" s="5">
        <v>4</v>
      </c>
      <c r="AB46" s="5">
        <v>2</v>
      </c>
      <c r="AC46" s="5">
        <v>4</v>
      </c>
      <c r="AD46" s="5">
        <v>3</v>
      </c>
      <c r="AE46" s="5">
        <v>1</v>
      </c>
      <c r="AF46" s="5">
        <v>2</v>
      </c>
      <c r="AG46" s="5">
        <v>3</v>
      </c>
      <c r="AH46" s="5">
        <v>4</v>
      </c>
      <c r="AI46" s="104">
        <v>1</v>
      </c>
      <c r="AJ46" s="95"/>
      <c r="AK46" s="84"/>
      <c r="AL46" s="84"/>
      <c r="AM46" s="84"/>
      <c r="AN46" s="84"/>
      <c r="AO46" s="84"/>
      <c r="AP46" s="94"/>
      <c r="AR46" s="7">
        <f>IF(H46=VLOOKUP(VALUE(H$1),Questions!$A:$E,5,FALSE),1,0)</f>
        <v>1</v>
      </c>
      <c r="AS46" s="7">
        <f>IF(I46=VLOOKUP(VALUE(I$1),Questions!$A:$E,5,FALSE),1,0)</f>
        <v>1</v>
      </c>
      <c r="AT46" s="7">
        <f>IF(J46=VLOOKUP(VALUE(J$1),Questions!$A:$E,5,FALSE),1,0)</f>
        <v>1</v>
      </c>
      <c r="AU46" s="7">
        <f>IF(K46=VLOOKUP(VALUE(K$1),Questions!$A:$E,5,FALSE),1,0)</f>
        <v>1</v>
      </c>
      <c r="AV46" s="7">
        <f>IF(L46=VLOOKUP(VALUE(L$1),Questions!$A:$E,5,FALSE),1,0)</f>
        <v>0</v>
      </c>
      <c r="AW46" s="7">
        <f>IF(M46=VLOOKUP(VALUE(M$1),Questions!$A:$E,5,FALSE),1,0)</f>
        <v>1</v>
      </c>
      <c r="AX46" s="7">
        <f>IF(N46=VLOOKUP(VALUE(N$1),Questions!$A:$E,5,FALSE),1,0)</f>
        <v>0</v>
      </c>
      <c r="AY46" s="7">
        <f>IF(O46=VLOOKUP(VALUE(O$1),Questions!$A:$E,5,FALSE),1,0)</f>
        <v>0</v>
      </c>
      <c r="AZ46" s="7">
        <f>IF(P46=VLOOKUP(VALUE(P$1),Questions!$A:$E,5,FALSE),1,0)</f>
        <v>0</v>
      </c>
      <c r="BA46" s="7">
        <f>IF(Q46=VLOOKUP(VALUE(Q$1),Questions!$A:$E,5,FALSE),1,0)</f>
        <v>0</v>
      </c>
      <c r="BB46" s="7">
        <f>IF(R46=VLOOKUP(VALUE(R$1),Questions!$A:$E,5,FALSE),1,0)</f>
        <v>0</v>
      </c>
      <c r="BC46" s="7">
        <f>IF(S46=VLOOKUP(VALUE(S$1),Questions!$A:$E,5,FALSE),1,0)</f>
        <v>1</v>
      </c>
      <c r="BD46" s="7">
        <f>IF(T46=VLOOKUP(VALUE(T$1),Questions!$A:$E,5,FALSE),1,0)</f>
        <v>0</v>
      </c>
      <c r="BE46" s="7">
        <f>IF(U46=VLOOKUP(VALUE(U$1),Questions!$A:$E,5,FALSE),1,0)</f>
        <v>0</v>
      </c>
      <c r="BF46" s="7">
        <f>IF(V46=VLOOKUP(VALUE(V$1),Questions!$A:$E,5,FALSE),1,0)</f>
        <v>0</v>
      </c>
      <c r="BG46" s="7">
        <f>IF(W46=VLOOKUP(VALUE(W$1),Questions!$A:$E,5,FALSE),1,0)</f>
        <v>1</v>
      </c>
      <c r="BH46" s="7">
        <f>IF(X46=VLOOKUP(VALUE(X$1),Questions!$A:$E,5,FALSE),1,0)</f>
        <v>1</v>
      </c>
      <c r="BI46" s="7">
        <f>IF(Y46=VLOOKUP(VALUE(Y$1),Questions!$A:$E,5,FALSE),1,0)</f>
        <v>1</v>
      </c>
      <c r="BJ46" s="7">
        <f>IF(Z46=VLOOKUP(VALUE(Z$1),Questions!$A:$E,5,FALSE),1,0)</f>
        <v>0</v>
      </c>
      <c r="BK46" s="7">
        <f>IF(AA46=VLOOKUP(VALUE(AA$1),Questions!$A:$E,5,FALSE),1,0)</f>
        <v>0</v>
      </c>
      <c r="BL46" s="7">
        <f>IF(AB46=VLOOKUP(VALUE(AB$1),Questions!$A:$E,5,FALSE),1,0)</f>
        <v>1</v>
      </c>
      <c r="BM46" s="7">
        <f>IF(AC46=VLOOKUP(VALUE(AC$1),Questions!$A:$E,5,FALSE),1,0)</f>
        <v>0</v>
      </c>
      <c r="BN46" s="7">
        <f>IF(AD46=VLOOKUP(VALUE(AD$1),Questions!$A:$E,5,FALSE),1,0)</f>
        <v>1</v>
      </c>
      <c r="BO46" s="7">
        <f>IF(AE46=VLOOKUP(VALUE(AE$1),Questions!$A:$E,5,FALSE),1,0)</f>
        <v>0</v>
      </c>
      <c r="BP46" s="7">
        <f>IF(AF46=VLOOKUP(VALUE(AF$1),Questions!$A:$E,5,FALSE),1,0)</f>
        <v>0</v>
      </c>
      <c r="BQ46" s="7">
        <f>IF(AG46=VLOOKUP(VALUE(AG$1),Questions!$A:$E,5,FALSE),1,0)</f>
        <v>1</v>
      </c>
      <c r="BR46" s="7">
        <f>IF(AH46=VLOOKUP(VALUE(AH$1),Questions!$A:$E,5,FALSE),1,0)</f>
        <v>0</v>
      </c>
      <c r="BS46" s="7">
        <f>IF(AI46=VLOOKUP(VALUE(AI$1),Questions!$A:$E,5,FALSE),1,0)</f>
        <v>1</v>
      </c>
    </row>
    <row r="47" spans="1:71">
      <c r="A47" s="10">
        <v>46</v>
      </c>
      <c r="B47" s="14" t="b">
        <v>0</v>
      </c>
      <c r="C47" s="14" t="b">
        <v>0</v>
      </c>
      <c r="D47" s="102">
        <f>SUM(Scores[[#This Row],[Q1]:[Q28]])</f>
        <v>26</v>
      </c>
      <c r="E47" s="103">
        <f>SUM(Scores[[#This Row],[29]:[34b]])</f>
        <v>0</v>
      </c>
      <c r="F47" s="103">
        <f>Scores[[#This Row],[35]]</f>
        <v>0</v>
      </c>
      <c r="G47" s="104">
        <f>INDEX('Conversion Chart'!$C$3:$M$38,MATCH(SUM(Scores[[#This Row],[MC]:[CRQ]]),'Conversion Chart'!$B$3:$B$38,0),MATCH(Scores[[#This Row],[EIE]],'Conversion Chart'!$C$2:$M$2,0))</f>
        <v>64</v>
      </c>
      <c r="H47" s="5">
        <v>4</v>
      </c>
      <c r="I47" s="5">
        <v>3</v>
      </c>
      <c r="J47" s="5">
        <v>1</v>
      </c>
      <c r="K47" s="5">
        <v>2</v>
      </c>
      <c r="L47" s="5">
        <v>2</v>
      </c>
      <c r="M47" s="5">
        <v>4</v>
      </c>
      <c r="N47" s="5">
        <v>3</v>
      </c>
      <c r="O47" s="5">
        <v>4</v>
      </c>
      <c r="P47" s="5">
        <v>1</v>
      </c>
      <c r="Q47" s="5">
        <v>1</v>
      </c>
      <c r="R47" s="5">
        <v>4</v>
      </c>
      <c r="S47" s="5">
        <v>2</v>
      </c>
      <c r="T47" s="5">
        <v>1</v>
      </c>
      <c r="U47" s="5">
        <v>4</v>
      </c>
      <c r="V47" s="5">
        <v>3</v>
      </c>
      <c r="W47" s="5">
        <v>4</v>
      </c>
      <c r="X47" s="5">
        <v>2</v>
      </c>
      <c r="Y47" s="5">
        <v>3</v>
      </c>
      <c r="Z47" s="5">
        <v>2</v>
      </c>
      <c r="AA47" s="5">
        <v>3</v>
      </c>
      <c r="AB47" s="5">
        <v>3</v>
      </c>
      <c r="AC47" s="5">
        <v>1</v>
      </c>
      <c r="AD47" s="5">
        <v>3</v>
      </c>
      <c r="AE47" s="5">
        <v>2</v>
      </c>
      <c r="AF47" s="5">
        <v>4</v>
      </c>
      <c r="AG47" s="5">
        <v>3</v>
      </c>
      <c r="AH47" s="5">
        <v>1</v>
      </c>
      <c r="AI47" s="104">
        <v>1</v>
      </c>
      <c r="AJ47" s="95"/>
      <c r="AK47" s="84"/>
      <c r="AL47" s="84"/>
      <c r="AM47" s="84"/>
      <c r="AN47" s="84"/>
      <c r="AO47" s="84"/>
      <c r="AP47" s="94"/>
      <c r="AR47" s="7">
        <f>IF(H47=VLOOKUP(VALUE(H$1),Questions!$A:$E,5,FALSE),1,0)</f>
        <v>1</v>
      </c>
      <c r="AS47" s="7">
        <f>IF(I47=VLOOKUP(VALUE(I$1),Questions!$A:$E,5,FALSE),1,0)</f>
        <v>1</v>
      </c>
      <c r="AT47" s="7">
        <f>IF(J47=VLOOKUP(VALUE(J$1),Questions!$A:$E,5,FALSE),1,0)</f>
        <v>1</v>
      </c>
      <c r="AU47" s="7">
        <f>IF(K47=VLOOKUP(VALUE(K$1),Questions!$A:$E,5,FALSE),1,0)</f>
        <v>1</v>
      </c>
      <c r="AV47" s="7">
        <f>IF(L47=VLOOKUP(VALUE(L$1),Questions!$A:$E,5,FALSE),1,0)</f>
        <v>1</v>
      </c>
      <c r="AW47" s="7">
        <f>IF(M47=VLOOKUP(VALUE(M$1),Questions!$A:$E,5,FALSE),1,0)</f>
        <v>1</v>
      </c>
      <c r="AX47" s="7">
        <f>IF(N47=VLOOKUP(VALUE(N$1),Questions!$A:$E,5,FALSE),1,0)</f>
        <v>1</v>
      </c>
      <c r="AY47" s="7">
        <f>IF(O47=VLOOKUP(VALUE(O$1),Questions!$A:$E,5,FALSE),1,0)</f>
        <v>0</v>
      </c>
      <c r="AZ47" s="7">
        <f>IF(P47=VLOOKUP(VALUE(P$1),Questions!$A:$E,5,FALSE),1,0)</f>
        <v>1</v>
      </c>
      <c r="BA47" s="7">
        <f>IF(Q47=VLOOKUP(VALUE(Q$1),Questions!$A:$E,5,FALSE),1,0)</f>
        <v>1</v>
      </c>
      <c r="BB47" s="7">
        <f>IF(R47=VLOOKUP(VALUE(R$1),Questions!$A:$E,5,FALSE),1,0)</f>
        <v>1</v>
      </c>
      <c r="BC47" s="7">
        <f>IF(S47=VLOOKUP(VALUE(S$1),Questions!$A:$E,5,FALSE),1,0)</f>
        <v>1</v>
      </c>
      <c r="BD47" s="7">
        <f>IF(T47=VLOOKUP(VALUE(T$1),Questions!$A:$E,5,FALSE),1,0)</f>
        <v>1</v>
      </c>
      <c r="BE47" s="7">
        <f>IF(U47=VLOOKUP(VALUE(U$1),Questions!$A:$E,5,FALSE),1,0)</f>
        <v>1</v>
      </c>
      <c r="BF47" s="7">
        <f>IF(V47=VLOOKUP(VALUE(V$1),Questions!$A:$E,5,FALSE),1,0)</f>
        <v>1</v>
      </c>
      <c r="BG47" s="7">
        <f>IF(W47=VLOOKUP(VALUE(W$1),Questions!$A:$E,5,FALSE),1,0)</f>
        <v>1</v>
      </c>
      <c r="BH47" s="7">
        <f>IF(X47=VLOOKUP(VALUE(X$1),Questions!$A:$E,5,FALSE),1,0)</f>
        <v>1</v>
      </c>
      <c r="BI47" s="7">
        <f>IF(Y47=VLOOKUP(VALUE(Y$1),Questions!$A:$E,5,FALSE),1,0)</f>
        <v>1</v>
      </c>
      <c r="BJ47" s="7">
        <f>IF(Z47=VLOOKUP(VALUE(Z$1),Questions!$A:$E,5,FALSE),1,0)</f>
        <v>1</v>
      </c>
      <c r="BK47" s="7">
        <f>IF(AA47=VLOOKUP(VALUE(AA$1),Questions!$A:$E,5,FALSE),1,0)</f>
        <v>1</v>
      </c>
      <c r="BL47" s="7">
        <f>IF(AB47=VLOOKUP(VALUE(AB$1),Questions!$A:$E,5,FALSE),1,0)</f>
        <v>0</v>
      </c>
      <c r="BM47" s="7">
        <f>IF(AC47=VLOOKUP(VALUE(AC$1),Questions!$A:$E,5,FALSE),1,0)</f>
        <v>1</v>
      </c>
      <c r="BN47" s="7">
        <f>IF(AD47=VLOOKUP(VALUE(AD$1),Questions!$A:$E,5,FALSE),1,0)</f>
        <v>1</v>
      </c>
      <c r="BO47" s="7">
        <f>IF(AE47=VLOOKUP(VALUE(AE$1),Questions!$A:$E,5,FALSE),1,0)</f>
        <v>1</v>
      </c>
      <c r="BP47" s="7">
        <f>IF(AF47=VLOOKUP(VALUE(AF$1),Questions!$A:$E,5,FALSE),1,0)</f>
        <v>1</v>
      </c>
      <c r="BQ47" s="7">
        <f>IF(AG47=VLOOKUP(VALUE(AG$1),Questions!$A:$E,5,FALSE),1,0)</f>
        <v>1</v>
      </c>
      <c r="BR47" s="7">
        <f>IF(AH47=VLOOKUP(VALUE(AH$1),Questions!$A:$E,5,FALSE),1,0)</f>
        <v>1</v>
      </c>
      <c r="BS47" s="7">
        <f>IF(AI47=VLOOKUP(VALUE(AI$1),Questions!$A:$E,5,FALSE),1,0)</f>
        <v>1</v>
      </c>
    </row>
    <row r="48" spans="1:71">
      <c r="A48" s="10">
        <v>47</v>
      </c>
      <c r="B48" s="14" t="b">
        <v>0</v>
      </c>
      <c r="C48" s="14" t="b">
        <v>0</v>
      </c>
      <c r="D48" s="102">
        <f>SUM(Scores[[#This Row],[Q1]:[Q28]])</f>
        <v>28</v>
      </c>
      <c r="E48" s="103">
        <f>SUM(Scores[[#This Row],[29]:[34b]])</f>
        <v>0</v>
      </c>
      <c r="F48" s="103">
        <f>Scores[[#This Row],[35]]</f>
        <v>0</v>
      </c>
      <c r="G48" s="104">
        <f>INDEX('Conversion Chart'!$C$3:$M$38,MATCH(SUM(Scores[[#This Row],[MC]:[CRQ]]),'Conversion Chart'!$B$3:$B$38,0),MATCH(Scores[[#This Row],[EIE]],'Conversion Chart'!$C$2:$M$2,0))</f>
        <v>68</v>
      </c>
      <c r="H48" s="5">
        <v>4</v>
      </c>
      <c r="I48" s="5">
        <v>3</v>
      </c>
      <c r="J48" s="5">
        <v>1</v>
      </c>
      <c r="K48" s="5">
        <v>2</v>
      </c>
      <c r="L48" s="5">
        <v>2</v>
      </c>
      <c r="M48" s="5">
        <v>4</v>
      </c>
      <c r="N48" s="5">
        <v>3</v>
      </c>
      <c r="O48" s="5">
        <v>1</v>
      </c>
      <c r="P48" s="5">
        <v>1</v>
      </c>
      <c r="Q48" s="5">
        <v>1</v>
      </c>
      <c r="R48" s="5">
        <v>4</v>
      </c>
      <c r="S48" s="5">
        <v>2</v>
      </c>
      <c r="T48" s="5">
        <v>1</v>
      </c>
      <c r="U48" s="5">
        <v>4</v>
      </c>
      <c r="V48" s="5">
        <v>3</v>
      </c>
      <c r="W48" s="5">
        <v>4</v>
      </c>
      <c r="X48" s="5">
        <v>2</v>
      </c>
      <c r="Y48" s="5">
        <v>3</v>
      </c>
      <c r="Z48" s="5">
        <v>2</v>
      </c>
      <c r="AA48" s="5">
        <v>3</v>
      </c>
      <c r="AB48" s="5">
        <v>2</v>
      </c>
      <c r="AC48" s="5">
        <v>1</v>
      </c>
      <c r="AD48" s="5">
        <v>3</v>
      </c>
      <c r="AE48" s="5">
        <v>2</v>
      </c>
      <c r="AF48" s="5">
        <v>4</v>
      </c>
      <c r="AG48" s="5">
        <v>3</v>
      </c>
      <c r="AH48" s="5">
        <v>1</v>
      </c>
      <c r="AI48" s="104">
        <v>1</v>
      </c>
      <c r="AJ48" s="95"/>
      <c r="AK48" s="84"/>
      <c r="AL48" s="84"/>
      <c r="AM48" s="84"/>
      <c r="AN48" s="84"/>
      <c r="AO48" s="84"/>
      <c r="AP48" s="94"/>
      <c r="AR48" s="7">
        <f>IF(H48=VLOOKUP(VALUE(H$1),Questions!$A:$E,5,FALSE),1,0)</f>
        <v>1</v>
      </c>
      <c r="AS48" s="7">
        <f>IF(I48=VLOOKUP(VALUE(I$1),Questions!$A:$E,5,FALSE),1,0)</f>
        <v>1</v>
      </c>
      <c r="AT48" s="7">
        <f>IF(J48=VLOOKUP(VALUE(J$1),Questions!$A:$E,5,FALSE),1,0)</f>
        <v>1</v>
      </c>
      <c r="AU48" s="7">
        <f>IF(K48=VLOOKUP(VALUE(K$1),Questions!$A:$E,5,FALSE),1,0)</f>
        <v>1</v>
      </c>
      <c r="AV48" s="7">
        <f>IF(L48=VLOOKUP(VALUE(L$1),Questions!$A:$E,5,FALSE),1,0)</f>
        <v>1</v>
      </c>
      <c r="AW48" s="7">
        <f>IF(M48=VLOOKUP(VALUE(M$1),Questions!$A:$E,5,FALSE),1,0)</f>
        <v>1</v>
      </c>
      <c r="AX48" s="7">
        <f>IF(N48=VLOOKUP(VALUE(N$1),Questions!$A:$E,5,FALSE),1,0)</f>
        <v>1</v>
      </c>
      <c r="AY48" s="7">
        <f>IF(O48=VLOOKUP(VALUE(O$1),Questions!$A:$E,5,FALSE),1,0)</f>
        <v>1</v>
      </c>
      <c r="AZ48" s="7">
        <f>IF(P48=VLOOKUP(VALUE(P$1),Questions!$A:$E,5,FALSE),1,0)</f>
        <v>1</v>
      </c>
      <c r="BA48" s="7">
        <f>IF(Q48=VLOOKUP(VALUE(Q$1),Questions!$A:$E,5,FALSE),1,0)</f>
        <v>1</v>
      </c>
      <c r="BB48" s="7">
        <f>IF(R48=VLOOKUP(VALUE(R$1),Questions!$A:$E,5,FALSE),1,0)</f>
        <v>1</v>
      </c>
      <c r="BC48" s="7">
        <f>IF(S48=VLOOKUP(VALUE(S$1),Questions!$A:$E,5,FALSE),1,0)</f>
        <v>1</v>
      </c>
      <c r="BD48" s="7">
        <f>IF(T48=VLOOKUP(VALUE(T$1),Questions!$A:$E,5,FALSE),1,0)</f>
        <v>1</v>
      </c>
      <c r="BE48" s="7">
        <f>IF(U48=VLOOKUP(VALUE(U$1),Questions!$A:$E,5,FALSE),1,0)</f>
        <v>1</v>
      </c>
      <c r="BF48" s="7">
        <f>IF(V48=VLOOKUP(VALUE(V$1),Questions!$A:$E,5,FALSE),1,0)</f>
        <v>1</v>
      </c>
      <c r="BG48" s="7">
        <f>IF(W48=VLOOKUP(VALUE(W$1),Questions!$A:$E,5,FALSE),1,0)</f>
        <v>1</v>
      </c>
      <c r="BH48" s="7">
        <f>IF(X48=VLOOKUP(VALUE(X$1),Questions!$A:$E,5,FALSE),1,0)</f>
        <v>1</v>
      </c>
      <c r="BI48" s="7">
        <f>IF(Y48=VLOOKUP(VALUE(Y$1),Questions!$A:$E,5,FALSE),1,0)</f>
        <v>1</v>
      </c>
      <c r="BJ48" s="7">
        <f>IF(Z48=VLOOKUP(VALUE(Z$1),Questions!$A:$E,5,FALSE),1,0)</f>
        <v>1</v>
      </c>
      <c r="BK48" s="7">
        <f>IF(AA48=VLOOKUP(VALUE(AA$1),Questions!$A:$E,5,FALSE),1,0)</f>
        <v>1</v>
      </c>
      <c r="BL48" s="7">
        <f>IF(AB48=VLOOKUP(VALUE(AB$1),Questions!$A:$E,5,FALSE),1,0)</f>
        <v>1</v>
      </c>
      <c r="BM48" s="7">
        <f>IF(AC48=VLOOKUP(VALUE(AC$1),Questions!$A:$E,5,FALSE),1,0)</f>
        <v>1</v>
      </c>
      <c r="BN48" s="7">
        <f>IF(AD48=VLOOKUP(VALUE(AD$1),Questions!$A:$E,5,FALSE),1,0)</f>
        <v>1</v>
      </c>
      <c r="BO48" s="7">
        <f>IF(AE48=VLOOKUP(VALUE(AE$1),Questions!$A:$E,5,FALSE),1,0)</f>
        <v>1</v>
      </c>
      <c r="BP48" s="7">
        <f>IF(AF48=VLOOKUP(VALUE(AF$1),Questions!$A:$E,5,FALSE),1,0)</f>
        <v>1</v>
      </c>
      <c r="BQ48" s="7">
        <f>IF(AG48=VLOOKUP(VALUE(AG$1),Questions!$A:$E,5,FALSE),1,0)</f>
        <v>1</v>
      </c>
      <c r="BR48" s="7">
        <f>IF(AH48=VLOOKUP(VALUE(AH$1),Questions!$A:$E,5,FALSE),1,0)</f>
        <v>1</v>
      </c>
      <c r="BS48" s="7">
        <f>IF(AI48=VLOOKUP(VALUE(AI$1),Questions!$A:$E,5,FALSE),1,0)</f>
        <v>1</v>
      </c>
    </row>
    <row r="49" spans="1:71">
      <c r="A49" s="10">
        <v>48</v>
      </c>
      <c r="B49" s="14" t="b">
        <v>0</v>
      </c>
      <c r="C49" s="14" t="b">
        <v>0</v>
      </c>
      <c r="D49" s="102">
        <f>SUM(Scores[[#This Row],[Q1]:[Q28]])</f>
        <v>21</v>
      </c>
      <c r="E49" s="103">
        <f>SUM(Scores[[#This Row],[29]:[34b]])</f>
        <v>0</v>
      </c>
      <c r="F49" s="103">
        <f>Scores[[#This Row],[35]]</f>
        <v>0</v>
      </c>
      <c r="G49" s="104">
        <f>INDEX('Conversion Chart'!$C$3:$M$38,MATCH(SUM(Scores[[#This Row],[MC]:[CRQ]]),'Conversion Chart'!$B$3:$B$38,0),MATCH(Scores[[#This Row],[EIE]],'Conversion Chart'!$C$2:$M$2,0))</f>
        <v>55</v>
      </c>
      <c r="H49" s="5">
        <v>3</v>
      </c>
      <c r="I49" s="5">
        <v>3</v>
      </c>
      <c r="J49" s="5">
        <v>1</v>
      </c>
      <c r="K49" s="5">
        <v>2</v>
      </c>
      <c r="L49" s="5">
        <v>2</v>
      </c>
      <c r="M49" s="5">
        <v>4</v>
      </c>
      <c r="N49" s="5">
        <v>4</v>
      </c>
      <c r="O49" s="5">
        <v>4</v>
      </c>
      <c r="P49" s="5">
        <v>1</v>
      </c>
      <c r="Q49" s="5">
        <v>3</v>
      </c>
      <c r="R49" s="5">
        <v>4</v>
      </c>
      <c r="S49" s="5">
        <v>2</v>
      </c>
      <c r="T49" s="5">
        <v>1</v>
      </c>
      <c r="U49" s="5">
        <v>2</v>
      </c>
      <c r="V49" s="5">
        <v>3</v>
      </c>
      <c r="W49" s="5">
        <v>4</v>
      </c>
      <c r="X49" s="5">
        <v>2</v>
      </c>
      <c r="Y49" s="5">
        <v>3</v>
      </c>
      <c r="Z49" s="5">
        <v>4</v>
      </c>
      <c r="AA49" s="5">
        <v>3</v>
      </c>
      <c r="AB49" s="5">
        <v>2</v>
      </c>
      <c r="AC49" s="5">
        <v>1</v>
      </c>
      <c r="AD49" s="5">
        <v>3</v>
      </c>
      <c r="AE49" s="5">
        <v>2</v>
      </c>
      <c r="AF49" s="5">
        <v>4</v>
      </c>
      <c r="AG49" s="5">
        <v>3</v>
      </c>
      <c r="AH49" s="5">
        <v>1</v>
      </c>
      <c r="AI49" s="104">
        <v>4</v>
      </c>
      <c r="AJ49" s="95"/>
      <c r="AK49" s="84"/>
      <c r="AL49" s="84"/>
      <c r="AM49" s="84"/>
      <c r="AN49" s="84"/>
      <c r="AO49" s="84"/>
      <c r="AP49" s="94"/>
      <c r="AR49" s="7">
        <f>IF(H49=VLOOKUP(VALUE(H$1),Questions!$A:$E,5,FALSE),1,0)</f>
        <v>0</v>
      </c>
      <c r="AS49" s="7">
        <f>IF(I49=VLOOKUP(VALUE(I$1),Questions!$A:$E,5,FALSE),1,0)</f>
        <v>1</v>
      </c>
      <c r="AT49" s="7">
        <f>IF(J49=VLOOKUP(VALUE(J$1),Questions!$A:$E,5,FALSE),1,0)</f>
        <v>1</v>
      </c>
      <c r="AU49" s="7">
        <f>IF(K49=VLOOKUP(VALUE(K$1),Questions!$A:$E,5,FALSE),1,0)</f>
        <v>1</v>
      </c>
      <c r="AV49" s="7">
        <f>IF(L49=VLOOKUP(VALUE(L$1),Questions!$A:$E,5,FALSE),1,0)</f>
        <v>1</v>
      </c>
      <c r="AW49" s="7">
        <f>IF(M49=VLOOKUP(VALUE(M$1),Questions!$A:$E,5,FALSE),1,0)</f>
        <v>1</v>
      </c>
      <c r="AX49" s="7">
        <f>IF(N49=VLOOKUP(VALUE(N$1),Questions!$A:$E,5,FALSE),1,0)</f>
        <v>0</v>
      </c>
      <c r="AY49" s="7">
        <f>IF(O49=VLOOKUP(VALUE(O$1),Questions!$A:$E,5,FALSE),1,0)</f>
        <v>0</v>
      </c>
      <c r="AZ49" s="7">
        <f>IF(P49=VLOOKUP(VALUE(P$1),Questions!$A:$E,5,FALSE),1,0)</f>
        <v>1</v>
      </c>
      <c r="BA49" s="7">
        <f>IF(Q49=VLOOKUP(VALUE(Q$1),Questions!$A:$E,5,FALSE),1,0)</f>
        <v>0</v>
      </c>
      <c r="BB49" s="7">
        <f>IF(R49=VLOOKUP(VALUE(R$1),Questions!$A:$E,5,FALSE),1,0)</f>
        <v>1</v>
      </c>
      <c r="BC49" s="7">
        <f>IF(S49=VLOOKUP(VALUE(S$1),Questions!$A:$E,5,FALSE),1,0)</f>
        <v>1</v>
      </c>
      <c r="BD49" s="7">
        <f>IF(T49=VLOOKUP(VALUE(T$1),Questions!$A:$E,5,FALSE),1,0)</f>
        <v>1</v>
      </c>
      <c r="BE49" s="7">
        <f>IF(U49=VLOOKUP(VALUE(U$1),Questions!$A:$E,5,FALSE),1,0)</f>
        <v>0</v>
      </c>
      <c r="BF49" s="7">
        <f>IF(V49=VLOOKUP(VALUE(V$1),Questions!$A:$E,5,FALSE),1,0)</f>
        <v>1</v>
      </c>
      <c r="BG49" s="7">
        <f>IF(W49=VLOOKUP(VALUE(W$1),Questions!$A:$E,5,FALSE),1,0)</f>
        <v>1</v>
      </c>
      <c r="BH49" s="7">
        <f>IF(X49=VLOOKUP(VALUE(X$1),Questions!$A:$E,5,FALSE),1,0)</f>
        <v>1</v>
      </c>
      <c r="BI49" s="7">
        <f>IF(Y49=VLOOKUP(VALUE(Y$1),Questions!$A:$E,5,FALSE),1,0)</f>
        <v>1</v>
      </c>
      <c r="BJ49" s="7">
        <f>IF(Z49=VLOOKUP(VALUE(Z$1),Questions!$A:$E,5,FALSE),1,0)</f>
        <v>0</v>
      </c>
      <c r="BK49" s="7">
        <f>IF(AA49=VLOOKUP(VALUE(AA$1),Questions!$A:$E,5,FALSE),1,0)</f>
        <v>1</v>
      </c>
      <c r="BL49" s="7">
        <f>IF(AB49=VLOOKUP(VALUE(AB$1),Questions!$A:$E,5,FALSE),1,0)</f>
        <v>1</v>
      </c>
      <c r="BM49" s="7">
        <f>IF(AC49=VLOOKUP(VALUE(AC$1),Questions!$A:$E,5,FALSE),1,0)</f>
        <v>1</v>
      </c>
      <c r="BN49" s="7">
        <f>IF(AD49=VLOOKUP(VALUE(AD$1),Questions!$A:$E,5,FALSE),1,0)</f>
        <v>1</v>
      </c>
      <c r="BO49" s="7">
        <f>IF(AE49=VLOOKUP(VALUE(AE$1),Questions!$A:$E,5,FALSE),1,0)</f>
        <v>1</v>
      </c>
      <c r="BP49" s="7">
        <f>IF(AF49=VLOOKUP(VALUE(AF$1),Questions!$A:$E,5,FALSE),1,0)</f>
        <v>1</v>
      </c>
      <c r="BQ49" s="7">
        <f>IF(AG49=VLOOKUP(VALUE(AG$1),Questions!$A:$E,5,FALSE),1,0)</f>
        <v>1</v>
      </c>
      <c r="BR49" s="7">
        <f>IF(AH49=VLOOKUP(VALUE(AH$1),Questions!$A:$E,5,FALSE),1,0)</f>
        <v>1</v>
      </c>
      <c r="BS49" s="7">
        <f>IF(AI49=VLOOKUP(VALUE(AI$1),Questions!$A:$E,5,FALSE),1,0)</f>
        <v>0</v>
      </c>
    </row>
    <row r="50" spans="1:71">
      <c r="A50" s="10">
        <v>49</v>
      </c>
      <c r="B50" s="14" t="b">
        <v>0</v>
      </c>
      <c r="C50" s="14" t="b">
        <v>0</v>
      </c>
      <c r="D50" s="102">
        <f>SUM(Scores[[#This Row],[Q1]:[Q28]])</f>
        <v>22</v>
      </c>
      <c r="E50" s="103">
        <f>SUM(Scores[[#This Row],[29]:[34b]])</f>
        <v>0</v>
      </c>
      <c r="F50" s="103">
        <f>Scores[[#This Row],[35]]</f>
        <v>0</v>
      </c>
      <c r="G50" s="104">
        <f>INDEX('Conversion Chart'!$C$3:$M$38,MATCH(SUM(Scores[[#This Row],[MC]:[CRQ]]),'Conversion Chart'!$B$3:$B$38,0),MATCH(Scores[[#This Row],[EIE]],'Conversion Chart'!$C$2:$M$2,0))</f>
        <v>57</v>
      </c>
      <c r="H50" s="5">
        <v>4</v>
      </c>
      <c r="I50" s="5">
        <v>3</v>
      </c>
      <c r="J50" s="5">
        <v>1</v>
      </c>
      <c r="K50" s="5">
        <v>2</v>
      </c>
      <c r="L50" s="5">
        <v>2</v>
      </c>
      <c r="M50" s="5">
        <v>4</v>
      </c>
      <c r="N50" s="5">
        <v>3</v>
      </c>
      <c r="O50" s="5">
        <v>1</v>
      </c>
      <c r="P50" s="5">
        <v>2</v>
      </c>
      <c r="Q50" s="5">
        <v>1</v>
      </c>
      <c r="R50" s="5">
        <v>4</v>
      </c>
      <c r="S50" s="5">
        <v>4</v>
      </c>
      <c r="T50" s="5">
        <v>1</v>
      </c>
      <c r="U50" s="5">
        <v>4</v>
      </c>
      <c r="V50" s="5">
        <v>1</v>
      </c>
      <c r="W50" s="5">
        <v>1</v>
      </c>
      <c r="X50" s="5">
        <v>2</v>
      </c>
      <c r="Y50" s="5">
        <v>3</v>
      </c>
      <c r="Z50" s="5">
        <v>1</v>
      </c>
      <c r="AA50" s="5">
        <v>3</v>
      </c>
      <c r="AB50" s="5">
        <v>2</v>
      </c>
      <c r="AC50" s="5">
        <v>1</v>
      </c>
      <c r="AD50" s="5">
        <v>3</v>
      </c>
      <c r="AE50" s="5">
        <v>4</v>
      </c>
      <c r="AF50" s="5">
        <v>4</v>
      </c>
      <c r="AG50" s="5">
        <v>3</v>
      </c>
      <c r="AH50" s="5">
        <v>1</v>
      </c>
      <c r="AI50" s="104">
        <v>1</v>
      </c>
      <c r="AJ50" s="95"/>
      <c r="AK50" s="84"/>
      <c r="AL50" s="84"/>
      <c r="AM50" s="84"/>
      <c r="AN50" s="84"/>
      <c r="AO50" s="84"/>
      <c r="AP50" s="94"/>
      <c r="AR50" s="7">
        <f>IF(H50=VLOOKUP(VALUE(H$1),Questions!$A:$E,5,FALSE),1,0)</f>
        <v>1</v>
      </c>
      <c r="AS50" s="7">
        <f>IF(I50=VLOOKUP(VALUE(I$1),Questions!$A:$E,5,FALSE),1,0)</f>
        <v>1</v>
      </c>
      <c r="AT50" s="7">
        <f>IF(J50=VLOOKUP(VALUE(J$1),Questions!$A:$E,5,FALSE),1,0)</f>
        <v>1</v>
      </c>
      <c r="AU50" s="7">
        <f>IF(K50=VLOOKUP(VALUE(K$1),Questions!$A:$E,5,FALSE),1,0)</f>
        <v>1</v>
      </c>
      <c r="AV50" s="7">
        <f>IF(L50=VLOOKUP(VALUE(L$1),Questions!$A:$E,5,FALSE),1,0)</f>
        <v>1</v>
      </c>
      <c r="AW50" s="7">
        <f>IF(M50=VLOOKUP(VALUE(M$1),Questions!$A:$E,5,FALSE),1,0)</f>
        <v>1</v>
      </c>
      <c r="AX50" s="7">
        <f>IF(N50=VLOOKUP(VALUE(N$1),Questions!$A:$E,5,FALSE),1,0)</f>
        <v>1</v>
      </c>
      <c r="AY50" s="7">
        <f>IF(O50=VLOOKUP(VALUE(O$1),Questions!$A:$E,5,FALSE),1,0)</f>
        <v>1</v>
      </c>
      <c r="AZ50" s="7">
        <f>IF(P50=VLOOKUP(VALUE(P$1),Questions!$A:$E,5,FALSE),1,0)</f>
        <v>0</v>
      </c>
      <c r="BA50" s="7">
        <f>IF(Q50=VLOOKUP(VALUE(Q$1),Questions!$A:$E,5,FALSE),1,0)</f>
        <v>1</v>
      </c>
      <c r="BB50" s="7">
        <f>IF(R50=VLOOKUP(VALUE(R$1),Questions!$A:$E,5,FALSE),1,0)</f>
        <v>1</v>
      </c>
      <c r="BC50" s="7">
        <f>IF(S50=VLOOKUP(VALUE(S$1),Questions!$A:$E,5,FALSE),1,0)</f>
        <v>0</v>
      </c>
      <c r="BD50" s="7">
        <f>IF(T50=VLOOKUP(VALUE(T$1),Questions!$A:$E,5,FALSE),1,0)</f>
        <v>1</v>
      </c>
      <c r="BE50" s="7">
        <f>IF(U50=VLOOKUP(VALUE(U$1),Questions!$A:$E,5,FALSE),1,0)</f>
        <v>1</v>
      </c>
      <c r="BF50" s="7">
        <f>IF(V50=VLOOKUP(VALUE(V$1),Questions!$A:$E,5,FALSE),1,0)</f>
        <v>0</v>
      </c>
      <c r="BG50" s="7">
        <f>IF(W50=VLOOKUP(VALUE(W$1),Questions!$A:$E,5,FALSE),1,0)</f>
        <v>0</v>
      </c>
      <c r="BH50" s="7">
        <f>IF(X50=VLOOKUP(VALUE(X$1),Questions!$A:$E,5,FALSE),1,0)</f>
        <v>1</v>
      </c>
      <c r="BI50" s="7">
        <f>IF(Y50=VLOOKUP(VALUE(Y$1),Questions!$A:$E,5,FALSE),1,0)</f>
        <v>1</v>
      </c>
      <c r="BJ50" s="7">
        <f>IF(Z50=VLOOKUP(VALUE(Z$1),Questions!$A:$E,5,FALSE),1,0)</f>
        <v>0</v>
      </c>
      <c r="BK50" s="7">
        <f>IF(AA50=VLOOKUP(VALUE(AA$1),Questions!$A:$E,5,FALSE),1,0)</f>
        <v>1</v>
      </c>
      <c r="BL50" s="7">
        <f>IF(AB50=VLOOKUP(VALUE(AB$1),Questions!$A:$E,5,FALSE),1,0)</f>
        <v>1</v>
      </c>
      <c r="BM50" s="7">
        <f>IF(AC50=VLOOKUP(VALUE(AC$1),Questions!$A:$E,5,FALSE),1,0)</f>
        <v>1</v>
      </c>
      <c r="BN50" s="7">
        <f>IF(AD50=VLOOKUP(VALUE(AD$1),Questions!$A:$E,5,FALSE),1,0)</f>
        <v>1</v>
      </c>
      <c r="BO50" s="7">
        <f>IF(AE50=VLOOKUP(VALUE(AE$1),Questions!$A:$E,5,FALSE),1,0)</f>
        <v>0</v>
      </c>
      <c r="BP50" s="7">
        <f>IF(AF50=VLOOKUP(VALUE(AF$1),Questions!$A:$E,5,FALSE),1,0)</f>
        <v>1</v>
      </c>
      <c r="BQ50" s="7">
        <f>IF(AG50=VLOOKUP(VALUE(AG$1),Questions!$A:$E,5,FALSE),1,0)</f>
        <v>1</v>
      </c>
      <c r="BR50" s="7">
        <f>IF(AH50=VLOOKUP(VALUE(AH$1),Questions!$A:$E,5,FALSE),1,0)</f>
        <v>1</v>
      </c>
      <c r="BS50" s="7">
        <f>IF(AI50=VLOOKUP(VALUE(AI$1),Questions!$A:$E,5,FALSE),1,0)</f>
        <v>1</v>
      </c>
    </row>
    <row r="51" spans="1:71">
      <c r="A51" s="10">
        <v>50</v>
      </c>
      <c r="B51" s="14" t="b">
        <v>0</v>
      </c>
      <c r="C51" s="14" t="b">
        <v>0</v>
      </c>
      <c r="D51" s="102">
        <f>SUM(Scores[[#This Row],[Q1]:[Q28]])</f>
        <v>20</v>
      </c>
      <c r="E51" s="103">
        <f>SUM(Scores[[#This Row],[29]:[34b]])</f>
        <v>0</v>
      </c>
      <c r="F51" s="103">
        <f>Scores[[#This Row],[35]]</f>
        <v>0</v>
      </c>
      <c r="G51" s="104">
        <f>INDEX('Conversion Chart'!$C$3:$M$38,MATCH(SUM(Scores[[#This Row],[MC]:[CRQ]]),'Conversion Chart'!$B$3:$B$38,0),MATCH(Scores[[#This Row],[EIE]],'Conversion Chart'!$C$2:$M$2,0))</f>
        <v>53</v>
      </c>
      <c r="H51" s="5">
        <v>4</v>
      </c>
      <c r="I51" s="5">
        <v>3</v>
      </c>
      <c r="J51" s="5">
        <v>1</v>
      </c>
      <c r="K51" s="5">
        <v>2</v>
      </c>
      <c r="L51" s="5">
        <v>1</v>
      </c>
      <c r="M51" s="5">
        <v>2</v>
      </c>
      <c r="N51" s="5">
        <v>3</v>
      </c>
      <c r="O51" s="5">
        <v>1</v>
      </c>
      <c r="P51" s="5">
        <v>1</v>
      </c>
      <c r="Q51" s="5">
        <v>1</v>
      </c>
      <c r="R51" s="5">
        <v>4</v>
      </c>
      <c r="S51" s="5">
        <v>4</v>
      </c>
      <c r="T51" s="5">
        <v>4</v>
      </c>
      <c r="U51" s="5">
        <v>4</v>
      </c>
      <c r="V51" s="5">
        <v>3</v>
      </c>
      <c r="W51" s="5">
        <v>4</v>
      </c>
      <c r="X51" s="5">
        <v>3</v>
      </c>
      <c r="Y51" s="5">
        <v>2</v>
      </c>
      <c r="Z51" s="5">
        <v>2</v>
      </c>
      <c r="AA51" s="5">
        <v>3</v>
      </c>
      <c r="AB51" s="5">
        <v>2</v>
      </c>
      <c r="AC51" s="5">
        <v>2</v>
      </c>
      <c r="AD51" s="5">
        <v>3</v>
      </c>
      <c r="AE51" s="5">
        <v>3</v>
      </c>
      <c r="AF51" s="5">
        <v>4</v>
      </c>
      <c r="AG51" s="5">
        <v>3</v>
      </c>
      <c r="AH51" s="5">
        <v>1</v>
      </c>
      <c r="AI51" s="104">
        <v>1</v>
      </c>
      <c r="AJ51" s="95"/>
      <c r="AK51" s="84"/>
      <c r="AL51" s="84"/>
      <c r="AM51" s="84"/>
      <c r="AN51" s="84"/>
      <c r="AO51" s="84"/>
      <c r="AP51" s="94"/>
      <c r="AR51" s="7">
        <f>IF(H51=VLOOKUP(VALUE(H$1),Questions!$A:$E,5,FALSE),1,0)</f>
        <v>1</v>
      </c>
      <c r="AS51" s="7">
        <f>IF(I51=VLOOKUP(VALUE(I$1),Questions!$A:$E,5,FALSE),1,0)</f>
        <v>1</v>
      </c>
      <c r="AT51" s="7">
        <f>IF(J51=VLOOKUP(VALUE(J$1),Questions!$A:$E,5,FALSE),1,0)</f>
        <v>1</v>
      </c>
      <c r="AU51" s="7">
        <f>IF(K51=VLOOKUP(VALUE(K$1),Questions!$A:$E,5,FALSE),1,0)</f>
        <v>1</v>
      </c>
      <c r="AV51" s="7">
        <f>IF(L51=VLOOKUP(VALUE(L$1),Questions!$A:$E,5,FALSE),1,0)</f>
        <v>0</v>
      </c>
      <c r="AW51" s="7">
        <f>IF(M51=VLOOKUP(VALUE(M$1),Questions!$A:$E,5,FALSE),1,0)</f>
        <v>0</v>
      </c>
      <c r="AX51" s="7">
        <f>IF(N51=VLOOKUP(VALUE(N$1),Questions!$A:$E,5,FALSE),1,0)</f>
        <v>1</v>
      </c>
      <c r="AY51" s="7">
        <f>IF(O51=VLOOKUP(VALUE(O$1),Questions!$A:$E,5,FALSE),1,0)</f>
        <v>1</v>
      </c>
      <c r="AZ51" s="7">
        <f>IF(P51=VLOOKUP(VALUE(P$1),Questions!$A:$E,5,FALSE),1,0)</f>
        <v>1</v>
      </c>
      <c r="BA51" s="7">
        <f>IF(Q51=VLOOKUP(VALUE(Q$1),Questions!$A:$E,5,FALSE),1,0)</f>
        <v>1</v>
      </c>
      <c r="BB51" s="7">
        <f>IF(R51=VLOOKUP(VALUE(R$1),Questions!$A:$E,5,FALSE),1,0)</f>
        <v>1</v>
      </c>
      <c r="BC51" s="7">
        <f>IF(S51=VLOOKUP(VALUE(S$1),Questions!$A:$E,5,FALSE),1,0)</f>
        <v>0</v>
      </c>
      <c r="BD51" s="7">
        <f>IF(T51=VLOOKUP(VALUE(T$1),Questions!$A:$E,5,FALSE),1,0)</f>
        <v>0</v>
      </c>
      <c r="BE51" s="7">
        <f>IF(U51=VLOOKUP(VALUE(U$1),Questions!$A:$E,5,FALSE),1,0)</f>
        <v>1</v>
      </c>
      <c r="BF51" s="7">
        <f>IF(V51=VLOOKUP(VALUE(V$1),Questions!$A:$E,5,FALSE),1,0)</f>
        <v>1</v>
      </c>
      <c r="BG51" s="7">
        <f>IF(W51=VLOOKUP(VALUE(W$1),Questions!$A:$E,5,FALSE),1,0)</f>
        <v>1</v>
      </c>
      <c r="BH51" s="7">
        <f>IF(X51=VLOOKUP(VALUE(X$1),Questions!$A:$E,5,FALSE),1,0)</f>
        <v>0</v>
      </c>
      <c r="BI51" s="7">
        <f>IF(Y51=VLOOKUP(VALUE(Y$1),Questions!$A:$E,5,FALSE),1,0)</f>
        <v>0</v>
      </c>
      <c r="BJ51" s="7">
        <f>IF(Z51=VLOOKUP(VALUE(Z$1),Questions!$A:$E,5,FALSE),1,0)</f>
        <v>1</v>
      </c>
      <c r="BK51" s="7">
        <f>IF(AA51=VLOOKUP(VALUE(AA$1),Questions!$A:$E,5,FALSE),1,0)</f>
        <v>1</v>
      </c>
      <c r="BL51" s="7">
        <f>IF(AB51=VLOOKUP(VALUE(AB$1),Questions!$A:$E,5,FALSE),1,0)</f>
        <v>1</v>
      </c>
      <c r="BM51" s="7">
        <f>IF(AC51=VLOOKUP(VALUE(AC$1),Questions!$A:$E,5,FALSE),1,0)</f>
        <v>0</v>
      </c>
      <c r="BN51" s="7">
        <f>IF(AD51=VLOOKUP(VALUE(AD$1),Questions!$A:$E,5,FALSE),1,0)</f>
        <v>1</v>
      </c>
      <c r="BO51" s="7">
        <f>IF(AE51=VLOOKUP(VALUE(AE$1),Questions!$A:$E,5,FALSE),1,0)</f>
        <v>0</v>
      </c>
      <c r="BP51" s="7">
        <f>IF(AF51=VLOOKUP(VALUE(AF$1),Questions!$A:$E,5,FALSE),1,0)</f>
        <v>1</v>
      </c>
      <c r="BQ51" s="7">
        <f>IF(AG51=VLOOKUP(VALUE(AG$1),Questions!$A:$E,5,FALSE),1,0)</f>
        <v>1</v>
      </c>
      <c r="BR51" s="7">
        <f>IF(AH51=VLOOKUP(VALUE(AH$1),Questions!$A:$E,5,FALSE),1,0)</f>
        <v>1</v>
      </c>
      <c r="BS51" s="7">
        <f>IF(AI51=VLOOKUP(VALUE(AI$1),Questions!$A:$E,5,FALSE),1,0)</f>
        <v>1</v>
      </c>
    </row>
    <row r="52" spans="1:71">
      <c r="A52" s="10">
        <v>51</v>
      </c>
      <c r="B52" s="14" t="b">
        <v>0</v>
      </c>
      <c r="C52" s="14" t="b">
        <v>0</v>
      </c>
      <c r="D52" s="102">
        <f>SUM(Scores[[#This Row],[Q1]:[Q28]])</f>
        <v>22</v>
      </c>
      <c r="E52" s="103">
        <f>SUM(Scores[[#This Row],[29]:[34b]])</f>
        <v>0</v>
      </c>
      <c r="F52" s="103">
        <f>Scores[[#This Row],[35]]</f>
        <v>0</v>
      </c>
      <c r="G52" s="104">
        <f>INDEX('Conversion Chart'!$C$3:$M$38,MATCH(SUM(Scores[[#This Row],[MC]:[CRQ]]),'Conversion Chart'!$B$3:$B$38,0),MATCH(Scores[[#This Row],[EIE]],'Conversion Chart'!$C$2:$M$2,0))</f>
        <v>57</v>
      </c>
      <c r="H52" s="5">
        <v>4</v>
      </c>
      <c r="I52" s="5">
        <v>3</v>
      </c>
      <c r="J52" s="5">
        <v>1</v>
      </c>
      <c r="K52" s="5">
        <v>2</v>
      </c>
      <c r="L52" s="5">
        <v>2</v>
      </c>
      <c r="M52" s="5">
        <v>4</v>
      </c>
      <c r="N52" s="5">
        <v>3</v>
      </c>
      <c r="O52" s="5">
        <v>1</v>
      </c>
      <c r="P52" s="5">
        <v>1</v>
      </c>
      <c r="Q52" s="5">
        <v>1</v>
      </c>
      <c r="R52" s="5">
        <v>4</v>
      </c>
      <c r="S52" s="5">
        <v>4</v>
      </c>
      <c r="T52" s="5">
        <v>4</v>
      </c>
      <c r="U52" s="5">
        <v>4</v>
      </c>
      <c r="V52" s="5">
        <v>1</v>
      </c>
      <c r="W52" s="5">
        <v>4</v>
      </c>
      <c r="X52" s="5">
        <v>2</v>
      </c>
      <c r="Y52" s="5">
        <v>2</v>
      </c>
      <c r="Z52" s="5">
        <v>2</v>
      </c>
      <c r="AA52" s="5">
        <v>3</v>
      </c>
      <c r="AB52" s="5">
        <v>2</v>
      </c>
      <c r="AC52" s="5">
        <v>1</v>
      </c>
      <c r="AD52" s="5">
        <v>1</v>
      </c>
      <c r="AE52" s="5">
        <v>4</v>
      </c>
      <c r="AF52" s="5">
        <v>4</v>
      </c>
      <c r="AG52" s="5">
        <v>3</v>
      </c>
      <c r="AH52" s="5">
        <v>1</v>
      </c>
      <c r="AI52" s="104">
        <v>1</v>
      </c>
      <c r="AJ52" s="95"/>
      <c r="AK52" s="84"/>
      <c r="AL52" s="84"/>
      <c r="AM52" s="84"/>
      <c r="AN52" s="84"/>
      <c r="AO52" s="84"/>
      <c r="AP52" s="94"/>
      <c r="AR52" s="7">
        <f>IF(H52=VLOOKUP(VALUE(H$1),Questions!$A:$E,5,FALSE),1,0)</f>
        <v>1</v>
      </c>
      <c r="AS52" s="7">
        <f>IF(I52=VLOOKUP(VALUE(I$1),Questions!$A:$E,5,FALSE),1,0)</f>
        <v>1</v>
      </c>
      <c r="AT52" s="7">
        <f>IF(J52=VLOOKUP(VALUE(J$1),Questions!$A:$E,5,FALSE),1,0)</f>
        <v>1</v>
      </c>
      <c r="AU52" s="7">
        <f>IF(K52=VLOOKUP(VALUE(K$1),Questions!$A:$E,5,FALSE),1,0)</f>
        <v>1</v>
      </c>
      <c r="AV52" s="7">
        <f>IF(L52=VLOOKUP(VALUE(L$1),Questions!$A:$E,5,FALSE),1,0)</f>
        <v>1</v>
      </c>
      <c r="AW52" s="7">
        <f>IF(M52=VLOOKUP(VALUE(M$1),Questions!$A:$E,5,FALSE),1,0)</f>
        <v>1</v>
      </c>
      <c r="AX52" s="7">
        <f>IF(N52=VLOOKUP(VALUE(N$1),Questions!$A:$E,5,FALSE),1,0)</f>
        <v>1</v>
      </c>
      <c r="AY52" s="7">
        <f>IF(O52=VLOOKUP(VALUE(O$1),Questions!$A:$E,5,FALSE),1,0)</f>
        <v>1</v>
      </c>
      <c r="AZ52" s="7">
        <f>IF(P52=VLOOKUP(VALUE(P$1),Questions!$A:$E,5,FALSE),1,0)</f>
        <v>1</v>
      </c>
      <c r="BA52" s="7">
        <f>IF(Q52=VLOOKUP(VALUE(Q$1),Questions!$A:$E,5,FALSE),1,0)</f>
        <v>1</v>
      </c>
      <c r="BB52" s="7">
        <f>IF(R52=VLOOKUP(VALUE(R$1),Questions!$A:$E,5,FALSE),1,0)</f>
        <v>1</v>
      </c>
      <c r="BC52" s="7">
        <f>IF(S52=VLOOKUP(VALUE(S$1),Questions!$A:$E,5,FALSE),1,0)</f>
        <v>0</v>
      </c>
      <c r="BD52" s="7">
        <f>IF(T52=VLOOKUP(VALUE(T$1),Questions!$A:$E,5,FALSE),1,0)</f>
        <v>0</v>
      </c>
      <c r="BE52" s="7">
        <f>IF(U52=VLOOKUP(VALUE(U$1),Questions!$A:$E,5,FALSE),1,0)</f>
        <v>1</v>
      </c>
      <c r="BF52" s="7">
        <f>IF(V52=VLOOKUP(VALUE(V$1),Questions!$A:$E,5,FALSE),1,0)</f>
        <v>0</v>
      </c>
      <c r="BG52" s="7">
        <f>IF(W52=VLOOKUP(VALUE(W$1),Questions!$A:$E,5,FALSE),1,0)</f>
        <v>1</v>
      </c>
      <c r="BH52" s="7">
        <f>IF(X52=VLOOKUP(VALUE(X$1),Questions!$A:$E,5,FALSE),1,0)</f>
        <v>1</v>
      </c>
      <c r="BI52" s="7">
        <f>IF(Y52=VLOOKUP(VALUE(Y$1),Questions!$A:$E,5,FALSE),1,0)</f>
        <v>0</v>
      </c>
      <c r="BJ52" s="7">
        <f>IF(Z52=VLOOKUP(VALUE(Z$1),Questions!$A:$E,5,FALSE),1,0)</f>
        <v>1</v>
      </c>
      <c r="BK52" s="7">
        <f>IF(AA52=VLOOKUP(VALUE(AA$1),Questions!$A:$E,5,FALSE),1,0)</f>
        <v>1</v>
      </c>
      <c r="BL52" s="7">
        <f>IF(AB52=VLOOKUP(VALUE(AB$1),Questions!$A:$E,5,FALSE),1,0)</f>
        <v>1</v>
      </c>
      <c r="BM52" s="7">
        <f>IF(AC52=VLOOKUP(VALUE(AC$1),Questions!$A:$E,5,FALSE),1,0)</f>
        <v>1</v>
      </c>
      <c r="BN52" s="7">
        <f>IF(AD52=VLOOKUP(VALUE(AD$1),Questions!$A:$E,5,FALSE),1,0)</f>
        <v>0</v>
      </c>
      <c r="BO52" s="7">
        <f>IF(AE52=VLOOKUP(VALUE(AE$1),Questions!$A:$E,5,FALSE),1,0)</f>
        <v>0</v>
      </c>
      <c r="BP52" s="7">
        <f>IF(AF52=VLOOKUP(VALUE(AF$1),Questions!$A:$E,5,FALSE),1,0)</f>
        <v>1</v>
      </c>
      <c r="BQ52" s="7">
        <f>IF(AG52=VLOOKUP(VALUE(AG$1),Questions!$A:$E,5,FALSE),1,0)</f>
        <v>1</v>
      </c>
      <c r="BR52" s="7">
        <f>IF(AH52=VLOOKUP(VALUE(AH$1),Questions!$A:$E,5,FALSE),1,0)</f>
        <v>1</v>
      </c>
      <c r="BS52" s="7">
        <f>IF(AI52=VLOOKUP(VALUE(AI$1),Questions!$A:$E,5,FALSE),1,0)</f>
        <v>1</v>
      </c>
    </row>
    <row r="53" spans="1:71">
      <c r="A53" s="10">
        <v>52</v>
      </c>
      <c r="B53" s="14" t="b">
        <v>0</v>
      </c>
      <c r="C53" s="14" t="b">
        <v>0</v>
      </c>
      <c r="D53" s="102">
        <f>SUM(Scores[[#This Row],[Q1]:[Q28]])</f>
        <v>27</v>
      </c>
      <c r="E53" s="103">
        <f>SUM(Scores[[#This Row],[29]:[34b]])</f>
        <v>0</v>
      </c>
      <c r="F53" s="103">
        <f>Scores[[#This Row],[35]]</f>
        <v>0</v>
      </c>
      <c r="G53" s="104">
        <f>INDEX('Conversion Chart'!$C$3:$M$38,MATCH(SUM(Scores[[#This Row],[MC]:[CRQ]]),'Conversion Chart'!$B$3:$B$38,0),MATCH(Scores[[#This Row],[EIE]],'Conversion Chart'!$C$2:$M$2,0))</f>
        <v>66</v>
      </c>
      <c r="H53" s="5">
        <v>4</v>
      </c>
      <c r="I53" s="5">
        <v>3</v>
      </c>
      <c r="J53" s="5">
        <v>1</v>
      </c>
      <c r="K53" s="5">
        <v>2</v>
      </c>
      <c r="L53" s="5">
        <v>2</v>
      </c>
      <c r="M53" s="5">
        <v>4</v>
      </c>
      <c r="N53" s="5">
        <v>3</v>
      </c>
      <c r="O53" s="5">
        <v>1</v>
      </c>
      <c r="P53" s="5">
        <v>1</v>
      </c>
      <c r="Q53" s="5">
        <v>1</v>
      </c>
      <c r="R53" s="5">
        <v>4</v>
      </c>
      <c r="S53" s="5">
        <v>2</v>
      </c>
      <c r="T53" s="5">
        <v>1</v>
      </c>
      <c r="U53" s="5">
        <v>4</v>
      </c>
      <c r="V53" s="5">
        <v>3</v>
      </c>
      <c r="W53" s="5">
        <v>4</v>
      </c>
      <c r="X53" s="5">
        <v>2</v>
      </c>
      <c r="Y53" s="5">
        <v>3</v>
      </c>
      <c r="Z53" s="5">
        <v>2</v>
      </c>
      <c r="AA53" s="5">
        <v>3</v>
      </c>
      <c r="AB53" s="5">
        <v>2</v>
      </c>
      <c r="AC53" s="5">
        <v>1</v>
      </c>
      <c r="AD53" s="5">
        <v>3</v>
      </c>
      <c r="AE53" s="5">
        <v>2</v>
      </c>
      <c r="AF53" s="5">
        <v>4</v>
      </c>
      <c r="AG53" s="5">
        <v>2</v>
      </c>
      <c r="AH53" s="5">
        <v>1</v>
      </c>
      <c r="AI53" s="104">
        <v>1</v>
      </c>
      <c r="AJ53" s="95"/>
      <c r="AK53" s="84"/>
      <c r="AL53" s="84"/>
      <c r="AM53" s="84"/>
      <c r="AN53" s="84"/>
      <c r="AO53" s="84"/>
      <c r="AP53" s="94"/>
      <c r="AR53" s="7">
        <f>IF(H53=VLOOKUP(VALUE(H$1),Questions!$A:$E,5,FALSE),1,0)</f>
        <v>1</v>
      </c>
      <c r="AS53" s="7">
        <f>IF(I53=VLOOKUP(VALUE(I$1),Questions!$A:$E,5,FALSE),1,0)</f>
        <v>1</v>
      </c>
      <c r="AT53" s="7">
        <f>IF(J53=VLOOKUP(VALUE(J$1),Questions!$A:$E,5,FALSE),1,0)</f>
        <v>1</v>
      </c>
      <c r="AU53" s="7">
        <f>IF(K53=VLOOKUP(VALUE(K$1),Questions!$A:$E,5,FALSE),1,0)</f>
        <v>1</v>
      </c>
      <c r="AV53" s="7">
        <f>IF(L53=VLOOKUP(VALUE(L$1),Questions!$A:$E,5,FALSE),1,0)</f>
        <v>1</v>
      </c>
      <c r="AW53" s="7">
        <f>IF(M53=VLOOKUP(VALUE(M$1),Questions!$A:$E,5,FALSE),1,0)</f>
        <v>1</v>
      </c>
      <c r="AX53" s="7">
        <f>IF(N53=VLOOKUP(VALUE(N$1),Questions!$A:$E,5,FALSE),1,0)</f>
        <v>1</v>
      </c>
      <c r="AY53" s="7">
        <f>IF(O53=VLOOKUP(VALUE(O$1),Questions!$A:$E,5,FALSE),1,0)</f>
        <v>1</v>
      </c>
      <c r="AZ53" s="7">
        <f>IF(P53=VLOOKUP(VALUE(P$1),Questions!$A:$E,5,FALSE),1,0)</f>
        <v>1</v>
      </c>
      <c r="BA53" s="7">
        <f>IF(Q53=VLOOKUP(VALUE(Q$1),Questions!$A:$E,5,FALSE),1,0)</f>
        <v>1</v>
      </c>
      <c r="BB53" s="7">
        <f>IF(R53=VLOOKUP(VALUE(R$1),Questions!$A:$E,5,FALSE),1,0)</f>
        <v>1</v>
      </c>
      <c r="BC53" s="7">
        <f>IF(S53=VLOOKUP(VALUE(S$1),Questions!$A:$E,5,FALSE),1,0)</f>
        <v>1</v>
      </c>
      <c r="BD53" s="7">
        <f>IF(T53=VLOOKUP(VALUE(T$1),Questions!$A:$E,5,FALSE),1,0)</f>
        <v>1</v>
      </c>
      <c r="BE53" s="7">
        <f>IF(U53=VLOOKUP(VALUE(U$1),Questions!$A:$E,5,FALSE),1,0)</f>
        <v>1</v>
      </c>
      <c r="BF53" s="7">
        <f>IF(V53=VLOOKUP(VALUE(V$1),Questions!$A:$E,5,FALSE),1,0)</f>
        <v>1</v>
      </c>
      <c r="BG53" s="7">
        <f>IF(W53=VLOOKUP(VALUE(W$1),Questions!$A:$E,5,FALSE),1,0)</f>
        <v>1</v>
      </c>
      <c r="BH53" s="7">
        <f>IF(X53=VLOOKUP(VALUE(X$1),Questions!$A:$E,5,FALSE),1,0)</f>
        <v>1</v>
      </c>
      <c r="BI53" s="7">
        <f>IF(Y53=VLOOKUP(VALUE(Y$1),Questions!$A:$E,5,FALSE),1,0)</f>
        <v>1</v>
      </c>
      <c r="BJ53" s="7">
        <f>IF(Z53=VLOOKUP(VALUE(Z$1),Questions!$A:$E,5,FALSE),1,0)</f>
        <v>1</v>
      </c>
      <c r="BK53" s="7">
        <f>IF(AA53=VLOOKUP(VALUE(AA$1),Questions!$A:$E,5,FALSE),1,0)</f>
        <v>1</v>
      </c>
      <c r="BL53" s="7">
        <f>IF(AB53=VLOOKUP(VALUE(AB$1),Questions!$A:$E,5,FALSE),1,0)</f>
        <v>1</v>
      </c>
      <c r="BM53" s="7">
        <f>IF(AC53=VLOOKUP(VALUE(AC$1),Questions!$A:$E,5,FALSE),1,0)</f>
        <v>1</v>
      </c>
      <c r="BN53" s="7">
        <f>IF(AD53=VLOOKUP(VALUE(AD$1),Questions!$A:$E,5,FALSE),1,0)</f>
        <v>1</v>
      </c>
      <c r="BO53" s="7">
        <f>IF(AE53=VLOOKUP(VALUE(AE$1),Questions!$A:$E,5,FALSE),1,0)</f>
        <v>1</v>
      </c>
      <c r="BP53" s="7">
        <f>IF(AF53=VLOOKUP(VALUE(AF$1),Questions!$A:$E,5,FALSE),1,0)</f>
        <v>1</v>
      </c>
      <c r="BQ53" s="7">
        <f>IF(AG53=VLOOKUP(VALUE(AG$1),Questions!$A:$E,5,FALSE),1,0)</f>
        <v>0</v>
      </c>
      <c r="BR53" s="7">
        <f>IF(AH53=VLOOKUP(VALUE(AH$1),Questions!$A:$E,5,FALSE),1,0)</f>
        <v>1</v>
      </c>
      <c r="BS53" s="7">
        <f>IF(AI53=VLOOKUP(VALUE(AI$1),Questions!$A:$E,5,FALSE),1,0)</f>
        <v>1</v>
      </c>
    </row>
    <row r="54" spans="1:71">
      <c r="A54" s="10">
        <v>53</v>
      </c>
      <c r="B54" s="14" t="b">
        <v>0</v>
      </c>
      <c r="C54" s="14" t="b">
        <v>0</v>
      </c>
      <c r="D54" s="102">
        <f>SUM(Scores[[#This Row],[Q1]:[Q28]])</f>
        <v>14</v>
      </c>
      <c r="E54" s="103">
        <f>SUM(Scores[[#This Row],[29]:[34b]])</f>
        <v>0</v>
      </c>
      <c r="F54" s="103">
        <f>Scores[[#This Row],[35]]</f>
        <v>0</v>
      </c>
      <c r="G54" s="104">
        <f>INDEX('Conversion Chart'!$C$3:$M$38,MATCH(SUM(Scores[[#This Row],[MC]:[CRQ]]),'Conversion Chart'!$B$3:$B$38,0),MATCH(Scores[[#This Row],[EIE]],'Conversion Chart'!$C$2:$M$2,0))</f>
        <v>40</v>
      </c>
      <c r="H54" s="5">
        <v>4</v>
      </c>
      <c r="I54" s="5">
        <v>3</v>
      </c>
      <c r="J54" s="5">
        <v>1</v>
      </c>
      <c r="K54" s="5">
        <v>2</v>
      </c>
      <c r="L54" s="5">
        <v>3</v>
      </c>
      <c r="M54" s="5">
        <v>2</v>
      </c>
      <c r="N54" s="5">
        <v>3</v>
      </c>
      <c r="O54" s="5">
        <v>3</v>
      </c>
      <c r="P54" s="5">
        <v>1</v>
      </c>
      <c r="Q54" s="5">
        <v>1</v>
      </c>
      <c r="R54" s="5">
        <v>3</v>
      </c>
      <c r="S54" s="5">
        <v>4</v>
      </c>
      <c r="T54" s="5">
        <v>4</v>
      </c>
      <c r="U54" s="5">
        <v>3</v>
      </c>
      <c r="V54" s="5">
        <v>3</v>
      </c>
      <c r="W54" s="5">
        <v>1</v>
      </c>
      <c r="X54" s="5">
        <v>2</v>
      </c>
      <c r="Y54" s="5">
        <v>2</v>
      </c>
      <c r="Z54" s="5">
        <v>1</v>
      </c>
      <c r="AA54" s="5">
        <v>4</v>
      </c>
      <c r="AB54" s="5">
        <v>2</v>
      </c>
      <c r="AC54" s="5">
        <v>4</v>
      </c>
      <c r="AD54" s="5">
        <v>1</v>
      </c>
      <c r="AE54" s="5">
        <v>4</v>
      </c>
      <c r="AF54" s="5">
        <v>4</v>
      </c>
      <c r="AG54" s="5">
        <v>3</v>
      </c>
      <c r="AH54" s="5">
        <v>1</v>
      </c>
      <c r="AI54" s="104">
        <v>1</v>
      </c>
      <c r="AJ54" s="95"/>
      <c r="AK54" s="84"/>
      <c r="AL54" s="84"/>
      <c r="AM54" s="84"/>
      <c r="AN54" s="84"/>
      <c r="AO54" s="84"/>
      <c r="AP54" s="94"/>
      <c r="AR54" s="7">
        <f>IF(H54=VLOOKUP(VALUE(H$1),Questions!$A:$E,5,FALSE),1,0)</f>
        <v>1</v>
      </c>
      <c r="AS54" s="7">
        <f>IF(I54=VLOOKUP(VALUE(I$1),Questions!$A:$E,5,FALSE),1,0)</f>
        <v>1</v>
      </c>
      <c r="AT54" s="7">
        <f>IF(J54=VLOOKUP(VALUE(J$1),Questions!$A:$E,5,FALSE),1,0)</f>
        <v>1</v>
      </c>
      <c r="AU54" s="7">
        <f>IF(K54=VLOOKUP(VALUE(K$1),Questions!$A:$E,5,FALSE),1,0)</f>
        <v>1</v>
      </c>
      <c r="AV54" s="7">
        <f>IF(L54=VLOOKUP(VALUE(L$1),Questions!$A:$E,5,FALSE),1,0)</f>
        <v>0</v>
      </c>
      <c r="AW54" s="7">
        <f>IF(M54=VLOOKUP(VALUE(M$1),Questions!$A:$E,5,FALSE),1,0)</f>
        <v>0</v>
      </c>
      <c r="AX54" s="7">
        <f>IF(N54=VLOOKUP(VALUE(N$1),Questions!$A:$E,5,FALSE),1,0)</f>
        <v>1</v>
      </c>
      <c r="AY54" s="7">
        <f>IF(O54=VLOOKUP(VALUE(O$1),Questions!$A:$E,5,FALSE),1,0)</f>
        <v>0</v>
      </c>
      <c r="AZ54" s="7">
        <f>IF(P54=VLOOKUP(VALUE(P$1),Questions!$A:$E,5,FALSE),1,0)</f>
        <v>1</v>
      </c>
      <c r="BA54" s="7">
        <f>IF(Q54=VLOOKUP(VALUE(Q$1),Questions!$A:$E,5,FALSE),1,0)</f>
        <v>1</v>
      </c>
      <c r="BB54" s="7">
        <f>IF(R54=VLOOKUP(VALUE(R$1),Questions!$A:$E,5,FALSE),1,0)</f>
        <v>0</v>
      </c>
      <c r="BC54" s="7">
        <f>IF(S54=VLOOKUP(VALUE(S$1),Questions!$A:$E,5,FALSE),1,0)</f>
        <v>0</v>
      </c>
      <c r="BD54" s="7">
        <f>IF(T54=VLOOKUP(VALUE(T$1),Questions!$A:$E,5,FALSE),1,0)</f>
        <v>0</v>
      </c>
      <c r="BE54" s="7">
        <f>IF(U54=VLOOKUP(VALUE(U$1),Questions!$A:$E,5,FALSE),1,0)</f>
        <v>0</v>
      </c>
      <c r="BF54" s="7">
        <f>IF(V54=VLOOKUP(VALUE(V$1),Questions!$A:$E,5,FALSE),1,0)</f>
        <v>1</v>
      </c>
      <c r="BG54" s="7">
        <f>IF(W54=VLOOKUP(VALUE(W$1),Questions!$A:$E,5,FALSE),1,0)</f>
        <v>0</v>
      </c>
      <c r="BH54" s="7">
        <f>IF(X54=VLOOKUP(VALUE(X$1),Questions!$A:$E,5,FALSE),1,0)</f>
        <v>1</v>
      </c>
      <c r="BI54" s="7">
        <f>IF(Y54=VLOOKUP(VALUE(Y$1),Questions!$A:$E,5,FALSE),1,0)</f>
        <v>0</v>
      </c>
      <c r="BJ54" s="7">
        <f>IF(Z54=VLOOKUP(VALUE(Z$1),Questions!$A:$E,5,FALSE),1,0)</f>
        <v>0</v>
      </c>
      <c r="BK54" s="7">
        <f>IF(AA54=VLOOKUP(VALUE(AA$1),Questions!$A:$E,5,FALSE),1,0)</f>
        <v>0</v>
      </c>
      <c r="BL54" s="7">
        <f>IF(AB54=VLOOKUP(VALUE(AB$1),Questions!$A:$E,5,FALSE),1,0)</f>
        <v>1</v>
      </c>
      <c r="BM54" s="7">
        <f>IF(AC54=VLOOKUP(VALUE(AC$1),Questions!$A:$E,5,FALSE),1,0)</f>
        <v>0</v>
      </c>
      <c r="BN54" s="7">
        <f>IF(AD54=VLOOKUP(VALUE(AD$1),Questions!$A:$E,5,FALSE),1,0)</f>
        <v>0</v>
      </c>
      <c r="BO54" s="7">
        <f>IF(AE54=VLOOKUP(VALUE(AE$1),Questions!$A:$E,5,FALSE),1,0)</f>
        <v>0</v>
      </c>
      <c r="BP54" s="7">
        <f>IF(AF54=VLOOKUP(VALUE(AF$1),Questions!$A:$E,5,FALSE),1,0)</f>
        <v>1</v>
      </c>
      <c r="BQ54" s="7">
        <f>IF(AG54=VLOOKUP(VALUE(AG$1),Questions!$A:$E,5,FALSE),1,0)</f>
        <v>1</v>
      </c>
      <c r="BR54" s="7">
        <f>IF(AH54=VLOOKUP(VALUE(AH$1),Questions!$A:$E,5,FALSE),1,0)</f>
        <v>1</v>
      </c>
      <c r="BS54" s="7">
        <f>IF(AI54=VLOOKUP(VALUE(AI$1),Questions!$A:$E,5,FALSE),1,0)</f>
        <v>1</v>
      </c>
    </row>
    <row r="55" spans="1:71">
      <c r="A55" s="10">
        <v>54</v>
      </c>
      <c r="B55" s="14" t="b">
        <v>0</v>
      </c>
      <c r="C55" s="14" t="b">
        <v>0</v>
      </c>
      <c r="D55" s="102">
        <f>SUM(Scores[[#This Row],[Q1]:[Q28]])</f>
        <v>19</v>
      </c>
      <c r="E55" s="103">
        <f>SUM(Scores[[#This Row],[29]:[34b]])</f>
        <v>0</v>
      </c>
      <c r="F55" s="103">
        <f>Scores[[#This Row],[35]]</f>
        <v>0</v>
      </c>
      <c r="G55" s="104">
        <f>INDEX('Conversion Chart'!$C$3:$M$38,MATCH(SUM(Scores[[#This Row],[MC]:[CRQ]]),'Conversion Chart'!$B$3:$B$38,0),MATCH(Scores[[#This Row],[EIE]],'Conversion Chart'!$C$2:$M$2,0))</f>
        <v>51</v>
      </c>
      <c r="H55" s="5">
        <v>4</v>
      </c>
      <c r="I55" s="5">
        <v>3</v>
      </c>
      <c r="J55" s="5">
        <v>1</v>
      </c>
      <c r="K55" s="5">
        <v>3</v>
      </c>
      <c r="L55" s="5">
        <v>1</v>
      </c>
      <c r="M55" s="5">
        <v>4</v>
      </c>
      <c r="N55" s="5">
        <v>3</v>
      </c>
      <c r="O55" s="5">
        <v>3</v>
      </c>
      <c r="P55" s="5">
        <v>1</v>
      </c>
      <c r="Q55" s="5">
        <v>4</v>
      </c>
      <c r="R55" s="5">
        <v>4</v>
      </c>
      <c r="S55" s="5">
        <v>2</v>
      </c>
      <c r="T55" s="5">
        <v>1</v>
      </c>
      <c r="U55" s="5">
        <v>4</v>
      </c>
      <c r="V55" s="5">
        <v>3</v>
      </c>
      <c r="W55" s="5">
        <v>1</v>
      </c>
      <c r="X55" s="5">
        <v>4</v>
      </c>
      <c r="Y55" s="5">
        <v>2</v>
      </c>
      <c r="Z55" s="5">
        <v>4</v>
      </c>
      <c r="AA55" s="5">
        <v>1</v>
      </c>
      <c r="AB55" s="5">
        <v>2</v>
      </c>
      <c r="AC55" s="5">
        <v>1</v>
      </c>
      <c r="AD55" s="5">
        <v>3</v>
      </c>
      <c r="AE55" s="5">
        <v>2</v>
      </c>
      <c r="AF55" s="5">
        <v>4</v>
      </c>
      <c r="AG55" s="5">
        <v>3</v>
      </c>
      <c r="AH55" s="5">
        <v>1</v>
      </c>
      <c r="AI55" s="104">
        <v>1</v>
      </c>
      <c r="AJ55" s="95"/>
      <c r="AK55" s="84"/>
      <c r="AL55" s="84"/>
      <c r="AM55" s="84"/>
      <c r="AN55" s="84"/>
      <c r="AO55" s="84"/>
      <c r="AP55" s="94"/>
      <c r="AR55" s="7">
        <f>IF(H55=VLOOKUP(VALUE(H$1),Questions!$A:$E,5,FALSE),1,0)</f>
        <v>1</v>
      </c>
      <c r="AS55" s="7">
        <f>IF(I55=VLOOKUP(VALUE(I$1),Questions!$A:$E,5,FALSE),1,0)</f>
        <v>1</v>
      </c>
      <c r="AT55" s="7">
        <f>IF(J55=VLOOKUP(VALUE(J$1),Questions!$A:$E,5,FALSE),1,0)</f>
        <v>1</v>
      </c>
      <c r="AU55" s="7">
        <f>IF(K55=VLOOKUP(VALUE(K$1),Questions!$A:$E,5,FALSE),1,0)</f>
        <v>0</v>
      </c>
      <c r="AV55" s="7">
        <f>IF(L55=VLOOKUP(VALUE(L$1),Questions!$A:$E,5,FALSE),1,0)</f>
        <v>0</v>
      </c>
      <c r="AW55" s="7">
        <f>IF(M55=VLOOKUP(VALUE(M$1),Questions!$A:$E,5,FALSE),1,0)</f>
        <v>1</v>
      </c>
      <c r="AX55" s="7">
        <f>IF(N55=VLOOKUP(VALUE(N$1),Questions!$A:$E,5,FALSE),1,0)</f>
        <v>1</v>
      </c>
      <c r="AY55" s="7">
        <f>IF(O55=VLOOKUP(VALUE(O$1),Questions!$A:$E,5,FALSE),1,0)</f>
        <v>0</v>
      </c>
      <c r="AZ55" s="7">
        <f>IF(P55=VLOOKUP(VALUE(P$1),Questions!$A:$E,5,FALSE),1,0)</f>
        <v>1</v>
      </c>
      <c r="BA55" s="7">
        <f>IF(Q55=VLOOKUP(VALUE(Q$1),Questions!$A:$E,5,FALSE),1,0)</f>
        <v>0</v>
      </c>
      <c r="BB55" s="7">
        <f>IF(R55=VLOOKUP(VALUE(R$1),Questions!$A:$E,5,FALSE),1,0)</f>
        <v>1</v>
      </c>
      <c r="BC55" s="7">
        <f>IF(S55=VLOOKUP(VALUE(S$1),Questions!$A:$E,5,FALSE),1,0)</f>
        <v>1</v>
      </c>
      <c r="BD55" s="7">
        <f>IF(T55=VLOOKUP(VALUE(T$1),Questions!$A:$E,5,FALSE),1,0)</f>
        <v>1</v>
      </c>
      <c r="BE55" s="7">
        <f>IF(U55=VLOOKUP(VALUE(U$1),Questions!$A:$E,5,FALSE),1,0)</f>
        <v>1</v>
      </c>
      <c r="BF55" s="7">
        <f>IF(V55=VLOOKUP(VALUE(V$1),Questions!$A:$E,5,FALSE),1,0)</f>
        <v>1</v>
      </c>
      <c r="BG55" s="7">
        <f>IF(W55=VLOOKUP(VALUE(W$1),Questions!$A:$E,5,FALSE),1,0)</f>
        <v>0</v>
      </c>
      <c r="BH55" s="7">
        <f>IF(X55=VLOOKUP(VALUE(X$1),Questions!$A:$E,5,FALSE),1,0)</f>
        <v>0</v>
      </c>
      <c r="BI55" s="7">
        <f>IF(Y55=VLOOKUP(VALUE(Y$1),Questions!$A:$E,5,FALSE),1,0)</f>
        <v>0</v>
      </c>
      <c r="BJ55" s="7">
        <f>IF(Z55=VLOOKUP(VALUE(Z$1),Questions!$A:$E,5,FALSE),1,0)</f>
        <v>0</v>
      </c>
      <c r="BK55" s="7">
        <f>IF(AA55=VLOOKUP(VALUE(AA$1),Questions!$A:$E,5,FALSE),1,0)</f>
        <v>0</v>
      </c>
      <c r="BL55" s="7">
        <f>IF(AB55=VLOOKUP(VALUE(AB$1),Questions!$A:$E,5,FALSE),1,0)</f>
        <v>1</v>
      </c>
      <c r="BM55" s="7">
        <f>IF(AC55=VLOOKUP(VALUE(AC$1),Questions!$A:$E,5,FALSE),1,0)</f>
        <v>1</v>
      </c>
      <c r="BN55" s="7">
        <f>IF(AD55=VLOOKUP(VALUE(AD$1),Questions!$A:$E,5,FALSE),1,0)</f>
        <v>1</v>
      </c>
      <c r="BO55" s="7">
        <f>IF(AE55=VLOOKUP(VALUE(AE$1),Questions!$A:$E,5,FALSE),1,0)</f>
        <v>1</v>
      </c>
      <c r="BP55" s="7">
        <f>IF(AF55=VLOOKUP(VALUE(AF$1),Questions!$A:$E,5,FALSE),1,0)</f>
        <v>1</v>
      </c>
      <c r="BQ55" s="7">
        <f>IF(AG55=VLOOKUP(VALUE(AG$1),Questions!$A:$E,5,FALSE),1,0)</f>
        <v>1</v>
      </c>
      <c r="BR55" s="7">
        <f>IF(AH55=VLOOKUP(VALUE(AH$1),Questions!$A:$E,5,FALSE),1,0)</f>
        <v>1</v>
      </c>
      <c r="BS55" s="7">
        <f>IF(AI55=VLOOKUP(VALUE(AI$1),Questions!$A:$E,5,FALSE),1,0)</f>
        <v>1</v>
      </c>
    </row>
    <row r="56" spans="1:71">
      <c r="A56" s="10">
        <v>55</v>
      </c>
      <c r="B56" s="14" t="b">
        <v>0</v>
      </c>
      <c r="C56" s="14" t="b">
        <v>0</v>
      </c>
      <c r="D56" s="102">
        <f>SUM(Scores[[#This Row],[Q1]:[Q28]])</f>
        <v>20</v>
      </c>
      <c r="E56" s="103">
        <f>SUM(Scores[[#This Row],[29]:[34b]])</f>
        <v>0</v>
      </c>
      <c r="F56" s="103">
        <f>Scores[[#This Row],[35]]</f>
        <v>0</v>
      </c>
      <c r="G56" s="104">
        <f>INDEX('Conversion Chart'!$C$3:$M$38,MATCH(SUM(Scores[[#This Row],[MC]:[CRQ]]),'Conversion Chart'!$B$3:$B$38,0),MATCH(Scores[[#This Row],[EIE]],'Conversion Chart'!$C$2:$M$2,0))</f>
        <v>53</v>
      </c>
      <c r="H56" s="5">
        <v>4</v>
      </c>
      <c r="I56" s="5">
        <v>3</v>
      </c>
      <c r="J56" s="5">
        <v>1</v>
      </c>
      <c r="K56" s="5">
        <v>2</v>
      </c>
      <c r="L56" s="5">
        <v>2</v>
      </c>
      <c r="M56" s="5">
        <v>4</v>
      </c>
      <c r="N56" s="5">
        <v>3</v>
      </c>
      <c r="O56" s="5">
        <v>3</v>
      </c>
      <c r="P56" s="5">
        <v>1</v>
      </c>
      <c r="Q56" s="5">
        <v>1</v>
      </c>
      <c r="R56" s="5">
        <v>4</v>
      </c>
      <c r="S56" s="5">
        <v>2</v>
      </c>
      <c r="T56" s="5">
        <v>3</v>
      </c>
      <c r="U56" s="5">
        <v>4</v>
      </c>
      <c r="V56" s="5">
        <v>4</v>
      </c>
      <c r="W56" s="5">
        <v>1</v>
      </c>
      <c r="X56" s="5">
        <v>2</v>
      </c>
      <c r="Y56" s="5">
        <v>3</v>
      </c>
      <c r="Z56" s="5">
        <v>2</v>
      </c>
      <c r="AA56" s="5">
        <v>3</v>
      </c>
      <c r="AB56" s="5">
        <v>3</v>
      </c>
      <c r="AC56" s="5">
        <v>2</v>
      </c>
      <c r="AD56" s="5">
        <v>3</v>
      </c>
      <c r="AE56" s="5">
        <v>4</v>
      </c>
      <c r="AF56" s="5">
        <v>4</v>
      </c>
      <c r="AG56" s="5">
        <v>2</v>
      </c>
      <c r="AH56" s="5">
        <v>1</v>
      </c>
      <c r="AI56" s="104">
        <v>1</v>
      </c>
      <c r="AJ56" s="95"/>
      <c r="AK56" s="84"/>
      <c r="AL56" s="84"/>
      <c r="AM56" s="84"/>
      <c r="AN56" s="84"/>
      <c r="AO56" s="84"/>
      <c r="AP56" s="94"/>
      <c r="AR56" s="7">
        <f>IF(H56=VLOOKUP(VALUE(H$1),Questions!$A:$E,5,FALSE),1,0)</f>
        <v>1</v>
      </c>
      <c r="AS56" s="7">
        <f>IF(I56=VLOOKUP(VALUE(I$1),Questions!$A:$E,5,FALSE),1,0)</f>
        <v>1</v>
      </c>
      <c r="AT56" s="7">
        <f>IF(J56=VLOOKUP(VALUE(J$1),Questions!$A:$E,5,FALSE),1,0)</f>
        <v>1</v>
      </c>
      <c r="AU56" s="7">
        <f>IF(K56=VLOOKUP(VALUE(K$1),Questions!$A:$E,5,FALSE),1,0)</f>
        <v>1</v>
      </c>
      <c r="AV56" s="7">
        <f>IF(L56=VLOOKUP(VALUE(L$1),Questions!$A:$E,5,FALSE),1,0)</f>
        <v>1</v>
      </c>
      <c r="AW56" s="7">
        <f>IF(M56=VLOOKUP(VALUE(M$1),Questions!$A:$E,5,FALSE),1,0)</f>
        <v>1</v>
      </c>
      <c r="AX56" s="7">
        <f>IF(N56=VLOOKUP(VALUE(N$1),Questions!$A:$E,5,FALSE),1,0)</f>
        <v>1</v>
      </c>
      <c r="AY56" s="7">
        <f>IF(O56=VLOOKUP(VALUE(O$1),Questions!$A:$E,5,FALSE),1,0)</f>
        <v>0</v>
      </c>
      <c r="AZ56" s="7">
        <f>IF(P56=VLOOKUP(VALUE(P$1),Questions!$A:$E,5,FALSE),1,0)</f>
        <v>1</v>
      </c>
      <c r="BA56" s="7">
        <f>IF(Q56=VLOOKUP(VALUE(Q$1),Questions!$A:$E,5,FALSE),1,0)</f>
        <v>1</v>
      </c>
      <c r="BB56" s="7">
        <f>IF(R56=VLOOKUP(VALUE(R$1),Questions!$A:$E,5,FALSE),1,0)</f>
        <v>1</v>
      </c>
      <c r="BC56" s="7">
        <f>IF(S56=VLOOKUP(VALUE(S$1),Questions!$A:$E,5,FALSE),1,0)</f>
        <v>1</v>
      </c>
      <c r="BD56" s="7">
        <f>IF(T56=VLOOKUP(VALUE(T$1),Questions!$A:$E,5,FALSE),1,0)</f>
        <v>0</v>
      </c>
      <c r="BE56" s="7">
        <f>IF(U56=VLOOKUP(VALUE(U$1),Questions!$A:$E,5,FALSE),1,0)</f>
        <v>1</v>
      </c>
      <c r="BF56" s="7">
        <f>IF(V56=VLOOKUP(VALUE(V$1),Questions!$A:$E,5,FALSE),1,0)</f>
        <v>0</v>
      </c>
      <c r="BG56" s="7">
        <f>IF(W56=VLOOKUP(VALUE(W$1),Questions!$A:$E,5,FALSE),1,0)</f>
        <v>0</v>
      </c>
      <c r="BH56" s="7">
        <f>IF(X56=VLOOKUP(VALUE(X$1),Questions!$A:$E,5,FALSE),1,0)</f>
        <v>1</v>
      </c>
      <c r="BI56" s="7">
        <f>IF(Y56=VLOOKUP(VALUE(Y$1),Questions!$A:$E,5,FALSE),1,0)</f>
        <v>1</v>
      </c>
      <c r="BJ56" s="7">
        <f>IF(Z56=VLOOKUP(VALUE(Z$1),Questions!$A:$E,5,FALSE),1,0)</f>
        <v>1</v>
      </c>
      <c r="BK56" s="7">
        <f>IF(AA56=VLOOKUP(VALUE(AA$1),Questions!$A:$E,5,FALSE),1,0)</f>
        <v>1</v>
      </c>
      <c r="BL56" s="7">
        <f>IF(AB56=VLOOKUP(VALUE(AB$1),Questions!$A:$E,5,FALSE),1,0)</f>
        <v>0</v>
      </c>
      <c r="BM56" s="7">
        <f>IF(AC56=VLOOKUP(VALUE(AC$1),Questions!$A:$E,5,FALSE),1,0)</f>
        <v>0</v>
      </c>
      <c r="BN56" s="7">
        <f>IF(AD56=VLOOKUP(VALUE(AD$1),Questions!$A:$E,5,FALSE),1,0)</f>
        <v>1</v>
      </c>
      <c r="BO56" s="7">
        <f>IF(AE56=VLOOKUP(VALUE(AE$1),Questions!$A:$E,5,FALSE),1,0)</f>
        <v>0</v>
      </c>
      <c r="BP56" s="7">
        <f>IF(AF56=VLOOKUP(VALUE(AF$1),Questions!$A:$E,5,FALSE),1,0)</f>
        <v>1</v>
      </c>
      <c r="BQ56" s="7">
        <f>IF(AG56=VLOOKUP(VALUE(AG$1),Questions!$A:$E,5,FALSE),1,0)</f>
        <v>0</v>
      </c>
      <c r="BR56" s="7">
        <f>IF(AH56=VLOOKUP(VALUE(AH$1),Questions!$A:$E,5,FALSE),1,0)</f>
        <v>1</v>
      </c>
      <c r="BS56" s="7">
        <f>IF(AI56=VLOOKUP(VALUE(AI$1),Questions!$A:$E,5,FALSE),1,0)</f>
        <v>1</v>
      </c>
    </row>
    <row r="57" spans="1:71">
      <c r="A57" s="10">
        <v>56</v>
      </c>
      <c r="B57" s="14" t="b">
        <v>0</v>
      </c>
      <c r="C57" s="14" t="b">
        <v>0</v>
      </c>
      <c r="D57" s="102">
        <f>SUM(Scores[[#This Row],[Q1]:[Q28]])</f>
        <v>18</v>
      </c>
      <c r="E57" s="103">
        <f>SUM(Scores[[#This Row],[29]:[34b]])</f>
        <v>0</v>
      </c>
      <c r="F57" s="103">
        <f>Scores[[#This Row],[35]]</f>
        <v>0</v>
      </c>
      <c r="G57" s="104">
        <f>INDEX('Conversion Chart'!$C$3:$M$38,MATCH(SUM(Scores[[#This Row],[MC]:[CRQ]]),'Conversion Chart'!$B$3:$B$38,0),MATCH(Scores[[#This Row],[EIE]],'Conversion Chart'!$C$2:$M$2,0))</f>
        <v>49</v>
      </c>
      <c r="H57" s="5">
        <v>4</v>
      </c>
      <c r="I57" s="5">
        <v>3</v>
      </c>
      <c r="J57" s="5">
        <v>2</v>
      </c>
      <c r="K57" s="5">
        <v>2</v>
      </c>
      <c r="L57" s="5">
        <v>1</v>
      </c>
      <c r="M57" s="5">
        <v>4</v>
      </c>
      <c r="N57" s="5">
        <v>3</v>
      </c>
      <c r="O57" s="5">
        <v>1</v>
      </c>
      <c r="P57" s="5">
        <v>1</v>
      </c>
      <c r="Q57" s="5">
        <v>1</v>
      </c>
      <c r="R57" s="5">
        <v>4</v>
      </c>
      <c r="S57" s="5">
        <v>4</v>
      </c>
      <c r="T57" s="5">
        <v>1</v>
      </c>
      <c r="U57" s="5">
        <v>3</v>
      </c>
      <c r="V57" s="5">
        <v>1</v>
      </c>
      <c r="W57" s="5">
        <v>3</v>
      </c>
      <c r="X57" s="5">
        <v>2</v>
      </c>
      <c r="Y57" s="5">
        <v>3</v>
      </c>
      <c r="Z57" s="5">
        <v>4</v>
      </c>
      <c r="AA57" s="5">
        <v>1</v>
      </c>
      <c r="AB57" s="5">
        <v>3</v>
      </c>
      <c r="AC57" s="5">
        <v>2</v>
      </c>
      <c r="AD57" s="5">
        <v>3</v>
      </c>
      <c r="AE57" s="5">
        <v>2</v>
      </c>
      <c r="AF57" s="5">
        <v>4</v>
      </c>
      <c r="AG57" s="5">
        <v>3</v>
      </c>
      <c r="AH57" s="5">
        <v>1</v>
      </c>
      <c r="AI57" s="104">
        <v>1</v>
      </c>
      <c r="AJ57" s="95"/>
      <c r="AK57" s="84"/>
      <c r="AL57" s="84"/>
      <c r="AM57" s="84"/>
      <c r="AN57" s="84"/>
      <c r="AO57" s="84"/>
      <c r="AP57" s="94"/>
      <c r="AR57" s="7">
        <f>IF(H57=VLOOKUP(VALUE(H$1),Questions!$A:$E,5,FALSE),1,0)</f>
        <v>1</v>
      </c>
      <c r="AS57" s="7">
        <f>IF(I57=VLOOKUP(VALUE(I$1),Questions!$A:$E,5,FALSE),1,0)</f>
        <v>1</v>
      </c>
      <c r="AT57" s="7">
        <f>IF(J57=VLOOKUP(VALUE(J$1),Questions!$A:$E,5,FALSE),1,0)</f>
        <v>0</v>
      </c>
      <c r="AU57" s="7">
        <f>IF(K57=VLOOKUP(VALUE(K$1),Questions!$A:$E,5,FALSE),1,0)</f>
        <v>1</v>
      </c>
      <c r="AV57" s="7">
        <f>IF(L57=VLOOKUP(VALUE(L$1),Questions!$A:$E,5,FALSE),1,0)</f>
        <v>0</v>
      </c>
      <c r="AW57" s="7">
        <f>IF(M57=VLOOKUP(VALUE(M$1),Questions!$A:$E,5,FALSE),1,0)</f>
        <v>1</v>
      </c>
      <c r="AX57" s="7">
        <f>IF(N57=VLOOKUP(VALUE(N$1),Questions!$A:$E,5,FALSE),1,0)</f>
        <v>1</v>
      </c>
      <c r="AY57" s="7">
        <f>IF(O57=VLOOKUP(VALUE(O$1),Questions!$A:$E,5,FALSE),1,0)</f>
        <v>1</v>
      </c>
      <c r="AZ57" s="7">
        <f>IF(P57=VLOOKUP(VALUE(P$1),Questions!$A:$E,5,FALSE),1,0)</f>
        <v>1</v>
      </c>
      <c r="BA57" s="7">
        <f>IF(Q57=VLOOKUP(VALUE(Q$1),Questions!$A:$E,5,FALSE),1,0)</f>
        <v>1</v>
      </c>
      <c r="BB57" s="7">
        <f>IF(R57=VLOOKUP(VALUE(R$1),Questions!$A:$E,5,FALSE),1,0)</f>
        <v>1</v>
      </c>
      <c r="BC57" s="7">
        <f>IF(S57=VLOOKUP(VALUE(S$1),Questions!$A:$E,5,FALSE),1,0)</f>
        <v>0</v>
      </c>
      <c r="BD57" s="7">
        <f>IF(T57=VLOOKUP(VALUE(T$1),Questions!$A:$E,5,FALSE),1,0)</f>
        <v>1</v>
      </c>
      <c r="BE57" s="7">
        <f>IF(U57=VLOOKUP(VALUE(U$1),Questions!$A:$E,5,FALSE),1,0)</f>
        <v>0</v>
      </c>
      <c r="BF57" s="7">
        <f>IF(V57=VLOOKUP(VALUE(V$1),Questions!$A:$E,5,FALSE),1,0)</f>
        <v>0</v>
      </c>
      <c r="BG57" s="7">
        <f>IF(W57=VLOOKUP(VALUE(W$1),Questions!$A:$E,5,FALSE),1,0)</f>
        <v>0</v>
      </c>
      <c r="BH57" s="7">
        <f>IF(X57=VLOOKUP(VALUE(X$1),Questions!$A:$E,5,FALSE),1,0)</f>
        <v>1</v>
      </c>
      <c r="BI57" s="7">
        <f>IF(Y57=VLOOKUP(VALUE(Y$1),Questions!$A:$E,5,FALSE),1,0)</f>
        <v>1</v>
      </c>
      <c r="BJ57" s="7">
        <f>IF(Z57=VLOOKUP(VALUE(Z$1),Questions!$A:$E,5,FALSE),1,0)</f>
        <v>0</v>
      </c>
      <c r="BK57" s="7">
        <f>IF(AA57=VLOOKUP(VALUE(AA$1),Questions!$A:$E,5,FALSE),1,0)</f>
        <v>0</v>
      </c>
      <c r="BL57" s="7">
        <f>IF(AB57=VLOOKUP(VALUE(AB$1),Questions!$A:$E,5,FALSE),1,0)</f>
        <v>0</v>
      </c>
      <c r="BM57" s="7">
        <f>IF(AC57=VLOOKUP(VALUE(AC$1),Questions!$A:$E,5,FALSE),1,0)</f>
        <v>0</v>
      </c>
      <c r="BN57" s="7">
        <f>IF(AD57=VLOOKUP(VALUE(AD$1),Questions!$A:$E,5,FALSE),1,0)</f>
        <v>1</v>
      </c>
      <c r="BO57" s="7">
        <f>IF(AE57=VLOOKUP(VALUE(AE$1),Questions!$A:$E,5,FALSE),1,0)</f>
        <v>1</v>
      </c>
      <c r="BP57" s="7">
        <f>IF(AF57=VLOOKUP(VALUE(AF$1),Questions!$A:$E,5,FALSE),1,0)</f>
        <v>1</v>
      </c>
      <c r="BQ57" s="7">
        <f>IF(AG57=VLOOKUP(VALUE(AG$1),Questions!$A:$E,5,FALSE),1,0)</f>
        <v>1</v>
      </c>
      <c r="BR57" s="7">
        <f>IF(AH57=VLOOKUP(VALUE(AH$1),Questions!$A:$E,5,FALSE),1,0)</f>
        <v>1</v>
      </c>
      <c r="BS57" s="7">
        <f>IF(AI57=VLOOKUP(VALUE(AI$1),Questions!$A:$E,5,FALSE),1,0)</f>
        <v>1</v>
      </c>
    </row>
    <row r="58" spans="1:71">
      <c r="A58" s="10">
        <v>57</v>
      </c>
      <c r="B58" s="14" t="b">
        <v>0</v>
      </c>
      <c r="C58" s="14" t="b">
        <v>0</v>
      </c>
      <c r="D58" s="102">
        <f>SUM(Scores[[#This Row],[Q1]:[Q28]])</f>
        <v>18</v>
      </c>
      <c r="E58" s="103">
        <f>SUM(Scores[[#This Row],[29]:[34b]])</f>
        <v>0</v>
      </c>
      <c r="F58" s="103">
        <f>Scores[[#This Row],[35]]</f>
        <v>0</v>
      </c>
      <c r="G58" s="104">
        <f>INDEX('Conversion Chart'!$C$3:$M$38,MATCH(SUM(Scores[[#This Row],[MC]:[CRQ]]),'Conversion Chart'!$B$3:$B$38,0),MATCH(Scores[[#This Row],[EIE]],'Conversion Chart'!$C$2:$M$2,0))</f>
        <v>49</v>
      </c>
      <c r="H58" s="5">
        <v>4</v>
      </c>
      <c r="I58" s="5">
        <v>1</v>
      </c>
      <c r="J58" s="5">
        <v>1</v>
      </c>
      <c r="K58" s="5">
        <v>3</v>
      </c>
      <c r="L58" s="5">
        <v>2</v>
      </c>
      <c r="M58" s="5">
        <v>4</v>
      </c>
      <c r="N58" s="5">
        <v>3</v>
      </c>
      <c r="O58" s="5">
        <v>3</v>
      </c>
      <c r="P58" s="5">
        <v>1</v>
      </c>
      <c r="Q58" s="5">
        <v>4</v>
      </c>
      <c r="R58" s="5">
        <v>4</v>
      </c>
      <c r="S58" s="5">
        <v>4</v>
      </c>
      <c r="T58" s="5">
        <v>4</v>
      </c>
      <c r="U58" s="5">
        <v>4</v>
      </c>
      <c r="V58" s="5">
        <v>1</v>
      </c>
      <c r="W58" s="5">
        <v>4</v>
      </c>
      <c r="X58" s="5">
        <v>3</v>
      </c>
      <c r="Y58" s="5">
        <v>1</v>
      </c>
      <c r="Z58" s="5">
        <v>1</v>
      </c>
      <c r="AA58" s="5">
        <v>3</v>
      </c>
      <c r="AB58" s="5">
        <v>2</v>
      </c>
      <c r="AC58" s="5">
        <v>1</v>
      </c>
      <c r="AD58" s="5">
        <v>3</v>
      </c>
      <c r="AE58" s="5">
        <v>2</v>
      </c>
      <c r="AF58" s="5">
        <v>4</v>
      </c>
      <c r="AG58" s="5">
        <v>3</v>
      </c>
      <c r="AH58" s="5">
        <v>1</v>
      </c>
      <c r="AI58" s="104">
        <v>1</v>
      </c>
      <c r="AJ58" s="95"/>
      <c r="AK58" s="84"/>
      <c r="AL58" s="84"/>
      <c r="AM58" s="84"/>
      <c r="AN58" s="84"/>
      <c r="AO58" s="84"/>
      <c r="AP58" s="94"/>
      <c r="AR58" s="7">
        <f>IF(H58=VLOOKUP(VALUE(H$1),Questions!$A:$E,5,FALSE),1,0)</f>
        <v>1</v>
      </c>
      <c r="AS58" s="7">
        <f>IF(I58=VLOOKUP(VALUE(I$1),Questions!$A:$E,5,FALSE),1,0)</f>
        <v>0</v>
      </c>
      <c r="AT58" s="7">
        <f>IF(J58=VLOOKUP(VALUE(J$1),Questions!$A:$E,5,FALSE),1,0)</f>
        <v>1</v>
      </c>
      <c r="AU58" s="7">
        <f>IF(K58=VLOOKUP(VALUE(K$1),Questions!$A:$E,5,FALSE),1,0)</f>
        <v>0</v>
      </c>
      <c r="AV58" s="7">
        <f>IF(L58=VLOOKUP(VALUE(L$1),Questions!$A:$E,5,FALSE),1,0)</f>
        <v>1</v>
      </c>
      <c r="AW58" s="7">
        <f>IF(M58=VLOOKUP(VALUE(M$1),Questions!$A:$E,5,FALSE),1,0)</f>
        <v>1</v>
      </c>
      <c r="AX58" s="7">
        <f>IF(N58=VLOOKUP(VALUE(N$1),Questions!$A:$E,5,FALSE),1,0)</f>
        <v>1</v>
      </c>
      <c r="AY58" s="7">
        <f>IF(O58=VLOOKUP(VALUE(O$1),Questions!$A:$E,5,FALSE),1,0)</f>
        <v>0</v>
      </c>
      <c r="AZ58" s="7">
        <f>IF(P58=VLOOKUP(VALUE(P$1),Questions!$A:$E,5,FALSE),1,0)</f>
        <v>1</v>
      </c>
      <c r="BA58" s="7">
        <f>IF(Q58=VLOOKUP(VALUE(Q$1),Questions!$A:$E,5,FALSE),1,0)</f>
        <v>0</v>
      </c>
      <c r="BB58" s="7">
        <f>IF(R58=VLOOKUP(VALUE(R$1),Questions!$A:$E,5,FALSE),1,0)</f>
        <v>1</v>
      </c>
      <c r="BC58" s="7">
        <f>IF(S58=VLOOKUP(VALUE(S$1),Questions!$A:$E,5,FALSE),1,0)</f>
        <v>0</v>
      </c>
      <c r="BD58" s="7">
        <f>IF(T58=VLOOKUP(VALUE(T$1),Questions!$A:$E,5,FALSE),1,0)</f>
        <v>0</v>
      </c>
      <c r="BE58" s="7">
        <f>IF(U58=VLOOKUP(VALUE(U$1),Questions!$A:$E,5,FALSE),1,0)</f>
        <v>1</v>
      </c>
      <c r="BF58" s="7">
        <f>IF(V58=VLOOKUP(VALUE(V$1),Questions!$A:$E,5,FALSE),1,0)</f>
        <v>0</v>
      </c>
      <c r="BG58" s="7">
        <f>IF(W58=VLOOKUP(VALUE(W$1),Questions!$A:$E,5,FALSE),1,0)</f>
        <v>1</v>
      </c>
      <c r="BH58" s="7">
        <f>IF(X58=VLOOKUP(VALUE(X$1),Questions!$A:$E,5,FALSE),1,0)</f>
        <v>0</v>
      </c>
      <c r="BI58" s="7">
        <f>IF(Y58=VLOOKUP(VALUE(Y$1),Questions!$A:$E,5,FALSE),1,0)</f>
        <v>0</v>
      </c>
      <c r="BJ58" s="7">
        <f>IF(Z58=VLOOKUP(VALUE(Z$1),Questions!$A:$E,5,FALSE),1,0)</f>
        <v>0</v>
      </c>
      <c r="BK58" s="7">
        <f>IF(AA58=VLOOKUP(VALUE(AA$1),Questions!$A:$E,5,FALSE),1,0)</f>
        <v>1</v>
      </c>
      <c r="BL58" s="7">
        <f>IF(AB58=VLOOKUP(VALUE(AB$1),Questions!$A:$E,5,FALSE),1,0)</f>
        <v>1</v>
      </c>
      <c r="BM58" s="7">
        <f>IF(AC58=VLOOKUP(VALUE(AC$1),Questions!$A:$E,5,FALSE),1,0)</f>
        <v>1</v>
      </c>
      <c r="BN58" s="7">
        <f>IF(AD58=VLOOKUP(VALUE(AD$1),Questions!$A:$E,5,FALSE),1,0)</f>
        <v>1</v>
      </c>
      <c r="BO58" s="7">
        <f>IF(AE58=VLOOKUP(VALUE(AE$1),Questions!$A:$E,5,FALSE),1,0)</f>
        <v>1</v>
      </c>
      <c r="BP58" s="7">
        <f>IF(AF58=VLOOKUP(VALUE(AF$1),Questions!$A:$E,5,FALSE),1,0)</f>
        <v>1</v>
      </c>
      <c r="BQ58" s="7">
        <f>IF(AG58=VLOOKUP(VALUE(AG$1),Questions!$A:$E,5,FALSE),1,0)</f>
        <v>1</v>
      </c>
      <c r="BR58" s="7">
        <f>IF(AH58=VLOOKUP(VALUE(AH$1),Questions!$A:$E,5,FALSE),1,0)</f>
        <v>1</v>
      </c>
      <c r="BS58" s="7">
        <f>IF(AI58=VLOOKUP(VALUE(AI$1),Questions!$A:$E,5,FALSE),1,0)</f>
        <v>1</v>
      </c>
    </row>
    <row r="59" spans="1:71">
      <c r="A59" s="10">
        <v>58</v>
      </c>
      <c r="B59" s="14" t="b">
        <v>0</v>
      </c>
      <c r="C59" s="14" t="b">
        <v>0</v>
      </c>
      <c r="D59" s="102">
        <f>SUM(Scores[[#This Row],[Q1]:[Q28]])</f>
        <v>22</v>
      </c>
      <c r="E59" s="103">
        <f>SUM(Scores[[#This Row],[29]:[34b]])</f>
        <v>0</v>
      </c>
      <c r="F59" s="103">
        <f>Scores[[#This Row],[35]]</f>
        <v>0</v>
      </c>
      <c r="G59" s="104">
        <f>INDEX('Conversion Chart'!$C$3:$M$38,MATCH(SUM(Scores[[#This Row],[MC]:[CRQ]]),'Conversion Chart'!$B$3:$B$38,0),MATCH(Scores[[#This Row],[EIE]],'Conversion Chart'!$C$2:$M$2,0))</f>
        <v>57</v>
      </c>
      <c r="H59" s="5">
        <v>4</v>
      </c>
      <c r="I59" s="5">
        <v>3</v>
      </c>
      <c r="J59" s="5">
        <v>1</v>
      </c>
      <c r="K59" s="5">
        <v>2</v>
      </c>
      <c r="L59" s="5">
        <v>2</v>
      </c>
      <c r="M59" s="5">
        <v>4</v>
      </c>
      <c r="N59" s="5">
        <v>3</v>
      </c>
      <c r="O59" s="5">
        <v>1</v>
      </c>
      <c r="P59" s="5">
        <v>1</v>
      </c>
      <c r="Q59" s="5">
        <v>1</v>
      </c>
      <c r="R59" s="5">
        <v>4</v>
      </c>
      <c r="S59" s="5">
        <v>2</v>
      </c>
      <c r="T59" s="5">
        <v>1</v>
      </c>
      <c r="U59" s="5">
        <v>4</v>
      </c>
      <c r="V59" s="5">
        <v>3</v>
      </c>
      <c r="W59" s="5">
        <v>1</v>
      </c>
      <c r="X59" s="5">
        <v>2</v>
      </c>
      <c r="Y59" s="5">
        <v>1</v>
      </c>
      <c r="Z59" s="5">
        <v>4</v>
      </c>
      <c r="AA59" s="5">
        <v>1</v>
      </c>
      <c r="AB59" s="5">
        <v>2</v>
      </c>
      <c r="AC59" s="5">
        <v>1</v>
      </c>
      <c r="AD59" s="5">
        <v>3</v>
      </c>
      <c r="AE59" s="5">
        <v>4</v>
      </c>
      <c r="AF59" s="5">
        <v>4</v>
      </c>
      <c r="AG59" s="5">
        <v>3</v>
      </c>
      <c r="AH59" s="5">
        <v>4</v>
      </c>
      <c r="AI59" s="104">
        <v>1</v>
      </c>
      <c r="AJ59" s="95"/>
      <c r="AK59" s="84"/>
      <c r="AL59" s="84"/>
      <c r="AM59" s="84"/>
      <c r="AN59" s="84"/>
      <c r="AO59" s="84"/>
      <c r="AP59" s="94"/>
      <c r="AR59" s="7">
        <f>IF(H59=VLOOKUP(VALUE(H$1),Questions!$A:$E,5,FALSE),1,0)</f>
        <v>1</v>
      </c>
      <c r="AS59" s="7">
        <f>IF(I59=VLOOKUP(VALUE(I$1),Questions!$A:$E,5,FALSE),1,0)</f>
        <v>1</v>
      </c>
      <c r="AT59" s="7">
        <f>IF(J59=VLOOKUP(VALUE(J$1),Questions!$A:$E,5,FALSE),1,0)</f>
        <v>1</v>
      </c>
      <c r="AU59" s="7">
        <f>IF(K59=VLOOKUP(VALUE(K$1),Questions!$A:$E,5,FALSE),1,0)</f>
        <v>1</v>
      </c>
      <c r="AV59" s="7">
        <f>IF(L59=VLOOKUP(VALUE(L$1),Questions!$A:$E,5,FALSE),1,0)</f>
        <v>1</v>
      </c>
      <c r="AW59" s="7">
        <f>IF(M59=VLOOKUP(VALUE(M$1),Questions!$A:$E,5,FALSE),1,0)</f>
        <v>1</v>
      </c>
      <c r="AX59" s="7">
        <f>IF(N59=VLOOKUP(VALUE(N$1),Questions!$A:$E,5,FALSE),1,0)</f>
        <v>1</v>
      </c>
      <c r="AY59" s="7">
        <f>IF(O59=VLOOKUP(VALUE(O$1),Questions!$A:$E,5,FALSE),1,0)</f>
        <v>1</v>
      </c>
      <c r="AZ59" s="7">
        <f>IF(P59=VLOOKUP(VALUE(P$1),Questions!$A:$E,5,FALSE),1,0)</f>
        <v>1</v>
      </c>
      <c r="BA59" s="7">
        <f>IF(Q59=VLOOKUP(VALUE(Q$1),Questions!$A:$E,5,FALSE),1,0)</f>
        <v>1</v>
      </c>
      <c r="BB59" s="7">
        <f>IF(R59=VLOOKUP(VALUE(R$1),Questions!$A:$E,5,FALSE),1,0)</f>
        <v>1</v>
      </c>
      <c r="BC59" s="7">
        <f>IF(S59=VLOOKUP(VALUE(S$1),Questions!$A:$E,5,FALSE),1,0)</f>
        <v>1</v>
      </c>
      <c r="BD59" s="7">
        <f>IF(T59=VLOOKUP(VALUE(T$1),Questions!$A:$E,5,FALSE),1,0)</f>
        <v>1</v>
      </c>
      <c r="BE59" s="7">
        <f>IF(U59=VLOOKUP(VALUE(U$1),Questions!$A:$E,5,FALSE),1,0)</f>
        <v>1</v>
      </c>
      <c r="BF59" s="7">
        <f>IF(V59=VLOOKUP(VALUE(V$1),Questions!$A:$E,5,FALSE),1,0)</f>
        <v>1</v>
      </c>
      <c r="BG59" s="7">
        <f>IF(W59=VLOOKUP(VALUE(W$1),Questions!$A:$E,5,FALSE),1,0)</f>
        <v>0</v>
      </c>
      <c r="BH59" s="7">
        <f>IF(X59=VLOOKUP(VALUE(X$1),Questions!$A:$E,5,FALSE),1,0)</f>
        <v>1</v>
      </c>
      <c r="BI59" s="7">
        <f>IF(Y59=VLOOKUP(VALUE(Y$1),Questions!$A:$E,5,FALSE),1,0)</f>
        <v>0</v>
      </c>
      <c r="BJ59" s="7">
        <f>IF(Z59=VLOOKUP(VALUE(Z$1),Questions!$A:$E,5,FALSE),1,0)</f>
        <v>0</v>
      </c>
      <c r="BK59" s="7">
        <f>IF(AA59=VLOOKUP(VALUE(AA$1),Questions!$A:$E,5,FALSE),1,0)</f>
        <v>0</v>
      </c>
      <c r="BL59" s="7">
        <f>IF(AB59=VLOOKUP(VALUE(AB$1),Questions!$A:$E,5,FALSE),1,0)</f>
        <v>1</v>
      </c>
      <c r="BM59" s="7">
        <f>IF(AC59=VLOOKUP(VALUE(AC$1),Questions!$A:$E,5,FALSE),1,0)</f>
        <v>1</v>
      </c>
      <c r="BN59" s="7">
        <f>IF(AD59=VLOOKUP(VALUE(AD$1),Questions!$A:$E,5,FALSE),1,0)</f>
        <v>1</v>
      </c>
      <c r="BO59" s="7">
        <f>IF(AE59=VLOOKUP(VALUE(AE$1),Questions!$A:$E,5,FALSE),1,0)</f>
        <v>0</v>
      </c>
      <c r="BP59" s="7">
        <f>IF(AF59=VLOOKUP(VALUE(AF$1),Questions!$A:$E,5,FALSE),1,0)</f>
        <v>1</v>
      </c>
      <c r="BQ59" s="7">
        <f>IF(AG59=VLOOKUP(VALUE(AG$1),Questions!$A:$E,5,FALSE),1,0)</f>
        <v>1</v>
      </c>
      <c r="BR59" s="7">
        <f>IF(AH59=VLOOKUP(VALUE(AH$1),Questions!$A:$E,5,FALSE),1,0)</f>
        <v>0</v>
      </c>
      <c r="BS59" s="7">
        <f>IF(AI59=VLOOKUP(VALUE(AI$1),Questions!$A:$E,5,FALSE),1,0)</f>
        <v>1</v>
      </c>
    </row>
    <row r="60" spans="1:71">
      <c r="A60" s="10">
        <v>59</v>
      </c>
      <c r="B60" s="14" t="b">
        <v>0</v>
      </c>
      <c r="C60" s="14" t="b">
        <v>0</v>
      </c>
      <c r="D60" s="102">
        <f>SUM(Scores[[#This Row],[Q1]:[Q28]])</f>
        <v>20</v>
      </c>
      <c r="E60" s="103">
        <f>SUM(Scores[[#This Row],[29]:[34b]])</f>
        <v>0</v>
      </c>
      <c r="F60" s="103">
        <f>Scores[[#This Row],[35]]</f>
        <v>0</v>
      </c>
      <c r="G60" s="104">
        <f>INDEX('Conversion Chart'!$C$3:$M$38,MATCH(SUM(Scores[[#This Row],[MC]:[CRQ]]),'Conversion Chart'!$B$3:$B$38,0),MATCH(Scores[[#This Row],[EIE]],'Conversion Chart'!$C$2:$M$2,0))</f>
        <v>53</v>
      </c>
      <c r="H60" s="5">
        <v>4</v>
      </c>
      <c r="I60" s="5">
        <v>3</v>
      </c>
      <c r="J60" s="5">
        <v>2</v>
      </c>
      <c r="K60" s="5">
        <v>2</v>
      </c>
      <c r="L60" s="5">
        <v>2</v>
      </c>
      <c r="M60" s="5">
        <v>4</v>
      </c>
      <c r="N60" s="5">
        <v>3</v>
      </c>
      <c r="O60" s="5">
        <v>4</v>
      </c>
      <c r="P60" s="5">
        <v>1</v>
      </c>
      <c r="Q60" s="5">
        <v>3</v>
      </c>
      <c r="R60" s="5">
        <v>4</v>
      </c>
      <c r="S60" s="5">
        <v>4</v>
      </c>
      <c r="T60" s="5">
        <v>1</v>
      </c>
      <c r="U60" s="5">
        <v>4</v>
      </c>
      <c r="V60" s="5">
        <v>1</v>
      </c>
      <c r="W60" s="5">
        <v>2</v>
      </c>
      <c r="X60" s="5">
        <v>2</v>
      </c>
      <c r="Y60" s="5">
        <v>3</v>
      </c>
      <c r="Z60" s="5">
        <v>1</v>
      </c>
      <c r="AA60" s="5">
        <v>3</v>
      </c>
      <c r="AB60" s="5">
        <v>2</v>
      </c>
      <c r="AC60" s="5">
        <v>1</v>
      </c>
      <c r="AD60" s="5">
        <v>3</v>
      </c>
      <c r="AE60" s="5">
        <v>2</v>
      </c>
      <c r="AF60" s="5">
        <v>4</v>
      </c>
      <c r="AG60" s="5">
        <v>3</v>
      </c>
      <c r="AH60" s="5">
        <v>4</v>
      </c>
      <c r="AI60" s="104">
        <v>1</v>
      </c>
      <c r="AJ60" s="95"/>
      <c r="AK60" s="84"/>
      <c r="AL60" s="84"/>
      <c r="AM60" s="84"/>
      <c r="AN60" s="84"/>
      <c r="AO60" s="84"/>
      <c r="AP60" s="94"/>
      <c r="AR60" s="7">
        <f>IF(H60=VLOOKUP(VALUE(H$1),Questions!$A:$E,5,FALSE),1,0)</f>
        <v>1</v>
      </c>
      <c r="AS60" s="7">
        <f>IF(I60=VLOOKUP(VALUE(I$1),Questions!$A:$E,5,FALSE),1,0)</f>
        <v>1</v>
      </c>
      <c r="AT60" s="7">
        <f>IF(J60=VLOOKUP(VALUE(J$1),Questions!$A:$E,5,FALSE),1,0)</f>
        <v>0</v>
      </c>
      <c r="AU60" s="7">
        <f>IF(K60=VLOOKUP(VALUE(K$1),Questions!$A:$E,5,FALSE),1,0)</f>
        <v>1</v>
      </c>
      <c r="AV60" s="7">
        <f>IF(L60=VLOOKUP(VALUE(L$1),Questions!$A:$E,5,FALSE),1,0)</f>
        <v>1</v>
      </c>
      <c r="AW60" s="7">
        <f>IF(M60=VLOOKUP(VALUE(M$1),Questions!$A:$E,5,FALSE),1,0)</f>
        <v>1</v>
      </c>
      <c r="AX60" s="7">
        <f>IF(N60=VLOOKUP(VALUE(N$1),Questions!$A:$E,5,FALSE),1,0)</f>
        <v>1</v>
      </c>
      <c r="AY60" s="7">
        <f>IF(O60=VLOOKUP(VALUE(O$1),Questions!$A:$E,5,FALSE),1,0)</f>
        <v>0</v>
      </c>
      <c r="AZ60" s="7">
        <f>IF(P60=VLOOKUP(VALUE(P$1),Questions!$A:$E,5,FALSE),1,0)</f>
        <v>1</v>
      </c>
      <c r="BA60" s="7">
        <f>IF(Q60=VLOOKUP(VALUE(Q$1),Questions!$A:$E,5,FALSE),1,0)</f>
        <v>0</v>
      </c>
      <c r="BB60" s="7">
        <f>IF(R60=VLOOKUP(VALUE(R$1),Questions!$A:$E,5,FALSE),1,0)</f>
        <v>1</v>
      </c>
      <c r="BC60" s="7">
        <f>IF(S60=VLOOKUP(VALUE(S$1),Questions!$A:$E,5,FALSE),1,0)</f>
        <v>0</v>
      </c>
      <c r="BD60" s="7">
        <f>IF(T60=VLOOKUP(VALUE(T$1),Questions!$A:$E,5,FALSE),1,0)</f>
        <v>1</v>
      </c>
      <c r="BE60" s="7">
        <f>IF(U60=VLOOKUP(VALUE(U$1),Questions!$A:$E,5,FALSE),1,0)</f>
        <v>1</v>
      </c>
      <c r="BF60" s="7">
        <f>IF(V60=VLOOKUP(VALUE(V$1),Questions!$A:$E,5,FALSE),1,0)</f>
        <v>0</v>
      </c>
      <c r="BG60" s="7">
        <f>IF(W60=VLOOKUP(VALUE(W$1),Questions!$A:$E,5,FALSE),1,0)</f>
        <v>0</v>
      </c>
      <c r="BH60" s="7">
        <f>IF(X60=VLOOKUP(VALUE(X$1),Questions!$A:$E,5,FALSE),1,0)</f>
        <v>1</v>
      </c>
      <c r="BI60" s="7">
        <f>IF(Y60=VLOOKUP(VALUE(Y$1),Questions!$A:$E,5,FALSE),1,0)</f>
        <v>1</v>
      </c>
      <c r="BJ60" s="7">
        <f>IF(Z60=VLOOKUP(VALUE(Z$1),Questions!$A:$E,5,FALSE),1,0)</f>
        <v>0</v>
      </c>
      <c r="BK60" s="7">
        <f>IF(AA60=VLOOKUP(VALUE(AA$1),Questions!$A:$E,5,FALSE),1,0)</f>
        <v>1</v>
      </c>
      <c r="BL60" s="7">
        <f>IF(AB60=VLOOKUP(VALUE(AB$1),Questions!$A:$E,5,FALSE),1,0)</f>
        <v>1</v>
      </c>
      <c r="BM60" s="7">
        <f>IF(AC60=VLOOKUP(VALUE(AC$1),Questions!$A:$E,5,FALSE),1,0)</f>
        <v>1</v>
      </c>
      <c r="BN60" s="7">
        <f>IF(AD60=VLOOKUP(VALUE(AD$1),Questions!$A:$E,5,FALSE),1,0)</f>
        <v>1</v>
      </c>
      <c r="BO60" s="7">
        <f>IF(AE60=VLOOKUP(VALUE(AE$1),Questions!$A:$E,5,FALSE),1,0)</f>
        <v>1</v>
      </c>
      <c r="BP60" s="7">
        <f>IF(AF60=VLOOKUP(VALUE(AF$1),Questions!$A:$E,5,FALSE),1,0)</f>
        <v>1</v>
      </c>
      <c r="BQ60" s="7">
        <f>IF(AG60=VLOOKUP(VALUE(AG$1),Questions!$A:$E,5,FALSE),1,0)</f>
        <v>1</v>
      </c>
      <c r="BR60" s="7">
        <f>IF(AH60=VLOOKUP(VALUE(AH$1),Questions!$A:$E,5,FALSE),1,0)</f>
        <v>0</v>
      </c>
      <c r="BS60" s="7">
        <f>IF(AI60=VLOOKUP(VALUE(AI$1),Questions!$A:$E,5,FALSE),1,0)</f>
        <v>1</v>
      </c>
    </row>
    <row r="61" spans="1:71">
      <c r="A61" s="10">
        <v>60</v>
      </c>
      <c r="B61" s="14" t="b">
        <v>0</v>
      </c>
      <c r="C61" s="14" t="b">
        <v>0</v>
      </c>
      <c r="D61" s="102">
        <f>SUM(Scores[[#This Row],[Q1]:[Q28]])</f>
        <v>21</v>
      </c>
      <c r="E61" s="103">
        <f>SUM(Scores[[#This Row],[29]:[34b]])</f>
        <v>0</v>
      </c>
      <c r="F61" s="103">
        <f>Scores[[#This Row],[35]]</f>
        <v>0</v>
      </c>
      <c r="G61" s="104">
        <f>INDEX('Conversion Chart'!$C$3:$M$38,MATCH(SUM(Scores[[#This Row],[MC]:[CRQ]]),'Conversion Chart'!$B$3:$B$38,0),MATCH(Scores[[#This Row],[EIE]],'Conversion Chart'!$C$2:$M$2,0))</f>
        <v>55</v>
      </c>
      <c r="H61" s="5">
        <v>4</v>
      </c>
      <c r="I61" s="5">
        <v>3</v>
      </c>
      <c r="J61" s="5">
        <v>1</v>
      </c>
      <c r="K61" s="5">
        <v>2</v>
      </c>
      <c r="L61" s="5">
        <v>4</v>
      </c>
      <c r="M61" s="5">
        <v>2</v>
      </c>
      <c r="N61" s="5">
        <v>3</v>
      </c>
      <c r="O61" s="5">
        <v>3</v>
      </c>
      <c r="P61" s="5">
        <v>1</v>
      </c>
      <c r="Q61" s="5">
        <v>1</v>
      </c>
      <c r="R61" s="5">
        <v>4</v>
      </c>
      <c r="S61" s="5">
        <v>4</v>
      </c>
      <c r="T61" s="5">
        <v>1</v>
      </c>
      <c r="U61" s="5">
        <v>2</v>
      </c>
      <c r="V61" s="5">
        <v>3</v>
      </c>
      <c r="W61" s="5">
        <v>4</v>
      </c>
      <c r="X61" s="5">
        <v>2</v>
      </c>
      <c r="Y61" s="5">
        <v>3</v>
      </c>
      <c r="Z61" s="5">
        <v>2</v>
      </c>
      <c r="AA61" s="5">
        <v>3</v>
      </c>
      <c r="AB61" s="5">
        <v>2</v>
      </c>
      <c r="AC61" s="5">
        <v>1</v>
      </c>
      <c r="AD61" s="5">
        <v>2</v>
      </c>
      <c r="AE61" s="5">
        <v>2</v>
      </c>
      <c r="AF61" s="5">
        <v>4</v>
      </c>
      <c r="AG61" s="5">
        <v>2</v>
      </c>
      <c r="AH61" s="5">
        <v>1</v>
      </c>
      <c r="AI61" s="104">
        <v>1</v>
      </c>
      <c r="AJ61" s="95"/>
      <c r="AK61" s="84"/>
      <c r="AL61" s="84"/>
      <c r="AM61" s="84"/>
      <c r="AN61" s="84"/>
      <c r="AO61" s="84"/>
      <c r="AP61" s="94"/>
      <c r="AR61" s="7">
        <f>IF(H61=VLOOKUP(VALUE(H$1),Questions!$A:$E,5,FALSE),1,0)</f>
        <v>1</v>
      </c>
      <c r="AS61" s="7">
        <f>IF(I61=VLOOKUP(VALUE(I$1),Questions!$A:$E,5,FALSE),1,0)</f>
        <v>1</v>
      </c>
      <c r="AT61" s="7">
        <f>IF(J61=VLOOKUP(VALUE(J$1),Questions!$A:$E,5,FALSE),1,0)</f>
        <v>1</v>
      </c>
      <c r="AU61" s="7">
        <f>IF(K61=VLOOKUP(VALUE(K$1),Questions!$A:$E,5,FALSE),1,0)</f>
        <v>1</v>
      </c>
      <c r="AV61" s="7">
        <f>IF(L61=VLOOKUP(VALUE(L$1),Questions!$A:$E,5,FALSE),1,0)</f>
        <v>0</v>
      </c>
      <c r="AW61" s="7">
        <f>IF(M61=VLOOKUP(VALUE(M$1),Questions!$A:$E,5,FALSE),1,0)</f>
        <v>0</v>
      </c>
      <c r="AX61" s="7">
        <f>IF(N61=VLOOKUP(VALUE(N$1),Questions!$A:$E,5,FALSE),1,0)</f>
        <v>1</v>
      </c>
      <c r="AY61" s="7">
        <f>IF(O61=VLOOKUP(VALUE(O$1),Questions!$A:$E,5,FALSE),1,0)</f>
        <v>0</v>
      </c>
      <c r="AZ61" s="7">
        <f>IF(P61=VLOOKUP(VALUE(P$1),Questions!$A:$E,5,FALSE),1,0)</f>
        <v>1</v>
      </c>
      <c r="BA61" s="7">
        <f>IF(Q61=VLOOKUP(VALUE(Q$1),Questions!$A:$E,5,FALSE),1,0)</f>
        <v>1</v>
      </c>
      <c r="BB61" s="7">
        <f>IF(R61=VLOOKUP(VALUE(R$1),Questions!$A:$E,5,FALSE),1,0)</f>
        <v>1</v>
      </c>
      <c r="BC61" s="7">
        <f>IF(S61=VLOOKUP(VALUE(S$1),Questions!$A:$E,5,FALSE),1,0)</f>
        <v>0</v>
      </c>
      <c r="BD61" s="7">
        <f>IF(T61=VLOOKUP(VALUE(T$1),Questions!$A:$E,5,FALSE),1,0)</f>
        <v>1</v>
      </c>
      <c r="BE61" s="7">
        <f>IF(U61=VLOOKUP(VALUE(U$1),Questions!$A:$E,5,FALSE),1,0)</f>
        <v>0</v>
      </c>
      <c r="BF61" s="7">
        <f>IF(V61=VLOOKUP(VALUE(V$1),Questions!$A:$E,5,FALSE),1,0)</f>
        <v>1</v>
      </c>
      <c r="BG61" s="7">
        <f>IF(W61=VLOOKUP(VALUE(W$1),Questions!$A:$E,5,FALSE),1,0)</f>
        <v>1</v>
      </c>
      <c r="BH61" s="7">
        <f>IF(X61=VLOOKUP(VALUE(X$1),Questions!$A:$E,5,FALSE),1,0)</f>
        <v>1</v>
      </c>
      <c r="BI61" s="7">
        <f>IF(Y61=VLOOKUP(VALUE(Y$1),Questions!$A:$E,5,FALSE),1,0)</f>
        <v>1</v>
      </c>
      <c r="BJ61" s="7">
        <f>IF(Z61=VLOOKUP(VALUE(Z$1),Questions!$A:$E,5,FALSE),1,0)</f>
        <v>1</v>
      </c>
      <c r="BK61" s="7">
        <f>IF(AA61=VLOOKUP(VALUE(AA$1),Questions!$A:$E,5,FALSE),1,0)</f>
        <v>1</v>
      </c>
      <c r="BL61" s="7">
        <f>IF(AB61=VLOOKUP(VALUE(AB$1),Questions!$A:$E,5,FALSE),1,0)</f>
        <v>1</v>
      </c>
      <c r="BM61" s="7">
        <f>IF(AC61=VLOOKUP(VALUE(AC$1),Questions!$A:$E,5,FALSE),1,0)</f>
        <v>1</v>
      </c>
      <c r="BN61" s="7">
        <f>IF(AD61=VLOOKUP(VALUE(AD$1),Questions!$A:$E,5,FALSE),1,0)</f>
        <v>0</v>
      </c>
      <c r="BO61" s="7">
        <f>IF(AE61=VLOOKUP(VALUE(AE$1),Questions!$A:$E,5,FALSE),1,0)</f>
        <v>1</v>
      </c>
      <c r="BP61" s="7">
        <f>IF(AF61=VLOOKUP(VALUE(AF$1),Questions!$A:$E,5,FALSE),1,0)</f>
        <v>1</v>
      </c>
      <c r="BQ61" s="7">
        <f>IF(AG61=VLOOKUP(VALUE(AG$1),Questions!$A:$E,5,FALSE),1,0)</f>
        <v>0</v>
      </c>
      <c r="BR61" s="7">
        <f>IF(AH61=VLOOKUP(VALUE(AH$1),Questions!$A:$E,5,FALSE),1,0)</f>
        <v>1</v>
      </c>
      <c r="BS61" s="7">
        <f>IF(AI61=VLOOKUP(VALUE(AI$1),Questions!$A:$E,5,FALSE),1,0)</f>
        <v>1</v>
      </c>
    </row>
    <row r="62" spans="1:71">
      <c r="A62" s="10">
        <v>61</v>
      </c>
      <c r="B62" s="14" t="b">
        <v>0</v>
      </c>
      <c r="C62" s="14" t="b">
        <v>0</v>
      </c>
      <c r="D62" s="102">
        <f>SUM(Scores[[#This Row],[Q1]:[Q28]])</f>
        <v>21</v>
      </c>
      <c r="E62" s="103">
        <f>SUM(Scores[[#This Row],[29]:[34b]])</f>
        <v>0</v>
      </c>
      <c r="F62" s="103">
        <f>Scores[[#This Row],[35]]</f>
        <v>0</v>
      </c>
      <c r="G62" s="104">
        <f>INDEX('Conversion Chart'!$C$3:$M$38,MATCH(SUM(Scores[[#This Row],[MC]:[CRQ]]),'Conversion Chart'!$B$3:$B$38,0),MATCH(Scores[[#This Row],[EIE]],'Conversion Chart'!$C$2:$M$2,0))</f>
        <v>55</v>
      </c>
      <c r="H62" s="5">
        <v>4</v>
      </c>
      <c r="I62" s="5">
        <v>3</v>
      </c>
      <c r="J62" s="5">
        <v>1</v>
      </c>
      <c r="K62" s="5">
        <v>2</v>
      </c>
      <c r="L62" s="5">
        <v>2</v>
      </c>
      <c r="M62" s="5">
        <v>4</v>
      </c>
      <c r="N62" s="5">
        <v>3</v>
      </c>
      <c r="O62" s="5">
        <v>1</v>
      </c>
      <c r="P62" s="5">
        <v>1</v>
      </c>
      <c r="Q62" s="5">
        <v>1</v>
      </c>
      <c r="R62" s="5">
        <v>4</v>
      </c>
      <c r="S62" s="5">
        <v>2</v>
      </c>
      <c r="T62" s="5">
        <v>1</v>
      </c>
      <c r="U62" s="5">
        <v>2</v>
      </c>
      <c r="V62" s="5">
        <v>1</v>
      </c>
      <c r="W62" s="5">
        <v>1</v>
      </c>
      <c r="X62" s="5">
        <v>3</v>
      </c>
      <c r="Y62" s="5">
        <v>3</v>
      </c>
      <c r="Z62" s="5">
        <v>4</v>
      </c>
      <c r="AA62" s="5">
        <v>3</v>
      </c>
      <c r="AB62" s="5">
        <v>2</v>
      </c>
      <c r="AC62" s="5">
        <v>1</v>
      </c>
      <c r="AD62" s="5">
        <v>3</v>
      </c>
      <c r="AE62" s="5">
        <v>3</v>
      </c>
      <c r="AF62" s="5">
        <v>4</v>
      </c>
      <c r="AG62" s="5">
        <v>3</v>
      </c>
      <c r="AH62" s="5">
        <v>4</v>
      </c>
      <c r="AI62" s="104">
        <v>1</v>
      </c>
      <c r="AJ62" s="95"/>
      <c r="AK62" s="84"/>
      <c r="AL62" s="84"/>
      <c r="AM62" s="84"/>
      <c r="AN62" s="84"/>
      <c r="AO62" s="84"/>
      <c r="AP62" s="94"/>
      <c r="AR62" s="7">
        <f>IF(H62=VLOOKUP(VALUE(H$1),Questions!$A:$E,5,FALSE),1,0)</f>
        <v>1</v>
      </c>
      <c r="AS62" s="7">
        <f>IF(I62=VLOOKUP(VALUE(I$1),Questions!$A:$E,5,FALSE),1,0)</f>
        <v>1</v>
      </c>
      <c r="AT62" s="7">
        <f>IF(J62=VLOOKUP(VALUE(J$1),Questions!$A:$E,5,FALSE),1,0)</f>
        <v>1</v>
      </c>
      <c r="AU62" s="7">
        <f>IF(K62=VLOOKUP(VALUE(K$1),Questions!$A:$E,5,FALSE),1,0)</f>
        <v>1</v>
      </c>
      <c r="AV62" s="7">
        <f>IF(L62=VLOOKUP(VALUE(L$1),Questions!$A:$E,5,FALSE),1,0)</f>
        <v>1</v>
      </c>
      <c r="AW62" s="7">
        <f>IF(M62=VLOOKUP(VALUE(M$1),Questions!$A:$E,5,FALSE),1,0)</f>
        <v>1</v>
      </c>
      <c r="AX62" s="7">
        <f>IF(N62=VLOOKUP(VALUE(N$1),Questions!$A:$E,5,FALSE),1,0)</f>
        <v>1</v>
      </c>
      <c r="AY62" s="7">
        <f>IF(O62=VLOOKUP(VALUE(O$1),Questions!$A:$E,5,FALSE),1,0)</f>
        <v>1</v>
      </c>
      <c r="AZ62" s="7">
        <f>IF(P62=VLOOKUP(VALUE(P$1),Questions!$A:$E,5,FALSE),1,0)</f>
        <v>1</v>
      </c>
      <c r="BA62" s="7">
        <f>IF(Q62=VLOOKUP(VALUE(Q$1),Questions!$A:$E,5,FALSE),1,0)</f>
        <v>1</v>
      </c>
      <c r="BB62" s="7">
        <f>IF(R62=VLOOKUP(VALUE(R$1),Questions!$A:$E,5,FALSE),1,0)</f>
        <v>1</v>
      </c>
      <c r="BC62" s="7">
        <f>IF(S62=VLOOKUP(VALUE(S$1),Questions!$A:$E,5,FALSE),1,0)</f>
        <v>1</v>
      </c>
      <c r="BD62" s="7">
        <f>IF(T62=VLOOKUP(VALUE(T$1),Questions!$A:$E,5,FALSE),1,0)</f>
        <v>1</v>
      </c>
      <c r="BE62" s="7">
        <f>IF(U62=VLOOKUP(VALUE(U$1),Questions!$A:$E,5,FALSE),1,0)</f>
        <v>0</v>
      </c>
      <c r="BF62" s="7">
        <f>IF(V62=VLOOKUP(VALUE(V$1),Questions!$A:$E,5,FALSE),1,0)</f>
        <v>0</v>
      </c>
      <c r="BG62" s="7">
        <f>IF(W62=VLOOKUP(VALUE(W$1),Questions!$A:$E,5,FALSE),1,0)</f>
        <v>0</v>
      </c>
      <c r="BH62" s="7">
        <f>IF(X62=VLOOKUP(VALUE(X$1),Questions!$A:$E,5,FALSE),1,0)</f>
        <v>0</v>
      </c>
      <c r="BI62" s="7">
        <f>IF(Y62=VLOOKUP(VALUE(Y$1),Questions!$A:$E,5,FALSE),1,0)</f>
        <v>1</v>
      </c>
      <c r="BJ62" s="7">
        <f>IF(Z62=VLOOKUP(VALUE(Z$1),Questions!$A:$E,5,FALSE),1,0)</f>
        <v>0</v>
      </c>
      <c r="BK62" s="7">
        <f>IF(AA62=VLOOKUP(VALUE(AA$1),Questions!$A:$E,5,FALSE),1,0)</f>
        <v>1</v>
      </c>
      <c r="BL62" s="7">
        <f>IF(AB62=VLOOKUP(VALUE(AB$1),Questions!$A:$E,5,FALSE),1,0)</f>
        <v>1</v>
      </c>
      <c r="BM62" s="7">
        <f>IF(AC62=VLOOKUP(VALUE(AC$1),Questions!$A:$E,5,FALSE),1,0)</f>
        <v>1</v>
      </c>
      <c r="BN62" s="7">
        <f>IF(AD62=VLOOKUP(VALUE(AD$1),Questions!$A:$E,5,FALSE),1,0)</f>
        <v>1</v>
      </c>
      <c r="BO62" s="7">
        <f>IF(AE62=VLOOKUP(VALUE(AE$1),Questions!$A:$E,5,FALSE),1,0)</f>
        <v>0</v>
      </c>
      <c r="BP62" s="7">
        <f>IF(AF62=VLOOKUP(VALUE(AF$1),Questions!$A:$E,5,FALSE),1,0)</f>
        <v>1</v>
      </c>
      <c r="BQ62" s="7">
        <f>IF(AG62=VLOOKUP(VALUE(AG$1),Questions!$A:$E,5,FALSE),1,0)</f>
        <v>1</v>
      </c>
      <c r="BR62" s="7">
        <f>IF(AH62=VLOOKUP(VALUE(AH$1),Questions!$A:$E,5,FALSE),1,0)</f>
        <v>0</v>
      </c>
      <c r="BS62" s="7">
        <f>IF(AI62=VLOOKUP(VALUE(AI$1),Questions!$A:$E,5,FALSE),1,0)</f>
        <v>1</v>
      </c>
    </row>
    <row r="63" spans="1:71">
      <c r="A63" s="10">
        <v>62</v>
      </c>
      <c r="B63" s="14" t="b">
        <v>0</v>
      </c>
      <c r="C63" s="14" t="b">
        <v>0</v>
      </c>
      <c r="D63" s="102">
        <f>SUM(Scores[[#This Row],[Q1]:[Q28]])</f>
        <v>19</v>
      </c>
      <c r="E63" s="103">
        <f>SUM(Scores[[#This Row],[29]:[34b]])</f>
        <v>0</v>
      </c>
      <c r="F63" s="103">
        <f>Scores[[#This Row],[35]]</f>
        <v>0</v>
      </c>
      <c r="G63" s="104">
        <f>INDEX('Conversion Chart'!$C$3:$M$38,MATCH(SUM(Scores[[#This Row],[MC]:[CRQ]]),'Conversion Chart'!$B$3:$B$38,0),MATCH(Scores[[#This Row],[EIE]],'Conversion Chart'!$C$2:$M$2,0))</f>
        <v>51</v>
      </c>
      <c r="H63" s="5">
        <v>1</v>
      </c>
      <c r="I63" s="5">
        <v>3</v>
      </c>
      <c r="J63" s="5">
        <v>1</v>
      </c>
      <c r="K63" s="5">
        <v>2</v>
      </c>
      <c r="L63" s="5">
        <v>2</v>
      </c>
      <c r="M63" s="5">
        <v>4</v>
      </c>
      <c r="N63" s="5">
        <v>3</v>
      </c>
      <c r="O63" s="5">
        <v>4</v>
      </c>
      <c r="P63" s="5">
        <v>3</v>
      </c>
      <c r="Q63" s="5">
        <v>1</v>
      </c>
      <c r="R63" s="5">
        <v>4</v>
      </c>
      <c r="S63" s="5">
        <v>4</v>
      </c>
      <c r="T63" s="5">
        <v>1</v>
      </c>
      <c r="U63" s="5">
        <v>4</v>
      </c>
      <c r="V63" s="5">
        <v>3</v>
      </c>
      <c r="W63" s="5">
        <v>3</v>
      </c>
      <c r="X63" s="5">
        <v>2</v>
      </c>
      <c r="Y63" s="5">
        <v>3</v>
      </c>
      <c r="Z63" s="5">
        <v>3</v>
      </c>
      <c r="AA63" s="5">
        <v>4</v>
      </c>
      <c r="AB63" s="5">
        <v>2</v>
      </c>
      <c r="AC63" s="5">
        <v>1</v>
      </c>
      <c r="AD63" s="5">
        <v>3</v>
      </c>
      <c r="AE63" s="5">
        <v>2</v>
      </c>
      <c r="AF63" s="5">
        <v>4</v>
      </c>
      <c r="AG63" s="5">
        <v>3</v>
      </c>
      <c r="AH63" s="5">
        <v>4</v>
      </c>
      <c r="AI63" s="104">
        <v>4</v>
      </c>
      <c r="AJ63" s="95"/>
      <c r="AK63" s="84"/>
      <c r="AL63" s="84"/>
      <c r="AM63" s="84"/>
      <c r="AN63" s="84"/>
      <c r="AO63" s="84"/>
      <c r="AP63" s="94"/>
      <c r="AR63" s="7">
        <f>IF(H63=VLOOKUP(VALUE(H$1),Questions!$A:$E,5,FALSE),1,0)</f>
        <v>0</v>
      </c>
      <c r="AS63" s="7">
        <f>IF(I63=VLOOKUP(VALUE(I$1),Questions!$A:$E,5,FALSE),1,0)</f>
        <v>1</v>
      </c>
      <c r="AT63" s="7">
        <f>IF(J63=VLOOKUP(VALUE(J$1),Questions!$A:$E,5,FALSE),1,0)</f>
        <v>1</v>
      </c>
      <c r="AU63" s="7">
        <f>IF(K63=VLOOKUP(VALUE(K$1),Questions!$A:$E,5,FALSE),1,0)</f>
        <v>1</v>
      </c>
      <c r="AV63" s="7">
        <f>IF(L63=VLOOKUP(VALUE(L$1),Questions!$A:$E,5,FALSE),1,0)</f>
        <v>1</v>
      </c>
      <c r="AW63" s="7">
        <f>IF(M63=VLOOKUP(VALUE(M$1),Questions!$A:$E,5,FALSE),1,0)</f>
        <v>1</v>
      </c>
      <c r="AX63" s="7">
        <f>IF(N63=VLOOKUP(VALUE(N$1),Questions!$A:$E,5,FALSE),1,0)</f>
        <v>1</v>
      </c>
      <c r="AY63" s="7">
        <f>IF(O63=VLOOKUP(VALUE(O$1),Questions!$A:$E,5,FALSE),1,0)</f>
        <v>0</v>
      </c>
      <c r="AZ63" s="7">
        <f>IF(P63=VLOOKUP(VALUE(P$1),Questions!$A:$E,5,FALSE),1,0)</f>
        <v>0</v>
      </c>
      <c r="BA63" s="7">
        <f>IF(Q63=VLOOKUP(VALUE(Q$1),Questions!$A:$E,5,FALSE),1,0)</f>
        <v>1</v>
      </c>
      <c r="BB63" s="7">
        <f>IF(R63=VLOOKUP(VALUE(R$1),Questions!$A:$E,5,FALSE),1,0)</f>
        <v>1</v>
      </c>
      <c r="BC63" s="7">
        <f>IF(S63=VLOOKUP(VALUE(S$1),Questions!$A:$E,5,FALSE),1,0)</f>
        <v>0</v>
      </c>
      <c r="BD63" s="7">
        <f>IF(T63=VLOOKUP(VALUE(T$1),Questions!$A:$E,5,FALSE),1,0)</f>
        <v>1</v>
      </c>
      <c r="BE63" s="7">
        <f>IF(U63=VLOOKUP(VALUE(U$1),Questions!$A:$E,5,FALSE),1,0)</f>
        <v>1</v>
      </c>
      <c r="BF63" s="7">
        <f>IF(V63=VLOOKUP(VALUE(V$1),Questions!$A:$E,5,FALSE),1,0)</f>
        <v>1</v>
      </c>
      <c r="BG63" s="7">
        <f>IF(W63=VLOOKUP(VALUE(W$1),Questions!$A:$E,5,FALSE),1,0)</f>
        <v>0</v>
      </c>
      <c r="BH63" s="7">
        <f>IF(X63=VLOOKUP(VALUE(X$1),Questions!$A:$E,5,FALSE),1,0)</f>
        <v>1</v>
      </c>
      <c r="BI63" s="7">
        <f>IF(Y63=VLOOKUP(VALUE(Y$1),Questions!$A:$E,5,FALSE),1,0)</f>
        <v>1</v>
      </c>
      <c r="BJ63" s="7">
        <f>IF(Z63=VLOOKUP(VALUE(Z$1),Questions!$A:$E,5,FALSE),1,0)</f>
        <v>0</v>
      </c>
      <c r="BK63" s="7">
        <f>IF(AA63=VLOOKUP(VALUE(AA$1),Questions!$A:$E,5,FALSE),1,0)</f>
        <v>0</v>
      </c>
      <c r="BL63" s="7">
        <f>IF(AB63=VLOOKUP(VALUE(AB$1),Questions!$A:$E,5,FALSE),1,0)</f>
        <v>1</v>
      </c>
      <c r="BM63" s="7">
        <f>IF(AC63=VLOOKUP(VALUE(AC$1),Questions!$A:$E,5,FALSE),1,0)</f>
        <v>1</v>
      </c>
      <c r="BN63" s="7">
        <f>IF(AD63=VLOOKUP(VALUE(AD$1),Questions!$A:$E,5,FALSE),1,0)</f>
        <v>1</v>
      </c>
      <c r="BO63" s="7">
        <f>IF(AE63=VLOOKUP(VALUE(AE$1),Questions!$A:$E,5,FALSE),1,0)</f>
        <v>1</v>
      </c>
      <c r="BP63" s="7">
        <f>IF(AF63=VLOOKUP(VALUE(AF$1),Questions!$A:$E,5,FALSE),1,0)</f>
        <v>1</v>
      </c>
      <c r="BQ63" s="7">
        <f>IF(AG63=VLOOKUP(VALUE(AG$1),Questions!$A:$E,5,FALSE),1,0)</f>
        <v>1</v>
      </c>
      <c r="BR63" s="7">
        <f>IF(AH63=VLOOKUP(VALUE(AH$1),Questions!$A:$E,5,FALSE),1,0)</f>
        <v>0</v>
      </c>
      <c r="BS63" s="7">
        <f>IF(AI63=VLOOKUP(VALUE(AI$1),Questions!$A:$E,5,FALSE),1,0)</f>
        <v>0</v>
      </c>
    </row>
    <row r="64" spans="1:71">
      <c r="A64" s="10">
        <v>63</v>
      </c>
      <c r="B64" s="14" t="b">
        <v>0</v>
      </c>
      <c r="C64" s="14" t="b">
        <v>0</v>
      </c>
      <c r="D64" s="102">
        <f>SUM(Scores[[#This Row],[Q1]:[Q28]])</f>
        <v>18</v>
      </c>
      <c r="E64" s="103">
        <f>SUM(Scores[[#This Row],[29]:[34b]])</f>
        <v>0</v>
      </c>
      <c r="F64" s="103">
        <f>Scores[[#This Row],[35]]</f>
        <v>0</v>
      </c>
      <c r="G64" s="104">
        <f>INDEX('Conversion Chart'!$C$3:$M$38,MATCH(SUM(Scores[[#This Row],[MC]:[CRQ]]),'Conversion Chart'!$B$3:$B$38,0),MATCH(Scores[[#This Row],[EIE]],'Conversion Chart'!$C$2:$M$2,0))</f>
        <v>49</v>
      </c>
      <c r="H64" s="5">
        <v>4</v>
      </c>
      <c r="I64" s="5">
        <v>3</v>
      </c>
      <c r="J64" s="5">
        <v>1</v>
      </c>
      <c r="K64" s="5">
        <v>2</v>
      </c>
      <c r="L64" s="5">
        <v>2</v>
      </c>
      <c r="M64" s="5">
        <v>4</v>
      </c>
      <c r="N64" s="5">
        <v>3</v>
      </c>
      <c r="O64" s="5">
        <v>4</v>
      </c>
      <c r="P64" s="5">
        <v>3</v>
      </c>
      <c r="Q64" s="5">
        <v>1</v>
      </c>
      <c r="R64" s="5">
        <v>4</v>
      </c>
      <c r="S64" s="5">
        <v>4</v>
      </c>
      <c r="T64" s="5">
        <v>1</v>
      </c>
      <c r="U64" s="5">
        <v>4</v>
      </c>
      <c r="V64" s="5">
        <v>1</v>
      </c>
      <c r="W64" s="5">
        <v>4</v>
      </c>
      <c r="X64" s="5">
        <v>2</v>
      </c>
      <c r="Y64" s="5">
        <v>1</v>
      </c>
      <c r="Z64" s="5">
        <v>4</v>
      </c>
      <c r="AA64" s="5">
        <v>3</v>
      </c>
      <c r="AB64" s="5">
        <v>2</v>
      </c>
      <c r="AC64" s="5">
        <v>1</v>
      </c>
      <c r="AD64" s="5">
        <v>2</v>
      </c>
      <c r="AE64" s="5">
        <v>2</v>
      </c>
      <c r="AF64" s="5">
        <v>1</v>
      </c>
      <c r="AG64" s="5">
        <v>3</v>
      </c>
      <c r="AH64" s="5">
        <v>2</v>
      </c>
      <c r="AI64" s="104">
        <v>4</v>
      </c>
      <c r="AJ64" s="95"/>
      <c r="AK64" s="84"/>
      <c r="AL64" s="84"/>
      <c r="AM64" s="84"/>
      <c r="AN64" s="84"/>
      <c r="AO64" s="84"/>
      <c r="AP64" s="94"/>
      <c r="AR64" s="7">
        <f>IF(H64=VLOOKUP(VALUE(H$1),Questions!$A:$E,5,FALSE),1,0)</f>
        <v>1</v>
      </c>
      <c r="AS64" s="7">
        <f>IF(I64=VLOOKUP(VALUE(I$1),Questions!$A:$E,5,FALSE),1,0)</f>
        <v>1</v>
      </c>
      <c r="AT64" s="7">
        <f>IF(J64=VLOOKUP(VALUE(J$1),Questions!$A:$E,5,FALSE),1,0)</f>
        <v>1</v>
      </c>
      <c r="AU64" s="7">
        <f>IF(K64=VLOOKUP(VALUE(K$1),Questions!$A:$E,5,FALSE),1,0)</f>
        <v>1</v>
      </c>
      <c r="AV64" s="7">
        <f>IF(L64=VLOOKUP(VALUE(L$1),Questions!$A:$E,5,FALSE),1,0)</f>
        <v>1</v>
      </c>
      <c r="AW64" s="7">
        <f>IF(M64=VLOOKUP(VALUE(M$1),Questions!$A:$E,5,FALSE),1,0)</f>
        <v>1</v>
      </c>
      <c r="AX64" s="7">
        <f>IF(N64=VLOOKUP(VALUE(N$1),Questions!$A:$E,5,FALSE),1,0)</f>
        <v>1</v>
      </c>
      <c r="AY64" s="7">
        <f>IF(O64=VLOOKUP(VALUE(O$1),Questions!$A:$E,5,FALSE),1,0)</f>
        <v>0</v>
      </c>
      <c r="AZ64" s="7">
        <f>IF(P64=VLOOKUP(VALUE(P$1),Questions!$A:$E,5,FALSE),1,0)</f>
        <v>0</v>
      </c>
      <c r="BA64" s="7">
        <f>IF(Q64=VLOOKUP(VALUE(Q$1),Questions!$A:$E,5,FALSE),1,0)</f>
        <v>1</v>
      </c>
      <c r="BB64" s="7">
        <f>IF(R64=VLOOKUP(VALUE(R$1),Questions!$A:$E,5,FALSE),1,0)</f>
        <v>1</v>
      </c>
      <c r="BC64" s="7">
        <f>IF(S64=VLOOKUP(VALUE(S$1),Questions!$A:$E,5,FALSE),1,0)</f>
        <v>0</v>
      </c>
      <c r="BD64" s="7">
        <f>IF(T64=VLOOKUP(VALUE(T$1),Questions!$A:$E,5,FALSE),1,0)</f>
        <v>1</v>
      </c>
      <c r="BE64" s="7">
        <f>IF(U64=VLOOKUP(VALUE(U$1),Questions!$A:$E,5,FALSE),1,0)</f>
        <v>1</v>
      </c>
      <c r="BF64" s="7">
        <f>IF(V64=VLOOKUP(VALUE(V$1),Questions!$A:$E,5,FALSE),1,0)</f>
        <v>0</v>
      </c>
      <c r="BG64" s="7">
        <f>IF(W64=VLOOKUP(VALUE(W$1),Questions!$A:$E,5,FALSE),1,0)</f>
        <v>1</v>
      </c>
      <c r="BH64" s="7">
        <f>IF(X64=VLOOKUP(VALUE(X$1),Questions!$A:$E,5,FALSE),1,0)</f>
        <v>1</v>
      </c>
      <c r="BI64" s="7">
        <f>IF(Y64=VLOOKUP(VALUE(Y$1),Questions!$A:$E,5,FALSE),1,0)</f>
        <v>0</v>
      </c>
      <c r="BJ64" s="7">
        <f>IF(Z64=VLOOKUP(VALUE(Z$1),Questions!$A:$E,5,FALSE),1,0)</f>
        <v>0</v>
      </c>
      <c r="BK64" s="7">
        <f>IF(AA64=VLOOKUP(VALUE(AA$1),Questions!$A:$E,5,FALSE),1,0)</f>
        <v>1</v>
      </c>
      <c r="BL64" s="7">
        <f>IF(AB64=VLOOKUP(VALUE(AB$1),Questions!$A:$E,5,FALSE),1,0)</f>
        <v>1</v>
      </c>
      <c r="BM64" s="7">
        <f>IF(AC64=VLOOKUP(VALUE(AC$1),Questions!$A:$E,5,FALSE),1,0)</f>
        <v>1</v>
      </c>
      <c r="BN64" s="7">
        <f>IF(AD64=VLOOKUP(VALUE(AD$1),Questions!$A:$E,5,FALSE),1,0)</f>
        <v>0</v>
      </c>
      <c r="BO64" s="7">
        <f>IF(AE64=VLOOKUP(VALUE(AE$1),Questions!$A:$E,5,FALSE),1,0)</f>
        <v>1</v>
      </c>
      <c r="BP64" s="7">
        <f>IF(AF64=VLOOKUP(VALUE(AF$1),Questions!$A:$E,5,FALSE),1,0)</f>
        <v>0</v>
      </c>
      <c r="BQ64" s="7">
        <f>IF(AG64=VLOOKUP(VALUE(AG$1),Questions!$A:$E,5,FALSE),1,0)</f>
        <v>1</v>
      </c>
      <c r="BR64" s="7">
        <f>IF(AH64=VLOOKUP(VALUE(AH$1),Questions!$A:$E,5,FALSE),1,0)</f>
        <v>0</v>
      </c>
      <c r="BS64" s="7">
        <f>IF(AI64=VLOOKUP(VALUE(AI$1),Questions!$A:$E,5,FALSE),1,0)</f>
        <v>0</v>
      </c>
    </row>
    <row r="65" spans="1:71">
      <c r="A65" s="10">
        <v>64</v>
      </c>
      <c r="B65" s="14" t="b">
        <v>0</v>
      </c>
      <c r="C65" s="14" t="b">
        <v>0</v>
      </c>
      <c r="D65" s="102">
        <f>SUM(Scores[[#This Row],[Q1]:[Q28]])</f>
        <v>22</v>
      </c>
      <c r="E65" s="103">
        <f>SUM(Scores[[#This Row],[29]:[34b]])</f>
        <v>0</v>
      </c>
      <c r="F65" s="103">
        <f>Scores[[#This Row],[35]]</f>
        <v>0</v>
      </c>
      <c r="G65" s="104">
        <f>INDEX('Conversion Chart'!$C$3:$M$38,MATCH(SUM(Scores[[#This Row],[MC]:[CRQ]]),'Conversion Chart'!$B$3:$B$38,0),MATCH(Scores[[#This Row],[EIE]],'Conversion Chart'!$C$2:$M$2,0))</f>
        <v>57</v>
      </c>
      <c r="H65" s="5">
        <v>4</v>
      </c>
      <c r="I65" s="5">
        <v>3</v>
      </c>
      <c r="J65" s="5">
        <v>1</v>
      </c>
      <c r="K65" s="5">
        <v>2</v>
      </c>
      <c r="L65" s="5">
        <v>2</v>
      </c>
      <c r="M65" s="5">
        <v>4</v>
      </c>
      <c r="N65" s="5">
        <v>3</v>
      </c>
      <c r="O65" s="5">
        <v>1</v>
      </c>
      <c r="P65" s="5">
        <v>4</v>
      </c>
      <c r="Q65" s="5">
        <v>2</v>
      </c>
      <c r="R65" s="5">
        <v>4</v>
      </c>
      <c r="S65" s="5">
        <v>2</v>
      </c>
      <c r="T65" s="5">
        <v>1</v>
      </c>
      <c r="U65" s="5">
        <v>4</v>
      </c>
      <c r="V65" s="5">
        <v>3</v>
      </c>
      <c r="W65" s="5">
        <v>4</v>
      </c>
      <c r="X65" s="5">
        <v>1</v>
      </c>
      <c r="Y65" s="5">
        <v>2</v>
      </c>
      <c r="Z65" s="5">
        <v>1</v>
      </c>
      <c r="AA65" s="5">
        <v>3</v>
      </c>
      <c r="AB65" s="5">
        <v>2</v>
      </c>
      <c r="AC65" s="5">
        <v>1</v>
      </c>
      <c r="AD65" s="5">
        <v>3</v>
      </c>
      <c r="AE65" s="5">
        <v>2</v>
      </c>
      <c r="AF65" s="5">
        <v>4</v>
      </c>
      <c r="AG65" s="5">
        <v>3</v>
      </c>
      <c r="AH65" s="5">
        <v>2</v>
      </c>
      <c r="AI65" s="104">
        <v>1</v>
      </c>
      <c r="AJ65" s="95"/>
      <c r="AK65" s="84"/>
      <c r="AL65" s="84"/>
      <c r="AM65" s="84"/>
      <c r="AN65" s="84"/>
      <c r="AO65" s="84"/>
      <c r="AP65" s="94"/>
      <c r="AR65" s="7">
        <f>IF(H65=VLOOKUP(VALUE(H$1),Questions!$A:$E,5,FALSE),1,0)</f>
        <v>1</v>
      </c>
      <c r="AS65" s="7">
        <f>IF(I65=VLOOKUP(VALUE(I$1),Questions!$A:$E,5,FALSE),1,0)</f>
        <v>1</v>
      </c>
      <c r="AT65" s="7">
        <f>IF(J65=VLOOKUP(VALUE(J$1),Questions!$A:$E,5,FALSE),1,0)</f>
        <v>1</v>
      </c>
      <c r="AU65" s="7">
        <f>IF(K65=VLOOKUP(VALUE(K$1),Questions!$A:$E,5,FALSE),1,0)</f>
        <v>1</v>
      </c>
      <c r="AV65" s="7">
        <f>IF(L65=VLOOKUP(VALUE(L$1),Questions!$A:$E,5,FALSE),1,0)</f>
        <v>1</v>
      </c>
      <c r="AW65" s="7">
        <f>IF(M65=VLOOKUP(VALUE(M$1),Questions!$A:$E,5,FALSE),1,0)</f>
        <v>1</v>
      </c>
      <c r="AX65" s="7">
        <f>IF(N65=VLOOKUP(VALUE(N$1),Questions!$A:$E,5,FALSE),1,0)</f>
        <v>1</v>
      </c>
      <c r="AY65" s="7">
        <f>IF(O65=VLOOKUP(VALUE(O$1),Questions!$A:$E,5,FALSE),1,0)</f>
        <v>1</v>
      </c>
      <c r="AZ65" s="7">
        <f>IF(P65=VLOOKUP(VALUE(P$1),Questions!$A:$E,5,FALSE),1,0)</f>
        <v>0</v>
      </c>
      <c r="BA65" s="7">
        <f>IF(Q65=VLOOKUP(VALUE(Q$1),Questions!$A:$E,5,FALSE),1,0)</f>
        <v>0</v>
      </c>
      <c r="BB65" s="7">
        <f>IF(R65=VLOOKUP(VALUE(R$1),Questions!$A:$E,5,FALSE),1,0)</f>
        <v>1</v>
      </c>
      <c r="BC65" s="7">
        <f>IF(S65=VLOOKUP(VALUE(S$1),Questions!$A:$E,5,FALSE),1,0)</f>
        <v>1</v>
      </c>
      <c r="BD65" s="7">
        <f>IF(T65=VLOOKUP(VALUE(T$1),Questions!$A:$E,5,FALSE),1,0)</f>
        <v>1</v>
      </c>
      <c r="BE65" s="7">
        <f>IF(U65=VLOOKUP(VALUE(U$1),Questions!$A:$E,5,FALSE),1,0)</f>
        <v>1</v>
      </c>
      <c r="BF65" s="7">
        <f>IF(V65=VLOOKUP(VALUE(V$1),Questions!$A:$E,5,FALSE),1,0)</f>
        <v>1</v>
      </c>
      <c r="BG65" s="7">
        <f>IF(W65=VLOOKUP(VALUE(W$1),Questions!$A:$E,5,FALSE),1,0)</f>
        <v>1</v>
      </c>
      <c r="BH65" s="7">
        <f>IF(X65=VLOOKUP(VALUE(X$1),Questions!$A:$E,5,FALSE),1,0)</f>
        <v>0</v>
      </c>
      <c r="BI65" s="7">
        <f>IF(Y65=VLOOKUP(VALUE(Y$1),Questions!$A:$E,5,FALSE),1,0)</f>
        <v>0</v>
      </c>
      <c r="BJ65" s="7">
        <f>IF(Z65=VLOOKUP(VALUE(Z$1),Questions!$A:$E,5,FALSE),1,0)</f>
        <v>0</v>
      </c>
      <c r="BK65" s="7">
        <f>IF(AA65=VLOOKUP(VALUE(AA$1),Questions!$A:$E,5,FALSE),1,0)</f>
        <v>1</v>
      </c>
      <c r="BL65" s="7">
        <f>IF(AB65=VLOOKUP(VALUE(AB$1),Questions!$A:$E,5,FALSE),1,0)</f>
        <v>1</v>
      </c>
      <c r="BM65" s="7">
        <f>IF(AC65=VLOOKUP(VALUE(AC$1),Questions!$A:$E,5,FALSE),1,0)</f>
        <v>1</v>
      </c>
      <c r="BN65" s="7">
        <f>IF(AD65=VLOOKUP(VALUE(AD$1),Questions!$A:$E,5,FALSE),1,0)</f>
        <v>1</v>
      </c>
      <c r="BO65" s="7">
        <f>IF(AE65=VLOOKUP(VALUE(AE$1),Questions!$A:$E,5,FALSE),1,0)</f>
        <v>1</v>
      </c>
      <c r="BP65" s="7">
        <f>IF(AF65=VLOOKUP(VALUE(AF$1),Questions!$A:$E,5,FALSE),1,0)</f>
        <v>1</v>
      </c>
      <c r="BQ65" s="7">
        <f>IF(AG65=VLOOKUP(VALUE(AG$1),Questions!$A:$E,5,FALSE),1,0)</f>
        <v>1</v>
      </c>
      <c r="BR65" s="7">
        <f>IF(AH65=VLOOKUP(VALUE(AH$1),Questions!$A:$E,5,FALSE),1,0)</f>
        <v>0</v>
      </c>
      <c r="BS65" s="7">
        <f>IF(AI65=VLOOKUP(VALUE(AI$1),Questions!$A:$E,5,FALSE),1,0)</f>
        <v>1</v>
      </c>
    </row>
    <row r="66" spans="1:71">
      <c r="A66" s="10">
        <v>65</v>
      </c>
      <c r="B66" s="14" t="b">
        <v>0</v>
      </c>
      <c r="C66" s="14" t="b">
        <v>0</v>
      </c>
      <c r="D66" s="102">
        <f>SUM(Scores[[#This Row],[Q1]:[Q28]])</f>
        <v>14</v>
      </c>
      <c r="E66" s="103">
        <f>SUM(Scores[[#This Row],[29]:[34b]])</f>
        <v>0</v>
      </c>
      <c r="F66" s="103">
        <f>Scores[[#This Row],[35]]</f>
        <v>0</v>
      </c>
      <c r="G66" s="104">
        <f>INDEX('Conversion Chart'!$C$3:$M$38,MATCH(SUM(Scores[[#This Row],[MC]:[CRQ]]),'Conversion Chart'!$B$3:$B$38,0),MATCH(Scores[[#This Row],[EIE]],'Conversion Chart'!$C$2:$M$2,0))</f>
        <v>40</v>
      </c>
      <c r="H66" s="5">
        <v>1</v>
      </c>
      <c r="I66" s="5">
        <v>2</v>
      </c>
      <c r="J66" s="5">
        <v>1</v>
      </c>
      <c r="K66" s="5">
        <v>2</v>
      </c>
      <c r="L66" s="5">
        <v>4</v>
      </c>
      <c r="M66" s="5">
        <v>4</v>
      </c>
      <c r="N66" s="5">
        <v>1</v>
      </c>
      <c r="O66" s="5">
        <v>4</v>
      </c>
      <c r="P66" s="5">
        <v>1</v>
      </c>
      <c r="Q66" s="5">
        <v>2</v>
      </c>
      <c r="R66" s="5">
        <v>4</v>
      </c>
      <c r="S66" s="5">
        <v>4</v>
      </c>
      <c r="T66" s="5">
        <v>1</v>
      </c>
      <c r="U66" s="5">
        <v>3</v>
      </c>
      <c r="V66" s="5">
        <v>3</v>
      </c>
      <c r="W66" s="5">
        <v>3</v>
      </c>
      <c r="X66" s="5">
        <v>2</v>
      </c>
      <c r="Y66" s="5">
        <v>2</v>
      </c>
      <c r="Z66" s="5">
        <v>2</v>
      </c>
      <c r="AA66" s="5">
        <v>1</v>
      </c>
      <c r="AB66" s="5">
        <v>2</v>
      </c>
      <c r="AC66" s="5">
        <v>1</v>
      </c>
      <c r="AD66" s="5">
        <v>3</v>
      </c>
      <c r="AE66" s="5">
        <v>4</v>
      </c>
      <c r="AF66" s="5">
        <v>4</v>
      </c>
      <c r="AG66" s="5">
        <v>2</v>
      </c>
      <c r="AH66" s="5">
        <v>4</v>
      </c>
      <c r="AI66" s="104">
        <v>1</v>
      </c>
      <c r="AJ66" s="95"/>
      <c r="AK66" s="84"/>
      <c r="AL66" s="84"/>
      <c r="AM66" s="84"/>
      <c r="AN66" s="84"/>
      <c r="AO66" s="84"/>
      <c r="AP66" s="94"/>
      <c r="AR66" s="7">
        <f>IF(H66=VLOOKUP(VALUE(H$1),Questions!$A:$E,5,FALSE),1,0)</f>
        <v>0</v>
      </c>
      <c r="AS66" s="7">
        <f>IF(I66=VLOOKUP(VALUE(I$1),Questions!$A:$E,5,FALSE),1,0)</f>
        <v>0</v>
      </c>
      <c r="AT66" s="7">
        <f>IF(J66=VLOOKUP(VALUE(J$1),Questions!$A:$E,5,FALSE),1,0)</f>
        <v>1</v>
      </c>
      <c r="AU66" s="7">
        <f>IF(K66=VLOOKUP(VALUE(K$1),Questions!$A:$E,5,FALSE),1,0)</f>
        <v>1</v>
      </c>
      <c r="AV66" s="7">
        <f>IF(L66=VLOOKUP(VALUE(L$1),Questions!$A:$E,5,FALSE),1,0)</f>
        <v>0</v>
      </c>
      <c r="AW66" s="7">
        <f>IF(M66=VLOOKUP(VALUE(M$1),Questions!$A:$E,5,FALSE),1,0)</f>
        <v>1</v>
      </c>
      <c r="AX66" s="7">
        <f>IF(N66=VLOOKUP(VALUE(N$1),Questions!$A:$E,5,FALSE),1,0)</f>
        <v>0</v>
      </c>
      <c r="AY66" s="7">
        <f>IF(O66=VLOOKUP(VALUE(O$1),Questions!$A:$E,5,FALSE),1,0)</f>
        <v>0</v>
      </c>
      <c r="AZ66" s="7">
        <f>IF(P66=VLOOKUP(VALUE(P$1),Questions!$A:$E,5,FALSE),1,0)</f>
        <v>1</v>
      </c>
      <c r="BA66" s="7">
        <f>IF(Q66=VLOOKUP(VALUE(Q$1),Questions!$A:$E,5,FALSE),1,0)</f>
        <v>0</v>
      </c>
      <c r="BB66" s="7">
        <f>IF(R66=VLOOKUP(VALUE(R$1),Questions!$A:$E,5,FALSE),1,0)</f>
        <v>1</v>
      </c>
      <c r="BC66" s="7">
        <f>IF(S66=VLOOKUP(VALUE(S$1),Questions!$A:$E,5,FALSE),1,0)</f>
        <v>0</v>
      </c>
      <c r="BD66" s="7">
        <f>IF(T66=VLOOKUP(VALUE(T$1),Questions!$A:$E,5,FALSE),1,0)</f>
        <v>1</v>
      </c>
      <c r="BE66" s="7">
        <f>IF(U66=VLOOKUP(VALUE(U$1),Questions!$A:$E,5,FALSE),1,0)</f>
        <v>0</v>
      </c>
      <c r="BF66" s="7">
        <f>IF(V66=VLOOKUP(VALUE(V$1),Questions!$A:$E,5,FALSE),1,0)</f>
        <v>1</v>
      </c>
      <c r="BG66" s="7">
        <f>IF(W66=VLOOKUP(VALUE(W$1),Questions!$A:$E,5,FALSE),1,0)</f>
        <v>0</v>
      </c>
      <c r="BH66" s="7">
        <f>IF(X66=VLOOKUP(VALUE(X$1),Questions!$A:$E,5,FALSE),1,0)</f>
        <v>1</v>
      </c>
      <c r="BI66" s="7">
        <f>IF(Y66=VLOOKUP(VALUE(Y$1),Questions!$A:$E,5,FALSE),1,0)</f>
        <v>0</v>
      </c>
      <c r="BJ66" s="7">
        <f>IF(Z66=VLOOKUP(VALUE(Z$1),Questions!$A:$E,5,FALSE),1,0)</f>
        <v>1</v>
      </c>
      <c r="BK66" s="7">
        <f>IF(AA66=VLOOKUP(VALUE(AA$1),Questions!$A:$E,5,FALSE),1,0)</f>
        <v>0</v>
      </c>
      <c r="BL66" s="7">
        <f>IF(AB66=VLOOKUP(VALUE(AB$1),Questions!$A:$E,5,FALSE),1,0)</f>
        <v>1</v>
      </c>
      <c r="BM66" s="7">
        <f>IF(AC66=VLOOKUP(VALUE(AC$1),Questions!$A:$E,5,FALSE),1,0)</f>
        <v>1</v>
      </c>
      <c r="BN66" s="7">
        <f>IF(AD66=VLOOKUP(VALUE(AD$1),Questions!$A:$E,5,FALSE),1,0)</f>
        <v>1</v>
      </c>
      <c r="BO66" s="7">
        <f>IF(AE66=VLOOKUP(VALUE(AE$1),Questions!$A:$E,5,FALSE),1,0)</f>
        <v>0</v>
      </c>
      <c r="BP66" s="7">
        <f>IF(AF66=VLOOKUP(VALUE(AF$1),Questions!$A:$E,5,FALSE),1,0)</f>
        <v>1</v>
      </c>
      <c r="BQ66" s="7">
        <f>IF(AG66=VLOOKUP(VALUE(AG$1),Questions!$A:$E,5,FALSE),1,0)</f>
        <v>0</v>
      </c>
      <c r="BR66" s="7">
        <f>IF(AH66=VLOOKUP(VALUE(AH$1),Questions!$A:$E,5,FALSE),1,0)</f>
        <v>0</v>
      </c>
      <c r="BS66" s="7">
        <f>IF(AI66=VLOOKUP(VALUE(AI$1),Questions!$A:$E,5,FALSE),1,0)</f>
        <v>1</v>
      </c>
    </row>
    <row r="67" spans="1:71">
      <c r="A67" s="10">
        <v>66</v>
      </c>
      <c r="B67" s="14" t="b">
        <v>0</v>
      </c>
      <c r="C67" s="14" t="b">
        <v>0</v>
      </c>
      <c r="D67" s="102">
        <f>SUM(Scores[[#This Row],[Q1]:[Q28]])</f>
        <v>14</v>
      </c>
      <c r="E67" s="103">
        <f>SUM(Scores[[#This Row],[29]:[34b]])</f>
        <v>0</v>
      </c>
      <c r="F67" s="103">
        <f>Scores[[#This Row],[35]]</f>
        <v>0</v>
      </c>
      <c r="G67" s="104">
        <f>INDEX('Conversion Chart'!$C$3:$M$38,MATCH(SUM(Scores[[#This Row],[MC]:[CRQ]]),'Conversion Chart'!$B$3:$B$38,0),MATCH(Scores[[#This Row],[EIE]],'Conversion Chart'!$C$2:$M$2,0))</f>
        <v>40</v>
      </c>
      <c r="H67" s="5">
        <v>3</v>
      </c>
      <c r="I67" s="5">
        <v>3</v>
      </c>
      <c r="J67" s="5">
        <v>1</v>
      </c>
      <c r="K67" s="5">
        <v>1</v>
      </c>
      <c r="L67" s="5">
        <v>2</v>
      </c>
      <c r="M67" s="5">
        <v>2</v>
      </c>
      <c r="N67" s="5">
        <v>3</v>
      </c>
      <c r="O67" s="5">
        <v>4</v>
      </c>
      <c r="P67" s="5">
        <v>3</v>
      </c>
      <c r="Q67" s="5">
        <v>1</v>
      </c>
      <c r="R67" s="5">
        <v>1</v>
      </c>
      <c r="S67" s="5">
        <v>3</v>
      </c>
      <c r="T67" s="5">
        <v>3</v>
      </c>
      <c r="U67" s="5">
        <v>4</v>
      </c>
      <c r="V67" s="5">
        <v>1</v>
      </c>
      <c r="W67" s="5">
        <v>4</v>
      </c>
      <c r="X67" s="5">
        <v>2</v>
      </c>
      <c r="Y67" s="5">
        <v>2</v>
      </c>
      <c r="Z67" s="5">
        <v>4</v>
      </c>
      <c r="AA67" s="5">
        <v>3</v>
      </c>
      <c r="AB67" s="5">
        <v>2</v>
      </c>
      <c r="AC67" s="5">
        <v>3</v>
      </c>
      <c r="AD67" s="5">
        <v>1</v>
      </c>
      <c r="AE67" s="5">
        <v>4</v>
      </c>
      <c r="AF67" s="5">
        <v>4</v>
      </c>
      <c r="AG67" s="5">
        <v>3</v>
      </c>
      <c r="AH67" s="5">
        <v>1</v>
      </c>
      <c r="AI67" s="104">
        <v>1</v>
      </c>
      <c r="AJ67" s="95"/>
      <c r="AK67" s="84"/>
      <c r="AL67" s="84"/>
      <c r="AM67" s="84"/>
      <c r="AN67" s="84"/>
      <c r="AO67" s="84"/>
      <c r="AP67" s="94"/>
      <c r="AR67" s="7">
        <f>IF(H67=VLOOKUP(VALUE(H$1),Questions!$A:$E,5,FALSE),1,0)</f>
        <v>0</v>
      </c>
      <c r="AS67" s="7">
        <f>IF(I67=VLOOKUP(VALUE(I$1),Questions!$A:$E,5,FALSE),1,0)</f>
        <v>1</v>
      </c>
      <c r="AT67" s="7">
        <f>IF(J67=VLOOKUP(VALUE(J$1),Questions!$A:$E,5,FALSE),1,0)</f>
        <v>1</v>
      </c>
      <c r="AU67" s="7">
        <f>IF(K67=VLOOKUP(VALUE(K$1),Questions!$A:$E,5,FALSE),1,0)</f>
        <v>0</v>
      </c>
      <c r="AV67" s="7">
        <f>IF(L67=VLOOKUP(VALUE(L$1),Questions!$A:$E,5,FALSE),1,0)</f>
        <v>1</v>
      </c>
      <c r="AW67" s="7">
        <f>IF(M67=VLOOKUP(VALUE(M$1),Questions!$A:$E,5,FALSE),1,0)</f>
        <v>0</v>
      </c>
      <c r="AX67" s="7">
        <f>IF(N67=VLOOKUP(VALUE(N$1),Questions!$A:$E,5,FALSE),1,0)</f>
        <v>1</v>
      </c>
      <c r="AY67" s="7">
        <f>IF(O67=VLOOKUP(VALUE(O$1),Questions!$A:$E,5,FALSE),1,0)</f>
        <v>0</v>
      </c>
      <c r="AZ67" s="7">
        <f>IF(P67=VLOOKUP(VALUE(P$1),Questions!$A:$E,5,FALSE),1,0)</f>
        <v>0</v>
      </c>
      <c r="BA67" s="7">
        <f>IF(Q67=VLOOKUP(VALUE(Q$1),Questions!$A:$E,5,FALSE),1,0)</f>
        <v>1</v>
      </c>
      <c r="BB67" s="7">
        <f>IF(R67=VLOOKUP(VALUE(R$1),Questions!$A:$E,5,FALSE),1,0)</f>
        <v>0</v>
      </c>
      <c r="BC67" s="7">
        <f>IF(S67=VLOOKUP(VALUE(S$1),Questions!$A:$E,5,FALSE),1,0)</f>
        <v>0</v>
      </c>
      <c r="BD67" s="7">
        <f>IF(T67=VLOOKUP(VALUE(T$1),Questions!$A:$E,5,FALSE),1,0)</f>
        <v>0</v>
      </c>
      <c r="BE67" s="7">
        <f>IF(U67=VLOOKUP(VALUE(U$1),Questions!$A:$E,5,FALSE),1,0)</f>
        <v>1</v>
      </c>
      <c r="BF67" s="7">
        <f>IF(V67=VLOOKUP(VALUE(V$1),Questions!$A:$E,5,FALSE),1,0)</f>
        <v>0</v>
      </c>
      <c r="BG67" s="7">
        <f>IF(W67=VLOOKUP(VALUE(W$1),Questions!$A:$E,5,FALSE),1,0)</f>
        <v>1</v>
      </c>
      <c r="BH67" s="7">
        <f>IF(X67=VLOOKUP(VALUE(X$1),Questions!$A:$E,5,FALSE),1,0)</f>
        <v>1</v>
      </c>
      <c r="BI67" s="7">
        <f>IF(Y67=VLOOKUP(VALUE(Y$1),Questions!$A:$E,5,FALSE),1,0)</f>
        <v>0</v>
      </c>
      <c r="BJ67" s="7">
        <f>IF(Z67=VLOOKUP(VALUE(Z$1),Questions!$A:$E,5,FALSE),1,0)</f>
        <v>0</v>
      </c>
      <c r="BK67" s="7">
        <f>IF(AA67=VLOOKUP(VALUE(AA$1),Questions!$A:$E,5,FALSE),1,0)</f>
        <v>1</v>
      </c>
      <c r="BL67" s="7">
        <f>IF(AB67=VLOOKUP(VALUE(AB$1),Questions!$A:$E,5,FALSE),1,0)</f>
        <v>1</v>
      </c>
      <c r="BM67" s="7">
        <f>IF(AC67=VLOOKUP(VALUE(AC$1),Questions!$A:$E,5,FALSE),1,0)</f>
        <v>0</v>
      </c>
      <c r="BN67" s="7">
        <f>IF(AD67=VLOOKUP(VALUE(AD$1),Questions!$A:$E,5,FALSE),1,0)</f>
        <v>0</v>
      </c>
      <c r="BO67" s="7">
        <f>IF(AE67=VLOOKUP(VALUE(AE$1),Questions!$A:$E,5,FALSE),1,0)</f>
        <v>0</v>
      </c>
      <c r="BP67" s="7">
        <f>IF(AF67=VLOOKUP(VALUE(AF$1),Questions!$A:$E,5,FALSE),1,0)</f>
        <v>1</v>
      </c>
      <c r="BQ67" s="7">
        <f>IF(AG67=VLOOKUP(VALUE(AG$1),Questions!$A:$E,5,FALSE),1,0)</f>
        <v>1</v>
      </c>
      <c r="BR67" s="7">
        <f>IF(AH67=VLOOKUP(VALUE(AH$1),Questions!$A:$E,5,FALSE),1,0)</f>
        <v>1</v>
      </c>
      <c r="BS67" s="7">
        <f>IF(AI67=VLOOKUP(VALUE(AI$1),Questions!$A:$E,5,FALSE),1,0)</f>
        <v>1</v>
      </c>
    </row>
    <row r="68" spans="1:71">
      <c r="A68" s="10">
        <v>67</v>
      </c>
      <c r="B68" s="14" t="b">
        <v>0</v>
      </c>
      <c r="C68" s="14" t="b">
        <v>0</v>
      </c>
      <c r="D68" s="102">
        <f>SUM(Scores[[#This Row],[Q1]:[Q28]])</f>
        <v>23</v>
      </c>
      <c r="E68" s="103">
        <f>SUM(Scores[[#This Row],[29]:[34b]])</f>
        <v>0</v>
      </c>
      <c r="F68" s="103">
        <f>Scores[[#This Row],[35]]</f>
        <v>0</v>
      </c>
      <c r="G68" s="104">
        <f>INDEX('Conversion Chart'!$C$3:$M$38,MATCH(SUM(Scores[[#This Row],[MC]:[CRQ]]),'Conversion Chart'!$B$3:$B$38,0),MATCH(Scores[[#This Row],[EIE]],'Conversion Chart'!$C$2:$M$2,0))</f>
        <v>59</v>
      </c>
      <c r="H68" s="5">
        <v>4</v>
      </c>
      <c r="I68" s="5">
        <v>3</v>
      </c>
      <c r="J68" s="5">
        <v>1</v>
      </c>
      <c r="K68" s="5">
        <v>2</v>
      </c>
      <c r="L68" s="5">
        <v>2</v>
      </c>
      <c r="M68" s="5">
        <v>4</v>
      </c>
      <c r="N68" s="5">
        <v>3</v>
      </c>
      <c r="O68" s="5">
        <v>1</v>
      </c>
      <c r="P68" s="5">
        <v>1</v>
      </c>
      <c r="Q68" s="5">
        <v>3</v>
      </c>
      <c r="R68" s="5">
        <v>4</v>
      </c>
      <c r="S68" s="5">
        <v>2</v>
      </c>
      <c r="T68" s="5">
        <v>1</v>
      </c>
      <c r="U68" s="5">
        <v>4</v>
      </c>
      <c r="V68" s="5">
        <v>4</v>
      </c>
      <c r="W68" s="5">
        <v>2</v>
      </c>
      <c r="X68" s="5">
        <v>2</v>
      </c>
      <c r="Y68" s="5">
        <v>3</v>
      </c>
      <c r="Z68" s="5">
        <v>2</v>
      </c>
      <c r="AA68" s="5">
        <v>3</v>
      </c>
      <c r="AB68" s="5">
        <v>4</v>
      </c>
      <c r="AC68" s="5">
        <v>1</v>
      </c>
      <c r="AD68" s="5">
        <v>3</v>
      </c>
      <c r="AE68" s="5">
        <v>2</v>
      </c>
      <c r="AF68" s="5">
        <v>4</v>
      </c>
      <c r="AG68" s="5">
        <v>3</v>
      </c>
      <c r="AH68" s="5">
        <v>1</v>
      </c>
      <c r="AI68" s="104">
        <v>4</v>
      </c>
      <c r="AJ68" s="95"/>
      <c r="AK68" s="84"/>
      <c r="AL68" s="84"/>
      <c r="AM68" s="84"/>
      <c r="AN68" s="84"/>
      <c r="AO68" s="84"/>
      <c r="AP68" s="94"/>
      <c r="AR68" s="7">
        <f>IF(H68=VLOOKUP(VALUE(H$1),Questions!$A:$E,5,FALSE),1,0)</f>
        <v>1</v>
      </c>
      <c r="AS68" s="7">
        <f>IF(I68=VLOOKUP(VALUE(I$1),Questions!$A:$E,5,FALSE),1,0)</f>
        <v>1</v>
      </c>
      <c r="AT68" s="7">
        <f>IF(J68=VLOOKUP(VALUE(J$1),Questions!$A:$E,5,FALSE),1,0)</f>
        <v>1</v>
      </c>
      <c r="AU68" s="7">
        <f>IF(K68=VLOOKUP(VALUE(K$1),Questions!$A:$E,5,FALSE),1,0)</f>
        <v>1</v>
      </c>
      <c r="AV68" s="7">
        <f>IF(L68=VLOOKUP(VALUE(L$1),Questions!$A:$E,5,FALSE),1,0)</f>
        <v>1</v>
      </c>
      <c r="AW68" s="7">
        <f>IF(M68=VLOOKUP(VALUE(M$1),Questions!$A:$E,5,FALSE),1,0)</f>
        <v>1</v>
      </c>
      <c r="AX68" s="7">
        <f>IF(N68=VLOOKUP(VALUE(N$1),Questions!$A:$E,5,FALSE),1,0)</f>
        <v>1</v>
      </c>
      <c r="AY68" s="7">
        <f>IF(O68=VLOOKUP(VALUE(O$1),Questions!$A:$E,5,FALSE),1,0)</f>
        <v>1</v>
      </c>
      <c r="AZ68" s="7">
        <f>IF(P68=VLOOKUP(VALUE(P$1),Questions!$A:$E,5,FALSE),1,0)</f>
        <v>1</v>
      </c>
      <c r="BA68" s="7">
        <f>IF(Q68=VLOOKUP(VALUE(Q$1),Questions!$A:$E,5,FALSE),1,0)</f>
        <v>0</v>
      </c>
      <c r="BB68" s="7">
        <f>IF(R68=VLOOKUP(VALUE(R$1),Questions!$A:$E,5,FALSE),1,0)</f>
        <v>1</v>
      </c>
      <c r="BC68" s="7">
        <f>IF(S68=VLOOKUP(VALUE(S$1),Questions!$A:$E,5,FALSE),1,0)</f>
        <v>1</v>
      </c>
      <c r="BD68" s="7">
        <f>IF(T68=VLOOKUP(VALUE(T$1),Questions!$A:$E,5,FALSE),1,0)</f>
        <v>1</v>
      </c>
      <c r="BE68" s="7">
        <f>IF(U68=VLOOKUP(VALUE(U$1),Questions!$A:$E,5,FALSE),1,0)</f>
        <v>1</v>
      </c>
      <c r="BF68" s="7">
        <f>IF(V68=VLOOKUP(VALUE(V$1),Questions!$A:$E,5,FALSE),1,0)</f>
        <v>0</v>
      </c>
      <c r="BG68" s="7">
        <f>IF(W68=VLOOKUP(VALUE(W$1),Questions!$A:$E,5,FALSE),1,0)</f>
        <v>0</v>
      </c>
      <c r="BH68" s="7">
        <f>IF(X68=VLOOKUP(VALUE(X$1),Questions!$A:$E,5,FALSE),1,0)</f>
        <v>1</v>
      </c>
      <c r="BI68" s="7">
        <f>IF(Y68=VLOOKUP(VALUE(Y$1),Questions!$A:$E,5,FALSE),1,0)</f>
        <v>1</v>
      </c>
      <c r="BJ68" s="7">
        <f>IF(Z68=VLOOKUP(VALUE(Z$1),Questions!$A:$E,5,FALSE),1,0)</f>
        <v>1</v>
      </c>
      <c r="BK68" s="7">
        <f>IF(AA68=VLOOKUP(VALUE(AA$1),Questions!$A:$E,5,FALSE),1,0)</f>
        <v>1</v>
      </c>
      <c r="BL68" s="7">
        <f>IF(AB68=VLOOKUP(VALUE(AB$1),Questions!$A:$E,5,FALSE),1,0)</f>
        <v>0</v>
      </c>
      <c r="BM68" s="7">
        <f>IF(AC68=VLOOKUP(VALUE(AC$1),Questions!$A:$E,5,FALSE),1,0)</f>
        <v>1</v>
      </c>
      <c r="BN68" s="7">
        <f>IF(AD68=VLOOKUP(VALUE(AD$1),Questions!$A:$E,5,FALSE),1,0)</f>
        <v>1</v>
      </c>
      <c r="BO68" s="7">
        <f>IF(AE68=VLOOKUP(VALUE(AE$1),Questions!$A:$E,5,FALSE),1,0)</f>
        <v>1</v>
      </c>
      <c r="BP68" s="7">
        <f>IF(AF68=VLOOKUP(VALUE(AF$1),Questions!$A:$E,5,FALSE),1,0)</f>
        <v>1</v>
      </c>
      <c r="BQ68" s="7">
        <f>IF(AG68=VLOOKUP(VALUE(AG$1),Questions!$A:$E,5,FALSE),1,0)</f>
        <v>1</v>
      </c>
      <c r="BR68" s="7">
        <f>IF(AH68=VLOOKUP(VALUE(AH$1),Questions!$A:$E,5,FALSE),1,0)</f>
        <v>1</v>
      </c>
      <c r="BS68" s="7">
        <f>IF(AI68=VLOOKUP(VALUE(AI$1),Questions!$A:$E,5,FALSE),1,0)</f>
        <v>0</v>
      </c>
    </row>
    <row r="69" spans="1:71">
      <c r="A69" s="10">
        <v>68</v>
      </c>
      <c r="B69" s="14" t="b">
        <v>0</v>
      </c>
      <c r="C69" s="14" t="b">
        <v>0</v>
      </c>
      <c r="D69" s="102">
        <f>SUM(Scores[[#This Row],[Q1]:[Q28]])</f>
        <v>23</v>
      </c>
      <c r="E69" s="103">
        <f>SUM(Scores[[#This Row],[29]:[34b]])</f>
        <v>0</v>
      </c>
      <c r="F69" s="103">
        <f>Scores[[#This Row],[35]]</f>
        <v>0</v>
      </c>
      <c r="G69" s="104">
        <f>INDEX('Conversion Chart'!$C$3:$M$38,MATCH(SUM(Scores[[#This Row],[MC]:[CRQ]]),'Conversion Chart'!$B$3:$B$38,0),MATCH(Scores[[#This Row],[EIE]],'Conversion Chart'!$C$2:$M$2,0))</f>
        <v>59</v>
      </c>
      <c r="H69" s="5">
        <v>4</v>
      </c>
      <c r="I69" s="5">
        <v>3</v>
      </c>
      <c r="J69" s="5">
        <v>1</v>
      </c>
      <c r="K69" s="5">
        <v>2</v>
      </c>
      <c r="L69" s="5">
        <v>2</v>
      </c>
      <c r="M69" s="5">
        <v>4</v>
      </c>
      <c r="N69" s="5">
        <v>3</v>
      </c>
      <c r="O69" s="5">
        <v>1</v>
      </c>
      <c r="P69" s="5">
        <v>1</v>
      </c>
      <c r="Q69" s="5">
        <v>2</v>
      </c>
      <c r="R69" s="5">
        <v>4</v>
      </c>
      <c r="S69" s="5">
        <v>2</v>
      </c>
      <c r="T69" s="5">
        <v>1</v>
      </c>
      <c r="U69" s="5">
        <v>2</v>
      </c>
      <c r="V69" s="5">
        <v>3</v>
      </c>
      <c r="W69" s="5">
        <v>4</v>
      </c>
      <c r="X69" s="5">
        <v>2</v>
      </c>
      <c r="Y69" s="5">
        <v>1</v>
      </c>
      <c r="Z69" s="5">
        <v>1</v>
      </c>
      <c r="AA69" s="5">
        <v>1</v>
      </c>
      <c r="AB69" s="5">
        <v>2</v>
      </c>
      <c r="AC69" s="5">
        <v>1</v>
      </c>
      <c r="AD69" s="5">
        <v>3</v>
      </c>
      <c r="AE69" s="5">
        <v>2</v>
      </c>
      <c r="AF69" s="5">
        <v>4</v>
      </c>
      <c r="AG69" s="5">
        <v>3</v>
      </c>
      <c r="AH69" s="5">
        <v>1</v>
      </c>
      <c r="AI69" s="104">
        <v>1</v>
      </c>
      <c r="AJ69" s="95"/>
      <c r="AK69" s="84"/>
      <c r="AL69" s="84"/>
      <c r="AM69" s="84"/>
      <c r="AN69" s="84"/>
      <c r="AO69" s="84"/>
      <c r="AP69" s="94"/>
      <c r="AR69" s="7">
        <f>IF(H69=VLOOKUP(VALUE(H$1),Questions!$A:$E,5,FALSE),1,0)</f>
        <v>1</v>
      </c>
      <c r="AS69" s="7">
        <f>IF(I69=VLOOKUP(VALUE(I$1),Questions!$A:$E,5,FALSE),1,0)</f>
        <v>1</v>
      </c>
      <c r="AT69" s="7">
        <f>IF(J69=VLOOKUP(VALUE(J$1),Questions!$A:$E,5,FALSE),1,0)</f>
        <v>1</v>
      </c>
      <c r="AU69" s="7">
        <f>IF(K69=VLOOKUP(VALUE(K$1),Questions!$A:$E,5,FALSE),1,0)</f>
        <v>1</v>
      </c>
      <c r="AV69" s="7">
        <f>IF(L69=VLOOKUP(VALUE(L$1),Questions!$A:$E,5,FALSE),1,0)</f>
        <v>1</v>
      </c>
      <c r="AW69" s="7">
        <f>IF(M69=VLOOKUP(VALUE(M$1),Questions!$A:$E,5,FALSE),1,0)</f>
        <v>1</v>
      </c>
      <c r="AX69" s="7">
        <f>IF(N69=VLOOKUP(VALUE(N$1),Questions!$A:$E,5,FALSE),1,0)</f>
        <v>1</v>
      </c>
      <c r="AY69" s="7">
        <f>IF(O69=VLOOKUP(VALUE(O$1),Questions!$A:$E,5,FALSE),1,0)</f>
        <v>1</v>
      </c>
      <c r="AZ69" s="7">
        <f>IF(P69=VLOOKUP(VALUE(P$1),Questions!$A:$E,5,FALSE),1,0)</f>
        <v>1</v>
      </c>
      <c r="BA69" s="7">
        <f>IF(Q69=VLOOKUP(VALUE(Q$1),Questions!$A:$E,5,FALSE),1,0)</f>
        <v>0</v>
      </c>
      <c r="BB69" s="7">
        <f>IF(R69=VLOOKUP(VALUE(R$1),Questions!$A:$E,5,FALSE),1,0)</f>
        <v>1</v>
      </c>
      <c r="BC69" s="7">
        <f>IF(S69=VLOOKUP(VALUE(S$1),Questions!$A:$E,5,FALSE),1,0)</f>
        <v>1</v>
      </c>
      <c r="BD69" s="7">
        <f>IF(T69=VLOOKUP(VALUE(T$1),Questions!$A:$E,5,FALSE),1,0)</f>
        <v>1</v>
      </c>
      <c r="BE69" s="7">
        <f>IF(U69=VLOOKUP(VALUE(U$1),Questions!$A:$E,5,FALSE),1,0)</f>
        <v>0</v>
      </c>
      <c r="BF69" s="7">
        <f>IF(V69=VLOOKUP(VALUE(V$1),Questions!$A:$E,5,FALSE),1,0)</f>
        <v>1</v>
      </c>
      <c r="BG69" s="7">
        <f>IF(W69=VLOOKUP(VALUE(W$1),Questions!$A:$E,5,FALSE),1,0)</f>
        <v>1</v>
      </c>
      <c r="BH69" s="7">
        <f>IF(X69=VLOOKUP(VALUE(X$1),Questions!$A:$E,5,FALSE),1,0)</f>
        <v>1</v>
      </c>
      <c r="BI69" s="7">
        <f>IF(Y69=VLOOKUP(VALUE(Y$1),Questions!$A:$E,5,FALSE),1,0)</f>
        <v>0</v>
      </c>
      <c r="BJ69" s="7">
        <f>IF(Z69=VLOOKUP(VALUE(Z$1),Questions!$A:$E,5,FALSE),1,0)</f>
        <v>0</v>
      </c>
      <c r="BK69" s="7">
        <f>IF(AA69=VLOOKUP(VALUE(AA$1),Questions!$A:$E,5,FALSE),1,0)</f>
        <v>0</v>
      </c>
      <c r="BL69" s="7">
        <f>IF(AB69=VLOOKUP(VALUE(AB$1),Questions!$A:$E,5,FALSE),1,0)</f>
        <v>1</v>
      </c>
      <c r="BM69" s="7">
        <f>IF(AC69=VLOOKUP(VALUE(AC$1),Questions!$A:$E,5,FALSE),1,0)</f>
        <v>1</v>
      </c>
      <c r="BN69" s="7">
        <f>IF(AD69=VLOOKUP(VALUE(AD$1),Questions!$A:$E,5,FALSE),1,0)</f>
        <v>1</v>
      </c>
      <c r="BO69" s="7">
        <f>IF(AE69=VLOOKUP(VALUE(AE$1),Questions!$A:$E,5,FALSE),1,0)</f>
        <v>1</v>
      </c>
      <c r="BP69" s="7">
        <f>IF(AF69=VLOOKUP(VALUE(AF$1),Questions!$A:$E,5,FALSE),1,0)</f>
        <v>1</v>
      </c>
      <c r="BQ69" s="7">
        <f>IF(AG69=VLOOKUP(VALUE(AG$1),Questions!$A:$E,5,FALSE),1,0)</f>
        <v>1</v>
      </c>
      <c r="BR69" s="7">
        <f>IF(AH69=VLOOKUP(VALUE(AH$1),Questions!$A:$E,5,FALSE),1,0)</f>
        <v>1</v>
      </c>
      <c r="BS69" s="7">
        <f>IF(AI69=VLOOKUP(VALUE(AI$1),Questions!$A:$E,5,FALSE),1,0)</f>
        <v>1</v>
      </c>
    </row>
    <row r="70" spans="1:71">
      <c r="A70" s="10">
        <v>69</v>
      </c>
      <c r="B70" s="14" t="b">
        <v>0</v>
      </c>
      <c r="C70" s="14" t="b">
        <v>0</v>
      </c>
      <c r="D70" s="102">
        <f>SUM(Scores[[#This Row],[Q1]:[Q28]])</f>
        <v>0</v>
      </c>
      <c r="E70" s="103">
        <f>SUM(Scores[[#This Row],[29]:[34b]])</f>
        <v>0</v>
      </c>
      <c r="F70" s="103">
        <f>Scores[[#This Row],[35]]</f>
        <v>0</v>
      </c>
      <c r="G70" s="104">
        <f>INDEX('Conversion Chart'!$C$3:$M$38,MATCH(SUM(Scores[[#This Row],[MC]:[CRQ]]),'Conversion Chart'!$B$3:$B$38,0),MATCH(Scores[[#This Row],[EIE]],'Conversion Chart'!$C$2:$M$2,0))</f>
        <v>0</v>
      </c>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104"/>
      <c r="AJ70" s="95"/>
      <c r="AK70" s="84"/>
      <c r="AL70" s="84"/>
      <c r="AM70" s="84"/>
      <c r="AN70" s="84"/>
      <c r="AO70" s="84"/>
      <c r="AP70" s="94"/>
      <c r="AR70" s="7">
        <f>IF(H70=VLOOKUP(VALUE(H$1),Questions!$A:$E,5,FALSE),1,0)</f>
        <v>0</v>
      </c>
      <c r="AS70" s="7">
        <f>IF(I70=VLOOKUP(VALUE(I$1),Questions!$A:$E,5,FALSE),1,0)</f>
        <v>0</v>
      </c>
      <c r="AT70" s="7">
        <f>IF(J70=VLOOKUP(VALUE(J$1),Questions!$A:$E,5,FALSE),1,0)</f>
        <v>0</v>
      </c>
      <c r="AU70" s="7">
        <f>IF(K70=VLOOKUP(VALUE(K$1),Questions!$A:$E,5,FALSE),1,0)</f>
        <v>0</v>
      </c>
      <c r="AV70" s="7">
        <f>IF(L70=VLOOKUP(VALUE(L$1),Questions!$A:$E,5,FALSE),1,0)</f>
        <v>0</v>
      </c>
      <c r="AW70" s="7">
        <f>IF(M70=VLOOKUP(VALUE(M$1),Questions!$A:$E,5,FALSE),1,0)</f>
        <v>0</v>
      </c>
      <c r="AX70" s="7">
        <f>IF(N70=VLOOKUP(VALUE(N$1),Questions!$A:$E,5,FALSE),1,0)</f>
        <v>0</v>
      </c>
      <c r="AY70" s="7">
        <f>IF(O70=VLOOKUP(VALUE(O$1),Questions!$A:$E,5,FALSE),1,0)</f>
        <v>0</v>
      </c>
      <c r="AZ70" s="7">
        <f>IF(P70=VLOOKUP(VALUE(P$1),Questions!$A:$E,5,FALSE),1,0)</f>
        <v>0</v>
      </c>
      <c r="BA70" s="7">
        <f>IF(Q70=VLOOKUP(VALUE(Q$1),Questions!$A:$E,5,FALSE),1,0)</f>
        <v>0</v>
      </c>
      <c r="BB70" s="7">
        <f>IF(R70=VLOOKUP(VALUE(R$1),Questions!$A:$E,5,FALSE),1,0)</f>
        <v>0</v>
      </c>
      <c r="BC70" s="7">
        <f>IF(S70=VLOOKUP(VALUE(S$1),Questions!$A:$E,5,FALSE),1,0)</f>
        <v>0</v>
      </c>
      <c r="BD70" s="7">
        <f>IF(T70=VLOOKUP(VALUE(T$1),Questions!$A:$E,5,FALSE),1,0)</f>
        <v>0</v>
      </c>
      <c r="BE70" s="7">
        <f>IF(U70=VLOOKUP(VALUE(U$1),Questions!$A:$E,5,FALSE),1,0)</f>
        <v>0</v>
      </c>
      <c r="BF70" s="7">
        <f>IF(V70=VLOOKUP(VALUE(V$1),Questions!$A:$E,5,FALSE),1,0)</f>
        <v>0</v>
      </c>
      <c r="BG70" s="7">
        <f>IF(W70=VLOOKUP(VALUE(W$1),Questions!$A:$E,5,FALSE),1,0)</f>
        <v>0</v>
      </c>
      <c r="BH70" s="7">
        <f>IF(X70=VLOOKUP(VALUE(X$1),Questions!$A:$E,5,FALSE),1,0)</f>
        <v>0</v>
      </c>
      <c r="BI70" s="7">
        <f>IF(Y70=VLOOKUP(VALUE(Y$1),Questions!$A:$E,5,FALSE),1,0)</f>
        <v>0</v>
      </c>
      <c r="BJ70" s="7">
        <f>IF(Z70=VLOOKUP(VALUE(Z$1),Questions!$A:$E,5,FALSE),1,0)</f>
        <v>0</v>
      </c>
      <c r="BK70" s="7">
        <f>IF(AA70=VLOOKUP(VALUE(AA$1),Questions!$A:$E,5,FALSE),1,0)</f>
        <v>0</v>
      </c>
      <c r="BL70" s="7">
        <f>IF(AB70=VLOOKUP(VALUE(AB$1),Questions!$A:$E,5,FALSE),1,0)</f>
        <v>0</v>
      </c>
      <c r="BM70" s="7">
        <f>IF(AC70=VLOOKUP(VALUE(AC$1),Questions!$A:$E,5,FALSE),1,0)</f>
        <v>0</v>
      </c>
      <c r="BN70" s="7">
        <f>IF(AD70=VLOOKUP(VALUE(AD$1),Questions!$A:$E,5,FALSE),1,0)</f>
        <v>0</v>
      </c>
      <c r="BO70" s="7">
        <f>IF(AE70=VLOOKUP(VALUE(AE$1),Questions!$A:$E,5,FALSE),1,0)</f>
        <v>0</v>
      </c>
      <c r="BP70" s="7">
        <f>IF(AF70=VLOOKUP(VALUE(AF$1),Questions!$A:$E,5,FALSE),1,0)</f>
        <v>0</v>
      </c>
      <c r="BQ70" s="7">
        <f>IF(AG70=VLOOKUP(VALUE(AG$1),Questions!$A:$E,5,FALSE),1,0)</f>
        <v>0</v>
      </c>
      <c r="BR70" s="7">
        <f>IF(AH70=VLOOKUP(VALUE(AH$1),Questions!$A:$E,5,FALSE),1,0)</f>
        <v>0</v>
      </c>
      <c r="BS70" s="7">
        <f>IF(AI70=VLOOKUP(VALUE(AI$1),Questions!$A:$E,5,FALSE),1,0)</f>
        <v>0</v>
      </c>
    </row>
    <row r="71" spans="1:71">
      <c r="A71" s="10">
        <v>70</v>
      </c>
      <c r="B71" s="14" t="b">
        <v>0</v>
      </c>
      <c r="C71" s="14" t="b">
        <v>0</v>
      </c>
      <c r="D71" s="102">
        <f>SUM(Scores[[#This Row],[Q1]:[Q28]])</f>
        <v>20</v>
      </c>
      <c r="E71" s="103">
        <f>SUM(Scores[[#This Row],[29]:[34b]])</f>
        <v>0</v>
      </c>
      <c r="F71" s="103">
        <f>Scores[[#This Row],[35]]</f>
        <v>0</v>
      </c>
      <c r="G71" s="104">
        <f>INDEX('Conversion Chart'!$C$3:$M$38,MATCH(SUM(Scores[[#This Row],[MC]:[CRQ]]),'Conversion Chart'!$B$3:$B$38,0),MATCH(Scores[[#This Row],[EIE]],'Conversion Chart'!$C$2:$M$2,0))</f>
        <v>53</v>
      </c>
      <c r="H71" s="5">
        <v>4</v>
      </c>
      <c r="I71" s="5">
        <v>3</v>
      </c>
      <c r="J71" s="5">
        <v>1</v>
      </c>
      <c r="K71" s="5">
        <v>2</v>
      </c>
      <c r="L71" s="5">
        <v>2</v>
      </c>
      <c r="M71" s="5">
        <v>4</v>
      </c>
      <c r="N71" s="5">
        <v>4</v>
      </c>
      <c r="O71" s="5">
        <v>1</v>
      </c>
      <c r="P71" s="5">
        <v>1</v>
      </c>
      <c r="Q71" s="5">
        <v>1</v>
      </c>
      <c r="R71" s="5">
        <v>4</v>
      </c>
      <c r="S71" s="5">
        <v>2</v>
      </c>
      <c r="T71" s="5">
        <v>1</v>
      </c>
      <c r="U71" s="5">
        <v>2</v>
      </c>
      <c r="V71" s="5">
        <v>1</v>
      </c>
      <c r="W71" s="5">
        <v>4</v>
      </c>
      <c r="X71" s="5">
        <v>2</v>
      </c>
      <c r="Y71" s="5">
        <v>3</v>
      </c>
      <c r="Z71" s="5">
        <v>3</v>
      </c>
      <c r="AA71" s="5">
        <v>4</v>
      </c>
      <c r="AB71" s="5">
        <v>4</v>
      </c>
      <c r="AC71" s="5">
        <v>2</v>
      </c>
      <c r="AD71" s="5">
        <v>3</v>
      </c>
      <c r="AE71" s="5">
        <v>2</v>
      </c>
      <c r="AF71" s="5">
        <v>4</v>
      </c>
      <c r="AG71" s="5">
        <v>3</v>
      </c>
      <c r="AH71" s="5">
        <v>2</v>
      </c>
      <c r="AI71" s="104">
        <v>1</v>
      </c>
      <c r="AJ71" s="95"/>
      <c r="AK71" s="84"/>
      <c r="AL71" s="84"/>
      <c r="AM71" s="84"/>
      <c r="AN71" s="84"/>
      <c r="AO71" s="84"/>
      <c r="AP71" s="94"/>
      <c r="AR71" s="7">
        <f>IF(H71=VLOOKUP(VALUE(H$1),Questions!$A:$E,5,FALSE),1,0)</f>
        <v>1</v>
      </c>
      <c r="AS71" s="7">
        <f>IF(I71=VLOOKUP(VALUE(I$1),Questions!$A:$E,5,FALSE),1,0)</f>
        <v>1</v>
      </c>
      <c r="AT71" s="7">
        <f>IF(J71=VLOOKUP(VALUE(J$1),Questions!$A:$E,5,FALSE),1,0)</f>
        <v>1</v>
      </c>
      <c r="AU71" s="7">
        <f>IF(K71=VLOOKUP(VALUE(K$1),Questions!$A:$E,5,FALSE),1,0)</f>
        <v>1</v>
      </c>
      <c r="AV71" s="7">
        <f>IF(L71=VLOOKUP(VALUE(L$1),Questions!$A:$E,5,FALSE),1,0)</f>
        <v>1</v>
      </c>
      <c r="AW71" s="7">
        <f>IF(M71=VLOOKUP(VALUE(M$1),Questions!$A:$E,5,FALSE),1,0)</f>
        <v>1</v>
      </c>
      <c r="AX71" s="7">
        <f>IF(N71=VLOOKUP(VALUE(N$1),Questions!$A:$E,5,FALSE),1,0)</f>
        <v>0</v>
      </c>
      <c r="AY71" s="7">
        <f>IF(O71=VLOOKUP(VALUE(O$1),Questions!$A:$E,5,FALSE),1,0)</f>
        <v>1</v>
      </c>
      <c r="AZ71" s="7">
        <f>IF(P71=VLOOKUP(VALUE(P$1),Questions!$A:$E,5,FALSE),1,0)</f>
        <v>1</v>
      </c>
      <c r="BA71" s="7">
        <f>IF(Q71=VLOOKUP(VALUE(Q$1),Questions!$A:$E,5,FALSE),1,0)</f>
        <v>1</v>
      </c>
      <c r="BB71" s="7">
        <f>IF(R71=VLOOKUP(VALUE(R$1),Questions!$A:$E,5,FALSE),1,0)</f>
        <v>1</v>
      </c>
      <c r="BC71" s="7">
        <f>IF(S71=VLOOKUP(VALUE(S$1),Questions!$A:$E,5,FALSE),1,0)</f>
        <v>1</v>
      </c>
      <c r="BD71" s="7">
        <f>IF(T71=VLOOKUP(VALUE(T$1),Questions!$A:$E,5,FALSE),1,0)</f>
        <v>1</v>
      </c>
      <c r="BE71" s="7">
        <f>IF(U71=VLOOKUP(VALUE(U$1),Questions!$A:$E,5,FALSE),1,0)</f>
        <v>0</v>
      </c>
      <c r="BF71" s="7">
        <f>IF(V71=VLOOKUP(VALUE(V$1),Questions!$A:$E,5,FALSE),1,0)</f>
        <v>0</v>
      </c>
      <c r="BG71" s="7">
        <f>IF(W71=VLOOKUP(VALUE(W$1),Questions!$A:$E,5,FALSE),1,0)</f>
        <v>1</v>
      </c>
      <c r="BH71" s="7">
        <f>IF(X71=VLOOKUP(VALUE(X$1),Questions!$A:$E,5,FALSE),1,0)</f>
        <v>1</v>
      </c>
      <c r="BI71" s="7">
        <f>IF(Y71=VLOOKUP(VALUE(Y$1),Questions!$A:$E,5,FALSE),1,0)</f>
        <v>1</v>
      </c>
      <c r="BJ71" s="7">
        <f>IF(Z71=VLOOKUP(VALUE(Z$1),Questions!$A:$E,5,FALSE),1,0)</f>
        <v>0</v>
      </c>
      <c r="BK71" s="7">
        <f>IF(AA71=VLOOKUP(VALUE(AA$1),Questions!$A:$E,5,FALSE),1,0)</f>
        <v>0</v>
      </c>
      <c r="BL71" s="7">
        <f>IF(AB71=VLOOKUP(VALUE(AB$1),Questions!$A:$E,5,FALSE),1,0)</f>
        <v>0</v>
      </c>
      <c r="BM71" s="7">
        <f>IF(AC71=VLOOKUP(VALUE(AC$1),Questions!$A:$E,5,FALSE),1,0)</f>
        <v>0</v>
      </c>
      <c r="BN71" s="7">
        <f>IF(AD71=VLOOKUP(VALUE(AD$1),Questions!$A:$E,5,FALSE),1,0)</f>
        <v>1</v>
      </c>
      <c r="BO71" s="7">
        <f>IF(AE71=VLOOKUP(VALUE(AE$1),Questions!$A:$E,5,FALSE),1,0)</f>
        <v>1</v>
      </c>
      <c r="BP71" s="7">
        <f>IF(AF71=VLOOKUP(VALUE(AF$1),Questions!$A:$E,5,FALSE),1,0)</f>
        <v>1</v>
      </c>
      <c r="BQ71" s="7">
        <f>IF(AG71=VLOOKUP(VALUE(AG$1),Questions!$A:$E,5,FALSE),1,0)</f>
        <v>1</v>
      </c>
      <c r="BR71" s="7">
        <f>IF(AH71=VLOOKUP(VALUE(AH$1),Questions!$A:$E,5,FALSE),1,0)</f>
        <v>0</v>
      </c>
      <c r="BS71" s="7">
        <f>IF(AI71=VLOOKUP(VALUE(AI$1),Questions!$A:$E,5,FALSE),1,0)</f>
        <v>1</v>
      </c>
    </row>
    <row r="72" spans="1:71">
      <c r="A72" s="10">
        <v>71</v>
      </c>
      <c r="B72" s="14" t="b">
        <v>0</v>
      </c>
      <c r="C72" s="14" t="b">
        <v>0</v>
      </c>
      <c r="D72" s="102">
        <f>SUM(Scores[[#This Row],[Q1]:[Q28]])</f>
        <v>26</v>
      </c>
      <c r="E72" s="103">
        <f>SUM(Scores[[#This Row],[29]:[34b]])</f>
        <v>0</v>
      </c>
      <c r="F72" s="103">
        <f>Scores[[#This Row],[35]]</f>
        <v>0</v>
      </c>
      <c r="G72" s="104">
        <f>INDEX('Conversion Chart'!$C$3:$M$38,MATCH(SUM(Scores[[#This Row],[MC]:[CRQ]]),'Conversion Chart'!$B$3:$B$38,0),MATCH(Scores[[#This Row],[EIE]],'Conversion Chart'!$C$2:$M$2,0))</f>
        <v>64</v>
      </c>
      <c r="H72" s="5">
        <v>4</v>
      </c>
      <c r="I72" s="5">
        <v>3</v>
      </c>
      <c r="J72" s="5">
        <v>1</v>
      </c>
      <c r="K72" s="5">
        <v>2</v>
      </c>
      <c r="L72" s="5">
        <v>2</v>
      </c>
      <c r="M72" s="5">
        <v>4</v>
      </c>
      <c r="N72" s="5">
        <v>3</v>
      </c>
      <c r="O72" s="5">
        <v>1</v>
      </c>
      <c r="P72" s="5">
        <v>1</v>
      </c>
      <c r="Q72" s="5">
        <v>1</v>
      </c>
      <c r="R72" s="5">
        <v>4</v>
      </c>
      <c r="S72" s="5">
        <v>2</v>
      </c>
      <c r="T72" s="5">
        <v>1</v>
      </c>
      <c r="U72" s="5">
        <v>4</v>
      </c>
      <c r="V72" s="5">
        <v>3</v>
      </c>
      <c r="W72" s="5">
        <v>4</v>
      </c>
      <c r="X72" s="5">
        <v>2</v>
      </c>
      <c r="Y72" s="5">
        <v>3</v>
      </c>
      <c r="Z72" s="5">
        <v>1</v>
      </c>
      <c r="AA72" s="5">
        <v>1</v>
      </c>
      <c r="AB72" s="5">
        <v>2</v>
      </c>
      <c r="AC72" s="5">
        <v>1</v>
      </c>
      <c r="AD72" s="5">
        <v>3</v>
      </c>
      <c r="AE72" s="5">
        <v>2</v>
      </c>
      <c r="AF72" s="5">
        <v>4</v>
      </c>
      <c r="AG72" s="5">
        <v>3</v>
      </c>
      <c r="AH72" s="5">
        <v>1</v>
      </c>
      <c r="AI72" s="104">
        <v>1</v>
      </c>
      <c r="AJ72" s="95"/>
      <c r="AK72" s="84"/>
      <c r="AL72" s="84"/>
      <c r="AM72" s="84"/>
      <c r="AN72" s="84"/>
      <c r="AO72" s="84"/>
      <c r="AP72" s="94"/>
      <c r="AR72" s="7">
        <f>IF(H72=VLOOKUP(VALUE(H$1),Questions!$A:$E,5,FALSE),1,0)</f>
        <v>1</v>
      </c>
      <c r="AS72" s="7">
        <f>IF(I72=VLOOKUP(VALUE(I$1),Questions!$A:$E,5,FALSE),1,0)</f>
        <v>1</v>
      </c>
      <c r="AT72" s="7">
        <f>IF(J72=VLOOKUP(VALUE(J$1),Questions!$A:$E,5,FALSE),1,0)</f>
        <v>1</v>
      </c>
      <c r="AU72" s="7">
        <f>IF(K72=VLOOKUP(VALUE(K$1),Questions!$A:$E,5,FALSE),1,0)</f>
        <v>1</v>
      </c>
      <c r="AV72" s="7">
        <f>IF(L72=VLOOKUP(VALUE(L$1),Questions!$A:$E,5,FALSE),1,0)</f>
        <v>1</v>
      </c>
      <c r="AW72" s="7">
        <f>IF(M72=VLOOKUP(VALUE(M$1),Questions!$A:$E,5,FALSE),1,0)</f>
        <v>1</v>
      </c>
      <c r="AX72" s="7">
        <f>IF(N72=VLOOKUP(VALUE(N$1),Questions!$A:$E,5,FALSE),1,0)</f>
        <v>1</v>
      </c>
      <c r="AY72" s="7">
        <f>IF(O72=VLOOKUP(VALUE(O$1),Questions!$A:$E,5,FALSE),1,0)</f>
        <v>1</v>
      </c>
      <c r="AZ72" s="7">
        <f>IF(P72=VLOOKUP(VALUE(P$1),Questions!$A:$E,5,FALSE),1,0)</f>
        <v>1</v>
      </c>
      <c r="BA72" s="7">
        <f>IF(Q72=VLOOKUP(VALUE(Q$1),Questions!$A:$E,5,FALSE),1,0)</f>
        <v>1</v>
      </c>
      <c r="BB72" s="7">
        <f>IF(R72=VLOOKUP(VALUE(R$1),Questions!$A:$E,5,FALSE),1,0)</f>
        <v>1</v>
      </c>
      <c r="BC72" s="7">
        <f>IF(S72=VLOOKUP(VALUE(S$1),Questions!$A:$E,5,FALSE),1,0)</f>
        <v>1</v>
      </c>
      <c r="BD72" s="7">
        <f>IF(T72=VLOOKUP(VALUE(T$1),Questions!$A:$E,5,FALSE),1,0)</f>
        <v>1</v>
      </c>
      <c r="BE72" s="7">
        <f>IF(U72=VLOOKUP(VALUE(U$1),Questions!$A:$E,5,FALSE),1,0)</f>
        <v>1</v>
      </c>
      <c r="BF72" s="7">
        <f>IF(V72=VLOOKUP(VALUE(V$1),Questions!$A:$E,5,FALSE),1,0)</f>
        <v>1</v>
      </c>
      <c r="BG72" s="7">
        <f>IF(W72=VLOOKUP(VALUE(W$1),Questions!$A:$E,5,FALSE),1,0)</f>
        <v>1</v>
      </c>
      <c r="BH72" s="7">
        <f>IF(X72=VLOOKUP(VALUE(X$1),Questions!$A:$E,5,FALSE),1,0)</f>
        <v>1</v>
      </c>
      <c r="BI72" s="7">
        <f>IF(Y72=VLOOKUP(VALUE(Y$1),Questions!$A:$E,5,FALSE),1,0)</f>
        <v>1</v>
      </c>
      <c r="BJ72" s="7">
        <f>IF(Z72=VLOOKUP(VALUE(Z$1),Questions!$A:$E,5,FALSE),1,0)</f>
        <v>0</v>
      </c>
      <c r="BK72" s="7">
        <f>IF(AA72=VLOOKUP(VALUE(AA$1),Questions!$A:$E,5,FALSE),1,0)</f>
        <v>0</v>
      </c>
      <c r="BL72" s="7">
        <f>IF(AB72=VLOOKUP(VALUE(AB$1),Questions!$A:$E,5,FALSE),1,0)</f>
        <v>1</v>
      </c>
      <c r="BM72" s="7">
        <f>IF(AC72=VLOOKUP(VALUE(AC$1),Questions!$A:$E,5,FALSE),1,0)</f>
        <v>1</v>
      </c>
      <c r="BN72" s="7">
        <f>IF(AD72=VLOOKUP(VALUE(AD$1),Questions!$A:$E,5,FALSE),1,0)</f>
        <v>1</v>
      </c>
      <c r="BO72" s="7">
        <f>IF(AE72=VLOOKUP(VALUE(AE$1),Questions!$A:$E,5,FALSE),1,0)</f>
        <v>1</v>
      </c>
      <c r="BP72" s="7">
        <f>IF(AF72=VLOOKUP(VALUE(AF$1),Questions!$A:$E,5,FALSE),1,0)</f>
        <v>1</v>
      </c>
      <c r="BQ72" s="7">
        <f>IF(AG72=VLOOKUP(VALUE(AG$1),Questions!$A:$E,5,FALSE),1,0)</f>
        <v>1</v>
      </c>
      <c r="BR72" s="7">
        <f>IF(AH72=VLOOKUP(VALUE(AH$1),Questions!$A:$E,5,FALSE),1,0)</f>
        <v>1</v>
      </c>
      <c r="BS72" s="7">
        <f>IF(AI72=VLOOKUP(VALUE(AI$1),Questions!$A:$E,5,FALSE),1,0)</f>
        <v>1</v>
      </c>
    </row>
    <row r="73" spans="1:71">
      <c r="A73" s="10">
        <v>72</v>
      </c>
      <c r="B73" s="14" t="b">
        <v>0</v>
      </c>
      <c r="C73" s="14" t="b">
        <v>0</v>
      </c>
      <c r="D73" s="102">
        <f>SUM(Scores[[#This Row],[Q1]:[Q28]])</f>
        <v>24</v>
      </c>
      <c r="E73" s="103">
        <f>SUM(Scores[[#This Row],[29]:[34b]])</f>
        <v>0</v>
      </c>
      <c r="F73" s="103">
        <f>Scores[[#This Row],[35]]</f>
        <v>0</v>
      </c>
      <c r="G73" s="104">
        <f>INDEX('Conversion Chart'!$C$3:$M$38,MATCH(SUM(Scores[[#This Row],[MC]:[CRQ]]),'Conversion Chart'!$B$3:$B$38,0),MATCH(Scores[[#This Row],[EIE]],'Conversion Chart'!$C$2:$M$2,0))</f>
        <v>61</v>
      </c>
      <c r="H73" s="5">
        <v>4</v>
      </c>
      <c r="I73" s="5">
        <v>3</v>
      </c>
      <c r="J73" s="5">
        <v>1</v>
      </c>
      <c r="K73" s="5">
        <v>1</v>
      </c>
      <c r="L73" s="5">
        <v>2</v>
      </c>
      <c r="M73" s="5">
        <v>4</v>
      </c>
      <c r="N73" s="5">
        <v>3</v>
      </c>
      <c r="O73" s="5">
        <v>1</v>
      </c>
      <c r="P73" s="5">
        <v>1</v>
      </c>
      <c r="Q73" s="5">
        <v>3</v>
      </c>
      <c r="R73" s="5">
        <v>4</v>
      </c>
      <c r="S73" s="5">
        <v>2</v>
      </c>
      <c r="T73" s="5">
        <v>1</v>
      </c>
      <c r="U73" s="5">
        <v>4</v>
      </c>
      <c r="V73" s="5">
        <v>3</v>
      </c>
      <c r="W73" s="5">
        <v>4</v>
      </c>
      <c r="X73" s="5">
        <v>2</v>
      </c>
      <c r="Y73" s="5">
        <v>3</v>
      </c>
      <c r="Z73" s="5">
        <v>2</v>
      </c>
      <c r="AA73" s="5">
        <v>3</v>
      </c>
      <c r="AB73" s="5">
        <v>2</v>
      </c>
      <c r="AC73" s="5">
        <v>1</v>
      </c>
      <c r="AD73" s="5">
        <v>3</v>
      </c>
      <c r="AE73" s="5">
        <v>4</v>
      </c>
      <c r="AF73" s="5">
        <v>4</v>
      </c>
      <c r="AG73" s="5">
        <v>4</v>
      </c>
      <c r="AH73" s="5">
        <v>1</v>
      </c>
      <c r="AI73" s="104">
        <v>1</v>
      </c>
      <c r="AJ73" s="95"/>
      <c r="AK73" s="84"/>
      <c r="AL73" s="84"/>
      <c r="AM73" s="84"/>
      <c r="AN73" s="84"/>
      <c r="AO73" s="84"/>
      <c r="AP73" s="94"/>
      <c r="AR73" s="7">
        <f>IF(H73=VLOOKUP(VALUE(H$1),Questions!$A:$E,5,FALSE),1,0)</f>
        <v>1</v>
      </c>
      <c r="AS73" s="7">
        <f>IF(I73=VLOOKUP(VALUE(I$1),Questions!$A:$E,5,FALSE),1,0)</f>
        <v>1</v>
      </c>
      <c r="AT73" s="7">
        <f>IF(J73=VLOOKUP(VALUE(J$1),Questions!$A:$E,5,FALSE),1,0)</f>
        <v>1</v>
      </c>
      <c r="AU73" s="7">
        <f>IF(K73=VLOOKUP(VALUE(K$1),Questions!$A:$E,5,FALSE),1,0)</f>
        <v>0</v>
      </c>
      <c r="AV73" s="7">
        <f>IF(L73=VLOOKUP(VALUE(L$1),Questions!$A:$E,5,FALSE),1,0)</f>
        <v>1</v>
      </c>
      <c r="AW73" s="7">
        <f>IF(M73=VLOOKUP(VALUE(M$1),Questions!$A:$E,5,FALSE),1,0)</f>
        <v>1</v>
      </c>
      <c r="AX73" s="7">
        <f>IF(N73=VLOOKUP(VALUE(N$1),Questions!$A:$E,5,FALSE),1,0)</f>
        <v>1</v>
      </c>
      <c r="AY73" s="7">
        <f>IF(O73=VLOOKUP(VALUE(O$1),Questions!$A:$E,5,FALSE),1,0)</f>
        <v>1</v>
      </c>
      <c r="AZ73" s="7">
        <f>IF(P73=VLOOKUP(VALUE(P$1),Questions!$A:$E,5,FALSE),1,0)</f>
        <v>1</v>
      </c>
      <c r="BA73" s="7">
        <f>IF(Q73=VLOOKUP(VALUE(Q$1),Questions!$A:$E,5,FALSE),1,0)</f>
        <v>0</v>
      </c>
      <c r="BB73" s="7">
        <f>IF(R73=VLOOKUP(VALUE(R$1),Questions!$A:$E,5,FALSE),1,0)</f>
        <v>1</v>
      </c>
      <c r="BC73" s="7">
        <f>IF(S73=VLOOKUP(VALUE(S$1),Questions!$A:$E,5,FALSE),1,0)</f>
        <v>1</v>
      </c>
      <c r="BD73" s="7">
        <f>IF(T73=VLOOKUP(VALUE(T$1),Questions!$A:$E,5,FALSE),1,0)</f>
        <v>1</v>
      </c>
      <c r="BE73" s="7">
        <f>IF(U73=VLOOKUP(VALUE(U$1),Questions!$A:$E,5,FALSE),1,0)</f>
        <v>1</v>
      </c>
      <c r="BF73" s="7">
        <f>IF(V73=VLOOKUP(VALUE(V$1),Questions!$A:$E,5,FALSE),1,0)</f>
        <v>1</v>
      </c>
      <c r="BG73" s="7">
        <f>IF(W73=VLOOKUP(VALUE(W$1),Questions!$A:$E,5,FALSE),1,0)</f>
        <v>1</v>
      </c>
      <c r="BH73" s="7">
        <f>IF(X73=VLOOKUP(VALUE(X$1),Questions!$A:$E,5,FALSE),1,0)</f>
        <v>1</v>
      </c>
      <c r="BI73" s="7">
        <f>IF(Y73=VLOOKUP(VALUE(Y$1),Questions!$A:$E,5,FALSE),1,0)</f>
        <v>1</v>
      </c>
      <c r="BJ73" s="7">
        <f>IF(Z73=VLOOKUP(VALUE(Z$1),Questions!$A:$E,5,FALSE),1,0)</f>
        <v>1</v>
      </c>
      <c r="BK73" s="7">
        <f>IF(AA73=VLOOKUP(VALUE(AA$1),Questions!$A:$E,5,FALSE),1,0)</f>
        <v>1</v>
      </c>
      <c r="BL73" s="7">
        <f>IF(AB73=VLOOKUP(VALUE(AB$1),Questions!$A:$E,5,FALSE),1,0)</f>
        <v>1</v>
      </c>
      <c r="BM73" s="7">
        <f>IF(AC73=VLOOKUP(VALUE(AC$1),Questions!$A:$E,5,FALSE),1,0)</f>
        <v>1</v>
      </c>
      <c r="BN73" s="7">
        <f>IF(AD73=VLOOKUP(VALUE(AD$1),Questions!$A:$E,5,FALSE),1,0)</f>
        <v>1</v>
      </c>
      <c r="BO73" s="7">
        <f>IF(AE73=VLOOKUP(VALUE(AE$1),Questions!$A:$E,5,FALSE),1,0)</f>
        <v>0</v>
      </c>
      <c r="BP73" s="7">
        <f>IF(AF73=VLOOKUP(VALUE(AF$1),Questions!$A:$E,5,FALSE),1,0)</f>
        <v>1</v>
      </c>
      <c r="BQ73" s="7">
        <f>IF(AG73=VLOOKUP(VALUE(AG$1),Questions!$A:$E,5,FALSE),1,0)</f>
        <v>0</v>
      </c>
      <c r="BR73" s="7">
        <f>IF(AH73=VLOOKUP(VALUE(AH$1),Questions!$A:$E,5,FALSE),1,0)</f>
        <v>1</v>
      </c>
      <c r="BS73" s="7">
        <f>IF(AI73=VLOOKUP(VALUE(AI$1),Questions!$A:$E,5,FALSE),1,0)</f>
        <v>1</v>
      </c>
    </row>
    <row r="74" spans="1:71">
      <c r="A74" s="10">
        <v>73</v>
      </c>
      <c r="B74" s="14" t="b">
        <v>0</v>
      </c>
      <c r="C74" s="14" t="b">
        <v>1</v>
      </c>
      <c r="D74" s="102">
        <f>SUM(Scores[[#This Row],[Q1]:[Q28]])</f>
        <v>23</v>
      </c>
      <c r="E74" s="103">
        <f>SUM(Scores[[#This Row],[29]:[34b]])</f>
        <v>0</v>
      </c>
      <c r="F74" s="103">
        <f>Scores[[#This Row],[35]]</f>
        <v>0</v>
      </c>
      <c r="G74" s="104">
        <f>INDEX('Conversion Chart'!$C$3:$M$38,MATCH(SUM(Scores[[#This Row],[MC]:[CRQ]]),'Conversion Chart'!$B$3:$B$38,0),MATCH(Scores[[#This Row],[EIE]],'Conversion Chart'!$C$2:$M$2,0))</f>
        <v>59</v>
      </c>
      <c r="H74" s="5">
        <v>4</v>
      </c>
      <c r="I74" s="5">
        <v>3</v>
      </c>
      <c r="J74" s="5">
        <v>1</v>
      </c>
      <c r="K74" s="5">
        <v>2</v>
      </c>
      <c r="L74" s="5">
        <v>2</v>
      </c>
      <c r="M74" s="5">
        <v>4</v>
      </c>
      <c r="N74" s="5">
        <v>3</v>
      </c>
      <c r="O74" s="5">
        <v>4</v>
      </c>
      <c r="P74" s="5">
        <v>2</v>
      </c>
      <c r="Q74" s="5">
        <v>2</v>
      </c>
      <c r="R74" s="5">
        <v>4</v>
      </c>
      <c r="S74" s="5">
        <v>2</v>
      </c>
      <c r="T74" s="5">
        <v>1</v>
      </c>
      <c r="U74" s="5">
        <v>4</v>
      </c>
      <c r="V74" s="5">
        <v>1</v>
      </c>
      <c r="W74" s="5">
        <v>4</v>
      </c>
      <c r="X74" s="5">
        <v>2</v>
      </c>
      <c r="Y74" s="5">
        <v>3</v>
      </c>
      <c r="Z74" s="5">
        <v>2</v>
      </c>
      <c r="AA74" s="5">
        <v>3</v>
      </c>
      <c r="AB74" s="5">
        <v>2</v>
      </c>
      <c r="AC74" s="5">
        <v>1</v>
      </c>
      <c r="AD74" s="5">
        <v>3</v>
      </c>
      <c r="AE74" s="5">
        <v>2</v>
      </c>
      <c r="AF74" s="5">
        <v>4</v>
      </c>
      <c r="AG74" s="5">
        <v>2</v>
      </c>
      <c r="AH74" s="5">
        <v>1</v>
      </c>
      <c r="AI74" s="104">
        <v>1</v>
      </c>
      <c r="AJ74" s="95"/>
      <c r="AK74" s="84"/>
      <c r="AL74" s="84"/>
      <c r="AM74" s="84"/>
      <c r="AN74" s="84"/>
      <c r="AO74" s="84"/>
      <c r="AP74" s="94"/>
      <c r="AR74" s="7">
        <f>IF(H74=VLOOKUP(VALUE(H$1),Questions!$A:$E,5,FALSE),1,0)</f>
        <v>1</v>
      </c>
      <c r="AS74" s="7">
        <f>IF(I74=VLOOKUP(VALUE(I$1),Questions!$A:$E,5,FALSE),1,0)</f>
        <v>1</v>
      </c>
      <c r="AT74" s="7">
        <f>IF(J74=VLOOKUP(VALUE(J$1),Questions!$A:$E,5,FALSE),1,0)</f>
        <v>1</v>
      </c>
      <c r="AU74" s="7">
        <f>IF(K74=VLOOKUP(VALUE(K$1),Questions!$A:$E,5,FALSE),1,0)</f>
        <v>1</v>
      </c>
      <c r="AV74" s="7">
        <f>IF(L74=VLOOKUP(VALUE(L$1),Questions!$A:$E,5,FALSE),1,0)</f>
        <v>1</v>
      </c>
      <c r="AW74" s="7">
        <f>IF(M74=VLOOKUP(VALUE(M$1),Questions!$A:$E,5,FALSE),1,0)</f>
        <v>1</v>
      </c>
      <c r="AX74" s="7">
        <f>IF(N74=VLOOKUP(VALUE(N$1),Questions!$A:$E,5,FALSE),1,0)</f>
        <v>1</v>
      </c>
      <c r="AY74" s="7">
        <f>IF(O74=VLOOKUP(VALUE(O$1),Questions!$A:$E,5,FALSE),1,0)</f>
        <v>0</v>
      </c>
      <c r="AZ74" s="7">
        <f>IF(P74=VLOOKUP(VALUE(P$1),Questions!$A:$E,5,FALSE),1,0)</f>
        <v>0</v>
      </c>
      <c r="BA74" s="7">
        <f>IF(Q74=VLOOKUP(VALUE(Q$1),Questions!$A:$E,5,FALSE),1,0)</f>
        <v>0</v>
      </c>
      <c r="BB74" s="7">
        <f>IF(R74=VLOOKUP(VALUE(R$1),Questions!$A:$E,5,FALSE),1,0)</f>
        <v>1</v>
      </c>
      <c r="BC74" s="7">
        <f>IF(S74=VLOOKUP(VALUE(S$1),Questions!$A:$E,5,FALSE),1,0)</f>
        <v>1</v>
      </c>
      <c r="BD74" s="7">
        <f>IF(T74=VLOOKUP(VALUE(T$1),Questions!$A:$E,5,FALSE),1,0)</f>
        <v>1</v>
      </c>
      <c r="BE74" s="7">
        <f>IF(U74=VLOOKUP(VALUE(U$1),Questions!$A:$E,5,FALSE),1,0)</f>
        <v>1</v>
      </c>
      <c r="BF74" s="7">
        <f>IF(V74=VLOOKUP(VALUE(V$1),Questions!$A:$E,5,FALSE),1,0)</f>
        <v>0</v>
      </c>
      <c r="BG74" s="7">
        <f>IF(W74=VLOOKUP(VALUE(W$1),Questions!$A:$E,5,FALSE),1,0)</f>
        <v>1</v>
      </c>
      <c r="BH74" s="7">
        <f>IF(X74=VLOOKUP(VALUE(X$1),Questions!$A:$E,5,FALSE),1,0)</f>
        <v>1</v>
      </c>
      <c r="BI74" s="7">
        <f>IF(Y74=VLOOKUP(VALUE(Y$1),Questions!$A:$E,5,FALSE),1,0)</f>
        <v>1</v>
      </c>
      <c r="BJ74" s="7">
        <f>IF(Z74=VLOOKUP(VALUE(Z$1),Questions!$A:$E,5,FALSE),1,0)</f>
        <v>1</v>
      </c>
      <c r="BK74" s="7">
        <f>IF(AA74=VLOOKUP(VALUE(AA$1),Questions!$A:$E,5,FALSE),1,0)</f>
        <v>1</v>
      </c>
      <c r="BL74" s="7">
        <f>IF(AB74=VLOOKUP(VALUE(AB$1),Questions!$A:$E,5,FALSE),1,0)</f>
        <v>1</v>
      </c>
      <c r="BM74" s="7">
        <f>IF(AC74=VLOOKUP(VALUE(AC$1),Questions!$A:$E,5,FALSE),1,0)</f>
        <v>1</v>
      </c>
      <c r="BN74" s="7">
        <f>IF(AD74=VLOOKUP(VALUE(AD$1),Questions!$A:$E,5,FALSE),1,0)</f>
        <v>1</v>
      </c>
      <c r="BO74" s="7">
        <f>IF(AE74=VLOOKUP(VALUE(AE$1),Questions!$A:$E,5,FALSE),1,0)</f>
        <v>1</v>
      </c>
      <c r="BP74" s="7">
        <f>IF(AF74=VLOOKUP(VALUE(AF$1),Questions!$A:$E,5,FALSE),1,0)</f>
        <v>1</v>
      </c>
      <c r="BQ74" s="7">
        <f>IF(AG74=VLOOKUP(VALUE(AG$1),Questions!$A:$E,5,FALSE),1,0)</f>
        <v>0</v>
      </c>
      <c r="BR74" s="7">
        <f>IF(AH74=VLOOKUP(VALUE(AH$1),Questions!$A:$E,5,FALSE),1,0)</f>
        <v>1</v>
      </c>
      <c r="BS74" s="7">
        <f>IF(AI74=VLOOKUP(VALUE(AI$1),Questions!$A:$E,5,FALSE),1,0)</f>
        <v>1</v>
      </c>
    </row>
    <row r="75" spans="1:71">
      <c r="A75" s="10">
        <v>74</v>
      </c>
      <c r="B75" s="14" t="b">
        <v>0</v>
      </c>
      <c r="C75" s="14" t="b">
        <v>0</v>
      </c>
      <c r="D75" s="102">
        <f>SUM(Scores[[#This Row],[Q1]:[Q28]])</f>
        <v>18</v>
      </c>
      <c r="E75" s="103">
        <f>SUM(Scores[[#This Row],[29]:[34b]])</f>
        <v>0</v>
      </c>
      <c r="F75" s="103">
        <f>Scores[[#This Row],[35]]</f>
        <v>0</v>
      </c>
      <c r="G75" s="104">
        <f>INDEX('Conversion Chart'!$C$3:$M$38,MATCH(SUM(Scores[[#This Row],[MC]:[CRQ]]),'Conversion Chart'!$B$3:$B$38,0),MATCH(Scores[[#This Row],[EIE]],'Conversion Chart'!$C$2:$M$2,0))</f>
        <v>49</v>
      </c>
      <c r="H75" s="5">
        <v>4</v>
      </c>
      <c r="I75" s="5">
        <v>3</v>
      </c>
      <c r="J75" s="5">
        <v>1</v>
      </c>
      <c r="K75" s="5">
        <v>4</v>
      </c>
      <c r="L75" s="5">
        <v>2</v>
      </c>
      <c r="M75" s="5">
        <v>4</v>
      </c>
      <c r="N75" s="5">
        <v>3</v>
      </c>
      <c r="O75" s="5">
        <v>4</v>
      </c>
      <c r="P75" s="5">
        <v>3</v>
      </c>
      <c r="Q75" s="5">
        <v>1</v>
      </c>
      <c r="R75" s="5">
        <v>4</v>
      </c>
      <c r="S75" s="5">
        <v>3</v>
      </c>
      <c r="T75" s="5">
        <v>2</v>
      </c>
      <c r="U75" s="5">
        <v>4</v>
      </c>
      <c r="V75" s="5">
        <v>2</v>
      </c>
      <c r="W75" s="5">
        <v>4</v>
      </c>
      <c r="X75" s="5">
        <v>2</v>
      </c>
      <c r="Y75" s="5">
        <v>1</v>
      </c>
      <c r="Z75" s="5">
        <v>4</v>
      </c>
      <c r="AA75" s="5">
        <v>3</v>
      </c>
      <c r="AB75" s="5">
        <v>4</v>
      </c>
      <c r="AC75" s="5">
        <v>2</v>
      </c>
      <c r="AD75" s="5">
        <v>3</v>
      </c>
      <c r="AE75" s="5">
        <v>2</v>
      </c>
      <c r="AF75" s="5">
        <v>4</v>
      </c>
      <c r="AG75" s="5">
        <v>3</v>
      </c>
      <c r="AH75" s="5">
        <v>1</v>
      </c>
      <c r="AI75" s="104">
        <v>1</v>
      </c>
      <c r="AJ75" s="95"/>
      <c r="AK75" s="84"/>
      <c r="AL75" s="84"/>
      <c r="AM75" s="84"/>
      <c r="AN75" s="84"/>
      <c r="AO75" s="84"/>
      <c r="AP75" s="94"/>
      <c r="AR75" s="7">
        <f>IF(H75=VLOOKUP(VALUE(H$1),Questions!$A:$E,5,FALSE),1,0)</f>
        <v>1</v>
      </c>
      <c r="AS75" s="7">
        <f>IF(I75=VLOOKUP(VALUE(I$1),Questions!$A:$E,5,FALSE),1,0)</f>
        <v>1</v>
      </c>
      <c r="AT75" s="7">
        <f>IF(J75=VLOOKUP(VALUE(J$1),Questions!$A:$E,5,FALSE),1,0)</f>
        <v>1</v>
      </c>
      <c r="AU75" s="7">
        <f>IF(K75=VLOOKUP(VALUE(K$1),Questions!$A:$E,5,FALSE),1,0)</f>
        <v>0</v>
      </c>
      <c r="AV75" s="7">
        <f>IF(L75=VLOOKUP(VALUE(L$1),Questions!$A:$E,5,FALSE),1,0)</f>
        <v>1</v>
      </c>
      <c r="AW75" s="7">
        <f>IF(M75=VLOOKUP(VALUE(M$1),Questions!$A:$E,5,FALSE),1,0)</f>
        <v>1</v>
      </c>
      <c r="AX75" s="7">
        <f>IF(N75=VLOOKUP(VALUE(N$1),Questions!$A:$E,5,FALSE),1,0)</f>
        <v>1</v>
      </c>
      <c r="AY75" s="7">
        <f>IF(O75=VLOOKUP(VALUE(O$1),Questions!$A:$E,5,FALSE),1,0)</f>
        <v>0</v>
      </c>
      <c r="AZ75" s="7">
        <f>IF(P75=VLOOKUP(VALUE(P$1),Questions!$A:$E,5,FALSE),1,0)</f>
        <v>0</v>
      </c>
      <c r="BA75" s="7">
        <f>IF(Q75=VLOOKUP(VALUE(Q$1),Questions!$A:$E,5,FALSE),1,0)</f>
        <v>1</v>
      </c>
      <c r="BB75" s="7">
        <f>IF(R75=VLOOKUP(VALUE(R$1),Questions!$A:$E,5,FALSE),1,0)</f>
        <v>1</v>
      </c>
      <c r="BC75" s="7">
        <f>IF(S75=VLOOKUP(VALUE(S$1),Questions!$A:$E,5,FALSE),1,0)</f>
        <v>0</v>
      </c>
      <c r="BD75" s="7">
        <f>IF(T75=VLOOKUP(VALUE(T$1),Questions!$A:$E,5,FALSE),1,0)</f>
        <v>0</v>
      </c>
      <c r="BE75" s="7">
        <f>IF(U75=VLOOKUP(VALUE(U$1),Questions!$A:$E,5,FALSE),1,0)</f>
        <v>1</v>
      </c>
      <c r="BF75" s="7">
        <f>IF(V75=VLOOKUP(VALUE(V$1),Questions!$A:$E,5,FALSE),1,0)</f>
        <v>0</v>
      </c>
      <c r="BG75" s="7">
        <f>IF(W75=VLOOKUP(VALUE(W$1),Questions!$A:$E,5,FALSE),1,0)</f>
        <v>1</v>
      </c>
      <c r="BH75" s="7">
        <f>IF(X75=VLOOKUP(VALUE(X$1),Questions!$A:$E,5,FALSE),1,0)</f>
        <v>1</v>
      </c>
      <c r="BI75" s="7">
        <f>IF(Y75=VLOOKUP(VALUE(Y$1),Questions!$A:$E,5,FALSE),1,0)</f>
        <v>0</v>
      </c>
      <c r="BJ75" s="7">
        <f>IF(Z75=VLOOKUP(VALUE(Z$1),Questions!$A:$E,5,FALSE),1,0)</f>
        <v>0</v>
      </c>
      <c r="BK75" s="7">
        <f>IF(AA75=VLOOKUP(VALUE(AA$1),Questions!$A:$E,5,FALSE),1,0)</f>
        <v>1</v>
      </c>
      <c r="BL75" s="7">
        <f>IF(AB75=VLOOKUP(VALUE(AB$1),Questions!$A:$E,5,FALSE),1,0)</f>
        <v>0</v>
      </c>
      <c r="BM75" s="7">
        <f>IF(AC75=VLOOKUP(VALUE(AC$1),Questions!$A:$E,5,FALSE),1,0)</f>
        <v>0</v>
      </c>
      <c r="BN75" s="7">
        <f>IF(AD75=VLOOKUP(VALUE(AD$1),Questions!$A:$E,5,FALSE),1,0)</f>
        <v>1</v>
      </c>
      <c r="BO75" s="7">
        <f>IF(AE75=VLOOKUP(VALUE(AE$1),Questions!$A:$E,5,FALSE),1,0)</f>
        <v>1</v>
      </c>
      <c r="BP75" s="7">
        <f>IF(AF75=VLOOKUP(VALUE(AF$1),Questions!$A:$E,5,FALSE),1,0)</f>
        <v>1</v>
      </c>
      <c r="BQ75" s="7">
        <f>IF(AG75=VLOOKUP(VALUE(AG$1),Questions!$A:$E,5,FALSE),1,0)</f>
        <v>1</v>
      </c>
      <c r="BR75" s="7">
        <f>IF(AH75=VLOOKUP(VALUE(AH$1),Questions!$A:$E,5,FALSE),1,0)</f>
        <v>1</v>
      </c>
      <c r="BS75" s="7">
        <f>IF(AI75=VLOOKUP(VALUE(AI$1),Questions!$A:$E,5,FALSE),1,0)</f>
        <v>1</v>
      </c>
    </row>
    <row r="76" spans="1:71">
      <c r="A76" s="10">
        <v>75</v>
      </c>
      <c r="B76" s="14" t="b">
        <v>0</v>
      </c>
      <c r="C76" s="14" t="b">
        <v>0</v>
      </c>
      <c r="D76" s="102">
        <f>SUM(Scores[[#This Row],[Q1]:[Q28]])</f>
        <v>17</v>
      </c>
      <c r="E76" s="103">
        <f>SUM(Scores[[#This Row],[29]:[34b]])</f>
        <v>0</v>
      </c>
      <c r="F76" s="103">
        <f>Scores[[#This Row],[35]]</f>
        <v>0</v>
      </c>
      <c r="G76" s="104">
        <f>INDEX('Conversion Chart'!$C$3:$M$38,MATCH(SUM(Scores[[#This Row],[MC]:[CRQ]]),'Conversion Chart'!$B$3:$B$38,0),MATCH(Scores[[#This Row],[EIE]],'Conversion Chart'!$C$2:$M$2,0))</f>
        <v>47</v>
      </c>
      <c r="H76" s="5">
        <v>4</v>
      </c>
      <c r="I76" s="5">
        <v>3</v>
      </c>
      <c r="J76" s="5">
        <v>1</v>
      </c>
      <c r="K76" s="5">
        <v>4</v>
      </c>
      <c r="L76" s="5">
        <v>2</v>
      </c>
      <c r="M76" s="5">
        <v>4</v>
      </c>
      <c r="N76" s="5">
        <v>3</v>
      </c>
      <c r="O76" s="5">
        <v>4</v>
      </c>
      <c r="P76" s="5">
        <v>1</v>
      </c>
      <c r="Q76" s="5">
        <v>1</v>
      </c>
      <c r="R76" s="5">
        <v>4</v>
      </c>
      <c r="S76" s="5">
        <v>4</v>
      </c>
      <c r="T76" s="5">
        <v>2</v>
      </c>
      <c r="U76" s="5">
        <v>4</v>
      </c>
      <c r="V76" s="5">
        <v>2</v>
      </c>
      <c r="W76" s="5">
        <v>1</v>
      </c>
      <c r="X76" s="5">
        <v>2</v>
      </c>
      <c r="Y76" s="5">
        <v>1</v>
      </c>
      <c r="Z76" s="5">
        <v>4</v>
      </c>
      <c r="AA76" s="5">
        <v>3</v>
      </c>
      <c r="AB76" s="5">
        <v>4</v>
      </c>
      <c r="AC76" s="5">
        <v>2</v>
      </c>
      <c r="AD76" s="5">
        <v>3</v>
      </c>
      <c r="AE76" s="5">
        <v>4</v>
      </c>
      <c r="AF76" s="5">
        <v>4</v>
      </c>
      <c r="AG76" s="5">
        <v>3</v>
      </c>
      <c r="AH76" s="5">
        <v>1</v>
      </c>
      <c r="AI76" s="104">
        <v>1</v>
      </c>
      <c r="AJ76" s="95"/>
      <c r="AK76" s="84"/>
      <c r="AL76" s="84"/>
      <c r="AM76" s="84"/>
      <c r="AN76" s="84"/>
      <c r="AO76" s="84"/>
      <c r="AP76" s="94"/>
      <c r="AR76" s="7">
        <f>IF(H76=VLOOKUP(VALUE(H$1),Questions!$A:$E,5,FALSE),1,0)</f>
        <v>1</v>
      </c>
      <c r="AS76" s="7">
        <f>IF(I76=VLOOKUP(VALUE(I$1),Questions!$A:$E,5,FALSE),1,0)</f>
        <v>1</v>
      </c>
      <c r="AT76" s="7">
        <f>IF(J76=VLOOKUP(VALUE(J$1),Questions!$A:$E,5,FALSE),1,0)</f>
        <v>1</v>
      </c>
      <c r="AU76" s="7">
        <f>IF(K76=VLOOKUP(VALUE(K$1),Questions!$A:$E,5,FALSE),1,0)</f>
        <v>0</v>
      </c>
      <c r="AV76" s="7">
        <f>IF(L76=VLOOKUP(VALUE(L$1),Questions!$A:$E,5,FALSE),1,0)</f>
        <v>1</v>
      </c>
      <c r="AW76" s="7">
        <f>IF(M76=VLOOKUP(VALUE(M$1),Questions!$A:$E,5,FALSE),1,0)</f>
        <v>1</v>
      </c>
      <c r="AX76" s="7">
        <f>IF(N76=VLOOKUP(VALUE(N$1),Questions!$A:$E,5,FALSE),1,0)</f>
        <v>1</v>
      </c>
      <c r="AY76" s="7">
        <f>IF(O76=VLOOKUP(VALUE(O$1),Questions!$A:$E,5,FALSE),1,0)</f>
        <v>0</v>
      </c>
      <c r="AZ76" s="7">
        <f>IF(P76=VLOOKUP(VALUE(P$1),Questions!$A:$E,5,FALSE),1,0)</f>
        <v>1</v>
      </c>
      <c r="BA76" s="7">
        <f>IF(Q76=VLOOKUP(VALUE(Q$1),Questions!$A:$E,5,FALSE),1,0)</f>
        <v>1</v>
      </c>
      <c r="BB76" s="7">
        <f>IF(R76=VLOOKUP(VALUE(R$1),Questions!$A:$E,5,FALSE),1,0)</f>
        <v>1</v>
      </c>
      <c r="BC76" s="7">
        <f>IF(S76=VLOOKUP(VALUE(S$1),Questions!$A:$E,5,FALSE),1,0)</f>
        <v>0</v>
      </c>
      <c r="BD76" s="7">
        <f>IF(T76=VLOOKUP(VALUE(T$1),Questions!$A:$E,5,FALSE),1,0)</f>
        <v>0</v>
      </c>
      <c r="BE76" s="7">
        <f>IF(U76=VLOOKUP(VALUE(U$1),Questions!$A:$E,5,FALSE),1,0)</f>
        <v>1</v>
      </c>
      <c r="BF76" s="7">
        <f>IF(V76=VLOOKUP(VALUE(V$1),Questions!$A:$E,5,FALSE),1,0)</f>
        <v>0</v>
      </c>
      <c r="BG76" s="7">
        <f>IF(W76=VLOOKUP(VALUE(W$1),Questions!$A:$E,5,FALSE),1,0)</f>
        <v>0</v>
      </c>
      <c r="BH76" s="7">
        <f>IF(X76=VLOOKUP(VALUE(X$1),Questions!$A:$E,5,FALSE),1,0)</f>
        <v>1</v>
      </c>
      <c r="BI76" s="7">
        <f>IF(Y76=VLOOKUP(VALUE(Y$1),Questions!$A:$E,5,FALSE),1,0)</f>
        <v>0</v>
      </c>
      <c r="BJ76" s="7">
        <f>IF(Z76=VLOOKUP(VALUE(Z$1),Questions!$A:$E,5,FALSE),1,0)</f>
        <v>0</v>
      </c>
      <c r="BK76" s="7">
        <f>IF(AA76=VLOOKUP(VALUE(AA$1),Questions!$A:$E,5,FALSE),1,0)</f>
        <v>1</v>
      </c>
      <c r="BL76" s="7">
        <f>IF(AB76=VLOOKUP(VALUE(AB$1),Questions!$A:$E,5,FALSE),1,0)</f>
        <v>0</v>
      </c>
      <c r="BM76" s="7">
        <f>IF(AC76=VLOOKUP(VALUE(AC$1),Questions!$A:$E,5,FALSE),1,0)</f>
        <v>0</v>
      </c>
      <c r="BN76" s="7">
        <f>IF(AD76=VLOOKUP(VALUE(AD$1),Questions!$A:$E,5,FALSE),1,0)</f>
        <v>1</v>
      </c>
      <c r="BO76" s="7">
        <f>IF(AE76=VLOOKUP(VALUE(AE$1),Questions!$A:$E,5,FALSE),1,0)</f>
        <v>0</v>
      </c>
      <c r="BP76" s="7">
        <f>IF(AF76=VLOOKUP(VALUE(AF$1),Questions!$A:$E,5,FALSE),1,0)</f>
        <v>1</v>
      </c>
      <c r="BQ76" s="7">
        <f>IF(AG76=VLOOKUP(VALUE(AG$1),Questions!$A:$E,5,FALSE),1,0)</f>
        <v>1</v>
      </c>
      <c r="BR76" s="7">
        <f>IF(AH76=VLOOKUP(VALUE(AH$1),Questions!$A:$E,5,FALSE),1,0)</f>
        <v>1</v>
      </c>
      <c r="BS76" s="7">
        <f>IF(AI76=VLOOKUP(VALUE(AI$1),Questions!$A:$E,5,FALSE),1,0)</f>
        <v>1</v>
      </c>
    </row>
    <row r="77" spans="1:71">
      <c r="A77" s="10">
        <v>76</v>
      </c>
      <c r="B77" s="14" t="b">
        <v>0</v>
      </c>
      <c r="C77" s="14" t="b">
        <v>0</v>
      </c>
      <c r="D77" s="102">
        <f>SUM(Scores[[#This Row],[Q1]:[Q28]])</f>
        <v>18</v>
      </c>
      <c r="E77" s="103">
        <f>SUM(Scores[[#This Row],[29]:[34b]])</f>
        <v>0</v>
      </c>
      <c r="F77" s="103">
        <f>Scores[[#This Row],[35]]</f>
        <v>0</v>
      </c>
      <c r="G77" s="104">
        <f>INDEX('Conversion Chart'!$C$3:$M$38,MATCH(SUM(Scores[[#This Row],[MC]:[CRQ]]),'Conversion Chart'!$B$3:$B$38,0),MATCH(Scores[[#This Row],[EIE]],'Conversion Chart'!$C$2:$M$2,0))</f>
        <v>49</v>
      </c>
      <c r="H77" s="5">
        <v>4</v>
      </c>
      <c r="I77" s="5">
        <v>3</v>
      </c>
      <c r="J77" s="5">
        <v>1</v>
      </c>
      <c r="K77" s="5">
        <v>2</v>
      </c>
      <c r="L77" s="5">
        <v>3</v>
      </c>
      <c r="M77" s="5">
        <v>2</v>
      </c>
      <c r="N77" s="5">
        <v>3</v>
      </c>
      <c r="O77" s="5">
        <v>1</v>
      </c>
      <c r="P77" s="5">
        <v>1</v>
      </c>
      <c r="Q77" s="5">
        <v>3</v>
      </c>
      <c r="R77" s="5">
        <v>4</v>
      </c>
      <c r="S77" s="5">
        <v>4</v>
      </c>
      <c r="T77" s="5">
        <v>1</v>
      </c>
      <c r="U77" s="5">
        <v>2</v>
      </c>
      <c r="V77" s="5">
        <v>1</v>
      </c>
      <c r="W77" s="5">
        <v>4</v>
      </c>
      <c r="X77" s="5">
        <v>1</v>
      </c>
      <c r="Y77" s="5">
        <v>3</v>
      </c>
      <c r="Z77" s="5">
        <v>2</v>
      </c>
      <c r="AA77" s="5">
        <v>1</v>
      </c>
      <c r="AB77" s="5">
        <v>2</v>
      </c>
      <c r="AC77" s="5">
        <v>4</v>
      </c>
      <c r="AD77" s="5">
        <v>3</v>
      </c>
      <c r="AE77" s="5">
        <v>2</v>
      </c>
      <c r="AF77" s="5">
        <v>1</v>
      </c>
      <c r="AG77" s="5">
        <v>3</v>
      </c>
      <c r="AH77" s="5">
        <v>1</v>
      </c>
      <c r="AI77" s="104">
        <v>1</v>
      </c>
      <c r="AJ77" s="95"/>
      <c r="AK77" s="84"/>
      <c r="AL77" s="84"/>
      <c r="AM77" s="84"/>
      <c r="AN77" s="84"/>
      <c r="AO77" s="84"/>
      <c r="AP77" s="94"/>
      <c r="AR77" s="7">
        <f>IF(H77=VLOOKUP(VALUE(H$1),Questions!$A:$E,5,FALSE),1,0)</f>
        <v>1</v>
      </c>
      <c r="AS77" s="7">
        <f>IF(I77=VLOOKUP(VALUE(I$1),Questions!$A:$E,5,FALSE),1,0)</f>
        <v>1</v>
      </c>
      <c r="AT77" s="7">
        <f>IF(J77=VLOOKUP(VALUE(J$1),Questions!$A:$E,5,FALSE),1,0)</f>
        <v>1</v>
      </c>
      <c r="AU77" s="7">
        <f>IF(K77=VLOOKUP(VALUE(K$1),Questions!$A:$E,5,FALSE),1,0)</f>
        <v>1</v>
      </c>
      <c r="AV77" s="7">
        <f>IF(L77=VLOOKUP(VALUE(L$1),Questions!$A:$E,5,FALSE),1,0)</f>
        <v>0</v>
      </c>
      <c r="AW77" s="7">
        <f>IF(M77=VLOOKUP(VALUE(M$1),Questions!$A:$E,5,FALSE),1,0)</f>
        <v>0</v>
      </c>
      <c r="AX77" s="7">
        <f>IF(N77=VLOOKUP(VALUE(N$1),Questions!$A:$E,5,FALSE),1,0)</f>
        <v>1</v>
      </c>
      <c r="AY77" s="7">
        <f>IF(O77=VLOOKUP(VALUE(O$1),Questions!$A:$E,5,FALSE),1,0)</f>
        <v>1</v>
      </c>
      <c r="AZ77" s="7">
        <f>IF(P77=VLOOKUP(VALUE(P$1),Questions!$A:$E,5,FALSE),1,0)</f>
        <v>1</v>
      </c>
      <c r="BA77" s="7">
        <f>IF(Q77=VLOOKUP(VALUE(Q$1),Questions!$A:$E,5,FALSE),1,0)</f>
        <v>0</v>
      </c>
      <c r="BB77" s="7">
        <f>IF(R77=VLOOKUP(VALUE(R$1),Questions!$A:$E,5,FALSE),1,0)</f>
        <v>1</v>
      </c>
      <c r="BC77" s="7">
        <f>IF(S77=VLOOKUP(VALUE(S$1),Questions!$A:$E,5,FALSE),1,0)</f>
        <v>0</v>
      </c>
      <c r="BD77" s="7">
        <f>IF(T77=VLOOKUP(VALUE(T$1),Questions!$A:$E,5,FALSE),1,0)</f>
        <v>1</v>
      </c>
      <c r="BE77" s="7">
        <f>IF(U77=VLOOKUP(VALUE(U$1),Questions!$A:$E,5,FALSE),1,0)</f>
        <v>0</v>
      </c>
      <c r="BF77" s="7">
        <f>IF(V77=VLOOKUP(VALUE(V$1),Questions!$A:$E,5,FALSE),1,0)</f>
        <v>0</v>
      </c>
      <c r="BG77" s="7">
        <f>IF(W77=VLOOKUP(VALUE(W$1),Questions!$A:$E,5,FALSE),1,0)</f>
        <v>1</v>
      </c>
      <c r="BH77" s="7">
        <f>IF(X77=VLOOKUP(VALUE(X$1),Questions!$A:$E,5,FALSE),1,0)</f>
        <v>0</v>
      </c>
      <c r="BI77" s="7">
        <f>IF(Y77=VLOOKUP(VALUE(Y$1),Questions!$A:$E,5,FALSE),1,0)</f>
        <v>1</v>
      </c>
      <c r="BJ77" s="7">
        <f>IF(Z77=VLOOKUP(VALUE(Z$1),Questions!$A:$E,5,FALSE),1,0)</f>
        <v>1</v>
      </c>
      <c r="BK77" s="7">
        <f>IF(AA77=VLOOKUP(VALUE(AA$1),Questions!$A:$E,5,FALSE),1,0)</f>
        <v>0</v>
      </c>
      <c r="BL77" s="7">
        <f>IF(AB77=VLOOKUP(VALUE(AB$1),Questions!$A:$E,5,FALSE),1,0)</f>
        <v>1</v>
      </c>
      <c r="BM77" s="7">
        <f>IF(AC77=VLOOKUP(VALUE(AC$1),Questions!$A:$E,5,FALSE),1,0)</f>
        <v>0</v>
      </c>
      <c r="BN77" s="7">
        <f>IF(AD77=VLOOKUP(VALUE(AD$1),Questions!$A:$E,5,FALSE),1,0)</f>
        <v>1</v>
      </c>
      <c r="BO77" s="7">
        <f>IF(AE77=VLOOKUP(VALUE(AE$1),Questions!$A:$E,5,FALSE),1,0)</f>
        <v>1</v>
      </c>
      <c r="BP77" s="7">
        <f>IF(AF77=VLOOKUP(VALUE(AF$1),Questions!$A:$E,5,FALSE),1,0)</f>
        <v>0</v>
      </c>
      <c r="BQ77" s="7">
        <f>IF(AG77=VLOOKUP(VALUE(AG$1),Questions!$A:$E,5,FALSE),1,0)</f>
        <v>1</v>
      </c>
      <c r="BR77" s="7">
        <f>IF(AH77=VLOOKUP(VALUE(AH$1),Questions!$A:$E,5,FALSE),1,0)</f>
        <v>1</v>
      </c>
      <c r="BS77" s="7">
        <f>IF(AI77=VLOOKUP(VALUE(AI$1),Questions!$A:$E,5,FALSE),1,0)</f>
        <v>1</v>
      </c>
    </row>
    <row r="78" spans="1:71">
      <c r="A78" s="10">
        <v>77</v>
      </c>
      <c r="B78" s="14" t="b">
        <v>0</v>
      </c>
      <c r="C78" s="14" t="b">
        <v>0</v>
      </c>
      <c r="D78" s="102">
        <f>SUM(Scores[[#This Row],[Q1]:[Q28]])</f>
        <v>17</v>
      </c>
      <c r="E78" s="103">
        <f>SUM(Scores[[#This Row],[29]:[34b]])</f>
        <v>0</v>
      </c>
      <c r="F78" s="103">
        <f>Scores[[#This Row],[35]]</f>
        <v>0</v>
      </c>
      <c r="G78" s="104">
        <f>INDEX('Conversion Chart'!$C$3:$M$38,MATCH(SUM(Scores[[#This Row],[MC]:[CRQ]]),'Conversion Chart'!$B$3:$B$38,0),MATCH(Scores[[#This Row],[EIE]],'Conversion Chart'!$C$2:$M$2,0))</f>
        <v>47</v>
      </c>
      <c r="H78" s="5">
        <v>4</v>
      </c>
      <c r="I78" s="5">
        <v>3</v>
      </c>
      <c r="J78" s="5">
        <v>1</v>
      </c>
      <c r="K78" s="5">
        <v>2</v>
      </c>
      <c r="L78" s="5">
        <v>4</v>
      </c>
      <c r="M78" s="5">
        <v>4</v>
      </c>
      <c r="N78" s="5">
        <v>2</v>
      </c>
      <c r="O78" s="5">
        <v>1</v>
      </c>
      <c r="P78" s="5">
        <v>1</v>
      </c>
      <c r="Q78" s="5">
        <v>2</v>
      </c>
      <c r="R78" s="5">
        <v>4</v>
      </c>
      <c r="S78" s="5">
        <v>4</v>
      </c>
      <c r="T78" s="5">
        <v>4</v>
      </c>
      <c r="U78" s="5">
        <v>3</v>
      </c>
      <c r="V78" s="5">
        <v>1</v>
      </c>
      <c r="W78" s="5">
        <v>2</v>
      </c>
      <c r="X78" s="5">
        <v>2</v>
      </c>
      <c r="Y78" s="5">
        <v>1</v>
      </c>
      <c r="Z78" s="5">
        <v>2</v>
      </c>
      <c r="AA78" s="5">
        <v>3</v>
      </c>
      <c r="AB78" s="5">
        <v>4</v>
      </c>
      <c r="AC78" s="5">
        <v>1</v>
      </c>
      <c r="AD78" s="5">
        <v>3</v>
      </c>
      <c r="AE78" s="5">
        <v>4</v>
      </c>
      <c r="AF78" s="5">
        <v>4</v>
      </c>
      <c r="AG78" s="5">
        <v>3</v>
      </c>
      <c r="AH78" s="5">
        <v>1</v>
      </c>
      <c r="AI78" s="104">
        <v>1</v>
      </c>
      <c r="AJ78" s="95"/>
      <c r="AK78" s="84"/>
      <c r="AL78" s="84"/>
      <c r="AM78" s="84"/>
      <c r="AN78" s="84"/>
      <c r="AO78" s="84"/>
      <c r="AP78" s="94"/>
      <c r="AR78" s="7">
        <f>IF(H78=VLOOKUP(VALUE(H$1),Questions!$A:$E,5,FALSE),1,0)</f>
        <v>1</v>
      </c>
      <c r="AS78" s="7">
        <f>IF(I78=VLOOKUP(VALUE(I$1),Questions!$A:$E,5,FALSE),1,0)</f>
        <v>1</v>
      </c>
      <c r="AT78" s="7">
        <f>IF(J78=VLOOKUP(VALUE(J$1),Questions!$A:$E,5,FALSE),1,0)</f>
        <v>1</v>
      </c>
      <c r="AU78" s="7">
        <f>IF(K78=VLOOKUP(VALUE(K$1),Questions!$A:$E,5,FALSE),1,0)</f>
        <v>1</v>
      </c>
      <c r="AV78" s="7">
        <f>IF(L78=VLOOKUP(VALUE(L$1),Questions!$A:$E,5,FALSE),1,0)</f>
        <v>0</v>
      </c>
      <c r="AW78" s="7">
        <f>IF(M78=VLOOKUP(VALUE(M$1),Questions!$A:$E,5,FALSE),1,0)</f>
        <v>1</v>
      </c>
      <c r="AX78" s="7">
        <f>IF(N78=VLOOKUP(VALUE(N$1),Questions!$A:$E,5,FALSE),1,0)</f>
        <v>0</v>
      </c>
      <c r="AY78" s="7">
        <f>IF(O78=VLOOKUP(VALUE(O$1),Questions!$A:$E,5,FALSE),1,0)</f>
        <v>1</v>
      </c>
      <c r="AZ78" s="7">
        <f>IF(P78=VLOOKUP(VALUE(P$1),Questions!$A:$E,5,FALSE),1,0)</f>
        <v>1</v>
      </c>
      <c r="BA78" s="7">
        <f>IF(Q78=VLOOKUP(VALUE(Q$1),Questions!$A:$E,5,FALSE),1,0)</f>
        <v>0</v>
      </c>
      <c r="BB78" s="7">
        <f>IF(R78=VLOOKUP(VALUE(R$1),Questions!$A:$E,5,FALSE),1,0)</f>
        <v>1</v>
      </c>
      <c r="BC78" s="7">
        <f>IF(S78=VLOOKUP(VALUE(S$1),Questions!$A:$E,5,FALSE),1,0)</f>
        <v>0</v>
      </c>
      <c r="BD78" s="7">
        <f>IF(T78=VLOOKUP(VALUE(T$1),Questions!$A:$E,5,FALSE),1,0)</f>
        <v>0</v>
      </c>
      <c r="BE78" s="7">
        <f>IF(U78=VLOOKUP(VALUE(U$1),Questions!$A:$E,5,FALSE),1,0)</f>
        <v>0</v>
      </c>
      <c r="BF78" s="7">
        <f>IF(V78=VLOOKUP(VALUE(V$1),Questions!$A:$E,5,FALSE),1,0)</f>
        <v>0</v>
      </c>
      <c r="BG78" s="7">
        <f>IF(W78=VLOOKUP(VALUE(W$1),Questions!$A:$E,5,FALSE),1,0)</f>
        <v>0</v>
      </c>
      <c r="BH78" s="7">
        <f>IF(X78=VLOOKUP(VALUE(X$1),Questions!$A:$E,5,FALSE),1,0)</f>
        <v>1</v>
      </c>
      <c r="BI78" s="7">
        <f>IF(Y78=VLOOKUP(VALUE(Y$1),Questions!$A:$E,5,FALSE),1,0)</f>
        <v>0</v>
      </c>
      <c r="BJ78" s="7">
        <f>IF(Z78=VLOOKUP(VALUE(Z$1),Questions!$A:$E,5,FALSE),1,0)</f>
        <v>1</v>
      </c>
      <c r="BK78" s="7">
        <f>IF(AA78=VLOOKUP(VALUE(AA$1),Questions!$A:$E,5,FALSE),1,0)</f>
        <v>1</v>
      </c>
      <c r="BL78" s="7">
        <f>IF(AB78=VLOOKUP(VALUE(AB$1),Questions!$A:$E,5,FALSE),1,0)</f>
        <v>0</v>
      </c>
      <c r="BM78" s="7">
        <f>IF(AC78=VLOOKUP(VALUE(AC$1),Questions!$A:$E,5,FALSE),1,0)</f>
        <v>1</v>
      </c>
      <c r="BN78" s="7">
        <f>IF(AD78=VLOOKUP(VALUE(AD$1),Questions!$A:$E,5,FALSE),1,0)</f>
        <v>1</v>
      </c>
      <c r="BO78" s="7">
        <f>IF(AE78=VLOOKUP(VALUE(AE$1),Questions!$A:$E,5,FALSE),1,0)</f>
        <v>0</v>
      </c>
      <c r="BP78" s="7">
        <f>IF(AF78=VLOOKUP(VALUE(AF$1),Questions!$A:$E,5,FALSE),1,0)</f>
        <v>1</v>
      </c>
      <c r="BQ78" s="7">
        <f>IF(AG78=VLOOKUP(VALUE(AG$1),Questions!$A:$E,5,FALSE),1,0)</f>
        <v>1</v>
      </c>
      <c r="BR78" s="7">
        <f>IF(AH78=VLOOKUP(VALUE(AH$1),Questions!$A:$E,5,FALSE),1,0)</f>
        <v>1</v>
      </c>
      <c r="BS78" s="7">
        <f>IF(AI78=VLOOKUP(VALUE(AI$1),Questions!$A:$E,5,FALSE),1,0)</f>
        <v>1</v>
      </c>
    </row>
    <row r="79" spans="1:71">
      <c r="A79" s="10">
        <v>78</v>
      </c>
      <c r="B79" s="14" t="b">
        <v>0</v>
      </c>
      <c r="C79" s="14" t="b">
        <v>1</v>
      </c>
      <c r="D79" s="102">
        <f>SUM(Scores[[#This Row],[Q1]:[Q28]])</f>
        <v>17</v>
      </c>
      <c r="E79" s="103">
        <f>SUM(Scores[[#This Row],[29]:[34b]])</f>
        <v>0</v>
      </c>
      <c r="F79" s="103">
        <f>Scores[[#This Row],[35]]</f>
        <v>0</v>
      </c>
      <c r="G79" s="104">
        <f>INDEX('Conversion Chart'!$C$3:$M$38,MATCH(SUM(Scores[[#This Row],[MC]:[CRQ]]),'Conversion Chart'!$B$3:$B$38,0),MATCH(Scores[[#This Row],[EIE]],'Conversion Chart'!$C$2:$M$2,0))</f>
        <v>47</v>
      </c>
      <c r="H79" s="5">
        <v>4</v>
      </c>
      <c r="I79" s="5">
        <v>3</v>
      </c>
      <c r="J79" s="5">
        <v>1</v>
      </c>
      <c r="K79" s="5">
        <v>2</v>
      </c>
      <c r="L79" s="5">
        <v>4</v>
      </c>
      <c r="M79" s="5">
        <v>4</v>
      </c>
      <c r="N79" s="5">
        <v>3</v>
      </c>
      <c r="O79" s="5">
        <v>3</v>
      </c>
      <c r="P79" s="5">
        <v>2</v>
      </c>
      <c r="Q79" s="5">
        <v>2</v>
      </c>
      <c r="R79" s="5">
        <v>4</v>
      </c>
      <c r="S79" s="5">
        <v>4</v>
      </c>
      <c r="T79" s="5">
        <v>1</v>
      </c>
      <c r="U79" s="5">
        <v>2</v>
      </c>
      <c r="V79" s="5">
        <v>3</v>
      </c>
      <c r="W79" s="5">
        <v>3</v>
      </c>
      <c r="X79" s="5">
        <v>1</v>
      </c>
      <c r="Y79" s="5">
        <v>3</v>
      </c>
      <c r="Z79" s="5">
        <v>2</v>
      </c>
      <c r="AA79" s="5">
        <v>1</v>
      </c>
      <c r="AB79" s="5">
        <v>4</v>
      </c>
      <c r="AC79" s="5">
        <v>1</v>
      </c>
      <c r="AD79" s="5">
        <v>3</v>
      </c>
      <c r="AE79" s="5">
        <v>4</v>
      </c>
      <c r="AF79" s="5">
        <v>4</v>
      </c>
      <c r="AG79" s="5">
        <v>3</v>
      </c>
      <c r="AH79" s="5">
        <v>1</v>
      </c>
      <c r="AI79" s="104">
        <v>1</v>
      </c>
      <c r="AJ79" s="95"/>
      <c r="AK79" s="84"/>
      <c r="AL79" s="84"/>
      <c r="AM79" s="84"/>
      <c r="AN79" s="84"/>
      <c r="AO79" s="84"/>
      <c r="AP79" s="94"/>
      <c r="AR79" s="7">
        <f>IF(H79=VLOOKUP(VALUE(H$1),Questions!$A:$E,5,FALSE),1,0)</f>
        <v>1</v>
      </c>
      <c r="AS79" s="7">
        <f>IF(I79=VLOOKUP(VALUE(I$1),Questions!$A:$E,5,FALSE),1,0)</f>
        <v>1</v>
      </c>
      <c r="AT79" s="7">
        <f>IF(J79=VLOOKUP(VALUE(J$1),Questions!$A:$E,5,FALSE),1,0)</f>
        <v>1</v>
      </c>
      <c r="AU79" s="7">
        <f>IF(K79=VLOOKUP(VALUE(K$1),Questions!$A:$E,5,FALSE),1,0)</f>
        <v>1</v>
      </c>
      <c r="AV79" s="7">
        <f>IF(L79=VLOOKUP(VALUE(L$1),Questions!$A:$E,5,FALSE),1,0)</f>
        <v>0</v>
      </c>
      <c r="AW79" s="7">
        <f>IF(M79=VLOOKUP(VALUE(M$1),Questions!$A:$E,5,FALSE),1,0)</f>
        <v>1</v>
      </c>
      <c r="AX79" s="7">
        <f>IF(N79=VLOOKUP(VALUE(N$1),Questions!$A:$E,5,FALSE),1,0)</f>
        <v>1</v>
      </c>
      <c r="AY79" s="7">
        <f>IF(O79=VLOOKUP(VALUE(O$1),Questions!$A:$E,5,FALSE),1,0)</f>
        <v>0</v>
      </c>
      <c r="AZ79" s="7">
        <f>IF(P79=VLOOKUP(VALUE(P$1),Questions!$A:$E,5,FALSE),1,0)</f>
        <v>0</v>
      </c>
      <c r="BA79" s="7">
        <f>IF(Q79=VLOOKUP(VALUE(Q$1),Questions!$A:$E,5,FALSE),1,0)</f>
        <v>0</v>
      </c>
      <c r="BB79" s="7">
        <f>IF(R79=VLOOKUP(VALUE(R$1),Questions!$A:$E,5,FALSE),1,0)</f>
        <v>1</v>
      </c>
      <c r="BC79" s="7">
        <f>IF(S79=VLOOKUP(VALUE(S$1),Questions!$A:$E,5,FALSE),1,0)</f>
        <v>0</v>
      </c>
      <c r="BD79" s="7">
        <f>IF(T79=VLOOKUP(VALUE(T$1),Questions!$A:$E,5,FALSE),1,0)</f>
        <v>1</v>
      </c>
      <c r="BE79" s="7">
        <f>IF(U79=VLOOKUP(VALUE(U$1),Questions!$A:$E,5,FALSE),1,0)</f>
        <v>0</v>
      </c>
      <c r="BF79" s="7">
        <f>IF(V79=VLOOKUP(VALUE(V$1),Questions!$A:$E,5,FALSE),1,0)</f>
        <v>1</v>
      </c>
      <c r="BG79" s="7">
        <f>IF(W79=VLOOKUP(VALUE(W$1),Questions!$A:$E,5,FALSE),1,0)</f>
        <v>0</v>
      </c>
      <c r="BH79" s="7">
        <f>IF(X79=VLOOKUP(VALUE(X$1),Questions!$A:$E,5,FALSE),1,0)</f>
        <v>0</v>
      </c>
      <c r="BI79" s="7">
        <f>IF(Y79=VLOOKUP(VALUE(Y$1),Questions!$A:$E,5,FALSE),1,0)</f>
        <v>1</v>
      </c>
      <c r="BJ79" s="7">
        <f>IF(Z79=VLOOKUP(VALUE(Z$1),Questions!$A:$E,5,FALSE),1,0)</f>
        <v>1</v>
      </c>
      <c r="BK79" s="7">
        <f>IF(AA79=VLOOKUP(VALUE(AA$1),Questions!$A:$E,5,FALSE),1,0)</f>
        <v>0</v>
      </c>
      <c r="BL79" s="7">
        <f>IF(AB79=VLOOKUP(VALUE(AB$1),Questions!$A:$E,5,FALSE),1,0)</f>
        <v>0</v>
      </c>
      <c r="BM79" s="7">
        <f>IF(AC79=VLOOKUP(VALUE(AC$1),Questions!$A:$E,5,FALSE),1,0)</f>
        <v>1</v>
      </c>
      <c r="BN79" s="7">
        <f>IF(AD79=VLOOKUP(VALUE(AD$1),Questions!$A:$E,5,FALSE),1,0)</f>
        <v>1</v>
      </c>
      <c r="BO79" s="7">
        <f>IF(AE79=VLOOKUP(VALUE(AE$1),Questions!$A:$E,5,FALSE),1,0)</f>
        <v>0</v>
      </c>
      <c r="BP79" s="7">
        <f>IF(AF79=VLOOKUP(VALUE(AF$1),Questions!$A:$E,5,FALSE),1,0)</f>
        <v>1</v>
      </c>
      <c r="BQ79" s="7">
        <f>IF(AG79=VLOOKUP(VALUE(AG$1),Questions!$A:$E,5,FALSE),1,0)</f>
        <v>1</v>
      </c>
      <c r="BR79" s="7">
        <f>IF(AH79=VLOOKUP(VALUE(AH$1),Questions!$A:$E,5,FALSE),1,0)</f>
        <v>1</v>
      </c>
      <c r="BS79" s="7">
        <f>IF(AI79=VLOOKUP(VALUE(AI$1),Questions!$A:$E,5,FALSE),1,0)</f>
        <v>1</v>
      </c>
    </row>
    <row r="80" spans="1:71">
      <c r="A80" s="10">
        <v>79</v>
      </c>
      <c r="B80" s="14" t="b">
        <v>0</v>
      </c>
      <c r="C80" s="14" t="b">
        <v>0</v>
      </c>
      <c r="D80" s="102">
        <f>SUM(Scores[[#This Row],[Q1]:[Q28]])</f>
        <v>22</v>
      </c>
      <c r="E80" s="103">
        <f>SUM(Scores[[#This Row],[29]:[34b]])</f>
        <v>0</v>
      </c>
      <c r="F80" s="103">
        <f>Scores[[#This Row],[35]]</f>
        <v>0</v>
      </c>
      <c r="G80" s="104">
        <f>INDEX('Conversion Chart'!$C$3:$M$38,MATCH(SUM(Scores[[#This Row],[MC]:[CRQ]]),'Conversion Chart'!$B$3:$B$38,0),MATCH(Scores[[#This Row],[EIE]],'Conversion Chart'!$C$2:$M$2,0))</f>
        <v>57</v>
      </c>
      <c r="H80" s="5">
        <v>4</v>
      </c>
      <c r="I80" s="5">
        <v>3</v>
      </c>
      <c r="J80" s="5">
        <v>1</v>
      </c>
      <c r="K80" s="5">
        <v>2</v>
      </c>
      <c r="L80" s="5">
        <v>1</v>
      </c>
      <c r="M80" s="5">
        <v>4</v>
      </c>
      <c r="N80" s="5">
        <v>3</v>
      </c>
      <c r="O80" s="5">
        <v>1</v>
      </c>
      <c r="P80" s="5">
        <v>1</v>
      </c>
      <c r="Q80" s="5">
        <v>1</v>
      </c>
      <c r="R80" s="5">
        <v>4</v>
      </c>
      <c r="S80" s="5">
        <v>2</v>
      </c>
      <c r="T80" s="5">
        <v>1</v>
      </c>
      <c r="U80" s="5">
        <v>4</v>
      </c>
      <c r="V80" s="5">
        <v>3</v>
      </c>
      <c r="W80" s="5">
        <v>4</v>
      </c>
      <c r="X80" s="5">
        <v>2</v>
      </c>
      <c r="Y80" s="5">
        <v>4</v>
      </c>
      <c r="Z80" s="5">
        <v>1</v>
      </c>
      <c r="AA80" s="5">
        <v>3</v>
      </c>
      <c r="AB80" s="5">
        <v>2</v>
      </c>
      <c r="AC80" s="5">
        <v>3</v>
      </c>
      <c r="AD80" s="5">
        <v>3</v>
      </c>
      <c r="AE80" s="5">
        <v>2</v>
      </c>
      <c r="AF80" s="5">
        <v>4</v>
      </c>
      <c r="AG80" s="5">
        <v>1</v>
      </c>
      <c r="AH80" s="5">
        <v>4</v>
      </c>
      <c r="AI80" s="104">
        <v>1</v>
      </c>
      <c r="AJ80" s="95"/>
      <c r="AK80" s="84"/>
      <c r="AL80" s="84"/>
      <c r="AM80" s="84"/>
      <c r="AN80" s="84"/>
      <c r="AO80" s="84"/>
      <c r="AP80" s="94"/>
      <c r="AR80" s="7">
        <f>IF(H80=VLOOKUP(VALUE(H$1),Questions!$A:$E,5,FALSE),1,0)</f>
        <v>1</v>
      </c>
      <c r="AS80" s="7">
        <f>IF(I80=VLOOKUP(VALUE(I$1),Questions!$A:$E,5,FALSE),1,0)</f>
        <v>1</v>
      </c>
      <c r="AT80" s="7">
        <f>IF(J80=VLOOKUP(VALUE(J$1),Questions!$A:$E,5,FALSE),1,0)</f>
        <v>1</v>
      </c>
      <c r="AU80" s="7">
        <f>IF(K80=VLOOKUP(VALUE(K$1),Questions!$A:$E,5,FALSE),1,0)</f>
        <v>1</v>
      </c>
      <c r="AV80" s="7">
        <f>IF(L80=VLOOKUP(VALUE(L$1),Questions!$A:$E,5,FALSE),1,0)</f>
        <v>0</v>
      </c>
      <c r="AW80" s="7">
        <f>IF(M80=VLOOKUP(VALUE(M$1),Questions!$A:$E,5,FALSE),1,0)</f>
        <v>1</v>
      </c>
      <c r="AX80" s="7">
        <f>IF(N80=VLOOKUP(VALUE(N$1),Questions!$A:$E,5,FALSE),1,0)</f>
        <v>1</v>
      </c>
      <c r="AY80" s="7">
        <f>IF(O80=VLOOKUP(VALUE(O$1),Questions!$A:$E,5,FALSE),1,0)</f>
        <v>1</v>
      </c>
      <c r="AZ80" s="7">
        <f>IF(P80=VLOOKUP(VALUE(P$1),Questions!$A:$E,5,FALSE),1,0)</f>
        <v>1</v>
      </c>
      <c r="BA80" s="7">
        <f>IF(Q80=VLOOKUP(VALUE(Q$1),Questions!$A:$E,5,FALSE),1,0)</f>
        <v>1</v>
      </c>
      <c r="BB80" s="7">
        <f>IF(R80=VLOOKUP(VALUE(R$1),Questions!$A:$E,5,FALSE),1,0)</f>
        <v>1</v>
      </c>
      <c r="BC80" s="7">
        <f>IF(S80=VLOOKUP(VALUE(S$1),Questions!$A:$E,5,FALSE),1,0)</f>
        <v>1</v>
      </c>
      <c r="BD80" s="7">
        <f>IF(T80=VLOOKUP(VALUE(T$1),Questions!$A:$E,5,FALSE),1,0)</f>
        <v>1</v>
      </c>
      <c r="BE80" s="7">
        <f>IF(U80=VLOOKUP(VALUE(U$1),Questions!$A:$E,5,FALSE),1,0)</f>
        <v>1</v>
      </c>
      <c r="BF80" s="7">
        <f>IF(V80=VLOOKUP(VALUE(V$1),Questions!$A:$E,5,FALSE),1,0)</f>
        <v>1</v>
      </c>
      <c r="BG80" s="7">
        <f>IF(W80=VLOOKUP(VALUE(W$1),Questions!$A:$E,5,FALSE),1,0)</f>
        <v>1</v>
      </c>
      <c r="BH80" s="7">
        <f>IF(X80=VLOOKUP(VALUE(X$1),Questions!$A:$E,5,FALSE),1,0)</f>
        <v>1</v>
      </c>
      <c r="BI80" s="7">
        <f>IF(Y80=VLOOKUP(VALUE(Y$1),Questions!$A:$E,5,FALSE),1,0)</f>
        <v>0</v>
      </c>
      <c r="BJ80" s="7">
        <f>IF(Z80=VLOOKUP(VALUE(Z$1),Questions!$A:$E,5,FALSE),1,0)</f>
        <v>0</v>
      </c>
      <c r="BK80" s="7">
        <f>IF(AA80=VLOOKUP(VALUE(AA$1),Questions!$A:$E,5,FALSE),1,0)</f>
        <v>1</v>
      </c>
      <c r="BL80" s="7">
        <f>IF(AB80=VLOOKUP(VALUE(AB$1),Questions!$A:$E,5,FALSE),1,0)</f>
        <v>1</v>
      </c>
      <c r="BM80" s="7">
        <f>IF(AC80=VLOOKUP(VALUE(AC$1),Questions!$A:$E,5,FALSE),1,0)</f>
        <v>0</v>
      </c>
      <c r="BN80" s="7">
        <f>IF(AD80=VLOOKUP(VALUE(AD$1),Questions!$A:$E,5,FALSE),1,0)</f>
        <v>1</v>
      </c>
      <c r="BO80" s="7">
        <f>IF(AE80=VLOOKUP(VALUE(AE$1),Questions!$A:$E,5,FALSE),1,0)</f>
        <v>1</v>
      </c>
      <c r="BP80" s="7">
        <f>IF(AF80=VLOOKUP(VALUE(AF$1),Questions!$A:$E,5,FALSE),1,0)</f>
        <v>1</v>
      </c>
      <c r="BQ80" s="7">
        <f>IF(AG80=VLOOKUP(VALUE(AG$1),Questions!$A:$E,5,FALSE),1,0)</f>
        <v>0</v>
      </c>
      <c r="BR80" s="7">
        <f>IF(AH80=VLOOKUP(VALUE(AH$1),Questions!$A:$E,5,FALSE),1,0)</f>
        <v>0</v>
      </c>
      <c r="BS80" s="7">
        <f>IF(AI80=VLOOKUP(VALUE(AI$1),Questions!$A:$E,5,FALSE),1,0)</f>
        <v>1</v>
      </c>
    </row>
    <row r="81" spans="1:71">
      <c r="A81" s="10">
        <v>80</v>
      </c>
      <c r="B81" s="14" t="b">
        <v>0</v>
      </c>
      <c r="C81" s="14" t="b">
        <v>0</v>
      </c>
      <c r="D81" s="102">
        <f>SUM(Scores[[#This Row],[Q1]:[Q28]])</f>
        <v>22</v>
      </c>
      <c r="E81" s="103">
        <f>SUM(Scores[[#This Row],[29]:[34b]])</f>
        <v>0</v>
      </c>
      <c r="F81" s="103">
        <f>Scores[[#This Row],[35]]</f>
        <v>0</v>
      </c>
      <c r="G81" s="104">
        <f>INDEX('Conversion Chart'!$C$3:$M$38,MATCH(SUM(Scores[[#This Row],[MC]:[CRQ]]),'Conversion Chart'!$B$3:$B$38,0),MATCH(Scores[[#This Row],[EIE]],'Conversion Chart'!$C$2:$M$2,0))</f>
        <v>57</v>
      </c>
      <c r="H81" s="5">
        <v>3</v>
      </c>
      <c r="I81" s="5">
        <v>3</v>
      </c>
      <c r="J81" s="5">
        <v>1</v>
      </c>
      <c r="K81" s="5">
        <v>2</v>
      </c>
      <c r="L81" s="5">
        <v>2</v>
      </c>
      <c r="M81" s="5">
        <v>4</v>
      </c>
      <c r="N81" s="5">
        <v>3</v>
      </c>
      <c r="O81" s="5">
        <v>1</v>
      </c>
      <c r="P81" s="5">
        <v>1</v>
      </c>
      <c r="Q81" s="5">
        <v>1</v>
      </c>
      <c r="R81" s="5">
        <v>4</v>
      </c>
      <c r="S81" s="5">
        <v>2</v>
      </c>
      <c r="T81" s="5">
        <v>1</v>
      </c>
      <c r="U81" s="5">
        <v>4</v>
      </c>
      <c r="V81" s="5">
        <v>3</v>
      </c>
      <c r="W81" s="5">
        <v>4</v>
      </c>
      <c r="X81" s="5">
        <v>2</v>
      </c>
      <c r="Y81" s="5">
        <v>3</v>
      </c>
      <c r="Z81" s="5">
        <v>4</v>
      </c>
      <c r="AA81" s="5">
        <v>4</v>
      </c>
      <c r="AB81" s="5">
        <v>4</v>
      </c>
      <c r="AC81" s="5">
        <v>2</v>
      </c>
      <c r="AD81" s="5">
        <v>3</v>
      </c>
      <c r="AE81" s="5">
        <v>2</v>
      </c>
      <c r="AF81" s="5">
        <v>4</v>
      </c>
      <c r="AG81" s="5">
        <v>3</v>
      </c>
      <c r="AH81" s="5">
        <v>1</v>
      </c>
      <c r="AI81" s="104">
        <v>4</v>
      </c>
      <c r="AJ81" s="95"/>
      <c r="AK81" s="84"/>
      <c r="AL81" s="84"/>
      <c r="AM81" s="84"/>
      <c r="AN81" s="84"/>
      <c r="AO81" s="84"/>
      <c r="AP81" s="94"/>
      <c r="AR81" s="7">
        <f>IF(H81=VLOOKUP(VALUE(H$1),Questions!$A:$E,5,FALSE),1,0)</f>
        <v>0</v>
      </c>
      <c r="AS81" s="7">
        <f>IF(I81=VLOOKUP(VALUE(I$1),Questions!$A:$E,5,FALSE),1,0)</f>
        <v>1</v>
      </c>
      <c r="AT81" s="7">
        <f>IF(J81=VLOOKUP(VALUE(J$1),Questions!$A:$E,5,FALSE),1,0)</f>
        <v>1</v>
      </c>
      <c r="AU81" s="7">
        <f>IF(K81=VLOOKUP(VALUE(K$1),Questions!$A:$E,5,FALSE),1,0)</f>
        <v>1</v>
      </c>
      <c r="AV81" s="7">
        <f>IF(L81=VLOOKUP(VALUE(L$1),Questions!$A:$E,5,FALSE),1,0)</f>
        <v>1</v>
      </c>
      <c r="AW81" s="7">
        <f>IF(M81=VLOOKUP(VALUE(M$1),Questions!$A:$E,5,FALSE),1,0)</f>
        <v>1</v>
      </c>
      <c r="AX81" s="7">
        <f>IF(N81=VLOOKUP(VALUE(N$1),Questions!$A:$E,5,FALSE),1,0)</f>
        <v>1</v>
      </c>
      <c r="AY81" s="7">
        <f>IF(O81=VLOOKUP(VALUE(O$1),Questions!$A:$E,5,FALSE),1,0)</f>
        <v>1</v>
      </c>
      <c r="AZ81" s="7">
        <f>IF(P81=VLOOKUP(VALUE(P$1),Questions!$A:$E,5,FALSE),1,0)</f>
        <v>1</v>
      </c>
      <c r="BA81" s="7">
        <f>IF(Q81=VLOOKUP(VALUE(Q$1),Questions!$A:$E,5,FALSE),1,0)</f>
        <v>1</v>
      </c>
      <c r="BB81" s="7">
        <f>IF(R81=VLOOKUP(VALUE(R$1),Questions!$A:$E,5,FALSE),1,0)</f>
        <v>1</v>
      </c>
      <c r="BC81" s="7">
        <f>IF(S81=VLOOKUP(VALUE(S$1),Questions!$A:$E,5,FALSE),1,0)</f>
        <v>1</v>
      </c>
      <c r="BD81" s="7">
        <f>IF(T81=VLOOKUP(VALUE(T$1),Questions!$A:$E,5,FALSE),1,0)</f>
        <v>1</v>
      </c>
      <c r="BE81" s="7">
        <f>IF(U81=VLOOKUP(VALUE(U$1),Questions!$A:$E,5,FALSE),1,0)</f>
        <v>1</v>
      </c>
      <c r="BF81" s="7">
        <f>IF(V81=VLOOKUP(VALUE(V$1),Questions!$A:$E,5,FALSE),1,0)</f>
        <v>1</v>
      </c>
      <c r="BG81" s="7">
        <f>IF(W81=VLOOKUP(VALUE(W$1),Questions!$A:$E,5,FALSE),1,0)</f>
        <v>1</v>
      </c>
      <c r="BH81" s="7">
        <f>IF(X81=VLOOKUP(VALUE(X$1),Questions!$A:$E,5,FALSE),1,0)</f>
        <v>1</v>
      </c>
      <c r="BI81" s="7">
        <f>IF(Y81=VLOOKUP(VALUE(Y$1),Questions!$A:$E,5,FALSE),1,0)</f>
        <v>1</v>
      </c>
      <c r="BJ81" s="7">
        <f>IF(Z81=VLOOKUP(VALUE(Z$1),Questions!$A:$E,5,FALSE),1,0)</f>
        <v>0</v>
      </c>
      <c r="BK81" s="7">
        <f>IF(AA81=VLOOKUP(VALUE(AA$1),Questions!$A:$E,5,FALSE),1,0)</f>
        <v>0</v>
      </c>
      <c r="BL81" s="7">
        <f>IF(AB81=VLOOKUP(VALUE(AB$1),Questions!$A:$E,5,FALSE),1,0)</f>
        <v>0</v>
      </c>
      <c r="BM81" s="7">
        <f>IF(AC81=VLOOKUP(VALUE(AC$1),Questions!$A:$E,5,FALSE),1,0)</f>
        <v>0</v>
      </c>
      <c r="BN81" s="7">
        <f>IF(AD81=VLOOKUP(VALUE(AD$1),Questions!$A:$E,5,FALSE),1,0)</f>
        <v>1</v>
      </c>
      <c r="BO81" s="7">
        <f>IF(AE81=VLOOKUP(VALUE(AE$1),Questions!$A:$E,5,FALSE),1,0)</f>
        <v>1</v>
      </c>
      <c r="BP81" s="7">
        <f>IF(AF81=VLOOKUP(VALUE(AF$1),Questions!$A:$E,5,FALSE),1,0)</f>
        <v>1</v>
      </c>
      <c r="BQ81" s="7">
        <f>IF(AG81=VLOOKUP(VALUE(AG$1),Questions!$A:$E,5,FALSE),1,0)</f>
        <v>1</v>
      </c>
      <c r="BR81" s="7">
        <f>IF(AH81=VLOOKUP(VALUE(AH$1),Questions!$A:$E,5,FALSE),1,0)</f>
        <v>1</v>
      </c>
      <c r="BS81" s="7">
        <f>IF(AI81=VLOOKUP(VALUE(AI$1),Questions!$A:$E,5,FALSE),1,0)</f>
        <v>0</v>
      </c>
    </row>
    <row r="82" spans="1:71">
      <c r="A82" s="10">
        <v>81</v>
      </c>
      <c r="B82" s="14" t="b">
        <v>0</v>
      </c>
      <c r="C82" s="14" t="b">
        <v>0</v>
      </c>
      <c r="D82" s="102">
        <f>SUM(Scores[[#This Row],[Q1]:[Q28]])</f>
        <v>26</v>
      </c>
      <c r="E82" s="103">
        <f>SUM(Scores[[#This Row],[29]:[34b]])</f>
        <v>0</v>
      </c>
      <c r="F82" s="103">
        <f>Scores[[#This Row],[35]]</f>
        <v>0</v>
      </c>
      <c r="G82" s="104">
        <f>INDEX('Conversion Chart'!$C$3:$M$38,MATCH(SUM(Scores[[#This Row],[MC]:[CRQ]]),'Conversion Chart'!$B$3:$B$38,0),MATCH(Scores[[#This Row],[EIE]],'Conversion Chart'!$C$2:$M$2,0))</f>
        <v>64</v>
      </c>
      <c r="H82" s="5">
        <v>4</v>
      </c>
      <c r="I82" s="5">
        <v>3</v>
      </c>
      <c r="J82" s="5">
        <v>1</v>
      </c>
      <c r="K82" s="5">
        <v>2</v>
      </c>
      <c r="L82" s="5">
        <v>2</v>
      </c>
      <c r="M82" s="5">
        <v>4</v>
      </c>
      <c r="N82" s="5">
        <v>3</v>
      </c>
      <c r="O82" s="5">
        <v>4</v>
      </c>
      <c r="P82" s="5">
        <v>1</v>
      </c>
      <c r="Q82" s="5">
        <v>1</v>
      </c>
      <c r="R82" s="5">
        <v>4</v>
      </c>
      <c r="S82" s="5">
        <v>2</v>
      </c>
      <c r="T82" s="5">
        <v>1</v>
      </c>
      <c r="U82" s="5">
        <v>4</v>
      </c>
      <c r="V82" s="5">
        <v>3</v>
      </c>
      <c r="W82" s="5">
        <v>4</v>
      </c>
      <c r="X82" s="5">
        <v>2</v>
      </c>
      <c r="Y82" s="5">
        <v>3</v>
      </c>
      <c r="Z82" s="5">
        <v>2</v>
      </c>
      <c r="AA82" s="5">
        <v>3</v>
      </c>
      <c r="AB82" s="5">
        <v>2</v>
      </c>
      <c r="AC82" s="5">
        <v>1</v>
      </c>
      <c r="AD82" s="5">
        <v>3</v>
      </c>
      <c r="AE82" s="5">
        <v>2</v>
      </c>
      <c r="AF82" s="5">
        <v>4</v>
      </c>
      <c r="AG82" s="5">
        <v>3</v>
      </c>
      <c r="AH82" s="5">
        <v>4</v>
      </c>
      <c r="AI82" s="104">
        <v>1</v>
      </c>
      <c r="AJ82" s="95"/>
      <c r="AK82" s="84"/>
      <c r="AL82" s="84"/>
      <c r="AM82" s="84"/>
      <c r="AN82" s="84"/>
      <c r="AO82" s="84"/>
      <c r="AP82" s="94"/>
      <c r="AR82" s="7">
        <f>IF(H82=VLOOKUP(VALUE(H$1),Questions!$A:$E,5,FALSE),1,0)</f>
        <v>1</v>
      </c>
      <c r="AS82" s="7">
        <f>IF(I82=VLOOKUP(VALUE(I$1),Questions!$A:$E,5,FALSE),1,0)</f>
        <v>1</v>
      </c>
      <c r="AT82" s="7">
        <f>IF(J82=VLOOKUP(VALUE(J$1),Questions!$A:$E,5,FALSE),1,0)</f>
        <v>1</v>
      </c>
      <c r="AU82" s="7">
        <f>IF(K82=VLOOKUP(VALUE(K$1),Questions!$A:$E,5,FALSE),1,0)</f>
        <v>1</v>
      </c>
      <c r="AV82" s="7">
        <f>IF(L82=VLOOKUP(VALUE(L$1),Questions!$A:$E,5,FALSE),1,0)</f>
        <v>1</v>
      </c>
      <c r="AW82" s="7">
        <f>IF(M82=VLOOKUP(VALUE(M$1),Questions!$A:$E,5,FALSE),1,0)</f>
        <v>1</v>
      </c>
      <c r="AX82" s="7">
        <f>IF(N82=VLOOKUP(VALUE(N$1),Questions!$A:$E,5,FALSE),1,0)</f>
        <v>1</v>
      </c>
      <c r="AY82" s="7">
        <f>IF(O82=VLOOKUP(VALUE(O$1),Questions!$A:$E,5,FALSE),1,0)</f>
        <v>0</v>
      </c>
      <c r="AZ82" s="7">
        <f>IF(P82=VLOOKUP(VALUE(P$1),Questions!$A:$E,5,FALSE),1,0)</f>
        <v>1</v>
      </c>
      <c r="BA82" s="7">
        <f>IF(Q82=VLOOKUP(VALUE(Q$1),Questions!$A:$E,5,FALSE),1,0)</f>
        <v>1</v>
      </c>
      <c r="BB82" s="7">
        <f>IF(R82=VLOOKUP(VALUE(R$1),Questions!$A:$E,5,FALSE),1,0)</f>
        <v>1</v>
      </c>
      <c r="BC82" s="7">
        <f>IF(S82=VLOOKUP(VALUE(S$1),Questions!$A:$E,5,FALSE),1,0)</f>
        <v>1</v>
      </c>
      <c r="BD82" s="7">
        <f>IF(T82=VLOOKUP(VALUE(T$1),Questions!$A:$E,5,FALSE),1,0)</f>
        <v>1</v>
      </c>
      <c r="BE82" s="7">
        <f>IF(U82=VLOOKUP(VALUE(U$1),Questions!$A:$E,5,FALSE),1,0)</f>
        <v>1</v>
      </c>
      <c r="BF82" s="7">
        <f>IF(V82=VLOOKUP(VALUE(V$1),Questions!$A:$E,5,FALSE),1,0)</f>
        <v>1</v>
      </c>
      <c r="BG82" s="7">
        <f>IF(W82=VLOOKUP(VALUE(W$1),Questions!$A:$E,5,FALSE),1,0)</f>
        <v>1</v>
      </c>
      <c r="BH82" s="7">
        <f>IF(X82=VLOOKUP(VALUE(X$1),Questions!$A:$E,5,FALSE),1,0)</f>
        <v>1</v>
      </c>
      <c r="BI82" s="7">
        <f>IF(Y82=VLOOKUP(VALUE(Y$1),Questions!$A:$E,5,FALSE),1,0)</f>
        <v>1</v>
      </c>
      <c r="BJ82" s="7">
        <f>IF(Z82=VLOOKUP(VALUE(Z$1),Questions!$A:$E,5,FALSE),1,0)</f>
        <v>1</v>
      </c>
      <c r="BK82" s="7">
        <f>IF(AA82=VLOOKUP(VALUE(AA$1),Questions!$A:$E,5,FALSE),1,0)</f>
        <v>1</v>
      </c>
      <c r="BL82" s="7">
        <f>IF(AB82=VLOOKUP(VALUE(AB$1),Questions!$A:$E,5,FALSE),1,0)</f>
        <v>1</v>
      </c>
      <c r="BM82" s="7">
        <f>IF(AC82=VLOOKUP(VALUE(AC$1),Questions!$A:$E,5,FALSE),1,0)</f>
        <v>1</v>
      </c>
      <c r="BN82" s="7">
        <f>IF(AD82=VLOOKUP(VALUE(AD$1),Questions!$A:$E,5,FALSE),1,0)</f>
        <v>1</v>
      </c>
      <c r="BO82" s="7">
        <f>IF(AE82=VLOOKUP(VALUE(AE$1),Questions!$A:$E,5,FALSE),1,0)</f>
        <v>1</v>
      </c>
      <c r="BP82" s="7">
        <f>IF(AF82=VLOOKUP(VALUE(AF$1),Questions!$A:$E,5,FALSE),1,0)</f>
        <v>1</v>
      </c>
      <c r="BQ82" s="7">
        <f>IF(AG82=VLOOKUP(VALUE(AG$1),Questions!$A:$E,5,FALSE),1,0)</f>
        <v>1</v>
      </c>
      <c r="BR82" s="7">
        <f>IF(AH82=VLOOKUP(VALUE(AH$1),Questions!$A:$E,5,FALSE),1,0)</f>
        <v>0</v>
      </c>
      <c r="BS82" s="7">
        <f>IF(AI82=VLOOKUP(VALUE(AI$1),Questions!$A:$E,5,FALSE),1,0)</f>
        <v>1</v>
      </c>
    </row>
    <row r="83" spans="1:71">
      <c r="A83" s="10">
        <v>82</v>
      </c>
      <c r="B83" s="14" t="b">
        <v>0</v>
      </c>
      <c r="C83" s="14" t="b">
        <v>0</v>
      </c>
      <c r="D83" s="102">
        <f>SUM(Scores[[#This Row],[Q1]:[Q28]])</f>
        <v>25</v>
      </c>
      <c r="E83" s="103">
        <f>SUM(Scores[[#This Row],[29]:[34b]])</f>
        <v>0</v>
      </c>
      <c r="F83" s="103">
        <f>Scores[[#This Row],[35]]</f>
        <v>0</v>
      </c>
      <c r="G83" s="104">
        <f>INDEX('Conversion Chart'!$C$3:$M$38,MATCH(SUM(Scores[[#This Row],[MC]:[CRQ]]),'Conversion Chart'!$B$3:$B$38,0),MATCH(Scores[[#This Row],[EIE]],'Conversion Chart'!$C$2:$M$2,0))</f>
        <v>63</v>
      </c>
      <c r="H83" s="5">
        <v>4</v>
      </c>
      <c r="I83" s="5">
        <v>3</v>
      </c>
      <c r="J83" s="5">
        <v>1</v>
      </c>
      <c r="K83" s="5">
        <v>3</v>
      </c>
      <c r="L83" s="5">
        <v>2</v>
      </c>
      <c r="M83" s="5">
        <v>4</v>
      </c>
      <c r="N83" s="5">
        <v>3</v>
      </c>
      <c r="O83" s="5">
        <v>1</v>
      </c>
      <c r="P83" s="5">
        <v>1</v>
      </c>
      <c r="Q83" s="5">
        <v>1</v>
      </c>
      <c r="R83" s="5">
        <v>4</v>
      </c>
      <c r="S83" s="5">
        <v>2</v>
      </c>
      <c r="T83" s="5">
        <v>1</v>
      </c>
      <c r="U83" s="5">
        <v>4</v>
      </c>
      <c r="V83" s="5">
        <v>3</v>
      </c>
      <c r="W83" s="5">
        <v>4</v>
      </c>
      <c r="X83" s="5">
        <v>2</v>
      </c>
      <c r="Y83" s="5">
        <v>3</v>
      </c>
      <c r="Z83" s="5">
        <v>4</v>
      </c>
      <c r="AA83" s="5">
        <v>2</v>
      </c>
      <c r="AB83" s="5">
        <v>2</v>
      </c>
      <c r="AC83" s="5">
        <v>1</v>
      </c>
      <c r="AD83" s="5">
        <v>3</v>
      </c>
      <c r="AE83" s="5">
        <v>2</v>
      </c>
      <c r="AF83" s="5">
        <v>4</v>
      </c>
      <c r="AG83" s="5">
        <v>3</v>
      </c>
      <c r="AH83" s="5">
        <v>1</v>
      </c>
      <c r="AI83" s="104">
        <v>1</v>
      </c>
      <c r="AJ83" s="95"/>
      <c r="AK83" s="84"/>
      <c r="AL83" s="84"/>
      <c r="AM83" s="84"/>
      <c r="AN83" s="84"/>
      <c r="AO83" s="84"/>
      <c r="AP83" s="94"/>
      <c r="AR83" s="7">
        <f>IF(H83=VLOOKUP(VALUE(H$1),Questions!$A:$E,5,FALSE),1,0)</f>
        <v>1</v>
      </c>
      <c r="AS83" s="7">
        <f>IF(I83=VLOOKUP(VALUE(I$1),Questions!$A:$E,5,FALSE),1,0)</f>
        <v>1</v>
      </c>
      <c r="AT83" s="7">
        <f>IF(J83=VLOOKUP(VALUE(J$1),Questions!$A:$E,5,FALSE),1,0)</f>
        <v>1</v>
      </c>
      <c r="AU83" s="7">
        <f>IF(K83=VLOOKUP(VALUE(K$1),Questions!$A:$E,5,FALSE),1,0)</f>
        <v>0</v>
      </c>
      <c r="AV83" s="7">
        <f>IF(L83=VLOOKUP(VALUE(L$1),Questions!$A:$E,5,FALSE),1,0)</f>
        <v>1</v>
      </c>
      <c r="AW83" s="7">
        <f>IF(M83=VLOOKUP(VALUE(M$1),Questions!$A:$E,5,FALSE),1,0)</f>
        <v>1</v>
      </c>
      <c r="AX83" s="7">
        <f>IF(N83=VLOOKUP(VALUE(N$1),Questions!$A:$E,5,FALSE),1,0)</f>
        <v>1</v>
      </c>
      <c r="AY83" s="7">
        <f>IF(O83=VLOOKUP(VALUE(O$1),Questions!$A:$E,5,FALSE),1,0)</f>
        <v>1</v>
      </c>
      <c r="AZ83" s="7">
        <f>IF(P83=VLOOKUP(VALUE(P$1),Questions!$A:$E,5,FALSE),1,0)</f>
        <v>1</v>
      </c>
      <c r="BA83" s="7">
        <f>IF(Q83=VLOOKUP(VALUE(Q$1),Questions!$A:$E,5,FALSE),1,0)</f>
        <v>1</v>
      </c>
      <c r="BB83" s="7">
        <f>IF(R83=VLOOKUP(VALUE(R$1),Questions!$A:$E,5,FALSE),1,0)</f>
        <v>1</v>
      </c>
      <c r="BC83" s="7">
        <f>IF(S83=VLOOKUP(VALUE(S$1),Questions!$A:$E,5,FALSE),1,0)</f>
        <v>1</v>
      </c>
      <c r="BD83" s="7">
        <f>IF(T83=VLOOKUP(VALUE(T$1),Questions!$A:$E,5,FALSE),1,0)</f>
        <v>1</v>
      </c>
      <c r="BE83" s="7">
        <f>IF(U83=VLOOKUP(VALUE(U$1),Questions!$A:$E,5,FALSE),1,0)</f>
        <v>1</v>
      </c>
      <c r="BF83" s="7">
        <f>IF(V83=VLOOKUP(VALUE(V$1),Questions!$A:$E,5,FALSE),1,0)</f>
        <v>1</v>
      </c>
      <c r="BG83" s="7">
        <f>IF(W83=VLOOKUP(VALUE(W$1),Questions!$A:$E,5,FALSE),1,0)</f>
        <v>1</v>
      </c>
      <c r="BH83" s="7">
        <f>IF(X83=VLOOKUP(VALUE(X$1),Questions!$A:$E,5,FALSE),1,0)</f>
        <v>1</v>
      </c>
      <c r="BI83" s="7">
        <f>IF(Y83=VLOOKUP(VALUE(Y$1),Questions!$A:$E,5,FALSE),1,0)</f>
        <v>1</v>
      </c>
      <c r="BJ83" s="7">
        <f>IF(Z83=VLOOKUP(VALUE(Z$1),Questions!$A:$E,5,FALSE),1,0)</f>
        <v>0</v>
      </c>
      <c r="BK83" s="7">
        <f>IF(AA83=VLOOKUP(VALUE(AA$1),Questions!$A:$E,5,FALSE),1,0)</f>
        <v>0</v>
      </c>
      <c r="BL83" s="7">
        <f>IF(AB83=VLOOKUP(VALUE(AB$1),Questions!$A:$E,5,FALSE),1,0)</f>
        <v>1</v>
      </c>
      <c r="BM83" s="7">
        <f>IF(AC83=VLOOKUP(VALUE(AC$1),Questions!$A:$E,5,FALSE),1,0)</f>
        <v>1</v>
      </c>
      <c r="BN83" s="7">
        <f>IF(AD83=VLOOKUP(VALUE(AD$1),Questions!$A:$E,5,FALSE),1,0)</f>
        <v>1</v>
      </c>
      <c r="BO83" s="7">
        <f>IF(AE83=VLOOKUP(VALUE(AE$1),Questions!$A:$E,5,FALSE),1,0)</f>
        <v>1</v>
      </c>
      <c r="BP83" s="7">
        <f>IF(AF83=VLOOKUP(VALUE(AF$1),Questions!$A:$E,5,FALSE),1,0)</f>
        <v>1</v>
      </c>
      <c r="BQ83" s="7">
        <f>IF(AG83=VLOOKUP(VALUE(AG$1),Questions!$A:$E,5,FALSE),1,0)</f>
        <v>1</v>
      </c>
      <c r="BR83" s="7">
        <f>IF(AH83=VLOOKUP(VALUE(AH$1),Questions!$A:$E,5,FALSE),1,0)</f>
        <v>1</v>
      </c>
      <c r="BS83" s="7">
        <f>IF(AI83=VLOOKUP(VALUE(AI$1),Questions!$A:$E,5,FALSE),1,0)</f>
        <v>1</v>
      </c>
    </row>
    <row r="84" spans="1:71">
      <c r="A84" s="10">
        <v>83</v>
      </c>
      <c r="B84" s="14" t="b">
        <v>0</v>
      </c>
      <c r="C84" s="14" t="b">
        <v>0</v>
      </c>
      <c r="D84" s="102">
        <f>SUM(Scores[[#This Row],[Q1]:[Q28]])</f>
        <v>16</v>
      </c>
      <c r="E84" s="103">
        <f>SUM(Scores[[#This Row],[29]:[34b]])</f>
        <v>0</v>
      </c>
      <c r="F84" s="103">
        <f>Scores[[#This Row],[35]]</f>
        <v>0</v>
      </c>
      <c r="G84" s="104">
        <f>INDEX('Conversion Chart'!$C$3:$M$38,MATCH(SUM(Scores[[#This Row],[MC]:[CRQ]]),'Conversion Chart'!$B$3:$B$38,0),MATCH(Scores[[#This Row],[EIE]],'Conversion Chart'!$C$2:$M$2,0))</f>
        <v>45</v>
      </c>
      <c r="H84" s="5">
        <v>4</v>
      </c>
      <c r="I84" s="5">
        <v>3</v>
      </c>
      <c r="J84" s="5">
        <v>1</v>
      </c>
      <c r="K84" s="5">
        <v>2</v>
      </c>
      <c r="L84" s="5">
        <v>1</v>
      </c>
      <c r="M84" s="5">
        <v>3</v>
      </c>
      <c r="N84" s="5">
        <v>1</v>
      </c>
      <c r="O84" s="5">
        <v>3</v>
      </c>
      <c r="P84" s="5">
        <v>1</v>
      </c>
      <c r="Q84" s="5">
        <v>1</v>
      </c>
      <c r="R84" s="5">
        <v>4</v>
      </c>
      <c r="S84" s="5">
        <v>2</v>
      </c>
      <c r="T84" s="5">
        <v>4</v>
      </c>
      <c r="U84" s="5">
        <v>3</v>
      </c>
      <c r="V84" s="5">
        <v>1</v>
      </c>
      <c r="W84" s="5">
        <v>4</v>
      </c>
      <c r="X84" s="5">
        <v>2</v>
      </c>
      <c r="Y84" s="5">
        <v>3</v>
      </c>
      <c r="Z84" s="5">
        <v>2</v>
      </c>
      <c r="AA84" s="5">
        <v>4</v>
      </c>
      <c r="AB84" s="5">
        <v>4</v>
      </c>
      <c r="AC84" s="5">
        <v>2</v>
      </c>
      <c r="AD84" s="5">
        <v>3</v>
      </c>
      <c r="AE84" s="5">
        <v>1</v>
      </c>
      <c r="AF84" s="5">
        <v>4</v>
      </c>
      <c r="AG84" s="5">
        <v>2</v>
      </c>
      <c r="AH84" s="5">
        <v>1</v>
      </c>
      <c r="AI84" s="104">
        <v>1</v>
      </c>
      <c r="AJ84" s="95"/>
      <c r="AK84" s="84"/>
      <c r="AL84" s="84"/>
      <c r="AM84" s="84"/>
      <c r="AN84" s="84"/>
      <c r="AO84" s="84"/>
      <c r="AP84" s="94"/>
      <c r="AR84" s="7">
        <f>IF(H84=VLOOKUP(VALUE(H$1),Questions!$A:$E,5,FALSE),1,0)</f>
        <v>1</v>
      </c>
      <c r="AS84" s="7">
        <f>IF(I84=VLOOKUP(VALUE(I$1),Questions!$A:$E,5,FALSE),1,0)</f>
        <v>1</v>
      </c>
      <c r="AT84" s="7">
        <f>IF(J84=VLOOKUP(VALUE(J$1),Questions!$A:$E,5,FALSE),1,0)</f>
        <v>1</v>
      </c>
      <c r="AU84" s="7">
        <f>IF(K84=VLOOKUP(VALUE(K$1),Questions!$A:$E,5,FALSE),1,0)</f>
        <v>1</v>
      </c>
      <c r="AV84" s="7">
        <f>IF(L84=VLOOKUP(VALUE(L$1),Questions!$A:$E,5,FALSE),1,0)</f>
        <v>0</v>
      </c>
      <c r="AW84" s="7">
        <f>IF(M84=VLOOKUP(VALUE(M$1),Questions!$A:$E,5,FALSE),1,0)</f>
        <v>0</v>
      </c>
      <c r="AX84" s="7">
        <f>IF(N84=VLOOKUP(VALUE(N$1),Questions!$A:$E,5,FALSE),1,0)</f>
        <v>0</v>
      </c>
      <c r="AY84" s="7">
        <f>IF(O84=VLOOKUP(VALUE(O$1),Questions!$A:$E,5,FALSE),1,0)</f>
        <v>0</v>
      </c>
      <c r="AZ84" s="7">
        <f>IF(P84=VLOOKUP(VALUE(P$1),Questions!$A:$E,5,FALSE),1,0)</f>
        <v>1</v>
      </c>
      <c r="BA84" s="7">
        <f>IF(Q84=VLOOKUP(VALUE(Q$1),Questions!$A:$E,5,FALSE),1,0)</f>
        <v>1</v>
      </c>
      <c r="BB84" s="7">
        <f>IF(R84=VLOOKUP(VALUE(R$1),Questions!$A:$E,5,FALSE),1,0)</f>
        <v>1</v>
      </c>
      <c r="BC84" s="7">
        <f>IF(S84=VLOOKUP(VALUE(S$1),Questions!$A:$E,5,FALSE),1,0)</f>
        <v>1</v>
      </c>
      <c r="BD84" s="7">
        <f>IF(T84=VLOOKUP(VALUE(T$1),Questions!$A:$E,5,FALSE),1,0)</f>
        <v>0</v>
      </c>
      <c r="BE84" s="7">
        <f>IF(U84=VLOOKUP(VALUE(U$1),Questions!$A:$E,5,FALSE),1,0)</f>
        <v>0</v>
      </c>
      <c r="BF84" s="7">
        <f>IF(V84=VLOOKUP(VALUE(V$1),Questions!$A:$E,5,FALSE),1,0)</f>
        <v>0</v>
      </c>
      <c r="BG84" s="7">
        <f>IF(W84=VLOOKUP(VALUE(W$1),Questions!$A:$E,5,FALSE),1,0)</f>
        <v>1</v>
      </c>
      <c r="BH84" s="7">
        <f>IF(X84=VLOOKUP(VALUE(X$1),Questions!$A:$E,5,FALSE),1,0)</f>
        <v>1</v>
      </c>
      <c r="BI84" s="7">
        <f>IF(Y84=VLOOKUP(VALUE(Y$1),Questions!$A:$E,5,FALSE),1,0)</f>
        <v>1</v>
      </c>
      <c r="BJ84" s="7">
        <f>IF(Z84=VLOOKUP(VALUE(Z$1),Questions!$A:$E,5,FALSE),1,0)</f>
        <v>1</v>
      </c>
      <c r="BK84" s="7">
        <f>IF(AA84=VLOOKUP(VALUE(AA$1),Questions!$A:$E,5,FALSE),1,0)</f>
        <v>0</v>
      </c>
      <c r="BL84" s="7">
        <f>IF(AB84=VLOOKUP(VALUE(AB$1),Questions!$A:$E,5,FALSE),1,0)</f>
        <v>0</v>
      </c>
      <c r="BM84" s="7">
        <f>IF(AC84=VLOOKUP(VALUE(AC$1),Questions!$A:$E,5,FALSE),1,0)</f>
        <v>0</v>
      </c>
      <c r="BN84" s="7">
        <f>IF(AD84=VLOOKUP(VALUE(AD$1),Questions!$A:$E,5,FALSE),1,0)</f>
        <v>1</v>
      </c>
      <c r="BO84" s="7">
        <f>IF(AE84=VLOOKUP(VALUE(AE$1),Questions!$A:$E,5,FALSE),1,0)</f>
        <v>0</v>
      </c>
      <c r="BP84" s="7">
        <f>IF(AF84=VLOOKUP(VALUE(AF$1),Questions!$A:$E,5,FALSE),1,0)</f>
        <v>1</v>
      </c>
      <c r="BQ84" s="7">
        <f>IF(AG84=VLOOKUP(VALUE(AG$1),Questions!$A:$E,5,FALSE),1,0)</f>
        <v>0</v>
      </c>
      <c r="BR84" s="7">
        <f>IF(AH84=VLOOKUP(VALUE(AH$1),Questions!$A:$E,5,FALSE),1,0)</f>
        <v>1</v>
      </c>
      <c r="BS84" s="7">
        <f>IF(AI84=VLOOKUP(VALUE(AI$1),Questions!$A:$E,5,FALSE),1,0)</f>
        <v>1</v>
      </c>
    </row>
    <row r="85" spans="1:71">
      <c r="A85" s="10">
        <v>84</v>
      </c>
      <c r="B85" s="14" t="b">
        <v>0</v>
      </c>
      <c r="C85" s="14" t="b">
        <v>0</v>
      </c>
      <c r="D85" s="102">
        <f>SUM(Scores[[#This Row],[Q1]:[Q28]])</f>
        <v>17</v>
      </c>
      <c r="E85" s="103">
        <f>SUM(Scores[[#This Row],[29]:[34b]])</f>
        <v>0</v>
      </c>
      <c r="F85" s="103">
        <f>Scores[[#This Row],[35]]</f>
        <v>0</v>
      </c>
      <c r="G85" s="104">
        <f>INDEX('Conversion Chart'!$C$3:$M$38,MATCH(SUM(Scores[[#This Row],[MC]:[CRQ]]),'Conversion Chart'!$B$3:$B$38,0),MATCH(Scores[[#This Row],[EIE]],'Conversion Chart'!$C$2:$M$2,0))</f>
        <v>47</v>
      </c>
      <c r="H85" s="5">
        <v>4</v>
      </c>
      <c r="I85" s="5">
        <v>3</v>
      </c>
      <c r="J85" s="5">
        <v>1</v>
      </c>
      <c r="K85" s="5">
        <v>2</v>
      </c>
      <c r="L85" s="5">
        <v>2</v>
      </c>
      <c r="M85" s="5">
        <v>4</v>
      </c>
      <c r="N85" s="5">
        <v>3</v>
      </c>
      <c r="O85" s="5">
        <v>1</v>
      </c>
      <c r="P85" s="5">
        <v>4</v>
      </c>
      <c r="Q85" s="5">
        <v>3</v>
      </c>
      <c r="R85" s="5">
        <v>4</v>
      </c>
      <c r="S85" s="5">
        <v>4</v>
      </c>
      <c r="T85" s="5">
        <v>1</v>
      </c>
      <c r="U85" s="5">
        <v>2</v>
      </c>
      <c r="V85" s="5">
        <v>3</v>
      </c>
      <c r="W85" s="5">
        <v>4</v>
      </c>
      <c r="X85" s="5">
        <v>1</v>
      </c>
      <c r="Y85" s="5">
        <v>3</v>
      </c>
      <c r="Z85" s="5">
        <v>1</v>
      </c>
      <c r="AA85" s="5">
        <v>4</v>
      </c>
      <c r="AB85" s="5">
        <v>4</v>
      </c>
      <c r="AC85" s="5">
        <v>1</v>
      </c>
      <c r="AD85" s="5">
        <v>3</v>
      </c>
      <c r="AE85" s="5">
        <v>2</v>
      </c>
      <c r="AF85" s="5">
        <v>4</v>
      </c>
      <c r="AG85" s="5">
        <v>2</v>
      </c>
      <c r="AH85" s="5">
        <v>4</v>
      </c>
      <c r="AI85" s="104">
        <v>4</v>
      </c>
      <c r="AJ85" s="95"/>
      <c r="AK85" s="84"/>
      <c r="AL85" s="84"/>
      <c r="AM85" s="84"/>
      <c r="AN85" s="84"/>
      <c r="AO85" s="84"/>
      <c r="AP85" s="94"/>
      <c r="AR85" s="7">
        <f>IF(H85=VLOOKUP(VALUE(H$1),Questions!$A:$E,5,FALSE),1,0)</f>
        <v>1</v>
      </c>
      <c r="AS85" s="7">
        <f>IF(I85=VLOOKUP(VALUE(I$1),Questions!$A:$E,5,FALSE),1,0)</f>
        <v>1</v>
      </c>
      <c r="AT85" s="7">
        <f>IF(J85=VLOOKUP(VALUE(J$1),Questions!$A:$E,5,FALSE),1,0)</f>
        <v>1</v>
      </c>
      <c r="AU85" s="7">
        <f>IF(K85=VLOOKUP(VALUE(K$1),Questions!$A:$E,5,FALSE),1,0)</f>
        <v>1</v>
      </c>
      <c r="AV85" s="7">
        <f>IF(L85=VLOOKUP(VALUE(L$1),Questions!$A:$E,5,FALSE),1,0)</f>
        <v>1</v>
      </c>
      <c r="AW85" s="7">
        <f>IF(M85=VLOOKUP(VALUE(M$1),Questions!$A:$E,5,FALSE),1,0)</f>
        <v>1</v>
      </c>
      <c r="AX85" s="7">
        <f>IF(N85=VLOOKUP(VALUE(N$1),Questions!$A:$E,5,FALSE),1,0)</f>
        <v>1</v>
      </c>
      <c r="AY85" s="7">
        <f>IF(O85=VLOOKUP(VALUE(O$1),Questions!$A:$E,5,FALSE),1,0)</f>
        <v>1</v>
      </c>
      <c r="AZ85" s="7">
        <f>IF(P85=VLOOKUP(VALUE(P$1),Questions!$A:$E,5,FALSE),1,0)</f>
        <v>0</v>
      </c>
      <c r="BA85" s="7">
        <f>IF(Q85=VLOOKUP(VALUE(Q$1),Questions!$A:$E,5,FALSE),1,0)</f>
        <v>0</v>
      </c>
      <c r="BB85" s="7">
        <f>IF(R85=VLOOKUP(VALUE(R$1),Questions!$A:$E,5,FALSE),1,0)</f>
        <v>1</v>
      </c>
      <c r="BC85" s="7">
        <f>IF(S85=VLOOKUP(VALUE(S$1),Questions!$A:$E,5,FALSE),1,0)</f>
        <v>0</v>
      </c>
      <c r="BD85" s="7">
        <f>IF(T85=VLOOKUP(VALUE(T$1),Questions!$A:$E,5,FALSE),1,0)</f>
        <v>1</v>
      </c>
      <c r="BE85" s="7">
        <f>IF(U85=VLOOKUP(VALUE(U$1),Questions!$A:$E,5,FALSE),1,0)</f>
        <v>0</v>
      </c>
      <c r="BF85" s="7">
        <f>IF(V85=VLOOKUP(VALUE(V$1),Questions!$A:$E,5,FALSE),1,0)</f>
        <v>1</v>
      </c>
      <c r="BG85" s="7">
        <f>IF(W85=VLOOKUP(VALUE(W$1),Questions!$A:$E,5,FALSE),1,0)</f>
        <v>1</v>
      </c>
      <c r="BH85" s="7">
        <f>IF(X85=VLOOKUP(VALUE(X$1),Questions!$A:$E,5,FALSE),1,0)</f>
        <v>0</v>
      </c>
      <c r="BI85" s="7">
        <f>IF(Y85=VLOOKUP(VALUE(Y$1),Questions!$A:$E,5,FALSE),1,0)</f>
        <v>1</v>
      </c>
      <c r="BJ85" s="7">
        <f>IF(Z85=VLOOKUP(VALUE(Z$1),Questions!$A:$E,5,FALSE),1,0)</f>
        <v>0</v>
      </c>
      <c r="BK85" s="7">
        <f>IF(AA85=VLOOKUP(VALUE(AA$1),Questions!$A:$E,5,FALSE),1,0)</f>
        <v>0</v>
      </c>
      <c r="BL85" s="7">
        <f>IF(AB85=VLOOKUP(VALUE(AB$1),Questions!$A:$E,5,FALSE),1,0)</f>
        <v>0</v>
      </c>
      <c r="BM85" s="7">
        <f>IF(AC85=VLOOKUP(VALUE(AC$1),Questions!$A:$E,5,FALSE),1,0)</f>
        <v>1</v>
      </c>
      <c r="BN85" s="7">
        <f>IF(AD85=VLOOKUP(VALUE(AD$1),Questions!$A:$E,5,FALSE),1,0)</f>
        <v>1</v>
      </c>
      <c r="BO85" s="7">
        <f>IF(AE85=VLOOKUP(VALUE(AE$1),Questions!$A:$E,5,FALSE),1,0)</f>
        <v>1</v>
      </c>
      <c r="BP85" s="7">
        <f>IF(AF85=VLOOKUP(VALUE(AF$1),Questions!$A:$E,5,FALSE),1,0)</f>
        <v>1</v>
      </c>
      <c r="BQ85" s="7">
        <f>IF(AG85=VLOOKUP(VALUE(AG$1),Questions!$A:$E,5,FALSE),1,0)</f>
        <v>0</v>
      </c>
      <c r="BR85" s="7">
        <f>IF(AH85=VLOOKUP(VALUE(AH$1),Questions!$A:$E,5,FALSE),1,0)</f>
        <v>0</v>
      </c>
      <c r="BS85" s="7">
        <f>IF(AI85=VLOOKUP(VALUE(AI$1),Questions!$A:$E,5,FALSE),1,0)</f>
        <v>0</v>
      </c>
    </row>
    <row r="86" spans="1:71">
      <c r="A86" s="10">
        <v>85</v>
      </c>
      <c r="B86" s="14" t="b">
        <v>0</v>
      </c>
      <c r="C86" s="14" t="b">
        <v>0</v>
      </c>
      <c r="D86" s="102">
        <f>SUM(Scores[[#This Row],[Q1]:[Q28]])</f>
        <v>15</v>
      </c>
      <c r="E86" s="103">
        <f>SUM(Scores[[#This Row],[29]:[34b]])</f>
        <v>0</v>
      </c>
      <c r="F86" s="103">
        <f>Scores[[#This Row],[35]]</f>
        <v>0</v>
      </c>
      <c r="G86" s="104">
        <f>INDEX('Conversion Chart'!$C$3:$M$38,MATCH(SUM(Scores[[#This Row],[MC]:[CRQ]]),'Conversion Chart'!$B$3:$B$38,0),MATCH(Scores[[#This Row],[EIE]],'Conversion Chart'!$C$2:$M$2,0))</f>
        <v>42</v>
      </c>
      <c r="H86" s="5">
        <v>3</v>
      </c>
      <c r="I86" s="5">
        <v>3</v>
      </c>
      <c r="J86" s="5">
        <v>1</v>
      </c>
      <c r="K86" s="5">
        <v>2</v>
      </c>
      <c r="L86" s="5">
        <v>2</v>
      </c>
      <c r="M86" s="5">
        <v>4</v>
      </c>
      <c r="N86" s="5">
        <v>3</v>
      </c>
      <c r="O86" s="5">
        <v>1</v>
      </c>
      <c r="P86" s="5">
        <v>1</v>
      </c>
      <c r="Q86" s="5">
        <v>1</v>
      </c>
      <c r="R86" s="5">
        <v>4</v>
      </c>
      <c r="S86" s="5">
        <v>4</v>
      </c>
      <c r="T86" s="5">
        <v>1</v>
      </c>
      <c r="U86" s="5">
        <v>1</v>
      </c>
      <c r="V86" s="5">
        <v>4</v>
      </c>
      <c r="W86" s="5">
        <v>4</v>
      </c>
      <c r="X86" s="5">
        <v>1</v>
      </c>
      <c r="Y86" s="5">
        <v>2</v>
      </c>
      <c r="Z86" s="5">
        <v>3</v>
      </c>
      <c r="AA86" s="5">
        <v>3</v>
      </c>
      <c r="AB86" s="5">
        <v>2</v>
      </c>
      <c r="AC86" s="5">
        <v>3</v>
      </c>
      <c r="AD86" s="5">
        <v>4</v>
      </c>
      <c r="AE86" s="5">
        <v>3</v>
      </c>
      <c r="AF86" s="5">
        <v>4</v>
      </c>
      <c r="AG86" s="5">
        <v>2</v>
      </c>
      <c r="AH86" s="5">
        <v>2</v>
      </c>
      <c r="AI86" s="104">
        <v>2</v>
      </c>
      <c r="AJ86" s="95"/>
      <c r="AK86" s="84"/>
      <c r="AL86" s="84"/>
      <c r="AM86" s="84"/>
      <c r="AN86" s="84"/>
      <c r="AO86" s="84"/>
      <c r="AP86" s="94"/>
      <c r="AR86" s="7">
        <f>IF(H86=VLOOKUP(VALUE(H$1),Questions!$A:$E,5,FALSE),1,0)</f>
        <v>0</v>
      </c>
      <c r="AS86" s="7">
        <f>IF(I86=VLOOKUP(VALUE(I$1),Questions!$A:$E,5,FALSE),1,0)</f>
        <v>1</v>
      </c>
      <c r="AT86" s="7">
        <f>IF(J86=VLOOKUP(VALUE(J$1),Questions!$A:$E,5,FALSE),1,0)</f>
        <v>1</v>
      </c>
      <c r="AU86" s="7">
        <f>IF(K86=VLOOKUP(VALUE(K$1),Questions!$A:$E,5,FALSE),1,0)</f>
        <v>1</v>
      </c>
      <c r="AV86" s="7">
        <f>IF(L86=VLOOKUP(VALUE(L$1),Questions!$A:$E,5,FALSE),1,0)</f>
        <v>1</v>
      </c>
      <c r="AW86" s="7">
        <f>IF(M86=VLOOKUP(VALUE(M$1),Questions!$A:$E,5,FALSE),1,0)</f>
        <v>1</v>
      </c>
      <c r="AX86" s="7">
        <f>IF(N86=VLOOKUP(VALUE(N$1),Questions!$A:$E,5,FALSE),1,0)</f>
        <v>1</v>
      </c>
      <c r="AY86" s="7">
        <f>IF(O86=VLOOKUP(VALUE(O$1),Questions!$A:$E,5,FALSE),1,0)</f>
        <v>1</v>
      </c>
      <c r="AZ86" s="7">
        <f>IF(P86=VLOOKUP(VALUE(P$1),Questions!$A:$E,5,FALSE),1,0)</f>
        <v>1</v>
      </c>
      <c r="BA86" s="7">
        <f>IF(Q86=VLOOKUP(VALUE(Q$1),Questions!$A:$E,5,FALSE),1,0)</f>
        <v>1</v>
      </c>
      <c r="BB86" s="7">
        <f>IF(R86=VLOOKUP(VALUE(R$1),Questions!$A:$E,5,FALSE),1,0)</f>
        <v>1</v>
      </c>
      <c r="BC86" s="7">
        <f>IF(S86=VLOOKUP(VALUE(S$1),Questions!$A:$E,5,FALSE),1,0)</f>
        <v>0</v>
      </c>
      <c r="BD86" s="7">
        <f>IF(T86=VLOOKUP(VALUE(T$1),Questions!$A:$E,5,FALSE),1,0)</f>
        <v>1</v>
      </c>
      <c r="BE86" s="7">
        <f>IF(U86=VLOOKUP(VALUE(U$1),Questions!$A:$E,5,FALSE),1,0)</f>
        <v>0</v>
      </c>
      <c r="BF86" s="7">
        <f>IF(V86=VLOOKUP(VALUE(V$1),Questions!$A:$E,5,FALSE),1,0)</f>
        <v>0</v>
      </c>
      <c r="BG86" s="7">
        <f>IF(W86=VLOOKUP(VALUE(W$1),Questions!$A:$E,5,FALSE),1,0)</f>
        <v>1</v>
      </c>
      <c r="BH86" s="7">
        <f>IF(X86=VLOOKUP(VALUE(X$1),Questions!$A:$E,5,FALSE),1,0)</f>
        <v>0</v>
      </c>
      <c r="BI86" s="7">
        <f>IF(Y86=VLOOKUP(VALUE(Y$1),Questions!$A:$E,5,FALSE),1,0)</f>
        <v>0</v>
      </c>
      <c r="BJ86" s="7">
        <f>IF(Z86=VLOOKUP(VALUE(Z$1),Questions!$A:$E,5,FALSE),1,0)</f>
        <v>0</v>
      </c>
      <c r="BK86" s="7">
        <f>IF(AA86=VLOOKUP(VALUE(AA$1),Questions!$A:$E,5,FALSE),1,0)</f>
        <v>1</v>
      </c>
      <c r="BL86" s="7">
        <f>IF(AB86=VLOOKUP(VALUE(AB$1),Questions!$A:$E,5,FALSE),1,0)</f>
        <v>1</v>
      </c>
      <c r="BM86" s="7">
        <f>IF(AC86=VLOOKUP(VALUE(AC$1),Questions!$A:$E,5,FALSE),1,0)</f>
        <v>0</v>
      </c>
      <c r="BN86" s="7">
        <f>IF(AD86=VLOOKUP(VALUE(AD$1),Questions!$A:$E,5,FALSE),1,0)</f>
        <v>0</v>
      </c>
      <c r="BO86" s="7">
        <f>IF(AE86=VLOOKUP(VALUE(AE$1),Questions!$A:$E,5,FALSE),1,0)</f>
        <v>0</v>
      </c>
      <c r="BP86" s="7">
        <f>IF(AF86=VLOOKUP(VALUE(AF$1),Questions!$A:$E,5,FALSE),1,0)</f>
        <v>1</v>
      </c>
      <c r="BQ86" s="7">
        <f>IF(AG86=VLOOKUP(VALUE(AG$1),Questions!$A:$E,5,FALSE),1,0)</f>
        <v>0</v>
      </c>
      <c r="BR86" s="7">
        <f>IF(AH86=VLOOKUP(VALUE(AH$1),Questions!$A:$E,5,FALSE),1,0)</f>
        <v>0</v>
      </c>
      <c r="BS86" s="7">
        <f>IF(AI86=VLOOKUP(VALUE(AI$1),Questions!$A:$E,5,FALSE),1,0)</f>
        <v>0</v>
      </c>
    </row>
    <row r="87" spans="1:71">
      <c r="A87" s="10">
        <v>86</v>
      </c>
      <c r="B87" s="14" t="b">
        <v>0</v>
      </c>
      <c r="C87" s="14" t="b">
        <v>0</v>
      </c>
      <c r="D87" s="102">
        <f>SUM(Scores[[#This Row],[Q1]:[Q28]])</f>
        <v>20</v>
      </c>
      <c r="E87" s="103">
        <f>SUM(Scores[[#This Row],[29]:[34b]])</f>
        <v>0</v>
      </c>
      <c r="F87" s="103">
        <f>Scores[[#This Row],[35]]</f>
        <v>0</v>
      </c>
      <c r="G87" s="104">
        <f>INDEX('Conversion Chart'!$C$3:$M$38,MATCH(SUM(Scores[[#This Row],[MC]:[CRQ]]),'Conversion Chart'!$B$3:$B$38,0),MATCH(Scores[[#This Row],[EIE]],'Conversion Chart'!$C$2:$M$2,0))</f>
        <v>53</v>
      </c>
      <c r="H87" s="5">
        <v>4</v>
      </c>
      <c r="I87" s="5">
        <v>3</v>
      </c>
      <c r="J87" s="5">
        <v>1</v>
      </c>
      <c r="K87" s="5">
        <v>2</v>
      </c>
      <c r="L87" s="5">
        <v>1</v>
      </c>
      <c r="M87" s="5">
        <v>4</v>
      </c>
      <c r="N87" s="5">
        <v>1</v>
      </c>
      <c r="O87" s="5">
        <v>1</v>
      </c>
      <c r="P87" s="5">
        <v>4</v>
      </c>
      <c r="Q87" s="5">
        <v>3</v>
      </c>
      <c r="R87" s="5">
        <v>4</v>
      </c>
      <c r="S87" s="5">
        <v>2</v>
      </c>
      <c r="T87" s="5">
        <v>1</v>
      </c>
      <c r="U87" s="5">
        <v>4</v>
      </c>
      <c r="V87" s="5">
        <v>3</v>
      </c>
      <c r="W87" s="5">
        <v>4</v>
      </c>
      <c r="X87" s="5">
        <v>2</v>
      </c>
      <c r="Y87" s="5">
        <v>1</v>
      </c>
      <c r="Z87" s="5">
        <v>1</v>
      </c>
      <c r="AA87" s="5">
        <v>4</v>
      </c>
      <c r="AB87" s="5">
        <v>2</v>
      </c>
      <c r="AC87" s="5">
        <v>1</v>
      </c>
      <c r="AD87" s="5">
        <v>2</v>
      </c>
      <c r="AE87" s="5">
        <v>2</v>
      </c>
      <c r="AF87" s="5">
        <v>4</v>
      </c>
      <c r="AG87" s="5">
        <v>3</v>
      </c>
      <c r="AH87" s="5">
        <v>1</v>
      </c>
      <c r="AI87" s="104">
        <v>1</v>
      </c>
      <c r="AJ87" s="95"/>
      <c r="AK87" s="84"/>
      <c r="AL87" s="84"/>
      <c r="AM87" s="84"/>
      <c r="AN87" s="84"/>
      <c r="AO87" s="84"/>
      <c r="AP87" s="94"/>
      <c r="AR87" s="7">
        <f>IF(H87=VLOOKUP(VALUE(H$1),Questions!$A:$E,5,FALSE),1,0)</f>
        <v>1</v>
      </c>
      <c r="AS87" s="7">
        <f>IF(I87=VLOOKUP(VALUE(I$1),Questions!$A:$E,5,FALSE),1,0)</f>
        <v>1</v>
      </c>
      <c r="AT87" s="7">
        <f>IF(J87=VLOOKUP(VALUE(J$1),Questions!$A:$E,5,FALSE),1,0)</f>
        <v>1</v>
      </c>
      <c r="AU87" s="7">
        <f>IF(K87=VLOOKUP(VALUE(K$1),Questions!$A:$E,5,FALSE),1,0)</f>
        <v>1</v>
      </c>
      <c r="AV87" s="7">
        <f>IF(L87=VLOOKUP(VALUE(L$1),Questions!$A:$E,5,FALSE),1,0)</f>
        <v>0</v>
      </c>
      <c r="AW87" s="7">
        <f>IF(M87=VLOOKUP(VALUE(M$1),Questions!$A:$E,5,FALSE),1,0)</f>
        <v>1</v>
      </c>
      <c r="AX87" s="7">
        <f>IF(N87=VLOOKUP(VALUE(N$1),Questions!$A:$E,5,FALSE),1,0)</f>
        <v>0</v>
      </c>
      <c r="AY87" s="7">
        <f>IF(O87=VLOOKUP(VALUE(O$1),Questions!$A:$E,5,FALSE),1,0)</f>
        <v>1</v>
      </c>
      <c r="AZ87" s="7">
        <f>IF(P87=VLOOKUP(VALUE(P$1),Questions!$A:$E,5,FALSE),1,0)</f>
        <v>0</v>
      </c>
      <c r="BA87" s="7">
        <f>IF(Q87=VLOOKUP(VALUE(Q$1),Questions!$A:$E,5,FALSE),1,0)</f>
        <v>0</v>
      </c>
      <c r="BB87" s="7">
        <f>IF(R87=VLOOKUP(VALUE(R$1),Questions!$A:$E,5,FALSE),1,0)</f>
        <v>1</v>
      </c>
      <c r="BC87" s="7">
        <f>IF(S87=VLOOKUP(VALUE(S$1),Questions!$A:$E,5,FALSE),1,0)</f>
        <v>1</v>
      </c>
      <c r="BD87" s="7">
        <f>IF(T87=VLOOKUP(VALUE(T$1),Questions!$A:$E,5,FALSE),1,0)</f>
        <v>1</v>
      </c>
      <c r="BE87" s="7">
        <f>IF(U87=VLOOKUP(VALUE(U$1),Questions!$A:$E,5,FALSE),1,0)</f>
        <v>1</v>
      </c>
      <c r="BF87" s="7">
        <f>IF(V87=VLOOKUP(VALUE(V$1),Questions!$A:$E,5,FALSE),1,0)</f>
        <v>1</v>
      </c>
      <c r="BG87" s="7">
        <f>IF(W87=VLOOKUP(VALUE(W$1),Questions!$A:$E,5,FALSE),1,0)</f>
        <v>1</v>
      </c>
      <c r="BH87" s="7">
        <f>IF(X87=VLOOKUP(VALUE(X$1),Questions!$A:$E,5,FALSE),1,0)</f>
        <v>1</v>
      </c>
      <c r="BI87" s="7">
        <f>IF(Y87=VLOOKUP(VALUE(Y$1),Questions!$A:$E,5,FALSE),1,0)</f>
        <v>0</v>
      </c>
      <c r="BJ87" s="7">
        <f>IF(Z87=VLOOKUP(VALUE(Z$1),Questions!$A:$E,5,FALSE),1,0)</f>
        <v>0</v>
      </c>
      <c r="BK87" s="7">
        <f>IF(AA87=VLOOKUP(VALUE(AA$1),Questions!$A:$E,5,FALSE),1,0)</f>
        <v>0</v>
      </c>
      <c r="BL87" s="7">
        <f>IF(AB87=VLOOKUP(VALUE(AB$1),Questions!$A:$E,5,FALSE),1,0)</f>
        <v>1</v>
      </c>
      <c r="BM87" s="7">
        <f>IF(AC87=VLOOKUP(VALUE(AC$1),Questions!$A:$E,5,FALSE),1,0)</f>
        <v>1</v>
      </c>
      <c r="BN87" s="7">
        <f>IF(AD87=VLOOKUP(VALUE(AD$1),Questions!$A:$E,5,FALSE),1,0)</f>
        <v>0</v>
      </c>
      <c r="BO87" s="7">
        <f>IF(AE87=VLOOKUP(VALUE(AE$1),Questions!$A:$E,5,FALSE),1,0)</f>
        <v>1</v>
      </c>
      <c r="BP87" s="7">
        <f>IF(AF87=VLOOKUP(VALUE(AF$1),Questions!$A:$E,5,FALSE),1,0)</f>
        <v>1</v>
      </c>
      <c r="BQ87" s="7">
        <f>IF(AG87=VLOOKUP(VALUE(AG$1),Questions!$A:$E,5,FALSE),1,0)</f>
        <v>1</v>
      </c>
      <c r="BR87" s="7">
        <f>IF(AH87=VLOOKUP(VALUE(AH$1),Questions!$A:$E,5,FALSE),1,0)</f>
        <v>1</v>
      </c>
      <c r="BS87" s="7">
        <f>IF(AI87=VLOOKUP(VALUE(AI$1),Questions!$A:$E,5,FALSE),1,0)</f>
        <v>1</v>
      </c>
    </row>
    <row r="88" spans="1:71">
      <c r="A88" s="10">
        <v>87</v>
      </c>
      <c r="B88" s="14" t="b">
        <v>0</v>
      </c>
      <c r="C88" s="14" t="b">
        <v>0</v>
      </c>
      <c r="D88" s="102">
        <f>SUM(Scores[[#This Row],[Q1]:[Q28]])</f>
        <v>20</v>
      </c>
      <c r="E88" s="103">
        <f>SUM(Scores[[#This Row],[29]:[34b]])</f>
        <v>0</v>
      </c>
      <c r="F88" s="103">
        <f>Scores[[#This Row],[35]]</f>
        <v>0</v>
      </c>
      <c r="G88" s="104">
        <f>INDEX('Conversion Chart'!$C$3:$M$38,MATCH(SUM(Scores[[#This Row],[MC]:[CRQ]]),'Conversion Chart'!$B$3:$B$38,0),MATCH(Scores[[#This Row],[EIE]],'Conversion Chart'!$C$2:$M$2,0))</f>
        <v>53</v>
      </c>
      <c r="H88" s="5">
        <v>4</v>
      </c>
      <c r="I88" s="5">
        <v>3</v>
      </c>
      <c r="J88" s="5">
        <v>1</v>
      </c>
      <c r="K88" s="5">
        <v>2</v>
      </c>
      <c r="L88" s="5">
        <v>2</v>
      </c>
      <c r="M88" s="5">
        <v>4</v>
      </c>
      <c r="N88" s="5">
        <v>3</v>
      </c>
      <c r="O88" s="5">
        <v>3</v>
      </c>
      <c r="P88" s="5">
        <v>1</v>
      </c>
      <c r="Q88" s="5">
        <v>1</v>
      </c>
      <c r="R88" s="5">
        <v>4</v>
      </c>
      <c r="S88" s="5">
        <v>4</v>
      </c>
      <c r="T88" s="5">
        <v>1</v>
      </c>
      <c r="U88" s="5">
        <v>2</v>
      </c>
      <c r="V88" s="5">
        <v>4</v>
      </c>
      <c r="W88" s="5">
        <v>4</v>
      </c>
      <c r="X88" s="5">
        <v>2</v>
      </c>
      <c r="Y88" s="5">
        <v>3</v>
      </c>
      <c r="Z88" s="5">
        <v>4</v>
      </c>
      <c r="AA88" s="5">
        <v>1</v>
      </c>
      <c r="AB88" s="5">
        <v>2</v>
      </c>
      <c r="AC88" s="5">
        <v>1</v>
      </c>
      <c r="AD88" s="5">
        <v>4</v>
      </c>
      <c r="AE88" s="5">
        <v>2</v>
      </c>
      <c r="AF88" s="5">
        <v>4</v>
      </c>
      <c r="AG88" s="5">
        <v>3</v>
      </c>
      <c r="AH88" s="5">
        <v>1</v>
      </c>
      <c r="AI88" s="104">
        <v>4</v>
      </c>
      <c r="AJ88" s="95"/>
      <c r="AK88" s="84"/>
      <c r="AL88" s="84"/>
      <c r="AM88" s="84"/>
      <c r="AN88" s="84"/>
      <c r="AO88" s="84"/>
      <c r="AP88" s="94"/>
      <c r="AR88" s="7">
        <f>IF(H88=VLOOKUP(VALUE(H$1),Questions!$A:$E,5,FALSE),1,0)</f>
        <v>1</v>
      </c>
      <c r="AS88" s="7">
        <f>IF(I88=VLOOKUP(VALUE(I$1),Questions!$A:$E,5,FALSE),1,0)</f>
        <v>1</v>
      </c>
      <c r="AT88" s="7">
        <f>IF(J88=VLOOKUP(VALUE(J$1),Questions!$A:$E,5,FALSE),1,0)</f>
        <v>1</v>
      </c>
      <c r="AU88" s="7">
        <f>IF(K88=VLOOKUP(VALUE(K$1),Questions!$A:$E,5,FALSE),1,0)</f>
        <v>1</v>
      </c>
      <c r="AV88" s="7">
        <f>IF(L88=VLOOKUP(VALUE(L$1),Questions!$A:$E,5,FALSE),1,0)</f>
        <v>1</v>
      </c>
      <c r="AW88" s="7">
        <f>IF(M88=VLOOKUP(VALUE(M$1),Questions!$A:$E,5,FALSE),1,0)</f>
        <v>1</v>
      </c>
      <c r="AX88" s="7">
        <f>IF(N88=VLOOKUP(VALUE(N$1),Questions!$A:$E,5,FALSE),1,0)</f>
        <v>1</v>
      </c>
      <c r="AY88" s="7">
        <f>IF(O88=VLOOKUP(VALUE(O$1),Questions!$A:$E,5,FALSE),1,0)</f>
        <v>0</v>
      </c>
      <c r="AZ88" s="7">
        <f>IF(P88=VLOOKUP(VALUE(P$1),Questions!$A:$E,5,FALSE),1,0)</f>
        <v>1</v>
      </c>
      <c r="BA88" s="7">
        <f>IF(Q88=VLOOKUP(VALUE(Q$1),Questions!$A:$E,5,FALSE),1,0)</f>
        <v>1</v>
      </c>
      <c r="BB88" s="7">
        <f>IF(R88=VLOOKUP(VALUE(R$1),Questions!$A:$E,5,FALSE),1,0)</f>
        <v>1</v>
      </c>
      <c r="BC88" s="7">
        <f>IF(S88=VLOOKUP(VALUE(S$1),Questions!$A:$E,5,FALSE),1,0)</f>
        <v>0</v>
      </c>
      <c r="BD88" s="7">
        <f>IF(T88=VLOOKUP(VALUE(T$1),Questions!$A:$E,5,FALSE),1,0)</f>
        <v>1</v>
      </c>
      <c r="BE88" s="7">
        <f>IF(U88=VLOOKUP(VALUE(U$1),Questions!$A:$E,5,FALSE),1,0)</f>
        <v>0</v>
      </c>
      <c r="BF88" s="7">
        <f>IF(V88=VLOOKUP(VALUE(V$1),Questions!$A:$E,5,FALSE),1,0)</f>
        <v>0</v>
      </c>
      <c r="BG88" s="7">
        <f>IF(W88=VLOOKUP(VALUE(W$1),Questions!$A:$E,5,FALSE),1,0)</f>
        <v>1</v>
      </c>
      <c r="BH88" s="7">
        <f>IF(X88=VLOOKUP(VALUE(X$1),Questions!$A:$E,5,FALSE),1,0)</f>
        <v>1</v>
      </c>
      <c r="BI88" s="7">
        <f>IF(Y88=VLOOKUP(VALUE(Y$1),Questions!$A:$E,5,FALSE),1,0)</f>
        <v>1</v>
      </c>
      <c r="BJ88" s="7">
        <f>IF(Z88=VLOOKUP(VALUE(Z$1),Questions!$A:$E,5,FALSE),1,0)</f>
        <v>0</v>
      </c>
      <c r="BK88" s="7">
        <f>IF(AA88=VLOOKUP(VALUE(AA$1),Questions!$A:$E,5,FALSE),1,0)</f>
        <v>0</v>
      </c>
      <c r="BL88" s="7">
        <f>IF(AB88=VLOOKUP(VALUE(AB$1),Questions!$A:$E,5,FALSE),1,0)</f>
        <v>1</v>
      </c>
      <c r="BM88" s="7">
        <f>IF(AC88=VLOOKUP(VALUE(AC$1),Questions!$A:$E,5,FALSE),1,0)</f>
        <v>1</v>
      </c>
      <c r="BN88" s="7">
        <f>IF(AD88=VLOOKUP(VALUE(AD$1),Questions!$A:$E,5,FALSE),1,0)</f>
        <v>0</v>
      </c>
      <c r="BO88" s="7">
        <f>IF(AE88=VLOOKUP(VALUE(AE$1),Questions!$A:$E,5,FALSE),1,0)</f>
        <v>1</v>
      </c>
      <c r="BP88" s="7">
        <f>IF(AF88=VLOOKUP(VALUE(AF$1),Questions!$A:$E,5,FALSE),1,0)</f>
        <v>1</v>
      </c>
      <c r="BQ88" s="7">
        <f>IF(AG88=VLOOKUP(VALUE(AG$1),Questions!$A:$E,5,FALSE),1,0)</f>
        <v>1</v>
      </c>
      <c r="BR88" s="7">
        <f>IF(AH88=VLOOKUP(VALUE(AH$1),Questions!$A:$E,5,FALSE),1,0)</f>
        <v>1</v>
      </c>
      <c r="BS88" s="7">
        <f>IF(AI88=VLOOKUP(VALUE(AI$1),Questions!$A:$E,5,FALSE),1,0)</f>
        <v>0</v>
      </c>
    </row>
    <row r="89" spans="1:71">
      <c r="A89" s="10">
        <v>88</v>
      </c>
      <c r="B89" s="14" t="b">
        <v>0</v>
      </c>
      <c r="C89" s="14" t="b">
        <v>0</v>
      </c>
      <c r="D89" s="102">
        <f>SUM(Scores[[#This Row],[Q1]:[Q28]])</f>
        <v>21</v>
      </c>
      <c r="E89" s="103">
        <f>SUM(Scores[[#This Row],[29]:[34b]])</f>
        <v>0</v>
      </c>
      <c r="F89" s="103">
        <f>Scores[[#This Row],[35]]</f>
        <v>0</v>
      </c>
      <c r="G89" s="104">
        <f>INDEX('Conversion Chart'!$C$3:$M$38,MATCH(SUM(Scores[[#This Row],[MC]:[CRQ]]),'Conversion Chart'!$B$3:$B$38,0),MATCH(Scores[[#This Row],[EIE]],'Conversion Chart'!$C$2:$M$2,0))</f>
        <v>55</v>
      </c>
      <c r="H89" s="5">
        <v>4</v>
      </c>
      <c r="I89" s="5">
        <v>3</v>
      </c>
      <c r="J89" s="5">
        <v>1</v>
      </c>
      <c r="K89" s="5">
        <v>2</v>
      </c>
      <c r="L89" s="5">
        <v>2</v>
      </c>
      <c r="M89" s="5">
        <v>4</v>
      </c>
      <c r="N89" s="5">
        <v>3</v>
      </c>
      <c r="O89" s="5">
        <v>4</v>
      </c>
      <c r="P89" s="5">
        <v>1</v>
      </c>
      <c r="Q89" s="5">
        <v>1</v>
      </c>
      <c r="R89" s="5">
        <v>4</v>
      </c>
      <c r="S89" s="5">
        <v>2</v>
      </c>
      <c r="T89" s="5">
        <v>2</v>
      </c>
      <c r="U89" s="5">
        <v>3</v>
      </c>
      <c r="V89" s="5">
        <v>3</v>
      </c>
      <c r="W89" s="5">
        <v>1</v>
      </c>
      <c r="X89" s="5">
        <v>1</v>
      </c>
      <c r="Y89" s="5">
        <v>1</v>
      </c>
      <c r="Z89" s="5">
        <v>2</v>
      </c>
      <c r="AA89" s="5">
        <v>1</v>
      </c>
      <c r="AB89" s="5">
        <v>2</v>
      </c>
      <c r="AC89" s="5">
        <v>1</v>
      </c>
      <c r="AD89" s="5">
        <v>3</v>
      </c>
      <c r="AE89" s="5">
        <v>2</v>
      </c>
      <c r="AF89" s="5">
        <v>4</v>
      </c>
      <c r="AG89" s="5">
        <v>3</v>
      </c>
      <c r="AH89" s="5">
        <v>1</v>
      </c>
      <c r="AI89" s="104">
        <v>1</v>
      </c>
      <c r="AJ89" s="95"/>
      <c r="AK89" s="84"/>
      <c r="AL89" s="84"/>
      <c r="AM89" s="84"/>
      <c r="AN89" s="84"/>
      <c r="AO89" s="84"/>
      <c r="AP89" s="94"/>
      <c r="AR89" s="7">
        <f>IF(H89=VLOOKUP(VALUE(H$1),Questions!$A:$E,5,FALSE),1,0)</f>
        <v>1</v>
      </c>
      <c r="AS89" s="7">
        <f>IF(I89=VLOOKUP(VALUE(I$1),Questions!$A:$E,5,FALSE),1,0)</f>
        <v>1</v>
      </c>
      <c r="AT89" s="7">
        <f>IF(J89=VLOOKUP(VALUE(J$1),Questions!$A:$E,5,FALSE),1,0)</f>
        <v>1</v>
      </c>
      <c r="AU89" s="7">
        <f>IF(K89=VLOOKUP(VALUE(K$1),Questions!$A:$E,5,FALSE),1,0)</f>
        <v>1</v>
      </c>
      <c r="AV89" s="7">
        <f>IF(L89=VLOOKUP(VALUE(L$1),Questions!$A:$E,5,FALSE),1,0)</f>
        <v>1</v>
      </c>
      <c r="AW89" s="7">
        <f>IF(M89=VLOOKUP(VALUE(M$1),Questions!$A:$E,5,FALSE),1,0)</f>
        <v>1</v>
      </c>
      <c r="AX89" s="7">
        <f>IF(N89=VLOOKUP(VALUE(N$1),Questions!$A:$E,5,FALSE),1,0)</f>
        <v>1</v>
      </c>
      <c r="AY89" s="7">
        <f>IF(O89=VLOOKUP(VALUE(O$1),Questions!$A:$E,5,FALSE),1,0)</f>
        <v>0</v>
      </c>
      <c r="AZ89" s="7">
        <f>IF(P89=VLOOKUP(VALUE(P$1),Questions!$A:$E,5,FALSE),1,0)</f>
        <v>1</v>
      </c>
      <c r="BA89" s="7">
        <f>IF(Q89=VLOOKUP(VALUE(Q$1),Questions!$A:$E,5,FALSE),1,0)</f>
        <v>1</v>
      </c>
      <c r="BB89" s="7">
        <f>IF(R89=VLOOKUP(VALUE(R$1),Questions!$A:$E,5,FALSE),1,0)</f>
        <v>1</v>
      </c>
      <c r="BC89" s="7">
        <f>IF(S89=VLOOKUP(VALUE(S$1),Questions!$A:$E,5,FALSE),1,0)</f>
        <v>1</v>
      </c>
      <c r="BD89" s="7">
        <f>IF(T89=VLOOKUP(VALUE(T$1),Questions!$A:$E,5,FALSE),1,0)</f>
        <v>0</v>
      </c>
      <c r="BE89" s="7">
        <f>IF(U89=VLOOKUP(VALUE(U$1),Questions!$A:$E,5,FALSE),1,0)</f>
        <v>0</v>
      </c>
      <c r="BF89" s="7">
        <f>IF(V89=VLOOKUP(VALUE(V$1),Questions!$A:$E,5,FALSE),1,0)</f>
        <v>1</v>
      </c>
      <c r="BG89" s="7">
        <f>IF(W89=VLOOKUP(VALUE(W$1),Questions!$A:$E,5,FALSE),1,0)</f>
        <v>0</v>
      </c>
      <c r="BH89" s="7">
        <f>IF(X89=VLOOKUP(VALUE(X$1),Questions!$A:$E,5,FALSE),1,0)</f>
        <v>0</v>
      </c>
      <c r="BI89" s="7">
        <f>IF(Y89=VLOOKUP(VALUE(Y$1),Questions!$A:$E,5,FALSE),1,0)</f>
        <v>0</v>
      </c>
      <c r="BJ89" s="7">
        <f>IF(Z89=VLOOKUP(VALUE(Z$1),Questions!$A:$E,5,FALSE),1,0)</f>
        <v>1</v>
      </c>
      <c r="BK89" s="7">
        <f>IF(AA89=VLOOKUP(VALUE(AA$1),Questions!$A:$E,5,FALSE),1,0)</f>
        <v>0</v>
      </c>
      <c r="BL89" s="7">
        <f>IF(AB89=VLOOKUP(VALUE(AB$1),Questions!$A:$E,5,FALSE),1,0)</f>
        <v>1</v>
      </c>
      <c r="BM89" s="7">
        <f>IF(AC89=VLOOKUP(VALUE(AC$1),Questions!$A:$E,5,FALSE),1,0)</f>
        <v>1</v>
      </c>
      <c r="BN89" s="7">
        <f>IF(AD89=VLOOKUP(VALUE(AD$1),Questions!$A:$E,5,FALSE),1,0)</f>
        <v>1</v>
      </c>
      <c r="BO89" s="7">
        <f>IF(AE89=VLOOKUP(VALUE(AE$1),Questions!$A:$E,5,FALSE),1,0)</f>
        <v>1</v>
      </c>
      <c r="BP89" s="7">
        <f>IF(AF89=VLOOKUP(VALUE(AF$1),Questions!$A:$E,5,FALSE),1,0)</f>
        <v>1</v>
      </c>
      <c r="BQ89" s="7">
        <f>IF(AG89=VLOOKUP(VALUE(AG$1),Questions!$A:$E,5,FALSE),1,0)</f>
        <v>1</v>
      </c>
      <c r="BR89" s="7">
        <f>IF(AH89=VLOOKUP(VALUE(AH$1),Questions!$A:$E,5,FALSE),1,0)</f>
        <v>1</v>
      </c>
      <c r="BS89" s="7">
        <f>IF(AI89=VLOOKUP(VALUE(AI$1),Questions!$A:$E,5,FALSE),1,0)</f>
        <v>1</v>
      </c>
    </row>
    <row r="90" spans="1:71">
      <c r="A90" s="10">
        <v>89</v>
      </c>
      <c r="B90" s="14" t="b">
        <v>0</v>
      </c>
      <c r="C90" s="14" t="b">
        <v>0</v>
      </c>
      <c r="D90" s="102">
        <f>SUM(Scores[[#This Row],[Q1]:[Q28]])</f>
        <v>21</v>
      </c>
      <c r="E90" s="103">
        <f>SUM(Scores[[#This Row],[29]:[34b]])</f>
        <v>0</v>
      </c>
      <c r="F90" s="103">
        <f>Scores[[#This Row],[35]]</f>
        <v>0</v>
      </c>
      <c r="G90" s="104">
        <f>INDEX('Conversion Chart'!$C$3:$M$38,MATCH(SUM(Scores[[#This Row],[MC]:[CRQ]]),'Conversion Chart'!$B$3:$B$38,0),MATCH(Scores[[#This Row],[EIE]],'Conversion Chart'!$C$2:$M$2,0))</f>
        <v>55</v>
      </c>
      <c r="H90" s="5">
        <v>4</v>
      </c>
      <c r="I90" s="5">
        <v>3</v>
      </c>
      <c r="J90" s="5">
        <v>1</v>
      </c>
      <c r="K90" s="5">
        <v>2</v>
      </c>
      <c r="L90" s="5">
        <v>1</v>
      </c>
      <c r="M90" s="5">
        <v>4</v>
      </c>
      <c r="N90" s="5">
        <v>3</v>
      </c>
      <c r="O90" s="5">
        <v>1</v>
      </c>
      <c r="P90" s="5">
        <v>1</v>
      </c>
      <c r="Q90" s="5">
        <v>1</v>
      </c>
      <c r="R90" s="5">
        <v>4</v>
      </c>
      <c r="S90" s="5">
        <v>2</v>
      </c>
      <c r="T90" s="5">
        <v>3</v>
      </c>
      <c r="U90" s="5">
        <v>4</v>
      </c>
      <c r="V90" s="5">
        <v>3</v>
      </c>
      <c r="W90" s="5">
        <v>1</v>
      </c>
      <c r="X90" s="5">
        <v>2</v>
      </c>
      <c r="Y90" s="5">
        <v>2</v>
      </c>
      <c r="Z90" s="5">
        <v>4</v>
      </c>
      <c r="AA90" s="5">
        <v>3</v>
      </c>
      <c r="AB90" s="5">
        <v>2</v>
      </c>
      <c r="AC90" s="5">
        <v>1</v>
      </c>
      <c r="AD90" s="5">
        <v>3</v>
      </c>
      <c r="AE90" s="5">
        <v>2</v>
      </c>
      <c r="AF90" s="5">
        <v>4</v>
      </c>
      <c r="AG90" s="5">
        <v>3</v>
      </c>
      <c r="AH90" s="5">
        <v>2</v>
      </c>
      <c r="AI90" s="104">
        <v>4</v>
      </c>
      <c r="AJ90" s="95"/>
      <c r="AK90" s="84"/>
      <c r="AL90" s="84"/>
      <c r="AM90" s="84"/>
      <c r="AN90" s="84"/>
      <c r="AO90" s="84"/>
      <c r="AP90" s="94"/>
      <c r="AR90" s="7">
        <f>IF(H90=VLOOKUP(VALUE(H$1),Questions!$A:$E,5,FALSE),1,0)</f>
        <v>1</v>
      </c>
      <c r="AS90" s="7">
        <f>IF(I90=VLOOKUP(VALUE(I$1),Questions!$A:$E,5,FALSE),1,0)</f>
        <v>1</v>
      </c>
      <c r="AT90" s="7">
        <f>IF(J90=VLOOKUP(VALUE(J$1),Questions!$A:$E,5,FALSE),1,0)</f>
        <v>1</v>
      </c>
      <c r="AU90" s="7">
        <f>IF(K90=VLOOKUP(VALUE(K$1),Questions!$A:$E,5,FALSE),1,0)</f>
        <v>1</v>
      </c>
      <c r="AV90" s="7">
        <f>IF(L90=VLOOKUP(VALUE(L$1),Questions!$A:$E,5,FALSE),1,0)</f>
        <v>0</v>
      </c>
      <c r="AW90" s="7">
        <f>IF(M90=VLOOKUP(VALUE(M$1),Questions!$A:$E,5,FALSE),1,0)</f>
        <v>1</v>
      </c>
      <c r="AX90" s="7">
        <f>IF(N90=VLOOKUP(VALUE(N$1),Questions!$A:$E,5,FALSE),1,0)</f>
        <v>1</v>
      </c>
      <c r="AY90" s="7">
        <f>IF(O90=VLOOKUP(VALUE(O$1),Questions!$A:$E,5,FALSE),1,0)</f>
        <v>1</v>
      </c>
      <c r="AZ90" s="7">
        <f>IF(P90=VLOOKUP(VALUE(P$1),Questions!$A:$E,5,FALSE),1,0)</f>
        <v>1</v>
      </c>
      <c r="BA90" s="7">
        <f>IF(Q90=VLOOKUP(VALUE(Q$1),Questions!$A:$E,5,FALSE),1,0)</f>
        <v>1</v>
      </c>
      <c r="BB90" s="7">
        <f>IF(R90=VLOOKUP(VALUE(R$1),Questions!$A:$E,5,FALSE),1,0)</f>
        <v>1</v>
      </c>
      <c r="BC90" s="7">
        <f>IF(S90=VLOOKUP(VALUE(S$1),Questions!$A:$E,5,FALSE),1,0)</f>
        <v>1</v>
      </c>
      <c r="BD90" s="7">
        <f>IF(T90=VLOOKUP(VALUE(T$1),Questions!$A:$E,5,FALSE),1,0)</f>
        <v>0</v>
      </c>
      <c r="BE90" s="7">
        <f>IF(U90=VLOOKUP(VALUE(U$1),Questions!$A:$E,5,FALSE),1,0)</f>
        <v>1</v>
      </c>
      <c r="BF90" s="7">
        <f>IF(V90=VLOOKUP(VALUE(V$1),Questions!$A:$E,5,FALSE),1,0)</f>
        <v>1</v>
      </c>
      <c r="BG90" s="7">
        <f>IF(W90=VLOOKUP(VALUE(W$1),Questions!$A:$E,5,FALSE),1,0)</f>
        <v>0</v>
      </c>
      <c r="BH90" s="7">
        <f>IF(X90=VLOOKUP(VALUE(X$1),Questions!$A:$E,5,FALSE),1,0)</f>
        <v>1</v>
      </c>
      <c r="BI90" s="7">
        <f>IF(Y90=VLOOKUP(VALUE(Y$1),Questions!$A:$E,5,FALSE),1,0)</f>
        <v>0</v>
      </c>
      <c r="BJ90" s="7">
        <f>IF(Z90=VLOOKUP(VALUE(Z$1),Questions!$A:$E,5,FALSE),1,0)</f>
        <v>0</v>
      </c>
      <c r="BK90" s="7">
        <f>IF(AA90=VLOOKUP(VALUE(AA$1),Questions!$A:$E,5,FALSE),1,0)</f>
        <v>1</v>
      </c>
      <c r="BL90" s="7">
        <f>IF(AB90=VLOOKUP(VALUE(AB$1),Questions!$A:$E,5,FALSE),1,0)</f>
        <v>1</v>
      </c>
      <c r="BM90" s="7">
        <f>IF(AC90=VLOOKUP(VALUE(AC$1),Questions!$A:$E,5,FALSE),1,0)</f>
        <v>1</v>
      </c>
      <c r="BN90" s="7">
        <f>IF(AD90=VLOOKUP(VALUE(AD$1),Questions!$A:$E,5,FALSE),1,0)</f>
        <v>1</v>
      </c>
      <c r="BO90" s="7">
        <f>IF(AE90=VLOOKUP(VALUE(AE$1),Questions!$A:$E,5,FALSE),1,0)</f>
        <v>1</v>
      </c>
      <c r="BP90" s="7">
        <f>IF(AF90=VLOOKUP(VALUE(AF$1),Questions!$A:$E,5,FALSE),1,0)</f>
        <v>1</v>
      </c>
      <c r="BQ90" s="7">
        <f>IF(AG90=VLOOKUP(VALUE(AG$1),Questions!$A:$E,5,FALSE),1,0)</f>
        <v>1</v>
      </c>
      <c r="BR90" s="7">
        <f>IF(AH90=VLOOKUP(VALUE(AH$1),Questions!$A:$E,5,FALSE),1,0)</f>
        <v>0</v>
      </c>
      <c r="BS90" s="7">
        <f>IF(AI90=VLOOKUP(VALUE(AI$1),Questions!$A:$E,5,FALSE),1,0)</f>
        <v>0</v>
      </c>
    </row>
    <row r="91" spans="1:71">
      <c r="A91" s="10">
        <v>90</v>
      </c>
      <c r="B91" s="14" t="b">
        <v>0</v>
      </c>
      <c r="C91" s="14" t="b">
        <v>0</v>
      </c>
      <c r="D91" s="102">
        <f>SUM(Scores[[#This Row],[Q1]:[Q28]])</f>
        <v>15</v>
      </c>
      <c r="E91" s="103">
        <f>SUM(Scores[[#This Row],[29]:[34b]])</f>
        <v>0</v>
      </c>
      <c r="F91" s="103">
        <f>Scores[[#This Row],[35]]</f>
        <v>0</v>
      </c>
      <c r="G91" s="104">
        <f>INDEX('Conversion Chart'!$C$3:$M$38,MATCH(SUM(Scores[[#This Row],[MC]:[CRQ]]),'Conversion Chart'!$B$3:$B$38,0),MATCH(Scores[[#This Row],[EIE]],'Conversion Chart'!$C$2:$M$2,0))</f>
        <v>42</v>
      </c>
      <c r="H91" s="5">
        <v>4</v>
      </c>
      <c r="I91" s="5">
        <v>3</v>
      </c>
      <c r="J91" s="5">
        <v>1</v>
      </c>
      <c r="K91" s="5">
        <v>3</v>
      </c>
      <c r="L91" s="5">
        <v>2</v>
      </c>
      <c r="M91" s="5">
        <v>4</v>
      </c>
      <c r="N91" s="5">
        <v>3</v>
      </c>
      <c r="O91" s="5">
        <v>1</v>
      </c>
      <c r="P91" s="5">
        <v>1</v>
      </c>
      <c r="Q91" s="5">
        <v>1</v>
      </c>
      <c r="R91" s="5">
        <v>4</v>
      </c>
      <c r="S91" s="5">
        <v>2</v>
      </c>
      <c r="T91" s="5">
        <v>4</v>
      </c>
      <c r="U91" s="5">
        <v>1</v>
      </c>
      <c r="V91" s="5">
        <v>3</v>
      </c>
      <c r="W91" s="5">
        <v>1</v>
      </c>
      <c r="X91" s="5">
        <v>2</v>
      </c>
      <c r="Y91" s="5">
        <v>2</v>
      </c>
      <c r="Z91" s="5">
        <v>1</v>
      </c>
      <c r="AA91" s="5">
        <v>4</v>
      </c>
      <c r="AB91" s="5">
        <v>1</v>
      </c>
      <c r="AC91" s="5">
        <v>3</v>
      </c>
      <c r="AD91" s="5">
        <v>3</v>
      </c>
      <c r="AE91" s="5">
        <v>4</v>
      </c>
      <c r="AF91" s="5">
        <v>2</v>
      </c>
      <c r="AG91" s="5">
        <v>3</v>
      </c>
      <c r="AH91" s="5">
        <v>2</v>
      </c>
      <c r="AI91" s="104">
        <v>4</v>
      </c>
      <c r="AJ91" s="95"/>
      <c r="AK91" s="84"/>
      <c r="AL91" s="84"/>
      <c r="AM91" s="84"/>
      <c r="AN91" s="84"/>
      <c r="AO91" s="84"/>
      <c r="AP91" s="94"/>
      <c r="AR91" s="7">
        <f>IF(H91=VLOOKUP(VALUE(H$1),Questions!$A:$E,5,FALSE),1,0)</f>
        <v>1</v>
      </c>
      <c r="AS91" s="7">
        <f>IF(I91=VLOOKUP(VALUE(I$1),Questions!$A:$E,5,FALSE),1,0)</f>
        <v>1</v>
      </c>
      <c r="AT91" s="7">
        <f>IF(J91=VLOOKUP(VALUE(J$1),Questions!$A:$E,5,FALSE),1,0)</f>
        <v>1</v>
      </c>
      <c r="AU91" s="7">
        <f>IF(K91=VLOOKUP(VALUE(K$1),Questions!$A:$E,5,FALSE),1,0)</f>
        <v>0</v>
      </c>
      <c r="AV91" s="7">
        <f>IF(L91=VLOOKUP(VALUE(L$1),Questions!$A:$E,5,FALSE),1,0)</f>
        <v>1</v>
      </c>
      <c r="AW91" s="7">
        <f>IF(M91=VLOOKUP(VALUE(M$1),Questions!$A:$E,5,FALSE),1,0)</f>
        <v>1</v>
      </c>
      <c r="AX91" s="7">
        <f>IF(N91=VLOOKUP(VALUE(N$1),Questions!$A:$E,5,FALSE),1,0)</f>
        <v>1</v>
      </c>
      <c r="AY91" s="7">
        <f>IF(O91=VLOOKUP(VALUE(O$1),Questions!$A:$E,5,FALSE),1,0)</f>
        <v>1</v>
      </c>
      <c r="AZ91" s="7">
        <f>IF(P91=VLOOKUP(VALUE(P$1),Questions!$A:$E,5,FALSE),1,0)</f>
        <v>1</v>
      </c>
      <c r="BA91" s="7">
        <f>IF(Q91=VLOOKUP(VALUE(Q$1),Questions!$A:$E,5,FALSE),1,0)</f>
        <v>1</v>
      </c>
      <c r="BB91" s="7">
        <f>IF(R91=VLOOKUP(VALUE(R$1),Questions!$A:$E,5,FALSE),1,0)</f>
        <v>1</v>
      </c>
      <c r="BC91" s="7">
        <f>IF(S91=VLOOKUP(VALUE(S$1),Questions!$A:$E,5,FALSE),1,0)</f>
        <v>1</v>
      </c>
      <c r="BD91" s="7">
        <f>IF(T91=VLOOKUP(VALUE(T$1),Questions!$A:$E,5,FALSE),1,0)</f>
        <v>0</v>
      </c>
      <c r="BE91" s="7">
        <f>IF(U91=VLOOKUP(VALUE(U$1),Questions!$A:$E,5,FALSE),1,0)</f>
        <v>0</v>
      </c>
      <c r="BF91" s="7">
        <f>IF(V91=VLOOKUP(VALUE(V$1),Questions!$A:$E,5,FALSE),1,0)</f>
        <v>1</v>
      </c>
      <c r="BG91" s="7">
        <f>IF(W91=VLOOKUP(VALUE(W$1),Questions!$A:$E,5,FALSE),1,0)</f>
        <v>0</v>
      </c>
      <c r="BH91" s="7">
        <f>IF(X91=VLOOKUP(VALUE(X$1),Questions!$A:$E,5,FALSE),1,0)</f>
        <v>1</v>
      </c>
      <c r="BI91" s="7">
        <f>IF(Y91=VLOOKUP(VALUE(Y$1),Questions!$A:$E,5,FALSE),1,0)</f>
        <v>0</v>
      </c>
      <c r="BJ91" s="7">
        <f>IF(Z91=VLOOKUP(VALUE(Z$1),Questions!$A:$E,5,FALSE),1,0)</f>
        <v>0</v>
      </c>
      <c r="BK91" s="7">
        <f>IF(AA91=VLOOKUP(VALUE(AA$1),Questions!$A:$E,5,FALSE),1,0)</f>
        <v>0</v>
      </c>
      <c r="BL91" s="7">
        <f>IF(AB91=VLOOKUP(VALUE(AB$1),Questions!$A:$E,5,FALSE),1,0)</f>
        <v>0</v>
      </c>
      <c r="BM91" s="7">
        <f>IF(AC91=VLOOKUP(VALUE(AC$1),Questions!$A:$E,5,FALSE),1,0)</f>
        <v>0</v>
      </c>
      <c r="BN91" s="7">
        <f>IF(AD91=VLOOKUP(VALUE(AD$1),Questions!$A:$E,5,FALSE),1,0)</f>
        <v>1</v>
      </c>
      <c r="BO91" s="7">
        <f>IF(AE91=VLOOKUP(VALUE(AE$1),Questions!$A:$E,5,FALSE),1,0)</f>
        <v>0</v>
      </c>
      <c r="BP91" s="7">
        <f>IF(AF91=VLOOKUP(VALUE(AF$1),Questions!$A:$E,5,FALSE),1,0)</f>
        <v>0</v>
      </c>
      <c r="BQ91" s="7">
        <f>IF(AG91=VLOOKUP(VALUE(AG$1),Questions!$A:$E,5,FALSE),1,0)</f>
        <v>1</v>
      </c>
      <c r="BR91" s="7">
        <f>IF(AH91=VLOOKUP(VALUE(AH$1),Questions!$A:$E,5,FALSE),1,0)</f>
        <v>0</v>
      </c>
      <c r="BS91" s="7">
        <f>IF(AI91=VLOOKUP(VALUE(AI$1),Questions!$A:$E,5,FALSE),1,0)</f>
        <v>0</v>
      </c>
    </row>
    <row r="92" spans="1:71">
      <c r="A92" s="10">
        <v>91</v>
      </c>
      <c r="B92" s="14" t="b">
        <v>0</v>
      </c>
      <c r="C92" s="14" t="b">
        <v>0</v>
      </c>
      <c r="D92" s="102">
        <f>SUM(Scores[[#This Row],[Q1]:[Q28]])</f>
        <v>16</v>
      </c>
      <c r="E92" s="103">
        <f>SUM(Scores[[#This Row],[29]:[34b]])</f>
        <v>0</v>
      </c>
      <c r="F92" s="103">
        <f>Scores[[#This Row],[35]]</f>
        <v>0</v>
      </c>
      <c r="G92" s="104">
        <f>INDEX('Conversion Chart'!$C$3:$M$38,MATCH(SUM(Scores[[#This Row],[MC]:[CRQ]]),'Conversion Chart'!$B$3:$B$38,0),MATCH(Scores[[#This Row],[EIE]],'Conversion Chart'!$C$2:$M$2,0))</f>
        <v>45</v>
      </c>
      <c r="H92" s="5">
        <v>4</v>
      </c>
      <c r="I92" s="5">
        <v>3</v>
      </c>
      <c r="J92" s="5">
        <v>2</v>
      </c>
      <c r="K92" s="5">
        <v>4</v>
      </c>
      <c r="L92" s="5">
        <v>2</v>
      </c>
      <c r="M92" s="5">
        <v>4</v>
      </c>
      <c r="N92" s="5">
        <v>3</v>
      </c>
      <c r="O92" s="5">
        <v>1</v>
      </c>
      <c r="P92" s="5">
        <v>2</v>
      </c>
      <c r="Q92" s="5">
        <v>1</v>
      </c>
      <c r="R92" s="5">
        <v>4</v>
      </c>
      <c r="S92" s="5">
        <v>4</v>
      </c>
      <c r="T92" s="5">
        <v>1</v>
      </c>
      <c r="U92" s="5">
        <v>2</v>
      </c>
      <c r="V92" s="5">
        <v>1</v>
      </c>
      <c r="W92" s="5">
        <v>3</v>
      </c>
      <c r="X92" s="5">
        <v>2</v>
      </c>
      <c r="Y92" s="5">
        <v>1</v>
      </c>
      <c r="Z92" s="5">
        <v>2</v>
      </c>
      <c r="AA92" s="5">
        <v>3</v>
      </c>
      <c r="AB92" s="5">
        <v>4</v>
      </c>
      <c r="AC92" s="5">
        <v>1</v>
      </c>
      <c r="AD92" s="5">
        <v>3</v>
      </c>
      <c r="AE92" s="5">
        <v>4</v>
      </c>
      <c r="AF92" s="5">
        <v>1</v>
      </c>
      <c r="AG92" s="5">
        <v>3</v>
      </c>
      <c r="AH92" s="5">
        <v>2</v>
      </c>
      <c r="AI92" s="104">
        <v>1</v>
      </c>
      <c r="AJ92" s="95"/>
      <c r="AK92" s="84"/>
      <c r="AL92" s="84"/>
      <c r="AM92" s="84"/>
      <c r="AN92" s="84"/>
      <c r="AO92" s="84"/>
      <c r="AP92" s="94"/>
      <c r="AR92" s="7">
        <f>IF(H92=VLOOKUP(VALUE(H$1),Questions!$A:$E,5,FALSE),1,0)</f>
        <v>1</v>
      </c>
      <c r="AS92" s="7">
        <f>IF(I92=VLOOKUP(VALUE(I$1),Questions!$A:$E,5,FALSE),1,0)</f>
        <v>1</v>
      </c>
      <c r="AT92" s="7">
        <f>IF(J92=VLOOKUP(VALUE(J$1),Questions!$A:$E,5,FALSE),1,0)</f>
        <v>0</v>
      </c>
      <c r="AU92" s="7">
        <f>IF(K92=VLOOKUP(VALUE(K$1),Questions!$A:$E,5,FALSE),1,0)</f>
        <v>0</v>
      </c>
      <c r="AV92" s="7">
        <f>IF(L92=VLOOKUP(VALUE(L$1),Questions!$A:$E,5,FALSE),1,0)</f>
        <v>1</v>
      </c>
      <c r="AW92" s="7">
        <f>IF(M92=VLOOKUP(VALUE(M$1),Questions!$A:$E,5,FALSE),1,0)</f>
        <v>1</v>
      </c>
      <c r="AX92" s="7">
        <f>IF(N92=VLOOKUP(VALUE(N$1),Questions!$A:$E,5,FALSE),1,0)</f>
        <v>1</v>
      </c>
      <c r="AY92" s="7">
        <f>IF(O92=VLOOKUP(VALUE(O$1),Questions!$A:$E,5,FALSE),1,0)</f>
        <v>1</v>
      </c>
      <c r="AZ92" s="7">
        <f>IF(P92=VLOOKUP(VALUE(P$1),Questions!$A:$E,5,FALSE),1,0)</f>
        <v>0</v>
      </c>
      <c r="BA92" s="7">
        <f>IF(Q92=VLOOKUP(VALUE(Q$1),Questions!$A:$E,5,FALSE),1,0)</f>
        <v>1</v>
      </c>
      <c r="BB92" s="7">
        <f>IF(R92=VLOOKUP(VALUE(R$1),Questions!$A:$E,5,FALSE),1,0)</f>
        <v>1</v>
      </c>
      <c r="BC92" s="7">
        <f>IF(S92=VLOOKUP(VALUE(S$1),Questions!$A:$E,5,FALSE),1,0)</f>
        <v>0</v>
      </c>
      <c r="BD92" s="7">
        <f>IF(T92=VLOOKUP(VALUE(T$1),Questions!$A:$E,5,FALSE),1,0)</f>
        <v>1</v>
      </c>
      <c r="BE92" s="7">
        <f>IF(U92=VLOOKUP(VALUE(U$1),Questions!$A:$E,5,FALSE),1,0)</f>
        <v>0</v>
      </c>
      <c r="BF92" s="7">
        <f>IF(V92=VLOOKUP(VALUE(V$1),Questions!$A:$E,5,FALSE),1,0)</f>
        <v>0</v>
      </c>
      <c r="BG92" s="7">
        <f>IF(W92=VLOOKUP(VALUE(W$1),Questions!$A:$E,5,FALSE),1,0)</f>
        <v>0</v>
      </c>
      <c r="BH92" s="7">
        <f>IF(X92=VLOOKUP(VALUE(X$1),Questions!$A:$E,5,FALSE),1,0)</f>
        <v>1</v>
      </c>
      <c r="BI92" s="7">
        <f>IF(Y92=VLOOKUP(VALUE(Y$1),Questions!$A:$E,5,FALSE),1,0)</f>
        <v>0</v>
      </c>
      <c r="BJ92" s="7">
        <f>IF(Z92=VLOOKUP(VALUE(Z$1),Questions!$A:$E,5,FALSE),1,0)</f>
        <v>1</v>
      </c>
      <c r="BK92" s="7">
        <f>IF(AA92=VLOOKUP(VALUE(AA$1),Questions!$A:$E,5,FALSE),1,0)</f>
        <v>1</v>
      </c>
      <c r="BL92" s="7">
        <f>IF(AB92=VLOOKUP(VALUE(AB$1),Questions!$A:$E,5,FALSE),1,0)</f>
        <v>0</v>
      </c>
      <c r="BM92" s="7">
        <f>IF(AC92=VLOOKUP(VALUE(AC$1),Questions!$A:$E,5,FALSE),1,0)</f>
        <v>1</v>
      </c>
      <c r="BN92" s="7">
        <f>IF(AD92=VLOOKUP(VALUE(AD$1),Questions!$A:$E,5,FALSE),1,0)</f>
        <v>1</v>
      </c>
      <c r="BO92" s="7">
        <f>IF(AE92=VLOOKUP(VALUE(AE$1),Questions!$A:$E,5,FALSE),1,0)</f>
        <v>0</v>
      </c>
      <c r="BP92" s="7">
        <f>IF(AF92=VLOOKUP(VALUE(AF$1),Questions!$A:$E,5,FALSE),1,0)</f>
        <v>0</v>
      </c>
      <c r="BQ92" s="7">
        <f>IF(AG92=VLOOKUP(VALUE(AG$1),Questions!$A:$E,5,FALSE),1,0)</f>
        <v>1</v>
      </c>
      <c r="BR92" s="7">
        <f>IF(AH92=VLOOKUP(VALUE(AH$1),Questions!$A:$E,5,FALSE),1,0)</f>
        <v>0</v>
      </c>
      <c r="BS92" s="7">
        <f>IF(AI92=VLOOKUP(VALUE(AI$1),Questions!$A:$E,5,FALSE),1,0)</f>
        <v>1</v>
      </c>
    </row>
    <row r="93" spans="1:71">
      <c r="A93" s="10">
        <v>92</v>
      </c>
      <c r="B93" s="14" t="b">
        <v>0</v>
      </c>
      <c r="C93" s="14" t="b">
        <v>0</v>
      </c>
      <c r="D93" s="102">
        <f>SUM(Scores[[#This Row],[Q1]:[Q28]])</f>
        <v>22</v>
      </c>
      <c r="E93" s="103">
        <f>SUM(Scores[[#This Row],[29]:[34b]])</f>
        <v>0</v>
      </c>
      <c r="F93" s="103">
        <f>Scores[[#This Row],[35]]</f>
        <v>0</v>
      </c>
      <c r="G93" s="104">
        <f>INDEX('Conversion Chart'!$C$3:$M$38,MATCH(SUM(Scores[[#This Row],[MC]:[CRQ]]),'Conversion Chart'!$B$3:$B$38,0),MATCH(Scores[[#This Row],[EIE]],'Conversion Chart'!$C$2:$M$2,0))</f>
        <v>57</v>
      </c>
      <c r="H93" s="5">
        <v>4</v>
      </c>
      <c r="I93" s="5">
        <v>3</v>
      </c>
      <c r="J93" s="5">
        <v>1</v>
      </c>
      <c r="K93" s="5">
        <v>2</v>
      </c>
      <c r="L93" s="5">
        <v>2</v>
      </c>
      <c r="M93" s="5">
        <v>4</v>
      </c>
      <c r="N93" s="5">
        <v>3</v>
      </c>
      <c r="O93" s="5">
        <v>3</v>
      </c>
      <c r="P93" s="5">
        <v>1</v>
      </c>
      <c r="Q93" s="5">
        <v>1</v>
      </c>
      <c r="R93" s="5">
        <v>1</v>
      </c>
      <c r="S93" s="5">
        <v>4</v>
      </c>
      <c r="T93" s="5">
        <v>1</v>
      </c>
      <c r="U93" s="5">
        <v>4</v>
      </c>
      <c r="V93" s="5">
        <v>1</v>
      </c>
      <c r="W93" s="5">
        <v>4</v>
      </c>
      <c r="X93" s="5">
        <v>2</v>
      </c>
      <c r="Y93" s="5">
        <v>3</v>
      </c>
      <c r="Z93" s="5">
        <v>1</v>
      </c>
      <c r="AA93" s="5">
        <v>3</v>
      </c>
      <c r="AB93" s="5">
        <v>2</v>
      </c>
      <c r="AC93" s="5">
        <v>1</v>
      </c>
      <c r="AD93" s="5">
        <v>2</v>
      </c>
      <c r="AE93" s="5">
        <v>2</v>
      </c>
      <c r="AF93" s="5">
        <v>4</v>
      </c>
      <c r="AG93" s="5">
        <v>3</v>
      </c>
      <c r="AH93" s="5">
        <v>1</v>
      </c>
      <c r="AI93" s="104">
        <v>1</v>
      </c>
      <c r="AJ93" s="95"/>
      <c r="AK93" s="84"/>
      <c r="AL93" s="84"/>
      <c r="AM93" s="84"/>
      <c r="AN93" s="84"/>
      <c r="AO93" s="84"/>
      <c r="AP93" s="94"/>
      <c r="AR93" s="7">
        <f>IF(H93=VLOOKUP(VALUE(H$1),Questions!$A:$E,5,FALSE),1,0)</f>
        <v>1</v>
      </c>
      <c r="AS93" s="7">
        <f>IF(I93=VLOOKUP(VALUE(I$1),Questions!$A:$E,5,FALSE),1,0)</f>
        <v>1</v>
      </c>
      <c r="AT93" s="7">
        <f>IF(J93=VLOOKUP(VALUE(J$1),Questions!$A:$E,5,FALSE),1,0)</f>
        <v>1</v>
      </c>
      <c r="AU93" s="7">
        <f>IF(K93=VLOOKUP(VALUE(K$1),Questions!$A:$E,5,FALSE),1,0)</f>
        <v>1</v>
      </c>
      <c r="AV93" s="7">
        <f>IF(L93=VLOOKUP(VALUE(L$1),Questions!$A:$E,5,FALSE),1,0)</f>
        <v>1</v>
      </c>
      <c r="AW93" s="7">
        <f>IF(M93=VLOOKUP(VALUE(M$1),Questions!$A:$E,5,FALSE),1,0)</f>
        <v>1</v>
      </c>
      <c r="AX93" s="7">
        <f>IF(N93=VLOOKUP(VALUE(N$1),Questions!$A:$E,5,FALSE),1,0)</f>
        <v>1</v>
      </c>
      <c r="AY93" s="7">
        <f>IF(O93=VLOOKUP(VALUE(O$1),Questions!$A:$E,5,FALSE),1,0)</f>
        <v>0</v>
      </c>
      <c r="AZ93" s="7">
        <f>IF(P93=VLOOKUP(VALUE(P$1),Questions!$A:$E,5,FALSE),1,0)</f>
        <v>1</v>
      </c>
      <c r="BA93" s="7">
        <f>IF(Q93=VLOOKUP(VALUE(Q$1),Questions!$A:$E,5,FALSE),1,0)</f>
        <v>1</v>
      </c>
      <c r="BB93" s="7">
        <f>IF(R93=VLOOKUP(VALUE(R$1),Questions!$A:$E,5,FALSE),1,0)</f>
        <v>0</v>
      </c>
      <c r="BC93" s="7">
        <f>IF(S93=VLOOKUP(VALUE(S$1),Questions!$A:$E,5,FALSE),1,0)</f>
        <v>0</v>
      </c>
      <c r="BD93" s="7">
        <f>IF(T93=VLOOKUP(VALUE(T$1),Questions!$A:$E,5,FALSE),1,0)</f>
        <v>1</v>
      </c>
      <c r="BE93" s="7">
        <f>IF(U93=VLOOKUP(VALUE(U$1),Questions!$A:$E,5,FALSE),1,0)</f>
        <v>1</v>
      </c>
      <c r="BF93" s="7">
        <f>IF(V93=VLOOKUP(VALUE(V$1),Questions!$A:$E,5,FALSE),1,0)</f>
        <v>0</v>
      </c>
      <c r="BG93" s="7">
        <f>IF(W93=VLOOKUP(VALUE(W$1),Questions!$A:$E,5,FALSE),1,0)</f>
        <v>1</v>
      </c>
      <c r="BH93" s="7">
        <f>IF(X93=VLOOKUP(VALUE(X$1),Questions!$A:$E,5,FALSE),1,0)</f>
        <v>1</v>
      </c>
      <c r="BI93" s="7">
        <f>IF(Y93=VLOOKUP(VALUE(Y$1),Questions!$A:$E,5,FALSE),1,0)</f>
        <v>1</v>
      </c>
      <c r="BJ93" s="7">
        <f>IF(Z93=VLOOKUP(VALUE(Z$1),Questions!$A:$E,5,FALSE),1,0)</f>
        <v>0</v>
      </c>
      <c r="BK93" s="7">
        <f>IF(AA93=VLOOKUP(VALUE(AA$1),Questions!$A:$E,5,FALSE),1,0)</f>
        <v>1</v>
      </c>
      <c r="BL93" s="7">
        <f>IF(AB93=VLOOKUP(VALUE(AB$1),Questions!$A:$E,5,FALSE),1,0)</f>
        <v>1</v>
      </c>
      <c r="BM93" s="7">
        <f>IF(AC93=VLOOKUP(VALUE(AC$1),Questions!$A:$E,5,FALSE),1,0)</f>
        <v>1</v>
      </c>
      <c r="BN93" s="7">
        <f>IF(AD93=VLOOKUP(VALUE(AD$1),Questions!$A:$E,5,FALSE),1,0)</f>
        <v>0</v>
      </c>
      <c r="BO93" s="7">
        <f>IF(AE93=VLOOKUP(VALUE(AE$1),Questions!$A:$E,5,FALSE),1,0)</f>
        <v>1</v>
      </c>
      <c r="BP93" s="7">
        <f>IF(AF93=VLOOKUP(VALUE(AF$1),Questions!$A:$E,5,FALSE),1,0)</f>
        <v>1</v>
      </c>
      <c r="BQ93" s="7">
        <f>IF(AG93=VLOOKUP(VALUE(AG$1),Questions!$A:$E,5,FALSE),1,0)</f>
        <v>1</v>
      </c>
      <c r="BR93" s="7">
        <f>IF(AH93=VLOOKUP(VALUE(AH$1),Questions!$A:$E,5,FALSE),1,0)</f>
        <v>1</v>
      </c>
      <c r="BS93" s="7">
        <f>IF(AI93=VLOOKUP(VALUE(AI$1),Questions!$A:$E,5,FALSE),1,0)</f>
        <v>1</v>
      </c>
    </row>
    <row r="94" spans="1:71">
      <c r="A94" s="10">
        <v>93</v>
      </c>
      <c r="B94" s="14" t="b">
        <v>0</v>
      </c>
      <c r="C94" s="14" t="b">
        <v>0</v>
      </c>
      <c r="D94" s="102">
        <f>SUM(Scores[[#This Row],[Q1]:[Q28]])</f>
        <v>11</v>
      </c>
      <c r="E94" s="103">
        <f>SUM(Scores[[#This Row],[29]:[34b]])</f>
        <v>0</v>
      </c>
      <c r="F94" s="103">
        <f>Scores[[#This Row],[35]]</f>
        <v>0</v>
      </c>
      <c r="G94" s="104">
        <f>INDEX('Conversion Chart'!$C$3:$M$38,MATCH(SUM(Scores[[#This Row],[MC]:[CRQ]]),'Conversion Chart'!$B$3:$B$38,0),MATCH(Scores[[#This Row],[EIE]],'Conversion Chart'!$C$2:$M$2,0))</f>
        <v>32</v>
      </c>
      <c r="H94" s="5">
        <v>4</v>
      </c>
      <c r="I94" s="5">
        <v>3</v>
      </c>
      <c r="J94" s="5">
        <v>2</v>
      </c>
      <c r="K94" s="5">
        <v>4</v>
      </c>
      <c r="L94" s="5">
        <v>1</v>
      </c>
      <c r="M94" s="5">
        <v>2</v>
      </c>
      <c r="N94" s="5">
        <v>3</v>
      </c>
      <c r="O94" s="5">
        <v>1</v>
      </c>
      <c r="P94" s="5">
        <v>1</v>
      </c>
      <c r="Q94" s="5">
        <v>3</v>
      </c>
      <c r="R94" s="5">
        <v>3</v>
      </c>
      <c r="S94" s="5">
        <v>4</v>
      </c>
      <c r="T94" s="5">
        <v>1</v>
      </c>
      <c r="U94" s="5">
        <v>4</v>
      </c>
      <c r="V94" s="5">
        <v>1</v>
      </c>
      <c r="W94" s="5">
        <v>1</v>
      </c>
      <c r="X94" s="5">
        <v>2</v>
      </c>
      <c r="Y94" s="5">
        <v>2</v>
      </c>
      <c r="Z94" s="5">
        <v>1</v>
      </c>
      <c r="AA94" s="5">
        <v>3</v>
      </c>
      <c r="AB94" s="5">
        <v>4</v>
      </c>
      <c r="AC94" s="5">
        <v>3</v>
      </c>
      <c r="AD94" s="5">
        <v>4</v>
      </c>
      <c r="AE94" s="5">
        <v>2</v>
      </c>
      <c r="AF94" s="5">
        <v>2</v>
      </c>
      <c r="AG94" s="5">
        <v>3</v>
      </c>
      <c r="AH94" s="5">
        <v>4</v>
      </c>
      <c r="AI94" s="104">
        <v>4</v>
      </c>
      <c r="AJ94" s="95"/>
      <c r="AK94" s="84"/>
      <c r="AL94" s="84"/>
      <c r="AM94" s="84"/>
      <c r="AN94" s="84"/>
      <c r="AO94" s="84"/>
      <c r="AP94" s="94"/>
      <c r="AR94" s="7">
        <f>IF(H94=VLOOKUP(VALUE(H$1),Questions!$A:$E,5,FALSE),1,0)</f>
        <v>1</v>
      </c>
      <c r="AS94" s="7">
        <f>IF(I94=VLOOKUP(VALUE(I$1),Questions!$A:$E,5,FALSE),1,0)</f>
        <v>1</v>
      </c>
      <c r="AT94" s="7">
        <f>IF(J94=VLOOKUP(VALUE(J$1),Questions!$A:$E,5,FALSE),1,0)</f>
        <v>0</v>
      </c>
      <c r="AU94" s="7">
        <f>IF(K94=VLOOKUP(VALUE(K$1),Questions!$A:$E,5,FALSE),1,0)</f>
        <v>0</v>
      </c>
      <c r="AV94" s="7">
        <f>IF(L94=VLOOKUP(VALUE(L$1),Questions!$A:$E,5,FALSE),1,0)</f>
        <v>0</v>
      </c>
      <c r="AW94" s="7">
        <f>IF(M94=VLOOKUP(VALUE(M$1),Questions!$A:$E,5,FALSE),1,0)</f>
        <v>0</v>
      </c>
      <c r="AX94" s="7">
        <f>IF(N94=VLOOKUP(VALUE(N$1),Questions!$A:$E,5,FALSE),1,0)</f>
        <v>1</v>
      </c>
      <c r="AY94" s="7">
        <f>IF(O94=VLOOKUP(VALUE(O$1),Questions!$A:$E,5,FALSE),1,0)</f>
        <v>1</v>
      </c>
      <c r="AZ94" s="7">
        <f>IF(P94=VLOOKUP(VALUE(P$1),Questions!$A:$E,5,FALSE),1,0)</f>
        <v>1</v>
      </c>
      <c r="BA94" s="7">
        <f>IF(Q94=VLOOKUP(VALUE(Q$1),Questions!$A:$E,5,FALSE),1,0)</f>
        <v>0</v>
      </c>
      <c r="BB94" s="7">
        <f>IF(R94=VLOOKUP(VALUE(R$1),Questions!$A:$E,5,FALSE),1,0)</f>
        <v>0</v>
      </c>
      <c r="BC94" s="7">
        <f>IF(S94=VLOOKUP(VALUE(S$1),Questions!$A:$E,5,FALSE),1,0)</f>
        <v>0</v>
      </c>
      <c r="BD94" s="7">
        <f>IF(T94=VLOOKUP(VALUE(T$1),Questions!$A:$E,5,FALSE),1,0)</f>
        <v>1</v>
      </c>
      <c r="BE94" s="7">
        <f>IF(U94=VLOOKUP(VALUE(U$1),Questions!$A:$E,5,FALSE),1,0)</f>
        <v>1</v>
      </c>
      <c r="BF94" s="7">
        <f>IF(V94=VLOOKUP(VALUE(V$1),Questions!$A:$E,5,FALSE),1,0)</f>
        <v>0</v>
      </c>
      <c r="BG94" s="7">
        <f>IF(W94=VLOOKUP(VALUE(W$1),Questions!$A:$E,5,FALSE),1,0)</f>
        <v>0</v>
      </c>
      <c r="BH94" s="7">
        <f>IF(X94=VLOOKUP(VALUE(X$1),Questions!$A:$E,5,FALSE),1,0)</f>
        <v>1</v>
      </c>
      <c r="BI94" s="7">
        <f>IF(Y94=VLOOKUP(VALUE(Y$1),Questions!$A:$E,5,FALSE),1,0)</f>
        <v>0</v>
      </c>
      <c r="BJ94" s="7">
        <f>IF(Z94=VLOOKUP(VALUE(Z$1),Questions!$A:$E,5,FALSE),1,0)</f>
        <v>0</v>
      </c>
      <c r="BK94" s="7">
        <f>IF(AA94=VLOOKUP(VALUE(AA$1),Questions!$A:$E,5,FALSE),1,0)</f>
        <v>1</v>
      </c>
      <c r="BL94" s="7">
        <f>IF(AB94=VLOOKUP(VALUE(AB$1),Questions!$A:$E,5,FALSE),1,0)</f>
        <v>0</v>
      </c>
      <c r="BM94" s="7">
        <f>IF(AC94=VLOOKUP(VALUE(AC$1),Questions!$A:$E,5,FALSE),1,0)</f>
        <v>0</v>
      </c>
      <c r="BN94" s="7">
        <f>IF(AD94=VLOOKUP(VALUE(AD$1),Questions!$A:$E,5,FALSE),1,0)</f>
        <v>0</v>
      </c>
      <c r="BO94" s="7">
        <f>IF(AE94=VLOOKUP(VALUE(AE$1),Questions!$A:$E,5,FALSE),1,0)</f>
        <v>1</v>
      </c>
      <c r="BP94" s="7">
        <f>IF(AF94=VLOOKUP(VALUE(AF$1),Questions!$A:$E,5,FALSE),1,0)</f>
        <v>0</v>
      </c>
      <c r="BQ94" s="7">
        <f>IF(AG94=VLOOKUP(VALUE(AG$1),Questions!$A:$E,5,FALSE),1,0)</f>
        <v>1</v>
      </c>
      <c r="BR94" s="7">
        <f>IF(AH94=VLOOKUP(VALUE(AH$1),Questions!$A:$E,5,FALSE),1,0)</f>
        <v>0</v>
      </c>
      <c r="BS94" s="7">
        <f>IF(AI94=VLOOKUP(VALUE(AI$1),Questions!$A:$E,5,FALSE),1,0)</f>
        <v>0</v>
      </c>
    </row>
    <row r="95" spans="1:71">
      <c r="A95" s="10">
        <v>94</v>
      </c>
      <c r="B95" s="14" t="b">
        <v>0</v>
      </c>
      <c r="C95" s="14" t="b">
        <v>0</v>
      </c>
      <c r="D95" s="102">
        <f>SUM(Scores[[#This Row],[Q1]:[Q28]])</f>
        <v>28</v>
      </c>
      <c r="E95" s="103">
        <f>SUM(Scores[[#This Row],[29]:[34b]])</f>
        <v>0</v>
      </c>
      <c r="F95" s="103">
        <f>Scores[[#This Row],[35]]</f>
        <v>0</v>
      </c>
      <c r="G95" s="104">
        <f>INDEX('Conversion Chart'!$C$3:$M$38,MATCH(SUM(Scores[[#This Row],[MC]:[CRQ]]),'Conversion Chart'!$B$3:$B$38,0),MATCH(Scores[[#This Row],[EIE]],'Conversion Chart'!$C$2:$M$2,0))</f>
        <v>68</v>
      </c>
      <c r="H95" s="5">
        <v>4</v>
      </c>
      <c r="I95" s="5">
        <v>3</v>
      </c>
      <c r="J95" s="5">
        <v>1</v>
      </c>
      <c r="K95" s="5">
        <v>2</v>
      </c>
      <c r="L95" s="5">
        <v>2</v>
      </c>
      <c r="M95" s="5">
        <v>4</v>
      </c>
      <c r="N95" s="5">
        <v>3</v>
      </c>
      <c r="O95" s="5">
        <v>1</v>
      </c>
      <c r="P95" s="5">
        <v>1</v>
      </c>
      <c r="Q95" s="5">
        <v>1</v>
      </c>
      <c r="R95" s="5">
        <v>4</v>
      </c>
      <c r="S95" s="5">
        <v>2</v>
      </c>
      <c r="T95" s="5">
        <v>1</v>
      </c>
      <c r="U95" s="5">
        <v>4</v>
      </c>
      <c r="V95" s="5">
        <v>3</v>
      </c>
      <c r="W95" s="5">
        <v>4</v>
      </c>
      <c r="X95" s="5">
        <v>2</v>
      </c>
      <c r="Y95" s="5">
        <v>3</v>
      </c>
      <c r="Z95" s="5">
        <v>2</v>
      </c>
      <c r="AA95" s="5">
        <v>3</v>
      </c>
      <c r="AB95" s="5">
        <v>2</v>
      </c>
      <c r="AC95" s="5">
        <v>1</v>
      </c>
      <c r="AD95" s="5">
        <v>3</v>
      </c>
      <c r="AE95" s="5">
        <v>2</v>
      </c>
      <c r="AF95" s="5">
        <v>4</v>
      </c>
      <c r="AG95" s="5">
        <v>3</v>
      </c>
      <c r="AH95" s="5">
        <v>1</v>
      </c>
      <c r="AI95" s="104">
        <v>1</v>
      </c>
      <c r="AJ95" s="95"/>
      <c r="AK95" s="84"/>
      <c r="AL95" s="84"/>
      <c r="AM95" s="84"/>
      <c r="AN95" s="84"/>
      <c r="AO95" s="84"/>
      <c r="AP95" s="94"/>
      <c r="AR95" s="7">
        <f>IF(H95=VLOOKUP(VALUE(H$1),Questions!$A:$E,5,FALSE),1,0)</f>
        <v>1</v>
      </c>
      <c r="AS95" s="7">
        <f>IF(I95=VLOOKUP(VALUE(I$1),Questions!$A:$E,5,FALSE),1,0)</f>
        <v>1</v>
      </c>
      <c r="AT95" s="7">
        <f>IF(J95=VLOOKUP(VALUE(J$1),Questions!$A:$E,5,FALSE),1,0)</f>
        <v>1</v>
      </c>
      <c r="AU95" s="7">
        <f>IF(K95=VLOOKUP(VALUE(K$1),Questions!$A:$E,5,FALSE),1,0)</f>
        <v>1</v>
      </c>
      <c r="AV95" s="7">
        <f>IF(L95=VLOOKUP(VALUE(L$1),Questions!$A:$E,5,FALSE),1,0)</f>
        <v>1</v>
      </c>
      <c r="AW95" s="7">
        <f>IF(M95=VLOOKUP(VALUE(M$1),Questions!$A:$E,5,FALSE),1,0)</f>
        <v>1</v>
      </c>
      <c r="AX95" s="7">
        <f>IF(N95=VLOOKUP(VALUE(N$1),Questions!$A:$E,5,FALSE),1,0)</f>
        <v>1</v>
      </c>
      <c r="AY95" s="7">
        <f>IF(O95=VLOOKUP(VALUE(O$1),Questions!$A:$E,5,FALSE),1,0)</f>
        <v>1</v>
      </c>
      <c r="AZ95" s="7">
        <f>IF(P95=VLOOKUP(VALUE(P$1),Questions!$A:$E,5,FALSE),1,0)</f>
        <v>1</v>
      </c>
      <c r="BA95" s="7">
        <f>IF(Q95=VLOOKUP(VALUE(Q$1),Questions!$A:$E,5,FALSE),1,0)</f>
        <v>1</v>
      </c>
      <c r="BB95" s="7">
        <f>IF(R95=VLOOKUP(VALUE(R$1),Questions!$A:$E,5,FALSE),1,0)</f>
        <v>1</v>
      </c>
      <c r="BC95" s="7">
        <f>IF(S95=VLOOKUP(VALUE(S$1),Questions!$A:$E,5,FALSE),1,0)</f>
        <v>1</v>
      </c>
      <c r="BD95" s="7">
        <f>IF(T95=VLOOKUP(VALUE(T$1),Questions!$A:$E,5,FALSE),1,0)</f>
        <v>1</v>
      </c>
      <c r="BE95" s="7">
        <f>IF(U95=VLOOKUP(VALUE(U$1),Questions!$A:$E,5,FALSE),1,0)</f>
        <v>1</v>
      </c>
      <c r="BF95" s="7">
        <f>IF(V95=VLOOKUP(VALUE(V$1),Questions!$A:$E,5,FALSE),1,0)</f>
        <v>1</v>
      </c>
      <c r="BG95" s="7">
        <f>IF(W95=VLOOKUP(VALUE(W$1),Questions!$A:$E,5,FALSE),1,0)</f>
        <v>1</v>
      </c>
      <c r="BH95" s="7">
        <f>IF(X95=VLOOKUP(VALUE(X$1),Questions!$A:$E,5,FALSE),1,0)</f>
        <v>1</v>
      </c>
      <c r="BI95" s="7">
        <f>IF(Y95=VLOOKUP(VALUE(Y$1),Questions!$A:$E,5,FALSE),1,0)</f>
        <v>1</v>
      </c>
      <c r="BJ95" s="7">
        <f>IF(Z95=VLOOKUP(VALUE(Z$1),Questions!$A:$E,5,FALSE),1,0)</f>
        <v>1</v>
      </c>
      <c r="BK95" s="7">
        <f>IF(AA95=VLOOKUP(VALUE(AA$1),Questions!$A:$E,5,FALSE),1,0)</f>
        <v>1</v>
      </c>
      <c r="BL95" s="7">
        <f>IF(AB95=VLOOKUP(VALUE(AB$1),Questions!$A:$E,5,FALSE),1,0)</f>
        <v>1</v>
      </c>
      <c r="BM95" s="7">
        <f>IF(AC95=VLOOKUP(VALUE(AC$1),Questions!$A:$E,5,FALSE),1,0)</f>
        <v>1</v>
      </c>
      <c r="BN95" s="7">
        <f>IF(AD95=VLOOKUP(VALUE(AD$1),Questions!$A:$E,5,FALSE),1,0)</f>
        <v>1</v>
      </c>
      <c r="BO95" s="7">
        <f>IF(AE95=VLOOKUP(VALUE(AE$1),Questions!$A:$E,5,FALSE),1,0)</f>
        <v>1</v>
      </c>
      <c r="BP95" s="7">
        <f>IF(AF95=VLOOKUP(VALUE(AF$1),Questions!$A:$E,5,FALSE),1,0)</f>
        <v>1</v>
      </c>
      <c r="BQ95" s="7">
        <f>IF(AG95=VLOOKUP(VALUE(AG$1),Questions!$A:$E,5,FALSE),1,0)</f>
        <v>1</v>
      </c>
      <c r="BR95" s="7">
        <f>IF(AH95=VLOOKUP(VALUE(AH$1),Questions!$A:$E,5,FALSE),1,0)</f>
        <v>1</v>
      </c>
      <c r="BS95" s="7">
        <f>IF(AI95=VLOOKUP(VALUE(AI$1),Questions!$A:$E,5,FALSE),1,0)</f>
        <v>1</v>
      </c>
    </row>
    <row r="96" spans="1:71">
      <c r="A96" s="10">
        <v>95</v>
      </c>
      <c r="B96" s="14" t="b">
        <v>0</v>
      </c>
      <c r="C96" s="14" t="b">
        <v>0</v>
      </c>
      <c r="D96" s="102">
        <f>SUM(Scores[[#This Row],[Q1]:[Q28]])</f>
        <v>27</v>
      </c>
      <c r="E96" s="103">
        <f>SUM(Scores[[#This Row],[29]:[34b]])</f>
        <v>0</v>
      </c>
      <c r="F96" s="103">
        <f>Scores[[#This Row],[35]]</f>
        <v>0</v>
      </c>
      <c r="G96" s="104">
        <f>INDEX('Conversion Chart'!$C$3:$M$38,MATCH(SUM(Scores[[#This Row],[MC]:[CRQ]]),'Conversion Chart'!$B$3:$B$38,0),MATCH(Scores[[#This Row],[EIE]],'Conversion Chart'!$C$2:$M$2,0))</f>
        <v>66</v>
      </c>
      <c r="H96" s="5">
        <v>4</v>
      </c>
      <c r="I96" s="5">
        <v>3</v>
      </c>
      <c r="J96" s="5">
        <v>1</v>
      </c>
      <c r="K96" s="5">
        <v>2</v>
      </c>
      <c r="L96" s="5">
        <v>2</v>
      </c>
      <c r="M96" s="5">
        <v>4</v>
      </c>
      <c r="N96" s="5">
        <v>3</v>
      </c>
      <c r="O96" s="5">
        <v>1</v>
      </c>
      <c r="P96" s="5">
        <v>1</v>
      </c>
      <c r="Q96" s="5">
        <v>1</v>
      </c>
      <c r="R96" s="5">
        <v>4</v>
      </c>
      <c r="S96" s="5">
        <v>2</v>
      </c>
      <c r="T96" s="5">
        <v>1</v>
      </c>
      <c r="U96" s="5">
        <v>4</v>
      </c>
      <c r="V96" s="5">
        <v>3</v>
      </c>
      <c r="W96" s="5">
        <v>4</v>
      </c>
      <c r="X96" s="5">
        <v>2</v>
      </c>
      <c r="Y96" s="5">
        <v>3</v>
      </c>
      <c r="Z96" s="5">
        <v>2</v>
      </c>
      <c r="AA96" s="5">
        <v>4</v>
      </c>
      <c r="AB96" s="5">
        <v>2</v>
      </c>
      <c r="AC96" s="5">
        <v>1</v>
      </c>
      <c r="AD96" s="5">
        <v>3</v>
      </c>
      <c r="AE96" s="5">
        <v>2</v>
      </c>
      <c r="AF96" s="5">
        <v>4</v>
      </c>
      <c r="AG96" s="5">
        <v>3</v>
      </c>
      <c r="AH96" s="5">
        <v>1</v>
      </c>
      <c r="AI96" s="104">
        <v>1</v>
      </c>
      <c r="AJ96" s="95"/>
      <c r="AK96" s="84"/>
      <c r="AL96" s="84"/>
      <c r="AM96" s="84"/>
      <c r="AN96" s="84"/>
      <c r="AO96" s="84"/>
      <c r="AP96" s="94"/>
      <c r="AR96" s="7">
        <f>IF(H96=VLOOKUP(VALUE(H$1),Questions!$A:$E,5,FALSE),1,0)</f>
        <v>1</v>
      </c>
      <c r="AS96" s="7">
        <f>IF(I96=VLOOKUP(VALUE(I$1),Questions!$A:$E,5,FALSE),1,0)</f>
        <v>1</v>
      </c>
      <c r="AT96" s="7">
        <f>IF(J96=VLOOKUP(VALUE(J$1),Questions!$A:$E,5,FALSE),1,0)</f>
        <v>1</v>
      </c>
      <c r="AU96" s="7">
        <f>IF(K96=VLOOKUP(VALUE(K$1),Questions!$A:$E,5,FALSE),1,0)</f>
        <v>1</v>
      </c>
      <c r="AV96" s="7">
        <f>IF(L96=VLOOKUP(VALUE(L$1),Questions!$A:$E,5,FALSE),1,0)</f>
        <v>1</v>
      </c>
      <c r="AW96" s="7">
        <f>IF(M96=VLOOKUP(VALUE(M$1),Questions!$A:$E,5,FALSE),1,0)</f>
        <v>1</v>
      </c>
      <c r="AX96" s="7">
        <f>IF(N96=VLOOKUP(VALUE(N$1),Questions!$A:$E,5,FALSE),1,0)</f>
        <v>1</v>
      </c>
      <c r="AY96" s="7">
        <f>IF(O96=VLOOKUP(VALUE(O$1),Questions!$A:$E,5,FALSE),1,0)</f>
        <v>1</v>
      </c>
      <c r="AZ96" s="7">
        <f>IF(P96=VLOOKUP(VALUE(P$1),Questions!$A:$E,5,FALSE),1,0)</f>
        <v>1</v>
      </c>
      <c r="BA96" s="7">
        <f>IF(Q96=VLOOKUP(VALUE(Q$1),Questions!$A:$E,5,FALSE),1,0)</f>
        <v>1</v>
      </c>
      <c r="BB96" s="7">
        <f>IF(R96=VLOOKUP(VALUE(R$1),Questions!$A:$E,5,FALSE),1,0)</f>
        <v>1</v>
      </c>
      <c r="BC96" s="7">
        <f>IF(S96=VLOOKUP(VALUE(S$1),Questions!$A:$E,5,FALSE),1,0)</f>
        <v>1</v>
      </c>
      <c r="BD96" s="7">
        <f>IF(T96=VLOOKUP(VALUE(T$1),Questions!$A:$E,5,FALSE),1,0)</f>
        <v>1</v>
      </c>
      <c r="BE96" s="7">
        <f>IF(U96=VLOOKUP(VALUE(U$1),Questions!$A:$E,5,FALSE),1,0)</f>
        <v>1</v>
      </c>
      <c r="BF96" s="7">
        <f>IF(V96=VLOOKUP(VALUE(V$1),Questions!$A:$E,5,FALSE),1,0)</f>
        <v>1</v>
      </c>
      <c r="BG96" s="7">
        <f>IF(W96=VLOOKUP(VALUE(W$1),Questions!$A:$E,5,FALSE),1,0)</f>
        <v>1</v>
      </c>
      <c r="BH96" s="7">
        <f>IF(X96=VLOOKUP(VALUE(X$1),Questions!$A:$E,5,FALSE),1,0)</f>
        <v>1</v>
      </c>
      <c r="BI96" s="7">
        <f>IF(Y96=VLOOKUP(VALUE(Y$1),Questions!$A:$E,5,FALSE),1,0)</f>
        <v>1</v>
      </c>
      <c r="BJ96" s="7">
        <f>IF(Z96=VLOOKUP(VALUE(Z$1),Questions!$A:$E,5,FALSE),1,0)</f>
        <v>1</v>
      </c>
      <c r="BK96" s="7">
        <f>IF(AA96=VLOOKUP(VALUE(AA$1),Questions!$A:$E,5,FALSE),1,0)</f>
        <v>0</v>
      </c>
      <c r="BL96" s="7">
        <f>IF(AB96=VLOOKUP(VALUE(AB$1),Questions!$A:$E,5,FALSE),1,0)</f>
        <v>1</v>
      </c>
      <c r="BM96" s="7">
        <f>IF(AC96=VLOOKUP(VALUE(AC$1),Questions!$A:$E,5,FALSE),1,0)</f>
        <v>1</v>
      </c>
      <c r="BN96" s="7">
        <f>IF(AD96=VLOOKUP(VALUE(AD$1),Questions!$A:$E,5,FALSE),1,0)</f>
        <v>1</v>
      </c>
      <c r="BO96" s="7">
        <f>IF(AE96=VLOOKUP(VALUE(AE$1),Questions!$A:$E,5,FALSE),1,0)</f>
        <v>1</v>
      </c>
      <c r="BP96" s="7">
        <f>IF(AF96=VLOOKUP(VALUE(AF$1),Questions!$A:$E,5,FALSE),1,0)</f>
        <v>1</v>
      </c>
      <c r="BQ96" s="7">
        <f>IF(AG96=VLOOKUP(VALUE(AG$1),Questions!$A:$E,5,FALSE),1,0)</f>
        <v>1</v>
      </c>
      <c r="BR96" s="7">
        <f>IF(AH96=VLOOKUP(VALUE(AH$1),Questions!$A:$E,5,FALSE),1,0)</f>
        <v>1</v>
      </c>
      <c r="BS96" s="7">
        <f>IF(AI96=VLOOKUP(VALUE(AI$1),Questions!$A:$E,5,FALSE),1,0)</f>
        <v>1</v>
      </c>
    </row>
    <row r="97" spans="1:71">
      <c r="A97" s="10">
        <v>96</v>
      </c>
      <c r="B97" s="14" t="b">
        <v>0</v>
      </c>
      <c r="C97" s="14" t="b">
        <v>1</v>
      </c>
      <c r="D97" s="102">
        <f>SUM(Scores[[#This Row],[Q1]:[Q28]])</f>
        <v>27</v>
      </c>
      <c r="E97" s="103">
        <f>SUM(Scores[[#This Row],[29]:[34b]])</f>
        <v>0</v>
      </c>
      <c r="F97" s="103">
        <f>Scores[[#This Row],[35]]</f>
        <v>0</v>
      </c>
      <c r="G97" s="104">
        <f>INDEX('Conversion Chart'!$C$3:$M$38,MATCH(SUM(Scores[[#This Row],[MC]:[CRQ]]),'Conversion Chart'!$B$3:$B$38,0),MATCH(Scores[[#This Row],[EIE]],'Conversion Chart'!$C$2:$M$2,0))</f>
        <v>66</v>
      </c>
      <c r="H97" s="5">
        <v>4</v>
      </c>
      <c r="I97" s="5">
        <v>3</v>
      </c>
      <c r="J97" s="5">
        <v>1</v>
      </c>
      <c r="K97" s="5">
        <v>2</v>
      </c>
      <c r="L97" s="5">
        <v>2</v>
      </c>
      <c r="M97" s="5">
        <v>4</v>
      </c>
      <c r="N97" s="5">
        <v>3</v>
      </c>
      <c r="O97" s="5">
        <v>1</v>
      </c>
      <c r="P97" s="5">
        <v>1</v>
      </c>
      <c r="Q97" s="5">
        <v>1</v>
      </c>
      <c r="R97" s="5">
        <v>4</v>
      </c>
      <c r="S97" s="5">
        <v>2</v>
      </c>
      <c r="T97" s="5">
        <v>1</v>
      </c>
      <c r="U97" s="5">
        <v>1</v>
      </c>
      <c r="V97" s="5">
        <v>3</v>
      </c>
      <c r="W97" s="5">
        <v>4</v>
      </c>
      <c r="X97" s="5">
        <v>2</v>
      </c>
      <c r="Y97" s="5">
        <v>3</v>
      </c>
      <c r="Z97" s="5">
        <v>2</v>
      </c>
      <c r="AA97" s="5">
        <v>3</v>
      </c>
      <c r="AB97" s="5">
        <v>2</v>
      </c>
      <c r="AC97" s="5">
        <v>1</v>
      </c>
      <c r="AD97" s="5">
        <v>3</v>
      </c>
      <c r="AE97" s="5">
        <v>2</v>
      </c>
      <c r="AF97" s="5">
        <v>4</v>
      </c>
      <c r="AG97" s="5">
        <v>3</v>
      </c>
      <c r="AH97" s="5">
        <v>1</v>
      </c>
      <c r="AI97" s="104">
        <v>1</v>
      </c>
      <c r="AJ97" s="95"/>
      <c r="AK97" s="84"/>
      <c r="AL97" s="84"/>
      <c r="AM97" s="84"/>
      <c r="AN97" s="84"/>
      <c r="AO97" s="84"/>
      <c r="AP97" s="94"/>
      <c r="AR97" s="7">
        <f>IF(H97=VLOOKUP(VALUE(H$1),Questions!$A:$E,5,FALSE),1,0)</f>
        <v>1</v>
      </c>
      <c r="AS97" s="7">
        <f>IF(I97=VLOOKUP(VALUE(I$1),Questions!$A:$E,5,FALSE),1,0)</f>
        <v>1</v>
      </c>
      <c r="AT97" s="7">
        <f>IF(J97=VLOOKUP(VALUE(J$1),Questions!$A:$E,5,FALSE),1,0)</f>
        <v>1</v>
      </c>
      <c r="AU97" s="7">
        <f>IF(K97=VLOOKUP(VALUE(K$1),Questions!$A:$E,5,FALSE),1,0)</f>
        <v>1</v>
      </c>
      <c r="AV97" s="7">
        <f>IF(L97=VLOOKUP(VALUE(L$1),Questions!$A:$E,5,FALSE),1,0)</f>
        <v>1</v>
      </c>
      <c r="AW97" s="7">
        <f>IF(M97=VLOOKUP(VALUE(M$1),Questions!$A:$E,5,FALSE),1,0)</f>
        <v>1</v>
      </c>
      <c r="AX97" s="7">
        <f>IF(N97=VLOOKUP(VALUE(N$1),Questions!$A:$E,5,FALSE),1,0)</f>
        <v>1</v>
      </c>
      <c r="AY97" s="7">
        <f>IF(O97=VLOOKUP(VALUE(O$1),Questions!$A:$E,5,FALSE),1,0)</f>
        <v>1</v>
      </c>
      <c r="AZ97" s="7">
        <f>IF(P97=VLOOKUP(VALUE(P$1),Questions!$A:$E,5,FALSE),1,0)</f>
        <v>1</v>
      </c>
      <c r="BA97" s="7">
        <f>IF(Q97=VLOOKUP(VALUE(Q$1),Questions!$A:$E,5,FALSE),1,0)</f>
        <v>1</v>
      </c>
      <c r="BB97" s="7">
        <f>IF(R97=VLOOKUP(VALUE(R$1),Questions!$A:$E,5,FALSE),1,0)</f>
        <v>1</v>
      </c>
      <c r="BC97" s="7">
        <f>IF(S97=VLOOKUP(VALUE(S$1),Questions!$A:$E,5,FALSE),1,0)</f>
        <v>1</v>
      </c>
      <c r="BD97" s="7">
        <f>IF(T97=VLOOKUP(VALUE(T$1),Questions!$A:$E,5,FALSE),1,0)</f>
        <v>1</v>
      </c>
      <c r="BE97" s="7">
        <f>IF(U97=VLOOKUP(VALUE(U$1),Questions!$A:$E,5,FALSE),1,0)</f>
        <v>0</v>
      </c>
      <c r="BF97" s="7">
        <f>IF(V97=VLOOKUP(VALUE(V$1),Questions!$A:$E,5,FALSE),1,0)</f>
        <v>1</v>
      </c>
      <c r="BG97" s="7">
        <f>IF(W97=VLOOKUP(VALUE(W$1),Questions!$A:$E,5,FALSE),1,0)</f>
        <v>1</v>
      </c>
      <c r="BH97" s="7">
        <f>IF(X97=VLOOKUP(VALUE(X$1),Questions!$A:$E,5,FALSE),1,0)</f>
        <v>1</v>
      </c>
      <c r="BI97" s="7">
        <f>IF(Y97=VLOOKUP(VALUE(Y$1),Questions!$A:$E,5,FALSE),1,0)</f>
        <v>1</v>
      </c>
      <c r="BJ97" s="7">
        <f>IF(Z97=VLOOKUP(VALUE(Z$1),Questions!$A:$E,5,FALSE),1,0)</f>
        <v>1</v>
      </c>
      <c r="BK97" s="7">
        <f>IF(AA97=VLOOKUP(VALUE(AA$1),Questions!$A:$E,5,FALSE),1,0)</f>
        <v>1</v>
      </c>
      <c r="BL97" s="7">
        <f>IF(AB97=VLOOKUP(VALUE(AB$1),Questions!$A:$E,5,FALSE),1,0)</f>
        <v>1</v>
      </c>
      <c r="BM97" s="7">
        <f>IF(AC97=VLOOKUP(VALUE(AC$1),Questions!$A:$E,5,FALSE),1,0)</f>
        <v>1</v>
      </c>
      <c r="BN97" s="7">
        <f>IF(AD97=VLOOKUP(VALUE(AD$1),Questions!$A:$E,5,FALSE),1,0)</f>
        <v>1</v>
      </c>
      <c r="BO97" s="7">
        <f>IF(AE97=VLOOKUP(VALUE(AE$1),Questions!$A:$E,5,FALSE),1,0)</f>
        <v>1</v>
      </c>
      <c r="BP97" s="7">
        <f>IF(AF97=VLOOKUP(VALUE(AF$1),Questions!$A:$E,5,FALSE),1,0)</f>
        <v>1</v>
      </c>
      <c r="BQ97" s="7">
        <f>IF(AG97=VLOOKUP(VALUE(AG$1),Questions!$A:$E,5,FALSE),1,0)</f>
        <v>1</v>
      </c>
      <c r="BR97" s="7">
        <f>IF(AH97=VLOOKUP(VALUE(AH$1),Questions!$A:$E,5,FALSE),1,0)</f>
        <v>1</v>
      </c>
      <c r="BS97" s="7">
        <f>IF(AI97=VLOOKUP(VALUE(AI$1),Questions!$A:$E,5,FALSE),1,0)</f>
        <v>1</v>
      </c>
    </row>
    <row r="98" spans="1:71">
      <c r="A98" s="10">
        <v>97</v>
      </c>
      <c r="B98" s="14" t="b">
        <v>0</v>
      </c>
      <c r="C98" s="14" t="b">
        <v>0</v>
      </c>
      <c r="D98" s="102">
        <f>SUM(Scores[[#This Row],[Q1]:[Q28]])</f>
        <v>5</v>
      </c>
      <c r="E98" s="103">
        <f>SUM(Scores[[#This Row],[29]:[34b]])</f>
        <v>0</v>
      </c>
      <c r="F98" s="103">
        <f>Scores[[#This Row],[35]]</f>
        <v>0</v>
      </c>
      <c r="G98" s="104">
        <f>INDEX('Conversion Chart'!$C$3:$M$38,MATCH(SUM(Scores[[#This Row],[MC]:[CRQ]]),'Conversion Chart'!$B$3:$B$38,0),MATCH(Scores[[#This Row],[EIE]],'Conversion Chart'!$C$2:$M$2,0))</f>
        <v>16</v>
      </c>
      <c r="H98" s="5">
        <v>4</v>
      </c>
      <c r="I98" s="5">
        <v>2</v>
      </c>
      <c r="J98" s="5">
        <v>3</v>
      </c>
      <c r="K98" s="5"/>
      <c r="L98" s="5">
        <v>3</v>
      </c>
      <c r="M98" s="5"/>
      <c r="N98" s="5">
        <v>3</v>
      </c>
      <c r="O98" s="5">
        <v>4</v>
      </c>
      <c r="P98" s="5">
        <v>4</v>
      </c>
      <c r="Q98" s="5">
        <v>1</v>
      </c>
      <c r="R98" s="5">
        <v>1</v>
      </c>
      <c r="S98" s="5">
        <v>4</v>
      </c>
      <c r="T98" s="5">
        <v>2</v>
      </c>
      <c r="U98" s="5">
        <v>4</v>
      </c>
      <c r="V98" s="5">
        <v>1</v>
      </c>
      <c r="W98" s="5">
        <v>3</v>
      </c>
      <c r="X98" s="5">
        <v>3</v>
      </c>
      <c r="Y98" s="5">
        <v>1</v>
      </c>
      <c r="Z98" s="5">
        <v>2</v>
      </c>
      <c r="AA98" s="5">
        <v>4</v>
      </c>
      <c r="AB98" s="5">
        <v>3</v>
      </c>
      <c r="AC98" s="5">
        <v>2</v>
      </c>
      <c r="AD98" s="5">
        <v>4</v>
      </c>
      <c r="AE98" s="5">
        <v>4</v>
      </c>
      <c r="AF98" s="5">
        <v>1</v>
      </c>
      <c r="AG98" s="5">
        <v>4</v>
      </c>
      <c r="AH98" s="5">
        <v>3</v>
      </c>
      <c r="AI98" s="104">
        <v>2</v>
      </c>
      <c r="AJ98" s="95"/>
      <c r="AK98" s="84"/>
      <c r="AL98" s="84"/>
      <c r="AM98" s="84"/>
      <c r="AN98" s="84"/>
      <c r="AO98" s="84"/>
      <c r="AP98" s="94"/>
      <c r="AR98" s="7">
        <f>IF(H98=VLOOKUP(VALUE(H$1),Questions!$A:$E,5,FALSE),1,0)</f>
        <v>1</v>
      </c>
      <c r="AS98" s="7">
        <f>IF(I98=VLOOKUP(VALUE(I$1),Questions!$A:$E,5,FALSE),1,0)</f>
        <v>0</v>
      </c>
      <c r="AT98" s="7">
        <f>IF(J98=VLOOKUP(VALUE(J$1),Questions!$A:$E,5,FALSE),1,0)</f>
        <v>0</v>
      </c>
      <c r="AU98" s="7">
        <f>IF(K98=VLOOKUP(VALUE(K$1),Questions!$A:$E,5,FALSE),1,0)</f>
        <v>0</v>
      </c>
      <c r="AV98" s="7">
        <f>IF(L98=VLOOKUP(VALUE(L$1),Questions!$A:$E,5,FALSE),1,0)</f>
        <v>0</v>
      </c>
      <c r="AW98" s="7">
        <f>IF(M98=VLOOKUP(VALUE(M$1),Questions!$A:$E,5,FALSE),1,0)</f>
        <v>0</v>
      </c>
      <c r="AX98" s="7">
        <f>IF(N98=VLOOKUP(VALUE(N$1),Questions!$A:$E,5,FALSE),1,0)</f>
        <v>1</v>
      </c>
      <c r="AY98" s="7">
        <f>IF(O98=VLOOKUP(VALUE(O$1),Questions!$A:$E,5,FALSE),1,0)</f>
        <v>0</v>
      </c>
      <c r="AZ98" s="7">
        <f>IF(P98=VLOOKUP(VALUE(P$1),Questions!$A:$E,5,FALSE),1,0)</f>
        <v>0</v>
      </c>
      <c r="BA98" s="7">
        <f>IF(Q98=VLOOKUP(VALUE(Q$1),Questions!$A:$E,5,FALSE),1,0)</f>
        <v>1</v>
      </c>
      <c r="BB98" s="7">
        <f>IF(R98=VLOOKUP(VALUE(R$1),Questions!$A:$E,5,FALSE),1,0)</f>
        <v>0</v>
      </c>
      <c r="BC98" s="7">
        <f>IF(S98=VLOOKUP(VALUE(S$1),Questions!$A:$E,5,FALSE),1,0)</f>
        <v>0</v>
      </c>
      <c r="BD98" s="7">
        <f>IF(T98=VLOOKUP(VALUE(T$1),Questions!$A:$E,5,FALSE),1,0)</f>
        <v>0</v>
      </c>
      <c r="BE98" s="7">
        <f>IF(U98=VLOOKUP(VALUE(U$1),Questions!$A:$E,5,FALSE),1,0)</f>
        <v>1</v>
      </c>
      <c r="BF98" s="7">
        <f>IF(V98=VLOOKUP(VALUE(V$1),Questions!$A:$E,5,FALSE),1,0)</f>
        <v>0</v>
      </c>
      <c r="BG98" s="7">
        <f>IF(W98=VLOOKUP(VALUE(W$1),Questions!$A:$E,5,FALSE),1,0)</f>
        <v>0</v>
      </c>
      <c r="BH98" s="7">
        <f>IF(X98=VLOOKUP(VALUE(X$1),Questions!$A:$E,5,FALSE),1,0)</f>
        <v>0</v>
      </c>
      <c r="BI98" s="7">
        <f>IF(Y98=VLOOKUP(VALUE(Y$1),Questions!$A:$E,5,FALSE),1,0)</f>
        <v>0</v>
      </c>
      <c r="BJ98" s="7">
        <f>IF(Z98=VLOOKUP(VALUE(Z$1),Questions!$A:$E,5,FALSE),1,0)</f>
        <v>1</v>
      </c>
      <c r="BK98" s="7">
        <f>IF(AA98=VLOOKUP(VALUE(AA$1),Questions!$A:$E,5,FALSE),1,0)</f>
        <v>0</v>
      </c>
      <c r="BL98" s="7">
        <f>IF(AB98=VLOOKUP(VALUE(AB$1),Questions!$A:$E,5,FALSE),1,0)</f>
        <v>0</v>
      </c>
      <c r="BM98" s="7">
        <f>IF(AC98=VLOOKUP(VALUE(AC$1),Questions!$A:$E,5,FALSE),1,0)</f>
        <v>0</v>
      </c>
      <c r="BN98" s="7">
        <f>IF(AD98=VLOOKUP(VALUE(AD$1),Questions!$A:$E,5,FALSE),1,0)</f>
        <v>0</v>
      </c>
      <c r="BO98" s="7">
        <f>IF(AE98=VLOOKUP(VALUE(AE$1),Questions!$A:$E,5,FALSE),1,0)</f>
        <v>0</v>
      </c>
      <c r="BP98" s="7">
        <f>IF(AF98=VLOOKUP(VALUE(AF$1),Questions!$A:$E,5,FALSE),1,0)</f>
        <v>0</v>
      </c>
      <c r="BQ98" s="7">
        <f>IF(AG98=VLOOKUP(VALUE(AG$1),Questions!$A:$E,5,FALSE),1,0)</f>
        <v>0</v>
      </c>
      <c r="BR98" s="7">
        <f>IF(AH98=VLOOKUP(VALUE(AH$1),Questions!$A:$E,5,FALSE),1,0)</f>
        <v>0</v>
      </c>
      <c r="BS98" s="7">
        <f>IF(AI98=VLOOKUP(VALUE(AI$1),Questions!$A:$E,5,FALSE),1,0)</f>
        <v>0</v>
      </c>
    </row>
    <row r="99" spans="1:71">
      <c r="A99" s="10">
        <v>98</v>
      </c>
      <c r="B99" s="14" t="b">
        <v>0</v>
      </c>
      <c r="C99" s="14" t="b">
        <v>0</v>
      </c>
      <c r="D99" s="102">
        <f>SUM(Scores[[#This Row],[Q1]:[Q28]])</f>
        <v>19</v>
      </c>
      <c r="E99" s="103">
        <f>SUM(Scores[[#This Row],[29]:[34b]])</f>
        <v>0</v>
      </c>
      <c r="F99" s="103">
        <f>Scores[[#This Row],[35]]</f>
        <v>0</v>
      </c>
      <c r="G99" s="104">
        <f>INDEX('Conversion Chart'!$C$3:$M$38,MATCH(SUM(Scores[[#This Row],[MC]:[CRQ]]),'Conversion Chart'!$B$3:$B$38,0),MATCH(Scores[[#This Row],[EIE]],'Conversion Chart'!$C$2:$M$2,0))</f>
        <v>51</v>
      </c>
      <c r="H99" s="5">
        <v>1</v>
      </c>
      <c r="I99" s="5">
        <v>3</v>
      </c>
      <c r="J99" s="5">
        <v>1</v>
      </c>
      <c r="K99" s="5">
        <v>4</v>
      </c>
      <c r="L99" s="5">
        <v>2</v>
      </c>
      <c r="M99" s="5">
        <v>4</v>
      </c>
      <c r="N99" s="5">
        <v>3</v>
      </c>
      <c r="O99" s="5">
        <v>3</v>
      </c>
      <c r="P99" s="5">
        <v>1</v>
      </c>
      <c r="Q99" s="5">
        <v>3</v>
      </c>
      <c r="R99" s="5">
        <v>4</v>
      </c>
      <c r="S99" s="5">
        <v>4</v>
      </c>
      <c r="T99" s="5">
        <v>1</v>
      </c>
      <c r="U99" s="5">
        <v>4</v>
      </c>
      <c r="V99" s="5">
        <v>3</v>
      </c>
      <c r="W99" s="5">
        <v>4</v>
      </c>
      <c r="X99" s="5">
        <v>1</v>
      </c>
      <c r="Y99" s="5">
        <v>1</v>
      </c>
      <c r="Z99" s="5">
        <v>2</v>
      </c>
      <c r="AA99" s="5">
        <v>3</v>
      </c>
      <c r="AB99" s="5">
        <v>2</v>
      </c>
      <c r="AC99" s="5">
        <v>1</v>
      </c>
      <c r="AD99" s="5">
        <v>3</v>
      </c>
      <c r="AE99" s="5">
        <v>2</v>
      </c>
      <c r="AF99" s="5">
        <v>4</v>
      </c>
      <c r="AG99" s="5">
        <v>3</v>
      </c>
      <c r="AH99" s="5">
        <v>2</v>
      </c>
      <c r="AI99" s="104">
        <v>3</v>
      </c>
      <c r="AJ99" s="95"/>
      <c r="AK99" s="84"/>
      <c r="AL99" s="84"/>
      <c r="AM99" s="84"/>
      <c r="AN99" s="84"/>
      <c r="AO99" s="84"/>
      <c r="AP99" s="94"/>
      <c r="AR99" s="7">
        <f>IF(H99=VLOOKUP(VALUE(H$1),Questions!$A:$E,5,FALSE),1,0)</f>
        <v>0</v>
      </c>
      <c r="AS99" s="7">
        <f>IF(I99=VLOOKUP(VALUE(I$1),Questions!$A:$E,5,FALSE),1,0)</f>
        <v>1</v>
      </c>
      <c r="AT99" s="7">
        <f>IF(J99=VLOOKUP(VALUE(J$1),Questions!$A:$E,5,FALSE),1,0)</f>
        <v>1</v>
      </c>
      <c r="AU99" s="7">
        <f>IF(K99=VLOOKUP(VALUE(K$1),Questions!$A:$E,5,FALSE),1,0)</f>
        <v>0</v>
      </c>
      <c r="AV99" s="7">
        <f>IF(L99=VLOOKUP(VALUE(L$1),Questions!$A:$E,5,FALSE),1,0)</f>
        <v>1</v>
      </c>
      <c r="AW99" s="7">
        <f>IF(M99=VLOOKUP(VALUE(M$1),Questions!$A:$E,5,FALSE),1,0)</f>
        <v>1</v>
      </c>
      <c r="AX99" s="7">
        <f>IF(N99=VLOOKUP(VALUE(N$1),Questions!$A:$E,5,FALSE),1,0)</f>
        <v>1</v>
      </c>
      <c r="AY99" s="7">
        <f>IF(O99=VLOOKUP(VALUE(O$1),Questions!$A:$E,5,FALSE),1,0)</f>
        <v>0</v>
      </c>
      <c r="AZ99" s="7">
        <f>IF(P99=VLOOKUP(VALUE(P$1),Questions!$A:$E,5,FALSE),1,0)</f>
        <v>1</v>
      </c>
      <c r="BA99" s="7">
        <f>IF(Q99=VLOOKUP(VALUE(Q$1),Questions!$A:$E,5,FALSE),1,0)</f>
        <v>0</v>
      </c>
      <c r="BB99" s="7">
        <f>IF(R99=VLOOKUP(VALUE(R$1),Questions!$A:$E,5,FALSE),1,0)</f>
        <v>1</v>
      </c>
      <c r="BC99" s="7">
        <f>IF(S99=VLOOKUP(VALUE(S$1),Questions!$A:$E,5,FALSE),1,0)</f>
        <v>0</v>
      </c>
      <c r="BD99" s="7">
        <f>IF(T99=VLOOKUP(VALUE(T$1),Questions!$A:$E,5,FALSE),1,0)</f>
        <v>1</v>
      </c>
      <c r="BE99" s="7">
        <f>IF(U99=VLOOKUP(VALUE(U$1),Questions!$A:$E,5,FALSE),1,0)</f>
        <v>1</v>
      </c>
      <c r="BF99" s="7">
        <f>IF(V99=VLOOKUP(VALUE(V$1),Questions!$A:$E,5,FALSE),1,0)</f>
        <v>1</v>
      </c>
      <c r="BG99" s="7">
        <f>IF(W99=VLOOKUP(VALUE(W$1),Questions!$A:$E,5,FALSE),1,0)</f>
        <v>1</v>
      </c>
      <c r="BH99" s="7">
        <f>IF(X99=VLOOKUP(VALUE(X$1),Questions!$A:$E,5,FALSE),1,0)</f>
        <v>0</v>
      </c>
      <c r="BI99" s="7">
        <f>IF(Y99=VLOOKUP(VALUE(Y$1),Questions!$A:$E,5,FALSE),1,0)</f>
        <v>0</v>
      </c>
      <c r="BJ99" s="7">
        <f>IF(Z99=VLOOKUP(VALUE(Z$1),Questions!$A:$E,5,FALSE),1,0)</f>
        <v>1</v>
      </c>
      <c r="BK99" s="7">
        <f>IF(AA99=VLOOKUP(VALUE(AA$1),Questions!$A:$E,5,FALSE),1,0)</f>
        <v>1</v>
      </c>
      <c r="BL99" s="7">
        <f>IF(AB99=VLOOKUP(VALUE(AB$1),Questions!$A:$E,5,FALSE),1,0)</f>
        <v>1</v>
      </c>
      <c r="BM99" s="7">
        <f>IF(AC99=VLOOKUP(VALUE(AC$1),Questions!$A:$E,5,FALSE),1,0)</f>
        <v>1</v>
      </c>
      <c r="BN99" s="7">
        <f>IF(AD99=VLOOKUP(VALUE(AD$1),Questions!$A:$E,5,FALSE),1,0)</f>
        <v>1</v>
      </c>
      <c r="BO99" s="7">
        <f>IF(AE99=VLOOKUP(VALUE(AE$1),Questions!$A:$E,5,FALSE),1,0)</f>
        <v>1</v>
      </c>
      <c r="BP99" s="7">
        <f>IF(AF99=VLOOKUP(VALUE(AF$1),Questions!$A:$E,5,FALSE),1,0)</f>
        <v>1</v>
      </c>
      <c r="BQ99" s="7">
        <f>IF(AG99=VLOOKUP(VALUE(AG$1),Questions!$A:$E,5,FALSE),1,0)</f>
        <v>1</v>
      </c>
      <c r="BR99" s="7">
        <f>IF(AH99=VLOOKUP(VALUE(AH$1),Questions!$A:$E,5,FALSE),1,0)</f>
        <v>0</v>
      </c>
      <c r="BS99" s="7">
        <f>IF(AI99=VLOOKUP(VALUE(AI$1),Questions!$A:$E,5,FALSE),1,0)</f>
        <v>0</v>
      </c>
    </row>
    <row r="100" spans="1:71">
      <c r="A100" s="10">
        <v>99</v>
      </c>
      <c r="B100" s="14" t="b">
        <v>0</v>
      </c>
      <c r="C100" s="14" t="b">
        <v>0</v>
      </c>
      <c r="D100" s="102">
        <f>SUM(Scores[[#This Row],[Q1]:[Q28]])</f>
        <v>0</v>
      </c>
      <c r="E100" s="103">
        <f>SUM(Scores[[#This Row],[29]:[34b]])</f>
        <v>0</v>
      </c>
      <c r="F100" s="103">
        <f>Scores[[#This Row],[35]]</f>
        <v>0</v>
      </c>
      <c r="G100" s="104">
        <f>INDEX('Conversion Chart'!$C$3:$M$38,MATCH(SUM(Scores[[#This Row],[MC]:[CRQ]]),'Conversion Chart'!$B$3:$B$38,0),MATCH(Scores[[#This Row],[EIE]],'Conversion Chart'!$C$2:$M$2,0))</f>
        <v>0</v>
      </c>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104"/>
      <c r="AJ100" s="95"/>
      <c r="AK100" s="84"/>
      <c r="AL100" s="84"/>
      <c r="AM100" s="84"/>
      <c r="AN100" s="84"/>
      <c r="AO100" s="84"/>
      <c r="AP100" s="94"/>
      <c r="AR100" s="7">
        <f>IF(H100=VLOOKUP(VALUE(H$1),Questions!$A:$E,5,FALSE),1,0)</f>
        <v>0</v>
      </c>
      <c r="AS100" s="7">
        <f>IF(I100=VLOOKUP(VALUE(I$1),Questions!$A:$E,5,FALSE),1,0)</f>
        <v>0</v>
      </c>
      <c r="AT100" s="7">
        <f>IF(J100=VLOOKUP(VALUE(J$1),Questions!$A:$E,5,FALSE),1,0)</f>
        <v>0</v>
      </c>
      <c r="AU100" s="7">
        <f>IF(K100=VLOOKUP(VALUE(K$1),Questions!$A:$E,5,FALSE),1,0)</f>
        <v>0</v>
      </c>
      <c r="AV100" s="7">
        <f>IF(L100=VLOOKUP(VALUE(L$1),Questions!$A:$E,5,FALSE),1,0)</f>
        <v>0</v>
      </c>
      <c r="AW100" s="7">
        <f>IF(M100=VLOOKUP(VALUE(M$1),Questions!$A:$E,5,FALSE),1,0)</f>
        <v>0</v>
      </c>
      <c r="AX100" s="7">
        <f>IF(N100=VLOOKUP(VALUE(N$1),Questions!$A:$E,5,FALSE),1,0)</f>
        <v>0</v>
      </c>
      <c r="AY100" s="7">
        <f>IF(O100=VLOOKUP(VALUE(O$1),Questions!$A:$E,5,FALSE),1,0)</f>
        <v>0</v>
      </c>
      <c r="AZ100" s="7">
        <f>IF(P100=VLOOKUP(VALUE(P$1),Questions!$A:$E,5,FALSE),1,0)</f>
        <v>0</v>
      </c>
      <c r="BA100" s="7">
        <f>IF(Q100=VLOOKUP(VALUE(Q$1),Questions!$A:$E,5,FALSE),1,0)</f>
        <v>0</v>
      </c>
      <c r="BB100" s="7">
        <f>IF(R100=VLOOKUP(VALUE(R$1),Questions!$A:$E,5,FALSE),1,0)</f>
        <v>0</v>
      </c>
      <c r="BC100" s="7">
        <f>IF(S100=VLOOKUP(VALUE(S$1),Questions!$A:$E,5,FALSE),1,0)</f>
        <v>0</v>
      </c>
      <c r="BD100" s="7">
        <f>IF(T100=VLOOKUP(VALUE(T$1),Questions!$A:$E,5,FALSE),1,0)</f>
        <v>0</v>
      </c>
      <c r="BE100" s="7">
        <f>IF(U100=VLOOKUP(VALUE(U$1),Questions!$A:$E,5,FALSE),1,0)</f>
        <v>0</v>
      </c>
      <c r="BF100" s="7">
        <f>IF(V100=VLOOKUP(VALUE(V$1),Questions!$A:$E,5,FALSE),1,0)</f>
        <v>0</v>
      </c>
      <c r="BG100" s="7">
        <f>IF(W100=VLOOKUP(VALUE(W$1),Questions!$A:$E,5,FALSE),1,0)</f>
        <v>0</v>
      </c>
      <c r="BH100" s="7">
        <f>IF(X100=VLOOKUP(VALUE(X$1),Questions!$A:$E,5,FALSE),1,0)</f>
        <v>0</v>
      </c>
      <c r="BI100" s="7">
        <f>IF(Y100=VLOOKUP(VALUE(Y$1),Questions!$A:$E,5,FALSE),1,0)</f>
        <v>0</v>
      </c>
      <c r="BJ100" s="7">
        <f>IF(Z100=VLOOKUP(VALUE(Z$1),Questions!$A:$E,5,FALSE),1,0)</f>
        <v>0</v>
      </c>
      <c r="BK100" s="7">
        <f>IF(AA100=VLOOKUP(VALUE(AA$1),Questions!$A:$E,5,FALSE),1,0)</f>
        <v>0</v>
      </c>
      <c r="BL100" s="7">
        <f>IF(AB100=VLOOKUP(VALUE(AB$1),Questions!$A:$E,5,FALSE),1,0)</f>
        <v>0</v>
      </c>
      <c r="BM100" s="7">
        <f>IF(AC100=VLOOKUP(VALUE(AC$1),Questions!$A:$E,5,FALSE),1,0)</f>
        <v>0</v>
      </c>
      <c r="BN100" s="7">
        <f>IF(AD100=VLOOKUP(VALUE(AD$1),Questions!$A:$E,5,FALSE),1,0)</f>
        <v>0</v>
      </c>
      <c r="BO100" s="7">
        <f>IF(AE100=VLOOKUP(VALUE(AE$1),Questions!$A:$E,5,FALSE),1,0)</f>
        <v>0</v>
      </c>
      <c r="BP100" s="7">
        <f>IF(AF100=VLOOKUP(VALUE(AF$1),Questions!$A:$E,5,FALSE),1,0)</f>
        <v>0</v>
      </c>
      <c r="BQ100" s="7">
        <f>IF(AG100=VLOOKUP(VALUE(AG$1),Questions!$A:$E,5,FALSE),1,0)</f>
        <v>0</v>
      </c>
      <c r="BR100" s="7">
        <f>IF(AH100=VLOOKUP(VALUE(AH$1),Questions!$A:$E,5,FALSE),1,0)</f>
        <v>0</v>
      </c>
      <c r="BS100" s="7">
        <f>IF(AI100=VLOOKUP(VALUE(AI$1),Questions!$A:$E,5,FALSE),1,0)</f>
        <v>0</v>
      </c>
    </row>
    <row r="101" spans="1:71">
      <c r="A101" s="10">
        <v>100</v>
      </c>
      <c r="B101" s="14" t="b">
        <v>0</v>
      </c>
      <c r="C101" s="14" t="b">
        <v>0</v>
      </c>
      <c r="D101" s="102">
        <f>SUM(Scores[[#This Row],[Q1]:[Q28]])</f>
        <v>27</v>
      </c>
      <c r="E101" s="103">
        <f>SUM(Scores[[#This Row],[29]:[34b]])</f>
        <v>0</v>
      </c>
      <c r="F101" s="103">
        <f>Scores[[#This Row],[35]]</f>
        <v>0</v>
      </c>
      <c r="G101" s="104">
        <f>INDEX('Conversion Chart'!$C$3:$M$38,MATCH(SUM(Scores[[#This Row],[MC]:[CRQ]]),'Conversion Chart'!$B$3:$B$38,0),MATCH(Scores[[#This Row],[EIE]],'Conversion Chart'!$C$2:$M$2,0))</f>
        <v>66</v>
      </c>
      <c r="H101" s="5">
        <v>4</v>
      </c>
      <c r="I101" s="5">
        <v>3</v>
      </c>
      <c r="J101" s="5">
        <v>1</v>
      </c>
      <c r="K101" s="5">
        <v>2</v>
      </c>
      <c r="L101" s="5">
        <v>2</v>
      </c>
      <c r="M101" s="5">
        <v>4</v>
      </c>
      <c r="N101" s="5">
        <v>3</v>
      </c>
      <c r="O101" s="5">
        <v>1</v>
      </c>
      <c r="P101" s="5">
        <v>1</v>
      </c>
      <c r="Q101" s="5">
        <v>1</v>
      </c>
      <c r="R101" s="5">
        <v>4</v>
      </c>
      <c r="S101" s="5">
        <v>2</v>
      </c>
      <c r="T101" s="5">
        <v>1</v>
      </c>
      <c r="U101" s="5">
        <v>4</v>
      </c>
      <c r="V101" s="5">
        <v>3</v>
      </c>
      <c r="W101" s="5">
        <v>4</v>
      </c>
      <c r="X101" s="5">
        <v>2</v>
      </c>
      <c r="Y101" s="5">
        <v>1</v>
      </c>
      <c r="Z101" s="5">
        <v>2</v>
      </c>
      <c r="AA101" s="5">
        <v>3</v>
      </c>
      <c r="AB101" s="5">
        <v>2</v>
      </c>
      <c r="AC101" s="5">
        <v>1</v>
      </c>
      <c r="AD101" s="5">
        <v>3</v>
      </c>
      <c r="AE101" s="5">
        <v>2</v>
      </c>
      <c r="AF101" s="5">
        <v>4</v>
      </c>
      <c r="AG101" s="5">
        <v>3</v>
      </c>
      <c r="AH101" s="5">
        <v>1</v>
      </c>
      <c r="AI101" s="104">
        <v>1</v>
      </c>
      <c r="AJ101" s="95"/>
      <c r="AK101" s="84"/>
      <c r="AL101" s="84"/>
      <c r="AM101" s="84"/>
      <c r="AN101" s="84"/>
      <c r="AO101" s="84"/>
      <c r="AP101" s="94"/>
      <c r="AR101" s="7">
        <f>IF(H101=VLOOKUP(VALUE(H$1),Questions!$A:$E,5,FALSE),1,0)</f>
        <v>1</v>
      </c>
      <c r="AS101" s="7">
        <f>IF(I101=VLOOKUP(VALUE(I$1),Questions!$A:$E,5,FALSE),1,0)</f>
        <v>1</v>
      </c>
      <c r="AT101" s="7">
        <f>IF(J101=VLOOKUP(VALUE(J$1),Questions!$A:$E,5,FALSE),1,0)</f>
        <v>1</v>
      </c>
      <c r="AU101" s="7">
        <f>IF(K101=VLOOKUP(VALUE(K$1),Questions!$A:$E,5,FALSE),1,0)</f>
        <v>1</v>
      </c>
      <c r="AV101" s="7">
        <f>IF(L101=VLOOKUP(VALUE(L$1),Questions!$A:$E,5,FALSE),1,0)</f>
        <v>1</v>
      </c>
      <c r="AW101" s="7">
        <f>IF(M101=VLOOKUP(VALUE(M$1),Questions!$A:$E,5,FALSE),1,0)</f>
        <v>1</v>
      </c>
      <c r="AX101" s="7">
        <f>IF(N101=VLOOKUP(VALUE(N$1),Questions!$A:$E,5,FALSE),1,0)</f>
        <v>1</v>
      </c>
      <c r="AY101" s="7">
        <f>IF(O101=VLOOKUP(VALUE(O$1),Questions!$A:$E,5,FALSE),1,0)</f>
        <v>1</v>
      </c>
      <c r="AZ101" s="7">
        <f>IF(P101=VLOOKUP(VALUE(P$1),Questions!$A:$E,5,FALSE),1,0)</f>
        <v>1</v>
      </c>
      <c r="BA101" s="7">
        <f>IF(Q101=VLOOKUP(VALUE(Q$1),Questions!$A:$E,5,FALSE),1,0)</f>
        <v>1</v>
      </c>
      <c r="BB101" s="7">
        <f>IF(R101=VLOOKUP(VALUE(R$1),Questions!$A:$E,5,FALSE),1,0)</f>
        <v>1</v>
      </c>
      <c r="BC101" s="7">
        <f>IF(S101=VLOOKUP(VALUE(S$1),Questions!$A:$E,5,FALSE),1,0)</f>
        <v>1</v>
      </c>
      <c r="BD101" s="7">
        <f>IF(T101=VLOOKUP(VALUE(T$1),Questions!$A:$E,5,FALSE),1,0)</f>
        <v>1</v>
      </c>
      <c r="BE101" s="7">
        <f>IF(U101=VLOOKUP(VALUE(U$1),Questions!$A:$E,5,FALSE),1,0)</f>
        <v>1</v>
      </c>
      <c r="BF101" s="7">
        <f>IF(V101=VLOOKUP(VALUE(V$1),Questions!$A:$E,5,FALSE),1,0)</f>
        <v>1</v>
      </c>
      <c r="BG101" s="7">
        <f>IF(W101=VLOOKUP(VALUE(W$1),Questions!$A:$E,5,FALSE),1,0)</f>
        <v>1</v>
      </c>
      <c r="BH101" s="7">
        <f>IF(X101=VLOOKUP(VALUE(X$1),Questions!$A:$E,5,FALSE),1,0)</f>
        <v>1</v>
      </c>
      <c r="BI101" s="7">
        <f>IF(Y101=VLOOKUP(VALUE(Y$1),Questions!$A:$E,5,FALSE),1,0)</f>
        <v>0</v>
      </c>
      <c r="BJ101" s="7">
        <f>IF(Z101=VLOOKUP(VALUE(Z$1),Questions!$A:$E,5,FALSE),1,0)</f>
        <v>1</v>
      </c>
      <c r="BK101" s="7">
        <f>IF(AA101=VLOOKUP(VALUE(AA$1),Questions!$A:$E,5,FALSE),1,0)</f>
        <v>1</v>
      </c>
      <c r="BL101" s="7">
        <f>IF(AB101=VLOOKUP(VALUE(AB$1),Questions!$A:$E,5,FALSE),1,0)</f>
        <v>1</v>
      </c>
      <c r="BM101" s="7">
        <f>IF(AC101=VLOOKUP(VALUE(AC$1),Questions!$A:$E,5,FALSE),1,0)</f>
        <v>1</v>
      </c>
      <c r="BN101" s="7">
        <f>IF(AD101=VLOOKUP(VALUE(AD$1),Questions!$A:$E,5,FALSE),1,0)</f>
        <v>1</v>
      </c>
      <c r="BO101" s="7">
        <f>IF(AE101=VLOOKUP(VALUE(AE$1),Questions!$A:$E,5,FALSE),1,0)</f>
        <v>1</v>
      </c>
      <c r="BP101" s="7">
        <f>IF(AF101=VLOOKUP(VALUE(AF$1),Questions!$A:$E,5,FALSE),1,0)</f>
        <v>1</v>
      </c>
      <c r="BQ101" s="7">
        <f>IF(AG101=VLOOKUP(VALUE(AG$1),Questions!$A:$E,5,FALSE),1,0)</f>
        <v>1</v>
      </c>
      <c r="BR101" s="7">
        <f>IF(AH101=VLOOKUP(VALUE(AH$1),Questions!$A:$E,5,FALSE),1,0)</f>
        <v>1</v>
      </c>
      <c r="BS101" s="7">
        <f>IF(AI101=VLOOKUP(VALUE(AI$1),Questions!$A:$E,5,FALSE),1,0)</f>
        <v>1</v>
      </c>
    </row>
    <row r="102" spans="1:71">
      <c r="A102" s="10">
        <v>101</v>
      </c>
      <c r="B102" s="14" t="b">
        <v>0</v>
      </c>
      <c r="C102" s="14" t="b">
        <v>0</v>
      </c>
      <c r="D102" s="102">
        <f>SUM(Scores[[#This Row],[Q1]:[Q28]])</f>
        <v>23</v>
      </c>
      <c r="E102" s="103">
        <f>SUM(Scores[[#This Row],[29]:[34b]])</f>
        <v>0</v>
      </c>
      <c r="F102" s="103">
        <f>Scores[[#This Row],[35]]</f>
        <v>0</v>
      </c>
      <c r="G102" s="104">
        <f>INDEX('Conversion Chart'!$C$3:$M$38,MATCH(SUM(Scores[[#This Row],[MC]:[CRQ]]),'Conversion Chart'!$B$3:$B$38,0),MATCH(Scores[[#This Row],[EIE]],'Conversion Chart'!$C$2:$M$2,0))</f>
        <v>59</v>
      </c>
      <c r="H102" s="5">
        <v>4</v>
      </c>
      <c r="I102" s="5">
        <v>3</v>
      </c>
      <c r="J102" s="5">
        <v>1</v>
      </c>
      <c r="K102" s="5">
        <v>2</v>
      </c>
      <c r="L102" s="5">
        <v>2</v>
      </c>
      <c r="M102" s="5">
        <v>4</v>
      </c>
      <c r="N102" s="5">
        <v>3</v>
      </c>
      <c r="O102" s="5">
        <v>2</v>
      </c>
      <c r="P102" s="5">
        <v>1</v>
      </c>
      <c r="Q102" s="5">
        <v>2</v>
      </c>
      <c r="R102" s="5">
        <v>4</v>
      </c>
      <c r="S102" s="5">
        <v>2</v>
      </c>
      <c r="T102" s="5">
        <v>1</v>
      </c>
      <c r="U102" s="5">
        <v>4</v>
      </c>
      <c r="V102" s="5">
        <v>3</v>
      </c>
      <c r="W102" s="5">
        <v>2</v>
      </c>
      <c r="X102" s="5">
        <v>2</v>
      </c>
      <c r="Y102" s="5">
        <v>1</v>
      </c>
      <c r="Z102" s="5">
        <v>2</v>
      </c>
      <c r="AA102" s="5">
        <v>3</v>
      </c>
      <c r="AB102" s="5">
        <v>2</v>
      </c>
      <c r="AC102" s="5">
        <v>1</v>
      </c>
      <c r="AD102" s="5">
        <v>3</v>
      </c>
      <c r="AE102" s="5">
        <v>4</v>
      </c>
      <c r="AF102" s="5">
        <v>4</v>
      </c>
      <c r="AG102" s="5">
        <v>3</v>
      </c>
      <c r="AH102" s="5">
        <v>1</v>
      </c>
      <c r="AI102" s="104">
        <v>1</v>
      </c>
      <c r="AJ102" s="95"/>
      <c r="AK102" s="84"/>
      <c r="AL102" s="84"/>
      <c r="AM102" s="84"/>
      <c r="AN102" s="84"/>
      <c r="AO102" s="84"/>
      <c r="AP102" s="94"/>
      <c r="AR102" s="7">
        <f>IF(H102=VLOOKUP(VALUE(H$1),Questions!$A:$E,5,FALSE),1,0)</f>
        <v>1</v>
      </c>
      <c r="AS102" s="7">
        <f>IF(I102=VLOOKUP(VALUE(I$1),Questions!$A:$E,5,FALSE),1,0)</f>
        <v>1</v>
      </c>
      <c r="AT102" s="7">
        <f>IF(J102=VLOOKUP(VALUE(J$1),Questions!$A:$E,5,FALSE),1,0)</f>
        <v>1</v>
      </c>
      <c r="AU102" s="7">
        <f>IF(K102=VLOOKUP(VALUE(K$1),Questions!$A:$E,5,FALSE),1,0)</f>
        <v>1</v>
      </c>
      <c r="AV102" s="7">
        <f>IF(L102=VLOOKUP(VALUE(L$1),Questions!$A:$E,5,FALSE),1,0)</f>
        <v>1</v>
      </c>
      <c r="AW102" s="7">
        <f>IF(M102=VLOOKUP(VALUE(M$1),Questions!$A:$E,5,FALSE),1,0)</f>
        <v>1</v>
      </c>
      <c r="AX102" s="7">
        <f>IF(N102=VLOOKUP(VALUE(N$1),Questions!$A:$E,5,FALSE),1,0)</f>
        <v>1</v>
      </c>
      <c r="AY102" s="7">
        <f>IF(O102=VLOOKUP(VALUE(O$1),Questions!$A:$E,5,FALSE),1,0)</f>
        <v>0</v>
      </c>
      <c r="AZ102" s="7">
        <f>IF(P102=VLOOKUP(VALUE(P$1),Questions!$A:$E,5,FALSE),1,0)</f>
        <v>1</v>
      </c>
      <c r="BA102" s="7">
        <f>IF(Q102=VLOOKUP(VALUE(Q$1),Questions!$A:$E,5,FALSE),1,0)</f>
        <v>0</v>
      </c>
      <c r="BB102" s="7">
        <f>IF(R102=VLOOKUP(VALUE(R$1),Questions!$A:$E,5,FALSE),1,0)</f>
        <v>1</v>
      </c>
      <c r="BC102" s="7">
        <f>IF(S102=VLOOKUP(VALUE(S$1),Questions!$A:$E,5,FALSE),1,0)</f>
        <v>1</v>
      </c>
      <c r="BD102" s="7">
        <f>IF(T102=VLOOKUP(VALUE(T$1),Questions!$A:$E,5,FALSE),1,0)</f>
        <v>1</v>
      </c>
      <c r="BE102" s="7">
        <f>IF(U102=VLOOKUP(VALUE(U$1),Questions!$A:$E,5,FALSE),1,0)</f>
        <v>1</v>
      </c>
      <c r="BF102" s="7">
        <f>IF(V102=VLOOKUP(VALUE(V$1),Questions!$A:$E,5,FALSE),1,0)</f>
        <v>1</v>
      </c>
      <c r="BG102" s="7">
        <f>IF(W102=VLOOKUP(VALUE(W$1),Questions!$A:$E,5,FALSE),1,0)</f>
        <v>0</v>
      </c>
      <c r="BH102" s="7">
        <f>IF(X102=VLOOKUP(VALUE(X$1),Questions!$A:$E,5,FALSE),1,0)</f>
        <v>1</v>
      </c>
      <c r="BI102" s="7">
        <f>IF(Y102=VLOOKUP(VALUE(Y$1),Questions!$A:$E,5,FALSE),1,0)</f>
        <v>0</v>
      </c>
      <c r="BJ102" s="7">
        <f>IF(Z102=VLOOKUP(VALUE(Z$1),Questions!$A:$E,5,FALSE),1,0)</f>
        <v>1</v>
      </c>
      <c r="BK102" s="7">
        <f>IF(AA102=VLOOKUP(VALUE(AA$1),Questions!$A:$E,5,FALSE),1,0)</f>
        <v>1</v>
      </c>
      <c r="BL102" s="7">
        <f>IF(AB102=VLOOKUP(VALUE(AB$1),Questions!$A:$E,5,FALSE),1,0)</f>
        <v>1</v>
      </c>
      <c r="BM102" s="7">
        <f>IF(AC102=VLOOKUP(VALUE(AC$1),Questions!$A:$E,5,FALSE),1,0)</f>
        <v>1</v>
      </c>
      <c r="BN102" s="7">
        <f>IF(AD102=VLOOKUP(VALUE(AD$1),Questions!$A:$E,5,FALSE),1,0)</f>
        <v>1</v>
      </c>
      <c r="BO102" s="7">
        <f>IF(AE102=VLOOKUP(VALUE(AE$1),Questions!$A:$E,5,FALSE),1,0)</f>
        <v>0</v>
      </c>
      <c r="BP102" s="7">
        <f>IF(AF102=VLOOKUP(VALUE(AF$1),Questions!$A:$E,5,FALSE),1,0)</f>
        <v>1</v>
      </c>
      <c r="BQ102" s="7">
        <f>IF(AG102=VLOOKUP(VALUE(AG$1),Questions!$A:$E,5,FALSE),1,0)</f>
        <v>1</v>
      </c>
      <c r="BR102" s="7">
        <f>IF(AH102=VLOOKUP(VALUE(AH$1),Questions!$A:$E,5,FALSE),1,0)</f>
        <v>1</v>
      </c>
      <c r="BS102" s="7">
        <f>IF(AI102=VLOOKUP(VALUE(AI$1),Questions!$A:$E,5,FALSE),1,0)</f>
        <v>1</v>
      </c>
    </row>
    <row r="103" spans="1:71">
      <c r="A103" s="10">
        <v>102</v>
      </c>
      <c r="B103" s="14" t="b">
        <v>0</v>
      </c>
      <c r="C103" s="14" t="b">
        <v>0</v>
      </c>
      <c r="D103" s="102">
        <f>SUM(Scores[[#This Row],[Q1]:[Q28]])</f>
        <v>15</v>
      </c>
      <c r="E103" s="103">
        <f>SUM(Scores[[#This Row],[29]:[34b]])</f>
        <v>0</v>
      </c>
      <c r="F103" s="103">
        <f>Scores[[#This Row],[35]]</f>
        <v>0</v>
      </c>
      <c r="G103" s="104">
        <f>INDEX('Conversion Chart'!$C$3:$M$38,MATCH(SUM(Scores[[#This Row],[MC]:[CRQ]]),'Conversion Chart'!$B$3:$B$38,0),MATCH(Scores[[#This Row],[EIE]],'Conversion Chart'!$C$2:$M$2,0))</f>
        <v>42</v>
      </c>
      <c r="H103" s="5">
        <v>1</v>
      </c>
      <c r="I103" s="5">
        <v>3</v>
      </c>
      <c r="J103" s="5">
        <v>1</v>
      </c>
      <c r="K103" s="5">
        <v>1</v>
      </c>
      <c r="L103" s="5">
        <v>2</v>
      </c>
      <c r="M103" s="5">
        <v>3</v>
      </c>
      <c r="N103" s="5">
        <v>3</v>
      </c>
      <c r="O103" s="5">
        <v>4</v>
      </c>
      <c r="P103" s="5">
        <v>1</v>
      </c>
      <c r="Q103" s="5">
        <v>1</v>
      </c>
      <c r="R103" s="5">
        <v>4</v>
      </c>
      <c r="S103" s="5">
        <v>2</v>
      </c>
      <c r="T103" s="5">
        <v>4</v>
      </c>
      <c r="U103" s="5">
        <v>2</v>
      </c>
      <c r="V103" s="5">
        <v>3</v>
      </c>
      <c r="W103" s="5">
        <v>4</v>
      </c>
      <c r="X103" s="5">
        <v>3</v>
      </c>
      <c r="Y103" s="5">
        <v>4</v>
      </c>
      <c r="Z103" s="5">
        <v>3</v>
      </c>
      <c r="AA103" s="5">
        <v>1</v>
      </c>
      <c r="AB103" s="5">
        <v>2</v>
      </c>
      <c r="AC103" s="5">
        <v>3</v>
      </c>
      <c r="AD103" s="5">
        <v>3</v>
      </c>
      <c r="AE103" s="5">
        <v>2</v>
      </c>
      <c r="AF103" s="5">
        <v>4</v>
      </c>
      <c r="AG103" s="5">
        <v>3</v>
      </c>
      <c r="AH103" s="5">
        <v>2</v>
      </c>
      <c r="AI103" s="104">
        <v>4</v>
      </c>
      <c r="AJ103" s="95"/>
      <c r="AK103" s="84"/>
      <c r="AL103" s="84"/>
      <c r="AM103" s="84"/>
      <c r="AN103" s="84"/>
      <c r="AO103" s="84"/>
      <c r="AP103" s="94"/>
      <c r="AR103" s="7">
        <f>IF(H103=VLOOKUP(VALUE(H$1),Questions!$A:$E,5,FALSE),1,0)</f>
        <v>0</v>
      </c>
      <c r="AS103" s="7">
        <f>IF(I103=VLOOKUP(VALUE(I$1),Questions!$A:$E,5,FALSE),1,0)</f>
        <v>1</v>
      </c>
      <c r="AT103" s="7">
        <f>IF(J103=VLOOKUP(VALUE(J$1),Questions!$A:$E,5,FALSE),1,0)</f>
        <v>1</v>
      </c>
      <c r="AU103" s="7">
        <f>IF(K103=VLOOKUP(VALUE(K$1),Questions!$A:$E,5,FALSE),1,0)</f>
        <v>0</v>
      </c>
      <c r="AV103" s="7">
        <f>IF(L103=VLOOKUP(VALUE(L$1),Questions!$A:$E,5,FALSE),1,0)</f>
        <v>1</v>
      </c>
      <c r="AW103" s="7">
        <f>IF(M103=VLOOKUP(VALUE(M$1),Questions!$A:$E,5,FALSE),1,0)</f>
        <v>0</v>
      </c>
      <c r="AX103" s="7">
        <f>IF(N103=VLOOKUP(VALUE(N$1),Questions!$A:$E,5,FALSE),1,0)</f>
        <v>1</v>
      </c>
      <c r="AY103" s="7">
        <f>IF(O103=VLOOKUP(VALUE(O$1),Questions!$A:$E,5,FALSE),1,0)</f>
        <v>0</v>
      </c>
      <c r="AZ103" s="7">
        <f>IF(P103=VLOOKUP(VALUE(P$1),Questions!$A:$E,5,FALSE),1,0)</f>
        <v>1</v>
      </c>
      <c r="BA103" s="7">
        <f>IF(Q103=VLOOKUP(VALUE(Q$1),Questions!$A:$E,5,FALSE),1,0)</f>
        <v>1</v>
      </c>
      <c r="BB103" s="7">
        <f>IF(R103=VLOOKUP(VALUE(R$1),Questions!$A:$E,5,FALSE),1,0)</f>
        <v>1</v>
      </c>
      <c r="BC103" s="7">
        <f>IF(S103=VLOOKUP(VALUE(S$1),Questions!$A:$E,5,FALSE),1,0)</f>
        <v>1</v>
      </c>
      <c r="BD103" s="7">
        <f>IF(T103=VLOOKUP(VALUE(T$1),Questions!$A:$E,5,FALSE),1,0)</f>
        <v>0</v>
      </c>
      <c r="BE103" s="7">
        <f>IF(U103=VLOOKUP(VALUE(U$1),Questions!$A:$E,5,FALSE),1,0)</f>
        <v>0</v>
      </c>
      <c r="BF103" s="7">
        <f>IF(V103=VLOOKUP(VALUE(V$1),Questions!$A:$E,5,FALSE),1,0)</f>
        <v>1</v>
      </c>
      <c r="BG103" s="7">
        <f>IF(W103=VLOOKUP(VALUE(W$1),Questions!$A:$E,5,FALSE),1,0)</f>
        <v>1</v>
      </c>
      <c r="BH103" s="7">
        <f>IF(X103=VLOOKUP(VALUE(X$1),Questions!$A:$E,5,FALSE),1,0)</f>
        <v>0</v>
      </c>
      <c r="BI103" s="7">
        <f>IF(Y103=VLOOKUP(VALUE(Y$1),Questions!$A:$E,5,FALSE),1,0)</f>
        <v>0</v>
      </c>
      <c r="BJ103" s="7">
        <f>IF(Z103=VLOOKUP(VALUE(Z$1),Questions!$A:$E,5,FALSE),1,0)</f>
        <v>0</v>
      </c>
      <c r="BK103" s="7">
        <f>IF(AA103=VLOOKUP(VALUE(AA$1),Questions!$A:$E,5,FALSE),1,0)</f>
        <v>0</v>
      </c>
      <c r="BL103" s="7">
        <f>IF(AB103=VLOOKUP(VALUE(AB$1),Questions!$A:$E,5,FALSE),1,0)</f>
        <v>1</v>
      </c>
      <c r="BM103" s="7">
        <f>IF(AC103=VLOOKUP(VALUE(AC$1),Questions!$A:$E,5,FALSE),1,0)</f>
        <v>0</v>
      </c>
      <c r="BN103" s="7">
        <f>IF(AD103=VLOOKUP(VALUE(AD$1),Questions!$A:$E,5,FALSE),1,0)</f>
        <v>1</v>
      </c>
      <c r="BO103" s="7">
        <f>IF(AE103=VLOOKUP(VALUE(AE$1),Questions!$A:$E,5,FALSE),1,0)</f>
        <v>1</v>
      </c>
      <c r="BP103" s="7">
        <f>IF(AF103=VLOOKUP(VALUE(AF$1),Questions!$A:$E,5,FALSE),1,0)</f>
        <v>1</v>
      </c>
      <c r="BQ103" s="7">
        <f>IF(AG103=VLOOKUP(VALUE(AG$1),Questions!$A:$E,5,FALSE),1,0)</f>
        <v>1</v>
      </c>
      <c r="BR103" s="7">
        <f>IF(AH103=VLOOKUP(VALUE(AH$1),Questions!$A:$E,5,FALSE),1,0)</f>
        <v>0</v>
      </c>
      <c r="BS103" s="7">
        <f>IF(AI103=VLOOKUP(VALUE(AI$1),Questions!$A:$E,5,FALSE),1,0)</f>
        <v>0</v>
      </c>
    </row>
    <row r="104" spans="1:71">
      <c r="A104" s="10">
        <v>103</v>
      </c>
      <c r="B104" s="14" t="b">
        <v>0</v>
      </c>
      <c r="C104" s="14" t="b">
        <v>0</v>
      </c>
      <c r="D104" s="102">
        <f>SUM(Scores[[#This Row],[Q1]:[Q28]])</f>
        <v>22</v>
      </c>
      <c r="E104" s="103">
        <f>SUM(Scores[[#This Row],[29]:[34b]])</f>
        <v>0</v>
      </c>
      <c r="F104" s="103">
        <f>Scores[[#This Row],[35]]</f>
        <v>0</v>
      </c>
      <c r="G104" s="104">
        <f>INDEX('Conversion Chart'!$C$3:$M$38,MATCH(SUM(Scores[[#This Row],[MC]:[CRQ]]),'Conversion Chart'!$B$3:$B$38,0),MATCH(Scores[[#This Row],[EIE]],'Conversion Chart'!$C$2:$M$2,0))</f>
        <v>57</v>
      </c>
      <c r="H104" s="5">
        <v>4</v>
      </c>
      <c r="I104" s="5">
        <v>1</v>
      </c>
      <c r="J104" s="5">
        <v>1</v>
      </c>
      <c r="K104" s="5">
        <v>2</v>
      </c>
      <c r="L104" s="5">
        <v>1</v>
      </c>
      <c r="M104" s="5">
        <v>4</v>
      </c>
      <c r="N104" s="5">
        <v>3</v>
      </c>
      <c r="O104" s="5">
        <v>1</v>
      </c>
      <c r="P104" s="5">
        <v>1</v>
      </c>
      <c r="Q104" s="5">
        <v>1</v>
      </c>
      <c r="R104" s="5">
        <v>1</v>
      </c>
      <c r="S104" s="5">
        <v>2</v>
      </c>
      <c r="T104" s="5">
        <v>2</v>
      </c>
      <c r="U104" s="5">
        <v>4</v>
      </c>
      <c r="V104" s="5">
        <v>3</v>
      </c>
      <c r="W104" s="5">
        <v>4</v>
      </c>
      <c r="X104" s="5">
        <v>2</v>
      </c>
      <c r="Y104" s="5">
        <v>3</v>
      </c>
      <c r="Z104" s="5">
        <v>1</v>
      </c>
      <c r="AA104" s="5">
        <v>3</v>
      </c>
      <c r="AB104" s="5">
        <v>2</v>
      </c>
      <c r="AC104" s="5">
        <v>1</v>
      </c>
      <c r="AD104" s="5">
        <v>3</v>
      </c>
      <c r="AE104" s="5">
        <v>2</v>
      </c>
      <c r="AF104" s="5">
        <v>4</v>
      </c>
      <c r="AG104" s="5">
        <v>2</v>
      </c>
      <c r="AH104" s="5">
        <v>1</v>
      </c>
      <c r="AI104" s="104">
        <v>1</v>
      </c>
      <c r="AJ104" s="95"/>
      <c r="AK104" s="84"/>
      <c r="AL104" s="84"/>
      <c r="AM104" s="84"/>
      <c r="AN104" s="84"/>
      <c r="AO104" s="84"/>
      <c r="AP104" s="94"/>
      <c r="AR104" s="7">
        <f>IF(H104=VLOOKUP(VALUE(H$1),Questions!$A:$E,5,FALSE),1,0)</f>
        <v>1</v>
      </c>
      <c r="AS104" s="7">
        <f>IF(I104=VLOOKUP(VALUE(I$1),Questions!$A:$E,5,FALSE),1,0)</f>
        <v>0</v>
      </c>
      <c r="AT104" s="7">
        <f>IF(J104=VLOOKUP(VALUE(J$1),Questions!$A:$E,5,FALSE),1,0)</f>
        <v>1</v>
      </c>
      <c r="AU104" s="7">
        <f>IF(K104=VLOOKUP(VALUE(K$1),Questions!$A:$E,5,FALSE),1,0)</f>
        <v>1</v>
      </c>
      <c r="AV104" s="7">
        <f>IF(L104=VLOOKUP(VALUE(L$1),Questions!$A:$E,5,FALSE),1,0)</f>
        <v>0</v>
      </c>
      <c r="AW104" s="7">
        <f>IF(M104=VLOOKUP(VALUE(M$1),Questions!$A:$E,5,FALSE),1,0)</f>
        <v>1</v>
      </c>
      <c r="AX104" s="7">
        <f>IF(N104=VLOOKUP(VALUE(N$1),Questions!$A:$E,5,FALSE),1,0)</f>
        <v>1</v>
      </c>
      <c r="AY104" s="7">
        <f>IF(O104=VLOOKUP(VALUE(O$1),Questions!$A:$E,5,FALSE),1,0)</f>
        <v>1</v>
      </c>
      <c r="AZ104" s="7">
        <f>IF(P104=VLOOKUP(VALUE(P$1),Questions!$A:$E,5,FALSE),1,0)</f>
        <v>1</v>
      </c>
      <c r="BA104" s="7">
        <f>IF(Q104=VLOOKUP(VALUE(Q$1),Questions!$A:$E,5,FALSE),1,0)</f>
        <v>1</v>
      </c>
      <c r="BB104" s="7">
        <f>IF(R104=VLOOKUP(VALUE(R$1),Questions!$A:$E,5,FALSE),1,0)</f>
        <v>0</v>
      </c>
      <c r="BC104" s="7">
        <f>IF(S104=VLOOKUP(VALUE(S$1),Questions!$A:$E,5,FALSE),1,0)</f>
        <v>1</v>
      </c>
      <c r="BD104" s="7">
        <f>IF(T104=VLOOKUP(VALUE(T$1),Questions!$A:$E,5,FALSE),1,0)</f>
        <v>0</v>
      </c>
      <c r="BE104" s="7">
        <f>IF(U104=VLOOKUP(VALUE(U$1),Questions!$A:$E,5,FALSE),1,0)</f>
        <v>1</v>
      </c>
      <c r="BF104" s="7">
        <f>IF(V104=VLOOKUP(VALUE(V$1),Questions!$A:$E,5,FALSE),1,0)</f>
        <v>1</v>
      </c>
      <c r="BG104" s="7">
        <f>IF(W104=VLOOKUP(VALUE(W$1),Questions!$A:$E,5,FALSE),1,0)</f>
        <v>1</v>
      </c>
      <c r="BH104" s="7">
        <f>IF(X104=VLOOKUP(VALUE(X$1),Questions!$A:$E,5,FALSE),1,0)</f>
        <v>1</v>
      </c>
      <c r="BI104" s="7">
        <f>IF(Y104=VLOOKUP(VALUE(Y$1),Questions!$A:$E,5,FALSE),1,0)</f>
        <v>1</v>
      </c>
      <c r="BJ104" s="7">
        <f>IF(Z104=VLOOKUP(VALUE(Z$1),Questions!$A:$E,5,FALSE),1,0)</f>
        <v>0</v>
      </c>
      <c r="BK104" s="7">
        <f>IF(AA104=VLOOKUP(VALUE(AA$1),Questions!$A:$E,5,FALSE),1,0)</f>
        <v>1</v>
      </c>
      <c r="BL104" s="7">
        <f>IF(AB104=VLOOKUP(VALUE(AB$1),Questions!$A:$E,5,FALSE),1,0)</f>
        <v>1</v>
      </c>
      <c r="BM104" s="7">
        <f>IF(AC104=VLOOKUP(VALUE(AC$1),Questions!$A:$E,5,FALSE),1,0)</f>
        <v>1</v>
      </c>
      <c r="BN104" s="7">
        <f>IF(AD104=VLOOKUP(VALUE(AD$1),Questions!$A:$E,5,FALSE),1,0)</f>
        <v>1</v>
      </c>
      <c r="BO104" s="7">
        <f>IF(AE104=VLOOKUP(VALUE(AE$1),Questions!$A:$E,5,FALSE),1,0)</f>
        <v>1</v>
      </c>
      <c r="BP104" s="7">
        <f>IF(AF104=VLOOKUP(VALUE(AF$1),Questions!$A:$E,5,FALSE),1,0)</f>
        <v>1</v>
      </c>
      <c r="BQ104" s="7">
        <f>IF(AG104=VLOOKUP(VALUE(AG$1),Questions!$A:$E,5,FALSE),1,0)</f>
        <v>0</v>
      </c>
      <c r="BR104" s="7">
        <f>IF(AH104=VLOOKUP(VALUE(AH$1),Questions!$A:$E,5,FALSE),1,0)</f>
        <v>1</v>
      </c>
      <c r="BS104" s="7">
        <f>IF(AI104=VLOOKUP(VALUE(AI$1),Questions!$A:$E,5,FALSE),1,0)</f>
        <v>1</v>
      </c>
    </row>
    <row r="105" spans="1:71">
      <c r="A105" s="10">
        <v>104</v>
      </c>
      <c r="B105" s="14" t="b">
        <v>0</v>
      </c>
      <c r="C105" s="14" t="b">
        <v>1</v>
      </c>
      <c r="D105" s="102">
        <f>SUM(Scores[[#This Row],[Q1]:[Q28]])</f>
        <v>10</v>
      </c>
      <c r="E105" s="103">
        <f>SUM(Scores[[#This Row],[29]:[34b]])</f>
        <v>0</v>
      </c>
      <c r="F105" s="103">
        <f>Scores[[#This Row],[35]]</f>
        <v>0</v>
      </c>
      <c r="G105" s="104">
        <f>INDEX('Conversion Chart'!$C$3:$M$38,MATCH(SUM(Scores[[#This Row],[MC]:[CRQ]]),'Conversion Chart'!$B$3:$B$38,0),MATCH(Scores[[#This Row],[EIE]],'Conversion Chart'!$C$2:$M$2,0))</f>
        <v>30</v>
      </c>
      <c r="H105" s="5">
        <v>4</v>
      </c>
      <c r="I105" s="5">
        <v>2</v>
      </c>
      <c r="J105" s="5">
        <v>4</v>
      </c>
      <c r="K105" s="5">
        <v>4</v>
      </c>
      <c r="L105" s="5">
        <v>3</v>
      </c>
      <c r="M105" s="5">
        <v>2</v>
      </c>
      <c r="N105" s="5">
        <v>3</v>
      </c>
      <c r="O105" s="5">
        <v>3</v>
      </c>
      <c r="P105" s="5">
        <v>2</v>
      </c>
      <c r="Q105" s="5">
        <v>1</v>
      </c>
      <c r="R105" s="5">
        <v>4</v>
      </c>
      <c r="S105" s="5">
        <v>4</v>
      </c>
      <c r="T105" s="5">
        <v>1</v>
      </c>
      <c r="U105" s="5">
        <v>4</v>
      </c>
      <c r="V105" s="5">
        <v>4</v>
      </c>
      <c r="W105" s="5">
        <v>3</v>
      </c>
      <c r="X105" s="5">
        <v>3</v>
      </c>
      <c r="Y105" s="5">
        <v>3</v>
      </c>
      <c r="Z105" s="5">
        <v>2</v>
      </c>
      <c r="AA105" s="5">
        <v>3</v>
      </c>
      <c r="AB105" s="5">
        <v>3</v>
      </c>
      <c r="AC105" s="5">
        <v>1</v>
      </c>
      <c r="AD105" s="5">
        <v>4</v>
      </c>
      <c r="AE105" s="5">
        <v>1</v>
      </c>
      <c r="AF105" s="5">
        <v>3</v>
      </c>
      <c r="AG105" s="5">
        <v>2</v>
      </c>
      <c r="AH105" s="5">
        <v>4</v>
      </c>
      <c r="AI105" s="104">
        <v>4</v>
      </c>
      <c r="AJ105" s="95"/>
      <c r="AK105" s="84"/>
      <c r="AL105" s="84"/>
      <c r="AM105" s="84"/>
      <c r="AN105" s="84"/>
      <c r="AO105" s="84"/>
      <c r="AP105" s="94"/>
      <c r="AR105" s="7">
        <f>IF(H105=VLOOKUP(VALUE(H$1),Questions!$A:$E,5,FALSE),1,0)</f>
        <v>1</v>
      </c>
      <c r="AS105" s="7">
        <f>IF(I105=VLOOKUP(VALUE(I$1),Questions!$A:$E,5,FALSE),1,0)</f>
        <v>0</v>
      </c>
      <c r="AT105" s="7">
        <f>IF(J105=VLOOKUP(VALUE(J$1),Questions!$A:$E,5,FALSE),1,0)</f>
        <v>0</v>
      </c>
      <c r="AU105" s="7">
        <f>IF(K105=VLOOKUP(VALUE(K$1),Questions!$A:$E,5,FALSE),1,0)</f>
        <v>0</v>
      </c>
      <c r="AV105" s="7">
        <f>IF(L105=VLOOKUP(VALUE(L$1),Questions!$A:$E,5,FALSE),1,0)</f>
        <v>0</v>
      </c>
      <c r="AW105" s="7">
        <f>IF(M105=VLOOKUP(VALUE(M$1),Questions!$A:$E,5,FALSE),1,0)</f>
        <v>0</v>
      </c>
      <c r="AX105" s="7">
        <f>IF(N105=VLOOKUP(VALUE(N$1),Questions!$A:$E,5,FALSE),1,0)</f>
        <v>1</v>
      </c>
      <c r="AY105" s="7">
        <f>IF(O105=VLOOKUP(VALUE(O$1),Questions!$A:$E,5,FALSE),1,0)</f>
        <v>0</v>
      </c>
      <c r="AZ105" s="7">
        <f>IF(P105=VLOOKUP(VALUE(P$1),Questions!$A:$E,5,FALSE),1,0)</f>
        <v>0</v>
      </c>
      <c r="BA105" s="7">
        <f>IF(Q105=VLOOKUP(VALUE(Q$1),Questions!$A:$E,5,FALSE),1,0)</f>
        <v>1</v>
      </c>
      <c r="BB105" s="7">
        <f>IF(R105=VLOOKUP(VALUE(R$1),Questions!$A:$E,5,FALSE),1,0)</f>
        <v>1</v>
      </c>
      <c r="BC105" s="7">
        <f>IF(S105=VLOOKUP(VALUE(S$1),Questions!$A:$E,5,FALSE),1,0)</f>
        <v>0</v>
      </c>
      <c r="BD105" s="7">
        <f>IF(T105=VLOOKUP(VALUE(T$1),Questions!$A:$E,5,FALSE),1,0)</f>
        <v>1</v>
      </c>
      <c r="BE105" s="7">
        <f>IF(U105=VLOOKUP(VALUE(U$1),Questions!$A:$E,5,FALSE),1,0)</f>
        <v>1</v>
      </c>
      <c r="BF105" s="7">
        <f>IF(V105=VLOOKUP(VALUE(V$1),Questions!$A:$E,5,FALSE),1,0)</f>
        <v>0</v>
      </c>
      <c r="BG105" s="7">
        <f>IF(W105=VLOOKUP(VALUE(W$1),Questions!$A:$E,5,FALSE),1,0)</f>
        <v>0</v>
      </c>
      <c r="BH105" s="7">
        <f>IF(X105=VLOOKUP(VALUE(X$1),Questions!$A:$E,5,FALSE),1,0)</f>
        <v>0</v>
      </c>
      <c r="BI105" s="7">
        <f>IF(Y105=VLOOKUP(VALUE(Y$1),Questions!$A:$E,5,FALSE),1,0)</f>
        <v>1</v>
      </c>
      <c r="BJ105" s="7">
        <f>IF(Z105=VLOOKUP(VALUE(Z$1),Questions!$A:$E,5,FALSE),1,0)</f>
        <v>1</v>
      </c>
      <c r="BK105" s="7">
        <f>IF(AA105=VLOOKUP(VALUE(AA$1),Questions!$A:$E,5,FALSE),1,0)</f>
        <v>1</v>
      </c>
      <c r="BL105" s="7">
        <f>IF(AB105=VLOOKUP(VALUE(AB$1),Questions!$A:$E,5,FALSE),1,0)</f>
        <v>0</v>
      </c>
      <c r="BM105" s="7">
        <f>IF(AC105=VLOOKUP(VALUE(AC$1),Questions!$A:$E,5,FALSE),1,0)</f>
        <v>1</v>
      </c>
      <c r="BN105" s="7">
        <f>IF(AD105=VLOOKUP(VALUE(AD$1),Questions!$A:$E,5,FALSE),1,0)</f>
        <v>0</v>
      </c>
      <c r="BO105" s="7">
        <f>IF(AE105=VLOOKUP(VALUE(AE$1),Questions!$A:$E,5,FALSE),1,0)</f>
        <v>0</v>
      </c>
      <c r="BP105" s="7">
        <f>IF(AF105=VLOOKUP(VALUE(AF$1),Questions!$A:$E,5,FALSE),1,0)</f>
        <v>0</v>
      </c>
      <c r="BQ105" s="7">
        <f>IF(AG105=VLOOKUP(VALUE(AG$1),Questions!$A:$E,5,FALSE),1,0)</f>
        <v>0</v>
      </c>
      <c r="BR105" s="7">
        <f>IF(AH105=VLOOKUP(VALUE(AH$1),Questions!$A:$E,5,FALSE),1,0)</f>
        <v>0</v>
      </c>
      <c r="BS105" s="7">
        <f>IF(AI105=VLOOKUP(VALUE(AI$1),Questions!$A:$E,5,FALSE),1,0)</f>
        <v>0</v>
      </c>
    </row>
    <row r="106" spans="1:71">
      <c r="A106" s="10">
        <v>105</v>
      </c>
      <c r="B106" s="14" t="b">
        <v>0</v>
      </c>
      <c r="C106" s="14" t="b">
        <v>0</v>
      </c>
      <c r="D106" s="102">
        <f>SUM(Scores[[#This Row],[Q1]:[Q28]])</f>
        <v>14</v>
      </c>
      <c r="E106" s="103">
        <f>SUM(Scores[[#This Row],[29]:[34b]])</f>
        <v>0</v>
      </c>
      <c r="F106" s="103">
        <f>Scores[[#This Row],[35]]</f>
        <v>0</v>
      </c>
      <c r="G106" s="104">
        <f>INDEX('Conversion Chart'!$C$3:$M$38,MATCH(SUM(Scores[[#This Row],[MC]:[CRQ]]),'Conversion Chart'!$B$3:$B$38,0),MATCH(Scores[[#This Row],[EIE]],'Conversion Chart'!$C$2:$M$2,0))</f>
        <v>40</v>
      </c>
      <c r="H106" s="5">
        <v>4</v>
      </c>
      <c r="I106" s="5">
        <v>3</v>
      </c>
      <c r="J106" s="5">
        <v>1</v>
      </c>
      <c r="K106" s="5">
        <v>2</v>
      </c>
      <c r="L106" s="5">
        <v>2</v>
      </c>
      <c r="M106" s="5">
        <v>4</v>
      </c>
      <c r="N106" s="5">
        <v>3</v>
      </c>
      <c r="O106" s="5">
        <v>4</v>
      </c>
      <c r="P106" s="5">
        <v>1</v>
      </c>
      <c r="Q106" s="5">
        <v>1</v>
      </c>
      <c r="R106" s="5">
        <v>1</v>
      </c>
      <c r="S106" s="5">
        <v>3</v>
      </c>
      <c r="T106" s="5">
        <v>4</v>
      </c>
      <c r="U106" s="5">
        <v>2</v>
      </c>
      <c r="V106" s="5">
        <v>1</v>
      </c>
      <c r="W106" s="5">
        <v>1</v>
      </c>
      <c r="X106" s="5">
        <v>2</v>
      </c>
      <c r="Y106" s="5">
        <v>3</v>
      </c>
      <c r="Z106" s="5">
        <v>1</v>
      </c>
      <c r="AA106" s="5">
        <v>2</v>
      </c>
      <c r="AB106" s="5">
        <v>2</v>
      </c>
      <c r="AC106" s="5">
        <v>4</v>
      </c>
      <c r="AD106" s="5">
        <v>3</v>
      </c>
      <c r="AE106" s="5">
        <v>3</v>
      </c>
      <c r="AF106" s="5">
        <v>4</v>
      </c>
      <c r="AG106" s="5">
        <v>1</v>
      </c>
      <c r="AH106" s="5">
        <v>2</v>
      </c>
      <c r="AI106" s="104">
        <v>3</v>
      </c>
      <c r="AJ106" s="95"/>
      <c r="AK106" s="84"/>
      <c r="AL106" s="84"/>
      <c r="AM106" s="84"/>
      <c r="AN106" s="84"/>
      <c r="AO106" s="84"/>
      <c r="AP106" s="94"/>
      <c r="AR106" s="7">
        <f>IF(H106=VLOOKUP(VALUE(H$1),Questions!$A:$E,5,FALSE),1,0)</f>
        <v>1</v>
      </c>
      <c r="AS106" s="7">
        <f>IF(I106=VLOOKUP(VALUE(I$1),Questions!$A:$E,5,FALSE),1,0)</f>
        <v>1</v>
      </c>
      <c r="AT106" s="7">
        <f>IF(J106=VLOOKUP(VALUE(J$1),Questions!$A:$E,5,FALSE),1,0)</f>
        <v>1</v>
      </c>
      <c r="AU106" s="7">
        <f>IF(K106=VLOOKUP(VALUE(K$1),Questions!$A:$E,5,FALSE),1,0)</f>
        <v>1</v>
      </c>
      <c r="AV106" s="7">
        <f>IF(L106=VLOOKUP(VALUE(L$1),Questions!$A:$E,5,FALSE),1,0)</f>
        <v>1</v>
      </c>
      <c r="AW106" s="7">
        <f>IF(M106=VLOOKUP(VALUE(M$1),Questions!$A:$E,5,FALSE),1,0)</f>
        <v>1</v>
      </c>
      <c r="AX106" s="7">
        <f>IF(N106=VLOOKUP(VALUE(N$1),Questions!$A:$E,5,FALSE),1,0)</f>
        <v>1</v>
      </c>
      <c r="AY106" s="7">
        <f>IF(O106=VLOOKUP(VALUE(O$1),Questions!$A:$E,5,FALSE),1,0)</f>
        <v>0</v>
      </c>
      <c r="AZ106" s="7">
        <f>IF(P106=VLOOKUP(VALUE(P$1),Questions!$A:$E,5,FALSE),1,0)</f>
        <v>1</v>
      </c>
      <c r="BA106" s="7">
        <f>IF(Q106=VLOOKUP(VALUE(Q$1),Questions!$A:$E,5,FALSE),1,0)</f>
        <v>1</v>
      </c>
      <c r="BB106" s="7">
        <f>IF(R106=VLOOKUP(VALUE(R$1),Questions!$A:$E,5,FALSE),1,0)</f>
        <v>0</v>
      </c>
      <c r="BC106" s="7">
        <f>IF(S106=VLOOKUP(VALUE(S$1),Questions!$A:$E,5,FALSE),1,0)</f>
        <v>0</v>
      </c>
      <c r="BD106" s="7">
        <f>IF(T106=VLOOKUP(VALUE(T$1),Questions!$A:$E,5,FALSE),1,0)</f>
        <v>0</v>
      </c>
      <c r="BE106" s="7">
        <f>IF(U106=VLOOKUP(VALUE(U$1),Questions!$A:$E,5,FALSE),1,0)</f>
        <v>0</v>
      </c>
      <c r="BF106" s="7">
        <f>IF(V106=VLOOKUP(VALUE(V$1),Questions!$A:$E,5,FALSE),1,0)</f>
        <v>0</v>
      </c>
      <c r="BG106" s="7">
        <f>IF(W106=VLOOKUP(VALUE(W$1),Questions!$A:$E,5,FALSE),1,0)</f>
        <v>0</v>
      </c>
      <c r="BH106" s="7">
        <f>IF(X106=VLOOKUP(VALUE(X$1),Questions!$A:$E,5,FALSE),1,0)</f>
        <v>1</v>
      </c>
      <c r="BI106" s="7">
        <f>IF(Y106=VLOOKUP(VALUE(Y$1),Questions!$A:$E,5,FALSE),1,0)</f>
        <v>1</v>
      </c>
      <c r="BJ106" s="7">
        <f>IF(Z106=VLOOKUP(VALUE(Z$1),Questions!$A:$E,5,FALSE),1,0)</f>
        <v>0</v>
      </c>
      <c r="BK106" s="7">
        <f>IF(AA106=VLOOKUP(VALUE(AA$1),Questions!$A:$E,5,FALSE),1,0)</f>
        <v>0</v>
      </c>
      <c r="BL106" s="7">
        <f>IF(AB106=VLOOKUP(VALUE(AB$1),Questions!$A:$E,5,FALSE),1,0)</f>
        <v>1</v>
      </c>
      <c r="BM106" s="7">
        <f>IF(AC106=VLOOKUP(VALUE(AC$1),Questions!$A:$E,5,FALSE),1,0)</f>
        <v>0</v>
      </c>
      <c r="BN106" s="7">
        <f>IF(AD106=VLOOKUP(VALUE(AD$1),Questions!$A:$E,5,FALSE),1,0)</f>
        <v>1</v>
      </c>
      <c r="BO106" s="7">
        <f>IF(AE106=VLOOKUP(VALUE(AE$1),Questions!$A:$E,5,FALSE),1,0)</f>
        <v>0</v>
      </c>
      <c r="BP106" s="7">
        <f>IF(AF106=VLOOKUP(VALUE(AF$1),Questions!$A:$E,5,FALSE),1,0)</f>
        <v>1</v>
      </c>
      <c r="BQ106" s="7">
        <f>IF(AG106=VLOOKUP(VALUE(AG$1),Questions!$A:$E,5,FALSE),1,0)</f>
        <v>0</v>
      </c>
      <c r="BR106" s="7">
        <f>IF(AH106=VLOOKUP(VALUE(AH$1),Questions!$A:$E,5,FALSE),1,0)</f>
        <v>0</v>
      </c>
      <c r="BS106" s="7">
        <f>IF(AI106=VLOOKUP(VALUE(AI$1),Questions!$A:$E,5,FALSE),1,0)</f>
        <v>0</v>
      </c>
    </row>
    <row r="107" spans="1:71">
      <c r="A107" s="10">
        <v>106</v>
      </c>
      <c r="B107" s="14" t="b">
        <v>1</v>
      </c>
      <c r="C107" s="14" t="b">
        <v>1</v>
      </c>
      <c r="D107" s="102">
        <f>SUM(Scores[[#This Row],[Q1]:[Q28]])</f>
        <v>23</v>
      </c>
      <c r="E107" s="103">
        <f>SUM(Scores[[#This Row],[29]:[34b]])</f>
        <v>0</v>
      </c>
      <c r="F107" s="103">
        <f>Scores[[#This Row],[35]]</f>
        <v>0</v>
      </c>
      <c r="G107" s="104">
        <f>INDEX('Conversion Chart'!$C$3:$M$38,MATCH(SUM(Scores[[#This Row],[MC]:[CRQ]]),'Conversion Chart'!$B$3:$B$38,0),MATCH(Scores[[#This Row],[EIE]],'Conversion Chart'!$C$2:$M$2,0))</f>
        <v>59</v>
      </c>
      <c r="H107" s="5">
        <v>4</v>
      </c>
      <c r="I107" s="5">
        <v>3</v>
      </c>
      <c r="J107" s="5">
        <v>1</v>
      </c>
      <c r="K107" s="5">
        <v>2</v>
      </c>
      <c r="L107" s="5">
        <v>2</v>
      </c>
      <c r="M107" s="5">
        <v>4</v>
      </c>
      <c r="N107" s="5">
        <v>3</v>
      </c>
      <c r="O107" s="5">
        <v>1</v>
      </c>
      <c r="P107" s="5">
        <v>1</v>
      </c>
      <c r="Q107" s="5">
        <v>1</v>
      </c>
      <c r="R107" s="5">
        <v>4</v>
      </c>
      <c r="S107" s="5">
        <v>2</v>
      </c>
      <c r="T107" s="5">
        <v>1</v>
      </c>
      <c r="U107" s="5">
        <v>4</v>
      </c>
      <c r="V107" s="5">
        <v>1</v>
      </c>
      <c r="W107" s="5">
        <v>4</v>
      </c>
      <c r="X107" s="5">
        <v>1</v>
      </c>
      <c r="Y107" s="5">
        <v>3</v>
      </c>
      <c r="Z107" s="5">
        <v>1</v>
      </c>
      <c r="AA107" s="5">
        <v>1</v>
      </c>
      <c r="AB107" s="5">
        <v>2</v>
      </c>
      <c r="AC107" s="5">
        <v>1</v>
      </c>
      <c r="AD107" s="5">
        <v>3</v>
      </c>
      <c r="AE107" s="5">
        <v>2</v>
      </c>
      <c r="AF107" s="5">
        <v>4</v>
      </c>
      <c r="AG107" s="5">
        <v>2</v>
      </c>
      <c r="AH107" s="5">
        <v>1</v>
      </c>
      <c r="AI107" s="104">
        <v>1</v>
      </c>
      <c r="AJ107" s="95"/>
      <c r="AK107" s="84"/>
      <c r="AL107" s="84"/>
      <c r="AM107" s="84"/>
      <c r="AN107" s="84"/>
      <c r="AO107" s="84"/>
      <c r="AP107" s="94"/>
      <c r="AR107" s="7">
        <f>IF(H107=VLOOKUP(VALUE(H$1),Questions!$A:$E,5,FALSE),1,0)</f>
        <v>1</v>
      </c>
      <c r="AS107" s="7">
        <f>IF(I107=VLOOKUP(VALUE(I$1),Questions!$A:$E,5,FALSE),1,0)</f>
        <v>1</v>
      </c>
      <c r="AT107" s="7">
        <f>IF(J107=VLOOKUP(VALUE(J$1),Questions!$A:$E,5,FALSE),1,0)</f>
        <v>1</v>
      </c>
      <c r="AU107" s="7">
        <f>IF(K107=VLOOKUP(VALUE(K$1),Questions!$A:$E,5,FALSE),1,0)</f>
        <v>1</v>
      </c>
      <c r="AV107" s="7">
        <f>IF(L107=VLOOKUP(VALUE(L$1),Questions!$A:$E,5,FALSE),1,0)</f>
        <v>1</v>
      </c>
      <c r="AW107" s="7">
        <f>IF(M107=VLOOKUP(VALUE(M$1),Questions!$A:$E,5,FALSE),1,0)</f>
        <v>1</v>
      </c>
      <c r="AX107" s="7">
        <f>IF(N107=VLOOKUP(VALUE(N$1),Questions!$A:$E,5,FALSE),1,0)</f>
        <v>1</v>
      </c>
      <c r="AY107" s="7">
        <f>IF(O107=VLOOKUP(VALUE(O$1),Questions!$A:$E,5,FALSE),1,0)</f>
        <v>1</v>
      </c>
      <c r="AZ107" s="7">
        <f>IF(P107=VLOOKUP(VALUE(P$1),Questions!$A:$E,5,FALSE),1,0)</f>
        <v>1</v>
      </c>
      <c r="BA107" s="7">
        <f>IF(Q107=VLOOKUP(VALUE(Q$1),Questions!$A:$E,5,FALSE),1,0)</f>
        <v>1</v>
      </c>
      <c r="BB107" s="7">
        <f>IF(R107=VLOOKUP(VALUE(R$1),Questions!$A:$E,5,FALSE),1,0)</f>
        <v>1</v>
      </c>
      <c r="BC107" s="7">
        <f>IF(S107=VLOOKUP(VALUE(S$1),Questions!$A:$E,5,FALSE),1,0)</f>
        <v>1</v>
      </c>
      <c r="BD107" s="7">
        <f>IF(T107=VLOOKUP(VALUE(T$1),Questions!$A:$E,5,FALSE),1,0)</f>
        <v>1</v>
      </c>
      <c r="BE107" s="7">
        <f>IF(U107=VLOOKUP(VALUE(U$1),Questions!$A:$E,5,FALSE),1,0)</f>
        <v>1</v>
      </c>
      <c r="BF107" s="7">
        <f>IF(V107=VLOOKUP(VALUE(V$1),Questions!$A:$E,5,FALSE),1,0)</f>
        <v>0</v>
      </c>
      <c r="BG107" s="7">
        <f>IF(W107=VLOOKUP(VALUE(W$1),Questions!$A:$E,5,FALSE),1,0)</f>
        <v>1</v>
      </c>
      <c r="BH107" s="7">
        <f>IF(X107=VLOOKUP(VALUE(X$1),Questions!$A:$E,5,FALSE),1,0)</f>
        <v>0</v>
      </c>
      <c r="BI107" s="7">
        <f>IF(Y107=VLOOKUP(VALUE(Y$1),Questions!$A:$E,5,FALSE),1,0)</f>
        <v>1</v>
      </c>
      <c r="BJ107" s="7">
        <f>IF(Z107=VLOOKUP(VALUE(Z$1),Questions!$A:$E,5,FALSE),1,0)</f>
        <v>0</v>
      </c>
      <c r="BK107" s="7">
        <f>IF(AA107=VLOOKUP(VALUE(AA$1),Questions!$A:$E,5,FALSE),1,0)</f>
        <v>0</v>
      </c>
      <c r="BL107" s="7">
        <f>IF(AB107=VLOOKUP(VALUE(AB$1),Questions!$A:$E,5,FALSE),1,0)</f>
        <v>1</v>
      </c>
      <c r="BM107" s="7">
        <f>IF(AC107=VLOOKUP(VALUE(AC$1),Questions!$A:$E,5,FALSE),1,0)</f>
        <v>1</v>
      </c>
      <c r="BN107" s="7">
        <f>IF(AD107=VLOOKUP(VALUE(AD$1),Questions!$A:$E,5,FALSE),1,0)</f>
        <v>1</v>
      </c>
      <c r="BO107" s="7">
        <f>IF(AE107=VLOOKUP(VALUE(AE$1),Questions!$A:$E,5,FALSE),1,0)</f>
        <v>1</v>
      </c>
      <c r="BP107" s="7">
        <f>IF(AF107=VLOOKUP(VALUE(AF$1),Questions!$A:$E,5,FALSE),1,0)</f>
        <v>1</v>
      </c>
      <c r="BQ107" s="7">
        <f>IF(AG107=VLOOKUP(VALUE(AG$1),Questions!$A:$E,5,FALSE),1,0)</f>
        <v>0</v>
      </c>
      <c r="BR107" s="7">
        <f>IF(AH107=VLOOKUP(VALUE(AH$1),Questions!$A:$E,5,FALSE),1,0)</f>
        <v>1</v>
      </c>
      <c r="BS107" s="7">
        <f>IF(AI107=VLOOKUP(VALUE(AI$1),Questions!$A:$E,5,FALSE),1,0)</f>
        <v>1</v>
      </c>
    </row>
    <row r="108" spans="1:71">
      <c r="A108" s="10">
        <v>107</v>
      </c>
      <c r="B108" s="14" t="b">
        <v>0</v>
      </c>
      <c r="C108" s="14" t="b">
        <v>0</v>
      </c>
      <c r="D108" s="102">
        <f>SUM(Scores[[#This Row],[Q1]:[Q28]])</f>
        <v>8</v>
      </c>
      <c r="E108" s="103">
        <f>SUM(Scores[[#This Row],[29]:[34b]])</f>
        <v>0</v>
      </c>
      <c r="F108" s="103">
        <f>Scores[[#This Row],[35]]</f>
        <v>0</v>
      </c>
      <c r="G108" s="104">
        <f>INDEX('Conversion Chart'!$C$3:$M$38,MATCH(SUM(Scores[[#This Row],[MC]:[CRQ]]),'Conversion Chart'!$B$3:$B$38,0),MATCH(Scores[[#This Row],[EIE]],'Conversion Chart'!$C$2:$M$2,0))</f>
        <v>25</v>
      </c>
      <c r="H108" s="5">
        <v>2</v>
      </c>
      <c r="I108" s="5">
        <v>3</v>
      </c>
      <c r="J108" s="5">
        <v>2</v>
      </c>
      <c r="K108" s="5">
        <v>1</v>
      </c>
      <c r="L108" s="5">
        <v>3</v>
      </c>
      <c r="M108" s="5">
        <v>2</v>
      </c>
      <c r="N108" s="5">
        <v>4</v>
      </c>
      <c r="O108" s="5">
        <v>3</v>
      </c>
      <c r="P108" s="5">
        <v>1</v>
      </c>
      <c r="Q108" s="5">
        <v>4</v>
      </c>
      <c r="R108" s="5">
        <v>3</v>
      </c>
      <c r="S108" s="5">
        <v>2</v>
      </c>
      <c r="T108" s="5">
        <v>3</v>
      </c>
      <c r="U108" s="5">
        <v>4</v>
      </c>
      <c r="V108" s="5">
        <v>1</v>
      </c>
      <c r="W108" s="5">
        <v>2</v>
      </c>
      <c r="X108" s="5">
        <v>2</v>
      </c>
      <c r="Y108" s="5">
        <v>3</v>
      </c>
      <c r="Z108" s="5">
        <v>2</v>
      </c>
      <c r="AA108" s="5">
        <v>4</v>
      </c>
      <c r="AB108" s="5">
        <v>3</v>
      </c>
      <c r="AC108" s="5">
        <v>2</v>
      </c>
      <c r="AD108" s="5">
        <v>1</v>
      </c>
      <c r="AE108" s="5">
        <v>2</v>
      </c>
      <c r="AF108" s="5">
        <v>3</v>
      </c>
      <c r="AG108" s="5">
        <v>1</v>
      </c>
      <c r="AH108" s="5">
        <v>4</v>
      </c>
      <c r="AI108" s="104">
        <v>3</v>
      </c>
      <c r="AJ108" s="95"/>
      <c r="AK108" s="84"/>
      <c r="AL108" s="84"/>
      <c r="AM108" s="84"/>
      <c r="AN108" s="84"/>
      <c r="AO108" s="84"/>
      <c r="AP108" s="94"/>
      <c r="AR108" s="7">
        <f>IF(H108=VLOOKUP(VALUE(H$1),Questions!$A:$E,5,FALSE),1,0)</f>
        <v>0</v>
      </c>
      <c r="AS108" s="7">
        <f>IF(I108=VLOOKUP(VALUE(I$1),Questions!$A:$E,5,FALSE),1,0)</f>
        <v>1</v>
      </c>
      <c r="AT108" s="7">
        <f>IF(J108=VLOOKUP(VALUE(J$1),Questions!$A:$E,5,FALSE),1,0)</f>
        <v>0</v>
      </c>
      <c r="AU108" s="7">
        <f>IF(K108=VLOOKUP(VALUE(K$1),Questions!$A:$E,5,FALSE),1,0)</f>
        <v>0</v>
      </c>
      <c r="AV108" s="7">
        <f>IF(L108=VLOOKUP(VALUE(L$1),Questions!$A:$E,5,FALSE),1,0)</f>
        <v>0</v>
      </c>
      <c r="AW108" s="7">
        <f>IF(M108=VLOOKUP(VALUE(M$1),Questions!$A:$E,5,FALSE),1,0)</f>
        <v>0</v>
      </c>
      <c r="AX108" s="7">
        <f>IF(N108=VLOOKUP(VALUE(N$1),Questions!$A:$E,5,FALSE),1,0)</f>
        <v>0</v>
      </c>
      <c r="AY108" s="7">
        <f>IF(O108=VLOOKUP(VALUE(O$1),Questions!$A:$E,5,FALSE),1,0)</f>
        <v>0</v>
      </c>
      <c r="AZ108" s="7">
        <f>IF(P108=VLOOKUP(VALUE(P$1),Questions!$A:$E,5,FALSE),1,0)</f>
        <v>1</v>
      </c>
      <c r="BA108" s="7">
        <f>IF(Q108=VLOOKUP(VALUE(Q$1),Questions!$A:$E,5,FALSE),1,0)</f>
        <v>0</v>
      </c>
      <c r="BB108" s="7">
        <f>IF(R108=VLOOKUP(VALUE(R$1),Questions!$A:$E,5,FALSE),1,0)</f>
        <v>0</v>
      </c>
      <c r="BC108" s="7">
        <f>IF(S108=VLOOKUP(VALUE(S$1),Questions!$A:$E,5,FALSE),1,0)</f>
        <v>1</v>
      </c>
      <c r="BD108" s="7">
        <f>IF(T108=VLOOKUP(VALUE(T$1),Questions!$A:$E,5,FALSE),1,0)</f>
        <v>0</v>
      </c>
      <c r="BE108" s="7">
        <f>IF(U108=VLOOKUP(VALUE(U$1),Questions!$A:$E,5,FALSE),1,0)</f>
        <v>1</v>
      </c>
      <c r="BF108" s="7">
        <f>IF(V108=VLOOKUP(VALUE(V$1),Questions!$A:$E,5,FALSE),1,0)</f>
        <v>0</v>
      </c>
      <c r="BG108" s="7">
        <f>IF(W108=VLOOKUP(VALUE(W$1),Questions!$A:$E,5,FALSE),1,0)</f>
        <v>0</v>
      </c>
      <c r="BH108" s="7">
        <f>IF(X108=VLOOKUP(VALUE(X$1),Questions!$A:$E,5,FALSE),1,0)</f>
        <v>1</v>
      </c>
      <c r="BI108" s="7">
        <f>IF(Y108=VLOOKUP(VALUE(Y$1),Questions!$A:$E,5,FALSE),1,0)</f>
        <v>1</v>
      </c>
      <c r="BJ108" s="7">
        <f>IF(Z108=VLOOKUP(VALUE(Z$1),Questions!$A:$E,5,FALSE),1,0)</f>
        <v>1</v>
      </c>
      <c r="BK108" s="7">
        <f>IF(AA108=VLOOKUP(VALUE(AA$1),Questions!$A:$E,5,FALSE),1,0)</f>
        <v>0</v>
      </c>
      <c r="BL108" s="7">
        <f>IF(AB108=VLOOKUP(VALUE(AB$1),Questions!$A:$E,5,FALSE),1,0)</f>
        <v>0</v>
      </c>
      <c r="BM108" s="7">
        <f>IF(AC108=VLOOKUP(VALUE(AC$1),Questions!$A:$E,5,FALSE),1,0)</f>
        <v>0</v>
      </c>
      <c r="BN108" s="7">
        <f>IF(AD108=VLOOKUP(VALUE(AD$1),Questions!$A:$E,5,FALSE),1,0)</f>
        <v>0</v>
      </c>
      <c r="BO108" s="7">
        <f>IF(AE108=VLOOKUP(VALUE(AE$1),Questions!$A:$E,5,FALSE),1,0)</f>
        <v>1</v>
      </c>
      <c r="BP108" s="7">
        <f>IF(AF108=VLOOKUP(VALUE(AF$1),Questions!$A:$E,5,FALSE),1,0)</f>
        <v>0</v>
      </c>
      <c r="BQ108" s="7">
        <f>IF(AG108=VLOOKUP(VALUE(AG$1),Questions!$A:$E,5,FALSE),1,0)</f>
        <v>0</v>
      </c>
      <c r="BR108" s="7">
        <f>IF(AH108=VLOOKUP(VALUE(AH$1),Questions!$A:$E,5,FALSE),1,0)</f>
        <v>0</v>
      </c>
      <c r="BS108" s="7">
        <f>IF(AI108=VLOOKUP(VALUE(AI$1),Questions!$A:$E,5,FALSE),1,0)</f>
        <v>0</v>
      </c>
    </row>
    <row r="109" spans="1:71">
      <c r="A109" s="10">
        <v>108</v>
      </c>
      <c r="B109" s="14" t="b">
        <v>1</v>
      </c>
      <c r="C109" s="14" t="b">
        <v>0</v>
      </c>
      <c r="D109" s="102">
        <f>SUM(Scores[[#This Row],[Q1]:[Q28]])</f>
        <v>22</v>
      </c>
      <c r="E109" s="103">
        <f>SUM(Scores[[#This Row],[29]:[34b]])</f>
        <v>0</v>
      </c>
      <c r="F109" s="103">
        <f>Scores[[#This Row],[35]]</f>
        <v>0</v>
      </c>
      <c r="G109" s="104">
        <f>INDEX('Conversion Chart'!$C$3:$M$38,MATCH(SUM(Scores[[#This Row],[MC]:[CRQ]]),'Conversion Chart'!$B$3:$B$38,0),MATCH(Scores[[#This Row],[EIE]],'Conversion Chart'!$C$2:$M$2,0))</f>
        <v>57</v>
      </c>
      <c r="H109" s="5">
        <v>4</v>
      </c>
      <c r="I109" s="5">
        <v>3</v>
      </c>
      <c r="J109" s="5">
        <v>1</v>
      </c>
      <c r="K109" s="5">
        <v>2</v>
      </c>
      <c r="L109" s="5">
        <v>2</v>
      </c>
      <c r="M109" s="5">
        <v>4</v>
      </c>
      <c r="N109" s="5">
        <v>3</v>
      </c>
      <c r="O109" s="5">
        <v>4</v>
      </c>
      <c r="P109" s="5">
        <v>1</v>
      </c>
      <c r="Q109" s="5">
        <v>1</v>
      </c>
      <c r="R109" s="5">
        <v>4</v>
      </c>
      <c r="S109" s="5">
        <v>3</v>
      </c>
      <c r="T109" s="5">
        <v>1</v>
      </c>
      <c r="U109" s="5">
        <v>4</v>
      </c>
      <c r="V109" s="5">
        <v>3</v>
      </c>
      <c r="W109" s="5">
        <v>4</v>
      </c>
      <c r="X109" s="5">
        <v>3</v>
      </c>
      <c r="Y109" s="5">
        <v>2</v>
      </c>
      <c r="Z109" s="5">
        <v>2</v>
      </c>
      <c r="AA109" s="5">
        <v>2</v>
      </c>
      <c r="AB109" s="5">
        <v>3</v>
      </c>
      <c r="AC109" s="5">
        <v>1</v>
      </c>
      <c r="AD109" s="5">
        <v>3</v>
      </c>
      <c r="AE109" s="5">
        <v>2</v>
      </c>
      <c r="AF109" s="5">
        <v>4</v>
      </c>
      <c r="AG109" s="5">
        <v>3</v>
      </c>
      <c r="AH109" s="5">
        <v>1</v>
      </c>
      <c r="AI109" s="104">
        <v>1</v>
      </c>
      <c r="AJ109" s="95"/>
      <c r="AK109" s="84"/>
      <c r="AL109" s="84"/>
      <c r="AM109" s="84"/>
      <c r="AN109" s="84"/>
      <c r="AO109" s="84"/>
      <c r="AP109" s="94"/>
      <c r="AR109" s="7">
        <f>IF(H109=VLOOKUP(VALUE(H$1),Questions!$A:$E,5,FALSE),1,0)</f>
        <v>1</v>
      </c>
      <c r="AS109" s="7">
        <f>IF(I109=VLOOKUP(VALUE(I$1),Questions!$A:$E,5,FALSE),1,0)</f>
        <v>1</v>
      </c>
      <c r="AT109" s="7">
        <f>IF(J109=VLOOKUP(VALUE(J$1),Questions!$A:$E,5,FALSE),1,0)</f>
        <v>1</v>
      </c>
      <c r="AU109" s="7">
        <f>IF(K109=VLOOKUP(VALUE(K$1),Questions!$A:$E,5,FALSE),1,0)</f>
        <v>1</v>
      </c>
      <c r="AV109" s="7">
        <f>IF(L109=VLOOKUP(VALUE(L$1),Questions!$A:$E,5,FALSE),1,0)</f>
        <v>1</v>
      </c>
      <c r="AW109" s="7">
        <f>IF(M109=VLOOKUP(VALUE(M$1),Questions!$A:$E,5,FALSE),1,0)</f>
        <v>1</v>
      </c>
      <c r="AX109" s="7">
        <f>IF(N109=VLOOKUP(VALUE(N$1),Questions!$A:$E,5,FALSE),1,0)</f>
        <v>1</v>
      </c>
      <c r="AY109" s="7">
        <f>IF(O109=VLOOKUP(VALUE(O$1),Questions!$A:$E,5,FALSE),1,0)</f>
        <v>0</v>
      </c>
      <c r="AZ109" s="7">
        <f>IF(P109=VLOOKUP(VALUE(P$1),Questions!$A:$E,5,FALSE),1,0)</f>
        <v>1</v>
      </c>
      <c r="BA109" s="7">
        <f>IF(Q109=VLOOKUP(VALUE(Q$1),Questions!$A:$E,5,FALSE),1,0)</f>
        <v>1</v>
      </c>
      <c r="BB109" s="7">
        <f>IF(R109=VLOOKUP(VALUE(R$1),Questions!$A:$E,5,FALSE),1,0)</f>
        <v>1</v>
      </c>
      <c r="BC109" s="7">
        <f>IF(S109=VLOOKUP(VALUE(S$1),Questions!$A:$E,5,FALSE),1,0)</f>
        <v>0</v>
      </c>
      <c r="BD109" s="7">
        <f>IF(T109=VLOOKUP(VALUE(T$1),Questions!$A:$E,5,FALSE),1,0)</f>
        <v>1</v>
      </c>
      <c r="BE109" s="7">
        <f>IF(U109=VLOOKUP(VALUE(U$1),Questions!$A:$E,5,FALSE),1,0)</f>
        <v>1</v>
      </c>
      <c r="BF109" s="7">
        <f>IF(V109=VLOOKUP(VALUE(V$1),Questions!$A:$E,5,FALSE),1,0)</f>
        <v>1</v>
      </c>
      <c r="BG109" s="7">
        <f>IF(W109=VLOOKUP(VALUE(W$1),Questions!$A:$E,5,FALSE),1,0)</f>
        <v>1</v>
      </c>
      <c r="BH109" s="7">
        <f>IF(X109=VLOOKUP(VALUE(X$1),Questions!$A:$E,5,FALSE),1,0)</f>
        <v>0</v>
      </c>
      <c r="BI109" s="7">
        <f>IF(Y109=VLOOKUP(VALUE(Y$1),Questions!$A:$E,5,FALSE),1,0)</f>
        <v>0</v>
      </c>
      <c r="BJ109" s="7">
        <f>IF(Z109=VLOOKUP(VALUE(Z$1),Questions!$A:$E,5,FALSE),1,0)</f>
        <v>1</v>
      </c>
      <c r="BK109" s="7">
        <f>IF(AA109=VLOOKUP(VALUE(AA$1),Questions!$A:$E,5,FALSE),1,0)</f>
        <v>0</v>
      </c>
      <c r="BL109" s="7">
        <f>IF(AB109=VLOOKUP(VALUE(AB$1),Questions!$A:$E,5,FALSE),1,0)</f>
        <v>0</v>
      </c>
      <c r="BM109" s="7">
        <f>IF(AC109=VLOOKUP(VALUE(AC$1),Questions!$A:$E,5,FALSE),1,0)</f>
        <v>1</v>
      </c>
      <c r="BN109" s="7">
        <f>IF(AD109=VLOOKUP(VALUE(AD$1),Questions!$A:$E,5,FALSE),1,0)</f>
        <v>1</v>
      </c>
      <c r="BO109" s="7">
        <f>IF(AE109=VLOOKUP(VALUE(AE$1),Questions!$A:$E,5,FALSE),1,0)</f>
        <v>1</v>
      </c>
      <c r="BP109" s="7">
        <f>IF(AF109=VLOOKUP(VALUE(AF$1),Questions!$A:$E,5,FALSE),1,0)</f>
        <v>1</v>
      </c>
      <c r="BQ109" s="7">
        <f>IF(AG109=VLOOKUP(VALUE(AG$1),Questions!$A:$E,5,FALSE),1,0)</f>
        <v>1</v>
      </c>
      <c r="BR109" s="7">
        <f>IF(AH109=VLOOKUP(VALUE(AH$1),Questions!$A:$E,5,FALSE),1,0)</f>
        <v>1</v>
      </c>
      <c r="BS109" s="7">
        <f>IF(AI109=VLOOKUP(VALUE(AI$1),Questions!$A:$E,5,FALSE),1,0)</f>
        <v>1</v>
      </c>
    </row>
    <row r="110" spans="1:71">
      <c r="A110" s="10">
        <v>109</v>
      </c>
      <c r="B110" s="14" t="b">
        <v>0</v>
      </c>
      <c r="C110" s="14" t="b">
        <v>0</v>
      </c>
      <c r="D110" s="102">
        <f>SUM(Scores[[#This Row],[Q1]:[Q28]])</f>
        <v>15</v>
      </c>
      <c r="E110" s="103">
        <f>SUM(Scores[[#This Row],[29]:[34b]])</f>
        <v>0</v>
      </c>
      <c r="F110" s="103">
        <f>Scores[[#This Row],[35]]</f>
        <v>0</v>
      </c>
      <c r="G110" s="104">
        <f>INDEX('Conversion Chart'!$C$3:$M$38,MATCH(SUM(Scores[[#This Row],[MC]:[CRQ]]),'Conversion Chart'!$B$3:$B$38,0),MATCH(Scores[[#This Row],[EIE]],'Conversion Chart'!$C$2:$M$2,0))</f>
        <v>42</v>
      </c>
      <c r="H110" s="5">
        <v>1</v>
      </c>
      <c r="I110" s="5">
        <v>2</v>
      </c>
      <c r="J110" s="5">
        <v>1</v>
      </c>
      <c r="K110" s="5">
        <v>3</v>
      </c>
      <c r="L110" s="5">
        <v>2</v>
      </c>
      <c r="M110" s="5">
        <v>2</v>
      </c>
      <c r="N110" s="5">
        <v>3</v>
      </c>
      <c r="O110" s="5">
        <v>4</v>
      </c>
      <c r="P110" s="5">
        <v>4</v>
      </c>
      <c r="Q110" s="5">
        <v>2</v>
      </c>
      <c r="R110" s="5">
        <v>4</v>
      </c>
      <c r="S110" s="5">
        <v>4</v>
      </c>
      <c r="T110" s="5">
        <v>1</v>
      </c>
      <c r="U110" s="5">
        <v>3</v>
      </c>
      <c r="V110" s="5">
        <v>3</v>
      </c>
      <c r="W110" s="5">
        <v>4</v>
      </c>
      <c r="X110" s="5">
        <v>2</v>
      </c>
      <c r="Y110" s="5">
        <v>3</v>
      </c>
      <c r="Z110" s="5">
        <v>2</v>
      </c>
      <c r="AA110" s="5">
        <v>4</v>
      </c>
      <c r="AB110" s="5">
        <v>2</v>
      </c>
      <c r="AC110" s="5">
        <v>1</v>
      </c>
      <c r="AD110" s="5">
        <v>2</v>
      </c>
      <c r="AE110" s="5">
        <v>3</v>
      </c>
      <c r="AF110" s="5">
        <v>4</v>
      </c>
      <c r="AG110" s="5">
        <v>3</v>
      </c>
      <c r="AH110" s="5">
        <v>2</v>
      </c>
      <c r="AI110" s="104">
        <v>1</v>
      </c>
      <c r="AJ110" s="95"/>
      <c r="AK110" s="84"/>
      <c r="AL110" s="84"/>
      <c r="AM110" s="84"/>
      <c r="AN110" s="84"/>
      <c r="AO110" s="84"/>
      <c r="AP110" s="94"/>
      <c r="AR110" s="7">
        <f>IF(H110=VLOOKUP(VALUE(H$1),Questions!$A:$E,5,FALSE),1,0)</f>
        <v>0</v>
      </c>
      <c r="AS110" s="7">
        <f>IF(I110=VLOOKUP(VALUE(I$1),Questions!$A:$E,5,FALSE),1,0)</f>
        <v>0</v>
      </c>
      <c r="AT110" s="7">
        <f>IF(J110=VLOOKUP(VALUE(J$1),Questions!$A:$E,5,FALSE),1,0)</f>
        <v>1</v>
      </c>
      <c r="AU110" s="7">
        <f>IF(K110=VLOOKUP(VALUE(K$1),Questions!$A:$E,5,FALSE),1,0)</f>
        <v>0</v>
      </c>
      <c r="AV110" s="7">
        <f>IF(L110=VLOOKUP(VALUE(L$1),Questions!$A:$E,5,FALSE),1,0)</f>
        <v>1</v>
      </c>
      <c r="AW110" s="7">
        <f>IF(M110=VLOOKUP(VALUE(M$1),Questions!$A:$E,5,FALSE),1,0)</f>
        <v>0</v>
      </c>
      <c r="AX110" s="7">
        <f>IF(N110=VLOOKUP(VALUE(N$1),Questions!$A:$E,5,FALSE),1,0)</f>
        <v>1</v>
      </c>
      <c r="AY110" s="7">
        <f>IF(O110=VLOOKUP(VALUE(O$1),Questions!$A:$E,5,FALSE),1,0)</f>
        <v>0</v>
      </c>
      <c r="AZ110" s="7">
        <f>IF(P110=VLOOKUP(VALUE(P$1),Questions!$A:$E,5,FALSE),1,0)</f>
        <v>0</v>
      </c>
      <c r="BA110" s="7">
        <f>IF(Q110=VLOOKUP(VALUE(Q$1),Questions!$A:$E,5,FALSE),1,0)</f>
        <v>0</v>
      </c>
      <c r="BB110" s="7">
        <f>IF(R110=VLOOKUP(VALUE(R$1),Questions!$A:$E,5,FALSE),1,0)</f>
        <v>1</v>
      </c>
      <c r="BC110" s="7">
        <f>IF(S110=VLOOKUP(VALUE(S$1),Questions!$A:$E,5,FALSE),1,0)</f>
        <v>0</v>
      </c>
      <c r="BD110" s="7">
        <f>IF(T110=VLOOKUP(VALUE(T$1),Questions!$A:$E,5,FALSE),1,0)</f>
        <v>1</v>
      </c>
      <c r="BE110" s="7">
        <f>IF(U110=VLOOKUP(VALUE(U$1),Questions!$A:$E,5,FALSE),1,0)</f>
        <v>0</v>
      </c>
      <c r="BF110" s="7">
        <f>IF(V110=VLOOKUP(VALUE(V$1),Questions!$A:$E,5,FALSE),1,0)</f>
        <v>1</v>
      </c>
      <c r="BG110" s="7">
        <f>IF(W110=VLOOKUP(VALUE(W$1),Questions!$A:$E,5,FALSE),1,0)</f>
        <v>1</v>
      </c>
      <c r="BH110" s="7">
        <f>IF(X110=VLOOKUP(VALUE(X$1),Questions!$A:$E,5,FALSE),1,0)</f>
        <v>1</v>
      </c>
      <c r="BI110" s="7">
        <f>IF(Y110=VLOOKUP(VALUE(Y$1),Questions!$A:$E,5,FALSE),1,0)</f>
        <v>1</v>
      </c>
      <c r="BJ110" s="7">
        <f>IF(Z110=VLOOKUP(VALUE(Z$1),Questions!$A:$E,5,FALSE),1,0)</f>
        <v>1</v>
      </c>
      <c r="BK110" s="7">
        <f>IF(AA110=VLOOKUP(VALUE(AA$1),Questions!$A:$E,5,FALSE),1,0)</f>
        <v>0</v>
      </c>
      <c r="BL110" s="7">
        <f>IF(AB110=VLOOKUP(VALUE(AB$1),Questions!$A:$E,5,FALSE),1,0)</f>
        <v>1</v>
      </c>
      <c r="BM110" s="7">
        <f>IF(AC110=VLOOKUP(VALUE(AC$1),Questions!$A:$E,5,FALSE),1,0)</f>
        <v>1</v>
      </c>
      <c r="BN110" s="7">
        <f>IF(AD110=VLOOKUP(VALUE(AD$1),Questions!$A:$E,5,FALSE),1,0)</f>
        <v>0</v>
      </c>
      <c r="BO110" s="7">
        <f>IF(AE110=VLOOKUP(VALUE(AE$1),Questions!$A:$E,5,FALSE),1,0)</f>
        <v>0</v>
      </c>
      <c r="BP110" s="7">
        <f>IF(AF110=VLOOKUP(VALUE(AF$1),Questions!$A:$E,5,FALSE),1,0)</f>
        <v>1</v>
      </c>
      <c r="BQ110" s="7">
        <f>IF(AG110=VLOOKUP(VALUE(AG$1),Questions!$A:$E,5,FALSE),1,0)</f>
        <v>1</v>
      </c>
      <c r="BR110" s="7">
        <f>IF(AH110=VLOOKUP(VALUE(AH$1),Questions!$A:$E,5,FALSE),1,0)</f>
        <v>0</v>
      </c>
      <c r="BS110" s="7">
        <f>IF(AI110=VLOOKUP(VALUE(AI$1),Questions!$A:$E,5,FALSE),1,0)</f>
        <v>1</v>
      </c>
    </row>
    <row r="111" spans="1:71">
      <c r="A111" s="10">
        <v>110</v>
      </c>
      <c r="B111" s="14" t="b">
        <v>0</v>
      </c>
      <c r="C111" s="14" t="b">
        <v>0</v>
      </c>
      <c r="D111" s="102">
        <f>SUM(Scores[[#This Row],[Q1]:[Q28]])</f>
        <v>26</v>
      </c>
      <c r="E111" s="103">
        <f>SUM(Scores[[#This Row],[29]:[34b]])</f>
        <v>0</v>
      </c>
      <c r="F111" s="103">
        <f>Scores[[#This Row],[35]]</f>
        <v>0</v>
      </c>
      <c r="G111" s="104">
        <f>INDEX('Conversion Chart'!$C$3:$M$38,MATCH(SUM(Scores[[#This Row],[MC]:[CRQ]]),'Conversion Chart'!$B$3:$B$38,0),MATCH(Scores[[#This Row],[EIE]],'Conversion Chart'!$C$2:$M$2,0))</f>
        <v>64</v>
      </c>
      <c r="H111" s="5">
        <v>4</v>
      </c>
      <c r="I111" s="5">
        <v>3</v>
      </c>
      <c r="J111" s="5">
        <v>1</v>
      </c>
      <c r="K111" s="5">
        <v>2</v>
      </c>
      <c r="L111" s="5">
        <v>2</v>
      </c>
      <c r="M111" s="5">
        <v>4</v>
      </c>
      <c r="N111" s="5">
        <v>3</v>
      </c>
      <c r="O111" s="5">
        <v>1</v>
      </c>
      <c r="P111" s="5">
        <v>1</v>
      </c>
      <c r="Q111" s="5">
        <v>1</v>
      </c>
      <c r="R111" s="5">
        <v>4</v>
      </c>
      <c r="S111" s="5">
        <v>2</v>
      </c>
      <c r="T111" s="5">
        <v>1</v>
      </c>
      <c r="U111" s="5">
        <v>4</v>
      </c>
      <c r="V111" s="5">
        <v>3</v>
      </c>
      <c r="W111" s="5">
        <v>4</v>
      </c>
      <c r="X111" s="5">
        <v>2</v>
      </c>
      <c r="Y111" s="5">
        <v>3</v>
      </c>
      <c r="Z111" s="5">
        <v>4</v>
      </c>
      <c r="AA111" s="5">
        <v>2</v>
      </c>
      <c r="AB111" s="5">
        <v>2</v>
      </c>
      <c r="AC111" s="5">
        <v>1</v>
      </c>
      <c r="AD111" s="5">
        <v>3</v>
      </c>
      <c r="AE111" s="5">
        <v>2</v>
      </c>
      <c r="AF111" s="5">
        <v>4</v>
      </c>
      <c r="AG111" s="5">
        <v>3</v>
      </c>
      <c r="AH111" s="5">
        <v>1</v>
      </c>
      <c r="AI111" s="104">
        <v>1</v>
      </c>
      <c r="AJ111" s="95"/>
      <c r="AK111" s="84"/>
      <c r="AL111" s="84"/>
      <c r="AM111" s="84"/>
      <c r="AN111" s="84"/>
      <c r="AO111" s="84"/>
      <c r="AP111" s="94"/>
      <c r="AR111" s="7">
        <f>IF(H111=VLOOKUP(VALUE(H$1),Questions!$A:$E,5,FALSE),1,0)</f>
        <v>1</v>
      </c>
      <c r="AS111" s="7">
        <f>IF(I111=VLOOKUP(VALUE(I$1),Questions!$A:$E,5,FALSE),1,0)</f>
        <v>1</v>
      </c>
      <c r="AT111" s="7">
        <f>IF(J111=VLOOKUP(VALUE(J$1),Questions!$A:$E,5,FALSE),1,0)</f>
        <v>1</v>
      </c>
      <c r="AU111" s="7">
        <f>IF(K111=VLOOKUP(VALUE(K$1),Questions!$A:$E,5,FALSE),1,0)</f>
        <v>1</v>
      </c>
      <c r="AV111" s="7">
        <f>IF(L111=VLOOKUP(VALUE(L$1),Questions!$A:$E,5,FALSE),1,0)</f>
        <v>1</v>
      </c>
      <c r="AW111" s="7">
        <f>IF(M111=VLOOKUP(VALUE(M$1),Questions!$A:$E,5,FALSE),1,0)</f>
        <v>1</v>
      </c>
      <c r="AX111" s="7">
        <f>IF(N111=VLOOKUP(VALUE(N$1),Questions!$A:$E,5,FALSE),1,0)</f>
        <v>1</v>
      </c>
      <c r="AY111" s="7">
        <f>IF(O111=VLOOKUP(VALUE(O$1),Questions!$A:$E,5,FALSE),1,0)</f>
        <v>1</v>
      </c>
      <c r="AZ111" s="7">
        <f>IF(P111=VLOOKUP(VALUE(P$1),Questions!$A:$E,5,FALSE),1,0)</f>
        <v>1</v>
      </c>
      <c r="BA111" s="7">
        <f>IF(Q111=VLOOKUP(VALUE(Q$1),Questions!$A:$E,5,FALSE),1,0)</f>
        <v>1</v>
      </c>
      <c r="BB111" s="7">
        <f>IF(R111=VLOOKUP(VALUE(R$1),Questions!$A:$E,5,FALSE),1,0)</f>
        <v>1</v>
      </c>
      <c r="BC111" s="7">
        <f>IF(S111=VLOOKUP(VALUE(S$1),Questions!$A:$E,5,FALSE),1,0)</f>
        <v>1</v>
      </c>
      <c r="BD111" s="7">
        <f>IF(T111=VLOOKUP(VALUE(T$1),Questions!$A:$E,5,FALSE),1,0)</f>
        <v>1</v>
      </c>
      <c r="BE111" s="7">
        <f>IF(U111=VLOOKUP(VALUE(U$1),Questions!$A:$E,5,FALSE),1,0)</f>
        <v>1</v>
      </c>
      <c r="BF111" s="7">
        <f>IF(V111=VLOOKUP(VALUE(V$1),Questions!$A:$E,5,FALSE),1,0)</f>
        <v>1</v>
      </c>
      <c r="BG111" s="7">
        <f>IF(W111=VLOOKUP(VALUE(W$1),Questions!$A:$E,5,FALSE),1,0)</f>
        <v>1</v>
      </c>
      <c r="BH111" s="7">
        <f>IF(X111=VLOOKUP(VALUE(X$1),Questions!$A:$E,5,FALSE),1,0)</f>
        <v>1</v>
      </c>
      <c r="BI111" s="7">
        <f>IF(Y111=VLOOKUP(VALUE(Y$1),Questions!$A:$E,5,FALSE),1,0)</f>
        <v>1</v>
      </c>
      <c r="BJ111" s="7">
        <f>IF(Z111=VLOOKUP(VALUE(Z$1),Questions!$A:$E,5,FALSE),1,0)</f>
        <v>0</v>
      </c>
      <c r="BK111" s="7">
        <f>IF(AA111=VLOOKUP(VALUE(AA$1),Questions!$A:$E,5,FALSE),1,0)</f>
        <v>0</v>
      </c>
      <c r="BL111" s="7">
        <f>IF(AB111=VLOOKUP(VALUE(AB$1),Questions!$A:$E,5,FALSE),1,0)</f>
        <v>1</v>
      </c>
      <c r="BM111" s="7">
        <f>IF(AC111=VLOOKUP(VALUE(AC$1),Questions!$A:$E,5,FALSE),1,0)</f>
        <v>1</v>
      </c>
      <c r="BN111" s="7">
        <f>IF(AD111=VLOOKUP(VALUE(AD$1),Questions!$A:$E,5,FALSE),1,0)</f>
        <v>1</v>
      </c>
      <c r="BO111" s="7">
        <f>IF(AE111=VLOOKUP(VALUE(AE$1),Questions!$A:$E,5,FALSE),1,0)</f>
        <v>1</v>
      </c>
      <c r="BP111" s="7">
        <f>IF(AF111=VLOOKUP(VALUE(AF$1),Questions!$A:$E,5,FALSE),1,0)</f>
        <v>1</v>
      </c>
      <c r="BQ111" s="7">
        <f>IF(AG111=VLOOKUP(VALUE(AG$1),Questions!$A:$E,5,FALSE),1,0)</f>
        <v>1</v>
      </c>
      <c r="BR111" s="7">
        <f>IF(AH111=VLOOKUP(VALUE(AH$1),Questions!$A:$E,5,FALSE),1,0)</f>
        <v>1</v>
      </c>
      <c r="BS111" s="7">
        <f>IF(AI111=VLOOKUP(VALUE(AI$1),Questions!$A:$E,5,FALSE),1,0)</f>
        <v>1</v>
      </c>
    </row>
    <row r="112" spans="1:71">
      <c r="A112" s="10">
        <v>111</v>
      </c>
      <c r="B112" s="14" t="b">
        <v>0</v>
      </c>
      <c r="C112" s="14" t="b">
        <v>1</v>
      </c>
      <c r="D112" s="102">
        <f>SUM(Scores[[#This Row],[Q1]:[Q28]])</f>
        <v>13</v>
      </c>
      <c r="E112" s="103">
        <f>SUM(Scores[[#This Row],[29]:[34b]])</f>
        <v>0</v>
      </c>
      <c r="F112" s="103">
        <f>Scores[[#This Row],[35]]</f>
        <v>0</v>
      </c>
      <c r="G112" s="104">
        <f>INDEX('Conversion Chart'!$C$3:$M$38,MATCH(SUM(Scores[[#This Row],[MC]:[CRQ]]),'Conversion Chart'!$B$3:$B$38,0),MATCH(Scores[[#This Row],[EIE]],'Conversion Chart'!$C$2:$M$2,0))</f>
        <v>38</v>
      </c>
      <c r="H112" s="5">
        <v>4</v>
      </c>
      <c r="I112" s="5">
        <v>3</v>
      </c>
      <c r="J112" s="5">
        <v>1</v>
      </c>
      <c r="K112" s="5">
        <v>2</v>
      </c>
      <c r="L112" s="5">
        <v>4</v>
      </c>
      <c r="M112" s="5">
        <v>3</v>
      </c>
      <c r="N112" s="5">
        <v>2</v>
      </c>
      <c r="O112" s="5">
        <v>1</v>
      </c>
      <c r="P112" s="5">
        <v>1</v>
      </c>
      <c r="Q112" s="5">
        <v>4</v>
      </c>
      <c r="R112" s="5">
        <v>3</v>
      </c>
      <c r="S112" s="5">
        <v>1</v>
      </c>
      <c r="T112" s="5">
        <v>1</v>
      </c>
      <c r="U112" s="5">
        <v>1</v>
      </c>
      <c r="V112" s="5">
        <v>3</v>
      </c>
      <c r="W112" s="5">
        <v>4</v>
      </c>
      <c r="X112" s="5">
        <v>4</v>
      </c>
      <c r="Y112" s="5">
        <v>3</v>
      </c>
      <c r="Z112" s="5">
        <v>1</v>
      </c>
      <c r="AA112" s="5">
        <v>1</v>
      </c>
      <c r="AB112" s="5">
        <v>3</v>
      </c>
      <c r="AC112" s="5">
        <v>2</v>
      </c>
      <c r="AD112" s="5">
        <v>4</v>
      </c>
      <c r="AE112" s="5">
        <v>4</v>
      </c>
      <c r="AF112" s="5">
        <v>4</v>
      </c>
      <c r="AG112" s="5">
        <v>2</v>
      </c>
      <c r="AH112" s="5">
        <v>1</v>
      </c>
      <c r="AI112" s="104">
        <v>1</v>
      </c>
      <c r="AJ112" s="95"/>
      <c r="AK112" s="84"/>
      <c r="AL112" s="84"/>
      <c r="AM112" s="84"/>
      <c r="AN112" s="84"/>
      <c r="AO112" s="84"/>
      <c r="AP112" s="94"/>
      <c r="AR112" s="7">
        <f>IF(H112=VLOOKUP(VALUE(H$1),Questions!$A:$E,5,FALSE),1,0)</f>
        <v>1</v>
      </c>
      <c r="AS112" s="7">
        <f>IF(I112=VLOOKUP(VALUE(I$1),Questions!$A:$E,5,FALSE),1,0)</f>
        <v>1</v>
      </c>
      <c r="AT112" s="7">
        <f>IF(J112=VLOOKUP(VALUE(J$1),Questions!$A:$E,5,FALSE),1,0)</f>
        <v>1</v>
      </c>
      <c r="AU112" s="7">
        <f>IF(K112=VLOOKUP(VALUE(K$1),Questions!$A:$E,5,FALSE),1,0)</f>
        <v>1</v>
      </c>
      <c r="AV112" s="7">
        <f>IF(L112=VLOOKUP(VALUE(L$1),Questions!$A:$E,5,FALSE),1,0)</f>
        <v>0</v>
      </c>
      <c r="AW112" s="7">
        <f>IF(M112=VLOOKUP(VALUE(M$1),Questions!$A:$E,5,FALSE),1,0)</f>
        <v>0</v>
      </c>
      <c r="AX112" s="7">
        <f>IF(N112=VLOOKUP(VALUE(N$1),Questions!$A:$E,5,FALSE),1,0)</f>
        <v>0</v>
      </c>
      <c r="AY112" s="7">
        <f>IF(O112=VLOOKUP(VALUE(O$1),Questions!$A:$E,5,FALSE),1,0)</f>
        <v>1</v>
      </c>
      <c r="AZ112" s="7">
        <f>IF(P112=VLOOKUP(VALUE(P$1),Questions!$A:$E,5,FALSE),1,0)</f>
        <v>1</v>
      </c>
      <c r="BA112" s="7">
        <f>IF(Q112=VLOOKUP(VALUE(Q$1),Questions!$A:$E,5,FALSE),1,0)</f>
        <v>0</v>
      </c>
      <c r="BB112" s="7">
        <f>IF(R112=VLOOKUP(VALUE(R$1),Questions!$A:$E,5,FALSE),1,0)</f>
        <v>0</v>
      </c>
      <c r="BC112" s="7">
        <f>IF(S112=VLOOKUP(VALUE(S$1),Questions!$A:$E,5,FALSE),1,0)</f>
        <v>0</v>
      </c>
      <c r="BD112" s="7">
        <f>IF(T112=VLOOKUP(VALUE(T$1),Questions!$A:$E,5,FALSE),1,0)</f>
        <v>1</v>
      </c>
      <c r="BE112" s="7">
        <f>IF(U112=VLOOKUP(VALUE(U$1),Questions!$A:$E,5,FALSE),1,0)</f>
        <v>0</v>
      </c>
      <c r="BF112" s="7">
        <f>IF(V112=VLOOKUP(VALUE(V$1),Questions!$A:$E,5,FALSE),1,0)</f>
        <v>1</v>
      </c>
      <c r="BG112" s="7">
        <f>IF(W112=VLOOKUP(VALUE(W$1),Questions!$A:$E,5,FALSE),1,0)</f>
        <v>1</v>
      </c>
      <c r="BH112" s="7">
        <f>IF(X112=VLOOKUP(VALUE(X$1),Questions!$A:$E,5,FALSE),1,0)</f>
        <v>0</v>
      </c>
      <c r="BI112" s="7">
        <f>IF(Y112=VLOOKUP(VALUE(Y$1),Questions!$A:$E,5,FALSE),1,0)</f>
        <v>1</v>
      </c>
      <c r="BJ112" s="7">
        <f>IF(Z112=VLOOKUP(VALUE(Z$1),Questions!$A:$E,5,FALSE),1,0)</f>
        <v>0</v>
      </c>
      <c r="BK112" s="7">
        <f>IF(AA112=VLOOKUP(VALUE(AA$1),Questions!$A:$E,5,FALSE),1,0)</f>
        <v>0</v>
      </c>
      <c r="BL112" s="7">
        <f>IF(AB112=VLOOKUP(VALUE(AB$1),Questions!$A:$E,5,FALSE),1,0)</f>
        <v>0</v>
      </c>
      <c r="BM112" s="7">
        <f>IF(AC112=VLOOKUP(VALUE(AC$1),Questions!$A:$E,5,FALSE),1,0)</f>
        <v>0</v>
      </c>
      <c r="BN112" s="7">
        <f>IF(AD112=VLOOKUP(VALUE(AD$1),Questions!$A:$E,5,FALSE),1,0)</f>
        <v>0</v>
      </c>
      <c r="BO112" s="7">
        <f>IF(AE112=VLOOKUP(VALUE(AE$1),Questions!$A:$E,5,FALSE),1,0)</f>
        <v>0</v>
      </c>
      <c r="BP112" s="7">
        <f>IF(AF112=VLOOKUP(VALUE(AF$1),Questions!$A:$E,5,FALSE),1,0)</f>
        <v>1</v>
      </c>
      <c r="BQ112" s="7">
        <f>IF(AG112=VLOOKUP(VALUE(AG$1),Questions!$A:$E,5,FALSE),1,0)</f>
        <v>0</v>
      </c>
      <c r="BR112" s="7">
        <f>IF(AH112=VLOOKUP(VALUE(AH$1),Questions!$A:$E,5,FALSE),1,0)</f>
        <v>1</v>
      </c>
      <c r="BS112" s="7">
        <f>IF(AI112=VLOOKUP(VALUE(AI$1),Questions!$A:$E,5,FALSE),1,0)</f>
        <v>1</v>
      </c>
    </row>
    <row r="113" spans="1:71">
      <c r="A113" s="10">
        <v>112</v>
      </c>
      <c r="B113" s="14" t="b">
        <v>0</v>
      </c>
      <c r="C113" s="14" t="b">
        <v>1</v>
      </c>
      <c r="D113" s="102">
        <f>SUM(Scores[[#This Row],[Q1]:[Q28]])</f>
        <v>24</v>
      </c>
      <c r="E113" s="103">
        <f>SUM(Scores[[#This Row],[29]:[34b]])</f>
        <v>0</v>
      </c>
      <c r="F113" s="103">
        <f>Scores[[#This Row],[35]]</f>
        <v>0</v>
      </c>
      <c r="G113" s="104">
        <f>INDEX('Conversion Chart'!$C$3:$M$38,MATCH(SUM(Scores[[#This Row],[MC]:[CRQ]]),'Conversion Chart'!$B$3:$B$38,0),MATCH(Scores[[#This Row],[EIE]],'Conversion Chart'!$C$2:$M$2,0))</f>
        <v>61</v>
      </c>
      <c r="H113" s="5">
        <v>4</v>
      </c>
      <c r="I113" s="5">
        <v>3</v>
      </c>
      <c r="J113" s="5">
        <v>1</v>
      </c>
      <c r="K113" s="5">
        <v>2</v>
      </c>
      <c r="L113" s="5">
        <v>2</v>
      </c>
      <c r="M113" s="5">
        <v>4</v>
      </c>
      <c r="N113" s="5">
        <v>3</v>
      </c>
      <c r="O113" s="5">
        <v>4</v>
      </c>
      <c r="P113" s="5">
        <v>1</v>
      </c>
      <c r="Q113" s="5">
        <v>1</v>
      </c>
      <c r="R113" s="5">
        <v>4</v>
      </c>
      <c r="S113" s="5">
        <v>3</v>
      </c>
      <c r="T113" s="5">
        <v>1</v>
      </c>
      <c r="U113" s="5">
        <v>4</v>
      </c>
      <c r="V113" s="5">
        <v>3</v>
      </c>
      <c r="W113" s="5">
        <v>4</v>
      </c>
      <c r="X113" s="5">
        <v>2</v>
      </c>
      <c r="Y113" s="5">
        <v>3</v>
      </c>
      <c r="Z113" s="5">
        <v>2</v>
      </c>
      <c r="AA113" s="5">
        <v>2</v>
      </c>
      <c r="AB113" s="5">
        <v>3</v>
      </c>
      <c r="AC113" s="5">
        <v>1</v>
      </c>
      <c r="AD113" s="5">
        <v>3</v>
      </c>
      <c r="AE113" s="5">
        <v>2</v>
      </c>
      <c r="AF113" s="5">
        <v>4</v>
      </c>
      <c r="AG113" s="5">
        <v>3</v>
      </c>
      <c r="AH113" s="5">
        <v>1</v>
      </c>
      <c r="AI113" s="104">
        <v>1</v>
      </c>
      <c r="AJ113" s="95"/>
      <c r="AK113" s="84"/>
      <c r="AL113" s="84"/>
      <c r="AM113" s="84"/>
      <c r="AN113" s="84"/>
      <c r="AO113" s="84"/>
      <c r="AP113" s="94"/>
      <c r="AR113" s="7">
        <f>IF(H113=VLOOKUP(VALUE(H$1),Questions!$A:$E,5,FALSE),1,0)</f>
        <v>1</v>
      </c>
      <c r="AS113" s="7">
        <f>IF(I113=VLOOKUP(VALUE(I$1),Questions!$A:$E,5,FALSE),1,0)</f>
        <v>1</v>
      </c>
      <c r="AT113" s="7">
        <f>IF(J113=VLOOKUP(VALUE(J$1),Questions!$A:$E,5,FALSE),1,0)</f>
        <v>1</v>
      </c>
      <c r="AU113" s="7">
        <f>IF(K113=VLOOKUP(VALUE(K$1),Questions!$A:$E,5,FALSE),1,0)</f>
        <v>1</v>
      </c>
      <c r="AV113" s="7">
        <f>IF(L113=VLOOKUP(VALUE(L$1),Questions!$A:$E,5,FALSE),1,0)</f>
        <v>1</v>
      </c>
      <c r="AW113" s="7">
        <f>IF(M113=VLOOKUP(VALUE(M$1),Questions!$A:$E,5,FALSE),1,0)</f>
        <v>1</v>
      </c>
      <c r="AX113" s="7">
        <f>IF(N113=VLOOKUP(VALUE(N$1),Questions!$A:$E,5,FALSE),1,0)</f>
        <v>1</v>
      </c>
      <c r="AY113" s="7">
        <f>IF(O113=VLOOKUP(VALUE(O$1),Questions!$A:$E,5,FALSE),1,0)</f>
        <v>0</v>
      </c>
      <c r="AZ113" s="7">
        <f>IF(P113=VLOOKUP(VALUE(P$1),Questions!$A:$E,5,FALSE),1,0)</f>
        <v>1</v>
      </c>
      <c r="BA113" s="7">
        <f>IF(Q113=VLOOKUP(VALUE(Q$1),Questions!$A:$E,5,FALSE),1,0)</f>
        <v>1</v>
      </c>
      <c r="BB113" s="7">
        <f>IF(R113=VLOOKUP(VALUE(R$1),Questions!$A:$E,5,FALSE),1,0)</f>
        <v>1</v>
      </c>
      <c r="BC113" s="7">
        <f>IF(S113=VLOOKUP(VALUE(S$1),Questions!$A:$E,5,FALSE),1,0)</f>
        <v>0</v>
      </c>
      <c r="BD113" s="7">
        <f>IF(T113=VLOOKUP(VALUE(T$1),Questions!$A:$E,5,FALSE),1,0)</f>
        <v>1</v>
      </c>
      <c r="BE113" s="7">
        <f>IF(U113=VLOOKUP(VALUE(U$1),Questions!$A:$E,5,FALSE),1,0)</f>
        <v>1</v>
      </c>
      <c r="BF113" s="7">
        <f>IF(V113=VLOOKUP(VALUE(V$1),Questions!$A:$E,5,FALSE),1,0)</f>
        <v>1</v>
      </c>
      <c r="BG113" s="7">
        <f>IF(W113=VLOOKUP(VALUE(W$1),Questions!$A:$E,5,FALSE),1,0)</f>
        <v>1</v>
      </c>
      <c r="BH113" s="7">
        <f>IF(X113=VLOOKUP(VALUE(X$1),Questions!$A:$E,5,FALSE),1,0)</f>
        <v>1</v>
      </c>
      <c r="BI113" s="7">
        <f>IF(Y113=VLOOKUP(VALUE(Y$1),Questions!$A:$E,5,FALSE),1,0)</f>
        <v>1</v>
      </c>
      <c r="BJ113" s="7">
        <f>IF(Z113=VLOOKUP(VALUE(Z$1),Questions!$A:$E,5,FALSE),1,0)</f>
        <v>1</v>
      </c>
      <c r="BK113" s="7">
        <f>IF(AA113=VLOOKUP(VALUE(AA$1),Questions!$A:$E,5,FALSE),1,0)</f>
        <v>0</v>
      </c>
      <c r="BL113" s="7">
        <f>IF(AB113=VLOOKUP(VALUE(AB$1),Questions!$A:$E,5,FALSE),1,0)</f>
        <v>0</v>
      </c>
      <c r="BM113" s="7">
        <f>IF(AC113=VLOOKUP(VALUE(AC$1),Questions!$A:$E,5,FALSE),1,0)</f>
        <v>1</v>
      </c>
      <c r="BN113" s="7">
        <f>IF(AD113=VLOOKUP(VALUE(AD$1),Questions!$A:$E,5,FALSE),1,0)</f>
        <v>1</v>
      </c>
      <c r="BO113" s="7">
        <f>IF(AE113=VLOOKUP(VALUE(AE$1),Questions!$A:$E,5,FALSE),1,0)</f>
        <v>1</v>
      </c>
      <c r="BP113" s="7">
        <f>IF(AF113=VLOOKUP(VALUE(AF$1),Questions!$A:$E,5,FALSE),1,0)</f>
        <v>1</v>
      </c>
      <c r="BQ113" s="7">
        <f>IF(AG113=VLOOKUP(VALUE(AG$1),Questions!$A:$E,5,FALSE),1,0)</f>
        <v>1</v>
      </c>
      <c r="BR113" s="7">
        <f>IF(AH113=VLOOKUP(VALUE(AH$1),Questions!$A:$E,5,FALSE),1,0)</f>
        <v>1</v>
      </c>
      <c r="BS113" s="7">
        <f>IF(AI113=VLOOKUP(VALUE(AI$1),Questions!$A:$E,5,FALSE),1,0)</f>
        <v>1</v>
      </c>
    </row>
    <row r="114" spans="1:71">
      <c r="A114" s="10">
        <v>113</v>
      </c>
      <c r="B114" s="14" t="b">
        <v>0</v>
      </c>
      <c r="C114" s="14" t="b">
        <v>0</v>
      </c>
      <c r="D114" s="102">
        <f>SUM(Scores[[#This Row],[Q1]:[Q28]])</f>
        <v>26</v>
      </c>
      <c r="E114" s="103">
        <f>SUM(Scores[[#This Row],[29]:[34b]])</f>
        <v>0</v>
      </c>
      <c r="F114" s="103">
        <f>Scores[[#This Row],[35]]</f>
        <v>0</v>
      </c>
      <c r="G114" s="104">
        <f>INDEX('Conversion Chart'!$C$3:$M$38,MATCH(SUM(Scores[[#This Row],[MC]:[CRQ]]),'Conversion Chart'!$B$3:$B$38,0),MATCH(Scores[[#This Row],[EIE]],'Conversion Chart'!$C$2:$M$2,0))</f>
        <v>64</v>
      </c>
      <c r="H114" s="5">
        <v>4</v>
      </c>
      <c r="I114" s="5">
        <v>3</v>
      </c>
      <c r="J114" s="5">
        <v>4</v>
      </c>
      <c r="K114" s="5">
        <v>2</v>
      </c>
      <c r="L114" s="5">
        <v>2</v>
      </c>
      <c r="M114" s="5">
        <v>4</v>
      </c>
      <c r="N114" s="5">
        <v>3</v>
      </c>
      <c r="O114" s="5">
        <v>1</v>
      </c>
      <c r="P114" s="5">
        <v>1</v>
      </c>
      <c r="Q114" s="5">
        <v>1</v>
      </c>
      <c r="R114" s="5">
        <v>4</v>
      </c>
      <c r="S114" s="5">
        <v>2</v>
      </c>
      <c r="T114" s="5">
        <v>1</v>
      </c>
      <c r="U114" s="5">
        <v>4</v>
      </c>
      <c r="V114" s="5">
        <v>3</v>
      </c>
      <c r="W114" s="5">
        <v>4</v>
      </c>
      <c r="X114" s="5">
        <v>2</v>
      </c>
      <c r="Y114" s="5">
        <v>3</v>
      </c>
      <c r="Z114" s="5">
        <v>2</v>
      </c>
      <c r="AA114" s="5">
        <v>3</v>
      </c>
      <c r="AB114" s="5">
        <v>2</v>
      </c>
      <c r="AC114" s="5">
        <v>1</v>
      </c>
      <c r="AD114" s="5">
        <v>3</v>
      </c>
      <c r="AE114" s="5">
        <v>2</v>
      </c>
      <c r="AF114" s="5">
        <v>4</v>
      </c>
      <c r="AG114" s="5">
        <v>3</v>
      </c>
      <c r="AH114" s="5">
        <v>4</v>
      </c>
      <c r="AI114" s="104">
        <v>1</v>
      </c>
      <c r="AJ114" s="95"/>
      <c r="AK114" s="84"/>
      <c r="AL114" s="84"/>
      <c r="AM114" s="84"/>
      <c r="AN114" s="84"/>
      <c r="AO114" s="84"/>
      <c r="AP114" s="94"/>
      <c r="AR114" s="7">
        <f>IF(H114=VLOOKUP(VALUE(H$1),Questions!$A:$E,5,FALSE),1,0)</f>
        <v>1</v>
      </c>
      <c r="AS114" s="7">
        <f>IF(I114=VLOOKUP(VALUE(I$1),Questions!$A:$E,5,FALSE),1,0)</f>
        <v>1</v>
      </c>
      <c r="AT114" s="7">
        <f>IF(J114=VLOOKUP(VALUE(J$1),Questions!$A:$E,5,FALSE),1,0)</f>
        <v>0</v>
      </c>
      <c r="AU114" s="7">
        <f>IF(K114=VLOOKUP(VALUE(K$1),Questions!$A:$E,5,FALSE),1,0)</f>
        <v>1</v>
      </c>
      <c r="AV114" s="7">
        <f>IF(L114=VLOOKUP(VALUE(L$1),Questions!$A:$E,5,FALSE),1,0)</f>
        <v>1</v>
      </c>
      <c r="AW114" s="7">
        <f>IF(M114=VLOOKUP(VALUE(M$1),Questions!$A:$E,5,FALSE),1,0)</f>
        <v>1</v>
      </c>
      <c r="AX114" s="7">
        <f>IF(N114=VLOOKUP(VALUE(N$1),Questions!$A:$E,5,FALSE),1,0)</f>
        <v>1</v>
      </c>
      <c r="AY114" s="7">
        <f>IF(O114=VLOOKUP(VALUE(O$1),Questions!$A:$E,5,FALSE),1,0)</f>
        <v>1</v>
      </c>
      <c r="AZ114" s="7">
        <f>IF(P114=VLOOKUP(VALUE(P$1),Questions!$A:$E,5,FALSE),1,0)</f>
        <v>1</v>
      </c>
      <c r="BA114" s="7">
        <f>IF(Q114=VLOOKUP(VALUE(Q$1),Questions!$A:$E,5,FALSE),1,0)</f>
        <v>1</v>
      </c>
      <c r="BB114" s="7">
        <f>IF(R114=VLOOKUP(VALUE(R$1),Questions!$A:$E,5,FALSE),1,0)</f>
        <v>1</v>
      </c>
      <c r="BC114" s="7">
        <f>IF(S114=VLOOKUP(VALUE(S$1),Questions!$A:$E,5,FALSE),1,0)</f>
        <v>1</v>
      </c>
      <c r="BD114" s="7">
        <f>IF(T114=VLOOKUP(VALUE(T$1),Questions!$A:$E,5,FALSE),1,0)</f>
        <v>1</v>
      </c>
      <c r="BE114" s="7">
        <f>IF(U114=VLOOKUP(VALUE(U$1),Questions!$A:$E,5,FALSE),1,0)</f>
        <v>1</v>
      </c>
      <c r="BF114" s="7">
        <f>IF(V114=VLOOKUP(VALUE(V$1),Questions!$A:$E,5,FALSE),1,0)</f>
        <v>1</v>
      </c>
      <c r="BG114" s="7">
        <f>IF(W114=VLOOKUP(VALUE(W$1),Questions!$A:$E,5,FALSE),1,0)</f>
        <v>1</v>
      </c>
      <c r="BH114" s="7">
        <f>IF(X114=VLOOKUP(VALUE(X$1),Questions!$A:$E,5,FALSE),1,0)</f>
        <v>1</v>
      </c>
      <c r="BI114" s="7">
        <f>IF(Y114=VLOOKUP(VALUE(Y$1),Questions!$A:$E,5,FALSE),1,0)</f>
        <v>1</v>
      </c>
      <c r="BJ114" s="7">
        <f>IF(Z114=VLOOKUP(VALUE(Z$1),Questions!$A:$E,5,FALSE),1,0)</f>
        <v>1</v>
      </c>
      <c r="BK114" s="7">
        <f>IF(AA114=VLOOKUP(VALUE(AA$1),Questions!$A:$E,5,FALSE),1,0)</f>
        <v>1</v>
      </c>
      <c r="BL114" s="7">
        <f>IF(AB114=VLOOKUP(VALUE(AB$1),Questions!$A:$E,5,FALSE),1,0)</f>
        <v>1</v>
      </c>
      <c r="BM114" s="7">
        <f>IF(AC114=VLOOKUP(VALUE(AC$1),Questions!$A:$E,5,FALSE),1,0)</f>
        <v>1</v>
      </c>
      <c r="BN114" s="7">
        <f>IF(AD114=VLOOKUP(VALUE(AD$1),Questions!$A:$E,5,FALSE),1,0)</f>
        <v>1</v>
      </c>
      <c r="BO114" s="7">
        <f>IF(AE114=VLOOKUP(VALUE(AE$1),Questions!$A:$E,5,FALSE),1,0)</f>
        <v>1</v>
      </c>
      <c r="BP114" s="7">
        <f>IF(AF114=VLOOKUP(VALUE(AF$1),Questions!$A:$E,5,FALSE),1,0)</f>
        <v>1</v>
      </c>
      <c r="BQ114" s="7">
        <f>IF(AG114=VLOOKUP(VALUE(AG$1),Questions!$A:$E,5,FALSE),1,0)</f>
        <v>1</v>
      </c>
      <c r="BR114" s="7">
        <f>IF(AH114=VLOOKUP(VALUE(AH$1),Questions!$A:$E,5,FALSE),1,0)</f>
        <v>0</v>
      </c>
      <c r="BS114" s="7">
        <f>IF(AI114=VLOOKUP(VALUE(AI$1),Questions!$A:$E,5,FALSE),1,0)</f>
        <v>1</v>
      </c>
    </row>
    <row r="115" spans="1:71">
      <c r="A115" s="10">
        <v>114</v>
      </c>
      <c r="B115" s="14" t="b">
        <v>0</v>
      </c>
      <c r="C115" s="14" t="b">
        <v>0</v>
      </c>
      <c r="D115" s="102">
        <f>SUM(Scores[[#This Row],[Q1]:[Q28]])</f>
        <v>13</v>
      </c>
      <c r="E115" s="103">
        <f>SUM(Scores[[#This Row],[29]:[34b]])</f>
        <v>0</v>
      </c>
      <c r="F115" s="103">
        <f>Scores[[#This Row],[35]]</f>
        <v>0</v>
      </c>
      <c r="G115" s="104">
        <f>INDEX('Conversion Chart'!$C$3:$M$38,MATCH(SUM(Scores[[#This Row],[MC]:[CRQ]]),'Conversion Chart'!$B$3:$B$38,0),MATCH(Scores[[#This Row],[EIE]],'Conversion Chart'!$C$2:$M$2,0))</f>
        <v>38</v>
      </c>
      <c r="H115" s="5">
        <v>4</v>
      </c>
      <c r="I115" s="5">
        <v>3</v>
      </c>
      <c r="J115" s="5">
        <v>2</v>
      </c>
      <c r="K115" s="5">
        <v>2</v>
      </c>
      <c r="L115" s="5">
        <v>2</v>
      </c>
      <c r="M115" s="5">
        <v>1</v>
      </c>
      <c r="N115" s="5">
        <v>2</v>
      </c>
      <c r="O115" s="5">
        <v>1</v>
      </c>
      <c r="P115" s="5">
        <v>1</v>
      </c>
      <c r="Q115" s="5">
        <v>2</v>
      </c>
      <c r="R115" s="5">
        <v>4</v>
      </c>
      <c r="S115" s="5">
        <v>4</v>
      </c>
      <c r="T115" s="5">
        <v>4</v>
      </c>
      <c r="U115" s="5">
        <v>2</v>
      </c>
      <c r="V115" s="5">
        <v>1</v>
      </c>
      <c r="W115" s="5">
        <v>1</v>
      </c>
      <c r="X115" s="5">
        <v>2</v>
      </c>
      <c r="Y115" s="5">
        <v>1</v>
      </c>
      <c r="Z115" s="5">
        <v>2</v>
      </c>
      <c r="AA115" s="5">
        <v>3</v>
      </c>
      <c r="AB115" s="5">
        <v>2</v>
      </c>
      <c r="AC115" s="5">
        <v>3</v>
      </c>
      <c r="AD115" s="5">
        <v>1</v>
      </c>
      <c r="AE115" s="5">
        <v>2</v>
      </c>
      <c r="AF115" s="5">
        <v>4</v>
      </c>
      <c r="AG115" s="5">
        <v>1</v>
      </c>
      <c r="AH115" s="5"/>
      <c r="AI115" s="104"/>
      <c r="AJ115" s="95"/>
      <c r="AK115" s="84"/>
      <c r="AL115" s="84"/>
      <c r="AM115" s="84"/>
      <c r="AN115" s="84"/>
      <c r="AO115" s="84"/>
      <c r="AP115" s="94"/>
      <c r="AR115" s="7">
        <f>IF(H115=VLOOKUP(VALUE(H$1),Questions!$A:$E,5,FALSE),1,0)</f>
        <v>1</v>
      </c>
      <c r="AS115" s="7">
        <f>IF(I115=VLOOKUP(VALUE(I$1),Questions!$A:$E,5,FALSE),1,0)</f>
        <v>1</v>
      </c>
      <c r="AT115" s="7">
        <f>IF(J115=VLOOKUP(VALUE(J$1),Questions!$A:$E,5,FALSE),1,0)</f>
        <v>0</v>
      </c>
      <c r="AU115" s="7">
        <f>IF(K115=VLOOKUP(VALUE(K$1),Questions!$A:$E,5,FALSE),1,0)</f>
        <v>1</v>
      </c>
      <c r="AV115" s="7">
        <f>IF(L115=VLOOKUP(VALUE(L$1),Questions!$A:$E,5,FALSE),1,0)</f>
        <v>1</v>
      </c>
      <c r="AW115" s="7">
        <f>IF(M115=VLOOKUP(VALUE(M$1),Questions!$A:$E,5,FALSE),1,0)</f>
        <v>0</v>
      </c>
      <c r="AX115" s="7">
        <f>IF(N115=VLOOKUP(VALUE(N$1),Questions!$A:$E,5,FALSE),1,0)</f>
        <v>0</v>
      </c>
      <c r="AY115" s="7">
        <f>IF(O115=VLOOKUP(VALUE(O$1),Questions!$A:$E,5,FALSE),1,0)</f>
        <v>1</v>
      </c>
      <c r="AZ115" s="7">
        <f>IF(P115=VLOOKUP(VALUE(P$1),Questions!$A:$E,5,FALSE),1,0)</f>
        <v>1</v>
      </c>
      <c r="BA115" s="7">
        <f>IF(Q115=VLOOKUP(VALUE(Q$1),Questions!$A:$E,5,FALSE),1,0)</f>
        <v>0</v>
      </c>
      <c r="BB115" s="7">
        <f>IF(R115=VLOOKUP(VALUE(R$1),Questions!$A:$E,5,FALSE),1,0)</f>
        <v>1</v>
      </c>
      <c r="BC115" s="7">
        <f>IF(S115=VLOOKUP(VALUE(S$1),Questions!$A:$E,5,FALSE),1,0)</f>
        <v>0</v>
      </c>
      <c r="BD115" s="7">
        <f>IF(T115=VLOOKUP(VALUE(T$1),Questions!$A:$E,5,FALSE),1,0)</f>
        <v>0</v>
      </c>
      <c r="BE115" s="7">
        <f>IF(U115=VLOOKUP(VALUE(U$1),Questions!$A:$E,5,FALSE),1,0)</f>
        <v>0</v>
      </c>
      <c r="BF115" s="7">
        <f>IF(V115=VLOOKUP(VALUE(V$1),Questions!$A:$E,5,FALSE),1,0)</f>
        <v>0</v>
      </c>
      <c r="BG115" s="7">
        <f>IF(W115=VLOOKUP(VALUE(W$1),Questions!$A:$E,5,FALSE),1,0)</f>
        <v>0</v>
      </c>
      <c r="BH115" s="7">
        <f>IF(X115=VLOOKUP(VALUE(X$1),Questions!$A:$E,5,FALSE),1,0)</f>
        <v>1</v>
      </c>
      <c r="BI115" s="7">
        <f>IF(Y115=VLOOKUP(VALUE(Y$1),Questions!$A:$E,5,FALSE),1,0)</f>
        <v>0</v>
      </c>
      <c r="BJ115" s="7">
        <f>IF(Z115=VLOOKUP(VALUE(Z$1),Questions!$A:$E,5,FALSE),1,0)</f>
        <v>1</v>
      </c>
      <c r="BK115" s="7">
        <f>IF(AA115=VLOOKUP(VALUE(AA$1),Questions!$A:$E,5,FALSE),1,0)</f>
        <v>1</v>
      </c>
      <c r="BL115" s="7">
        <f>IF(AB115=VLOOKUP(VALUE(AB$1),Questions!$A:$E,5,FALSE),1,0)</f>
        <v>1</v>
      </c>
      <c r="BM115" s="7">
        <f>IF(AC115=VLOOKUP(VALUE(AC$1),Questions!$A:$E,5,FALSE),1,0)</f>
        <v>0</v>
      </c>
      <c r="BN115" s="7">
        <f>IF(AD115=VLOOKUP(VALUE(AD$1),Questions!$A:$E,5,FALSE),1,0)</f>
        <v>0</v>
      </c>
      <c r="BO115" s="7">
        <f>IF(AE115=VLOOKUP(VALUE(AE$1),Questions!$A:$E,5,FALSE),1,0)</f>
        <v>1</v>
      </c>
      <c r="BP115" s="7">
        <f>IF(AF115=VLOOKUP(VALUE(AF$1),Questions!$A:$E,5,FALSE),1,0)</f>
        <v>1</v>
      </c>
      <c r="BQ115" s="7">
        <f>IF(AG115=VLOOKUP(VALUE(AG$1),Questions!$A:$E,5,FALSE),1,0)</f>
        <v>0</v>
      </c>
      <c r="BR115" s="7">
        <f>IF(AH115=VLOOKUP(VALUE(AH$1),Questions!$A:$E,5,FALSE),1,0)</f>
        <v>0</v>
      </c>
      <c r="BS115" s="7">
        <f>IF(AI115=VLOOKUP(VALUE(AI$1),Questions!$A:$E,5,FALSE),1,0)</f>
        <v>0</v>
      </c>
    </row>
    <row r="116" spans="1:71">
      <c r="A116" s="10">
        <v>115</v>
      </c>
      <c r="B116" s="14" t="b">
        <v>0</v>
      </c>
      <c r="C116" s="14" t="b">
        <v>1</v>
      </c>
      <c r="D116" s="102">
        <f>SUM(Scores[[#This Row],[Q1]:[Q28]])</f>
        <v>17</v>
      </c>
      <c r="E116" s="103">
        <f>SUM(Scores[[#This Row],[29]:[34b]])</f>
        <v>0</v>
      </c>
      <c r="F116" s="103">
        <f>Scores[[#This Row],[35]]</f>
        <v>0</v>
      </c>
      <c r="G116" s="104">
        <f>INDEX('Conversion Chart'!$C$3:$M$38,MATCH(SUM(Scores[[#This Row],[MC]:[CRQ]]),'Conversion Chart'!$B$3:$B$38,0),MATCH(Scores[[#This Row],[EIE]],'Conversion Chart'!$C$2:$M$2,0))</f>
        <v>47</v>
      </c>
      <c r="H116" s="5">
        <v>4</v>
      </c>
      <c r="I116" s="5">
        <v>3</v>
      </c>
      <c r="J116" s="5">
        <v>3</v>
      </c>
      <c r="K116" s="5">
        <v>3</v>
      </c>
      <c r="L116" s="5">
        <v>1</v>
      </c>
      <c r="M116" s="5">
        <v>4</v>
      </c>
      <c r="N116" s="5">
        <v>3</v>
      </c>
      <c r="O116" s="5">
        <v>4</v>
      </c>
      <c r="P116" s="5">
        <v>1</v>
      </c>
      <c r="Q116" s="5">
        <v>1</v>
      </c>
      <c r="R116" s="5">
        <v>4</v>
      </c>
      <c r="S116" s="5">
        <v>3</v>
      </c>
      <c r="T116" s="5">
        <v>3</v>
      </c>
      <c r="U116" s="5">
        <v>4</v>
      </c>
      <c r="V116" s="5">
        <v>1</v>
      </c>
      <c r="W116" s="5">
        <v>3</v>
      </c>
      <c r="X116" s="5">
        <v>2</v>
      </c>
      <c r="Y116" s="5">
        <v>1</v>
      </c>
      <c r="Z116" s="5">
        <v>1</v>
      </c>
      <c r="AA116" s="5">
        <v>3</v>
      </c>
      <c r="AB116" s="5">
        <v>2</v>
      </c>
      <c r="AC116" s="5">
        <v>1</v>
      </c>
      <c r="AD116" s="5">
        <v>3</v>
      </c>
      <c r="AE116" s="5">
        <v>4</v>
      </c>
      <c r="AF116" s="5">
        <v>4</v>
      </c>
      <c r="AG116" s="5">
        <v>3</v>
      </c>
      <c r="AH116" s="5">
        <v>1</v>
      </c>
      <c r="AI116" s="104">
        <v>1</v>
      </c>
      <c r="AJ116" s="95"/>
      <c r="AK116" s="84"/>
      <c r="AL116" s="84"/>
      <c r="AM116" s="84"/>
      <c r="AN116" s="84"/>
      <c r="AO116" s="84"/>
      <c r="AP116" s="94"/>
      <c r="AR116" s="7">
        <f>IF(H116=VLOOKUP(VALUE(H$1),Questions!$A:$E,5,FALSE),1,0)</f>
        <v>1</v>
      </c>
      <c r="AS116" s="7">
        <f>IF(I116=VLOOKUP(VALUE(I$1),Questions!$A:$E,5,FALSE),1,0)</f>
        <v>1</v>
      </c>
      <c r="AT116" s="7">
        <f>IF(J116=VLOOKUP(VALUE(J$1),Questions!$A:$E,5,FALSE),1,0)</f>
        <v>0</v>
      </c>
      <c r="AU116" s="7">
        <f>IF(K116=VLOOKUP(VALUE(K$1),Questions!$A:$E,5,FALSE),1,0)</f>
        <v>0</v>
      </c>
      <c r="AV116" s="7">
        <f>IF(L116=VLOOKUP(VALUE(L$1),Questions!$A:$E,5,FALSE),1,0)</f>
        <v>0</v>
      </c>
      <c r="AW116" s="7">
        <f>IF(M116=VLOOKUP(VALUE(M$1),Questions!$A:$E,5,FALSE),1,0)</f>
        <v>1</v>
      </c>
      <c r="AX116" s="7">
        <f>IF(N116=VLOOKUP(VALUE(N$1),Questions!$A:$E,5,FALSE),1,0)</f>
        <v>1</v>
      </c>
      <c r="AY116" s="7">
        <f>IF(O116=VLOOKUP(VALUE(O$1),Questions!$A:$E,5,FALSE),1,0)</f>
        <v>0</v>
      </c>
      <c r="AZ116" s="7">
        <f>IF(P116=VLOOKUP(VALUE(P$1),Questions!$A:$E,5,FALSE),1,0)</f>
        <v>1</v>
      </c>
      <c r="BA116" s="7">
        <f>IF(Q116=VLOOKUP(VALUE(Q$1),Questions!$A:$E,5,FALSE),1,0)</f>
        <v>1</v>
      </c>
      <c r="BB116" s="7">
        <f>IF(R116=VLOOKUP(VALUE(R$1),Questions!$A:$E,5,FALSE),1,0)</f>
        <v>1</v>
      </c>
      <c r="BC116" s="7">
        <f>IF(S116=VLOOKUP(VALUE(S$1),Questions!$A:$E,5,FALSE),1,0)</f>
        <v>0</v>
      </c>
      <c r="BD116" s="7">
        <f>IF(T116=VLOOKUP(VALUE(T$1),Questions!$A:$E,5,FALSE),1,0)</f>
        <v>0</v>
      </c>
      <c r="BE116" s="7">
        <f>IF(U116=VLOOKUP(VALUE(U$1),Questions!$A:$E,5,FALSE),1,0)</f>
        <v>1</v>
      </c>
      <c r="BF116" s="7">
        <f>IF(V116=VLOOKUP(VALUE(V$1),Questions!$A:$E,5,FALSE),1,0)</f>
        <v>0</v>
      </c>
      <c r="BG116" s="7">
        <f>IF(W116=VLOOKUP(VALUE(W$1),Questions!$A:$E,5,FALSE),1,0)</f>
        <v>0</v>
      </c>
      <c r="BH116" s="7">
        <f>IF(X116=VLOOKUP(VALUE(X$1),Questions!$A:$E,5,FALSE),1,0)</f>
        <v>1</v>
      </c>
      <c r="BI116" s="7">
        <f>IF(Y116=VLOOKUP(VALUE(Y$1),Questions!$A:$E,5,FALSE),1,0)</f>
        <v>0</v>
      </c>
      <c r="BJ116" s="7">
        <f>IF(Z116=VLOOKUP(VALUE(Z$1),Questions!$A:$E,5,FALSE),1,0)</f>
        <v>0</v>
      </c>
      <c r="BK116" s="7">
        <f>IF(AA116=VLOOKUP(VALUE(AA$1),Questions!$A:$E,5,FALSE),1,0)</f>
        <v>1</v>
      </c>
      <c r="BL116" s="7">
        <f>IF(AB116=VLOOKUP(VALUE(AB$1),Questions!$A:$E,5,FALSE),1,0)</f>
        <v>1</v>
      </c>
      <c r="BM116" s="7">
        <f>IF(AC116=VLOOKUP(VALUE(AC$1),Questions!$A:$E,5,FALSE),1,0)</f>
        <v>1</v>
      </c>
      <c r="BN116" s="7">
        <f>IF(AD116=VLOOKUP(VALUE(AD$1),Questions!$A:$E,5,FALSE),1,0)</f>
        <v>1</v>
      </c>
      <c r="BO116" s="7">
        <f>IF(AE116=VLOOKUP(VALUE(AE$1),Questions!$A:$E,5,FALSE),1,0)</f>
        <v>0</v>
      </c>
      <c r="BP116" s="7">
        <f>IF(AF116=VLOOKUP(VALUE(AF$1),Questions!$A:$E,5,FALSE),1,0)</f>
        <v>1</v>
      </c>
      <c r="BQ116" s="7">
        <f>IF(AG116=VLOOKUP(VALUE(AG$1),Questions!$A:$E,5,FALSE),1,0)</f>
        <v>1</v>
      </c>
      <c r="BR116" s="7">
        <f>IF(AH116=VLOOKUP(VALUE(AH$1),Questions!$A:$E,5,FALSE),1,0)</f>
        <v>1</v>
      </c>
      <c r="BS116" s="7">
        <f>IF(AI116=VLOOKUP(VALUE(AI$1),Questions!$A:$E,5,FALSE),1,0)</f>
        <v>1</v>
      </c>
    </row>
    <row r="117" spans="1:71">
      <c r="A117" s="10">
        <v>116</v>
      </c>
      <c r="B117" s="14" t="b">
        <v>0</v>
      </c>
      <c r="C117" s="14" t="b">
        <v>0</v>
      </c>
      <c r="D117" s="102">
        <f>SUM(Scores[[#This Row],[Q1]:[Q28]])</f>
        <v>0</v>
      </c>
      <c r="E117" s="103">
        <f>SUM(Scores[[#This Row],[29]:[34b]])</f>
        <v>0</v>
      </c>
      <c r="F117" s="103">
        <f>Scores[[#This Row],[35]]</f>
        <v>0</v>
      </c>
      <c r="G117" s="104">
        <f>INDEX('Conversion Chart'!$C$3:$M$38,MATCH(SUM(Scores[[#This Row],[MC]:[CRQ]]),'Conversion Chart'!$B$3:$B$38,0),MATCH(Scores[[#This Row],[EIE]],'Conversion Chart'!$C$2:$M$2,0))</f>
        <v>0</v>
      </c>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104"/>
      <c r="AJ117" s="95"/>
      <c r="AK117" s="84"/>
      <c r="AL117" s="84"/>
      <c r="AM117" s="84"/>
      <c r="AN117" s="84"/>
      <c r="AO117" s="84"/>
      <c r="AP117" s="94"/>
      <c r="AR117" s="7">
        <f>IF(H117=VLOOKUP(VALUE(H$1),Questions!$A:$E,5,FALSE),1,0)</f>
        <v>0</v>
      </c>
      <c r="AS117" s="7">
        <f>IF(I117=VLOOKUP(VALUE(I$1),Questions!$A:$E,5,FALSE),1,0)</f>
        <v>0</v>
      </c>
      <c r="AT117" s="7">
        <f>IF(J117=VLOOKUP(VALUE(J$1),Questions!$A:$E,5,FALSE),1,0)</f>
        <v>0</v>
      </c>
      <c r="AU117" s="7">
        <f>IF(K117=VLOOKUP(VALUE(K$1),Questions!$A:$E,5,FALSE),1,0)</f>
        <v>0</v>
      </c>
      <c r="AV117" s="7">
        <f>IF(L117=VLOOKUP(VALUE(L$1),Questions!$A:$E,5,FALSE),1,0)</f>
        <v>0</v>
      </c>
      <c r="AW117" s="7">
        <f>IF(M117=VLOOKUP(VALUE(M$1),Questions!$A:$E,5,FALSE),1,0)</f>
        <v>0</v>
      </c>
      <c r="AX117" s="7">
        <f>IF(N117=VLOOKUP(VALUE(N$1),Questions!$A:$E,5,FALSE),1,0)</f>
        <v>0</v>
      </c>
      <c r="AY117" s="7">
        <f>IF(O117=VLOOKUP(VALUE(O$1),Questions!$A:$E,5,FALSE),1,0)</f>
        <v>0</v>
      </c>
      <c r="AZ117" s="7">
        <f>IF(P117=VLOOKUP(VALUE(P$1),Questions!$A:$E,5,FALSE),1,0)</f>
        <v>0</v>
      </c>
      <c r="BA117" s="7">
        <f>IF(Q117=VLOOKUP(VALUE(Q$1),Questions!$A:$E,5,FALSE),1,0)</f>
        <v>0</v>
      </c>
      <c r="BB117" s="7">
        <f>IF(R117=VLOOKUP(VALUE(R$1),Questions!$A:$E,5,FALSE),1,0)</f>
        <v>0</v>
      </c>
      <c r="BC117" s="7">
        <f>IF(S117=VLOOKUP(VALUE(S$1),Questions!$A:$E,5,FALSE),1,0)</f>
        <v>0</v>
      </c>
      <c r="BD117" s="7">
        <f>IF(T117=VLOOKUP(VALUE(T$1),Questions!$A:$E,5,FALSE),1,0)</f>
        <v>0</v>
      </c>
      <c r="BE117" s="7">
        <f>IF(U117=VLOOKUP(VALUE(U$1),Questions!$A:$E,5,FALSE),1,0)</f>
        <v>0</v>
      </c>
      <c r="BF117" s="7">
        <f>IF(V117=VLOOKUP(VALUE(V$1),Questions!$A:$E,5,FALSE),1,0)</f>
        <v>0</v>
      </c>
      <c r="BG117" s="7">
        <f>IF(W117=VLOOKUP(VALUE(W$1),Questions!$A:$E,5,FALSE),1,0)</f>
        <v>0</v>
      </c>
      <c r="BH117" s="7">
        <f>IF(X117=VLOOKUP(VALUE(X$1),Questions!$A:$E,5,FALSE),1,0)</f>
        <v>0</v>
      </c>
      <c r="BI117" s="7">
        <f>IF(Y117=VLOOKUP(VALUE(Y$1),Questions!$A:$E,5,FALSE),1,0)</f>
        <v>0</v>
      </c>
      <c r="BJ117" s="7">
        <f>IF(Z117=VLOOKUP(VALUE(Z$1),Questions!$A:$E,5,FALSE),1,0)</f>
        <v>0</v>
      </c>
      <c r="BK117" s="7">
        <f>IF(AA117=VLOOKUP(VALUE(AA$1),Questions!$A:$E,5,FALSE),1,0)</f>
        <v>0</v>
      </c>
      <c r="BL117" s="7">
        <f>IF(AB117=VLOOKUP(VALUE(AB$1),Questions!$A:$E,5,FALSE),1,0)</f>
        <v>0</v>
      </c>
      <c r="BM117" s="7">
        <f>IF(AC117=VLOOKUP(VALUE(AC$1),Questions!$A:$E,5,FALSE),1,0)</f>
        <v>0</v>
      </c>
      <c r="BN117" s="7">
        <f>IF(AD117=VLOOKUP(VALUE(AD$1),Questions!$A:$E,5,FALSE),1,0)</f>
        <v>0</v>
      </c>
      <c r="BO117" s="7">
        <f>IF(AE117=VLOOKUP(VALUE(AE$1),Questions!$A:$E,5,FALSE),1,0)</f>
        <v>0</v>
      </c>
      <c r="BP117" s="7">
        <f>IF(AF117=VLOOKUP(VALUE(AF$1),Questions!$A:$E,5,FALSE),1,0)</f>
        <v>0</v>
      </c>
      <c r="BQ117" s="7">
        <f>IF(AG117=VLOOKUP(VALUE(AG$1),Questions!$A:$E,5,FALSE),1,0)</f>
        <v>0</v>
      </c>
      <c r="BR117" s="7">
        <f>IF(AH117=VLOOKUP(VALUE(AH$1),Questions!$A:$E,5,FALSE),1,0)</f>
        <v>0</v>
      </c>
      <c r="BS117" s="7">
        <f>IF(AI117=VLOOKUP(VALUE(AI$1),Questions!$A:$E,5,FALSE),1,0)</f>
        <v>0</v>
      </c>
    </row>
    <row r="118" spans="1:71">
      <c r="A118" s="10">
        <v>117</v>
      </c>
      <c r="B118" s="14" t="b">
        <v>0</v>
      </c>
      <c r="C118" s="14" t="b">
        <v>0</v>
      </c>
      <c r="D118" s="102">
        <f>SUM(Scores[[#This Row],[Q1]:[Q28]])</f>
        <v>24</v>
      </c>
      <c r="E118" s="103">
        <f>SUM(Scores[[#This Row],[29]:[34b]])</f>
        <v>0</v>
      </c>
      <c r="F118" s="103">
        <f>Scores[[#This Row],[35]]</f>
        <v>0</v>
      </c>
      <c r="G118" s="104">
        <f>INDEX('Conversion Chart'!$C$3:$M$38,MATCH(SUM(Scores[[#This Row],[MC]:[CRQ]]),'Conversion Chart'!$B$3:$B$38,0),MATCH(Scores[[#This Row],[EIE]],'Conversion Chart'!$C$2:$M$2,0))</f>
        <v>61</v>
      </c>
      <c r="H118" s="5">
        <v>1</v>
      </c>
      <c r="I118" s="5">
        <v>3</v>
      </c>
      <c r="J118" s="5">
        <v>1</v>
      </c>
      <c r="K118" s="5">
        <v>2</v>
      </c>
      <c r="L118" s="5">
        <v>1</v>
      </c>
      <c r="M118" s="5">
        <v>4</v>
      </c>
      <c r="N118" s="5">
        <v>3</v>
      </c>
      <c r="O118" s="5">
        <v>4</v>
      </c>
      <c r="P118" s="5">
        <v>1</v>
      </c>
      <c r="Q118" s="5">
        <v>1</v>
      </c>
      <c r="R118" s="5">
        <v>4</v>
      </c>
      <c r="S118" s="5">
        <v>2</v>
      </c>
      <c r="T118" s="5">
        <v>1</v>
      </c>
      <c r="U118" s="5">
        <v>4</v>
      </c>
      <c r="V118" s="5">
        <v>4</v>
      </c>
      <c r="W118" s="5">
        <v>4</v>
      </c>
      <c r="X118" s="5">
        <v>2</v>
      </c>
      <c r="Y118" s="5">
        <v>3</v>
      </c>
      <c r="Z118" s="5">
        <v>2</v>
      </c>
      <c r="AA118" s="5">
        <v>3</v>
      </c>
      <c r="AB118" s="5">
        <v>2</v>
      </c>
      <c r="AC118" s="5">
        <v>1</v>
      </c>
      <c r="AD118" s="5">
        <v>3</v>
      </c>
      <c r="AE118" s="5">
        <v>2</v>
      </c>
      <c r="AF118" s="5">
        <v>4</v>
      </c>
      <c r="AG118" s="5">
        <v>3</v>
      </c>
      <c r="AH118" s="5">
        <v>1</v>
      </c>
      <c r="AI118" s="104">
        <v>1</v>
      </c>
      <c r="AJ118" s="95"/>
      <c r="AK118" s="84"/>
      <c r="AL118" s="84"/>
      <c r="AM118" s="84"/>
      <c r="AN118" s="84"/>
      <c r="AO118" s="84"/>
      <c r="AP118" s="94"/>
      <c r="AR118" s="7">
        <f>IF(H118=VLOOKUP(VALUE(H$1),Questions!$A:$E,5,FALSE),1,0)</f>
        <v>0</v>
      </c>
      <c r="AS118" s="7">
        <f>IF(I118=VLOOKUP(VALUE(I$1),Questions!$A:$E,5,FALSE),1,0)</f>
        <v>1</v>
      </c>
      <c r="AT118" s="7">
        <f>IF(J118=VLOOKUP(VALUE(J$1),Questions!$A:$E,5,FALSE),1,0)</f>
        <v>1</v>
      </c>
      <c r="AU118" s="7">
        <f>IF(K118=VLOOKUP(VALUE(K$1),Questions!$A:$E,5,FALSE),1,0)</f>
        <v>1</v>
      </c>
      <c r="AV118" s="7">
        <f>IF(L118=VLOOKUP(VALUE(L$1),Questions!$A:$E,5,FALSE),1,0)</f>
        <v>0</v>
      </c>
      <c r="AW118" s="7">
        <f>IF(M118=VLOOKUP(VALUE(M$1),Questions!$A:$E,5,FALSE),1,0)</f>
        <v>1</v>
      </c>
      <c r="AX118" s="7">
        <f>IF(N118=VLOOKUP(VALUE(N$1),Questions!$A:$E,5,FALSE),1,0)</f>
        <v>1</v>
      </c>
      <c r="AY118" s="7">
        <f>IF(O118=VLOOKUP(VALUE(O$1),Questions!$A:$E,5,FALSE),1,0)</f>
        <v>0</v>
      </c>
      <c r="AZ118" s="7">
        <f>IF(P118=VLOOKUP(VALUE(P$1),Questions!$A:$E,5,FALSE),1,0)</f>
        <v>1</v>
      </c>
      <c r="BA118" s="7">
        <f>IF(Q118=VLOOKUP(VALUE(Q$1),Questions!$A:$E,5,FALSE),1,0)</f>
        <v>1</v>
      </c>
      <c r="BB118" s="7">
        <f>IF(R118=VLOOKUP(VALUE(R$1),Questions!$A:$E,5,FALSE),1,0)</f>
        <v>1</v>
      </c>
      <c r="BC118" s="7">
        <f>IF(S118=VLOOKUP(VALUE(S$1),Questions!$A:$E,5,FALSE),1,0)</f>
        <v>1</v>
      </c>
      <c r="BD118" s="7">
        <f>IF(T118=VLOOKUP(VALUE(T$1),Questions!$A:$E,5,FALSE),1,0)</f>
        <v>1</v>
      </c>
      <c r="BE118" s="7">
        <f>IF(U118=VLOOKUP(VALUE(U$1),Questions!$A:$E,5,FALSE),1,0)</f>
        <v>1</v>
      </c>
      <c r="BF118" s="7">
        <f>IF(V118=VLOOKUP(VALUE(V$1),Questions!$A:$E,5,FALSE),1,0)</f>
        <v>0</v>
      </c>
      <c r="BG118" s="7">
        <f>IF(W118=VLOOKUP(VALUE(W$1),Questions!$A:$E,5,FALSE),1,0)</f>
        <v>1</v>
      </c>
      <c r="BH118" s="7">
        <f>IF(X118=VLOOKUP(VALUE(X$1),Questions!$A:$E,5,FALSE),1,0)</f>
        <v>1</v>
      </c>
      <c r="BI118" s="7">
        <f>IF(Y118=VLOOKUP(VALUE(Y$1),Questions!$A:$E,5,FALSE),1,0)</f>
        <v>1</v>
      </c>
      <c r="BJ118" s="7">
        <f>IF(Z118=VLOOKUP(VALUE(Z$1),Questions!$A:$E,5,FALSE),1,0)</f>
        <v>1</v>
      </c>
      <c r="BK118" s="7">
        <f>IF(AA118=VLOOKUP(VALUE(AA$1),Questions!$A:$E,5,FALSE),1,0)</f>
        <v>1</v>
      </c>
      <c r="BL118" s="7">
        <f>IF(AB118=VLOOKUP(VALUE(AB$1),Questions!$A:$E,5,FALSE),1,0)</f>
        <v>1</v>
      </c>
      <c r="BM118" s="7">
        <f>IF(AC118=VLOOKUP(VALUE(AC$1),Questions!$A:$E,5,FALSE),1,0)</f>
        <v>1</v>
      </c>
      <c r="BN118" s="7">
        <f>IF(AD118=VLOOKUP(VALUE(AD$1),Questions!$A:$E,5,FALSE),1,0)</f>
        <v>1</v>
      </c>
      <c r="BO118" s="7">
        <f>IF(AE118=VLOOKUP(VALUE(AE$1),Questions!$A:$E,5,FALSE),1,0)</f>
        <v>1</v>
      </c>
      <c r="BP118" s="7">
        <f>IF(AF118=VLOOKUP(VALUE(AF$1),Questions!$A:$E,5,FALSE),1,0)</f>
        <v>1</v>
      </c>
      <c r="BQ118" s="7">
        <f>IF(AG118=VLOOKUP(VALUE(AG$1),Questions!$A:$E,5,FALSE),1,0)</f>
        <v>1</v>
      </c>
      <c r="BR118" s="7">
        <f>IF(AH118=VLOOKUP(VALUE(AH$1),Questions!$A:$E,5,FALSE),1,0)</f>
        <v>1</v>
      </c>
      <c r="BS118" s="7">
        <f>IF(AI118=VLOOKUP(VALUE(AI$1),Questions!$A:$E,5,FALSE),1,0)</f>
        <v>1</v>
      </c>
    </row>
    <row r="119" spans="1:71">
      <c r="A119" s="10">
        <v>118</v>
      </c>
      <c r="B119" s="14" t="b">
        <v>0</v>
      </c>
      <c r="C119" s="14" t="b">
        <v>0</v>
      </c>
      <c r="D119" s="102">
        <f>SUM(Scores[[#This Row],[Q1]:[Q28]])</f>
        <v>10</v>
      </c>
      <c r="E119" s="103">
        <f>SUM(Scores[[#This Row],[29]:[34b]])</f>
        <v>0</v>
      </c>
      <c r="F119" s="103">
        <f>Scores[[#This Row],[35]]</f>
        <v>0</v>
      </c>
      <c r="G119" s="104">
        <f>INDEX('Conversion Chart'!$C$3:$M$38,MATCH(SUM(Scores[[#This Row],[MC]:[CRQ]]),'Conversion Chart'!$B$3:$B$38,0),MATCH(Scores[[#This Row],[EIE]],'Conversion Chart'!$C$2:$M$2,0))</f>
        <v>30</v>
      </c>
      <c r="H119" s="5">
        <v>4</v>
      </c>
      <c r="I119" s="5">
        <v>1</v>
      </c>
      <c r="J119" s="5">
        <v>1</v>
      </c>
      <c r="K119" s="5">
        <v>4</v>
      </c>
      <c r="L119" s="5">
        <v>3</v>
      </c>
      <c r="M119" s="5">
        <v>3</v>
      </c>
      <c r="N119" s="5">
        <v>3</v>
      </c>
      <c r="O119" s="5"/>
      <c r="P119" s="5">
        <v>4</v>
      </c>
      <c r="Q119" s="5">
        <v>1</v>
      </c>
      <c r="R119" s="5">
        <v>1</v>
      </c>
      <c r="S119" s="5">
        <v>4</v>
      </c>
      <c r="T119" s="5">
        <v>4</v>
      </c>
      <c r="U119" s="5">
        <v>4</v>
      </c>
      <c r="V119" s="5">
        <v>1</v>
      </c>
      <c r="W119" s="5">
        <v>4</v>
      </c>
      <c r="X119" s="5">
        <v>3</v>
      </c>
      <c r="Y119" s="5">
        <v>2</v>
      </c>
      <c r="Z119" s="5">
        <v>2</v>
      </c>
      <c r="AA119" s="5">
        <v>1</v>
      </c>
      <c r="AB119" s="5">
        <v>3</v>
      </c>
      <c r="AC119" s="5">
        <v>4</v>
      </c>
      <c r="AD119" s="5">
        <v>1</v>
      </c>
      <c r="AE119" s="5">
        <v>2</v>
      </c>
      <c r="AF119" s="5">
        <v>2</v>
      </c>
      <c r="AG119" s="5">
        <v>3</v>
      </c>
      <c r="AH119" s="5">
        <v>4</v>
      </c>
      <c r="AI119" s="104">
        <v>1</v>
      </c>
      <c r="AJ119" s="95"/>
      <c r="AK119" s="84"/>
      <c r="AL119" s="84"/>
      <c r="AM119" s="84"/>
      <c r="AN119" s="84"/>
      <c r="AO119" s="84"/>
      <c r="AP119" s="94"/>
      <c r="AR119" s="7">
        <f>IF(H119=VLOOKUP(VALUE(H$1),Questions!$A:$E,5,FALSE),1,0)</f>
        <v>1</v>
      </c>
      <c r="AS119" s="7">
        <f>IF(I119=VLOOKUP(VALUE(I$1),Questions!$A:$E,5,FALSE),1,0)</f>
        <v>0</v>
      </c>
      <c r="AT119" s="7">
        <f>IF(J119=VLOOKUP(VALUE(J$1),Questions!$A:$E,5,FALSE),1,0)</f>
        <v>1</v>
      </c>
      <c r="AU119" s="7">
        <f>IF(K119=VLOOKUP(VALUE(K$1),Questions!$A:$E,5,FALSE),1,0)</f>
        <v>0</v>
      </c>
      <c r="AV119" s="7">
        <f>IF(L119=VLOOKUP(VALUE(L$1),Questions!$A:$E,5,FALSE),1,0)</f>
        <v>0</v>
      </c>
      <c r="AW119" s="7">
        <f>IF(M119=VLOOKUP(VALUE(M$1),Questions!$A:$E,5,FALSE),1,0)</f>
        <v>0</v>
      </c>
      <c r="AX119" s="7">
        <f>IF(N119=VLOOKUP(VALUE(N$1),Questions!$A:$E,5,FALSE),1,0)</f>
        <v>1</v>
      </c>
      <c r="AY119" s="7">
        <f>IF(O119=VLOOKUP(VALUE(O$1),Questions!$A:$E,5,FALSE),1,0)</f>
        <v>0</v>
      </c>
      <c r="AZ119" s="7">
        <f>IF(P119=VLOOKUP(VALUE(P$1),Questions!$A:$E,5,FALSE),1,0)</f>
        <v>0</v>
      </c>
      <c r="BA119" s="7">
        <f>IF(Q119=VLOOKUP(VALUE(Q$1),Questions!$A:$E,5,FALSE),1,0)</f>
        <v>1</v>
      </c>
      <c r="BB119" s="7">
        <f>IF(R119=VLOOKUP(VALUE(R$1),Questions!$A:$E,5,FALSE),1,0)</f>
        <v>0</v>
      </c>
      <c r="BC119" s="7">
        <f>IF(S119=VLOOKUP(VALUE(S$1),Questions!$A:$E,5,FALSE),1,0)</f>
        <v>0</v>
      </c>
      <c r="BD119" s="7">
        <f>IF(T119=VLOOKUP(VALUE(T$1),Questions!$A:$E,5,FALSE),1,0)</f>
        <v>0</v>
      </c>
      <c r="BE119" s="7">
        <f>IF(U119=VLOOKUP(VALUE(U$1),Questions!$A:$E,5,FALSE),1,0)</f>
        <v>1</v>
      </c>
      <c r="BF119" s="7">
        <f>IF(V119=VLOOKUP(VALUE(V$1),Questions!$A:$E,5,FALSE),1,0)</f>
        <v>0</v>
      </c>
      <c r="BG119" s="7">
        <f>IF(W119=VLOOKUP(VALUE(W$1),Questions!$A:$E,5,FALSE),1,0)</f>
        <v>1</v>
      </c>
      <c r="BH119" s="7">
        <f>IF(X119=VLOOKUP(VALUE(X$1),Questions!$A:$E,5,FALSE),1,0)</f>
        <v>0</v>
      </c>
      <c r="BI119" s="7">
        <f>IF(Y119=VLOOKUP(VALUE(Y$1),Questions!$A:$E,5,FALSE),1,0)</f>
        <v>0</v>
      </c>
      <c r="BJ119" s="7">
        <f>IF(Z119=VLOOKUP(VALUE(Z$1),Questions!$A:$E,5,FALSE),1,0)</f>
        <v>1</v>
      </c>
      <c r="BK119" s="7">
        <f>IF(AA119=VLOOKUP(VALUE(AA$1),Questions!$A:$E,5,FALSE),1,0)</f>
        <v>0</v>
      </c>
      <c r="BL119" s="7">
        <f>IF(AB119=VLOOKUP(VALUE(AB$1),Questions!$A:$E,5,FALSE),1,0)</f>
        <v>0</v>
      </c>
      <c r="BM119" s="7">
        <f>IF(AC119=VLOOKUP(VALUE(AC$1),Questions!$A:$E,5,FALSE),1,0)</f>
        <v>0</v>
      </c>
      <c r="BN119" s="7">
        <f>IF(AD119=VLOOKUP(VALUE(AD$1),Questions!$A:$E,5,FALSE),1,0)</f>
        <v>0</v>
      </c>
      <c r="BO119" s="7">
        <f>IF(AE119=VLOOKUP(VALUE(AE$1),Questions!$A:$E,5,FALSE),1,0)</f>
        <v>1</v>
      </c>
      <c r="BP119" s="7">
        <f>IF(AF119=VLOOKUP(VALUE(AF$1),Questions!$A:$E,5,FALSE),1,0)</f>
        <v>0</v>
      </c>
      <c r="BQ119" s="7">
        <f>IF(AG119=VLOOKUP(VALUE(AG$1),Questions!$A:$E,5,FALSE),1,0)</f>
        <v>1</v>
      </c>
      <c r="BR119" s="7">
        <f>IF(AH119=VLOOKUP(VALUE(AH$1),Questions!$A:$E,5,FALSE),1,0)</f>
        <v>0</v>
      </c>
      <c r="BS119" s="7">
        <f>IF(AI119=VLOOKUP(VALUE(AI$1),Questions!$A:$E,5,FALSE),1,0)</f>
        <v>1</v>
      </c>
    </row>
    <row r="120" spans="1:71">
      <c r="A120" s="10">
        <v>119</v>
      </c>
      <c r="B120" s="14" t="b">
        <v>0</v>
      </c>
      <c r="C120" s="14" t="b">
        <v>0</v>
      </c>
      <c r="D120" s="102">
        <f>SUM(Scores[[#This Row],[Q1]:[Q28]])</f>
        <v>27</v>
      </c>
      <c r="E120" s="103">
        <f>SUM(Scores[[#This Row],[29]:[34b]])</f>
        <v>0</v>
      </c>
      <c r="F120" s="103">
        <f>Scores[[#This Row],[35]]</f>
        <v>0</v>
      </c>
      <c r="G120" s="104">
        <f>INDEX('Conversion Chart'!$C$3:$M$38,MATCH(SUM(Scores[[#This Row],[MC]:[CRQ]]),'Conversion Chart'!$B$3:$B$38,0),MATCH(Scores[[#This Row],[EIE]],'Conversion Chart'!$C$2:$M$2,0))</f>
        <v>66</v>
      </c>
      <c r="H120" s="5">
        <v>4</v>
      </c>
      <c r="I120" s="5">
        <v>3</v>
      </c>
      <c r="J120" s="5">
        <v>1</v>
      </c>
      <c r="K120" s="5">
        <v>2</v>
      </c>
      <c r="L120" s="5">
        <v>2</v>
      </c>
      <c r="M120" s="5">
        <v>4</v>
      </c>
      <c r="N120" s="5">
        <v>3</v>
      </c>
      <c r="O120" s="5">
        <v>1</v>
      </c>
      <c r="P120" s="5">
        <v>1</v>
      </c>
      <c r="Q120" s="5">
        <v>1</v>
      </c>
      <c r="R120" s="5">
        <v>4</v>
      </c>
      <c r="S120" s="5">
        <v>2</v>
      </c>
      <c r="T120" s="5">
        <v>1</v>
      </c>
      <c r="U120" s="5">
        <v>4</v>
      </c>
      <c r="V120" s="5">
        <v>3</v>
      </c>
      <c r="W120" s="5">
        <v>4</v>
      </c>
      <c r="X120" s="5">
        <v>2</v>
      </c>
      <c r="Y120" s="5">
        <v>3</v>
      </c>
      <c r="Z120" s="5">
        <v>3</v>
      </c>
      <c r="AA120" s="5">
        <v>3</v>
      </c>
      <c r="AB120" s="5">
        <v>2</v>
      </c>
      <c r="AC120" s="5">
        <v>1</v>
      </c>
      <c r="AD120" s="5">
        <v>3</v>
      </c>
      <c r="AE120" s="5">
        <v>2</v>
      </c>
      <c r="AF120" s="5">
        <v>4</v>
      </c>
      <c r="AG120" s="5">
        <v>3</v>
      </c>
      <c r="AH120" s="5">
        <v>1</v>
      </c>
      <c r="AI120" s="104">
        <v>1</v>
      </c>
      <c r="AJ120" s="95"/>
      <c r="AK120" s="84"/>
      <c r="AL120" s="84"/>
      <c r="AM120" s="84"/>
      <c r="AN120" s="84"/>
      <c r="AO120" s="84"/>
      <c r="AP120" s="94"/>
      <c r="AR120" s="7">
        <f>IF(H120=VLOOKUP(VALUE(H$1),Questions!$A:$E,5,FALSE),1,0)</f>
        <v>1</v>
      </c>
      <c r="AS120" s="7">
        <f>IF(I120=VLOOKUP(VALUE(I$1),Questions!$A:$E,5,FALSE),1,0)</f>
        <v>1</v>
      </c>
      <c r="AT120" s="7">
        <f>IF(J120=VLOOKUP(VALUE(J$1),Questions!$A:$E,5,FALSE),1,0)</f>
        <v>1</v>
      </c>
      <c r="AU120" s="7">
        <f>IF(K120=VLOOKUP(VALUE(K$1),Questions!$A:$E,5,FALSE),1,0)</f>
        <v>1</v>
      </c>
      <c r="AV120" s="7">
        <f>IF(L120=VLOOKUP(VALUE(L$1),Questions!$A:$E,5,FALSE),1,0)</f>
        <v>1</v>
      </c>
      <c r="AW120" s="7">
        <f>IF(M120=VLOOKUP(VALUE(M$1),Questions!$A:$E,5,FALSE),1,0)</f>
        <v>1</v>
      </c>
      <c r="AX120" s="7">
        <f>IF(N120=VLOOKUP(VALUE(N$1),Questions!$A:$E,5,FALSE),1,0)</f>
        <v>1</v>
      </c>
      <c r="AY120" s="7">
        <f>IF(O120=VLOOKUP(VALUE(O$1),Questions!$A:$E,5,FALSE),1,0)</f>
        <v>1</v>
      </c>
      <c r="AZ120" s="7">
        <f>IF(P120=VLOOKUP(VALUE(P$1),Questions!$A:$E,5,FALSE),1,0)</f>
        <v>1</v>
      </c>
      <c r="BA120" s="7">
        <f>IF(Q120=VLOOKUP(VALUE(Q$1),Questions!$A:$E,5,FALSE),1,0)</f>
        <v>1</v>
      </c>
      <c r="BB120" s="7">
        <f>IF(R120=VLOOKUP(VALUE(R$1),Questions!$A:$E,5,FALSE),1,0)</f>
        <v>1</v>
      </c>
      <c r="BC120" s="7">
        <f>IF(S120=VLOOKUP(VALUE(S$1),Questions!$A:$E,5,FALSE),1,0)</f>
        <v>1</v>
      </c>
      <c r="BD120" s="7">
        <f>IF(T120=VLOOKUP(VALUE(T$1),Questions!$A:$E,5,FALSE),1,0)</f>
        <v>1</v>
      </c>
      <c r="BE120" s="7">
        <f>IF(U120=VLOOKUP(VALUE(U$1),Questions!$A:$E,5,FALSE),1,0)</f>
        <v>1</v>
      </c>
      <c r="BF120" s="7">
        <f>IF(V120=VLOOKUP(VALUE(V$1),Questions!$A:$E,5,FALSE),1,0)</f>
        <v>1</v>
      </c>
      <c r="BG120" s="7">
        <f>IF(W120=VLOOKUP(VALUE(W$1),Questions!$A:$E,5,FALSE),1,0)</f>
        <v>1</v>
      </c>
      <c r="BH120" s="7">
        <f>IF(X120=VLOOKUP(VALUE(X$1),Questions!$A:$E,5,FALSE),1,0)</f>
        <v>1</v>
      </c>
      <c r="BI120" s="7">
        <f>IF(Y120=VLOOKUP(VALUE(Y$1),Questions!$A:$E,5,FALSE),1,0)</f>
        <v>1</v>
      </c>
      <c r="BJ120" s="7">
        <f>IF(Z120=VLOOKUP(VALUE(Z$1),Questions!$A:$E,5,FALSE),1,0)</f>
        <v>0</v>
      </c>
      <c r="BK120" s="7">
        <f>IF(AA120=VLOOKUP(VALUE(AA$1),Questions!$A:$E,5,FALSE),1,0)</f>
        <v>1</v>
      </c>
      <c r="BL120" s="7">
        <f>IF(AB120=VLOOKUP(VALUE(AB$1),Questions!$A:$E,5,FALSE),1,0)</f>
        <v>1</v>
      </c>
      <c r="BM120" s="7">
        <f>IF(AC120=VLOOKUP(VALUE(AC$1),Questions!$A:$E,5,FALSE),1,0)</f>
        <v>1</v>
      </c>
      <c r="BN120" s="7">
        <f>IF(AD120=VLOOKUP(VALUE(AD$1),Questions!$A:$E,5,FALSE),1,0)</f>
        <v>1</v>
      </c>
      <c r="BO120" s="7">
        <f>IF(AE120=VLOOKUP(VALUE(AE$1),Questions!$A:$E,5,FALSE),1,0)</f>
        <v>1</v>
      </c>
      <c r="BP120" s="7">
        <f>IF(AF120=VLOOKUP(VALUE(AF$1),Questions!$A:$E,5,FALSE),1,0)</f>
        <v>1</v>
      </c>
      <c r="BQ120" s="7">
        <f>IF(AG120=VLOOKUP(VALUE(AG$1),Questions!$A:$E,5,FALSE),1,0)</f>
        <v>1</v>
      </c>
      <c r="BR120" s="7">
        <f>IF(AH120=VLOOKUP(VALUE(AH$1),Questions!$A:$E,5,FALSE),1,0)</f>
        <v>1</v>
      </c>
      <c r="BS120" s="7">
        <f>IF(AI120=VLOOKUP(VALUE(AI$1),Questions!$A:$E,5,FALSE),1,0)</f>
        <v>1</v>
      </c>
    </row>
    <row r="121" spans="1:71">
      <c r="A121" s="10">
        <v>120</v>
      </c>
      <c r="B121" s="14" t="b">
        <v>0</v>
      </c>
      <c r="C121" s="14" t="b">
        <v>1</v>
      </c>
      <c r="D121" s="102">
        <f>SUM(Scores[[#This Row],[Q1]:[Q28]])</f>
        <v>8</v>
      </c>
      <c r="E121" s="103">
        <f>SUM(Scores[[#This Row],[29]:[34b]])</f>
        <v>0</v>
      </c>
      <c r="F121" s="103">
        <f>Scores[[#This Row],[35]]</f>
        <v>0</v>
      </c>
      <c r="G121" s="104">
        <f>INDEX('Conversion Chart'!$C$3:$M$38,MATCH(SUM(Scores[[#This Row],[MC]:[CRQ]]),'Conversion Chart'!$B$3:$B$38,0),MATCH(Scores[[#This Row],[EIE]],'Conversion Chart'!$C$2:$M$2,0))</f>
        <v>25</v>
      </c>
      <c r="H121" s="5">
        <v>1</v>
      </c>
      <c r="I121" s="5">
        <v>2</v>
      </c>
      <c r="J121" s="5">
        <v>2</v>
      </c>
      <c r="K121" s="5">
        <v>1</v>
      </c>
      <c r="L121" s="5">
        <v>1</v>
      </c>
      <c r="M121" s="5">
        <v>2</v>
      </c>
      <c r="N121" s="5">
        <v>1</v>
      </c>
      <c r="O121" s="5">
        <v>4</v>
      </c>
      <c r="P121" s="5">
        <v>2</v>
      </c>
      <c r="Q121" s="5">
        <v>2</v>
      </c>
      <c r="R121" s="5">
        <v>4</v>
      </c>
      <c r="S121" s="5">
        <v>2</v>
      </c>
      <c r="T121" s="5">
        <v>1</v>
      </c>
      <c r="U121" s="5">
        <v>4</v>
      </c>
      <c r="V121" s="5">
        <v>3</v>
      </c>
      <c r="W121" s="5">
        <v>4</v>
      </c>
      <c r="X121" s="5">
        <v>1</v>
      </c>
      <c r="Y121" s="5">
        <v>1</v>
      </c>
      <c r="Z121" s="5">
        <v>2</v>
      </c>
      <c r="AA121" s="5">
        <v>4</v>
      </c>
      <c r="AB121" s="5">
        <v>4</v>
      </c>
      <c r="AC121" s="5">
        <v>3</v>
      </c>
      <c r="AD121" s="5">
        <v>2</v>
      </c>
      <c r="AE121" s="5">
        <v>1</v>
      </c>
      <c r="AF121" s="5">
        <v>4</v>
      </c>
      <c r="AG121" s="5">
        <v>2</v>
      </c>
      <c r="AH121" s="5">
        <v>4</v>
      </c>
      <c r="AI121" s="104">
        <v>3</v>
      </c>
      <c r="AJ121" s="95"/>
      <c r="AK121" s="84"/>
      <c r="AL121" s="84"/>
      <c r="AM121" s="84"/>
      <c r="AN121" s="84"/>
      <c r="AO121" s="84"/>
      <c r="AP121" s="94"/>
      <c r="AR121" s="7">
        <f>IF(H121=VLOOKUP(VALUE(H$1),Questions!$A:$E,5,FALSE),1,0)</f>
        <v>0</v>
      </c>
      <c r="AS121" s="7">
        <f>IF(I121=VLOOKUP(VALUE(I$1),Questions!$A:$E,5,FALSE),1,0)</f>
        <v>0</v>
      </c>
      <c r="AT121" s="7">
        <f>IF(J121=VLOOKUP(VALUE(J$1),Questions!$A:$E,5,FALSE),1,0)</f>
        <v>0</v>
      </c>
      <c r="AU121" s="7">
        <f>IF(K121=VLOOKUP(VALUE(K$1),Questions!$A:$E,5,FALSE),1,0)</f>
        <v>0</v>
      </c>
      <c r="AV121" s="7">
        <f>IF(L121=VLOOKUP(VALUE(L$1),Questions!$A:$E,5,FALSE),1,0)</f>
        <v>0</v>
      </c>
      <c r="AW121" s="7">
        <f>IF(M121=VLOOKUP(VALUE(M$1),Questions!$A:$E,5,FALSE),1,0)</f>
        <v>0</v>
      </c>
      <c r="AX121" s="7">
        <f>IF(N121=VLOOKUP(VALUE(N$1),Questions!$A:$E,5,FALSE),1,0)</f>
        <v>0</v>
      </c>
      <c r="AY121" s="7">
        <f>IF(O121=VLOOKUP(VALUE(O$1),Questions!$A:$E,5,FALSE),1,0)</f>
        <v>0</v>
      </c>
      <c r="AZ121" s="7">
        <f>IF(P121=VLOOKUP(VALUE(P$1),Questions!$A:$E,5,FALSE),1,0)</f>
        <v>0</v>
      </c>
      <c r="BA121" s="7">
        <f>IF(Q121=VLOOKUP(VALUE(Q$1),Questions!$A:$E,5,FALSE),1,0)</f>
        <v>0</v>
      </c>
      <c r="BB121" s="7">
        <f>IF(R121=VLOOKUP(VALUE(R$1),Questions!$A:$E,5,FALSE),1,0)</f>
        <v>1</v>
      </c>
      <c r="BC121" s="7">
        <f>IF(S121=VLOOKUP(VALUE(S$1),Questions!$A:$E,5,FALSE),1,0)</f>
        <v>1</v>
      </c>
      <c r="BD121" s="7">
        <f>IF(T121=VLOOKUP(VALUE(T$1),Questions!$A:$E,5,FALSE),1,0)</f>
        <v>1</v>
      </c>
      <c r="BE121" s="7">
        <f>IF(U121=VLOOKUP(VALUE(U$1),Questions!$A:$E,5,FALSE),1,0)</f>
        <v>1</v>
      </c>
      <c r="BF121" s="7">
        <f>IF(V121=VLOOKUP(VALUE(V$1),Questions!$A:$E,5,FALSE),1,0)</f>
        <v>1</v>
      </c>
      <c r="BG121" s="7">
        <f>IF(W121=VLOOKUP(VALUE(W$1),Questions!$A:$E,5,FALSE),1,0)</f>
        <v>1</v>
      </c>
      <c r="BH121" s="7">
        <f>IF(X121=VLOOKUP(VALUE(X$1),Questions!$A:$E,5,FALSE),1,0)</f>
        <v>0</v>
      </c>
      <c r="BI121" s="7">
        <f>IF(Y121=VLOOKUP(VALUE(Y$1),Questions!$A:$E,5,FALSE),1,0)</f>
        <v>0</v>
      </c>
      <c r="BJ121" s="7">
        <f>IF(Z121=VLOOKUP(VALUE(Z$1),Questions!$A:$E,5,FALSE),1,0)</f>
        <v>1</v>
      </c>
      <c r="BK121" s="7">
        <f>IF(AA121=VLOOKUP(VALUE(AA$1),Questions!$A:$E,5,FALSE),1,0)</f>
        <v>0</v>
      </c>
      <c r="BL121" s="7">
        <f>IF(AB121=VLOOKUP(VALUE(AB$1),Questions!$A:$E,5,FALSE),1,0)</f>
        <v>0</v>
      </c>
      <c r="BM121" s="7">
        <f>IF(AC121=VLOOKUP(VALUE(AC$1),Questions!$A:$E,5,FALSE),1,0)</f>
        <v>0</v>
      </c>
      <c r="BN121" s="7">
        <f>IF(AD121=VLOOKUP(VALUE(AD$1),Questions!$A:$E,5,FALSE),1,0)</f>
        <v>0</v>
      </c>
      <c r="BO121" s="7">
        <f>IF(AE121=VLOOKUP(VALUE(AE$1),Questions!$A:$E,5,FALSE),1,0)</f>
        <v>0</v>
      </c>
      <c r="BP121" s="7">
        <f>IF(AF121=VLOOKUP(VALUE(AF$1),Questions!$A:$E,5,FALSE),1,0)</f>
        <v>1</v>
      </c>
      <c r="BQ121" s="7">
        <f>IF(AG121=VLOOKUP(VALUE(AG$1),Questions!$A:$E,5,FALSE),1,0)</f>
        <v>0</v>
      </c>
      <c r="BR121" s="7">
        <f>IF(AH121=VLOOKUP(VALUE(AH$1),Questions!$A:$E,5,FALSE),1,0)</f>
        <v>0</v>
      </c>
      <c r="BS121" s="7">
        <f>IF(AI121=VLOOKUP(VALUE(AI$1),Questions!$A:$E,5,FALSE),1,0)</f>
        <v>0</v>
      </c>
    </row>
    <row r="122" spans="1:71">
      <c r="A122" s="10">
        <v>121</v>
      </c>
      <c r="B122" s="14" t="b">
        <v>0</v>
      </c>
      <c r="C122" s="14" t="b">
        <v>1</v>
      </c>
      <c r="D122" s="102">
        <f>SUM(Scores[[#This Row],[Q1]:[Q28]])</f>
        <v>24</v>
      </c>
      <c r="E122" s="103">
        <f>SUM(Scores[[#This Row],[29]:[34b]])</f>
        <v>0</v>
      </c>
      <c r="F122" s="103">
        <f>Scores[[#This Row],[35]]</f>
        <v>0</v>
      </c>
      <c r="G122" s="104">
        <f>INDEX('Conversion Chart'!$C$3:$M$38,MATCH(SUM(Scores[[#This Row],[MC]:[CRQ]]),'Conversion Chart'!$B$3:$B$38,0),MATCH(Scores[[#This Row],[EIE]],'Conversion Chart'!$C$2:$M$2,0))</f>
        <v>61</v>
      </c>
      <c r="H122" s="5">
        <v>4</v>
      </c>
      <c r="I122" s="5">
        <v>3</v>
      </c>
      <c r="J122" s="5">
        <v>1</v>
      </c>
      <c r="K122" s="5">
        <v>2</v>
      </c>
      <c r="L122" s="5">
        <v>2</v>
      </c>
      <c r="M122" s="5">
        <v>4</v>
      </c>
      <c r="N122" s="5">
        <v>3</v>
      </c>
      <c r="O122" s="5">
        <v>4</v>
      </c>
      <c r="P122" s="5">
        <v>1</v>
      </c>
      <c r="Q122" s="5">
        <v>1</v>
      </c>
      <c r="R122" s="5">
        <v>4</v>
      </c>
      <c r="S122" s="5">
        <v>3</v>
      </c>
      <c r="T122" s="5">
        <v>1</v>
      </c>
      <c r="U122" s="5">
        <v>4</v>
      </c>
      <c r="V122" s="5">
        <v>3</v>
      </c>
      <c r="W122" s="5">
        <v>4</v>
      </c>
      <c r="X122" s="5">
        <v>2</v>
      </c>
      <c r="Y122" s="5">
        <v>3</v>
      </c>
      <c r="Z122" s="5">
        <v>2</v>
      </c>
      <c r="AA122" s="5">
        <v>2</v>
      </c>
      <c r="AB122" s="5">
        <v>3</v>
      </c>
      <c r="AC122" s="5">
        <v>1</v>
      </c>
      <c r="AD122" s="5">
        <v>3</v>
      </c>
      <c r="AE122" s="5">
        <v>2</v>
      </c>
      <c r="AF122" s="5">
        <v>4</v>
      </c>
      <c r="AG122" s="5">
        <v>3</v>
      </c>
      <c r="AH122" s="5">
        <v>1</v>
      </c>
      <c r="AI122" s="104">
        <v>1</v>
      </c>
      <c r="AJ122" s="95"/>
      <c r="AK122" s="84"/>
      <c r="AL122" s="84"/>
      <c r="AM122" s="84"/>
      <c r="AN122" s="84"/>
      <c r="AO122" s="84"/>
      <c r="AP122" s="94"/>
      <c r="AR122" s="7">
        <f>IF(H122=VLOOKUP(VALUE(H$1),Questions!$A:$E,5,FALSE),1,0)</f>
        <v>1</v>
      </c>
      <c r="AS122" s="7">
        <f>IF(I122=VLOOKUP(VALUE(I$1),Questions!$A:$E,5,FALSE),1,0)</f>
        <v>1</v>
      </c>
      <c r="AT122" s="7">
        <f>IF(J122=VLOOKUP(VALUE(J$1),Questions!$A:$E,5,FALSE),1,0)</f>
        <v>1</v>
      </c>
      <c r="AU122" s="7">
        <f>IF(K122=VLOOKUP(VALUE(K$1),Questions!$A:$E,5,FALSE),1,0)</f>
        <v>1</v>
      </c>
      <c r="AV122" s="7">
        <f>IF(L122=VLOOKUP(VALUE(L$1),Questions!$A:$E,5,FALSE),1,0)</f>
        <v>1</v>
      </c>
      <c r="AW122" s="7">
        <f>IF(M122=VLOOKUP(VALUE(M$1),Questions!$A:$E,5,FALSE),1,0)</f>
        <v>1</v>
      </c>
      <c r="AX122" s="7">
        <f>IF(N122=VLOOKUP(VALUE(N$1),Questions!$A:$E,5,FALSE),1,0)</f>
        <v>1</v>
      </c>
      <c r="AY122" s="7">
        <f>IF(O122=VLOOKUP(VALUE(O$1),Questions!$A:$E,5,FALSE),1,0)</f>
        <v>0</v>
      </c>
      <c r="AZ122" s="7">
        <f>IF(P122=VLOOKUP(VALUE(P$1),Questions!$A:$E,5,FALSE),1,0)</f>
        <v>1</v>
      </c>
      <c r="BA122" s="7">
        <f>IF(Q122=VLOOKUP(VALUE(Q$1),Questions!$A:$E,5,FALSE),1,0)</f>
        <v>1</v>
      </c>
      <c r="BB122" s="7">
        <f>IF(R122=VLOOKUP(VALUE(R$1),Questions!$A:$E,5,FALSE),1,0)</f>
        <v>1</v>
      </c>
      <c r="BC122" s="7">
        <f>IF(S122=VLOOKUP(VALUE(S$1),Questions!$A:$E,5,FALSE),1,0)</f>
        <v>0</v>
      </c>
      <c r="BD122" s="7">
        <f>IF(T122=VLOOKUP(VALUE(T$1),Questions!$A:$E,5,FALSE),1,0)</f>
        <v>1</v>
      </c>
      <c r="BE122" s="7">
        <f>IF(U122=VLOOKUP(VALUE(U$1),Questions!$A:$E,5,FALSE),1,0)</f>
        <v>1</v>
      </c>
      <c r="BF122" s="7">
        <f>IF(V122=VLOOKUP(VALUE(V$1),Questions!$A:$E,5,FALSE),1,0)</f>
        <v>1</v>
      </c>
      <c r="BG122" s="7">
        <f>IF(W122=VLOOKUP(VALUE(W$1),Questions!$A:$E,5,FALSE),1,0)</f>
        <v>1</v>
      </c>
      <c r="BH122" s="7">
        <f>IF(X122=VLOOKUP(VALUE(X$1),Questions!$A:$E,5,FALSE),1,0)</f>
        <v>1</v>
      </c>
      <c r="BI122" s="7">
        <f>IF(Y122=VLOOKUP(VALUE(Y$1),Questions!$A:$E,5,FALSE),1,0)</f>
        <v>1</v>
      </c>
      <c r="BJ122" s="7">
        <f>IF(Z122=VLOOKUP(VALUE(Z$1),Questions!$A:$E,5,FALSE),1,0)</f>
        <v>1</v>
      </c>
      <c r="BK122" s="7">
        <f>IF(AA122=VLOOKUP(VALUE(AA$1),Questions!$A:$E,5,FALSE),1,0)</f>
        <v>0</v>
      </c>
      <c r="BL122" s="7">
        <f>IF(AB122=VLOOKUP(VALUE(AB$1),Questions!$A:$E,5,FALSE),1,0)</f>
        <v>0</v>
      </c>
      <c r="BM122" s="7">
        <f>IF(AC122=VLOOKUP(VALUE(AC$1),Questions!$A:$E,5,FALSE),1,0)</f>
        <v>1</v>
      </c>
      <c r="BN122" s="7">
        <f>IF(AD122=VLOOKUP(VALUE(AD$1),Questions!$A:$E,5,FALSE),1,0)</f>
        <v>1</v>
      </c>
      <c r="BO122" s="7">
        <f>IF(AE122=VLOOKUP(VALUE(AE$1),Questions!$A:$E,5,FALSE),1,0)</f>
        <v>1</v>
      </c>
      <c r="BP122" s="7">
        <f>IF(AF122=VLOOKUP(VALUE(AF$1),Questions!$A:$E,5,FALSE),1,0)</f>
        <v>1</v>
      </c>
      <c r="BQ122" s="7">
        <f>IF(AG122=VLOOKUP(VALUE(AG$1),Questions!$A:$E,5,FALSE),1,0)</f>
        <v>1</v>
      </c>
      <c r="BR122" s="7">
        <f>IF(AH122=VLOOKUP(VALUE(AH$1),Questions!$A:$E,5,FALSE),1,0)</f>
        <v>1</v>
      </c>
      <c r="BS122" s="7">
        <f>IF(AI122=VLOOKUP(VALUE(AI$1),Questions!$A:$E,5,FALSE),1,0)</f>
        <v>1</v>
      </c>
    </row>
    <row r="123" spans="1:71">
      <c r="A123" s="10">
        <v>122</v>
      </c>
      <c r="B123" s="14" t="b">
        <v>0</v>
      </c>
      <c r="C123" s="14" t="b">
        <v>0</v>
      </c>
      <c r="D123" s="102">
        <f>SUM(Scores[[#This Row],[Q1]:[Q28]])</f>
        <v>17</v>
      </c>
      <c r="E123" s="103">
        <f>SUM(Scores[[#This Row],[29]:[34b]])</f>
        <v>0</v>
      </c>
      <c r="F123" s="103">
        <f>Scores[[#This Row],[35]]</f>
        <v>0</v>
      </c>
      <c r="G123" s="104">
        <f>INDEX('Conversion Chart'!$C$3:$M$38,MATCH(SUM(Scores[[#This Row],[MC]:[CRQ]]),'Conversion Chart'!$B$3:$B$38,0),MATCH(Scores[[#This Row],[EIE]],'Conversion Chart'!$C$2:$M$2,0))</f>
        <v>47</v>
      </c>
      <c r="H123" s="5">
        <v>4</v>
      </c>
      <c r="I123" s="5">
        <v>3</v>
      </c>
      <c r="J123" s="5">
        <v>1</v>
      </c>
      <c r="K123" s="5">
        <v>2</v>
      </c>
      <c r="L123" s="5">
        <v>3</v>
      </c>
      <c r="M123" s="5">
        <v>2</v>
      </c>
      <c r="N123" s="5">
        <v>4</v>
      </c>
      <c r="O123" s="5">
        <v>3</v>
      </c>
      <c r="P123" s="5">
        <v>1</v>
      </c>
      <c r="Q123" s="5">
        <v>1</v>
      </c>
      <c r="R123" s="5">
        <v>4</v>
      </c>
      <c r="S123" s="5">
        <v>2</v>
      </c>
      <c r="T123" s="5">
        <v>1</v>
      </c>
      <c r="U123" s="5">
        <v>2</v>
      </c>
      <c r="V123" s="5">
        <v>1</v>
      </c>
      <c r="W123" s="5">
        <v>3</v>
      </c>
      <c r="X123" s="5">
        <v>1</v>
      </c>
      <c r="Y123" s="5">
        <v>1</v>
      </c>
      <c r="Z123" s="5">
        <v>2</v>
      </c>
      <c r="AA123" s="5">
        <v>3</v>
      </c>
      <c r="AB123" s="5">
        <v>2</v>
      </c>
      <c r="AC123" s="5">
        <v>1</v>
      </c>
      <c r="AD123" s="5">
        <v>3</v>
      </c>
      <c r="AE123" s="5">
        <v>3</v>
      </c>
      <c r="AF123" s="5">
        <v>1</v>
      </c>
      <c r="AG123" s="5">
        <v>3</v>
      </c>
      <c r="AH123" s="5">
        <v>1</v>
      </c>
      <c r="AI123" s="104">
        <v>1</v>
      </c>
      <c r="AJ123" s="95"/>
      <c r="AK123" s="84"/>
      <c r="AL123" s="84"/>
      <c r="AM123" s="84"/>
      <c r="AN123" s="84"/>
      <c r="AO123" s="84"/>
      <c r="AP123" s="94"/>
      <c r="AR123" s="7">
        <f>IF(H123=VLOOKUP(VALUE(H$1),Questions!$A:$E,5,FALSE),1,0)</f>
        <v>1</v>
      </c>
      <c r="AS123" s="7">
        <f>IF(I123=VLOOKUP(VALUE(I$1),Questions!$A:$E,5,FALSE),1,0)</f>
        <v>1</v>
      </c>
      <c r="AT123" s="7">
        <f>IF(J123=VLOOKUP(VALUE(J$1),Questions!$A:$E,5,FALSE),1,0)</f>
        <v>1</v>
      </c>
      <c r="AU123" s="7">
        <f>IF(K123=VLOOKUP(VALUE(K$1),Questions!$A:$E,5,FALSE),1,0)</f>
        <v>1</v>
      </c>
      <c r="AV123" s="7">
        <f>IF(L123=VLOOKUP(VALUE(L$1),Questions!$A:$E,5,FALSE),1,0)</f>
        <v>0</v>
      </c>
      <c r="AW123" s="7">
        <f>IF(M123=VLOOKUP(VALUE(M$1),Questions!$A:$E,5,FALSE),1,0)</f>
        <v>0</v>
      </c>
      <c r="AX123" s="7">
        <f>IF(N123=VLOOKUP(VALUE(N$1),Questions!$A:$E,5,FALSE),1,0)</f>
        <v>0</v>
      </c>
      <c r="AY123" s="7">
        <f>IF(O123=VLOOKUP(VALUE(O$1),Questions!$A:$E,5,FALSE),1,0)</f>
        <v>0</v>
      </c>
      <c r="AZ123" s="7">
        <f>IF(P123=VLOOKUP(VALUE(P$1),Questions!$A:$E,5,FALSE),1,0)</f>
        <v>1</v>
      </c>
      <c r="BA123" s="7">
        <f>IF(Q123=VLOOKUP(VALUE(Q$1),Questions!$A:$E,5,FALSE),1,0)</f>
        <v>1</v>
      </c>
      <c r="BB123" s="7">
        <f>IF(R123=VLOOKUP(VALUE(R$1),Questions!$A:$E,5,FALSE),1,0)</f>
        <v>1</v>
      </c>
      <c r="BC123" s="7">
        <f>IF(S123=VLOOKUP(VALUE(S$1),Questions!$A:$E,5,FALSE),1,0)</f>
        <v>1</v>
      </c>
      <c r="BD123" s="7">
        <f>IF(T123=VLOOKUP(VALUE(T$1),Questions!$A:$E,5,FALSE),1,0)</f>
        <v>1</v>
      </c>
      <c r="BE123" s="7">
        <f>IF(U123=VLOOKUP(VALUE(U$1),Questions!$A:$E,5,FALSE),1,0)</f>
        <v>0</v>
      </c>
      <c r="BF123" s="7">
        <f>IF(V123=VLOOKUP(VALUE(V$1),Questions!$A:$E,5,FALSE),1,0)</f>
        <v>0</v>
      </c>
      <c r="BG123" s="7">
        <f>IF(W123=VLOOKUP(VALUE(W$1),Questions!$A:$E,5,FALSE),1,0)</f>
        <v>0</v>
      </c>
      <c r="BH123" s="7">
        <f>IF(X123=VLOOKUP(VALUE(X$1),Questions!$A:$E,5,FALSE),1,0)</f>
        <v>0</v>
      </c>
      <c r="BI123" s="7">
        <f>IF(Y123=VLOOKUP(VALUE(Y$1),Questions!$A:$E,5,FALSE),1,0)</f>
        <v>0</v>
      </c>
      <c r="BJ123" s="7">
        <f>IF(Z123=VLOOKUP(VALUE(Z$1),Questions!$A:$E,5,FALSE),1,0)</f>
        <v>1</v>
      </c>
      <c r="BK123" s="7">
        <f>IF(AA123=VLOOKUP(VALUE(AA$1),Questions!$A:$E,5,FALSE),1,0)</f>
        <v>1</v>
      </c>
      <c r="BL123" s="7">
        <f>IF(AB123=VLOOKUP(VALUE(AB$1),Questions!$A:$E,5,FALSE),1,0)</f>
        <v>1</v>
      </c>
      <c r="BM123" s="7">
        <f>IF(AC123=VLOOKUP(VALUE(AC$1),Questions!$A:$E,5,FALSE),1,0)</f>
        <v>1</v>
      </c>
      <c r="BN123" s="7">
        <f>IF(AD123=VLOOKUP(VALUE(AD$1),Questions!$A:$E,5,FALSE),1,0)</f>
        <v>1</v>
      </c>
      <c r="BO123" s="7">
        <f>IF(AE123=VLOOKUP(VALUE(AE$1),Questions!$A:$E,5,FALSE),1,0)</f>
        <v>0</v>
      </c>
      <c r="BP123" s="7">
        <f>IF(AF123=VLOOKUP(VALUE(AF$1),Questions!$A:$E,5,FALSE),1,0)</f>
        <v>0</v>
      </c>
      <c r="BQ123" s="7">
        <f>IF(AG123=VLOOKUP(VALUE(AG$1),Questions!$A:$E,5,FALSE),1,0)</f>
        <v>1</v>
      </c>
      <c r="BR123" s="7">
        <f>IF(AH123=VLOOKUP(VALUE(AH$1),Questions!$A:$E,5,FALSE),1,0)</f>
        <v>1</v>
      </c>
      <c r="BS123" s="7">
        <f>IF(AI123=VLOOKUP(VALUE(AI$1),Questions!$A:$E,5,FALSE),1,0)</f>
        <v>1</v>
      </c>
    </row>
    <row r="124" spans="1:71">
      <c r="A124" s="10">
        <v>123</v>
      </c>
      <c r="B124" s="14" t="b">
        <v>0</v>
      </c>
      <c r="C124" s="14" t="b">
        <v>1</v>
      </c>
      <c r="D124" s="102">
        <f>SUM(Scores[[#This Row],[Q1]:[Q28]])</f>
        <v>13</v>
      </c>
      <c r="E124" s="103">
        <f>SUM(Scores[[#This Row],[29]:[34b]])</f>
        <v>0</v>
      </c>
      <c r="F124" s="103">
        <f>Scores[[#This Row],[35]]</f>
        <v>0</v>
      </c>
      <c r="G124" s="104">
        <f>INDEX('Conversion Chart'!$C$3:$M$38,MATCH(SUM(Scores[[#This Row],[MC]:[CRQ]]),'Conversion Chart'!$B$3:$B$38,0),MATCH(Scores[[#This Row],[EIE]],'Conversion Chart'!$C$2:$M$2,0))</f>
        <v>38</v>
      </c>
      <c r="H124" s="5">
        <v>4</v>
      </c>
      <c r="I124" s="5">
        <v>3</v>
      </c>
      <c r="J124" s="5">
        <v>1</v>
      </c>
      <c r="K124" s="5">
        <v>1</v>
      </c>
      <c r="L124" s="5">
        <v>3</v>
      </c>
      <c r="M124" s="5">
        <v>2</v>
      </c>
      <c r="N124" s="5">
        <v>3</v>
      </c>
      <c r="O124" s="5">
        <v>3</v>
      </c>
      <c r="P124" s="5">
        <v>1</v>
      </c>
      <c r="Q124" s="5">
        <v>3</v>
      </c>
      <c r="R124" s="5">
        <v>4</v>
      </c>
      <c r="S124" s="5">
        <v>4</v>
      </c>
      <c r="T124" s="5">
        <v>3</v>
      </c>
      <c r="U124" s="5">
        <v>4</v>
      </c>
      <c r="V124" s="5">
        <v>3</v>
      </c>
      <c r="W124" s="5">
        <v>3</v>
      </c>
      <c r="X124" s="5">
        <v>2</v>
      </c>
      <c r="Y124" s="5">
        <v>2</v>
      </c>
      <c r="Z124" s="5">
        <v>2</v>
      </c>
      <c r="AA124" s="5">
        <v>4</v>
      </c>
      <c r="AB124" s="5">
        <v>4</v>
      </c>
      <c r="AC124" s="5">
        <v>1</v>
      </c>
      <c r="AD124" s="5">
        <v>4</v>
      </c>
      <c r="AE124" s="5">
        <v>2</v>
      </c>
      <c r="AF124" s="5">
        <v>4</v>
      </c>
      <c r="AG124" s="5">
        <v>2</v>
      </c>
      <c r="AH124" s="5">
        <v>4</v>
      </c>
      <c r="AI124" s="104">
        <v>2</v>
      </c>
      <c r="AJ124" s="95"/>
      <c r="AK124" s="84"/>
      <c r="AL124" s="84"/>
      <c r="AM124" s="84"/>
      <c r="AN124" s="84"/>
      <c r="AO124" s="84"/>
      <c r="AP124" s="94"/>
      <c r="AR124" s="7">
        <f>IF(H124=VLOOKUP(VALUE(H$1),Questions!$A:$E,5,FALSE),1,0)</f>
        <v>1</v>
      </c>
      <c r="AS124" s="7">
        <f>IF(I124=VLOOKUP(VALUE(I$1),Questions!$A:$E,5,FALSE),1,0)</f>
        <v>1</v>
      </c>
      <c r="AT124" s="7">
        <f>IF(J124=VLOOKUP(VALUE(J$1),Questions!$A:$E,5,FALSE),1,0)</f>
        <v>1</v>
      </c>
      <c r="AU124" s="7">
        <f>IF(K124=VLOOKUP(VALUE(K$1),Questions!$A:$E,5,FALSE),1,0)</f>
        <v>0</v>
      </c>
      <c r="AV124" s="7">
        <f>IF(L124=VLOOKUP(VALUE(L$1),Questions!$A:$E,5,FALSE),1,0)</f>
        <v>0</v>
      </c>
      <c r="AW124" s="7">
        <f>IF(M124=VLOOKUP(VALUE(M$1),Questions!$A:$E,5,FALSE),1,0)</f>
        <v>0</v>
      </c>
      <c r="AX124" s="7">
        <f>IF(N124=VLOOKUP(VALUE(N$1),Questions!$A:$E,5,FALSE),1,0)</f>
        <v>1</v>
      </c>
      <c r="AY124" s="7">
        <f>IF(O124=VLOOKUP(VALUE(O$1),Questions!$A:$E,5,FALSE),1,0)</f>
        <v>0</v>
      </c>
      <c r="AZ124" s="7">
        <f>IF(P124=VLOOKUP(VALUE(P$1),Questions!$A:$E,5,FALSE),1,0)</f>
        <v>1</v>
      </c>
      <c r="BA124" s="7">
        <f>IF(Q124=VLOOKUP(VALUE(Q$1),Questions!$A:$E,5,FALSE),1,0)</f>
        <v>0</v>
      </c>
      <c r="BB124" s="7">
        <f>IF(R124=VLOOKUP(VALUE(R$1),Questions!$A:$E,5,FALSE),1,0)</f>
        <v>1</v>
      </c>
      <c r="BC124" s="7">
        <f>IF(S124=VLOOKUP(VALUE(S$1),Questions!$A:$E,5,FALSE),1,0)</f>
        <v>0</v>
      </c>
      <c r="BD124" s="7">
        <f>IF(T124=VLOOKUP(VALUE(T$1),Questions!$A:$E,5,FALSE),1,0)</f>
        <v>0</v>
      </c>
      <c r="BE124" s="7">
        <f>IF(U124=VLOOKUP(VALUE(U$1),Questions!$A:$E,5,FALSE),1,0)</f>
        <v>1</v>
      </c>
      <c r="BF124" s="7">
        <f>IF(V124=VLOOKUP(VALUE(V$1),Questions!$A:$E,5,FALSE),1,0)</f>
        <v>1</v>
      </c>
      <c r="BG124" s="7">
        <f>IF(W124=VLOOKUP(VALUE(W$1),Questions!$A:$E,5,FALSE),1,0)</f>
        <v>0</v>
      </c>
      <c r="BH124" s="7">
        <f>IF(X124=VLOOKUP(VALUE(X$1),Questions!$A:$E,5,FALSE),1,0)</f>
        <v>1</v>
      </c>
      <c r="BI124" s="7">
        <f>IF(Y124=VLOOKUP(VALUE(Y$1),Questions!$A:$E,5,FALSE),1,0)</f>
        <v>0</v>
      </c>
      <c r="BJ124" s="7">
        <f>IF(Z124=VLOOKUP(VALUE(Z$1),Questions!$A:$E,5,FALSE),1,0)</f>
        <v>1</v>
      </c>
      <c r="BK124" s="7">
        <f>IF(AA124=VLOOKUP(VALUE(AA$1),Questions!$A:$E,5,FALSE),1,0)</f>
        <v>0</v>
      </c>
      <c r="BL124" s="7">
        <f>IF(AB124=VLOOKUP(VALUE(AB$1),Questions!$A:$E,5,FALSE),1,0)</f>
        <v>0</v>
      </c>
      <c r="BM124" s="7">
        <f>IF(AC124=VLOOKUP(VALUE(AC$1),Questions!$A:$E,5,FALSE),1,0)</f>
        <v>1</v>
      </c>
      <c r="BN124" s="7">
        <f>IF(AD124=VLOOKUP(VALUE(AD$1),Questions!$A:$E,5,FALSE),1,0)</f>
        <v>0</v>
      </c>
      <c r="BO124" s="7">
        <f>IF(AE124=VLOOKUP(VALUE(AE$1),Questions!$A:$E,5,FALSE),1,0)</f>
        <v>1</v>
      </c>
      <c r="BP124" s="7">
        <f>IF(AF124=VLOOKUP(VALUE(AF$1),Questions!$A:$E,5,FALSE),1,0)</f>
        <v>1</v>
      </c>
      <c r="BQ124" s="7">
        <f>IF(AG124=VLOOKUP(VALUE(AG$1),Questions!$A:$E,5,FALSE),1,0)</f>
        <v>0</v>
      </c>
      <c r="BR124" s="7">
        <f>IF(AH124=VLOOKUP(VALUE(AH$1),Questions!$A:$E,5,FALSE),1,0)</f>
        <v>0</v>
      </c>
      <c r="BS124" s="7">
        <f>IF(AI124=VLOOKUP(VALUE(AI$1),Questions!$A:$E,5,FALSE),1,0)</f>
        <v>0</v>
      </c>
    </row>
    <row r="125" spans="1:71">
      <c r="A125" s="10">
        <v>124</v>
      </c>
      <c r="B125" s="14" t="b">
        <v>0</v>
      </c>
      <c r="C125" s="14" t="b">
        <v>0</v>
      </c>
      <c r="D125" s="102">
        <f>SUM(Scores[[#This Row],[Q1]:[Q28]])</f>
        <v>7</v>
      </c>
      <c r="E125" s="103">
        <f>SUM(Scores[[#This Row],[29]:[34b]])</f>
        <v>0</v>
      </c>
      <c r="F125" s="103">
        <f>Scores[[#This Row],[35]]</f>
        <v>0</v>
      </c>
      <c r="G125" s="104">
        <f>INDEX('Conversion Chart'!$C$3:$M$38,MATCH(SUM(Scores[[#This Row],[MC]:[CRQ]]),'Conversion Chart'!$B$3:$B$38,0),MATCH(Scores[[#This Row],[EIE]],'Conversion Chart'!$C$2:$M$2,0))</f>
        <v>22</v>
      </c>
      <c r="H125" s="5">
        <v>2</v>
      </c>
      <c r="I125" s="5">
        <v>1</v>
      </c>
      <c r="J125" s="5">
        <v>2</v>
      </c>
      <c r="K125" s="5">
        <v>1</v>
      </c>
      <c r="L125" s="5">
        <v>2</v>
      </c>
      <c r="M125" s="5">
        <v>4</v>
      </c>
      <c r="N125" s="5">
        <v>1</v>
      </c>
      <c r="O125" s="5">
        <v>2</v>
      </c>
      <c r="P125" s="5">
        <v>4</v>
      </c>
      <c r="Q125" s="5">
        <v>4</v>
      </c>
      <c r="R125" s="5">
        <v>3</v>
      </c>
      <c r="S125" s="5">
        <v>3</v>
      </c>
      <c r="T125" s="5">
        <v>3</v>
      </c>
      <c r="U125" s="5">
        <v>4</v>
      </c>
      <c r="V125" s="5">
        <v>1</v>
      </c>
      <c r="W125" s="5">
        <v>1</v>
      </c>
      <c r="X125" s="5">
        <v>3</v>
      </c>
      <c r="Y125" s="5">
        <v>3</v>
      </c>
      <c r="Z125" s="5">
        <v>2</v>
      </c>
      <c r="AA125" s="5">
        <v>4</v>
      </c>
      <c r="AB125" s="5">
        <v>1</v>
      </c>
      <c r="AC125" s="5">
        <v>3</v>
      </c>
      <c r="AD125" s="5">
        <v>3</v>
      </c>
      <c r="AE125" s="5">
        <v>2</v>
      </c>
      <c r="AF125" s="5">
        <v>3</v>
      </c>
      <c r="AG125" s="5">
        <v>4</v>
      </c>
      <c r="AH125" s="5">
        <v>4</v>
      </c>
      <c r="AI125" s="104">
        <v>2</v>
      </c>
      <c r="AJ125" s="95"/>
      <c r="AK125" s="84"/>
      <c r="AL125" s="84"/>
      <c r="AM125" s="84"/>
      <c r="AN125" s="84"/>
      <c r="AO125" s="84"/>
      <c r="AP125" s="94"/>
      <c r="AR125" s="7">
        <f>IF(H125=VLOOKUP(VALUE(H$1),Questions!$A:$E,5,FALSE),1,0)</f>
        <v>0</v>
      </c>
      <c r="AS125" s="7">
        <f>IF(I125=VLOOKUP(VALUE(I$1),Questions!$A:$E,5,FALSE),1,0)</f>
        <v>0</v>
      </c>
      <c r="AT125" s="7">
        <f>IF(J125=VLOOKUP(VALUE(J$1),Questions!$A:$E,5,FALSE),1,0)</f>
        <v>0</v>
      </c>
      <c r="AU125" s="7">
        <f>IF(K125=VLOOKUP(VALUE(K$1),Questions!$A:$E,5,FALSE),1,0)</f>
        <v>0</v>
      </c>
      <c r="AV125" s="7">
        <f>IF(L125=VLOOKUP(VALUE(L$1),Questions!$A:$E,5,FALSE),1,0)</f>
        <v>1</v>
      </c>
      <c r="AW125" s="7">
        <f>IF(M125=VLOOKUP(VALUE(M$1),Questions!$A:$E,5,FALSE),1,0)</f>
        <v>1</v>
      </c>
      <c r="AX125" s="7">
        <f>IF(N125=VLOOKUP(VALUE(N$1),Questions!$A:$E,5,FALSE),1,0)</f>
        <v>0</v>
      </c>
      <c r="AY125" s="7">
        <f>IF(O125=VLOOKUP(VALUE(O$1),Questions!$A:$E,5,FALSE),1,0)</f>
        <v>0</v>
      </c>
      <c r="AZ125" s="7">
        <f>IF(P125=VLOOKUP(VALUE(P$1),Questions!$A:$E,5,FALSE),1,0)</f>
        <v>0</v>
      </c>
      <c r="BA125" s="7">
        <f>IF(Q125=VLOOKUP(VALUE(Q$1),Questions!$A:$E,5,FALSE),1,0)</f>
        <v>0</v>
      </c>
      <c r="BB125" s="7">
        <f>IF(R125=VLOOKUP(VALUE(R$1),Questions!$A:$E,5,FALSE),1,0)</f>
        <v>0</v>
      </c>
      <c r="BC125" s="7">
        <f>IF(S125=VLOOKUP(VALUE(S$1),Questions!$A:$E,5,FALSE),1,0)</f>
        <v>0</v>
      </c>
      <c r="BD125" s="7">
        <f>IF(T125=VLOOKUP(VALUE(T$1),Questions!$A:$E,5,FALSE),1,0)</f>
        <v>0</v>
      </c>
      <c r="BE125" s="7">
        <f>IF(U125=VLOOKUP(VALUE(U$1),Questions!$A:$E,5,FALSE),1,0)</f>
        <v>1</v>
      </c>
      <c r="BF125" s="7">
        <f>IF(V125=VLOOKUP(VALUE(V$1),Questions!$A:$E,5,FALSE),1,0)</f>
        <v>0</v>
      </c>
      <c r="BG125" s="7">
        <f>IF(W125=VLOOKUP(VALUE(W$1),Questions!$A:$E,5,FALSE),1,0)</f>
        <v>0</v>
      </c>
      <c r="BH125" s="7">
        <f>IF(X125=VLOOKUP(VALUE(X$1),Questions!$A:$E,5,FALSE),1,0)</f>
        <v>0</v>
      </c>
      <c r="BI125" s="7">
        <f>IF(Y125=VLOOKUP(VALUE(Y$1),Questions!$A:$E,5,FALSE),1,0)</f>
        <v>1</v>
      </c>
      <c r="BJ125" s="7">
        <f>IF(Z125=VLOOKUP(VALUE(Z$1),Questions!$A:$E,5,FALSE),1,0)</f>
        <v>1</v>
      </c>
      <c r="BK125" s="7">
        <f>IF(AA125=VLOOKUP(VALUE(AA$1),Questions!$A:$E,5,FALSE),1,0)</f>
        <v>0</v>
      </c>
      <c r="BL125" s="7">
        <f>IF(AB125=VLOOKUP(VALUE(AB$1),Questions!$A:$E,5,FALSE),1,0)</f>
        <v>0</v>
      </c>
      <c r="BM125" s="7">
        <f>IF(AC125=VLOOKUP(VALUE(AC$1),Questions!$A:$E,5,FALSE),1,0)</f>
        <v>0</v>
      </c>
      <c r="BN125" s="7">
        <f>IF(AD125=VLOOKUP(VALUE(AD$1),Questions!$A:$E,5,FALSE),1,0)</f>
        <v>1</v>
      </c>
      <c r="BO125" s="7">
        <f>IF(AE125=VLOOKUP(VALUE(AE$1),Questions!$A:$E,5,FALSE),1,0)</f>
        <v>1</v>
      </c>
      <c r="BP125" s="7">
        <f>IF(AF125=VLOOKUP(VALUE(AF$1),Questions!$A:$E,5,FALSE),1,0)</f>
        <v>0</v>
      </c>
      <c r="BQ125" s="7">
        <f>IF(AG125=VLOOKUP(VALUE(AG$1),Questions!$A:$E,5,FALSE),1,0)</f>
        <v>0</v>
      </c>
      <c r="BR125" s="7">
        <f>IF(AH125=VLOOKUP(VALUE(AH$1),Questions!$A:$E,5,FALSE),1,0)</f>
        <v>0</v>
      </c>
      <c r="BS125" s="7">
        <f>IF(AI125=VLOOKUP(VALUE(AI$1),Questions!$A:$E,5,FALSE),1,0)</f>
        <v>0</v>
      </c>
    </row>
    <row r="126" spans="1:71">
      <c r="A126" s="10">
        <v>125</v>
      </c>
      <c r="B126" s="14" t="b">
        <v>0</v>
      </c>
      <c r="C126" s="14" t="b">
        <v>0</v>
      </c>
      <c r="D126" s="102">
        <f>SUM(Scores[[#This Row],[Q1]:[Q28]])</f>
        <v>22</v>
      </c>
      <c r="E126" s="103">
        <f>SUM(Scores[[#This Row],[29]:[34b]])</f>
        <v>0</v>
      </c>
      <c r="F126" s="103">
        <f>Scores[[#This Row],[35]]</f>
        <v>0</v>
      </c>
      <c r="G126" s="104">
        <f>INDEX('Conversion Chart'!$C$3:$M$38,MATCH(SUM(Scores[[#This Row],[MC]:[CRQ]]),'Conversion Chart'!$B$3:$B$38,0),MATCH(Scores[[#This Row],[EIE]],'Conversion Chart'!$C$2:$M$2,0))</f>
        <v>57</v>
      </c>
      <c r="H126" s="5">
        <v>4</v>
      </c>
      <c r="I126" s="5">
        <v>3</v>
      </c>
      <c r="J126" s="5">
        <v>1</v>
      </c>
      <c r="K126" s="5">
        <v>2</v>
      </c>
      <c r="L126" s="5">
        <v>2</v>
      </c>
      <c r="M126" s="5">
        <v>4</v>
      </c>
      <c r="N126" s="5">
        <v>3</v>
      </c>
      <c r="O126" s="5">
        <v>1</v>
      </c>
      <c r="P126" s="5">
        <v>1</v>
      </c>
      <c r="Q126" s="5">
        <v>1</v>
      </c>
      <c r="R126" s="5">
        <v>4</v>
      </c>
      <c r="S126" s="5">
        <v>2</v>
      </c>
      <c r="T126" s="5">
        <v>1</v>
      </c>
      <c r="U126" s="5">
        <v>4</v>
      </c>
      <c r="V126" s="5">
        <v>3</v>
      </c>
      <c r="W126" s="5">
        <v>2</v>
      </c>
      <c r="X126" s="5">
        <v>2</v>
      </c>
      <c r="Y126" s="5">
        <v>3</v>
      </c>
      <c r="Z126" s="5">
        <v>1</v>
      </c>
      <c r="AA126" s="5">
        <v>3</v>
      </c>
      <c r="AB126" s="5">
        <v>2</v>
      </c>
      <c r="AC126" s="5">
        <v>1</v>
      </c>
      <c r="AD126" s="5">
        <v>4</v>
      </c>
      <c r="AE126" s="5">
        <v>2</v>
      </c>
      <c r="AF126" s="5">
        <v>3</v>
      </c>
      <c r="AG126" s="5">
        <v>2</v>
      </c>
      <c r="AH126" s="5">
        <v>1</v>
      </c>
      <c r="AI126" s="104">
        <v>4</v>
      </c>
      <c r="AJ126" s="95"/>
      <c r="AK126" s="84"/>
      <c r="AL126" s="84"/>
      <c r="AM126" s="84"/>
      <c r="AN126" s="84"/>
      <c r="AO126" s="84"/>
      <c r="AP126" s="94"/>
      <c r="AR126" s="7">
        <f>IF(H126=VLOOKUP(VALUE(H$1),Questions!$A:$E,5,FALSE),1,0)</f>
        <v>1</v>
      </c>
      <c r="AS126" s="7">
        <f>IF(I126=VLOOKUP(VALUE(I$1),Questions!$A:$E,5,FALSE),1,0)</f>
        <v>1</v>
      </c>
      <c r="AT126" s="7">
        <f>IF(J126=VLOOKUP(VALUE(J$1),Questions!$A:$E,5,FALSE),1,0)</f>
        <v>1</v>
      </c>
      <c r="AU126" s="7">
        <f>IF(K126=VLOOKUP(VALUE(K$1),Questions!$A:$E,5,FALSE),1,0)</f>
        <v>1</v>
      </c>
      <c r="AV126" s="7">
        <f>IF(L126=VLOOKUP(VALUE(L$1),Questions!$A:$E,5,FALSE),1,0)</f>
        <v>1</v>
      </c>
      <c r="AW126" s="7">
        <f>IF(M126=VLOOKUP(VALUE(M$1),Questions!$A:$E,5,FALSE),1,0)</f>
        <v>1</v>
      </c>
      <c r="AX126" s="7">
        <f>IF(N126=VLOOKUP(VALUE(N$1),Questions!$A:$E,5,FALSE),1,0)</f>
        <v>1</v>
      </c>
      <c r="AY126" s="7">
        <f>IF(O126=VLOOKUP(VALUE(O$1),Questions!$A:$E,5,FALSE),1,0)</f>
        <v>1</v>
      </c>
      <c r="AZ126" s="7">
        <f>IF(P126=VLOOKUP(VALUE(P$1),Questions!$A:$E,5,FALSE),1,0)</f>
        <v>1</v>
      </c>
      <c r="BA126" s="7">
        <f>IF(Q126=VLOOKUP(VALUE(Q$1),Questions!$A:$E,5,FALSE),1,0)</f>
        <v>1</v>
      </c>
      <c r="BB126" s="7">
        <f>IF(R126=VLOOKUP(VALUE(R$1),Questions!$A:$E,5,FALSE),1,0)</f>
        <v>1</v>
      </c>
      <c r="BC126" s="7">
        <f>IF(S126=VLOOKUP(VALUE(S$1),Questions!$A:$E,5,FALSE),1,0)</f>
        <v>1</v>
      </c>
      <c r="BD126" s="7">
        <f>IF(T126=VLOOKUP(VALUE(T$1),Questions!$A:$E,5,FALSE),1,0)</f>
        <v>1</v>
      </c>
      <c r="BE126" s="7">
        <f>IF(U126=VLOOKUP(VALUE(U$1),Questions!$A:$E,5,FALSE),1,0)</f>
        <v>1</v>
      </c>
      <c r="BF126" s="7">
        <f>IF(V126=VLOOKUP(VALUE(V$1),Questions!$A:$E,5,FALSE),1,0)</f>
        <v>1</v>
      </c>
      <c r="BG126" s="7">
        <f>IF(W126=VLOOKUP(VALUE(W$1),Questions!$A:$E,5,FALSE),1,0)</f>
        <v>0</v>
      </c>
      <c r="BH126" s="7">
        <f>IF(X126=VLOOKUP(VALUE(X$1),Questions!$A:$E,5,FALSE),1,0)</f>
        <v>1</v>
      </c>
      <c r="BI126" s="7">
        <f>IF(Y126=VLOOKUP(VALUE(Y$1),Questions!$A:$E,5,FALSE),1,0)</f>
        <v>1</v>
      </c>
      <c r="BJ126" s="7">
        <f>IF(Z126=VLOOKUP(VALUE(Z$1),Questions!$A:$E,5,FALSE),1,0)</f>
        <v>0</v>
      </c>
      <c r="BK126" s="7">
        <f>IF(AA126=VLOOKUP(VALUE(AA$1),Questions!$A:$E,5,FALSE),1,0)</f>
        <v>1</v>
      </c>
      <c r="BL126" s="7">
        <f>IF(AB126=VLOOKUP(VALUE(AB$1),Questions!$A:$E,5,FALSE),1,0)</f>
        <v>1</v>
      </c>
      <c r="BM126" s="7">
        <f>IF(AC126=VLOOKUP(VALUE(AC$1),Questions!$A:$E,5,FALSE),1,0)</f>
        <v>1</v>
      </c>
      <c r="BN126" s="7">
        <f>IF(AD126=VLOOKUP(VALUE(AD$1),Questions!$A:$E,5,FALSE),1,0)</f>
        <v>0</v>
      </c>
      <c r="BO126" s="7">
        <f>IF(AE126=VLOOKUP(VALUE(AE$1),Questions!$A:$E,5,FALSE),1,0)</f>
        <v>1</v>
      </c>
      <c r="BP126" s="7">
        <f>IF(AF126=VLOOKUP(VALUE(AF$1),Questions!$A:$E,5,FALSE),1,0)</f>
        <v>0</v>
      </c>
      <c r="BQ126" s="7">
        <f>IF(AG126=VLOOKUP(VALUE(AG$1),Questions!$A:$E,5,FALSE),1,0)</f>
        <v>0</v>
      </c>
      <c r="BR126" s="7">
        <f>IF(AH126=VLOOKUP(VALUE(AH$1),Questions!$A:$E,5,FALSE),1,0)</f>
        <v>1</v>
      </c>
      <c r="BS126" s="7">
        <f>IF(AI126=VLOOKUP(VALUE(AI$1),Questions!$A:$E,5,FALSE),1,0)</f>
        <v>0</v>
      </c>
    </row>
    <row r="127" spans="1:71">
      <c r="A127" s="10">
        <v>126</v>
      </c>
      <c r="B127" s="14" t="b">
        <v>0</v>
      </c>
      <c r="C127" s="14" t="b">
        <v>1</v>
      </c>
      <c r="D127" s="102">
        <f>SUM(Scores[[#This Row],[Q1]:[Q28]])</f>
        <v>22</v>
      </c>
      <c r="E127" s="103">
        <f>SUM(Scores[[#This Row],[29]:[34b]])</f>
        <v>0</v>
      </c>
      <c r="F127" s="103">
        <f>Scores[[#This Row],[35]]</f>
        <v>0</v>
      </c>
      <c r="G127" s="104">
        <f>INDEX('Conversion Chart'!$C$3:$M$38,MATCH(SUM(Scores[[#This Row],[MC]:[CRQ]]),'Conversion Chart'!$B$3:$B$38,0),MATCH(Scores[[#This Row],[EIE]],'Conversion Chart'!$C$2:$M$2,0))</f>
        <v>57</v>
      </c>
      <c r="H127" s="5">
        <v>4</v>
      </c>
      <c r="I127" s="5">
        <v>3</v>
      </c>
      <c r="J127" s="5">
        <v>1</v>
      </c>
      <c r="K127" s="5">
        <v>2</v>
      </c>
      <c r="L127" s="5">
        <v>2</v>
      </c>
      <c r="M127" s="5">
        <v>4</v>
      </c>
      <c r="N127" s="5">
        <v>3</v>
      </c>
      <c r="O127" s="5">
        <v>1</v>
      </c>
      <c r="P127" s="5">
        <v>1</v>
      </c>
      <c r="Q127" s="5">
        <v>4</v>
      </c>
      <c r="R127" s="5">
        <v>4</v>
      </c>
      <c r="S127" s="5">
        <v>4</v>
      </c>
      <c r="T127" s="5">
        <v>1</v>
      </c>
      <c r="U127" s="5">
        <v>4</v>
      </c>
      <c r="V127" s="5">
        <v>3</v>
      </c>
      <c r="W127" s="5">
        <v>1</v>
      </c>
      <c r="X127" s="5">
        <v>2</v>
      </c>
      <c r="Y127" s="5">
        <v>3</v>
      </c>
      <c r="Z127" s="5">
        <v>2</v>
      </c>
      <c r="AA127" s="5">
        <v>1</v>
      </c>
      <c r="AB127" s="5">
        <v>2</v>
      </c>
      <c r="AC127" s="5">
        <v>1</v>
      </c>
      <c r="AD127" s="5">
        <v>1</v>
      </c>
      <c r="AE127" s="5">
        <v>2</v>
      </c>
      <c r="AF127" s="5">
        <v>4</v>
      </c>
      <c r="AG127" s="5">
        <v>3</v>
      </c>
      <c r="AH127" s="5">
        <v>4</v>
      </c>
      <c r="AI127" s="104">
        <v>1</v>
      </c>
      <c r="AJ127" s="95"/>
      <c r="AK127" s="84"/>
      <c r="AL127" s="84"/>
      <c r="AM127" s="84"/>
      <c r="AN127" s="84"/>
      <c r="AO127" s="84"/>
      <c r="AP127" s="94"/>
      <c r="AR127" s="7">
        <f>IF(H127=VLOOKUP(VALUE(H$1),Questions!$A:$E,5,FALSE),1,0)</f>
        <v>1</v>
      </c>
      <c r="AS127" s="7">
        <f>IF(I127=VLOOKUP(VALUE(I$1),Questions!$A:$E,5,FALSE),1,0)</f>
        <v>1</v>
      </c>
      <c r="AT127" s="7">
        <f>IF(J127=VLOOKUP(VALUE(J$1),Questions!$A:$E,5,FALSE),1,0)</f>
        <v>1</v>
      </c>
      <c r="AU127" s="7">
        <f>IF(K127=VLOOKUP(VALUE(K$1),Questions!$A:$E,5,FALSE),1,0)</f>
        <v>1</v>
      </c>
      <c r="AV127" s="7">
        <f>IF(L127=VLOOKUP(VALUE(L$1),Questions!$A:$E,5,FALSE),1,0)</f>
        <v>1</v>
      </c>
      <c r="AW127" s="7">
        <f>IF(M127=VLOOKUP(VALUE(M$1),Questions!$A:$E,5,FALSE),1,0)</f>
        <v>1</v>
      </c>
      <c r="AX127" s="7">
        <f>IF(N127=VLOOKUP(VALUE(N$1),Questions!$A:$E,5,FALSE),1,0)</f>
        <v>1</v>
      </c>
      <c r="AY127" s="7">
        <f>IF(O127=VLOOKUP(VALUE(O$1),Questions!$A:$E,5,FALSE),1,0)</f>
        <v>1</v>
      </c>
      <c r="AZ127" s="7">
        <f>IF(P127=VLOOKUP(VALUE(P$1),Questions!$A:$E,5,FALSE),1,0)</f>
        <v>1</v>
      </c>
      <c r="BA127" s="7">
        <f>IF(Q127=VLOOKUP(VALUE(Q$1),Questions!$A:$E,5,FALSE),1,0)</f>
        <v>0</v>
      </c>
      <c r="BB127" s="7">
        <f>IF(R127=VLOOKUP(VALUE(R$1),Questions!$A:$E,5,FALSE),1,0)</f>
        <v>1</v>
      </c>
      <c r="BC127" s="7">
        <f>IF(S127=VLOOKUP(VALUE(S$1),Questions!$A:$E,5,FALSE),1,0)</f>
        <v>0</v>
      </c>
      <c r="BD127" s="7">
        <f>IF(T127=VLOOKUP(VALUE(T$1),Questions!$A:$E,5,FALSE),1,0)</f>
        <v>1</v>
      </c>
      <c r="BE127" s="7">
        <f>IF(U127=VLOOKUP(VALUE(U$1),Questions!$A:$E,5,FALSE),1,0)</f>
        <v>1</v>
      </c>
      <c r="BF127" s="7">
        <f>IF(V127=VLOOKUP(VALUE(V$1),Questions!$A:$E,5,FALSE),1,0)</f>
        <v>1</v>
      </c>
      <c r="BG127" s="7">
        <f>IF(W127=VLOOKUP(VALUE(W$1),Questions!$A:$E,5,FALSE),1,0)</f>
        <v>0</v>
      </c>
      <c r="BH127" s="7">
        <f>IF(X127=VLOOKUP(VALUE(X$1),Questions!$A:$E,5,FALSE),1,0)</f>
        <v>1</v>
      </c>
      <c r="BI127" s="7">
        <f>IF(Y127=VLOOKUP(VALUE(Y$1),Questions!$A:$E,5,FALSE),1,0)</f>
        <v>1</v>
      </c>
      <c r="BJ127" s="7">
        <f>IF(Z127=VLOOKUP(VALUE(Z$1),Questions!$A:$E,5,FALSE),1,0)</f>
        <v>1</v>
      </c>
      <c r="BK127" s="7">
        <f>IF(AA127=VLOOKUP(VALUE(AA$1),Questions!$A:$E,5,FALSE),1,0)</f>
        <v>0</v>
      </c>
      <c r="BL127" s="7">
        <f>IF(AB127=VLOOKUP(VALUE(AB$1),Questions!$A:$E,5,FALSE),1,0)</f>
        <v>1</v>
      </c>
      <c r="BM127" s="7">
        <f>IF(AC127=VLOOKUP(VALUE(AC$1),Questions!$A:$E,5,FALSE),1,0)</f>
        <v>1</v>
      </c>
      <c r="BN127" s="7">
        <f>IF(AD127=VLOOKUP(VALUE(AD$1),Questions!$A:$E,5,FALSE),1,0)</f>
        <v>0</v>
      </c>
      <c r="BO127" s="7">
        <f>IF(AE127=VLOOKUP(VALUE(AE$1),Questions!$A:$E,5,FALSE),1,0)</f>
        <v>1</v>
      </c>
      <c r="BP127" s="7">
        <f>IF(AF127=VLOOKUP(VALUE(AF$1),Questions!$A:$E,5,FALSE),1,0)</f>
        <v>1</v>
      </c>
      <c r="BQ127" s="7">
        <f>IF(AG127=VLOOKUP(VALUE(AG$1),Questions!$A:$E,5,FALSE),1,0)</f>
        <v>1</v>
      </c>
      <c r="BR127" s="7">
        <f>IF(AH127=VLOOKUP(VALUE(AH$1),Questions!$A:$E,5,FALSE),1,0)</f>
        <v>0</v>
      </c>
      <c r="BS127" s="7">
        <f>IF(AI127=VLOOKUP(VALUE(AI$1),Questions!$A:$E,5,FALSE),1,0)</f>
        <v>1</v>
      </c>
    </row>
    <row r="128" spans="1:71">
      <c r="A128" s="10">
        <v>127</v>
      </c>
      <c r="B128" s="14" t="b">
        <v>0</v>
      </c>
      <c r="C128" s="14" t="b">
        <v>1</v>
      </c>
      <c r="D128" s="102">
        <f>SUM(Scores[[#This Row],[Q1]:[Q28]])</f>
        <v>22</v>
      </c>
      <c r="E128" s="103">
        <f>SUM(Scores[[#This Row],[29]:[34b]])</f>
        <v>0</v>
      </c>
      <c r="F128" s="103">
        <f>Scores[[#This Row],[35]]</f>
        <v>0</v>
      </c>
      <c r="G128" s="104">
        <f>INDEX('Conversion Chart'!$C$3:$M$38,MATCH(SUM(Scores[[#This Row],[MC]:[CRQ]]),'Conversion Chart'!$B$3:$B$38,0),MATCH(Scores[[#This Row],[EIE]],'Conversion Chart'!$C$2:$M$2,0))</f>
        <v>57</v>
      </c>
      <c r="H128" s="5">
        <v>4</v>
      </c>
      <c r="I128" s="5">
        <v>3</v>
      </c>
      <c r="J128" s="5">
        <v>1</v>
      </c>
      <c r="K128" s="5">
        <v>2</v>
      </c>
      <c r="L128" s="5">
        <v>2</v>
      </c>
      <c r="M128" s="5">
        <v>4</v>
      </c>
      <c r="N128" s="5">
        <v>3</v>
      </c>
      <c r="O128" s="5">
        <v>4</v>
      </c>
      <c r="P128" s="5">
        <v>1</v>
      </c>
      <c r="Q128" s="5">
        <v>1</v>
      </c>
      <c r="R128" s="5">
        <v>4</v>
      </c>
      <c r="S128" s="5">
        <v>3</v>
      </c>
      <c r="T128" s="5">
        <v>1</v>
      </c>
      <c r="U128" s="5">
        <v>4</v>
      </c>
      <c r="V128" s="5">
        <v>3</v>
      </c>
      <c r="W128" s="5">
        <v>4</v>
      </c>
      <c r="X128" s="5">
        <v>3</v>
      </c>
      <c r="Y128" s="5">
        <v>2</v>
      </c>
      <c r="Z128" s="5">
        <v>2</v>
      </c>
      <c r="AA128" s="5">
        <v>2</v>
      </c>
      <c r="AB128" s="5">
        <v>3</v>
      </c>
      <c r="AC128" s="5">
        <v>1</v>
      </c>
      <c r="AD128" s="5">
        <v>3</v>
      </c>
      <c r="AE128" s="5">
        <v>2</v>
      </c>
      <c r="AF128" s="5">
        <v>4</v>
      </c>
      <c r="AG128" s="5">
        <v>3</v>
      </c>
      <c r="AH128" s="5">
        <v>1</v>
      </c>
      <c r="AI128" s="104">
        <v>1</v>
      </c>
      <c r="AJ128" s="95"/>
      <c r="AK128" s="84"/>
      <c r="AL128" s="84"/>
      <c r="AM128" s="84"/>
      <c r="AN128" s="84"/>
      <c r="AO128" s="84"/>
      <c r="AP128" s="94"/>
      <c r="AR128" s="7">
        <f>IF(H128=VLOOKUP(VALUE(H$1),Questions!$A:$E,5,FALSE),1,0)</f>
        <v>1</v>
      </c>
      <c r="AS128" s="7">
        <f>IF(I128=VLOOKUP(VALUE(I$1),Questions!$A:$E,5,FALSE),1,0)</f>
        <v>1</v>
      </c>
      <c r="AT128" s="7">
        <f>IF(J128=VLOOKUP(VALUE(J$1),Questions!$A:$E,5,FALSE),1,0)</f>
        <v>1</v>
      </c>
      <c r="AU128" s="7">
        <f>IF(K128=VLOOKUP(VALUE(K$1),Questions!$A:$E,5,FALSE),1,0)</f>
        <v>1</v>
      </c>
      <c r="AV128" s="7">
        <f>IF(L128=VLOOKUP(VALUE(L$1),Questions!$A:$E,5,FALSE),1,0)</f>
        <v>1</v>
      </c>
      <c r="AW128" s="7">
        <f>IF(M128=VLOOKUP(VALUE(M$1),Questions!$A:$E,5,FALSE),1,0)</f>
        <v>1</v>
      </c>
      <c r="AX128" s="7">
        <f>IF(N128=VLOOKUP(VALUE(N$1),Questions!$A:$E,5,FALSE),1,0)</f>
        <v>1</v>
      </c>
      <c r="AY128" s="7">
        <f>IF(O128=VLOOKUP(VALUE(O$1),Questions!$A:$E,5,FALSE),1,0)</f>
        <v>0</v>
      </c>
      <c r="AZ128" s="7">
        <f>IF(P128=VLOOKUP(VALUE(P$1),Questions!$A:$E,5,FALSE),1,0)</f>
        <v>1</v>
      </c>
      <c r="BA128" s="7">
        <f>IF(Q128=VLOOKUP(VALUE(Q$1),Questions!$A:$E,5,FALSE),1,0)</f>
        <v>1</v>
      </c>
      <c r="BB128" s="7">
        <f>IF(R128=VLOOKUP(VALUE(R$1),Questions!$A:$E,5,FALSE),1,0)</f>
        <v>1</v>
      </c>
      <c r="BC128" s="7">
        <f>IF(S128=VLOOKUP(VALUE(S$1),Questions!$A:$E,5,FALSE),1,0)</f>
        <v>0</v>
      </c>
      <c r="BD128" s="7">
        <f>IF(T128=VLOOKUP(VALUE(T$1),Questions!$A:$E,5,FALSE),1,0)</f>
        <v>1</v>
      </c>
      <c r="BE128" s="7">
        <f>IF(U128=VLOOKUP(VALUE(U$1),Questions!$A:$E,5,FALSE),1,0)</f>
        <v>1</v>
      </c>
      <c r="BF128" s="7">
        <f>IF(V128=VLOOKUP(VALUE(V$1),Questions!$A:$E,5,FALSE),1,0)</f>
        <v>1</v>
      </c>
      <c r="BG128" s="7">
        <f>IF(W128=VLOOKUP(VALUE(W$1),Questions!$A:$E,5,FALSE),1,0)</f>
        <v>1</v>
      </c>
      <c r="BH128" s="7">
        <f>IF(X128=VLOOKUP(VALUE(X$1),Questions!$A:$E,5,FALSE),1,0)</f>
        <v>0</v>
      </c>
      <c r="BI128" s="7">
        <f>IF(Y128=VLOOKUP(VALUE(Y$1),Questions!$A:$E,5,FALSE),1,0)</f>
        <v>0</v>
      </c>
      <c r="BJ128" s="7">
        <f>IF(Z128=VLOOKUP(VALUE(Z$1),Questions!$A:$E,5,FALSE),1,0)</f>
        <v>1</v>
      </c>
      <c r="BK128" s="7">
        <f>IF(AA128=VLOOKUP(VALUE(AA$1),Questions!$A:$E,5,FALSE),1,0)</f>
        <v>0</v>
      </c>
      <c r="BL128" s="7">
        <f>IF(AB128=VLOOKUP(VALUE(AB$1),Questions!$A:$E,5,FALSE),1,0)</f>
        <v>0</v>
      </c>
      <c r="BM128" s="7">
        <f>IF(AC128=VLOOKUP(VALUE(AC$1),Questions!$A:$E,5,FALSE),1,0)</f>
        <v>1</v>
      </c>
      <c r="BN128" s="7">
        <f>IF(AD128=VLOOKUP(VALUE(AD$1),Questions!$A:$E,5,FALSE),1,0)</f>
        <v>1</v>
      </c>
      <c r="BO128" s="7">
        <f>IF(AE128=VLOOKUP(VALUE(AE$1),Questions!$A:$E,5,FALSE),1,0)</f>
        <v>1</v>
      </c>
      <c r="BP128" s="7">
        <f>IF(AF128=VLOOKUP(VALUE(AF$1),Questions!$A:$E,5,FALSE),1,0)</f>
        <v>1</v>
      </c>
      <c r="BQ128" s="7">
        <f>IF(AG128=VLOOKUP(VALUE(AG$1),Questions!$A:$E,5,FALSE),1,0)</f>
        <v>1</v>
      </c>
      <c r="BR128" s="7">
        <f>IF(AH128=VLOOKUP(VALUE(AH$1),Questions!$A:$E,5,FALSE),1,0)</f>
        <v>1</v>
      </c>
      <c r="BS128" s="7">
        <f>IF(AI128=VLOOKUP(VALUE(AI$1),Questions!$A:$E,5,FALSE),1,0)</f>
        <v>1</v>
      </c>
    </row>
    <row r="129" spans="1:71">
      <c r="A129" s="10">
        <v>128</v>
      </c>
      <c r="B129" s="14" t="b">
        <v>0</v>
      </c>
      <c r="C129" s="14" t="b">
        <v>0</v>
      </c>
      <c r="D129" s="102">
        <f>SUM(Scores[[#This Row],[Q1]:[Q28]])</f>
        <v>6</v>
      </c>
      <c r="E129" s="103">
        <f>SUM(Scores[[#This Row],[29]:[34b]])</f>
        <v>0</v>
      </c>
      <c r="F129" s="103">
        <f>Scores[[#This Row],[35]]</f>
        <v>0</v>
      </c>
      <c r="G129" s="104">
        <f>INDEX('Conversion Chart'!$C$3:$M$38,MATCH(SUM(Scores[[#This Row],[MC]:[CRQ]]),'Conversion Chart'!$B$3:$B$38,0),MATCH(Scores[[#This Row],[EIE]],'Conversion Chart'!$C$2:$M$2,0))</f>
        <v>19</v>
      </c>
      <c r="H129" s="5">
        <v>3</v>
      </c>
      <c r="I129" s="5">
        <v>2</v>
      </c>
      <c r="J129" s="5">
        <v>1</v>
      </c>
      <c r="K129" s="5">
        <v>4</v>
      </c>
      <c r="L129" s="5">
        <v>4</v>
      </c>
      <c r="M129" s="5">
        <v>3</v>
      </c>
      <c r="N129" s="5">
        <v>3</v>
      </c>
      <c r="O129" s="5">
        <v>1</v>
      </c>
      <c r="P129" s="5">
        <v>3</v>
      </c>
      <c r="Q129" s="5">
        <v>4</v>
      </c>
      <c r="R129" s="5">
        <v>1</v>
      </c>
      <c r="S129" s="5">
        <v>3</v>
      </c>
      <c r="T129" s="5">
        <v>2</v>
      </c>
      <c r="U129" s="5">
        <v>1</v>
      </c>
      <c r="V129" s="5">
        <v>4</v>
      </c>
      <c r="W129" s="5">
        <v>1</v>
      </c>
      <c r="X129" s="5">
        <v>4</v>
      </c>
      <c r="Y129" s="5">
        <v>3</v>
      </c>
      <c r="Z129" s="5">
        <v>4</v>
      </c>
      <c r="AA129" s="5">
        <v>2</v>
      </c>
      <c r="AB129" s="5">
        <v>1</v>
      </c>
      <c r="AC129" s="5">
        <v>4</v>
      </c>
      <c r="AD129" s="5">
        <v>3</v>
      </c>
      <c r="AE129" s="5">
        <v>2</v>
      </c>
      <c r="AF129" s="5">
        <v>1</v>
      </c>
      <c r="AG129" s="5">
        <v>2</v>
      </c>
      <c r="AH129" s="5">
        <v>2</v>
      </c>
      <c r="AI129" s="104">
        <v>3</v>
      </c>
      <c r="AJ129" s="95"/>
      <c r="AK129" s="84"/>
      <c r="AL129" s="84"/>
      <c r="AM129" s="84"/>
      <c r="AN129" s="84"/>
      <c r="AO129" s="84"/>
      <c r="AP129" s="94"/>
      <c r="AR129" s="7">
        <f>IF(H129=VLOOKUP(VALUE(H$1),Questions!$A:$E,5,FALSE),1,0)</f>
        <v>0</v>
      </c>
      <c r="AS129" s="7">
        <f>IF(I129=VLOOKUP(VALUE(I$1),Questions!$A:$E,5,FALSE),1,0)</f>
        <v>0</v>
      </c>
      <c r="AT129" s="7">
        <f>IF(J129=VLOOKUP(VALUE(J$1),Questions!$A:$E,5,FALSE),1,0)</f>
        <v>1</v>
      </c>
      <c r="AU129" s="7">
        <f>IF(K129=VLOOKUP(VALUE(K$1),Questions!$A:$E,5,FALSE),1,0)</f>
        <v>0</v>
      </c>
      <c r="AV129" s="7">
        <f>IF(L129=VLOOKUP(VALUE(L$1),Questions!$A:$E,5,FALSE),1,0)</f>
        <v>0</v>
      </c>
      <c r="AW129" s="7">
        <f>IF(M129=VLOOKUP(VALUE(M$1),Questions!$A:$E,5,FALSE),1,0)</f>
        <v>0</v>
      </c>
      <c r="AX129" s="7">
        <f>IF(N129=VLOOKUP(VALUE(N$1),Questions!$A:$E,5,FALSE),1,0)</f>
        <v>1</v>
      </c>
      <c r="AY129" s="7">
        <f>IF(O129=VLOOKUP(VALUE(O$1),Questions!$A:$E,5,FALSE),1,0)</f>
        <v>1</v>
      </c>
      <c r="AZ129" s="7">
        <f>IF(P129=VLOOKUP(VALUE(P$1),Questions!$A:$E,5,FALSE),1,0)</f>
        <v>0</v>
      </c>
      <c r="BA129" s="7">
        <f>IF(Q129=VLOOKUP(VALUE(Q$1),Questions!$A:$E,5,FALSE),1,0)</f>
        <v>0</v>
      </c>
      <c r="BB129" s="7">
        <f>IF(R129=VLOOKUP(VALUE(R$1),Questions!$A:$E,5,FALSE),1,0)</f>
        <v>0</v>
      </c>
      <c r="BC129" s="7">
        <f>IF(S129=VLOOKUP(VALUE(S$1),Questions!$A:$E,5,FALSE),1,0)</f>
        <v>0</v>
      </c>
      <c r="BD129" s="7">
        <f>IF(T129=VLOOKUP(VALUE(T$1),Questions!$A:$E,5,FALSE),1,0)</f>
        <v>0</v>
      </c>
      <c r="BE129" s="7">
        <f>IF(U129=VLOOKUP(VALUE(U$1),Questions!$A:$E,5,FALSE),1,0)</f>
        <v>0</v>
      </c>
      <c r="BF129" s="7">
        <f>IF(V129=VLOOKUP(VALUE(V$1),Questions!$A:$E,5,FALSE),1,0)</f>
        <v>0</v>
      </c>
      <c r="BG129" s="7">
        <f>IF(W129=VLOOKUP(VALUE(W$1),Questions!$A:$E,5,FALSE),1,0)</f>
        <v>0</v>
      </c>
      <c r="BH129" s="7">
        <f>IF(X129=VLOOKUP(VALUE(X$1),Questions!$A:$E,5,FALSE),1,0)</f>
        <v>0</v>
      </c>
      <c r="BI129" s="7">
        <f>IF(Y129=VLOOKUP(VALUE(Y$1),Questions!$A:$E,5,FALSE),1,0)</f>
        <v>1</v>
      </c>
      <c r="BJ129" s="7">
        <f>IF(Z129=VLOOKUP(VALUE(Z$1),Questions!$A:$E,5,FALSE),1,0)</f>
        <v>0</v>
      </c>
      <c r="BK129" s="7">
        <f>IF(AA129=VLOOKUP(VALUE(AA$1),Questions!$A:$E,5,FALSE),1,0)</f>
        <v>0</v>
      </c>
      <c r="BL129" s="7">
        <f>IF(AB129=VLOOKUP(VALUE(AB$1),Questions!$A:$E,5,FALSE),1,0)</f>
        <v>0</v>
      </c>
      <c r="BM129" s="7">
        <f>IF(AC129=VLOOKUP(VALUE(AC$1),Questions!$A:$E,5,FALSE),1,0)</f>
        <v>0</v>
      </c>
      <c r="BN129" s="7">
        <f>IF(AD129=VLOOKUP(VALUE(AD$1),Questions!$A:$E,5,FALSE),1,0)</f>
        <v>1</v>
      </c>
      <c r="BO129" s="7">
        <f>IF(AE129=VLOOKUP(VALUE(AE$1),Questions!$A:$E,5,FALSE),1,0)</f>
        <v>1</v>
      </c>
      <c r="BP129" s="7">
        <f>IF(AF129=VLOOKUP(VALUE(AF$1),Questions!$A:$E,5,FALSE),1,0)</f>
        <v>0</v>
      </c>
      <c r="BQ129" s="7">
        <f>IF(AG129=VLOOKUP(VALUE(AG$1),Questions!$A:$E,5,FALSE),1,0)</f>
        <v>0</v>
      </c>
      <c r="BR129" s="7">
        <f>IF(AH129=VLOOKUP(VALUE(AH$1),Questions!$A:$E,5,FALSE),1,0)</f>
        <v>0</v>
      </c>
      <c r="BS129" s="7">
        <f>IF(AI129=VLOOKUP(VALUE(AI$1),Questions!$A:$E,5,FALSE),1,0)</f>
        <v>0</v>
      </c>
    </row>
    <row r="130" spans="1:71">
      <c r="A130" s="10">
        <v>129</v>
      </c>
      <c r="B130" s="14" t="b">
        <v>0</v>
      </c>
      <c r="C130" s="14" t="b">
        <v>1</v>
      </c>
      <c r="D130" s="102">
        <f>SUM(Scores[[#This Row],[Q1]:[Q28]])</f>
        <v>17</v>
      </c>
      <c r="E130" s="103">
        <f>SUM(Scores[[#This Row],[29]:[34b]])</f>
        <v>0</v>
      </c>
      <c r="F130" s="103">
        <f>Scores[[#This Row],[35]]</f>
        <v>0</v>
      </c>
      <c r="G130" s="104">
        <f>INDEX('Conversion Chart'!$C$3:$M$38,MATCH(SUM(Scores[[#This Row],[MC]:[CRQ]]),'Conversion Chart'!$B$3:$B$38,0),MATCH(Scores[[#This Row],[EIE]],'Conversion Chart'!$C$2:$M$2,0))</f>
        <v>47</v>
      </c>
      <c r="H130" s="5">
        <v>4</v>
      </c>
      <c r="I130" s="5">
        <v>3</v>
      </c>
      <c r="J130" s="5">
        <v>1</v>
      </c>
      <c r="K130" s="5">
        <v>3</v>
      </c>
      <c r="L130" s="5">
        <v>1</v>
      </c>
      <c r="M130" s="5">
        <v>2</v>
      </c>
      <c r="N130" s="5">
        <v>3</v>
      </c>
      <c r="O130" s="5">
        <v>3</v>
      </c>
      <c r="P130" s="5">
        <v>1</v>
      </c>
      <c r="Q130" s="5">
        <v>3</v>
      </c>
      <c r="R130" s="5">
        <v>4</v>
      </c>
      <c r="S130" s="5">
        <v>2</v>
      </c>
      <c r="T130" s="5">
        <v>1</v>
      </c>
      <c r="U130" s="5">
        <v>4</v>
      </c>
      <c r="V130" s="5">
        <v>1</v>
      </c>
      <c r="W130" s="5">
        <v>1</v>
      </c>
      <c r="X130" s="5">
        <v>2</v>
      </c>
      <c r="Y130" s="5">
        <v>4</v>
      </c>
      <c r="Z130" s="5">
        <v>1</v>
      </c>
      <c r="AA130" s="5">
        <v>3</v>
      </c>
      <c r="AB130" s="5">
        <v>2</v>
      </c>
      <c r="AC130" s="5">
        <v>2</v>
      </c>
      <c r="AD130" s="5">
        <v>2</v>
      </c>
      <c r="AE130" s="5">
        <v>2</v>
      </c>
      <c r="AF130" s="5">
        <v>4</v>
      </c>
      <c r="AG130" s="5">
        <v>3</v>
      </c>
      <c r="AH130" s="5">
        <v>1</v>
      </c>
      <c r="AI130" s="104">
        <v>1</v>
      </c>
      <c r="AJ130" s="95"/>
      <c r="AK130" s="84"/>
      <c r="AL130" s="84"/>
      <c r="AM130" s="84"/>
      <c r="AN130" s="84"/>
      <c r="AO130" s="84"/>
      <c r="AP130" s="94"/>
      <c r="AR130" s="7">
        <f>IF(H130=VLOOKUP(VALUE(H$1),Questions!$A:$E,5,FALSE),1,0)</f>
        <v>1</v>
      </c>
      <c r="AS130" s="7">
        <f>IF(I130=VLOOKUP(VALUE(I$1),Questions!$A:$E,5,FALSE),1,0)</f>
        <v>1</v>
      </c>
      <c r="AT130" s="7">
        <f>IF(J130=VLOOKUP(VALUE(J$1),Questions!$A:$E,5,FALSE),1,0)</f>
        <v>1</v>
      </c>
      <c r="AU130" s="7">
        <f>IF(K130=VLOOKUP(VALUE(K$1),Questions!$A:$E,5,FALSE),1,0)</f>
        <v>0</v>
      </c>
      <c r="AV130" s="7">
        <f>IF(L130=VLOOKUP(VALUE(L$1),Questions!$A:$E,5,FALSE),1,0)</f>
        <v>0</v>
      </c>
      <c r="AW130" s="7">
        <f>IF(M130=VLOOKUP(VALUE(M$1),Questions!$A:$E,5,FALSE),1,0)</f>
        <v>0</v>
      </c>
      <c r="AX130" s="7">
        <f>IF(N130=VLOOKUP(VALUE(N$1),Questions!$A:$E,5,FALSE),1,0)</f>
        <v>1</v>
      </c>
      <c r="AY130" s="7">
        <f>IF(O130=VLOOKUP(VALUE(O$1),Questions!$A:$E,5,FALSE),1,0)</f>
        <v>0</v>
      </c>
      <c r="AZ130" s="7">
        <f>IF(P130=VLOOKUP(VALUE(P$1),Questions!$A:$E,5,FALSE),1,0)</f>
        <v>1</v>
      </c>
      <c r="BA130" s="7">
        <f>IF(Q130=VLOOKUP(VALUE(Q$1),Questions!$A:$E,5,FALSE),1,0)</f>
        <v>0</v>
      </c>
      <c r="BB130" s="7">
        <f>IF(R130=VLOOKUP(VALUE(R$1),Questions!$A:$E,5,FALSE),1,0)</f>
        <v>1</v>
      </c>
      <c r="BC130" s="7">
        <f>IF(S130=VLOOKUP(VALUE(S$1),Questions!$A:$E,5,FALSE),1,0)</f>
        <v>1</v>
      </c>
      <c r="BD130" s="7">
        <f>IF(T130=VLOOKUP(VALUE(T$1),Questions!$A:$E,5,FALSE),1,0)</f>
        <v>1</v>
      </c>
      <c r="BE130" s="7">
        <f>IF(U130=VLOOKUP(VALUE(U$1),Questions!$A:$E,5,FALSE),1,0)</f>
        <v>1</v>
      </c>
      <c r="BF130" s="7">
        <f>IF(V130=VLOOKUP(VALUE(V$1),Questions!$A:$E,5,FALSE),1,0)</f>
        <v>0</v>
      </c>
      <c r="BG130" s="7">
        <f>IF(W130=VLOOKUP(VALUE(W$1),Questions!$A:$E,5,FALSE),1,0)</f>
        <v>0</v>
      </c>
      <c r="BH130" s="7">
        <f>IF(X130=VLOOKUP(VALUE(X$1),Questions!$A:$E,5,FALSE),1,0)</f>
        <v>1</v>
      </c>
      <c r="BI130" s="7">
        <f>IF(Y130=VLOOKUP(VALUE(Y$1),Questions!$A:$E,5,FALSE),1,0)</f>
        <v>0</v>
      </c>
      <c r="BJ130" s="7">
        <f>IF(Z130=VLOOKUP(VALUE(Z$1),Questions!$A:$E,5,FALSE),1,0)</f>
        <v>0</v>
      </c>
      <c r="BK130" s="7">
        <f>IF(AA130=VLOOKUP(VALUE(AA$1),Questions!$A:$E,5,FALSE),1,0)</f>
        <v>1</v>
      </c>
      <c r="BL130" s="7">
        <f>IF(AB130=VLOOKUP(VALUE(AB$1),Questions!$A:$E,5,FALSE),1,0)</f>
        <v>1</v>
      </c>
      <c r="BM130" s="7">
        <f>IF(AC130=VLOOKUP(VALUE(AC$1),Questions!$A:$E,5,FALSE),1,0)</f>
        <v>0</v>
      </c>
      <c r="BN130" s="7">
        <f>IF(AD130=VLOOKUP(VALUE(AD$1),Questions!$A:$E,5,FALSE),1,0)</f>
        <v>0</v>
      </c>
      <c r="BO130" s="7">
        <f>IF(AE130=VLOOKUP(VALUE(AE$1),Questions!$A:$E,5,FALSE),1,0)</f>
        <v>1</v>
      </c>
      <c r="BP130" s="7">
        <f>IF(AF130=VLOOKUP(VALUE(AF$1),Questions!$A:$E,5,FALSE),1,0)</f>
        <v>1</v>
      </c>
      <c r="BQ130" s="7">
        <f>IF(AG130=VLOOKUP(VALUE(AG$1),Questions!$A:$E,5,FALSE),1,0)</f>
        <v>1</v>
      </c>
      <c r="BR130" s="7">
        <f>IF(AH130=VLOOKUP(VALUE(AH$1),Questions!$A:$E,5,FALSE),1,0)</f>
        <v>1</v>
      </c>
      <c r="BS130" s="7">
        <f>IF(AI130=VLOOKUP(VALUE(AI$1),Questions!$A:$E,5,FALSE),1,0)</f>
        <v>1</v>
      </c>
    </row>
    <row r="131" spans="1:71">
      <c r="A131" s="10">
        <v>130</v>
      </c>
      <c r="B131" s="14" t="b">
        <v>0</v>
      </c>
      <c r="C131" s="14" t="b">
        <v>1</v>
      </c>
      <c r="D131" s="102">
        <f>SUM(Scores[[#This Row],[Q1]:[Q28]])</f>
        <v>7</v>
      </c>
      <c r="E131" s="103">
        <f>SUM(Scores[[#This Row],[29]:[34b]])</f>
        <v>0</v>
      </c>
      <c r="F131" s="103">
        <f>Scores[[#This Row],[35]]</f>
        <v>0</v>
      </c>
      <c r="G131" s="104">
        <f>INDEX('Conversion Chart'!$C$3:$M$38,MATCH(SUM(Scores[[#This Row],[MC]:[CRQ]]),'Conversion Chart'!$B$3:$B$38,0),MATCH(Scores[[#This Row],[EIE]],'Conversion Chart'!$C$2:$M$2,0))</f>
        <v>22</v>
      </c>
      <c r="H131" s="5">
        <v>4</v>
      </c>
      <c r="I131" s="5">
        <v>4</v>
      </c>
      <c r="J131" s="5">
        <v>1</v>
      </c>
      <c r="K131" s="5">
        <v>2</v>
      </c>
      <c r="L131" s="5">
        <v>3</v>
      </c>
      <c r="M131" s="5">
        <v>3</v>
      </c>
      <c r="N131" s="5">
        <v>3</v>
      </c>
      <c r="O131" s="5">
        <v>4</v>
      </c>
      <c r="P131" s="5">
        <v>4</v>
      </c>
      <c r="Q131" s="5">
        <v>3</v>
      </c>
      <c r="R131" s="5">
        <v>3</v>
      </c>
      <c r="S131" s="5">
        <v>1</v>
      </c>
      <c r="T131" s="5">
        <v>1</v>
      </c>
      <c r="U131" s="5">
        <v>2</v>
      </c>
      <c r="V131" s="5">
        <v>2</v>
      </c>
      <c r="W131" s="5">
        <v>4</v>
      </c>
      <c r="X131" s="5">
        <v>3</v>
      </c>
      <c r="Y131" s="5">
        <v>1</v>
      </c>
      <c r="Z131" s="5">
        <v>2</v>
      </c>
      <c r="AA131" s="5">
        <v>4</v>
      </c>
      <c r="AB131" s="5">
        <v>3</v>
      </c>
      <c r="AC131" s="5">
        <v>3</v>
      </c>
      <c r="AD131" s="5">
        <v>2</v>
      </c>
      <c r="AE131" s="5">
        <v>4</v>
      </c>
      <c r="AF131" s="5">
        <v>1</v>
      </c>
      <c r="AG131" s="5">
        <v>1</v>
      </c>
      <c r="AH131" s="5">
        <v>2</v>
      </c>
      <c r="AI131" s="104">
        <v>4</v>
      </c>
      <c r="AJ131" s="95"/>
      <c r="AK131" s="84"/>
      <c r="AL131" s="84"/>
      <c r="AM131" s="84"/>
      <c r="AN131" s="84"/>
      <c r="AO131" s="84"/>
      <c r="AP131" s="94"/>
      <c r="AR131" s="7">
        <f>IF(H131=VLOOKUP(VALUE(H$1),Questions!$A:$E,5,FALSE),1,0)</f>
        <v>1</v>
      </c>
      <c r="AS131" s="7">
        <f>IF(I131=VLOOKUP(VALUE(I$1),Questions!$A:$E,5,FALSE),1,0)</f>
        <v>0</v>
      </c>
      <c r="AT131" s="7">
        <f>IF(J131=VLOOKUP(VALUE(J$1),Questions!$A:$E,5,FALSE),1,0)</f>
        <v>1</v>
      </c>
      <c r="AU131" s="7">
        <f>IF(K131=VLOOKUP(VALUE(K$1),Questions!$A:$E,5,FALSE),1,0)</f>
        <v>1</v>
      </c>
      <c r="AV131" s="7">
        <f>IF(L131=VLOOKUP(VALUE(L$1),Questions!$A:$E,5,FALSE),1,0)</f>
        <v>0</v>
      </c>
      <c r="AW131" s="7">
        <f>IF(M131=VLOOKUP(VALUE(M$1),Questions!$A:$E,5,FALSE),1,0)</f>
        <v>0</v>
      </c>
      <c r="AX131" s="7">
        <f>IF(N131=VLOOKUP(VALUE(N$1),Questions!$A:$E,5,FALSE),1,0)</f>
        <v>1</v>
      </c>
      <c r="AY131" s="7">
        <f>IF(O131=VLOOKUP(VALUE(O$1),Questions!$A:$E,5,FALSE),1,0)</f>
        <v>0</v>
      </c>
      <c r="AZ131" s="7">
        <f>IF(P131=VLOOKUP(VALUE(P$1),Questions!$A:$E,5,FALSE),1,0)</f>
        <v>0</v>
      </c>
      <c r="BA131" s="7">
        <f>IF(Q131=VLOOKUP(VALUE(Q$1),Questions!$A:$E,5,FALSE),1,0)</f>
        <v>0</v>
      </c>
      <c r="BB131" s="7">
        <f>IF(R131=VLOOKUP(VALUE(R$1),Questions!$A:$E,5,FALSE),1,0)</f>
        <v>0</v>
      </c>
      <c r="BC131" s="7">
        <f>IF(S131=VLOOKUP(VALUE(S$1),Questions!$A:$E,5,FALSE),1,0)</f>
        <v>0</v>
      </c>
      <c r="BD131" s="7">
        <f>IF(T131=VLOOKUP(VALUE(T$1),Questions!$A:$E,5,FALSE),1,0)</f>
        <v>1</v>
      </c>
      <c r="BE131" s="7">
        <f>IF(U131=VLOOKUP(VALUE(U$1),Questions!$A:$E,5,FALSE),1,0)</f>
        <v>0</v>
      </c>
      <c r="BF131" s="7">
        <f>IF(V131=VLOOKUP(VALUE(V$1),Questions!$A:$E,5,FALSE),1,0)</f>
        <v>0</v>
      </c>
      <c r="BG131" s="7">
        <f>IF(W131=VLOOKUP(VALUE(W$1),Questions!$A:$E,5,FALSE),1,0)</f>
        <v>1</v>
      </c>
      <c r="BH131" s="7">
        <f>IF(X131=VLOOKUP(VALUE(X$1),Questions!$A:$E,5,FALSE),1,0)</f>
        <v>0</v>
      </c>
      <c r="BI131" s="7">
        <f>IF(Y131=VLOOKUP(VALUE(Y$1),Questions!$A:$E,5,FALSE),1,0)</f>
        <v>0</v>
      </c>
      <c r="BJ131" s="7">
        <f>IF(Z131=VLOOKUP(VALUE(Z$1),Questions!$A:$E,5,FALSE),1,0)</f>
        <v>1</v>
      </c>
      <c r="BK131" s="7">
        <f>IF(AA131=VLOOKUP(VALUE(AA$1),Questions!$A:$E,5,FALSE),1,0)</f>
        <v>0</v>
      </c>
      <c r="BL131" s="7">
        <f>IF(AB131=VLOOKUP(VALUE(AB$1),Questions!$A:$E,5,FALSE),1,0)</f>
        <v>0</v>
      </c>
      <c r="BM131" s="7">
        <f>IF(AC131=VLOOKUP(VALUE(AC$1),Questions!$A:$E,5,FALSE),1,0)</f>
        <v>0</v>
      </c>
      <c r="BN131" s="7">
        <f>IF(AD131=VLOOKUP(VALUE(AD$1),Questions!$A:$E,5,FALSE),1,0)</f>
        <v>0</v>
      </c>
      <c r="BO131" s="7">
        <f>IF(AE131=VLOOKUP(VALUE(AE$1),Questions!$A:$E,5,FALSE),1,0)</f>
        <v>0</v>
      </c>
      <c r="BP131" s="7">
        <f>IF(AF131=VLOOKUP(VALUE(AF$1),Questions!$A:$E,5,FALSE),1,0)</f>
        <v>0</v>
      </c>
      <c r="BQ131" s="7">
        <f>IF(AG131=VLOOKUP(VALUE(AG$1),Questions!$A:$E,5,FALSE),1,0)</f>
        <v>0</v>
      </c>
      <c r="BR131" s="7">
        <f>IF(AH131=VLOOKUP(VALUE(AH$1),Questions!$A:$E,5,FALSE),1,0)</f>
        <v>0</v>
      </c>
      <c r="BS131" s="7">
        <f>IF(AI131=VLOOKUP(VALUE(AI$1),Questions!$A:$E,5,FALSE),1,0)</f>
        <v>0</v>
      </c>
    </row>
    <row r="132" spans="1:71">
      <c r="A132" s="10">
        <v>131</v>
      </c>
      <c r="B132" s="14" t="b">
        <v>0</v>
      </c>
      <c r="C132" s="14" t="b">
        <v>0</v>
      </c>
      <c r="D132" s="102">
        <f>SUM(Scores[[#This Row],[Q1]:[Q28]])</f>
        <v>0</v>
      </c>
      <c r="E132" s="103">
        <f>SUM(Scores[[#This Row],[29]:[34b]])</f>
        <v>0</v>
      </c>
      <c r="F132" s="103">
        <f>Scores[[#This Row],[35]]</f>
        <v>0</v>
      </c>
      <c r="G132" s="104">
        <f>INDEX('Conversion Chart'!$C$3:$M$38,MATCH(SUM(Scores[[#This Row],[MC]:[CRQ]]),'Conversion Chart'!$B$3:$B$38,0),MATCH(Scores[[#This Row],[EIE]],'Conversion Chart'!$C$2:$M$2,0))</f>
        <v>0</v>
      </c>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104"/>
      <c r="AJ132" s="95"/>
      <c r="AK132" s="84"/>
      <c r="AL132" s="84"/>
      <c r="AM132" s="84"/>
      <c r="AN132" s="84"/>
      <c r="AO132" s="84"/>
      <c r="AP132" s="94"/>
      <c r="AR132" s="7">
        <f>IF(H132=VLOOKUP(VALUE(H$1),Questions!$A:$E,5,FALSE),1,0)</f>
        <v>0</v>
      </c>
      <c r="AS132" s="7">
        <f>IF(I132=VLOOKUP(VALUE(I$1),Questions!$A:$E,5,FALSE),1,0)</f>
        <v>0</v>
      </c>
      <c r="AT132" s="7">
        <f>IF(J132=VLOOKUP(VALUE(J$1),Questions!$A:$E,5,FALSE),1,0)</f>
        <v>0</v>
      </c>
      <c r="AU132" s="7">
        <f>IF(K132=VLOOKUP(VALUE(K$1),Questions!$A:$E,5,FALSE),1,0)</f>
        <v>0</v>
      </c>
      <c r="AV132" s="7">
        <f>IF(L132=VLOOKUP(VALUE(L$1),Questions!$A:$E,5,FALSE),1,0)</f>
        <v>0</v>
      </c>
      <c r="AW132" s="7">
        <f>IF(M132=VLOOKUP(VALUE(M$1),Questions!$A:$E,5,FALSE),1,0)</f>
        <v>0</v>
      </c>
      <c r="AX132" s="7">
        <f>IF(N132=VLOOKUP(VALUE(N$1),Questions!$A:$E,5,FALSE),1,0)</f>
        <v>0</v>
      </c>
      <c r="AY132" s="7">
        <f>IF(O132=VLOOKUP(VALUE(O$1),Questions!$A:$E,5,FALSE),1,0)</f>
        <v>0</v>
      </c>
      <c r="AZ132" s="7">
        <f>IF(P132=VLOOKUP(VALUE(P$1),Questions!$A:$E,5,FALSE),1,0)</f>
        <v>0</v>
      </c>
      <c r="BA132" s="7">
        <f>IF(Q132=VLOOKUP(VALUE(Q$1),Questions!$A:$E,5,FALSE),1,0)</f>
        <v>0</v>
      </c>
      <c r="BB132" s="7">
        <f>IF(R132=VLOOKUP(VALUE(R$1),Questions!$A:$E,5,FALSE),1,0)</f>
        <v>0</v>
      </c>
      <c r="BC132" s="7">
        <f>IF(S132=VLOOKUP(VALUE(S$1),Questions!$A:$E,5,FALSE),1,0)</f>
        <v>0</v>
      </c>
      <c r="BD132" s="7">
        <f>IF(T132=VLOOKUP(VALUE(T$1),Questions!$A:$E,5,FALSE),1,0)</f>
        <v>0</v>
      </c>
      <c r="BE132" s="7">
        <f>IF(U132=VLOOKUP(VALUE(U$1),Questions!$A:$E,5,FALSE),1,0)</f>
        <v>0</v>
      </c>
      <c r="BF132" s="7">
        <f>IF(V132=VLOOKUP(VALUE(V$1),Questions!$A:$E,5,FALSE),1,0)</f>
        <v>0</v>
      </c>
      <c r="BG132" s="7">
        <f>IF(W132=VLOOKUP(VALUE(W$1),Questions!$A:$E,5,FALSE),1,0)</f>
        <v>0</v>
      </c>
      <c r="BH132" s="7">
        <f>IF(X132=VLOOKUP(VALUE(X$1),Questions!$A:$E,5,FALSE),1,0)</f>
        <v>0</v>
      </c>
      <c r="BI132" s="7">
        <f>IF(Y132=VLOOKUP(VALUE(Y$1),Questions!$A:$E,5,FALSE),1,0)</f>
        <v>0</v>
      </c>
      <c r="BJ132" s="7">
        <f>IF(Z132=VLOOKUP(VALUE(Z$1),Questions!$A:$E,5,FALSE),1,0)</f>
        <v>0</v>
      </c>
      <c r="BK132" s="7">
        <f>IF(AA132=VLOOKUP(VALUE(AA$1),Questions!$A:$E,5,FALSE),1,0)</f>
        <v>0</v>
      </c>
      <c r="BL132" s="7">
        <f>IF(AB132=VLOOKUP(VALUE(AB$1),Questions!$A:$E,5,FALSE),1,0)</f>
        <v>0</v>
      </c>
      <c r="BM132" s="7">
        <f>IF(AC132=VLOOKUP(VALUE(AC$1),Questions!$A:$E,5,FALSE),1,0)</f>
        <v>0</v>
      </c>
      <c r="BN132" s="7">
        <f>IF(AD132=VLOOKUP(VALUE(AD$1),Questions!$A:$E,5,FALSE),1,0)</f>
        <v>0</v>
      </c>
      <c r="BO132" s="7">
        <f>IF(AE132=VLOOKUP(VALUE(AE$1),Questions!$A:$E,5,FALSE),1,0)</f>
        <v>0</v>
      </c>
      <c r="BP132" s="7">
        <f>IF(AF132=VLOOKUP(VALUE(AF$1),Questions!$A:$E,5,FALSE),1,0)</f>
        <v>0</v>
      </c>
      <c r="BQ132" s="7">
        <f>IF(AG132=VLOOKUP(VALUE(AG$1),Questions!$A:$E,5,FALSE),1,0)</f>
        <v>0</v>
      </c>
      <c r="BR132" s="7">
        <f>IF(AH132=VLOOKUP(VALUE(AH$1),Questions!$A:$E,5,FALSE),1,0)</f>
        <v>0</v>
      </c>
      <c r="BS132" s="7">
        <f>IF(AI132=VLOOKUP(VALUE(AI$1),Questions!$A:$E,5,FALSE),1,0)</f>
        <v>0</v>
      </c>
    </row>
    <row r="133" spans="1:71">
      <c r="A133" s="10">
        <v>132</v>
      </c>
      <c r="B133" s="14" t="b">
        <v>0</v>
      </c>
      <c r="C133" s="14" t="b">
        <v>0</v>
      </c>
      <c r="D133" s="102">
        <f>SUM(Scores[[#This Row],[Q1]:[Q28]])</f>
        <v>17</v>
      </c>
      <c r="E133" s="103">
        <f>SUM(Scores[[#This Row],[29]:[34b]])</f>
        <v>0</v>
      </c>
      <c r="F133" s="103">
        <f>Scores[[#This Row],[35]]</f>
        <v>0</v>
      </c>
      <c r="G133" s="104">
        <f>INDEX('Conversion Chart'!$C$3:$M$38,MATCH(SUM(Scores[[#This Row],[MC]:[CRQ]]),'Conversion Chart'!$B$3:$B$38,0),MATCH(Scores[[#This Row],[EIE]],'Conversion Chart'!$C$2:$M$2,0))</f>
        <v>47</v>
      </c>
      <c r="H133" s="5">
        <v>4</v>
      </c>
      <c r="I133" s="5">
        <v>3</v>
      </c>
      <c r="J133" s="5">
        <v>1</v>
      </c>
      <c r="K133" s="5">
        <v>3</v>
      </c>
      <c r="L133" s="5">
        <v>2</v>
      </c>
      <c r="M133" s="5">
        <v>4</v>
      </c>
      <c r="N133" s="5">
        <v>4</v>
      </c>
      <c r="O133" s="5">
        <v>3</v>
      </c>
      <c r="P133" s="5">
        <v>2</v>
      </c>
      <c r="Q133" s="5">
        <v>4</v>
      </c>
      <c r="R133" s="5">
        <v>4</v>
      </c>
      <c r="S133" s="5">
        <v>2</v>
      </c>
      <c r="T133" s="5">
        <v>1</v>
      </c>
      <c r="U133" s="5">
        <v>4</v>
      </c>
      <c r="V133" s="5">
        <v>3</v>
      </c>
      <c r="W133" s="5">
        <v>4</v>
      </c>
      <c r="X133" s="5">
        <v>2</v>
      </c>
      <c r="Y133" s="5">
        <v>4</v>
      </c>
      <c r="Z133" s="5">
        <v>4</v>
      </c>
      <c r="AA133" s="5">
        <v>4</v>
      </c>
      <c r="AB133" s="5">
        <v>2</v>
      </c>
      <c r="AC133" s="5">
        <v>4</v>
      </c>
      <c r="AD133" s="5">
        <v>2</v>
      </c>
      <c r="AE133" s="5">
        <v>2</v>
      </c>
      <c r="AF133" s="5">
        <v>4</v>
      </c>
      <c r="AG133" s="5">
        <v>2</v>
      </c>
      <c r="AH133" s="5">
        <v>1</v>
      </c>
      <c r="AI133" s="104">
        <v>1</v>
      </c>
      <c r="AJ133" s="95"/>
      <c r="AK133" s="84"/>
      <c r="AL133" s="84"/>
      <c r="AM133" s="84"/>
      <c r="AN133" s="84"/>
      <c r="AO133" s="84"/>
      <c r="AP133" s="94"/>
      <c r="AR133" s="7">
        <f>IF(H133=VLOOKUP(VALUE(H$1),Questions!$A:$E,5,FALSE),1,0)</f>
        <v>1</v>
      </c>
      <c r="AS133" s="7">
        <f>IF(I133=VLOOKUP(VALUE(I$1),Questions!$A:$E,5,FALSE),1,0)</f>
        <v>1</v>
      </c>
      <c r="AT133" s="7">
        <f>IF(J133=VLOOKUP(VALUE(J$1),Questions!$A:$E,5,FALSE),1,0)</f>
        <v>1</v>
      </c>
      <c r="AU133" s="7">
        <f>IF(K133=VLOOKUP(VALUE(K$1),Questions!$A:$E,5,FALSE),1,0)</f>
        <v>0</v>
      </c>
      <c r="AV133" s="7">
        <f>IF(L133=VLOOKUP(VALUE(L$1),Questions!$A:$E,5,FALSE),1,0)</f>
        <v>1</v>
      </c>
      <c r="AW133" s="7">
        <f>IF(M133=VLOOKUP(VALUE(M$1),Questions!$A:$E,5,FALSE),1,0)</f>
        <v>1</v>
      </c>
      <c r="AX133" s="7">
        <f>IF(N133=VLOOKUP(VALUE(N$1),Questions!$A:$E,5,FALSE),1,0)</f>
        <v>0</v>
      </c>
      <c r="AY133" s="7">
        <f>IF(O133=VLOOKUP(VALUE(O$1),Questions!$A:$E,5,FALSE),1,0)</f>
        <v>0</v>
      </c>
      <c r="AZ133" s="7">
        <f>IF(P133=VLOOKUP(VALUE(P$1),Questions!$A:$E,5,FALSE),1,0)</f>
        <v>0</v>
      </c>
      <c r="BA133" s="7">
        <f>IF(Q133=VLOOKUP(VALUE(Q$1),Questions!$A:$E,5,FALSE),1,0)</f>
        <v>0</v>
      </c>
      <c r="BB133" s="7">
        <f>IF(R133=VLOOKUP(VALUE(R$1),Questions!$A:$E,5,FALSE),1,0)</f>
        <v>1</v>
      </c>
      <c r="BC133" s="7">
        <f>IF(S133=VLOOKUP(VALUE(S$1),Questions!$A:$E,5,FALSE),1,0)</f>
        <v>1</v>
      </c>
      <c r="BD133" s="7">
        <f>IF(T133=VLOOKUP(VALUE(T$1),Questions!$A:$E,5,FALSE),1,0)</f>
        <v>1</v>
      </c>
      <c r="BE133" s="7">
        <f>IF(U133=VLOOKUP(VALUE(U$1),Questions!$A:$E,5,FALSE),1,0)</f>
        <v>1</v>
      </c>
      <c r="BF133" s="7">
        <f>IF(V133=VLOOKUP(VALUE(V$1),Questions!$A:$E,5,FALSE),1,0)</f>
        <v>1</v>
      </c>
      <c r="BG133" s="7">
        <f>IF(W133=VLOOKUP(VALUE(W$1),Questions!$A:$E,5,FALSE),1,0)</f>
        <v>1</v>
      </c>
      <c r="BH133" s="7">
        <f>IF(X133=VLOOKUP(VALUE(X$1),Questions!$A:$E,5,FALSE),1,0)</f>
        <v>1</v>
      </c>
      <c r="BI133" s="7">
        <f>IF(Y133=VLOOKUP(VALUE(Y$1),Questions!$A:$E,5,FALSE),1,0)</f>
        <v>0</v>
      </c>
      <c r="BJ133" s="7">
        <f>IF(Z133=VLOOKUP(VALUE(Z$1),Questions!$A:$E,5,FALSE),1,0)</f>
        <v>0</v>
      </c>
      <c r="BK133" s="7">
        <f>IF(AA133=VLOOKUP(VALUE(AA$1),Questions!$A:$E,5,FALSE),1,0)</f>
        <v>0</v>
      </c>
      <c r="BL133" s="7">
        <f>IF(AB133=VLOOKUP(VALUE(AB$1),Questions!$A:$E,5,FALSE),1,0)</f>
        <v>1</v>
      </c>
      <c r="BM133" s="7">
        <f>IF(AC133=VLOOKUP(VALUE(AC$1),Questions!$A:$E,5,FALSE),1,0)</f>
        <v>0</v>
      </c>
      <c r="BN133" s="7">
        <f>IF(AD133=VLOOKUP(VALUE(AD$1),Questions!$A:$E,5,FALSE),1,0)</f>
        <v>0</v>
      </c>
      <c r="BO133" s="7">
        <f>IF(AE133=VLOOKUP(VALUE(AE$1),Questions!$A:$E,5,FALSE),1,0)</f>
        <v>1</v>
      </c>
      <c r="BP133" s="7">
        <f>IF(AF133=VLOOKUP(VALUE(AF$1),Questions!$A:$E,5,FALSE),1,0)</f>
        <v>1</v>
      </c>
      <c r="BQ133" s="7">
        <f>IF(AG133=VLOOKUP(VALUE(AG$1),Questions!$A:$E,5,FALSE),1,0)</f>
        <v>0</v>
      </c>
      <c r="BR133" s="7">
        <f>IF(AH133=VLOOKUP(VALUE(AH$1),Questions!$A:$E,5,FALSE),1,0)</f>
        <v>1</v>
      </c>
      <c r="BS133" s="7">
        <f>IF(AI133=VLOOKUP(VALUE(AI$1),Questions!$A:$E,5,FALSE),1,0)</f>
        <v>1</v>
      </c>
    </row>
    <row r="134" spans="1:71">
      <c r="A134" s="10">
        <v>133</v>
      </c>
      <c r="B134" s="14" t="b">
        <v>0</v>
      </c>
      <c r="C134" s="14" t="b">
        <v>0</v>
      </c>
      <c r="D134" s="102">
        <f>SUM(Scores[[#This Row],[Q1]:[Q28]])</f>
        <v>24</v>
      </c>
      <c r="E134" s="103">
        <f>SUM(Scores[[#This Row],[29]:[34b]])</f>
        <v>0</v>
      </c>
      <c r="F134" s="103">
        <f>Scores[[#This Row],[35]]</f>
        <v>0</v>
      </c>
      <c r="G134" s="104">
        <f>INDEX('Conversion Chart'!$C$3:$M$38,MATCH(SUM(Scores[[#This Row],[MC]:[CRQ]]),'Conversion Chart'!$B$3:$B$38,0),MATCH(Scores[[#This Row],[EIE]],'Conversion Chart'!$C$2:$M$2,0))</f>
        <v>61</v>
      </c>
      <c r="H134" s="5">
        <v>4</v>
      </c>
      <c r="I134" s="5">
        <v>3</v>
      </c>
      <c r="J134" s="5">
        <v>1</v>
      </c>
      <c r="K134" s="5">
        <v>2</v>
      </c>
      <c r="L134" s="5">
        <v>2</v>
      </c>
      <c r="M134" s="5">
        <v>2</v>
      </c>
      <c r="N134" s="5">
        <v>3</v>
      </c>
      <c r="O134" s="5">
        <v>1</v>
      </c>
      <c r="P134" s="5">
        <v>1</v>
      </c>
      <c r="Q134" s="5">
        <v>1</v>
      </c>
      <c r="R134" s="5">
        <v>4</v>
      </c>
      <c r="S134" s="5">
        <v>2</v>
      </c>
      <c r="T134" s="5">
        <v>2</v>
      </c>
      <c r="U134" s="5">
        <v>4</v>
      </c>
      <c r="V134" s="5">
        <v>3</v>
      </c>
      <c r="W134" s="5">
        <v>2</v>
      </c>
      <c r="X134" s="5">
        <v>2</v>
      </c>
      <c r="Y134" s="5">
        <v>3</v>
      </c>
      <c r="Z134" s="5">
        <v>2</v>
      </c>
      <c r="AA134" s="5">
        <v>3</v>
      </c>
      <c r="AB134" s="5">
        <v>1</v>
      </c>
      <c r="AC134" s="5">
        <v>1</v>
      </c>
      <c r="AD134" s="5">
        <v>3</v>
      </c>
      <c r="AE134" s="5">
        <v>2</v>
      </c>
      <c r="AF134" s="5">
        <v>4</v>
      </c>
      <c r="AG134" s="5">
        <v>3</v>
      </c>
      <c r="AH134" s="5">
        <v>1</v>
      </c>
      <c r="AI134" s="104">
        <v>1</v>
      </c>
      <c r="AJ134" s="95"/>
      <c r="AK134" s="84"/>
      <c r="AL134" s="84"/>
      <c r="AM134" s="84"/>
      <c r="AN134" s="84"/>
      <c r="AO134" s="84"/>
      <c r="AP134" s="94"/>
      <c r="AR134" s="7">
        <f>IF(H134=VLOOKUP(VALUE(H$1),Questions!$A:$E,5,FALSE),1,0)</f>
        <v>1</v>
      </c>
      <c r="AS134" s="7">
        <f>IF(I134=VLOOKUP(VALUE(I$1),Questions!$A:$E,5,FALSE),1,0)</f>
        <v>1</v>
      </c>
      <c r="AT134" s="7">
        <f>IF(J134=VLOOKUP(VALUE(J$1),Questions!$A:$E,5,FALSE),1,0)</f>
        <v>1</v>
      </c>
      <c r="AU134" s="7">
        <f>IF(K134=VLOOKUP(VALUE(K$1),Questions!$A:$E,5,FALSE),1,0)</f>
        <v>1</v>
      </c>
      <c r="AV134" s="7">
        <f>IF(L134=VLOOKUP(VALUE(L$1),Questions!$A:$E,5,FALSE),1,0)</f>
        <v>1</v>
      </c>
      <c r="AW134" s="7">
        <f>IF(M134=VLOOKUP(VALUE(M$1),Questions!$A:$E,5,FALSE),1,0)</f>
        <v>0</v>
      </c>
      <c r="AX134" s="7">
        <f>IF(N134=VLOOKUP(VALUE(N$1),Questions!$A:$E,5,FALSE),1,0)</f>
        <v>1</v>
      </c>
      <c r="AY134" s="7">
        <f>IF(O134=VLOOKUP(VALUE(O$1),Questions!$A:$E,5,FALSE),1,0)</f>
        <v>1</v>
      </c>
      <c r="AZ134" s="7">
        <f>IF(P134=VLOOKUP(VALUE(P$1),Questions!$A:$E,5,FALSE),1,0)</f>
        <v>1</v>
      </c>
      <c r="BA134" s="7">
        <f>IF(Q134=VLOOKUP(VALUE(Q$1),Questions!$A:$E,5,FALSE),1,0)</f>
        <v>1</v>
      </c>
      <c r="BB134" s="7">
        <f>IF(R134=VLOOKUP(VALUE(R$1),Questions!$A:$E,5,FALSE),1,0)</f>
        <v>1</v>
      </c>
      <c r="BC134" s="7">
        <f>IF(S134=VLOOKUP(VALUE(S$1),Questions!$A:$E,5,FALSE),1,0)</f>
        <v>1</v>
      </c>
      <c r="BD134" s="7">
        <f>IF(T134=VLOOKUP(VALUE(T$1),Questions!$A:$E,5,FALSE),1,0)</f>
        <v>0</v>
      </c>
      <c r="BE134" s="7">
        <f>IF(U134=VLOOKUP(VALUE(U$1),Questions!$A:$E,5,FALSE),1,0)</f>
        <v>1</v>
      </c>
      <c r="BF134" s="7">
        <f>IF(V134=VLOOKUP(VALUE(V$1),Questions!$A:$E,5,FALSE),1,0)</f>
        <v>1</v>
      </c>
      <c r="BG134" s="7">
        <f>IF(W134=VLOOKUP(VALUE(W$1),Questions!$A:$E,5,FALSE),1,0)</f>
        <v>0</v>
      </c>
      <c r="BH134" s="7">
        <f>IF(X134=VLOOKUP(VALUE(X$1),Questions!$A:$E,5,FALSE),1,0)</f>
        <v>1</v>
      </c>
      <c r="BI134" s="7">
        <f>IF(Y134=VLOOKUP(VALUE(Y$1),Questions!$A:$E,5,FALSE),1,0)</f>
        <v>1</v>
      </c>
      <c r="BJ134" s="7">
        <f>IF(Z134=VLOOKUP(VALUE(Z$1),Questions!$A:$E,5,FALSE),1,0)</f>
        <v>1</v>
      </c>
      <c r="BK134" s="7">
        <f>IF(AA134=VLOOKUP(VALUE(AA$1),Questions!$A:$E,5,FALSE),1,0)</f>
        <v>1</v>
      </c>
      <c r="BL134" s="7">
        <f>IF(AB134=VLOOKUP(VALUE(AB$1),Questions!$A:$E,5,FALSE),1,0)</f>
        <v>0</v>
      </c>
      <c r="BM134" s="7">
        <f>IF(AC134=VLOOKUP(VALUE(AC$1),Questions!$A:$E,5,FALSE),1,0)</f>
        <v>1</v>
      </c>
      <c r="BN134" s="7">
        <f>IF(AD134=VLOOKUP(VALUE(AD$1),Questions!$A:$E,5,FALSE),1,0)</f>
        <v>1</v>
      </c>
      <c r="BO134" s="7">
        <f>IF(AE134=VLOOKUP(VALUE(AE$1),Questions!$A:$E,5,FALSE),1,0)</f>
        <v>1</v>
      </c>
      <c r="BP134" s="7">
        <f>IF(AF134=VLOOKUP(VALUE(AF$1),Questions!$A:$E,5,FALSE),1,0)</f>
        <v>1</v>
      </c>
      <c r="BQ134" s="7">
        <f>IF(AG134=VLOOKUP(VALUE(AG$1),Questions!$A:$E,5,FALSE),1,0)</f>
        <v>1</v>
      </c>
      <c r="BR134" s="7">
        <f>IF(AH134=VLOOKUP(VALUE(AH$1),Questions!$A:$E,5,FALSE),1,0)</f>
        <v>1</v>
      </c>
      <c r="BS134" s="7">
        <f>IF(AI134=VLOOKUP(VALUE(AI$1),Questions!$A:$E,5,FALSE),1,0)</f>
        <v>1</v>
      </c>
    </row>
    <row r="135" spans="1:71">
      <c r="A135" s="10">
        <v>134</v>
      </c>
      <c r="B135" s="14" t="b">
        <v>0</v>
      </c>
      <c r="C135" s="14" t="b">
        <v>1</v>
      </c>
      <c r="D135" s="102">
        <f>SUM(Scores[[#This Row],[Q1]:[Q28]])</f>
        <v>8</v>
      </c>
      <c r="E135" s="103">
        <f>SUM(Scores[[#This Row],[29]:[34b]])</f>
        <v>0</v>
      </c>
      <c r="F135" s="103">
        <f>Scores[[#This Row],[35]]</f>
        <v>0</v>
      </c>
      <c r="G135" s="104">
        <f>INDEX('Conversion Chart'!$C$3:$M$38,MATCH(SUM(Scores[[#This Row],[MC]:[CRQ]]),'Conversion Chart'!$B$3:$B$38,0),MATCH(Scores[[#This Row],[EIE]],'Conversion Chart'!$C$2:$M$2,0))</f>
        <v>25</v>
      </c>
      <c r="H135" s="5">
        <v>4</v>
      </c>
      <c r="I135" s="5">
        <v>1</v>
      </c>
      <c r="J135" s="5">
        <v>2</v>
      </c>
      <c r="K135" s="5">
        <v>2</v>
      </c>
      <c r="L135" s="5">
        <v>3</v>
      </c>
      <c r="M135" s="5">
        <v>2</v>
      </c>
      <c r="N135" s="5">
        <v>3</v>
      </c>
      <c r="O135" s="5">
        <v>3</v>
      </c>
      <c r="P135" s="5">
        <v>1</v>
      </c>
      <c r="Q135" s="5">
        <v>3</v>
      </c>
      <c r="R135" s="5">
        <v>4</v>
      </c>
      <c r="S135" s="5">
        <v>4</v>
      </c>
      <c r="T135" s="5">
        <v>1</v>
      </c>
      <c r="U135" s="5">
        <v>3</v>
      </c>
      <c r="V135" s="5">
        <v>4</v>
      </c>
      <c r="W135" s="5">
        <v>3</v>
      </c>
      <c r="X135" s="5">
        <v>4</v>
      </c>
      <c r="Y135" s="5">
        <v>2</v>
      </c>
      <c r="Z135" s="5">
        <v>1</v>
      </c>
      <c r="AA135" s="5">
        <v>4</v>
      </c>
      <c r="AB135" s="5">
        <v>1</v>
      </c>
      <c r="AC135" s="5">
        <v>2</v>
      </c>
      <c r="AD135" s="5">
        <v>3</v>
      </c>
      <c r="AE135" s="5">
        <v>2</v>
      </c>
      <c r="AF135" s="5">
        <v>3</v>
      </c>
      <c r="AG135" s="5">
        <v>1</v>
      </c>
      <c r="AH135" s="5">
        <v>4</v>
      </c>
      <c r="AI135" s="104">
        <v>4</v>
      </c>
      <c r="AJ135" s="95"/>
      <c r="AK135" s="84"/>
      <c r="AL135" s="84"/>
      <c r="AM135" s="84"/>
      <c r="AN135" s="84"/>
      <c r="AO135" s="84"/>
      <c r="AP135" s="94"/>
      <c r="AR135" s="7">
        <f>IF(H135=VLOOKUP(VALUE(H$1),Questions!$A:$E,5,FALSE),1,0)</f>
        <v>1</v>
      </c>
      <c r="AS135" s="7">
        <f>IF(I135=VLOOKUP(VALUE(I$1),Questions!$A:$E,5,FALSE),1,0)</f>
        <v>0</v>
      </c>
      <c r="AT135" s="7">
        <f>IF(J135=VLOOKUP(VALUE(J$1),Questions!$A:$E,5,FALSE),1,0)</f>
        <v>0</v>
      </c>
      <c r="AU135" s="7">
        <f>IF(K135=VLOOKUP(VALUE(K$1),Questions!$A:$E,5,FALSE),1,0)</f>
        <v>1</v>
      </c>
      <c r="AV135" s="7">
        <f>IF(L135=VLOOKUP(VALUE(L$1),Questions!$A:$E,5,FALSE),1,0)</f>
        <v>0</v>
      </c>
      <c r="AW135" s="7">
        <f>IF(M135=VLOOKUP(VALUE(M$1),Questions!$A:$E,5,FALSE),1,0)</f>
        <v>0</v>
      </c>
      <c r="AX135" s="7">
        <f>IF(N135=VLOOKUP(VALUE(N$1),Questions!$A:$E,5,FALSE),1,0)</f>
        <v>1</v>
      </c>
      <c r="AY135" s="7">
        <f>IF(O135=VLOOKUP(VALUE(O$1),Questions!$A:$E,5,FALSE),1,0)</f>
        <v>0</v>
      </c>
      <c r="AZ135" s="7">
        <f>IF(P135=VLOOKUP(VALUE(P$1),Questions!$A:$E,5,FALSE),1,0)</f>
        <v>1</v>
      </c>
      <c r="BA135" s="7">
        <f>IF(Q135=VLOOKUP(VALUE(Q$1),Questions!$A:$E,5,FALSE),1,0)</f>
        <v>0</v>
      </c>
      <c r="BB135" s="7">
        <f>IF(R135=VLOOKUP(VALUE(R$1),Questions!$A:$E,5,FALSE),1,0)</f>
        <v>1</v>
      </c>
      <c r="BC135" s="7">
        <f>IF(S135=VLOOKUP(VALUE(S$1),Questions!$A:$E,5,FALSE),1,0)</f>
        <v>0</v>
      </c>
      <c r="BD135" s="7">
        <f>IF(T135=VLOOKUP(VALUE(T$1),Questions!$A:$E,5,FALSE),1,0)</f>
        <v>1</v>
      </c>
      <c r="BE135" s="7">
        <f>IF(U135=VLOOKUP(VALUE(U$1),Questions!$A:$E,5,FALSE),1,0)</f>
        <v>0</v>
      </c>
      <c r="BF135" s="7">
        <f>IF(V135=VLOOKUP(VALUE(V$1),Questions!$A:$E,5,FALSE),1,0)</f>
        <v>0</v>
      </c>
      <c r="BG135" s="7">
        <f>IF(W135=VLOOKUP(VALUE(W$1),Questions!$A:$E,5,FALSE),1,0)</f>
        <v>0</v>
      </c>
      <c r="BH135" s="7">
        <f>IF(X135=VLOOKUP(VALUE(X$1),Questions!$A:$E,5,FALSE),1,0)</f>
        <v>0</v>
      </c>
      <c r="BI135" s="7">
        <f>IF(Y135=VLOOKUP(VALUE(Y$1),Questions!$A:$E,5,FALSE),1,0)</f>
        <v>0</v>
      </c>
      <c r="BJ135" s="7">
        <f>IF(Z135=VLOOKUP(VALUE(Z$1),Questions!$A:$E,5,FALSE),1,0)</f>
        <v>0</v>
      </c>
      <c r="BK135" s="7">
        <f>IF(AA135=VLOOKUP(VALUE(AA$1),Questions!$A:$E,5,FALSE),1,0)</f>
        <v>0</v>
      </c>
      <c r="BL135" s="7">
        <f>IF(AB135=VLOOKUP(VALUE(AB$1),Questions!$A:$E,5,FALSE),1,0)</f>
        <v>0</v>
      </c>
      <c r="BM135" s="7">
        <f>IF(AC135=VLOOKUP(VALUE(AC$1),Questions!$A:$E,5,FALSE),1,0)</f>
        <v>0</v>
      </c>
      <c r="BN135" s="7">
        <f>IF(AD135=VLOOKUP(VALUE(AD$1),Questions!$A:$E,5,FALSE),1,0)</f>
        <v>1</v>
      </c>
      <c r="BO135" s="7">
        <f>IF(AE135=VLOOKUP(VALUE(AE$1),Questions!$A:$E,5,FALSE),1,0)</f>
        <v>1</v>
      </c>
      <c r="BP135" s="7">
        <f>IF(AF135=VLOOKUP(VALUE(AF$1),Questions!$A:$E,5,FALSE),1,0)</f>
        <v>0</v>
      </c>
      <c r="BQ135" s="7">
        <f>IF(AG135=VLOOKUP(VALUE(AG$1),Questions!$A:$E,5,FALSE),1,0)</f>
        <v>0</v>
      </c>
      <c r="BR135" s="7">
        <f>IF(AH135=VLOOKUP(VALUE(AH$1),Questions!$A:$E,5,FALSE),1,0)</f>
        <v>0</v>
      </c>
      <c r="BS135" s="7">
        <f>IF(AI135=VLOOKUP(VALUE(AI$1),Questions!$A:$E,5,FALSE),1,0)</f>
        <v>0</v>
      </c>
    </row>
    <row r="136" spans="1:71">
      <c r="A136" s="10">
        <v>135</v>
      </c>
      <c r="B136" s="14" t="b">
        <v>0</v>
      </c>
      <c r="C136" s="14" t="b">
        <v>0</v>
      </c>
      <c r="D136" s="102">
        <f>SUM(Scores[[#This Row],[Q1]:[Q28]])</f>
        <v>11</v>
      </c>
      <c r="E136" s="103">
        <f>SUM(Scores[[#This Row],[29]:[34b]])</f>
        <v>0</v>
      </c>
      <c r="F136" s="103">
        <f>Scores[[#This Row],[35]]</f>
        <v>0</v>
      </c>
      <c r="G136" s="104">
        <f>INDEX('Conversion Chart'!$C$3:$M$38,MATCH(SUM(Scores[[#This Row],[MC]:[CRQ]]),'Conversion Chart'!$B$3:$B$38,0),MATCH(Scores[[#This Row],[EIE]],'Conversion Chart'!$C$2:$M$2,0))</f>
        <v>32</v>
      </c>
      <c r="H136" s="5">
        <v>4</v>
      </c>
      <c r="I136" s="5">
        <v>3</v>
      </c>
      <c r="J136" s="5">
        <v>2</v>
      </c>
      <c r="K136" s="5">
        <v>4</v>
      </c>
      <c r="L136" s="5">
        <v>1</v>
      </c>
      <c r="M136" s="5">
        <v>3</v>
      </c>
      <c r="N136" s="5">
        <v>3</v>
      </c>
      <c r="O136" s="5">
        <v>3</v>
      </c>
      <c r="P136" s="5">
        <v>4</v>
      </c>
      <c r="Q136" s="5">
        <v>1</v>
      </c>
      <c r="R136" s="5">
        <v>3</v>
      </c>
      <c r="S136" s="5">
        <v>4</v>
      </c>
      <c r="T136" s="5">
        <v>4</v>
      </c>
      <c r="U136" s="5">
        <v>2</v>
      </c>
      <c r="V136" s="5">
        <v>1</v>
      </c>
      <c r="W136" s="5">
        <v>4</v>
      </c>
      <c r="X136" s="5">
        <v>1</v>
      </c>
      <c r="Y136" s="5">
        <v>2</v>
      </c>
      <c r="Z136" s="5">
        <v>1</v>
      </c>
      <c r="AA136" s="5">
        <v>3</v>
      </c>
      <c r="AB136" s="5">
        <v>2</v>
      </c>
      <c r="AC136" s="5">
        <v>1</v>
      </c>
      <c r="AD136" s="5">
        <v>4</v>
      </c>
      <c r="AE136" s="5">
        <v>1</v>
      </c>
      <c r="AF136" s="5">
        <v>2</v>
      </c>
      <c r="AG136" s="5">
        <v>3</v>
      </c>
      <c r="AH136" s="5">
        <v>1</v>
      </c>
      <c r="AI136" s="104">
        <v>1</v>
      </c>
      <c r="AJ136" s="95"/>
      <c r="AK136" s="84"/>
      <c r="AL136" s="84"/>
      <c r="AM136" s="84"/>
      <c r="AN136" s="84"/>
      <c r="AO136" s="84"/>
      <c r="AP136" s="94"/>
      <c r="AR136" s="7">
        <f>IF(H136=VLOOKUP(VALUE(H$1),Questions!$A:$E,5,FALSE),1,0)</f>
        <v>1</v>
      </c>
      <c r="AS136" s="7">
        <f>IF(I136=VLOOKUP(VALUE(I$1),Questions!$A:$E,5,FALSE),1,0)</f>
        <v>1</v>
      </c>
      <c r="AT136" s="7">
        <f>IF(J136=VLOOKUP(VALUE(J$1),Questions!$A:$E,5,FALSE),1,0)</f>
        <v>0</v>
      </c>
      <c r="AU136" s="7">
        <f>IF(K136=VLOOKUP(VALUE(K$1),Questions!$A:$E,5,FALSE),1,0)</f>
        <v>0</v>
      </c>
      <c r="AV136" s="7">
        <f>IF(L136=VLOOKUP(VALUE(L$1),Questions!$A:$E,5,FALSE),1,0)</f>
        <v>0</v>
      </c>
      <c r="AW136" s="7">
        <f>IF(M136=VLOOKUP(VALUE(M$1),Questions!$A:$E,5,FALSE),1,0)</f>
        <v>0</v>
      </c>
      <c r="AX136" s="7">
        <f>IF(N136=VLOOKUP(VALUE(N$1),Questions!$A:$E,5,FALSE),1,0)</f>
        <v>1</v>
      </c>
      <c r="AY136" s="7">
        <f>IF(O136=VLOOKUP(VALUE(O$1),Questions!$A:$E,5,FALSE),1,0)</f>
        <v>0</v>
      </c>
      <c r="AZ136" s="7">
        <f>IF(P136=VLOOKUP(VALUE(P$1),Questions!$A:$E,5,FALSE),1,0)</f>
        <v>0</v>
      </c>
      <c r="BA136" s="7">
        <f>IF(Q136=VLOOKUP(VALUE(Q$1),Questions!$A:$E,5,FALSE),1,0)</f>
        <v>1</v>
      </c>
      <c r="BB136" s="7">
        <f>IF(R136=VLOOKUP(VALUE(R$1),Questions!$A:$E,5,FALSE),1,0)</f>
        <v>0</v>
      </c>
      <c r="BC136" s="7">
        <f>IF(S136=VLOOKUP(VALUE(S$1),Questions!$A:$E,5,FALSE),1,0)</f>
        <v>0</v>
      </c>
      <c r="BD136" s="7">
        <f>IF(T136=VLOOKUP(VALUE(T$1),Questions!$A:$E,5,FALSE),1,0)</f>
        <v>0</v>
      </c>
      <c r="BE136" s="7">
        <f>IF(U136=VLOOKUP(VALUE(U$1),Questions!$A:$E,5,FALSE),1,0)</f>
        <v>0</v>
      </c>
      <c r="BF136" s="7">
        <f>IF(V136=VLOOKUP(VALUE(V$1),Questions!$A:$E,5,FALSE),1,0)</f>
        <v>0</v>
      </c>
      <c r="BG136" s="7">
        <f>IF(W136=VLOOKUP(VALUE(W$1),Questions!$A:$E,5,FALSE),1,0)</f>
        <v>1</v>
      </c>
      <c r="BH136" s="7">
        <f>IF(X136=VLOOKUP(VALUE(X$1),Questions!$A:$E,5,FALSE),1,0)</f>
        <v>0</v>
      </c>
      <c r="BI136" s="7">
        <f>IF(Y136=VLOOKUP(VALUE(Y$1),Questions!$A:$E,5,FALSE),1,0)</f>
        <v>0</v>
      </c>
      <c r="BJ136" s="7">
        <f>IF(Z136=VLOOKUP(VALUE(Z$1),Questions!$A:$E,5,FALSE),1,0)</f>
        <v>0</v>
      </c>
      <c r="BK136" s="7">
        <f>IF(AA136=VLOOKUP(VALUE(AA$1),Questions!$A:$E,5,FALSE),1,0)</f>
        <v>1</v>
      </c>
      <c r="BL136" s="7">
        <f>IF(AB136=VLOOKUP(VALUE(AB$1),Questions!$A:$E,5,FALSE),1,0)</f>
        <v>1</v>
      </c>
      <c r="BM136" s="7">
        <f>IF(AC136=VLOOKUP(VALUE(AC$1),Questions!$A:$E,5,FALSE),1,0)</f>
        <v>1</v>
      </c>
      <c r="BN136" s="7">
        <f>IF(AD136=VLOOKUP(VALUE(AD$1),Questions!$A:$E,5,FALSE),1,0)</f>
        <v>0</v>
      </c>
      <c r="BO136" s="7">
        <f>IF(AE136=VLOOKUP(VALUE(AE$1),Questions!$A:$E,5,FALSE),1,0)</f>
        <v>0</v>
      </c>
      <c r="BP136" s="7">
        <f>IF(AF136=VLOOKUP(VALUE(AF$1),Questions!$A:$E,5,FALSE),1,0)</f>
        <v>0</v>
      </c>
      <c r="BQ136" s="7">
        <f>IF(AG136=VLOOKUP(VALUE(AG$1),Questions!$A:$E,5,FALSE),1,0)</f>
        <v>1</v>
      </c>
      <c r="BR136" s="7">
        <f>IF(AH136=VLOOKUP(VALUE(AH$1),Questions!$A:$E,5,FALSE),1,0)</f>
        <v>1</v>
      </c>
      <c r="BS136" s="7">
        <f>IF(AI136=VLOOKUP(VALUE(AI$1),Questions!$A:$E,5,FALSE),1,0)</f>
        <v>1</v>
      </c>
    </row>
    <row r="137" spans="1:71">
      <c r="B137" s="13"/>
      <c r="C137" s="93"/>
      <c r="D137" s="100">
        <f>AVERAGE(Scores[MC])</f>
        <v>18.348148148148148</v>
      </c>
      <c r="E137" s="101">
        <f>AVERAGE(Scores[CRQ])</f>
        <v>0</v>
      </c>
      <c r="F137" s="96">
        <f>AVERAGE(Scores[EIE])</f>
        <v>0</v>
      </c>
      <c r="G137" s="99">
        <f>COUNTIF(Scores[Final],"&gt;=65")/COUNT(Scores[Final])</f>
        <v>7.407407407407407E-2</v>
      </c>
      <c r="H137" s="88"/>
      <c r="AJ137" s="95"/>
      <c r="AK137" s="84"/>
      <c r="AL137" s="84"/>
      <c r="AM137" s="84"/>
      <c r="AN137" s="84"/>
      <c r="AO137" s="84"/>
      <c r="AP137" s="94"/>
    </row>
  </sheetData>
  <phoneticPr fontId="1" type="noConversion"/>
  <conditionalFormatting sqref="H2:AI136">
    <cfRule type="expression" dxfId="8" priority="7" stopIfTrue="1">
      <formula>AR2=0</formula>
    </cfRule>
  </conditionalFormatting>
  <conditionalFormatting sqref="AJ2:AP136">
    <cfRule type="notContainsText" dxfId="7" priority="6" stopIfTrue="1" operator="notContains" text="1">
      <formula>ISERROR(SEARCH("1",AJ2))</formula>
    </cfRule>
  </conditionalFormatting>
  <conditionalFormatting sqref="G2:G320">
    <cfRule type="expression" dxfId="6" priority="5">
      <formula>G2&gt;=65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8285-A33C-3543-AA6A-9275D6B3BB05}">
  <dimension ref="A1:R45"/>
  <sheetViews>
    <sheetView showGridLines="0" topLeftCell="A75" workbookViewId="0">
      <selection activeCell="G15" sqref="G15"/>
    </sheetView>
  </sheetViews>
  <sheetFormatPr baseColWidth="10" defaultRowHeight="16"/>
  <cols>
    <col min="1" max="2" width="10.83203125" style="5"/>
    <col min="3" max="4" width="45.83203125" customWidth="1"/>
    <col min="5" max="5" width="10.83203125" style="5"/>
    <col min="6" max="9" width="20.83203125" customWidth="1"/>
    <col min="10" max="10" width="14.1640625" style="7" customWidth="1"/>
    <col min="11" max="11" width="12.6640625" style="7" customWidth="1"/>
    <col min="12" max="13" width="20.83203125" customWidth="1"/>
    <col min="15" max="15" width="10.83203125" style="5"/>
    <col min="16" max="16" width="70.83203125" customWidth="1"/>
    <col min="17" max="17" width="10.83203125" style="7"/>
    <col min="18" max="18" width="10.83203125" style="7" customWidth="1"/>
  </cols>
  <sheetData>
    <row r="1" spans="1:18">
      <c r="A1" s="5" t="s">
        <v>32</v>
      </c>
      <c r="B1" s="5" t="s">
        <v>648</v>
      </c>
      <c r="C1" t="s">
        <v>37</v>
      </c>
      <c r="D1" t="s">
        <v>33</v>
      </c>
      <c r="E1" s="5" t="s">
        <v>926</v>
      </c>
      <c r="F1" t="s">
        <v>922</v>
      </c>
      <c r="G1" t="s">
        <v>923</v>
      </c>
      <c r="H1" t="s">
        <v>924</v>
      </c>
      <c r="I1" t="s">
        <v>925</v>
      </c>
      <c r="J1" s="7" t="s">
        <v>36</v>
      </c>
      <c r="K1" s="7" t="s">
        <v>38</v>
      </c>
      <c r="L1" t="s">
        <v>39</v>
      </c>
      <c r="M1" t="s">
        <v>927</v>
      </c>
      <c r="N1" s="7" t="s">
        <v>40</v>
      </c>
      <c r="O1" s="8" t="s">
        <v>929</v>
      </c>
      <c r="P1" s="13" t="s">
        <v>928</v>
      </c>
      <c r="Q1" s="13" t="s">
        <v>41</v>
      </c>
      <c r="R1" s="92" t="s">
        <v>934</v>
      </c>
    </row>
    <row r="2" spans="1:18">
      <c r="A2" s="5">
        <v>1</v>
      </c>
      <c r="B2" s="5" t="s">
        <v>3</v>
      </c>
      <c r="C2" t="s">
        <v>654</v>
      </c>
      <c r="D2" t="s">
        <v>655</v>
      </c>
      <c r="E2" s="5">
        <v>4</v>
      </c>
      <c r="F2" t="s">
        <v>656</v>
      </c>
      <c r="G2" t="s">
        <v>657</v>
      </c>
      <c r="H2" t="s">
        <v>658</v>
      </c>
      <c r="I2" t="s">
        <v>659</v>
      </c>
      <c r="J2" s="7" t="s">
        <v>660</v>
      </c>
      <c r="K2" s="7" t="s">
        <v>661</v>
      </c>
      <c r="L2" t="s">
        <v>85</v>
      </c>
      <c r="M2" t="s">
        <v>885</v>
      </c>
      <c r="N2" s="7" t="s">
        <v>662</v>
      </c>
      <c r="O2" s="5" t="s">
        <v>132</v>
      </c>
      <c r="P2" s="91" t="str">
        <f>IFERROR(VLOOKUP(Questions[[#This Row],[Content_standard]],Content[#All],2),"")</f>
        <v>Comparing Empire's Geography &amp; Power</v>
      </c>
      <c r="Q2" s="97">
        <f>AVERAGE(INDEX(Scores[#Data],0,MATCH("Q"&amp;$A2,Scores[#Headers],0)))</f>
        <v>0.79259259259259263</v>
      </c>
      <c r="R2" s="98">
        <f>IFERROR(CORREL(INDEX(Scores[#Data],0,MATCH("Q"&amp;$A2,Scores[#Headers],0)),Scores[MC]),"")</f>
        <v>0.4801499683256108</v>
      </c>
    </row>
    <row r="3" spans="1:18">
      <c r="A3" s="5">
        <v>2</v>
      </c>
      <c r="B3" s="5" t="s">
        <v>3</v>
      </c>
      <c r="C3" t="s">
        <v>664</v>
      </c>
      <c r="D3" t="s">
        <v>663</v>
      </c>
      <c r="E3" s="5">
        <v>3</v>
      </c>
      <c r="F3" t="s">
        <v>665</v>
      </c>
      <c r="G3" t="s">
        <v>666</v>
      </c>
      <c r="H3" t="s">
        <v>667</v>
      </c>
      <c r="I3" t="s">
        <v>668</v>
      </c>
      <c r="J3" s="7" t="s">
        <v>660</v>
      </c>
      <c r="K3" s="7" t="s">
        <v>661</v>
      </c>
      <c r="L3" t="s">
        <v>85</v>
      </c>
      <c r="M3" t="s">
        <v>885</v>
      </c>
      <c r="N3" s="7" t="s">
        <v>662</v>
      </c>
      <c r="O3" s="5" t="s">
        <v>117</v>
      </c>
      <c r="P3" s="91" t="str">
        <f>IFERROR(VLOOKUP(Questions[[#This Row],[Content_standard]],Content[#All],2),"")</f>
        <v>Mughal &amp; Ottoman (c. 1750)</v>
      </c>
      <c r="Q3" s="97">
        <f>AVERAGE(INDEX(Scores[#Data],0,MATCH("Q"&amp;$A3,Scores[#Headers],0)))</f>
        <v>0.85185185185185186</v>
      </c>
      <c r="R3" s="98">
        <f>IFERROR(CORREL(INDEX(Scores[#Data],0,MATCH("Q"&amp;$A3,Scores[#Headers],0)),Scores[MC]),"")</f>
        <v>0.63750928710703447</v>
      </c>
    </row>
    <row r="4" spans="1:18">
      <c r="A4" s="5">
        <v>3</v>
      </c>
      <c r="B4" s="5" t="s">
        <v>3</v>
      </c>
      <c r="C4" t="s">
        <v>664</v>
      </c>
      <c r="D4" t="s">
        <v>669</v>
      </c>
      <c r="E4" s="5">
        <v>1</v>
      </c>
      <c r="F4" t="s">
        <v>670</v>
      </c>
      <c r="G4" t="s">
        <v>671</v>
      </c>
      <c r="H4" t="s">
        <v>672</v>
      </c>
      <c r="I4" t="s">
        <v>673</v>
      </c>
      <c r="J4" s="7" t="s">
        <v>660</v>
      </c>
      <c r="K4" s="7" t="s">
        <v>661</v>
      </c>
      <c r="L4" t="s">
        <v>93</v>
      </c>
      <c r="M4" t="s">
        <v>889</v>
      </c>
      <c r="N4" s="7" t="s">
        <v>662</v>
      </c>
      <c r="O4" s="5" t="s">
        <v>117</v>
      </c>
      <c r="P4" s="91" t="str">
        <f>IFERROR(VLOOKUP(Questions[[#This Row],[Content_standard]],Content[#All],2),"")</f>
        <v>Mughal &amp; Ottoman (c. 1750)</v>
      </c>
      <c r="Q4" s="97">
        <f>AVERAGE(INDEX(Scores[#Data],0,MATCH("Q"&amp;$A4,Scores[#Headers],0)))</f>
        <v>0.82962962962962961</v>
      </c>
      <c r="R4" s="98">
        <f>IFERROR(CORREL(INDEX(Scores[#Data],0,MATCH("Q"&amp;$A4,Scores[#Headers],0)),Scores[MC]),"")</f>
        <v>0.56955020360211361</v>
      </c>
    </row>
    <row r="5" spans="1:18">
      <c r="A5" s="5">
        <v>4</v>
      </c>
      <c r="B5" s="5" t="s">
        <v>3</v>
      </c>
      <c r="C5" t="s">
        <v>674</v>
      </c>
      <c r="D5" t="s">
        <v>675</v>
      </c>
      <c r="E5" s="5">
        <v>2</v>
      </c>
      <c r="F5" t="s">
        <v>676</v>
      </c>
      <c r="G5" t="s">
        <v>677</v>
      </c>
      <c r="H5" t="s">
        <v>678</v>
      </c>
      <c r="I5" t="s">
        <v>679</v>
      </c>
      <c r="J5" s="7" t="s">
        <v>660</v>
      </c>
      <c r="K5" s="7" t="s">
        <v>661</v>
      </c>
      <c r="L5" t="s">
        <v>79</v>
      </c>
      <c r="M5" t="s">
        <v>882</v>
      </c>
      <c r="N5" s="7" t="s">
        <v>662</v>
      </c>
      <c r="O5" s="5" t="s">
        <v>136</v>
      </c>
      <c r="P5" s="91" t="str">
        <f>IFERROR(VLOOKUP(Questions[[#This Row],[Content_standard]],Content[#All],2),"")</f>
        <v>Political Philosophies</v>
      </c>
      <c r="Q5" s="97">
        <f>AVERAGE(INDEX(Scores[#Data],0,MATCH("Q"&amp;$A5,Scores[#Headers],0)))</f>
        <v>0.68888888888888888</v>
      </c>
      <c r="R5" s="98">
        <f>IFERROR(CORREL(INDEX(Scores[#Data],0,MATCH("Q"&amp;$A5,Scores[#Headers],0)),Scores[MC]),"")</f>
        <v>0.50053947933867149</v>
      </c>
    </row>
    <row r="6" spans="1:18">
      <c r="A6" s="5">
        <v>5</v>
      </c>
      <c r="B6" s="5" t="s">
        <v>3</v>
      </c>
      <c r="C6" t="s">
        <v>680</v>
      </c>
      <c r="D6" t="s">
        <v>681</v>
      </c>
      <c r="E6" s="5">
        <v>2</v>
      </c>
      <c r="F6" t="s">
        <v>689</v>
      </c>
      <c r="G6" t="s">
        <v>690</v>
      </c>
      <c r="H6" t="s">
        <v>691</v>
      </c>
      <c r="I6" t="s">
        <v>692</v>
      </c>
      <c r="J6" s="7" t="s">
        <v>660</v>
      </c>
      <c r="K6" s="7" t="s">
        <v>661</v>
      </c>
      <c r="L6" t="s">
        <v>93</v>
      </c>
      <c r="M6" t="s">
        <v>889</v>
      </c>
      <c r="N6" s="7" t="s">
        <v>75</v>
      </c>
      <c r="O6" s="5" t="s">
        <v>183</v>
      </c>
      <c r="P6" s="91" t="str">
        <f>IFERROR(VLOOKUP(Questions[[#This Row],[Content_standard]],Content[#All],2),"")</f>
        <v>Japanese Reaction to Western Imperialism</v>
      </c>
      <c r="Q6" s="97">
        <f>AVERAGE(INDEX(Scores[#Data],0,MATCH("Q"&amp;$A6,Scores[#Headers],0)))</f>
        <v>0.58518518518518514</v>
      </c>
      <c r="R6" s="98">
        <f>IFERROR(CORREL(INDEX(Scores[#Data],0,MATCH("Q"&amp;$A6,Scores[#Headers],0)),Scores[MC]),"")</f>
        <v>0.59583828151151119</v>
      </c>
    </row>
    <row r="7" spans="1:18">
      <c r="A7" s="5">
        <v>6</v>
      </c>
      <c r="B7" s="5" t="s">
        <v>3</v>
      </c>
      <c r="C7" t="s">
        <v>680</v>
      </c>
      <c r="D7" t="s">
        <v>682</v>
      </c>
      <c r="E7" s="5">
        <v>4</v>
      </c>
      <c r="F7" t="s">
        <v>693</v>
      </c>
      <c r="G7" t="s">
        <v>694</v>
      </c>
      <c r="H7" t="s">
        <v>695</v>
      </c>
      <c r="I7" t="s">
        <v>696</v>
      </c>
      <c r="J7" s="7" t="s">
        <v>660</v>
      </c>
      <c r="K7" s="7" t="s">
        <v>661</v>
      </c>
      <c r="L7" t="s">
        <v>79</v>
      </c>
      <c r="M7" t="s">
        <v>882</v>
      </c>
      <c r="N7" s="7" t="s">
        <v>662</v>
      </c>
      <c r="O7" s="5" t="s">
        <v>183</v>
      </c>
      <c r="P7" s="91" t="str">
        <f>IFERROR(VLOOKUP(Questions[[#This Row],[Content_standard]],Content[#All],2),"")</f>
        <v>Japanese Reaction to Western Imperialism</v>
      </c>
      <c r="Q7" s="97">
        <f>AVERAGE(INDEX(Scores[#Data],0,MATCH("Q"&amp;$A7,Scores[#Headers],0)))</f>
        <v>0.71851851851851856</v>
      </c>
      <c r="R7" s="98">
        <f>IFERROR(CORREL(INDEX(Scores[#Data],0,MATCH("Q"&amp;$A7,Scores[#Headers],0)),Scores[MC]),"")</f>
        <v>0.63205205157994182</v>
      </c>
    </row>
    <row r="8" spans="1:18">
      <c r="A8" s="5">
        <v>7</v>
      </c>
      <c r="B8" s="5" t="s">
        <v>3</v>
      </c>
      <c r="C8" s="89" t="s">
        <v>930</v>
      </c>
      <c r="D8" t="s">
        <v>697</v>
      </c>
      <c r="E8" s="5">
        <v>3</v>
      </c>
      <c r="F8" t="s">
        <v>698</v>
      </c>
      <c r="G8" t="s">
        <v>699</v>
      </c>
      <c r="H8" t="s">
        <v>700</v>
      </c>
      <c r="I8" t="s">
        <v>701</v>
      </c>
      <c r="J8" s="7" t="s">
        <v>660</v>
      </c>
      <c r="K8" s="7" t="s">
        <v>77</v>
      </c>
      <c r="L8" t="s">
        <v>105</v>
      </c>
      <c r="M8" t="s">
        <v>885</v>
      </c>
      <c r="N8" s="7" t="s">
        <v>75</v>
      </c>
      <c r="O8" s="5" t="s">
        <v>171</v>
      </c>
      <c r="P8" s="91" t="str">
        <f>IFERROR(VLOOKUP(Questions[[#This Row],[Content_standard]],Content[#All],2),"")</f>
        <v>Irish Potato Famine</v>
      </c>
      <c r="Q8" s="97">
        <f>AVERAGE(INDEX(Scores[#Data],0,MATCH("Q"&amp;$A8,Scores[#Headers],0)))</f>
        <v>0.77037037037037037</v>
      </c>
      <c r="R8" s="98">
        <f>IFERROR(CORREL(INDEX(Scores[#Data],0,MATCH("Q"&amp;$A8,Scores[#Headers],0)),Scores[MC]),"")</f>
        <v>0.46030037201837731</v>
      </c>
    </row>
    <row r="9" spans="1:18">
      <c r="A9" s="5">
        <v>8</v>
      </c>
      <c r="B9" s="5" t="s">
        <v>3</v>
      </c>
      <c r="C9" s="89" t="s">
        <v>930</v>
      </c>
      <c r="D9" t="s">
        <v>702</v>
      </c>
      <c r="E9" s="5">
        <v>1</v>
      </c>
      <c r="F9" t="s">
        <v>703</v>
      </c>
      <c r="G9" t="s">
        <v>704</v>
      </c>
      <c r="H9" t="s">
        <v>705</v>
      </c>
      <c r="I9" t="s">
        <v>706</v>
      </c>
      <c r="J9" s="7" t="s">
        <v>660</v>
      </c>
      <c r="K9" s="7" t="s">
        <v>77</v>
      </c>
      <c r="L9" t="s">
        <v>93</v>
      </c>
      <c r="M9" t="s">
        <v>889</v>
      </c>
      <c r="N9" s="7" t="s">
        <v>75</v>
      </c>
      <c r="O9" s="5" t="s">
        <v>171</v>
      </c>
      <c r="P9" s="91" t="str">
        <f>IFERROR(VLOOKUP(Questions[[#This Row],[Content_standard]],Content[#All],2),"")</f>
        <v>Irish Potato Famine</v>
      </c>
      <c r="Q9" s="97">
        <f>AVERAGE(INDEX(Scores[#Data],0,MATCH("Q"&amp;$A9,Scores[#Headers],0)))</f>
        <v>0.42222222222222222</v>
      </c>
      <c r="R9" s="98">
        <f>IFERROR(CORREL(INDEX(Scores[#Data],0,MATCH("Q"&amp;$A9,Scores[#Headers],0)),Scores[MC]),"")</f>
        <v>0.34716624615689828</v>
      </c>
    </row>
    <row r="10" spans="1:18">
      <c r="A10" s="5">
        <v>9</v>
      </c>
      <c r="B10" s="5" t="s">
        <v>3</v>
      </c>
      <c r="C10" s="1" t="s">
        <v>717</v>
      </c>
      <c r="D10" t="s">
        <v>707</v>
      </c>
      <c r="E10" s="5">
        <v>1</v>
      </c>
      <c r="F10" t="s">
        <v>708</v>
      </c>
      <c r="G10" t="s">
        <v>709</v>
      </c>
      <c r="H10" t="s">
        <v>710</v>
      </c>
      <c r="I10" t="s">
        <v>711</v>
      </c>
      <c r="J10" s="7" t="s">
        <v>653</v>
      </c>
      <c r="K10" s="7" t="s">
        <v>77</v>
      </c>
      <c r="L10" t="s">
        <v>91</v>
      </c>
      <c r="M10" t="s">
        <v>889</v>
      </c>
      <c r="N10" s="7" t="s">
        <v>75</v>
      </c>
      <c r="O10" s="5" t="s">
        <v>177</v>
      </c>
      <c r="P10" s="91" t="str">
        <f>IFERROR(VLOOKUP(Questions[[#This Row],[Content_standard]],Content[#All],2),"")</f>
        <v>Control &amp; Spheres of Influence in Africa &amp; China</v>
      </c>
      <c r="Q10" s="97">
        <f>AVERAGE(INDEX(Scores[#Data],0,MATCH("Q"&amp;$A10,Scores[#Headers],0)))</f>
        <v>0.68888888888888888</v>
      </c>
      <c r="R10" s="98">
        <f>IFERROR(CORREL(INDEX(Scores[#Data],0,MATCH("Q"&amp;$A10,Scores[#Headers],0)),Scores[MC]),"")</f>
        <v>0.53218495598550197</v>
      </c>
    </row>
    <row r="11" spans="1:18">
      <c r="A11" s="5">
        <v>10</v>
      </c>
      <c r="B11" s="5" t="s">
        <v>3</v>
      </c>
      <c r="C11" s="1" t="s">
        <v>717</v>
      </c>
      <c r="D11" t="s">
        <v>712</v>
      </c>
      <c r="E11" s="5">
        <v>1</v>
      </c>
      <c r="F11" t="s">
        <v>713</v>
      </c>
      <c r="G11" t="s">
        <v>714</v>
      </c>
      <c r="H11" t="s">
        <v>715</v>
      </c>
      <c r="I11" t="s">
        <v>716</v>
      </c>
      <c r="J11" s="7" t="s">
        <v>653</v>
      </c>
      <c r="K11" s="7" t="s">
        <v>77</v>
      </c>
      <c r="L11" t="s">
        <v>103</v>
      </c>
      <c r="M11" t="s">
        <v>883</v>
      </c>
      <c r="N11" s="7" t="s">
        <v>662</v>
      </c>
      <c r="O11" s="5" t="s">
        <v>177</v>
      </c>
      <c r="P11" s="91" t="str">
        <f>IFERROR(VLOOKUP(Questions[[#This Row],[Content_standard]],Content[#All],2),"")</f>
        <v>Control &amp; Spheres of Influence in Africa &amp; China</v>
      </c>
      <c r="Q11" s="97">
        <f>AVERAGE(INDEX(Scores[#Data],0,MATCH("Q"&amp;$A11,Scores[#Headers],0)))</f>
        <v>0.62222222222222223</v>
      </c>
      <c r="R11" s="98">
        <f>IFERROR(CORREL(INDEX(Scores[#Data],0,MATCH("Q"&amp;$A11,Scores[#Headers],0)),Scores[MC]),"")</f>
        <v>0.47360811644047901</v>
      </c>
    </row>
    <row r="12" spans="1:18">
      <c r="A12" s="5">
        <v>11</v>
      </c>
      <c r="B12" s="5" t="s">
        <v>3</v>
      </c>
      <c r="C12" t="s">
        <v>777</v>
      </c>
      <c r="D12" t="s">
        <v>718</v>
      </c>
      <c r="E12" s="5">
        <v>4</v>
      </c>
      <c r="F12" t="s">
        <v>719</v>
      </c>
      <c r="G12" t="s">
        <v>720</v>
      </c>
      <c r="H12" t="s">
        <v>721</v>
      </c>
      <c r="I12" t="s">
        <v>722</v>
      </c>
      <c r="J12" s="7" t="s">
        <v>660</v>
      </c>
      <c r="K12" s="7" t="s">
        <v>77</v>
      </c>
      <c r="L12" t="s">
        <v>81</v>
      </c>
      <c r="M12" t="s">
        <v>883</v>
      </c>
      <c r="N12" s="7" t="s">
        <v>75</v>
      </c>
      <c r="O12" s="5" t="s">
        <v>195</v>
      </c>
      <c r="P12" s="91" t="str">
        <f>IFERROR(VLOOKUP(Questions[[#This Row],[Content_standard]],Content[#All],2),"")</f>
        <v>Fourteen Points, the Treaty of Versailles, League of Nations, &amp; United Nations</v>
      </c>
      <c r="Q12" s="97">
        <f>AVERAGE(INDEX(Scores[#Data],0,MATCH("Q"&amp;$A12,Scores[#Headers],0)))</f>
        <v>0.81481481481481477</v>
      </c>
      <c r="R12" s="98">
        <f>IFERROR(CORREL(INDEX(Scores[#Data],0,MATCH("Q"&amp;$A12,Scores[#Headers],0)),Scores[MC]),"")</f>
        <v>0.61708233445970628</v>
      </c>
    </row>
    <row r="13" spans="1:18">
      <c r="A13" s="5">
        <v>12</v>
      </c>
      <c r="B13" s="5" t="s">
        <v>3</v>
      </c>
      <c r="C13" t="s">
        <v>777</v>
      </c>
      <c r="D13" t="s">
        <v>723</v>
      </c>
      <c r="E13" s="5">
        <v>2</v>
      </c>
      <c r="F13" t="s">
        <v>756</v>
      </c>
      <c r="G13" t="s">
        <v>757</v>
      </c>
      <c r="H13" t="s">
        <v>758</v>
      </c>
      <c r="I13" t="s">
        <v>759</v>
      </c>
      <c r="J13" s="7" t="s">
        <v>660</v>
      </c>
      <c r="K13" s="7" t="s">
        <v>77</v>
      </c>
      <c r="L13" t="s">
        <v>93</v>
      </c>
      <c r="M13" t="s">
        <v>889</v>
      </c>
      <c r="N13" s="7" t="s">
        <v>75</v>
      </c>
      <c r="O13" s="5" t="s">
        <v>195</v>
      </c>
      <c r="P13" s="91" t="str">
        <f>IFERROR(VLOOKUP(Questions[[#This Row],[Content_standard]],Content[#All],2),"")</f>
        <v>Fourteen Points, the Treaty of Versailles, League of Nations, &amp; United Nations</v>
      </c>
      <c r="Q13" s="97">
        <f>AVERAGE(INDEX(Scores[#Data],0,MATCH("Q"&amp;$A13,Scores[#Headers],0)))</f>
        <v>0.46666666666666667</v>
      </c>
      <c r="R13" s="98">
        <f>IFERROR(CORREL(INDEX(Scores[#Data],0,MATCH("Q"&amp;$A13,Scores[#Headers],0)),Scores[MC]),"")</f>
        <v>0.51292193294640198</v>
      </c>
    </row>
    <row r="14" spans="1:18">
      <c r="A14" s="5">
        <v>13</v>
      </c>
      <c r="B14" s="5" t="s">
        <v>3</v>
      </c>
      <c r="C14" t="s">
        <v>724</v>
      </c>
      <c r="D14" t="s">
        <v>725</v>
      </c>
      <c r="E14" s="5">
        <v>1</v>
      </c>
      <c r="F14" t="s">
        <v>726</v>
      </c>
      <c r="G14" t="s">
        <v>727</v>
      </c>
      <c r="H14" t="s">
        <v>728</v>
      </c>
      <c r="I14" t="s">
        <v>729</v>
      </c>
      <c r="J14" s="7" t="s">
        <v>660</v>
      </c>
      <c r="K14" s="7" t="s">
        <v>661</v>
      </c>
      <c r="L14" t="s">
        <v>79</v>
      </c>
      <c r="M14" t="s">
        <v>885</v>
      </c>
      <c r="N14" s="7" t="s">
        <v>75</v>
      </c>
      <c r="O14" s="5" t="s">
        <v>234</v>
      </c>
      <c r="P14" s="91" t="str">
        <f>IFERROR(VLOOKUP(Questions[[#This Row],[Content_standard]],Content[#All],2),"")</f>
        <v>Gandhi’s Nonviolent Nationalist Movement, the Muslim League, &amp; Partition</v>
      </c>
      <c r="Q14" s="97">
        <f>AVERAGE(INDEX(Scores[#Data],0,MATCH("Q"&amp;$A14,Scores[#Headers],0)))</f>
        <v>0.68148148148148147</v>
      </c>
      <c r="R14" s="98">
        <f>IFERROR(CORREL(INDEX(Scores[#Data],0,MATCH("Q"&amp;$A14,Scores[#Headers],0)),Scores[MC]),"")</f>
        <v>0.54174739953442852</v>
      </c>
    </row>
    <row r="15" spans="1:18">
      <c r="A15" s="5">
        <v>14</v>
      </c>
      <c r="B15" s="5" t="s">
        <v>3</v>
      </c>
      <c r="C15" t="s">
        <v>724</v>
      </c>
      <c r="D15" t="s">
        <v>730</v>
      </c>
      <c r="E15" s="5">
        <v>4</v>
      </c>
      <c r="F15" t="s">
        <v>731</v>
      </c>
      <c r="G15" t="s">
        <v>732</v>
      </c>
      <c r="H15" t="s">
        <v>733</v>
      </c>
      <c r="I15" t="s">
        <v>734</v>
      </c>
      <c r="J15" s="7" t="s">
        <v>660</v>
      </c>
      <c r="K15" s="7" t="s">
        <v>661</v>
      </c>
      <c r="L15" t="s">
        <v>79</v>
      </c>
      <c r="M15" t="s">
        <v>882</v>
      </c>
      <c r="N15" s="7" t="s">
        <v>75</v>
      </c>
      <c r="O15" s="5" t="s">
        <v>234</v>
      </c>
      <c r="P15" s="91" t="str">
        <f>IFERROR(VLOOKUP(Questions[[#This Row],[Content_standard]],Content[#All],2),"")</f>
        <v>Gandhi’s Nonviolent Nationalist Movement, the Muslim League, &amp; Partition</v>
      </c>
      <c r="Q15" s="97">
        <f>AVERAGE(INDEX(Scores[#Data],0,MATCH("Q"&amp;$A15,Scores[#Headers],0)))</f>
        <v>0.61481481481481481</v>
      </c>
      <c r="R15" s="98">
        <f>IFERROR(CORREL(INDEX(Scores[#Data],0,MATCH("Q"&amp;$A15,Scores[#Headers],0)),Scores[MC]),"")</f>
        <v>0.49118143404277054</v>
      </c>
    </row>
    <row r="16" spans="1:18">
      <c r="A16" s="5">
        <v>15</v>
      </c>
      <c r="B16" s="5" t="s">
        <v>3</v>
      </c>
      <c r="C16" t="s">
        <v>735</v>
      </c>
      <c r="D16" t="s">
        <v>736</v>
      </c>
      <c r="E16" s="5">
        <v>3</v>
      </c>
      <c r="F16" t="s">
        <v>737</v>
      </c>
      <c r="G16" t="s">
        <v>738</v>
      </c>
      <c r="H16" t="s">
        <v>739</v>
      </c>
      <c r="I16" t="s">
        <v>740</v>
      </c>
      <c r="J16" s="7" t="s">
        <v>653</v>
      </c>
      <c r="K16" s="7" t="s">
        <v>77</v>
      </c>
      <c r="L16" t="s">
        <v>91</v>
      </c>
      <c r="M16" t="s">
        <v>889</v>
      </c>
      <c r="N16" s="7" t="s">
        <v>75</v>
      </c>
      <c r="O16" s="5" t="s">
        <v>189</v>
      </c>
      <c r="P16" s="91" t="str">
        <f>IFERROR(VLOOKUP(Questions[[#This Row],[Content_standard]],Content[#All],2),"")</f>
        <v>Comparing Cause &amp; Effects of the World Wars</v>
      </c>
      <c r="Q16" s="97">
        <f>AVERAGE(INDEX(Scores[#Data],0,MATCH("Q"&amp;$A16,Scores[#Headers],0)))</f>
        <v>0.51851851851851849</v>
      </c>
      <c r="R16" s="98">
        <f>IFERROR(CORREL(INDEX(Scores[#Data],0,MATCH("Q"&amp;$A16,Scores[#Headers],0)),Scores[MC]),"")</f>
        <v>0.51340193601355877</v>
      </c>
    </row>
    <row r="17" spans="1:18">
      <c r="A17" s="5">
        <v>16</v>
      </c>
      <c r="B17" s="5" t="s">
        <v>3</v>
      </c>
      <c r="C17" t="s">
        <v>735</v>
      </c>
      <c r="D17" t="s">
        <v>741</v>
      </c>
      <c r="E17" s="5">
        <v>4</v>
      </c>
      <c r="F17" t="s">
        <v>742</v>
      </c>
      <c r="G17" t="s">
        <v>743</v>
      </c>
      <c r="H17" t="s">
        <v>744</v>
      </c>
      <c r="I17" t="s">
        <v>745</v>
      </c>
      <c r="J17" s="7" t="s">
        <v>653</v>
      </c>
      <c r="K17" s="7" t="s">
        <v>77</v>
      </c>
      <c r="L17" t="s">
        <v>93</v>
      </c>
      <c r="M17" t="s">
        <v>889</v>
      </c>
      <c r="N17" s="7" t="s">
        <v>75</v>
      </c>
      <c r="O17" s="5" t="s">
        <v>189</v>
      </c>
      <c r="P17" s="91" t="str">
        <f>IFERROR(VLOOKUP(Questions[[#This Row],[Content_standard]],Content[#All],2),"")</f>
        <v>Comparing Cause &amp; Effects of the World Wars</v>
      </c>
      <c r="Q17" s="97">
        <f>AVERAGE(INDEX(Scores[#Data],0,MATCH("Q"&amp;$A17,Scores[#Headers],0)))</f>
        <v>0.58518518518518514</v>
      </c>
      <c r="R17" s="98">
        <f>IFERROR(CORREL(INDEX(Scores[#Data],0,MATCH("Q"&amp;$A17,Scores[#Headers],0)),Scores[MC]),"")</f>
        <v>0.45859910614132782</v>
      </c>
    </row>
    <row r="18" spans="1:18">
      <c r="A18" s="5">
        <v>17</v>
      </c>
      <c r="B18" s="5" t="s">
        <v>3</v>
      </c>
      <c r="C18" t="s">
        <v>746</v>
      </c>
      <c r="D18" t="s">
        <v>747</v>
      </c>
      <c r="E18" s="5">
        <v>2</v>
      </c>
      <c r="F18" t="s">
        <v>748</v>
      </c>
      <c r="G18" t="s">
        <v>749</v>
      </c>
      <c r="H18" t="s">
        <v>750</v>
      </c>
      <c r="I18" t="s">
        <v>751</v>
      </c>
      <c r="J18" s="7" t="s">
        <v>660</v>
      </c>
      <c r="K18" s="7" t="s">
        <v>77</v>
      </c>
      <c r="L18" t="s">
        <v>105</v>
      </c>
      <c r="M18" t="s">
        <v>885</v>
      </c>
      <c r="N18" s="7" t="s">
        <v>75</v>
      </c>
      <c r="O18" s="5" t="s">
        <v>291</v>
      </c>
      <c r="P18" s="91" t="str">
        <f>IFERROR(VLOOKUP(Questions[[#This Row],[Content_standard]],Content[#All],2),"")</f>
        <v>Impact of the Holocaust, Nuremberg Trials, &amp; Tokyo Trials</v>
      </c>
      <c r="Q18" s="97">
        <f>AVERAGE(INDEX(Scores[#Data],0,MATCH("Q"&amp;$A18,Scores[#Headers],0)))</f>
        <v>0.68888888888888888</v>
      </c>
      <c r="R18" s="98">
        <f>IFERROR(CORREL(INDEX(Scores[#Data],0,MATCH("Q"&amp;$A18,Scores[#Headers],0)),Scores[MC]),"")</f>
        <v>0.51027654907615783</v>
      </c>
    </row>
    <row r="19" spans="1:18">
      <c r="A19" s="5">
        <v>18</v>
      </c>
      <c r="B19" s="5" t="s">
        <v>3</v>
      </c>
      <c r="C19" t="s">
        <v>752</v>
      </c>
      <c r="D19" t="s">
        <v>663</v>
      </c>
      <c r="E19" s="5">
        <v>3</v>
      </c>
      <c r="F19" t="s">
        <v>755</v>
      </c>
      <c r="G19" t="s">
        <v>754</v>
      </c>
      <c r="H19" t="s">
        <v>753</v>
      </c>
      <c r="I19" t="s">
        <v>935</v>
      </c>
      <c r="J19" s="7" t="s">
        <v>660</v>
      </c>
      <c r="K19" s="7" t="s">
        <v>661</v>
      </c>
      <c r="L19" t="s">
        <v>85</v>
      </c>
      <c r="M19" t="s">
        <v>885</v>
      </c>
      <c r="N19" s="7" t="s">
        <v>662</v>
      </c>
      <c r="O19" s="5" t="s">
        <v>213</v>
      </c>
      <c r="P19" s="91" t="str">
        <f>IFERROR(VLOOKUP(Questions[[#This Row],[Content_standard]],Content[#All],2),"")</f>
        <v>Conceptions of Peace vs the Reality of Post-War Europe</v>
      </c>
      <c r="Q19" s="97">
        <f>AVERAGE(INDEX(Scores[#Data],0,MATCH("Q"&amp;$A19,Scores[#Headers],0)))</f>
        <v>0.53333333333333333</v>
      </c>
      <c r="R19" s="98">
        <f>IFERROR(CORREL(INDEX(Scores[#Data],0,MATCH("Q"&amp;$A19,Scores[#Headers],0)),Scores[MC]),"")</f>
        <v>0.4787371769925462</v>
      </c>
    </row>
    <row r="20" spans="1:18">
      <c r="A20" s="5">
        <v>19</v>
      </c>
      <c r="B20" s="5" t="s">
        <v>3</v>
      </c>
      <c r="C20" t="s">
        <v>752</v>
      </c>
      <c r="D20" t="s">
        <v>760</v>
      </c>
      <c r="E20" s="5">
        <v>2</v>
      </c>
      <c r="F20" t="s">
        <v>761</v>
      </c>
      <c r="G20" t="s">
        <v>762</v>
      </c>
      <c r="H20" t="s">
        <v>763</v>
      </c>
      <c r="I20" t="s">
        <v>764</v>
      </c>
      <c r="J20" s="7" t="s">
        <v>660</v>
      </c>
      <c r="K20" s="7" t="s">
        <v>661</v>
      </c>
      <c r="L20" t="s">
        <v>91</v>
      </c>
      <c r="M20" t="s">
        <v>889</v>
      </c>
      <c r="N20" s="7" t="s">
        <v>75</v>
      </c>
      <c r="O20" s="5" t="s">
        <v>213</v>
      </c>
      <c r="P20" s="91" t="str">
        <f>IFERROR(VLOOKUP(Questions[[#This Row],[Content_standard]],Content[#All],2),"")</f>
        <v>Conceptions of Peace vs the Reality of Post-War Europe</v>
      </c>
      <c r="Q20" s="97">
        <f>AVERAGE(INDEX(Scores[#Data],0,MATCH("Q"&amp;$A20,Scores[#Headers],0)))</f>
        <v>0.46666666666666667</v>
      </c>
      <c r="R20" s="98">
        <f>IFERROR(CORREL(INDEX(Scores[#Data],0,MATCH("Q"&amp;$A20,Scores[#Headers],0)),Scores[MC]),"")</f>
        <v>0.21022871943428573</v>
      </c>
    </row>
    <row r="21" spans="1:18">
      <c r="A21" s="5">
        <v>20</v>
      </c>
      <c r="B21" s="5" t="s">
        <v>3</v>
      </c>
      <c r="C21" t="s">
        <v>765</v>
      </c>
      <c r="D21" t="s">
        <v>766</v>
      </c>
      <c r="E21" s="5">
        <v>3</v>
      </c>
      <c r="F21" t="s">
        <v>767</v>
      </c>
      <c r="G21" t="s">
        <v>768</v>
      </c>
      <c r="H21" t="s">
        <v>769</v>
      </c>
      <c r="I21" t="s">
        <v>770</v>
      </c>
      <c r="J21" s="7" t="s">
        <v>660</v>
      </c>
      <c r="K21" s="7" t="s">
        <v>661</v>
      </c>
      <c r="L21" t="s">
        <v>79</v>
      </c>
      <c r="M21" t="s">
        <v>882</v>
      </c>
      <c r="N21" s="7" t="s">
        <v>75</v>
      </c>
      <c r="O21" s="5" t="s">
        <v>276</v>
      </c>
      <c r="P21" s="91" t="str">
        <f>IFERROR(VLOOKUP(Questions[[#This Row],[Content_standard]],Content[#All],2),"")</f>
        <v>Industrial Agriculture</v>
      </c>
      <c r="Q21" s="97">
        <f>AVERAGE(INDEX(Scores[#Data],0,MATCH("Q"&amp;$A21,Scores[#Headers],0)))</f>
        <v>0.53333333333333333</v>
      </c>
      <c r="R21" s="98">
        <f>IFERROR(CORREL(INDEX(Scores[#Data],0,MATCH("Q"&amp;$A21,Scores[#Headers],0)),Scores[MC]),"")</f>
        <v>0.35901523433476873</v>
      </c>
    </row>
    <row r="22" spans="1:18">
      <c r="A22" s="5">
        <v>21</v>
      </c>
      <c r="B22" s="5" t="s">
        <v>3</v>
      </c>
      <c r="C22" t="s">
        <v>765</v>
      </c>
      <c r="D22" t="s">
        <v>771</v>
      </c>
      <c r="E22" s="5">
        <v>2</v>
      </c>
      <c r="F22" t="s">
        <v>772</v>
      </c>
      <c r="G22" t="s">
        <v>773</v>
      </c>
      <c r="H22" t="s">
        <v>774</v>
      </c>
      <c r="I22" t="s">
        <v>775</v>
      </c>
      <c r="J22" s="7" t="s">
        <v>660</v>
      </c>
      <c r="K22" s="7" t="s">
        <v>661</v>
      </c>
      <c r="L22" t="s">
        <v>93</v>
      </c>
      <c r="M22" t="s">
        <v>889</v>
      </c>
      <c r="N22" s="7" t="s">
        <v>75</v>
      </c>
      <c r="O22" s="5" t="s">
        <v>276</v>
      </c>
      <c r="P22" s="91" t="str">
        <f>IFERROR(VLOOKUP(Questions[[#This Row],[Content_standard]],Content[#All],2),"")</f>
        <v>Industrial Agriculture</v>
      </c>
      <c r="Q22" s="97">
        <f>AVERAGE(INDEX(Scores[#Data],0,MATCH("Q"&amp;$A22,Scores[#Headers],0)))</f>
        <v>0.66666666666666663</v>
      </c>
      <c r="R22" s="98">
        <f>IFERROR(CORREL(INDEX(Scores[#Data],0,MATCH("Q"&amp;$A22,Scores[#Headers],0)),Scores[MC]),"")</f>
        <v>0.47971371326668816</v>
      </c>
    </row>
    <row r="23" spans="1:18">
      <c r="A23" s="5">
        <v>22</v>
      </c>
      <c r="B23" s="5" t="s">
        <v>3</v>
      </c>
      <c r="C23" t="s">
        <v>776</v>
      </c>
      <c r="D23" t="s">
        <v>778</v>
      </c>
      <c r="E23" s="5">
        <v>1</v>
      </c>
      <c r="F23" t="s">
        <v>779</v>
      </c>
      <c r="G23" t="s">
        <v>780</v>
      </c>
      <c r="H23" t="s">
        <v>781</v>
      </c>
      <c r="I23" t="s">
        <v>782</v>
      </c>
      <c r="J23" s="7" t="s">
        <v>660</v>
      </c>
      <c r="K23" s="7" t="s">
        <v>661</v>
      </c>
      <c r="L23" t="s">
        <v>93</v>
      </c>
      <c r="M23" t="s">
        <v>889</v>
      </c>
      <c r="N23" s="7" t="s">
        <v>75</v>
      </c>
      <c r="O23" s="5" t="s">
        <v>303</v>
      </c>
      <c r="P23" s="91" t="str">
        <f>IFERROR(VLOOKUP(Questions[[#This Row],[Content_standard]],Content[#All],2),"")</f>
        <v>Atrocities of Augusto Pinochet, Deng Xiaoping, &amp; Slobodan Milosevic</v>
      </c>
      <c r="Q23" s="97">
        <f>AVERAGE(INDEX(Scores[#Data],0,MATCH("Q"&amp;$A23,Scores[#Headers],0)))</f>
        <v>0.64444444444444449</v>
      </c>
      <c r="R23" s="98">
        <f>IFERROR(CORREL(INDEX(Scores[#Data],0,MATCH("Q"&amp;$A23,Scores[#Headers],0)),Scores[MC]),"")</f>
        <v>0.62555266565325518</v>
      </c>
    </row>
    <row r="24" spans="1:18">
      <c r="A24" s="5">
        <v>23</v>
      </c>
      <c r="B24" s="5" t="s">
        <v>3</v>
      </c>
      <c r="C24" t="s">
        <v>776</v>
      </c>
      <c r="D24" t="s">
        <v>783</v>
      </c>
      <c r="E24" s="5">
        <v>3</v>
      </c>
      <c r="F24" t="s">
        <v>784</v>
      </c>
      <c r="G24" t="s">
        <v>785</v>
      </c>
      <c r="H24" t="s">
        <v>786</v>
      </c>
      <c r="I24" t="s">
        <v>787</v>
      </c>
      <c r="J24" s="7" t="s">
        <v>660</v>
      </c>
      <c r="K24" s="7" t="s">
        <v>661</v>
      </c>
      <c r="L24" t="s">
        <v>79</v>
      </c>
      <c r="M24" t="s">
        <v>882</v>
      </c>
      <c r="N24" s="7" t="s">
        <v>662</v>
      </c>
      <c r="O24" s="5" t="s">
        <v>303</v>
      </c>
      <c r="P24" s="91" t="str">
        <f>IFERROR(VLOOKUP(Questions[[#This Row],[Content_standard]],Content[#All],2),"")</f>
        <v>Atrocities of Augusto Pinochet, Deng Xiaoping, &amp; Slobodan Milosevic</v>
      </c>
      <c r="Q24" s="97">
        <f>AVERAGE(INDEX(Scores[#Data],0,MATCH("Q"&amp;$A24,Scores[#Headers],0)))</f>
        <v>0.71111111111111114</v>
      </c>
      <c r="R24" s="98">
        <f>IFERROR(CORREL(INDEX(Scores[#Data],0,MATCH("Q"&amp;$A24,Scores[#Headers],0)),Scores[MC]),"")</f>
        <v>0.54097977055970259</v>
      </c>
    </row>
    <row r="25" spans="1:18">
      <c r="A25" s="5">
        <v>24</v>
      </c>
      <c r="B25" s="5" t="s">
        <v>3</v>
      </c>
      <c r="C25" t="s">
        <v>789</v>
      </c>
      <c r="D25" t="s">
        <v>788</v>
      </c>
      <c r="E25" s="5">
        <v>2</v>
      </c>
      <c r="F25" t="s">
        <v>790</v>
      </c>
      <c r="G25" t="s">
        <v>791</v>
      </c>
      <c r="H25" t="s">
        <v>792</v>
      </c>
      <c r="I25" t="s">
        <v>793</v>
      </c>
      <c r="J25" s="7" t="s">
        <v>653</v>
      </c>
      <c r="K25" s="7" t="s">
        <v>661</v>
      </c>
      <c r="L25" t="s">
        <v>83</v>
      </c>
      <c r="M25" t="s">
        <v>885</v>
      </c>
      <c r="N25" s="7" t="s">
        <v>75</v>
      </c>
      <c r="O25" s="5" t="s">
        <v>306</v>
      </c>
      <c r="P25" s="91" t="str">
        <f>IFERROR(VLOOKUP(Questions[[#This Row],[Content_standard]],Content[#All],2),"")</f>
        <v>Perpetrators &amp; Bystanders in Cambodia, Rwanda, &amp; Darfur</v>
      </c>
      <c r="Q25" s="97">
        <f>AVERAGE(INDEX(Scores[#Data],0,MATCH("Q"&amp;$A25,Scores[#Headers],0)))</f>
        <v>0.64444444444444449</v>
      </c>
      <c r="R25" s="98">
        <f>IFERROR(CORREL(INDEX(Scores[#Data],0,MATCH("Q"&amp;$A25,Scores[#Headers],0)),Scores[MC]),"")</f>
        <v>0.47488011592662011</v>
      </c>
    </row>
    <row r="26" spans="1:18">
      <c r="A26" s="5">
        <v>25</v>
      </c>
      <c r="B26" s="5" t="s">
        <v>3</v>
      </c>
      <c r="C26" t="s">
        <v>932</v>
      </c>
      <c r="D26" t="s">
        <v>663</v>
      </c>
      <c r="E26" s="5">
        <v>4</v>
      </c>
      <c r="F26" t="s">
        <v>794</v>
      </c>
      <c r="G26" t="s">
        <v>795</v>
      </c>
      <c r="H26" t="s">
        <v>796</v>
      </c>
      <c r="I26" t="s">
        <v>797</v>
      </c>
      <c r="J26" s="7" t="s">
        <v>660</v>
      </c>
      <c r="K26" s="7" t="s">
        <v>77</v>
      </c>
      <c r="L26" t="s">
        <v>85</v>
      </c>
      <c r="M26" t="s">
        <v>885</v>
      </c>
      <c r="N26" s="7" t="s">
        <v>662</v>
      </c>
      <c r="O26" s="5" t="s">
        <v>261</v>
      </c>
      <c r="P26" s="91" t="str">
        <f>IFERROR(VLOOKUP(Questions[[#This Row],[Content_standard]],Content[#All],2),"")</f>
        <v>Advancements in Communications &amp; Transportation Effect on Authority</v>
      </c>
      <c r="Q26" s="97">
        <f>AVERAGE(INDEX(Scores[#Data],0,MATCH("Q"&amp;$A26,Scores[#Headers],0)))</f>
        <v>0.79259259259259263</v>
      </c>
      <c r="R26" s="98">
        <f>IFERROR(CORREL(INDEX(Scores[#Data],0,MATCH("Q"&amp;$A26,Scores[#Headers],0)),Scores[MC]),"")</f>
        <v>0.68305198529953515</v>
      </c>
    </row>
    <row r="27" spans="1:18">
      <c r="A27" s="5">
        <v>26</v>
      </c>
      <c r="B27" s="5" t="s">
        <v>3</v>
      </c>
      <c r="C27" t="s">
        <v>933</v>
      </c>
      <c r="D27" t="s">
        <v>663</v>
      </c>
      <c r="E27" s="5">
        <v>3</v>
      </c>
      <c r="F27" t="s">
        <v>798</v>
      </c>
      <c r="G27" t="s">
        <v>799</v>
      </c>
      <c r="H27" t="s">
        <v>800</v>
      </c>
      <c r="I27" t="s">
        <v>801</v>
      </c>
      <c r="J27" s="7" t="s">
        <v>660</v>
      </c>
      <c r="K27" s="7" t="s">
        <v>77</v>
      </c>
      <c r="L27" t="s">
        <v>85</v>
      </c>
      <c r="M27" t="s">
        <v>885</v>
      </c>
      <c r="N27" s="7" t="s">
        <v>662</v>
      </c>
      <c r="O27" s="5" t="s">
        <v>258</v>
      </c>
      <c r="P27" s="91" t="str">
        <f>IFERROR(VLOOKUP(Questions[[#This Row],[Content_standard]],Content[#All],2),"")</f>
        <v>Comparing Turkey (Kemal Atatürk) &amp; Iran (Pahlavis &amp; the Ayatollahs)</v>
      </c>
      <c r="Q27" s="97">
        <f>AVERAGE(INDEX(Scores[#Data],0,MATCH("Q"&amp;$A27,Scores[#Headers],0)))</f>
        <v>0.65925925925925921</v>
      </c>
      <c r="R27" s="98">
        <f>IFERROR(CORREL(INDEX(Scores[#Data],0,MATCH("Q"&amp;$A27,Scores[#Headers],0)),Scores[MC]),"")</f>
        <v>0.52551107759689608</v>
      </c>
    </row>
    <row r="28" spans="1:18">
      <c r="A28" s="5">
        <v>27</v>
      </c>
      <c r="B28" s="5" t="s">
        <v>3</v>
      </c>
      <c r="C28" t="s">
        <v>931</v>
      </c>
      <c r="D28" t="s">
        <v>802</v>
      </c>
      <c r="E28" s="5">
        <v>1</v>
      </c>
      <c r="F28" t="s">
        <v>803</v>
      </c>
      <c r="G28" t="s">
        <v>804</v>
      </c>
      <c r="H28" t="s">
        <v>805</v>
      </c>
      <c r="I28" t="s">
        <v>806</v>
      </c>
      <c r="J28" s="7" t="s">
        <v>660</v>
      </c>
      <c r="K28" s="7" t="s">
        <v>77</v>
      </c>
      <c r="L28" t="s">
        <v>85</v>
      </c>
      <c r="M28" t="s">
        <v>882</v>
      </c>
      <c r="N28" s="7" t="s">
        <v>662</v>
      </c>
      <c r="O28" s="5" t="s">
        <v>261</v>
      </c>
      <c r="P28" s="91" t="str">
        <f>IFERROR(VLOOKUP(Questions[[#This Row],[Content_standard]],Content[#All],2),"")</f>
        <v>Advancements in Communications &amp; Transportation Effect on Authority</v>
      </c>
      <c r="Q28" s="97">
        <f>AVERAGE(INDEX(Scores[#Data],0,MATCH("Q"&amp;$A28,Scores[#Headers],0)))</f>
        <v>0.64444444444444449</v>
      </c>
      <c r="R28" s="98">
        <f>IFERROR(CORREL(INDEX(Scores[#Data],0,MATCH("Q"&amp;$A28,Scores[#Headers],0)),Scores[MC]),"")</f>
        <v>0.56434194232680979</v>
      </c>
    </row>
    <row r="29" spans="1:18">
      <c r="A29" s="5">
        <v>28</v>
      </c>
      <c r="B29" s="5" t="s">
        <v>3</v>
      </c>
      <c r="C29" t="s">
        <v>931</v>
      </c>
      <c r="D29" t="s">
        <v>807</v>
      </c>
      <c r="E29" s="5">
        <v>1</v>
      </c>
      <c r="F29" t="s">
        <v>808</v>
      </c>
      <c r="G29" t="s">
        <v>809</v>
      </c>
      <c r="H29" t="s">
        <v>810</v>
      </c>
      <c r="I29" t="s">
        <v>811</v>
      </c>
      <c r="J29" s="7" t="s">
        <v>660</v>
      </c>
      <c r="K29" s="7" t="s">
        <v>77</v>
      </c>
      <c r="L29" t="s">
        <v>81</v>
      </c>
      <c r="M29" t="s">
        <v>883</v>
      </c>
      <c r="N29" s="7" t="s">
        <v>662</v>
      </c>
      <c r="O29" s="5" t="s">
        <v>261</v>
      </c>
      <c r="P29" s="91" t="str">
        <f>IFERROR(VLOOKUP(Questions[[#This Row],[Content_standard]],Content[#All],2),"")</f>
        <v>Advancements in Communications &amp; Transportation Effect on Authority</v>
      </c>
      <c r="Q29" s="97">
        <f>AVERAGE(INDEX(Scores[#Data],0,MATCH("Q"&amp;$A29,Scores[#Headers],0)))</f>
        <v>0.71111111111111114</v>
      </c>
      <c r="R29" s="98">
        <f>IFERROR(CORREL(INDEX(Scores[#Data],0,MATCH("Q"&amp;$A29,Scores[#Headers],0)),Scores[MC]),"")</f>
        <v>0.58324813175653356</v>
      </c>
    </row>
    <row r="30" spans="1:18">
      <c r="A30" s="5">
        <v>29</v>
      </c>
      <c r="B30" s="5" t="s">
        <v>829</v>
      </c>
      <c r="C30" t="s">
        <v>812</v>
      </c>
      <c r="D30" t="s">
        <v>813</v>
      </c>
      <c r="E30" s="7">
        <v>1</v>
      </c>
      <c r="J30" s="7" t="s">
        <v>660</v>
      </c>
      <c r="K30" s="7" t="s">
        <v>661</v>
      </c>
      <c r="M30" t="s">
        <v>901</v>
      </c>
      <c r="N30" s="7"/>
      <c r="O30" s="5" t="s">
        <v>234</v>
      </c>
      <c r="P30" s="91" t="str">
        <f>IFERROR(VLOOKUP(Questions[[#This Row],[Content_standard]],Content[#All],2),"")</f>
        <v>Gandhi’s Nonviolent Nationalist Movement, the Muslim League, &amp; Partition</v>
      </c>
      <c r="Q30" s="13"/>
      <c r="R30" s="92" t="str">
        <f>IFERROR(CORREL(INDEX(Scores[#Data],0,MATCH("Q"&amp;$A30,Scores[#Headers],0)),Scores[MC]),"")</f>
        <v/>
      </c>
    </row>
    <row r="31" spans="1:18">
      <c r="A31" s="5">
        <v>30</v>
      </c>
      <c r="B31" s="5" t="s">
        <v>829</v>
      </c>
      <c r="C31" t="s">
        <v>814</v>
      </c>
      <c r="D31" t="s">
        <v>815</v>
      </c>
      <c r="E31" s="7">
        <v>1</v>
      </c>
      <c r="J31" s="7" t="s">
        <v>653</v>
      </c>
      <c r="K31" s="7" t="s">
        <v>77</v>
      </c>
      <c r="M31" t="s">
        <v>883</v>
      </c>
      <c r="N31" s="7"/>
      <c r="O31" s="5" t="s">
        <v>234</v>
      </c>
      <c r="P31" s="91" t="str">
        <f>IFERROR(VLOOKUP(Questions[[#This Row],[Content_standard]],Content[#All],2),"")</f>
        <v>Gandhi’s Nonviolent Nationalist Movement, the Muslim League, &amp; Partition</v>
      </c>
      <c r="Q31" s="13"/>
      <c r="R31" s="92" t="str">
        <f>IFERROR(CORREL(INDEX(Scores[#Data],0,MATCH("Q"&amp;$A31,Scores[#Headers],0)),Scores[MC]),"")</f>
        <v/>
      </c>
    </row>
    <row r="32" spans="1:18">
      <c r="A32" s="5">
        <v>31</v>
      </c>
      <c r="B32" s="5" t="s">
        <v>829</v>
      </c>
      <c r="C32" t="s">
        <v>816</v>
      </c>
      <c r="D32" t="s">
        <v>817</v>
      </c>
      <c r="E32" s="7">
        <v>1</v>
      </c>
      <c r="M32" t="s">
        <v>889</v>
      </c>
      <c r="N32" s="7"/>
      <c r="P32" s="91" t="str">
        <f>IFERROR(VLOOKUP(Questions[[#This Row],[Content_standard]],Content[#All],2),"")</f>
        <v/>
      </c>
      <c r="Q32" s="13"/>
      <c r="R32" s="92" t="str">
        <f>IFERROR(CORREL(INDEX(Scores[#Data],0,MATCH("Q"&amp;$A32,Scores[#Headers],0)),Scores[MC]),"")</f>
        <v/>
      </c>
    </row>
    <row r="33" spans="1:18">
      <c r="A33" s="5">
        <v>32</v>
      </c>
      <c r="B33" s="5" t="s">
        <v>829</v>
      </c>
      <c r="C33" t="s">
        <v>819</v>
      </c>
      <c r="D33" t="s">
        <v>818</v>
      </c>
      <c r="E33" s="7">
        <v>1</v>
      </c>
      <c r="J33" s="7" t="s">
        <v>660</v>
      </c>
      <c r="K33" s="7" t="s">
        <v>661</v>
      </c>
      <c r="M33" t="s">
        <v>901</v>
      </c>
      <c r="N33" s="7"/>
      <c r="O33" s="5" t="s">
        <v>162</v>
      </c>
      <c r="P33" s="91" t="str">
        <f>IFERROR(VLOOKUP(Questions[[#This Row],[Content_standard]],Content[#All],2),"")</f>
        <v>Energy, Technology, Communication, &amp; Transportation</v>
      </c>
      <c r="Q33" s="13"/>
      <c r="R33" s="92" t="str">
        <f>IFERROR(CORREL(INDEX(Scores[#Data],0,MATCH("Q"&amp;$A33,Scores[#Headers],0)),Scores[MC]),"")</f>
        <v/>
      </c>
    </row>
    <row r="34" spans="1:18">
      <c r="A34" s="5">
        <v>33</v>
      </c>
      <c r="B34" s="5" t="s">
        <v>829</v>
      </c>
      <c r="C34" t="s">
        <v>820</v>
      </c>
      <c r="D34" t="s">
        <v>821</v>
      </c>
      <c r="E34" s="7">
        <v>1</v>
      </c>
      <c r="J34" s="7" t="s">
        <v>660</v>
      </c>
      <c r="K34" s="7" t="s">
        <v>77</v>
      </c>
      <c r="M34" t="s">
        <v>883</v>
      </c>
      <c r="N34" s="7"/>
      <c r="O34" s="5" t="s">
        <v>168</v>
      </c>
      <c r="P34" s="91" t="str">
        <f>IFERROR(VLOOKUP(Questions[[#This Row],[Content_standard]],Content[#All],2),"")</f>
        <v>Suffrage, Education/ Labor Reforms, &amp; Marxism</v>
      </c>
      <c r="Q34" s="13"/>
      <c r="R34" s="92" t="str">
        <f>IFERROR(CORREL(INDEX(Scores[#Data],0,MATCH("Q"&amp;$A34,Scores[#Headers],0)),Scores[MC]),"")</f>
        <v/>
      </c>
    </row>
    <row r="35" spans="1:18">
      <c r="A35" s="5" t="s">
        <v>651</v>
      </c>
      <c r="B35" s="5" t="s">
        <v>829</v>
      </c>
      <c r="C35" s="13" t="s">
        <v>816</v>
      </c>
      <c r="D35" t="s">
        <v>822</v>
      </c>
      <c r="E35" s="7">
        <v>1</v>
      </c>
      <c r="M35" t="s">
        <v>892</v>
      </c>
      <c r="N35" s="7"/>
      <c r="P35" s="91" t="str">
        <f>IFERROR(VLOOKUP(Questions[[#This Row],[Content_standard]],Content[#All],2),"")</f>
        <v/>
      </c>
      <c r="Q35" s="13"/>
      <c r="R35" s="92" t="str">
        <f>IFERROR(CORREL(INDEX(Scores[#Data],0,MATCH("Q"&amp;$A35,Scores[#Headers],0)),Scores[MC]),"")</f>
        <v/>
      </c>
    </row>
    <row r="36" spans="1:18">
      <c r="A36" s="5" t="s">
        <v>652</v>
      </c>
      <c r="B36" s="5" t="s">
        <v>829</v>
      </c>
      <c r="C36" s="13" t="s">
        <v>816</v>
      </c>
      <c r="D36" t="s">
        <v>823</v>
      </c>
      <c r="E36" s="7">
        <v>1</v>
      </c>
      <c r="M36" t="s">
        <v>892</v>
      </c>
      <c r="N36" s="7"/>
      <c r="P36" s="91" t="str">
        <f>IFERROR(VLOOKUP(Questions[[#This Row],[Content_standard]],Content[#All],2),"")</f>
        <v/>
      </c>
      <c r="Q36" s="13"/>
      <c r="R36" s="92" t="str">
        <f>IFERROR(CORREL(INDEX(Scores[#Data],0,MATCH("Q"&amp;$A36,Scores[#Headers],0)),Scores[MC]),"")</f>
        <v/>
      </c>
    </row>
    <row r="37" spans="1:18">
      <c r="A37" s="5">
        <v>35</v>
      </c>
      <c r="B37" s="5" t="s">
        <v>830</v>
      </c>
      <c r="C37" t="s">
        <v>824</v>
      </c>
      <c r="D37" t="s">
        <v>816</v>
      </c>
      <c r="E37" s="7"/>
      <c r="J37" s="7" t="s">
        <v>660</v>
      </c>
      <c r="K37" s="7" t="s">
        <v>661</v>
      </c>
      <c r="M37" t="s">
        <v>887</v>
      </c>
      <c r="N37" s="7"/>
      <c r="O37" s="5" t="s">
        <v>144</v>
      </c>
      <c r="P37" s="91" t="str">
        <f>IFERROR(VLOOKUP(Questions[[#This Row],[Content_standard]],Content[#All],2),"")</f>
        <v>French Revolutions</v>
      </c>
      <c r="Q37" s="13"/>
      <c r="R37" s="92" t="str">
        <f>IFERROR(CORREL(INDEX(Scores[#Data],0,MATCH("Q"&amp;$A37,Scores[#Headers],0)),Scores[MC]),"")</f>
        <v/>
      </c>
    </row>
    <row r="38" spans="1:18">
      <c r="A38" s="5">
        <v>35</v>
      </c>
      <c r="B38" s="5" t="s">
        <v>830</v>
      </c>
      <c r="C38" t="s">
        <v>825</v>
      </c>
      <c r="D38" t="s">
        <v>816</v>
      </c>
      <c r="J38" s="7" t="s">
        <v>660</v>
      </c>
      <c r="K38" s="7" t="s">
        <v>661</v>
      </c>
      <c r="M38" t="s">
        <v>887</v>
      </c>
      <c r="N38" s="7"/>
      <c r="O38" s="5" t="s">
        <v>192</v>
      </c>
      <c r="P38" s="91" t="str">
        <f>IFERROR(VLOOKUP(Questions[[#This Row],[Content_standard]],Content[#All],2),"")</f>
        <v>Technological Development &amp; Devastation</v>
      </c>
      <c r="Q38" s="13"/>
      <c r="R38" s="92" t="str">
        <f>IFERROR(CORREL(INDEX(Scores[#Data],0,MATCH("Q"&amp;$A38,Scores[#Headers],0)),Scores[MC]),"")</f>
        <v/>
      </c>
    </row>
    <row r="39" spans="1:18">
      <c r="A39" s="5">
        <v>35</v>
      </c>
      <c r="B39" s="5" t="s">
        <v>830</v>
      </c>
      <c r="C39" t="s">
        <v>826</v>
      </c>
      <c r="D39" t="s">
        <v>816</v>
      </c>
      <c r="J39" s="7" t="s">
        <v>653</v>
      </c>
      <c r="K39" s="7" t="s">
        <v>77</v>
      </c>
      <c r="M39" t="s">
        <v>887</v>
      </c>
      <c r="N39" s="7"/>
      <c r="O39" s="5" t="s">
        <v>192</v>
      </c>
      <c r="P39" s="91" t="str">
        <f>IFERROR(VLOOKUP(Questions[[#This Row],[Content_standard]],Content[#All],2),"")</f>
        <v>Technological Development &amp; Devastation</v>
      </c>
      <c r="Q39" s="13"/>
      <c r="R39" s="92" t="str">
        <f>IFERROR(CORREL(INDEX(Scores[#Data],0,MATCH("Q"&amp;$A39,Scores[#Headers],0)),Scores[MC]),"")</f>
        <v/>
      </c>
    </row>
    <row r="40" spans="1:18">
      <c r="A40" s="5">
        <v>35</v>
      </c>
      <c r="B40" s="5" t="s">
        <v>830</v>
      </c>
      <c r="C40" t="s">
        <v>827</v>
      </c>
      <c r="D40" t="s">
        <v>816</v>
      </c>
      <c r="J40" s="7" t="s">
        <v>660</v>
      </c>
      <c r="K40" s="7" t="s">
        <v>661</v>
      </c>
      <c r="M40" t="s">
        <v>887</v>
      </c>
      <c r="N40" s="7"/>
      <c r="O40" s="5" t="s">
        <v>216</v>
      </c>
      <c r="P40" s="91" t="str">
        <f>IFERROR(VLOOKUP(Questions[[#This Row],[Content_standard]],Content[#All],2),"")</f>
        <v>Cuba, Vietnam, Afghanistan</v>
      </c>
      <c r="Q40" s="13"/>
      <c r="R40" s="92" t="str">
        <f>IFERROR(CORREL(INDEX(Scores[#Data],0,MATCH("Q"&amp;$A40,Scores[#Headers],0)),Scores[MC]),"")</f>
        <v/>
      </c>
    </row>
    <row r="41" spans="1:18">
      <c r="A41" s="5">
        <v>35</v>
      </c>
      <c r="B41" s="5" t="s">
        <v>830</v>
      </c>
      <c r="C41" t="s">
        <v>828</v>
      </c>
      <c r="D41" t="s">
        <v>816</v>
      </c>
      <c r="J41" s="7" t="s">
        <v>660</v>
      </c>
      <c r="K41" s="7" t="s">
        <v>77</v>
      </c>
      <c r="M41" t="s">
        <v>887</v>
      </c>
      <c r="N41" s="7"/>
      <c r="O41" s="5" t="s">
        <v>279</v>
      </c>
      <c r="P41" s="91" t="str">
        <f>IFERROR(VLOOKUP(Questions[[#This Row],[Content_standard]],Content[#All],2),"")</f>
        <v>Environmental Strains</v>
      </c>
      <c r="Q41" s="13"/>
      <c r="R41" s="92" t="str">
        <f>IFERROR(CORREL(INDEX(Scores[#Data],0,MATCH("Q"&amp;$A41,Scores[#Headers],0)),Scores[MC]),"")</f>
        <v/>
      </c>
    </row>
    <row r="42" spans="1:18">
      <c r="A42" s="90"/>
      <c r="B42" s="90"/>
      <c r="C42" s="13"/>
      <c r="D42" s="13"/>
      <c r="E42" s="90"/>
      <c r="F42" s="13"/>
      <c r="G42" s="13"/>
      <c r="H42" s="13"/>
      <c r="I42" s="13"/>
      <c r="J42" s="92"/>
      <c r="K42" s="92"/>
      <c r="L42" s="13"/>
      <c r="O42" s="90"/>
      <c r="P42" s="13"/>
      <c r="Q42" s="92"/>
    </row>
    <row r="43" spans="1:18">
      <c r="A43" s="90"/>
      <c r="B43" s="90"/>
      <c r="C43" s="13"/>
      <c r="D43" s="13"/>
      <c r="E43" s="90"/>
      <c r="F43" s="13"/>
      <c r="G43" s="13"/>
      <c r="H43" s="13"/>
      <c r="I43" s="13"/>
      <c r="J43" s="92"/>
      <c r="K43" s="92"/>
      <c r="L43" s="13"/>
      <c r="O43" s="90"/>
      <c r="P43" s="13"/>
      <c r="Q43" s="92"/>
    </row>
    <row r="44" spans="1:18">
      <c r="A44" s="90"/>
      <c r="B44" s="90"/>
      <c r="C44" s="13"/>
      <c r="D44" s="13"/>
      <c r="E44" s="90"/>
      <c r="F44" s="13"/>
      <c r="G44" s="13"/>
      <c r="H44" s="13"/>
      <c r="I44" s="13"/>
      <c r="J44" s="92"/>
      <c r="K44" s="92"/>
      <c r="L44" s="13"/>
      <c r="O44" s="90"/>
      <c r="P44" s="13"/>
      <c r="Q44" s="92"/>
    </row>
    <row r="45" spans="1:18">
      <c r="A45" s="90"/>
      <c r="B45" s="90"/>
      <c r="C45" s="13"/>
      <c r="D45" s="13"/>
      <c r="E45" s="90"/>
      <c r="F45" s="13"/>
      <c r="G45" s="13"/>
      <c r="H45" s="13"/>
      <c r="I45" s="13"/>
      <c r="J45" s="92"/>
      <c r="K45" s="92"/>
      <c r="L45" s="13"/>
      <c r="O45" s="90"/>
      <c r="P45" s="13"/>
      <c r="Q45" s="92"/>
    </row>
  </sheetData>
  <conditionalFormatting sqref="F2:F29">
    <cfRule type="expression" dxfId="5" priority="2">
      <formula>E2=1</formula>
    </cfRule>
  </conditionalFormatting>
  <conditionalFormatting sqref="G2:G29">
    <cfRule type="expression" dxfId="4" priority="3">
      <formula>E2=2</formula>
    </cfRule>
  </conditionalFormatting>
  <conditionalFormatting sqref="H2:H29">
    <cfRule type="expression" dxfId="3" priority="4">
      <formula>E2=3</formula>
    </cfRule>
  </conditionalFormatting>
  <conditionalFormatting sqref="I2:I29">
    <cfRule type="expression" dxfId="2" priority="5">
      <formula>E2=4</formula>
    </cfRule>
  </conditionalFormatting>
  <conditionalFormatting sqref="Q2:Q29">
    <cfRule type="colorScale" priority="1">
      <colorScale>
        <cfvo type="min"/>
        <cfvo type="max"/>
        <color rgb="FFF8696B"/>
        <color rgb="FFFCFCFF"/>
      </colorScale>
    </cfRule>
  </conditionalFormatting>
  <dataValidations count="6">
    <dataValidation type="list" allowBlank="1" showInputMessage="1" showErrorMessage="1" sqref="E42:E45 E2:E29" xr:uid="{F6731C7A-B134-B54C-BD80-F2B78B5611CB}">
      <formula1>"1,2,3,4"</formula1>
    </dataValidation>
    <dataValidation type="list" allowBlank="1" showInputMessage="1" showErrorMessage="1" sqref="J2:J37 J42:J45" xr:uid="{04DCAA44-C366-AA49-800E-CA21CBF428EE}">
      <formula1>"Text-based,Data-based,Map-based,Visual-based,Multiple"</formula1>
    </dataValidation>
    <dataValidation type="list" allowBlank="1" showInputMessage="1" showErrorMessage="1" sqref="K2:L37 K42:L45" xr:uid="{D606762C-D9CF-C74F-B49F-2C229FAFB8BC}">
      <formula1>"Primary,Secondary,Both"</formula1>
    </dataValidation>
    <dataValidation type="list" allowBlank="1" showInputMessage="1" showErrorMessage="1" sqref="Q42:Q45 N2:O37" xr:uid="{DFFE7736-F5A2-344C-BAB7-DF1E74EECEF5}">
      <formula1>"Yes,No"</formula1>
    </dataValidation>
    <dataValidation type="list" allowBlank="1" showInputMessage="1" showErrorMessage="1" sqref="B42:B45" xr:uid="{66E51332-235C-094A-9B21-1CEF02BE58EB}">
      <formula1>"MC,CRQ,EIE"</formula1>
    </dataValidation>
    <dataValidation type="list" allowBlank="1" showInputMessage="1" showErrorMessage="1" sqref="B2:B41" xr:uid="{4E5DF32B-CDCB-A848-8805-09C9B7B53B8D}">
      <formula1>"Part I,Part II,Part III"</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9F62572-2FFE-0646-89EB-1258646BD872}">
          <x14:formula1>
            <xm:f>'Task Models'!$A$2:$A$19</xm:f>
          </x14:formula1>
          <xm:sqref>L2:L37 L42:L45</xm:sqref>
        </x14:dataValidation>
        <x14:dataValidation type="list" allowBlank="1" showInputMessage="1" showErrorMessage="1" xr:uid="{1EEB522C-45AE-0D4D-B871-0E6D32D6F8C5}">
          <x14:formula1>
            <xm:f>'Content Standards'!$A$2:$A$178</xm:f>
          </x14:formula1>
          <xm:sqref>P42:P45 O2:O37</xm:sqref>
        </x14:dataValidation>
        <x14:dataValidation type="list" allowBlank="1" showInputMessage="1" showErrorMessage="1" xr:uid="{4AE1FD75-994F-AE4D-8922-8117DA8824D6}">
          <x14:formula1>
            <xm:f>'Skill Standards'!$B$2:$B$42</xm:f>
          </x14:formula1>
          <xm:sqref>M2:M41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57FB-7A82-FC4D-BF7E-3278C8D37317}">
  <dimension ref="A1:B19"/>
  <sheetViews>
    <sheetView showGridLines="0" workbookViewId="0">
      <selection activeCell="B19" sqref="B19"/>
    </sheetView>
  </sheetViews>
  <sheetFormatPr baseColWidth="10" defaultRowHeight="16"/>
  <cols>
    <col min="1" max="1" width="30.83203125" style="5" customWidth="1"/>
    <col min="2" max="2" width="80.83203125" style="4" customWidth="1"/>
  </cols>
  <sheetData>
    <row r="1" spans="1:2">
      <c r="A1" s="5" t="s">
        <v>114</v>
      </c>
      <c r="B1" s="3" t="s">
        <v>115</v>
      </c>
    </row>
    <row r="2" spans="1:2" ht="17">
      <c r="A2" s="6" t="s">
        <v>79</v>
      </c>
      <c r="B2" s="4" t="s">
        <v>78</v>
      </c>
    </row>
    <row r="3" spans="1:2" ht="51">
      <c r="A3" s="6" t="s">
        <v>81</v>
      </c>
      <c r="B3" s="4" t="s">
        <v>80</v>
      </c>
    </row>
    <row r="4" spans="1:2" ht="51">
      <c r="A4" s="6" t="s">
        <v>83</v>
      </c>
      <c r="B4" s="4" t="s">
        <v>82</v>
      </c>
    </row>
    <row r="5" spans="1:2" ht="51">
      <c r="A5" s="6" t="s">
        <v>85</v>
      </c>
      <c r="B5" s="4" t="s">
        <v>84</v>
      </c>
    </row>
    <row r="6" spans="1:2" ht="17">
      <c r="A6" s="6" t="s">
        <v>87</v>
      </c>
      <c r="B6" s="4" t="s">
        <v>86</v>
      </c>
    </row>
    <row r="7" spans="1:2" ht="34">
      <c r="A7" s="6" t="s">
        <v>89</v>
      </c>
      <c r="B7" s="4" t="s">
        <v>88</v>
      </c>
    </row>
    <row r="8" spans="1:2" ht="17">
      <c r="A8" s="6" t="s">
        <v>91</v>
      </c>
      <c r="B8" s="4" t="s">
        <v>90</v>
      </c>
    </row>
    <row r="9" spans="1:2" ht="17">
      <c r="A9" s="6" t="s">
        <v>93</v>
      </c>
      <c r="B9" s="4" t="s">
        <v>92</v>
      </c>
    </row>
    <row r="10" spans="1:2" ht="34">
      <c r="A10" s="6" t="s">
        <v>95</v>
      </c>
      <c r="B10" s="4" t="s">
        <v>94</v>
      </c>
    </row>
    <row r="11" spans="1:2" ht="51">
      <c r="A11" s="6" t="s">
        <v>97</v>
      </c>
      <c r="B11" s="4" t="s">
        <v>96</v>
      </c>
    </row>
    <row r="12" spans="1:2" ht="51">
      <c r="A12" s="6" t="s">
        <v>99</v>
      </c>
      <c r="B12" s="4" t="s">
        <v>98</v>
      </c>
    </row>
    <row r="13" spans="1:2" ht="34">
      <c r="A13" s="6" t="s">
        <v>101</v>
      </c>
      <c r="B13" s="4" t="s">
        <v>100</v>
      </c>
    </row>
    <row r="14" spans="1:2" ht="34">
      <c r="A14" s="6" t="s">
        <v>103</v>
      </c>
      <c r="B14" s="4" t="s">
        <v>102</v>
      </c>
    </row>
    <row r="15" spans="1:2" ht="34">
      <c r="A15" s="6" t="s">
        <v>105</v>
      </c>
      <c r="B15" s="4" t="s">
        <v>104</v>
      </c>
    </row>
    <row r="16" spans="1:2" ht="34">
      <c r="A16" s="6" t="s">
        <v>107</v>
      </c>
      <c r="B16" s="4" t="s">
        <v>106</v>
      </c>
    </row>
    <row r="17" spans="1:2" ht="34">
      <c r="A17" s="6" t="s">
        <v>109</v>
      </c>
      <c r="B17" s="4" t="s">
        <v>108</v>
      </c>
    </row>
    <row r="18" spans="1:2" ht="17">
      <c r="A18" s="6" t="s">
        <v>111</v>
      </c>
      <c r="B18" s="4" t="s">
        <v>110</v>
      </c>
    </row>
    <row r="19" spans="1:2" ht="34">
      <c r="A19" s="6" t="s">
        <v>113</v>
      </c>
      <c r="B19" s="4" t="s">
        <v>112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2D95-4232-3D4E-9DDD-5207DE442F67}">
  <dimension ref="A1:C178"/>
  <sheetViews>
    <sheetView showGridLines="0" workbookViewId="0">
      <selection activeCell="A2" sqref="A2"/>
    </sheetView>
  </sheetViews>
  <sheetFormatPr baseColWidth="10" defaultRowHeight="16"/>
  <cols>
    <col min="1" max="1" width="10.83203125" style="5"/>
    <col min="2" max="2" width="32.1640625" style="6" customWidth="1"/>
    <col min="3" max="3" width="60.83203125" style="2" customWidth="1"/>
    <col min="4" max="4" width="60.83203125" style="8" customWidth="1"/>
    <col min="5" max="16384" width="10.83203125" style="8"/>
  </cols>
  <sheetData>
    <row r="1" spans="1:3" ht="17">
      <c r="A1" s="5" t="s">
        <v>831</v>
      </c>
      <c r="B1" s="6" t="s">
        <v>880</v>
      </c>
      <c r="C1" s="2" t="s">
        <v>116</v>
      </c>
    </row>
    <row r="2" spans="1:3" ht="51">
      <c r="A2" s="5" t="s">
        <v>117</v>
      </c>
      <c r="B2" s="6" t="s">
        <v>118</v>
      </c>
      <c r="C2" s="9" t="s">
        <v>119</v>
      </c>
    </row>
    <row r="3" spans="1:3" ht="34">
      <c r="A3" s="5" t="s">
        <v>120</v>
      </c>
      <c r="B3" s="6" t="s">
        <v>121</v>
      </c>
      <c r="C3" s="9" t="s">
        <v>122</v>
      </c>
    </row>
    <row r="4" spans="1:3" ht="68">
      <c r="A4" s="5" t="s">
        <v>123</v>
      </c>
      <c r="B4" s="6" t="s">
        <v>124</v>
      </c>
      <c r="C4" s="9" t="s">
        <v>125</v>
      </c>
    </row>
    <row r="5" spans="1:3" ht="34">
      <c r="A5" s="5" t="s">
        <v>126</v>
      </c>
      <c r="B5" s="6" t="s">
        <v>127</v>
      </c>
      <c r="C5" s="9" t="s">
        <v>128</v>
      </c>
    </row>
    <row r="6" spans="1:3" ht="68">
      <c r="A6" s="5" t="s">
        <v>129</v>
      </c>
      <c r="B6" s="6" t="s">
        <v>130</v>
      </c>
      <c r="C6" s="9" t="s">
        <v>131</v>
      </c>
    </row>
    <row r="7" spans="1:3" ht="34">
      <c r="A7" s="5" t="s">
        <v>132</v>
      </c>
      <c r="B7" s="6" t="s">
        <v>133</v>
      </c>
      <c r="C7" s="9" t="s">
        <v>134</v>
      </c>
    </row>
    <row r="8" spans="1:3" ht="51">
      <c r="A8" s="5" t="s">
        <v>136</v>
      </c>
      <c r="B8" s="6" t="s">
        <v>135</v>
      </c>
      <c r="C8" s="9" t="s">
        <v>137</v>
      </c>
    </row>
    <row r="9" spans="1:3" ht="51">
      <c r="A9" s="5" t="s">
        <v>138</v>
      </c>
      <c r="B9" s="6" t="s">
        <v>139</v>
      </c>
      <c r="C9" s="9" t="s">
        <v>140</v>
      </c>
    </row>
    <row r="10" spans="1:3" ht="34">
      <c r="A10" s="5" t="s">
        <v>141</v>
      </c>
      <c r="B10" s="6" t="s">
        <v>142</v>
      </c>
      <c r="C10" s="9" t="s">
        <v>143</v>
      </c>
    </row>
    <row r="11" spans="1:3" ht="51">
      <c r="A11" s="5" t="s">
        <v>144</v>
      </c>
      <c r="B11" s="6" t="s">
        <v>145</v>
      </c>
      <c r="C11" s="9" t="s">
        <v>146</v>
      </c>
    </row>
    <row r="12" spans="1:3" ht="51">
      <c r="A12" s="5" t="s">
        <v>147</v>
      </c>
      <c r="B12" s="6" t="s">
        <v>148</v>
      </c>
      <c r="C12" s="9" t="s">
        <v>149</v>
      </c>
    </row>
    <row r="13" spans="1:3" ht="51">
      <c r="A13" s="5" t="s">
        <v>150</v>
      </c>
      <c r="B13" s="6" t="s">
        <v>151</v>
      </c>
      <c r="C13" s="9" t="s">
        <v>152</v>
      </c>
    </row>
    <row r="14" spans="1:3" ht="17">
      <c r="A14" s="5" t="s">
        <v>153</v>
      </c>
      <c r="B14" s="6" t="s">
        <v>154</v>
      </c>
      <c r="C14" s="9" t="s">
        <v>155</v>
      </c>
    </row>
    <row r="15" spans="1:3" ht="51">
      <c r="A15" s="5" t="s">
        <v>156</v>
      </c>
      <c r="B15" s="6" t="s">
        <v>157</v>
      </c>
      <c r="C15" s="9" t="s">
        <v>158</v>
      </c>
    </row>
    <row r="16" spans="1:3" ht="34">
      <c r="A16" s="5" t="s">
        <v>159</v>
      </c>
      <c r="B16" s="6" t="s">
        <v>160</v>
      </c>
      <c r="C16" s="9" t="s">
        <v>161</v>
      </c>
    </row>
    <row r="17" spans="1:3" ht="34">
      <c r="A17" s="5" t="s">
        <v>162</v>
      </c>
      <c r="B17" s="6" t="s">
        <v>163</v>
      </c>
      <c r="C17" s="9" t="s">
        <v>164</v>
      </c>
    </row>
    <row r="18" spans="1:3" ht="51">
      <c r="A18" s="5" t="s">
        <v>165</v>
      </c>
      <c r="B18" s="6" t="s">
        <v>166</v>
      </c>
      <c r="C18" s="9" t="s">
        <v>167</v>
      </c>
    </row>
    <row r="19" spans="1:3" ht="34">
      <c r="A19" s="5" t="s">
        <v>168</v>
      </c>
      <c r="B19" s="6" t="s">
        <v>169</v>
      </c>
      <c r="C19" s="9" t="s">
        <v>170</v>
      </c>
    </row>
    <row r="20" spans="1:3" ht="34">
      <c r="A20" s="5" t="s">
        <v>171</v>
      </c>
      <c r="B20" s="6" t="s">
        <v>172</v>
      </c>
      <c r="C20" s="9" t="s">
        <v>173</v>
      </c>
    </row>
    <row r="21" spans="1:3" ht="51">
      <c r="A21" s="5" t="s">
        <v>174</v>
      </c>
      <c r="B21" s="6" t="s">
        <v>175</v>
      </c>
      <c r="C21" s="9" t="s">
        <v>176</v>
      </c>
    </row>
    <row r="22" spans="1:3" ht="68">
      <c r="A22" s="5" t="s">
        <v>177</v>
      </c>
      <c r="B22" s="6" t="s">
        <v>178</v>
      </c>
      <c r="C22" s="9" t="s">
        <v>179</v>
      </c>
    </row>
    <row r="23" spans="1:3" ht="51">
      <c r="A23" s="5" t="s">
        <v>180</v>
      </c>
      <c r="B23" s="6" t="s">
        <v>181</v>
      </c>
      <c r="C23" s="9" t="s">
        <v>182</v>
      </c>
    </row>
    <row r="24" spans="1:3" ht="34">
      <c r="A24" s="5" t="s">
        <v>183</v>
      </c>
      <c r="B24" s="6" t="s">
        <v>184</v>
      </c>
      <c r="C24" s="9" t="s">
        <v>185</v>
      </c>
    </row>
    <row r="25" spans="1:3" ht="51">
      <c r="A25" s="5" t="s">
        <v>186</v>
      </c>
      <c r="B25" s="6" t="s">
        <v>187</v>
      </c>
      <c r="C25" s="9" t="s">
        <v>188</v>
      </c>
    </row>
    <row r="26" spans="1:3" ht="34">
      <c r="A26" s="5" t="s">
        <v>189</v>
      </c>
      <c r="B26" s="6" t="s">
        <v>190</v>
      </c>
      <c r="C26" s="9" t="s">
        <v>191</v>
      </c>
    </row>
    <row r="27" spans="1:3" ht="51">
      <c r="A27" s="5" t="s">
        <v>192</v>
      </c>
      <c r="B27" s="6" t="s">
        <v>193</v>
      </c>
      <c r="C27" s="9" t="s">
        <v>194</v>
      </c>
    </row>
    <row r="28" spans="1:3" ht="51">
      <c r="A28" s="5" t="s">
        <v>195</v>
      </c>
      <c r="B28" s="6" t="s">
        <v>196</v>
      </c>
      <c r="C28" s="9" t="s">
        <v>197</v>
      </c>
    </row>
    <row r="29" spans="1:3" ht="34">
      <c r="A29" s="5" t="s">
        <v>198</v>
      </c>
      <c r="B29" s="6" t="s">
        <v>199</v>
      </c>
      <c r="C29" s="9" t="s">
        <v>200</v>
      </c>
    </row>
    <row r="30" spans="1:3" ht="34">
      <c r="A30" s="5" t="s">
        <v>201</v>
      </c>
      <c r="B30" s="6" t="s">
        <v>202</v>
      </c>
      <c r="C30" s="9" t="s">
        <v>203</v>
      </c>
    </row>
    <row r="31" spans="1:3" ht="17">
      <c r="A31" s="5" t="s">
        <v>204</v>
      </c>
      <c r="B31" s="6" t="s">
        <v>205</v>
      </c>
      <c r="C31" s="9" t="s">
        <v>206</v>
      </c>
    </row>
    <row r="32" spans="1:3" ht="51">
      <c r="A32" s="5" t="s">
        <v>207</v>
      </c>
      <c r="B32" s="6" t="s">
        <v>208</v>
      </c>
      <c r="C32" s="9" t="s">
        <v>209</v>
      </c>
    </row>
    <row r="33" spans="1:3" ht="34">
      <c r="A33" s="5" t="s">
        <v>210</v>
      </c>
      <c r="B33" s="6" t="s">
        <v>211</v>
      </c>
      <c r="C33" s="9" t="s">
        <v>212</v>
      </c>
    </row>
    <row r="34" spans="1:3" ht="68">
      <c r="A34" s="5" t="s">
        <v>213</v>
      </c>
      <c r="B34" s="6" t="s">
        <v>214</v>
      </c>
      <c r="C34" s="9" t="s">
        <v>215</v>
      </c>
    </row>
    <row r="35" spans="1:3" ht="34">
      <c r="A35" s="5" t="s">
        <v>216</v>
      </c>
      <c r="B35" s="6" t="s">
        <v>217</v>
      </c>
      <c r="C35" s="9" t="s">
        <v>218</v>
      </c>
    </row>
    <row r="36" spans="1:3" ht="51">
      <c r="A36" s="5" t="s">
        <v>219</v>
      </c>
      <c r="B36" s="6" t="s">
        <v>220</v>
      </c>
      <c r="C36" s="9" t="s">
        <v>221</v>
      </c>
    </row>
    <row r="37" spans="1:3" ht="34">
      <c r="A37" s="5" t="s">
        <v>222</v>
      </c>
      <c r="B37" s="6" t="s">
        <v>223</v>
      </c>
      <c r="C37" s="9" t="s">
        <v>224</v>
      </c>
    </row>
    <row r="38" spans="1:3" ht="34">
      <c r="A38" s="5" t="s">
        <v>225</v>
      </c>
      <c r="B38" s="6" t="s">
        <v>226</v>
      </c>
      <c r="C38" s="9" t="s">
        <v>227</v>
      </c>
    </row>
    <row r="39" spans="1:3" ht="34">
      <c r="A39" s="5" t="s">
        <v>228</v>
      </c>
      <c r="B39" s="6" t="s">
        <v>229</v>
      </c>
      <c r="C39" s="9" t="s">
        <v>230</v>
      </c>
    </row>
    <row r="40" spans="1:3" ht="34">
      <c r="A40" s="5" t="s">
        <v>231</v>
      </c>
      <c r="B40" s="6" t="s">
        <v>232</v>
      </c>
      <c r="C40" s="9" t="s">
        <v>233</v>
      </c>
    </row>
    <row r="41" spans="1:3" ht="51">
      <c r="A41" s="5" t="s">
        <v>234</v>
      </c>
      <c r="B41" s="6" t="s">
        <v>235</v>
      </c>
      <c r="C41" s="9" t="s">
        <v>236</v>
      </c>
    </row>
    <row r="42" spans="1:3" ht="34">
      <c r="A42" s="5" t="s">
        <v>237</v>
      </c>
      <c r="B42" s="6" t="s">
        <v>238</v>
      </c>
      <c r="C42" s="9" t="s">
        <v>239</v>
      </c>
    </row>
    <row r="43" spans="1:3" ht="34">
      <c r="A43" s="5" t="s">
        <v>240</v>
      </c>
      <c r="B43" s="6" t="s">
        <v>241</v>
      </c>
      <c r="C43" s="9" t="s">
        <v>242</v>
      </c>
    </row>
    <row r="44" spans="1:3" ht="34">
      <c r="A44" s="5" t="s">
        <v>243</v>
      </c>
      <c r="B44" s="6" t="s">
        <v>244</v>
      </c>
      <c r="C44" s="9" t="s">
        <v>245</v>
      </c>
    </row>
    <row r="45" spans="1:3" ht="34">
      <c r="A45" s="5" t="s">
        <v>246</v>
      </c>
      <c r="B45" s="6" t="s">
        <v>247</v>
      </c>
      <c r="C45" s="9" t="s">
        <v>248</v>
      </c>
    </row>
    <row r="46" spans="1:3" ht="68">
      <c r="A46" s="5" t="s">
        <v>249</v>
      </c>
      <c r="B46" s="6" t="s">
        <v>250</v>
      </c>
      <c r="C46" s="9" t="s">
        <v>251</v>
      </c>
    </row>
    <row r="47" spans="1:3" ht="34">
      <c r="A47" s="5" t="s">
        <v>252</v>
      </c>
      <c r="B47" s="6" t="s">
        <v>253</v>
      </c>
      <c r="C47" s="9" t="s">
        <v>254</v>
      </c>
    </row>
    <row r="48" spans="1:3" ht="102">
      <c r="A48" s="5" t="s">
        <v>255</v>
      </c>
      <c r="B48" s="6" t="s">
        <v>256</v>
      </c>
      <c r="C48" s="9" t="s">
        <v>257</v>
      </c>
    </row>
    <row r="49" spans="1:3" ht="51">
      <c r="A49" s="5" t="s">
        <v>258</v>
      </c>
      <c r="B49" s="6" t="s">
        <v>259</v>
      </c>
      <c r="C49" s="9" t="s">
        <v>260</v>
      </c>
    </row>
    <row r="50" spans="1:3" ht="85">
      <c r="A50" s="5" t="s">
        <v>261</v>
      </c>
      <c r="B50" s="6" t="s">
        <v>262</v>
      </c>
      <c r="C50" s="9" t="s">
        <v>263</v>
      </c>
    </row>
    <row r="51" spans="1:3" ht="34">
      <c r="A51" s="5" t="s">
        <v>264</v>
      </c>
      <c r="B51" s="6" t="s">
        <v>265</v>
      </c>
      <c r="C51" s="9" t="s">
        <v>266</v>
      </c>
    </row>
    <row r="52" spans="1:3" ht="34">
      <c r="A52" s="5" t="s">
        <v>267</v>
      </c>
      <c r="B52" s="6" t="s">
        <v>268</v>
      </c>
      <c r="C52" s="9" t="s">
        <v>269</v>
      </c>
    </row>
    <row r="53" spans="1:3" ht="34">
      <c r="A53" s="5" t="s">
        <v>270</v>
      </c>
      <c r="B53" s="6" t="s">
        <v>271</v>
      </c>
      <c r="C53" s="9" t="s">
        <v>272</v>
      </c>
    </row>
    <row r="54" spans="1:3" ht="34">
      <c r="A54" s="5" t="s">
        <v>273</v>
      </c>
      <c r="B54" s="6" t="s">
        <v>274</v>
      </c>
      <c r="C54" s="9" t="s">
        <v>275</v>
      </c>
    </row>
    <row r="55" spans="1:3" ht="51">
      <c r="A55" s="5" t="s">
        <v>276</v>
      </c>
      <c r="B55" s="6" t="s">
        <v>277</v>
      </c>
      <c r="C55" s="9" t="s">
        <v>278</v>
      </c>
    </row>
    <row r="56" spans="1:3" ht="68">
      <c r="A56" s="5" t="s">
        <v>279</v>
      </c>
      <c r="B56" s="6" t="s">
        <v>280</v>
      </c>
      <c r="C56" s="9" t="s">
        <v>281</v>
      </c>
    </row>
    <row r="57" spans="1:3" ht="85">
      <c r="A57" s="5" t="s">
        <v>282</v>
      </c>
      <c r="B57" s="6" t="s">
        <v>283</v>
      </c>
      <c r="C57" s="9" t="s">
        <v>284</v>
      </c>
    </row>
    <row r="58" spans="1:3" ht="51">
      <c r="A58" s="5" t="s">
        <v>285</v>
      </c>
      <c r="B58" s="6" t="s">
        <v>286</v>
      </c>
      <c r="C58" s="9" t="s">
        <v>287</v>
      </c>
    </row>
    <row r="59" spans="1:3" ht="68">
      <c r="A59" s="5" t="s">
        <v>288</v>
      </c>
      <c r="B59" s="6" t="s">
        <v>289</v>
      </c>
      <c r="C59" s="9" t="s">
        <v>290</v>
      </c>
    </row>
    <row r="60" spans="1:3" ht="51">
      <c r="A60" s="5" t="s">
        <v>291</v>
      </c>
      <c r="B60" s="6" t="s">
        <v>292</v>
      </c>
      <c r="C60" s="9" t="s">
        <v>293</v>
      </c>
    </row>
    <row r="61" spans="1:3" ht="34">
      <c r="A61" s="5" t="s">
        <v>294</v>
      </c>
      <c r="B61" s="6" t="s">
        <v>295</v>
      </c>
      <c r="C61" s="9" t="s">
        <v>296</v>
      </c>
    </row>
    <row r="62" spans="1:3" ht="34">
      <c r="A62" s="5" t="s">
        <v>297</v>
      </c>
      <c r="B62" s="6" t="s">
        <v>298</v>
      </c>
      <c r="C62" s="9" t="s">
        <v>299</v>
      </c>
    </row>
    <row r="63" spans="1:3" ht="51">
      <c r="A63" s="5" t="s">
        <v>300</v>
      </c>
      <c r="B63" s="6" t="s">
        <v>301</v>
      </c>
      <c r="C63" s="9" t="s">
        <v>302</v>
      </c>
    </row>
    <row r="64" spans="1:3" ht="51">
      <c r="A64" s="5" t="s">
        <v>303</v>
      </c>
      <c r="B64" s="6" t="s">
        <v>304</v>
      </c>
      <c r="C64" s="9" t="s">
        <v>305</v>
      </c>
    </row>
    <row r="65" spans="1:3" ht="68">
      <c r="A65" s="5" t="s">
        <v>306</v>
      </c>
      <c r="B65" s="6" t="s">
        <v>307</v>
      </c>
      <c r="C65" s="9" t="s">
        <v>308</v>
      </c>
    </row>
    <row r="66" spans="1:3" ht="51">
      <c r="A66" s="5" t="s">
        <v>309</v>
      </c>
      <c r="B66" s="6" t="s">
        <v>310</v>
      </c>
      <c r="C66" s="9" t="s">
        <v>311</v>
      </c>
    </row>
    <row r="67" spans="1:3" ht="51">
      <c r="A67" s="5" t="s">
        <v>312</v>
      </c>
      <c r="B67" s="6" t="s">
        <v>313</v>
      </c>
      <c r="C67" s="9" t="s">
        <v>314</v>
      </c>
    </row>
    <row r="68" spans="1:3" ht="34">
      <c r="A68" s="5" t="s">
        <v>315</v>
      </c>
      <c r="B68" s="6" t="s">
        <v>316</v>
      </c>
      <c r="C68" s="9" t="s">
        <v>317</v>
      </c>
    </row>
    <row r="69" spans="1:3" ht="51">
      <c r="A69" s="5" t="s">
        <v>318</v>
      </c>
      <c r="B69" s="6" t="s">
        <v>319</v>
      </c>
      <c r="C69" s="9" t="s">
        <v>320</v>
      </c>
    </row>
    <row r="70" spans="1:3" ht="34">
      <c r="A70" s="5" t="s">
        <v>321</v>
      </c>
      <c r="B70" s="6" t="s">
        <v>322</v>
      </c>
      <c r="C70" s="9" t="s">
        <v>323</v>
      </c>
    </row>
    <row r="71" spans="1:3" ht="34">
      <c r="A71" s="5" t="s">
        <v>324</v>
      </c>
      <c r="B71" s="6" t="s">
        <v>325</v>
      </c>
      <c r="C71" s="9" t="s">
        <v>326</v>
      </c>
    </row>
    <row r="72" spans="1:3" ht="68">
      <c r="A72" s="5" t="s">
        <v>327</v>
      </c>
      <c r="B72" s="6" t="s">
        <v>328</v>
      </c>
      <c r="C72" s="9" t="s">
        <v>329</v>
      </c>
    </row>
    <row r="73" spans="1:3" ht="51">
      <c r="A73" s="5" t="s">
        <v>330</v>
      </c>
      <c r="B73" s="6" t="s">
        <v>331</v>
      </c>
      <c r="C73" s="9" t="s">
        <v>332</v>
      </c>
    </row>
    <row r="74" spans="1:3" ht="85">
      <c r="A74" s="5" t="s">
        <v>333</v>
      </c>
      <c r="B74" s="6" t="s">
        <v>334</v>
      </c>
      <c r="C74" s="9" t="s">
        <v>335</v>
      </c>
    </row>
    <row r="75" spans="1:3" ht="68">
      <c r="A75" s="5" t="s">
        <v>336</v>
      </c>
      <c r="B75" s="6" t="s">
        <v>337</v>
      </c>
      <c r="C75" s="9" t="s">
        <v>338</v>
      </c>
    </row>
    <row r="76" spans="1:3" ht="34">
      <c r="A76" s="5" t="s">
        <v>340</v>
      </c>
      <c r="B76" s="6" t="s">
        <v>339</v>
      </c>
      <c r="C76" s="9" t="s">
        <v>341</v>
      </c>
    </row>
    <row r="77" spans="1:3" ht="34">
      <c r="A77" s="5" t="s">
        <v>342</v>
      </c>
      <c r="B77" s="6" t="s">
        <v>343</v>
      </c>
      <c r="C77" s="9" t="s">
        <v>344</v>
      </c>
    </row>
    <row r="78" spans="1:3" ht="34">
      <c r="A78" s="5" t="s">
        <v>345</v>
      </c>
      <c r="B78" s="6" t="s">
        <v>346</v>
      </c>
      <c r="C78" s="9" t="s">
        <v>347</v>
      </c>
    </row>
    <row r="79" spans="1:3" ht="51">
      <c r="A79" s="5" t="s">
        <v>348</v>
      </c>
      <c r="B79" s="6" t="s">
        <v>349</v>
      </c>
      <c r="C79" s="9" t="s">
        <v>350</v>
      </c>
    </row>
    <row r="80" spans="1:3" ht="102">
      <c r="A80" s="5" t="s">
        <v>351</v>
      </c>
      <c r="B80" s="6" t="s">
        <v>352</v>
      </c>
      <c r="C80" s="9" t="s">
        <v>353</v>
      </c>
    </row>
    <row r="81" spans="1:3" ht="51">
      <c r="A81" s="5" t="s">
        <v>354</v>
      </c>
      <c r="B81" s="6" t="s">
        <v>355</v>
      </c>
      <c r="C81" s="9" t="s">
        <v>356</v>
      </c>
    </row>
    <row r="82" spans="1:3" ht="34">
      <c r="A82" s="5" t="s">
        <v>357</v>
      </c>
      <c r="B82" s="6" t="s">
        <v>358</v>
      </c>
      <c r="C82" s="9" t="s">
        <v>359</v>
      </c>
    </row>
    <row r="83" spans="1:3" ht="34">
      <c r="A83" s="5" t="s">
        <v>360</v>
      </c>
      <c r="B83" s="6" t="s">
        <v>361</v>
      </c>
      <c r="C83" s="9" t="s">
        <v>362</v>
      </c>
    </row>
    <row r="84" spans="1:3" ht="34">
      <c r="A84" s="5" t="s">
        <v>363</v>
      </c>
      <c r="B84" s="6" t="s">
        <v>364</v>
      </c>
      <c r="C84" s="9" t="s">
        <v>365</v>
      </c>
    </row>
    <row r="85" spans="1:3" ht="85">
      <c r="A85" s="5" t="s">
        <v>366</v>
      </c>
      <c r="B85" s="6" t="s">
        <v>367</v>
      </c>
      <c r="C85" s="9" t="s">
        <v>368</v>
      </c>
    </row>
    <row r="86" spans="1:3" ht="51">
      <c r="A86" s="5" t="s">
        <v>369</v>
      </c>
      <c r="B86" s="6" t="s">
        <v>370</v>
      </c>
      <c r="C86" s="9" t="s">
        <v>371</v>
      </c>
    </row>
    <row r="87" spans="1:3" ht="34">
      <c r="A87" s="5" t="s">
        <v>372</v>
      </c>
      <c r="B87" s="6" t="s">
        <v>373</v>
      </c>
      <c r="C87" s="9" t="s">
        <v>374</v>
      </c>
    </row>
    <row r="88" spans="1:3" ht="68">
      <c r="A88" s="5" t="s">
        <v>375</v>
      </c>
      <c r="B88" s="6" t="s">
        <v>376</v>
      </c>
      <c r="C88" s="9" t="s">
        <v>377</v>
      </c>
    </row>
    <row r="89" spans="1:3" ht="68">
      <c r="A89" s="5" t="s">
        <v>378</v>
      </c>
      <c r="B89" s="6" t="s">
        <v>379</v>
      </c>
      <c r="C89" s="9" t="s">
        <v>380</v>
      </c>
    </row>
    <row r="90" spans="1:3" ht="51">
      <c r="A90" s="5" t="s">
        <v>381</v>
      </c>
      <c r="B90" s="6" t="s">
        <v>382</v>
      </c>
      <c r="C90" s="9" t="s">
        <v>383</v>
      </c>
    </row>
    <row r="91" spans="1:3" ht="85">
      <c r="A91" s="5" t="s">
        <v>384</v>
      </c>
      <c r="B91" s="6" t="s">
        <v>385</v>
      </c>
      <c r="C91" s="9" t="s">
        <v>386</v>
      </c>
    </row>
    <row r="92" spans="1:3" ht="68">
      <c r="A92" s="5" t="s">
        <v>387</v>
      </c>
      <c r="B92" s="6" t="s">
        <v>388</v>
      </c>
      <c r="C92" s="9" t="s">
        <v>389</v>
      </c>
    </row>
    <row r="93" spans="1:3" ht="85">
      <c r="A93" s="5" t="s">
        <v>390</v>
      </c>
      <c r="B93" s="6" t="s">
        <v>391</v>
      </c>
      <c r="C93" s="9" t="s">
        <v>392</v>
      </c>
    </row>
    <row r="94" spans="1:3" ht="68">
      <c r="A94" s="5" t="s">
        <v>393</v>
      </c>
      <c r="B94" s="6" t="s">
        <v>394</v>
      </c>
      <c r="C94" s="9" t="s">
        <v>395</v>
      </c>
    </row>
    <row r="95" spans="1:3" ht="51">
      <c r="A95" s="5" t="s">
        <v>396</v>
      </c>
      <c r="B95" s="6" t="s">
        <v>397</v>
      </c>
      <c r="C95" s="9" t="s">
        <v>398</v>
      </c>
    </row>
    <row r="96" spans="1:3" ht="34">
      <c r="A96" s="5" t="s">
        <v>399</v>
      </c>
      <c r="B96" s="6" t="s">
        <v>400</v>
      </c>
      <c r="C96" s="9" t="s">
        <v>401</v>
      </c>
    </row>
    <row r="97" spans="1:3" ht="34">
      <c r="A97" s="5" t="s">
        <v>402</v>
      </c>
      <c r="B97" s="6" t="s">
        <v>403</v>
      </c>
      <c r="C97" s="9" t="s">
        <v>404</v>
      </c>
    </row>
    <row r="98" spans="1:3" ht="85">
      <c r="A98" s="5" t="s">
        <v>405</v>
      </c>
      <c r="B98" s="6" t="s">
        <v>406</v>
      </c>
      <c r="C98" s="9" t="s">
        <v>407</v>
      </c>
    </row>
    <row r="99" spans="1:3" ht="51">
      <c r="A99" s="5" t="s">
        <v>408</v>
      </c>
      <c r="B99" s="6" t="s">
        <v>409</v>
      </c>
      <c r="C99" s="9" t="s">
        <v>410</v>
      </c>
    </row>
    <row r="100" spans="1:3" ht="34">
      <c r="A100" s="5" t="s">
        <v>411</v>
      </c>
      <c r="B100" s="6" t="s">
        <v>412</v>
      </c>
      <c r="C100" s="9" t="s">
        <v>413</v>
      </c>
    </row>
    <row r="101" spans="1:3" ht="68">
      <c r="A101" s="5" t="s">
        <v>414</v>
      </c>
      <c r="B101" s="6" t="s">
        <v>415</v>
      </c>
      <c r="C101" s="9" t="s">
        <v>416</v>
      </c>
    </row>
    <row r="102" spans="1:3" ht="34">
      <c r="A102" s="5" t="s">
        <v>417</v>
      </c>
      <c r="B102" s="6" t="s">
        <v>418</v>
      </c>
      <c r="C102" s="9" t="s">
        <v>419</v>
      </c>
    </row>
    <row r="103" spans="1:3" ht="51">
      <c r="A103" s="5" t="s">
        <v>420</v>
      </c>
      <c r="B103" s="6" t="s">
        <v>421</v>
      </c>
      <c r="C103" s="9" t="s">
        <v>422</v>
      </c>
    </row>
    <row r="104" spans="1:3" ht="51">
      <c r="A104" s="5" t="s">
        <v>423</v>
      </c>
      <c r="B104" s="6" t="s">
        <v>424</v>
      </c>
      <c r="C104" s="9" t="s">
        <v>425</v>
      </c>
    </row>
    <row r="105" spans="1:3" ht="51">
      <c r="A105" s="5" t="s">
        <v>426</v>
      </c>
      <c r="B105" s="6" t="s">
        <v>427</v>
      </c>
      <c r="C105" s="9" t="s">
        <v>428</v>
      </c>
    </row>
    <row r="106" spans="1:3" ht="51">
      <c r="A106" s="5" t="s">
        <v>429</v>
      </c>
      <c r="B106" s="6" t="s">
        <v>430</v>
      </c>
      <c r="C106" s="9" t="s">
        <v>431</v>
      </c>
    </row>
    <row r="107" spans="1:3" ht="68">
      <c r="A107" s="5" t="s">
        <v>432</v>
      </c>
      <c r="B107" s="6" t="s">
        <v>433</v>
      </c>
      <c r="C107" s="9" t="s">
        <v>434</v>
      </c>
    </row>
    <row r="108" spans="1:3" ht="102">
      <c r="A108" s="5" t="s">
        <v>435</v>
      </c>
      <c r="B108" s="6" t="s">
        <v>436</v>
      </c>
      <c r="C108" s="9" t="s">
        <v>437</v>
      </c>
    </row>
    <row r="109" spans="1:3" ht="68">
      <c r="A109" s="5" t="s">
        <v>438</v>
      </c>
      <c r="B109" s="6" t="s">
        <v>439</v>
      </c>
      <c r="C109" s="9" t="s">
        <v>440</v>
      </c>
    </row>
    <row r="110" spans="1:3" ht="51">
      <c r="A110" s="5" t="s">
        <v>441</v>
      </c>
      <c r="B110" s="6" t="s">
        <v>442</v>
      </c>
      <c r="C110" s="9" t="s">
        <v>443</v>
      </c>
    </row>
    <row r="111" spans="1:3" ht="102">
      <c r="A111" s="5" t="s">
        <v>444</v>
      </c>
      <c r="B111" s="6" t="s">
        <v>445</v>
      </c>
      <c r="C111" s="9" t="s">
        <v>446</v>
      </c>
    </row>
    <row r="112" spans="1:3" ht="51">
      <c r="A112" s="5" t="s">
        <v>447</v>
      </c>
      <c r="B112" s="6" t="s">
        <v>448</v>
      </c>
      <c r="C112" s="9" t="s">
        <v>449</v>
      </c>
    </row>
    <row r="113" spans="1:3" ht="34">
      <c r="A113" s="5" t="s">
        <v>450</v>
      </c>
      <c r="B113" s="6" t="s">
        <v>451</v>
      </c>
      <c r="C113" s="9" t="s">
        <v>452</v>
      </c>
    </row>
    <row r="114" spans="1:3" ht="34">
      <c r="A114" s="5" t="s">
        <v>453</v>
      </c>
      <c r="B114" s="6" t="s">
        <v>454</v>
      </c>
      <c r="C114" s="9" t="s">
        <v>455</v>
      </c>
    </row>
    <row r="115" spans="1:3" ht="204">
      <c r="A115" s="5" t="s">
        <v>456</v>
      </c>
      <c r="B115" s="6" t="s">
        <v>457</v>
      </c>
      <c r="C115" s="9" t="s">
        <v>458</v>
      </c>
    </row>
    <row r="116" spans="1:3" ht="51">
      <c r="A116" s="5" t="s">
        <v>459</v>
      </c>
      <c r="B116" s="6" t="s">
        <v>460</v>
      </c>
      <c r="C116" s="9" t="s">
        <v>461</v>
      </c>
    </row>
    <row r="117" spans="1:3" ht="34">
      <c r="A117" s="5" t="s">
        <v>462</v>
      </c>
      <c r="B117" s="6" t="s">
        <v>463</v>
      </c>
      <c r="C117" s="9" t="s">
        <v>464</v>
      </c>
    </row>
    <row r="118" spans="1:3" ht="51">
      <c r="A118" s="5" t="s">
        <v>465</v>
      </c>
      <c r="B118" s="6" t="s">
        <v>466</v>
      </c>
      <c r="C118" s="9" t="s">
        <v>467</v>
      </c>
    </row>
    <row r="119" spans="1:3" ht="51">
      <c r="A119" s="5" t="s">
        <v>468</v>
      </c>
      <c r="B119" s="6" t="s">
        <v>469</v>
      </c>
      <c r="C119" s="9" t="s">
        <v>470</v>
      </c>
    </row>
    <row r="120" spans="1:3" ht="34">
      <c r="A120" s="5" t="s">
        <v>471</v>
      </c>
      <c r="B120" s="6" t="s">
        <v>472</v>
      </c>
      <c r="C120" s="9" t="s">
        <v>473</v>
      </c>
    </row>
    <row r="121" spans="1:3" ht="51">
      <c r="A121" s="5" t="s">
        <v>474</v>
      </c>
      <c r="B121" s="6" t="s">
        <v>475</v>
      </c>
      <c r="C121" s="9" t="s">
        <v>476</v>
      </c>
    </row>
    <row r="122" spans="1:3" ht="51">
      <c r="A122" s="5" t="s">
        <v>477</v>
      </c>
      <c r="B122" s="6" t="s">
        <v>478</v>
      </c>
      <c r="C122" s="9" t="s">
        <v>479</v>
      </c>
    </row>
    <row r="123" spans="1:3" ht="51">
      <c r="A123" s="5" t="s">
        <v>480</v>
      </c>
      <c r="B123" s="6" t="s">
        <v>481</v>
      </c>
      <c r="C123" s="9" t="s">
        <v>482</v>
      </c>
    </row>
    <row r="124" spans="1:3" ht="34">
      <c r="A124" s="5" t="s">
        <v>483</v>
      </c>
      <c r="B124" s="6" t="s">
        <v>484</v>
      </c>
      <c r="C124" s="9" t="s">
        <v>485</v>
      </c>
    </row>
    <row r="125" spans="1:3" ht="34">
      <c r="A125" s="5" t="s">
        <v>486</v>
      </c>
      <c r="B125" s="6" t="s">
        <v>487</v>
      </c>
      <c r="C125" s="9" t="s">
        <v>488</v>
      </c>
    </row>
    <row r="126" spans="1:3" ht="34">
      <c r="A126" s="5" t="s">
        <v>489</v>
      </c>
      <c r="B126" s="6" t="s">
        <v>490</v>
      </c>
      <c r="C126" s="9" t="s">
        <v>491</v>
      </c>
    </row>
    <row r="127" spans="1:3" ht="51">
      <c r="A127" s="5" t="s">
        <v>492</v>
      </c>
      <c r="B127" s="6" t="s">
        <v>493</v>
      </c>
      <c r="C127" s="9" t="s">
        <v>494</v>
      </c>
    </row>
    <row r="128" spans="1:3" ht="17">
      <c r="A128" s="5" t="s">
        <v>495</v>
      </c>
      <c r="B128" s="6" t="s">
        <v>496</v>
      </c>
      <c r="C128" s="9" t="s">
        <v>497</v>
      </c>
    </row>
    <row r="129" spans="1:3" ht="34">
      <c r="A129" s="5" t="s">
        <v>498</v>
      </c>
      <c r="B129" s="6" t="s">
        <v>499</v>
      </c>
      <c r="C129" s="9" t="s">
        <v>500</v>
      </c>
    </row>
    <row r="130" spans="1:3" ht="17">
      <c r="A130" s="5" t="s">
        <v>501</v>
      </c>
      <c r="B130" s="6" t="s">
        <v>502</v>
      </c>
      <c r="C130" s="9" t="s">
        <v>503</v>
      </c>
    </row>
    <row r="131" spans="1:3" ht="17">
      <c r="A131" s="5" t="s">
        <v>504</v>
      </c>
      <c r="B131" s="6" t="s">
        <v>505</v>
      </c>
      <c r="C131" s="9" t="s">
        <v>506</v>
      </c>
    </row>
    <row r="132" spans="1:3" ht="34">
      <c r="A132" s="5" t="s">
        <v>507</v>
      </c>
      <c r="B132" s="6" t="s">
        <v>508</v>
      </c>
      <c r="C132" s="9" t="s">
        <v>509</v>
      </c>
    </row>
    <row r="133" spans="1:3" ht="34">
      <c r="A133" s="5" t="s">
        <v>510</v>
      </c>
      <c r="B133" s="6" t="s">
        <v>511</v>
      </c>
      <c r="C133" s="9" t="s">
        <v>512</v>
      </c>
    </row>
    <row r="134" spans="1:3" ht="34">
      <c r="A134" s="5" t="s">
        <v>513</v>
      </c>
      <c r="B134" s="6" t="s">
        <v>514</v>
      </c>
      <c r="C134" s="9" t="s">
        <v>515</v>
      </c>
    </row>
    <row r="135" spans="1:3" ht="34">
      <c r="A135" s="5" t="s">
        <v>516</v>
      </c>
      <c r="B135" s="6" t="s">
        <v>517</v>
      </c>
      <c r="C135" s="9" t="s">
        <v>518</v>
      </c>
    </row>
    <row r="136" spans="1:3" ht="34">
      <c r="A136" s="5" t="s">
        <v>519</v>
      </c>
      <c r="B136" s="6" t="s">
        <v>520</v>
      </c>
      <c r="C136" s="9" t="s">
        <v>521</v>
      </c>
    </row>
    <row r="137" spans="1:3" ht="34">
      <c r="A137" s="5" t="s">
        <v>522</v>
      </c>
      <c r="B137" s="6" t="s">
        <v>523</v>
      </c>
      <c r="C137" s="9" t="s">
        <v>524</v>
      </c>
    </row>
    <row r="138" spans="1:3" ht="68">
      <c r="A138" s="5" t="s">
        <v>525</v>
      </c>
      <c r="B138" s="6" t="s">
        <v>526</v>
      </c>
      <c r="C138" s="9" t="s">
        <v>527</v>
      </c>
    </row>
    <row r="139" spans="1:3" ht="51">
      <c r="A139" s="5" t="s">
        <v>528</v>
      </c>
      <c r="B139" s="6" t="s">
        <v>529</v>
      </c>
      <c r="C139" s="9" t="s">
        <v>530</v>
      </c>
    </row>
    <row r="140" spans="1:3" ht="51">
      <c r="A140" s="5" t="s">
        <v>531</v>
      </c>
      <c r="B140" s="6" t="s">
        <v>532</v>
      </c>
      <c r="C140" s="9" t="s">
        <v>533</v>
      </c>
    </row>
    <row r="141" spans="1:3" ht="17">
      <c r="A141" s="5" t="s">
        <v>534</v>
      </c>
      <c r="B141" s="6" t="s">
        <v>535</v>
      </c>
      <c r="C141" s="9" t="s">
        <v>536</v>
      </c>
    </row>
    <row r="142" spans="1:3" ht="51">
      <c r="A142" s="5" t="s">
        <v>537</v>
      </c>
      <c r="B142" s="6" t="s">
        <v>538</v>
      </c>
      <c r="C142" s="9" t="s">
        <v>539</v>
      </c>
    </row>
    <row r="143" spans="1:3" ht="68">
      <c r="A143" s="5" t="s">
        <v>540</v>
      </c>
      <c r="B143" s="6" t="s">
        <v>541</v>
      </c>
      <c r="C143" s="9" t="s">
        <v>542</v>
      </c>
    </row>
    <row r="144" spans="1:3" ht="34">
      <c r="A144" s="5" t="s">
        <v>543</v>
      </c>
      <c r="B144" s="6" t="s">
        <v>544</v>
      </c>
      <c r="C144" s="9" t="s">
        <v>545</v>
      </c>
    </row>
    <row r="145" spans="1:3" ht="68">
      <c r="A145" s="5" t="s">
        <v>546</v>
      </c>
      <c r="B145" s="6" t="s">
        <v>547</v>
      </c>
      <c r="C145" s="9" t="s">
        <v>548</v>
      </c>
    </row>
    <row r="146" spans="1:3" ht="68">
      <c r="A146" s="5" t="s">
        <v>549</v>
      </c>
      <c r="B146" s="6" t="s">
        <v>550</v>
      </c>
      <c r="C146" s="9" t="s">
        <v>551</v>
      </c>
    </row>
    <row r="147" spans="1:3" ht="34">
      <c r="A147" s="5" t="s">
        <v>552</v>
      </c>
      <c r="B147" s="6" t="s">
        <v>553</v>
      </c>
      <c r="C147" s="9" t="s">
        <v>554</v>
      </c>
    </row>
    <row r="148" spans="1:3" ht="51">
      <c r="A148" s="5" t="s">
        <v>555</v>
      </c>
      <c r="B148" s="6" t="s">
        <v>556</v>
      </c>
      <c r="C148" s="9" t="s">
        <v>557</v>
      </c>
    </row>
    <row r="149" spans="1:3" ht="34">
      <c r="A149" s="5" t="s">
        <v>558</v>
      </c>
      <c r="B149" s="6" t="s">
        <v>559</v>
      </c>
      <c r="C149" s="9" t="s">
        <v>560</v>
      </c>
    </row>
    <row r="150" spans="1:3" ht="68">
      <c r="A150" s="5" t="s">
        <v>561</v>
      </c>
      <c r="B150" s="6" t="s">
        <v>562</v>
      </c>
      <c r="C150" s="9" t="s">
        <v>563</v>
      </c>
    </row>
    <row r="151" spans="1:3" ht="68">
      <c r="A151" s="5" t="s">
        <v>564</v>
      </c>
      <c r="B151" s="6" t="s">
        <v>565</v>
      </c>
      <c r="C151" s="9" t="s">
        <v>566</v>
      </c>
    </row>
    <row r="152" spans="1:3" ht="34">
      <c r="A152" s="5" t="s">
        <v>567</v>
      </c>
      <c r="B152" s="6" t="s">
        <v>568</v>
      </c>
      <c r="C152" s="9" t="s">
        <v>569</v>
      </c>
    </row>
    <row r="153" spans="1:3" ht="34">
      <c r="A153" s="5" t="s">
        <v>570</v>
      </c>
      <c r="B153" s="6" t="s">
        <v>571</v>
      </c>
      <c r="C153" s="9" t="s">
        <v>572</v>
      </c>
    </row>
    <row r="154" spans="1:3" ht="34">
      <c r="A154" s="5" t="s">
        <v>573</v>
      </c>
      <c r="B154" s="6" t="s">
        <v>574</v>
      </c>
      <c r="C154" s="9" t="s">
        <v>575</v>
      </c>
    </row>
    <row r="155" spans="1:3" ht="51">
      <c r="A155" s="5" t="s">
        <v>576</v>
      </c>
      <c r="B155" s="6" t="s">
        <v>577</v>
      </c>
      <c r="C155" s="9" t="s">
        <v>578</v>
      </c>
    </row>
    <row r="156" spans="1:3" ht="34">
      <c r="A156" s="5" t="s">
        <v>579</v>
      </c>
      <c r="B156" s="6" t="s">
        <v>580</v>
      </c>
      <c r="C156" s="9" t="s">
        <v>581</v>
      </c>
    </row>
    <row r="157" spans="1:3" ht="51">
      <c r="A157" s="5" t="s">
        <v>583</v>
      </c>
      <c r="B157" s="6" t="s">
        <v>582</v>
      </c>
      <c r="C157" s="9" t="s">
        <v>584</v>
      </c>
    </row>
    <row r="158" spans="1:3" ht="51">
      <c r="A158" s="5" t="s">
        <v>585</v>
      </c>
      <c r="B158" s="6" t="s">
        <v>586</v>
      </c>
      <c r="C158" s="9" t="s">
        <v>587</v>
      </c>
    </row>
    <row r="159" spans="1:3" ht="34">
      <c r="A159" s="5" t="s">
        <v>588</v>
      </c>
      <c r="B159" s="6" t="s">
        <v>589</v>
      </c>
      <c r="C159" s="9" t="s">
        <v>590</v>
      </c>
    </row>
    <row r="160" spans="1:3" ht="68">
      <c r="A160" s="5" t="s">
        <v>591</v>
      </c>
      <c r="B160" s="6" t="s">
        <v>592</v>
      </c>
      <c r="C160" s="9" t="s">
        <v>593</v>
      </c>
    </row>
    <row r="161" spans="1:3" ht="68">
      <c r="A161" s="5" t="s">
        <v>594</v>
      </c>
      <c r="B161" s="6" t="s">
        <v>595</v>
      </c>
      <c r="C161" s="9" t="s">
        <v>596</v>
      </c>
    </row>
    <row r="162" spans="1:3" ht="51">
      <c r="A162" s="5" t="s">
        <v>597</v>
      </c>
      <c r="B162" s="6" t="s">
        <v>598</v>
      </c>
      <c r="C162" s="9" t="s">
        <v>599</v>
      </c>
    </row>
    <row r="163" spans="1:3" ht="85">
      <c r="A163" s="5" t="s">
        <v>600</v>
      </c>
      <c r="B163" s="6" t="s">
        <v>601</v>
      </c>
      <c r="C163" s="9" t="s">
        <v>602</v>
      </c>
    </row>
    <row r="164" spans="1:3" ht="68">
      <c r="A164" s="5" t="s">
        <v>603</v>
      </c>
      <c r="B164" s="6" t="s">
        <v>604</v>
      </c>
      <c r="C164" s="9" t="s">
        <v>605</v>
      </c>
    </row>
    <row r="165" spans="1:3" ht="51">
      <c r="A165" s="5" t="s">
        <v>606</v>
      </c>
      <c r="B165" s="6" t="s">
        <v>607</v>
      </c>
      <c r="C165" s="9" t="s">
        <v>608</v>
      </c>
    </row>
    <row r="166" spans="1:3" ht="306">
      <c r="A166" s="5" t="s">
        <v>609</v>
      </c>
      <c r="B166" s="6" t="s">
        <v>610</v>
      </c>
      <c r="C166" s="9" t="s">
        <v>611</v>
      </c>
    </row>
    <row r="167" spans="1:3" ht="17">
      <c r="A167" s="5" t="s">
        <v>612</v>
      </c>
      <c r="B167" s="6" t="s">
        <v>613</v>
      </c>
      <c r="C167" s="9" t="s">
        <v>614</v>
      </c>
    </row>
    <row r="168" spans="1:3" ht="51">
      <c r="A168" s="5" t="s">
        <v>615</v>
      </c>
      <c r="B168" s="6" t="s">
        <v>616</v>
      </c>
      <c r="C168" s="9" t="s">
        <v>617</v>
      </c>
    </row>
    <row r="169" spans="1:3" ht="34">
      <c r="A169" s="5" t="s">
        <v>618</v>
      </c>
      <c r="B169" s="6" t="s">
        <v>619</v>
      </c>
      <c r="C169" s="9" t="s">
        <v>620</v>
      </c>
    </row>
    <row r="170" spans="1:3" ht="68">
      <c r="A170" s="5" t="s">
        <v>621</v>
      </c>
      <c r="B170" s="6" t="s">
        <v>622</v>
      </c>
      <c r="C170" s="9" t="s">
        <v>623</v>
      </c>
    </row>
    <row r="171" spans="1:3" ht="51">
      <c r="A171" s="5" t="s">
        <v>624</v>
      </c>
      <c r="B171" s="6" t="s">
        <v>625</v>
      </c>
      <c r="C171" s="9" t="s">
        <v>626</v>
      </c>
    </row>
    <row r="172" spans="1:3" ht="68">
      <c r="A172" s="5" t="s">
        <v>627</v>
      </c>
      <c r="B172" s="6" t="s">
        <v>628</v>
      </c>
      <c r="C172" s="9" t="s">
        <v>629</v>
      </c>
    </row>
    <row r="173" spans="1:3" ht="68">
      <c r="A173" s="5" t="s">
        <v>630</v>
      </c>
      <c r="B173" s="6" t="s">
        <v>631</v>
      </c>
      <c r="C173" s="9" t="s">
        <v>632</v>
      </c>
    </row>
    <row r="174" spans="1:3" ht="51">
      <c r="A174" s="5" t="s">
        <v>633</v>
      </c>
      <c r="B174" s="6" t="s">
        <v>634</v>
      </c>
      <c r="C174" s="9" t="s">
        <v>635</v>
      </c>
    </row>
    <row r="175" spans="1:3" ht="51">
      <c r="A175" s="5" t="s">
        <v>636</v>
      </c>
      <c r="B175" s="6" t="s">
        <v>637</v>
      </c>
      <c r="C175" s="9" t="s">
        <v>638</v>
      </c>
    </row>
    <row r="176" spans="1:3" ht="34">
      <c r="A176" s="5" t="s">
        <v>639</v>
      </c>
      <c r="B176" s="6" t="s">
        <v>640</v>
      </c>
      <c r="C176" s="9" t="s">
        <v>641</v>
      </c>
    </row>
    <row r="177" spans="1:3" ht="51">
      <c r="A177" s="5" t="s">
        <v>642</v>
      </c>
      <c r="B177" s="6" t="s">
        <v>643</v>
      </c>
      <c r="C177" s="9" t="s">
        <v>644</v>
      </c>
    </row>
    <row r="178" spans="1:3" ht="34">
      <c r="A178" s="5" t="s">
        <v>645</v>
      </c>
      <c r="B178" s="6" t="s">
        <v>646</v>
      </c>
      <c r="C178" s="9" t="s">
        <v>647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923D-CE19-1D44-B406-64A2EE80BDEE}">
  <dimension ref="A1:C42"/>
  <sheetViews>
    <sheetView showGridLines="0" workbookViewId="0">
      <selection activeCell="C8" sqref="C8"/>
    </sheetView>
  </sheetViews>
  <sheetFormatPr baseColWidth="10" defaultRowHeight="16"/>
  <cols>
    <col min="1" max="1" width="40.83203125" style="8" customWidth="1"/>
    <col min="2" max="2" width="31.33203125" style="12" bestFit="1" customWidth="1"/>
    <col min="3" max="3" width="80.83203125" customWidth="1"/>
  </cols>
  <sheetData>
    <row r="1" spans="1:3" ht="17">
      <c r="A1" s="8" t="s">
        <v>831</v>
      </c>
      <c r="B1" s="12" t="s">
        <v>880</v>
      </c>
      <c r="C1" s="2" t="s">
        <v>838</v>
      </c>
    </row>
    <row r="2" spans="1:3" ht="51">
      <c r="A2" s="8" t="s">
        <v>832</v>
      </c>
      <c r="B2" s="8" t="s">
        <v>881</v>
      </c>
      <c r="C2" s="2" t="s">
        <v>839</v>
      </c>
    </row>
    <row r="3" spans="1:3" ht="51">
      <c r="A3" s="8" t="s">
        <v>832</v>
      </c>
      <c r="B3" s="8" t="s">
        <v>882</v>
      </c>
      <c r="C3" s="2" t="s">
        <v>840</v>
      </c>
    </row>
    <row r="4" spans="1:3" ht="34">
      <c r="A4" s="8" t="s">
        <v>832</v>
      </c>
      <c r="B4" s="8" t="s">
        <v>883</v>
      </c>
      <c r="C4" s="2" t="s">
        <v>841</v>
      </c>
    </row>
    <row r="5" spans="1:3" ht="17">
      <c r="A5" s="8" t="s">
        <v>832</v>
      </c>
      <c r="B5" s="8" t="s">
        <v>884</v>
      </c>
      <c r="C5" s="2" t="s">
        <v>842</v>
      </c>
    </row>
    <row r="6" spans="1:3" ht="17">
      <c r="A6" s="8" t="s">
        <v>832</v>
      </c>
      <c r="B6" s="8" t="s">
        <v>885</v>
      </c>
      <c r="C6" s="2" t="s">
        <v>843</v>
      </c>
    </row>
    <row r="7" spans="1:3" ht="17">
      <c r="A7" s="8" t="s">
        <v>832</v>
      </c>
      <c r="B7" s="8" t="s">
        <v>886</v>
      </c>
      <c r="C7" s="2" t="s">
        <v>844</v>
      </c>
    </row>
    <row r="8" spans="1:3" ht="34">
      <c r="A8" s="8" t="s">
        <v>832</v>
      </c>
      <c r="B8" s="8" t="s">
        <v>887</v>
      </c>
      <c r="C8" s="2" t="s">
        <v>845</v>
      </c>
    </row>
    <row r="9" spans="1:3" ht="34">
      <c r="A9" s="8" t="s">
        <v>833</v>
      </c>
      <c r="B9" s="8" t="s">
        <v>888</v>
      </c>
      <c r="C9" s="2" t="s">
        <v>846</v>
      </c>
    </row>
    <row r="10" spans="1:3" ht="34">
      <c r="A10" s="8" t="s">
        <v>833</v>
      </c>
      <c r="B10" s="8" t="s">
        <v>889</v>
      </c>
      <c r="C10" s="2" t="s">
        <v>847</v>
      </c>
    </row>
    <row r="11" spans="1:3" ht="17">
      <c r="A11" s="8" t="s">
        <v>833</v>
      </c>
      <c r="B11" s="8" t="s">
        <v>890</v>
      </c>
      <c r="C11" s="2" t="s">
        <v>848</v>
      </c>
    </row>
    <row r="12" spans="1:3" ht="34">
      <c r="A12" s="8" t="s">
        <v>833</v>
      </c>
      <c r="B12" s="8" t="s">
        <v>891</v>
      </c>
      <c r="C12" s="2" t="s">
        <v>849</v>
      </c>
    </row>
    <row r="13" spans="1:3" ht="34">
      <c r="A13" s="8" t="s">
        <v>833</v>
      </c>
      <c r="B13" s="8" t="s">
        <v>892</v>
      </c>
      <c r="C13" s="2" t="s">
        <v>850</v>
      </c>
    </row>
    <row r="14" spans="1:3" ht="34">
      <c r="A14" s="8" t="s">
        <v>833</v>
      </c>
      <c r="B14" s="8" t="s">
        <v>893</v>
      </c>
      <c r="C14" s="2" t="s">
        <v>851</v>
      </c>
    </row>
    <row r="15" spans="1:3" ht="17">
      <c r="A15" s="8" t="s">
        <v>833</v>
      </c>
      <c r="B15" s="8" t="s">
        <v>894</v>
      </c>
      <c r="C15" s="2" t="s">
        <v>852</v>
      </c>
    </row>
    <row r="16" spans="1:3" ht="34">
      <c r="A16" s="8" t="s">
        <v>833</v>
      </c>
      <c r="B16" s="8" t="s">
        <v>895</v>
      </c>
      <c r="C16" s="2" t="s">
        <v>853</v>
      </c>
    </row>
    <row r="17" spans="1:3" ht="34">
      <c r="A17" s="8" t="s">
        <v>834</v>
      </c>
      <c r="B17" s="8" t="s">
        <v>896</v>
      </c>
      <c r="C17" s="2" t="s">
        <v>854</v>
      </c>
    </row>
    <row r="18" spans="1:3" ht="17">
      <c r="A18" s="8" t="s">
        <v>834</v>
      </c>
      <c r="B18" s="8" t="s">
        <v>897</v>
      </c>
      <c r="C18" s="2" t="s">
        <v>855</v>
      </c>
    </row>
    <row r="19" spans="1:3" ht="34">
      <c r="A19" s="8" t="s">
        <v>834</v>
      </c>
      <c r="B19" s="8" t="s">
        <v>898</v>
      </c>
      <c r="C19" s="2" t="s">
        <v>856</v>
      </c>
    </row>
    <row r="20" spans="1:3" ht="34">
      <c r="A20" s="8" t="s">
        <v>834</v>
      </c>
      <c r="B20" s="8" t="s">
        <v>899</v>
      </c>
      <c r="C20" s="2" t="s">
        <v>857</v>
      </c>
    </row>
    <row r="21" spans="1:3" ht="34">
      <c r="A21" s="8" t="s">
        <v>834</v>
      </c>
      <c r="B21" s="8" t="s">
        <v>900</v>
      </c>
      <c r="C21" s="2" t="s">
        <v>858</v>
      </c>
    </row>
    <row r="22" spans="1:3" ht="34">
      <c r="A22" s="8" t="s">
        <v>834</v>
      </c>
      <c r="B22" s="8" t="s">
        <v>901</v>
      </c>
      <c r="C22" s="2" t="s">
        <v>859</v>
      </c>
    </row>
    <row r="23" spans="1:3" ht="34">
      <c r="A23" s="8" t="s">
        <v>835</v>
      </c>
      <c r="B23" s="8" t="s">
        <v>902</v>
      </c>
      <c r="C23" s="2" t="s">
        <v>860</v>
      </c>
    </row>
    <row r="24" spans="1:3" ht="34">
      <c r="A24" s="8" t="s">
        <v>835</v>
      </c>
      <c r="B24" s="8" t="s">
        <v>903</v>
      </c>
      <c r="C24" s="2" t="s">
        <v>861</v>
      </c>
    </row>
    <row r="25" spans="1:3" ht="51">
      <c r="A25" s="8" t="s">
        <v>835</v>
      </c>
      <c r="B25" s="8" t="s">
        <v>904</v>
      </c>
      <c r="C25" s="2" t="s">
        <v>862</v>
      </c>
    </row>
    <row r="26" spans="1:3" ht="17">
      <c r="A26" s="8" t="s">
        <v>835</v>
      </c>
      <c r="B26" s="8" t="s">
        <v>905</v>
      </c>
      <c r="C26" s="2" t="s">
        <v>863</v>
      </c>
    </row>
    <row r="27" spans="1:3" ht="34">
      <c r="A27" s="8" t="s">
        <v>835</v>
      </c>
      <c r="B27" s="8" t="s">
        <v>906</v>
      </c>
      <c r="C27" s="2" t="s">
        <v>864</v>
      </c>
    </row>
    <row r="28" spans="1:3" ht="17">
      <c r="A28" s="8" t="s">
        <v>835</v>
      </c>
      <c r="B28" s="8" t="s">
        <v>907</v>
      </c>
      <c r="C28" s="2" t="s">
        <v>865</v>
      </c>
    </row>
    <row r="29" spans="1:3" ht="34">
      <c r="A29" s="8" t="s">
        <v>836</v>
      </c>
      <c r="B29" s="8" t="s">
        <v>908</v>
      </c>
      <c r="C29" s="2" t="s">
        <v>866</v>
      </c>
    </row>
    <row r="30" spans="1:3" ht="34">
      <c r="A30" s="8" t="s">
        <v>836</v>
      </c>
      <c r="B30" s="8" t="s">
        <v>909</v>
      </c>
      <c r="C30" s="2" t="s">
        <v>867</v>
      </c>
    </row>
    <row r="31" spans="1:3" ht="34">
      <c r="A31" s="8" t="s">
        <v>836</v>
      </c>
      <c r="B31" s="8" t="s">
        <v>910</v>
      </c>
      <c r="C31" s="2" t="s">
        <v>868</v>
      </c>
    </row>
    <row r="32" spans="1:3" ht="17">
      <c r="A32" s="8" t="s">
        <v>836</v>
      </c>
      <c r="B32" s="8" t="s">
        <v>911</v>
      </c>
      <c r="C32" s="2" t="s">
        <v>869</v>
      </c>
    </row>
    <row r="33" spans="1:3" ht="17">
      <c r="A33" s="8" t="s">
        <v>836</v>
      </c>
      <c r="B33" s="8" t="s">
        <v>912</v>
      </c>
      <c r="C33" s="2" t="s">
        <v>870</v>
      </c>
    </row>
    <row r="34" spans="1:3" ht="17">
      <c r="A34" s="8" t="s">
        <v>836</v>
      </c>
      <c r="B34" s="8" t="s">
        <v>913</v>
      </c>
      <c r="C34" s="2" t="s">
        <v>871</v>
      </c>
    </row>
    <row r="35" spans="1:3" ht="34">
      <c r="A35" s="8" t="s">
        <v>837</v>
      </c>
      <c r="B35" s="8" t="s">
        <v>914</v>
      </c>
      <c r="C35" s="2" t="s">
        <v>872</v>
      </c>
    </row>
    <row r="36" spans="1:3" ht="34">
      <c r="A36" s="8" t="s">
        <v>837</v>
      </c>
      <c r="B36" s="8" t="s">
        <v>915</v>
      </c>
      <c r="C36" s="2" t="s">
        <v>873</v>
      </c>
    </row>
    <row r="37" spans="1:3" ht="34">
      <c r="A37" s="8" t="s">
        <v>837</v>
      </c>
      <c r="B37" s="8" t="s">
        <v>916</v>
      </c>
      <c r="C37" s="2" t="s">
        <v>874</v>
      </c>
    </row>
    <row r="38" spans="1:3" ht="34">
      <c r="A38" s="8" t="s">
        <v>837</v>
      </c>
      <c r="B38" s="8" t="s">
        <v>917</v>
      </c>
      <c r="C38" s="2" t="s">
        <v>875</v>
      </c>
    </row>
    <row r="39" spans="1:3" ht="34">
      <c r="A39" s="8" t="s">
        <v>837</v>
      </c>
      <c r="B39" s="8" t="s">
        <v>918</v>
      </c>
      <c r="C39" s="2" t="s">
        <v>876</v>
      </c>
    </row>
    <row r="40" spans="1:3" ht="34">
      <c r="A40" s="8" t="s">
        <v>837</v>
      </c>
      <c r="B40" s="8" t="s">
        <v>919</v>
      </c>
      <c r="C40" s="2" t="s">
        <v>877</v>
      </c>
    </row>
    <row r="41" spans="1:3" ht="34">
      <c r="A41" s="8" t="s">
        <v>837</v>
      </c>
      <c r="B41" s="8" t="s">
        <v>920</v>
      </c>
      <c r="C41" s="2" t="s">
        <v>878</v>
      </c>
    </row>
    <row r="42" spans="1:3" ht="51">
      <c r="A42" s="8" t="s">
        <v>837</v>
      </c>
      <c r="B42" s="8" t="s">
        <v>921</v>
      </c>
      <c r="C42" s="2" t="s">
        <v>879</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C8711-9F29-954C-9CB2-38EBDFFB6514}">
  <dimension ref="B2:M41"/>
  <sheetViews>
    <sheetView showGridLines="0" topLeftCell="A3" workbookViewId="0">
      <selection activeCell="E19" sqref="E19"/>
    </sheetView>
  </sheetViews>
  <sheetFormatPr baseColWidth="10" defaultRowHeight="16"/>
  <cols>
    <col min="1" max="1" width="2.83203125" style="5" customWidth="1"/>
    <col min="2" max="16384" width="10.83203125" style="5"/>
  </cols>
  <sheetData>
    <row r="2" spans="2:13">
      <c r="C2" s="71">
        <v>0</v>
      </c>
      <c r="D2" s="72">
        <v>0.5</v>
      </c>
      <c r="E2" s="72">
        <v>1</v>
      </c>
      <c r="F2" s="72">
        <v>1.5</v>
      </c>
      <c r="G2" s="72">
        <v>2</v>
      </c>
      <c r="H2" s="72">
        <v>2.5</v>
      </c>
      <c r="I2" s="72">
        <v>3</v>
      </c>
      <c r="J2" s="72">
        <v>3.5</v>
      </c>
      <c r="K2" s="72">
        <v>4</v>
      </c>
      <c r="L2" s="72">
        <v>4.5</v>
      </c>
      <c r="M2" s="73">
        <v>5</v>
      </c>
    </row>
    <row r="3" spans="2:13">
      <c r="B3" s="68">
        <v>0</v>
      </c>
      <c r="C3" s="15">
        <v>0</v>
      </c>
      <c r="D3" s="16">
        <v>5</v>
      </c>
      <c r="E3" s="16">
        <v>10</v>
      </c>
      <c r="F3" s="16">
        <v>15</v>
      </c>
      <c r="G3" s="16">
        <v>19</v>
      </c>
      <c r="H3" s="16">
        <v>23</v>
      </c>
      <c r="I3" s="16">
        <v>27</v>
      </c>
      <c r="J3" s="16">
        <v>31</v>
      </c>
      <c r="K3" s="16">
        <v>35</v>
      </c>
      <c r="L3" s="16">
        <v>39</v>
      </c>
      <c r="M3" s="17">
        <v>42</v>
      </c>
    </row>
    <row r="4" spans="2:13">
      <c r="B4" s="69">
        <v>1</v>
      </c>
      <c r="C4" s="18">
        <v>3</v>
      </c>
      <c r="D4" s="19">
        <v>8</v>
      </c>
      <c r="E4" s="19">
        <v>13</v>
      </c>
      <c r="F4" s="19">
        <v>17</v>
      </c>
      <c r="G4" s="19">
        <v>22</v>
      </c>
      <c r="H4" s="19">
        <v>26</v>
      </c>
      <c r="I4" s="19">
        <v>30</v>
      </c>
      <c r="J4" s="19">
        <v>34</v>
      </c>
      <c r="K4" s="19">
        <v>38</v>
      </c>
      <c r="L4" s="19">
        <v>41</v>
      </c>
      <c r="M4" s="20">
        <v>45</v>
      </c>
    </row>
    <row r="5" spans="2:13">
      <c r="B5" s="69">
        <v>2</v>
      </c>
      <c r="C5" s="18">
        <v>7</v>
      </c>
      <c r="D5" s="19">
        <v>11</v>
      </c>
      <c r="E5" s="19">
        <v>16</v>
      </c>
      <c r="F5" s="19">
        <v>20</v>
      </c>
      <c r="G5" s="19">
        <v>25</v>
      </c>
      <c r="H5" s="19">
        <v>29</v>
      </c>
      <c r="I5" s="19">
        <v>32</v>
      </c>
      <c r="J5" s="19">
        <v>36</v>
      </c>
      <c r="K5" s="19">
        <v>40</v>
      </c>
      <c r="L5" s="19">
        <v>44</v>
      </c>
      <c r="M5" s="21">
        <v>47</v>
      </c>
    </row>
    <row r="6" spans="2:13">
      <c r="B6" s="69">
        <v>3</v>
      </c>
      <c r="C6" s="18">
        <v>10</v>
      </c>
      <c r="D6" s="19">
        <v>15</v>
      </c>
      <c r="E6" s="19">
        <v>19</v>
      </c>
      <c r="F6" s="19">
        <v>23</v>
      </c>
      <c r="G6" s="19">
        <v>27</v>
      </c>
      <c r="H6" s="19">
        <v>31</v>
      </c>
      <c r="I6" s="19">
        <v>35</v>
      </c>
      <c r="J6" s="19">
        <v>39</v>
      </c>
      <c r="K6" s="19">
        <v>42</v>
      </c>
      <c r="L6" s="22">
        <v>46</v>
      </c>
      <c r="M6" s="23">
        <v>49</v>
      </c>
    </row>
    <row r="7" spans="2:13">
      <c r="B7" s="69">
        <v>4</v>
      </c>
      <c r="C7" s="18">
        <v>13</v>
      </c>
      <c r="D7" s="19">
        <v>17</v>
      </c>
      <c r="E7" s="19">
        <v>22</v>
      </c>
      <c r="F7" s="19">
        <v>26</v>
      </c>
      <c r="G7" s="19">
        <v>30</v>
      </c>
      <c r="H7" s="19">
        <v>34</v>
      </c>
      <c r="I7" s="19">
        <v>38</v>
      </c>
      <c r="J7" s="19">
        <v>41</v>
      </c>
      <c r="K7" s="24">
        <v>45</v>
      </c>
      <c r="L7" s="25">
        <v>48</v>
      </c>
      <c r="M7" s="20">
        <v>51</v>
      </c>
    </row>
    <row r="8" spans="2:13">
      <c r="B8" s="69">
        <v>5</v>
      </c>
      <c r="C8" s="18">
        <v>16</v>
      </c>
      <c r="D8" s="26">
        <v>20</v>
      </c>
      <c r="E8" s="26">
        <v>25</v>
      </c>
      <c r="F8" s="26">
        <v>29</v>
      </c>
      <c r="G8" s="26">
        <v>32</v>
      </c>
      <c r="H8" s="26">
        <v>36</v>
      </c>
      <c r="I8" s="26">
        <v>40</v>
      </c>
      <c r="J8" s="26">
        <v>44</v>
      </c>
      <c r="K8" s="27">
        <v>47</v>
      </c>
      <c r="L8" s="26">
        <v>50</v>
      </c>
      <c r="M8" s="28">
        <v>53</v>
      </c>
    </row>
    <row r="9" spans="2:13">
      <c r="B9" s="69">
        <v>6</v>
      </c>
      <c r="C9" s="18">
        <v>19</v>
      </c>
      <c r="D9" s="26">
        <v>23</v>
      </c>
      <c r="E9" s="26">
        <v>27</v>
      </c>
      <c r="F9" s="26">
        <v>31</v>
      </c>
      <c r="G9" s="26">
        <v>35</v>
      </c>
      <c r="H9" s="26">
        <v>39</v>
      </c>
      <c r="I9" s="26">
        <v>42</v>
      </c>
      <c r="J9" s="29">
        <v>46</v>
      </c>
      <c r="K9" s="30">
        <v>49</v>
      </c>
      <c r="L9" s="31">
        <v>52</v>
      </c>
      <c r="M9" s="32">
        <v>55</v>
      </c>
    </row>
    <row r="10" spans="2:13">
      <c r="B10" s="69">
        <v>7</v>
      </c>
      <c r="C10" s="18">
        <v>22</v>
      </c>
      <c r="D10" s="26">
        <v>26</v>
      </c>
      <c r="E10" s="26">
        <v>30</v>
      </c>
      <c r="F10" s="26">
        <v>34</v>
      </c>
      <c r="G10" s="26">
        <v>38</v>
      </c>
      <c r="H10" s="26">
        <v>41</v>
      </c>
      <c r="I10" s="29">
        <v>45</v>
      </c>
      <c r="J10" s="30">
        <v>48</v>
      </c>
      <c r="K10" s="26">
        <v>51</v>
      </c>
      <c r="L10" s="28">
        <v>54</v>
      </c>
      <c r="M10" s="32">
        <v>57</v>
      </c>
    </row>
    <row r="11" spans="2:13">
      <c r="B11" s="69">
        <v>8</v>
      </c>
      <c r="C11" s="18">
        <v>25</v>
      </c>
      <c r="D11" s="26">
        <v>29</v>
      </c>
      <c r="E11" s="26">
        <v>32</v>
      </c>
      <c r="F11" s="26">
        <v>36</v>
      </c>
      <c r="G11" s="26">
        <v>40</v>
      </c>
      <c r="H11" s="33">
        <v>44</v>
      </c>
      <c r="I11" s="30">
        <v>47</v>
      </c>
      <c r="J11" s="26">
        <v>50</v>
      </c>
      <c r="K11" s="28">
        <v>53</v>
      </c>
      <c r="L11" s="34">
        <v>56</v>
      </c>
      <c r="M11" s="32">
        <v>59</v>
      </c>
    </row>
    <row r="12" spans="2:13">
      <c r="B12" s="69">
        <v>9</v>
      </c>
      <c r="C12" s="18">
        <v>27</v>
      </c>
      <c r="D12" s="26">
        <v>31</v>
      </c>
      <c r="E12" s="26">
        <v>35</v>
      </c>
      <c r="F12" s="26">
        <v>39</v>
      </c>
      <c r="G12" s="26">
        <v>42</v>
      </c>
      <c r="H12" s="29">
        <v>46</v>
      </c>
      <c r="I12" s="35">
        <v>49</v>
      </c>
      <c r="J12" s="31">
        <v>52</v>
      </c>
      <c r="K12" s="34">
        <v>55</v>
      </c>
      <c r="L12" s="34">
        <v>58</v>
      </c>
      <c r="M12" s="32">
        <v>61</v>
      </c>
    </row>
    <row r="13" spans="2:13">
      <c r="B13" s="69">
        <v>10</v>
      </c>
      <c r="C13" s="18">
        <v>30</v>
      </c>
      <c r="D13" s="26">
        <v>34</v>
      </c>
      <c r="E13" s="26">
        <v>38</v>
      </c>
      <c r="F13" s="26">
        <v>41</v>
      </c>
      <c r="G13" s="33">
        <v>45</v>
      </c>
      <c r="H13" s="30">
        <v>48</v>
      </c>
      <c r="I13" s="26">
        <v>51</v>
      </c>
      <c r="J13" s="28">
        <v>54</v>
      </c>
      <c r="K13" s="36">
        <v>57</v>
      </c>
      <c r="L13" s="37">
        <v>60</v>
      </c>
      <c r="M13" s="32">
        <v>63</v>
      </c>
    </row>
    <row r="14" spans="2:13">
      <c r="B14" s="69">
        <v>11</v>
      </c>
      <c r="C14" s="18">
        <v>32</v>
      </c>
      <c r="D14" s="26">
        <v>36</v>
      </c>
      <c r="E14" s="26">
        <v>40</v>
      </c>
      <c r="F14" s="26">
        <v>44</v>
      </c>
      <c r="G14" s="27">
        <v>47</v>
      </c>
      <c r="H14" s="26">
        <v>50</v>
      </c>
      <c r="I14" s="28">
        <v>53</v>
      </c>
      <c r="J14" s="34">
        <v>56</v>
      </c>
      <c r="K14" s="34">
        <v>59</v>
      </c>
      <c r="L14" s="34">
        <v>62</v>
      </c>
      <c r="M14" s="38">
        <v>64</v>
      </c>
    </row>
    <row r="15" spans="2:13">
      <c r="B15" s="69">
        <v>12</v>
      </c>
      <c r="C15" s="18">
        <v>35</v>
      </c>
      <c r="D15" s="26">
        <v>39</v>
      </c>
      <c r="E15" s="26">
        <v>42</v>
      </c>
      <c r="F15" s="29">
        <v>46</v>
      </c>
      <c r="G15" s="30">
        <v>49</v>
      </c>
      <c r="H15" s="31">
        <v>52</v>
      </c>
      <c r="I15" s="34">
        <v>55</v>
      </c>
      <c r="J15" s="36">
        <v>58</v>
      </c>
      <c r="K15" s="37">
        <v>61</v>
      </c>
      <c r="L15" s="38">
        <v>64</v>
      </c>
      <c r="M15" s="39">
        <v>66</v>
      </c>
    </row>
    <row r="16" spans="2:13">
      <c r="B16" s="69">
        <v>13</v>
      </c>
      <c r="C16" s="18">
        <v>38</v>
      </c>
      <c r="D16" s="26">
        <v>41</v>
      </c>
      <c r="E16" s="33">
        <v>45</v>
      </c>
      <c r="F16" s="30">
        <v>48</v>
      </c>
      <c r="G16" s="26">
        <v>51</v>
      </c>
      <c r="H16" s="28">
        <v>54</v>
      </c>
      <c r="I16" s="36">
        <v>57</v>
      </c>
      <c r="J16" s="37">
        <v>60</v>
      </c>
      <c r="K16" s="32">
        <v>63</v>
      </c>
      <c r="L16" s="40">
        <v>65</v>
      </c>
      <c r="M16" s="39">
        <v>68</v>
      </c>
    </row>
    <row r="17" spans="2:13">
      <c r="B17" s="69">
        <v>14</v>
      </c>
      <c r="C17" s="18">
        <v>40</v>
      </c>
      <c r="D17" s="26">
        <v>44</v>
      </c>
      <c r="E17" s="27">
        <v>47</v>
      </c>
      <c r="F17" s="26">
        <v>50</v>
      </c>
      <c r="G17" s="28">
        <v>53</v>
      </c>
      <c r="H17" s="36">
        <v>56</v>
      </c>
      <c r="I17" s="37">
        <v>59</v>
      </c>
      <c r="J17" s="34">
        <v>62</v>
      </c>
      <c r="K17" s="38">
        <v>64</v>
      </c>
      <c r="L17" s="40">
        <v>67</v>
      </c>
      <c r="M17" s="39">
        <v>69</v>
      </c>
    </row>
    <row r="18" spans="2:13">
      <c r="B18" s="69">
        <v>15</v>
      </c>
      <c r="C18" s="18">
        <v>42</v>
      </c>
      <c r="D18" s="29">
        <v>46</v>
      </c>
      <c r="E18" s="30">
        <v>49</v>
      </c>
      <c r="F18" s="31">
        <v>52</v>
      </c>
      <c r="G18" s="34">
        <v>55</v>
      </c>
      <c r="H18" s="34">
        <v>58</v>
      </c>
      <c r="I18" s="34">
        <v>61</v>
      </c>
      <c r="J18" s="38">
        <v>64</v>
      </c>
      <c r="K18" s="40">
        <v>66</v>
      </c>
      <c r="L18" s="40">
        <v>68</v>
      </c>
      <c r="M18" s="39">
        <v>70</v>
      </c>
    </row>
    <row r="19" spans="2:13">
      <c r="B19" s="69">
        <v>16</v>
      </c>
      <c r="C19" s="41">
        <v>45</v>
      </c>
      <c r="D19" s="30">
        <v>48</v>
      </c>
      <c r="E19" s="26">
        <v>51</v>
      </c>
      <c r="F19" s="28">
        <v>54</v>
      </c>
      <c r="G19" s="34">
        <v>57</v>
      </c>
      <c r="H19" s="34">
        <v>60</v>
      </c>
      <c r="I19" s="32">
        <v>63</v>
      </c>
      <c r="J19" s="40">
        <v>65</v>
      </c>
      <c r="K19" s="40">
        <v>68</v>
      </c>
      <c r="L19" s="40">
        <v>70</v>
      </c>
      <c r="M19" s="39">
        <v>72</v>
      </c>
    </row>
    <row r="20" spans="2:13">
      <c r="B20" s="69">
        <v>17</v>
      </c>
      <c r="C20" s="42">
        <v>47</v>
      </c>
      <c r="D20" s="26">
        <v>50</v>
      </c>
      <c r="E20" s="28">
        <v>53</v>
      </c>
      <c r="F20" s="36">
        <v>56</v>
      </c>
      <c r="G20" s="37">
        <v>59</v>
      </c>
      <c r="H20" s="34">
        <v>62</v>
      </c>
      <c r="I20" s="38">
        <v>64</v>
      </c>
      <c r="J20" s="40">
        <v>67</v>
      </c>
      <c r="K20" s="40">
        <v>69</v>
      </c>
      <c r="L20" s="40">
        <v>71</v>
      </c>
      <c r="M20" s="39">
        <v>73</v>
      </c>
    </row>
    <row r="21" spans="2:13">
      <c r="B21" s="69">
        <v>18</v>
      </c>
      <c r="C21" s="43">
        <v>49</v>
      </c>
      <c r="D21" s="31">
        <v>52</v>
      </c>
      <c r="E21" s="34">
        <v>55</v>
      </c>
      <c r="F21" s="34">
        <v>58</v>
      </c>
      <c r="G21" s="34">
        <v>61</v>
      </c>
      <c r="H21" s="38">
        <v>64</v>
      </c>
      <c r="I21" s="40">
        <v>66</v>
      </c>
      <c r="J21" s="40">
        <v>68</v>
      </c>
      <c r="K21" s="40">
        <v>70</v>
      </c>
      <c r="L21" s="40">
        <v>73</v>
      </c>
      <c r="M21" s="39">
        <v>75</v>
      </c>
    </row>
    <row r="22" spans="2:13">
      <c r="B22" s="69">
        <v>19</v>
      </c>
      <c r="C22" s="18">
        <v>51</v>
      </c>
      <c r="D22" s="28">
        <v>54</v>
      </c>
      <c r="E22" s="36">
        <v>57</v>
      </c>
      <c r="F22" s="37">
        <v>60</v>
      </c>
      <c r="G22" s="32">
        <v>63</v>
      </c>
      <c r="H22" s="40">
        <v>65</v>
      </c>
      <c r="I22" s="40">
        <v>68</v>
      </c>
      <c r="J22" s="40">
        <v>70</v>
      </c>
      <c r="K22" s="40">
        <v>72</v>
      </c>
      <c r="L22" s="40">
        <v>74</v>
      </c>
      <c r="M22" s="39">
        <v>76</v>
      </c>
    </row>
    <row r="23" spans="2:13">
      <c r="B23" s="69">
        <v>20</v>
      </c>
      <c r="C23" s="44">
        <v>53</v>
      </c>
      <c r="D23" s="34">
        <v>56</v>
      </c>
      <c r="E23" s="36">
        <v>59</v>
      </c>
      <c r="F23" s="37">
        <v>62</v>
      </c>
      <c r="G23" s="38">
        <v>64</v>
      </c>
      <c r="H23" s="40">
        <v>67</v>
      </c>
      <c r="I23" s="40">
        <v>69</v>
      </c>
      <c r="J23" s="40">
        <v>71</v>
      </c>
      <c r="K23" s="40">
        <v>73</v>
      </c>
      <c r="L23" s="40">
        <v>75</v>
      </c>
      <c r="M23" s="45">
        <v>77</v>
      </c>
    </row>
    <row r="24" spans="2:13">
      <c r="B24" s="69">
        <v>21</v>
      </c>
      <c r="C24" s="46">
        <v>55</v>
      </c>
      <c r="D24" s="36">
        <v>58</v>
      </c>
      <c r="E24" s="37">
        <v>61</v>
      </c>
      <c r="F24" s="38">
        <v>64</v>
      </c>
      <c r="G24" s="40">
        <v>66</v>
      </c>
      <c r="H24" s="40">
        <v>68</v>
      </c>
      <c r="I24" s="40">
        <v>70</v>
      </c>
      <c r="J24" s="40">
        <v>73</v>
      </c>
      <c r="K24" s="47">
        <v>75</v>
      </c>
      <c r="L24" s="48">
        <v>77</v>
      </c>
      <c r="M24" s="49">
        <v>79</v>
      </c>
    </row>
    <row r="25" spans="2:13">
      <c r="B25" s="69">
        <v>22</v>
      </c>
      <c r="C25" s="50">
        <v>57</v>
      </c>
      <c r="D25" s="37">
        <v>60</v>
      </c>
      <c r="E25" s="32">
        <v>63</v>
      </c>
      <c r="F25" s="40">
        <v>65</v>
      </c>
      <c r="G25" s="40">
        <v>68</v>
      </c>
      <c r="H25" s="40">
        <v>70</v>
      </c>
      <c r="I25" s="40">
        <v>72</v>
      </c>
      <c r="J25" s="40">
        <v>74</v>
      </c>
      <c r="K25" s="40">
        <v>76</v>
      </c>
      <c r="L25" s="45">
        <v>78</v>
      </c>
      <c r="M25" s="49">
        <v>80</v>
      </c>
    </row>
    <row r="26" spans="2:13">
      <c r="B26" s="69">
        <v>23</v>
      </c>
      <c r="C26" s="46">
        <v>59</v>
      </c>
      <c r="D26" s="34">
        <v>62</v>
      </c>
      <c r="E26" s="38">
        <v>64</v>
      </c>
      <c r="F26" s="40">
        <v>67</v>
      </c>
      <c r="G26" s="40">
        <v>69</v>
      </c>
      <c r="H26" s="40">
        <v>71</v>
      </c>
      <c r="I26" s="40">
        <v>73</v>
      </c>
      <c r="J26" s="40">
        <v>75</v>
      </c>
      <c r="K26" s="45">
        <v>77</v>
      </c>
      <c r="L26" s="51">
        <v>79</v>
      </c>
      <c r="M26" s="49">
        <v>81</v>
      </c>
    </row>
    <row r="27" spans="2:13">
      <c r="B27" s="69">
        <v>24</v>
      </c>
      <c r="C27" s="46">
        <v>61</v>
      </c>
      <c r="D27" s="38">
        <v>64</v>
      </c>
      <c r="E27" s="40">
        <v>66</v>
      </c>
      <c r="F27" s="40">
        <v>68</v>
      </c>
      <c r="G27" s="40">
        <v>70</v>
      </c>
      <c r="H27" s="40">
        <v>73</v>
      </c>
      <c r="I27" s="47">
        <v>75</v>
      </c>
      <c r="J27" s="48">
        <v>77</v>
      </c>
      <c r="K27" s="51">
        <v>79</v>
      </c>
      <c r="L27" s="51">
        <v>80</v>
      </c>
      <c r="M27" s="49">
        <v>82</v>
      </c>
    </row>
    <row r="28" spans="2:13">
      <c r="B28" s="69">
        <v>25</v>
      </c>
      <c r="C28" s="52">
        <v>63</v>
      </c>
      <c r="D28" s="40">
        <v>65</v>
      </c>
      <c r="E28" s="40">
        <v>68</v>
      </c>
      <c r="F28" s="40">
        <v>70</v>
      </c>
      <c r="G28" s="40">
        <v>72</v>
      </c>
      <c r="H28" s="40">
        <v>74</v>
      </c>
      <c r="I28" s="40">
        <v>76</v>
      </c>
      <c r="J28" s="45">
        <v>78</v>
      </c>
      <c r="K28" s="53">
        <v>80</v>
      </c>
      <c r="L28" s="54">
        <v>82</v>
      </c>
      <c r="M28" s="55">
        <v>84</v>
      </c>
    </row>
    <row r="29" spans="2:13">
      <c r="B29" s="69">
        <v>26</v>
      </c>
      <c r="C29" s="56">
        <v>64</v>
      </c>
      <c r="D29" s="40">
        <v>67</v>
      </c>
      <c r="E29" s="40">
        <v>69</v>
      </c>
      <c r="F29" s="40">
        <v>71</v>
      </c>
      <c r="G29" s="40">
        <v>73</v>
      </c>
      <c r="H29" s="40">
        <v>75</v>
      </c>
      <c r="I29" s="45">
        <v>77</v>
      </c>
      <c r="J29" s="51">
        <v>79</v>
      </c>
      <c r="K29" s="53">
        <v>81</v>
      </c>
      <c r="L29" s="57">
        <v>83</v>
      </c>
      <c r="M29" s="58">
        <v>85</v>
      </c>
    </row>
    <row r="30" spans="2:13">
      <c r="B30" s="69">
        <v>27</v>
      </c>
      <c r="C30" s="59">
        <v>66</v>
      </c>
      <c r="D30" s="40">
        <v>68</v>
      </c>
      <c r="E30" s="40">
        <v>70</v>
      </c>
      <c r="F30" s="40">
        <v>73</v>
      </c>
      <c r="G30" s="47">
        <v>75</v>
      </c>
      <c r="H30" s="48">
        <v>77</v>
      </c>
      <c r="I30" s="51">
        <v>79</v>
      </c>
      <c r="J30" s="51">
        <v>80</v>
      </c>
      <c r="K30" s="51">
        <v>82</v>
      </c>
      <c r="L30" s="55">
        <v>84</v>
      </c>
      <c r="M30" s="58">
        <v>86</v>
      </c>
    </row>
    <row r="31" spans="2:13">
      <c r="B31" s="69">
        <v>28</v>
      </c>
      <c r="C31" s="59">
        <v>68</v>
      </c>
      <c r="D31" s="40">
        <v>70</v>
      </c>
      <c r="E31" s="40">
        <v>72</v>
      </c>
      <c r="F31" s="40">
        <v>74</v>
      </c>
      <c r="G31" s="40">
        <v>76</v>
      </c>
      <c r="H31" s="45">
        <v>78</v>
      </c>
      <c r="I31" s="53">
        <v>80</v>
      </c>
      <c r="J31" s="54">
        <v>82</v>
      </c>
      <c r="K31" s="55">
        <v>84</v>
      </c>
      <c r="L31" s="60">
        <v>86</v>
      </c>
      <c r="M31" s="58">
        <v>87</v>
      </c>
    </row>
    <row r="32" spans="2:13">
      <c r="B32" s="69">
        <v>29</v>
      </c>
      <c r="C32" s="59">
        <v>69</v>
      </c>
      <c r="D32" s="40">
        <v>71</v>
      </c>
      <c r="E32" s="40">
        <v>73</v>
      </c>
      <c r="F32" s="40">
        <v>75</v>
      </c>
      <c r="G32" s="45">
        <v>77</v>
      </c>
      <c r="H32" s="51">
        <v>79</v>
      </c>
      <c r="I32" s="53">
        <v>81</v>
      </c>
      <c r="J32" s="57">
        <v>83</v>
      </c>
      <c r="K32" s="60">
        <v>85</v>
      </c>
      <c r="L32" s="60">
        <v>87</v>
      </c>
      <c r="M32" s="58">
        <v>89</v>
      </c>
    </row>
    <row r="33" spans="2:13">
      <c r="B33" s="69">
        <v>30</v>
      </c>
      <c r="C33" s="59">
        <v>70</v>
      </c>
      <c r="D33" s="40">
        <v>73</v>
      </c>
      <c r="E33" s="47">
        <v>75</v>
      </c>
      <c r="F33" s="48">
        <v>77</v>
      </c>
      <c r="G33" s="51">
        <v>79</v>
      </c>
      <c r="H33" s="51">
        <v>80</v>
      </c>
      <c r="I33" s="51">
        <v>82</v>
      </c>
      <c r="J33" s="55">
        <v>84</v>
      </c>
      <c r="K33" s="60">
        <v>86</v>
      </c>
      <c r="L33" s="60">
        <v>88</v>
      </c>
      <c r="M33" s="58">
        <v>90</v>
      </c>
    </row>
    <row r="34" spans="2:13">
      <c r="B34" s="69">
        <v>31</v>
      </c>
      <c r="C34" s="59">
        <v>72</v>
      </c>
      <c r="D34" s="40">
        <v>74</v>
      </c>
      <c r="E34" s="40">
        <v>76</v>
      </c>
      <c r="F34" s="45">
        <v>78</v>
      </c>
      <c r="G34" s="53">
        <v>80</v>
      </c>
      <c r="H34" s="54">
        <v>82</v>
      </c>
      <c r="I34" s="55">
        <v>84</v>
      </c>
      <c r="J34" s="60">
        <v>86</v>
      </c>
      <c r="K34" s="60">
        <v>87</v>
      </c>
      <c r="L34" s="60">
        <v>90</v>
      </c>
      <c r="M34" s="58">
        <v>92</v>
      </c>
    </row>
    <row r="35" spans="2:13">
      <c r="B35" s="69">
        <v>32</v>
      </c>
      <c r="C35" s="59">
        <v>73</v>
      </c>
      <c r="D35" s="40">
        <v>75</v>
      </c>
      <c r="E35" s="45">
        <v>77</v>
      </c>
      <c r="F35" s="51">
        <v>79</v>
      </c>
      <c r="G35" s="53">
        <v>81</v>
      </c>
      <c r="H35" s="57">
        <v>83</v>
      </c>
      <c r="I35" s="60">
        <v>85</v>
      </c>
      <c r="J35" s="60">
        <v>87</v>
      </c>
      <c r="K35" s="60">
        <v>89</v>
      </c>
      <c r="L35" s="60">
        <v>91</v>
      </c>
      <c r="M35" s="58">
        <v>93</v>
      </c>
    </row>
    <row r="36" spans="2:13">
      <c r="B36" s="69">
        <v>33</v>
      </c>
      <c r="C36" s="61">
        <v>75</v>
      </c>
      <c r="D36" s="48">
        <v>77</v>
      </c>
      <c r="E36" s="51">
        <v>79</v>
      </c>
      <c r="F36" s="51">
        <v>80</v>
      </c>
      <c r="G36" s="51">
        <v>82</v>
      </c>
      <c r="H36" s="55">
        <v>84</v>
      </c>
      <c r="I36" s="60">
        <v>86</v>
      </c>
      <c r="J36" s="60">
        <v>88</v>
      </c>
      <c r="K36" s="60">
        <v>90</v>
      </c>
      <c r="L36" s="60">
        <v>92</v>
      </c>
      <c r="M36" s="58">
        <v>95</v>
      </c>
    </row>
    <row r="37" spans="2:13">
      <c r="B37" s="69">
        <v>34</v>
      </c>
      <c r="C37" s="59">
        <v>76</v>
      </c>
      <c r="D37" s="45">
        <v>78</v>
      </c>
      <c r="E37" s="53">
        <v>80</v>
      </c>
      <c r="F37" s="54">
        <v>82</v>
      </c>
      <c r="G37" s="55">
        <v>84</v>
      </c>
      <c r="H37" s="60">
        <v>86</v>
      </c>
      <c r="I37" s="60">
        <v>87</v>
      </c>
      <c r="J37" s="60">
        <v>90</v>
      </c>
      <c r="K37" s="60">
        <v>92</v>
      </c>
      <c r="L37" s="60">
        <v>94</v>
      </c>
      <c r="M37" s="58">
        <v>97</v>
      </c>
    </row>
    <row r="38" spans="2:13">
      <c r="B38" s="70">
        <v>35</v>
      </c>
      <c r="C38" s="62">
        <v>77</v>
      </c>
      <c r="D38" s="63">
        <v>79</v>
      </c>
      <c r="E38" s="64">
        <v>81</v>
      </c>
      <c r="F38" s="65">
        <v>83</v>
      </c>
      <c r="G38" s="66">
        <v>85</v>
      </c>
      <c r="H38" s="66">
        <v>87</v>
      </c>
      <c r="I38" s="66">
        <v>89</v>
      </c>
      <c r="J38" s="66">
        <v>91</v>
      </c>
      <c r="K38" s="66">
        <v>93</v>
      </c>
      <c r="L38" s="66">
        <v>96</v>
      </c>
      <c r="M38" s="67">
        <v>100</v>
      </c>
    </row>
    <row r="40" spans="2:13">
      <c r="C40" s="74" t="s">
        <v>683</v>
      </c>
      <c r="D40" s="75"/>
      <c r="E40" s="75"/>
      <c r="F40" s="75"/>
      <c r="G40" s="75"/>
      <c r="H40" s="75"/>
      <c r="I40" s="75"/>
      <c r="J40" s="75"/>
      <c r="K40" s="75"/>
      <c r="L40" s="76"/>
    </row>
    <row r="41" spans="2:13">
      <c r="C41" s="77" t="s">
        <v>684</v>
      </c>
      <c r="D41" s="78"/>
      <c r="E41" s="79" t="s">
        <v>685</v>
      </c>
      <c r="F41" s="79"/>
      <c r="G41" s="80" t="s">
        <v>686</v>
      </c>
      <c r="H41" s="80"/>
      <c r="I41" s="81" t="s">
        <v>687</v>
      </c>
      <c r="J41" s="81"/>
      <c r="K41" s="82" t="s">
        <v>688</v>
      </c>
      <c r="L41" s="83"/>
    </row>
  </sheetData>
  <mergeCells count="6">
    <mergeCell ref="C40:L40"/>
    <mergeCell ref="C41:D41"/>
    <mergeCell ref="E41:F41"/>
    <mergeCell ref="G41:H41"/>
    <mergeCell ref="I41:J41"/>
    <mergeCell ref="K41:L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Scores</vt:lpstr>
      <vt:lpstr>Questions</vt:lpstr>
      <vt:lpstr>Task Models</vt:lpstr>
      <vt:lpstr>Content Standards</vt:lpstr>
      <vt:lpstr>Skill Standards</vt:lpstr>
      <vt:lpstr>Conversion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Cole Dushin</dc:creator>
  <cp:lastModifiedBy>Cole Dushin</cp:lastModifiedBy>
  <dcterms:created xsi:type="dcterms:W3CDTF">2026-06-17T15:36:25Z</dcterms:created>
  <dcterms:modified xsi:type="dcterms:W3CDTF">2026-06-18T21:51:54Z</dcterms:modified>
</cp:coreProperties>
</file>