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160" windowHeight="15320" tabRatio="600" firstSheet="0" activeTab="1" autoFilterDateGrouping="1"/>
  </bookViews>
  <sheets>
    <sheet name="Scores" sheetId="1" state="visible" r:id="rId1"/>
    <sheet name="Questions" sheetId="2" state="visible" r:id="rId2"/>
    <sheet name="Content Standards" sheetId="3" state="hidden" r:id="rId3"/>
    <sheet name="Task Models" sheetId="4" state="hidden" r:id="rId4"/>
    <sheet name="Skill Standards" sheetId="5" state="hidden" r:id="rId5"/>
  </sheets>
  <definedNames/>
  <calcPr calcId="191029" fullCalcOnLoad="1"/>
</workbook>
</file>

<file path=xl/styles.xml><?xml version="1.0" encoding="utf-8"?>
<styleSheet xmlns="http://schemas.openxmlformats.org/spreadsheetml/2006/main">
  <numFmts count="0"/>
  <fonts count="10">
    <font>
      <name val="Arial"/>
      <color rgb="FF000000"/>
      <sz val="10"/>
      <scheme val="minor"/>
    </font>
    <font>
      <name val="Roboto"/>
      <color theme="1"/>
      <sz val="10"/>
    </font>
    <font>
      <name val="Roboto"/>
      <color theme="1"/>
      <sz val="11"/>
    </font>
    <font>
      <name val="Arial"/>
      <family val="2"/>
      <color theme="1"/>
      <sz val="10"/>
      <scheme val="minor"/>
    </font>
    <font>
      <name val="Arial"/>
      <family val="2"/>
      <color theme="1"/>
      <sz val="10"/>
      <scheme val="minor"/>
    </font>
    <font>
      <name val="Roboto"/>
      <b val="1"/>
      <color rgb="FF434343"/>
      <sz val="10"/>
    </font>
    <font>
      <name val="Roboto"/>
      <color rgb="FF434343"/>
      <sz val="10"/>
    </font>
    <font>
      <name val="Arial"/>
      <family val="2"/>
      <color theme="1"/>
      <sz val="10"/>
    </font>
    <font>
      <name val="Roboto"/>
      <color rgb="FF3D3D3D"/>
      <sz val="10"/>
    </font>
    <font>
      <name val="Arial"/>
      <family val="2"/>
      <b val="1"/>
      <color theme="1"/>
      <sz val="10"/>
      <scheme val="minor"/>
    </font>
  </fonts>
  <fills count="4">
    <fill>
      <patternFill/>
    </fill>
    <fill>
      <patternFill patternType="gray125"/>
    </fill>
    <fill>
      <patternFill patternType="solid">
        <fgColor rgb="FFFFFFFF"/>
        <bgColor rgb="FFFFFFFF"/>
      </patternFill>
    </fill>
    <fill>
      <patternFill patternType="solid">
        <fgColor rgb="FFF6F8F9"/>
        <bgColor rgb="FFF6F8F9"/>
      </patternFill>
    </fill>
  </fills>
  <borders count="15">
    <border>
      <left/>
      <right/>
      <top/>
      <bottom/>
      <diagonal/>
    </border>
    <border>
      <left style="thick">
        <color rgb="FFCCCCCC"/>
      </left>
      <right/>
      <top/>
      <bottom/>
      <diagonal/>
    </border>
    <border>
      <left style="thick">
        <color rgb="FFD9D9D9"/>
      </left>
      <right/>
      <top/>
      <bottom/>
      <diagonal/>
    </border>
    <border>
      <left style="thick">
        <color rgb="FFD9D9D9"/>
      </left>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style="thick">
        <color rgb="FFCCCCCC"/>
      </left>
      <right/>
      <top/>
      <bottom/>
      <diagonal/>
    </border>
    <border>
      <left/>
      <right/>
      <top/>
      <bottom/>
      <diagonal/>
    </border>
    <border>
      <left/>
      <right style="thick">
        <color rgb="FFCCCCCC"/>
      </right>
      <top/>
      <bottom/>
      <diagonal/>
    </border>
    <border>
      <left/>
      <right style="thick">
        <color rgb="FFCCCCCC"/>
      </right>
      <top/>
      <bottom/>
      <diagonal/>
    </border>
    <border>
      <left/>
      <right/>
      <top/>
      <bottom/>
      <diagonal/>
    </border>
    <border>
      <left style="thin">
        <color rgb="FF38416A"/>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38416A"/>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s>
  <cellStyleXfs count="1">
    <xf numFmtId="0" fontId="0" fillId="0" borderId="10"/>
  </cellStyleXfs>
  <cellXfs count="67">
    <xf numFmtId="0" fontId="0" fillId="0" borderId="0" pivotButton="0" quotePrefix="0" xfId="0"/>
    <xf numFmtId="0" fontId="1" fillId="0" borderId="0" applyAlignment="1" pivotButton="0" quotePrefix="0" xfId="0">
      <alignment horizontal="left" vertical="center"/>
    </xf>
    <xf numFmtId="0" fontId="1" fillId="0" borderId="0" applyAlignment="1" pivotButton="0" quotePrefix="0" xfId="0">
      <alignment horizontal="center" vertical="center"/>
    </xf>
    <xf numFmtId="0" fontId="1" fillId="0" borderId="1" applyAlignment="1" pivotButton="0" quotePrefix="0" xfId="0">
      <alignment horizontal="left" vertical="center"/>
    </xf>
    <xf numFmtId="0" fontId="1" fillId="0" borderId="1" applyAlignment="1" pivotButton="0" quotePrefix="0" xfId="0">
      <alignment horizontal="center" vertical="center"/>
    </xf>
    <xf numFmtId="49" fontId="1" fillId="0" borderId="0" applyAlignment="1" pivotButton="0" quotePrefix="0" xfId="0">
      <alignment horizontal="center" vertical="center"/>
    </xf>
    <xf numFmtId="0" fontId="1" fillId="0" borderId="0" applyAlignment="1" pivotButton="0" quotePrefix="0" xfId="0">
      <alignment vertical="center"/>
    </xf>
    <xf numFmtId="0" fontId="1" fillId="0" borderId="2" applyAlignment="1" pivotButton="0" quotePrefix="0" xfId="0">
      <alignment horizontal="center" vertical="center"/>
    </xf>
    <xf numFmtId="0" fontId="1" fillId="0" borderId="3" applyAlignment="1" pivotButton="0" quotePrefix="0" xfId="0">
      <alignment horizontal="center" vertical="center"/>
    </xf>
    <xf numFmtId="9" fontId="1" fillId="0" borderId="4" applyAlignment="1" pivotButton="0" quotePrefix="0" xfId="0">
      <alignment horizontal="center" vertical="center"/>
    </xf>
    <xf numFmtId="0" fontId="1" fillId="0" borderId="5" applyAlignment="1" pivotButton="0" quotePrefix="0" xfId="0">
      <alignment horizontal="center" vertical="center"/>
    </xf>
    <xf numFmtId="3" fontId="2" fillId="0" borderId="6" applyAlignment="1" pivotButton="0" quotePrefix="0" xfId="0">
      <alignment horizontal="center" vertical="center"/>
    </xf>
    <xf numFmtId="3" fontId="2" fillId="0" borderId="7" applyAlignment="1" pivotButton="0" quotePrefix="0" xfId="0">
      <alignment horizontal="center" vertical="center"/>
    </xf>
    <xf numFmtId="3" fontId="2" fillId="0" borderId="0" applyAlignment="1" pivotButton="0" quotePrefix="0" xfId="0">
      <alignment horizontal="center" vertical="center"/>
    </xf>
    <xf numFmtId="0" fontId="2" fillId="0" borderId="0" applyAlignment="1" pivotButton="0" quotePrefix="0" xfId="0">
      <alignment horizontal="center" vertical="center"/>
    </xf>
    <xf numFmtId="3" fontId="2" fillId="0" borderId="8" applyAlignment="1" pivotButton="0" quotePrefix="0" xfId="0">
      <alignment horizontal="center" vertical="center"/>
    </xf>
    <xf numFmtId="3" fontId="2" fillId="0" borderId="1" applyAlignment="1" pivotButton="0" quotePrefix="0" xfId="0">
      <alignment horizontal="center" vertical="center"/>
    </xf>
    <xf numFmtId="3" fontId="2" fillId="0" borderId="9" applyAlignment="1" pivotButton="0" quotePrefix="0" xfId="0">
      <alignment horizontal="center" vertical="center"/>
    </xf>
    <xf numFmtId="3" fontId="2" fillId="0" borderId="10" applyAlignment="1" pivotButton="0" quotePrefix="0" xfId="0">
      <alignment horizontal="center" vertical="center"/>
    </xf>
    <xf numFmtId="0" fontId="2" fillId="0" borderId="10" applyAlignment="1" pivotButton="0" quotePrefix="0" xfId="0">
      <alignment horizontal="center" vertical="center"/>
    </xf>
    <xf numFmtId="3" fontId="1" fillId="0" borderId="1" applyAlignment="1" pivotButton="0" quotePrefix="0" xfId="0">
      <alignment horizontal="center" vertical="center"/>
    </xf>
    <xf numFmtId="3" fontId="1" fillId="0" borderId="0" applyAlignment="1" pivotButton="0" quotePrefix="0" xfId="0">
      <alignment horizontal="center" vertical="center"/>
    </xf>
    <xf numFmtId="3" fontId="1" fillId="0" borderId="9" applyAlignment="1" pivotButton="0" quotePrefix="0" xfId="0">
      <alignment horizontal="center" vertical="center"/>
    </xf>
    <xf numFmtId="0" fontId="3" fillId="0" borderId="0" applyAlignment="1" pivotButton="0" quotePrefix="0" xfId="0">
      <alignment horizontal="center" vertical="center"/>
    </xf>
    <xf numFmtId="9" fontId="3" fillId="0" borderId="0" applyAlignment="1" pivotButton="0" quotePrefix="0" xfId="0">
      <alignment horizontal="center" vertical="center"/>
    </xf>
    <xf numFmtId="0" fontId="1" fillId="0" borderId="0" pivotButton="0" quotePrefix="0" xfId="0"/>
    <xf numFmtId="0" fontId="1" fillId="0" borderId="0" applyAlignment="1" pivotButton="0" quotePrefix="0" xfId="0">
      <alignment horizontal="center"/>
    </xf>
    <xf numFmtId="0" fontId="1" fillId="0" borderId="2" pivotButton="0" quotePrefix="0" xfId="0"/>
    <xf numFmtId="0" fontId="1" fillId="0" borderId="2" applyAlignment="1" pivotButton="0" quotePrefix="0" xfId="0">
      <alignment horizontal="center"/>
    </xf>
    <xf numFmtId="9" fontId="1" fillId="0" borderId="0" applyAlignment="1" pivotButton="0" quotePrefix="0" xfId="0">
      <alignment horizontal="center"/>
    </xf>
    <xf numFmtId="0" fontId="1" fillId="0" borderId="1" applyAlignment="1" pivotButton="0" quotePrefix="0" xfId="0">
      <alignment horizontal="center"/>
    </xf>
    <xf numFmtId="0" fontId="1" fillId="0" borderId="9" applyAlignment="1" pivotButton="0" quotePrefix="0" xfId="0">
      <alignment horizontal="center"/>
    </xf>
    <xf numFmtId="0" fontId="4" fillId="0" borderId="0" applyAlignment="1" pivotButton="0" quotePrefix="0" xfId="0">
      <alignment horizontal="center" vertical="center"/>
    </xf>
    <xf numFmtId="49" fontId="4" fillId="0" borderId="0" applyAlignment="1" pivotButton="0" quotePrefix="0" xfId="0">
      <alignment horizontal="center" vertical="center"/>
    </xf>
    <xf numFmtId="0" fontId="4" fillId="0" borderId="0" applyAlignment="1" pivotButton="0" quotePrefix="0" xfId="0">
      <alignment horizontal="left" vertical="center" wrapText="1"/>
    </xf>
    <xf numFmtId="49" fontId="4" fillId="0" borderId="0" applyAlignment="1" pivotButton="0" quotePrefix="0" xfId="0">
      <alignment horizontal="center" vertical="center" wrapText="1"/>
    </xf>
    <xf numFmtId="49" fontId="4" fillId="0" borderId="0" applyAlignment="1" pivotButton="0" quotePrefix="0" xfId="0">
      <alignment horizontal="left" vertical="center" wrapText="1"/>
    </xf>
    <xf numFmtId="49" fontId="4" fillId="0" borderId="0" applyAlignment="1" pivotButton="0" quotePrefix="0" xfId="0">
      <alignment horizontal="left" vertical="center"/>
    </xf>
    <xf numFmtId="0" fontId="4" fillId="0" borderId="0" applyAlignment="1" pivotButton="0" quotePrefix="0" xfId="0">
      <alignment horizontal="left" vertical="center"/>
    </xf>
    <xf numFmtId="0" fontId="5" fillId="2" borderId="11" applyAlignment="1" pivotButton="0" quotePrefix="0" xfId="0">
      <alignment horizontal="center" vertical="center"/>
    </xf>
    <xf numFmtId="0" fontId="6" fillId="2" borderId="12" applyAlignment="1" pivotButton="0" quotePrefix="0" xfId="0">
      <alignment horizontal="center" vertical="center"/>
    </xf>
    <xf numFmtId="0" fontId="6" fillId="2" borderId="12" applyAlignment="1" pivotButton="0" quotePrefix="0" xfId="0">
      <alignment vertical="center" wrapText="1"/>
    </xf>
    <xf numFmtId="0" fontId="6" fillId="2" borderId="12" applyAlignment="1" pivotButton="0" quotePrefix="0" xfId="0">
      <alignment horizontal="center" vertical="center" wrapText="1"/>
    </xf>
    <xf numFmtId="0" fontId="3" fillId="0" borderId="0" applyAlignment="1" pivotButton="0" quotePrefix="0" xfId="0">
      <alignment vertical="center"/>
    </xf>
    <xf numFmtId="0" fontId="6" fillId="2" borderId="12" applyAlignment="1" pivotButton="0" quotePrefix="0" xfId="0">
      <alignment horizontal="left" vertical="center" wrapText="1"/>
    </xf>
    <xf numFmtId="0" fontId="7" fillId="2" borderId="12" applyAlignment="1" pivotButton="0" quotePrefix="0" xfId="0">
      <alignment vertical="center"/>
    </xf>
    <xf numFmtId="0" fontId="6" fillId="2" borderId="12" applyAlignment="1" pivotButton="0" quotePrefix="0" xfId="0">
      <alignment vertical="center"/>
    </xf>
    <xf numFmtId="0" fontId="8" fillId="2" borderId="12" applyAlignment="1" pivotButton="0" quotePrefix="0" xfId="0">
      <alignment horizontal="center" vertical="center"/>
    </xf>
    <xf numFmtId="9" fontId="4" fillId="0" borderId="0" applyAlignment="1" pivotButton="0" quotePrefix="0" xfId="0">
      <alignment horizontal="center" vertical="center"/>
    </xf>
    <xf numFmtId="2" fontId="4" fillId="0" borderId="0" applyAlignment="1" pivotButton="0" quotePrefix="0" xfId="0">
      <alignment horizontal="center" vertical="center"/>
    </xf>
    <xf numFmtId="0" fontId="5" fillId="3" borderId="13" applyAlignment="1" pivotButton="0" quotePrefix="0" xfId="0">
      <alignment horizontal="center" vertical="center"/>
    </xf>
    <xf numFmtId="0" fontId="6" fillId="3" borderId="14" applyAlignment="1" pivotButton="0" quotePrefix="0" xfId="0">
      <alignment vertical="center" wrapText="1"/>
    </xf>
    <xf numFmtId="0" fontId="6" fillId="3" borderId="14" applyAlignment="1" pivotButton="0" quotePrefix="0" xfId="0">
      <alignment horizontal="center" vertical="center" wrapText="1"/>
    </xf>
    <xf numFmtId="0" fontId="7" fillId="3" borderId="14" applyAlignment="1" pivotButton="0" quotePrefix="0" xfId="0">
      <alignment vertical="center"/>
    </xf>
    <xf numFmtId="0" fontId="6" fillId="3" borderId="14" applyAlignment="1" pivotButton="0" quotePrefix="0" xfId="0">
      <alignment vertical="center"/>
    </xf>
    <xf numFmtId="0" fontId="8" fillId="3" borderId="14" applyAlignment="1" pivotButton="0" quotePrefix="0" xfId="0">
      <alignment horizontal="center" vertical="center"/>
    </xf>
    <xf numFmtId="0" fontId="6" fillId="2" borderId="12" applyAlignment="1" pivotButton="0" quotePrefix="0" xfId="0">
      <alignment horizontal="left" vertical="center"/>
    </xf>
    <xf numFmtId="0" fontId="6" fillId="3" borderId="14" applyAlignment="1" pivotButton="0" quotePrefix="0" xfId="0">
      <alignment horizontal="center" vertical="center"/>
    </xf>
    <xf numFmtId="0" fontId="6" fillId="3" borderId="14" applyAlignment="1" pivotButton="0" quotePrefix="0" xfId="0">
      <alignment horizontal="left" vertical="center"/>
    </xf>
    <xf numFmtId="0" fontId="9" fillId="0" borderId="0" applyAlignment="1" pivotButton="0" quotePrefix="0" xfId="0">
      <alignment horizontal="center" vertical="center" wrapText="1"/>
    </xf>
    <xf numFmtId="0" fontId="3" fillId="0" borderId="0" applyAlignment="1" pivotButton="0" quotePrefix="0" xfId="0">
      <alignment vertical="center" wrapText="1"/>
    </xf>
    <xf numFmtId="0" fontId="3" fillId="0" borderId="0" applyAlignment="1" pivotButton="0" quotePrefix="0" xfId="0">
      <alignment horizontal="center" vertical="center" wrapText="1"/>
    </xf>
    <xf numFmtId="0" fontId="3" fillId="0" borderId="0" applyAlignment="1" pivotButton="0" quotePrefix="0" xfId="0">
      <alignment horizontal="left" vertical="center" wrapText="1"/>
    </xf>
    <xf numFmtId="9" fontId="3" fillId="0" borderId="0" applyAlignment="1" pivotButton="0" quotePrefix="0" xfId="0">
      <alignment horizontal="center" vertical="center" wrapText="1"/>
    </xf>
    <xf numFmtId="2" fontId="4" fillId="0" borderId="0" applyAlignment="1" pivotButton="0" quotePrefix="0" xfId="0">
      <alignment horizontal="center" vertical="center" wrapText="1"/>
    </xf>
    <xf numFmtId="0" fontId="9" fillId="0" borderId="0" applyAlignment="1" pivotButton="0" quotePrefix="0" xfId="0">
      <alignment horizontal="left" vertical="center" wrapText="1"/>
    </xf>
    <xf numFmtId="0" fontId="3" fillId="0" borderId="0" applyAlignment="1" pivotButton="0" quotePrefix="0" xfId="0">
      <alignment horizontal="left" vertical="center"/>
    </xf>
  </cellXfs>
  <cellStyles count="1">
    <cellStyle name="Normal" xfId="0" builtinId="0"/>
  </cellStyles>
  <dxfs count="21">
    <dxf>
      <font>
        <color rgb="FF000000"/>
      </font>
      <fill>
        <patternFill patternType="solid">
          <fgColor rgb="FFF4CCCC"/>
          <bgColor rgb="FFF4CCC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BB463C"/>
          <bgColor rgb="FFBB463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4A568D"/>
          <bgColor rgb="FF4A568D"/>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5" defaultTableStyle="TableStyleMedium9" defaultPivotStyle="PivotStyleLight16">
    <tableStyle name="Scores-style" pivot="0" count="4">
      <tableStyleElement type="wholeTable" size="0" dxfId="17"/>
      <tableStyleElement type="headerRow" dxfId="20"/>
      <tableStyleElement type="firstRowStripe" dxfId="19"/>
      <tableStyleElement type="secondRowStripe" dxfId="18"/>
    </tableStyle>
    <tableStyle name="Questions-style" pivot="0" count="4">
      <tableStyleElement type="wholeTable" size="0" dxfId="13"/>
      <tableStyleElement type="headerRow" dxfId="16"/>
      <tableStyleElement type="firstRowStripe" dxfId="15"/>
      <tableStyleElement type="secondRowStripe" dxfId="14"/>
    </tableStyle>
    <tableStyle name="Content Standards-style" pivot="0" count="4">
      <tableStyleElement type="wholeTable" size="0" dxfId="9"/>
      <tableStyleElement type="headerRow" dxfId="12"/>
      <tableStyleElement type="firstRowStripe" dxfId="11"/>
      <tableStyleElement type="secondRowStripe" dxfId="10"/>
    </tableStyle>
    <tableStyle name="Task Models-style" pivot="0" count="4">
      <tableStyleElement type="wholeTable" size="0" dxfId="5"/>
      <tableStyleElement type="headerRow" dxfId="8"/>
      <tableStyleElement type="firstRowStripe" dxfId="7"/>
      <tableStyleElement type="secondRowStripe" dxfId="6"/>
    </tableStyle>
    <tableStyle name="Skill Standards-style" pivot="0" count="4">
      <tableStyleElement type="wholeTable" size="0" dxfId="1"/>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Scores" displayName="Scores" ref="A1:BN33" headerRowCount="1">
  <tableColumns count="66">
    <tableColumn id="1" name="Class"/>
    <tableColumn id="2" name="Grade"/>
    <tableColumn id="3" name="Period"/>
    <tableColumn id="4" name="Student"/>
    <tableColumn id="5" name="ELL?"/>
    <tableColumn id="6" name="IEP?"/>
    <tableColumn id="7" name="MC Score"/>
    <tableColumn id="8" name="MC %"/>
    <tableColumn id="9" name="MC w/ Floor"/>
    <tableColumn id="10" name="MC Blank"/>
    <tableColumn id="11" name="1"/>
    <tableColumn id="12" name="2"/>
    <tableColumn id="13" name="3"/>
    <tableColumn id="14" name="4"/>
    <tableColumn id="15" name="5"/>
    <tableColumn id="16" name="6"/>
    <tableColumn id="17" name="7"/>
    <tableColumn id="18" name="8"/>
    <tableColumn id="19" name="9"/>
    <tableColumn id="20" name="10"/>
    <tableColumn id="21" name="11"/>
    <tableColumn id="22" name="12"/>
    <tableColumn id="23" name="13"/>
    <tableColumn id="24" name="14"/>
    <tableColumn id="25" name="15"/>
    <tableColumn id="26" name="16"/>
    <tableColumn id="27" name="17"/>
    <tableColumn id="28" name="18"/>
    <tableColumn id="29" name="19"/>
    <tableColumn id="30" name="20"/>
    <tableColumn id="31" name="21"/>
    <tableColumn id="32" name="22"/>
    <tableColumn id="33" name="23"/>
    <tableColumn id="34" name="24"/>
    <tableColumn id="35" name="25"/>
    <tableColumn id="36" name="26"/>
    <tableColumn id="37" name="27"/>
    <tableColumn id="38" name="28"/>
    <tableColumn id="39" name="Question 1"/>
    <tableColumn id="40" name="Question 2"/>
    <tableColumn id="41" name="Question 3"/>
    <tableColumn id="42" name="Question 4"/>
    <tableColumn id="43" name="Question 5"/>
    <tableColumn id="44" name="Question 6"/>
    <tableColumn id="45" name="Question 7"/>
    <tableColumn id="46" name="Question 8"/>
    <tableColumn id="47" name="Question 9"/>
    <tableColumn id="48" name="Question 10"/>
    <tableColumn id="49" name="Question 11"/>
    <tableColumn id="50" name="Question 12"/>
    <tableColumn id="51" name="Question 13"/>
    <tableColumn id="52" name="Question 14"/>
    <tableColumn id="53" name="Question 15"/>
    <tableColumn id="54" name="Question 16"/>
    <tableColumn id="55" name="Question 17"/>
    <tableColumn id="56" name="Question 18"/>
    <tableColumn id="57" name="Question 19"/>
    <tableColumn id="58" name="Question 20"/>
    <tableColumn id="59" name="Question 21"/>
    <tableColumn id="60" name="Question 22"/>
    <tableColumn id="61" name="Question 23"/>
    <tableColumn id="62" name="Question 24"/>
    <tableColumn id="63" name="Question 25"/>
    <tableColumn id="64" name="Question 26"/>
    <tableColumn id="65" name="Question 27"/>
    <tableColumn id="66" name="Question 28"/>
  </tableColumns>
  <tableStyleInfo name="Scores-style" showFirstColumn="1" showLastColumn="1" showRowStripes="1" showColumnStripes="0"/>
</table>
</file>

<file path=xl/tables/table2.xml><?xml version="1.0" encoding="utf-8"?>
<table xmlns="http://schemas.openxmlformats.org/spreadsheetml/2006/main" id="2" name="Questions" displayName="Questions" ref="A1:N29" headerRowCount="1">
  <tableColumns count="14">
    <tableColumn id="1" name="CMA #"/>
    <tableColumn id="2" name="Part"/>
    <tableColumn id="3" name="Stimulus"/>
    <tableColumn id="4" name="Question"/>
    <tableColumn id="5" name="Answer"/>
    <tableColumn id="6" name="Full Answer"/>
    <tableColumn id="7" name="Stimulus Type"/>
    <tableColumn id="8" name="Source Type"/>
    <tableColumn id="9" name="Task Model"/>
    <tableColumn id="10" name="Skill"/>
    <tableColumn id="11" name="Content"/>
    <tableColumn id="12" name="Need OI?"/>
    <tableColumn id="13" name="% Correct"/>
    <tableColumn id="14" name="Point Biserial"/>
  </tableColumns>
  <tableStyleInfo name="Questions-style" showFirstColumn="1" showLastColumn="1" showRowStripes="1" showColumnStripes="0"/>
</table>
</file>

<file path=xl/tables/table3.xml><?xml version="1.0" encoding="utf-8"?>
<table xmlns="http://schemas.openxmlformats.org/spreadsheetml/2006/main" id="3" name="Content_Standards" displayName="Content_Standards" ref="A1:E158" headerRowCount="1">
  <autoFilter ref="A1:E158">
    <filterColumn colId="0" hiddenButton="0" showButton="1">
      <filters>
        <filter val="10.01"/>
        <filter val="10.01a"/>
        <filter val="10.01a.1"/>
        <filter val="10.01a.2"/>
        <filter val="10.01a.3"/>
        <filter val="10.01b"/>
        <filter val="10.01b.1"/>
        <filter val="10.01b.2"/>
        <filter val="10.01b.3"/>
        <filter val="10.02"/>
        <filter val="10.02a"/>
        <filter val="10.02a.1"/>
        <filter val="10.02b"/>
        <filter val="10.02b.1"/>
        <filter val="10.02b.2"/>
        <filter val="10.02c"/>
        <filter val="10.02c.1"/>
        <filter val="10.02c.2"/>
        <filter val="10.02d"/>
        <filter val="10.02d.1"/>
        <filter val="10.03"/>
        <filter val="10.03a"/>
        <filter val="10.03a.1"/>
        <filter val="10.03b"/>
        <filter val="10.03b.1"/>
        <filter val="10.03b.2"/>
        <filter val="10.03b.3"/>
        <filter val="10.03c"/>
        <filter val="10.03c.1"/>
        <filter val="10.03d"/>
        <filter val="10.03d.1"/>
        <filter val="10.03d.2"/>
        <filter val="10.04"/>
        <filter val="10.04a"/>
        <filter val="10.04a.1"/>
        <filter val="10.04a.2"/>
        <filter val="10.04b"/>
        <filter val="10.04b.1"/>
        <filter val="10.04b.2"/>
        <filter val="10.04c"/>
        <filter val="10.04c.1"/>
        <filter val="10.05"/>
        <filter val="10.05a"/>
        <filter val="10.05a.1"/>
        <filter val="10.05b"/>
        <filter val="10.05b.1"/>
        <filter val="10.05c"/>
        <filter val="10.05c.1"/>
        <filter val="10.05d"/>
        <filter val="10.05d.1"/>
        <filter val="10.05d.2"/>
        <filter val="10.05d.3"/>
        <filter val="10.05d.4"/>
        <filter val="10.05e"/>
        <filter val="10.05e.1"/>
        <filter val="10.06"/>
        <filter val="10.06a"/>
        <filter val="10.06a.1"/>
        <filter val="10.06b"/>
        <filter val="10.06b.1"/>
        <filter val="10.06b.2"/>
        <filter val="10.06b.3"/>
        <filter val="10.06b.4"/>
        <filter val="10.06c"/>
        <filter val="10.06c.1"/>
        <filter val="10.06c.2"/>
        <filter val="10.07"/>
        <filter val="10.07a"/>
        <filter val="10.07a.1"/>
        <filter val="10.07a.2"/>
        <filter val="10.07b"/>
        <filter val="10.07b.1"/>
        <filter val="10.07c"/>
        <filter val="10.07c.1"/>
        <filter val="10.07c.2"/>
        <filter val="10.07d"/>
        <filter val="10.07d.1"/>
        <filter val="10.07d.2"/>
        <filter val="10.08"/>
        <filter val="10.08a"/>
        <filter val="10.08a.1"/>
        <filter val="10.08b"/>
        <filter val="10.08b.1"/>
        <filter val="10.08b.2"/>
        <filter val="10.09"/>
        <filter val="10.09a"/>
        <filter val="10.09a.1"/>
        <filter val="10.09a.2"/>
        <filter val="10.09b"/>
        <filter val="10.09b.1"/>
        <filter val="10.09c"/>
        <filter val="10.09c.1"/>
        <filter val="10.09c.2"/>
        <filter val="10.09c.3"/>
        <filter val="10.09d"/>
        <filter val="10.09d.1"/>
        <filter val="10.09d.2"/>
        <filter val="10.09d.3"/>
        <filter val="10.1"/>
        <filter val="10.10a"/>
        <filter val="10.10a.1"/>
        <filter val="10.10a.2"/>
        <filter val="10.10b"/>
        <filter val="10.10b.1"/>
        <filter val="10.10b.2"/>
        <filter val="10.10c"/>
        <filter val="10.10c.1"/>
        <filter val="10.10c.2"/>
        <filter val="10.10c.3"/>
        <filter val="10.10c.4"/>
        <filter val="11.09a.3"/>
        <filter val="11.09a.4"/>
        <filter val="11.09a.5"/>
        <filter val="11.09a.6"/>
        <filter val="11.09a.7"/>
        <filter val="11.09b"/>
        <filter val="11.09b.1"/>
        <filter val="11.09b.2"/>
        <filter val="11.09b.3"/>
        <filter val="11.09c"/>
        <filter val="11.09c.1"/>
        <filter val="11.09d"/>
        <filter val="11.09d.1"/>
        <filter val="11.10a"/>
        <filter val="11.10a.1"/>
        <filter val="11.10a.2"/>
        <filter val="11.10a.3"/>
        <filter val="11.10a.4"/>
        <filter val="11.10b"/>
        <filter val="11.10b.1"/>
        <filter val="11.10b.2"/>
        <filter val="11.10c"/>
        <filter val="11.10c.1"/>
        <filter val="11.10c.2"/>
        <filter val="11.10c.3"/>
        <filter val="11.11a"/>
        <filter val="11.11a.1"/>
        <filter val="11.11a.2"/>
        <filter val="11.11b"/>
        <filter val="11.11b.1"/>
        <filter val="11.11b.2"/>
        <filter val="11.11b.3"/>
        <filter val="11.11c"/>
        <filter val="11.11c.1"/>
        <filter val="11.11c.2"/>
        <filter val="11.11c.3"/>
      </filters>
    </filterColumn>
  </autoFilter>
  <tableColumns count="5">
    <tableColumn id="1" name="#"/>
    <tableColumn id="2" name="Unit / Concept / Content"/>
    <tableColumn id="3" name="Unit"/>
    <tableColumn id="4" name="Conceptual Understanding"/>
    <tableColumn id="5" name="Specifications"/>
  </tableColumns>
  <tableStyleInfo name="Content Standards-style" showFirstColumn="1" showLastColumn="1" showRowStripes="1" showColumnStripes="0"/>
</table>
</file>

<file path=xl/tables/table4.xml><?xml version="1.0" encoding="utf-8"?>
<table xmlns="http://schemas.openxmlformats.org/spreadsheetml/2006/main" id="4" name="Task_Models" displayName="Task_Models" ref="A1:D19" headerRowCount="1">
  <tableColumns count="4">
    <tableColumn id="1" name="Number"/>
    <tableColumn id="2" name="Title"/>
    <tableColumn id="3" name="Details"/>
    <tableColumn id="4" name="Lookup Key"/>
  </tableColumns>
  <tableStyleInfo name="Task Models-style" showFirstColumn="1" showLastColumn="1" showRowStripes="1" showColumnStripes="0"/>
</table>
</file>

<file path=xl/tables/table5.xml><?xml version="1.0" encoding="utf-8"?>
<table xmlns="http://schemas.openxmlformats.org/spreadsheetml/2006/main" id="5" name="Skill_Standards" displayName="Skill_Standards" ref="A1:C42" headerRowCount="1">
  <tableColumns count="3">
    <tableColumn id="1" name="Skill"/>
    <tableColumn id="2" name="Subdivision"/>
    <tableColumn id="3" name="Detail"/>
  </tableColumns>
  <tableStyleInfo name="Skill Standard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0" summaryRight="0"/>
    <pageSetUpPr/>
  </sheetPr>
  <dimension ref="A1:BN461"/>
  <sheetViews>
    <sheetView showGridLines="0" workbookViewId="0">
      <pane xSplit="4" ySplit="1" topLeftCell="E2" activePane="bottomRight" state="frozen"/>
      <selection pane="topRight" activeCell="E1" sqref="E1"/>
      <selection pane="bottomLeft" activeCell="A2" sqref="A2"/>
      <selection pane="bottomRight" activeCell="E2" sqref="E2"/>
    </sheetView>
  </sheetViews>
  <sheetFormatPr baseColWidth="10" defaultColWidth="12.6640625" defaultRowHeight="15.75" customHeight="1"/>
  <cols>
    <col width="8" customWidth="1" min="3" max="3"/>
    <col width="21.33203125" customWidth="1" min="4" max="4"/>
    <col width="12.6640625" customWidth="1" min="7" max="7"/>
    <col width="13.1640625" customWidth="1" min="8" max="9"/>
    <col width="6.33203125" customWidth="1" min="11" max="38"/>
  </cols>
  <sheetData>
    <row r="1" ht="28.5" customHeight="1">
      <c r="A1" s="1" t="inlineStr">
        <is>
          <t>Class</t>
        </is>
      </c>
      <c r="B1" s="2" t="inlineStr">
        <is>
          <t>Grade</t>
        </is>
      </c>
      <c r="C1" s="2" t="inlineStr">
        <is>
          <t>Period</t>
        </is>
      </c>
      <c r="D1" s="3" t="inlineStr">
        <is>
          <t>Student</t>
        </is>
      </c>
      <c r="E1" s="2" t="inlineStr">
        <is>
          <t>ELL?</t>
        </is>
      </c>
      <c r="F1" s="2" t="inlineStr">
        <is>
          <t>IEP?</t>
        </is>
      </c>
      <c r="G1" s="4" t="inlineStr">
        <is>
          <t>MC Score</t>
        </is>
      </c>
      <c r="H1" s="5" t="inlineStr">
        <is>
          <t>MC %</t>
        </is>
      </c>
      <c r="I1" s="5" t="inlineStr">
        <is>
          <t>MC w/ Floor</t>
        </is>
      </c>
      <c r="J1" s="2" t="inlineStr">
        <is>
          <t>MC Blank</t>
        </is>
      </c>
      <c r="K1" s="4" t="inlineStr">
        <is>
          <t>1</t>
        </is>
      </c>
      <c r="L1" s="2" t="inlineStr">
        <is>
          <t>2</t>
        </is>
      </c>
      <c r="M1" s="2" t="inlineStr">
        <is>
          <t>3</t>
        </is>
      </c>
      <c r="N1" s="2" t="inlineStr">
        <is>
          <t>4</t>
        </is>
      </c>
      <c r="O1" s="2" t="inlineStr">
        <is>
          <t>5</t>
        </is>
      </c>
      <c r="P1" s="2" t="inlineStr">
        <is>
          <t>6</t>
        </is>
      </c>
      <c r="Q1" s="2" t="inlineStr">
        <is>
          <t>7</t>
        </is>
      </c>
      <c r="R1" s="2" t="inlineStr">
        <is>
          <t>8</t>
        </is>
      </c>
      <c r="S1" s="2" t="inlineStr">
        <is>
          <t>9</t>
        </is>
      </c>
      <c r="T1" s="2" t="inlineStr">
        <is>
          <t>10</t>
        </is>
      </c>
      <c r="U1" s="2" t="inlineStr">
        <is>
          <t>11</t>
        </is>
      </c>
      <c r="V1" s="2" t="inlineStr">
        <is>
          <t>12</t>
        </is>
      </c>
      <c r="W1" s="2" t="inlineStr">
        <is>
          <t>13</t>
        </is>
      </c>
      <c r="X1" s="2" t="inlineStr">
        <is>
          <t>14</t>
        </is>
      </c>
      <c r="Y1" s="2" t="inlineStr">
        <is>
          <t>15</t>
        </is>
      </c>
      <c r="Z1" s="2" t="inlineStr">
        <is>
          <t>16</t>
        </is>
      </c>
      <c r="AA1" s="2" t="inlineStr">
        <is>
          <t>17</t>
        </is>
      </c>
      <c r="AB1" s="2" t="inlineStr">
        <is>
          <t>18</t>
        </is>
      </c>
      <c r="AC1" s="2" t="inlineStr">
        <is>
          <t>19</t>
        </is>
      </c>
      <c r="AD1" s="2" t="inlineStr">
        <is>
          <t>20</t>
        </is>
      </c>
      <c r="AE1" s="2" t="inlineStr">
        <is>
          <t>21</t>
        </is>
      </c>
      <c r="AF1" s="2" t="inlineStr">
        <is>
          <t>22</t>
        </is>
      </c>
      <c r="AG1" s="2" t="inlineStr">
        <is>
          <t>23</t>
        </is>
      </c>
      <c r="AH1" s="2" t="inlineStr">
        <is>
          <t>24</t>
        </is>
      </c>
      <c r="AI1" s="2" t="inlineStr">
        <is>
          <t>25</t>
        </is>
      </c>
      <c r="AJ1" s="2" t="inlineStr">
        <is>
          <t>26</t>
        </is>
      </c>
      <c r="AK1" s="2" t="inlineStr">
        <is>
          <t>27</t>
        </is>
      </c>
      <c r="AL1" s="2" t="inlineStr">
        <is>
          <t>28</t>
        </is>
      </c>
      <c r="AM1" s="2" t="inlineStr">
        <is>
          <t>Question 1</t>
        </is>
      </c>
      <c r="AN1" s="2" t="inlineStr">
        <is>
          <t>Question 2</t>
        </is>
      </c>
      <c r="AO1" s="2" t="inlineStr">
        <is>
          <t>Question 3</t>
        </is>
      </c>
      <c r="AP1" s="2" t="inlineStr">
        <is>
          <t>Question 4</t>
        </is>
      </c>
      <c r="AQ1" s="2" t="inlineStr">
        <is>
          <t>Question 5</t>
        </is>
      </c>
      <c r="AR1" s="2" t="inlineStr">
        <is>
          <t>Question 6</t>
        </is>
      </c>
      <c r="AS1" s="2" t="inlineStr">
        <is>
          <t>Question 7</t>
        </is>
      </c>
      <c r="AT1" s="2" t="inlineStr">
        <is>
          <t>Question 8</t>
        </is>
      </c>
      <c r="AU1" s="2" t="inlineStr">
        <is>
          <t>Question 9</t>
        </is>
      </c>
      <c r="AV1" s="2" t="inlineStr">
        <is>
          <t>Question 10</t>
        </is>
      </c>
      <c r="AW1" s="2" t="inlineStr">
        <is>
          <t>Question 11</t>
        </is>
      </c>
      <c r="AX1" s="2" t="inlineStr">
        <is>
          <t>Question 12</t>
        </is>
      </c>
      <c r="AY1" s="2" t="inlineStr">
        <is>
          <t>Question 13</t>
        </is>
      </c>
      <c r="AZ1" s="2" t="inlineStr">
        <is>
          <t>Question 14</t>
        </is>
      </c>
      <c r="BA1" s="2" t="inlineStr">
        <is>
          <t>Question 15</t>
        </is>
      </c>
      <c r="BB1" s="2" t="inlineStr">
        <is>
          <t>Question 16</t>
        </is>
      </c>
      <c r="BC1" s="2" t="inlineStr">
        <is>
          <t>Question 17</t>
        </is>
      </c>
      <c r="BD1" s="2" t="inlineStr">
        <is>
          <t>Question 18</t>
        </is>
      </c>
      <c r="BE1" s="2" t="inlineStr">
        <is>
          <t>Question 19</t>
        </is>
      </c>
      <c r="BF1" s="2" t="inlineStr">
        <is>
          <t>Question 20</t>
        </is>
      </c>
      <c r="BG1" s="2" t="inlineStr">
        <is>
          <t>Question 21</t>
        </is>
      </c>
      <c r="BH1" s="2" t="inlineStr">
        <is>
          <t>Question 22</t>
        </is>
      </c>
      <c r="BI1" s="2" t="inlineStr">
        <is>
          <t>Question 23</t>
        </is>
      </c>
      <c r="BJ1" s="2" t="inlineStr">
        <is>
          <t>Question 24</t>
        </is>
      </c>
      <c r="BK1" s="2" t="inlineStr">
        <is>
          <t>Question 25</t>
        </is>
      </c>
      <c r="BL1" s="2" t="inlineStr">
        <is>
          <t>Question 26</t>
        </is>
      </c>
      <c r="BM1" s="2" t="inlineStr">
        <is>
          <t>Question 27</t>
        </is>
      </c>
      <c r="BN1" s="2" t="inlineStr">
        <is>
          <t>Question 28</t>
        </is>
      </c>
    </row>
    <row r="2" ht="22.5" customHeight="1">
      <c r="A2" s="6" t="inlineStr">
        <is>
          <t>Kovelsky</t>
        </is>
      </c>
      <c r="B2" s="2" t="n">
        <v>10</v>
      </c>
      <c r="C2" s="2" t="n">
        <v>4</v>
      </c>
      <c r="D2" s="7" t="n">
        <v>1</v>
      </c>
      <c r="E2" s="2" t="n"/>
      <c r="F2" s="2" t="n"/>
      <c r="G2" s="8">
        <f>SUM(AM2:BN2)</f>
        <v/>
      </c>
      <c r="H2" s="9">
        <f>G2/28</f>
        <v/>
      </c>
      <c r="I2" s="9">
        <f>0.5+(G2/54)</f>
        <v/>
      </c>
      <c r="J2" s="10">
        <f>COUNTIF(K2:AL2,"")</f>
        <v/>
      </c>
      <c r="K2" s="11" t="n">
        <v>4</v>
      </c>
      <c r="L2" s="12" t="n">
        <v>1</v>
      </c>
      <c r="M2" s="13" t="n">
        <v>3</v>
      </c>
      <c r="N2" s="12" t="n">
        <v>2</v>
      </c>
      <c r="O2" s="13" t="n">
        <v>4</v>
      </c>
      <c r="P2" s="12" t="n">
        <v>4</v>
      </c>
      <c r="Q2" s="13" t="n">
        <v>2</v>
      </c>
      <c r="R2" s="13" t="n">
        <v>4</v>
      </c>
      <c r="S2" s="13" t="n">
        <v>1</v>
      </c>
      <c r="T2" s="13" t="n">
        <v>2</v>
      </c>
      <c r="U2" s="13" t="n">
        <v>1</v>
      </c>
      <c r="V2" s="13" t="n">
        <v>4</v>
      </c>
      <c r="W2" s="13" t="n">
        <v>3</v>
      </c>
      <c r="X2" s="14" t="n">
        <v>4</v>
      </c>
      <c r="Y2" s="13" t="n">
        <v>4</v>
      </c>
      <c r="Z2" s="13" t="n">
        <v>2</v>
      </c>
      <c r="AA2" s="13" t="n">
        <v>3</v>
      </c>
      <c r="AB2" s="13" t="n">
        <v>4</v>
      </c>
      <c r="AC2" s="13" t="n">
        <v>1</v>
      </c>
      <c r="AD2" s="13" t="n">
        <v>2</v>
      </c>
      <c r="AE2" s="14" t="n">
        <v>4</v>
      </c>
      <c r="AF2" s="13" t="n">
        <v>2</v>
      </c>
      <c r="AG2" s="13" t="n">
        <v>2</v>
      </c>
      <c r="AH2" s="13" t="n">
        <v>3</v>
      </c>
      <c r="AI2" s="13" t="n">
        <v>3</v>
      </c>
      <c r="AJ2" s="13" t="n">
        <v>4</v>
      </c>
      <c r="AK2" s="13" t="n">
        <v>2</v>
      </c>
      <c r="AL2" s="15" t="n">
        <v>2</v>
      </c>
      <c r="AM2" s="4" t="n">
        <v>1</v>
      </c>
      <c r="AN2" s="2" t="n">
        <v>1</v>
      </c>
      <c r="AO2" s="2" t="n">
        <v>1</v>
      </c>
      <c r="AP2" s="2" t="n">
        <v>1</v>
      </c>
      <c r="AQ2" s="2" t="n">
        <v>0</v>
      </c>
      <c r="AR2" s="2" t="n">
        <v>0</v>
      </c>
      <c r="AS2" s="2" t="n">
        <v>1</v>
      </c>
      <c r="AT2" s="2" t="n">
        <v>0</v>
      </c>
      <c r="AU2" s="2" t="n">
        <v>1</v>
      </c>
      <c r="AV2" s="2" t="n">
        <v>0</v>
      </c>
      <c r="AW2" s="2" t="n">
        <v>1</v>
      </c>
      <c r="AX2" s="2" t="n">
        <v>1</v>
      </c>
      <c r="AY2" s="2" t="n">
        <v>0</v>
      </c>
      <c r="AZ2" s="2" t="n">
        <v>0</v>
      </c>
      <c r="BA2" s="2" t="n">
        <v>1</v>
      </c>
      <c r="BB2" s="2" t="n">
        <v>0</v>
      </c>
      <c r="BC2" s="2" t="n">
        <v>0</v>
      </c>
      <c r="BD2" s="2" t="n">
        <v>0</v>
      </c>
      <c r="BE2" s="2" t="n">
        <v>1</v>
      </c>
      <c r="BF2" s="2" t="n">
        <v>0</v>
      </c>
      <c r="BG2" s="2" t="n">
        <v>1</v>
      </c>
      <c r="BH2" s="2" t="n">
        <v>1</v>
      </c>
      <c r="BI2" s="2" t="n">
        <v>1</v>
      </c>
      <c r="BJ2" s="2" t="n">
        <v>1</v>
      </c>
      <c r="BK2" s="2" t="n">
        <v>0</v>
      </c>
      <c r="BL2" s="2" t="n">
        <v>1</v>
      </c>
      <c r="BM2" s="2" t="n">
        <v>0</v>
      </c>
      <c r="BN2" s="2" t="n">
        <v>1</v>
      </c>
    </row>
    <row r="3" ht="22.5" customHeight="1">
      <c r="A3" s="6" t="inlineStr">
        <is>
          <t>Kovelsky</t>
        </is>
      </c>
      <c r="B3" s="2" t="n">
        <v>10</v>
      </c>
      <c r="C3" s="2" t="n">
        <v>4</v>
      </c>
      <c r="D3" s="7" t="n">
        <v>2</v>
      </c>
      <c r="E3" s="2" t="n"/>
      <c r="F3" s="2" t="n"/>
      <c r="G3" s="8">
        <f>SUM(AM3:BN3)</f>
        <v/>
      </c>
      <c r="H3" s="9">
        <f>G3/28</f>
        <v/>
      </c>
      <c r="I3" s="9">
        <f>0.5+(G3/54)</f>
        <v/>
      </c>
      <c r="J3" s="10">
        <f>COUNTIF(K3:AL3,"")</f>
        <v/>
      </c>
      <c r="K3" s="16" t="n">
        <v>4</v>
      </c>
      <c r="L3" s="13" t="n">
        <v>1</v>
      </c>
      <c r="M3" s="13" t="n">
        <v>3</v>
      </c>
      <c r="N3" s="12" t="n">
        <v>4</v>
      </c>
      <c r="O3" s="13" t="n">
        <v>1</v>
      </c>
      <c r="P3" s="13" t="n">
        <v>2</v>
      </c>
      <c r="Q3" s="13" t="n">
        <v>2</v>
      </c>
      <c r="R3" s="13" t="n">
        <v>3</v>
      </c>
      <c r="S3" s="13" t="n">
        <v>1</v>
      </c>
      <c r="T3" s="13" t="n">
        <v>1</v>
      </c>
      <c r="U3" s="13" t="inlineStr">
        <is>
          <t> </t>
        </is>
      </c>
      <c r="V3" s="13" t="n">
        <v>4</v>
      </c>
      <c r="W3" s="13" t="n">
        <v>2</v>
      </c>
      <c r="X3" s="14" t="n">
        <v>2</v>
      </c>
      <c r="Y3" s="13" t="n">
        <v>3</v>
      </c>
      <c r="Z3" s="13" t="n">
        <v>1</v>
      </c>
      <c r="AA3" s="13" t="n">
        <v>4</v>
      </c>
      <c r="AB3" s="13" t="n">
        <v>4</v>
      </c>
      <c r="AC3" s="13" t="n">
        <v>3</v>
      </c>
      <c r="AD3" s="13" t="n">
        <v>4</v>
      </c>
      <c r="AE3" s="14" t="n">
        <v>3</v>
      </c>
      <c r="AF3" s="13" t="n">
        <v>4</v>
      </c>
      <c r="AG3" s="13" t="n">
        <v>3</v>
      </c>
      <c r="AH3" s="13" t="n">
        <v>1</v>
      </c>
      <c r="AI3" s="13" t="n">
        <v>4</v>
      </c>
      <c r="AJ3" s="13" t="n">
        <v>3</v>
      </c>
      <c r="AK3" s="13" t="n">
        <v>3</v>
      </c>
      <c r="AL3" s="17" t="n">
        <v>3</v>
      </c>
      <c r="AM3" s="4" t="n">
        <v>1</v>
      </c>
      <c r="AN3" s="2" t="n">
        <v>1</v>
      </c>
      <c r="AO3" s="2" t="n">
        <v>1</v>
      </c>
      <c r="AP3" s="2" t="n">
        <v>0</v>
      </c>
      <c r="AQ3" s="2" t="n">
        <v>1</v>
      </c>
      <c r="AR3" s="2" t="n">
        <v>0</v>
      </c>
      <c r="AS3" s="2" t="n">
        <v>1</v>
      </c>
      <c r="AT3" s="2" t="n">
        <v>1</v>
      </c>
      <c r="AU3" s="2" t="n">
        <v>1</v>
      </c>
      <c r="AV3" s="2" t="n">
        <v>0</v>
      </c>
      <c r="AW3" s="2" t="n">
        <v>0</v>
      </c>
      <c r="AX3" s="2" t="n">
        <v>1</v>
      </c>
      <c r="AY3" s="2" t="n">
        <v>1</v>
      </c>
      <c r="AZ3" s="2" t="n">
        <v>1</v>
      </c>
      <c r="BA3" s="2" t="n">
        <v>0</v>
      </c>
      <c r="BB3" s="2" t="n">
        <v>0</v>
      </c>
      <c r="BC3" s="2" t="n">
        <v>1</v>
      </c>
      <c r="BD3" s="2" t="n">
        <v>0</v>
      </c>
      <c r="BE3" s="2" t="n">
        <v>0</v>
      </c>
      <c r="BF3" s="2" t="n">
        <v>0</v>
      </c>
      <c r="BG3" s="2" t="n">
        <v>0</v>
      </c>
      <c r="BH3" s="2" t="n">
        <v>0</v>
      </c>
      <c r="BI3" s="2" t="n">
        <v>0</v>
      </c>
      <c r="BJ3" s="2" t="n">
        <v>0</v>
      </c>
      <c r="BK3" s="2" t="n">
        <v>0</v>
      </c>
      <c r="BL3" s="2" t="n">
        <v>0</v>
      </c>
      <c r="BM3" s="2" t="n">
        <v>0</v>
      </c>
      <c r="BN3" s="2" t="n">
        <v>0</v>
      </c>
    </row>
    <row r="4" ht="22.5" customHeight="1">
      <c r="A4" s="6" t="inlineStr">
        <is>
          <t>Kovelsky</t>
        </is>
      </c>
      <c r="B4" s="2" t="n">
        <v>10</v>
      </c>
      <c r="C4" s="2" t="n">
        <v>4</v>
      </c>
      <c r="D4" s="7" t="n">
        <v>3</v>
      </c>
      <c r="E4" s="2" t="n"/>
      <c r="F4" s="2" t="n"/>
      <c r="G4" s="8">
        <f>SUM(AM4:BN4)</f>
        <v/>
      </c>
      <c r="H4" s="9">
        <f>G4/28</f>
        <v/>
      </c>
      <c r="I4" s="9">
        <f>0.5+(G4/54)</f>
        <v/>
      </c>
      <c r="J4" s="10">
        <f>COUNTIF(K4:AL4,"")</f>
        <v/>
      </c>
      <c r="K4" s="16" t="n">
        <v>4</v>
      </c>
      <c r="L4" s="13" t="n">
        <v>1</v>
      </c>
      <c r="M4" s="12" t="n">
        <v>3</v>
      </c>
      <c r="N4" s="12" t="n">
        <v>2</v>
      </c>
      <c r="O4" s="13" t="n">
        <v>1</v>
      </c>
      <c r="P4" s="13" t="n">
        <v>3</v>
      </c>
      <c r="Q4" s="12" t="n">
        <v>4</v>
      </c>
      <c r="R4" s="13" t="n">
        <v>3</v>
      </c>
      <c r="S4" s="13" t="n">
        <v>1</v>
      </c>
      <c r="T4" s="13" t="n">
        <v>4</v>
      </c>
      <c r="U4" s="13" t="n">
        <v>1</v>
      </c>
      <c r="V4" s="13" t="n">
        <v>4</v>
      </c>
      <c r="W4" s="13" t="n">
        <v>2</v>
      </c>
      <c r="X4" s="14" t="n">
        <v>3</v>
      </c>
      <c r="Y4" s="13" t="n">
        <v>4</v>
      </c>
      <c r="Z4" s="13" t="n">
        <v>3</v>
      </c>
      <c r="AA4" s="13" t="n">
        <v>4</v>
      </c>
      <c r="AB4" s="13" t="n">
        <v>4</v>
      </c>
      <c r="AC4" s="13" t="n">
        <v>1</v>
      </c>
      <c r="AD4" s="13" t="n">
        <v>3</v>
      </c>
      <c r="AE4" s="14" t="n">
        <v>4</v>
      </c>
      <c r="AF4" s="13" t="n">
        <v>1</v>
      </c>
      <c r="AG4" s="13" t="n">
        <v>2</v>
      </c>
      <c r="AH4" s="13" t="n">
        <v>4</v>
      </c>
      <c r="AI4" s="13" t="n">
        <v>2</v>
      </c>
      <c r="AJ4" s="13" t="n">
        <v>4</v>
      </c>
      <c r="AK4" s="13" t="n">
        <v>1</v>
      </c>
      <c r="AL4" s="17" t="n">
        <v>3</v>
      </c>
      <c r="AM4" s="4" t="n">
        <v>1</v>
      </c>
      <c r="AN4" s="2" t="n">
        <v>1</v>
      </c>
      <c r="AO4" s="2" t="n">
        <v>1</v>
      </c>
      <c r="AP4" s="2" t="n">
        <v>1</v>
      </c>
      <c r="AQ4" s="2" t="n">
        <v>1</v>
      </c>
      <c r="AR4" s="2" t="n">
        <v>1</v>
      </c>
      <c r="AS4" s="2" t="n">
        <v>0</v>
      </c>
      <c r="AT4" s="2" t="n">
        <v>1</v>
      </c>
      <c r="AU4" s="2" t="n">
        <v>1</v>
      </c>
      <c r="AV4" s="2" t="n">
        <v>0</v>
      </c>
      <c r="AW4" s="2" t="n">
        <v>1</v>
      </c>
      <c r="AX4" s="2" t="n">
        <v>1</v>
      </c>
      <c r="AY4" s="2" t="n">
        <v>1</v>
      </c>
      <c r="AZ4" s="2" t="n">
        <v>0</v>
      </c>
      <c r="BA4" s="2" t="n">
        <v>1</v>
      </c>
      <c r="BB4" s="2" t="n">
        <v>1</v>
      </c>
      <c r="BC4" s="2" t="n">
        <v>1</v>
      </c>
      <c r="BD4" s="2" t="n">
        <v>0</v>
      </c>
      <c r="BE4" s="2" t="n">
        <v>1</v>
      </c>
      <c r="BF4" s="2" t="n">
        <v>1</v>
      </c>
      <c r="BG4" s="2" t="n">
        <v>1</v>
      </c>
      <c r="BH4" s="2" t="n">
        <v>0</v>
      </c>
      <c r="BI4" s="2" t="n">
        <v>1</v>
      </c>
      <c r="BJ4" s="2" t="n">
        <v>0</v>
      </c>
      <c r="BK4" s="2" t="n">
        <v>1</v>
      </c>
      <c r="BL4" s="2" t="n">
        <v>1</v>
      </c>
      <c r="BM4" s="2" t="n">
        <v>1</v>
      </c>
      <c r="BN4" s="2" t="n">
        <v>0</v>
      </c>
    </row>
    <row r="5" ht="22.5" customHeight="1">
      <c r="A5" s="6" t="inlineStr">
        <is>
          <t>Kovelsky</t>
        </is>
      </c>
      <c r="B5" s="2" t="n">
        <v>10</v>
      </c>
      <c r="C5" s="2" t="n">
        <v>4</v>
      </c>
      <c r="D5" s="7" t="n">
        <v>4</v>
      </c>
      <c r="E5" s="2" t="n"/>
      <c r="F5" s="2" t="n"/>
      <c r="G5" s="8">
        <f>SUM(AM5:BN5)</f>
        <v/>
      </c>
      <c r="H5" s="9">
        <f>G5/28</f>
        <v/>
      </c>
      <c r="I5" s="9">
        <f>0.5+(G5/54)</f>
        <v/>
      </c>
      <c r="J5" s="10">
        <f>COUNTIF(K5:AL5,"")</f>
        <v/>
      </c>
      <c r="K5" s="11" t="n">
        <v>4</v>
      </c>
      <c r="L5" s="13" t="n">
        <v>1</v>
      </c>
      <c r="M5" s="12" t="n">
        <v>3</v>
      </c>
      <c r="N5" s="13" t="n">
        <v>2</v>
      </c>
      <c r="O5" s="13" t="n">
        <v>1</v>
      </c>
      <c r="P5" s="13" t="n">
        <v>2</v>
      </c>
      <c r="Q5" s="12" t="n">
        <v>4</v>
      </c>
      <c r="R5" s="13" t="n">
        <v>2</v>
      </c>
      <c r="S5" s="13" t="n">
        <v>1</v>
      </c>
      <c r="T5" s="13" t="n">
        <v>4</v>
      </c>
      <c r="U5" s="13" t="n">
        <v>2</v>
      </c>
      <c r="V5" s="13" t="n">
        <v>2</v>
      </c>
      <c r="W5" s="13" t="n">
        <v>3</v>
      </c>
      <c r="X5" s="14" t="n">
        <v>2</v>
      </c>
      <c r="Y5" s="13" t="n">
        <v>1</v>
      </c>
      <c r="Z5" s="13" t="n">
        <v>2</v>
      </c>
      <c r="AA5" s="13" t="n">
        <v>1</v>
      </c>
      <c r="AB5" s="13" t="n">
        <v>3</v>
      </c>
      <c r="AC5" s="13" t="n">
        <v>4</v>
      </c>
      <c r="AD5" s="13" t="n">
        <v>1</v>
      </c>
      <c r="AE5" s="14" t="n">
        <v>3</v>
      </c>
      <c r="AF5" s="13" t="n">
        <v>2</v>
      </c>
      <c r="AG5" s="13" t="n">
        <v>1</v>
      </c>
      <c r="AH5" s="13" t="n">
        <v>3</v>
      </c>
      <c r="AI5" s="13" t="n">
        <v>1</v>
      </c>
      <c r="AJ5" s="13" t="n">
        <v>3</v>
      </c>
      <c r="AK5" s="13" t="n">
        <v>2</v>
      </c>
      <c r="AL5" s="15" t="n">
        <v>2</v>
      </c>
      <c r="AM5" s="4" t="n">
        <v>1</v>
      </c>
      <c r="AN5" s="2" t="n">
        <v>1</v>
      </c>
      <c r="AO5" s="2" t="n">
        <v>1</v>
      </c>
      <c r="AP5" s="2" t="n">
        <v>1</v>
      </c>
      <c r="AQ5" s="2" t="n">
        <v>1</v>
      </c>
      <c r="AR5" s="2" t="n">
        <v>0</v>
      </c>
      <c r="AS5" s="2" t="n">
        <v>0</v>
      </c>
      <c r="AT5" s="2" t="n">
        <v>0</v>
      </c>
      <c r="AU5" s="2" t="n">
        <v>1</v>
      </c>
      <c r="AV5" s="2" t="n">
        <v>0</v>
      </c>
      <c r="AW5" s="2" t="n">
        <v>0</v>
      </c>
      <c r="AX5" s="2" t="n">
        <v>0</v>
      </c>
      <c r="AY5" s="2" t="n">
        <v>0</v>
      </c>
      <c r="AZ5" s="2" t="n">
        <v>1</v>
      </c>
      <c r="BA5" s="2" t="n">
        <v>0</v>
      </c>
      <c r="BB5" s="2" t="n">
        <v>0</v>
      </c>
      <c r="BC5" s="2" t="n">
        <v>0</v>
      </c>
      <c r="BD5" s="2" t="n">
        <v>1</v>
      </c>
      <c r="BE5" s="2" t="n">
        <v>0</v>
      </c>
      <c r="BF5" s="2" t="n">
        <v>0</v>
      </c>
      <c r="BG5" s="2" t="n">
        <v>0</v>
      </c>
      <c r="BH5" s="2" t="n">
        <v>1</v>
      </c>
      <c r="BI5" s="2" t="n">
        <v>0</v>
      </c>
      <c r="BJ5" s="2" t="n">
        <v>1</v>
      </c>
      <c r="BK5" s="2" t="n">
        <v>0</v>
      </c>
      <c r="BL5" s="2" t="n">
        <v>0</v>
      </c>
      <c r="BM5" s="2" t="n">
        <v>0</v>
      </c>
      <c r="BN5" s="2" t="n">
        <v>1</v>
      </c>
    </row>
    <row r="6" ht="22.5" customHeight="1">
      <c r="A6" s="6" t="inlineStr">
        <is>
          <t>Kovelsky</t>
        </is>
      </c>
      <c r="B6" s="2" t="n">
        <v>10</v>
      </c>
      <c r="C6" s="2" t="n">
        <v>4</v>
      </c>
      <c r="D6" s="7" t="n">
        <v>5</v>
      </c>
      <c r="E6" s="2" t="n"/>
      <c r="F6" s="2" t="n"/>
      <c r="G6" s="8">
        <f>SUM(AM6:BN6)</f>
        <v/>
      </c>
      <c r="H6" s="9">
        <f>G6/28</f>
        <v/>
      </c>
      <c r="I6" s="9">
        <f>0.5+(G6/54)</f>
        <v/>
      </c>
      <c r="J6" s="10">
        <f>COUNTIF(K6:AL6,"")</f>
        <v/>
      </c>
      <c r="K6" s="16" t="n">
        <v>4</v>
      </c>
      <c r="L6" s="13" t="n">
        <v>1</v>
      </c>
      <c r="M6" s="13" t="n">
        <v>3</v>
      </c>
      <c r="N6" s="12" t="n">
        <v>2</v>
      </c>
      <c r="O6" s="13" t="n">
        <v>3</v>
      </c>
      <c r="P6" s="13" t="n">
        <v>3</v>
      </c>
      <c r="Q6" s="13" t="n">
        <v>2</v>
      </c>
      <c r="R6" s="13" t="n">
        <v>3</v>
      </c>
      <c r="S6" s="13" t="n">
        <v>3</v>
      </c>
      <c r="T6" s="13" t="n">
        <v>4</v>
      </c>
      <c r="U6" s="13" t="n">
        <v>1</v>
      </c>
      <c r="V6" s="13" t="n">
        <v>4</v>
      </c>
      <c r="W6" s="13" t="n">
        <v>2</v>
      </c>
      <c r="X6" s="14" t="n">
        <v>3</v>
      </c>
      <c r="Y6" s="13" t="n">
        <v>4</v>
      </c>
      <c r="Z6" s="13" t="n">
        <v>3</v>
      </c>
      <c r="AA6" s="13" t="n">
        <v>4</v>
      </c>
      <c r="AB6" s="13" t="n">
        <v>4</v>
      </c>
      <c r="AC6" s="13" t="n">
        <v>1</v>
      </c>
      <c r="AD6" s="13" t="n">
        <v>3</v>
      </c>
      <c r="AE6" s="14" t="n">
        <v>3</v>
      </c>
      <c r="AF6" s="13" t="n">
        <v>2</v>
      </c>
      <c r="AG6" s="13" t="n">
        <v>1</v>
      </c>
      <c r="AH6" s="13" t="n">
        <v>3</v>
      </c>
      <c r="AI6" s="13" t="n">
        <v>2</v>
      </c>
      <c r="AJ6" s="13" t="n">
        <v>1</v>
      </c>
      <c r="AK6" s="13" t="n"/>
      <c r="AL6" s="15" t="n"/>
      <c r="AM6" s="4" t="n">
        <v>1</v>
      </c>
      <c r="AN6" s="2" t="n">
        <v>1</v>
      </c>
      <c r="AO6" s="2" t="n">
        <v>1</v>
      </c>
      <c r="AP6" s="2" t="n">
        <v>1</v>
      </c>
      <c r="AQ6" s="2" t="n">
        <v>0</v>
      </c>
      <c r="AR6" s="2" t="n">
        <v>1</v>
      </c>
      <c r="AS6" s="2" t="n">
        <v>1</v>
      </c>
      <c r="AT6" s="2" t="n">
        <v>1</v>
      </c>
      <c r="AU6" s="2" t="n">
        <v>0</v>
      </c>
      <c r="AV6" s="2" t="n">
        <v>0</v>
      </c>
      <c r="AW6" s="2" t="n">
        <v>1</v>
      </c>
      <c r="AX6" s="2" t="n">
        <v>1</v>
      </c>
      <c r="AY6" s="2" t="n">
        <v>1</v>
      </c>
      <c r="AZ6" s="2" t="n">
        <v>0</v>
      </c>
      <c r="BA6" s="2" t="n">
        <v>1</v>
      </c>
      <c r="BB6" s="2" t="n">
        <v>1</v>
      </c>
      <c r="BC6" s="2" t="n">
        <v>1</v>
      </c>
      <c r="BD6" s="2" t="n">
        <v>0</v>
      </c>
      <c r="BE6" s="2" t="n">
        <v>1</v>
      </c>
      <c r="BF6" s="2" t="n">
        <v>1</v>
      </c>
      <c r="BG6" s="2" t="n">
        <v>0</v>
      </c>
      <c r="BH6" s="2" t="n">
        <v>1</v>
      </c>
      <c r="BI6" s="2" t="n">
        <v>0</v>
      </c>
      <c r="BJ6" s="2" t="n">
        <v>1</v>
      </c>
      <c r="BK6" s="2" t="n">
        <v>1</v>
      </c>
      <c r="BL6" s="2" t="n">
        <v>0</v>
      </c>
      <c r="BM6" s="2" t="n">
        <v>0</v>
      </c>
      <c r="BN6" s="2" t="n">
        <v>0</v>
      </c>
    </row>
    <row r="7" ht="22.5" customHeight="1">
      <c r="A7" s="6" t="inlineStr">
        <is>
          <t>Kovelsky</t>
        </is>
      </c>
      <c r="B7" s="2" t="n">
        <v>10</v>
      </c>
      <c r="C7" s="2" t="n">
        <v>4</v>
      </c>
      <c r="D7" s="7" t="n">
        <v>6</v>
      </c>
      <c r="E7" s="2" t="n"/>
      <c r="F7" s="2" t="n"/>
      <c r="G7" s="8">
        <f>SUM(AM7:BN7)</f>
        <v/>
      </c>
      <c r="H7" s="9">
        <f>G7/28</f>
        <v/>
      </c>
      <c r="I7" s="9">
        <f>0.5+(G7/54)</f>
        <v/>
      </c>
      <c r="J7" s="10">
        <f>COUNTIF(K7:AL7,"")</f>
        <v/>
      </c>
      <c r="K7" s="11" t="n">
        <v>2</v>
      </c>
      <c r="L7" s="13" t="n">
        <v>3</v>
      </c>
      <c r="M7" s="12" t="n">
        <v>3</v>
      </c>
      <c r="N7" s="13" t="n">
        <v>2</v>
      </c>
      <c r="O7" s="13" t="n">
        <v>3</v>
      </c>
      <c r="P7" s="12" t="n">
        <v>3</v>
      </c>
      <c r="Q7" s="13" t="n">
        <v>2</v>
      </c>
      <c r="R7" s="13" t="n">
        <v>3</v>
      </c>
      <c r="S7" s="13" t="n">
        <v>1</v>
      </c>
      <c r="T7" s="13" t="n">
        <v>3</v>
      </c>
      <c r="U7" s="13" t="n">
        <v>1</v>
      </c>
      <c r="V7" s="13" t="n">
        <v>4</v>
      </c>
      <c r="W7" s="13" t="n">
        <v>3</v>
      </c>
      <c r="X7" s="14" t="n">
        <v>3</v>
      </c>
      <c r="Y7" s="13" t="n">
        <v>4</v>
      </c>
      <c r="Z7" s="13" t="n">
        <v>3</v>
      </c>
      <c r="AA7" s="13" t="n">
        <v>4</v>
      </c>
      <c r="AB7" s="13" t="n">
        <v>3</v>
      </c>
      <c r="AC7" s="13" t="n">
        <v>1</v>
      </c>
      <c r="AD7" s="13" t="n">
        <v>3</v>
      </c>
      <c r="AE7" s="14" t="n">
        <v>4</v>
      </c>
      <c r="AF7" s="13" t="n">
        <v>2</v>
      </c>
      <c r="AG7" s="13" t="n">
        <v>3</v>
      </c>
      <c r="AH7" s="13" t="n">
        <v>4</v>
      </c>
      <c r="AI7" s="13" t="n">
        <v>2</v>
      </c>
      <c r="AJ7" s="13" t="n">
        <v>4</v>
      </c>
      <c r="AK7" s="13" t="n">
        <v>2</v>
      </c>
      <c r="AL7" s="17" t="n">
        <v>2</v>
      </c>
      <c r="AM7" s="4" t="n">
        <v>0</v>
      </c>
      <c r="AN7" s="2" t="n">
        <v>0</v>
      </c>
      <c r="AO7" s="2" t="n">
        <v>1</v>
      </c>
      <c r="AP7" s="2" t="n">
        <v>1</v>
      </c>
      <c r="AQ7" s="2" t="n">
        <v>0</v>
      </c>
      <c r="AR7" s="2" t="n">
        <v>1</v>
      </c>
      <c r="AS7" s="2" t="n">
        <v>1</v>
      </c>
      <c r="AT7" s="2" t="n">
        <v>1</v>
      </c>
      <c r="AU7" s="2" t="n">
        <v>1</v>
      </c>
      <c r="AV7" s="2" t="n">
        <v>1</v>
      </c>
      <c r="AW7" s="2" t="n">
        <v>1</v>
      </c>
      <c r="AX7" s="2" t="n">
        <v>1</v>
      </c>
      <c r="AY7" s="2" t="n">
        <v>0</v>
      </c>
      <c r="AZ7" s="2" t="n">
        <v>0</v>
      </c>
      <c r="BA7" s="2" t="n">
        <v>1</v>
      </c>
      <c r="BB7" s="2" t="n">
        <v>1</v>
      </c>
      <c r="BC7" s="2" t="n">
        <v>1</v>
      </c>
      <c r="BD7" s="2" t="n">
        <v>1</v>
      </c>
      <c r="BE7" s="2" t="n">
        <v>1</v>
      </c>
      <c r="BF7" s="2" t="n">
        <v>1</v>
      </c>
      <c r="BG7" s="2" t="n">
        <v>1</v>
      </c>
      <c r="BH7" s="2" t="n">
        <v>1</v>
      </c>
      <c r="BI7" s="2" t="n">
        <v>0</v>
      </c>
      <c r="BJ7" s="2" t="n">
        <v>0</v>
      </c>
      <c r="BK7" s="2" t="n">
        <v>1</v>
      </c>
      <c r="BL7" s="2" t="n">
        <v>1</v>
      </c>
      <c r="BM7" s="2" t="n">
        <v>0</v>
      </c>
      <c r="BN7" s="2" t="n">
        <v>1</v>
      </c>
    </row>
    <row r="8" ht="22.5" customHeight="1">
      <c r="A8" s="6" t="inlineStr">
        <is>
          <t>Kovelsky</t>
        </is>
      </c>
      <c r="B8" s="2" t="n">
        <v>10</v>
      </c>
      <c r="C8" s="2" t="n">
        <v>4</v>
      </c>
      <c r="D8" s="7" t="n">
        <v>7</v>
      </c>
      <c r="E8" s="2" t="n"/>
      <c r="F8" s="2" t="n"/>
      <c r="G8" s="8">
        <f>SUM(AM8:BN8)</f>
        <v/>
      </c>
      <c r="H8" s="9">
        <f>G8/28</f>
        <v/>
      </c>
      <c r="I8" s="9">
        <f>0.5+(G8/54)</f>
        <v/>
      </c>
      <c r="J8" s="10">
        <f>COUNTIF(K8:AL8,"")</f>
        <v/>
      </c>
      <c r="K8" s="16" t="n">
        <v>4</v>
      </c>
      <c r="L8" s="13" t="n">
        <v>1</v>
      </c>
      <c r="M8" s="12" t="n">
        <v>3</v>
      </c>
      <c r="N8" s="12" t="n">
        <v>2</v>
      </c>
      <c r="O8" s="13" t="n">
        <v>1</v>
      </c>
      <c r="P8" s="13" t="n">
        <v>1</v>
      </c>
      <c r="Q8" s="13" t="n">
        <v>2</v>
      </c>
      <c r="R8" s="13" t="n">
        <v>4</v>
      </c>
      <c r="S8" s="13" t="n">
        <v>1</v>
      </c>
      <c r="T8" s="13" t="n">
        <v>3</v>
      </c>
      <c r="U8" s="13" t="n">
        <v>1</v>
      </c>
      <c r="V8" s="13" t="n">
        <v>4</v>
      </c>
      <c r="W8" s="13" t="n">
        <v>1</v>
      </c>
      <c r="X8" s="14" t="n">
        <v>2</v>
      </c>
      <c r="Y8" s="13" t="n">
        <v>4</v>
      </c>
      <c r="Z8" s="13" t="n">
        <v>3</v>
      </c>
      <c r="AA8" s="13" t="n">
        <v>4</v>
      </c>
      <c r="AB8" s="13" t="n">
        <v>4</v>
      </c>
      <c r="AC8" s="13" t="n">
        <v>1</v>
      </c>
      <c r="AD8" s="13" t="n">
        <v>3</v>
      </c>
      <c r="AE8" s="14" t="n">
        <v>4</v>
      </c>
      <c r="AF8" s="13" t="n">
        <v>2</v>
      </c>
      <c r="AG8" s="13" t="n">
        <v>2</v>
      </c>
      <c r="AH8" s="13" t="n">
        <v>1</v>
      </c>
      <c r="AI8" s="13" t="n">
        <v>3</v>
      </c>
      <c r="AJ8" s="13" t="n">
        <v>1</v>
      </c>
      <c r="AK8" s="13" t="n">
        <v>2</v>
      </c>
      <c r="AL8" s="17" t="n">
        <v>2</v>
      </c>
      <c r="AM8" s="4" t="n">
        <v>1</v>
      </c>
      <c r="AN8" s="2" t="n">
        <v>1</v>
      </c>
      <c r="AO8" s="2" t="n">
        <v>1</v>
      </c>
      <c r="AP8" s="2" t="n">
        <v>1</v>
      </c>
      <c r="AQ8" s="2" t="n">
        <v>1</v>
      </c>
      <c r="AR8" s="2" t="n">
        <v>0</v>
      </c>
      <c r="AS8" s="2" t="n">
        <v>1</v>
      </c>
      <c r="AT8" s="2" t="n">
        <v>0</v>
      </c>
      <c r="AU8" s="2" t="n">
        <v>1</v>
      </c>
      <c r="AV8" s="2" t="n">
        <v>1</v>
      </c>
      <c r="AW8" s="2" t="n">
        <v>1</v>
      </c>
      <c r="AX8" s="2" t="n">
        <v>1</v>
      </c>
      <c r="AY8" s="2" t="n">
        <v>0</v>
      </c>
      <c r="AZ8" s="2" t="n">
        <v>1</v>
      </c>
      <c r="BA8" s="2" t="n">
        <v>1</v>
      </c>
      <c r="BB8" s="2" t="n">
        <v>1</v>
      </c>
      <c r="BC8" s="2" t="n">
        <v>1</v>
      </c>
      <c r="BD8" s="2" t="n">
        <v>0</v>
      </c>
      <c r="BE8" s="2" t="n">
        <v>1</v>
      </c>
      <c r="BF8" s="2" t="n">
        <v>1</v>
      </c>
      <c r="BG8" s="2" t="n">
        <v>1</v>
      </c>
      <c r="BH8" s="2" t="n">
        <v>1</v>
      </c>
      <c r="BI8" s="2" t="n">
        <v>1</v>
      </c>
      <c r="BJ8" s="2" t="n">
        <v>0</v>
      </c>
      <c r="BK8" s="2" t="n">
        <v>0</v>
      </c>
      <c r="BL8" s="2" t="n">
        <v>0</v>
      </c>
      <c r="BM8" s="2" t="n">
        <v>0</v>
      </c>
      <c r="BN8" s="2" t="n">
        <v>1</v>
      </c>
    </row>
    <row r="9" ht="22.5" customHeight="1">
      <c r="A9" s="6" t="inlineStr">
        <is>
          <t>Kovelsky</t>
        </is>
      </c>
      <c r="B9" s="2" t="n">
        <v>10</v>
      </c>
      <c r="C9" s="2" t="n">
        <v>4</v>
      </c>
      <c r="D9" s="7" t="n">
        <v>8</v>
      </c>
      <c r="E9" s="2" t="n"/>
      <c r="F9" s="2" t="n"/>
      <c r="G9" s="8">
        <f>SUM(AM9:BN9)</f>
        <v/>
      </c>
      <c r="H9" s="9">
        <f>G9/28</f>
        <v/>
      </c>
      <c r="I9" s="9">
        <f>0.5+(G9/54)</f>
        <v/>
      </c>
      <c r="J9" s="10">
        <f>COUNTIF(K9:AL9,"")</f>
        <v/>
      </c>
      <c r="K9" s="11" t="n">
        <v>4</v>
      </c>
      <c r="L9" s="13" t="n">
        <v>1</v>
      </c>
      <c r="M9" s="12" t="n">
        <v>3</v>
      </c>
      <c r="N9" s="12" t="n">
        <v>2</v>
      </c>
      <c r="O9" s="13" t="n">
        <v>1</v>
      </c>
      <c r="P9" s="12" t="n">
        <v>3</v>
      </c>
      <c r="Q9" s="13" t="n">
        <v>2</v>
      </c>
      <c r="R9" s="12" t="n">
        <v>3</v>
      </c>
      <c r="S9" s="13" t="n">
        <v>3</v>
      </c>
      <c r="T9" s="13" t="n">
        <v>4</v>
      </c>
      <c r="U9" s="13" t="n">
        <v>1</v>
      </c>
      <c r="V9" s="13" t="n">
        <v>1</v>
      </c>
      <c r="W9" s="13" t="n">
        <v>2</v>
      </c>
      <c r="X9" s="14" t="n">
        <v>3</v>
      </c>
      <c r="Y9" s="13" t="n">
        <v>4</v>
      </c>
      <c r="Z9" s="13" t="n">
        <v>2</v>
      </c>
      <c r="AA9" s="13" t="n">
        <v>1</v>
      </c>
      <c r="AB9" s="13" t="n">
        <v>3</v>
      </c>
      <c r="AC9" s="13" t="n">
        <v>2</v>
      </c>
      <c r="AD9" s="13" t="n">
        <v>4</v>
      </c>
      <c r="AE9" s="14" t="n">
        <v>1</v>
      </c>
      <c r="AF9" s="13" t="n">
        <v>3</v>
      </c>
      <c r="AG9" s="13" t="n">
        <v>4</v>
      </c>
      <c r="AH9" s="13" t="n">
        <v>3</v>
      </c>
      <c r="AI9" s="13" t="n">
        <v>2</v>
      </c>
      <c r="AJ9" s="13" t="n">
        <v>1</v>
      </c>
      <c r="AK9" s="13" t="n">
        <v>1</v>
      </c>
      <c r="AL9" s="17" t="n">
        <v>3</v>
      </c>
      <c r="AM9" s="4" t="n">
        <v>1</v>
      </c>
      <c r="AN9" s="2" t="n">
        <v>1</v>
      </c>
      <c r="AO9" s="2" t="n">
        <v>1</v>
      </c>
      <c r="AP9" s="2" t="n">
        <v>1</v>
      </c>
      <c r="AQ9" s="2" t="n">
        <v>1</v>
      </c>
      <c r="AR9" s="2" t="n">
        <v>1</v>
      </c>
      <c r="AS9" s="2" t="n">
        <v>1</v>
      </c>
      <c r="AT9" s="2" t="n">
        <v>1</v>
      </c>
      <c r="AU9" s="2" t="n">
        <v>0</v>
      </c>
      <c r="AV9" s="2" t="n">
        <v>0</v>
      </c>
      <c r="AW9" s="2" t="n">
        <v>1</v>
      </c>
      <c r="AX9" s="2" t="n">
        <v>0</v>
      </c>
      <c r="AY9" s="2" t="n">
        <v>1</v>
      </c>
      <c r="AZ9" s="2" t="n">
        <v>0</v>
      </c>
      <c r="BA9" s="2" t="n">
        <v>1</v>
      </c>
      <c r="BB9" s="2" t="n">
        <v>0</v>
      </c>
      <c r="BC9" s="2" t="n">
        <v>0</v>
      </c>
      <c r="BD9" s="2" t="n">
        <v>1</v>
      </c>
      <c r="BE9" s="2" t="n">
        <v>0</v>
      </c>
      <c r="BF9" s="2" t="n">
        <v>0</v>
      </c>
      <c r="BG9" s="2" t="n">
        <v>0</v>
      </c>
      <c r="BH9" s="2" t="n">
        <v>0</v>
      </c>
      <c r="BI9" s="2" t="n">
        <v>0</v>
      </c>
      <c r="BJ9" s="2" t="n">
        <v>1</v>
      </c>
      <c r="BK9" s="2" t="n">
        <v>1</v>
      </c>
      <c r="BL9" s="2" t="n">
        <v>0</v>
      </c>
      <c r="BM9" s="2" t="n">
        <v>1</v>
      </c>
      <c r="BN9" s="2" t="n">
        <v>0</v>
      </c>
    </row>
    <row r="10" ht="22.5" customHeight="1">
      <c r="A10" s="6" t="inlineStr">
        <is>
          <t>Kovelsky</t>
        </is>
      </c>
      <c r="B10" s="2" t="n">
        <v>10</v>
      </c>
      <c r="C10" s="2" t="n">
        <v>4</v>
      </c>
      <c r="D10" s="7" t="n">
        <v>9</v>
      </c>
      <c r="E10" s="2" t="n"/>
      <c r="F10" s="2" t="n"/>
      <c r="G10" s="8">
        <f>SUM(AM10:BN10)</f>
        <v/>
      </c>
      <c r="H10" s="9">
        <f>G10/28</f>
        <v/>
      </c>
      <c r="I10" s="9">
        <f>0.5+(G10/54)</f>
        <v/>
      </c>
      <c r="J10" s="10">
        <f>COUNTIF(K10:AL10,"")</f>
        <v/>
      </c>
      <c r="K10" s="11" t="n"/>
      <c r="L10" s="13" t="n"/>
      <c r="M10" s="12" t="n"/>
      <c r="N10" s="12" t="n"/>
      <c r="O10" s="12" t="n"/>
      <c r="P10" s="12" t="n"/>
      <c r="Q10" s="13" t="n"/>
      <c r="R10" s="12" t="n"/>
      <c r="S10" s="18" t="n"/>
      <c r="T10" s="18" t="n"/>
      <c r="U10" s="18" t="n"/>
      <c r="V10" s="18" t="n"/>
      <c r="W10" s="18" t="n"/>
      <c r="X10" s="19" t="n"/>
      <c r="Y10" s="18" t="n"/>
      <c r="Z10" s="18" t="n"/>
      <c r="AA10" s="18" t="n"/>
      <c r="AB10" s="18" t="n"/>
      <c r="AC10" s="18" t="n"/>
      <c r="AD10" s="18" t="n"/>
      <c r="AE10" s="19" t="n"/>
      <c r="AF10" s="18" t="n"/>
      <c r="AG10" s="18" t="n"/>
      <c r="AH10" s="18" t="n"/>
      <c r="AI10" s="18" t="n"/>
      <c r="AJ10" s="18" t="n"/>
      <c r="AK10" s="18" t="n"/>
      <c r="AL10" s="15" t="n"/>
      <c r="AM10" s="4" t="n">
        <v>0</v>
      </c>
      <c r="AN10" s="2" t="n">
        <v>0</v>
      </c>
      <c r="AO10" s="2" t="n">
        <v>0</v>
      </c>
      <c r="AP10" s="2" t="n">
        <v>0</v>
      </c>
      <c r="AQ10" s="2" t="n">
        <v>0</v>
      </c>
      <c r="AR10" s="2" t="n">
        <v>0</v>
      </c>
      <c r="AS10" s="2" t="n">
        <v>0</v>
      </c>
      <c r="AT10" s="2" t="n">
        <v>0</v>
      </c>
      <c r="AU10" s="2" t="n">
        <v>0</v>
      </c>
      <c r="AV10" s="2" t="n">
        <v>0</v>
      </c>
      <c r="AW10" s="2" t="n">
        <v>0</v>
      </c>
      <c r="AX10" s="2" t="n">
        <v>0</v>
      </c>
      <c r="AY10" s="2" t="n">
        <v>0</v>
      </c>
      <c r="AZ10" s="2" t="n">
        <v>0</v>
      </c>
      <c r="BA10" s="2" t="n">
        <v>0</v>
      </c>
      <c r="BB10" s="2" t="n">
        <v>0</v>
      </c>
      <c r="BC10" s="2" t="n">
        <v>0</v>
      </c>
      <c r="BD10" s="2" t="n">
        <v>0</v>
      </c>
      <c r="BE10" s="2" t="n">
        <v>0</v>
      </c>
      <c r="BF10" s="2" t="n">
        <v>0</v>
      </c>
      <c r="BG10" s="2" t="n">
        <v>0</v>
      </c>
      <c r="BH10" s="2" t="n">
        <v>0</v>
      </c>
      <c r="BI10" s="2" t="n">
        <v>0</v>
      </c>
      <c r="BJ10" s="2" t="n">
        <v>0</v>
      </c>
      <c r="BK10" s="2" t="n">
        <v>0</v>
      </c>
      <c r="BL10" s="2" t="n">
        <v>0</v>
      </c>
      <c r="BM10" s="2" t="n">
        <v>0</v>
      </c>
      <c r="BN10" s="2" t="n">
        <v>0</v>
      </c>
    </row>
    <row r="11" ht="22.5" customHeight="1">
      <c r="A11" s="6" t="inlineStr">
        <is>
          <t>Kovelsky</t>
        </is>
      </c>
      <c r="B11" s="2" t="n">
        <v>10</v>
      </c>
      <c r="C11" s="2" t="n">
        <v>4</v>
      </c>
      <c r="D11" s="7" t="n">
        <v>10</v>
      </c>
      <c r="E11" s="2" t="n"/>
      <c r="F11" s="2" t="n"/>
      <c r="G11" s="8">
        <f>SUM(AM11:BN11)</f>
        <v/>
      </c>
      <c r="H11" s="9">
        <f>G11/28</f>
        <v/>
      </c>
      <c r="I11" s="9">
        <f>0.5+(G11/54)</f>
        <v/>
      </c>
      <c r="J11" s="10">
        <f>COUNTIF(K11:AL11,"")</f>
        <v/>
      </c>
      <c r="K11" s="16" t="n">
        <v>4</v>
      </c>
      <c r="L11" s="13" t="n">
        <v>1</v>
      </c>
      <c r="M11" s="13" t="n">
        <v>3</v>
      </c>
      <c r="N11" s="13" t="n">
        <v>2</v>
      </c>
      <c r="O11" s="13" t="n">
        <v>1</v>
      </c>
      <c r="P11" s="13" t="n">
        <v>3</v>
      </c>
      <c r="Q11" s="13" t="n">
        <v>2</v>
      </c>
      <c r="R11" s="13" t="n">
        <v>3</v>
      </c>
      <c r="S11" s="13" t="n">
        <v>1</v>
      </c>
      <c r="T11" s="13" t="n">
        <v>4</v>
      </c>
      <c r="U11" s="13" t="n">
        <v>1</v>
      </c>
      <c r="V11" s="13" t="n">
        <v>4</v>
      </c>
      <c r="W11" s="13" t="n">
        <v>2</v>
      </c>
      <c r="X11" s="14" t="n">
        <v>2</v>
      </c>
      <c r="Y11" s="13" t="n">
        <v>4</v>
      </c>
      <c r="Z11" s="13" t="n">
        <v>3</v>
      </c>
      <c r="AA11" s="13" t="n">
        <v>4</v>
      </c>
      <c r="AB11" s="13" t="n">
        <v>4</v>
      </c>
      <c r="AC11" s="13" t="n">
        <v>1</v>
      </c>
      <c r="AD11" s="13" t="n">
        <v>3</v>
      </c>
      <c r="AE11" s="14" t="n">
        <v>4</v>
      </c>
      <c r="AF11" s="13" t="n">
        <v>2</v>
      </c>
      <c r="AG11" s="13" t="n">
        <v>3</v>
      </c>
      <c r="AH11" s="13" t="n">
        <v>3</v>
      </c>
      <c r="AI11" s="13" t="n">
        <v>2</v>
      </c>
      <c r="AJ11" s="13" t="n">
        <v>4</v>
      </c>
      <c r="AK11" s="13" t="n">
        <v>1</v>
      </c>
      <c r="AL11" s="17" t="n">
        <v>2</v>
      </c>
      <c r="AM11" s="4" t="n">
        <v>1</v>
      </c>
      <c r="AN11" s="2" t="n">
        <v>1</v>
      </c>
      <c r="AO11" s="2" t="n">
        <v>1</v>
      </c>
      <c r="AP11" s="2" t="n">
        <v>1</v>
      </c>
      <c r="AQ11" s="2" t="n">
        <v>1</v>
      </c>
      <c r="AR11" s="2" t="n">
        <v>1</v>
      </c>
      <c r="AS11" s="2" t="n">
        <v>1</v>
      </c>
      <c r="AT11" s="2" t="n">
        <v>1</v>
      </c>
      <c r="AU11" s="2" t="n">
        <v>1</v>
      </c>
      <c r="AV11" s="2" t="n">
        <v>0</v>
      </c>
      <c r="AW11" s="2" t="n">
        <v>1</v>
      </c>
      <c r="AX11" s="2" t="n">
        <v>1</v>
      </c>
      <c r="AY11" s="2" t="n">
        <v>1</v>
      </c>
      <c r="AZ11" s="2" t="n">
        <v>1</v>
      </c>
      <c r="BA11" s="2" t="n">
        <v>1</v>
      </c>
      <c r="BB11" s="2" t="n">
        <v>1</v>
      </c>
      <c r="BC11" s="2" t="n">
        <v>1</v>
      </c>
      <c r="BD11" s="2" t="n">
        <v>0</v>
      </c>
      <c r="BE11" s="2" t="n">
        <v>1</v>
      </c>
      <c r="BF11" s="2" t="n">
        <v>1</v>
      </c>
      <c r="BG11" s="2" t="n">
        <v>1</v>
      </c>
      <c r="BH11" s="2" t="n">
        <v>1</v>
      </c>
      <c r="BI11" s="2" t="n">
        <v>0</v>
      </c>
      <c r="BJ11" s="2" t="n">
        <v>1</v>
      </c>
      <c r="BK11" s="2" t="n">
        <v>1</v>
      </c>
      <c r="BL11" s="2" t="n">
        <v>1</v>
      </c>
      <c r="BM11" s="2" t="n">
        <v>1</v>
      </c>
      <c r="BN11" s="2" t="n">
        <v>1</v>
      </c>
    </row>
    <row r="12" ht="22.5" customHeight="1">
      <c r="A12" s="6" t="inlineStr">
        <is>
          <t>Kovelsky</t>
        </is>
      </c>
      <c r="B12" s="2" t="n">
        <v>10</v>
      </c>
      <c r="C12" s="2" t="n">
        <v>4</v>
      </c>
      <c r="D12" s="7" t="n">
        <v>11</v>
      </c>
      <c r="E12" s="2" t="n"/>
      <c r="F12" s="2" t="n"/>
      <c r="G12" s="8">
        <f>SUM(AM12:BN12)</f>
        <v/>
      </c>
      <c r="H12" s="9">
        <f>G12/28</f>
        <v/>
      </c>
      <c r="I12" s="9">
        <f>0.5+(G12/54)</f>
        <v/>
      </c>
      <c r="J12" s="10">
        <f>COUNTIF(K12:AL12,"")</f>
        <v/>
      </c>
      <c r="K12" s="11" t="n">
        <v>4</v>
      </c>
      <c r="L12" s="13" t="n">
        <v>1</v>
      </c>
      <c r="M12" s="13" t="n">
        <v>3</v>
      </c>
      <c r="N12" s="12" t="n">
        <v>2</v>
      </c>
      <c r="O12" s="12" t="n">
        <v>3</v>
      </c>
      <c r="P12" s="13" t="n">
        <v>1</v>
      </c>
      <c r="Q12" s="13" t="n">
        <v>2</v>
      </c>
      <c r="R12" s="12" t="n">
        <v>1</v>
      </c>
      <c r="S12" s="13" t="n">
        <v>1</v>
      </c>
      <c r="T12" s="13" t="n">
        <v>4</v>
      </c>
      <c r="U12" s="13" t="n">
        <v>1</v>
      </c>
      <c r="V12" s="13" t="n">
        <v>4</v>
      </c>
      <c r="W12" s="13" t="n">
        <v>3</v>
      </c>
      <c r="X12" s="14" t="n">
        <v>2</v>
      </c>
      <c r="Y12" s="13" t="n">
        <v>4</v>
      </c>
      <c r="Z12" s="13" t="n">
        <v>3</v>
      </c>
      <c r="AA12" s="13" t="n">
        <v>4</v>
      </c>
      <c r="AB12" s="13" t="n">
        <v>4</v>
      </c>
      <c r="AC12" s="13" t="n">
        <v>1</v>
      </c>
      <c r="AD12" s="13" t="n">
        <v>3</v>
      </c>
      <c r="AE12" s="14" t="n">
        <v>4</v>
      </c>
      <c r="AF12" s="13" t="n">
        <v>2</v>
      </c>
      <c r="AG12" s="13" t="n">
        <v>4</v>
      </c>
      <c r="AH12" s="13" t="n">
        <v>3</v>
      </c>
      <c r="AI12" s="13" t="n"/>
      <c r="AJ12" s="13" t="n"/>
      <c r="AK12" s="13" t="n"/>
      <c r="AL12" s="17" t="n"/>
      <c r="AM12" s="4" t="n">
        <v>1</v>
      </c>
      <c r="AN12" s="2" t="n">
        <v>1</v>
      </c>
      <c r="AO12" s="2" t="n">
        <v>1</v>
      </c>
      <c r="AP12" s="2" t="n">
        <v>1</v>
      </c>
      <c r="AQ12" s="2" t="n">
        <v>0</v>
      </c>
      <c r="AR12" s="2" t="n">
        <v>0</v>
      </c>
      <c r="AS12" s="2" t="n">
        <v>1</v>
      </c>
      <c r="AT12" s="2" t="n">
        <v>0</v>
      </c>
      <c r="AU12" s="2" t="n">
        <v>1</v>
      </c>
      <c r="AV12" s="2" t="n">
        <v>0</v>
      </c>
      <c r="AW12" s="2" t="n">
        <v>1</v>
      </c>
      <c r="AX12" s="2" t="n">
        <v>1</v>
      </c>
      <c r="AY12" s="2" t="n">
        <v>0</v>
      </c>
      <c r="AZ12" s="2" t="n">
        <v>1</v>
      </c>
      <c r="BA12" s="2" t="n">
        <v>1</v>
      </c>
      <c r="BB12" s="2" t="n">
        <v>1</v>
      </c>
      <c r="BC12" s="2" t="n">
        <v>1</v>
      </c>
      <c r="BD12" s="2" t="n">
        <v>0</v>
      </c>
      <c r="BE12" s="2" t="n">
        <v>1</v>
      </c>
      <c r="BF12" s="2" t="n">
        <v>1</v>
      </c>
      <c r="BG12" s="2" t="n">
        <v>1</v>
      </c>
      <c r="BH12" s="2" t="n">
        <v>1</v>
      </c>
      <c r="BI12" s="2" t="n">
        <v>0</v>
      </c>
      <c r="BJ12" s="2" t="n">
        <v>1</v>
      </c>
      <c r="BK12" s="2" t="n">
        <v>0</v>
      </c>
      <c r="BL12" s="2" t="n">
        <v>0</v>
      </c>
      <c r="BM12" s="2" t="n">
        <v>0</v>
      </c>
      <c r="BN12" s="2" t="n">
        <v>0</v>
      </c>
    </row>
    <row r="13" ht="22.5" customHeight="1">
      <c r="A13" s="6" t="inlineStr">
        <is>
          <t>Kovelsky</t>
        </is>
      </c>
      <c r="B13" s="2" t="n">
        <v>10</v>
      </c>
      <c r="C13" s="2" t="n">
        <v>4</v>
      </c>
      <c r="D13" s="7" t="n">
        <v>12</v>
      </c>
      <c r="E13" s="2" t="n"/>
      <c r="F13" s="2" t="n"/>
      <c r="G13" s="8">
        <f>SUM(AM13:BN13)</f>
        <v/>
      </c>
      <c r="H13" s="9">
        <f>G13/28</f>
        <v/>
      </c>
      <c r="I13" s="9">
        <f>0.5+(G13/54)</f>
        <v/>
      </c>
      <c r="J13" s="10">
        <f>COUNTIF(K13:AL13,"")</f>
        <v/>
      </c>
      <c r="K13" s="16" t="n">
        <v>2</v>
      </c>
      <c r="L13" s="13" t="n">
        <v>4</v>
      </c>
      <c r="M13" s="12" t="n">
        <v>3</v>
      </c>
      <c r="N13" s="13" t="n">
        <v>1</v>
      </c>
      <c r="O13" s="12" t="n">
        <v>3</v>
      </c>
      <c r="P13" s="12" t="n">
        <v>1</v>
      </c>
      <c r="Q13" s="13" t="n">
        <v>2</v>
      </c>
      <c r="R13" s="12" t="n">
        <v>3</v>
      </c>
      <c r="S13" s="18" t="n">
        <v>3</v>
      </c>
      <c r="T13" s="18" t="n">
        <v>4</v>
      </c>
      <c r="U13" s="18" t="n">
        <v>3</v>
      </c>
      <c r="V13" s="18" t="n">
        <v>1</v>
      </c>
      <c r="W13" s="18" t="n">
        <v>2</v>
      </c>
      <c r="X13" s="19" t="n">
        <v>3</v>
      </c>
      <c r="Y13" s="18" t="n">
        <v>2</v>
      </c>
      <c r="Z13" s="18" t="n">
        <v>3</v>
      </c>
      <c r="AA13" s="18" t="n">
        <v>1</v>
      </c>
      <c r="AB13" s="18" t="n">
        <v>2</v>
      </c>
      <c r="AC13" s="18" t="n">
        <v>3</v>
      </c>
      <c r="AD13" s="18" t="n">
        <v>3</v>
      </c>
      <c r="AE13" s="19" t="n">
        <v>3</v>
      </c>
      <c r="AF13" s="18" t="n">
        <v>3</v>
      </c>
      <c r="AG13" s="18" t="n"/>
      <c r="AH13" s="18" t="n">
        <v>3</v>
      </c>
      <c r="AI13" s="18" t="n">
        <v>4</v>
      </c>
      <c r="AJ13" s="18" t="n">
        <v>2</v>
      </c>
      <c r="AK13" s="18" t="n">
        <v>3</v>
      </c>
      <c r="AL13" s="15" t="n"/>
      <c r="AM13" s="4" t="n">
        <v>0</v>
      </c>
      <c r="AN13" s="2" t="n">
        <v>0</v>
      </c>
      <c r="AO13" s="2" t="n">
        <v>1</v>
      </c>
      <c r="AP13" s="2" t="n">
        <v>0</v>
      </c>
      <c r="AQ13" s="2" t="n">
        <v>0</v>
      </c>
      <c r="AR13" s="2" t="n">
        <v>0</v>
      </c>
      <c r="AS13" s="2" t="n">
        <v>1</v>
      </c>
      <c r="AT13" s="2" t="n">
        <v>1</v>
      </c>
      <c r="AU13" s="2" t="n">
        <v>0</v>
      </c>
      <c r="AV13" s="2" t="n">
        <v>0</v>
      </c>
      <c r="AW13" s="2" t="n">
        <v>0</v>
      </c>
      <c r="AX13" s="2" t="n">
        <v>0</v>
      </c>
      <c r="AY13" s="2" t="n">
        <v>1</v>
      </c>
      <c r="AZ13" s="2" t="n">
        <v>0</v>
      </c>
      <c r="BA13" s="2" t="n">
        <v>0</v>
      </c>
      <c r="BB13" s="2" t="n">
        <v>1</v>
      </c>
      <c r="BC13" s="2" t="n">
        <v>0</v>
      </c>
      <c r="BD13" s="2" t="n">
        <v>0</v>
      </c>
      <c r="BE13" s="2" t="n">
        <v>0</v>
      </c>
      <c r="BF13" s="2" t="n">
        <v>1</v>
      </c>
      <c r="BG13" s="2" t="n">
        <v>0</v>
      </c>
      <c r="BH13" s="2" t="n">
        <v>0</v>
      </c>
      <c r="BI13" s="2" t="n">
        <v>0</v>
      </c>
      <c r="BJ13" s="2" t="n">
        <v>1</v>
      </c>
      <c r="BK13" s="2" t="n">
        <v>0</v>
      </c>
      <c r="BL13" s="2" t="n">
        <v>0</v>
      </c>
      <c r="BM13" s="2" t="n">
        <v>0</v>
      </c>
      <c r="BN13" s="2" t="n">
        <v>0</v>
      </c>
    </row>
    <row r="14" ht="22.5" customHeight="1">
      <c r="A14" s="6" t="inlineStr">
        <is>
          <t>Kovelsky</t>
        </is>
      </c>
      <c r="B14" s="2" t="n">
        <v>10</v>
      </c>
      <c r="C14" s="2" t="n">
        <v>4</v>
      </c>
      <c r="D14" s="7" t="n">
        <v>13</v>
      </c>
      <c r="E14" s="2" t="n"/>
      <c r="F14" s="2" t="n"/>
      <c r="G14" s="8">
        <f>SUM(AM14:BN14)</f>
        <v/>
      </c>
      <c r="H14" s="9">
        <f>G14/28</f>
        <v/>
      </c>
      <c r="I14" s="9">
        <f>0.5+(G14/54)</f>
        <v/>
      </c>
      <c r="J14" s="10">
        <f>COUNTIF(K14:AL14,"")</f>
        <v/>
      </c>
      <c r="K14" s="11" t="n">
        <v>3</v>
      </c>
      <c r="L14" s="13" t="n">
        <v>3</v>
      </c>
      <c r="M14" s="12" t="n">
        <v>3</v>
      </c>
      <c r="N14" s="12" t="n">
        <v>2</v>
      </c>
      <c r="O14" s="12" t="n">
        <v>4</v>
      </c>
      <c r="P14" s="12" t="n">
        <v>4</v>
      </c>
      <c r="Q14" s="13" t="n">
        <v>1</v>
      </c>
      <c r="R14" s="12" t="n">
        <v>4</v>
      </c>
      <c r="S14" s="13" t="n">
        <v>1</v>
      </c>
      <c r="T14" s="13" t="n">
        <v>2</v>
      </c>
      <c r="U14" s="13" t="n">
        <v>2</v>
      </c>
      <c r="V14" s="13" t="n">
        <v>1</v>
      </c>
      <c r="W14" s="13" t="n">
        <v>3</v>
      </c>
      <c r="X14" s="14" t="n">
        <v>3</v>
      </c>
      <c r="Y14" s="13" t="n">
        <v>1</v>
      </c>
      <c r="Z14" s="13" t="n">
        <v>1</v>
      </c>
      <c r="AA14" s="13" t="n">
        <v>1</v>
      </c>
      <c r="AB14" s="13" t="n">
        <v>1</v>
      </c>
      <c r="AC14" s="13" t="n">
        <v>1</v>
      </c>
      <c r="AD14" s="13" t="n">
        <v>2</v>
      </c>
      <c r="AE14" s="14" t="n">
        <v>1</v>
      </c>
      <c r="AF14" s="13" t="n">
        <v>2</v>
      </c>
      <c r="AG14" s="13" t="n">
        <v>2</v>
      </c>
      <c r="AH14" s="13" t="n">
        <v>3</v>
      </c>
      <c r="AI14" s="13" t="n">
        <v>3</v>
      </c>
      <c r="AJ14" s="13" t="n">
        <v>1</v>
      </c>
      <c r="AK14" s="13" t="n">
        <v>3</v>
      </c>
      <c r="AL14" s="17" t="n">
        <v>1</v>
      </c>
      <c r="AM14" s="4" t="n">
        <v>0</v>
      </c>
      <c r="AN14" s="2" t="n">
        <v>0</v>
      </c>
      <c r="AO14" s="2" t="n">
        <v>1</v>
      </c>
      <c r="AP14" s="2" t="n">
        <v>1</v>
      </c>
      <c r="AQ14" s="2" t="n">
        <v>0</v>
      </c>
      <c r="AR14" s="2" t="n">
        <v>0</v>
      </c>
      <c r="AS14" s="2" t="n">
        <v>0</v>
      </c>
      <c r="AT14" s="2" t="n">
        <v>0</v>
      </c>
      <c r="AU14" s="2" t="n">
        <v>1</v>
      </c>
      <c r="AV14" s="2" t="n">
        <v>0</v>
      </c>
      <c r="AW14" s="2" t="n">
        <v>0</v>
      </c>
      <c r="AX14" s="2" t="n">
        <v>0</v>
      </c>
      <c r="AY14" s="2" t="n">
        <v>0</v>
      </c>
      <c r="AZ14" s="2" t="n">
        <v>0</v>
      </c>
      <c r="BA14" s="2" t="n">
        <v>0</v>
      </c>
      <c r="BB14" s="2" t="n">
        <v>0</v>
      </c>
      <c r="BC14" s="2" t="n">
        <v>0</v>
      </c>
      <c r="BD14" s="2" t="n">
        <v>0</v>
      </c>
      <c r="BE14" s="2" t="n">
        <v>1</v>
      </c>
      <c r="BF14" s="2" t="n">
        <v>0</v>
      </c>
      <c r="BG14" s="2" t="n">
        <v>0</v>
      </c>
      <c r="BH14" s="2" t="n">
        <v>1</v>
      </c>
      <c r="BI14" s="2" t="n">
        <v>1</v>
      </c>
      <c r="BJ14" s="2" t="n">
        <v>1</v>
      </c>
      <c r="BK14" s="2" t="n">
        <v>0</v>
      </c>
      <c r="BL14" s="2" t="n">
        <v>0</v>
      </c>
      <c r="BM14" s="2" t="n">
        <v>0</v>
      </c>
      <c r="BN14" s="2" t="n">
        <v>0</v>
      </c>
    </row>
    <row r="15" ht="22.5" customHeight="1">
      <c r="A15" s="6" t="inlineStr">
        <is>
          <t>Kovelsky</t>
        </is>
      </c>
      <c r="B15" s="2" t="n">
        <v>10</v>
      </c>
      <c r="C15" s="2" t="n">
        <v>4</v>
      </c>
      <c r="D15" s="7" t="n">
        <v>14</v>
      </c>
      <c r="E15" s="2" t="n"/>
      <c r="F15" s="2" t="n"/>
      <c r="G15" s="8">
        <f>SUM(AM15:BN15)</f>
        <v/>
      </c>
      <c r="H15" s="9">
        <f>G15/28</f>
        <v/>
      </c>
      <c r="I15" s="9">
        <f>0.5+(G15/54)</f>
        <v/>
      </c>
      <c r="J15" s="10">
        <f>COUNTIF(K15:AL15,"")</f>
        <v/>
      </c>
      <c r="K15" s="11" t="n">
        <v>4</v>
      </c>
      <c r="L15" s="13" t="n">
        <v>3</v>
      </c>
      <c r="M15" s="12" t="n">
        <v>3</v>
      </c>
      <c r="N15" s="13" t="n">
        <v>2</v>
      </c>
      <c r="O15" s="13" t="n">
        <v>1</v>
      </c>
      <c r="P15" s="13" t="n">
        <v>1</v>
      </c>
      <c r="Q15" s="13" t="n">
        <v>4</v>
      </c>
      <c r="R15" s="12" t="n">
        <v>2</v>
      </c>
      <c r="S15" s="18" t="n">
        <v>3</v>
      </c>
      <c r="T15" s="18" t="n">
        <v>4</v>
      </c>
      <c r="U15" s="18" t="n">
        <v>1</v>
      </c>
      <c r="V15" s="18" t="n">
        <v>1</v>
      </c>
      <c r="W15" s="18" t="n">
        <v>3</v>
      </c>
      <c r="X15" s="19" t="n">
        <v>3</v>
      </c>
      <c r="Y15" s="18" t="n">
        <v>4</v>
      </c>
      <c r="Z15" s="18" t="n">
        <v>3</v>
      </c>
      <c r="AA15" s="18" t="n">
        <v>4</v>
      </c>
      <c r="AB15" s="18" t="n">
        <v>3</v>
      </c>
      <c r="AC15" s="18" t="n">
        <v>1</v>
      </c>
      <c r="AD15" s="18" t="n">
        <v>3</v>
      </c>
      <c r="AE15" s="19" t="n">
        <v>4</v>
      </c>
      <c r="AF15" s="18" t="n">
        <v>3</v>
      </c>
      <c r="AG15" s="18" t="n"/>
      <c r="AH15" s="18" t="n">
        <v>3</v>
      </c>
      <c r="AI15" s="18" t="n">
        <v>2</v>
      </c>
      <c r="AJ15" s="18" t="n">
        <v>4</v>
      </c>
      <c r="AK15" s="18" t="n">
        <v>1</v>
      </c>
      <c r="AL15" s="15" t="n">
        <v>2</v>
      </c>
      <c r="AM15" s="4" t="n">
        <v>1</v>
      </c>
      <c r="AN15" s="2" t="n">
        <v>0</v>
      </c>
      <c r="AO15" s="2" t="n">
        <v>1</v>
      </c>
      <c r="AP15" s="2" t="n">
        <v>1</v>
      </c>
      <c r="AQ15" s="2" t="n">
        <v>1</v>
      </c>
      <c r="AR15" s="2" t="n">
        <v>0</v>
      </c>
      <c r="AS15" s="2" t="n">
        <v>0</v>
      </c>
      <c r="AT15" s="2" t="n">
        <v>0</v>
      </c>
      <c r="AU15" s="2" t="n">
        <v>0</v>
      </c>
      <c r="AV15" s="2" t="n">
        <v>0</v>
      </c>
      <c r="AW15" s="2" t="n">
        <v>1</v>
      </c>
      <c r="AX15" s="2" t="n">
        <v>0</v>
      </c>
      <c r="AY15" s="2" t="n">
        <v>0</v>
      </c>
      <c r="AZ15" s="2" t="n">
        <v>0</v>
      </c>
      <c r="BA15" s="2" t="n">
        <v>1</v>
      </c>
      <c r="BB15" s="2" t="n">
        <v>1</v>
      </c>
      <c r="BC15" s="2" t="n">
        <v>1</v>
      </c>
      <c r="BD15" s="2" t="n">
        <v>1</v>
      </c>
      <c r="BE15" s="2" t="n">
        <v>1</v>
      </c>
      <c r="BF15" s="2" t="n">
        <v>1</v>
      </c>
      <c r="BG15" s="2" t="n">
        <v>1</v>
      </c>
      <c r="BH15" s="2" t="n">
        <v>0</v>
      </c>
      <c r="BI15" s="2" t="n">
        <v>0</v>
      </c>
      <c r="BJ15" s="2" t="n">
        <v>1</v>
      </c>
      <c r="BK15" s="2" t="n">
        <v>1</v>
      </c>
      <c r="BL15" s="2" t="n">
        <v>1</v>
      </c>
      <c r="BM15" s="2" t="n">
        <v>1</v>
      </c>
      <c r="BN15" s="2" t="n">
        <v>1</v>
      </c>
    </row>
    <row r="16" ht="22.5" customHeight="1">
      <c r="A16" s="6" t="inlineStr">
        <is>
          <t>Kovelsky</t>
        </is>
      </c>
      <c r="B16" s="2" t="n">
        <v>10</v>
      </c>
      <c r="C16" s="2" t="n">
        <v>4</v>
      </c>
      <c r="D16" s="7" t="n">
        <v>15</v>
      </c>
      <c r="E16" s="2" t="n"/>
      <c r="F16" s="2" t="n"/>
      <c r="G16" s="8">
        <f>SUM(AM16:BN16)</f>
        <v/>
      </c>
      <c r="H16" s="9">
        <f>G16/28</f>
        <v/>
      </c>
      <c r="I16" s="9">
        <f>0.5+(G16/54)</f>
        <v/>
      </c>
      <c r="J16" s="10">
        <f>COUNTIF(K16:AL16,"")</f>
        <v/>
      </c>
      <c r="K16" s="16" t="n">
        <v>4</v>
      </c>
      <c r="L16" s="13" t="n">
        <v>1</v>
      </c>
      <c r="M16" s="12" t="n">
        <v>3</v>
      </c>
      <c r="N16" s="13" t="n">
        <v>2</v>
      </c>
      <c r="O16" s="12" t="n">
        <v>1</v>
      </c>
      <c r="P16" s="13" t="n">
        <v>2</v>
      </c>
      <c r="Q16" s="13" t="n">
        <v>2</v>
      </c>
      <c r="R16" s="13" t="n">
        <v>3</v>
      </c>
      <c r="S16" s="13" t="n">
        <v>1</v>
      </c>
      <c r="T16" s="13" t="n">
        <v>3</v>
      </c>
      <c r="U16" s="13" t="n">
        <v>1</v>
      </c>
      <c r="V16" s="13" t="n">
        <v>4</v>
      </c>
      <c r="W16" s="13" t="n">
        <v>2</v>
      </c>
      <c r="X16" s="14" t="n">
        <v>1</v>
      </c>
      <c r="Y16" s="13" t="n">
        <v>4</v>
      </c>
      <c r="Z16" s="13" t="n">
        <v>3</v>
      </c>
      <c r="AA16" s="13" t="n">
        <v>4</v>
      </c>
      <c r="AB16" s="13" t="n">
        <v>3</v>
      </c>
      <c r="AC16" s="13" t="n">
        <v>1</v>
      </c>
      <c r="AD16" s="13" t="n">
        <v>3</v>
      </c>
      <c r="AE16" s="14" t="n">
        <v>4</v>
      </c>
      <c r="AF16" s="13" t="n">
        <v>2</v>
      </c>
      <c r="AG16" s="13" t="n">
        <v>4</v>
      </c>
      <c r="AH16" s="13" t="n">
        <v>3</v>
      </c>
      <c r="AI16" s="13" t="n">
        <v>2</v>
      </c>
      <c r="AJ16" s="13" t="n">
        <v>1</v>
      </c>
      <c r="AK16" s="13" t="n">
        <v>1</v>
      </c>
      <c r="AL16" s="17" t="n">
        <v>1</v>
      </c>
      <c r="AM16" s="4" t="n">
        <v>1</v>
      </c>
      <c r="AN16" s="2" t="n">
        <v>1</v>
      </c>
      <c r="AO16" s="2" t="n">
        <v>1</v>
      </c>
      <c r="AP16" s="2" t="n">
        <v>1</v>
      </c>
      <c r="AQ16" s="2" t="n">
        <v>1</v>
      </c>
      <c r="AR16" s="2" t="n">
        <v>0</v>
      </c>
      <c r="AS16" s="2" t="n">
        <v>1</v>
      </c>
      <c r="AT16" s="2" t="n">
        <v>1</v>
      </c>
      <c r="AU16" s="2" t="n">
        <v>1</v>
      </c>
      <c r="AV16" s="2" t="n">
        <v>1</v>
      </c>
      <c r="AW16" s="2" t="n">
        <v>1</v>
      </c>
      <c r="AX16" s="2" t="n">
        <v>1</v>
      </c>
      <c r="AY16" s="2" t="n">
        <v>1</v>
      </c>
      <c r="AZ16" s="2" t="n">
        <v>0</v>
      </c>
      <c r="BA16" s="2" t="n">
        <v>1</v>
      </c>
      <c r="BB16" s="2" t="n">
        <v>1</v>
      </c>
      <c r="BC16" s="2" t="n">
        <v>1</v>
      </c>
      <c r="BD16" s="2" t="n">
        <v>1</v>
      </c>
      <c r="BE16" s="2" t="n">
        <v>1</v>
      </c>
      <c r="BF16" s="2" t="n">
        <v>1</v>
      </c>
      <c r="BG16" s="2" t="n">
        <v>1</v>
      </c>
      <c r="BH16" s="2" t="n">
        <v>1</v>
      </c>
      <c r="BI16" s="2" t="n">
        <v>0</v>
      </c>
      <c r="BJ16" s="2" t="n">
        <v>1</v>
      </c>
      <c r="BK16" s="2" t="n">
        <v>1</v>
      </c>
      <c r="BL16" s="2" t="n">
        <v>0</v>
      </c>
      <c r="BM16" s="2" t="n">
        <v>1</v>
      </c>
      <c r="BN16" s="2" t="n">
        <v>0</v>
      </c>
    </row>
    <row r="17" ht="22.5" customHeight="1">
      <c r="A17" s="6" t="inlineStr">
        <is>
          <t>Kovelsky</t>
        </is>
      </c>
      <c r="B17" s="2" t="n">
        <v>10</v>
      </c>
      <c r="C17" s="2" t="n">
        <v>4</v>
      </c>
      <c r="D17" s="7" t="n">
        <v>16</v>
      </c>
      <c r="E17" s="2" t="n"/>
      <c r="F17" s="2" t="n"/>
      <c r="G17" s="8">
        <f>SUM(AM17:BN17)</f>
        <v/>
      </c>
      <c r="H17" s="9">
        <f>G17/28</f>
        <v/>
      </c>
      <c r="I17" s="9">
        <f>0.5+(G17/54)</f>
        <v/>
      </c>
      <c r="J17" s="10">
        <f>COUNTIF(K17:AL17,"")</f>
        <v/>
      </c>
      <c r="K17" s="16" t="n">
        <v>4</v>
      </c>
      <c r="L17" s="12" t="n">
        <v>1</v>
      </c>
      <c r="M17" s="12" t="n">
        <v>3</v>
      </c>
      <c r="N17" s="13" t="n">
        <v>2</v>
      </c>
      <c r="O17" s="12" t="n">
        <v>1</v>
      </c>
      <c r="P17" s="12" t="n">
        <v>2</v>
      </c>
      <c r="Q17" s="13" t="n">
        <v>1</v>
      </c>
      <c r="R17" s="13" t="n">
        <v>4</v>
      </c>
      <c r="S17" s="13" t="n">
        <v>3</v>
      </c>
      <c r="T17" s="13" t="n">
        <v>4</v>
      </c>
      <c r="U17" s="13" t="n">
        <v>1</v>
      </c>
      <c r="V17" s="13" t="n">
        <v>1</v>
      </c>
      <c r="W17" s="13" t="n">
        <v>3</v>
      </c>
      <c r="X17" s="14" t="n">
        <v>2</v>
      </c>
      <c r="Y17" s="13" t="n">
        <v>3</v>
      </c>
      <c r="Z17" s="13" t="n">
        <v>3</v>
      </c>
      <c r="AA17" s="13" t="n">
        <v>1</v>
      </c>
      <c r="AB17" s="13" t="n">
        <v>3</v>
      </c>
      <c r="AC17" s="13" t="n">
        <v>1</v>
      </c>
      <c r="AD17" s="13" t="n">
        <v>2</v>
      </c>
      <c r="AE17" s="14" t="n">
        <v>3</v>
      </c>
      <c r="AF17" s="13" t="n">
        <v>2</v>
      </c>
      <c r="AG17" s="13" t="n">
        <v>4</v>
      </c>
      <c r="AH17" s="13" t="n">
        <v>3</v>
      </c>
      <c r="AI17" s="13" t="n">
        <v>1</v>
      </c>
      <c r="AJ17" s="13" t="n">
        <v>3</v>
      </c>
      <c r="AK17" s="13" t="n">
        <v>2</v>
      </c>
      <c r="AL17" s="17" t="n">
        <v>2</v>
      </c>
      <c r="AM17" s="4" t="n">
        <v>1</v>
      </c>
      <c r="AN17" s="2" t="n">
        <v>1</v>
      </c>
      <c r="AO17" s="2" t="n">
        <v>1</v>
      </c>
      <c r="AP17" s="2" t="n">
        <v>1</v>
      </c>
      <c r="AQ17" s="2" t="n">
        <v>1</v>
      </c>
      <c r="AR17" s="2" t="n">
        <v>0</v>
      </c>
      <c r="AS17" s="2" t="n">
        <v>0</v>
      </c>
      <c r="AT17" s="2" t="n">
        <v>0</v>
      </c>
      <c r="AU17" s="2" t="n">
        <v>0</v>
      </c>
      <c r="AV17" s="2" t="n">
        <v>0</v>
      </c>
      <c r="AW17" s="2" t="n">
        <v>1</v>
      </c>
      <c r="AX17" s="2" t="n">
        <v>0</v>
      </c>
      <c r="AY17" s="2" t="n">
        <v>0</v>
      </c>
      <c r="AZ17" s="2" t="n">
        <v>1</v>
      </c>
      <c r="BA17" s="2" t="n">
        <v>0</v>
      </c>
      <c r="BB17" s="2" t="n">
        <v>1</v>
      </c>
      <c r="BC17" s="2" t="n">
        <v>0</v>
      </c>
      <c r="BD17" s="2" t="n">
        <v>1</v>
      </c>
      <c r="BE17" s="2" t="n">
        <v>1</v>
      </c>
      <c r="BF17" s="2" t="n">
        <v>0</v>
      </c>
      <c r="BG17" s="2" t="n">
        <v>0</v>
      </c>
      <c r="BH17" s="2" t="n">
        <v>1</v>
      </c>
      <c r="BI17" s="2" t="n">
        <v>0</v>
      </c>
      <c r="BJ17" s="2" t="n">
        <v>1</v>
      </c>
      <c r="BK17" s="2" t="n">
        <v>0</v>
      </c>
      <c r="BL17" s="2" t="n">
        <v>0</v>
      </c>
      <c r="BM17" s="2" t="n">
        <v>0</v>
      </c>
      <c r="BN17" s="2" t="n">
        <v>1</v>
      </c>
    </row>
    <row r="18" ht="22.5" customHeight="1">
      <c r="A18" s="6" t="inlineStr">
        <is>
          <t>Kovelsky</t>
        </is>
      </c>
      <c r="B18" s="2" t="n">
        <v>10</v>
      </c>
      <c r="C18" s="2" t="n">
        <v>4</v>
      </c>
      <c r="D18" s="7" t="n">
        <v>17</v>
      </c>
      <c r="E18" s="2" t="n"/>
      <c r="F18" s="2" t="n"/>
      <c r="G18" s="8">
        <f>SUM(AM18:BN18)</f>
        <v/>
      </c>
      <c r="H18" s="9">
        <f>G18/28</f>
        <v/>
      </c>
      <c r="I18" s="9">
        <f>0.5+(G18/54)</f>
        <v/>
      </c>
      <c r="J18" s="10">
        <f>COUNTIF(K18:AL18,"")</f>
        <v/>
      </c>
      <c r="K18" s="16" t="n"/>
      <c r="L18" s="13" t="n"/>
      <c r="M18" s="12" t="n"/>
      <c r="N18" s="13" t="n"/>
      <c r="O18" s="13" t="n"/>
      <c r="P18" s="13" t="n"/>
      <c r="Q18" s="13" t="n"/>
      <c r="R18" s="13" t="n"/>
      <c r="S18" s="13" t="n"/>
      <c r="T18" s="13" t="n"/>
      <c r="U18" s="13" t="n"/>
      <c r="V18" s="13" t="n"/>
      <c r="W18" s="13" t="n"/>
      <c r="X18" s="14" t="n"/>
      <c r="Y18" s="13" t="n"/>
      <c r="Z18" s="13" t="n"/>
      <c r="AA18" s="13" t="n"/>
      <c r="AB18" s="13" t="n"/>
      <c r="AC18" s="13" t="n"/>
      <c r="AD18" s="13" t="n"/>
      <c r="AE18" s="14" t="n"/>
      <c r="AF18" s="13" t="n"/>
      <c r="AG18" s="13" t="n"/>
      <c r="AH18" s="13" t="n"/>
      <c r="AI18" s="13" t="n"/>
      <c r="AJ18" s="13" t="n"/>
      <c r="AK18" s="13" t="n"/>
      <c r="AL18" s="17" t="n"/>
      <c r="AM18" s="4" t="n">
        <v>0</v>
      </c>
      <c r="AN18" s="2" t="n">
        <v>0</v>
      </c>
      <c r="AO18" s="2" t="n">
        <v>0</v>
      </c>
      <c r="AP18" s="2" t="n">
        <v>0</v>
      </c>
      <c r="AQ18" s="2" t="n">
        <v>0</v>
      </c>
      <c r="AR18" s="2" t="n">
        <v>0</v>
      </c>
      <c r="AS18" s="2" t="n">
        <v>0</v>
      </c>
      <c r="AT18" s="2" t="n">
        <v>0</v>
      </c>
      <c r="AU18" s="2" t="n">
        <v>0</v>
      </c>
      <c r="AV18" s="2" t="n">
        <v>0</v>
      </c>
      <c r="AW18" s="2" t="n">
        <v>0</v>
      </c>
      <c r="AX18" s="2" t="n">
        <v>0</v>
      </c>
      <c r="AY18" s="2" t="n">
        <v>0</v>
      </c>
      <c r="AZ18" s="2" t="n">
        <v>0</v>
      </c>
      <c r="BA18" s="2" t="n">
        <v>0</v>
      </c>
      <c r="BB18" s="2" t="n">
        <v>0</v>
      </c>
      <c r="BC18" s="2" t="n">
        <v>0</v>
      </c>
      <c r="BD18" s="2" t="n">
        <v>0</v>
      </c>
      <c r="BE18" s="2" t="n">
        <v>0</v>
      </c>
      <c r="BF18" s="2" t="n">
        <v>0</v>
      </c>
      <c r="BG18" s="2" t="n">
        <v>0</v>
      </c>
      <c r="BH18" s="2" t="n">
        <v>0</v>
      </c>
      <c r="BI18" s="2" t="n">
        <v>0</v>
      </c>
      <c r="BJ18" s="2" t="n">
        <v>0</v>
      </c>
      <c r="BK18" s="2" t="n">
        <v>0</v>
      </c>
      <c r="BL18" s="2" t="n">
        <v>0</v>
      </c>
      <c r="BM18" s="2" t="n">
        <v>0</v>
      </c>
      <c r="BN18" s="2" t="n">
        <v>0</v>
      </c>
    </row>
    <row r="19" ht="22.5" customHeight="1">
      <c r="A19" s="6" t="inlineStr">
        <is>
          <t>Kovelsky</t>
        </is>
      </c>
      <c r="B19" s="2" t="n">
        <v>10</v>
      </c>
      <c r="C19" s="2" t="n">
        <v>4</v>
      </c>
      <c r="D19" s="7" t="n">
        <v>18</v>
      </c>
      <c r="E19" s="2" t="n"/>
      <c r="F19" s="2" t="n"/>
      <c r="G19" s="8">
        <f>SUM(AM19:BN19)</f>
        <v/>
      </c>
      <c r="H19" s="9">
        <f>G19/28</f>
        <v/>
      </c>
      <c r="I19" s="9">
        <f>0.5+(G19/54)</f>
        <v/>
      </c>
      <c r="J19" s="10">
        <f>COUNTIF(K19:AL19,"")</f>
        <v/>
      </c>
      <c r="K19" s="16" t="n">
        <v>4</v>
      </c>
      <c r="L19" s="13" t="n">
        <v>1</v>
      </c>
      <c r="M19" s="12" t="n">
        <v>3</v>
      </c>
      <c r="N19" s="12" t="n">
        <v>1</v>
      </c>
      <c r="O19" s="13" t="n">
        <v>1</v>
      </c>
      <c r="P19" s="13" t="n">
        <v>4</v>
      </c>
      <c r="Q19" s="13" t="n">
        <v>2</v>
      </c>
      <c r="R19" s="12" t="n">
        <v>4</v>
      </c>
      <c r="S19" s="18" t="n">
        <v>3</v>
      </c>
      <c r="T19" s="18" t="n">
        <v>3</v>
      </c>
      <c r="U19" s="18" t="n">
        <v>1</v>
      </c>
      <c r="V19" s="18" t="n">
        <v>4</v>
      </c>
      <c r="W19" s="18" t="n">
        <v>2</v>
      </c>
      <c r="X19" s="19" t="n">
        <v>4</v>
      </c>
      <c r="Y19" s="18" t="n">
        <v>1</v>
      </c>
      <c r="Z19" s="18" t="n">
        <v>3</v>
      </c>
      <c r="AA19" s="18" t="n">
        <v>1</v>
      </c>
      <c r="AB19" s="18" t="n">
        <v>3</v>
      </c>
      <c r="AC19" s="18" t="n">
        <v>3</v>
      </c>
      <c r="AD19" s="18" t="n">
        <v>1</v>
      </c>
      <c r="AE19" s="19" t="n">
        <v>2</v>
      </c>
      <c r="AF19" s="18" t="n">
        <v>3</v>
      </c>
      <c r="AG19" s="18" t="n">
        <v>1</v>
      </c>
      <c r="AH19" s="18" t="n">
        <v>3</v>
      </c>
      <c r="AI19" s="18" t="n">
        <v>4</v>
      </c>
      <c r="AJ19" s="18" t="n">
        <v>2</v>
      </c>
      <c r="AK19" s="18" t="n">
        <v>1</v>
      </c>
      <c r="AL19" s="15" t="n">
        <v>3</v>
      </c>
      <c r="AM19" s="4" t="n">
        <v>1</v>
      </c>
      <c r="AN19" s="2" t="n">
        <v>1</v>
      </c>
      <c r="AO19" s="2" t="n">
        <v>1</v>
      </c>
      <c r="AP19" s="2" t="n">
        <v>0</v>
      </c>
      <c r="AQ19" s="2" t="n">
        <v>1</v>
      </c>
      <c r="AR19" s="2" t="n">
        <v>0</v>
      </c>
      <c r="AS19" s="2" t="n">
        <v>1</v>
      </c>
      <c r="AT19" s="2" t="n">
        <v>0</v>
      </c>
      <c r="AU19" s="2" t="n">
        <v>0</v>
      </c>
      <c r="AV19" s="2" t="n">
        <v>1</v>
      </c>
      <c r="AW19" s="2" t="n">
        <v>1</v>
      </c>
      <c r="AX19" s="2" t="n">
        <v>1</v>
      </c>
      <c r="AY19" s="2" t="n">
        <v>1</v>
      </c>
      <c r="AZ19" s="2" t="n">
        <v>0</v>
      </c>
      <c r="BA19" s="2" t="n">
        <v>0</v>
      </c>
      <c r="BB19" s="2" t="n">
        <v>1</v>
      </c>
      <c r="BC19" s="2" t="n">
        <v>0</v>
      </c>
      <c r="BD19" s="2" t="n">
        <v>1</v>
      </c>
      <c r="BE19" s="2" t="n">
        <v>0</v>
      </c>
      <c r="BF19" s="2" t="n">
        <v>0</v>
      </c>
      <c r="BG19" s="2" t="n">
        <v>0</v>
      </c>
      <c r="BH19" s="2" t="n">
        <v>0</v>
      </c>
      <c r="BI19" s="2" t="n">
        <v>0</v>
      </c>
      <c r="BJ19" s="2" t="n">
        <v>1</v>
      </c>
      <c r="BK19" s="2" t="n">
        <v>0</v>
      </c>
      <c r="BL19" s="2" t="n">
        <v>0</v>
      </c>
      <c r="BM19" s="2" t="n">
        <v>1</v>
      </c>
      <c r="BN19" s="2" t="n">
        <v>0</v>
      </c>
    </row>
    <row r="20" ht="22.5" customHeight="1">
      <c r="A20" s="6" t="inlineStr">
        <is>
          <t>Kovelsky</t>
        </is>
      </c>
      <c r="B20" s="2" t="n">
        <v>10</v>
      </c>
      <c r="C20" s="2" t="n">
        <v>4</v>
      </c>
      <c r="D20" s="7" t="n">
        <v>19</v>
      </c>
      <c r="E20" s="2" t="n"/>
      <c r="F20" s="2" t="n"/>
      <c r="G20" s="8">
        <f>SUM(AM20:BN20)</f>
        <v/>
      </c>
      <c r="H20" s="9">
        <f>G20/28</f>
        <v/>
      </c>
      <c r="I20" s="9">
        <f>0.5+(G20/54)</f>
        <v/>
      </c>
      <c r="J20" s="10">
        <f>COUNTIF(K20:AL20,"")</f>
        <v/>
      </c>
      <c r="K20" s="16" t="n">
        <v>4</v>
      </c>
      <c r="L20" s="13" t="n">
        <v>1</v>
      </c>
      <c r="M20" s="12" t="n">
        <v>3</v>
      </c>
      <c r="N20" s="13" t="n">
        <v>2</v>
      </c>
      <c r="O20" s="13" t="n">
        <v>1</v>
      </c>
      <c r="P20" s="13" t="n">
        <v>2</v>
      </c>
      <c r="Q20" s="13" t="n">
        <v>2</v>
      </c>
      <c r="R20" s="12" t="n">
        <v>3</v>
      </c>
      <c r="S20" s="13" t="n">
        <v>1</v>
      </c>
      <c r="T20" s="13" t="n">
        <v>2</v>
      </c>
      <c r="U20" s="13" t="n">
        <v>1</v>
      </c>
      <c r="V20" s="13" t="n">
        <v>4</v>
      </c>
      <c r="W20" s="13" t="n">
        <v>3</v>
      </c>
      <c r="X20" s="14" t="n">
        <v>2</v>
      </c>
      <c r="Y20" s="13" t="n">
        <v>4</v>
      </c>
      <c r="Z20" s="13" t="n">
        <v>3</v>
      </c>
      <c r="AA20" s="13" t="n">
        <v>4</v>
      </c>
      <c r="AB20" s="13" t="n">
        <v>3</v>
      </c>
      <c r="AC20" s="13" t="n">
        <v>1</v>
      </c>
      <c r="AD20" s="13" t="n">
        <v>3</v>
      </c>
      <c r="AE20" s="14" t="n">
        <v>3</v>
      </c>
      <c r="AF20" s="13" t="n">
        <v>2</v>
      </c>
      <c r="AG20" s="13" t="n">
        <v>3</v>
      </c>
      <c r="AH20" s="13" t="n">
        <v>3</v>
      </c>
      <c r="AI20" s="13" t="n">
        <v>3</v>
      </c>
      <c r="AJ20" s="13" t="n">
        <v>4</v>
      </c>
      <c r="AK20" s="13" t="n">
        <v>2</v>
      </c>
      <c r="AL20" s="17" t="n">
        <v>3</v>
      </c>
      <c r="AM20" s="4" t="n">
        <v>1</v>
      </c>
      <c r="AN20" s="2" t="n">
        <v>1</v>
      </c>
      <c r="AO20" s="2" t="n">
        <v>1</v>
      </c>
      <c r="AP20" s="2" t="n">
        <v>1</v>
      </c>
      <c r="AQ20" s="2" t="n">
        <v>1</v>
      </c>
      <c r="AR20" s="2" t="n">
        <v>0</v>
      </c>
      <c r="AS20" s="2" t="n">
        <v>1</v>
      </c>
      <c r="AT20" s="2" t="n">
        <v>1</v>
      </c>
      <c r="AU20" s="2" t="n">
        <v>1</v>
      </c>
      <c r="AV20" s="2" t="n">
        <v>0</v>
      </c>
      <c r="AW20" s="2" t="n">
        <v>1</v>
      </c>
      <c r="AX20" s="2" t="n">
        <v>1</v>
      </c>
      <c r="AY20" s="2" t="n">
        <v>0</v>
      </c>
      <c r="AZ20" s="2" t="n">
        <v>1</v>
      </c>
      <c r="BA20" s="2" t="n">
        <v>1</v>
      </c>
      <c r="BB20" s="2" t="n">
        <v>1</v>
      </c>
      <c r="BC20" s="2" t="n">
        <v>1</v>
      </c>
      <c r="BD20" s="2" t="n">
        <v>1</v>
      </c>
      <c r="BE20" s="2" t="n">
        <v>1</v>
      </c>
      <c r="BF20" s="2" t="n">
        <v>1</v>
      </c>
      <c r="BG20" s="2" t="n">
        <v>0</v>
      </c>
      <c r="BH20" s="2" t="n">
        <v>1</v>
      </c>
      <c r="BI20" s="2" t="n">
        <v>0</v>
      </c>
      <c r="BJ20" s="2" t="n">
        <v>1</v>
      </c>
      <c r="BK20" s="2" t="n">
        <v>0</v>
      </c>
      <c r="BL20" s="2" t="n">
        <v>1</v>
      </c>
      <c r="BM20" s="2" t="n">
        <v>0</v>
      </c>
      <c r="BN20" s="2" t="n">
        <v>0</v>
      </c>
    </row>
    <row r="21" ht="22.5" customHeight="1">
      <c r="A21" s="6" t="inlineStr">
        <is>
          <t>Kovelsky</t>
        </is>
      </c>
      <c r="B21" s="2" t="n">
        <v>10</v>
      </c>
      <c r="C21" s="2" t="n">
        <v>4</v>
      </c>
      <c r="D21" s="7" t="n">
        <v>20</v>
      </c>
      <c r="E21" s="2" t="n"/>
      <c r="F21" s="2" t="n"/>
      <c r="G21" s="8">
        <f>SUM(AM21:BN21)</f>
        <v/>
      </c>
      <c r="H21" s="9">
        <f>G21/28</f>
        <v/>
      </c>
      <c r="I21" s="9">
        <f>0.5+(G21/54)</f>
        <v/>
      </c>
      <c r="J21" s="10">
        <f>COUNTIF(K21:AL21,"")</f>
        <v/>
      </c>
      <c r="K21" s="16" t="n">
        <v>3</v>
      </c>
      <c r="L21" s="13" t="n">
        <v>3</v>
      </c>
      <c r="M21" s="12" t="n">
        <v>1</v>
      </c>
      <c r="N21" s="13" t="n">
        <v>2</v>
      </c>
      <c r="O21" s="13" t="n">
        <v>3</v>
      </c>
      <c r="P21" s="12" t="n">
        <v>2</v>
      </c>
      <c r="Q21" s="13" t="n">
        <v>2</v>
      </c>
      <c r="R21" s="12" t="n">
        <v>4</v>
      </c>
      <c r="S21" s="13" t="n">
        <v>1</v>
      </c>
      <c r="T21" s="13" t="n">
        <v>4</v>
      </c>
      <c r="U21" s="13" t="n">
        <v>1</v>
      </c>
      <c r="V21" s="13" t="n">
        <v>2</v>
      </c>
      <c r="W21" s="13" t="n">
        <v>3</v>
      </c>
      <c r="X21" s="14" t="n">
        <v>1</v>
      </c>
      <c r="Y21" s="13" t="n">
        <v>1</v>
      </c>
      <c r="Z21" s="13" t="n">
        <v>4</v>
      </c>
      <c r="AA21" s="13" t="n">
        <v>2</v>
      </c>
      <c r="AB21" s="13" t="n">
        <v>1</v>
      </c>
      <c r="AC21" s="13" t="n">
        <v>1</v>
      </c>
      <c r="AD21" s="13" t="n">
        <v>3</v>
      </c>
      <c r="AE21" s="14" t="n">
        <v>4</v>
      </c>
      <c r="AF21" s="13" t="n">
        <v>3</v>
      </c>
      <c r="AG21" s="13" t="n">
        <v>3</v>
      </c>
      <c r="AH21" s="13" t="n">
        <v>1</v>
      </c>
      <c r="AI21" s="13" t="n">
        <v>1</v>
      </c>
      <c r="AJ21" s="13" t="n">
        <v>4</v>
      </c>
      <c r="AK21" s="13" t="n">
        <v>2</v>
      </c>
      <c r="AL21" s="17" t="n">
        <v>3</v>
      </c>
      <c r="AM21" s="4" t="n">
        <v>0</v>
      </c>
      <c r="AN21" s="2" t="n">
        <v>0</v>
      </c>
      <c r="AO21" s="2" t="n">
        <v>0</v>
      </c>
      <c r="AP21" s="2" t="n">
        <v>1</v>
      </c>
      <c r="AQ21" s="2" t="n">
        <v>0</v>
      </c>
      <c r="AR21" s="2" t="n">
        <v>0</v>
      </c>
      <c r="AS21" s="2" t="n">
        <v>1</v>
      </c>
      <c r="AT21" s="2" t="n">
        <v>0</v>
      </c>
      <c r="AU21" s="2" t="n">
        <v>1</v>
      </c>
      <c r="AV21" s="2" t="n">
        <v>0</v>
      </c>
      <c r="AW21" s="2" t="n">
        <v>1</v>
      </c>
      <c r="AX21" s="2" t="n">
        <v>0</v>
      </c>
      <c r="AY21" s="2" t="n">
        <v>0</v>
      </c>
      <c r="AZ21" s="2" t="n">
        <v>0</v>
      </c>
      <c r="BA21" s="2" t="n">
        <v>0</v>
      </c>
      <c r="BB21" s="2" t="n">
        <v>0</v>
      </c>
      <c r="BC21" s="2" t="n">
        <v>0</v>
      </c>
      <c r="BD21" s="2" t="n">
        <v>0</v>
      </c>
      <c r="BE21" s="2" t="n">
        <v>1</v>
      </c>
      <c r="BF21" s="2" t="n">
        <v>1</v>
      </c>
      <c r="BG21" s="2" t="n">
        <v>1</v>
      </c>
      <c r="BH21" s="2" t="n">
        <v>0</v>
      </c>
      <c r="BI21" s="2" t="n">
        <v>0</v>
      </c>
      <c r="BJ21" s="2" t="n">
        <v>0</v>
      </c>
      <c r="BK21" s="2" t="n">
        <v>0</v>
      </c>
      <c r="BL21" s="2" t="n">
        <v>1</v>
      </c>
      <c r="BM21" s="2" t="n">
        <v>0</v>
      </c>
      <c r="BN21" s="2" t="n">
        <v>0</v>
      </c>
    </row>
    <row r="22" ht="22.5" customHeight="1">
      <c r="A22" s="6" t="inlineStr">
        <is>
          <t>Kovelsky</t>
        </is>
      </c>
      <c r="B22" s="2" t="n">
        <v>10</v>
      </c>
      <c r="C22" s="2" t="n">
        <v>4</v>
      </c>
      <c r="D22" s="7" t="n">
        <v>21</v>
      </c>
      <c r="E22" s="2" t="n"/>
      <c r="F22" s="2" t="n"/>
      <c r="G22" s="8">
        <f>SUM(AM22:BN22)</f>
        <v/>
      </c>
      <c r="H22" s="9">
        <f>G22/28</f>
        <v/>
      </c>
      <c r="I22" s="9">
        <f>0.5+(G22/54)</f>
        <v/>
      </c>
      <c r="J22" s="10">
        <f>COUNTIF(K22:AL22,"")</f>
        <v/>
      </c>
      <c r="K22" s="16" t="n">
        <v>4</v>
      </c>
      <c r="L22" s="13" t="n">
        <v>1</v>
      </c>
      <c r="M22" s="13" t="n">
        <v>3</v>
      </c>
      <c r="N22" s="12" t="n">
        <v>2</v>
      </c>
      <c r="O22" s="12" t="n">
        <v>3</v>
      </c>
      <c r="P22" s="13" t="n">
        <v>1</v>
      </c>
      <c r="Q22" s="13" t="n">
        <v>2</v>
      </c>
      <c r="R22" s="12" t="n">
        <v>1</v>
      </c>
      <c r="S22" s="13" t="n">
        <v>1</v>
      </c>
      <c r="T22" s="13" t="n">
        <v>3</v>
      </c>
      <c r="U22" s="13" t="n">
        <v>1</v>
      </c>
      <c r="V22" s="13" t="n">
        <v>4</v>
      </c>
      <c r="W22" s="13" t="n">
        <v>2</v>
      </c>
      <c r="X22" s="14" t="n">
        <v>2</v>
      </c>
      <c r="Y22" s="13" t="n">
        <v>3</v>
      </c>
      <c r="Z22" s="13" t="n">
        <v>1</v>
      </c>
      <c r="AA22" s="13" t="n">
        <v>2</v>
      </c>
      <c r="AB22" s="13" t="n">
        <v>4</v>
      </c>
      <c r="AC22" s="13" t="n">
        <v>1</v>
      </c>
      <c r="AD22" s="13" t="n">
        <v>3</v>
      </c>
      <c r="AE22" s="14" t="n">
        <v>4</v>
      </c>
      <c r="AF22" s="13" t="n">
        <v>2</v>
      </c>
      <c r="AG22" s="13" t="n">
        <v>2</v>
      </c>
      <c r="AH22" s="13" t="n">
        <v>3</v>
      </c>
      <c r="AI22" s="13" t="n">
        <v>4</v>
      </c>
      <c r="AJ22" s="13" t="n">
        <v>4</v>
      </c>
      <c r="AK22" s="13" t="n">
        <v>3</v>
      </c>
      <c r="AL22" s="17" t="n">
        <v>2</v>
      </c>
      <c r="AM22" s="4" t="n">
        <v>1</v>
      </c>
      <c r="AN22" s="2" t="n">
        <v>1</v>
      </c>
      <c r="AO22" s="2" t="n">
        <v>1</v>
      </c>
      <c r="AP22" s="2" t="n">
        <v>1</v>
      </c>
      <c r="AQ22" s="2" t="n">
        <v>0</v>
      </c>
      <c r="AR22" s="2" t="n">
        <v>0</v>
      </c>
      <c r="AS22" s="2" t="n">
        <v>1</v>
      </c>
      <c r="AT22" s="2" t="n">
        <v>0</v>
      </c>
      <c r="AU22" s="2" t="n">
        <v>1</v>
      </c>
      <c r="AV22" s="2" t="n">
        <v>1</v>
      </c>
      <c r="AW22" s="2" t="n">
        <v>1</v>
      </c>
      <c r="AX22" s="2" t="n">
        <v>1</v>
      </c>
      <c r="AY22" s="2" t="n">
        <v>1</v>
      </c>
      <c r="AZ22" s="2" t="n">
        <v>1</v>
      </c>
      <c r="BA22" s="2" t="n">
        <v>0</v>
      </c>
      <c r="BB22" s="2" t="n">
        <v>0</v>
      </c>
      <c r="BC22" s="2" t="n">
        <v>0</v>
      </c>
      <c r="BD22" s="2" t="n">
        <v>0</v>
      </c>
      <c r="BE22" s="2" t="n">
        <v>1</v>
      </c>
      <c r="BF22" s="2" t="n">
        <v>1</v>
      </c>
      <c r="BG22" s="2" t="n">
        <v>1</v>
      </c>
      <c r="BH22" s="2" t="n">
        <v>1</v>
      </c>
      <c r="BI22" s="2" t="n">
        <v>1</v>
      </c>
      <c r="BJ22" s="2" t="n">
        <v>1</v>
      </c>
      <c r="BK22" s="2" t="n">
        <v>0</v>
      </c>
      <c r="BL22" s="2" t="n">
        <v>1</v>
      </c>
      <c r="BM22" s="2" t="n">
        <v>0</v>
      </c>
      <c r="BN22" s="2" t="n">
        <v>1</v>
      </c>
    </row>
    <row r="23" ht="22.5" customHeight="1">
      <c r="A23" s="6" t="inlineStr">
        <is>
          <t>Kovelsky</t>
        </is>
      </c>
      <c r="B23" s="2" t="n">
        <v>10</v>
      </c>
      <c r="C23" s="2" t="n">
        <v>4</v>
      </c>
      <c r="D23" s="7" t="n">
        <v>22</v>
      </c>
      <c r="E23" s="2" t="n"/>
      <c r="F23" s="2" t="n"/>
      <c r="G23" s="8">
        <f>SUM(AM23:BN23)</f>
        <v/>
      </c>
      <c r="H23" s="9">
        <f>G23/28</f>
        <v/>
      </c>
      <c r="I23" s="9">
        <f>0.5+(G23/54)</f>
        <v/>
      </c>
      <c r="J23" s="10">
        <f>COUNTIF(K23:AL23,"")</f>
        <v/>
      </c>
      <c r="K23" s="16" t="n">
        <v>4</v>
      </c>
      <c r="L23" s="13" t="n">
        <v>1</v>
      </c>
      <c r="M23" s="13" t="n">
        <v>3</v>
      </c>
      <c r="N23" s="13" t="n">
        <v>2</v>
      </c>
      <c r="O23" s="12" t="n">
        <v>3</v>
      </c>
      <c r="P23" s="13" t="n">
        <v>1</v>
      </c>
      <c r="Q23" s="13" t="n">
        <v>2</v>
      </c>
      <c r="R23" s="12" t="n">
        <v>1</v>
      </c>
      <c r="S23" s="13" t="n">
        <v>1</v>
      </c>
      <c r="T23" s="13" t="n">
        <v>3</v>
      </c>
      <c r="U23" s="13" t="n">
        <v>1</v>
      </c>
      <c r="V23" s="13" t="n">
        <v>4</v>
      </c>
      <c r="W23" s="13" t="n">
        <v>2</v>
      </c>
      <c r="X23" s="14" t="n">
        <v>2</v>
      </c>
      <c r="Y23" s="13" t="n">
        <v>3</v>
      </c>
      <c r="Z23" s="13" t="n">
        <v>1</v>
      </c>
      <c r="AA23" s="13" t="n">
        <v>2</v>
      </c>
      <c r="AB23" s="13" t="n">
        <v>4</v>
      </c>
      <c r="AC23" s="13" t="n">
        <v>1</v>
      </c>
      <c r="AD23" s="13" t="n">
        <v>3</v>
      </c>
      <c r="AE23" s="14" t="n">
        <v>4</v>
      </c>
      <c r="AF23" s="13" t="n">
        <v>2</v>
      </c>
      <c r="AG23" s="13" t="n">
        <v>2</v>
      </c>
      <c r="AH23" s="13" t="n">
        <v>3</v>
      </c>
      <c r="AI23" s="13" t="n">
        <v>4</v>
      </c>
      <c r="AJ23" s="13" t="n">
        <v>4</v>
      </c>
      <c r="AK23" s="13" t="n">
        <v>3</v>
      </c>
      <c r="AL23" s="17" t="n">
        <v>2</v>
      </c>
      <c r="AM23" s="4" t="n">
        <v>1</v>
      </c>
      <c r="AN23" s="2" t="n">
        <v>1</v>
      </c>
      <c r="AO23" s="2" t="n">
        <v>1</v>
      </c>
      <c r="AP23" s="2" t="n">
        <v>1</v>
      </c>
      <c r="AQ23" s="2" t="n">
        <v>0</v>
      </c>
      <c r="AR23" s="2" t="n">
        <v>0</v>
      </c>
      <c r="AS23" s="2" t="n">
        <v>1</v>
      </c>
      <c r="AT23" s="2" t="n">
        <v>0</v>
      </c>
      <c r="AU23" s="2" t="n">
        <v>1</v>
      </c>
      <c r="AV23" s="2" t="n">
        <v>1</v>
      </c>
      <c r="AW23" s="2" t="n">
        <v>1</v>
      </c>
      <c r="AX23" s="2" t="n">
        <v>1</v>
      </c>
      <c r="AY23" s="2" t="n">
        <v>1</v>
      </c>
      <c r="AZ23" s="2" t="n">
        <v>1</v>
      </c>
      <c r="BA23" s="2" t="n">
        <v>0</v>
      </c>
      <c r="BB23" s="2" t="n">
        <v>0</v>
      </c>
      <c r="BC23" s="2" t="n">
        <v>0</v>
      </c>
      <c r="BD23" s="2" t="n">
        <v>0</v>
      </c>
      <c r="BE23" s="2" t="n">
        <v>1</v>
      </c>
      <c r="BF23" s="2" t="n">
        <v>1</v>
      </c>
      <c r="BG23" s="2" t="n">
        <v>1</v>
      </c>
      <c r="BH23" s="2" t="n">
        <v>1</v>
      </c>
      <c r="BI23" s="2" t="n">
        <v>1</v>
      </c>
      <c r="BJ23" s="2" t="n">
        <v>1</v>
      </c>
      <c r="BK23" s="2" t="n">
        <v>0</v>
      </c>
      <c r="BL23" s="2" t="n">
        <v>1</v>
      </c>
      <c r="BM23" s="2" t="n">
        <v>0</v>
      </c>
      <c r="BN23" s="2" t="n">
        <v>1</v>
      </c>
    </row>
    <row r="24" ht="22.5" customHeight="1">
      <c r="A24" s="6" t="inlineStr">
        <is>
          <t>Kovelsky</t>
        </is>
      </c>
      <c r="B24" s="2" t="n">
        <v>10</v>
      </c>
      <c r="C24" s="2" t="n">
        <v>4</v>
      </c>
      <c r="D24" s="7" t="n">
        <v>23</v>
      </c>
      <c r="E24" s="2" t="n"/>
      <c r="F24" s="2" t="n"/>
      <c r="G24" s="8">
        <f>SUM(AM24:BN24)</f>
        <v/>
      </c>
      <c r="H24" s="9">
        <f>G24/28</f>
        <v/>
      </c>
      <c r="I24" s="9">
        <f>0.5+(G24/54)</f>
        <v/>
      </c>
      <c r="J24" s="10">
        <f>COUNTIF(K24:AL24,"")</f>
        <v/>
      </c>
      <c r="K24" s="16" t="n"/>
      <c r="L24" s="13" t="n"/>
      <c r="M24" s="12" t="n"/>
      <c r="N24" s="13" t="n"/>
      <c r="O24" s="12" t="n"/>
      <c r="P24" s="12" t="n"/>
      <c r="Q24" s="13" t="n"/>
      <c r="R24" s="12" t="n"/>
      <c r="S24" s="13" t="n"/>
      <c r="T24" s="13" t="n"/>
      <c r="U24" s="13" t="n"/>
      <c r="V24" s="13" t="n"/>
      <c r="W24" s="13" t="n"/>
      <c r="X24" s="14" t="n"/>
      <c r="Y24" s="13" t="n"/>
      <c r="Z24" s="13" t="n"/>
      <c r="AA24" s="13" t="n"/>
      <c r="AB24" s="13" t="n"/>
      <c r="AC24" s="13" t="n"/>
      <c r="AD24" s="13" t="n"/>
      <c r="AE24" s="14" t="n"/>
      <c r="AF24" s="13" t="n"/>
      <c r="AG24" s="13" t="n"/>
      <c r="AH24" s="13" t="n"/>
      <c r="AI24" s="13" t="n"/>
      <c r="AJ24" s="13" t="n"/>
      <c r="AK24" s="13" t="n"/>
      <c r="AL24" s="17" t="n"/>
      <c r="AM24" s="4" t="n">
        <v>0</v>
      </c>
      <c r="AN24" s="2" t="n">
        <v>0</v>
      </c>
      <c r="AO24" s="2" t="n">
        <v>0</v>
      </c>
      <c r="AP24" s="2" t="n">
        <v>0</v>
      </c>
      <c r="AQ24" s="2" t="n">
        <v>0</v>
      </c>
      <c r="AR24" s="2" t="n">
        <v>0</v>
      </c>
      <c r="AS24" s="2" t="n">
        <v>0</v>
      </c>
      <c r="AT24" s="2" t="n">
        <v>0</v>
      </c>
      <c r="AU24" s="2" t="n">
        <v>0</v>
      </c>
      <c r="AV24" s="2" t="n">
        <v>0</v>
      </c>
      <c r="AW24" s="2" t="n">
        <v>0</v>
      </c>
      <c r="AX24" s="2" t="n">
        <v>0</v>
      </c>
      <c r="AY24" s="2" t="n">
        <v>0</v>
      </c>
      <c r="AZ24" s="2" t="n">
        <v>0</v>
      </c>
      <c r="BA24" s="2" t="n">
        <v>0</v>
      </c>
      <c r="BB24" s="2" t="n">
        <v>0</v>
      </c>
      <c r="BC24" s="2" t="n">
        <v>0</v>
      </c>
      <c r="BD24" s="2" t="n">
        <v>0</v>
      </c>
      <c r="BE24" s="2" t="n">
        <v>0</v>
      </c>
      <c r="BF24" s="2" t="n">
        <v>0</v>
      </c>
      <c r="BG24" s="2" t="n">
        <v>0</v>
      </c>
      <c r="BH24" s="2" t="n">
        <v>0</v>
      </c>
      <c r="BI24" s="2" t="n">
        <v>0</v>
      </c>
      <c r="BJ24" s="2" t="n">
        <v>0</v>
      </c>
      <c r="BK24" s="2" t="n">
        <v>0</v>
      </c>
      <c r="BL24" s="2" t="n">
        <v>0</v>
      </c>
      <c r="BM24" s="2" t="n">
        <v>0</v>
      </c>
      <c r="BN24" s="2" t="n">
        <v>0</v>
      </c>
    </row>
    <row r="25" ht="22.5" customHeight="1">
      <c r="A25" s="6" t="inlineStr">
        <is>
          <t>Kovelsky</t>
        </is>
      </c>
      <c r="B25" s="2" t="n">
        <v>10</v>
      </c>
      <c r="C25" s="2" t="n">
        <v>4</v>
      </c>
      <c r="D25" s="7" t="n">
        <v>24</v>
      </c>
      <c r="E25" s="2" t="n"/>
      <c r="F25" s="2" t="n"/>
      <c r="G25" s="8">
        <f>SUM(AM25:BN25)</f>
        <v/>
      </c>
      <c r="H25" s="9">
        <f>G25/28</f>
        <v/>
      </c>
      <c r="I25" s="9">
        <f>0.5+(G25/54)</f>
        <v/>
      </c>
      <c r="J25" s="10">
        <f>COUNTIF(K25:AL25,"")</f>
        <v/>
      </c>
      <c r="K25" s="16" t="n">
        <v>4</v>
      </c>
      <c r="L25" s="13" t="n">
        <v>1</v>
      </c>
      <c r="M25" s="12" t="n">
        <v>3</v>
      </c>
      <c r="N25" s="13" t="n">
        <v>2</v>
      </c>
      <c r="O25" s="13" t="n">
        <v>4</v>
      </c>
      <c r="P25" s="12" t="n">
        <v>1</v>
      </c>
      <c r="Q25" s="13" t="n">
        <v>2</v>
      </c>
      <c r="R25" s="12" t="n">
        <v>1</v>
      </c>
      <c r="S25" s="13" t="n">
        <v>1</v>
      </c>
      <c r="T25" s="13" t="n">
        <v>4</v>
      </c>
      <c r="U25" s="13" t="n">
        <v>1</v>
      </c>
      <c r="V25" s="13" t="n">
        <v>4</v>
      </c>
      <c r="W25" s="13" t="n">
        <v>3</v>
      </c>
      <c r="X25" s="14" t="n">
        <v>2</v>
      </c>
      <c r="Y25" s="13" t="n">
        <v>4</v>
      </c>
      <c r="Z25" s="13" t="n">
        <v>3</v>
      </c>
      <c r="AA25" s="13" t="n">
        <v>4</v>
      </c>
      <c r="AB25" s="13" t="n">
        <v>4</v>
      </c>
      <c r="AC25" s="13" t="n">
        <v>1</v>
      </c>
      <c r="AD25" s="13" t="n">
        <v>3</v>
      </c>
      <c r="AE25" s="14" t="n">
        <v>4</v>
      </c>
      <c r="AF25" s="13" t="n">
        <v>2</v>
      </c>
      <c r="AG25" s="13" t="n">
        <v>4</v>
      </c>
      <c r="AH25" s="13" t="n">
        <v>3</v>
      </c>
      <c r="AI25" s="13" t="n">
        <v>2</v>
      </c>
      <c r="AJ25" s="13" t="n">
        <v>4</v>
      </c>
      <c r="AK25" s="13" t="n">
        <v>2</v>
      </c>
      <c r="AL25" s="17" t="n">
        <v>2</v>
      </c>
      <c r="AM25" s="4" t="n">
        <v>1</v>
      </c>
      <c r="AN25" s="2" t="n">
        <v>1</v>
      </c>
      <c r="AO25" s="2" t="n">
        <v>1</v>
      </c>
      <c r="AP25" s="2" t="n">
        <v>1</v>
      </c>
      <c r="AQ25" s="2" t="n">
        <v>0</v>
      </c>
      <c r="AR25" s="2" t="n">
        <v>0</v>
      </c>
      <c r="AS25" s="2" t="n">
        <v>1</v>
      </c>
      <c r="AT25" s="2" t="n">
        <v>0</v>
      </c>
      <c r="AU25" s="2" t="n">
        <v>1</v>
      </c>
      <c r="AV25" s="2" t="n">
        <v>0</v>
      </c>
      <c r="AW25" s="2" t="n">
        <v>1</v>
      </c>
      <c r="AX25" s="2" t="n">
        <v>1</v>
      </c>
      <c r="AY25" s="2" t="n">
        <v>0</v>
      </c>
      <c r="AZ25" s="2" t="n">
        <v>1</v>
      </c>
      <c r="BA25" s="2" t="n">
        <v>1</v>
      </c>
      <c r="BB25" s="2" t="n">
        <v>1</v>
      </c>
      <c r="BC25" s="2" t="n">
        <v>1</v>
      </c>
      <c r="BD25" s="2" t="n">
        <v>0</v>
      </c>
      <c r="BE25" s="2" t="n">
        <v>1</v>
      </c>
      <c r="BF25" s="2" t="n">
        <v>1</v>
      </c>
      <c r="BG25" s="2" t="n">
        <v>1</v>
      </c>
      <c r="BH25" s="2" t="n">
        <v>1</v>
      </c>
      <c r="BI25" s="2" t="n">
        <v>0</v>
      </c>
      <c r="BJ25" s="2" t="n">
        <v>1</v>
      </c>
      <c r="BK25" s="2" t="n">
        <v>1</v>
      </c>
      <c r="BL25" s="2" t="n">
        <v>1</v>
      </c>
      <c r="BM25" s="2" t="n">
        <v>0</v>
      </c>
      <c r="BN25" s="2" t="n">
        <v>1</v>
      </c>
    </row>
    <row r="26" ht="22.5" customHeight="1">
      <c r="A26" s="6" t="inlineStr">
        <is>
          <t>Kovelsky</t>
        </is>
      </c>
      <c r="B26" s="2" t="n">
        <v>10</v>
      </c>
      <c r="C26" s="2" t="n">
        <v>4</v>
      </c>
      <c r="D26" s="7" t="n">
        <v>25</v>
      </c>
      <c r="E26" s="2" t="n"/>
      <c r="F26" s="2" t="n"/>
      <c r="G26" s="8">
        <f>SUM(AM26:BN26)</f>
        <v/>
      </c>
      <c r="H26" s="9">
        <f>G26/28</f>
        <v/>
      </c>
      <c r="I26" s="9">
        <f>0.5+(G26/54)</f>
        <v/>
      </c>
      <c r="J26" s="10">
        <f>COUNTIF(K26:AL26,"")</f>
        <v/>
      </c>
      <c r="K26" s="11" t="n">
        <v>4</v>
      </c>
      <c r="L26" s="12" t="n">
        <v>1</v>
      </c>
      <c r="M26" s="12" t="n">
        <v>3</v>
      </c>
      <c r="N26" s="12" t="n">
        <v>2</v>
      </c>
      <c r="O26" s="13" t="n">
        <v>1</v>
      </c>
      <c r="P26" s="12" t="n">
        <v>3</v>
      </c>
      <c r="Q26" s="13" t="n">
        <v>2</v>
      </c>
      <c r="R26" s="12" t="n">
        <v>2</v>
      </c>
      <c r="S26" s="13" t="n">
        <v>3</v>
      </c>
      <c r="T26" s="13" t="n">
        <v>3</v>
      </c>
      <c r="U26" s="13" t="n">
        <v>1</v>
      </c>
      <c r="V26" s="13" t="n">
        <v>4</v>
      </c>
      <c r="W26" s="13" t="n">
        <v>3</v>
      </c>
      <c r="X26" s="14" t="n">
        <v>3</v>
      </c>
      <c r="Y26" s="13" t="n">
        <v>4</v>
      </c>
      <c r="Z26" s="13" t="n">
        <v>3</v>
      </c>
      <c r="AA26" s="13" t="n">
        <v>4</v>
      </c>
      <c r="AB26" s="13" t="n">
        <v>3</v>
      </c>
      <c r="AC26" s="13" t="n">
        <v>1</v>
      </c>
      <c r="AD26" s="13" t="n">
        <v>3</v>
      </c>
      <c r="AE26" s="14" t="n">
        <v>1</v>
      </c>
      <c r="AF26" s="13" t="n">
        <v>3</v>
      </c>
      <c r="AG26" s="13" t="n">
        <v>4</v>
      </c>
      <c r="AH26" s="13" t="n">
        <v>4</v>
      </c>
      <c r="AI26" s="13" t="n">
        <v>1</v>
      </c>
      <c r="AJ26" s="13" t="n">
        <v>2</v>
      </c>
      <c r="AK26" s="13" t="n">
        <v>2</v>
      </c>
      <c r="AL26" s="17" t="n">
        <v>3</v>
      </c>
      <c r="AM26" s="4" t="n">
        <v>1</v>
      </c>
      <c r="AN26" s="2" t="n">
        <v>1</v>
      </c>
      <c r="AO26" s="2" t="n">
        <v>1</v>
      </c>
      <c r="AP26" s="2" t="n">
        <v>1</v>
      </c>
      <c r="AQ26" s="2" t="n">
        <v>1</v>
      </c>
      <c r="AR26" s="2" t="n">
        <v>1</v>
      </c>
      <c r="AS26" s="2" t="n">
        <v>1</v>
      </c>
      <c r="AT26" s="2" t="n">
        <v>0</v>
      </c>
      <c r="AU26" s="2" t="n">
        <v>0</v>
      </c>
      <c r="AV26" s="2" t="n">
        <v>1</v>
      </c>
      <c r="AW26" s="2" t="n">
        <v>1</v>
      </c>
      <c r="AX26" s="2" t="n">
        <v>1</v>
      </c>
      <c r="AY26" s="2" t="n">
        <v>0</v>
      </c>
      <c r="AZ26" s="2" t="n">
        <v>0</v>
      </c>
      <c r="BA26" s="2" t="n">
        <v>1</v>
      </c>
      <c r="BB26" s="2" t="n">
        <v>1</v>
      </c>
      <c r="BC26" s="2" t="n">
        <v>1</v>
      </c>
      <c r="BD26" s="2" t="n">
        <v>1</v>
      </c>
      <c r="BE26" s="2" t="n">
        <v>1</v>
      </c>
      <c r="BF26" s="2" t="n">
        <v>1</v>
      </c>
      <c r="BG26" s="2" t="n">
        <v>0</v>
      </c>
      <c r="BH26" s="2" t="n">
        <v>0</v>
      </c>
      <c r="BI26" s="2" t="n">
        <v>0</v>
      </c>
      <c r="BJ26" s="2" t="n">
        <v>0</v>
      </c>
      <c r="BK26" s="2" t="n">
        <v>0</v>
      </c>
      <c r="BL26" s="2" t="n">
        <v>0</v>
      </c>
      <c r="BM26" s="2" t="n">
        <v>0</v>
      </c>
      <c r="BN26" s="2" t="n">
        <v>0</v>
      </c>
    </row>
    <row r="27" ht="22.5" customHeight="1">
      <c r="A27" s="6" t="inlineStr">
        <is>
          <t>Kovelsky</t>
        </is>
      </c>
      <c r="B27" s="2" t="n">
        <v>10</v>
      </c>
      <c r="C27" s="2" t="n">
        <v>4</v>
      </c>
      <c r="D27" s="7" t="n">
        <v>26</v>
      </c>
      <c r="E27" s="2" t="n"/>
      <c r="F27" s="2" t="n"/>
      <c r="G27" s="8">
        <f>SUM(AM27:BN27)</f>
        <v/>
      </c>
      <c r="H27" s="9">
        <f>G27/28</f>
        <v/>
      </c>
      <c r="I27" s="9">
        <f>0.5+(G27/54)</f>
        <v/>
      </c>
      <c r="J27" s="10">
        <f>COUNTIF(K27:AL27,"")</f>
        <v/>
      </c>
      <c r="K27" s="20" t="n"/>
      <c r="L27" s="21" t="n"/>
      <c r="M27" s="21" t="n"/>
      <c r="N27" s="21" t="n"/>
      <c r="O27" s="21" t="n"/>
      <c r="P27" s="21" t="n"/>
      <c r="Q27" s="21" t="n"/>
      <c r="R27" s="21" t="n"/>
      <c r="S27" s="21" t="n"/>
      <c r="T27" s="21" t="n"/>
      <c r="U27" s="21" t="n"/>
      <c r="V27" s="21" t="n"/>
      <c r="W27" s="21" t="n"/>
      <c r="X27" s="2" t="n"/>
      <c r="Y27" s="21" t="n"/>
      <c r="Z27" s="21" t="n"/>
      <c r="AA27" s="21" t="n"/>
      <c r="AB27" s="21" t="n"/>
      <c r="AC27" s="21" t="n"/>
      <c r="AD27" s="21" t="n"/>
      <c r="AE27" s="2" t="n"/>
      <c r="AF27" s="21" t="n"/>
      <c r="AG27" s="21" t="n"/>
      <c r="AH27" s="21" t="n"/>
      <c r="AI27" s="21" t="n"/>
      <c r="AJ27" s="21" t="n"/>
      <c r="AK27" s="21" t="n"/>
      <c r="AL27" s="22" t="n"/>
      <c r="AM27" s="4" t="n">
        <v>0</v>
      </c>
      <c r="AN27" s="2" t="n">
        <v>0</v>
      </c>
      <c r="AO27" s="2" t="n">
        <v>0</v>
      </c>
      <c r="AP27" s="2" t="n">
        <v>0</v>
      </c>
      <c r="AQ27" s="2" t="n">
        <v>0</v>
      </c>
      <c r="AR27" s="2" t="n">
        <v>0</v>
      </c>
      <c r="AS27" s="2" t="n">
        <v>0</v>
      </c>
      <c r="AT27" s="2" t="n">
        <v>0</v>
      </c>
      <c r="AU27" s="2" t="n">
        <v>0</v>
      </c>
      <c r="AV27" s="2" t="n">
        <v>0</v>
      </c>
      <c r="AW27" s="2" t="n">
        <v>0</v>
      </c>
      <c r="AX27" s="2" t="n">
        <v>0</v>
      </c>
      <c r="AY27" s="2" t="n">
        <v>0</v>
      </c>
      <c r="AZ27" s="2" t="n">
        <v>0</v>
      </c>
      <c r="BA27" s="2" t="n">
        <v>0</v>
      </c>
      <c r="BB27" s="2" t="n">
        <v>0</v>
      </c>
      <c r="BC27" s="2" t="n">
        <v>0</v>
      </c>
      <c r="BD27" s="2" t="n">
        <v>0</v>
      </c>
      <c r="BE27" s="2" t="n">
        <v>0</v>
      </c>
      <c r="BF27" s="2" t="n">
        <v>0</v>
      </c>
      <c r="BG27" s="2" t="n">
        <v>0</v>
      </c>
      <c r="BH27" s="2" t="n">
        <v>0</v>
      </c>
      <c r="BI27" s="2" t="n">
        <v>0</v>
      </c>
      <c r="BJ27" s="2" t="n">
        <v>0</v>
      </c>
      <c r="BK27" s="2" t="n">
        <v>0</v>
      </c>
      <c r="BL27" s="2" t="n">
        <v>0</v>
      </c>
      <c r="BM27" s="2" t="n">
        <v>0</v>
      </c>
      <c r="BN27" s="2" t="n">
        <v>0</v>
      </c>
    </row>
    <row r="28" ht="22.5" customHeight="1">
      <c r="A28" s="6" t="inlineStr">
        <is>
          <t>Kovelsky</t>
        </is>
      </c>
      <c r="B28" s="2" t="n">
        <v>10</v>
      </c>
      <c r="C28" s="2" t="n">
        <v>4</v>
      </c>
      <c r="D28" s="7" t="n">
        <v>27</v>
      </c>
      <c r="E28" s="2" t="n"/>
      <c r="F28" s="2" t="n"/>
      <c r="G28" s="8">
        <f>SUM(AM28:BN28)</f>
        <v/>
      </c>
      <c r="H28" s="9">
        <f>G28/28</f>
        <v/>
      </c>
      <c r="I28" s="9">
        <f>0.5+(G28/54)</f>
        <v/>
      </c>
      <c r="J28" s="10">
        <f>COUNTIF(K28:AL28,"")</f>
        <v/>
      </c>
      <c r="K28" s="20" t="n"/>
      <c r="L28" s="21" t="n"/>
      <c r="M28" s="21" t="n"/>
      <c r="N28" s="21" t="n"/>
      <c r="O28" s="21" t="n"/>
      <c r="P28" s="21" t="n"/>
      <c r="Q28" s="21" t="n"/>
      <c r="R28" s="21" t="n"/>
      <c r="S28" s="21" t="n"/>
      <c r="T28" s="21" t="n"/>
      <c r="U28" s="21" t="n"/>
      <c r="V28" s="21" t="n"/>
      <c r="W28" s="21" t="n"/>
      <c r="X28" s="2" t="n"/>
      <c r="Y28" s="21" t="n"/>
      <c r="Z28" s="21" t="n"/>
      <c r="AA28" s="21" t="n"/>
      <c r="AB28" s="21" t="n"/>
      <c r="AC28" s="21" t="n"/>
      <c r="AD28" s="21" t="n"/>
      <c r="AE28" s="2" t="n"/>
      <c r="AF28" s="21" t="n"/>
      <c r="AG28" s="21" t="n"/>
      <c r="AH28" s="21" t="n"/>
      <c r="AI28" s="21" t="n"/>
      <c r="AJ28" s="21" t="n"/>
      <c r="AK28" s="21" t="n"/>
      <c r="AL28" s="22" t="n"/>
      <c r="AM28" s="4" t="n">
        <v>0</v>
      </c>
      <c r="AN28" s="2" t="n">
        <v>0</v>
      </c>
      <c r="AO28" s="2" t="n">
        <v>0</v>
      </c>
      <c r="AP28" s="2" t="n">
        <v>0</v>
      </c>
      <c r="AQ28" s="2" t="n">
        <v>0</v>
      </c>
      <c r="AR28" s="2" t="n">
        <v>0</v>
      </c>
      <c r="AS28" s="2" t="n">
        <v>0</v>
      </c>
      <c r="AT28" s="2" t="n">
        <v>0</v>
      </c>
      <c r="AU28" s="2" t="n">
        <v>0</v>
      </c>
      <c r="AV28" s="2" t="n">
        <v>0</v>
      </c>
      <c r="AW28" s="2" t="n">
        <v>0</v>
      </c>
      <c r="AX28" s="2" t="n">
        <v>0</v>
      </c>
      <c r="AY28" s="2" t="n">
        <v>0</v>
      </c>
      <c r="AZ28" s="2" t="n">
        <v>0</v>
      </c>
      <c r="BA28" s="2" t="n">
        <v>0</v>
      </c>
      <c r="BB28" s="2" t="n">
        <v>0</v>
      </c>
      <c r="BC28" s="2" t="n">
        <v>0</v>
      </c>
      <c r="BD28" s="2" t="n">
        <v>0</v>
      </c>
      <c r="BE28" s="2" t="n">
        <v>0</v>
      </c>
      <c r="BF28" s="2" t="n">
        <v>0</v>
      </c>
      <c r="BG28" s="2" t="n">
        <v>0</v>
      </c>
      <c r="BH28" s="2" t="n">
        <v>0</v>
      </c>
      <c r="BI28" s="2" t="n">
        <v>0</v>
      </c>
      <c r="BJ28" s="2" t="n">
        <v>0</v>
      </c>
      <c r="BK28" s="2" t="n">
        <v>0</v>
      </c>
      <c r="BL28" s="2" t="n">
        <v>0</v>
      </c>
      <c r="BM28" s="2" t="n">
        <v>0</v>
      </c>
      <c r="BN28" s="2" t="n">
        <v>0</v>
      </c>
    </row>
    <row r="29" ht="22.5" customHeight="1">
      <c r="A29" s="6" t="inlineStr">
        <is>
          <t>Kovelsky</t>
        </is>
      </c>
      <c r="B29" s="2" t="n">
        <v>10</v>
      </c>
      <c r="C29" s="2" t="n">
        <v>4</v>
      </c>
      <c r="D29" s="7" t="n">
        <v>28</v>
      </c>
      <c r="E29" s="2" t="n"/>
      <c r="F29" s="2" t="n"/>
      <c r="G29" s="8">
        <f>SUM(AM29:BN29)</f>
        <v/>
      </c>
      <c r="H29" s="9">
        <f>G29/28</f>
        <v/>
      </c>
      <c r="I29" s="9">
        <f>0.5+(G29/54)</f>
        <v/>
      </c>
      <c r="J29" s="10">
        <f>COUNTIF(K29:AL29,"")</f>
        <v/>
      </c>
      <c r="K29" s="20" t="n">
        <v>4</v>
      </c>
      <c r="L29" s="21" t="n">
        <v>3</v>
      </c>
      <c r="M29" s="21" t="n">
        <v>4</v>
      </c>
      <c r="N29" s="21" t="n">
        <v>2</v>
      </c>
      <c r="O29" s="21" t="n">
        <v>3</v>
      </c>
      <c r="P29" s="21" t="n">
        <v>3</v>
      </c>
      <c r="Q29" s="21" t="n">
        <v>1</v>
      </c>
      <c r="R29" s="21" t="n">
        <v>3</v>
      </c>
      <c r="S29" s="21" t="n">
        <v>1</v>
      </c>
      <c r="T29" s="21" t="n">
        <v>4</v>
      </c>
      <c r="U29" s="21" t="n">
        <v>1</v>
      </c>
      <c r="V29" s="21" t="n">
        <v>4</v>
      </c>
      <c r="W29" s="21" t="n">
        <v>3</v>
      </c>
      <c r="X29" s="2" t="n">
        <v>2</v>
      </c>
      <c r="Y29" s="21" t="n">
        <v>3</v>
      </c>
      <c r="Z29" s="21" t="n">
        <v>3</v>
      </c>
      <c r="AA29" s="21" t="n">
        <v>4</v>
      </c>
      <c r="AB29" s="21" t="n">
        <v>3</v>
      </c>
      <c r="AC29" s="21" t="n">
        <v>1</v>
      </c>
      <c r="AD29" s="21" t="n">
        <v>3</v>
      </c>
      <c r="AE29" s="2" t="n">
        <v>4</v>
      </c>
      <c r="AF29" s="21" t="n">
        <v>2</v>
      </c>
      <c r="AG29" s="21" t="n">
        <v>4</v>
      </c>
      <c r="AH29" s="21" t="n">
        <v>3</v>
      </c>
      <c r="AI29" s="21" t="n">
        <v>1</v>
      </c>
      <c r="AJ29" s="21" t="n">
        <v>4</v>
      </c>
      <c r="AK29" s="21" t="n">
        <v>2</v>
      </c>
      <c r="AL29" s="22" t="n">
        <v>2</v>
      </c>
      <c r="AM29" s="4" t="n">
        <v>1</v>
      </c>
      <c r="AN29" s="2" t="n">
        <v>0</v>
      </c>
      <c r="AO29" s="2" t="n">
        <v>0</v>
      </c>
      <c r="AP29" s="2" t="n">
        <v>1</v>
      </c>
      <c r="AQ29" s="2" t="n">
        <v>0</v>
      </c>
      <c r="AR29" s="2" t="n">
        <v>1</v>
      </c>
      <c r="AS29" s="2" t="n">
        <v>0</v>
      </c>
      <c r="AT29" s="2" t="n">
        <v>1</v>
      </c>
      <c r="AU29" s="2" t="n">
        <v>1</v>
      </c>
      <c r="AV29" s="2" t="n">
        <v>0</v>
      </c>
      <c r="AW29" s="2" t="n">
        <v>1</v>
      </c>
      <c r="AX29" s="2" t="n">
        <v>1</v>
      </c>
      <c r="AY29" s="2" t="n">
        <v>0</v>
      </c>
      <c r="AZ29" s="2" t="n">
        <v>1</v>
      </c>
      <c r="BA29" s="2" t="n">
        <v>0</v>
      </c>
      <c r="BB29" s="2" t="n">
        <v>1</v>
      </c>
      <c r="BC29" s="2" t="n">
        <v>1</v>
      </c>
      <c r="BD29" s="2" t="n">
        <v>1</v>
      </c>
      <c r="BE29" s="2" t="n">
        <v>1</v>
      </c>
      <c r="BF29" s="2" t="n">
        <v>1</v>
      </c>
      <c r="BG29" s="2" t="n">
        <v>1</v>
      </c>
      <c r="BH29" s="2" t="n">
        <v>1</v>
      </c>
      <c r="BI29" s="2" t="n">
        <v>0</v>
      </c>
      <c r="BJ29" s="2" t="n">
        <v>1</v>
      </c>
      <c r="BK29" s="2" t="n">
        <v>0</v>
      </c>
      <c r="BL29" s="2" t="n">
        <v>1</v>
      </c>
      <c r="BM29" s="2" t="n">
        <v>0</v>
      </c>
      <c r="BN29" s="2" t="n">
        <v>1</v>
      </c>
    </row>
    <row r="30" ht="22.5" customHeight="1">
      <c r="A30" s="6" t="inlineStr">
        <is>
          <t>Kovelsky</t>
        </is>
      </c>
      <c r="B30" s="2" t="n">
        <v>10</v>
      </c>
      <c r="C30" s="2" t="n">
        <v>4</v>
      </c>
      <c r="D30" s="7" t="n">
        <v>29</v>
      </c>
      <c r="E30" s="2" t="n"/>
      <c r="F30" s="2" t="n"/>
      <c r="G30" s="8">
        <f>SUM(AM30:BN30)</f>
        <v/>
      </c>
      <c r="H30" s="9">
        <f>G30/28</f>
        <v/>
      </c>
      <c r="I30" s="9">
        <f>0.5+(G30/54)</f>
        <v/>
      </c>
      <c r="J30" s="10">
        <f>COUNTIF(K30:AL30,"")</f>
        <v/>
      </c>
      <c r="K30" s="20" t="n">
        <v>4</v>
      </c>
      <c r="L30" s="21" t="n">
        <v>1</v>
      </c>
      <c r="M30" s="21" t="n">
        <v>2</v>
      </c>
      <c r="N30" s="21" t="n">
        <v>4</v>
      </c>
      <c r="O30" s="21" t="n">
        <v>4</v>
      </c>
      <c r="P30" s="21" t="n">
        <v>3</v>
      </c>
      <c r="Q30" s="21" t="n">
        <v>2</v>
      </c>
      <c r="R30" s="21" t="n">
        <v>3</v>
      </c>
      <c r="S30" s="21" t="n">
        <v>1</v>
      </c>
      <c r="T30" s="21" t="n">
        <v>3</v>
      </c>
      <c r="U30" s="21" t="n">
        <v>4</v>
      </c>
      <c r="V30" s="21" t="n">
        <v>2</v>
      </c>
      <c r="W30" s="21" t="n">
        <v>3</v>
      </c>
      <c r="X30" s="2" t="n">
        <v>1</v>
      </c>
      <c r="Y30" s="21" t="n">
        <v>2</v>
      </c>
      <c r="Z30" s="21" t="n">
        <v>2</v>
      </c>
      <c r="AA30" s="21" t="n">
        <v>1</v>
      </c>
      <c r="AB30" s="21" t="n">
        <v>3</v>
      </c>
      <c r="AC30" s="21" t="n">
        <v>1</v>
      </c>
      <c r="AD30" s="21" t="n">
        <v>4</v>
      </c>
      <c r="AE30" s="2" t="n">
        <v>1</v>
      </c>
      <c r="AF30" s="21" t="n">
        <v>4</v>
      </c>
      <c r="AG30" s="21" t="n">
        <v>4</v>
      </c>
      <c r="AH30" s="21" t="n">
        <v>3</v>
      </c>
      <c r="AI30" s="21" t="n">
        <v>3</v>
      </c>
      <c r="AJ30" s="21" t="n">
        <v>2</v>
      </c>
      <c r="AK30" s="21" t="n">
        <v>1</v>
      </c>
      <c r="AL30" s="22" t="n"/>
      <c r="AM30" s="4" t="n">
        <v>1</v>
      </c>
      <c r="AN30" s="2" t="n">
        <v>1</v>
      </c>
      <c r="AO30" s="2" t="n">
        <v>0</v>
      </c>
      <c r="AP30" s="2" t="n">
        <v>0</v>
      </c>
      <c r="AQ30" s="2" t="n">
        <v>0</v>
      </c>
      <c r="AR30" s="2" t="n">
        <v>1</v>
      </c>
      <c r="AS30" s="2" t="n">
        <v>1</v>
      </c>
      <c r="AT30" s="2" t="n">
        <v>1</v>
      </c>
      <c r="AU30" s="2" t="n">
        <v>1</v>
      </c>
      <c r="AV30" s="2" t="n">
        <v>1</v>
      </c>
      <c r="AW30" s="2" t="n">
        <v>0</v>
      </c>
      <c r="AX30" s="2" t="n">
        <v>0</v>
      </c>
      <c r="AY30" s="2" t="n">
        <v>0</v>
      </c>
      <c r="AZ30" s="2" t="n">
        <v>0</v>
      </c>
      <c r="BA30" s="2" t="n">
        <v>0</v>
      </c>
      <c r="BB30" s="2" t="n">
        <v>0</v>
      </c>
      <c r="BC30" s="2" t="n">
        <v>0</v>
      </c>
      <c r="BD30" s="2" t="n">
        <v>1</v>
      </c>
      <c r="BE30" s="2" t="n">
        <v>1</v>
      </c>
      <c r="BF30" s="2" t="n">
        <v>0</v>
      </c>
      <c r="BG30" s="2" t="n">
        <v>0</v>
      </c>
      <c r="BH30" s="2" t="n">
        <v>0</v>
      </c>
      <c r="BI30" s="2" t="n">
        <v>0</v>
      </c>
      <c r="BJ30" s="2" t="n">
        <v>1</v>
      </c>
      <c r="BK30" s="2" t="n">
        <v>0</v>
      </c>
      <c r="BL30" s="2" t="n">
        <v>0</v>
      </c>
      <c r="BM30" s="2" t="n">
        <v>1</v>
      </c>
      <c r="BN30" s="2" t="n">
        <v>0</v>
      </c>
    </row>
    <row r="31" ht="22.5" customHeight="1">
      <c r="A31" s="6" t="inlineStr">
        <is>
          <t>Kovelsky</t>
        </is>
      </c>
      <c r="B31" s="2" t="n">
        <v>10</v>
      </c>
      <c r="C31" s="2" t="n">
        <v>4</v>
      </c>
      <c r="D31" s="7" t="n">
        <v>30</v>
      </c>
      <c r="E31" s="2" t="n"/>
      <c r="F31" s="2" t="n"/>
      <c r="G31" s="8">
        <f>SUM(AM31:BN31)</f>
        <v/>
      </c>
      <c r="H31" s="9">
        <f>G31/28</f>
        <v/>
      </c>
      <c r="I31" s="9">
        <f>0.5+(G31/54)</f>
        <v/>
      </c>
      <c r="J31" s="10">
        <f>COUNTIF(K31:AL31,"")</f>
        <v/>
      </c>
      <c r="K31" s="20" t="n">
        <v>1</v>
      </c>
      <c r="L31" s="21" t="n">
        <v>1</v>
      </c>
      <c r="M31" s="21" t="n">
        <v>3</v>
      </c>
      <c r="N31" s="21" t="n">
        <v>2</v>
      </c>
      <c r="O31" s="21" t="n">
        <v>3</v>
      </c>
      <c r="P31" s="21" t="n">
        <v>1</v>
      </c>
      <c r="Q31" s="21" t="n">
        <v>2</v>
      </c>
      <c r="R31" s="21" t="n">
        <v>4</v>
      </c>
      <c r="S31" s="21" t="n">
        <v>3</v>
      </c>
      <c r="T31" s="21" t="n">
        <v>4</v>
      </c>
      <c r="U31" s="21" t="n">
        <v>1</v>
      </c>
      <c r="V31" s="21" t="n">
        <v>1</v>
      </c>
      <c r="W31" s="21" t="n">
        <v>3</v>
      </c>
      <c r="X31" s="2" t="n">
        <v>4</v>
      </c>
      <c r="Y31" s="21" t="n">
        <v>1</v>
      </c>
      <c r="Z31" s="21" t="n">
        <v>2</v>
      </c>
      <c r="AA31" s="21" t="n">
        <v>1</v>
      </c>
      <c r="AB31" s="21" t="n">
        <v>3</v>
      </c>
      <c r="AC31" s="21" t="n">
        <v>3</v>
      </c>
      <c r="AD31" s="21" t="n">
        <v>4</v>
      </c>
      <c r="AE31" s="2" t="n">
        <v>4</v>
      </c>
      <c r="AF31" s="21" t="n">
        <v>2</v>
      </c>
      <c r="AG31" s="21" t="n">
        <v>3</v>
      </c>
      <c r="AH31" s="21" t="n">
        <v>3</v>
      </c>
      <c r="AI31" s="21" t="n">
        <v>2</v>
      </c>
      <c r="AJ31" s="21" t="n">
        <v>4</v>
      </c>
      <c r="AK31" s="21" t="n">
        <v>1</v>
      </c>
      <c r="AL31" s="22" t="n">
        <v>3</v>
      </c>
      <c r="AM31" s="4" t="n">
        <v>0</v>
      </c>
      <c r="AN31" s="2" t="n">
        <v>1</v>
      </c>
      <c r="AO31" s="2" t="n">
        <v>1</v>
      </c>
      <c r="AP31" s="2" t="n">
        <v>1</v>
      </c>
      <c r="AQ31" s="2" t="n">
        <v>0</v>
      </c>
      <c r="AR31" s="2" t="n">
        <v>0</v>
      </c>
      <c r="AS31" s="2" t="n">
        <v>1</v>
      </c>
      <c r="AT31" s="2" t="n">
        <v>0</v>
      </c>
      <c r="AU31" s="2" t="n">
        <v>0</v>
      </c>
      <c r="AV31" s="2" t="n">
        <v>0</v>
      </c>
      <c r="AW31" s="2" t="n">
        <v>1</v>
      </c>
      <c r="AX31" s="2" t="n">
        <v>0</v>
      </c>
      <c r="AY31" s="2" t="n">
        <v>0</v>
      </c>
      <c r="AZ31" s="2" t="n">
        <v>0</v>
      </c>
      <c r="BA31" s="2" t="n">
        <v>0</v>
      </c>
      <c r="BB31" s="2" t="n">
        <v>0</v>
      </c>
      <c r="BC31" s="2" t="n">
        <v>0</v>
      </c>
      <c r="BD31" s="2" t="n">
        <v>1</v>
      </c>
      <c r="BE31" s="2" t="n">
        <v>0</v>
      </c>
      <c r="BF31" s="2" t="n">
        <v>0</v>
      </c>
      <c r="BG31" s="2" t="n">
        <v>1</v>
      </c>
      <c r="BH31" s="2" t="n">
        <v>1</v>
      </c>
      <c r="BI31" s="2" t="n">
        <v>0</v>
      </c>
      <c r="BJ31" s="2" t="n">
        <v>1</v>
      </c>
      <c r="BK31" s="2" t="n">
        <v>1</v>
      </c>
      <c r="BL31" s="2" t="n">
        <v>1</v>
      </c>
      <c r="BM31" s="2" t="n">
        <v>1</v>
      </c>
      <c r="BN31" s="2" t="n">
        <v>0</v>
      </c>
    </row>
    <row r="32" ht="22.5" customHeight="1">
      <c r="A32" s="6" t="inlineStr">
        <is>
          <t>Kovelsky</t>
        </is>
      </c>
      <c r="B32" s="2" t="n">
        <v>10</v>
      </c>
      <c r="C32" s="2" t="n">
        <v>4</v>
      </c>
      <c r="D32" s="7" t="n">
        <v>31</v>
      </c>
      <c r="E32" s="2" t="n"/>
      <c r="F32" s="2" t="n"/>
      <c r="G32" s="23">
        <f>SUM(AM32:BN32)</f>
        <v/>
      </c>
      <c r="H32" s="24">
        <f>G32/28</f>
        <v/>
      </c>
      <c r="I32" s="24">
        <f>0.5+(G32/54)</f>
        <v/>
      </c>
      <c r="J32" s="23">
        <f>COUNTIF(K32:AL32,"")</f>
        <v/>
      </c>
      <c r="K32" s="20" t="n">
        <v>4</v>
      </c>
      <c r="L32" s="21" t="n">
        <v>1</v>
      </c>
      <c r="M32" s="21" t="n">
        <v>3</v>
      </c>
      <c r="N32" s="21" t="n">
        <v>2</v>
      </c>
      <c r="O32" s="21" t="n">
        <v>1</v>
      </c>
      <c r="P32" s="21" t="n">
        <v>3</v>
      </c>
      <c r="Q32" s="21" t="n">
        <v>2</v>
      </c>
      <c r="R32" s="21" t="n">
        <v>1</v>
      </c>
      <c r="S32" s="21" t="n">
        <v>1</v>
      </c>
      <c r="T32" s="21" t="n">
        <v>3</v>
      </c>
      <c r="U32" s="21" t="n">
        <v>1</v>
      </c>
      <c r="V32" s="21" t="n">
        <v>4</v>
      </c>
      <c r="W32" s="21" t="n">
        <v>3</v>
      </c>
      <c r="X32" s="2" t="n">
        <v>4</v>
      </c>
      <c r="Y32" s="21" t="n">
        <v>4</v>
      </c>
      <c r="Z32" s="21" t="n">
        <v>3</v>
      </c>
      <c r="AA32" s="21" t="n">
        <v>4</v>
      </c>
      <c r="AB32" s="21" t="n">
        <v>3</v>
      </c>
      <c r="AC32" s="21" t="n">
        <v>1</v>
      </c>
      <c r="AD32" s="21" t="n">
        <v>3</v>
      </c>
      <c r="AE32" s="2" t="n">
        <v>4</v>
      </c>
      <c r="AF32" s="21" t="n">
        <v>2</v>
      </c>
      <c r="AG32" s="21" t="n">
        <v>3</v>
      </c>
      <c r="AH32" s="21" t="n">
        <v>3</v>
      </c>
      <c r="AI32" s="21" t="n">
        <v>2</v>
      </c>
      <c r="AJ32" s="21" t="n">
        <v>4</v>
      </c>
      <c r="AK32" s="21" t="n">
        <v>1</v>
      </c>
      <c r="AL32" s="22" t="n">
        <v>2</v>
      </c>
      <c r="AM32" s="4" t="n">
        <v>1</v>
      </c>
      <c r="AN32" s="2" t="n">
        <v>1</v>
      </c>
      <c r="AO32" s="2" t="n">
        <v>1</v>
      </c>
      <c r="AP32" s="2" t="n">
        <v>1</v>
      </c>
      <c r="AQ32" s="2" t="n">
        <v>1</v>
      </c>
      <c r="AR32" s="2" t="n">
        <v>1</v>
      </c>
      <c r="AS32" s="2" t="n">
        <v>1</v>
      </c>
      <c r="AT32" s="2" t="n">
        <v>0</v>
      </c>
      <c r="AU32" s="2" t="n">
        <v>1</v>
      </c>
      <c r="AV32" s="2" t="n">
        <v>1</v>
      </c>
      <c r="AW32" s="2" t="n">
        <v>1</v>
      </c>
      <c r="AX32" s="2" t="n">
        <v>1</v>
      </c>
      <c r="AY32" s="2" t="n">
        <v>0</v>
      </c>
      <c r="AZ32" s="2" t="n">
        <v>0</v>
      </c>
      <c r="BA32" s="2" t="n">
        <v>1</v>
      </c>
      <c r="BB32" s="2" t="n">
        <v>1</v>
      </c>
      <c r="BC32" s="2" t="n">
        <v>1</v>
      </c>
      <c r="BD32" s="2" t="n">
        <v>1</v>
      </c>
      <c r="BE32" s="2" t="n">
        <v>1</v>
      </c>
      <c r="BF32" s="2" t="n">
        <v>1</v>
      </c>
      <c r="BG32" s="2" t="n">
        <v>1</v>
      </c>
      <c r="BH32" s="2" t="n">
        <v>1</v>
      </c>
      <c r="BI32" s="2" t="n">
        <v>0</v>
      </c>
      <c r="BJ32" s="2" t="n">
        <v>1</v>
      </c>
      <c r="BK32" s="2" t="n">
        <v>1</v>
      </c>
      <c r="BL32" s="2" t="n">
        <v>1</v>
      </c>
      <c r="BM32" s="2" t="n">
        <v>1</v>
      </c>
      <c r="BN32" s="2" t="n">
        <v>1</v>
      </c>
    </row>
    <row r="33" ht="22.5" customHeight="1">
      <c r="A33" s="6" t="inlineStr">
        <is>
          <t>Dushin</t>
        </is>
      </c>
      <c r="B33" s="2" t="n">
        <v>10</v>
      </c>
      <c r="C33" s="2" t="n">
        <v>8</v>
      </c>
      <c r="D33" s="7" t="n">
        <v>32</v>
      </c>
      <c r="E33" s="2" t="n"/>
      <c r="F33" s="2" t="n"/>
      <c r="G33" s="23">
        <f>SUM(AM33:BN33)</f>
        <v/>
      </c>
      <c r="H33" s="24">
        <f>G33/28</f>
        <v/>
      </c>
      <c r="I33" s="24">
        <f>0.5+(G33/54)</f>
        <v/>
      </c>
      <c r="J33" s="23">
        <f>COUNTIF(K33:AL33,"")</f>
        <v/>
      </c>
      <c r="K33" s="20" t="n">
        <v>4</v>
      </c>
      <c r="L33" s="21" t="n">
        <v>1</v>
      </c>
      <c r="M33" s="21" t="n">
        <v>3</v>
      </c>
      <c r="N33" s="21" t="n">
        <v>2</v>
      </c>
      <c r="O33" s="21" t="n">
        <v>1</v>
      </c>
      <c r="P33" s="21" t="n">
        <v>3</v>
      </c>
      <c r="Q33" s="21" t="n">
        <v>2</v>
      </c>
      <c r="R33" s="21" t="n">
        <v>3</v>
      </c>
      <c r="S33" s="21" t="n">
        <v>1</v>
      </c>
      <c r="T33" s="21" t="n">
        <v>3</v>
      </c>
      <c r="U33" s="21" t="n">
        <v>1</v>
      </c>
      <c r="V33" s="21" t="n">
        <v>4</v>
      </c>
      <c r="W33" s="21" t="n">
        <v>2</v>
      </c>
      <c r="X33" s="2" t="n">
        <v>2</v>
      </c>
      <c r="Y33" s="21" t="n">
        <v>4</v>
      </c>
      <c r="Z33" s="21" t="n">
        <v>3</v>
      </c>
      <c r="AA33" s="21" t="n">
        <v>4</v>
      </c>
      <c r="AB33" s="21" t="n">
        <v>3</v>
      </c>
      <c r="AC33" s="21" t="n">
        <v>1</v>
      </c>
      <c r="AD33" s="21" t="n">
        <v>3</v>
      </c>
      <c r="AE33" s="2" t="n">
        <v>4</v>
      </c>
      <c r="AF33" s="21" t="n">
        <v>2</v>
      </c>
      <c r="AG33" s="21" t="n">
        <v>2</v>
      </c>
      <c r="AH33" s="21" t="n">
        <v>3</v>
      </c>
      <c r="AI33" s="21" t="n">
        <v>1</v>
      </c>
      <c r="AJ33" s="21" t="n">
        <v>4</v>
      </c>
      <c r="AK33" s="21" t="n">
        <v>1</v>
      </c>
      <c r="AL33" s="22" t="n">
        <v>2</v>
      </c>
      <c r="AM33" s="4" t="n">
        <v>1</v>
      </c>
      <c r="AN33" s="2" t="n">
        <v>1</v>
      </c>
      <c r="AO33" s="2" t="n">
        <v>1</v>
      </c>
      <c r="AP33" s="2" t="n">
        <v>1</v>
      </c>
      <c r="AQ33" s="2" t="n">
        <v>1</v>
      </c>
      <c r="AR33" s="2" t="n">
        <v>1</v>
      </c>
      <c r="AS33" s="2" t="n">
        <v>1</v>
      </c>
      <c r="AT33" s="2" t="n">
        <v>1</v>
      </c>
      <c r="AU33" s="2" t="n">
        <v>1</v>
      </c>
      <c r="AV33" s="2" t="n">
        <v>1</v>
      </c>
      <c r="AW33" s="2" t="n">
        <v>1</v>
      </c>
      <c r="AX33" s="2" t="n">
        <v>1</v>
      </c>
      <c r="AY33" s="2" t="n">
        <v>1</v>
      </c>
      <c r="AZ33" s="2" t="n">
        <v>1</v>
      </c>
      <c r="BA33" s="2" t="n">
        <v>1</v>
      </c>
      <c r="BB33" s="2" t="n">
        <v>1</v>
      </c>
      <c r="BC33" s="2" t="n">
        <v>1</v>
      </c>
      <c r="BD33" s="2" t="n">
        <v>1</v>
      </c>
      <c r="BE33" s="2" t="n">
        <v>1</v>
      </c>
      <c r="BF33" s="2" t="n">
        <v>1</v>
      </c>
      <c r="BG33" s="2" t="n">
        <v>1</v>
      </c>
      <c r="BH33" s="2" t="n">
        <v>1</v>
      </c>
      <c r="BI33" s="2" t="n">
        <v>1</v>
      </c>
      <c r="BJ33" s="2" t="n">
        <v>1</v>
      </c>
      <c r="BK33" s="2" t="n">
        <v>0</v>
      </c>
      <c r="BL33" s="2" t="n">
        <v>1</v>
      </c>
      <c r="BM33" s="2" t="n">
        <v>1</v>
      </c>
      <c r="BN33" s="2" t="n">
        <v>1</v>
      </c>
    </row>
    <row r="34" ht="13" customHeight="1">
      <c r="A34" s="25" t="n"/>
      <c r="B34" s="26" t="n"/>
      <c r="C34" s="26" t="n"/>
      <c r="D34" s="27" t="n"/>
      <c r="E34" s="26" t="n"/>
      <c r="F34" s="26" t="n"/>
      <c r="G34" s="28" t="n"/>
      <c r="H34" s="29" t="n"/>
      <c r="I34" s="29" t="n"/>
      <c r="J34" s="26" t="n"/>
      <c r="K34" s="30" t="n"/>
      <c r="L34" s="26" t="n"/>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31" t="n"/>
      <c r="AM34" s="30"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row>
    <row r="35" ht="13" customHeight="1">
      <c r="A35" s="25" t="n"/>
      <c r="B35" s="26" t="n"/>
      <c r="C35" s="26" t="n"/>
      <c r="D35" s="27" t="n"/>
      <c r="E35" s="26" t="n"/>
      <c r="F35" s="26" t="n"/>
      <c r="G35" s="28" t="n"/>
      <c r="H35" s="29" t="n"/>
      <c r="I35" s="29" t="n"/>
      <c r="J35" s="26" t="n"/>
      <c r="K35" s="30" t="n"/>
      <c r="L35" s="26" t="n"/>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31" t="n"/>
      <c r="AM35" s="30"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row>
    <row r="36" ht="13" customHeight="1">
      <c r="A36" s="25" t="n"/>
      <c r="B36" s="26" t="n"/>
      <c r="C36" s="26" t="n"/>
      <c r="D36" s="27" t="n"/>
      <c r="E36" s="26" t="n"/>
      <c r="F36" s="26" t="n"/>
      <c r="G36" s="28" t="n"/>
      <c r="H36" s="29" t="n"/>
      <c r="I36" s="29" t="n"/>
      <c r="J36" s="26" t="n"/>
      <c r="K36" s="30" t="n"/>
      <c r="L36" s="26" t="n"/>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31" t="n"/>
      <c r="AM36" s="30"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row>
    <row r="37" ht="13" customHeight="1">
      <c r="A37" s="25" t="n"/>
      <c r="B37" s="26" t="n"/>
      <c r="C37" s="26" t="n"/>
      <c r="D37" s="27" t="n"/>
      <c r="E37" s="26" t="n"/>
      <c r="F37" s="26" t="n"/>
      <c r="G37" s="28" t="n"/>
      <c r="H37" s="29" t="n"/>
      <c r="I37" s="29" t="n"/>
      <c r="J37" s="26" t="n"/>
      <c r="K37" s="30" t="n"/>
      <c r="L37" s="26" t="n"/>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31" t="n"/>
      <c r="AM37" s="30"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row>
    <row r="38" ht="13" customHeight="1">
      <c r="A38" s="25" t="n"/>
      <c r="B38" s="26" t="n"/>
      <c r="C38" s="26" t="n"/>
      <c r="D38" s="27" t="n"/>
      <c r="E38" s="26" t="n"/>
      <c r="F38" s="26" t="n"/>
      <c r="G38" s="28" t="n"/>
      <c r="H38" s="29" t="n"/>
      <c r="I38" s="29" t="n"/>
      <c r="J38" s="26" t="n"/>
      <c r="K38" s="30" t="n"/>
      <c r="L38" s="26" t="n"/>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31" t="n"/>
      <c r="AM38" s="30"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row>
    <row r="39" ht="13" customHeight="1">
      <c r="A39" s="25" t="n"/>
      <c r="B39" s="26" t="n"/>
      <c r="C39" s="26" t="n"/>
      <c r="D39" s="27" t="n"/>
      <c r="E39" s="26" t="n"/>
      <c r="F39" s="26" t="n"/>
      <c r="G39" s="28" t="n"/>
      <c r="H39" s="29" t="n"/>
      <c r="I39" s="29" t="n"/>
      <c r="J39" s="26" t="n"/>
      <c r="K39" s="30" t="n"/>
      <c r="L39" s="26" t="n"/>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31" t="n"/>
      <c r="AM39" s="30"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row>
    <row r="40" ht="13" customHeight="1">
      <c r="A40" s="25" t="n"/>
      <c r="B40" s="26" t="n"/>
      <c r="C40" s="26" t="n"/>
      <c r="D40" s="27" t="n"/>
      <c r="E40" s="26" t="n"/>
      <c r="F40" s="26" t="n"/>
      <c r="G40" s="28" t="n"/>
      <c r="H40" s="29" t="n"/>
      <c r="I40" s="29" t="n"/>
      <c r="J40" s="26" t="n"/>
      <c r="K40" s="30" t="n"/>
      <c r="L40" s="26" t="n"/>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31" t="n"/>
      <c r="AM40" s="30"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row>
    <row r="41" ht="13" customHeight="1">
      <c r="A41" s="25" t="n"/>
      <c r="B41" s="26" t="n"/>
      <c r="C41" s="26" t="n"/>
      <c r="D41" s="27" t="n"/>
      <c r="E41" s="26" t="n"/>
      <c r="F41" s="26" t="n"/>
      <c r="G41" s="28" t="n"/>
      <c r="H41" s="29" t="n"/>
      <c r="I41" s="29" t="n"/>
      <c r="J41" s="26" t="n"/>
      <c r="K41" s="30" t="n"/>
      <c r="L41" s="26" t="n"/>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31" t="n"/>
      <c r="AM41" s="30"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row>
    <row r="42" ht="13" customHeight="1">
      <c r="A42" s="25" t="n"/>
      <c r="B42" s="26" t="n"/>
      <c r="C42" s="26" t="n"/>
      <c r="D42" s="27" t="n"/>
      <c r="E42" s="26" t="n"/>
      <c r="F42" s="26" t="n"/>
      <c r="G42" s="28" t="n"/>
      <c r="H42" s="29" t="n"/>
      <c r="I42" s="29" t="n"/>
      <c r="J42" s="26" t="n"/>
      <c r="K42" s="30" t="n"/>
      <c r="L42" s="26" t="n"/>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31" t="n"/>
      <c r="AM42" s="30"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row>
    <row r="43" ht="13" customHeight="1">
      <c r="A43" s="25" t="n"/>
      <c r="B43" s="26" t="n"/>
      <c r="C43" s="26" t="n"/>
      <c r="D43" s="27" t="n"/>
      <c r="E43" s="26" t="n"/>
      <c r="F43" s="26" t="n"/>
      <c r="G43" s="28" t="n"/>
      <c r="H43" s="29" t="n"/>
      <c r="I43" s="29" t="n"/>
      <c r="J43" s="26" t="n"/>
      <c r="K43" s="30" t="n"/>
      <c r="L43" s="26" t="n"/>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31" t="n"/>
      <c r="AM43" s="30"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row>
    <row r="44" ht="13" customHeight="1">
      <c r="A44" s="25" t="n"/>
      <c r="B44" s="26" t="n"/>
      <c r="C44" s="26" t="n"/>
      <c r="D44" s="27" t="n"/>
      <c r="E44" s="26" t="n"/>
      <c r="F44" s="26" t="n"/>
      <c r="G44" s="28" t="n"/>
      <c r="H44" s="29" t="n"/>
      <c r="I44" s="29" t="n"/>
      <c r="J44" s="26" t="n"/>
      <c r="K44" s="30" t="n"/>
      <c r="L44" s="26" t="n"/>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31" t="n"/>
      <c r="AM44" s="30"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row>
    <row r="45" ht="13" customHeight="1">
      <c r="A45" s="25" t="n"/>
      <c r="B45" s="26" t="n"/>
      <c r="C45" s="26" t="n"/>
      <c r="D45" s="27" t="n"/>
      <c r="E45" s="26" t="n"/>
      <c r="F45" s="26" t="n"/>
      <c r="G45" s="28" t="n"/>
      <c r="H45" s="29" t="n"/>
      <c r="I45" s="29" t="n"/>
      <c r="J45" s="26" t="n"/>
      <c r="K45" s="30" t="n"/>
      <c r="L45" s="26" t="n"/>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31" t="n"/>
      <c r="AM45" s="30"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row>
    <row r="46" ht="13" customHeight="1">
      <c r="A46" s="25" t="n"/>
      <c r="B46" s="26" t="n"/>
      <c r="C46" s="26" t="n"/>
      <c r="D46" s="27" t="n"/>
      <c r="E46" s="26" t="n"/>
      <c r="F46" s="26" t="n"/>
      <c r="G46" s="28" t="n"/>
      <c r="H46" s="29" t="n"/>
      <c r="I46" s="29" t="n"/>
      <c r="J46" s="26" t="n"/>
      <c r="K46" s="30" t="n"/>
      <c r="L46" s="26" t="n"/>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31" t="n"/>
      <c r="AM46" s="30"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row>
    <row r="47" ht="13" customHeight="1">
      <c r="A47" s="25" t="n"/>
      <c r="B47" s="26" t="n"/>
      <c r="C47" s="26" t="n"/>
      <c r="D47" s="27" t="n"/>
      <c r="E47" s="26" t="n"/>
      <c r="F47" s="26" t="n"/>
      <c r="G47" s="28" t="n"/>
      <c r="H47" s="29" t="n"/>
      <c r="I47" s="29" t="n"/>
      <c r="J47" s="26" t="n"/>
      <c r="K47" s="30" t="n"/>
      <c r="L47" s="26" t="n"/>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31" t="n"/>
      <c r="AM47" s="30"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row>
    <row r="48" ht="13" customHeight="1">
      <c r="A48" s="25" t="n"/>
      <c r="B48" s="26" t="n"/>
      <c r="C48" s="26" t="n"/>
      <c r="D48" s="27" t="n"/>
      <c r="E48" s="26" t="n"/>
      <c r="F48" s="26" t="n"/>
      <c r="G48" s="28" t="n"/>
      <c r="H48" s="29" t="n"/>
      <c r="I48" s="29" t="n"/>
      <c r="J48" s="26" t="n"/>
      <c r="K48" s="30" t="n"/>
      <c r="L48" s="26" t="n"/>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31" t="n"/>
      <c r="AM48" s="30"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row>
    <row r="49" ht="13" customHeight="1">
      <c r="A49" s="25" t="n"/>
      <c r="B49" s="26" t="n"/>
      <c r="C49" s="26" t="n"/>
      <c r="D49" s="27" t="n"/>
      <c r="E49" s="26" t="n"/>
      <c r="F49" s="26" t="n"/>
      <c r="G49" s="28" t="n"/>
      <c r="H49" s="29" t="n"/>
      <c r="I49" s="29" t="n"/>
      <c r="J49" s="26" t="n"/>
      <c r="K49" s="30" t="n"/>
      <c r="L49" s="26" t="n"/>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31" t="n"/>
      <c r="AM49" s="30"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row>
    <row r="50" ht="13" customHeight="1">
      <c r="A50" s="25" t="n"/>
      <c r="B50" s="26" t="n"/>
      <c r="C50" s="26" t="n"/>
      <c r="D50" s="27" t="n"/>
      <c r="E50" s="26" t="n"/>
      <c r="F50" s="26" t="n"/>
      <c r="G50" s="28" t="n"/>
      <c r="H50" s="29" t="n"/>
      <c r="I50" s="29" t="n"/>
      <c r="J50" s="26" t="n"/>
      <c r="K50" s="30" t="n"/>
      <c r="L50" s="26" t="n"/>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31" t="n"/>
      <c r="AM50" s="30"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row>
    <row r="51" ht="13" customHeight="1">
      <c r="A51" s="25" t="n"/>
      <c r="B51" s="26" t="n"/>
      <c r="C51" s="26" t="n"/>
      <c r="D51" s="27" t="n"/>
      <c r="E51" s="26" t="n"/>
      <c r="F51" s="26" t="n"/>
      <c r="G51" s="28" t="n"/>
      <c r="H51" s="29" t="n"/>
      <c r="I51" s="29" t="n"/>
      <c r="J51" s="26" t="n"/>
      <c r="K51" s="30" t="n"/>
      <c r="L51" s="26" t="n"/>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31" t="n"/>
      <c r="AM51" s="30"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row>
    <row r="52" ht="13" customHeight="1">
      <c r="A52" s="25" t="n"/>
      <c r="B52" s="26" t="n"/>
      <c r="C52" s="26" t="n"/>
      <c r="D52" s="27" t="n"/>
      <c r="E52" s="26" t="n"/>
      <c r="F52" s="26" t="n"/>
      <c r="G52" s="28" t="n"/>
      <c r="H52" s="29" t="n"/>
      <c r="I52" s="29" t="n"/>
      <c r="J52" s="26" t="n"/>
      <c r="K52" s="30" t="n"/>
      <c r="L52" s="26" t="n"/>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31" t="n"/>
      <c r="AM52" s="30"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row>
    <row r="53" ht="13" customHeight="1">
      <c r="A53" s="25" t="n"/>
      <c r="B53" s="26" t="n"/>
      <c r="C53" s="26" t="n"/>
      <c r="D53" s="27" t="n"/>
      <c r="E53" s="26" t="n"/>
      <c r="F53" s="26" t="n"/>
      <c r="G53" s="28" t="n"/>
      <c r="H53" s="29" t="n"/>
      <c r="I53" s="29" t="n"/>
      <c r="J53" s="26" t="n"/>
      <c r="K53" s="30" t="n"/>
      <c r="L53" s="26" t="n"/>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31" t="n"/>
      <c r="AM53" s="30"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row>
    <row r="54" ht="13" customHeight="1">
      <c r="A54" s="25" t="n"/>
      <c r="B54" s="26" t="n"/>
      <c r="C54" s="26" t="n"/>
      <c r="D54" s="27" t="n"/>
      <c r="E54" s="26" t="n"/>
      <c r="F54" s="26" t="n"/>
      <c r="G54" s="28" t="n"/>
      <c r="H54" s="29" t="n"/>
      <c r="I54" s="29" t="n"/>
      <c r="J54" s="26" t="n"/>
      <c r="K54" s="30" t="n"/>
      <c r="L54" s="26" t="n"/>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31" t="n"/>
      <c r="AM54" s="30"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row>
    <row r="55" ht="13" customHeight="1">
      <c r="A55" s="25" t="n"/>
      <c r="B55" s="26" t="n"/>
      <c r="C55" s="26" t="n"/>
      <c r="D55" s="27" t="n"/>
      <c r="E55" s="26" t="n"/>
      <c r="F55" s="26" t="n"/>
      <c r="G55" s="28" t="n"/>
      <c r="H55" s="29" t="n"/>
      <c r="I55" s="29" t="n"/>
      <c r="J55" s="26" t="n"/>
      <c r="K55" s="30" t="n"/>
      <c r="L55" s="26" t="n"/>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31" t="n"/>
      <c r="AM55" s="30"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row>
    <row r="56" ht="13" customHeight="1">
      <c r="A56" s="25" t="n"/>
      <c r="B56" s="26" t="n"/>
      <c r="C56" s="26" t="n"/>
      <c r="D56" s="27" t="n"/>
      <c r="E56" s="26" t="n"/>
      <c r="F56" s="26" t="n"/>
      <c r="G56" s="28" t="n"/>
      <c r="H56" s="29" t="n"/>
      <c r="I56" s="29" t="n"/>
      <c r="J56" s="26" t="n"/>
      <c r="K56" s="30" t="n"/>
      <c r="L56" s="26" t="n"/>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31" t="n"/>
      <c r="AM56" s="30"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row>
    <row r="57" ht="13" customHeight="1">
      <c r="A57" s="25" t="n"/>
      <c r="B57" s="26" t="n"/>
      <c r="C57" s="26" t="n"/>
      <c r="D57" s="27" t="n"/>
      <c r="E57" s="26" t="n"/>
      <c r="F57" s="26" t="n"/>
      <c r="G57" s="28" t="n"/>
      <c r="H57" s="29" t="n"/>
      <c r="I57" s="29" t="n"/>
      <c r="J57" s="26" t="n"/>
      <c r="K57" s="30" t="n"/>
      <c r="L57" s="26" t="n"/>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31" t="n"/>
      <c r="AM57" s="30"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row>
    <row r="58" ht="13" customHeight="1">
      <c r="A58" s="25" t="n"/>
      <c r="B58" s="26" t="n"/>
      <c r="C58" s="26" t="n"/>
      <c r="D58" s="27" t="n"/>
      <c r="E58" s="26" t="n"/>
      <c r="F58" s="26" t="n"/>
      <c r="G58" s="28" t="n"/>
      <c r="H58" s="29" t="n"/>
      <c r="I58" s="29" t="n"/>
      <c r="J58" s="26" t="n"/>
      <c r="K58" s="30" t="n"/>
      <c r="L58" s="26" t="n"/>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31" t="n"/>
      <c r="AM58" s="30"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row>
    <row r="59" ht="13" customHeight="1">
      <c r="A59" s="25" t="n"/>
      <c r="B59" s="26" t="n"/>
      <c r="C59" s="26" t="n"/>
      <c r="D59" s="27" t="n"/>
      <c r="E59" s="26" t="n"/>
      <c r="F59" s="26" t="n"/>
      <c r="G59" s="28" t="n"/>
      <c r="H59" s="29" t="n"/>
      <c r="I59" s="29" t="n"/>
      <c r="J59" s="26" t="n"/>
      <c r="K59" s="30" t="n"/>
      <c r="L59" s="26" t="n"/>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31" t="n"/>
      <c r="AM59" s="30"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row>
    <row r="60" ht="13" customHeight="1">
      <c r="A60" s="25" t="n"/>
      <c r="B60" s="26" t="n"/>
      <c r="C60" s="26" t="n"/>
      <c r="D60" s="27" t="n"/>
      <c r="E60" s="26" t="n"/>
      <c r="F60" s="26" t="n"/>
      <c r="G60" s="28" t="n"/>
      <c r="H60" s="29" t="n"/>
      <c r="I60" s="29" t="n"/>
      <c r="J60" s="26" t="n"/>
      <c r="K60" s="30" t="n"/>
      <c r="L60" s="26" t="n"/>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31" t="n"/>
      <c r="AM60" s="30"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row>
    <row r="61" ht="13" customHeight="1">
      <c r="A61" s="25" t="n"/>
      <c r="B61" s="26" t="n"/>
      <c r="C61" s="26" t="n"/>
      <c r="D61" s="27" t="n"/>
      <c r="E61" s="26" t="n"/>
      <c r="F61" s="26" t="n"/>
      <c r="G61" s="28" t="n"/>
      <c r="H61" s="29" t="n"/>
      <c r="I61" s="29" t="n"/>
      <c r="J61" s="26" t="n"/>
      <c r="K61" s="30" t="n"/>
      <c r="L61" s="26" t="n"/>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31" t="n"/>
      <c r="AM61" s="30"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row>
    <row r="62" ht="13" customHeight="1">
      <c r="A62" s="25" t="n"/>
      <c r="B62" s="26" t="n"/>
      <c r="C62" s="26" t="n"/>
      <c r="D62" s="27" t="n"/>
      <c r="E62" s="26" t="n"/>
      <c r="F62" s="26" t="n"/>
      <c r="G62" s="28" t="n"/>
      <c r="H62" s="29" t="n"/>
      <c r="I62" s="29" t="n"/>
      <c r="J62" s="26" t="n"/>
      <c r="K62" s="30" t="n"/>
      <c r="L62" s="26" t="n"/>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31" t="n"/>
      <c r="AM62" s="30"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row>
    <row r="63" ht="13" customHeight="1">
      <c r="A63" s="25" t="n"/>
      <c r="B63" s="26" t="n"/>
      <c r="C63" s="26" t="n"/>
      <c r="D63" s="27" t="n"/>
      <c r="E63" s="26" t="n"/>
      <c r="F63" s="26" t="n"/>
      <c r="G63" s="28" t="n"/>
      <c r="H63" s="29" t="n"/>
      <c r="I63" s="29" t="n"/>
      <c r="J63" s="26" t="n"/>
      <c r="K63" s="30" t="n"/>
      <c r="L63" s="26" t="n"/>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31" t="n"/>
      <c r="AM63" s="30"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row>
    <row r="64" ht="13" customHeight="1">
      <c r="A64" s="25" t="n"/>
      <c r="B64" s="26" t="n"/>
      <c r="C64" s="26" t="n"/>
      <c r="D64" s="27" t="n"/>
      <c r="E64" s="26" t="n"/>
      <c r="F64" s="26" t="n"/>
      <c r="G64" s="28" t="n"/>
      <c r="H64" s="29" t="n"/>
      <c r="I64" s="29" t="n"/>
      <c r="J64" s="26" t="n"/>
      <c r="K64" s="30" t="n"/>
      <c r="L64" s="26" t="n"/>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31" t="n"/>
      <c r="AM64" s="30"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row>
    <row r="65" ht="13" customHeight="1">
      <c r="A65" s="25" t="n"/>
      <c r="B65" s="26" t="n"/>
      <c r="C65" s="26" t="n"/>
      <c r="D65" s="27" t="n"/>
      <c r="E65" s="26" t="n"/>
      <c r="F65" s="26" t="n"/>
      <c r="G65" s="28" t="n"/>
      <c r="H65" s="29" t="n"/>
      <c r="I65" s="29" t="n"/>
      <c r="J65" s="26" t="n"/>
      <c r="K65" s="30" t="n"/>
      <c r="L65" s="26" t="n"/>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31" t="n"/>
      <c r="AM65" s="30"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row>
    <row r="66" ht="13" customHeight="1">
      <c r="A66" s="25" t="n"/>
      <c r="B66" s="26" t="n"/>
      <c r="C66" s="26" t="n"/>
      <c r="D66" s="27" t="n"/>
      <c r="E66" s="26" t="n"/>
      <c r="F66" s="26" t="n"/>
      <c r="G66" s="28" t="n"/>
      <c r="H66" s="29" t="n"/>
      <c r="I66" s="29" t="n"/>
      <c r="J66" s="26" t="n"/>
      <c r="K66" s="30" t="n"/>
      <c r="L66" s="26" t="n"/>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31" t="n"/>
      <c r="AM66" s="30"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row>
    <row r="67" ht="13" customHeight="1">
      <c r="A67" s="25" t="n"/>
      <c r="B67" s="26" t="n"/>
      <c r="C67" s="26" t="n"/>
      <c r="D67" s="27" t="n"/>
      <c r="E67" s="26" t="n"/>
      <c r="F67" s="26" t="n"/>
      <c r="G67" s="28" t="n"/>
      <c r="H67" s="29" t="n"/>
      <c r="I67" s="29" t="n"/>
      <c r="J67" s="26" t="n"/>
      <c r="K67" s="30" t="n"/>
      <c r="L67" s="26" t="n"/>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31" t="n"/>
      <c r="AM67" s="30"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row>
    <row r="68" ht="13" customHeight="1">
      <c r="A68" s="25" t="n"/>
      <c r="B68" s="26" t="n"/>
      <c r="C68" s="26" t="n"/>
      <c r="D68" s="27" t="n"/>
      <c r="E68" s="26" t="n"/>
      <c r="F68" s="26" t="n"/>
      <c r="G68" s="28" t="n"/>
      <c r="H68" s="29" t="n"/>
      <c r="I68" s="29" t="n"/>
      <c r="J68" s="26" t="n"/>
      <c r="K68" s="30" t="n"/>
      <c r="L68" s="26" t="n"/>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31" t="n"/>
      <c r="AM68" s="30"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row>
    <row r="69" ht="13" customHeight="1">
      <c r="A69" s="25" t="n"/>
      <c r="B69" s="26" t="n"/>
      <c r="C69" s="26" t="n"/>
      <c r="D69" s="27" t="n"/>
      <c r="E69" s="26" t="n"/>
      <c r="F69" s="26" t="n"/>
      <c r="G69" s="28" t="n"/>
      <c r="H69" s="29" t="n"/>
      <c r="I69" s="29" t="n"/>
      <c r="J69" s="26" t="n"/>
      <c r="K69" s="30" t="n"/>
      <c r="L69" s="26" t="n"/>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31" t="n"/>
      <c r="AM69" s="30"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row>
    <row r="70" ht="13" customHeight="1">
      <c r="A70" s="25" t="n"/>
      <c r="B70" s="26" t="n"/>
      <c r="C70" s="26" t="n"/>
      <c r="D70" s="27" t="n"/>
      <c r="E70" s="26" t="n"/>
      <c r="F70" s="26" t="n"/>
      <c r="G70" s="28" t="n"/>
      <c r="H70" s="29" t="n"/>
      <c r="I70" s="29" t="n"/>
      <c r="J70" s="26" t="n"/>
      <c r="K70" s="30" t="n"/>
      <c r="L70" s="26" t="n"/>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31" t="n"/>
      <c r="AM70" s="30"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row>
    <row r="71" ht="13" customHeight="1">
      <c r="A71" s="25" t="n"/>
      <c r="B71" s="26" t="n"/>
      <c r="C71" s="26" t="n"/>
      <c r="D71" s="27" t="n"/>
      <c r="E71" s="26" t="n"/>
      <c r="F71" s="26" t="n"/>
      <c r="G71" s="28" t="n"/>
      <c r="H71" s="29" t="n"/>
      <c r="I71" s="29" t="n"/>
      <c r="J71" s="26" t="n"/>
      <c r="K71" s="30" t="n"/>
      <c r="L71" s="26" t="n"/>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31" t="n"/>
      <c r="AM71" s="30"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row>
    <row r="72" ht="13" customHeight="1">
      <c r="A72" s="25" t="n"/>
      <c r="B72" s="26" t="n"/>
      <c r="C72" s="26" t="n"/>
      <c r="D72" s="27" t="n"/>
      <c r="E72" s="26" t="n"/>
      <c r="F72" s="26" t="n"/>
      <c r="G72" s="28" t="n"/>
      <c r="H72" s="29" t="n"/>
      <c r="I72" s="29" t="n"/>
      <c r="J72" s="26" t="n"/>
      <c r="K72" s="30" t="n"/>
      <c r="L72" s="26" t="n"/>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31" t="n"/>
      <c r="AM72" s="30"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row>
    <row r="73" ht="13" customHeight="1">
      <c r="A73" s="25" t="n"/>
      <c r="B73" s="26" t="n"/>
      <c r="C73" s="26" t="n"/>
      <c r="D73" s="27" t="n"/>
      <c r="E73" s="26" t="n"/>
      <c r="F73" s="26" t="n"/>
      <c r="G73" s="28" t="n"/>
      <c r="H73" s="29" t="n"/>
      <c r="I73" s="29" t="n"/>
      <c r="J73" s="26" t="n"/>
      <c r="K73" s="30" t="n"/>
      <c r="L73" s="26" t="n"/>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31" t="n"/>
      <c r="AM73" s="30"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row>
    <row r="74" ht="13" customHeight="1">
      <c r="A74" s="25" t="n"/>
      <c r="B74" s="26" t="n"/>
      <c r="C74" s="26" t="n"/>
      <c r="D74" s="27" t="n"/>
      <c r="E74" s="26" t="n"/>
      <c r="F74" s="26" t="n"/>
      <c r="G74" s="28" t="n"/>
      <c r="H74" s="29" t="n"/>
      <c r="I74" s="29" t="n"/>
      <c r="J74" s="26" t="n"/>
      <c r="K74" s="30" t="n"/>
      <c r="L74" s="26" t="n"/>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31" t="n"/>
      <c r="AM74" s="30"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row>
    <row r="75" ht="13" customHeight="1">
      <c r="A75" s="25" t="n"/>
      <c r="B75" s="26" t="n"/>
      <c r="C75" s="26" t="n"/>
      <c r="D75" s="27" t="n"/>
      <c r="E75" s="26" t="n"/>
      <c r="F75" s="26" t="n"/>
      <c r="G75" s="28" t="n"/>
      <c r="H75" s="29" t="n"/>
      <c r="I75" s="29" t="n"/>
      <c r="J75" s="26" t="n"/>
      <c r="K75" s="30" t="n"/>
      <c r="L75" s="26" t="n"/>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31" t="n"/>
      <c r="AM75" s="30"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row>
    <row r="76" ht="13" customHeight="1">
      <c r="A76" s="25" t="n"/>
      <c r="B76" s="26" t="n"/>
      <c r="C76" s="26" t="n"/>
      <c r="D76" s="27" t="n"/>
      <c r="E76" s="26" t="n"/>
      <c r="F76" s="26" t="n"/>
      <c r="G76" s="28" t="n"/>
      <c r="H76" s="29" t="n"/>
      <c r="I76" s="29" t="n"/>
      <c r="J76" s="26" t="n"/>
      <c r="K76" s="30" t="n"/>
      <c r="L76" s="26" t="n"/>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31" t="n"/>
      <c r="AM76" s="30"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row>
    <row r="77" ht="13" customHeight="1">
      <c r="A77" s="25" t="n"/>
      <c r="B77" s="26" t="n"/>
      <c r="C77" s="26" t="n"/>
      <c r="D77" s="27" t="n"/>
      <c r="E77" s="26" t="n"/>
      <c r="F77" s="26" t="n"/>
      <c r="G77" s="28" t="n"/>
      <c r="H77" s="29" t="n"/>
      <c r="I77" s="29" t="n"/>
      <c r="J77" s="26" t="n"/>
      <c r="K77" s="30" t="n"/>
      <c r="L77" s="26" t="n"/>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31" t="n"/>
      <c r="AM77" s="30"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row>
    <row r="78" ht="13" customHeight="1">
      <c r="A78" s="25" t="n"/>
      <c r="B78" s="26" t="n"/>
      <c r="C78" s="26" t="n"/>
      <c r="D78" s="27" t="n"/>
      <c r="E78" s="26" t="n"/>
      <c r="F78" s="26" t="n"/>
      <c r="G78" s="28" t="n"/>
      <c r="H78" s="29" t="n"/>
      <c r="I78" s="29" t="n"/>
      <c r="J78" s="26" t="n"/>
      <c r="K78" s="30" t="n"/>
      <c r="L78" s="26" t="n"/>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31" t="n"/>
      <c r="AM78" s="30"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row>
    <row r="79" ht="13" customHeight="1">
      <c r="A79" s="25" t="n"/>
      <c r="B79" s="26" t="n"/>
      <c r="C79" s="26" t="n"/>
      <c r="D79" s="27" t="n"/>
      <c r="E79" s="26" t="n"/>
      <c r="F79" s="26" t="n"/>
      <c r="G79" s="28" t="n"/>
      <c r="H79" s="29" t="n"/>
      <c r="I79" s="29" t="n"/>
      <c r="J79" s="26" t="n"/>
      <c r="K79" s="30" t="n"/>
      <c r="L79" s="26" t="n"/>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31" t="n"/>
      <c r="AM79" s="30"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row>
    <row r="80" ht="13" customHeight="1">
      <c r="A80" s="25" t="n"/>
      <c r="B80" s="26" t="n"/>
      <c r="C80" s="26" t="n"/>
      <c r="D80" s="27" t="n"/>
      <c r="E80" s="26" t="n"/>
      <c r="F80" s="26" t="n"/>
      <c r="G80" s="28" t="n"/>
      <c r="H80" s="29" t="n"/>
      <c r="I80" s="29" t="n"/>
      <c r="J80" s="26" t="n"/>
      <c r="K80" s="30" t="n"/>
      <c r="L80" s="26" t="n"/>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31" t="n"/>
      <c r="AM80" s="30"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row>
    <row r="81" ht="13" customHeight="1">
      <c r="A81" s="25" t="n"/>
      <c r="B81" s="26" t="n"/>
      <c r="C81" s="26" t="n"/>
      <c r="D81" s="27" t="n"/>
      <c r="E81" s="26" t="n"/>
      <c r="F81" s="26" t="n"/>
      <c r="G81" s="28" t="n"/>
      <c r="H81" s="29" t="n"/>
      <c r="I81" s="29" t="n"/>
      <c r="J81" s="26" t="n"/>
      <c r="K81" s="30" t="n"/>
      <c r="L81" s="26" t="n"/>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31" t="n"/>
      <c r="AM81" s="30"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row>
    <row r="82" ht="13" customHeight="1">
      <c r="A82" s="25" t="n"/>
      <c r="B82" s="26" t="n"/>
      <c r="C82" s="26" t="n"/>
      <c r="D82" s="27" t="n"/>
      <c r="E82" s="26" t="n"/>
      <c r="F82" s="26" t="n"/>
      <c r="G82" s="28" t="n"/>
      <c r="H82" s="29" t="n"/>
      <c r="I82" s="29" t="n"/>
      <c r="J82" s="26" t="n"/>
      <c r="K82" s="30" t="n"/>
      <c r="L82" s="26" t="n"/>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31" t="n"/>
      <c r="AM82" s="30"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row>
    <row r="83" ht="13" customHeight="1">
      <c r="A83" s="25" t="n"/>
      <c r="B83" s="26" t="n"/>
      <c r="C83" s="26" t="n"/>
      <c r="D83" s="27" t="n"/>
      <c r="E83" s="26" t="n"/>
      <c r="F83" s="26" t="n"/>
      <c r="G83" s="28" t="n"/>
      <c r="H83" s="29" t="n"/>
      <c r="I83" s="29" t="n"/>
      <c r="J83" s="26" t="n"/>
      <c r="K83" s="30" t="n"/>
      <c r="L83" s="26" t="n"/>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31" t="n"/>
      <c r="AM83" s="30"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row>
    <row r="84" ht="13" customHeight="1">
      <c r="A84" s="25" t="n"/>
      <c r="B84" s="26" t="n"/>
      <c r="C84" s="26" t="n"/>
      <c r="D84" s="27" t="n"/>
      <c r="E84" s="26" t="n"/>
      <c r="F84" s="26" t="n"/>
      <c r="G84" s="28" t="n"/>
      <c r="H84" s="29" t="n"/>
      <c r="I84" s="29" t="n"/>
      <c r="J84" s="26" t="n"/>
      <c r="K84" s="30" t="n"/>
      <c r="L84" s="26" t="n"/>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31" t="n"/>
      <c r="AM84" s="30"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row>
    <row r="85" ht="13" customHeight="1">
      <c r="A85" s="25" t="n"/>
      <c r="B85" s="26" t="n"/>
      <c r="C85" s="26" t="n"/>
      <c r="D85" s="27" t="n"/>
      <c r="E85" s="26" t="n"/>
      <c r="F85" s="26" t="n"/>
      <c r="G85" s="28" t="n"/>
      <c r="H85" s="29" t="n"/>
      <c r="I85" s="29" t="n"/>
      <c r="J85" s="26" t="n"/>
      <c r="K85" s="30" t="n"/>
      <c r="L85" s="26" t="n"/>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31" t="n"/>
      <c r="AM85" s="30"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row>
    <row r="86" ht="13" customHeight="1">
      <c r="A86" s="25" t="n"/>
      <c r="B86" s="26" t="n"/>
      <c r="C86" s="26" t="n"/>
      <c r="D86" s="27" t="n"/>
      <c r="E86" s="26" t="n"/>
      <c r="F86" s="26" t="n"/>
      <c r="G86" s="28" t="n"/>
      <c r="H86" s="29" t="n"/>
      <c r="I86" s="29" t="n"/>
      <c r="J86" s="26" t="n"/>
      <c r="K86" s="30" t="n"/>
      <c r="L86" s="26" t="n"/>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31" t="n"/>
      <c r="AM86" s="30"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row>
    <row r="87" ht="13" customHeight="1">
      <c r="A87" s="25" t="n"/>
      <c r="B87" s="26" t="n"/>
      <c r="C87" s="26" t="n"/>
      <c r="D87" s="27" t="n"/>
      <c r="E87" s="26" t="n"/>
      <c r="F87" s="26" t="n"/>
      <c r="G87" s="28" t="n"/>
      <c r="H87" s="29" t="n"/>
      <c r="I87" s="29" t="n"/>
      <c r="J87" s="26" t="n"/>
      <c r="K87" s="30" t="n"/>
      <c r="L87" s="26" t="n"/>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31" t="n"/>
      <c r="AM87" s="30"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row>
    <row r="88" ht="13" customHeight="1">
      <c r="A88" s="25" t="n"/>
      <c r="B88" s="26" t="n"/>
      <c r="C88" s="26" t="n"/>
      <c r="D88" s="27" t="n"/>
      <c r="E88" s="26" t="n"/>
      <c r="F88" s="26" t="n"/>
      <c r="G88" s="28" t="n"/>
      <c r="H88" s="29" t="n"/>
      <c r="I88" s="29" t="n"/>
      <c r="J88" s="26" t="n"/>
      <c r="K88" s="30" t="n"/>
      <c r="L88" s="26" t="n"/>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31" t="n"/>
      <c r="AM88" s="30"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row>
    <row r="89" ht="13" customHeight="1">
      <c r="A89" s="25" t="n"/>
      <c r="B89" s="26" t="n"/>
      <c r="C89" s="26" t="n"/>
      <c r="D89" s="27" t="n"/>
      <c r="E89" s="26" t="n"/>
      <c r="F89" s="26" t="n"/>
      <c r="G89" s="28" t="n"/>
      <c r="H89" s="29" t="n"/>
      <c r="I89" s="29" t="n"/>
      <c r="J89" s="26" t="n"/>
      <c r="K89" s="30" t="n"/>
      <c r="L89" s="26" t="n"/>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31" t="n"/>
      <c r="AM89" s="30"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row>
    <row r="90" ht="13" customHeight="1">
      <c r="A90" s="25" t="n"/>
      <c r="B90" s="26" t="n"/>
      <c r="C90" s="26" t="n"/>
      <c r="D90" s="27" t="n"/>
      <c r="E90" s="26" t="n"/>
      <c r="F90" s="26" t="n"/>
      <c r="G90" s="28" t="n"/>
      <c r="H90" s="29" t="n"/>
      <c r="I90" s="29" t="n"/>
      <c r="J90" s="26" t="n"/>
      <c r="K90" s="30" t="n"/>
      <c r="L90" s="26" t="n"/>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31" t="n"/>
      <c r="AM90" s="30"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row>
    <row r="91" ht="13" customHeight="1">
      <c r="A91" s="25" t="n"/>
      <c r="B91" s="26" t="n"/>
      <c r="C91" s="26" t="n"/>
      <c r="D91" s="27" t="n"/>
      <c r="E91" s="26" t="n"/>
      <c r="F91" s="26" t="n"/>
      <c r="G91" s="28" t="n"/>
      <c r="H91" s="29" t="n"/>
      <c r="I91" s="29" t="n"/>
      <c r="J91" s="26" t="n"/>
      <c r="K91" s="30" t="n"/>
      <c r="L91" s="26" t="n"/>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31" t="n"/>
      <c r="AM91" s="30"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row>
    <row r="92" ht="13" customHeight="1">
      <c r="A92" s="25" t="n"/>
      <c r="B92" s="26" t="n"/>
      <c r="C92" s="26" t="n"/>
      <c r="D92" s="27" t="n"/>
      <c r="E92" s="26" t="n"/>
      <c r="F92" s="26" t="n"/>
      <c r="G92" s="28" t="n"/>
      <c r="H92" s="29" t="n"/>
      <c r="I92" s="29" t="n"/>
      <c r="J92" s="26" t="n"/>
      <c r="K92" s="30" t="n"/>
      <c r="L92" s="26" t="n"/>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31" t="n"/>
      <c r="AM92" s="30"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row>
    <row r="93" ht="13" customHeight="1">
      <c r="A93" s="25" t="n"/>
      <c r="B93" s="26" t="n"/>
      <c r="C93" s="26" t="n"/>
      <c r="D93" s="27" t="n"/>
      <c r="E93" s="26" t="n"/>
      <c r="F93" s="26" t="n"/>
      <c r="G93" s="28" t="n"/>
      <c r="H93" s="29" t="n"/>
      <c r="I93" s="29" t="n"/>
      <c r="J93" s="26" t="n"/>
      <c r="K93" s="30" t="n"/>
      <c r="L93" s="26" t="n"/>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31" t="n"/>
      <c r="AM93" s="30"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row>
    <row r="94" ht="13" customHeight="1">
      <c r="A94" s="25" t="n"/>
      <c r="B94" s="26" t="n"/>
      <c r="C94" s="26" t="n"/>
      <c r="D94" s="27" t="n"/>
      <c r="E94" s="26" t="n"/>
      <c r="F94" s="26" t="n"/>
      <c r="G94" s="28" t="n"/>
      <c r="H94" s="29" t="n"/>
      <c r="I94" s="29" t="n"/>
      <c r="J94" s="26" t="n"/>
      <c r="K94" s="30" t="n"/>
      <c r="L94" s="26" t="n"/>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31" t="n"/>
      <c r="AM94" s="30"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row>
    <row r="95" ht="13" customHeight="1">
      <c r="A95" s="25" t="n"/>
      <c r="B95" s="26" t="n"/>
      <c r="C95" s="26" t="n"/>
      <c r="D95" s="27" t="n"/>
      <c r="E95" s="26" t="n"/>
      <c r="F95" s="26" t="n"/>
      <c r="G95" s="28" t="n"/>
      <c r="H95" s="29" t="n"/>
      <c r="I95" s="29" t="n"/>
      <c r="J95" s="26" t="n"/>
      <c r="K95" s="30" t="n"/>
      <c r="L95" s="26" t="n"/>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31" t="n"/>
      <c r="AM95" s="30"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row>
    <row r="96" ht="13" customHeight="1">
      <c r="A96" s="25" t="n"/>
      <c r="B96" s="26" t="n"/>
      <c r="C96" s="26" t="n"/>
      <c r="D96" s="27" t="n"/>
      <c r="E96" s="26" t="n"/>
      <c r="F96" s="26" t="n"/>
      <c r="G96" s="28" t="n"/>
      <c r="H96" s="29" t="n"/>
      <c r="I96" s="29" t="n"/>
      <c r="J96" s="26" t="n"/>
      <c r="K96" s="30" t="n"/>
      <c r="L96" s="26" t="n"/>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31" t="n"/>
      <c r="AM96" s="30"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row>
    <row r="97" ht="13" customHeight="1">
      <c r="A97" s="25" t="n"/>
      <c r="B97" s="26" t="n"/>
      <c r="C97" s="26" t="n"/>
      <c r="D97" s="27" t="n"/>
      <c r="E97" s="26" t="n"/>
      <c r="F97" s="26" t="n"/>
      <c r="G97" s="28" t="n"/>
      <c r="H97" s="29" t="n"/>
      <c r="I97" s="29" t="n"/>
      <c r="J97" s="26" t="n"/>
      <c r="K97" s="30" t="n"/>
      <c r="L97" s="26" t="n"/>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31" t="n"/>
      <c r="AM97" s="30"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row>
    <row r="98" ht="13" customHeight="1">
      <c r="A98" s="25" t="n"/>
      <c r="B98" s="26" t="n"/>
      <c r="C98" s="26" t="n"/>
      <c r="D98" s="27" t="n"/>
      <c r="E98" s="26" t="n"/>
      <c r="F98" s="26" t="n"/>
      <c r="G98" s="28" t="n"/>
      <c r="H98" s="29" t="n"/>
      <c r="I98" s="29" t="n"/>
      <c r="J98" s="26" t="n"/>
      <c r="K98" s="30" t="n"/>
      <c r="L98" s="26" t="n"/>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31" t="n"/>
      <c r="AM98" s="30"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row>
    <row r="99" ht="13" customHeight="1">
      <c r="A99" s="25" t="n"/>
      <c r="B99" s="26" t="n"/>
      <c r="C99" s="26" t="n"/>
      <c r="D99" s="27" t="n"/>
      <c r="E99" s="26" t="n"/>
      <c r="F99" s="26" t="n"/>
      <c r="G99" s="28" t="n"/>
      <c r="H99" s="29" t="n"/>
      <c r="I99" s="29" t="n"/>
      <c r="J99" s="26" t="n"/>
      <c r="K99" s="30" t="n"/>
      <c r="L99" s="26" t="n"/>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31" t="n"/>
      <c r="AM99" s="30"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row>
    <row r="100" ht="13" customHeight="1">
      <c r="A100" s="25" t="n"/>
      <c r="B100" s="26" t="n"/>
      <c r="C100" s="26" t="n"/>
      <c r="D100" s="27" t="n"/>
      <c r="E100" s="26" t="n"/>
      <c r="F100" s="26" t="n"/>
      <c r="G100" s="28" t="n"/>
      <c r="H100" s="29" t="n"/>
      <c r="I100" s="29" t="n"/>
      <c r="J100" s="26" t="n"/>
      <c r="K100" s="30" t="n"/>
      <c r="L100" s="26" t="n"/>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31" t="n"/>
      <c r="AM100" s="30"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row>
    <row r="101" ht="13" customHeight="1">
      <c r="A101" s="25" t="n"/>
      <c r="B101" s="26" t="n"/>
      <c r="C101" s="26" t="n"/>
      <c r="D101" s="27" t="n"/>
      <c r="E101" s="26" t="n"/>
      <c r="F101" s="26" t="n"/>
      <c r="G101" s="28" t="n"/>
      <c r="H101" s="29" t="n"/>
      <c r="I101" s="29" t="n"/>
      <c r="J101" s="26" t="n"/>
      <c r="K101" s="30" t="n"/>
      <c r="L101" s="26" t="n"/>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31" t="n"/>
      <c r="AM101" s="30"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row>
    <row r="102" ht="13" customHeight="1">
      <c r="A102" s="25" t="n"/>
      <c r="B102" s="26" t="n"/>
      <c r="C102" s="26" t="n"/>
      <c r="D102" s="27" t="n"/>
      <c r="E102" s="26" t="n"/>
      <c r="F102" s="26" t="n"/>
      <c r="G102" s="28" t="n"/>
      <c r="H102" s="29" t="n"/>
      <c r="I102" s="29" t="n"/>
      <c r="J102" s="26" t="n"/>
      <c r="K102" s="30" t="n"/>
      <c r="L102" s="26" t="n"/>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31" t="n"/>
      <c r="AM102" s="30"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row>
    <row r="103" ht="13" customHeight="1">
      <c r="A103" s="25" t="n"/>
      <c r="B103" s="26" t="n"/>
      <c r="C103" s="26" t="n"/>
      <c r="D103" s="27" t="n"/>
      <c r="E103" s="26" t="n"/>
      <c r="F103" s="26" t="n"/>
      <c r="G103" s="28" t="n"/>
      <c r="H103" s="29" t="n"/>
      <c r="I103" s="29" t="n"/>
      <c r="J103" s="26" t="n"/>
      <c r="K103" s="30" t="n"/>
      <c r="L103" s="26" t="n"/>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31" t="n"/>
      <c r="AM103" s="30"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row>
    <row r="104" ht="13" customHeight="1">
      <c r="A104" s="25" t="n"/>
      <c r="B104" s="26" t="n"/>
      <c r="C104" s="26" t="n"/>
      <c r="D104" s="27" t="n"/>
      <c r="E104" s="26" t="n"/>
      <c r="F104" s="26" t="n"/>
      <c r="G104" s="28" t="n"/>
      <c r="H104" s="29" t="n"/>
      <c r="I104" s="29" t="n"/>
      <c r="J104" s="26" t="n"/>
      <c r="K104" s="30" t="n"/>
      <c r="L104" s="26" t="n"/>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31" t="n"/>
      <c r="AM104" s="30"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row>
    <row r="105" ht="13" customHeight="1">
      <c r="A105" s="25" t="n"/>
      <c r="B105" s="26" t="n"/>
      <c r="C105" s="26" t="n"/>
      <c r="D105" s="27" t="n"/>
      <c r="E105" s="26" t="n"/>
      <c r="F105" s="26" t="n"/>
      <c r="G105" s="28" t="n"/>
      <c r="H105" s="29" t="n"/>
      <c r="I105" s="29" t="n"/>
      <c r="J105" s="26" t="n"/>
      <c r="K105" s="30" t="n"/>
      <c r="L105" s="26" t="n"/>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31" t="n"/>
      <c r="AM105" s="30"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row>
    <row r="106" ht="13" customHeight="1">
      <c r="A106" s="25" t="n"/>
      <c r="B106" s="26" t="n"/>
      <c r="C106" s="26" t="n"/>
      <c r="D106" s="27" t="n"/>
      <c r="E106" s="26" t="n"/>
      <c r="F106" s="26" t="n"/>
      <c r="G106" s="28" t="n"/>
      <c r="H106" s="29" t="n"/>
      <c r="I106" s="29" t="n"/>
      <c r="J106" s="26" t="n"/>
      <c r="K106" s="30" t="n"/>
      <c r="L106" s="26" t="n"/>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31" t="n"/>
      <c r="AM106" s="30"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row>
    <row r="107" ht="13" customHeight="1">
      <c r="A107" s="25" t="n"/>
      <c r="B107" s="26" t="n"/>
      <c r="C107" s="26" t="n"/>
      <c r="D107" s="27" t="n"/>
      <c r="E107" s="26" t="n"/>
      <c r="F107" s="26" t="n"/>
      <c r="G107" s="28" t="n"/>
      <c r="H107" s="29" t="n"/>
      <c r="I107" s="29" t="n"/>
      <c r="J107" s="26" t="n"/>
      <c r="K107" s="30" t="n"/>
      <c r="L107" s="26" t="n"/>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31" t="n"/>
      <c r="AM107" s="30"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row>
    <row r="108" ht="13" customHeight="1">
      <c r="A108" s="25" t="n"/>
      <c r="B108" s="26" t="n"/>
      <c r="C108" s="26" t="n"/>
      <c r="D108" s="27" t="n"/>
      <c r="E108" s="26" t="n"/>
      <c r="F108" s="26" t="n"/>
      <c r="G108" s="28" t="n"/>
      <c r="H108" s="29" t="n"/>
      <c r="I108" s="29" t="n"/>
      <c r="J108" s="26" t="n"/>
      <c r="K108" s="30" t="n"/>
      <c r="L108" s="26" t="n"/>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31" t="n"/>
      <c r="AM108" s="30"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row>
    <row r="109" ht="13" customHeight="1">
      <c r="A109" s="25" t="n"/>
      <c r="B109" s="26" t="n"/>
      <c r="C109" s="26" t="n"/>
      <c r="D109" s="27" t="n"/>
      <c r="E109" s="26" t="n"/>
      <c r="F109" s="26" t="n"/>
      <c r="G109" s="28" t="n"/>
      <c r="H109" s="29" t="n"/>
      <c r="I109" s="29" t="n"/>
      <c r="J109" s="26" t="n"/>
      <c r="K109" s="30" t="n"/>
      <c r="L109" s="26" t="n"/>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31" t="n"/>
      <c r="AM109" s="30"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row>
    <row r="110" ht="13" customHeight="1">
      <c r="A110" s="25" t="n"/>
      <c r="B110" s="26" t="n"/>
      <c r="C110" s="26" t="n"/>
      <c r="D110" s="27" t="n"/>
      <c r="E110" s="26" t="n"/>
      <c r="F110" s="26" t="n"/>
      <c r="G110" s="28" t="n"/>
      <c r="H110" s="29" t="n"/>
      <c r="I110" s="29" t="n"/>
      <c r="J110" s="26" t="n"/>
      <c r="K110" s="30" t="n"/>
      <c r="L110" s="26" t="n"/>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31" t="n"/>
      <c r="AM110" s="30"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row>
    <row r="111" ht="13" customHeight="1">
      <c r="A111" s="25" t="n"/>
      <c r="B111" s="26" t="n"/>
      <c r="C111" s="26" t="n"/>
      <c r="D111" s="27" t="n"/>
      <c r="E111" s="26" t="n"/>
      <c r="F111" s="26" t="n"/>
      <c r="G111" s="28" t="n"/>
      <c r="H111" s="29" t="n"/>
      <c r="I111" s="29" t="n"/>
      <c r="J111" s="26" t="n"/>
      <c r="K111" s="30" t="n"/>
      <c r="L111" s="26" t="n"/>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31" t="n"/>
      <c r="AM111" s="30"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row>
    <row r="112" ht="13" customHeight="1">
      <c r="A112" s="25" t="n"/>
      <c r="B112" s="26" t="n"/>
      <c r="C112" s="26" t="n"/>
      <c r="D112" s="27" t="n"/>
      <c r="E112" s="26" t="n"/>
      <c r="F112" s="26" t="n"/>
      <c r="G112" s="28" t="n"/>
      <c r="H112" s="29" t="n"/>
      <c r="I112" s="29" t="n"/>
      <c r="J112" s="26" t="n"/>
      <c r="K112" s="30" t="n"/>
      <c r="L112" s="26" t="n"/>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31" t="n"/>
      <c r="AM112" s="30"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row>
    <row r="113" ht="13" customHeight="1">
      <c r="A113" s="25" t="n"/>
      <c r="B113" s="26" t="n"/>
      <c r="C113" s="26" t="n"/>
      <c r="D113" s="27" t="n"/>
      <c r="E113" s="26" t="n"/>
      <c r="F113" s="26" t="n"/>
      <c r="G113" s="28" t="n"/>
      <c r="H113" s="29" t="n"/>
      <c r="I113" s="29" t="n"/>
      <c r="J113" s="26" t="n"/>
      <c r="K113" s="30" t="n"/>
      <c r="L113" s="26" t="n"/>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31" t="n"/>
      <c r="AM113" s="30"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row>
    <row r="114" ht="13" customHeight="1">
      <c r="A114" s="25" t="n"/>
      <c r="B114" s="26" t="n"/>
      <c r="C114" s="26" t="n"/>
      <c r="D114" s="27" t="n"/>
      <c r="E114" s="26" t="n"/>
      <c r="F114" s="26" t="n"/>
      <c r="G114" s="28" t="n"/>
      <c r="H114" s="29" t="n"/>
      <c r="I114" s="29" t="n"/>
      <c r="J114" s="26" t="n"/>
      <c r="K114" s="30" t="n"/>
      <c r="L114" s="26" t="n"/>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31" t="n"/>
      <c r="AM114" s="30"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row>
    <row r="115" ht="13" customHeight="1">
      <c r="A115" s="25" t="n"/>
      <c r="B115" s="26" t="n"/>
      <c r="C115" s="26" t="n"/>
      <c r="D115" s="27" t="n"/>
      <c r="E115" s="26" t="n"/>
      <c r="F115" s="26" t="n"/>
      <c r="G115" s="28" t="n"/>
      <c r="H115" s="29" t="n"/>
      <c r="I115" s="29" t="n"/>
      <c r="J115" s="26" t="n"/>
      <c r="K115" s="30" t="n"/>
      <c r="L115" s="26" t="n"/>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31" t="n"/>
      <c r="AM115" s="30"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row>
    <row r="116" ht="13" customHeight="1">
      <c r="A116" s="25" t="n"/>
      <c r="B116" s="26" t="n"/>
      <c r="C116" s="26" t="n"/>
      <c r="D116" s="27" t="n"/>
      <c r="E116" s="26" t="n"/>
      <c r="F116" s="26" t="n"/>
      <c r="G116" s="28" t="n"/>
      <c r="H116" s="29" t="n"/>
      <c r="I116" s="29" t="n"/>
      <c r="J116" s="26" t="n"/>
      <c r="K116" s="30" t="n"/>
      <c r="L116" s="26" t="n"/>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31" t="n"/>
      <c r="AM116" s="30"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row>
    <row r="117" ht="13" customHeight="1">
      <c r="A117" s="25" t="n"/>
      <c r="B117" s="26" t="n"/>
      <c r="C117" s="26" t="n"/>
      <c r="D117" s="27" t="n"/>
      <c r="E117" s="26" t="n"/>
      <c r="F117" s="26" t="n"/>
      <c r="G117" s="28" t="n"/>
      <c r="H117" s="29" t="n"/>
      <c r="I117" s="29" t="n"/>
      <c r="J117" s="26" t="n"/>
      <c r="K117" s="30" t="n"/>
      <c r="L117" s="26" t="n"/>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31" t="n"/>
      <c r="AM117" s="30"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row>
    <row r="118" ht="13" customHeight="1">
      <c r="A118" s="25" t="n"/>
      <c r="B118" s="26" t="n"/>
      <c r="C118" s="26" t="n"/>
      <c r="D118" s="27" t="n"/>
      <c r="E118" s="26" t="n"/>
      <c r="F118" s="26" t="n"/>
      <c r="G118" s="28" t="n"/>
      <c r="H118" s="29" t="n"/>
      <c r="I118" s="29" t="n"/>
      <c r="J118" s="26" t="n"/>
      <c r="K118" s="30" t="n"/>
      <c r="L118" s="26" t="n"/>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31" t="n"/>
      <c r="AM118" s="30"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row>
    <row r="119" ht="13" customHeight="1">
      <c r="A119" s="25" t="n"/>
      <c r="B119" s="26" t="n"/>
      <c r="C119" s="26" t="n"/>
      <c r="D119" s="27" t="n"/>
      <c r="E119" s="26" t="n"/>
      <c r="F119" s="26" t="n"/>
      <c r="G119" s="28" t="n"/>
      <c r="H119" s="29" t="n"/>
      <c r="I119" s="29" t="n"/>
      <c r="J119" s="26" t="n"/>
      <c r="K119" s="30" t="n"/>
      <c r="L119" s="26" t="n"/>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31" t="n"/>
      <c r="AM119" s="30"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row>
    <row r="120" ht="13" customHeight="1">
      <c r="A120" s="25" t="n"/>
      <c r="B120" s="26" t="n"/>
      <c r="C120" s="26" t="n"/>
      <c r="D120" s="27" t="n"/>
      <c r="E120" s="26" t="n"/>
      <c r="F120" s="26" t="n"/>
      <c r="G120" s="28" t="n"/>
      <c r="H120" s="29" t="n"/>
      <c r="I120" s="29" t="n"/>
      <c r="J120" s="26" t="n"/>
      <c r="K120" s="30" t="n"/>
      <c r="L120" s="26" t="n"/>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31" t="n"/>
      <c r="AM120" s="30"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row>
    <row r="121" ht="13" customHeight="1">
      <c r="A121" s="25" t="n"/>
      <c r="B121" s="26" t="n"/>
      <c r="C121" s="26" t="n"/>
      <c r="D121" s="27" t="n"/>
      <c r="E121" s="26" t="n"/>
      <c r="F121" s="26" t="n"/>
      <c r="G121" s="28" t="n"/>
      <c r="H121" s="29" t="n"/>
      <c r="I121" s="29" t="n"/>
      <c r="J121" s="26" t="n"/>
      <c r="K121" s="30" t="n"/>
      <c r="L121" s="26" t="n"/>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31" t="n"/>
      <c r="AM121" s="30"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row>
    <row r="122" ht="13" customHeight="1">
      <c r="A122" s="25" t="n"/>
      <c r="B122" s="26" t="n"/>
      <c r="C122" s="26" t="n"/>
      <c r="D122" s="27" t="n"/>
      <c r="E122" s="26" t="n"/>
      <c r="F122" s="26" t="n"/>
      <c r="G122" s="28" t="n"/>
      <c r="H122" s="29" t="n"/>
      <c r="I122" s="29" t="n"/>
      <c r="J122" s="26" t="n"/>
      <c r="K122" s="30" t="n"/>
      <c r="L122" s="26" t="n"/>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31" t="n"/>
      <c r="AM122" s="30"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row>
    <row r="123" ht="13" customHeight="1">
      <c r="A123" s="25" t="n"/>
      <c r="B123" s="26" t="n"/>
      <c r="C123" s="26" t="n"/>
      <c r="D123" s="27" t="n"/>
      <c r="E123" s="26" t="n"/>
      <c r="F123" s="26" t="n"/>
      <c r="G123" s="28" t="n"/>
      <c r="H123" s="29" t="n"/>
      <c r="I123" s="29" t="n"/>
      <c r="J123" s="26" t="n"/>
      <c r="K123" s="30" t="n"/>
      <c r="L123" s="26" t="n"/>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31" t="n"/>
      <c r="AM123" s="30"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row>
    <row r="124" ht="13" customHeight="1">
      <c r="A124" s="25" t="n"/>
      <c r="B124" s="26" t="n"/>
      <c r="C124" s="26" t="n"/>
      <c r="D124" s="27" t="n"/>
      <c r="E124" s="26" t="n"/>
      <c r="F124" s="26" t="n"/>
      <c r="G124" s="28" t="n"/>
      <c r="H124" s="29" t="n"/>
      <c r="I124" s="29" t="n"/>
      <c r="J124" s="26" t="n"/>
      <c r="K124" s="30" t="n"/>
      <c r="L124" s="26" t="n"/>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31" t="n"/>
      <c r="AM124" s="30"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row>
    <row r="125" ht="13" customHeight="1">
      <c r="A125" s="25" t="n"/>
      <c r="B125" s="26" t="n"/>
      <c r="C125" s="26" t="n"/>
      <c r="D125" s="27" t="n"/>
      <c r="E125" s="26" t="n"/>
      <c r="F125" s="26" t="n"/>
      <c r="G125" s="28" t="n"/>
      <c r="H125" s="29" t="n"/>
      <c r="I125" s="29" t="n"/>
      <c r="J125" s="26" t="n"/>
      <c r="K125" s="30" t="n"/>
      <c r="L125" s="26" t="n"/>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31" t="n"/>
      <c r="AM125" s="30"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row>
    <row r="126" ht="13" customHeight="1">
      <c r="A126" s="25" t="n"/>
      <c r="B126" s="26" t="n"/>
      <c r="C126" s="26" t="n"/>
      <c r="D126" s="27" t="n"/>
      <c r="E126" s="26" t="n"/>
      <c r="F126" s="26" t="n"/>
      <c r="G126" s="28" t="n"/>
      <c r="H126" s="29" t="n"/>
      <c r="I126" s="29" t="n"/>
      <c r="J126" s="26" t="n"/>
      <c r="K126" s="30" t="n"/>
      <c r="L126" s="26" t="n"/>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31" t="n"/>
      <c r="AM126" s="30"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row>
    <row r="127" ht="13" customHeight="1">
      <c r="A127" s="25" t="n"/>
      <c r="B127" s="26" t="n"/>
      <c r="C127" s="26" t="n"/>
      <c r="D127" s="27" t="n"/>
      <c r="E127" s="26" t="n"/>
      <c r="F127" s="26" t="n"/>
      <c r="G127" s="28" t="n"/>
      <c r="H127" s="29" t="n"/>
      <c r="I127" s="29" t="n"/>
      <c r="J127" s="26" t="n"/>
      <c r="K127" s="30" t="n"/>
      <c r="L127" s="26" t="n"/>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31" t="n"/>
      <c r="AM127" s="30"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row>
    <row r="128" ht="13" customHeight="1">
      <c r="A128" s="25" t="n"/>
      <c r="B128" s="26" t="n"/>
      <c r="C128" s="26" t="n"/>
      <c r="D128" s="27" t="n"/>
      <c r="E128" s="26" t="n"/>
      <c r="F128" s="26" t="n"/>
      <c r="G128" s="28" t="n"/>
      <c r="H128" s="29" t="n"/>
      <c r="I128" s="29" t="n"/>
      <c r="J128" s="26" t="n"/>
      <c r="K128" s="30" t="n"/>
      <c r="L128" s="26" t="n"/>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31" t="n"/>
      <c r="AM128" s="30"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row>
    <row r="129" ht="13" customHeight="1">
      <c r="A129" s="25" t="n"/>
      <c r="B129" s="26" t="n"/>
      <c r="C129" s="26" t="n"/>
      <c r="D129" s="27" t="n"/>
      <c r="E129" s="26" t="n"/>
      <c r="F129" s="26" t="n"/>
      <c r="G129" s="28" t="n"/>
      <c r="H129" s="29" t="n"/>
      <c r="I129" s="29" t="n"/>
      <c r="J129" s="26" t="n"/>
      <c r="K129" s="30" t="n"/>
      <c r="L129" s="26" t="n"/>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31" t="n"/>
      <c r="AM129" s="30"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row>
    <row r="130" ht="13" customHeight="1">
      <c r="A130" s="25" t="n"/>
      <c r="B130" s="26" t="n"/>
      <c r="C130" s="26" t="n"/>
      <c r="D130" s="27" t="n"/>
      <c r="E130" s="26" t="n"/>
      <c r="F130" s="26" t="n"/>
      <c r="G130" s="28" t="n"/>
      <c r="H130" s="29" t="n"/>
      <c r="I130" s="29" t="n"/>
      <c r="J130" s="26" t="n"/>
      <c r="K130" s="30" t="n"/>
      <c r="L130" s="26" t="n"/>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31" t="n"/>
      <c r="AM130" s="30"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row>
    <row r="131" ht="13" customHeight="1">
      <c r="A131" s="25" t="n"/>
      <c r="B131" s="26" t="n"/>
      <c r="C131" s="26" t="n"/>
      <c r="D131" s="27" t="n"/>
      <c r="E131" s="26" t="n"/>
      <c r="F131" s="26" t="n"/>
      <c r="G131" s="28" t="n"/>
      <c r="H131" s="29" t="n"/>
      <c r="I131" s="29" t="n"/>
      <c r="J131" s="26" t="n"/>
      <c r="K131" s="30" t="n"/>
      <c r="L131" s="26" t="n"/>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31" t="n"/>
      <c r="AM131" s="30"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row>
    <row r="132" ht="13" customHeight="1">
      <c r="A132" s="25" t="n"/>
      <c r="B132" s="26" t="n"/>
      <c r="C132" s="26" t="n"/>
      <c r="D132" s="27" t="n"/>
      <c r="E132" s="26" t="n"/>
      <c r="F132" s="26" t="n"/>
      <c r="G132" s="28" t="n"/>
      <c r="H132" s="29" t="n"/>
      <c r="I132" s="29" t="n"/>
      <c r="J132" s="26" t="n"/>
      <c r="K132" s="30" t="n"/>
      <c r="L132" s="26" t="n"/>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31" t="n"/>
      <c r="AM132" s="30"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row>
    <row r="133" ht="13" customHeight="1">
      <c r="A133" s="25" t="n"/>
      <c r="B133" s="26" t="n"/>
      <c r="C133" s="26" t="n"/>
      <c r="D133" s="27" t="n"/>
      <c r="E133" s="26" t="n"/>
      <c r="F133" s="26" t="n"/>
      <c r="G133" s="28" t="n"/>
      <c r="H133" s="29" t="n"/>
      <c r="I133" s="29" t="n"/>
      <c r="J133" s="26" t="n"/>
      <c r="K133" s="30" t="n"/>
      <c r="L133" s="26" t="n"/>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31" t="n"/>
      <c r="AM133" s="30"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row>
    <row r="134" ht="13" customHeight="1">
      <c r="A134" s="25" t="n"/>
      <c r="B134" s="26" t="n"/>
      <c r="C134" s="26" t="n"/>
      <c r="D134" s="27" t="n"/>
      <c r="E134" s="26" t="n"/>
      <c r="F134" s="26" t="n"/>
      <c r="G134" s="28" t="n"/>
      <c r="H134" s="29" t="n"/>
      <c r="I134" s="29" t="n"/>
      <c r="J134" s="26" t="n"/>
      <c r="K134" s="30" t="n"/>
      <c r="L134" s="26" t="n"/>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31" t="n"/>
      <c r="AM134" s="30"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row>
    <row r="135" ht="13" customHeight="1">
      <c r="A135" s="25" t="n"/>
      <c r="B135" s="26" t="n"/>
      <c r="C135" s="26" t="n"/>
      <c r="D135" s="27" t="n"/>
      <c r="E135" s="26" t="n"/>
      <c r="F135" s="26" t="n"/>
      <c r="G135" s="28" t="n"/>
      <c r="H135" s="29" t="n"/>
      <c r="I135" s="29" t="n"/>
      <c r="J135" s="26" t="n"/>
      <c r="K135" s="30" t="n"/>
      <c r="L135" s="26" t="n"/>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31" t="n"/>
      <c r="AM135" s="30"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row>
    <row r="136" ht="13" customHeight="1">
      <c r="A136" s="25" t="n"/>
      <c r="B136" s="26" t="n"/>
      <c r="C136" s="26" t="n"/>
      <c r="D136" s="27" t="n"/>
      <c r="E136" s="26" t="n"/>
      <c r="F136" s="26" t="n"/>
      <c r="G136" s="28" t="n"/>
      <c r="H136" s="29" t="n"/>
      <c r="I136" s="29" t="n"/>
      <c r="J136" s="26" t="n"/>
      <c r="K136" s="30" t="n"/>
      <c r="L136" s="26" t="n"/>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31" t="n"/>
      <c r="AM136" s="30"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row>
    <row r="137" ht="13" customHeight="1">
      <c r="A137" s="25" t="n"/>
      <c r="B137" s="26" t="n"/>
      <c r="C137" s="26" t="n"/>
      <c r="D137" s="27" t="n"/>
      <c r="E137" s="26" t="n"/>
      <c r="F137" s="26" t="n"/>
      <c r="G137" s="28" t="n"/>
      <c r="H137" s="29" t="n"/>
      <c r="I137" s="29" t="n"/>
      <c r="J137" s="26" t="n"/>
      <c r="K137" s="30" t="n"/>
      <c r="L137" s="26" t="n"/>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31" t="n"/>
      <c r="AM137" s="30"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row>
    <row r="138" ht="13" customHeight="1">
      <c r="A138" s="25" t="n"/>
      <c r="B138" s="26" t="n"/>
      <c r="C138" s="26" t="n"/>
      <c r="D138" s="27" t="n"/>
      <c r="E138" s="26" t="n"/>
      <c r="F138" s="26" t="n"/>
      <c r="G138" s="28" t="n"/>
      <c r="H138" s="29" t="n"/>
      <c r="I138" s="29" t="n"/>
      <c r="J138" s="26" t="n"/>
      <c r="K138" s="30" t="n"/>
      <c r="L138" s="26" t="n"/>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31" t="n"/>
      <c r="AM138" s="30"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row>
    <row r="139" ht="13" customHeight="1">
      <c r="A139" s="25" t="n"/>
      <c r="B139" s="26" t="n"/>
      <c r="C139" s="26" t="n"/>
      <c r="D139" s="27" t="n"/>
      <c r="E139" s="26" t="n"/>
      <c r="F139" s="26" t="n"/>
      <c r="G139" s="28" t="n"/>
      <c r="H139" s="29" t="n"/>
      <c r="I139" s="29" t="n"/>
      <c r="J139" s="26" t="n"/>
      <c r="K139" s="30" t="n"/>
      <c r="L139" s="26" t="n"/>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31" t="n"/>
      <c r="AM139" s="30"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row>
    <row r="140" ht="13" customHeight="1">
      <c r="A140" s="25" t="n"/>
      <c r="B140" s="26" t="n"/>
      <c r="C140" s="26" t="n"/>
      <c r="D140" s="27" t="n"/>
      <c r="E140" s="26" t="n"/>
      <c r="F140" s="26" t="n"/>
      <c r="G140" s="28" t="n"/>
      <c r="H140" s="29" t="n"/>
      <c r="I140" s="29" t="n"/>
      <c r="J140" s="26" t="n"/>
      <c r="K140" s="30" t="n"/>
      <c r="L140" s="26" t="n"/>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31" t="n"/>
      <c r="AM140" s="30"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row>
    <row r="141" ht="13" customHeight="1">
      <c r="A141" s="25" t="n"/>
      <c r="B141" s="26" t="n"/>
      <c r="C141" s="26" t="n"/>
      <c r="D141" s="27" t="n"/>
      <c r="E141" s="26" t="n"/>
      <c r="F141" s="26" t="n"/>
      <c r="G141" s="28" t="n"/>
      <c r="H141" s="29" t="n"/>
      <c r="I141" s="29" t="n"/>
      <c r="J141" s="26" t="n"/>
      <c r="K141" s="30" t="n"/>
      <c r="L141" s="26" t="n"/>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31" t="n"/>
      <c r="AM141" s="30"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row>
    <row r="142" ht="13" customHeight="1">
      <c r="A142" s="25" t="n"/>
      <c r="B142" s="26" t="n"/>
      <c r="C142" s="26" t="n"/>
      <c r="D142" s="27" t="n"/>
      <c r="E142" s="26" t="n"/>
      <c r="F142" s="26" t="n"/>
      <c r="G142" s="28" t="n"/>
      <c r="H142" s="29" t="n"/>
      <c r="I142" s="29" t="n"/>
      <c r="J142" s="26" t="n"/>
      <c r="K142" s="30" t="n"/>
      <c r="L142" s="26" t="n"/>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31" t="n"/>
      <c r="AM142" s="30"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row>
    <row r="143" ht="13" customHeight="1">
      <c r="A143" s="25" t="n"/>
      <c r="B143" s="26" t="n"/>
      <c r="C143" s="26" t="n"/>
      <c r="D143" s="27" t="n"/>
      <c r="E143" s="26" t="n"/>
      <c r="F143" s="26" t="n"/>
      <c r="G143" s="28" t="n"/>
      <c r="H143" s="29" t="n"/>
      <c r="I143" s="29" t="n"/>
      <c r="J143" s="26" t="n"/>
      <c r="K143" s="30" t="n"/>
      <c r="L143" s="26" t="n"/>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31" t="n"/>
      <c r="AM143" s="30"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row>
    <row r="144" ht="13" customHeight="1">
      <c r="A144" s="25" t="n"/>
      <c r="B144" s="26" t="n"/>
      <c r="C144" s="26" t="n"/>
      <c r="D144" s="27" t="n"/>
      <c r="E144" s="26" t="n"/>
      <c r="F144" s="26" t="n"/>
      <c r="G144" s="28" t="n"/>
      <c r="H144" s="29" t="n"/>
      <c r="I144" s="29" t="n"/>
      <c r="J144" s="26" t="n"/>
      <c r="K144" s="30" t="n"/>
      <c r="L144" s="26" t="n"/>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31" t="n"/>
      <c r="AM144" s="30"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row>
    <row r="145" ht="13" customHeight="1">
      <c r="A145" s="25" t="n"/>
      <c r="B145" s="26" t="n"/>
      <c r="C145" s="26" t="n"/>
      <c r="D145" s="27" t="n"/>
      <c r="E145" s="26" t="n"/>
      <c r="F145" s="26" t="n"/>
      <c r="G145" s="28" t="n"/>
      <c r="H145" s="29" t="n"/>
      <c r="I145" s="29" t="n"/>
      <c r="J145" s="26" t="n"/>
      <c r="K145" s="30" t="n"/>
      <c r="L145" s="26" t="n"/>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31" t="n"/>
      <c r="AM145" s="30"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row>
    <row r="146" ht="13" customHeight="1">
      <c r="A146" s="25" t="n"/>
      <c r="B146" s="26" t="n"/>
      <c r="C146" s="26" t="n"/>
      <c r="D146" s="27" t="n"/>
      <c r="E146" s="26" t="n"/>
      <c r="F146" s="26" t="n"/>
      <c r="G146" s="28" t="n"/>
      <c r="H146" s="29" t="n"/>
      <c r="I146" s="29" t="n"/>
      <c r="J146" s="26" t="n"/>
      <c r="K146" s="30" t="n"/>
      <c r="L146" s="26" t="n"/>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31" t="n"/>
      <c r="AM146" s="30"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row>
    <row r="147" ht="13" customHeight="1">
      <c r="A147" s="25" t="n"/>
      <c r="B147" s="26" t="n"/>
      <c r="C147" s="26" t="n"/>
      <c r="D147" s="27" t="n"/>
      <c r="E147" s="26" t="n"/>
      <c r="F147" s="26" t="n"/>
      <c r="G147" s="28" t="n"/>
      <c r="H147" s="29" t="n"/>
      <c r="I147" s="29" t="n"/>
      <c r="J147" s="26" t="n"/>
      <c r="K147" s="30" t="n"/>
      <c r="L147" s="26" t="n"/>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31" t="n"/>
      <c r="AM147" s="30"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row>
    <row r="148" ht="13" customHeight="1">
      <c r="A148" s="25" t="n"/>
      <c r="B148" s="26" t="n"/>
      <c r="C148" s="26" t="n"/>
      <c r="D148" s="27" t="n"/>
      <c r="E148" s="26" t="n"/>
      <c r="F148" s="26" t="n"/>
      <c r="G148" s="28" t="n"/>
      <c r="H148" s="29" t="n"/>
      <c r="I148" s="29" t="n"/>
      <c r="J148" s="26" t="n"/>
      <c r="K148" s="30" t="n"/>
      <c r="L148" s="26" t="n"/>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31" t="n"/>
      <c r="AM148" s="30"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row>
    <row r="149" ht="13" customHeight="1">
      <c r="A149" s="25" t="n"/>
      <c r="B149" s="26" t="n"/>
      <c r="C149" s="26" t="n"/>
      <c r="D149" s="27" t="n"/>
      <c r="E149" s="26" t="n"/>
      <c r="F149" s="26" t="n"/>
      <c r="G149" s="28" t="n"/>
      <c r="H149" s="29" t="n"/>
      <c r="I149" s="29" t="n"/>
      <c r="J149" s="26" t="n"/>
      <c r="K149" s="30" t="n"/>
      <c r="L149" s="26" t="n"/>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31" t="n"/>
      <c r="AM149" s="30"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row>
    <row r="150" ht="13" customHeight="1">
      <c r="A150" s="25" t="n"/>
      <c r="B150" s="26" t="n"/>
      <c r="C150" s="26" t="n"/>
      <c r="D150" s="27" t="n"/>
      <c r="E150" s="26" t="n"/>
      <c r="F150" s="26" t="n"/>
      <c r="G150" s="28" t="n"/>
      <c r="H150" s="29" t="n"/>
      <c r="I150" s="29" t="n"/>
      <c r="J150" s="26" t="n"/>
      <c r="K150" s="30" t="n"/>
      <c r="L150" s="26" t="n"/>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31" t="n"/>
      <c r="AM150" s="30"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row>
    <row r="151" ht="13" customHeight="1">
      <c r="A151" s="25" t="n"/>
      <c r="B151" s="26" t="n"/>
      <c r="C151" s="26" t="n"/>
      <c r="D151" s="27" t="n"/>
      <c r="E151" s="26" t="n"/>
      <c r="F151" s="26" t="n"/>
      <c r="G151" s="28" t="n"/>
      <c r="H151" s="29" t="n"/>
      <c r="I151" s="29" t="n"/>
      <c r="J151" s="26" t="n"/>
      <c r="K151" s="30" t="n"/>
      <c r="L151" s="26" t="n"/>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31" t="n"/>
      <c r="AM151" s="30"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row>
    <row r="152" ht="13" customHeight="1">
      <c r="A152" s="25" t="n"/>
      <c r="B152" s="26" t="n"/>
      <c r="C152" s="26" t="n"/>
      <c r="D152" s="27" t="n"/>
      <c r="E152" s="26" t="n"/>
      <c r="F152" s="26" t="n"/>
      <c r="G152" s="28" t="n"/>
      <c r="H152" s="29" t="n"/>
      <c r="I152" s="29" t="n"/>
      <c r="J152" s="26" t="n"/>
      <c r="K152" s="30" t="n"/>
      <c r="L152" s="26" t="n"/>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31" t="n"/>
      <c r="AM152" s="30"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row>
    <row r="153" ht="13" customHeight="1">
      <c r="A153" s="25" t="n"/>
      <c r="B153" s="26" t="n"/>
      <c r="C153" s="26" t="n"/>
      <c r="D153" s="27" t="n"/>
      <c r="E153" s="26" t="n"/>
      <c r="F153" s="26" t="n"/>
      <c r="G153" s="28" t="n"/>
      <c r="H153" s="29" t="n"/>
      <c r="I153" s="29" t="n"/>
      <c r="J153" s="26" t="n"/>
      <c r="K153" s="30" t="n"/>
      <c r="L153" s="26" t="n"/>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31" t="n"/>
      <c r="AM153" s="30"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row>
    <row r="154" ht="13" customHeight="1">
      <c r="A154" s="25" t="n"/>
      <c r="B154" s="26" t="n"/>
      <c r="C154" s="26" t="n"/>
      <c r="D154" s="27" t="n"/>
      <c r="E154" s="26" t="n"/>
      <c r="F154" s="26" t="n"/>
      <c r="G154" s="28" t="n"/>
      <c r="H154" s="29" t="n"/>
      <c r="I154" s="29" t="n"/>
      <c r="J154" s="26" t="n"/>
      <c r="K154" s="30" t="n"/>
      <c r="L154" s="26" t="n"/>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31" t="n"/>
      <c r="AM154" s="30"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row>
    <row r="155" ht="13" customHeight="1">
      <c r="A155" s="25" t="n"/>
      <c r="B155" s="26" t="n"/>
      <c r="C155" s="26" t="n"/>
      <c r="D155" s="27" t="n"/>
      <c r="E155" s="26" t="n"/>
      <c r="F155" s="26" t="n"/>
      <c r="G155" s="28" t="n"/>
      <c r="H155" s="29" t="n"/>
      <c r="I155" s="29" t="n"/>
      <c r="J155" s="26" t="n"/>
      <c r="K155" s="30" t="n"/>
      <c r="L155" s="26" t="n"/>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31" t="n"/>
      <c r="AM155" s="30"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row>
    <row r="156" ht="13" customHeight="1">
      <c r="A156" s="25" t="n"/>
      <c r="B156" s="26" t="n"/>
      <c r="C156" s="26" t="n"/>
      <c r="D156" s="27" t="n"/>
      <c r="E156" s="26" t="n"/>
      <c r="F156" s="26" t="n"/>
      <c r="G156" s="28" t="n"/>
      <c r="H156" s="29" t="n"/>
      <c r="I156" s="29" t="n"/>
      <c r="J156" s="26" t="n"/>
      <c r="K156" s="30" t="n"/>
      <c r="L156" s="26" t="n"/>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31" t="n"/>
      <c r="AM156" s="30"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row>
    <row r="157" ht="13" customHeight="1">
      <c r="A157" s="25" t="n"/>
      <c r="B157" s="26" t="n"/>
      <c r="C157" s="26" t="n"/>
      <c r="D157" s="27" t="n"/>
      <c r="E157" s="26" t="n"/>
      <c r="F157" s="26" t="n"/>
      <c r="G157" s="28" t="n"/>
      <c r="H157" s="29" t="n"/>
      <c r="I157" s="29" t="n"/>
      <c r="J157" s="26" t="n"/>
      <c r="K157" s="30" t="n"/>
      <c r="L157" s="26" t="n"/>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31" t="n"/>
      <c r="AM157" s="30"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row>
    <row r="158" ht="13" customHeight="1">
      <c r="A158" s="25" t="n"/>
      <c r="B158" s="26" t="n"/>
      <c r="C158" s="26" t="n"/>
      <c r="D158" s="27" t="n"/>
      <c r="E158" s="26" t="n"/>
      <c r="F158" s="26" t="n"/>
      <c r="G158" s="28" t="n"/>
      <c r="H158" s="29" t="n"/>
      <c r="I158" s="29" t="n"/>
      <c r="J158" s="26" t="n"/>
      <c r="K158" s="30" t="n"/>
      <c r="L158" s="26" t="n"/>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31" t="n"/>
      <c r="AM158" s="30"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row>
    <row r="159" ht="13" customHeight="1">
      <c r="A159" s="25" t="n"/>
      <c r="B159" s="26" t="n"/>
      <c r="C159" s="26" t="n"/>
      <c r="D159" s="27" t="n"/>
      <c r="E159" s="26" t="n"/>
      <c r="F159" s="26" t="n"/>
      <c r="G159" s="28" t="n"/>
      <c r="H159" s="29" t="n"/>
      <c r="I159" s="29" t="n"/>
      <c r="J159" s="26" t="n"/>
      <c r="K159" s="30" t="n"/>
      <c r="L159" s="26" t="n"/>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31" t="n"/>
      <c r="AM159" s="30"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row>
    <row r="160" ht="13" customHeight="1">
      <c r="A160" s="25" t="n"/>
      <c r="B160" s="26" t="n"/>
      <c r="C160" s="26" t="n"/>
      <c r="D160" s="27" t="n"/>
      <c r="E160" s="26" t="n"/>
      <c r="F160" s="26" t="n"/>
      <c r="G160" s="28" t="n"/>
      <c r="H160" s="29" t="n"/>
      <c r="I160" s="29" t="n"/>
      <c r="J160" s="26" t="n"/>
      <c r="K160" s="30" t="n"/>
      <c r="L160" s="26" t="n"/>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31" t="n"/>
      <c r="AM160" s="30"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row>
    <row r="161" ht="13" customHeight="1">
      <c r="A161" s="25" t="n"/>
      <c r="B161" s="26" t="n"/>
      <c r="C161" s="26" t="n"/>
      <c r="D161" s="27" t="n"/>
      <c r="E161" s="26" t="n"/>
      <c r="F161" s="26" t="n"/>
      <c r="G161" s="28" t="n"/>
      <c r="H161" s="29" t="n"/>
      <c r="I161" s="29" t="n"/>
      <c r="J161" s="26" t="n"/>
      <c r="K161" s="30" t="n"/>
      <c r="L161" s="26" t="n"/>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31" t="n"/>
      <c r="AM161" s="30"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row>
    <row r="162" ht="13" customHeight="1">
      <c r="A162" s="25" t="n"/>
      <c r="B162" s="26" t="n"/>
      <c r="C162" s="26" t="n"/>
      <c r="D162" s="27" t="n"/>
      <c r="E162" s="26" t="n"/>
      <c r="F162" s="26" t="n"/>
      <c r="G162" s="28" t="n"/>
      <c r="H162" s="29" t="n"/>
      <c r="I162" s="29" t="n"/>
      <c r="J162" s="26" t="n"/>
      <c r="K162" s="30" t="n"/>
      <c r="L162" s="26" t="n"/>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31" t="n"/>
      <c r="AM162" s="30"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row>
    <row r="163" ht="13" customHeight="1">
      <c r="A163" s="25" t="n"/>
      <c r="B163" s="26" t="n"/>
      <c r="C163" s="26" t="n"/>
      <c r="D163" s="27" t="n"/>
      <c r="E163" s="26" t="n"/>
      <c r="F163" s="26" t="n"/>
      <c r="G163" s="28" t="n"/>
      <c r="H163" s="29" t="n"/>
      <c r="I163" s="29" t="n"/>
      <c r="J163" s="26" t="n"/>
      <c r="K163" s="30" t="n"/>
      <c r="L163" s="26" t="n"/>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31" t="n"/>
      <c r="AM163" s="30"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row>
    <row r="164" ht="13" customHeight="1">
      <c r="A164" s="25" t="n"/>
      <c r="B164" s="26" t="n"/>
      <c r="C164" s="26" t="n"/>
      <c r="D164" s="27" t="n"/>
      <c r="E164" s="26" t="n"/>
      <c r="F164" s="26" t="n"/>
      <c r="G164" s="28" t="n"/>
      <c r="H164" s="29" t="n"/>
      <c r="I164" s="29" t="n"/>
      <c r="J164" s="26" t="n"/>
      <c r="K164" s="30" t="n"/>
      <c r="L164" s="26" t="n"/>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31" t="n"/>
      <c r="AM164" s="30"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row>
    <row r="165" ht="13" customHeight="1">
      <c r="A165" s="25" t="n"/>
      <c r="B165" s="26" t="n"/>
      <c r="C165" s="26" t="n"/>
      <c r="D165" s="27" t="n"/>
      <c r="E165" s="26" t="n"/>
      <c r="F165" s="26" t="n"/>
      <c r="G165" s="28" t="n"/>
      <c r="H165" s="29" t="n"/>
      <c r="I165" s="29" t="n"/>
      <c r="J165" s="26" t="n"/>
      <c r="K165" s="30" t="n"/>
      <c r="L165" s="26" t="n"/>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31" t="n"/>
      <c r="AM165" s="30"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row>
    <row r="166" ht="13" customHeight="1">
      <c r="A166" s="25" t="n"/>
      <c r="B166" s="26" t="n"/>
      <c r="C166" s="26" t="n"/>
      <c r="D166" s="27" t="n"/>
      <c r="E166" s="26" t="n"/>
      <c r="F166" s="26" t="n"/>
      <c r="G166" s="28" t="n"/>
      <c r="H166" s="29" t="n"/>
      <c r="I166" s="29" t="n"/>
      <c r="J166" s="26" t="n"/>
      <c r="K166" s="30" t="n"/>
      <c r="L166" s="26" t="n"/>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31" t="n"/>
      <c r="AM166" s="30"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row>
    <row r="167" ht="13" customHeight="1">
      <c r="A167" s="25" t="n"/>
      <c r="B167" s="26" t="n"/>
      <c r="C167" s="26" t="n"/>
      <c r="D167" s="27" t="n"/>
      <c r="E167" s="26" t="n"/>
      <c r="F167" s="26" t="n"/>
      <c r="G167" s="28" t="n"/>
      <c r="H167" s="29" t="n"/>
      <c r="I167" s="29" t="n"/>
      <c r="J167" s="26" t="n"/>
      <c r="K167" s="30" t="n"/>
      <c r="L167" s="26" t="n"/>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31" t="n"/>
      <c r="AM167" s="30"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row>
    <row r="168" ht="13" customHeight="1">
      <c r="A168" s="25" t="n"/>
      <c r="B168" s="26" t="n"/>
      <c r="C168" s="26" t="n"/>
      <c r="D168" s="27" t="n"/>
      <c r="E168" s="26" t="n"/>
      <c r="F168" s="26" t="n"/>
      <c r="G168" s="28" t="n"/>
      <c r="H168" s="29" t="n"/>
      <c r="I168" s="29" t="n"/>
      <c r="J168" s="26" t="n"/>
      <c r="K168" s="30" t="n"/>
      <c r="L168" s="26" t="n"/>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31" t="n"/>
      <c r="AM168" s="30"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row>
    <row r="169" ht="13" customHeight="1">
      <c r="A169" s="25" t="n"/>
      <c r="B169" s="26" t="n"/>
      <c r="C169" s="26" t="n"/>
      <c r="D169" s="27" t="n"/>
      <c r="E169" s="26" t="n"/>
      <c r="F169" s="26" t="n"/>
      <c r="G169" s="28" t="n"/>
      <c r="H169" s="29" t="n"/>
      <c r="I169" s="29" t="n"/>
      <c r="J169" s="26" t="n"/>
      <c r="K169" s="30" t="n"/>
      <c r="L169" s="26" t="n"/>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31" t="n"/>
      <c r="AM169" s="30"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row>
    <row r="170" ht="13" customHeight="1">
      <c r="A170" s="25" t="n"/>
      <c r="B170" s="26" t="n"/>
      <c r="C170" s="26" t="n"/>
      <c r="D170" s="27" t="n"/>
      <c r="E170" s="26" t="n"/>
      <c r="F170" s="26" t="n"/>
      <c r="G170" s="28" t="n"/>
      <c r="H170" s="29" t="n"/>
      <c r="I170" s="29" t="n"/>
      <c r="J170" s="26" t="n"/>
      <c r="K170" s="30" t="n"/>
      <c r="L170" s="26" t="n"/>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31" t="n"/>
      <c r="AM170" s="30"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row>
    <row r="171" ht="13" customHeight="1">
      <c r="A171" s="25" t="n"/>
      <c r="B171" s="26" t="n"/>
      <c r="C171" s="26" t="n"/>
      <c r="D171" s="27" t="n"/>
      <c r="E171" s="26" t="n"/>
      <c r="F171" s="26" t="n"/>
      <c r="G171" s="28" t="n"/>
      <c r="H171" s="29" t="n"/>
      <c r="I171" s="29" t="n"/>
      <c r="J171" s="26" t="n"/>
      <c r="K171" s="30" t="n"/>
      <c r="L171" s="26" t="n"/>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31" t="n"/>
      <c r="AM171" s="30"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row>
    <row r="172" ht="13" customHeight="1">
      <c r="A172" s="25" t="n"/>
      <c r="B172" s="26" t="n"/>
      <c r="C172" s="26" t="n"/>
      <c r="D172" s="27" t="n"/>
      <c r="E172" s="26" t="n"/>
      <c r="F172" s="26" t="n"/>
      <c r="G172" s="28" t="n"/>
      <c r="H172" s="29" t="n"/>
      <c r="I172" s="29" t="n"/>
      <c r="J172" s="26" t="n"/>
      <c r="K172" s="30" t="n"/>
      <c r="L172" s="26" t="n"/>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31" t="n"/>
      <c r="AM172" s="30"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row>
    <row r="173" ht="13" customHeight="1">
      <c r="A173" s="25" t="n"/>
      <c r="B173" s="26" t="n"/>
      <c r="C173" s="26" t="n"/>
      <c r="D173" s="27" t="n"/>
      <c r="E173" s="26" t="n"/>
      <c r="F173" s="26" t="n"/>
      <c r="G173" s="28" t="n"/>
      <c r="H173" s="29" t="n"/>
      <c r="I173" s="29" t="n"/>
      <c r="J173" s="26" t="n"/>
      <c r="K173" s="30" t="n"/>
      <c r="L173" s="26" t="n"/>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31" t="n"/>
      <c r="AM173" s="30"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row>
    <row r="174" ht="13" customHeight="1">
      <c r="A174" s="25" t="n"/>
      <c r="B174" s="26" t="n"/>
      <c r="C174" s="26" t="n"/>
      <c r="D174" s="27" t="n"/>
      <c r="E174" s="26" t="n"/>
      <c r="F174" s="26" t="n"/>
      <c r="G174" s="28" t="n"/>
      <c r="H174" s="29" t="n"/>
      <c r="I174" s="29" t="n"/>
      <c r="J174" s="26" t="n"/>
      <c r="K174" s="30" t="n"/>
      <c r="L174" s="26" t="n"/>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31" t="n"/>
      <c r="AM174" s="30"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row>
    <row r="175" ht="13" customHeight="1">
      <c r="A175" s="25" t="n"/>
      <c r="B175" s="26" t="n"/>
      <c r="C175" s="26" t="n"/>
      <c r="D175" s="27" t="n"/>
      <c r="E175" s="26" t="n"/>
      <c r="F175" s="26" t="n"/>
      <c r="G175" s="28" t="n"/>
      <c r="H175" s="29" t="n"/>
      <c r="I175" s="29" t="n"/>
      <c r="J175" s="26" t="n"/>
      <c r="K175" s="30" t="n"/>
      <c r="L175" s="26" t="n"/>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31" t="n"/>
      <c r="AM175" s="30"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row>
    <row r="176" ht="13" customHeight="1">
      <c r="A176" s="25" t="n"/>
      <c r="B176" s="26" t="n"/>
      <c r="C176" s="26" t="n"/>
      <c r="D176" s="27" t="n"/>
      <c r="E176" s="26" t="n"/>
      <c r="F176" s="26" t="n"/>
      <c r="G176" s="28" t="n"/>
      <c r="H176" s="29" t="n"/>
      <c r="I176" s="29" t="n"/>
      <c r="J176" s="26" t="n"/>
      <c r="K176" s="30" t="n"/>
      <c r="L176" s="26" t="n"/>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31" t="n"/>
      <c r="AM176" s="30"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row>
    <row r="177" ht="13" customHeight="1">
      <c r="A177" s="25" t="n"/>
      <c r="B177" s="26" t="n"/>
      <c r="C177" s="26" t="n"/>
      <c r="D177" s="27" t="n"/>
      <c r="E177" s="26" t="n"/>
      <c r="F177" s="26" t="n"/>
      <c r="G177" s="28" t="n"/>
      <c r="H177" s="29" t="n"/>
      <c r="I177" s="29" t="n"/>
      <c r="J177" s="26" t="n"/>
      <c r="K177" s="30" t="n"/>
      <c r="L177" s="26" t="n"/>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31" t="n"/>
      <c r="AM177" s="30"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row>
    <row r="178" ht="13" customHeight="1">
      <c r="A178" s="25" t="n"/>
      <c r="B178" s="26" t="n"/>
      <c r="C178" s="26" t="n"/>
      <c r="D178" s="27" t="n"/>
      <c r="E178" s="26" t="n"/>
      <c r="F178" s="26" t="n"/>
      <c r="G178" s="28" t="n"/>
      <c r="H178" s="29" t="n"/>
      <c r="I178" s="29" t="n"/>
      <c r="J178" s="26" t="n"/>
      <c r="K178" s="30" t="n"/>
      <c r="L178" s="26" t="n"/>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31" t="n"/>
      <c r="AM178" s="30"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row>
    <row r="179" ht="13" customHeight="1">
      <c r="A179" s="25" t="n"/>
      <c r="B179" s="26" t="n"/>
      <c r="C179" s="26" t="n"/>
      <c r="D179" s="27" t="n"/>
      <c r="E179" s="26" t="n"/>
      <c r="F179" s="26" t="n"/>
      <c r="G179" s="28" t="n"/>
      <c r="H179" s="29" t="n"/>
      <c r="I179" s="29" t="n"/>
      <c r="J179" s="26" t="n"/>
      <c r="K179" s="30" t="n"/>
      <c r="L179" s="26" t="n"/>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31" t="n"/>
      <c r="AM179" s="30"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row>
    <row r="180" ht="13" customHeight="1">
      <c r="A180" s="25" t="n"/>
      <c r="B180" s="26" t="n"/>
      <c r="C180" s="26" t="n"/>
      <c r="D180" s="27" t="n"/>
      <c r="E180" s="26" t="n"/>
      <c r="F180" s="26" t="n"/>
      <c r="G180" s="28" t="n"/>
      <c r="H180" s="29" t="n"/>
      <c r="I180" s="29" t="n"/>
      <c r="J180" s="26" t="n"/>
      <c r="K180" s="30" t="n"/>
      <c r="L180" s="26" t="n"/>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31" t="n"/>
      <c r="AM180" s="30"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row>
    <row r="181" ht="13" customHeight="1">
      <c r="A181" s="25" t="n"/>
      <c r="B181" s="26" t="n"/>
      <c r="C181" s="26" t="n"/>
      <c r="D181" s="27" t="n"/>
      <c r="E181" s="26" t="n"/>
      <c r="F181" s="26" t="n"/>
      <c r="G181" s="28" t="n"/>
      <c r="H181" s="29" t="n"/>
      <c r="I181" s="29" t="n"/>
      <c r="J181" s="26" t="n"/>
      <c r="K181" s="30" t="n"/>
      <c r="L181" s="26" t="n"/>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31" t="n"/>
      <c r="AM181" s="30"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row>
    <row r="182" ht="13" customHeight="1">
      <c r="A182" s="25" t="n"/>
      <c r="B182" s="26" t="n"/>
      <c r="C182" s="26" t="n"/>
      <c r="D182" s="27" t="n"/>
      <c r="E182" s="26" t="n"/>
      <c r="F182" s="26" t="n"/>
      <c r="G182" s="28" t="n"/>
      <c r="H182" s="29" t="n"/>
      <c r="I182" s="29" t="n"/>
      <c r="J182" s="26" t="n"/>
      <c r="K182" s="30" t="n"/>
      <c r="L182" s="26" t="n"/>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31" t="n"/>
      <c r="AM182" s="30"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row>
    <row r="183" ht="13" customHeight="1">
      <c r="A183" s="25" t="n"/>
      <c r="B183" s="26" t="n"/>
      <c r="C183" s="26" t="n"/>
      <c r="D183" s="27" t="n"/>
      <c r="E183" s="26" t="n"/>
      <c r="F183" s="26" t="n"/>
      <c r="G183" s="28" t="n"/>
      <c r="H183" s="29" t="n"/>
      <c r="I183" s="29" t="n"/>
      <c r="J183" s="26" t="n"/>
      <c r="K183" s="30" t="n"/>
      <c r="L183" s="26" t="n"/>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31" t="n"/>
      <c r="AM183" s="30"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row>
    <row r="184" ht="13" customHeight="1">
      <c r="A184" s="25" t="n"/>
      <c r="B184" s="26" t="n"/>
      <c r="C184" s="26" t="n"/>
      <c r="D184" s="27" t="n"/>
      <c r="E184" s="26" t="n"/>
      <c r="F184" s="26" t="n"/>
      <c r="G184" s="28" t="n"/>
      <c r="H184" s="29" t="n"/>
      <c r="I184" s="29" t="n"/>
      <c r="J184" s="26" t="n"/>
      <c r="K184" s="30" t="n"/>
      <c r="L184" s="26" t="n"/>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31" t="n"/>
      <c r="AM184" s="30"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row>
    <row r="185" ht="13" customHeight="1">
      <c r="A185" s="25" t="n"/>
      <c r="B185" s="26" t="n"/>
      <c r="C185" s="26" t="n"/>
      <c r="D185" s="27" t="n"/>
      <c r="E185" s="26" t="n"/>
      <c r="F185" s="26" t="n"/>
      <c r="G185" s="28" t="n"/>
      <c r="H185" s="29" t="n"/>
      <c r="I185" s="29" t="n"/>
      <c r="J185" s="26" t="n"/>
      <c r="K185" s="30" t="n"/>
      <c r="L185" s="26" t="n"/>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31" t="n"/>
      <c r="AM185" s="30"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row>
    <row r="186" ht="13" customHeight="1">
      <c r="A186" s="25" t="n"/>
      <c r="B186" s="26" t="n"/>
      <c r="C186" s="26" t="n"/>
      <c r="D186" s="27" t="n"/>
      <c r="E186" s="26" t="n"/>
      <c r="F186" s="26" t="n"/>
      <c r="G186" s="28" t="n"/>
      <c r="H186" s="29" t="n"/>
      <c r="I186" s="29" t="n"/>
      <c r="J186" s="26" t="n"/>
      <c r="K186" s="30" t="n"/>
      <c r="L186" s="26" t="n"/>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31" t="n"/>
      <c r="AM186" s="30"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row>
    <row r="187" ht="13" customHeight="1">
      <c r="A187" s="25" t="n"/>
      <c r="B187" s="26" t="n"/>
      <c r="C187" s="26" t="n"/>
      <c r="D187" s="27" t="n"/>
      <c r="E187" s="26" t="n"/>
      <c r="F187" s="26" t="n"/>
      <c r="G187" s="28" t="n"/>
      <c r="H187" s="29" t="n"/>
      <c r="I187" s="29" t="n"/>
      <c r="J187" s="26" t="n"/>
      <c r="K187" s="30" t="n"/>
      <c r="L187" s="26" t="n"/>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31" t="n"/>
      <c r="AM187" s="30"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row>
    <row r="188" ht="13" customHeight="1">
      <c r="A188" s="25" t="n"/>
      <c r="B188" s="26" t="n"/>
      <c r="C188" s="26" t="n"/>
      <c r="D188" s="27" t="n"/>
      <c r="E188" s="26" t="n"/>
      <c r="F188" s="26" t="n"/>
      <c r="G188" s="28" t="n"/>
      <c r="H188" s="29" t="n"/>
      <c r="I188" s="29" t="n"/>
      <c r="J188" s="26" t="n"/>
      <c r="K188" s="30" t="n"/>
      <c r="L188" s="26" t="n"/>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31" t="n"/>
      <c r="AM188" s="30"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row>
    <row r="189" ht="13" customHeight="1">
      <c r="A189" s="25" t="n"/>
      <c r="B189" s="26" t="n"/>
      <c r="C189" s="26" t="n"/>
      <c r="D189" s="27" t="n"/>
      <c r="E189" s="26" t="n"/>
      <c r="F189" s="26" t="n"/>
      <c r="G189" s="28" t="n"/>
      <c r="H189" s="29" t="n"/>
      <c r="I189" s="29" t="n"/>
      <c r="J189" s="26" t="n"/>
      <c r="K189" s="30" t="n"/>
      <c r="L189" s="26" t="n"/>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31" t="n"/>
      <c r="AM189" s="30"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row>
    <row r="190" ht="13" customHeight="1">
      <c r="A190" s="25" t="n"/>
      <c r="B190" s="26" t="n"/>
      <c r="C190" s="26" t="n"/>
      <c r="D190" s="27" t="n"/>
      <c r="E190" s="26" t="n"/>
      <c r="F190" s="26" t="n"/>
      <c r="G190" s="28" t="n"/>
      <c r="H190" s="29" t="n"/>
      <c r="I190" s="29" t="n"/>
      <c r="J190" s="26" t="n"/>
      <c r="K190" s="30" t="n"/>
      <c r="L190" s="26" t="n"/>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31" t="n"/>
      <c r="AM190" s="30"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row>
    <row r="191" ht="13" customHeight="1">
      <c r="A191" s="25" t="n"/>
      <c r="B191" s="26" t="n"/>
      <c r="C191" s="26" t="n"/>
      <c r="D191" s="27" t="n"/>
      <c r="E191" s="26" t="n"/>
      <c r="F191" s="26" t="n"/>
      <c r="G191" s="28" t="n"/>
      <c r="H191" s="29" t="n"/>
      <c r="I191" s="29" t="n"/>
      <c r="J191" s="26" t="n"/>
      <c r="K191" s="30" t="n"/>
      <c r="L191" s="26" t="n"/>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31" t="n"/>
      <c r="AM191" s="30"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row>
    <row r="192" ht="13" customHeight="1">
      <c r="A192" s="25" t="n"/>
      <c r="B192" s="26" t="n"/>
      <c r="C192" s="26" t="n"/>
      <c r="D192" s="27" t="n"/>
      <c r="E192" s="26" t="n"/>
      <c r="F192" s="26" t="n"/>
      <c r="G192" s="28" t="n"/>
      <c r="H192" s="29" t="n"/>
      <c r="I192" s="29" t="n"/>
      <c r="J192" s="26" t="n"/>
      <c r="K192" s="30" t="n"/>
      <c r="L192" s="26" t="n"/>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31" t="n"/>
      <c r="AM192" s="30"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row>
    <row r="193" ht="13" customHeight="1">
      <c r="A193" s="25" t="n"/>
      <c r="B193" s="26" t="n"/>
      <c r="C193" s="26" t="n"/>
      <c r="D193" s="27" t="n"/>
      <c r="E193" s="26" t="n"/>
      <c r="F193" s="26" t="n"/>
      <c r="G193" s="28" t="n"/>
      <c r="H193" s="29" t="n"/>
      <c r="I193" s="29" t="n"/>
      <c r="J193" s="26" t="n"/>
      <c r="K193" s="30" t="n"/>
      <c r="L193" s="26" t="n"/>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31" t="n"/>
      <c r="AM193" s="30"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row>
    <row r="194" ht="13" customHeight="1">
      <c r="A194" s="25" t="n"/>
      <c r="B194" s="26" t="n"/>
      <c r="C194" s="26" t="n"/>
      <c r="D194" s="27" t="n"/>
      <c r="E194" s="26" t="n"/>
      <c r="F194" s="26" t="n"/>
      <c r="G194" s="28" t="n"/>
      <c r="H194" s="29" t="n"/>
      <c r="I194" s="29" t="n"/>
      <c r="J194" s="26" t="n"/>
      <c r="K194" s="30" t="n"/>
      <c r="L194" s="26" t="n"/>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31" t="n"/>
      <c r="AM194" s="30"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row>
    <row r="195" ht="13" customHeight="1">
      <c r="A195" s="25" t="n"/>
      <c r="B195" s="26" t="n"/>
      <c r="C195" s="26" t="n"/>
      <c r="D195" s="27" t="n"/>
      <c r="E195" s="26" t="n"/>
      <c r="F195" s="26" t="n"/>
      <c r="G195" s="28" t="n"/>
      <c r="H195" s="29" t="n"/>
      <c r="I195" s="29" t="n"/>
      <c r="J195" s="26" t="n"/>
      <c r="K195" s="30" t="n"/>
      <c r="L195" s="26" t="n"/>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31" t="n"/>
      <c r="AM195" s="30"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row>
    <row r="196" ht="13" customHeight="1">
      <c r="A196" s="25" t="n"/>
      <c r="B196" s="26" t="n"/>
      <c r="C196" s="26" t="n"/>
      <c r="D196" s="27" t="n"/>
      <c r="E196" s="26" t="n"/>
      <c r="F196" s="26" t="n"/>
      <c r="G196" s="28" t="n"/>
      <c r="H196" s="29" t="n"/>
      <c r="I196" s="29" t="n"/>
      <c r="J196" s="26" t="n"/>
      <c r="K196" s="30" t="n"/>
      <c r="L196" s="26" t="n"/>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31" t="n"/>
      <c r="AM196" s="30"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row>
    <row r="197" ht="13" customHeight="1">
      <c r="A197" s="25" t="n"/>
      <c r="B197" s="26" t="n"/>
      <c r="C197" s="26" t="n"/>
      <c r="D197" s="27" t="n"/>
      <c r="E197" s="26" t="n"/>
      <c r="F197" s="26" t="n"/>
      <c r="G197" s="28" t="n"/>
      <c r="H197" s="29" t="n"/>
      <c r="I197" s="29" t="n"/>
      <c r="J197" s="26" t="n"/>
      <c r="K197" s="30" t="n"/>
      <c r="L197" s="26" t="n"/>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31" t="n"/>
      <c r="AM197" s="30"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row>
    <row r="198" ht="13" customHeight="1">
      <c r="A198" s="25" t="n"/>
      <c r="B198" s="26" t="n"/>
      <c r="C198" s="26" t="n"/>
      <c r="D198" s="27" t="n"/>
      <c r="E198" s="26" t="n"/>
      <c r="F198" s="26" t="n"/>
      <c r="G198" s="28" t="n"/>
      <c r="H198" s="29" t="n"/>
      <c r="I198" s="29" t="n"/>
      <c r="J198" s="26" t="n"/>
      <c r="K198" s="30" t="n"/>
      <c r="L198" s="26" t="n"/>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31" t="n"/>
      <c r="AM198" s="30"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row>
    <row r="199" ht="13" customHeight="1">
      <c r="A199" s="25" t="n"/>
      <c r="B199" s="26" t="n"/>
      <c r="C199" s="26" t="n"/>
      <c r="D199" s="27" t="n"/>
      <c r="E199" s="26" t="n"/>
      <c r="F199" s="26" t="n"/>
      <c r="G199" s="28" t="n"/>
      <c r="H199" s="29" t="n"/>
      <c r="I199" s="29" t="n"/>
      <c r="J199" s="26" t="n"/>
      <c r="K199" s="30" t="n"/>
      <c r="L199" s="26" t="n"/>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31" t="n"/>
      <c r="AM199" s="30"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row>
    <row r="200" ht="13" customHeight="1">
      <c r="A200" s="25" t="n"/>
      <c r="B200" s="26" t="n"/>
      <c r="C200" s="26" t="n"/>
      <c r="D200" s="27" t="n"/>
      <c r="E200" s="26" t="n"/>
      <c r="F200" s="26" t="n"/>
      <c r="G200" s="28" t="n"/>
      <c r="H200" s="29" t="n"/>
      <c r="I200" s="29" t="n"/>
      <c r="J200" s="26" t="n"/>
      <c r="K200" s="30" t="n"/>
      <c r="L200" s="26" t="n"/>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31" t="n"/>
      <c r="AM200" s="30"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row>
    <row r="201" ht="13" customHeight="1">
      <c r="A201" s="25" t="n"/>
      <c r="B201" s="26" t="n"/>
      <c r="C201" s="26" t="n"/>
      <c r="D201" s="27" t="n"/>
      <c r="E201" s="26" t="n"/>
      <c r="F201" s="26" t="n"/>
      <c r="G201" s="28" t="n"/>
      <c r="H201" s="29" t="n"/>
      <c r="I201" s="29" t="n"/>
      <c r="J201" s="26" t="n"/>
      <c r="K201" s="30" t="n"/>
      <c r="L201" s="26" t="n"/>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31" t="n"/>
      <c r="AM201" s="30"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row>
    <row r="202" ht="13" customHeight="1">
      <c r="A202" s="25" t="n"/>
      <c r="B202" s="26" t="n"/>
      <c r="C202" s="26" t="n"/>
      <c r="D202" s="27" t="n"/>
      <c r="E202" s="26" t="n"/>
      <c r="F202" s="26" t="n"/>
      <c r="G202" s="28" t="n"/>
      <c r="H202" s="29" t="n"/>
      <c r="I202" s="29" t="n"/>
      <c r="J202" s="26" t="n"/>
      <c r="K202" s="30" t="n"/>
      <c r="L202" s="26" t="n"/>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31" t="n"/>
      <c r="AM202" s="30"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row>
    <row r="203" ht="13" customHeight="1">
      <c r="A203" s="25" t="n"/>
      <c r="B203" s="26" t="n"/>
      <c r="C203" s="26" t="n"/>
      <c r="D203" s="27" t="n"/>
      <c r="E203" s="26" t="n"/>
      <c r="F203" s="26" t="n"/>
      <c r="G203" s="28" t="n"/>
      <c r="H203" s="29" t="n"/>
      <c r="I203" s="29" t="n"/>
      <c r="J203" s="26" t="n"/>
      <c r="K203" s="30" t="n"/>
      <c r="L203" s="26" t="n"/>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31" t="n"/>
      <c r="AM203" s="30"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row>
    <row r="204" ht="13" customHeight="1">
      <c r="A204" s="25" t="n"/>
      <c r="B204" s="26" t="n"/>
      <c r="C204" s="26" t="n"/>
      <c r="D204" s="27" t="n"/>
      <c r="E204" s="26" t="n"/>
      <c r="F204" s="26" t="n"/>
      <c r="G204" s="28" t="n"/>
      <c r="H204" s="29" t="n"/>
      <c r="I204" s="29" t="n"/>
      <c r="J204" s="26" t="n"/>
      <c r="K204" s="30" t="n"/>
      <c r="L204" s="26" t="n"/>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31" t="n"/>
      <c r="AM204" s="30"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row>
    <row r="205" ht="13" customHeight="1">
      <c r="A205" s="25" t="n"/>
      <c r="B205" s="26" t="n"/>
      <c r="C205" s="26" t="n"/>
      <c r="D205" s="27" t="n"/>
      <c r="E205" s="26" t="n"/>
      <c r="F205" s="26" t="n"/>
      <c r="G205" s="28" t="n"/>
      <c r="H205" s="29" t="n"/>
      <c r="I205" s="29" t="n"/>
      <c r="J205" s="26" t="n"/>
      <c r="K205" s="30" t="n"/>
      <c r="L205" s="26" t="n"/>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31" t="n"/>
      <c r="AM205" s="30"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row>
    <row r="206" ht="13" customHeight="1">
      <c r="A206" s="25" t="n"/>
      <c r="B206" s="26" t="n"/>
      <c r="C206" s="26" t="n"/>
      <c r="D206" s="27" t="n"/>
      <c r="E206" s="26" t="n"/>
      <c r="F206" s="26" t="n"/>
      <c r="G206" s="28" t="n"/>
      <c r="H206" s="29" t="n"/>
      <c r="I206" s="29" t="n"/>
      <c r="J206" s="26" t="n"/>
      <c r="K206" s="30" t="n"/>
      <c r="L206" s="26" t="n"/>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31" t="n"/>
      <c r="AM206" s="30"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row>
    <row r="207" ht="13" customHeight="1">
      <c r="A207" s="25" t="n"/>
      <c r="B207" s="26" t="n"/>
      <c r="C207" s="26" t="n"/>
      <c r="D207" s="27" t="n"/>
      <c r="E207" s="26" t="n"/>
      <c r="F207" s="26" t="n"/>
      <c r="G207" s="28" t="n"/>
      <c r="H207" s="29" t="n"/>
      <c r="I207" s="29" t="n"/>
      <c r="J207" s="26" t="n"/>
      <c r="K207" s="30" t="n"/>
      <c r="L207" s="26" t="n"/>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31" t="n"/>
      <c r="AM207" s="30"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row>
    <row r="208" ht="13" customHeight="1">
      <c r="A208" s="25" t="n"/>
      <c r="B208" s="26" t="n"/>
      <c r="C208" s="26" t="n"/>
      <c r="D208" s="27" t="n"/>
      <c r="E208" s="26" t="n"/>
      <c r="F208" s="26" t="n"/>
      <c r="G208" s="28" t="n"/>
      <c r="H208" s="29" t="n"/>
      <c r="I208" s="29" t="n"/>
      <c r="J208" s="26" t="n"/>
      <c r="K208" s="30" t="n"/>
      <c r="L208" s="26" t="n"/>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31" t="n"/>
      <c r="AM208" s="30"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row>
    <row r="209" ht="13" customHeight="1">
      <c r="A209" s="25" t="n"/>
      <c r="B209" s="26" t="n"/>
      <c r="C209" s="26" t="n"/>
      <c r="D209" s="27" t="n"/>
      <c r="E209" s="26" t="n"/>
      <c r="F209" s="26" t="n"/>
      <c r="G209" s="28" t="n"/>
      <c r="H209" s="29" t="n"/>
      <c r="I209" s="29" t="n"/>
      <c r="J209" s="26" t="n"/>
      <c r="K209" s="30" t="n"/>
      <c r="L209" s="26" t="n"/>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31" t="n"/>
      <c r="AM209" s="30"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row>
    <row r="210" ht="13" customHeight="1">
      <c r="A210" s="25" t="n"/>
      <c r="B210" s="26" t="n"/>
      <c r="C210" s="26" t="n"/>
      <c r="D210" s="27" t="n"/>
      <c r="E210" s="26" t="n"/>
      <c r="F210" s="26" t="n"/>
      <c r="G210" s="28" t="n"/>
      <c r="H210" s="29" t="n"/>
      <c r="I210" s="29" t="n"/>
      <c r="J210" s="26" t="n"/>
      <c r="K210" s="30" t="n"/>
      <c r="L210" s="26" t="n"/>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31" t="n"/>
      <c r="AM210" s="30"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row>
    <row r="211" ht="13" customHeight="1">
      <c r="A211" s="25" t="n"/>
      <c r="B211" s="26" t="n"/>
      <c r="C211" s="26" t="n"/>
      <c r="D211" s="27" t="n"/>
      <c r="E211" s="26" t="n"/>
      <c r="F211" s="26" t="n"/>
      <c r="G211" s="28" t="n"/>
      <c r="H211" s="29" t="n"/>
      <c r="I211" s="29" t="n"/>
      <c r="J211" s="26" t="n"/>
      <c r="K211" s="30" t="n"/>
      <c r="L211" s="26" t="n"/>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31" t="n"/>
      <c r="AM211" s="30"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row>
    <row r="212" ht="13" customHeight="1">
      <c r="A212" s="25" t="n"/>
      <c r="B212" s="26" t="n"/>
      <c r="C212" s="26" t="n"/>
      <c r="D212" s="27" t="n"/>
      <c r="E212" s="26" t="n"/>
      <c r="F212" s="26" t="n"/>
      <c r="G212" s="28" t="n"/>
      <c r="H212" s="29" t="n"/>
      <c r="I212" s="29" t="n"/>
      <c r="J212" s="26" t="n"/>
      <c r="K212" s="30" t="n"/>
      <c r="L212" s="26" t="n"/>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31" t="n"/>
      <c r="AM212" s="30"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row>
    <row r="213" ht="13" customHeight="1">
      <c r="A213" s="25" t="n"/>
      <c r="B213" s="26" t="n"/>
      <c r="C213" s="26" t="n"/>
      <c r="D213" s="27" t="n"/>
      <c r="E213" s="26" t="n"/>
      <c r="F213" s="26" t="n"/>
      <c r="G213" s="28" t="n"/>
      <c r="H213" s="29" t="n"/>
      <c r="I213" s="29" t="n"/>
      <c r="J213" s="26" t="n"/>
      <c r="K213" s="30" t="n"/>
      <c r="L213" s="26" t="n"/>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31" t="n"/>
      <c r="AM213" s="30"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row>
    <row r="214" ht="13" customHeight="1">
      <c r="A214" s="25" t="n"/>
      <c r="B214" s="26" t="n"/>
      <c r="C214" s="26" t="n"/>
      <c r="D214" s="27" t="n"/>
      <c r="E214" s="26" t="n"/>
      <c r="F214" s="26" t="n"/>
      <c r="G214" s="28" t="n"/>
      <c r="H214" s="29" t="n"/>
      <c r="I214" s="29" t="n"/>
      <c r="J214" s="26" t="n"/>
      <c r="K214" s="30" t="n"/>
      <c r="L214" s="26" t="n"/>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31" t="n"/>
      <c r="AM214" s="30"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row>
    <row r="215" ht="13" customHeight="1">
      <c r="A215" s="25" t="n"/>
      <c r="B215" s="26" t="n"/>
      <c r="C215" s="26" t="n"/>
      <c r="D215" s="27" t="n"/>
      <c r="E215" s="26" t="n"/>
      <c r="F215" s="26" t="n"/>
      <c r="G215" s="28" t="n"/>
      <c r="H215" s="29" t="n"/>
      <c r="I215" s="29" t="n"/>
      <c r="J215" s="26" t="n"/>
      <c r="K215" s="30" t="n"/>
      <c r="L215" s="26" t="n"/>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31" t="n"/>
      <c r="AM215" s="30"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row>
    <row r="216" ht="13" customHeight="1">
      <c r="A216" s="25" t="n"/>
      <c r="B216" s="26" t="n"/>
      <c r="C216" s="26" t="n"/>
      <c r="D216" s="27" t="n"/>
      <c r="E216" s="26" t="n"/>
      <c r="F216" s="26" t="n"/>
      <c r="G216" s="28" t="n"/>
      <c r="H216" s="29" t="n"/>
      <c r="I216" s="29" t="n"/>
      <c r="J216" s="26" t="n"/>
      <c r="K216" s="30" t="n"/>
      <c r="L216" s="26" t="n"/>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31" t="n"/>
      <c r="AM216" s="30"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row>
    <row r="217" ht="13" customHeight="1">
      <c r="A217" s="25" t="n"/>
      <c r="B217" s="26" t="n"/>
      <c r="C217" s="26" t="n"/>
      <c r="D217" s="27" t="n"/>
      <c r="E217" s="26" t="n"/>
      <c r="F217" s="26" t="n"/>
      <c r="G217" s="28" t="n"/>
      <c r="H217" s="29" t="n"/>
      <c r="I217" s="29" t="n"/>
      <c r="J217" s="26" t="n"/>
      <c r="K217" s="30" t="n"/>
      <c r="L217" s="26" t="n"/>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31" t="n"/>
      <c r="AM217" s="30"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row>
    <row r="218" ht="13" customHeight="1">
      <c r="A218" s="25" t="n"/>
      <c r="B218" s="26" t="n"/>
      <c r="C218" s="26" t="n"/>
      <c r="D218" s="27" t="n"/>
      <c r="E218" s="26" t="n"/>
      <c r="F218" s="26" t="n"/>
      <c r="G218" s="28" t="n"/>
      <c r="H218" s="29" t="n"/>
      <c r="I218" s="29" t="n"/>
      <c r="J218" s="26" t="n"/>
      <c r="K218" s="30" t="n"/>
      <c r="L218" s="26" t="n"/>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31" t="n"/>
      <c r="AM218" s="30"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row>
    <row r="219" ht="13" customHeight="1">
      <c r="A219" s="25" t="n"/>
      <c r="B219" s="26" t="n"/>
      <c r="C219" s="26" t="n"/>
      <c r="D219" s="27" t="n"/>
      <c r="E219" s="26" t="n"/>
      <c r="F219" s="26" t="n"/>
      <c r="G219" s="28" t="n"/>
      <c r="H219" s="29" t="n"/>
      <c r="I219" s="29" t="n"/>
      <c r="J219" s="26" t="n"/>
      <c r="K219" s="30" t="n"/>
      <c r="L219" s="26" t="n"/>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31" t="n"/>
      <c r="AM219" s="30"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row>
    <row r="220" ht="13" customHeight="1">
      <c r="A220" s="25" t="n"/>
      <c r="B220" s="26" t="n"/>
      <c r="C220" s="26" t="n"/>
      <c r="D220" s="27" t="n"/>
      <c r="E220" s="26" t="n"/>
      <c r="F220" s="26" t="n"/>
      <c r="G220" s="28" t="n"/>
      <c r="H220" s="29" t="n"/>
      <c r="I220" s="29" t="n"/>
      <c r="J220" s="26" t="n"/>
      <c r="K220" s="30" t="n"/>
      <c r="L220" s="26" t="n"/>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31" t="n"/>
      <c r="AM220" s="30"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row>
    <row r="221" ht="13" customHeight="1">
      <c r="A221" s="25" t="n"/>
      <c r="B221" s="26" t="n"/>
      <c r="C221" s="26" t="n"/>
      <c r="D221" s="27" t="n"/>
      <c r="E221" s="26" t="n"/>
      <c r="F221" s="26" t="n"/>
      <c r="G221" s="28" t="n"/>
      <c r="H221" s="29" t="n"/>
      <c r="I221" s="29" t="n"/>
      <c r="J221" s="26" t="n"/>
      <c r="K221" s="30" t="n"/>
      <c r="L221" s="26" t="n"/>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31" t="n"/>
      <c r="AM221" s="30"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row>
    <row r="222" ht="13" customHeight="1">
      <c r="A222" s="25" t="n"/>
      <c r="B222" s="26" t="n"/>
      <c r="C222" s="26" t="n"/>
      <c r="D222" s="27" t="n"/>
      <c r="E222" s="26" t="n"/>
      <c r="F222" s="26" t="n"/>
      <c r="G222" s="28" t="n"/>
      <c r="H222" s="29" t="n"/>
      <c r="I222" s="29" t="n"/>
      <c r="J222" s="26" t="n"/>
      <c r="K222" s="30" t="n"/>
      <c r="L222" s="26" t="n"/>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31" t="n"/>
      <c r="AM222" s="30"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row>
    <row r="223" ht="13" customHeight="1">
      <c r="A223" s="25" t="n"/>
      <c r="B223" s="26" t="n"/>
      <c r="C223" s="26" t="n"/>
      <c r="D223" s="27" t="n"/>
      <c r="E223" s="26" t="n"/>
      <c r="F223" s="26" t="n"/>
      <c r="G223" s="28" t="n"/>
      <c r="H223" s="29" t="n"/>
      <c r="I223" s="29" t="n"/>
      <c r="J223" s="26" t="n"/>
      <c r="K223" s="30" t="n"/>
      <c r="L223" s="26" t="n"/>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31" t="n"/>
      <c r="AM223" s="30"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row>
    <row r="224" ht="13" customHeight="1">
      <c r="A224" s="25" t="n"/>
      <c r="B224" s="26" t="n"/>
      <c r="C224" s="26" t="n"/>
      <c r="D224" s="27" t="n"/>
      <c r="E224" s="26" t="n"/>
      <c r="F224" s="26" t="n"/>
      <c r="G224" s="28" t="n"/>
      <c r="H224" s="29" t="n"/>
      <c r="I224" s="29" t="n"/>
      <c r="J224" s="26" t="n"/>
      <c r="K224" s="30" t="n"/>
      <c r="L224" s="26" t="n"/>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31" t="n"/>
      <c r="AM224" s="30"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row>
    <row r="225" ht="13" customHeight="1">
      <c r="A225" s="25" t="n"/>
      <c r="B225" s="26" t="n"/>
      <c r="C225" s="26" t="n"/>
      <c r="D225" s="27" t="n"/>
      <c r="E225" s="26" t="n"/>
      <c r="F225" s="26" t="n"/>
      <c r="G225" s="28" t="n"/>
      <c r="H225" s="29" t="n"/>
      <c r="I225" s="29" t="n"/>
      <c r="J225" s="26" t="n"/>
      <c r="K225" s="30" t="n"/>
      <c r="L225" s="26" t="n"/>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31" t="n"/>
      <c r="AM225" s="30"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row>
    <row r="226" ht="13" customHeight="1">
      <c r="A226" s="25" t="n"/>
      <c r="B226" s="26" t="n"/>
      <c r="C226" s="26" t="n"/>
      <c r="D226" s="27" t="n"/>
      <c r="E226" s="26" t="n"/>
      <c r="F226" s="26" t="n"/>
      <c r="G226" s="28" t="n"/>
      <c r="H226" s="29" t="n"/>
      <c r="I226" s="29" t="n"/>
      <c r="J226" s="26" t="n"/>
      <c r="K226" s="30" t="n"/>
      <c r="L226" s="26" t="n"/>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31" t="n"/>
      <c r="AM226" s="30"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row>
    <row r="227" ht="13" customHeight="1">
      <c r="A227" s="25" t="n"/>
      <c r="B227" s="26" t="n"/>
      <c r="C227" s="26" t="n"/>
      <c r="D227" s="27" t="n"/>
      <c r="E227" s="26" t="n"/>
      <c r="F227" s="26" t="n"/>
      <c r="G227" s="28" t="n"/>
      <c r="H227" s="29" t="n"/>
      <c r="I227" s="29" t="n"/>
      <c r="J227" s="26" t="n"/>
      <c r="K227" s="30" t="n"/>
      <c r="L227" s="26" t="n"/>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31" t="n"/>
      <c r="AM227" s="30"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row>
    <row r="228" ht="13" customHeight="1">
      <c r="A228" s="25" t="n"/>
      <c r="B228" s="26" t="n"/>
      <c r="C228" s="26" t="n"/>
      <c r="D228" s="27" t="n"/>
      <c r="E228" s="26" t="n"/>
      <c r="F228" s="26" t="n"/>
      <c r="G228" s="28" t="n"/>
      <c r="H228" s="29" t="n"/>
      <c r="I228" s="29" t="n"/>
      <c r="J228" s="26" t="n"/>
      <c r="K228" s="30" t="n"/>
      <c r="L228" s="26" t="n"/>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31" t="n"/>
      <c r="AM228" s="30"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row>
    <row r="229" ht="13" customHeight="1">
      <c r="A229" s="25" t="n"/>
      <c r="B229" s="26" t="n"/>
      <c r="C229" s="26" t="n"/>
      <c r="D229" s="27" t="n"/>
      <c r="E229" s="26" t="n"/>
      <c r="F229" s="26" t="n"/>
      <c r="G229" s="28" t="n"/>
      <c r="H229" s="29" t="n"/>
      <c r="I229" s="29" t="n"/>
      <c r="J229" s="26" t="n"/>
      <c r="K229" s="30" t="n"/>
      <c r="L229" s="26" t="n"/>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31" t="n"/>
      <c r="AM229" s="30"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row>
    <row r="230" ht="13" customHeight="1">
      <c r="A230" s="25" t="n"/>
      <c r="B230" s="26" t="n"/>
      <c r="C230" s="26" t="n"/>
      <c r="D230" s="27" t="n"/>
      <c r="E230" s="26" t="n"/>
      <c r="F230" s="26" t="n"/>
      <c r="G230" s="28" t="n"/>
      <c r="H230" s="29" t="n"/>
      <c r="I230" s="29" t="n"/>
      <c r="J230" s="26" t="n"/>
      <c r="K230" s="30" t="n"/>
      <c r="L230" s="26" t="n"/>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31" t="n"/>
      <c r="AM230" s="30"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row>
    <row r="231" ht="13" customHeight="1">
      <c r="A231" s="25" t="n"/>
      <c r="B231" s="26" t="n"/>
      <c r="C231" s="26" t="n"/>
      <c r="D231" s="27" t="n"/>
      <c r="E231" s="26" t="n"/>
      <c r="F231" s="26" t="n"/>
      <c r="G231" s="28" t="n"/>
      <c r="H231" s="29" t="n"/>
      <c r="I231" s="29" t="n"/>
      <c r="J231" s="26" t="n"/>
      <c r="K231" s="30" t="n"/>
      <c r="L231" s="26" t="n"/>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31" t="n"/>
      <c r="AM231" s="30"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row>
    <row r="232" ht="13" customHeight="1">
      <c r="A232" s="25" t="n"/>
      <c r="B232" s="26" t="n"/>
      <c r="C232" s="26" t="n"/>
      <c r="D232" s="27" t="n"/>
      <c r="E232" s="26" t="n"/>
      <c r="F232" s="26" t="n"/>
      <c r="G232" s="28" t="n"/>
      <c r="H232" s="29" t="n"/>
      <c r="I232" s="29" t="n"/>
      <c r="J232" s="26" t="n"/>
      <c r="K232" s="30" t="n"/>
      <c r="L232" s="26" t="n"/>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31" t="n"/>
      <c r="AM232" s="30"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row>
    <row r="233" ht="13" customHeight="1">
      <c r="A233" s="25" t="n"/>
      <c r="B233" s="26" t="n"/>
      <c r="C233" s="26" t="n"/>
      <c r="D233" s="27" t="n"/>
      <c r="E233" s="26" t="n"/>
      <c r="F233" s="26" t="n"/>
      <c r="G233" s="28" t="n"/>
      <c r="H233" s="29" t="n"/>
      <c r="I233" s="29" t="n"/>
      <c r="J233" s="26" t="n"/>
      <c r="K233" s="30" t="n"/>
      <c r="L233" s="26" t="n"/>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31" t="n"/>
      <c r="AM233" s="30"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row>
    <row r="234" ht="13" customHeight="1">
      <c r="A234" s="25" t="n"/>
      <c r="B234" s="26" t="n"/>
      <c r="C234" s="26" t="n"/>
      <c r="D234" s="27" t="n"/>
      <c r="E234" s="26" t="n"/>
      <c r="F234" s="26" t="n"/>
      <c r="G234" s="28" t="n"/>
      <c r="H234" s="29" t="n"/>
      <c r="I234" s="29" t="n"/>
      <c r="J234" s="26" t="n"/>
      <c r="K234" s="30" t="n"/>
      <c r="L234" s="26" t="n"/>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31" t="n"/>
      <c r="AM234" s="30"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row>
    <row r="235" ht="13" customHeight="1">
      <c r="A235" s="25" t="n"/>
      <c r="B235" s="26" t="n"/>
      <c r="C235" s="26" t="n"/>
      <c r="D235" s="27" t="n"/>
      <c r="E235" s="26" t="n"/>
      <c r="F235" s="26" t="n"/>
      <c r="G235" s="28" t="n"/>
      <c r="H235" s="29" t="n"/>
      <c r="I235" s="29" t="n"/>
      <c r="J235" s="26" t="n"/>
      <c r="K235" s="30" t="n"/>
      <c r="L235" s="26" t="n"/>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31" t="n"/>
      <c r="AM235" s="30"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row>
    <row r="236" ht="13" customHeight="1">
      <c r="A236" s="25" t="n"/>
      <c r="B236" s="26" t="n"/>
      <c r="C236" s="26" t="n"/>
      <c r="D236" s="27" t="n"/>
      <c r="E236" s="26" t="n"/>
      <c r="F236" s="26" t="n"/>
      <c r="G236" s="28" t="n"/>
      <c r="H236" s="29" t="n"/>
      <c r="I236" s="29" t="n"/>
      <c r="J236" s="26" t="n"/>
      <c r="K236" s="30" t="n"/>
      <c r="L236" s="26" t="n"/>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31" t="n"/>
      <c r="AM236" s="30"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row>
    <row r="237" ht="13" customHeight="1">
      <c r="A237" s="25" t="n"/>
      <c r="B237" s="26" t="n"/>
      <c r="C237" s="26" t="n"/>
      <c r="D237" s="27" t="n"/>
      <c r="E237" s="26" t="n"/>
      <c r="F237" s="26" t="n"/>
      <c r="G237" s="28" t="n"/>
      <c r="H237" s="29" t="n"/>
      <c r="I237" s="29" t="n"/>
      <c r="J237" s="26" t="n"/>
      <c r="K237" s="30" t="n"/>
      <c r="L237" s="26" t="n"/>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31" t="n"/>
      <c r="AM237" s="30"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row>
    <row r="238" ht="13" customHeight="1">
      <c r="A238" s="25" t="n"/>
      <c r="B238" s="26" t="n"/>
      <c r="C238" s="26" t="n"/>
      <c r="D238" s="27" t="n"/>
      <c r="E238" s="26" t="n"/>
      <c r="F238" s="26" t="n"/>
      <c r="G238" s="28" t="n"/>
      <c r="H238" s="29" t="n"/>
      <c r="I238" s="29" t="n"/>
      <c r="J238" s="26" t="n"/>
      <c r="K238" s="30" t="n"/>
      <c r="L238" s="26" t="n"/>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31" t="n"/>
      <c r="AM238" s="30"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row>
    <row r="239" ht="13" customHeight="1">
      <c r="A239" s="25" t="n"/>
      <c r="B239" s="26" t="n"/>
      <c r="C239" s="26" t="n"/>
      <c r="D239" s="27" t="n"/>
      <c r="E239" s="26" t="n"/>
      <c r="F239" s="26" t="n"/>
      <c r="G239" s="28" t="n"/>
      <c r="H239" s="29" t="n"/>
      <c r="I239" s="29" t="n"/>
      <c r="J239" s="26" t="n"/>
      <c r="K239" s="30" t="n"/>
      <c r="L239" s="26" t="n"/>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31" t="n"/>
      <c r="AM239" s="30"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row>
    <row r="240" ht="13" customHeight="1">
      <c r="A240" s="25" t="n"/>
      <c r="B240" s="26" t="n"/>
      <c r="C240" s="26" t="n"/>
      <c r="D240" s="27" t="n"/>
      <c r="E240" s="26" t="n"/>
      <c r="F240" s="26" t="n"/>
      <c r="G240" s="28" t="n"/>
      <c r="H240" s="29" t="n"/>
      <c r="I240" s="29" t="n"/>
      <c r="J240" s="26" t="n"/>
      <c r="K240" s="30" t="n"/>
      <c r="L240" s="26" t="n"/>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31" t="n"/>
      <c r="AM240" s="30"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row>
    <row r="241" ht="13" customHeight="1">
      <c r="A241" s="25" t="n"/>
      <c r="B241" s="26" t="n"/>
      <c r="C241" s="26" t="n"/>
      <c r="D241" s="27" t="n"/>
      <c r="E241" s="26" t="n"/>
      <c r="F241" s="26" t="n"/>
      <c r="G241" s="28" t="n"/>
      <c r="H241" s="29" t="n"/>
      <c r="I241" s="29" t="n"/>
      <c r="J241" s="26" t="n"/>
      <c r="K241" s="30" t="n"/>
      <c r="L241" s="26" t="n"/>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31" t="n"/>
      <c r="AM241" s="30"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row>
    <row r="242" ht="13" customHeight="1">
      <c r="A242" s="25" t="n"/>
      <c r="B242" s="26" t="n"/>
      <c r="C242" s="26" t="n"/>
      <c r="D242" s="27" t="n"/>
      <c r="E242" s="26" t="n"/>
      <c r="F242" s="26" t="n"/>
      <c r="G242" s="28" t="n"/>
      <c r="H242" s="29" t="n"/>
      <c r="I242" s="29" t="n"/>
      <c r="J242" s="26" t="n"/>
      <c r="K242" s="30" t="n"/>
      <c r="L242" s="26" t="n"/>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31" t="n"/>
      <c r="AM242" s="30"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row>
    <row r="243" ht="13" customHeight="1">
      <c r="A243" s="25" t="n"/>
      <c r="B243" s="26" t="n"/>
      <c r="C243" s="26" t="n"/>
      <c r="D243" s="27" t="n"/>
      <c r="E243" s="26" t="n"/>
      <c r="F243" s="26" t="n"/>
      <c r="G243" s="28" t="n"/>
      <c r="H243" s="29" t="n"/>
      <c r="I243" s="29" t="n"/>
      <c r="J243" s="26" t="n"/>
      <c r="K243" s="30" t="n"/>
      <c r="L243" s="26" t="n"/>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31" t="n"/>
      <c r="AM243" s="30"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row>
    <row r="244" ht="13" customHeight="1">
      <c r="A244" s="25" t="n"/>
      <c r="B244" s="26" t="n"/>
      <c r="C244" s="26" t="n"/>
      <c r="D244" s="27" t="n"/>
      <c r="E244" s="26" t="n"/>
      <c r="F244" s="26" t="n"/>
      <c r="G244" s="28" t="n"/>
      <c r="H244" s="29" t="n"/>
      <c r="I244" s="29" t="n"/>
      <c r="J244" s="26" t="n"/>
      <c r="K244" s="30" t="n"/>
      <c r="L244" s="26" t="n"/>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31" t="n"/>
      <c r="AM244" s="30"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row>
    <row r="245" ht="13" customHeight="1">
      <c r="A245" s="25" t="n"/>
      <c r="B245" s="26" t="n"/>
      <c r="C245" s="26" t="n"/>
      <c r="D245" s="27" t="n"/>
      <c r="E245" s="26" t="n"/>
      <c r="F245" s="26" t="n"/>
      <c r="G245" s="28" t="n"/>
      <c r="H245" s="29" t="n"/>
      <c r="I245" s="29" t="n"/>
      <c r="J245" s="26" t="n"/>
      <c r="K245" s="30" t="n"/>
      <c r="L245" s="26" t="n"/>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31" t="n"/>
      <c r="AM245" s="30"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row>
    <row r="246" ht="13" customHeight="1">
      <c r="A246" s="25" t="n"/>
      <c r="B246" s="26" t="n"/>
      <c r="C246" s="26" t="n"/>
      <c r="D246" s="27" t="n"/>
      <c r="E246" s="26" t="n"/>
      <c r="F246" s="26" t="n"/>
      <c r="G246" s="28" t="n"/>
      <c r="H246" s="29" t="n"/>
      <c r="I246" s="29" t="n"/>
      <c r="J246" s="26" t="n"/>
      <c r="K246" s="30" t="n"/>
      <c r="L246" s="26" t="n"/>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31" t="n"/>
      <c r="AM246" s="30"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row>
    <row r="247" ht="13" customHeight="1">
      <c r="A247" s="25" t="n"/>
      <c r="B247" s="26" t="n"/>
      <c r="C247" s="26" t="n"/>
      <c r="D247" s="27" t="n"/>
      <c r="E247" s="26" t="n"/>
      <c r="F247" s="26" t="n"/>
      <c r="G247" s="28" t="n"/>
      <c r="H247" s="29" t="n"/>
      <c r="I247" s="29" t="n"/>
      <c r="J247" s="26" t="n"/>
      <c r="K247" s="30" t="n"/>
      <c r="L247" s="26" t="n"/>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31" t="n"/>
      <c r="AM247" s="30"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row>
    <row r="248" ht="13" customHeight="1">
      <c r="A248" s="25" t="n"/>
      <c r="B248" s="26" t="n"/>
      <c r="C248" s="26" t="n"/>
      <c r="D248" s="27" t="n"/>
      <c r="E248" s="26" t="n"/>
      <c r="F248" s="26" t="n"/>
      <c r="G248" s="28" t="n"/>
      <c r="H248" s="29" t="n"/>
      <c r="I248" s="29" t="n"/>
      <c r="J248" s="26" t="n"/>
      <c r="K248" s="30" t="n"/>
      <c r="L248" s="26" t="n"/>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31" t="n"/>
      <c r="AM248" s="30"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row>
    <row r="249" ht="13" customHeight="1">
      <c r="A249" s="25" t="n"/>
      <c r="B249" s="26" t="n"/>
      <c r="C249" s="26" t="n"/>
      <c r="D249" s="27" t="n"/>
      <c r="E249" s="26" t="n"/>
      <c r="F249" s="26" t="n"/>
      <c r="G249" s="28" t="n"/>
      <c r="H249" s="29" t="n"/>
      <c r="I249" s="29" t="n"/>
      <c r="J249" s="26" t="n"/>
      <c r="K249" s="30" t="n"/>
      <c r="L249" s="26" t="n"/>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31" t="n"/>
      <c r="AM249" s="30"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row>
    <row r="250" ht="13" customHeight="1">
      <c r="A250" s="25" t="n"/>
      <c r="B250" s="26" t="n"/>
      <c r="C250" s="26" t="n"/>
      <c r="D250" s="27" t="n"/>
      <c r="E250" s="26" t="n"/>
      <c r="F250" s="26" t="n"/>
      <c r="G250" s="28" t="n"/>
      <c r="H250" s="29" t="n"/>
      <c r="I250" s="29" t="n"/>
      <c r="J250" s="26" t="n"/>
      <c r="K250" s="30" t="n"/>
      <c r="L250" s="26" t="n"/>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31" t="n"/>
      <c r="AM250" s="30"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row>
    <row r="251" ht="13" customHeight="1">
      <c r="A251" s="25" t="n"/>
      <c r="B251" s="26" t="n"/>
      <c r="C251" s="26" t="n"/>
      <c r="D251" s="27" t="n"/>
      <c r="E251" s="26" t="n"/>
      <c r="F251" s="26" t="n"/>
      <c r="G251" s="28" t="n"/>
      <c r="H251" s="29" t="n"/>
      <c r="I251" s="29" t="n"/>
      <c r="J251" s="26" t="n"/>
      <c r="K251" s="30" t="n"/>
      <c r="L251" s="26" t="n"/>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31" t="n"/>
      <c r="AM251" s="30"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row>
    <row r="252" ht="13" customHeight="1">
      <c r="A252" s="25" t="n"/>
      <c r="B252" s="26" t="n"/>
      <c r="C252" s="26" t="n"/>
      <c r="D252" s="27" t="n"/>
      <c r="E252" s="26" t="n"/>
      <c r="F252" s="26" t="n"/>
      <c r="G252" s="28" t="n"/>
      <c r="H252" s="29" t="n"/>
      <c r="I252" s="29" t="n"/>
      <c r="J252" s="26" t="n"/>
      <c r="K252" s="30" t="n"/>
      <c r="L252" s="26" t="n"/>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31" t="n"/>
      <c r="AM252" s="30"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row>
    <row r="253" ht="13" customHeight="1">
      <c r="A253" s="25" t="n"/>
      <c r="B253" s="26" t="n"/>
      <c r="C253" s="26" t="n"/>
      <c r="D253" s="27" t="n"/>
      <c r="E253" s="26" t="n"/>
      <c r="F253" s="26" t="n"/>
      <c r="G253" s="28" t="n"/>
      <c r="H253" s="29" t="n"/>
      <c r="I253" s="29" t="n"/>
      <c r="J253" s="26" t="n"/>
      <c r="K253" s="30" t="n"/>
      <c r="L253" s="26" t="n"/>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31" t="n"/>
      <c r="AM253" s="30"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row>
    <row r="254" ht="13" customHeight="1">
      <c r="A254" s="25" t="n"/>
      <c r="B254" s="26" t="n"/>
      <c r="C254" s="26" t="n"/>
      <c r="D254" s="27" t="n"/>
      <c r="E254" s="26" t="n"/>
      <c r="F254" s="26" t="n"/>
      <c r="G254" s="28" t="n"/>
      <c r="H254" s="29" t="n"/>
      <c r="I254" s="29" t="n"/>
      <c r="J254" s="26" t="n"/>
      <c r="K254" s="30" t="n"/>
      <c r="L254" s="26" t="n"/>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31" t="n"/>
      <c r="AM254" s="30"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row>
    <row r="255" ht="13" customHeight="1">
      <c r="A255" s="25" t="n"/>
      <c r="B255" s="26" t="n"/>
      <c r="C255" s="26" t="n"/>
      <c r="D255" s="27" t="n"/>
      <c r="E255" s="26" t="n"/>
      <c r="F255" s="26" t="n"/>
      <c r="G255" s="28" t="n"/>
      <c r="H255" s="29" t="n"/>
      <c r="I255" s="29" t="n"/>
      <c r="J255" s="26" t="n"/>
      <c r="K255" s="30" t="n"/>
      <c r="L255" s="26" t="n"/>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31" t="n"/>
      <c r="AM255" s="30"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row>
    <row r="256" ht="13" customHeight="1">
      <c r="A256" s="25" t="n"/>
      <c r="B256" s="26" t="n"/>
      <c r="C256" s="26" t="n"/>
      <c r="D256" s="27" t="n"/>
      <c r="E256" s="26" t="n"/>
      <c r="F256" s="26" t="n"/>
      <c r="G256" s="28" t="n"/>
      <c r="H256" s="29" t="n"/>
      <c r="I256" s="29" t="n"/>
      <c r="J256" s="26" t="n"/>
      <c r="K256" s="30" t="n"/>
      <c r="L256" s="26" t="n"/>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31" t="n"/>
      <c r="AM256" s="30"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row>
    <row r="257" ht="13" customHeight="1">
      <c r="A257" s="25" t="n"/>
      <c r="B257" s="26" t="n"/>
      <c r="C257" s="26" t="n"/>
      <c r="D257" s="27" t="n"/>
      <c r="E257" s="26" t="n"/>
      <c r="F257" s="26" t="n"/>
      <c r="G257" s="28" t="n"/>
      <c r="H257" s="29" t="n"/>
      <c r="I257" s="29" t="n"/>
      <c r="J257" s="26" t="n"/>
      <c r="K257" s="30" t="n"/>
      <c r="L257" s="26" t="n"/>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31" t="n"/>
      <c r="AM257" s="30"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row>
    <row r="258" ht="13" customHeight="1">
      <c r="A258" s="25" t="n"/>
      <c r="B258" s="26" t="n"/>
      <c r="C258" s="26" t="n"/>
      <c r="D258" s="27" t="n"/>
      <c r="E258" s="26" t="n"/>
      <c r="F258" s="26" t="n"/>
      <c r="G258" s="28" t="n"/>
      <c r="H258" s="29" t="n"/>
      <c r="I258" s="29" t="n"/>
      <c r="J258" s="26" t="n"/>
      <c r="K258" s="30" t="n"/>
      <c r="L258" s="26" t="n"/>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31" t="n"/>
      <c r="AM258" s="30"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row>
    <row r="259" ht="13" customHeight="1">
      <c r="A259" s="25" t="n"/>
      <c r="B259" s="26" t="n"/>
      <c r="C259" s="26" t="n"/>
      <c r="D259" s="27" t="n"/>
      <c r="E259" s="26" t="n"/>
      <c r="F259" s="26" t="n"/>
      <c r="G259" s="28" t="n"/>
      <c r="H259" s="29" t="n"/>
      <c r="I259" s="29" t="n"/>
      <c r="J259" s="26" t="n"/>
      <c r="K259" s="30" t="n"/>
      <c r="L259" s="26" t="n"/>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31" t="n"/>
      <c r="AM259" s="30"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row>
    <row r="260" ht="13" customHeight="1">
      <c r="A260" s="25" t="n"/>
      <c r="B260" s="26" t="n"/>
      <c r="C260" s="26" t="n"/>
      <c r="D260" s="27" t="n"/>
      <c r="E260" s="26" t="n"/>
      <c r="F260" s="26" t="n"/>
      <c r="G260" s="28" t="n"/>
      <c r="H260" s="29" t="n"/>
      <c r="I260" s="29" t="n"/>
      <c r="J260" s="26" t="n"/>
      <c r="K260" s="30" t="n"/>
      <c r="L260" s="26" t="n"/>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31" t="n"/>
      <c r="AM260" s="30"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row>
    <row r="261" ht="13" customHeight="1">
      <c r="A261" s="25" t="n"/>
      <c r="B261" s="26" t="n"/>
      <c r="C261" s="26" t="n"/>
      <c r="D261" s="27" t="n"/>
      <c r="E261" s="26" t="n"/>
      <c r="F261" s="26" t="n"/>
      <c r="G261" s="28" t="n"/>
      <c r="H261" s="29" t="n"/>
      <c r="I261" s="29" t="n"/>
      <c r="J261" s="26" t="n"/>
      <c r="K261" s="30" t="n"/>
      <c r="L261" s="26" t="n"/>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31" t="n"/>
      <c r="AM261" s="30"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row>
    <row r="262" ht="13" customHeight="1">
      <c r="A262" s="25" t="n"/>
      <c r="B262" s="26" t="n"/>
      <c r="C262" s="26" t="n"/>
      <c r="D262" s="27" t="n"/>
      <c r="E262" s="26" t="n"/>
      <c r="F262" s="26" t="n"/>
      <c r="G262" s="28" t="n"/>
      <c r="H262" s="29" t="n"/>
      <c r="I262" s="29" t="n"/>
      <c r="J262" s="26" t="n"/>
      <c r="K262" s="30" t="n"/>
      <c r="L262" s="26" t="n"/>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31" t="n"/>
      <c r="AM262" s="30"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row>
    <row r="263" ht="13" customHeight="1">
      <c r="A263" s="25" t="n"/>
      <c r="B263" s="26" t="n"/>
      <c r="C263" s="26" t="n"/>
      <c r="D263" s="27" t="n"/>
      <c r="E263" s="26" t="n"/>
      <c r="F263" s="26" t="n"/>
      <c r="G263" s="28" t="n"/>
      <c r="H263" s="29" t="n"/>
      <c r="I263" s="29" t="n"/>
      <c r="J263" s="26" t="n"/>
      <c r="K263" s="30" t="n"/>
      <c r="L263" s="26" t="n"/>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31" t="n"/>
      <c r="AM263" s="30"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row>
    <row r="264" ht="13" customHeight="1">
      <c r="A264" s="25" t="n"/>
      <c r="B264" s="26" t="n"/>
      <c r="C264" s="26" t="n"/>
      <c r="D264" s="27" t="n"/>
      <c r="E264" s="26" t="n"/>
      <c r="F264" s="26" t="n"/>
      <c r="G264" s="28" t="n"/>
      <c r="H264" s="29" t="n"/>
      <c r="I264" s="29" t="n"/>
      <c r="J264" s="26" t="n"/>
      <c r="K264" s="30" t="n"/>
      <c r="L264" s="26" t="n"/>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31" t="n"/>
      <c r="AM264" s="30"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row>
    <row r="265" ht="13" customHeight="1">
      <c r="A265" s="25" t="n"/>
      <c r="B265" s="26" t="n"/>
      <c r="C265" s="26" t="n"/>
      <c r="D265" s="27" t="n"/>
      <c r="E265" s="26" t="n"/>
      <c r="F265" s="26" t="n"/>
      <c r="G265" s="28" t="n"/>
      <c r="H265" s="29" t="n"/>
      <c r="I265" s="29" t="n"/>
      <c r="J265" s="26" t="n"/>
      <c r="K265" s="30" t="n"/>
      <c r="L265" s="26" t="n"/>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31" t="n"/>
      <c r="AM265" s="30"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row>
    <row r="266" ht="13" customHeight="1">
      <c r="A266" s="25" t="n"/>
      <c r="B266" s="26" t="n"/>
      <c r="C266" s="26" t="n"/>
      <c r="D266" s="27" t="n"/>
      <c r="E266" s="26" t="n"/>
      <c r="F266" s="26" t="n"/>
      <c r="G266" s="28" t="n"/>
      <c r="H266" s="29" t="n"/>
      <c r="I266" s="29" t="n"/>
      <c r="J266" s="26" t="n"/>
      <c r="K266" s="30" t="n"/>
      <c r="L266" s="26" t="n"/>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31" t="n"/>
      <c r="AM266" s="30"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row>
    <row r="267" ht="13" customHeight="1">
      <c r="A267" s="25" t="n"/>
      <c r="B267" s="26" t="n"/>
      <c r="C267" s="26" t="n"/>
      <c r="D267" s="27" t="n"/>
      <c r="E267" s="26" t="n"/>
      <c r="F267" s="26" t="n"/>
      <c r="G267" s="28" t="n"/>
      <c r="H267" s="29" t="n"/>
      <c r="I267" s="29" t="n"/>
      <c r="J267" s="26" t="n"/>
      <c r="K267" s="30" t="n"/>
      <c r="L267" s="26" t="n"/>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31" t="n"/>
      <c r="AM267" s="30"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row>
    <row r="268" ht="13" customHeight="1">
      <c r="A268" s="25" t="n"/>
      <c r="B268" s="26" t="n"/>
      <c r="C268" s="26" t="n"/>
      <c r="D268" s="27" t="n"/>
      <c r="E268" s="26" t="n"/>
      <c r="F268" s="26" t="n"/>
      <c r="G268" s="28" t="n"/>
      <c r="H268" s="29" t="n"/>
      <c r="I268" s="29" t="n"/>
      <c r="J268" s="26" t="n"/>
      <c r="K268" s="30" t="n"/>
      <c r="L268" s="26" t="n"/>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31" t="n"/>
      <c r="AM268" s="30"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row>
    <row r="269" ht="13" customHeight="1">
      <c r="A269" s="25" t="n"/>
      <c r="B269" s="26" t="n"/>
      <c r="C269" s="26" t="n"/>
      <c r="D269" s="27" t="n"/>
      <c r="E269" s="26" t="n"/>
      <c r="F269" s="26" t="n"/>
      <c r="G269" s="28" t="n"/>
      <c r="H269" s="29" t="n"/>
      <c r="I269" s="29" t="n"/>
      <c r="J269" s="26" t="n"/>
      <c r="K269" s="30" t="n"/>
      <c r="L269" s="26" t="n"/>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31" t="n"/>
      <c r="AM269" s="30"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row>
    <row r="270" ht="13" customHeight="1">
      <c r="A270" s="25" t="n"/>
      <c r="B270" s="26" t="n"/>
      <c r="C270" s="26" t="n"/>
      <c r="D270" s="27" t="n"/>
      <c r="E270" s="26" t="n"/>
      <c r="F270" s="26" t="n"/>
      <c r="G270" s="28" t="n"/>
      <c r="H270" s="29" t="n"/>
      <c r="I270" s="29" t="n"/>
      <c r="J270" s="26" t="n"/>
      <c r="K270" s="30" t="n"/>
      <c r="L270" s="26" t="n"/>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31" t="n"/>
      <c r="AM270" s="30"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row>
    <row r="271" ht="13" customHeight="1">
      <c r="A271" s="25" t="n"/>
      <c r="B271" s="26" t="n"/>
      <c r="C271" s="26" t="n"/>
      <c r="D271" s="27" t="n"/>
      <c r="E271" s="26" t="n"/>
      <c r="F271" s="26" t="n"/>
      <c r="G271" s="28" t="n"/>
      <c r="H271" s="29" t="n"/>
      <c r="I271" s="29" t="n"/>
      <c r="J271" s="26" t="n"/>
      <c r="K271" s="30" t="n"/>
      <c r="L271" s="26" t="n"/>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31" t="n"/>
      <c r="AM271" s="30"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row>
    <row r="272" ht="13" customHeight="1">
      <c r="A272" s="25" t="n"/>
      <c r="B272" s="26" t="n"/>
      <c r="C272" s="26" t="n"/>
      <c r="D272" s="27" t="n"/>
      <c r="E272" s="26" t="n"/>
      <c r="F272" s="26" t="n"/>
      <c r="G272" s="28" t="n"/>
      <c r="H272" s="29" t="n"/>
      <c r="I272" s="29" t="n"/>
      <c r="J272" s="26" t="n"/>
      <c r="K272" s="30" t="n"/>
      <c r="L272" s="26" t="n"/>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31" t="n"/>
      <c r="AM272" s="30"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row>
    <row r="273" ht="13" customHeight="1">
      <c r="A273" s="25" t="n"/>
      <c r="B273" s="26" t="n"/>
      <c r="C273" s="26" t="n"/>
      <c r="D273" s="27" t="n"/>
      <c r="E273" s="26" t="n"/>
      <c r="F273" s="26" t="n"/>
      <c r="G273" s="28" t="n"/>
      <c r="H273" s="29" t="n"/>
      <c r="I273" s="29" t="n"/>
      <c r="J273" s="26" t="n"/>
      <c r="K273" s="30" t="n"/>
      <c r="L273" s="26" t="n"/>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31" t="n"/>
      <c r="AM273" s="30"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row>
    <row r="274" ht="13" customHeight="1">
      <c r="A274" s="25" t="n"/>
      <c r="B274" s="26" t="n"/>
      <c r="C274" s="26" t="n"/>
      <c r="D274" s="27" t="n"/>
      <c r="E274" s="26" t="n"/>
      <c r="F274" s="26" t="n"/>
      <c r="G274" s="28" t="n"/>
      <c r="H274" s="29" t="n"/>
      <c r="I274" s="29" t="n"/>
      <c r="J274" s="26" t="n"/>
      <c r="K274" s="30" t="n"/>
      <c r="L274" s="26" t="n"/>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31" t="n"/>
      <c r="AM274" s="30"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row>
    <row r="275" ht="13" customHeight="1">
      <c r="A275" s="25" t="n"/>
      <c r="B275" s="26" t="n"/>
      <c r="C275" s="26" t="n"/>
      <c r="D275" s="27" t="n"/>
      <c r="E275" s="26" t="n"/>
      <c r="F275" s="26" t="n"/>
      <c r="G275" s="28" t="n"/>
      <c r="H275" s="29" t="n"/>
      <c r="I275" s="29" t="n"/>
      <c r="J275" s="26" t="n"/>
      <c r="K275" s="30" t="n"/>
      <c r="L275" s="26" t="n"/>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31" t="n"/>
      <c r="AM275" s="30"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row>
    <row r="276" ht="13" customHeight="1">
      <c r="A276" s="25" t="n"/>
      <c r="B276" s="26" t="n"/>
      <c r="C276" s="26" t="n"/>
      <c r="D276" s="27" t="n"/>
      <c r="E276" s="26" t="n"/>
      <c r="F276" s="26" t="n"/>
      <c r="G276" s="28" t="n"/>
      <c r="H276" s="29" t="n"/>
      <c r="I276" s="29" t="n"/>
      <c r="J276" s="26" t="n"/>
      <c r="K276" s="30" t="n"/>
      <c r="L276" s="26" t="n"/>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31" t="n"/>
      <c r="AM276" s="30"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row>
    <row r="277" ht="13" customHeight="1">
      <c r="A277" s="25" t="n"/>
      <c r="B277" s="26" t="n"/>
      <c r="C277" s="26" t="n"/>
      <c r="D277" s="27" t="n"/>
      <c r="E277" s="26" t="n"/>
      <c r="F277" s="26" t="n"/>
      <c r="G277" s="28" t="n"/>
      <c r="H277" s="29" t="n"/>
      <c r="I277" s="29" t="n"/>
      <c r="J277" s="26" t="n"/>
      <c r="K277" s="30" t="n"/>
      <c r="L277" s="26" t="n"/>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31" t="n"/>
      <c r="AM277" s="30"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row>
    <row r="278" ht="13" customHeight="1">
      <c r="A278" s="25" t="n"/>
      <c r="B278" s="26" t="n"/>
      <c r="C278" s="26" t="n"/>
      <c r="D278" s="27" t="n"/>
      <c r="E278" s="26" t="n"/>
      <c r="F278" s="26" t="n"/>
      <c r="G278" s="28" t="n"/>
      <c r="H278" s="29" t="n"/>
      <c r="I278" s="29" t="n"/>
      <c r="J278" s="26" t="n"/>
      <c r="K278" s="30" t="n"/>
      <c r="L278" s="26" t="n"/>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31" t="n"/>
      <c r="AM278" s="30"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row>
    <row r="279" ht="13" customHeight="1">
      <c r="A279" s="25" t="n"/>
      <c r="B279" s="26" t="n"/>
      <c r="C279" s="26" t="n"/>
      <c r="D279" s="27" t="n"/>
      <c r="E279" s="26" t="n"/>
      <c r="F279" s="26" t="n"/>
      <c r="G279" s="28" t="n"/>
      <c r="H279" s="29" t="n"/>
      <c r="I279" s="29" t="n"/>
      <c r="J279" s="26" t="n"/>
      <c r="K279" s="30" t="n"/>
      <c r="L279" s="26" t="n"/>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31" t="n"/>
      <c r="AM279" s="30"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row>
    <row r="280" ht="13" customHeight="1">
      <c r="A280" s="25" t="n"/>
      <c r="B280" s="26" t="n"/>
      <c r="C280" s="26" t="n"/>
      <c r="D280" s="27" t="n"/>
      <c r="E280" s="26" t="n"/>
      <c r="F280" s="26" t="n"/>
      <c r="G280" s="28" t="n"/>
      <c r="H280" s="29" t="n"/>
      <c r="I280" s="29" t="n"/>
      <c r="J280" s="26" t="n"/>
      <c r="K280" s="30" t="n"/>
      <c r="L280" s="26" t="n"/>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31" t="n"/>
      <c r="AM280" s="30"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row>
    <row r="281" ht="13" customHeight="1">
      <c r="A281" s="25" t="n"/>
      <c r="B281" s="26" t="n"/>
      <c r="C281" s="26" t="n"/>
      <c r="D281" s="27" t="n"/>
      <c r="E281" s="26" t="n"/>
      <c r="F281" s="26" t="n"/>
      <c r="G281" s="28" t="n"/>
      <c r="H281" s="29" t="n"/>
      <c r="I281" s="29" t="n"/>
      <c r="J281" s="26" t="n"/>
      <c r="K281" s="30" t="n"/>
      <c r="L281" s="26" t="n"/>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31" t="n"/>
      <c r="AM281" s="30"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row>
    <row r="282" ht="13" customHeight="1">
      <c r="A282" s="25" t="n"/>
      <c r="B282" s="26" t="n"/>
      <c r="C282" s="26" t="n"/>
      <c r="D282" s="27" t="n"/>
      <c r="E282" s="26" t="n"/>
      <c r="F282" s="26" t="n"/>
      <c r="G282" s="28" t="n"/>
      <c r="H282" s="29" t="n"/>
      <c r="I282" s="29" t="n"/>
      <c r="J282" s="26" t="n"/>
      <c r="K282" s="30" t="n"/>
      <c r="L282" s="26" t="n"/>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31" t="n"/>
      <c r="AM282" s="30"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row>
    <row r="283" ht="13" customHeight="1">
      <c r="A283" s="25" t="n"/>
      <c r="B283" s="26" t="n"/>
      <c r="C283" s="26" t="n"/>
      <c r="D283" s="27" t="n"/>
      <c r="E283" s="26" t="n"/>
      <c r="F283" s="26" t="n"/>
      <c r="G283" s="28" t="n"/>
      <c r="H283" s="29" t="n"/>
      <c r="I283" s="29" t="n"/>
      <c r="J283" s="26" t="n"/>
      <c r="K283" s="30" t="n"/>
      <c r="L283" s="26" t="n"/>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31" t="n"/>
      <c r="AM283" s="30"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row>
    <row r="284" ht="13" customHeight="1">
      <c r="A284" s="25" t="n"/>
      <c r="B284" s="26" t="n"/>
      <c r="C284" s="26" t="n"/>
      <c r="D284" s="27" t="n"/>
      <c r="E284" s="26" t="n"/>
      <c r="F284" s="26" t="n"/>
      <c r="G284" s="28" t="n"/>
      <c r="H284" s="29" t="n"/>
      <c r="I284" s="29" t="n"/>
      <c r="J284" s="26" t="n"/>
      <c r="K284" s="30" t="n"/>
      <c r="L284" s="26" t="n"/>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31" t="n"/>
      <c r="AM284" s="30"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row>
    <row r="285" ht="13" customHeight="1">
      <c r="A285" s="25" t="n"/>
      <c r="B285" s="26" t="n"/>
      <c r="C285" s="26" t="n"/>
      <c r="D285" s="27" t="n"/>
      <c r="E285" s="26" t="n"/>
      <c r="F285" s="26" t="n"/>
      <c r="G285" s="28" t="n"/>
      <c r="H285" s="29" t="n"/>
      <c r="I285" s="29" t="n"/>
      <c r="J285" s="26" t="n"/>
      <c r="K285" s="30" t="n"/>
      <c r="L285" s="26" t="n"/>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31" t="n"/>
      <c r="AM285" s="30"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row>
    <row r="286" ht="13" customHeight="1">
      <c r="A286" s="25" t="n"/>
      <c r="B286" s="26" t="n"/>
      <c r="C286" s="26" t="n"/>
      <c r="D286" s="27" t="n"/>
      <c r="E286" s="26" t="n"/>
      <c r="F286" s="26" t="n"/>
      <c r="G286" s="28" t="n"/>
      <c r="H286" s="29" t="n"/>
      <c r="I286" s="29" t="n"/>
      <c r="J286" s="26" t="n"/>
      <c r="K286" s="30" t="n"/>
      <c r="L286" s="26" t="n"/>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31" t="n"/>
      <c r="AM286" s="30"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row>
    <row r="287" ht="13" customHeight="1">
      <c r="A287" s="25" t="n"/>
      <c r="B287" s="26" t="n"/>
      <c r="C287" s="26" t="n"/>
      <c r="D287" s="27" t="n"/>
      <c r="E287" s="26" t="n"/>
      <c r="F287" s="26" t="n"/>
      <c r="G287" s="28" t="n"/>
      <c r="H287" s="29" t="n"/>
      <c r="I287" s="29" t="n"/>
      <c r="J287" s="26" t="n"/>
      <c r="K287" s="30" t="n"/>
      <c r="L287" s="26" t="n"/>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31" t="n"/>
      <c r="AM287" s="30"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row>
    <row r="288" ht="13" customHeight="1">
      <c r="A288" s="25" t="n"/>
      <c r="B288" s="26" t="n"/>
      <c r="C288" s="26" t="n"/>
      <c r="D288" s="27" t="n"/>
      <c r="E288" s="26" t="n"/>
      <c r="F288" s="26" t="n"/>
      <c r="G288" s="28" t="n"/>
      <c r="H288" s="29" t="n"/>
      <c r="I288" s="29" t="n"/>
      <c r="J288" s="26" t="n"/>
      <c r="K288" s="30" t="n"/>
      <c r="L288" s="26" t="n"/>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31" t="n"/>
      <c r="AM288" s="30"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row>
    <row r="289" ht="13" customHeight="1">
      <c r="A289" s="25" t="n"/>
      <c r="B289" s="26" t="n"/>
      <c r="C289" s="26" t="n"/>
      <c r="D289" s="27" t="n"/>
      <c r="E289" s="26" t="n"/>
      <c r="F289" s="26" t="n"/>
      <c r="G289" s="28" t="n"/>
      <c r="H289" s="29" t="n"/>
      <c r="I289" s="29" t="n"/>
      <c r="J289" s="26" t="n"/>
      <c r="K289" s="30" t="n"/>
      <c r="L289" s="26" t="n"/>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31" t="n"/>
      <c r="AM289" s="30"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row>
    <row r="290" ht="13" customHeight="1">
      <c r="A290" s="25" t="n"/>
      <c r="B290" s="26" t="n"/>
      <c r="C290" s="26" t="n"/>
      <c r="D290" s="27" t="n"/>
      <c r="E290" s="26" t="n"/>
      <c r="F290" s="26" t="n"/>
      <c r="G290" s="28" t="n"/>
      <c r="H290" s="29" t="n"/>
      <c r="I290" s="29" t="n"/>
      <c r="J290" s="26" t="n"/>
      <c r="K290" s="30" t="n"/>
      <c r="L290" s="26" t="n"/>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31" t="n"/>
      <c r="AM290" s="30"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row>
    <row r="291" ht="13" customHeight="1">
      <c r="A291" s="25" t="n"/>
      <c r="B291" s="26" t="n"/>
      <c r="C291" s="26" t="n"/>
      <c r="D291" s="27" t="n"/>
      <c r="E291" s="26" t="n"/>
      <c r="F291" s="26" t="n"/>
      <c r="G291" s="28" t="n"/>
      <c r="H291" s="29" t="n"/>
      <c r="I291" s="29" t="n"/>
      <c r="J291" s="26" t="n"/>
      <c r="K291" s="30" t="n"/>
      <c r="L291" s="26" t="n"/>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31" t="n"/>
      <c r="AM291" s="30"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row>
    <row r="292" ht="13" customHeight="1">
      <c r="A292" s="25" t="n"/>
      <c r="B292" s="26" t="n"/>
      <c r="C292" s="26" t="n"/>
      <c r="D292" s="27" t="n"/>
      <c r="E292" s="26" t="n"/>
      <c r="F292" s="26" t="n"/>
      <c r="G292" s="28" t="n"/>
      <c r="H292" s="29" t="n"/>
      <c r="I292" s="29" t="n"/>
      <c r="J292" s="26" t="n"/>
      <c r="K292" s="30" t="n"/>
      <c r="L292" s="26" t="n"/>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31" t="n"/>
      <c r="AM292" s="30"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row>
    <row r="293" ht="13" customHeight="1">
      <c r="A293" s="25" t="n"/>
      <c r="B293" s="26" t="n"/>
      <c r="C293" s="26" t="n"/>
      <c r="D293" s="27" t="n"/>
      <c r="E293" s="26" t="n"/>
      <c r="F293" s="26" t="n"/>
      <c r="G293" s="28" t="n"/>
      <c r="H293" s="29" t="n"/>
      <c r="I293" s="29" t="n"/>
      <c r="J293" s="26" t="n"/>
      <c r="K293" s="30" t="n"/>
      <c r="L293" s="26" t="n"/>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31" t="n"/>
      <c r="AM293" s="30"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row>
    <row r="294" ht="13" customHeight="1">
      <c r="A294" s="25" t="n"/>
      <c r="B294" s="26" t="n"/>
      <c r="C294" s="26" t="n"/>
      <c r="D294" s="27" t="n"/>
      <c r="E294" s="26" t="n"/>
      <c r="F294" s="26" t="n"/>
      <c r="G294" s="28" t="n"/>
      <c r="H294" s="29" t="n"/>
      <c r="I294" s="29" t="n"/>
      <c r="J294" s="26" t="n"/>
      <c r="K294" s="30" t="n"/>
      <c r="L294" s="26" t="n"/>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31" t="n"/>
      <c r="AM294" s="30"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row>
    <row r="295" ht="13" customHeight="1">
      <c r="A295" s="25" t="n"/>
      <c r="B295" s="26" t="n"/>
      <c r="C295" s="26" t="n"/>
      <c r="D295" s="27" t="n"/>
      <c r="E295" s="26" t="n"/>
      <c r="F295" s="26" t="n"/>
      <c r="G295" s="28" t="n"/>
      <c r="H295" s="29" t="n"/>
      <c r="I295" s="29" t="n"/>
      <c r="J295" s="26" t="n"/>
      <c r="K295" s="30" t="n"/>
      <c r="L295" s="26" t="n"/>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31" t="n"/>
      <c r="AM295" s="30"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row>
    <row r="296" ht="13" customHeight="1">
      <c r="A296" s="25" t="n"/>
      <c r="B296" s="26" t="n"/>
      <c r="C296" s="26" t="n"/>
      <c r="D296" s="27" t="n"/>
      <c r="E296" s="26" t="n"/>
      <c r="F296" s="26" t="n"/>
      <c r="G296" s="28" t="n"/>
      <c r="H296" s="29" t="n"/>
      <c r="I296" s="29" t="n"/>
      <c r="J296" s="26" t="n"/>
      <c r="K296" s="30" t="n"/>
      <c r="L296" s="26" t="n"/>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31" t="n"/>
      <c r="AM296" s="30"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row>
    <row r="297" ht="13" customHeight="1">
      <c r="A297" s="25" t="n"/>
      <c r="B297" s="26" t="n"/>
      <c r="C297" s="26" t="n"/>
      <c r="D297" s="27" t="n"/>
      <c r="E297" s="26" t="n"/>
      <c r="F297" s="26" t="n"/>
      <c r="G297" s="28" t="n"/>
      <c r="H297" s="29" t="n"/>
      <c r="I297" s="29" t="n"/>
      <c r="J297" s="26" t="n"/>
      <c r="K297" s="30" t="n"/>
      <c r="L297" s="26" t="n"/>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31" t="n"/>
      <c r="AM297" s="30"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row>
    <row r="298" ht="13" customHeight="1">
      <c r="A298" s="25" t="n"/>
      <c r="B298" s="26" t="n"/>
      <c r="C298" s="26" t="n"/>
      <c r="D298" s="27" t="n"/>
      <c r="E298" s="26" t="n"/>
      <c r="F298" s="26" t="n"/>
      <c r="G298" s="28" t="n"/>
      <c r="H298" s="29" t="n"/>
      <c r="I298" s="29" t="n"/>
      <c r="J298" s="26" t="n"/>
      <c r="K298" s="30" t="n"/>
      <c r="L298" s="26" t="n"/>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31" t="n"/>
      <c r="AM298" s="30"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row>
    <row r="299" ht="13" customHeight="1">
      <c r="A299" s="25" t="n"/>
      <c r="B299" s="26" t="n"/>
      <c r="C299" s="26" t="n"/>
      <c r="D299" s="27" t="n"/>
      <c r="E299" s="26" t="n"/>
      <c r="F299" s="26" t="n"/>
      <c r="G299" s="28" t="n"/>
      <c r="H299" s="29" t="n"/>
      <c r="I299" s="29" t="n"/>
      <c r="J299" s="26" t="n"/>
      <c r="K299" s="30" t="n"/>
      <c r="L299" s="26" t="n"/>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31" t="n"/>
      <c r="AM299" s="30"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row>
    <row r="300" ht="13" customHeight="1">
      <c r="A300" s="25" t="n"/>
      <c r="B300" s="26" t="n"/>
      <c r="C300" s="26" t="n"/>
      <c r="D300" s="27" t="n"/>
      <c r="E300" s="26" t="n"/>
      <c r="F300" s="26" t="n"/>
      <c r="G300" s="28" t="n"/>
      <c r="H300" s="29" t="n"/>
      <c r="I300" s="29" t="n"/>
      <c r="J300" s="26" t="n"/>
      <c r="K300" s="30" t="n"/>
      <c r="L300" s="26" t="n"/>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31" t="n"/>
      <c r="AM300" s="30"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row>
    <row r="301" ht="13" customHeight="1">
      <c r="A301" s="25" t="n"/>
      <c r="B301" s="26" t="n"/>
      <c r="C301" s="26" t="n"/>
      <c r="D301" s="27" t="n"/>
      <c r="E301" s="26" t="n"/>
      <c r="F301" s="26" t="n"/>
      <c r="G301" s="28" t="n"/>
      <c r="H301" s="29" t="n"/>
      <c r="I301" s="29" t="n"/>
      <c r="J301" s="26" t="n"/>
      <c r="K301" s="30" t="n"/>
      <c r="L301" s="26" t="n"/>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31" t="n"/>
      <c r="AM301" s="30"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row>
    <row r="302" ht="13" customHeight="1">
      <c r="A302" s="25" t="n"/>
      <c r="B302" s="26" t="n"/>
      <c r="C302" s="26" t="n"/>
      <c r="D302" s="27" t="n"/>
      <c r="E302" s="26" t="n"/>
      <c r="F302" s="26" t="n"/>
      <c r="G302" s="28" t="n"/>
      <c r="H302" s="29" t="n"/>
      <c r="I302" s="29" t="n"/>
      <c r="J302" s="26" t="n"/>
      <c r="K302" s="30" t="n"/>
      <c r="L302" s="26" t="n"/>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31" t="n"/>
      <c r="AM302" s="30"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row>
    <row r="303" ht="13" customHeight="1">
      <c r="A303" s="25" t="n"/>
      <c r="B303" s="26" t="n"/>
      <c r="C303" s="26" t="n"/>
      <c r="D303" s="27" t="n"/>
      <c r="E303" s="26" t="n"/>
      <c r="F303" s="26" t="n"/>
      <c r="G303" s="28" t="n"/>
      <c r="H303" s="29" t="n"/>
      <c r="I303" s="29" t="n"/>
      <c r="J303" s="26" t="n"/>
      <c r="K303" s="30" t="n"/>
      <c r="L303" s="26" t="n"/>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31" t="n"/>
      <c r="AM303" s="30"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row>
    <row r="304" ht="13" customHeight="1">
      <c r="A304" s="25" t="n"/>
      <c r="B304" s="26" t="n"/>
      <c r="C304" s="26" t="n"/>
      <c r="D304" s="27" t="n"/>
      <c r="E304" s="26" t="n"/>
      <c r="F304" s="26" t="n"/>
      <c r="G304" s="28" t="n"/>
      <c r="H304" s="29" t="n"/>
      <c r="I304" s="29" t="n"/>
      <c r="J304" s="26" t="n"/>
      <c r="K304" s="30" t="n"/>
      <c r="L304" s="26" t="n"/>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31" t="n"/>
      <c r="AM304" s="30"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row>
    <row r="305" ht="13" customHeight="1">
      <c r="A305" s="25" t="n"/>
      <c r="B305" s="26" t="n"/>
      <c r="C305" s="26" t="n"/>
      <c r="D305" s="27" t="n"/>
      <c r="E305" s="26" t="n"/>
      <c r="F305" s="26" t="n"/>
      <c r="G305" s="28" t="n"/>
      <c r="H305" s="29" t="n"/>
      <c r="I305" s="29" t="n"/>
      <c r="J305" s="26" t="n"/>
      <c r="K305" s="30" t="n"/>
      <c r="L305" s="26" t="n"/>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31" t="n"/>
      <c r="AM305" s="30"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row>
    <row r="306" ht="13" customHeight="1">
      <c r="A306" s="25" t="n"/>
      <c r="B306" s="26" t="n"/>
      <c r="C306" s="26" t="n"/>
      <c r="D306" s="27" t="n"/>
      <c r="E306" s="26" t="n"/>
      <c r="F306" s="26" t="n"/>
      <c r="G306" s="28" t="n"/>
      <c r="H306" s="29" t="n"/>
      <c r="I306" s="29" t="n"/>
      <c r="J306" s="26" t="n"/>
      <c r="K306" s="30" t="n"/>
      <c r="L306" s="26" t="n"/>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31" t="n"/>
      <c r="AM306" s="30"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row>
    <row r="307" ht="13" customHeight="1">
      <c r="A307" s="25" t="n"/>
      <c r="B307" s="26" t="n"/>
      <c r="C307" s="26" t="n"/>
      <c r="D307" s="27" t="n"/>
      <c r="E307" s="26" t="n"/>
      <c r="F307" s="26" t="n"/>
      <c r="G307" s="28" t="n"/>
      <c r="H307" s="29" t="n"/>
      <c r="I307" s="29" t="n"/>
      <c r="J307" s="26" t="n"/>
      <c r="K307" s="30" t="n"/>
      <c r="L307" s="26" t="n"/>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31" t="n"/>
      <c r="AM307" s="30"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row>
    <row r="308" ht="13" customHeight="1">
      <c r="A308" s="25" t="n"/>
      <c r="B308" s="26" t="n"/>
      <c r="C308" s="26" t="n"/>
      <c r="D308" s="27" t="n"/>
      <c r="E308" s="26" t="n"/>
      <c r="F308" s="26" t="n"/>
      <c r="G308" s="28" t="n"/>
      <c r="H308" s="29" t="n"/>
      <c r="I308" s="29" t="n"/>
      <c r="J308" s="26" t="n"/>
      <c r="K308" s="30" t="n"/>
      <c r="L308" s="26" t="n"/>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31" t="n"/>
      <c r="AM308" s="30"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row>
    <row r="309" ht="13" customHeight="1">
      <c r="A309" s="25" t="n"/>
      <c r="B309" s="26" t="n"/>
      <c r="C309" s="26" t="n"/>
      <c r="D309" s="27" t="n"/>
      <c r="E309" s="26" t="n"/>
      <c r="F309" s="26" t="n"/>
      <c r="G309" s="28" t="n"/>
      <c r="H309" s="29" t="n"/>
      <c r="I309" s="29" t="n"/>
      <c r="J309" s="26" t="n"/>
      <c r="K309" s="30" t="n"/>
      <c r="L309" s="26" t="n"/>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31" t="n"/>
      <c r="AM309" s="30"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row>
    <row r="310" ht="13" customHeight="1">
      <c r="A310" s="25" t="n"/>
      <c r="B310" s="26" t="n"/>
      <c r="C310" s="26" t="n"/>
      <c r="D310" s="27" t="n"/>
      <c r="E310" s="26" t="n"/>
      <c r="F310" s="26" t="n"/>
      <c r="G310" s="28" t="n"/>
      <c r="H310" s="29" t="n"/>
      <c r="I310" s="29" t="n"/>
      <c r="J310" s="26" t="n"/>
      <c r="K310" s="30" t="n"/>
      <c r="L310" s="26" t="n"/>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31" t="n"/>
      <c r="AM310" s="30"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row>
    <row r="311" ht="13" customHeight="1">
      <c r="A311" s="25" t="n"/>
      <c r="B311" s="26" t="n"/>
      <c r="C311" s="26" t="n"/>
      <c r="D311" s="27" t="n"/>
      <c r="E311" s="26" t="n"/>
      <c r="F311" s="26" t="n"/>
      <c r="G311" s="28" t="n"/>
      <c r="H311" s="29" t="n"/>
      <c r="I311" s="29" t="n"/>
      <c r="J311" s="26" t="n"/>
      <c r="K311" s="30" t="n"/>
      <c r="L311" s="26" t="n"/>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31" t="n"/>
      <c r="AM311" s="30"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row>
    <row r="312" ht="13" customHeight="1">
      <c r="A312" s="25" t="n"/>
      <c r="B312" s="26" t="n"/>
      <c r="C312" s="26" t="n"/>
      <c r="D312" s="27" t="n"/>
      <c r="E312" s="26" t="n"/>
      <c r="F312" s="26" t="n"/>
      <c r="G312" s="28" t="n"/>
      <c r="H312" s="29" t="n"/>
      <c r="I312" s="29" t="n"/>
      <c r="J312" s="26" t="n"/>
      <c r="K312" s="30" t="n"/>
      <c r="L312" s="26" t="n"/>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31" t="n"/>
      <c r="AM312" s="30"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row>
    <row r="313" ht="13" customHeight="1">
      <c r="A313" s="25" t="n"/>
      <c r="B313" s="26" t="n"/>
      <c r="C313" s="26" t="n"/>
      <c r="D313" s="27" t="n"/>
      <c r="E313" s="26" t="n"/>
      <c r="F313" s="26" t="n"/>
      <c r="G313" s="28" t="n"/>
      <c r="H313" s="29" t="n"/>
      <c r="I313" s="29" t="n"/>
      <c r="J313" s="26" t="n"/>
      <c r="K313" s="30" t="n"/>
      <c r="L313" s="26" t="n"/>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31" t="n"/>
      <c r="AM313" s="30"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row>
    <row r="314" ht="13" customHeight="1">
      <c r="A314" s="25" t="n"/>
      <c r="B314" s="26" t="n"/>
      <c r="C314" s="26" t="n"/>
      <c r="D314" s="27" t="n"/>
      <c r="E314" s="26" t="n"/>
      <c r="F314" s="26" t="n"/>
      <c r="G314" s="28" t="n"/>
      <c r="H314" s="29" t="n"/>
      <c r="I314" s="29" t="n"/>
      <c r="J314" s="26" t="n"/>
      <c r="K314" s="30" t="n"/>
      <c r="L314" s="26" t="n"/>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31" t="n"/>
      <c r="AM314" s="30"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row>
    <row r="315" ht="13" customHeight="1">
      <c r="A315" s="25" t="n"/>
      <c r="B315" s="26" t="n"/>
      <c r="C315" s="26" t="n"/>
      <c r="D315" s="27" t="n"/>
      <c r="E315" s="26" t="n"/>
      <c r="F315" s="26" t="n"/>
      <c r="G315" s="28" t="n"/>
      <c r="H315" s="29" t="n"/>
      <c r="I315" s="29" t="n"/>
      <c r="J315" s="26" t="n"/>
      <c r="K315" s="30" t="n"/>
      <c r="L315" s="26" t="n"/>
      <c r="M315" s="26" t="n"/>
      <c r="N315" s="26" t="n"/>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31" t="n"/>
      <c r="AM315" s="30"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row>
    <row r="316" ht="13" customHeight="1">
      <c r="A316" s="25" t="n"/>
      <c r="B316" s="26" t="n"/>
      <c r="C316" s="26" t="n"/>
      <c r="D316" s="27" t="n"/>
      <c r="E316" s="26" t="n"/>
      <c r="F316" s="26" t="n"/>
      <c r="G316" s="28" t="n"/>
      <c r="H316" s="29" t="n"/>
      <c r="I316" s="29" t="n"/>
      <c r="J316" s="26" t="n"/>
      <c r="K316" s="30" t="n"/>
      <c r="L316" s="26" t="n"/>
      <c r="M316" s="26" t="n"/>
      <c r="N316" s="26" t="n"/>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31" t="n"/>
      <c r="AM316" s="30"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row>
    <row r="317" ht="13" customHeight="1">
      <c r="A317" s="25" t="n"/>
      <c r="B317" s="26" t="n"/>
      <c r="C317" s="26" t="n"/>
      <c r="D317" s="27" t="n"/>
      <c r="E317" s="26" t="n"/>
      <c r="F317" s="26" t="n"/>
      <c r="G317" s="28" t="n"/>
      <c r="H317" s="29" t="n"/>
      <c r="I317" s="29" t="n"/>
      <c r="J317" s="26" t="n"/>
      <c r="K317" s="30" t="n"/>
      <c r="L317" s="26" t="n"/>
      <c r="M317" s="26" t="n"/>
      <c r="N317" s="26" t="n"/>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31" t="n"/>
      <c r="AM317" s="30"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row>
    <row r="318" ht="13" customHeight="1">
      <c r="A318" s="25" t="n"/>
      <c r="B318" s="26" t="n"/>
      <c r="C318" s="26" t="n"/>
      <c r="D318" s="27" t="n"/>
      <c r="E318" s="26" t="n"/>
      <c r="F318" s="26" t="n"/>
      <c r="G318" s="28" t="n"/>
      <c r="H318" s="29" t="n"/>
      <c r="I318" s="29" t="n"/>
      <c r="J318" s="26" t="n"/>
      <c r="K318" s="30" t="n"/>
      <c r="L318" s="26" t="n"/>
      <c r="M318" s="26" t="n"/>
      <c r="N318" s="26" t="n"/>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31" t="n"/>
      <c r="AM318" s="30"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row>
    <row r="319" ht="13" customHeight="1">
      <c r="A319" s="25" t="n"/>
      <c r="B319" s="26" t="n"/>
      <c r="C319" s="26" t="n"/>
      <c r="D319" s="27" t="n"/>
      <c r="E319" s="26" t="n"/>
      <c r="F319" s="26" t="n"/>
      <c r="G319" s="28" t="n"/>
      <c r="H319" s="29" t="n"/>
      <c r="I319" s="29" t="n"/>
      <c r="J319" s="26" t="n"/>
      <c r="K319" s="30" t="n"/>
      <c r="L319" s="26" t="n"/>
      <c r="M319" s="26" t="n"/>
      <c r="N319" s="26" t="n"/>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31" t="n"/>
      <c r="AM319" s="30"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row>
    <row r="320" ht="13" customHeight="1">
      <c r="A320" s="25" t="n"/>
      <c r="B320" s="26" t="n"/>
      <c r="C320" s="26" t="n"/>
      <c r="D320" s="27" t="n"/>
      <c r="E320" s="26" t="n"/>
      <c r="F320" s="26" t="n"/>
      <c r="G320" s="28" t="n"/>
      <c r="H320" s="29" t="n"/>
      <c r="I320" s="29" t="n"/>
      <c r="J320" s="26" t="n"/>
      <c r="K320" s="30" t="n"/>
      <c r="L320" s="26" t="n"/>
      <c r="M320" s="26" t="n"/>
      <c r="N320" s="26" t="n"/>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31" t="n"/>
      <c r="AM320" s="30"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row>
    <row r="321" ht="13" customHeight="1">
      <c r="A321" s="25" t="n"/>
      <c r="B321" s="26" t="n"/>
      <c r="C321" s="26" t="n"/>
      <c r="D321" s="27" t="n"/>
      <c r="E321" s="26" t="n"/>
      <c r="F321" s="26" t="n"/>
      <c r="G321" s="28" t="n"/>
      <c r="H321" s="29" t="n"/>
      <c r="I321" s="29" t="n"/>
      <c r="J321" s="26" t="n"/>
      <c r="K321" s="30" t="n"/>
      <c r="L321" s="26" t="n"/>
      <c r="M321" s="26" t="n"/>
      <c r="N321" s="26" t="n"/>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31" t="n"/>
      <c r="AM321" s="30"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row>
    <row r="322" ht="13" customHeight="1">
      <c r="A322" s="25" t="n"/>
      <c r="B322" s="26" t="n"/>
      <c r="C322" s="26" t="n"/>
      <c r="D322" s="27" t="n"/>
      <c r="E322" s="26" t="n"/>
      <c r="F322" s="26" t="n"/>
      <c r="G322" s="28" t="n"/>
      <c r="H322" s="29" t="n"/>
      <c r="I322" s="29" t="n"/>
      <c r="J322" s="26" t="n"/>
      <c r="K322" s="30" t="n"/>
      <c r="L322" s="26" t="n"/>
      <c r="M322" s="26" t="n"/>
      <c r="N322" s="26" t="n"/>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31" t="n"/>
      <c r="AM322" s="30"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row>
    <row r="323" ht="13" customHeight="1">
      <c r="A323" s="25" t="n"/>
      <c r="B323" s="26" t="n"/>
      <c r="C323" s="26" t="n"/>
      <c r="D323" s="27" t="n"/>
      <c r="E323" s="26" t="n"/>
      <c r="F323" s="26" t="n"/>
      <c r="G323" s="28" t="n"/>
      <c r="H323" s="29" t="n"/>
      <c r="I323" s="29" t="n"/>
      <c r="J323" s="26" t="n"/>
      <c r="K323" s="30" t="n"/>
      <c r="L323" s="26" t="n"/>
      <c r="M323" s="26" t="n"/>
      <c r="N323" s="26" t="n"/>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31" t="n"/>
      <c r="AM323" s="30"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row>
    <row r="324" ht="13" customHeight="1">
      <c r="A324" s="25" t="n"/>
      <c r="B324" s="26" t="n"/>
      <c r="C324" s="26" t="n"/>
      <c r="D324" s="27" t="n"/>
      <c r="E324" s="26" t="n"/>
      <c r="F324" s="26" t="n"/>
      <c r="G324" s="28" t="n"/>
      <c r="H324" s="29" t="n"/>
      <c r="I324" s="29" t="n"/>
      <c r="J324" s="26" t="n"/>
      <c r="K324" s="30" t="n"/>
      <c r="L324" s="26" t="n"/>
      <c r="M324" s="26" t="n"/>
      <c r="N324" s="26" t="n"/>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31" t="n"/>
      <c r="AM324" s="30"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row>
    <row r="325" ht="13" customHeight="1">
      <c r="A325" s="25" t="n"/>
      <c r="B325" s="26" t="n"/>
      <c r="C325" s="26" t="n"/>
      <c r="D325" s="27" t="n"/>
      <c r="E325" s="26" t="n"/>
      <c r="F325" s="26" t="n"/>
      <c r="G325" s="28" t="n"/>
      <c r="H325" s="29" t="n"/>
      <c r="I325" s="29" t="n"/>
      <c r="J325" s="26" t="n"/>
      <c r="K325" s="30" t="n"/>
      <c r="L325" s="26" t="n"/>
      <c r="M325" s="26" t="n"/>
      <c r="N325" s="26" t="n"/>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31" t="n"/>
      <c r="AM325" s="30"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row>
    <row r="326" ht="13" customHeight="1">
      <c r="A326" s="25" t="n"/>
      <c r="B326" s="26" t="n"/>
      <c r="C326" s="26" t="n"/>
      <c r="D326" s="27" t="n"/>
      <c r="E326" s="26" t="n"/>
      <c r="F326" s="26" t="n"/>
      <c r="G326" s="28" t="n"/>
      <c r="H326" s="29" t="n"/>
      <c r="I326" s="29" t="n"/>
      <c r="J326" s="26" t="n"/>
      <c r="K326" s="30" t="n"/>
      <c r="L326" s="26" t="n"/>
      <c r="M326" s="26" t="n"/>
      <c r="N326" s="26" t="n"/>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31" t="n"/>
      <c r="AM326" s="30"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row>
    <row r="327" ht="13" customHeight="1">
      <c r="A327" s="25" t="n"/>
      <c r="B327" s="26" t="n"/>
      <c r="C327" s="26" t="n"/>
      <c r="D327" s="27" t="n"/>
      <c r="E327" s="26" t="n"/>
      <c r="F327" s="26" t="n"/>
      <c r="G327" s="28" t="n"/>
      <c r="H327" s="29" t="n"/>
      <c r="I327" s="29" t="n"/>
      <c r="J327" s="26" t="n"/>
      <c r="K327" s="30" t="n"/>
      <c r="L327" s="26" t="n"/>
      <c r="M327" s="26" t="n"/>
      <c r="N327" s="26" t="n"/>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31" t="n"/>
      <c r="AM327" s="30"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row>
    <row r="328" ht="13" customHeight="1">
      <c r="A328" s="25" t="n"/>
      <c r="B328" s="26" t="n"/>
      <c r="C328" s="26" t="n"/>
      <c r="D328" s="27" t="n"/>
      <c r="E328" s="26" t="n"/>
      <c r="F328" s="26" t="n"/>
      <c r="G328" s="28" t="n"/>
      <c r="H328" s="29" t="n"/>
      <c r="I328" s="29" t="n"/>
      <c r="J328" s="26" t="n"/>
      <c r="K328" s="30" t="n"/>
      <c r="L328" s="26" t="n"/>
      <c r="M328" s="26" t="n"/>
      <c r="N328" s="26" t="n"/>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31" t="n"/>
      <c r="AM328" s="30"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row>
    <row r="329" ht="13" customHeight="1">
      <c r="A329" s="25" t="n"/>
      <c r="B329" s="26" t="n"/>
      <c r="C329" s="26" t="n"/>
      <c r="D329" s="27" t="n"/>
      <c r="E329" s="26" t="n"/>
      <c r="F329" s="26" t="n"/>
      <c r="G329" s="28" t="n"/>
      <c r="H329" s="29" t="n"/>
      <c r="I329" s="29" t="n"/>
      <c r="J329" s="26" t="n"/>
      <c r="K329" s="30" t="n"/>
      <c r="L329" s="26" t="n"/>
      <c r="M329" s="26" t="n"/>
      <c r="N329" s="26" t="n"/>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31" t="n"/>
      <c r="AM329" s="30"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row>
    <row r="330" ht="13" customHeight="1">
      <c r="A330" s="25" t="n"/>
      <c r="B330" s="26" t="n"/>
      <c r="C330" s="26" t="n"/>
      <c r="D330" s="27" t="n"/>
      <c r="E330" s="26" t="n"/>
      <c r="F330" s="26" t="n"/>
      <c r="G330" s="28" t="n"/>
      <c r="H330" s="29" t="n"/>
      <c r="I330" s="29" t="n"/>
      <c r="J330" s="26" t="n"/>
      <c r="K330" s="30" t="n"/>
      <c r="L330" s="26" t="n"/>
      <c r="M330" s="26" t="n"/>
      <c r="N330" s="26" t="n"/>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31" t="n"/>
      <c r="AM330" s="30"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row>
    <row r="331" ht="13" customHeight="1">
      <c r="A331" s="25" t="n"/>
      <c r="B331" s="26" t="n"/>
      <c r="C331" s="26" t="n"/>
      <c r="D331" s="27" t="n"/>
      <c r="E331" s="26" t="n"/>
      <c r="F331" s="26" t="n"/>
      <c r="G331" s="28" t="n"/>
      <c r="H331" s="29" t="n"/>
      <c r="I331" s="29" t="n"/>
      <c r="J331" s="26" t="n"/>
      <c r="K331" s="30" t="n"/>
      <c r="L331" s="26" t="n"/>
      <c r="M331" s="26" t="n"/>
      <c r="N331" s="26" t="n"/>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31" t="n"/>
      <c r="AM331" s="30"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row>
    <row r="332" ht="13" customHeight="1">
      <c r="A332" s="25" t="n"/>
      <c r="B332" s="26" t="n"/>
      <c r="C332" s="26" t="n"/>
      <c r="D332" s="27" t="n"/>
      <c r="E332" s="26" t="n"/>
      <c r="F332" s="26" t="n"/>
      <c r="G332" s="28" t="n"/>
      <c r="H332" s="29" t="n"/>
      <c r="I332" s="29" t="n"/>
      <c r="J332" s="26" t="n"/>
      <c r="K332" s="30" t="n"/>
      <c r="L332" s="26" t="n"/>
      <c r="M332" s="26" t="n"/>
      <c r="N332" s="26" t="n"/>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31" t="n"/>
      <c r="AM332" s="30"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row>
    <row r="333" ht="13" customHeight="1">
      <c r="A333" s="25" t="n"/>
      <c r="B333" s="26" t="n"/>
      <c r="C333" s="26" t="n"/>
      <c r="D333" s="27" t="n"/>
      <c r="E333" s="26" t="n"/>
      <c r="F333" s="26" t="n"/>
      <c r="G333" s="28" t="n"/>
      <c r="H333" s="29" t="n"/>
      <c r="I333" s="29" t="n"/>
      <c r="J333" s="26" t="n"/>
      <c r="K333" s="30" t="n"/>
      <c r="L333" s="26" t="n"/>
      <c r="M333" s="26" t="n"/>
      <c r="N333" s="26" t="n"/>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31" t="n"/>
      <c r="AM333" s="30"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row>
    <row r="334" ht="13" customHeight="1">
      <c r="A334" s="25" t="n"/>
      <c r="B334" s="26" t="n"/>
      <c r="C334" s="26" t="n"/>
      <c r="D334" s="27" t="n"/>
      <c r="E334" s="26" t="n"/>
      <c r="F334" s="26" t="n"/>
      <c r="G334" s="28" t="n"/>
      <c r="H334" s="29" t="n"/>
      <c r="I334" s="29" t="n"/>
      <c r="J334" s="26" t="n"/>
      <c r="K334" s="30" t="n"/>
      <c r="L334" s="26" t="n"/>
      <c r="M334" s="26" t="n"/>
      <c r="N334" s="26" t="n"/>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31" t="n"/>
      <c r="AM334" s="30"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row>
    <row r="335" ht="13" customHeight="1">
      <c r="A335" s="25" t="n"/>
      <c r="B335" s="26" t="n"/>
      <c r="C335" s="26" t="n"/>
      <c r="D335" s="27" t="n"/>
      <c r="E335" s="26" t="n"/>
      <c r="F335" s="26" t="n"/>
      <c r="G335" s="28" t="n"/>
      <c r="H335" s="29" t="n"/>
      <c r="I335" s="29" t="n"/>
      <c r="J335" s="26" t="n"/>
      <c r="K335" s="30" t="n"/>
      <c r="L335" s="26" t="n"/>
      <c r="M335" s="26" t="n"/>
      <c r="N335" s="26" t="n"/>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31" t="n"/>
      <c r="AM335" s="30"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row>
    <row r="336" ht="13" customHeight="1">
      <c r="A336" s="25" t="n"/>
      <c r="B336" s="26" t="n"/>
      <c r="C336" s="26" t="n"/>
      <c r="D336" s="27" t="n"/>
      <c r="E336" s="26" t="n"/>
      <c r="F336" s="26" t="n"/>
      <c r="G336" s="28" t="n"/>
      <c r="H336" s="29" t="n"/>
      <c r="I336" s="29" t="n"/>
      <c r="J336" s="26" t="n"/>
      <c r="K336" s="30" t="n"/>
      <c r="L336" s="26" t="n"/>
      <c r="M336" s="26" t="n"/>
      <c r="N336" s="26" t="n"/>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31" t="n"/>
      <c r="AM336" s="30"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row>
    <row r="337" ht="13" customHeight="1">
      <c r="A337" s="25" t="n"/>
      <c r="B337" s="26" t="n"/>
      <c r="C337" s="26" t="n"/>
      <c r="D337" s="27" t="n"/>
      <c r="E337" s="26" t="n"/>
      <c r="F337" s="26" t="n"/>
      <c r="G337" s="28" t="n"/>
      <c r="H337" s="29" t="n"/>
      <c r="I337" s="29" t="n"/>
      <c r="J337" s="26" t="n"/>
      <c r="K337" s="30" t="n"/>
      <c r="L337" s="26" t="n"/>
      <c r="M337" s="26" t="n"/>
      <c r="N337" s="26" t="n"/>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31" t="n"/>
      <c r="AM337" s="30"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row>
    <row r="338" ht="13" customHeight="1">
      <c r="A338" s="25" t="n"/>
      <c r="B338" s="26" t="n"/>
      <c r="C338" s="26" t="n"/>
      <c r="D338" s="27" t="n"/>
      <c r="E338" s="26" t="n"/>
      <c r="F338" s="26" t="n"/>
      <c r="G338" s="28" t="n"/>
      <c r="H338" s="29" t="n"/>
      <c r="I338" s="29" t="n"/>
      <c r="J338" s="26" t="n"/>
      <c r="K338" s="30" t="n"/>
      <c r="L338" s="26" t="n"/>
      <c r="M338" s="26" t="n"/>
      <c r="N338" s="26" t="n"/>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31" t="n"/>
      <c r="AM338" s="30"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row>
    <row r="339" ht="13" customHeight="1">
      <c r="A339" s="25" t="n"/>
      <c r="B339" s="26" t="n"/>
      <c r="C339" s="26" t="n"/>
      <c r="D339" s="27" t="n"/>
      <c r="E339" s="26" t="n"/>
      <c r="F339" s="26" t="n"/>
      <c r="G339" s="28" t="n"/>
      <c r="H339" s="29" t="n"/>
      <c r="I339" s="29" t="n"/>
      <c r="J339" s="26" t="n"/>
      <c r="K339" s="30" t="n"/>
      <c r="L339" s="26" t="n"/>
      <c r="M339" s="26" t="n"/>
      <c r="N339" s="26" t="n"/>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31" t="n"/>
      <c r="AM339" s="30"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row>
    <row r="340" ht="13" customHeight="1">
      <c r="A340" s="25" t="n"/>
      <c r="B340" s="26" t="n"/>
      <c r="C340" s="26" t="n"/>
      <c r="D340" s="27" t="n"/>
      <c r="E340" s="26" t="n"/>
      <c r="F340" s="26" t="n"/>
      <c r="G340" s="28" t="n"/>
      <c r="H340" s="29" t="n"/>
      <c r="I340" s="29" t="n"/>
      <c r="J340" s="26" t="n"/>
      <c r="K340" s="30" t="n"/>
      <c r="L340" s="26" t="n"/>
      <c r="M340" s="26" t="n"/>
      <c r="N340" s="26" t="n"/>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31" t="n"/>
      <c r="AM340" s="30"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row>
    <row r="341" ht="13" customHeight="1">
      <c r="A341" s="25" t="n"/>
      <c r="B341" s="26" t="n"/>
      <c r="C341" s="26" t="n"/>
      <c r="D341" s="27" t="n"/>
      <c r="E341" s="26" t="n"/>
      <c r="F341" s="26" t="n"/>
      <c r="G341" s="28" t="n"/>
      <c r="H341" s="29" t="n"/>
      <c r="I341" s="29" t="n"/>
      <c r="J341" s="26" t="n"/>
      <c r="K341" s="30" t="n"/>
      <c r="L341" s="26" t="n"/>
      <c r="M341" s="26" t="n"/>
      <c r="N341" s="26" t="n"/>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31" t="n"/>
      <c r="AM341" s="30"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row>
    <row r="342" ht="13" customHeight="1">
      <c r="A342" s="25" t="n"/>
      <c r="B342" s="26" t="n"/>
      <c r="C342" s="26" t="n"/>
      <c r="D342" s="27" t="n"/>
      <c r="E342" s="26" t="n"/>
      <c r="F342" s="26" t="n"/>
      <c r="G342" s="28" t="n"/>
      <c r="H342" s="29" t="n"/>
      <c r="I342" s="29" t="n"/>
      <c r="J342" s="26" t="n"/>
      <c r="K342" s="30" t="n"/>
      <c r="L342" s="26" t="n"/>
      <c r="M342" s="26" t="n"/>
      <c r="N342" s="26" t="n"/>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31" t="n"/>
      <c r="AM342" s="30"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row>
    <row r="343" ht="13" customHeight="1">
      <c r="A343" s="25" t="n"/>
      <c r="B343" s="26" t="n"/>
      <c r="C343" s="26" t="n"/>
      <c r="D343" s="27" t="n"/>
      <c r="E343" s="26" t="n"/>
      <c r="F343" s="26" t="n"/>
      <c r="G343" s="28" t="n"/>
      <c r="H343" s="29" t="n"/>
      <c r="I343" s="29" t="n"/>
      <c r="J343" s="26" t="n"/>
      <c r="K343" s="30" t="n"/>
      <c r="L343" s="26" t="n"/>
      <c r="M343" s="26" t="n"/>
      <c r="N343" s="26" t="n"/>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31" t="n"/>
      <c r="AM343" s="30"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row>
    <row r="344" ht="13" customHeight="1">
      <c r="A344" s="25" t="n"/>
      <c r="B344" s="26" t="n"/>
      <c r="C344" s="26" t="n"/>
      <c r="D344" s="27" t="n"/>
      <c r="E344" s="26" t="n"/>
      <c r="F344" s="26" t="n"/>
      <c r="G344" s="28" t="n"/>
      <c r="H344" s="29" t="n"/>
      <c r="I344" s="29" t="n"/>
      <c r="J344" s="26" t="n"/>
      <c r="K344" s="30" t="n"/>
      <c r="L344" s="26" t="n"/>
      <c r="M344" s="26" t="n"/>
      <c r="N344" s="26" t="n"/>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31" t="n"/>
      <c r="AM344" s="30"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row>
    <row r="345" ht="13" customHeight="1">
      <c r="A345" s="25" t="n"/>
      <c r="B345" s="26" t="n"/>
      <c r="C345" s="26" t="n"/>
      <c r="D345" s="27" t="n"/>
      <c r="E345" s="26" t="n"/>
      <c r="F345" s="26" t="n"/>
      <c r="G345" s="28" t="n"/>
      <c r="H345" s="29" t="n"/>
      <c r="I345" s="29" t="n"/>
      <c r="J345" s="26" t="n"/>
      <c r="K345" s="30" t="n"/>
      <c r="L345" s="26" t="n"/>
      <c r="M345" s="26" t="n"/>
      <c r="N345" s="26" t="n"/>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31" t="n"/>
      <c r="AM345" s="30"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row>
    <row r="346" ht="13" customHeight="1">
      <c r="A346" s="25" t="n"/>
      <c r="B346" s="26" t="n"/>
      <c r="C346" s="26" t="n"/>
      <c r="D346" s="27" t="n"/>
      <c r="E346" s="26" t="n"/>
      <c r="F346" s="26" t="n"/>
      <c r="G346" s="28" t="n"/>
      <c r="H346" s="29" t="n"/>
      <c r="I346" s="29" t="n"/>
      <c r="J346" s="26" t="n"/>
      <c r="K346" s="30" t="n"/>
      <c r="L346" s="26" t="n"/>
      <c r="M346" s="26" t="n"/>
      <c r="N346" s="26" t="n"/>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31" t="n"/>
      <c r="AM346" s="30"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row>
    <row r="347" ht="13" customHeight="1">
      <c r="A347" s="25" t="n"/>
      <c r="B347" s="26" t="n"/>
      <c r="C347" s="26" t="n"/>
      <c r="D347" s="27" t="n"/>
      <c r="E347" s="26" t="n"/>
      <c r="F347" s="26" t="n"/>
      <c r="G347" s="28" t="n"/>
      <c r="H347" s="29" t="n"/>
      <c r="I347" s="29" t="n"/>
      <c r="J347" s="26" t="n"/>
      <c r="K347" s="30" t="n"/>
      <c r="L347" s="26" t="n"/>
      <c r="M347" s="26" t="n"/>
      <c r="N347" s="26" t="n"/>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31" t="n"/>
      <c r="AM347" s="30"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row>
    <row r="348" ht="13" customHeight="1">
      <c r="A348" s="25" t="n"/>
      <c r="B348" s="26" t="n"/>
      <c r="C348" s="26" t="n"/>
      <c r="D348" s="27" t="n"/>
      <c r="E348" s="26" t="n"/>
      <c r="F348" s="26" t="n"/>
      <c r="G348" s="28" t="n"/>
      <c r="H348" s="29" t="n"/>
      <c r="I348" s="29" t="n"/>
      <c r="J348" s="26" t="n"/>
      <c r="K348" s="30" t="n"/>
      <c r="L348" s="26" t="n"/>
      <c r="M348" s="26" t="n"/>
      <c r="N348" s="26" t="n"/>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31" t="n"/>
      <c r="AM348" s="30"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row>
    <row r="349" ht="13" customHeight="1">
      <c r="A349" s="25" t="n"/>
      <c r="B349" s="26" t="n"/>
      <c r="C349" s="26" t="n"/>
      <c r="D349" s="27" t="n"/>
      <c r="E349" s="26" t="n"/>
      <c r="F349" s="26" t="n"/>
      <c r="G349" s="28" t="n"/>
      <c r="H349" s="29" t="n"/>
      <c r="I349" s="29" t="n"/>
      <c r="J349" s="26" t="n"/>
      <c r="K349" s="30" t="n"/>
      <c r="L349" s="26" t="n"/>
      <c r="M349" s="26" t="n"/>
      <c r="N349" s="26" t="n"/>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31" t="n"/>
      <c r="AM349" s="30"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row>
    <row r="350" ht="13" customHeight="1">
      <c r="A350" s="25" t="n"/>
      <c r="B350" s="26" t="n"/>
      <c r="C350" s="26" t="n"/>
      <c r="D350" s="27" t="n"/>
      <c r="E350" s="26" t="n"/>
      <c r="F350" s="26" t="n"/>
      <c r="G350" s="28" t="n"/>
      <c r="H350" s="29" t="n"/>
      <c r="I350" s="29" t="n"/>
      <c r="J350" s="26" t="n"/>
      <c r="K350" s="30" t="n"/>
      <c r="L350" s="26" t="n"/>
      <c r="M350" s="26" t="n"/>
      <c r="N350" s="26" t="n"/>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31" t="n"/>
      <c r="AM350" s="30"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row>
    <row r="351" ht="13" customHeight="1">
      <c r="A351" s="25" t="n"/>
      <c r="B351" s="26" t="n"/>
      <c r="C351" s="26" t="n"/>
      <c r="D351" s="27" t="n"/>
      <c r="E351" s="26" t="n"/>
      <c r="F351" s="26" t="n"/>
      <c r="G351" s="28" t="n"/>
      <c r="H351" s="29" t="n"/>
      <c r="I351" s="29" t="n"/>
      <c r="J351" s="26" t="n"/>
      <c r="K351" s="30" t="n"/>
      <c r="L351" s="26" t="n"/>
      <c r="M351" s="26" t="n"/>
      <c r="N351" s="26" t="n"/>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31" t="n"/>
      <c r="AM351" s="30"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row>
    <row r="352" ht="13" customHeight="1">
      <c r="A352" s="25" t="n"/>
      <c r="B352" s="26" t="n"/>
      <c r="C352" s="26" t="n"/>
      <c r="D352" s="27" t="n"/>
      <c r="E352" s="26" t="n"/>
      <c r="F352" s="26" t="n"/>
      <c r="G352" s="28" t="n"/>
      <c r="H352" s="29" t="n"/>
      <c r="I352" s="29" t="n"/>
      <c r="J352" s="26" t="n"/>
      <c r="K352" s="30" t="n"/>
      <c r="L352" s="26" t="n"/>
      <c r="M352" s="26" t="n"/>
      <c r="N352" s="26" t="n"/>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31" t="n"/>
      <c r="AM352" s="30"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row>
    <row r="353" ht="13" customHeight="1">
      <c r="A353" s="25" t="n"/>
      <c r="B353" s="26" t="n"/>
      <c r="C353" s="26" t="n"/>
      <c r="D353" s="27" t="n"/>
      <c r="E353" s="26" t="n"/>
      <c r="F353" s="26" t="n"/>
      <c r="G353" s="28" t="n"/>
      <c r="H353" s="29" t="n"/>
      <c r="I353" s="29" t="n"/>
      <c r="J353" s="26" t="n"/>
      <c r="K353" s="30" t="n"/>
      <c r="L353" s="26" t="n"/>
      <c r="M353" s="26" t="n"/>
      <c r="N353" s="26" t="n"/>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31" t="n"/>
      <c r="AM353" s="30"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row>
    <row r="354" ht="13" customHeight="1">
      <c r="A354" s="25" t="n"/>
      <c r="B354" s="26" t="n"/>
      <c r="C354" s="26" t="n"/>
      <c r="D354" s="27" t="n"/>
      <c r="E354" s="26" t="n"/>
      <c r="F354" s="26" t="n"/>
      <c r="G354" s="28" t="n"/>
      <c r="H354" s="29" t="n"/>
      <c r="I354" s="29" t="n"/>
      <c r="J354" s="26" t="n"/>
      <c r="K354" s="30" t="n"/>
      <c r="L354" s="26" t="n"/>
      <c r="M354" s="26" t="n"/>
      <c r="N354" s="26" t="n"/>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31" t="n"/>
      <c r="AM354" s="30"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row>
    <row r="355" ht="13" customHeight="1">
      <c r="A355" s="25" t="n"/>
      <c r="B355" s="26" t="n"/>
      <c r="C355" s="26" t="n"/>
      <c r="D355" s="27" t="n"/>
      <c r="E355" s="26" t="n"/>
      <c r="F355" s="26" t="n"/>
      <c r="G355" s="28" t="n"/>
      <c r="H355" s="29" t="n"/>
      <c r="I355" s="29" t="n"/>
      <c r="J355" s="26" t="n"/>
      <c r="K355" s="30" t="n"/>
      <c r="L355" s="26" t="n"/>
      <c r="M355" s="26" t="n"/>
      <c r="N355" s="26" t="n"/>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31" t="n"/>
      <c r="AM355" s="30"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row>
    <row r="356" ht="13" customHeight="1">
      <c r="A356" s="25" t="n"/>
      <c r="B356" s="26" t="n"/>
      <c r="C356" s="26" t="n"/>
      <c r="D356" s="27" t="n"/>
      <c r="E356" s="26" t="n"/>
      <c r="F356" s="26" t="n"/>
      <c r="G356" s="28" t="n"/>
      <c r="H356" s="29" t="n"/>
      <c r="I356" s="29" t="n"/>
      <c r="J356" s="26" t="n"/>
      <c r="K356" s="30" t="n"/>
      <c r="L356" s="26" t="n"/>
      <c r="M356" s="26" t="n"/>
      <c r="N356" s="26" t="n"/>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31" t="n"/>
      <c r="AM356" s="30"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row>
    <row r="357" ht="13" customHeight="1">
      <c r="A357" s="25" t="n"/>
      <c r="B357" s="26" t="n"/>
      <c r="C357" s="26" t="n"/>
      <c r="D357" s="27" t="n"/>
      <c r="E357" s="26" t="n"/>
      <c r="F357" s="26" t="n"/>
      <c r="G357" s="28" t="n"/>
      <c r="H357" s="29" t="n"/>
      <c r="I357" s="29" t="n"/>
      <c r="J357" s="26" t="n"/>
      <c r="K357" s="30" t="n"/>
      <c r="L357" s="26" t="n"/>
      <c r="M357" s="26" t="n"/>
      <c r="N357" s="26" t="n"/>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31" t="n"/>
      <c r="AM357" s="30"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row>
    <row r="358" ht="13" customHeight="1">
      <c r="A358" s="25" t="n"/>
      <c r="B358" s="26" t="n"/>
      <c r="C358" s="26" t="n"/>
      <c r="D358" s="27" t="n"/>
      <c r="E358" s="26" t="n"/>
      <c r="F358" s="26" t="n"/>
      <c r="G358" s="28" t="n"/>
      <c r="H358" s="29" t="n"/>
      <c r="I358" s="29" t="n"/>
      <c r="J358" s="26" t="n"/>
      <c r="K358" s="30" t="n"/>
      <c r="L358" s="26" t="n"/>
      <c r="M358" s="26" t="n"/>
      <c r="N358" s="26" t="n"/>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31" t="n"/>
      <c r="AM358" s="30"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row>
    <row r="359" ht="13" customHeight="1">
      <c r="A359" s="25" t="n"/>
      <c r="B359" s="26" t="n"/>
      <c r="C359" s="26" t="n"/>
      <c r="D359" s="27" t="n"/>
      <c r="E359" s="26" t="n"/>
      <c r="F359" s="26" t="n"/>
      <c r="G359" s="28" t="n"/>
      <c r="H359" s="29" t="n"/>
      <c r="I359" s="29" t="n"/>
      <c r="J359" s="26" t="n"/>
      <c r="K359" s="30" t="n"/>
      <c r="L359" s="26" t="n"/>
      <c r="M359" s="26" t="n"/>
      <c r="N359" s="26" t="n"/>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31" t="n"/>
      <c r="AM359" s="30"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row>
    <row r="360" ht="13" customHeight="1">
      <c r="A360" s="25" t="n"/>
      <c r="B360" s="26" t="n"/>
      <c r="C360" s="26" t="n"/>
      <c r="D360" s="27" t="n"/>
      <c r="E360" s="26" t="n"/>
      <c r="F360" s="26" t="n"/>
      <c r="G360" s="28" t="n"/>
      <c r="H360" s="29" t="n"/>
      <c r="I360" s="29" t="n"/>
      <c r="J360" s="26" t="n"/>
      <c r="K360" s="30" t="n"/>
      <c r="L360" s="26" t="n"/>
      <c r="M360" s="26" t="n"/>
      <c r="N360" s="26" t="n"/>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31" t="n"/>
      <c r="AM360" s="30"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row>
    <row r="361" ht="13" customHeight="1">
      <c r="A361" s="25" t="n"/>
      <c r="B361" s="26" t="n"/>
      <c r="C361" s="26" t="n"/>
      <c r="D361" s="27" t="n"/>
      <c r="E361" s="26" t="n"/>
      <c r="F361" s="26" t="n"/>
      <c r="G361" s="28" t="n"/>
      <c r="H361" s="29" t="n"/>
      <c r="I361" s="29" t="n"/>
      <c r="J361" s="26" t="n"/>
      <c r="K361" s="30" t="n"/>
      <c r="L361" s="26" t="n"/>
      <c r="M361" s="26" t="n"/>
      <c r="N361" s="26" t="n"/>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31" t="n"/>
      <c r="AM361" s="30"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row>
    <row r="362" ht="13" customHeight="1">
      <c r="A362" s="25" t="n"/>
      <c r="B362" s="26" t="n"/>
      <c r="C362" s="26" t="n"/>
      <c r="D362" s="27" t="n"/>
      <c r="E362" s="26" t="n"/>
      <c r="F362" s="26" t="n"/>
      <c r="G362" s="28" t="n"/>
      <c r="H362" s="29" t="n"/>
      <c r="I362" s="29" t="n"/>
      <c r="J362" s="26" t="n"/>
      <c r="K362" s="30" t="n"/>
      <c r="L362" s="26" t="n"/>
      <c r="M362" s="26" t="n"/>
      <c r="N362" s="26" t="n"/>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31" t="n"/>
      <c r="AM362" s="30"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row>
    <row r="363" ht="13" customHeight="1">
      <c r="A363" s="25" t="n"/>
      <c r="B363" s="26" t="n"/>
      <c r="C363" s="26" t="n"/>
      <c r="D363" s="27" t="n"/>
      <c r="E363" s="26" t="n"/>
      <c r="F363" s="26" t="n"/>
      <c r="G363" s="28" t="n"/>
      <c r="H363" s="29" t="n"/>
      <c r="I363" s="29" t="n"/>
      <c r="J363" s="26" t="n"/>
      <c r="K363" s="30" t="n"/>
      <c r="L363" s="26" t="n"/>
      <c r="M363" s="26" t="n"/>
      <c r="N363" s="26" t="n"/>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31" t="n"/>
      <c r="AM363" s="30"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row>
    <row r="364" ht="13" customHeight="1">
      <c r="A364" s="25" t="n"/>
      <c r="B364" s="26" t="n"/>
      <c r="C364" s="26" t="n"/>
      <c r="D364" s="27" t="n"/>
      <c r="E364" s="26" t="n"/>
      <c r="F364" s="26" t="n"/>
      <c r="G364" s="28" t="n"/>
      <c r="H364" s="29" t="n"/>
      <c r="I364" s="29" t="n"/>
      <c r="J364" s="26" t="n"/>
      <c r="K364" s="30" t="n"/>
      <c r="L364" s="26" t="n"/>
      <c r="M364" s="26" t="n"/>
      <c r="N364" s="26" t="n"/>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31" t="n"/>
      <c r="AM364" s="30"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row>
    <row r="365" ht="13" customHeight="1">
      <c r="A365" s="25" t="n"/>
      <c r="B365" s="26" t="n"/>
      <c r="C365" s="26" t="n"/>
      <c r="D365" s="27" t="n"/>
      <c r="E365" s="26" t="n"/>
      <c r="F365" s="26" t="n"/>
      <c r="G365" s="28" t="n"/>
      <c r="H365" s="29" t="n"/>
      <c r="I365" s="29" t="n"/>
      <c r="J365" s="26" t="n"/>
      <c r="K365" s="30" t="n"/>
      <c r="L365" s="26" t="n"/>
      <c r="M365" s="26" t="n"/>
      <c r="N365" s="26" t="n"/>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31" t="n"/>
      <c r="AM365" s="30"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row>
    <row r="366" ht="13" customHeight="1">
      <c r="A366" s="25" t="n"/>
      <c r="B366" s="26" t="n"/>
      <c r="C366" s="26" t="n"/>
      <c r="D366" s="27" t="n"/>
      <c r="E366" s="26" t="n"/>
      <c r="F366" s="26" t="n"/>
      <c r="G366" s="28" t="n"/>
      <c r="H366" s="29" t="n"/>
      <c r="I366" s="29" t="n"/>
      <c r="J366" s="26" t="n"/>
      <c r="K366" s="30" t="n"/>
      <c r="L366" s="26" t="n"/>
      <c r="M366" s="26" t="n"/>
      <c r="N366" s="26" t="n"/>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31" t="n"/>
      <c r="AM366" s="30"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row>
    <row r="367" ht="13" customHeight="1">
      <c r="A367" s="25" t="n"/>
      <c r="B367" s="26" t="n"/>
      <c r="C367" s="26" t="n"/>
      <c r="D367" s="27" t="n"/>
      <c r="E367" s="26" t="n"/>
      <c r="F367" s="26" t="n"/>
      <c r="G367" s="28" t="n"/>
      <c r="H367" s="29" t="n"/>
      <c r="I367" s="29" t="n"/>
      <c r="J367" s="26" t="n"/>
      <c r="K367" s="30" t="n"/>
      <c r="L367" s="26" t="n"/>
      <c r="M367" s="26" t="n"/>
      <c r="N367" s="26" t="n"/>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31" t="n"/>
      <c r="AM367" s="30"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row>
    <row r="368" ht="13" customHeight="1">
      <c r="A368" s="25" t="n"/>
      <c r="B368" s="26" t="n"/>
      <c r="C368" s="26" t="n"/>
      <c r="D368" s="27" t="n"/>
      <c r="E368" s="26" t="n"/>
      <c r="F368" s="26" t="n"/>
      <c r="G368" s="28" t="n"/>
      <c r="H368" s="29" t="n"/>
      <c r="I368" s="29" t="n"/>
      <c r="J368" s="26" t="n"/>
      <c r="K368" s="30" t="n"/>
      <c r="L368" s="26" t="n"/>
      <c r="M368" s="26" t="n"/>
      <c r="N368" s="26" t="n"/>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31" t="n"/>
      <c r="AM368" s="30"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row>
    <row r="369" ht="13" customHeight="1">
      <c r="A369" s="25" t="n"/>
      <c r="B369" s="26" t="n"/>
      <c r="C369" s="26" t="n"/>
      <c r="D369" s="27" t="n"/>
      <c r="E369" s="26" t="n"/>
      <c r="F369" s="26" t="n"/>
      <c r="G369" s="28" t="n"/>
      <c r="H369" s="29" t="n"/>
      <c r="I369" s="29" t="n"/>
      <c r="J369" s="26" t="n"/>
      <c r="K369" s="30" t="n"/>
      <c r="L369" s="26" t="n"/>
      <c r="M369" s="26" t="n"/>
      <c r="N369" s="26" t="n"/>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31" t="n"/>
      <c r="AM369" s="30"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row>
    <row r="370" ht="13" customHeight="1">
      <c r="A370" s="25" t="n"/>
      <c r="B370" s="26" t="n"/>
      <c r="C370" s="26" t="n"/>
      <c r="D370" s="27" t="n"/>
      <c r="E370" s="26" t="n"/>
      <c r="F370" s="26" t="n"/>
      <c r="G370" s="28" t="n"/>
      <c r="H370" s="29" t="n"/>
      <c r="I370" s="29" t="n"/>
      <c r="J370" s="26" t="n"/>
      <c r="K370" s="30" t="n"/>
      <c r="L370" s="26" t="n"/>
      <c r="M370" s="26" t="n"/>
      <c r="N370" s="26" t="n"/>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31" t="n"/>
      <c r="AM370" s="30"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row>
    <row r="371" ht="13" customHeight="1">
      <c r="A371" s="25" t="n"/>
      <c r="B371" s="26" t="n"/>
      <c r="C371" s="26" t="n"/>
      <c r="D371" s="27" t="n"/>
      <c r="E371" s="26" t="n"/>
      <c r="F371" s="26" t="n"/>
      <c r="G371" s="28" t="n"/>
      <c r="H371" s="29" t="n"/>
      <c r="I371" s="29" t="n"/>
      <c r="J371" s="26" t="n"/>
      <c r="K371" s="30" t="n"/>
      <c r="L371" s="26" t="n"/>
      <c r="M371" s="26" t="n"/>
      <c r="N371" s="26" t="n"/>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31" t="n"/>
      <c r="AM371" s="30"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row>
    <row r="372" ht="13" customHeight="1">
      <c r="A372" s="25" t="n"/>
      <c r="B372" s="26" t="n"/>
      <c r="C372" s="26" t="n"/>
      <c r="D372" s="27" t="n"/>
      <c r="E372" s="26" t="n"/>
      <c r="F372" s="26" t="n"/>
      <c r="G372" s="28" t="n"/>
      <c r="H372" s="29" t="n"/>
      <c r="I372" s="29" t="n"/>
      <c r="J372" s="26" t="n"/>
      <c r="K372" s="30" t="n"/>
      <c r="L372" s="26" t="n"/>
      <c r="M372" s="26" t="n"/>
      <c r="N372" s="26" t="n"/>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31" t="n"/>
      <c r="AM372" s="30"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row>
    <row r="373" ht="13" customHeight="1">
      <c r="A373" s="25" t="n"/>
      <c r="B373" s="26" t="n"/>
      <c r="C373" s="26" t="n"/>
      <c r="D373" s="27" t="n"/>
      <c r="E373" s="26" t="n"/>
      <c r="F373" s="26" t="n"/>
      <c r="G373" s="28" t="n"/>
      <c r="H373" s="29" t="n"/>
      <c r="I373" s="29" t="n"/>
      <c r="J373" s="26" t="n"/>
      <c r="K373" s="30" t="n"/>
      <c r="L373" s="26" t="n"/>
      <c r="M373" s="26" t="n"/>
      <c r="N373" s="26" t="n"/>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31" t="n"/>
      <c r="AM373" s="30"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row>
    <row r="374" ht="13" customHeight="1">
      <c r="A374" s="25" t="n"/>
      <c r="B374" s="26" t="n"/>
      <c r="C374" s="26" t="n"/>
      <c r="D374" s="27" t="n"/>
      <c r="E374" s="26" t="n"/>
      <c r="F374" s="26" t="n"/>
      <c r="G374" s="28" t="n"/>
      <c r="H374" s="29" t="n"/>
      <c r="I374" s="29" t="n"/>
      <c r="J374" s="26" t="n"/>
      <c r="K374" s="30" t="n"/>
      <c r="L374" s="26" t="n"/>
      <c r="M374" s="26" t="n"/>
      <c r="N374" s="26" t="n"/>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31" t="n"/>
      <c r="AM374" s="30"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row>
    <row r="375" ht="13" customHeight="1">
      <c r="A375" s="25" t="n"/>
      <c r="B375" s="26" t="n"/>
      <c r="C375" s="26" t="n"/>
      <c r="D375" s="27" t="n"/>
      <c r="E375" s="26" t="n"/>
      <c r="F375" s="26" t="n"/>
      <c r="G375" s="28" t="n"/>
      <c r="H375" s="29" t="n"/>
      <c r="I375" s="29" t="n"/>
      <c r="J375" s="26" t="n"/>
      <c r="K375" s="30" t="n"/>
      <c r="L375" s="26" t="n"/>
      <c r="M375" s="26" t="n"/>
      <c r="N375" s="26" t="n"/>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31" t="n"/>
      <c r="AM375" s="30"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row>
    <row r="376" ht="13" customHeight="1">
      <c r="A376" s="25" t="n"/>
      <c r="B376" s="26" t="n"/>
      <c r="C376" s="26" t="n"/>
      <c r="D376" s="27" t="n"/>
      <c r="E376" s="26" t="n"/>
      <c r="F376" s="26" t="n"/>
      <c r="G376" s="28" t="n"/>
      <c r="H376" s="29" t="n"/>
      <c r="I376" s="29" t="n"/>
      <c r="J376" s="26" t="n"/>
      <c r="K376" s="30" t="n"/>
      <c r="L376" s="26" t="n"/>
      <c r="M376" s="26" t="n"/>
      <c r="N376" s="26" t="n"/>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31" t="n"/>
      <c r="AM376" s="30"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row>
    <row r="377" ht="13" customHeight="1">
      <c r="A377" s="25" t="n"/>
      <c r="B377" s="26" t="n"/>
      <c r="C377" s="26" t="n"/>
      <c r="D377" s="27" t="n"/>
      <c r="E377" s="26" t="n"/>
      <c r="F377" s="26" t="n"/>
      <c r="G377" s="28" t="n"/>
      <c r="H377" s="29" t="n"/>
      <c r="I377" s="29" t="n"/>
      <c r="J377" s="26" t="n"/>
      <c r="K377" s="30" t="n"/>
      <c r="L377" s="26" t="n"/>
      <c r="M377" s="26" t="n"/>
      <c r="N377" s="26" t="n"/>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31" t="n"/>
      <c r="AM377" s="30"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row>
    <row r="378" ht="13" customHeight="1">
      <c r="A378" s="25" t="n"/>
      <c r="B378" s="26" t="n"/>
      <c r="C378" s="26" t="n"/>
      <c r="D378" s="27" t="n"/>
      <c r="E378" s="26" t="n"/>
      <c r="F378" s="26" t="n"/>
      <c r="G378" s="28" t="n"/>
      <c r="H378" s="29" t="n"/>
      <c r="I378" s="29" t="n"/>
      <c r="J378" s="26" t="n"/>
      <c r="K378" s="30" t="n"/>
      <c r="L378" s="26" t="n"/>
      <c r="M378" s="26" t="n"/>
      <c r="N378" s="26" t="n"/>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31" t="n"/>
      <c r="AM378" s="30"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row>
    <row r="379" ht="13" customHeight="1">
      <c r="A379" s="25" t="n"/>
      <c r="B379" s="26" t="n"/>
      <c r="C379" s="26" t="n"/>
      <c r="D379" s="27" t="n"/>
      <c r="E379" s="26" t="n"/>
      <c r="F379" s="26" t="n"/>
      <c r="G379" s="28" t="n"/>
      <c r="H379" s="29" t="n"/>
      <c r="I379" s="29" t="n"/>
      <c r="J379" s="26" t="n"/>
      <c r="K379" s="30" t="n"/>
      <c r="L379" s="26" t="n"/>
      <c r="M379" s="26" t="n"/>
      <c r="N379" s="26" t="n"/>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31" t="n"/>
      <c r="AM379" s="30"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row>
    <row r="380" ht="13" customHeight="1">
      <c r="A380" s="25" t="n"/>
      <c r="B380" s="26" t="n"/>
      <c r="C380" s="26" t="n"/>
      <c r="D380" s="27" t="n"/>
      <c r="E380" s="26" t="n"/>
      <c r="F380" s="26" t="n"/>
      <c r="G380" s="28" t="n"/>
      <c r="H380" s="29" t="n"/>
      <c r="I380" s="29" t="n"/>
      <c r="J380" s="26" t="n"/>
      <c r="K380" s="30" t="n"/>
      <c r="L380" s="26" t="n"/>
      <c r="M380" s="26" t="n"/>
      <c r="N380" s="26" t="n"/>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31" t="n"/>
      <c r="AM380" s="30"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row>
    <row r="381" ht="13" customHeight="1">
      <c r="A381" s="25" t="n"/>
      <c r="B381" s="26" t="n"/>
      <c r="C381" s="26" t="n"/>
      <c r="D381" s="27" t="n"/>
      <c r="E381" s="26" t="n"/>
      <c r="F381" s="26" t="n"/>
      <c r="G381" s="28" t="n"/>
      <c r="H381" s="29" t="n"/>
      <c r="I381" s="29" t="n"/>
      <c r="J381" s="26" t="n"/>
      <c r="K381" s="30" t="n"/>
      <c r="L381" s="26" t="n"/>
      <c r="M381" s="26" t="n"/>
      <c r="N381" s="26" t="n"/>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31" t="n"/>
      <c r="AM381" s="30"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row>
    <row r="382" ht="13" customHeight="1">
      <c r="A382" s="25" t="n"/>
      <c r="B382" s="26" t="n"/>
      <c r="C382" s="26" t="n"/>
      <c r="D382" s="27" t="n"/>
      <c r="E382" s="26" t="n"/>
      <c r="F382" s="26" t="n"/>
      <c r="G382" s="28" t="n"/>
      <c r="H382" s="29" t="n"/>
      <c r="I382" s="29" t="n"/>
      <c r="J382" s="26" t="n"/>
      <c r="K382" s="30" t="n"/>
      <c r="L382" s="26" t="n"/>
      <c r="M382" s="26" t="n"/>
      <c r="N382" s="26" t="n"/>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31" t="n"/>
      <c r="AM382" s="30"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row>
    <row r="383" ht="13" customHeight="1">
      <c r="A383" s="25" t="n"/>
      <c r="B383" s="26" t="n"/>
      <c r="C383" s="26" t="n"/>
      <c r="D383" s="27" t="n"/>
      <c r="E383" s="26" t="n"/>
      <c r="F383" s="26" t="n"/>
      <c r="G383" s="28" t="n"/>
      <c r="H383" s="29" t="n"/>
      <c r="I383" s="29" t="n"/>
      <c r="J383" s="26" t="n"/>
      <c r="K383" s="30" t="n"/>
      <c r="L383" s="26" t="n"/>
      <c r="M383" s="26" t="n"/>
      <c r="N383" s="26" t="n"/>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31" t="n"/>
      <c r="AM383" s="30"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row>
    <row r="384" ht="13" customHeight="1">
      <c r="A384" s="25" t="n"/>
      <c r="B384" s="26" t="n"/>
      <c r="C384" s="26" t="n"/>
      <c r="D384" s="27" t="n"/>
      <c r="E384" s="26" t="n"/>
      <c r="F384" s="26" t="n"/>
      <c r="G384" s="28" t="n"/>
      <c r="H384" s="29" t="n"/>
      <c r="I384" s="29" t="n"/>
      <c r="J384" s="26" t="n"/>
      <c r="K384" s="30" t="n"/>
      <c r="L384" s="26" t="n"/>
      <c r="M384" s="26" t="n"/>
      <c r="N384" s="26" t="n"/>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31" t="n"/>
      <c r="AM384" s="30"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row>
    <row r="385" ht="13" customHeight="1">
      <c r="A385" s="25" t="n"/>
      <c r="B385" s="26" t="n"/>
      <c r="C385" s="26" t="n"/>
      <c r="D385" s="27" t="n"/>
      <c r="E385" s="26" t="n"/>
      <c r="F385" s="26" t="n"/>
      <c r="G385" s="28" t="n"/>
      <c r="H385" s="29" t="n"/>
      <c r="I385" s="29" t="n"/>
      <c r="J385" s="26" t="n"/>
      <c r="K385" s="30" t="n"/>
      <c r="L385" s="26" t="n"/>
      <c r="M385" s="26" t="n"/>
      <c r="N385" s="26" t="n"/>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31" t="n"/>
      <c r="AM385" s="30"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row>
    <row r="386" ht="13" customHeight="1">
      <c r="A386" s="25" t="n"/>
      <c r="B386" s="26" t="n"/>
      <c r="C386" s="26" t="n"/>
      <c r="D386" s="27" t="n"/>
      <c r="E386" s="26" t="n"/>
      <c r="F386" s="26" t="n"/>
      <c r="G386" s="28" t="n"/>
      <c r="H386" s="29" t="n"/>
      <c r="I386" s="29" t="n"/>
      <c r="J386" s="26" t="n"/>
      <c r="K386" s="30" t="n"/>
      <c r="L386" s="26" t="n"/>
      <c r="M386" s="26" t="n"/>
      <c r="N386" s="26" t="n"/>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31" t="n"/>
      <c r="AM386" s="30"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row>
    <row r="387" ht="13" customHeight="1">
      <c r="A387" s="25" t="n"/>
      <c r="B387" s="26" t="n"/>
      <c r="C387" s="26" t="n"/>
      <c r="D387" s="27" t="n"/>
      <c r="E387" s="26" t="n"/>
      <c r="F387" s="26" t="n"/>
      <c r="G387" s="28" t="n"/>
      <c r="H387" s="29" t="n"/>
      <c r="I387" s="29" t="n"/>
      <c r="J387" s="26" t="n"/>
      <c r="K387" s="30" t="n"/>
      <c r="L387" s="26" t="n"/>
      <c r="M387" s="26" t="n"/>
      <c r="N387" s="26" t="n"/>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31" t="n"/>
      <c r="AM387" s="30"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row>
    <row r="388" ht="13" customHeight="1">
      <c r="A388" s="25" t="n"/>
      <c r="B388" s="26" t="n"/>
      <c r="C388" s="26" t="n"/>
      <c r="D388" s="27" t="n"/>
      <c r="E388" s="26" t="n"/>
      <c r="F388" s="26" t="n"/>
      <c r="G388" s="28" t="n"/>
      <c r="H388" s="29" t="n"/>
      <c r="I388" s="29" t="n"/>
      <c r="J388" s="26" t="n"/>
      <c r="K388" s="30" t="n"/>
      <c r="L388" s="26" t="n"/>
      <c r="M388" s="26" t="n"/>
      <c r="N388" s="26" t="n"/>
      <c r="O388" s="26" t="n"/>
      <c r="P388" s="26" t="n"/>
      <c r="Q388" s="26" t="n"/>
      <c r="R388" s="26" t="n"/>
      <c r="S388" s="26" t="n"/>
      <c r="T388" s="26" t="n"/>
      <c r="U388" s="26" t="n"/>
      <c r="V388" s="26" t="n"/>
      <c r="W388" s="26" t="n"/>
      <c r="X388" s="26" t="n"/>
      <c r="Y388" s="26" t="n"/>
      <c r="Z388" s="26" t="n"/>
      <c r="AA388" s="26" t="n"/>
      <c r="AB388" s="26" t="n"/>
      <c r="AC388" s="26" t="n"/>
      <c r="AD388" s="26" t="n"/>
      <c r="AE388" s="26" t="n"/>
      <c r="AF388" s="26" t="n"/>
      <c r="AG388" s="26" t="n"/>
      <c r="AH388" s="26" t="n"/>
      <c r="AI388" s="26" t="n"/>
      <c r="AJ388" s="26" t="n"/>
      <c r="AK388" s="26" t="n"/>
      <c r="AL388" s="31" t="n"/>
      <c r="AM388" s="30" t="n"/>
      <c r="AN388" s="26" t="n"/>
      <c r="AO388" s="26" t="n"/>
      <c r="AP388" s="26" t="n"/>
      <c r="AQ388" s="26" t="n"/>
      <c r="AR388" s="26" t="n"/>
      <c r="AS388" s="26" t="n"/>
      <c r="AT388" s="26" t="n"/>
      <c r="AU388" s="26" t="n"/>
      <c r="AV388" s="26" t="n"/>
      <c r="AW388" s="26" t="n"/>
      <c r="AX388" s="26" t="n"/>
      <c r="AY388" s="26" t="n"/>
      <c r="AZ388" s="26" t="n"/>
      <c r="BA388" s="26" t="n"/>
      <c r="BB388" s="26" t="n"/>
      <c r="BC388" s="26" t="n"/>
      <c r="BD388" s="26" t="n"/>
      <c r="BE388" s="26" t="n"/>
      <c r="BF388" s="26" t="n"/>
      <c r="BG388" s="26" t="n"/>
      <c r="BH388" s="26" t="n"/>
      <c r="BI388" s="26" t="n"/>
      <c r="BJ388" s="26" t="n"/>
      <c r="BK388" s="26" t="n"/>
      <c r="BL388" s="26" t="n"/>
      <c r="BM388" s="26" t="n"/>
      <c r="BN388" s="26" t="n"/>
    </row>
    <row r="389" ht="13" customHeight="1">
      <c r="A389" s="25" t="n"/>
      <c r="B389" s="26" t="n"/>
      <c r="C389" s="26" t="n"/>
      <c r="D389" s="27" t="n"/>
      <c r="E389" s="26" t="n"/>
      <c r="F389" s="26" t="n"/>
      <c r="G389" s="28" t="n"/>
      <c r="H389" s="29" t="n"/>
      <c r="I389" s="29" t="n"/>
      <c r="J389" s="26" t="n"/>
      <c r="K389" s="30" t="n"/>
      <c r="L389" s="26" t="n"/>
      <c r="M389" s="26" t="n"/>
      <c r="N389" s="26" t="n"/>
      <c r="O389" s="26" t="n"/>
      <c r="P389" s="26" t="n"/>
      <c r="Q389" s="26" t="n"/>
      <c r="R389" s="26" t="n"/>
      <c r="S389" s="26" t="n"/>
      <c r="T389" s="26" t="n"/>
      <c r="U389" s="26" t="n"/>
      <c r="V389" s="26" t="n"/>
      <c r="W389" s="26" t="n"/>
      <c r="X389" s="26" t="n"/>
      <c r="Y389" s="26" t="n"/>
      <c r="Z389" s="26" t="n"/>
      <c r="AA389" s="26" t="n"/>
      <c r="AB389" s="26" t="n"/>
      <c r="AC389" s="26" t="n"/>
      <c r="AD389" s="26" t="n"/>
      <c r="AE389" s="26" t="n"/>
      <c r="AF389" s="26" t="n"/>
      <c r="AG389" s="26" t="n"/>
      <c r="AH389" s="26" t="n"/>
      <c r="AI389" s="26" t="n"/>
      <c r="AJ389" s="26" t="n"/>
      <c r="AK389" s="26" t="n"/>
      <c r="AL389" s="31" t="n"/>
      <c r="AM389" s="30" t="n"/>
      <c r="AN389" s="26" t="n"/>
      <c r="AO389" s="26" t="n"/>
      <c r="AP389" s="26" t="n"/>
      <c r="AQ389" s="26" t="n"/>
      <c r="AR389" s="26" t="n"/>
      <c r="AS389" s="26" t="n"/>
      <c r="AT389" s="26" t="n"/>
      <c r="AU389" s="26" t="n"/>
      <c r="AV389" s="26" t="n"/>
      <c r="AW389" s="26" t="n"/>
      <c r="AX389" s="26" t="n"/>
      <c r="AY389" s="26" t="n"/>
      <c r="AZ389" s="26" t="n"/>
      <c r="BA389" s="26" t="n"/>
      <c r="BB389" s="26" t="n"/>
      <c r="BC389" s="26" t="n"/>
      <c r="BD389" s="26" t="n"/>
      <c r="BE389" s="26" t="n"/>
      <c r="BF389" s="26" t="n"/>
      <c r="BG389" s="26" t="n"/>
      <c r="BH389" s="26" t="n"/>
      <c r="BI389" s="26" t="n"/>
      <c r="BJ389" s="26" t="n"/>
      <c r="BK389" s="26" t="n"/>
      <c r="BL389" s="26" t="n"/>
      <c r="BM389" s="26" t="n"/>
      <c r="BN389" s="26" t="n"/>
    </row>
    <row r="390" ht="13" customHeight="1">
      <c r="A390" s="25" t="n"/>
      <c r="B390" s="26" t="n"/>
      <c r="C390" s="26" t="n"/>
      <c r="D390" s="27" t="n"/>
      <c r="E390" s="26" t="n"/>
      <c r="F390" s="26" t="n"/>
      <c r="G390" s="28" t="n"/>
      <c r="H390" s="29" t="n"/>
      <c r="I390" s="29" t="n"/>
      <c r="J390" s="26" t="n"/>
      <c r="K390" s="30" t="n"/>
      <c r="L390" s="26" t="n"/>
      <c r="M390" s="26" t="n"/>
      <c r="N390" s="26" t="n"/>
      <c r="O390" s="26" t="n"/>
      <c r="P390" s="26" t="n"/>
      <c r="Q390" s="26" t="n"/>
      <c r="R390" s="26" t="n"/>
      <c r="S390" s="26" t="n"/>
      <c r="T390" s="26" t="n"/>
      <c r="U390" s="26" t="n"/>
      <c r="V390" s="26" t="n"/>
      <c r="W390" s="26" t="n"/>
      <c r="X390" s="26" t="n"/>
      <c r="Y390" s="26" t="n"/>
      <c r="Z390" s="26" t="n"/>
      <c r="AA390" s="26" t="n"/>
      <c r="AB390" s="26" t="n"/>
      <c r="AC390" s="26" t="n"/>
      <c r="AD390" s="26" t="n"/>
      <c r="AE390" s="26" t="n"/>
      <c r="AF390" s="26" t="n"/>
      <c r="AG390" s="26" t="n"/>
      <c r="AH390" s="26" t="n"/>
      <c r="AI390" s="26" t="n"/>
      <c r="AJ390" s="26" t="n"/>
      <c r="AK390" s="26" t="n"/>
      <c r="AL390" s="31" t="n"/>
      <c r="AM390" s="30" t="n"/>
      <c r="AN390" s="26" t="n"/>
      <c r="AO390" s="26" t="n"/>
      <c r="AP390" s="26" t="n"/>
      <c r="AQ390" s="26" t="n"/>
      <c r="AR390" s="26" t="n"/>
      <c r="AS390" s="26" t="n"/>
      <c r="AT390" s="26" t="n"/>
      <c r="AU390" s="26" t="n"/>
      <c r="AV390" s="26" t="n"/>
      <c r="AW390" s="26" t="n"/>
      <c r="AX390" s="26" t="n"/>
      <c r="AY390" s="26" t="n"/>
      <c r="AZ390" s="26" t="n"/>
      <c r="BA390" s="26" t="n"/>
      <c r="BB390" s="26" t="n"/>
      <c r="BC390" s="26" t="n"/>
      <c r="BD390" s="26" t="n"/>
      <c r="BE390" s="26" t="n"/>
      <c r="BF390" s="26" t="n"/>
      <c r="BG390" s="26" t="n"/>
      <c r="BH390" s="26" t="n"/>
      <c r="BI390" s="26" t="n"/>
      <c r="BJ390" s="26" t="n"/>
      <c r="BK390" s="26" t="n"/>
      <c r="BL390" s="26" t="n"/>
      <c r="BM390" s="26" t="n"/>
      <c r="BN390" s="26" t="n"/>
    </row>
    <row r="391" ht="13" customHeight="1">
      <c r="A391" s="25" t="n"/>
      <c r="B391" s="26" t="n"/>
      <c r="C391" s="26" t="n"/>
      <c r="D391" s="27" t="n"/>
      <c r="E391" s="26" t="n"/>
      <c r="F391" s="26" t="n"/>
      <c r="G391" s="28" t="n"/>
      <c r="H391" s="29" t="n"/>
      <c r="I391" s="29" t="n"/>
      <c r="J391" s="26" t="n"/>
      <c r="K391" s="30" t="n"/>
      <c r="L391" s="26" t="n"/>
      <c r="M391" s="26" t="n"/>
      <c r="N391" s="26" t="n"/>
      <c r="O391" s="26" t="n"/>
      <c r="P391" s="26" t="n"/>
      <c r="Q391" s="26" t="n"/>
      <c r="R391" s="26" t="n"/>
      <c r="S391" s="26" t="n"/>
      <c r="T391" s="26" t="n"/>
      <c r="U391" s="26" t="n"/>
      <c r="V391" s="26" t="n"/>
      <c r="W391" s="26" t="n"/>
      <c r="X391" s="26" t="n"/>
      <c r="Y391" s="26" t="n"/>
      <c r="Z391" s="26" t="n"/>
      <c r="AA391" s="26" t="n"/>
      <c r="AB391" s="26" t="n"/>
      <c r="AC391" s="26" t="n"/>
      <c r="AD391" s="26" t="n"/>
      <c r="AE391" s="26" t="n"/>
      <c r="AF391" s="26" t="n"/>
      <c r="AG391" s="26" t="n"/>
      <c r="AH391" s="26" t="n"/>
      <c r="AI391" s="26" t="n"/>
      <c r="AJ391" s="26" t="n"/>
      <c r="AK391" s="26" t="n"/>
      <c r="AL391" s="31" t="n"/>
      <c r="AM391" s="30" t="n"/>
      <c r="AN391" s="26" t="n"/>
      <c r="AO391" s="26" t="n"/>
      <c r="AP391" s="26" t="n"/>
      <c r="AQ391" s="26" t="n"/>
      <c r="AR391" s="26" t="n"/>
      <c r="AS391" s="26" t="n"/>
      <c r="AT391" s="26" t="n"/>
      <c r="AU391" s="26" t="n"/>
      <c r="AV391" s="26" t="n"/>
      <c r="AW391" s="26" t="n"/>
      <c r="AX391" s="26" t="n"/>
      <c r="AY391" s="26" t="n"/>
      <c r="AZ391" s="26" t="n"/>
      <c r="BA391" s="26" t="n"/>
      <c r="BB391" s="26" t="n"/>
      <c r="BC391" s="26" t="n"/>
      <c r="BD391" s="26" t="n"/>
      <c r="BE391" s="26" t="n"/>
      <c r="BF391" s="26" t="n"/>
      <c r="BG391" s="26" t="n"/>
      <c r="BH391" s="26" t="n"/>
      <c r="BI391" s="26" t="n"/>
      <c r="BJ391" s="26" t="n"/>
      <c r="BK391" s="26" t="n"/>
      <c r="BL391" s="26" t="n"/>
      <c r="BM391" s="26" t="n"/>
      <c r="BN391" s="26" t="n"/>
    </row>
    <row r="392" ht="13" customHeight="1">
      <c r="A392" s="25" t="n"/>
      <c r="B392" s="26" t="n"/>
      <c r="C392" s="26" t="n"/>
      <c r="D392" s="27" t="n"/>
      <c r="E392" s="26" t="n"/>
      <c r="F392" s="26" t="n"/>
      <c r="G392" s="28" t="n"/>
      <c r="H392" s="29" t="n"/>
      <c r="I392" s="29" t="n"/>
      <c r="J392" s="26" t="n"/>
      <c r="K392" s="30" t="n"/>
      <c r="L392" s="26" t="n"/>
      <c r="M392" s="26" t="n"/>
      <c r="N392" s="26" t="n"/>
      <c r="O392" s="26" t="n"/>
      <c r="P392" s="26" t="n"/>
      <c r="Q392" s="26" t="n"/>
      <c r="R392" s="26" t="n"/>
      <c r="S392" s="26" t="n"/>
      <c r="T392" s="26" t="n"/>
      <c r="U392" s="26" t="n"/>
      <c r="V392" s="26" t="n"/>
      <c r="W392" s="26" t="n"/>
      <c r="X392" s="26" t="n"/>
      <c r="Y392" s="26" t="n"/>
      <c r="Z392" s="26" t="n"/>
      <c r="AA392" s="26" t="n"/>
      <c r="AB392" s="26" t="n"/>
      <c r="AC392" s="26" t="n"/>
      <c r="AD392" s="26" t="n"/>
      <c r="AE392" s="26" t="n"/>
      <c r="AF392" s="26" t="n"/>
      <c r="AG392" s="26" t="n"/>
      <c r="AH392" s="26" t="n"/>
      <c r="AI392" s="26" t="n"/>
      <c r="AJ392" s="26" t="n"/>
      <c r="AK392" s="26" t="n"/>
      <c r="AL392" s="31" t="n"/>
      <c r="AM392" s="30" t="n"/>
      <c r="AN392" s="26" t="n"/>
      <c r="AO392" s="26" t="n"/>
      <c r="AP392" s="26" t="n"/>
      <c r="AQ392" s="26" t="n"/>
      <c r="AR392" s="26" t="n"/>
      <c r="AS392" s="26" t="n"/>
      <c r="AT392" s="26" t="n"/>
      <c r="AU392" s="26" t="n"/>
      <c r="AV392" s="26" t="n"/>
      <c r="AW392" s="26" t="n"/>
      <c r="AX392" s="26" t="n"/>
      <c r="AY392" s="26" t="n"/>
      <c r="AZ392" s="26" t="n"/>
      <c r="BA392" s="26" t="n"/>
      <c r="BB392" s="26" t="n"/>
      <c r="BC392" s="26" t="n"/>
      <c r="BD392" s="26" t="n"/>
      <c r="BE392" s="26" t="n"/>
      <c r="BF392" s="26" t="n"/>
      <c r="BG392" s="26" t="n"/>
      <c r="BH392" s="26" t="n"/>
      <c r="BI392" s="26" t="n"/>
      <c r="BJ392" s="26" t="n"/>
      <c r="BK392" s="26" t="n"/>
      <c r="BL392" s="26" t="n"/>
      <c r="BM392" s="26" t="n"/>
      <c r="BN392" s="26" t="n"/>
    </row>
    <row r="393" ht="13" customHeight="1">
      <c r="A393" s="25" t="n"/>
      <c r="B393" s="26" t="n"/>
      <c r="C393" s="26" t="n"/>
      <c r="D393" s="27" t="n"/>
      <c r="E393" s="26" t="n"/>
      <c r="F393" s="26" t="n"/>
      <c r="G393" s="28" t="n"/>
      <c r="H393" s="29" t="n"/>
      <c r="I393" s="29" t="n"/>
      <c r="J393" s="26" t="n"/>
      <c r="K393" s="30" t="n"/>
      <c r="L393" s="26" t="n"/>
      <c r="M393" s="26" t="n"/>
      <c r="N393" s="26" t="n"/>
      <c r="O393" s="26" t="n"/>
      <c r="P393" s="26" t="n"/>
      <c r="Q393" s="26" t="n"/>
      <c r="R393" s="26" t="n"/>
      <c r="S393" s="26" t="n"/>
      <c r="T393" s="26" t="n"/>
      <c r="U393" s="26" t="n"/>
      <c r="V393" s="26" t="n"/>
      <c r="W393" s="26" t="n"/>
      <c r="X393" s="26" t="n"/>
      <c r="Y393" s="26" t="n"/>
      <c r="Z393" s="26" t="n"/>
      <c r="AA393" s="26" t="n"/>
      <c r="AB393" s="26" t="n"/>
      <c r="AC393" s="26" t="n"/>
      <c r="AD393" s="26" t="n"/>
      <c r="AE393" s="26" t="n"/>
      <c r="AF393" s="26" t="n"/>
      <c r="AG393" s="26" t="n"/>
      <c r="AH393" s="26" t="n"/>
      <c r="AI393" s="26" t="n"/>
      <c r="AJ393" s="26" t="n"/>
      <c r="AK393" s="26" t="n"/>
      <c r="AL393" s="31" t="n"/>
      <c r="AM393" s="30" t="n"/>
      <c r="AN393" s="26" t="n"/>
      <c r="AO393" s="26" t="n"/>
      <c r="AP393" s="26" t="n"/>
      <c r="AQ393" s="26" t="n"/>
      <c r="AR393" s="26" t="n"/>
      <c r="AS393" s="26" t="n"/>
      <c r="AT393" s="26" t="n"/>
      <c r="AU393" s="26" t="n"/>
      <c r="AV393" s="26" t="n"/>
      <c r="AW393" s="26" t="n"/>
      <c r="AX393" s="26" t="n"/>
      <c r="AY393" s="26" t="n"/>
      <c r="AZ393" s="26" t="n"/>
      <c r="BA393" s="26" t="n"/>
      <c r="BB393" s="26" t="n"/>
      <c r="BC393" s="26" t="n"/>
      <c r="BD393" s="26" t="n"/>
      <c r="BE393" s="26" t="n"/>
      <c r="BF393" s="26" t="n"/>
      <c r="BG393" s="26" t="n"/>
      <c r="BH393" s="26" t="n"/>
      <c r="BI393" s="26" t="n"/>
      <c r="BJ393" s="26" t="n"/>
      <c r="BK393" s="26" t="n"/>
      <c r="BL393" s="26" t="n"/>
      <c r="BM393" s="26" t="n"/>
      <c r="BN393" s="26" t="n"/>
    </row>
    <row r="394" ht="13" customHeight="1">
      <c r="A394" s="25" t="n"/>
      <c r="B394" s="26" t="n"/>
      <c r="C394" s="26" t="n"/>
      <c r="D394" s="27" t="n"/>
      <c r="E394" s="26" t="n"/>
      <c r="F394" s="26" t="n"/>
      <c r="G394" s="28" t="n"/>
      <c r="H394" s="29" t="n"/>
      <c r="I394" s="29" t="n"/>
      <c r="J394" s="26" t="n"/>
      <c r="K394" s="30" t="n"/>
      <c r="L394" s="26" t="n"/>
      <c r="M394" s="26" t="n"/>
      <c r="N394" s="26" t="n"/>
      <c r="O394" s="26" t="n"/>
      <c r="P394" s="26" t="n"/>
      <c r="Q394" s="26" t="n"/>
      <c r="R394" s="26" t="n"/>
      <c r="S394" s="26" t="n"/>
      <c r="T394" s="26" t="n"/>
      <c r="U394" s="26" t="n"/>
      <c r="V394" s="26" t="n"/>
      <c r="W394" s="26" t="n"/>
      <c r="X394" s="26" t="n"/>
      <c r="Y394" s="26" t="n"/>
      <c r="Z394" s="26" t="n"/>
      <c r="AA394" s="26" t="n"/>
      <c r="AB394" s="26" t="n"/>
      <c r="AC394" s="26" t="n"/>
      <c r="AD394" s="26" t="n"/>
      <c r="AE394" s="26" t="n"/>
      <c r="AF394" s="26" t="n"/>
      <c r="AG394" s="26" t="n"/>
      <c r="AH394" s="26" t="n"/>
      <c r="AI394" s="26" t="n"/>
      <c r="AJ394" s="26" t="n"/>
      <c r="AK394" s="26" t="n"/>
      <c r="AL394" s="31" t="n"/>
      <c r="AM394" s="30" t="n"/>
      <c r="AN394" s="26" t="n"/>
      <c r="AO394" s="26" t="n"/>
      <c r="AP394" s="26" t="n"/>
      <c r="AQ394" s="26" t="n"/>
      <c r="AR394" s="26" t="n"/>
      <c r="AS394" s="26" t="n"/>
      <c r="AT394" s="26" t="n"/>
      <c r="AU394" s="26" t="n"/>
      <c r="AV394" s="26" t="n"/>
      <c r="AW394" s="26" t="n"/>
      <c r="AX394" s="26" t="n"/>
      <c r="AY394" s="26" t="n"/>
      <c r="AZ394" s="26" t="n"/>
      <c r="BA394" s="26" t="n"/>
      <c r="BB394" s="26" t="n"/>
      <c r="BC394" s="26" t="n"/>
      <c r="BD394" s="26" t="n"/>
      <c r="BE394" s="26" t="n"/>
      <c r="BF394" s="26" t="n"/>
      <c r="BG394" s="26" t="n"/>
      <c r="BH394" s="26" t="n"/>
      <c r="BI394" s="26" t="n"/>
      <c r="BJ394" s="26" t="n"/>
      <c r="BK394" s="26" t="n"/>
      <c r="BL394" s="26" t="n"/>
      <c r="BM394" s="26" t="n"/>
      <c r="BN394" s="26" t="n"/>
    </row>
    <row r="395" ht="13" customHeight="1">
      <c r="A395" s="25" t="n"/>
      <c r="B395" s="26" t="n"/>
      <c r="C395" s="26" t="n"/>
      <c r="D395" s="27" t="n"/>
      <c r="E395" s="26" t="n"/>
      <c r="F395" s="26" t="n"/>
      <c r="G395" s="28" t="n"/>
      <c r="H395" s="29" t="n"/>
      <c r="I395" s="29" t="n"/>
      <c r="J395" s="26" t="n"/>
      <c r="K395" s="30" t="n"/>
      <c r="L395" s="26" t="n"/>
      <c r="M395" s="26" t="n"/>
      <c r="N395" s="26" t="n"/>
      <c r="O395" s="26" t="n"/>
      <c r="P395" s="26" t="n"/>
      <c r="Q395" s="26" t="n"/>
      <c r="R395" s="26" t="n"/>
      <c r="S395" s="26" t="n"/>
      <c r="T395" s="26" t="n"/>
      <c r="U395" s="26" t="n"/>
      <c r="V395" s="26" t="n"/>
      <c r="W395" s="26" t="n"/>
      <c r="X395" s="26" t="n"/>
      <c r="Y395" s="26" t="n"/>
      <c r="Z395" s="26" t="n"/>
      <c r="AA395" s="26" t="n"/>
      <c r="AB395" s="26" t="n"/>
      <c r="AC395" s="26" t="n"/>
      <c r="AD395" s="26" t="n"/>
      <c r="AE395" s="26" t="n"/>
      <c r="AF395" s="26" t="n"/>
      <c r="AG395" s="26" t="n"/>
      <c r="AH395" s="26" t="n"/>
      <c r="AI395" s="26" t="n"/>
      <c r="AJ395" s="26" t="n"/>
      <c r="AK395" s="26" t="n"/>
      <c r="AL395" s="31" t="n"/>
      <c r="AM395" s="30" t="n"/>
      <c r="AN395" s="26" t="n"/>
      <c r="AO395" s="26" t="n"/>
      <c r="AP395" s="26" t="n"/>
      <c r="AQ395" s="26" t="n"/>
      <c r="AR395" s="26" t="n"/>
      <c r="AS395" s="26" t="n"/>
      <c r="AT395" s="26" t="n"/>
      <c r="AU395" s="26" t="n"/>
      <c r="AV395" s="26" t="n"/>
      <c r="AW395" s="26" t="n"/>
      <c r="AX395" s="26" t="n"/>
      <c r="AY395" s="26" t="n"/>
      <c r="AZ395" s="26" t="n"/>
      <c r="BA395" s="26" t="n"/>
      <c r="BB395" s="26" t="n"/>
      <c r="BC395" s="26" t="n"/>
      <c r="BD395" s="26" t="n"/>
      <c r="BE395" s="26" t="n"/>
      <c r="BF395" s="26" t="n"/>
      <c r="BG395" s="26" t="n"/>
      <c r="BH395" s="26" t="n"/>
      <c r="BI395" s="26" t="n"/>
      <c r="BJ395" s="26" t="n"/>
      <c r="BK395" s="26" t="n"/>
      <c r="BL395" s="26" t="n"/>
      <c r="BM395" s="26" t="n"/>
      <c r="BN395" s="26" t="n"/>
    </row>
    <row r="396" ht="13" customHeight="1">
      <c r="A396" s="25" t="n"/>
      <c r="B396" s="26" t="n"/>
      <c r="C396" s="26" t="n"/>
      <c r="D396" s="27" t="n"/>
      <c r="E396" s="26" t="n"/>
      <c r="F396" s="26" t="n"/>
      <c r="G396" s="28" t="n"/>
      <c r="H396" s="29" t="n"/>
      <c r="I396" s="29" t="n"/>
      <c r="J396" s="26" t="n"/>
      <c r="K396" s="30" t="n"/>
      <c r="L396" s="26" t="n"/>
      <c r="M396" s="26" t="n"/>
      <c r="N396" s="26" t="n"/>
      <c r="O396" s="26" t="n"/>
      <c r="P396" s="26" t="n"/>
      <c r="Q396" s="26" t="n"/>
      <c r="R396" s="26" t="n"/>
      <c r="S396" s="26" t="n"/>
      <c r="T396" s="26" t="n"/>
      <c r="U396" s="26" t="n"/>
      <c r="V396" s="26" t="n"/>
      <c r="W396" s="26" t="n"/>
      <c r="X396" s="26" t="n"/>
      <c r="Y396" s="26" t="n"/>
      <c r="Z396" s="26" t="n"/>
      <c r="AA396" s="26" t="n"/>
      <c r="AB396" s="26" t="n"/>
      <c r="AC396" s="26" t="n"/>
      <c r="AD396" s="26" t="n"/>
      <c r="AE396" s="26" t="n"/>
      <c r="AF396" s="26" t="n"/>
      <c r="AG396" s="26" t="n"/>
      <c r="AH396" s="26" t="n"/>
      <c r="AI396" s="26" t="n"/>
      <c r="AJ396" s="26" t="n"/>
      <c r="AK396" s="26" t="n"/>
      <c r="AL396" s="31" t="n"/>
      <c r="AM396" s="30" t="n"/>
      <c r="AN396" s="26" t="n"/>
      <c r="AO396" s="26" t="n"/>
      <c r="AP396" s="26" t="n"/>
      <c r="AQ396" s="26" t="n"/>
      <c r="AR396" s="26" t="n"/>
      <c r="AS396" s="26" t="n"/>
      <c r="AT396" s="26" t="n"/>
      <c r="AU396" s="26" t="n"/>
      <c r="AV396" s="26" t="n"/>
      <c r="AW396" s="26" t="n"/>
      <c r="AX396" s="26" t="n"/>
      <c r="AY396" s="26" t="n"/>
      <c r="AZ396" s="26" t="n"/>
      <c r="BA396" s="26" t="n"/>
      <c r="BB396" s="26" t="n"/>
      <c r="BC396" s="26" t="n"/>
      <c r="BD396" s="26" t="n"/>
      <c r="BE396" s="26" t="n"/>
      <c r="BF396" s="26" t="n"/>
      <c r="BG396" s="26" t="n"/>
      <c r="BH396" s="26" t="n"/>
      <c r="BI396" s="26" t="n"/>
      <c r="BJ396" s="26" t="n"/>
      <c r="BK396" s="26" t="n"/>
      <c r="BL396" s="26" t="n"/>
      <c r="BM396" s="26" t="n"/>
      <c r="BN396" s="26" t="n"/>
    </row>
    <row r="397" ht="13" customHeight="1">
      <c r="A397" s="25" t="n"/>
      <c r="B397" s="26" t="n"/>
      <c r="C397" s="26" t="n"/>
      <c r="D397" s="27" t="n"/>
      <c r="E397" s="26" t="n"/>
      <c r="F397" s="26" t="n"/>
      <c r="G397" s="28" t="n"/>
      <c r="H397" s="29" t="n"/>
      <c r="I397" s="29" t="n"/>
      <c r="J397" s="26" t="n"/>
      <c r="K397" s="30" t="n"/>
      <c r="L397" s="26" t="n"/>
      <c r="M397" s="26" t="n"/>
      <c r="N397" s="26" t="n"/>
      <c r="O397" s="26" t="n"/>
      <c r="P397" s="26" t="n"/>
      <c r="Q397" s="26" t="n"/>
      <c r="R397" s="26" t="n"/>
      <c r="S397" s="26" t="n"/>
      <c r="T397" s="26" t="n"/>
      <c r="U397" s="26" t="n"/>
      <c r="V397" s="26" t="n"/>
      <c r="W397" s="26" t="n"/>
      <c r="X397" s="26" t="n"/>
      <c r="Y397" s="26" t="n"/>
      <c r="Z397" s="26" t="n"/>
      <c r="AA397" s="26" t="n"/>
      <c r="AB397" s="26" t="n"/>
      <c r="AC397" s="26" t="n"/>
      <c r="AD397" s="26" t="n"/>
      <c r="AE397" s="26" t="n"/>
      <c r="AF397" s="26" t="n"/>
      <c r="AG397" s="26" t="n"/>
      <c r="AH397" s="26" t="n"/>
      <c r="AI397" s="26" t="n"/>
      <c r="AJ397" s="26" t="n"/>
      <c r="AK397" s="26" t="n"/>
      <c r="AL397" s="31" t="n"/>
      <c r="AM397" s="30" t="n"/>
      <c r="AN397" s="26" t="n"/>
      <c r="AO397" s="26" t="n"/>
      <c r="AP397" s="26" t="n"/>
      <c r="AQ397" s="26" t="n"/>
      <c r="AR397" s="26" t="n"/>
      <c r="AS397" s="26" t="n"/>
      <c r="AT397" s="26" t="n"/>
      <c r="AU397" s="26" t="n"/>
      <c r="AV397" s="26" t="n"/>
      <c r="AW397" s="26" t="n"/>
      <c r="AX397" s="26" t="n"/>
      <c r="AY397" s="26" t="n"/>
      <c r="AZ397" s="26" t="n"/>
      <c r="BA397" s="26" t="n"/>
      <c r="BB397" s="26" t="n"/>
      <c r="BC397" s="26" t="n"/>
      <c r="BD397" s="26" t="n"/>
      <c r="BE397" s="26" t="n"/>
      <c r="BF397" s="26" t="n"/>
      <c r="BG397" s="26" t="n"/>
      <c r="BH397" s="26" t="n"/>
      <c r="BI397" s="26" t="n"/>
      <c r="BJ397" s="26" t="n"/>
      <c r="BK397" s="26" t="n"/>
      <c r="BL397" s="26" t="n"/>
      <c r="BM397" s="26" t="n"/>
      <c r="BN397" s="26" t="n"/>
    </row>
    <row r="398" ht="13" customHeight="1">
      <c r="A398" s="25" t="n"/>
      <c r="B398" s="26" t="n"/>
      <c r="C398" s="26" t="n"/>
      <c r="D398" s="27" t="n"/>
      <c r="E398" s="26" t="n"/>
      <c r="F398" s="26" t="n"/>
      <c r="G398" s="28" t="n"/>
      <c r="H398" s="29" t="n"/>
      <c r="I398" s="29" t="n"/>
      <c r="J398" s="26" t="n"/>
      <c r="K398" s="30" t="n"/>
      <c r="L398" s="26" t="n"/>
      <c r="M398" s="26" t="n"/>
      <c r="N398" s="26" t="n"/>
      <c r="O398" s="26" t="n"/>
      <c r="P398" s="26" t="n"/>
      <c r="Q398" s="26" t="n"/>
      <c r="R398" s="26" t="n"/>
      <c r="S398" s="26" t="n"/>
      <c r="T398" s="26" t="n"/>
      <c r="U398" s="26" t="n"/>
      <c r="V398" s="26" t="n"/>
      <c r="W398" s="26" t="n"/>
      <c r="X398" s="26" t="n"/>
      <c r="Y398" s="26" t="n"/>
      <c r="Z398" s="26" t="n"/>
      <c r="AA398" s="26" t="n"/>
      <c r="AB398" s="26" t="n"/>
      <c r="AC398" s="26" t="n"/>
      <c r="AD398" s="26" t="n"/>
      <c r="AE398" s="26" t="n"/>
      <c r="AF398" s="26" t="n"/>
      <c r="AG398" s="26" t="n"/>
      <c r="AH398" s="26" t="n"/>
      <c r="AI398" s="26" t="n"/>
      <c r="AJ398" s="26" t="n"/>
      <c r="AK398" s="26" t="n"/>
      <c r="AL398" s="31" t="n"/>
      <c r="AM398" s="30" t="n"/>
      <c r="AN398" s="26" t="n"/>
      <c r="AO398" s="26" t="n"/>
      <c r="AP398" s="26" t="n"/>
      <c r="AQ398" s="26" t="n"/>
      <c r="AR398" s="26" t="n"/>
      <c r="AS398" s="26" t="n"/>
      <c r="AT398" s="26" t="n"/>
      <c r="AU398" s="26" t="n"/>
      <c r="AV398" s="26" t="n"/>
      <c r="AW398" s="26" t="n"/>
      <c r="AX398" s="26" t="n"/>
      <c r="AY398" s="26" t="n"/>
      <c r="AZ398" s="26" t="n"/>
      <c r="BA398" s="26" t="n"/>
      <c r="BB398" s="26" t="n"/>
      <c r="BC398" s="26" t="n"/>
      <c r="BD398" s="26" t="n"/>
      <c r="BE398" s="26" t="n"/>
      <c r="BF398" s="26" t="n"/>
      <c r="BG398" s="26" t="n"/>
      <c r="BH398" s="26" t="n"/>
      <c r="BI398" s="26" t="n"/>
      <c r="BJ398" s="26" t="n"/>
      <c r="BK398" s="26" t="n"/>
      <c r="BL398" s="26" t="n"/>
      <c r="BM398" s="26" t="n"/>
      <c r="BN398" s="26" t="n"/>
    </row>
    <row r="399" ht="13" customHeight="1">
      <c r="A399" s="25" t="n"/>
      <c r="B399" s="26" t="n"/>
      <c r="C399" s="26" t="n"/>
      <c r="D399" s="27" t="n"/>
      <c r="E399" s="26" t="n"/>
      <c r="F399" s="26" t="n"/>
      <c r="G399" s="28" t="n"/>
      <c r="H399" s="29" t="n"/>
      <c r="I399" s="29" t="n"/>
      <c r="J399" s="26" t="n"/>
      <c r="K399" s="30" t="n"/>
      <c r="L399" s="26" t="n"/>
      <c r="M399" s="26" t="n"/>
      <c r="N399" s="26" t="n"/>
      <c r="O399" s="26" t="n"/>
      <c r="P399" s="26" t="n"/>
      <c r="Q399" s="26" t="n"/>
      <c r="R399" s="26" t="n"/>
      <c r="S399" s="26" t="n"/>
      <c r="T399" s="26" t="n"/>
      <c r="U399" s="26" t="n"/>
      <c r="V399" s="26" t="n"/>
      <c r="W399" s="26" t="n"/>
      <c r="X399" s="26" t="n"/>
      <c r="Y399" s="26" t="n"/>
      <c r="Z399" s="26" t="n"/>
      <c r="AA399" s="26" t="n"/>
      <c r="AB399" s="26" t="n"/>
      <c r="AC399" s="26" t="n"/>
      <c r="AD399" s="26" t="n"/>
      <c r="AE399" s="26" t="n"/>
      <c r="AF399" s="26" t="n"/>
      <c r="AG399" s="26" t="n"/>
      <c r="AH399" s="26" t="n"/>
      <c r="AI399" s="26" t="n"/>
      <c r="AJ399" s="26" t="n"/>
      <c r="AK399" s="26" t="n"/>
      <c r="AL399" s="31" t="n"/>
      <c r="AM399" s="30" t="n"/>
      <c r="AN399" s="26" t="n"/>
      <c r="AO399" s="26" t="n"/>
      <c r="AP399" s="26" t="n"/>
      <c r="AQ399" s="26" t="n"/>
      <c r="AR399" s="26" t="n"/>
      <c r="AS399" s="26" t="n"/>
      <c r="AT399" s="26" t="n"/>
      <c r="AU399" s="26" t="n"/>
      <c r="AV399" s="26" t="n"/>
      <c r="AW399" s="26" t="n"/>
      <c r="AX399" s="26" t="n"/>
      <c r="AY399" s="26" t="n"/>
      <c r="AZ399" s="26" t="n"/>
      <c r="BA399" s="26" t="n"/>
      <c r="BB399" s="26" t="n"/>
      <c r="BC399" s="26" t="n"/>
      <c r="BD399" s="26" t="n"/>
      <c r="BE399" s="26" t="n"/>
      <c r="BF399" s="26" t="n"/>
      <c r="BG399" s="26" t="n"/>
      <c r="BH399" s="26" t="n"/>
      <c r="BI399" s="26" t="n"/>
      <c r="BJ399" s="26" t="n"/>
      <c r="BK399" s="26" t="n"/>
      <c r="BL399" s="26" t="n"/>
      <c r="BM399" s="26" t="n"/>
      <c r="BN399" s="26" t="n"/>
    </row>
    <row r="400" ht="13" customHeight="1">
      <c r="A400" s="25" t="n"/>
      <c r="B400" s="26" t="n"/>
      <c r="C400" s="26" t="n"/>
      <c r="D400" s="27" t="n"/>
      <c r="E400" s="26" t="n"/>
      <c r="F400" s="26" t="n"/>
      <c r="G400" s="28" t="n"/>
      <c r="H400" s="29" t="n"/>
      <c r="I400" s="29" t="n"/>
      <c r="J400" s="26" t="n"/>
      <c r="K400" s="30" t="n"/>
      <c r="L400" s="26" t="n"/>
      <c r="M400" s="26" t="n"/>
      <c r="N400" s="26" t="n"/>
      <c r="O400" s="26" t="n"/>
      <c r="P400" s="26" t="n"/>
      <c r="Q400" s="26" t="n"/>
      <c r="R400" s="26" t="n"/>
      <c r="S400" s="26" t="n"/>
      <c r="T400" s="26" t="n"/>
      <c r="U400" s="26" t="n"/>
      <c r="V400" s="26" t="n"/>
      <c r="W400" s="26" t="n"/>
      <c r="X400" s="26" t="n"/>
      <c r="Y400" s="26" t="n"/>
      <c r="Z400" s="26" t="n"/>
      <c r="AA400" s="26" t="n"/>
      <c r="AB400" s="26" t="n"/>
      <c r="AC400" s="26" t="n"/>
      <c r="AD400" s="26" t="n"/>
      <c r="AE400" s="26" t="n"/>
      <c r="AF400" s="26" t="n"/>
      <c r="AG400" s="26" t="n"/>
      <c r="AH400" s="26" t="n"/>
      <c r="AI400" s="26" t="n"/>
      <c r="AJ400" s="26" t="n"/>
      <c r="AK400" s="26" t="n"/>
      <c r="AL400" s="31" t="n"/>
      <c r="AM400" s="30" t="n"/>
      <c r="AN400" s="26" t="n"/>
      <c r="AO400" s="26" t="n"/>
      <c r="AP400" s="26" t="n"/>
      <c r="AQ400" s="26" t="n"/>
      <c r="AR400" s="26" t="n"/>
      <c r="AS400" s="26" t="n"/>
      <c r="AT400" s="26" t="n"/>
      <c r="AU400" s="26" t="n"/>
      <c r="AV400" s="26" t="n"/>
      <c r="AW400" s="26" t="n"/>
      <c r="AX400" s="26" t="n"/>
      <c r="AY400" s="26" t="n"/>
      <c r="AZ400" s="26" t="n"/>
      <c r="BA400" s="26" t="n"/>
      <c r="BB400" s="26" t="n"/>
      <c r="BC400" s="26" t="n"/>
      <c r="BD400" s="26" t="n"/>
      <c r="BE400" s="26" t="n"/>
      <c r="BF400" s="26" t="n"/>
      <c r="BG400" s="26" t="n"/>
      <c r="BH400" s="26" t="n"/>
      <c r="BI400" s="26" t="n"/>
      <c r="BJ400" s="26" t="n"/>
      <c r="BK400" s="26" t="n"/>
      <c r="BL400" s="26" t="n"/>
      <c r="BM400" s="26" t="n"/>
      <c r="BN400" s="26" t="n"/>
    </row>
    <row r="401" ht="13" customHeight="1">
      <c r="A401" s="25" t="n"/>
      <c r="B401" s="26" t="n"/>
      <c r="C401" s="26" t="n"/>
      <c r="D401" s="27" t="n"/>
      <c r="E401" s="26" t="n"/>
      <c r="F401" s="26" t="n"/>
      <c r="G401" s="28" t="n"/>
      <c r="H401" s="29" t="n"/>
      <c r="I401" s="29" t="n"/>
      <c r="J401" s="26" t="n"/>
      <c r="K401" s="30" t="n"/>
      <c r="L401" s="26" t="n"/>
      <c r="M401" s="26" t="n"/>
      <c r="N401" s="26" t="n"/>
      <c r="O401" s="26" t="n"/>
      <c r="P401" s="26" t="n"/>
      <c r="Q401" s="26" t="n"/>
      <c r="R401" s="26" t="n"/>
      <c r="S401" s="26" t="n"/>
      <c r="T401" s="26" t="n"/>
      <c r="U401" s="26" t="n"/>
      <c r="V401" s="26" t="n"/>
      <c r="W401" s="26" t="n"/>
      <c r="X401" s="26" t="n"/>
      <c r="Y401" s="26" t="n"/>
      <c r="Z401" s="26" t="n"/>
      <c r="AA401" s="26" t="n"/>
      <c r="AB401" s="26" t="n"/>
      <c r="AC401" s="26" t="n"/>
      <c r="AD401" s="26" t="n"/>
      <c r="AE401" s="26" t="n"/>
      <c r="AF401" s="26" t="n"/>
      <c r="AG401" s="26" t="n"/>
      <c r="AH401" s="26" t="n"/>
      <c r="AI401" s="26" t="n"/>
      <c r="AJ401" s="26" t="n"/>
      <c r="AK401" s="26" t="n"/>
      <c r="AL401" s="31" t="n"/>
      <c r="AM401" s="30" t="n"/>
      <c r="AN401" s="26" t="n"/>
      <c r="AO401" s="26" t="n"/>
      <c r="AP401" s="26" t="n"/>
      <c r="AQ401" s="26" t="n"/>
      <c r="AR401" s="26" t="n"/>
      <c r="AS401" s="26" t="n"/>
      <c r="AT401" s="26" t="n"/>
      <c r="AU401" s="26" t="n"/>
      <c r="AV401" s="26" t="n"/>
      <c r="AW401" s="26" t="n"/>
      <c r="AX401" s="26" t="n"/>
      <c r="AY401" s="26" t="n"/>
      <c r="AZ401" s="26" t="n"/>
      <c r="BA401" s="26" t="n"/>
      <c r="BB401" s="26" t="n"/>
      <c r="BC401" s="26" t="n"/>
      <c r="BD401" s="26" t="n"/>
      <c r="BE401" s="26" t="n"/>
      <c r="BF401" s="26" t="n"/>
      <c r="BG401" s="26" t="n"/>
      <c r="BH401" s="26" t="n"/>
      <c r="BI401" s="26" t="n"/>
      <c r="BJ401" s="26" t="n"/>
      <c r="BK401" s="26" t="n"/>
      <c r="BL401" s="26" t="n"/>
      <c r="BM401" s="26" t="n"/>
      <c r="BN401" s="26" t="n"/>
    </row>
    <row r="402" ht="13" customHeight="1">
      <c r="A402" s="25" t="n"/>
      <c r="B402" s="26" t="n"/>
      <c r="C402" s="26" t="n"/>
      <c r="D402" s="27" t="n"/>
      <c r="E402" s="26" t="n"/>
      <c r="F402" s="26" t="n"/>
      <c r="G402" s="28" t="n"/>
      <c r="H402" s="29" t="n"/>
      <c r="I402" s="29" t="n"/>
      <c r="J402" s="26" t="n"/>
      <c r="K402" s="30" t="n"/>
      <c r="L402" s="26" t="n"/>
      <c r="M402" s="26" t="n"/>
      <c r="N402" s="26" t="n"/>
      <c r="O402" s="26" t="n"/>
      <c r="P402" s="26" t="n"/>
      <c r="Q402" s="26" t="n"/>
      <c r="R402" s="26" t="n"/>
      <c r="S402" s="26" t="n"/>
      <c r="T402" s="26" t="n"/>
      <c r="U402" s="26" t="n"/>
      <c r="V402" s="26" t="n"/>
      <c r="W402" s="26" t="n"/>
      <c r="X402" s="26" t="n"/>
      <c r="Y402" s="26" t="n"/>
      <c r="Z402" s="26" t="n"/>
      <c r="AA402" s="26" t="n"/>
      <c r="AB402" s="26" t="n"/>
      <c r="AC402" s="26" t="n"/>
      <c r="AD402" s="26" t="n"/>
      <c r="AE402" s="26" t="n"/>
      <c r="AF402" s="26" t="n"/>
      <c r="AG402" s="26" t="n"/>
      <c r="AH402" s="26" t="n"/>
      <c r="AI402" s="26" t="n"/>
      <c r="AJ402" s="26" t="n"/>
      <c r="AK402" s="26" t="n"/>
      <c r="AL402" s="31" t="n"/>
      <c r="AM402" s="30" t="n"/>
      <c r="AN402" s="26" t="n"/>
      <c r="AO402" s="26" t="n"/>
      <c r="AP402" s="26" t="n"/>
      <c r="AQ402" s="26" t="n"/>
      <c r="AR402" s="26" t="n"/>
      <c r="AS402" s="26" t="n"/>
      <c r="AT402" s="26" t="n"/>
      <c r="AU402" s="26" t="n"/>
      <c r="AV402" s="26" t="n"/>
      <c r="AW402" s="26" t="n"/>
      <c r="AX402" s="26" t="n"/>
      <c r="AY402" s="26" t="n"/>
      <c r="AZ402" s="26" t="n"/>
      <c r="BA402" s="26" t="n"/>
      <c r="BB402" s="26" t="n"/>
      <c r="BC402" s="26" t="n"/>
      <c r="BD402" s="26" t="n"/>
      <c r="BE402" s="26" t="n"/>
      <c r="BF402" s="26" t="n"/>
      <c r="BG402" s="26" t="n"/>
      <c r="BH402" s="26" t="n"/>
      <c r="BI402" s="26" t="n"/>
      <c r="BJ402" s="26" t="n"/>
      <c r="BK402" s="26" t="n"/>
      <c r="BL402" s="26" t="n"/>
      <c r="BM402" s="26" t="n"/>
      <c r="BN402" s="26" t="n"/>
    </row>
    <row r="403" ht="13" customHeight="1">
      <c r="A403" s="25" t="n"/>
      <c r="B403" s="26" t="n"/>
      <c r="C403" s="26" t="n"/>
      <c r="D403" s="27" t="n"/>
      <c r="E403" s="26" t="n"/>
      <c r="F403" s="26" t="n"/>
      <c r="G403" s="28" t="n"/>
      <c r="H403" s="29" t="n"/>
      <c r="I403" s="29" t="n"/>
      <c r="J403" s="26" t="n"/>
      <c r="K403" s="30" t="n"/>
      <c r="L403" s="26" t="n"/>
      <c r="M403" s="26" t="n"/>
      <c r="N403" s="26" t="n"/>
      <c r="O403" s="26" t="n"/>
      <c r="P403" s="26" t="n"/>
      <c r="Q403" s="26" t="n"/>
      <c r="R403" s="26" t="n"/>
      <c r="S403" s="26" t="n"/>
      <c r="T403" s="26" t="n"/>
      <c r="U403" s="26" t="n"/>
      <c r="V403" s="26" t="n"/>
      <c r="W403" s="26" t="n"/>
      <c r="X403" s="26" t="n"/>
      <c r="Y403" s="26" t="n"/>
      <c r="Z403" s="26" t="n"/>
      <c r="AA403" s="26" t="n"/>
      <c r="AB403" s="26" t="n"/>
      <c r="AC403" s="26" t="n"/>
      <c r="AD403" s="26" t="n"/>
      <c r="AE403" s="26" t="n"/>
      <c r="AF403" s="26" t="n"/>
      <c r="AG403" s="26" t="n"/>
      <c r="AH403" s="26" t="n"/>
      <c r="AI403" s="26" t="n"/>
      <c r="AJ403" s="26" t="n"/>
      <c r="AK403" s="26" t="n"/>
      <c r="AL403" s="31" t="n"/>
      <c r="AM403" s="30" t="n"/>
      <c r="AN403" s="26" t="n"/>
      <c r="AO403" s="26" t="n"/>
      <c r="AP403" s="26" t="n"/>
      <c r="AQ403" s="26" t="n"/>
      <c r="AR403" s="26" t="n"/>
      <c r="AS403" s="26" t="n"/>
      <c r="AT403" s="26" t="n"/>
      <c r="AU403" s="26" t="n"/>
      <c r="AV403" s="26" t="n"/>
      <c r="AW403" s="26" t="n"/>
      <c r="AX403" s="26" t="n"/>
      <c r="AY403" s="26" t="n"/>
      <c r="AZ403" s="26" t="n"/>
      <c r="BA403" s="26" t="n"/>
      <c r="BB403" s="26" t="n"/>
      <c r="BC403" s="26" t="n"/>
      <c r="BD403" s="26" t="n"/>
      <c r="BE403" s="26" t="n"/>
      <c r="BF403" s="26" t="n"/>
      <c r="BG403" s="26" t="n"/>
      <c r="BH403" s="26" t="n"/>
      <c r="BI403" s="26" t="n"/>
      <c r="BJ403" s="26" t="n"/>
      <c r="BK403" s="26" t="n"/>
      <c r="BL403" s="26" t="n"/>
      <c r="BM403" s="26" t="n"/>
      <c r="BN403" s="26" t="n"/>
    </row>
    <row r="404" ht="13" customHeight="1">
      <c r="A404" s="25" t="n"/>
      <c r="B404" s="26" t="n"/>
      <c r="C404" s="26" t="n"/>
      <c r="D404" s="27" t="n"/>
      <c r="E404" s="26" t="n"/>
      <c r="F404" s="26" t="n"/>
      <c r="G404" s="28" t="n"/>
      <c r="H404" s="29" t="n"/>
      <c r="I404" s="29" t="n"/>
      <c r="J404" s="26" t="n"/>
      <c r="K404" s="30" t="n"/>
      <c r="L404" s="26" t="n"/>
      <c r="M404" s="26" t="n"/>
      <c r="N404" s="26" t="n"/>
      <c r="O404" s="26" t="n"/>
      <c r="P404" s="26" t="n"/>
      <c r="Q404" s="26" t="n"/>
      <c r="R404" s="26" t="n"/>
      <c r="S404" s="26" t="n"/>
      <c r="T404" s="26" t="n"/>
      <c r="U404" s="26" t="n"/>
      <c r="V404" s="26" t="n"/>
      <c r="W404" s="26" t="n"/>
      <c r="X404" s="26" t="n"/>
      <c r="Y404" s="26" t="n"/>
      <c r="Z404" s="26" t="n"/>
      <c r="AA404" s="26" t="n"/>
      <c r="AB404" s="26" t="n"/>
      <c r="AC404" s="26" t="n"/>
      <c r="AD404" s="26" t="n"/>
      <c r="AE404" s="26" t="n"/>
      <c r="AF404" s="26" t="n"/>
      <c r="AG404" s="26" t="n"/>
      <c r="AH404" s="26" t="n"/>
      <c r="AI404" s="26" t="n"/>
      <c r="AJ404" s="26" t="n"/>
      <c r="AK404" s="26" t="n"/>
      <c r="AL404" s="31" t="n"/>
      <c r="AM404" s="30" t="n"/>
      <c r="AN404" s="26" t="n"/>
      <c r="AO404" s="26" t="n"/>
      <c r="AP404" s="26" t="n"/>
      <c r="AQ404" s="26" t="n"/>
      <c r="AR404" s="26" t="n"/>
      <c r="AS404" s="26" t="n"/>
      <c r="AT404" s="26" t="n"/>
      <c r="AU404" s="26" t="n"/>
      <c r="AV404" s="26" t="n"/>
      <c r="AW404" s="26" t="n"/>
      <c r="AX404" s="26" t="n"/>
      <c r="AY404" s="26" t="n"/>
      <c r="AZ404" s="26" t="n"/>
      <c r="BA404" s="26" t="n"/>
      <c r="BB404" s="26" t="n"/>
      <c r="BC404" s="26" t="n"/>
      <c r="BD404" s="26" t="n"/>
      <c r="BE404" s="26" t="n"/>
      <c r="BF404" s="26" t="n"/>
      <c r="BG404" s="26" t="n"/>
      <c r="BH404" s="26" t="n"/>
      <c r="BI404" s="26" t="n"/>
      <c r="BJ404" s="26" t="n"/>
      <c r="BK404" s="26" t="n"/>
      <c r="BL404" s="26" t="n"/>
      <c r="BM404" s="26" t="n"/>
      <c r="BN404" s="26" t="n"/>
    </row>
    <row r="405" ht="13" customHeight="1">
      <c r="A405" s="25" t="n"/>
      <c r="B405" s="26" t="n"/>
      <c r="C405" s="26" t="n"/>
      <c r="D405" s="27" t="n"/>
      <c r="E405" s="26" t="n"/>
      <c r="F405" s="26" t="n"/>
      <c r="G405" s="28" t="n"/>
      <c r="H405" s="29" t="n"/>
      <c r="I405" s="29" t="n"/>
      <c r="J405" s="26" t="n"/>
      <c r="K405" s="30" t="n"/>
      <c r="L405" s="26" t="n"/>
      <c r="M405" s="26" t="n"/>
      <c r="N405" s="26" t="n"/>
      <c r="O405" s="26" t="n"/>
      <c r="P405" s="26" t="n"/>
      <c r="Q405" s="26" t="n"/>
      <c r="R405" s="26" t="n"/>
      <c r="S405" s="26" t="n"/>
      <c r="T405" s="26" t="n"/>
      <c r="U405" s="26" t="n"/>
      <c r="V405" s="26" t="n"/>
      <c r="W405" s="26" t="n"/>
      <c r="X405" s="26" t="n"/>
      <c r="Y405" s="26" t="n"/>
      <c r="Z405" s="26" t="n"/>
      <c r="AA405" s="26" t="n"/>
      <c r="AB405" s="26" t="n"/>
      <c r="AC405" s="26" t="n"/>
      <c r="AD405" s="26" t="n"/>
      <c r="AE405" s="26" t="n"/>
      <c r="AF405" s="26" t="n"/>
      <c r="AG405" s="26" t="n"/>
      <c r="AH405" s="26" t="n"/>
      <c r="AI405" s="26" t="n"/>
      <c r="AJ405" s="26" t="n"/>
      <c r="AK405" s="26" t="n"/>
      <c r="AL405" s="31" t="n"/>
      <c r="AM405" s="30" t="n"/>
      <c r="AN405" s="26" t="n"/>
      <c r="AO405" s="26" t="n"/>
      <c r="AP405" s="26" t="n"/>
      <c r="AQ405" s="26" t="n"/>
      <c r="AR405" s="26" t="n"/>
      <c r="AS405" s="26" t="n"/>
      <c r="AT405" s="26" t="n"/>
      <c r="AU405" s="26" t="n"/>
      <c r="AV405" s="26" t="n"/>
      <c r="AW405" s="26" t="n"/>
      <c r="AX405" s="26" t="n"/>
      <c r="AY405" s="26" t="n"/>
      <c r="AZ405" s="26" t="n"/>
      <c r="BA405" s="26" t="n"/>
      <c r="BB405" s="26" t="n"/>
      <c r="BC405" s="26" t="n"/>
      <c r="BD405" s="26" t="n"/>
      <c r="BE405" s="26" t="n"/>
      <c r="BF405" s="26" t="n"/>
      <c r="BG405" s="26" t="n"/>
      <c r="BH405" s="26" t="n"/>
      <c r="BI405" s="26" t="n"/>
      <c r="BJ405" s="26" t="n"/>
      <c r="BK405" s="26" t="n"/>
      <c r="BL405" s="26" t="n"/>
      <c r="BM405" s="26" t="n"/>
      <c r="BN405" s="26" t="n"/>
    </row>
    <row r="406" ht="13" customHeight="1">
      <c r="A406" s="25" t="n"/>
      <c r="B406" s="26" t="n"/>
      <c r="C406" s="26" t="n"/>
      <c r="D406" s="27" t="n"/>
      <c r="E406" s="26" t="n"/>
      <c r="F406" s="26" t="n"/>
      <c r="G406" s="28" t="n"/>
      <c r="H406" s="29" t="n"/>
      <c r="I406" s="29" t="n"/>
      <c r="J406" s="26" t="n"/>
      <c r="K406" s="30" t="n"/>
      <c r="L406" s="26" t="n"/>
      <c r="M406" s="26" t="n"/>
      <c r="N406" s="26" t="n"/>
      <c r="O406" s="26" t="n"/>
      <c r="P406" s="26" t="n"/>
      <c r="Q406" s="26" t="n"/>
      <c r="R406" s="26" t="n"/>
      <c r="S406" s="26" t="n"/>
      <c r="T406" s="26" t="n"/>
      <c r="U406" s="26" t="n"/>
      <c r="V406" s="26" t="n"/>
      <c r="W406" s="26" t="n"/>
      <c r="X406" s="26" t="n"/>
      <c r="Y406" s="26" t="n"/>
      <c r="Z406" s="26" t="n"/>
      <c r="AA406" s="26" t="n"/>
      <c r="AB406" s="26" t="n"/>
      <c r="AC406" s="26" t="n"/>
      <c r="AD406" s="26" t="n"/>
      <c r="AE406" s="26" t="n"/>
      <c r="AF406" s="26" t="n"/>
      <c r="AG406" s="26" t="n"/>
      <c r="AH406" s="26" t="n"/>
      <c r="AI406" s="26" t="n"/>
      <c r="AJ406" s="26" t="n"/>
      <c r="AK406" s="26" t="n"/>
      <c r="AL406" s="31" t="n"/>
      <c r="AM406" s="30" t="n"/>
      <c r="AN406" s="26" t="n"/>
      <c r="AO406" s="26" t="n"/>
      <c r="AP406" s="26" t="n"/>
      <c r="AQ406" s="26" t="n"/>
      <c r="AR406" s="26" t="n"/>
      <c r="AS406" s="26" t="n"/>
      <c r="AT406" s="26" t="n"/>
      <c r="AU406" s="26" t="n"/>
      <c r="AV406" s="26" t="n"/>
      <c r="AW406" s="26" t="n"/>
      <c r="AX406" s="26" t="n"/>
      <c r="AY406" s="26" t="n"/>
      <c r="AZ406" s="26" t="n"/>
      <c r="BA406" s="26" t="n"/>
      <c r="BB406" s="26" t="n"/>
      <c r="BC406" s="26" t="n"/>
      <c r="BD406" s="26" t="n"/>
      <c r="BE406" s="26" t="n"/>
      <c r="BF406" s="26" t="n"/>
      <c r="BG406" s="26" t="n"/>
      <c r="BH406" s="26" t="n"/>
      <c r="BI406" s="26" t="n"/>
      <c r="BJ406" s="26" t="n"/>
      <c r="BK406" s="26" t="n"/>
      <c r="BL406" s="26" t="n"/>
      <c r="BM406" s="26" t="n"/>
      <c r="BN406" s="26" t="n"/>
    </row>
    <row r="407" ht="13" customHeight="1">
      <c r="A407" s="25" t="n"/>
      <c r="B407" s="26" t="n"/>
      <c r="C407" s="26" t="n"/>
      <c r="D407" s="27" t="n"/>
      <c r="E407" s="26" t="n"/>
      <c r="F407" s="26" t="n"/>
      <c r="G407" s="28" t="n"/>
      <c r="H407" s="29" t="n"/>
      <c r="I407" s="29" t="n"/>
      <c r="J407" s="26" t="n"/>
      <c r="K407" s="30" t="n"/>
      <c r="L407" s="26" t="n"/>
      <c r="M407" s="26" t="n"/>
      <c r="N407" s="26" t="n"/>
      <c r="O407" s="26" t="n"/>
      <c r="P407" s="26" t="n"/>
      <c r="Q407" s="26" t="n"/>
      <c r="R407" s="26" t="n"/>
      <c r="S407" s="26" t="n"/>
      <c r="T407" s="26" t="n"/>
      <c r="U407" s="26" t="n"/>
      <c r="V407" s="26" t="n"/>
      <c r="W407" s="26" t="n"/>
      <c r="X407" s="26" t="n"/>
      <c r="Y407" s="26" t="n"/>
      <c r="Z407" s="26" t="n"/>
      <c r="AA407" s="26" t="n"/>
      <c r="AB407" s="26" t="n"/>
      <c r="AC407" s="26" t="n"/>
      <c r="AD407" s="26" t="n"/>
      <c r="AE407" s="26" t="n"/>
      <c r="AF407" s="26" t="n"/>
      <c r="AG407" s="26" t="n"/>
      <c r="AH407" s="26" t="n"/>
      <c r="AI407" s="26" t="n"/>
      <c r="AJ407" s="26" t="n"/>
      <c r="AK407" s="26" t="n"/>
      <c r="AL407" s="31" t="n"/>
      <c r="AM407" s="30" t="n"/>
      <c r="AN407" s="26" t="n"/>
      <c r="AO407" s="26" t="n"/>
      <c r="AP407" s="26" t="n"/>
      <c r="AQ407" s="26" t="n"/>
      <c r="AR407" s="26" t="n"/>
      <c r="AS407" s="26" t="n"/>
      <c r="AT407" s="26" t="n"/>
      <c r="AU407" s="26" t="n"/>
      <c r="AV407" s="26" t="n"/>
      <c r="AW407" s="26" t="n"/>
      <c r="AX407" s="26" t="n"/>
      <c r="AY407" s="26" t="n"/>
      <c r="AZ407" s="26" t="n"/>
      <c r="BA407" s="26" t="n"/>
      <c r="BB407" s="26" t="n"/>
      <c r="BC407" s="26" t="n"/>
      <c r="BD407" s="26" t="n"/>
      <c r="BE407" s="26" t="n"/>
      <c r="BF407" s="26" t="n"/>
      <c r="BG407" s="26" t="n"/>
      <c r="BH407" s="26" t="n"/>
      <c r="BI407" s="26" t="n"/>
      <c r="BJ407" s="26" t="n"/>
      <c r="BK407" s="26" t="n"/>
      <c r="BL407" s="26" t="n"/>
      <c r="BM407" s="26" t="n"/>
      <c r="BN407" s="26" t="n"/>
    </row>
    <row r="408" ht="13" customHeight="1">
      <c r="A408" s="25" t="n"/>
      <c r="B408" s="26" t="n"/>
      <c r="C408" s="26" t="n"/>
      <c r="D408" s="27" t="n"/>
      <c r="E408" s="26" t="n"/>
      <c r="F408" s="26" t="n"/>
      <c r="G408" s="28" t="n"/>
      <c r="H408" s="29" t="n"/>
      <c r="I408" s="29" t="n"/>
      <c r="J408" s="26" t="n"/>
      <c r="K408" s="30" t="n"/>
      <c r="L408" s="26" t="n"/>
      <c r="M408" s="26" t="n"/>
      <c r="N408" s="26" t="n"/>
      <c r="O408" s="26" t="n"/>
      <c r="P408" s="26" t="n"/>
      <c r="Q408" s="26" t="n"/>
      <c r="R408" s="26" t="n"/>
      <c r="S408" s="26" t="n"/>
      <c r="T408" s="26" t="n"/>
      <c r="U408" s="26" t="n"/>
      <c r="V408" s="26" t="n"/>
      <c r="W408" s="26" t="n"/>
      <c r="X408" s="26" t="n"/>
      <c r="Y408" s="26" t="n"/>
      <c r="Z408" s="26" t="n"/>
      <c r="AA408" s="26" t="n"/>
      <c r="AB408" s="26" t="n"/>
      <c r="AC408" s="26" t="n"/>
      <c r="AD408" s="26" t="n"/>
      <c r="AE408" s="26" t="n"/>
      <c r="AF408" s="26" t="n"/>
      <c r="AG408" s="26" t="n"/>
      <c r="AH408" s="26" t="n"/>
      <c r="AI408" s="26" t="n"/>
      <c r="AJ408" s="26" t="n"/>
      <c r="AK408" s="26" t="n"/>
      <c r="AL408" s="31" t="n"/>
      <c r="AM408" s="30" t="n"/>
      <c r="AN408" s="26" t="n"/>
      <c r="AO408" s="26" t="n"/>
      <c r="AP408" s="26" t="n"/>
      <c r="AQ408" s="26" t="n"/>
      <c r="AR408" s="26" t="n"/>
      <c r="AS408" s="26" t="n"/>
      <c r="AT408" s="26" t="n"/>
      <c r="AU408" s="26" t="n"/>
      <c r="AV408" s="26" t="n"/>
      <c r="AW408" s="26" t="n"/>
      <c r="AX408" s="26" t="n"/>
      <c r="AY408" s="26" t="n"/>
      <c r="AZ408" s="26" t="n"/>
      <c r="BA408" s="26" t="n"/>
      <c r="BB408" s="26" t="n"/>
      <c r="BC408" s="26" t="n"/>
      <c r="BD408" s="26" t="n"/>
      <c r="BE408" s="26" t="n"/>
      <c r="BF408" s="26" t="n"/>
      <c r="BG408" s="26" t="n"/>
      <c r="BH408" s="26" t="n"/>
      <c r="BI408" s="26" t="n"/>
      <c r="BJ408" s="26" t="n"/>
      <c r="BK408" s="26" t="n"/>
      <c r="BL408" s="26" t="n"/>
      <c r="BM408" s="26" t="n"/>
      <c r="BN408" s="26" t="n"/>
    </row>
    <row r="409" ht="13" customHeight="1">
      <c r="A409" s="25" t="n"/>
      <c r="B409" s="26" t="n"/>
      <c r="C409" s="26" t="n"/>
      <c r="D409" s="27" t="n"/>
      <c r="E409" s="26" t="n"/>
      <c r="F409" s="26" t="n"/>
      <c r="G409" s="28" t="n"/>
      <c r="H409" s="29" t="n"/>
      <c r="I409" s="29" t="n"/>
      <c r="J409" s="26" t="n"/>
      <c r="K409" s="30" t="n"/>
      <c r="L409" s="26" t="n"/>
      <c r="M409" s="26" t="n"/>
      <c r="N409" s="26" t="n"/>
      <c r="O409" s="26" t="n"/>
      <c r="P409" s="26" t="n"/>
      <c r="Q409" s="26" t="n"/>
      <c r="R409" s="26" t="n"/>
      <c r="S409" s="26" t="n"/>
      <c r="T409" s="26" t="n"/>
      <c r="U409" s="26" t="n"/>
      <c r="V409" s="26" t="n"/>
      <c r="W409" s="26" t="n"/>
      <c r="X409" s="26" t="n"/>
      <c r="Y409" s="26" t="n"/>
      <c r="Z409" s="26" t="n"/>
      <c r="AA409" s="26" t="n"/>
      <c r="AB409" s="26" t="n"/>
      <c r="AC409" s="26" t="n"/>
      <c r="AD409" s="26" t="n"/>
      <c r="AE409" s="26" t="n"/>
      <c r="AF409" s="26" t="n"/>
      <c r="AG409" s="26" t="n"/>
      <c r="AH409" s="26" t="n"/>
      <c r="AI409" s="26" t="n"/>
      <c r="AJ409" s="26" t="n"/>
      <c r="AK409" s="26" t="n"/>
      <c r="AL409" s="31" t="n"/>
      <c r="AM409" s="30" t="n"/>
      <c r="AN409" s="26" t="n"/>
      <c r="AO409" s="26" t="n"/>
      <c r="AP409" s="26" t="n"/>
      <c r="AQ409" s="26" t="n"/>
      <c r="AR409" s="26" t="n"/>
      <c r="AS409" s="26" t="n"/>
      <c r="AT409" s="26" t="n"/>
      <c r="AU409" s="26" t="n"/>
      <c r="AV409" s="26" t="n"/>
      <c r="AW409" s="26" t="n"/>
      <c r="AX409" s="26" t="n"/>
      <c r="AY409" s="26" t="n"/>
      <c r="AZ409" s="26" t="n"/>
      <c r="BA409" s="26" t="n"/>
      <c r="BB409" s="26" t="n"/>
      <c r="BC409" s="26" t="n"/>
      <c r="BD409" s="26" t="n"/>
      <c r="BE409" s="26" t="n"/>
      <c r="BF409" s="26" t="n"/>
      <c r="BG409" s="26" t="n"/>
      <c r="BH409" s="26" t="n"/>
      <c r="BI409" s="26" t="n"/>
      <c r="BJ409" s="26" t="n"/>
      <c r="BK409" s="26" t="n"/>
      <c r="BL409" s="26" t="n"/>
      <c r="BM409" s="26" t="n"/>
      <c r="BN409" s="26" t="n"/>
    </row>
    <row r="410" ht="13" customHeight="1">
      <c r="A410" s="25" t="n"/>
      <c r="B410" s="26" t="n"/>
      <c r="C410" s="26" t="n"/>
      <c r="D410" s="27" t="n"/>
      <c r="E410" s="26" t="n"/>
      <c r="F410" s="26" t="n"/>
      <c r="G410" s="28" t="n"/>
      <c r="H410" s="29" t="n"/>
      <c r="I410" s="29" t="n"/>
      <c r="J410" s="26" t="n"/>
      <c r="K410" s="30" t="n"/>
      <c r="L410" s="26" t="n"/>
      <c r="M410" s="26" t="n"/>
      <c r="N410" s="26" t="n"/>
      <c r="O410" s="26" t="n"/>
      <c r="P410" s="26" t="n"/>
      <c r="Q410" s="26" t="n"/>
      <c r="R410" s="26" t="n"/>
      <c r="S410" s="26" t="n"/>
      <c r="T410" s="26" t="n"/>
      <c r="U410" s="26" t="n"/>
      <c r="V410" s="26" t="n"/>
      <c r="W410" s="26" t="n"/>
      <c r="X410" s="26" t="n"/>
      <c r="Y410" s="26" t="n"/>
      <c r="Z410" s="26" t="n"/>
      <c r="AA410" s="26" t="n"/>
      <c r="AB410" s="26" t="n"/>
      <c r="AC410" s="26" t="n"/>
      <c r="AD410" s="26" t="n"/>
      <c r="AE410" s="26" t="n"/>
      <c r="AF410" s="26" t="n"/>
      <c r="AG410" s="26" t="n"/>
      <c r="AH410" s="26" t="n"/>
      <c r="AI410" s="26" t="n"/>
      <c r="AJ410" s="26" t="n"/>
      <c r="AK410" s="26" t="n"/>
      <c r="AL410" s="31" t="n"/>
      <c r="AM410" s="30" t="n"/>
      <c r="AN410" s="26" t="n"/>
      <c r="AO410" s="26" t="n"/>
      <c r="AP410" s="26" t="n"/>
      <c r="AQ410" s="26" t="n"/>
      <c r="AR410" s="26" t="n"/>
      <c r="AS410" s="26" t="n"/>
      <c r="AT410" s="26" t="n"/>
      <c r="AU410" s="26" t="n"/>
      <c r="AV410" s="26" t="n"/>
      <c r="AW410" s="26" t="n"/>
      <c r="AX410" s="26" t="n"/>
      <c r="AY410" s="26" t="n"/>
      <c r="AZ410" s="26" t="n"/>
      <c r="BA410" s="26" t="n"/>
      <c r="BB410" s="26" t="n"/>
      <c r="BC410" s="26" t="n"/>
      <c r="BD410" s="26" t="n"/>
      <c r="BE410" s="26" t="n"/>
      <c r="BF410" s="26" t="n"/>
      <c r="BG410" s="26" t="n"/>
      <c r="BH410" s="26" t="n"/>
      <c r="BI410" s="26" t="n"/>
      <c r="BJ410" s="26" t="n"/>
      <c r="BK410" s="26" t="n"/>
      <c r="BL410" s="26" t="n"/>
      <c r="BM410" s="26" t="n"/>
      <c r="BN410" s="26" t="n"/>
    </row>
    <row r="411" ht="13" customHeight="1">
      <c r="A411" s="25" t="n"/>
      <c r="B411" s="26" t="n"/>
      <c r="C411" s="26" t="n"/>
      <c r="D411" s="27" t="n"/>
      <c r="E411" s="26" t="n"/>
      <c r="F411" s="26" t="n"/>
      <c r="G411" s="28" t="n"/>
      <c r="H411" s="29" t="n"/>
      <c r="I411" s="29" t="n"/>
      <c r="J411" s="26" t="n"/>
      <c r="K411" s="30" t="n"/>
      <c r="L411" s="26" t="n"/>
      <c r="M411" s="26" t="n"/>
      <c r="N411" s="26" t="n"/>
      <c r="O411" s="26" t="n"/>
      <c r="P411" s="26" t="n"/>
      <c r="Q411" s="26" t="n"/>
      <c r="R411" s="26" t="n"/>
      <c r="S411" s="26" t="n"/>
      <c r="T411" s="26" t="n"/>
      <c r="U411" s="26" t="n"/>
      <c r="V411" s="26" t="n"/>
      <c r="W411" s="26" t="n"/>
      <c r="X411" s="26" t="n"/>
      <c r="Y411" s="26" t="n"/>
      <c r="Z411" s="26" t="n"/>
      <c r="AA411" s="26" t="n"/>
      <c r="AB411" s="26" t="n"/>
      <c r="AC411" s="26" t="n"/>
      <c r="AD411" s="26" t="n"/>
      <c r="AE411" s="26" t="n"/>
      <c r="AF411" s="26" t="n"/>
      <c r="AG411" s="26" t="n"/>
      <c r="AH411" s="26" t="n"/>
      <c r="AI411" s="26" t="n"/>
      <c r="AJ411" s="26" t="n"/>
      <c r="AK411" s="26" t="n"/>
      <c r="AL411" s="31" t="n"/>
      <c r="AM411" s="30" t="n"/>
      <c r="AN411" s="26" t="n"/>
      <c r="AO411" s="26" t="n"/>
      <c r="AP411" s="26" t="n"/>
      <c r="AQ411" s="26" t="n"/>
      <c r="AR411" s="26" t="n"/>
      <c r="AS411" s="26" t="n"/>
      <c r="AT411" s="26" t="n"/>
      <c r="AU411" s="26" t="n"/>
      <c r="AV411" s="26" t="n"/>
      <c r="AW411" s="26" t="n"/>
      <c r="AX411" s="26" t="n"/>
      <c r="AY411" s="26" t="n"/>
      <c r="AZ411" s="26" t="n"/>
      <c r="BA411" s="26" t="n"/>
      <c r="BB411" s="26" t="n"/>
      <c r="BC411" s="26" t="n"/>
      <c r="BD411" s="26" t="n"/>
      <c r="BE411" s="26" t="n"/>
      <c r="BF411" s="26" t="n"/>
      <c r="BG411" s="26" t="n"/>
      <c r="BH411" s="26" t="n"/>
      <c r="BI411" s="26" t="n"/>
      <c r="BJ411" s="26" t="n"/>
      <c r="BK411" s="26" t="n"/>
      <c r="BL411" s="26" t="n"/>
      <c r="BM411" s="26" t="n"/>
      <c r="BN411" s="26" t="n"/>
    </row>
    <row r="412" ht="13" customHeight="1">
      <c r="A412" s="25" t="n"/>
      <c r="B412" s="26" t="n"/>
      <c r="C412" s="26" t="n"/>
      <c r="D412" s="27" t="n"/>
      <c r="E412" s="26" t="n"/>
      <c r="F412" s="26" t="n"/>
      <c r="G412" s="28" t="n"/>
      <c r="H412" s="29" t="n"/>
      <c r="I412" s="29" t="n"/>
      <c r="J412" s="26" t="n"/>
      <c r="K412" s="30" t="n"/>
      <c r="L412" s="26" t="n"/>
      <c r="M412" s="26" t="n"/>
      <c r="N412" s="26" t="n"/>
      <c r="O412" s="26" t="n"/>
      <c r="P412" s="26" t="n"/>
      <c r="Q412" s="26" t="n"/>
      <c r="R412" s="26" t="n"/>
      <c r="S412" s="26" t="n"/>
      <c r="T412" s="26" t="n"/>
      <c r="U412" s="26" t="n"/>
      <c r="V412" s="26" t="n"/>
      <c r="W412" s="26" t="n"/>
      <c r="X412" s="26" t="n"/>
      <c r="Y412" s="26" t="n"/>
      <c r="Z412" s="26" t="n"/>
      <c r="AA412" s="26" t="n"/>
      <c r="AB412" s="26" t="n"/>
      <c r="AC412" s="26" t="n"/>
      <c r="AD412" s="26" t="n"/>
      <c r="AE412" s="26" t="n"/>
      <c r="AF412" s="26" t="n"/>
      <c r="AG412" s="26" t="n"/>
      <c r="AH412" s="26" t="n"/>
      <c r="AI412" s="26" t="n"/>
      <c r="AJ412" s="26" t="n"/>
      <c r="AK412" s="26" t="n"/>
      <c r="AL412" s="31" t="n"/>
      <c r="AM412" s="30" t="n"/>
      <c r="AN412" s="26" t="n"/>
      <c r="AO412" s="26" t="n"/>
      <c r="AP412" s="26" t="n"/>
      <c r="AQ412" s="26" t="n"/>
      <c r="AR412" s="26" t="n"/>
      <c r="AS412" s="26" t="n"/>
      <c r="AT412" s="26" t="n"/>
      <c r="AU412" s="26" t="n"/>
      <c r="AV412" s="26" t="n"/>
      <c r="AW412" s="26" t="n"/>
      <c r="AX412" s="26" t="n"/>
      <c r="AY412" s="26" t="n"/>
      <c r="AZ412" s="26" t="n"/>
      <c r="BA412" s="26" t="n"/>
      <c r="BB412" s="26" t="n"/>
      <c r="BC412" s="26" t="n"/>
      <c r="BD412" s="26" t="n"/>
      <c r="BE412" s="26" t="n"/>
      <c r="BF412" s="26" t="n"/>
      <c r="BG412" s="26" t="n"/>
      <c r="BH412" s="26" t="n"/>
      <c r="BI412" s="26" t="n"/>
      <c r="BJ412" s="26" t="n"/>
      <c r="BK412" s="26" t="n"/>
      <c r="BL412" s="26" t="n"/>
      <c r="BM412" s="26" t="n"/>
      <c r="BN412" s="26" t="n"/>
    </row>
    <row r="413" ht="13" customHeight="1">
      <c r="A413" s="25" t="n"/>
      <c r="B413" s="26" t="n"/>
      <c r="C413" s="26" t="n"/>
      <c r="D413" s="27" t="n"/>
      <c r="E413" s="26" t="n"/>
      <c r="F413" s="26" t="n"/>
      <c r="G413" s="28" t="n"/>
      <c r="H413" s="29" t="n"/>
      <c r="I413" s="29" t="n"/>
      <c r="J413" s="26" t="n"/>
      <c r="K413" s="30" t="n"/>
      <c r="L413" s="26" t="n"/>
      <c r="M413" s="26" t="n"/>
      <c r="N413" s="26" t="n"/>
      <c r="O413" s="26" t="n"/>
      <c r="P413" s="26" t="n"/>
      <c r="Q413" s="26" t="n"/>
      <c r="R413" s="26" t="n"/>
      <c r="S413" s="26" t="n"/>
      <c r="T413" s="26" t="n"/>
      <c r="U413" s="26" t="n"/>
      <c r="V413" s="26" t="n"/>
      <c r="W413" s="26" t="n"/>
      <c r="X413" s="26" t="n"/>
      <c r="Y413" s="26" t="n"/>
      <c r="Z413" s="26" t="n"/>
      <c r="AA413" s="26" t="n"/>
      <c r="AB413" s="26" t="n"/>
      <c r="AC413" s="26" t="n"/>
      <c r="AD413" s="26" t="n"/>
      <c r="AE413" s="26" t="n"/>
      <c r="AF413" s="26" t="n"/>
      <c r="AG413" s="26" t="n"/>
      <c r="AH413" s="26" t="n"/>
      <c r="AI413" s="26" t="n"/>
      <c r="AJ413" s="26" t="n"/>
      <c r="AK413" s="26" t="n"/>
      <c r="AL413" s="31" t="n"/>
      <c r="AM413" s="30" t="n"/>
      <c r="AN413" s="26" t="n"/>
      <c r="AO413" s="26" t="n"/>
      <c r="AP413" s="26" t="n"/>
      <c r="AQ413" s="26" t="n"/>
      <c r="AR413" s="26" t="n"/>
      <c r="AS413" s="26" t="n"/>
      <c r="AT413" s="26" t="n"/>
      <c r="AU413" s="26" t="n"/>
      <c r="AV413" s="26" t="n"/>
      <c r="AW413" s="26" t="n"/>
      <c r="AX413" s="26" t="n"/>
      <c r="AY413" s="26" t="n"/>
      <c r="AZ413" s="26" t="n"/>
      <c r="BA413" s="26" t="n"/>
      <c r="BB413" s="26" t="n"/>
      <c r="BC413" s="26" t="n"/>
      <c r="BD413" s="26" t="n"/>
      <c r="BE413" s="26" t="n"/>
      <c r="BF413" s="26" t="n"/>
      <c r="BG413" s="26" t="n"/>
      <c r="BH413" s="26" t="n"/>
      <c r="BI413" s="26" t="n"/>
      <c r="BJ413" s="26" t="n"/>
      <c r="BK413" s="26" t="n"/>
      <c r="BL413" s="26" t="n"/>
      <c r="BM413" s="26" t="n"/>
      <c r="BN413" s="26" t="n"/>
    </row>
    <row r="414" ht="13" customHeight="1">
      <c r="A414" s="25" t="n"/>
      <c r="B414" s="26" t="n"/>
      <c r="C414" s="26" t="n"/>
      <c r="D414" s="27" t="n"/>
      <c r="E414" s="26" t="n"/>
      <c r="F414" s="26" t="n"/>
      <c r="G414" s="28" t="n"/>
      <c r="H414" s="29" t="n"/>
      <c r="I414" s="29" t="n"/>
      <c r="J414" s="26" t="n"/>
      <c r="K414" s="30" t="n"/>
      <c r="L414" s="26" t="n"/>
      <c r="M414" s="26" t="n"/>
      <c r="N414" s="26" t="n"/>
      <c r="O414" s="26" t="n"/>
      <c r="P414" s="26" t="n"/>
      <c r="Q414" s="26" t="n"/>
      <c r="R414" s="26" t="n"/>
      <c r="S414" s="26" t="n"/>
      <c r="T414" s="26" t="n"/>
      <c r="U414" s="26" t="n"/>
      <c r="V414" s="26" t="n"/>
      <c r="W414" s="26" t="n"/>
      <c r="X414" s="26" t="n"/>
      <c r="Y414" s="26" t="n"/>
      <c r="Z414" s="26" t="n"/>
      <c r="AA414" s="26" t="n"/>
      <c r="AB414" s="26" t="n"/>
      <c r="AC414" s="26" t="n"/>
      <c r="AD414" s="26" t="n"/>
      <c r="AE414" s="26" t="n"/>
      <c r="AF414" s="26" t="n"/>
      <c r="AG414" s="26" t="n"/>
      <c r="AH414" s="26" t="n"/>
      <c r="AI414" s="26" t="n"/>
      <c r="AJ414" s="26" t="n"/>
      <c r="AK414" s="26" t="n"/>
      <c r="AL414" s="31" t="n"/>
      <c r="AM414" s="30" t="n"/>
      <c r="AN414" s="26" t="n"/>
      <c r="AO414" s="26" t="n"/>
      <c r="AP414" s="26" t="n"/>
      <c r="AQ414" s="26" t="n"/>
      <c r="AR414" s="26" t="n"/>
      <c r="AS414" s="26" t="n"/>
      <c r="AT414" s="26" t="n"/>
      <c r="AU414" s="26" t="n"/>
      <c r="AV414" s="26" t="n"/>
      <c r="AW414" s="26" t="n"/>
      <c r="AX414" s="26" t="n"/>
      <c r="AY414" s="26" t="n"/>
      <c r="AZ414" s="26" t="n"/>
      <c r="BA414" s="26" t="n"/>
      <c r="BB414" s="26" t="n"/>
      <c r="BC414" s="26" t="n"/>
      <c r="BD414" s="26" t="n"/>
      <c r="BE414" s="26" t="n"/>
      <c r="BF414" s="26" t="n"/>
      <c r="BG414" s="26" t="n"/>
      <c r="BH414" s="26" t="n"/>
      <c r="BI414" s="26" t="n"/>
      <c r="BJ414" s="26" t="n"/>
      <c r="BK414" s="26" t="n"/>
      <c r="BL414" s="26" t="n"/>
      <c r="BM414" s="26" t="n"/>
      <c r="BN414" s="26" t="n"/>
    </row>
    <row r="415" ht="13" customHeight="1">
      <c r="A415" s="25" t="n"/>
      <c r="B415" s="26" t="n"/>
      <c r="C415" s="26" t="n"/>
      <c r="D415" s="27" t="n"/>
      <c r="E415" s="26" t="n"/>
      <c r="F415" s="26" t="n"/>
      <c r="G415" s="28" t="n"/>
      <c r="H415" s="29" t="n"/>
      <c r="I415" s="29" t="n"/>
      <c r="J415" s="26" t="n"/>
      <c r="K415" s="30" t="n"/>
      <c r="L415" s="26" t="n"/>
      <c r="M415" s="26" t="n"/>
      <c r="N415" s="26" t="n"/>
      <c r="O415" s="26" t="n"/>
      <c r="P415" s="26" t="n"/>
      <c r="Q415" s="26" t="n"/>
      <c r="R415" s="26" t="n"/>
      <c r="S415" s="26" t="n"/>
      <c r="T415" s="26" t="n"/>
      <c r="U415" s="26" t="n"/>
      <c r="V415" s="26" t="n"/>
      <c r="W415" s="26" t="n"/>
      <c r="X415" s="26" t="n"/>
      <c r="Y415" s="26" t="n"/>
      <c r="Z415" s="26" t="n"/>
      <c r="AA415" s="26" t="n"/>
      <c r="AB415" s="26" t="n"/>
      <c r="AC415" s="26" t="n"/>
      <c r="AD415" s="26" t="n"/>
      <c r="AE415" s="26" t="n"/>
      <c r="AF415" s="26" t="n"/>
      <c r="AG415" s="26" t="n"/>
      <c r="AH415" s="26" t="n"/>
      <c r="AI415" s="26" t="n"/>
      <c r="AJ415" s="26" t="n"/>
      <c r="AK415" s="26" t="n"/>
      <c r="AL415" s="31" t="n"/>
      <c r="AM415" s="30" t="n"/>
      <c r="AN415" s="26" t="n"/>
      <c r="AO415" s="26" t="n"/>
      <c r="AP415" s="26" t="n"/>
      <c r="AQ415" s="26" t="n"/>
      <c r="AR415" s="26" t="n"/>
      <c r="AS415" s="26" t="n"/>
      <c r="AT415" s="26" t="n"/>
      <c r="AU415" s="26" t="n"/>
      <c r="AV415" s="26" t="n"/>
      <c r="AW415" s="26" t="n"/>
      <c r="AX415" s="26" t="n"/>
      <c r="AY415" s="26" t="n"/>
      <c r="AZ415" s="26" t="n"/>
      <c r="BA415" s="26" t="n"/>
      <c r="BB415" s="26" t="n"/>
      <c r="BC415" s="26" t="n"/>
      <c r="BD415" s="26" t="n"/>
      <c r="BE415" s="26" t="n"/>
      <c r="BF415" s="26" t="n"/>
      <c r="BG415" s="26" t="n"/>
      <c r="BH415" s="26" t="n"/>
      <c r="BI415" s="26" t="n"/>
      <c r="BJ415" s="26" t="n"/>
      <c r="BK415" s="26" t="n"/>
      <c r="BL415" s="26" t="n"/>
      <c r="BM415" s="26" t="n"/>
      <c r="BN415" s="26" t="n"/>
    </row>
    <row r="416" ht="13" customHeight="1">
      <c r="A416" s="25" t="n"/>
      <c r="B416" s="26" t="n"/>
      <c r="C416" s="26" t="n"/>
      <c r="D416" s="27" t="n"/>
      <c r="E416" s="26" t="n"/>
      <c r="F416" s="26" t="n"/>
      <c r="G416" s="28" t="n"/>
      <c r="H416" s="29" t="n"/>
      <c r="I416" s="29" t="n"/>
      <c r="J416" s="26" t="n"/>
      <c r="K416" s="30" t="n"/>
      <c r="L416" s="26" t="n"/>
      <c r="M416" s="26" t="n"/>
      <c r="N416" s="26" t="n"/>
      <c r="O416" s="26" t="n"/>
      <c r="P416" s="26" t="n"/>
      <c r="Q416" s="26" t="n"/>
      <c r="R416" s="26" t="n"/>
      <c r="S416" s="26" t="n"/>
      <c r="T416" s="26" t="n"/>
      <c r="U416" s="26" t="n"/>
      <c r="V416" s="26" t="n"/>
      <c r="W416" s="26" t="n"/>
      <c r="X416" s="26" t="n"/>
      <c r="Y416" s="26" t="n"/>
      <c r="Z416" s="26" t="n"/>
      <c r="AA416" s="26" t="n"/>
      <c r="AB416" s="26" t="n"/>
      <c r="AC416" s="26" t="n"/>
      <c r="AD416" s="26" t="n"/>
      <c r="AE416" s="26" t="n"/>
      <c r="AF416" s="26" t="n"/>
      <c r="AG416" s="26" t="n"/>
      <c r="AH416" s="26" t="n"/>
      <c r="AI416" s="26" t="n"/>
      <c r="AJ416" s="26" t="n"/>
      <c r="AK416" s="26" t="n"/>
      <c r="AL416" s="31" t="n"/>
      <c r="AM416" s="30" t="n"/>
      <c r="AN416" s="26" t="n"/>
      <c r="AO416" s="26" t="n"/>
      <c r="AP416" s="26" t="n"/>
      <c r="AQ416" s="26" t="n"/>
      <c r="AR416" s="26" t="n"/>
      <c r="AS416" s="26" t="n"/>
      <c r="AT416" s="26" t="n"/>
      <c r="AU416" s="26" t="n"/>
      <c r="AV416" s="26" t="n"/>
      <c r="AW416" s="26" t="n"/>
      <c r="AX416" s="26" t="n"/>
      <c r="AY416" s="26" t="n"/>
      <c r="AZ416" s="26" t="n"/>
      <c r="BA416" s="26" t="n"/>
      <c r="BB416" s="26" t="n"/>
      <c r="BC416" s="26" t="n"/>
      <c r="BD416" s="26" t="n"/>
      <c r="BE416" s="26" t="n"/>
      <c r="BF416" s="26" t="n"/>
      <c r="BG416" s="26" t="n"/>
      <c r="BH416" s="26" t="n"/>
      <c r="BI416" s="26" t="n"/>
      <c r="BJ416" s="26" t="n"/>
      <c r="BK416" s="26" t="n"/>
      <c r="BL416" s="26" t="n"/>
      <c r="BM416" s="26" t="n"/>
      <c r="BN416" s="26" t="n"/>
    </row>
    <row r="417" ht="13" customHeight="1">
      <c r="A417" s="25" t="n"/>
      <c r="B417" s="26" t="n"/>
      <c r="C417" s="26" t="n"/>
      <c r="D417" s="27" t="n"/>
      <c r="E417" s="26" t="n"/>
      <c r="F417" s="26" t="n"/>
      <c r="G417" s="28" t="n"/>
      <c r="H417" s="29" t="n"/>
      <c r="I417" s="29" t="n"/>
      <c r="J417" s="26" t="n"/>
      <c r="K417" s="30" t="n"/>
      <c r="L417" s="26" t="n"/>
      <c r="M417" s="26" t="n"/>
      <c r="N417" s="26" t="n"/>
      <c r="O417" s="26" t="n"/>
      <c r="P417" s="26" t="n"/>
      <c r="Q417" s="26" t="n"/>
      <c r="R417" s="26" t="n"/>
      <c r="S417" s="26" t="n"/>
      <c r="T417" s="26" t="n"/>
      <c r="U417" s="26" t="n"/>
      <c r="V417" s="26" t="n"/>
      <c r="W417" s="26" t="n"/>
      <c r="X417" s="26" t="n"/>
      <c r="Y417" s="26" t="n"/>
      <c r="Z417" s="26" t="n"/>
      <c r="AA417" s="26" t="n"/>
      <c r="AB417" s="26" t="n"/>
      <c r="AC417" s="26" t="n"/>
      <c r="AD417" s="26" t="n"/>
      <c r="AE417" s="26" t="n"/>
      <c r="AF417" s="26" t="n"/>
      <c r="AG417" s="26" t="n"/>
      <c r="AH417" s="26" t="n"/>
      <c r="AI417" s="26" t="n"/>
      <c r="AJ417" s="26" t="n"/>
      <c r="AK417" s="26" t="n"/>
      <c r="AL417" s="31" t="n"/>
      <c r="AM417" s="30" t="n"/>
      <c r="AN417" s="26" t="n"/>
      <c r="AO417" s="26" t="n"/>
      <c r="AP417" s="26" t="n"/>
      <c r="AQ417" s="26" t="n"/>
      <c r="AR417" s="26" t="n"/>
      <c r="AS417" s="26" t="n"/>
      <c r="AT417" s="26" t="n"/>
      <c r="AU417" s="26" t="n"/>
      <c r="AV417" s="26" t="n"/>
      <c r="AW417" s="26" t="n"/>
      <c r="AX417" s="26" t="n"/>
      <c r="AY417" s="26" t="n"/>
      <c r="AZ417" s="26" t="n"/>
      <c r="BA417" s="26" t="n"/>
      <c r="BB417" s="26" t="n"/>
      <c r="BC417" s="26" t="n"/>
      <c r="BD417" s="26" t="n"/>
      <c r="BE417" s="26" t="n"/>
      <c r="BF417" s="26" t="n"/>
      <c r="BG417" s="26" t="n"/>
      <c r="BH417" s="26" t="n"/>
      <c r="BI417" s="26" t="n"/>
      <c r="BJ417" s="26" t="n"/>
      <c r="BK417" s="26" t="n"/>
      <c r="BL417" s="26" t="n"/>
      <c r="BM417" s="26" t="n"/>
      <c r="BN417" s="26" t="n"/>
    </row>
    <row r="418" ht="13" customHeight="1">
      <c r="A418" s="25" t="n"/>
      <c r="B418" s="26" t="n"/>
      <c r="C418" s="26" t="n"/>
      <c r="D418" s="27" t="n"/>
      <c r="E418" s="26" t="n"/>
      <c r="F418" s="26" t="n"/>
      <c r="G418" s="28" t="n"/>
      <c r="H418" s="29" t="n"/>
      <c r="I418" s="29" t="n"/>
      <c r="J418" s="26" t="n"/>
      <c r="K418" s="30" t="n"/>
      <c r="L418" s="26" t="n"/>
      <c r="M418" s="26" t="n"/>
      <c r="N418" s="26" t="n"/>
      <c r="O418" s="26" t="n"/>
      <c r="P418" s="26" t="n"/>
      <c r="Q418" s="26" t="n"/>
      <c r="R418" s="26" t="n"/>
      <c r="S418" s="26" t="n"/>
      <c r="T418" s="26" t="n"/>
      <c r="U418" s="26" t="n"/>
      <c r="V418" s="26" t="n"/>
      <c r="W418" s="26" t="n"/>
      <c r="X418" s="26" t="n"/>
      <c r="Y418" s="26" t="n"/>
      <c r="Z418" s="26" t="n"/>
      <c r="AA418" s="26" t="n"/>
      <c r="AB418" s="26" t="n"/>
      <c r="AC418" s="26" t="n"/>
      <c r="AD418" s="26" t="n"/>
      <c r="AE418" s="26" t="n"/>
      <c r="AF418" s="26" t="n"/>
      <c r="AG418" s="26" t="n"/>
      <c r="AH418" s="26" t="n"/>
      <c r="AI418" s="26" t="n"/>
      <c r="AJ418" s="26" t="n"/>
      <c r="AK418" s="26" t="n"/>
      <c r="AL418" s="31" t="n"/>
      <c r="AM418" s="30" t="n"/>
      <c r="AN418" s="26" t="n"/>
      <c r="AO418" s="26" t="n"/>
      <c r="AP418" s="26" t="n"/>
      <c r="AQ418" s="26" t="n"/>
      <c r="AR418" s="26" t="n"/>
      <c r="AS418" s="26" t="n"/>
      <c r="AT418" s="26" t="n"/>
      <c r="AU418" s="26" t="n"/>
      <c r="AV418" s="26" t="n"/>
      <c r="AW418" s="26" t="n"/>
      <c r="AX418" s="26" t="n"/>
      <c r="AY418" s="26" t="n"/>
      <c r="AZ418" s="26" t="n"/>
      <c r="BA418" s="26" t="n"/>
      <c r="BB418" s="26" t="n"/>
      <c r="BC418" s="26" t="n"/>
      <c r="BD418" s="26" t="n"/>
      <c r="BE418" s="26" t="n"/>
      <c r="BF418" s="26" t="n"/>
      <c r="BG418" s="26" t="n"/>
      <c r="BH418" s="26" t="n"/>
      <c r="BI418" s="26" t="n"/>
      <c r="BJ418" s="26" t="n"/>
      <c r="BK418" s="26" t="n"/>
      <c r="BL418" s="26" t="n"/>
      <c r="BM418" s="26" t="n"/>
      <c r="BN418" s="26" t="n"/>
    </row>
    <row r="419" ht="13" customHeight="1">
      <c r="A419" s="25" t="n"/>
      <c r="B419" s="26" t="n"/>
      <c r="C419" s="26" t="n"/>
      <c r="D419" s="27" t="n"/>
      <c r="E419" s="26" t="n"/>
      <c r="F419" s="26" t="n"/>
      <c r="G419" s="28" t="n"/>
      <c r="H419" s="29" t="n"/>
      <c r="I419" s="29" t="n"/>
      <c r="J419" s="26" t="n"/>
      <c r="K419" s="30" t="n"/>
      <c r="L419" s="26" t="n"/>
      <c r="M419" s="26" t="n"/>
      <c r="N419" s="26" t="n"/>
      <c r="O419" s="26" t="n"/>
      <c r="P419" s="26" t="n"/>
      <c r="Q419" s="26" t="n"/>
      <c r="R419" s="26" t="n"/>
      <c r="S419" s="26" t="n"/>
      <c r="T419" s="26" t="n"/>
      <c r="U419" s="26" t="n"/>
      <c r="V419" s="26" t="n"/>
      <c r="W419" s="26" t="n"/>
      <c r="X419" s="26" t="n"/>
      <c r="Y419" s="26" t="n"/>
      <c r="Z419" s="26" t="n"/>
      <c r="AA419" s="26" t="n"/>
      <c r="AB419" s="26" t="n"/>
      <c r="AC419" s="26" t="n"/>
      <c r="AD419" s="26" t="n"/>
      <c r="AE419" s="26" t="n"/>
      <c r="AF419" s="26" t="n"/>
      <c r="AG419" s="26" t="n"/>
      <c r="AH419" s="26" t="n"/>
      <c r="AI419" s="26" t="n"/>
      <c r="AJ419" s="26" t="n"/>
      <c r="AK419" s="26" t="n"/>
      <c r="AL419" s="31" t="n"/>
      <c r="AM419" s="30" t="n"/>
      <c r="AN419" s="26" t="n"/>
      <c r="AO419" s="26" t="n"/>
      <c r="AP419" s="26" t="n"/>
      <c r="AQ419" s="26" t="n"/>
      <c r="AR419" s="26" t="n"/>
      <c r="AS419" s="26" t="n"/>
      <c r="AT419" s="26" t="n"/>
      <c r="AU419" s="26" t="n"/>
      <c r="AV419" s="26" t="n"/>
      <c r="AW419" s="26" t="n"/>
      <c r="AX419" s="26" t="n"/>
      <c r="AY419" s="26" t="n"/>
      <c r="AZ419" s="26" t="n"/>
      <c r="BA419" s="26" t="n"/>
      <c r="BB419" s="26" t="n"/>
      <c r="BC419" s="26" t="n"/>
      <c r="BD419" s="26" t="n"/>
      <c r="BE419" s="26" t="n"/>
      <c r="BF419" s="26" t="n"/>
      <c r="BG419" s="26" t="n"/>
      <c r="BH419" s="26" t="n"/>
      <c r="BI419" s="26" t="n"/>
      <c r="BJ419" s="26" t="n"/>
      <c r="BK419" s="26" t="n"/>
      <c r="BL419" s="26" t="n"/>
      <c r="BM419" s="26" t="n"/>
      <c r="BN419" s="26" t="n"/>
    </row>
    <row r="420" ht="13" customHeight="1">
      <c r="A420" s="25" t="n"/>
      <c r="B420" s="26" t="n"/>
      <c r="C420" s="26" t="n"/>
      <c r="D420" s="27" t="n"/>
      <c r="E420" s="26" t="n"/>
      <c r="F420" s="26" t="n"/>
      <c r="G420" s="28" t="n"/>
      <c r="H420" s="29" t="n"/>
      <c r="I420" s="29" t="n"/>
      <c r="J420" s="26" t="n"/>
      <c r="K420" s="30" t="n"/>
      <c r="L420" s="26" t="n"/>
      <c r="M420" s="26" t="n"/>
      <c r="N420" s="26" t="n"/>
      <c r="O420" s="26" t="n"/>
      <c r="P420" s="26" t="n"/>
      <c r="Q420" s="26" t="n"/>
      <c r="R420" s="26" t="n"/>
      <c r="S420" s="26" t="n"/>
      <c r="T420" s="26" t="n"/>
      <c r="U420" s="26" t="n"/>
      <c r="V420" s="26" t="n"/>
      <c r="W420" s="26" t="n"/>
      <c r="X420" s="26" t="n"/>
      <c r="Y420" s="26" t="n"/>
      <c r="Z420" s="26" t="n"/>
      <c r="AA420" s="26" t="n"/>
      <c r="AB420" s="26" t="n"/>
      <c r="AC420" s="26" t="n"/>
      <c r="AD420" s="26" t="n"/>
      <c r="AE420" s="26" t="n"/>
      <c r="AF420" s="26" t="n"/>
      <c r="AG420" s="26" t="n"/>
      <c r="AH420" s="26" t="n"/>
      <c r="AI420" s="26" t="n"/>
      <c r="AJ420" s="26" t="n"/>
      <c r="AK420" s="26" t="n"/>
      <c r="AL420" s="31" t="n"/>
      <c r="AM420" s="30" t="n"/>
      <c r="AN420" s="26" t="n"/>
      <c r="AO420" s="26" t="n"/>
      <c r="AP420" s="26" t="n"/>
      <c r="AQ420" s="26" t="n"/>
      <c r="AR420" s="26" t="n"/>
      <c r="AS420" s="26" t="n"/>
      <c r="AT420" s="26" t="n"/>
      <c r="AU420" s="26" t="n"/>
      <c r="AV420" s="26" t="n"/>
      <c r="AW420" s="26" t="n"/>
      <c r="AX420" s="26" t="n"/>
      <c r="AY420" s="26" t="n"/>
      <c r="AZ420" s="26" t="n"/>
      <c r="BA420" s="26" t="n"/>
      <c r="BB420" s="26" t="n"/>
      <c r="BC420" s="26" t="n"/>
      <c r="BD420" s="26" t="n"/>
      <c r="BE420" s="26" t="n"/>
      <c r="BF420" s="26" t="n"/>
      <c r="BG420" s="26" t="n"/>
      <c r="BH420" s="26" t="n"/>
      <c r="BI420" s="26" t="n"/>
      <c r="BJ420" s="26" t="n"/>
      <c r="BK420" s="26" t="n"/>
      <c r="BL420" s="26" t="n"/>
      <c r="BM420" s="26" t="n"/>
      <c r="BN420" s="26" t="n"/>
    </row>
    <row r="421" ht="13" customHeight="1">
      <c r="A421" s="25" t="n"/>
      <c r="B421" s="26" t="n"/>
      <c r="C421" s="26" t="n"/>
      <c r="D421" s="27" t="n"/>
      <c r="E421" s="26" t="n"/>
      <c r="F421" s="26" t="n"/>
      <c r="G421" s="28" t="n"/>
      <c r="H421" s="29" t="n"/>
      <c r="I421" s="29" t="n"/>
      <c r="J421" s="26" t="n"/>
      <c r="K421" s="30" t="n"/>
      <c r="L421" s="26" t="n"/>
      <c r="M421" s="26" t="n"/>
      <c r="N421" s="26" t="n"/>
      <c r="O421" s="26" t="n"/>
      <c r="P421" s="26" t="n"/>
      <c r="Q421" s="26" t="n"/>
      <c r="R421" s="26" t="n"/>
      <c r="S421" s="26" t="n"/>
      <c r="T421" s="26" t="n"/>
      <c r="U421" s="26" t="n"/>
      <c r="V421" s="26" t="n"/>
      <c r="W421" s="26" t="n"/>
      <c r="X421" s="26" t="n"/>
      <c r="Y421" s="26" t="n"/>
      <c r="Z421" s="26" t="n"/>
      <c r="AA421" s="26" t="n"/>
      <c r="AB421" s="26" t="n"/>
      <c r="AC421" s="26" t="n"/>
      <c r="AD421" s="26" t="n"/>
      <c r="AE421" s="26" t="n"/>
      <c r="AF421" s="26" t="n"/>
      <c r="AG421" s="26" t="n"/>
      <c r="AH421" s="26" t="n"/>
      <c r="AI421" s="26" t="n"/>
      <c r="AJ421" s="26" t="n"/>
      <c r="AK421" s="26" t="n"/>
      <c r="AL421" s="31" t="n"/>
      <c r="AM421" s="30" t="n"/>
      <c r="AN421" s="26" t="n"/>
      <c r="AO421" s="26" t="n"/>
      <c r="AP421" s="26" t="n"/>
      <c r="AQ421" s="26" t="n"/>
      <c r="AR421" s="26" t="n"/>
      <c r="AS421" s="26" t="n"/>
      <c r="AT421" s="26" t="n"/>
      <c r="AU421" s="26" t="n"/>
      <c r="AV421" s="26" t="n"/>
      <c r="AW421" s="26" t="n"/>
      <c r="AX421" s="26" t="n"/>
      <c r="AY421" s="26" t="n"/>
      <c r="AZ421" s="26" t="n"/>
      <c r="BA421" s="26" t="n"/>
      <c r="BB421" s="26" t="n"/>
      <c r="BC421" s="26" t="n"/>
      <c r="BD421" s="26" t="n"/>
      <c r="BE421" s="26" t="n"/>
      <c r="BF421" s="26" t="n"/>
      <c r="BG421" s="26" t="n"/>
      <c r="BH421" s="26" t="n"/>
      <c r="BI421" s="26" t="n"/>
      <c r="BJ421" s="26" t="n"/>
      <c r="BK421" s="26" t="n"/>
      <c r="BL421" s="26" t="n"/>
      <c r="BM421" s="26" t="n"/>
      <c r="BN421" s="26" t="n"/>
    </row>
    <row r="422" ht="13" customHeight="1">
      <c r="A422" s="25" t="n"/>
      <c r="B422" s="26" t="n"/>
      <c r="C422" s="26" t="n"/>
      <c r="D422" s="27" t="n"/>
      <c r="E422" s="26" t="n"/>
      <c r="F422" s="26" t="n"/>
      <c r="G422" s="28" t="n"/>
      <c r="H422" s="29" t="n"/>
      <c r="I422" s="29" t="n"/>
      <c r="J422" s="26" t="n"/>
      <c r="K422" s="30" t="n"/>
      <c r="L422" s="26" t="n"/>
      <c r="M422" s="26" t="n"/>
      <c r="N422" s="26" t="n"/>
      <c r="O422" s="26" t="n"/>
      <c r="P422" s="26" t="n"/>
      <c r="Q422" s="26" t="n"/>
      <c r="R422" s="26" t="n"/>
      <c r="S422" s="26" t="n"/>
      <c r="T422" s="26" t="n"/>
      <c r="U422" s="26" t="n"/>
      <c r="V422" s="26" t="n"/>
      <c r="W422" s="26" t="n"/>
      <c r="X422" s="26" t="n"/>
      <c r="Y422" s="26" t="n"/>
      <c r="Z422" s="26" t="n"/>
      <c r="AA422" s="26" t="n"/>
      <c r="AB422" s="26" t="n"/>
      <c r="AC422" s="26" t="n"/>
      <c r="AD422" s="26" t="n"/>
      <c r="AE422" s="26" t="n"/>
      <c r="AF422" s="26" t="n"/>
      <c r="AG422" s="26" t="n"/>
      <c r="AH422" s="26" t="n"/>
      <c r="AI422" s="26" t="n"/>
      <c r="AJ422" s="26" t="n"/>
      <c r="AK422" s="26" t="n"/>
      <c r="AL422" s="31" t="n"/>
      <c r="AM422" s="30" t="n"/>
      <c r="AN422" s="26" t="n"/>
      <c r="AO422" s="26" t="n"/>
      <c r="AP422" s="26" t="n"/>
      <c r="AQ422" s="26" t="n"/>
      <c r="AR422" s="26" t="n"/>
      <c r="AS422" s="26" t="n"/>
      <c r="AT422" s="26" t="n"/>
      <c r="AU422" s="26" t="n"/>
      <c r="AV422" s="26" t="n"/>
      <c r="AW422" s="26" t="n"/>
      <c r="AX422" s="26" t="n"/>
      <c r="AY422" s="26" t="n"/>
      <c r="AZ422" s="26" t="n"/>
      <c r="BA422" s="26" t="n"/>
      <c r="BB422" s="26" t="n"/>
      <c r="BC422" s="26" t="n"/>
      <c r="BD422" s="26" t="n"/>
      <c r="BE422" s="26" t="n"/>
      <c r="BF422" s="26" t="n"/>
      <c r="BG422" s="26" t="n"/>
      <c r="BH422" s="26" t="n"/>
      <c r="BI422" s="26" t="n"/>
      <c r="BJ422" s="26" t="n"/>
      <c r="BK422" s="26" t="n"/>
      <c r="BL422" s="26" t="n"/>
      <c r="BM422" s="26" t="n"/>
      <c r="BN422" s="26" t="n"/>
    </row>
    <row r="423" ht="13" customHeight="1">
      <c r="A423" s="25" t="n"/>
      <c r="B423" s="26" t="n"/>
      <c r="C423" s="26" t="n"/>
      <c r="D423" s="27" t="n"/>
      <c r="E423" s="26" t="n"/>
      <c r="F423" s="26" t="n"/>
      <c r="G423" s="28" t="n"/>
      <c r="H423" s="29" t="n"/>
      <c r="I423" s="29" t="n"/>
      <c r="J423" s="26" t="n"/>
      <c r="K423" s="30" t="n"/>
      <c r="L423" s="26" t="n"/>
      <c r="M423" s="26" t="n"/>
      <c r="N423" s="26" t="n"/>
      <c r="O423" s="26" t="n"/>
      <c r="P423" s="26" t="n"/>
      <c r="Q423" s="26" t="n"/>
      <c r="R423" s="26" t="n"/>
      <c r="S423" s="26" t="n"/>
      <c r="T423" s="26" t="n"/>
      <c r="U423" s="26" t="n"/>
      <c r="V423" s="26" t="n"/>
      <c r="W423" s="26" t="n"/>
      <c r="X423" s="26" t="n"/>
      <c r="Y423" s="26" t="n"/>
      <c r="Z423" s="26" t="n"/>
      <c r="AA423" s="26" t="n"/>
      <c r="AB423" s="26" t="n"/>
      <c r="AC423" s="26" t="n"/>
      <c r="AD423" s="26" t="n"/>
      <c r="AE423" s="26" t="n"/>
      <c r="AF423" s="26" t="n"/>
      <c r="AG423" s="26" t="n"/>
      <c r="AH423" s="26" t="n"/>
      <c r="AI423" s="26" t="n"/>
      <c r="AJ423" s="26" t="n"/>
      <c r="AK423" s="26" t="n"/>
      <c r="AL423" s="31" t="n"/>
      <c r="AM423" s="30" t="n"/>
      <c r="AN423" s="26" t="n"/>
      <c r="AO423" s="26" t="n"/>
      <c r="AP423" s="26" t="n"/>
      <c r="AQ423" s="26" t="n"/>
      <c r="AR423" s="26" t="n"/>
      <c r="AS423" s="26" t="n"/>
      <c r="AT423" s="26" t="n"/>
      <c r="AU423" s="26" t="n"/>
      <c r="AV423" s="26" t="n"/>
      <c r="AW423" s="26" t="n"/>
      <c r="AX423" s="26" t="n"/>
      <c r="AY423" s="26" t="n"/>
      <c r="AZ423" s="26" t="n"/>
      <c r="BA423" s="26" t="n"/>
      <c r="BB423" s="26" t="n"/>
      <c r="BC423" s="26" t="n"/>
      <c r="BD423" s="26" t="n"/>
      <c r="BE423" s="26" t="n"/>
      <c r="BF423" s="26" t="n"/>
      <c r="BG423" s="26" t="n"/>
      <c r="BH423" s="26" t="n"/>
      <c r="BI423" s="26" t="n"/>
      <c r="BJ423" s="26" t="n"/>
      <c r="BK423" s="26" t="n"/>
      <c r="BL423" s="26" t="n"/>
      <c r="BM423" s="26" t="n"/>
      <c r="BN423" s="26" t="n"/>
    </row>
    <row r="424" ht="13" customHeight="1">
      <c r="A424" s="25" t="n"/>
      <c r="B424" s="26" t="n"/>
      <c r="C424" s="26" t="n"/>
      <c r="D424" s="27" t="n"/>
      <c r="E424" s="26" t="n"/>
      <c r="F424" s="26" t="n"/>
      <c r="G424" s="28" t="n"/>
      <c r="H424" s="29" t="n"/>
      <c r="I424" s="29" t="n"/>
      <c r="J424" s="26" t="n"/>
      <c r="K424" s="30" t="n"/>
      <c r="L424" s="26" t="n"/>
      <c r="M424" s="26" t="n"/>
      <c r="N424" s="26" t="n"/>
      <c r="O424" s="26" t="n"/>
      <c r="P424" s="26" t="n"/>
      <c r="Q424" s="26" t="n"/>
      <c r="R424" s="26" t="n"/>
      <c r="S424" s="26" t="n"/>
      <c r="T424" s="26" t="n"/>
      <c r="U424" s="26" t="n"/>
      <c r="V424" s="26" t="n"/>
      <c r="W424" s="26" t="n"/>
      <c r="X424" s="26" t="n"/>
      <c r="Y424" s="26" t="n"/>
      <c r="Z424" s="26" t="n"/>
      <c r="AA424" s="26" t="n"/>
      <c r="AB424" s="26" t="n"/>
      <c r="AC424" s="26" t="n"/>
      <c r="AD424" s="26" t="n"/>
      <c r="AE424" s="26" t="n"/>
      <c r="AF424" s="26" t="n"/>
      <c r="AG424" s="26" t="n"/>
      <c r="AH424" s="26" t="n"/>
      <c r="AI424" s="26" t="n"/>
      <c r="AJ424" s="26" t="n"/>
      <c r="AK424" s="26" t="n"/>
      <c r="AL424" s="31" t="n"/>
      <c r="AM424" s="30" t="n"/>
      <c r="AN424" s="26" t="n"/>
      <c r="AO424" s="26" t="n"/>
      <c r="AP424" s="26" t="n"/>
      <c r="AQ424" s="26" t="n"/>
      <c r="AR424" s="26" t="n"/>
      <c r="AS424" s="26" t="n"/>
      <c r="AT424" s="26" t="n"/>
      <c r="AU424" s="26" t="n"/>
      <c r="AV424" s="26" t="n"/>
      <c r="AW424" s="26" t="n"/>
      <c r="AX424" s="26" t="n"/>
      <c r="AY424" s="26" t="n"/>
      <c r="AZ424" s="26" t="n"/>
      <c r="BA424" s="26" t="n"/>
      <c r="BB424" s="26" t="n"/>
      <c r="BC424" s="26" t="n"/>
      <c r="BD424" s="26" t="n"/>
      <c r="BE424" s="26" t="n"/>
      <c r="BF424" s="26" t="n"/>
      <c r="BG424" s="26" t="n"/>
      <c r="BH424" s="26" t="n"/>
      <c r="BI424" s="26" t="n"/>
      <c r="BJ424" s="26" t="n"/>
      <c r="BK424" s="26" t="n"/>
      <c r="BL424" s="26" t="n"/>
      <c r="BM424" s="26" t="n"/>
      <c r="BN424" s="26" t="n"/>
    </row>
    <row r="425" ht="13" customHeight="1">
      <c r="A425" s="25" t="n"/>
      <c r="B425" s="26" t="n"/>
      <c r="C425" s="26" t="n"/>
      <c r="D425" s="27" t="n"/>
      <c r="E425" s="26" t="n"/>
      <c r="F425" s="26" t="n"/>
      <c r="G425" s="28" t="n"/>
      <c r="H425" s="29" t="n"/>
      <c r="I425" s="29" t="n"/>
      <c r="J425" s="26" t="n"/>
      <c r="K425" s="30" t="n"/>
      <c r="L425" s="26" t="n"/>
      <c r="M425" s="26" t="n"/>
      <c r="N425" s="26" t="n"/>
      <c r="O425" s="26" t="n"/>
      <c r="P425" s="26" t="n"/>
      <c r="Q425" s="26" t="n"/>
      <c r="R425" s="26" t="n"/>
      <c r="S425" s="26" t="n"/>
      <c r="T425" s="26" t="n"/>
      <c r="U425" s="26" t="n"/>
      <c r="V425" s="26" t="n"/>
      <c r="W425" s="26" t="n"/>
      <c r="X425" s="26" t="n"/>
      <c r="Y425" s="26" t="n"/>
      <c r="Z425" s="26" t="n"/>
      <c r="AA425" s="26" t="n"/>
      <c r="AB425" s="26" t="n"/>
      <c r="AC425" s="26" t="n"/>
      <c r="AD425" s="26" t="n"/>
      <c r="AE425" s="26" t="n"/>
      <c r="AF425" s="26" t="n"/>
      <c r="AG425" s="26" t="n"/>
      <c r="AH425" s="26" t="n"/>
      <c r="AI425" s="26" t="n"/>
      <c r="AJ425" s="26" t="n"/>
      <c r="AK425" s="26" t="n"/>
      <c r="AL425" s="31" t="n"/>
      <c r="AM425" s="30" t="n"/>
      <c r="AN425" s="26" t="n"/>
      <c r="AO425" s="26" t="n"/>
      <c r="AP425" s="26" t="n"/>
      <c r="AQ425" s="26" t="n"/>
      <c r="AR425" s="26" t="n"/>
      <c r="AS425" s="26" t="n"/>
      <c r="AT425" s="26" t="n"/>
      <c r="AU425" s="26" t="n"/>
      <c r="AV425" s="26" t="n"/>
      <c r="AW425" s="26" t="n"/>
      <c r="AX425" s="26" t="n"/>
      <c r="AY425" s="26" t="n"/>
      <c r="AZ425" s="26" t="n"/>
      <c r="BA425" s="26" t="n"/>
      <c r="BB425" s="26" t="n"/>
      <c r="BC425" s="26" t="n"/>
      <c r="BD425" s="26" t="n"/>
      <c r="BE425" s="26" t="n"/>
      <c r="BF425" s="26" t="n"/>
      <c r="BG425" s="26" t="n"/>
      <c r="BH425" s="26" t="n"/>
      <c r="BI425" s="26" t="n"/>
      <c r="BJ425" s="26" t="n"/>
      <c r="BK425" s="26" t="n"/>
      <c r="BL425" s="26" t="n"/>
      <c r="BM425" s="26" t="n"/>
      <c r="BN425" s="26" t="n"/>
    </row>
    <row r="426" ht="13" customHeight="1">
      <c r="A426" s="25" t="n"/>
      <c r="B426" s="26" t="n"/>
      <c r="C426" s="26" t="n"/>
      <c r="D426" s="27" t="n"/>
      <c r="E426" s="26" t="n"/>
      <c r="F426" s="26" t="n"/>
      <c r="G426" s="28" t="n"/>
      <c r="H426" s="29" t="n"/>
      <c r="I426" s="29" t="n"/>
      <c r="J426" s="26" t="n"/>
      <c r="K426" s="30" t="n"/>
      <c r="L426" s="26" t="n"/>
      <c r="M426" s="26" t="n"/>
      <c r="N426" s="26" t="n"/>
      <c r="O426" s="26" t="n"/>
      <c r="P426" s="26" t="n"/>
      <c r="Q426" s="26" t="n"/>
      <c r="R426" s="26" t="n"/>
      <c r="S426" s="26" t="n"/>
      <c r="T426" s="26" t="n"/>
      <c r="U426" s="26" t="n"/>
      <c r="V426" s="26" t="n"/>
      <c r="W426" s="26" t="n"/>
      <c r="X426" s="26" t="n"/>
      <c r="Y426" s="26" t="n"/>
      <c r="Z426" s="26" t="n"/>
      <c r="AA426" s="26" t="n"/>
      <c r="AB426" s="26" t="n"/>
      <c r="AC426" s="26" t="n"/>
      <c r="AD426" s="26" t="n"/>
      <c r="AE426" s="26" t="n"/>
      <c r="AF426" s="26" t="n"/>
      <c r="AG426" s="26" t="n"/>
      <c r="AH426" s="26" t="n"/>
      <c r="AI426" s="26" t="n"/>
      <c r="AJ426" s="26" t="n"/>
      <c r="AK426" s="26" t="n"/>
      <c r="AL426" s="31" t="n"/>
      <c r="AM426" s="30" t="n"/>
      <c r="AN426" s="26" t="n"/>
      <c r="AO426" s="26" t="n"/>
      <c r="AP426" s="26" t="n"/>
      <c r="AQ426" s="26" t="n"/>
      <c r="AR426" s="26" t="n"/>
      <c r="AS426" s="26" t="n"/>
      <c r="AT426" s="26" t="n"/>
      <c r="AU426" s="26" t="n"/>
      <c r="AV426" s="26" t="n"/>
      <c r="AW426" s="26" t="n"/>
      <c r="AX426" s="26" t="n"/>
      <c r="AY426" s="26" t="n"/>
      <c r="AZ426" s="26" t="n"/>
      <c r="BA426" s="26" t="n"/>
      <c r="BB426" s="26" t="n"/>
      <c r="BC426" s="26" t="n"/>
      <c r="BD426" s="26" t="n"/>
      <c r="BE426" s="26" t="n"/>
      <c r="BF426" s="26" t="n"/>
      <c r="BG426" s="26" t="n"/>
      <c r="BH426" s="26" t="n"/>
      <c r="BI426" s="26" t="n"/>
      <c r="BJ426" s="26" t="n"/>
      <c r="BK426" s="26" t="n"/>
      <c r="BL426" s="26" t="n"/>
      <c r="BM426" s="26" t="n"/>
      <c r="BN426" s="26" t="n"/>
    </row>
    <row r="427" ht="13" customHeight="1">
      <c r="A427" s="25" t="n"/>
      <c r="B427" s="26" t="n"/>
      <c r="C427" s="26" t="n"/>
      <c r="D427" s="27" t="n"/>
      <c r="E427" s="26" t="n"/>
      <c r="F427" s="26" t="n"/>
      <c r="G427" s="28" t="n"/>
      <c r="H427" s="29" t="n"/>
      <c r="I427" s="29" t="n"/>
      <c r="J427" s="26" t="n"/>
      <c r="K427" s="30" t="n"/>
      <c r="L427" s="26" t="n"/>
      <c r="M427" s="26" t="n"/>
      <c r="N427" s="26" t="n"/>
      <c r="O427" s="26" t="n"/>
      <c r="P427" s="26" t="n"/>
      <c r="Q427" s="26" t="n"/>
      <c r="R427" s="26" t="n"/>
      <c r="S427" s="26" t="n"/>
      <c r="T427" s="26" t="n"/>
      <c r="U427" s="26" t="n"/>
      <c r="V427" s="26" t="n"/>
      <c r="W427" s="26" t="n"/>
      <c r="X427" s="26" t="n"/>
      <c r="Y427" s="26" t="n"/>
      <c r="Z427" s="26" t="n"/>
      <c r="AA427" s="26" t="n"/>
      <c r="AB427" s="26" t="n"/>
      <c r="AC427" s="26" t="n"/>
      <c r="AD427" s="26" t="n"/>
      <c r="AE427" s="26" t="n"/>
      <c r="AF427" s="26" t="n"/>
      <c r="AG427" s="26" t="n"/>
      <c r="AH427" s="26" t="n"/>
      <c r="AI427" s="26" t="n"/>
      <c r="AJ427" s="26" t="n"/>
      <c r="AK427" s="26" t="n"/>
      <c r="AL427" s="31" t="n"/>
      <c r="AM427" s="30" t="n"/>
      <c r="AN427" s="26" t="n"/>
      <c r="AO427" s="26" t="n"/>
      <c r="AP427" s="26" t="n"/>
      <c r="AQ427" s="26" t="n"/>
      <c r="AR427" s="26" t="n"/>
      <c r="AS427" s="26" t="n"/>
      <c r="AT427" s="26" t="n"/>
      <c r="AU427" s="26" t="n"/>
      <c r="AV427" s="26" t="n"/>
      <c r="AW427" s="26" t="n"/>
      <c r="AX427" s="26" t="n"/>
      <c r="AY427" s="26" t="n"/>
      <c r="AZ427" s="26" t="n"/>
      <c r="BA427" s="26" t="n"/>
      <c r="BB427" s="26" t="n"/>
      <c r="BC427" s="26" t="n"/>
      <c r="BD427" s="26" t="n"/>
      <c r="BE427" s="26" t="n"/>
      <c r="BF427" s="26" t="n"/>
      <c r="BG427" s="26" t="n"/>
      <c r="BH427" s="26" t="n"/>
      <c r="BI427" s="26" t="n"/>
      <c r="BJ427" s="26" t="n"/>
      <c r="BK427" s="26" t="n"/>
      <c r="BL427" s="26" t="n"/>
      <c r="BM427" s="26" t="n"/>
      <c r="BN427" s="26" t="n"/>
    </row>
    <row r="428" ht="13" customHeight="1">
      <c r="A428" s="25" t="n"/>
      <c r="B428" s="26" t="n"/>
      <c r="C428" s="26" t="n"/>
      <c r="D428" s="27" t="n"/>
      <c r="E428" s="26" t="n"/>
      <c r="F428" s="26" t="n"/>
      <c r="G428" s="28" t="n"/>
      <c r="H428" s="29" t="n"/>
      <c r="I428" s="29" t="n"/>
      <c r="J428" s="26" t="n"/>
      <c r="K428" s="30" t="n"/>
      <c r="L428" s="26" t="n"/>
      <c r="M428" s="26" t="n"/>
      <c r="N428" s="26" t="n"/>
      <c r="O428" s="26" t="n"/>
      <c r="P428" s="26" t="n"/>
      <c r="Q428" s="26" t="n"/>
      <c r="R428" s="26" t="n"/>
      <c r="S428" s="26" t="n"/>
      <c r="T428" s="26" t="n"/>
      <c r="U428" s="26" t="n"/>
      <c r="V428" s="26" t="n"/>
      <c r="W428" s="26" t="n"/>
      <c r="X428" s="26" t="n"/>
      <c r="Y428" s="26" t="n"/>
      <c r="Z428" s="26" t="n"/>
      <c r="AA428" s="26" t="n"/>
      <c r="AB428" s="26" t="n"/>
      <c r="AC428" s="26" t="n"/>
      <c r="AD428" s="26" t="n"/>
      <c r="AE428" s="26" t="n"/>
      <c r="AF428" s="26" t="n"/>
      <c r="AG428" s="26" t="n"/>
      <c r="AH428" s="26" t="n"/>
      <c r="AI428" s="26" t="n"/>
      <c r="AJ428" s="26" t="n"/>
      <c r="AK428" s="26" t="n"/>
      <c r="AL428" s="31" t="n"/>
      <c r="AM428" s="30" t="n"/>
      <c r="AN428" s="26" t="n"/>
      <c r="AO428" s="26" t="n"/>
      <c r="AP428" s="26" t="n"/>
      <c r="AQ428" s="26" t="n"/>
      <c r="AR428" s="26" t="n"/>
      <c r="AS428" s="26" t="n"/>
      <c r="AT428" s="26" t="n"/>
      <c r="AU428" s="26" t="n"/>
      <c r="AV428" s="26" t="n"/>
      <c r="AW428" s="26" t="n"/>
      <c r="AX428" s="26" t="n"/>
      <c r="AY428" s="26" t="n"/>
      <c r="AZ428" s="26" t="n"/>
      <c r="BA428" s="26" t="n"/>
      <c r="BB428" s="26" t="n"/>
      <c r="BC428" s="26" t="n"/>
      <c r="BD428" s="26" t="n"/>
      <c r="BE428" s="26" t="n"/>
      <c r="BF428" s="26" t="n"/>
      <c r="BG428" s="26" t="n"/>
      <c r="BH428" s="26" t="n"/>
      <c r="BI428" s="26" t="n"/>
      <c r="BJ428" s="26" t="n"/>
      <c r="BK428" s="26" t="n"/>
      <c r="BL428" s="26" t="n"/>
      <c r="BM428" s="26" t="n"/>
      <c r="BN428" s="26" t="n"/>
    </row>
    <row r="429" ht="13" customHeight="1">
      <c r="A429" s="25" t="n"/>
      <c r="B429" s="26" t="n"/>
      <c r="C429" s="26" t="n"/>
      <c r="D429" s="27" t="n"/>
      <c r="E429" s="26" t="n"/>
      <c r="F429" s="26" t="n"/>
      <c r="G429" s="28" t="n"/>
      <c r="H429" s="29" t="n"/>
      <c r="I429" s="29" t="n"/>
      <c r="J429" s="26" t="n"/>
      <c r="K429" s="30" t="n"/>
      <c r="L429" s="26" t="n"/>
      <c r="M429" s="26" t="n"/>
      <c r="N429" s="26" t="n"/>
      <c r="O429" s="26" t="n"/>
      <c r="P429" s="26" t="n"/>
      <c r="Q429" s="26" t="n"/>
      <c r="R429" s="26" t="n"/>
      <c r="S429" s="26" t="n"/>
      <c r="T429" s="26" t="n"/>
      <c r="U429" s="26" t="n"/>
      <c r="V429" s="26" t="n"/>
      <c r="W429" s="26" t="n"/>
      <c r="X429" s="26" t="n"/>
      <c r="Y429" s="26" t="n"/>
      <c r="Z429" s="26" t="n"/>
      <c r="AA429" s="26" t="n"/>
      <c r="AB429" s="26" t="n"/>
      <c r="AC429" s="26" t="n"/>
      <c r="AD429" s="26" t="n"/>
      <c r="AE429" s="26" t="n"/>
      <c r="AF429" s="26" t="n"/>
      <c r="AG429" s="26" t="n"/>
      <c r="AH429" s="26" t="n"/>
      <c r="AI429" s="26" t="n"/>
      <c r="AJ429" s="26" t="n"/>
      <c r="AK429" s="26" t="n"/>
      <c r="AL429" s="31" t="n"/>
      <c r="AM429" s="30" t="n"/>
      <c r="AN429" s="26" t="n"/>
      <c r="AO429" s="26" t="n"/>
      <c r="AP429" s="26" t="n"/>
      <c r="AQ429" s="26" t="n"/>
      <c r="AR429" s="26" t="n"/>
      <c r="AS429" s="26" t="n"/>
      <c r="AT429" s="26" t="n"/>
      <c r="AU429" s="26" t="n"/>
      <c r="AV429" s="26" t="n"/>
      <c r="AW429" s="26" t="n"/>
      <c r="AX429" s="26" t="n"/>
      <c r="AY429" s="26" t="n"/>
      <c r="AZ429" s="26" t="n"/>
      <c r="BA429" s="26" t="n"/>
      <c r="BB429" s="26" t="n"/>
      <c r="BC429" s="26" t="n"/>
      <c r="BD429" s="26" t="n"/>
      <c r="BE429" s="26" t="n"/>
      <c r="BF429" s="26" t="n"/>
      <c r="BG429" s="26" t="n"/>
      <c r="BH429" s="26" t="n"/>
      <c r="BI429" s="26" t="n"/>
      <c r="BJ429" s="26" t="n"/>
      <c r="BK429" s="26" t="n"/>
      <c r="BL429" s="26" t="n"/>
      <c r="BM429" s="26" t="n"/>
      <c r="BN429" s="26" t="n"/>
    </row>
    <row r="430" ht="13" customHeight="1">
      <c r="A430" s="25" t="n"/>
      <c r="B430" s="26" t="n"/>
      <c r="C430" s="26" t="n"/>
      <c r="D430" s="27" t="n"/>
      <c r="E430" s="26" t="n"/>
      <c r="F430" s="26" t="n"/>
      <c r="G430" s="28" t="n"/>
      <c r="H430" s="29" t="n"/>
      <c r="I430" s="29" t="n"/>
      <c r="J430" s="26" t="n"/>
      <c r="K430" s="30" t="n"/>
      <c r="L430" s="26" t="n"/>
      <c r="M430" s="26" t="n"/>
      <c r="N430" s="26" t="n"/>
      <c r="O430" s="26" t="n"/>
      <c r="P430" s="26" t="n"/>
      <c r="Q430" s="26" t="n"/>
      <c r="R430" s="26" t="n"/>
      <c r="S430" s="26" t="n"/>
      <c r="T430" s="26" t="n"/>
      <c r="U430" s="26" t="n"/>
      <c r="V430" s="26" t="n"/>
      <c r="W430" s="26" t="n"/>
      <c r="X430" s="26" t="n"/>
      <c r="Y430" s="26" t="n"/>
      <c r="Z430" s="26" t="n"/>
      <c r="AA430" s="26" t="n"/>
      <c r="AB430" s="26" t="n"/>
      <c r="AC430" s="26" t="n"/>
      <c r="AD430" s="26" t="n"/>
      <c r="AE430" s="26" t="n"/>
      <c r="AF430" s="26" t="n"/>
      <c r="AG430" s="26" t="n"/>
      <c r="AH430" s="26" t="n"/>
      <c r="AI430" s="26" t="n"/>
      <c r="AJ430" s="26" t="n"/>
      <c r="AK430" s="26" t="n"/>
      <c r="AL430" s="31" t="n"/>
      <c r="AM430" s="30" t="n"/>
      <c r="AN430" s="26" t="n"/>
      <c r="AO430" s="26" t="n"/>
      <c r="AP430" s="26" t="n"/>
      <c r="AQ430" s="26" t="n"/>
      <c r="AR430" s="26" t="n"/>
      <c r="AS430" s="26" t="n"/>
      <c r="AT430" s="26" t="n"/>
      <c r="AU430" s="26" t="n"/>
      <c r="AV430" s="26" t="n"/>
      <c r="AW430" s="26" t="n"/>
      <c r="AX430" s="26" t="n"/>
      <c r="AY430" s="26" t="n"/>
      <c r="AZ430" s="26" t="n"/>
      <c r="BA430" s="26" t="n"/>
      <c r="BB430" s="26" t="n"/>
      <c r="BC430" s="26" t="n"/>
      <c r="BD430" s="26" t="n"/>
      <c r="BE430" s="26" t="n"/>
      <c r="BF430" s="26" t="n"/>
      <c r="BG430" s="26" t="n"/>
      <c r="BH430" s="26" t="n"/>
      <c r="BI430" s="26" t="n"/>
      <c r="BJ430" s="26" t="n"/>
      <c r="BK430" s="26" t="n"/>
      <c r="BL430" s="26" t="n"/>
      <c r="BM430" s="26" t="n"/>
      <c r="BN430" s="26" t="n"/>
    </row>
    <row r="431" ht="13" customHeight="1">
      <c r="A431" s="25" t="n"/>
      <c r="B431" s="26" t="n"/>
      <c r="C431" s="26" t="n"/>
      <c r="D431" s="27" t="n"/>
      <c r="E431" s="26" t="n"/>
      <c r="F431" s="26" t="n"/>
      <c r="G431" s="28" t="n"/>
      <c r="H431" s="29" t="n"/>
      <c r="I431" s="29" t="n"/>
      <c r="J431" s="26" t="n"/>
      <c r="K431" s="30" t="n"/>
      <c r="L431" s="26" t="n"/>
      <c r="M431" s="26" t="n"/>
      <c r="N431" s="26" t="n"/>
      <c r="O431" s="26" t="n"/>
      <c r="P431" s="26" t="n"/>
      <c r="Q431" s="26" t="n"/>
      <c r="R431" s="26" t="n"/>
      <c r="S431" s="26" t="n"/>
      <c r="T431" s="26" t="n"/>
      <c r="U431" s="26" t="n"/>
      <c r="V431" s="26" t="n"/>
      <c r="W431" s="26" t="n"/>
      <c r="X431" s="26" t="n"/>
      <c r="Y431" s="26" t="n"/>
      <c r="Z431" s="26" t="n"/>
      <c r="AA431" s="26" t="n"/>
      <c r="AB431" s="26" t="n"/>
      <c r="AC431" s="26" t="n"/>
      <c r="AD431" s="26" t="n"/>
      <c r="AE431" s="26" t="n"/>
      <c r="AF431" s="26" t="n"/>
      <c r="AG431" s="26" t="n"/>
      <c r="AH431" s="26" t="n"/>
      <c r="AI431" s="26" t="n"/>
      <c r="AJ431" s="26" t="n"/>
      <c r="AK431" s="26" t="n"/>
      <c r="AL431" s="31" t="n"/>
      <c r="AM431" s="30" t="n"/>
      <c r="AN431" s="26" t="n"/>
      <c r="AO431" s="26" t="n"/>
      <c r="AP431" s="26" t="n"/>
      <c r="AQ431" s="26" t="n"/>
      <c r="AR431" s="26" t="n"/>
      <c r="AS431" s="26" t="n"/>
      <c r="AT431" s="26" t="n"/>
      <c r="AU431" s="26" t="n"/>
      <c r="AV431" s="26" t="n"/>
      <c r="AW431" s="26" t="n"/>
      <c r="AX431" s="26" t="n"/>
      <c r="AY431" s="26" t="n"/>
      <c r="AZ431" s="26" t="n"/>
      <c r="BA431" s="26" t="n"/>
      <c r="BB431" s="26" t="n"/>
      <c r="BC431" s="26" t="n"/>
      <c r="BD431" s="26" t="n"/>
      <c r="BE431" s="26" t="n"/>
      <c r="BF431" s="26" t="n"/>
      <c r="BG431" s="26" t="n"/>
      <c r="BH431" s="26" t="n"/>
      <c r="BI431" s="26" t="n"/>
      <c r="BJ431" s="26" t="n"/>
      <c r="BK431" s="26" t="n"/>
      <c r="BL431" s="26" t="n"/>
      <c r="BM431" s="26" t="n"/>
      <c r="BN431" s="26" t="n"/>
    </row>
    <row r="432" ht="13" customHeight="1">
      <c r="A432" s="25" t="n"/>
      <c r="B432" s="26" t="n"/>
      <c r="C432" s="26" t="n"/>
      <c r="D432" s="27" t="n"/>
      <c r="E432" s="26" t="n"/>
      <c r="F432" s="26" t="n"/>
      <c r="G432" s="28" t="n"/>
      <c r="H432" s="29" t="n"/>
      <c r="I432" s="29" t="n"/>
      <c r="J432" s="26" t="n"/>
      <c r="K432" s="30" t="n"/>
      <c r="L432" s="26" t="n"/>
      <c r="M432" s="26" t="n"/>
      <c r="N432" s="26" t="n"/>
      <c r="O432" s="26" t="n"/>
      <c r="P432" s="26" t="n"/>
      <c r="Q432" s="26" t="n"/>
      <c r="R432" s="26" t="n"/>
      <c r="S432" s="26" t="n"/>
      <c r="T432" s="26" t="n"/>
      <c r="U432" s="26" t="n"/>
      <c r="V432" s="26" t="n"/>
      <c r="W432" s="26" t="n"/>
      <c r="X432" s="26" t="n"/>
      <c r="Y432" s="26" t="n"/>
      <c r="Z432" s="26" t="n"/>
      <c r="AA432" s="26" t="n"/>
      <c r="AB432" s="26" t="n"/>
      <c r="AC432" s="26" t="n"/>
      <c r="AD432" s="26" t="n"/>
      <c r="AE432" s="26" t="n"/>
      <c r="AF432" s="26" t="n"/>
      <c r="AG432" s="26" t="n"/>
      <c r="AH432" s="26" t="n"/>
      <c r="AI432" s="26" t="n"/>
      <c r="AJ432" s="26" t="n"/>
      <c r="AK432" s="26" t="n"/>
      <c r="AL432" s="31" t="n"/>
      <c r="AM432" s="30" t="n"/>
      <c r="AN432" s="26" t="n"/>
      <c r="AO432" s="26" t="n"/>
      <c r="AP432" s="26" t="n"/>
      <c r="AQ432" s="26" t="n"/>
      <c r="AR432" s="26" t="n"/>
      <c r="AS432" s="26" t="n"/>
      <c r="AT432" s="26" t="n"/>
      <c r="AU432" s="26" t="n"/>
      <c r="AV432" s="26" t="n"/>
      <c r="AW432" s="26" t="n"/>
      <c r="AX432" s="26" t="n"/>
      <c r="AY432" s="26" t="n"/>
      <c r="AZ432" s="26" t="n"/>
      <c r="BA432" s="26" t="n"/>
      <c r="BB432" s="26" t="n"/>
      <c r="BC432" s="26" t="n"/>
      <c r="BD432" s="26" t="n"/>
      <c r="BE432" s="26" t="n"/>
      <c r="BF432" s="26" t="n"/>
      <c r="BG432" s="26" t="n"/>
      <c r="BH432" s="26" t="n"/>
      <c r="BI432" s="26" t="n"/>
      <c r="BJ432" s="26" t="n"/>
      <c r="BK432" s="26" t="n"/>
      <c r="BL432" s="26" t="n"/>
      <c r="BM432" s="26" t="n"/>
      <c r="BN432" s="26" t="n"/>
    </row>
    <row r="433" ht="13" customHeight="1">
      <c r="A433" s="25" t="n"/>
      <c r="B433" s="26" t="n"/>
      <c r="C433" s="26" t="n"/>
      <c r="D433" s="27" t="n"/>
      <c r="E433" s="26" t="n"/>
      <c r="F433" s="26" t="n"/>
      <c r="G433" s="28" t="n"/>
      <c r="H433" s="29" t="n"/>
      <c r="I433" s="29" t="n"/>
      <c r="J433" s="26" t="n"/>
      <c r="K433" s="30" t="n"/>
      <c r="L433" s="26" t="n"/>
      <c r="M433" s="26" t="n"/>
      <c r="N433" s="26" t="n"/>
      <c r="O433" s="26" t="n"/>
      <c r="P433" s="26" t="n"/>
      <c r="Q433" s="26" t="n"/>
      <c r="R433" s="26" t="n"/>
      <c r="S433" s="26" t="n"/>
      <c r="T433" s="26" t="n"/>
      <c r="U433" s="26" t="n"/>
      <c r="V433" s="26" t="n"/>
      <c r="W433" s="26" t="n"/>
      <c r="X433" s="26" t="n"/>
      <c r="Y433" s="26" t="n"/>
      <c r="Z433" s="26" t="n"/>
      <c r="AA433" s="26" t="n"/>
      <c r="AB433" s="26" t="n"/>
      <c r="AC433" s="26" t="n"/>
      <c r="AD433" s="26" t="n"/>
      <c r="AE433" s="26" t="n"/>
      <c r="AF433" s="26" t="n"/>
      <c r="AG433" s="26" t="n"/>
      <c r="AH433" s="26" t="n"/>
      <c r="AI433" s="26" t="n"/>
      <c r="AJ433" s="26" t="n"/>
      <c r="AK433" s="26" t="n"/>
      <c r="AL433" s="31" t="n"/>
      <c r="AM433" s="30" t="n"/>
      <c r="AN433" s="26" t="n"/>
      <c r="AO433" s="26" t="n"/>
      <c r="AP433" s="26" t="n"/>
      <c r="AQ433" s="26" t="n"/>
      <c r="AR433" s="26" t="n"/>
      <c r="AS433" s="26" t="n"/>
      <c r="AT433" s="26" t="n"/>
      <c r="AU433" s="26" t="n"/>
      <c r="AV433" s="26" t="n"/>
      <c r="AW433" s="26" t="n"/>
      <c r="AX433" s="26" t="n"/>
      <c r="AY433" s="26" t="n"/>
      <c r="AZ433" s="26" t="n"/>
      <c r="BA433" s="26" t="n"/>
      <c r="BB433" s="26" t="n"/>
      <c r="BC433" s="26" t="n"/>
      <c r="BD433" s="26" t="n"/>
      <c r="BE433" s="26" t="n"/>
      <c r="BF433" s="26" t="n"/>
      <c r="BG433" s="26" t="n"/>
      <c r="BH433" s="26" t="n"/>
      <c r="BI433" s="26" t="n"/>
      <c r="BJ433" s="26" t="n"/>
      <c r="BK433" s="26" t="n"/>
      <c r="BL433" s="26" t="n"/>
      <c r="BM433" s="26" t="n"/>
      <c r="BN433" s="26" t="n"/>
    </row>
    <row r="434" ht="13" customHeight="1">
      <c r="A434" s="25" t="n"/>
      <c r="B434" s="26" t="n"/>
      <c r="C434" s="26" t="n"/>
      <c r="D434" s="27" t="n"/>
      <c r="E434" s="26" t="n"/>
      <c r="F434" s="26" t="n"/>
      <c r="G434" s="28" t="n"/>
      <c r="H434" s="29" t="n"/>
      <c r="I434" s="29" t="n"/>
      <c r="J434" s="26" t="n"/>
      <c r="K434" s="30" t="n"/>
      <c r="L434" s="26" t="n"/>
      <c r="M434" s="26" t="n"/>
      <c r="N434" s="26" t="n"/>
      <c r="O434" s="26" t="n"/>
      <c r="P434" s="26" t="n"/>
      <c r="Q434" s="26" t="n"/>
      <c r="R434" s="26" t="n"/>
      <c r="S434" s="26" t="n"/>
      <c r="T434" s="26" t="n"/>
      <c r="U434" s="26" t="n"/>
      <c r="V434" s="26" t="n"/>
      <c r="W434" s="26" t="n"/>
      <c r="X434" s="26" t="n"/>
      <c r="Y434" s="26" t="n"/>
      <c r="Z434" s="26" t="n"/>
      <c r="AA434" s="26" t="n"/>
      <c r="AB434" s="26" t="n"/>
      <c r="AC434" s="26" t="n"/>
      <c r="AD434" s="26" t="n"/>
      <c r="AE434" s="26" t="n"/>
      <c r="AF434" s="26" t="n"/>
      <c r="AG434" s="26" t="n"/>
      <c r="AH434" s="26" t="n"/>
      <c r="AI434" s="26" t="n"/>
      <c r="AJ434" s="26" t="n"/>
      <c r="AK434" s="26" t="n"/>
      <c r="AL434" s="31" t="n"/>
      <c r="AM434" s="30" t="n"/>
      <c r="AN434" s="26" t="n"/>
      <c r="AO434" s="26" t="n"/>
      <c r="AP434" s="26" t="n"/>
      <c r="AQ434" s="26" t="n"/>
      <c r="AR434" s="26" t="n"/>
      <c r="AS434" s="26" t="n"/>
      <c r="AT434" s="26" t="n"/>
      <c r="AU434" s="26" t="n"/>
      <c r="AV434" s="26" t="n"/>
      <c r="AW434" s="26" t="n"/>
      <c r="AX434" s="26" t="n"/>
      <c r="AY434" s="26" t="n"/>
      <c r="AZ434" s="26" t="n"/>
      <c r="BA434" s="26" t="n"/>
      <c r="BB434" s="26" t="n"/>
      <c r="BC434" s="26" t="n"/>
      <c r="BD434" s="26" t="n"/>
      <c r="BE434" s="26" t="n"/>
      <c r="BF434" s="26" t="n"/>
      <c r="BG434" s="26" t="n"/>
      <c r="BH434" s="26" t="n"/>
      <c r="BI434" s="26" t="n"/>
      <c r="BJ434" s="26" t="n"/>
      <c r="BK434" s="26" t="n"/>
      <c r="BL434" s="26" t="n"/>
      <c r="BM434" s="26" t="n"/>
      <c r="BN434" s="26" t="n"/>
    </row>
    <row r="435" ht="13" customHeight="1">
      <c r="A435" s="25" t="n"/>
      <c r="B435" s="26" t="n"/>
      <c r="C435" s="26" t="n"/>
      <c r="D435" s="27" t="n"/>
      <c r="E435" s="26" t="n"/>
      <c r="F435" s="26" t="n"/>
      <c r="G435" s="28" t="n"/>
      <c r="H435" s="29" t="n"/>
      <c r="I435" s="29" t="n"/>
      <c r="J435" s="26" t="n"/>
      <c r="K435" s="30" t="n"/>
      <c r="L435" s="26" t="n"/>
      <c r="M435" s="26" t="n"/>
      <c r="N435" s="26" t="n"/>
      <c r="O435" s="26" t="n"/>
      <c r="P435" s="26" t="n"/>
      <c r="Q435" s="26" t="n"/>
      <c r="R435" s="26" t="n"/>
      <c r="S435" s="26" t="n"/>
      <c r="T435" s="26" t="n"/>
      <c r="U435" s="26" t="n"/>
      <c r="V435" s="26" t="n"/>
      <c r="W435" s="26" t="n"/>
      <c r="X435" s="26" t="n"/>
      <c r="Y435" s="26" t="n"/>
      <c r="Z435" s="26" t="n"/>
      <c r="AA435" s="26" t="n"/>
      <c r="AB435" s="26" t="n"/>
      <c r="AC435" s="26" t="n"/>
      <c r="AD435" s="26" t="n"/>
      <c r="AE435" s="26" t="n"/>
      <c r="AF435" s="26" t="n"/>
      <c r="AG435" s="26" t="n"/>
      <c r="AH435" s="26" t="n"/>
      <c r="AI435" s="26" t="n"/>
      <c r="AJ435" s="26" t="n"/>
      <c r="AK435" s="26" t="n"/>
      <c r="AL435" s="31" t="n"/>
      <c r="AM435" s="30" t="n"/>
      <c r="AN435" s="26" t="n"/>
      <c r="AO435" s="26" t="n"/>
      <c r="AP435" s="26" t="n"/>
      <c r="AQ435" s="26" t="n"/>
      <c r="AR435" s="26" t="n"/>
      <c r="AS435" s="26" t="n"/>
      <c r="AT435" s="26" t="n"/>
      <c r="AU435" s="26" t="n"/>
      <c r="AV435" s="26" t="n"/>
      <c r="AW435" s="26" t="n"/>
      <c r="AX435" s="26" t="n"/>
      <c r="AY435" s="26" t="n"/>
      <c r="AZ435" s="26" t="n"/>
      <c r="BA435" s="26" t="n"/>
      <c r="BB435" s="26" t="n"/>
      <c r="BC435" s="26" t="n"/>
      <c r="BD435" s="26" t="n"/>
      <c r="BE435" s="26" t="n"/>
      <c r="BF435" s="26" t="n"/>
      <c r="BG435" s="26" t="n"/>
      <c r="BH435" s="26" t="n"/>
      <c r="BI435" s="26" t="n"/>
      <c r="BJ435" s="26" t="n"/>
      <c r="BK435" s="26" t="n"/>
      <c r="BL435" s="26" t="n"/>
      <c r="BM435" s="26" t="n"/>
      <c r="BN435" s="26" t="n"/>
    </row>
    <row r="436" ht="13" customHeight="1">
      <c r="A436" s="25" t="n"/>
      <c r="B436" s="26" t="n"/>
      <c r="C436" s="26" t="n"/>
      <c r="D436" s="27" t="n"/>
      <c r="E436" s="26" t="n"/>
      <c r="F436" s="26" t="n"/>
      <c r="G436" s="28" t="n"/>
      <c r="H436" s="29" t="n"/>
      <c r="I436" s="29" t="n"/>
      <c r="J436" s="26" t="n"/>
      <c r="K436" s="30" t="n"/>
      <c r="L436" s="26" t="n"/>
      <c r="M436" s="26" t="n"/>
      <c r="N436" s="26" t="n"/>
      <c r="O436" s="26" t="n"/>
      <c r="P436" s="26" t="n"/>
      <c r="Q436" s="26" t="n"/>
      <c r="R436" s="26" t="n"/>
      <c r="S436" s="26" t="n"/>
      <c r="T436" s="26" t="n"/>
      <c r="U436" s="26" t="n"/>
      <c r="V436" s="26" t="n"/>
      <c r="W436" s="26" t="n"/>
      <c r="X436" s="26" t="n"/>
      <c r="Y436" s="26" t="n"/>
      <c r="Z436" s="26" t="n"/>
      <c r="AA436" s="26" t="n"/>
      <c r="AB436" s="26" t="n"/>
      <c r="AC436" s="26" t="n"/>
      <c r="AD436" s="26" t="n"/>
      <c r="AE436" s="26" t="n"/>
      <c r="AF436" s="26" t="n"/>
      <c r="AG436" s="26" t="n"/>
      <c r="AH436" s="26" t="n"/>
      <c r="AI436" s="26" t="n"/>
      <c r="AJ436" s="26" t="n"/>
      <c r="AK436" s="26" t="n"/>
      <c r="AL436" s="31" t="n"/>
      <c r="AM436" s="30" t="n"/>
      <c r="AN436" s="26" t="n"/>
      <c r="AO436" s="26" t="n"/>
      <c r="AP436" s="26" t="n"/>
      <c r="AQ436" s="26" t="n"/>
      <c r="AR436" s="26" t="n"/>
      <c r="AS436" s="26" t="n"/>
      <c r="AT436" s="26" t="n"/>
      <c r="AU436" s="26" t="n"/>
      <c r="AV436" s="26" t="n"/>
      <c r="AW436" s="26" t="n"/>
      <c r="AX436" s="26" t="n"/>
      <c r="AY436" s="26" t="n"/>
      <c r="AZ436" s="26" t="n"/>
      <c r="BA436" s="26" t="n"/>
      <c r="BB436" s="26" t="n"/>
      <c r="BC436" s="26" t="n"/>
      <c r="BD436" s="26" t="n"/>
      <c r="BE436" s="26" t="n"/>
      <c r="BF436" s="26" t="n"/>
      <c r="BG436" s="26" t="n"/>
      <c r="BH436" s="26" t="n"/>
      <c r="BI436" s="26" t="n"/>
      <c r="BJ436" s="26" t="n"/>
      <c r="BK436" s="26" t="n"/>
      <c r="BL436" s="26" t="n"/>
      <c r="BM436" s="26" t="n"/>
      <c r="BN436" s="26" t="n"/>
    </row>
    <row r="437" ht="13" customHeight="1">
      <c r="A437" s="25" t="n"/>
      <c r="B437" s="26" t="n"/>
      <c r="C437" s="26" t="n"/>
      <c r="D437" s="27" t="n"/>
      <c r="E437" s="26" t="n"/>
      <c r="F437" s="26" t="n"/>
      <c r="G437" s="28" t="n"/>
      <c r="H437" s="29" t="n"/>
      <c r="I437" s="29" t="n"/>
      <c r="J437" s="26" t="n"/>
      <c r="K437" s="30" t="n"/>
      <c r="L437" s="26" t="n"/>
      <c r="M437" s="26" t="n"/>
      <c r="N437" s="26" t="n"/>
      <c r="O437" s="26" t="n"/>
      <c r="P437" s="26" t="n"/>
      <c r="Q437" s="26" t="n"/>
      <c r="R437" s="26" t="n"/>
      <c r="S437" s="26" t="n"/>
      <c r="T437" s="26" t="n"/>
      <c r="U437" s="26" t="n"/>
      <c r="V437" s="26" t="n"/>
      <c r="W437" s="26" t="n"/>
      <c r="X437" s="26" t="n"/>
      <c r="Y437" s="26" t="n"/>
      <c r="Z437" s="26" t="n"/>
      <c r="AA437" s="26" t="n"/>
      <c r="AB437" s="26" t="n"/>
      <c r="AC437" s="26" t="n"/>
      <c r="AD437" s="26" t="n"/>
      <c r="AE437" s="26" t="n"/>
      <c r="AF437" s="26" t="n"/>
      <c r="AG437" s="26" t="n"/>
      <c r="AH437" s="26" t="n"/>
      <c r="AI437" s="26" t="n"/>
      <c r="AJ437" s="26" t="n"/>
      <c r="AK437" s="26" t="n"/>
      <c r="AL437" s="31" t="n"/>
      <c r="AM437" s="30" t="n"/>
      <c r="AN437" s="26" t="n"/>
      <c r="AO437" s="26" t="n"/>
      <c r="AP437" s="26" t="n"/>
      <c r="AQ437" s="26" t="n"/>
      <c r="AR437" s="26" t="n"/>
      <c r="AS437" s="26" t="n"/>
      <c r="AT437" s="26" t="n"/>
      <c r="AU437" s="26" t="n"/>
      <c r="AV437" s="26" t="n"/>
      <c r="AW437" s="26" t="n"/>
      <c r="AX437" s="26" t="n"/>
      <c r="AY437" s="26" t="n"/>
      <c r="AZ437" s="26" t="n"/>
      <c r="BA437" s="26" t="n"/>
      <c r="BB437" s="26" t="n"/>
      <c r="BC437" s="26" t="n"/>
      <c r="BD437" s="26" t="n"/>
      <c r="BE437" s="26" t="n"/>
      <c r="BF437" s="26" t="n"/>
      <c r="BG437" s="26" t="n"/>
      <c r="BH437" s="26" t="n"/>
      <c r="BI437" s="26" t="n"/>
      <c r="BJ437" s="26" t="n"/>
      <c r="BK437" s="26" t="n"/>
      <c r="BL437" s="26" t="n"/>
      <c r="BM437" s="26" t="n"/>
      <c r="BN437" s="26" t="n"/>
    </row>
    <row r="438" ht="13" customHeight="1">
      <c r="A438" s="25" t="n"/>
      <c r="B438" s="26" t="n"/>
      <c r="C438" s="26" t="n"/>
      <c r="D438" s="27" t="n"/>
      <c r="E438" s="26" t="n"/>
      <c r="F438" s="26" t="n"/>
      <c r="G438" s="28" t="n"/>
      <c r="H438" s="29" t="n"/>
      <c r="I438" s="29" t="n"/>
      <c r="J438" s="26" t="n"/>
      <c r="K438" s="30" t="n"/>
      <c r="L438" s="26" t="n"/>
      <c r="M438" s="26" t="n"/>
      <c r="N438" s="26" t="n"/>
      <c r="O438" s="26" t="n"/>
      <c r="P438" s="26" t="n"/>
      <c r="Q438" s="26" t="n"/>
      <c r="R438" s="26" t="n"/>
      <c r="S438" s="26" t="n"/>
      <c r="T438" s="26" t="n"/>
      <c r="U438" s="26" t="n"/>
      <c r="V438" s="26" t="n"/>
      <c r="W438" s="26" t="n"/>
      <c r="X438" s="26" t="n"/>
      <c r="Y438" s="26" t="n"/>
      <c r="Z438" s="26" t="n"/>
      <c r="AA438" s="26" t="n"/>
      <c r="AB438" s="26" t="n"/>
      <c r="AC438" s="26" t="n"/>
      <c r="AD438" s="26" t="n"/>
      <c r="AE438" s="26" t="n"/>
      <c r="AF438" s="26" t="n"/>
      <c r="AG438" s="26" t="n"/>
      <c r="AH438" s="26" t="n"/>
      <c r="AI438" s="26" t="n"/>
      <c r="AJ438" s="26" t="n"/>
      <c r="AK438" s="26" t="n"/>
      <c r="AL438" s="31" t="n"/>
      <c r="AM438" s="30" t="n"/>
      <c r="AN438" s="26" t="n"/>
      <c r="AO438" s="26" t="n"/>
      <c r="AP438" s="26" t="n"/>
      <c r="AQ438" s="26" t="n"/>
      <c r="AR438" s="26" t="n"/>
      <c r="AS438" s="26" t="n"/>
      <c r="AT438" s="26" t="n"/>
      <c r="AU438" s="26" t="n"/>
      <c r="AV438" s="26" t="n"/>
      <c r="AW438" s="26" t="n"/>
      <c r="AX438" s="26" t="n"/>
      <c r="AY438" s="26" t="n"/>
      <c r="AZ438" s="26" t="n"/>
      <c r="BA438" s="26" t="n"/>
      <c r="BB438" s="26" t="n"/>
      <c r="BC438" s="26" t="n"/>
      <c r="BD438" s="26" t="n"/>
      <c r="BE438" s="26" t="n"/>
      <c r="BF438" s="26" t="n"/>
      <c r="BG438" s="26" t="n"/>
      <c r="BH438" s="26" t="n"/>
      <c r="BI438" s="26" t="n"/>
      <c r="BJ438" s="26" t="n"/>
      <c r="BK438" s="26" t="n"/>
      <c r="BL438" s="26" t="n"/>
      <c r="BM438" s="26" t="n"/>
      <c r="BN438" s="26" t="n"/>
    </row>
    <row r="439" ht="13" customHeight="1">
      <c r="A439" s="25" t="n"/>
      <c r="B439" s="26" t="n"/>
      <c r="C439" s="26" t="n"/>
      <c r="D439" s="27" t="n"/>
      <c r="E439" s="26" t="n"/>
      <c r="F439" s="26" t="n"/>
      <c r="G439" s="28" t="n"/>
      <c r="H439" s="29" t="n"/>
      <c r="I439" s="29" t="n"/>
      <c r="J439" s="26" t="n"/>
      <c r="K439" s="30" t="n"/>
      <c r="L439" s="26" t="n"/>
      <c r="M439" s="26" t="n"/>
      <c r="N439" s="26" t="n"/>
      <c r="O439" s="26" t="n"/>
      <c r="P439" s="26" t="n"/>
      <c r="Q439" s="26" t="n"/>
      <c r="R439" s="26" t="n"/>
      <c r="S439" s="26" t="n"/>
      <c r="T439" s="26" t="n"/>
      <c r="U439" s="26" t="n"/>
      <c r="V439" s="26" t="n"/>
      <c r="W439" s="26" t="n"/>
      <c r="X439" s="26" t="n"/>
      <c r="Y439" s="26" t="n"/>
      <c r="Z439" s="26" t="n"/>
      <c r="AA439" s="26" t="n"/>
      <c r="AB439" s="26" t="n"/>
      <c r="AC439" s="26" t="n"/>
      <c r="AD439" s="26" t="n"/>
      <c r="AE439" s="26" t="n"/>
      <c r="AF439" s="26" t="n"/>
      <c r="AG439" s="26" t="n"/>
      <c r="AH439" s="26" t="n"/>
      <c r="AI439" s="26" t="n"/>
      <c r="AJ439" s="26" t="n"/>
      <c r="AK439" s="26" t="n"/>
      <c r="AL439" s="31" t="n"/>
      <c r="AM439" s="30" t="n"/>
      <c r="AN439" s="26" t="n"/>
      <c r="AO439" s="26" t="n"/>
      <c r="AP439" s="26" t="n"/>
      <c r="AQ439" s="26" t="n"/>
      <c r="AR439" s="26" t="n"/>
      <c r="AS439" s="26" t="n"/>
      <c r="AT439" s="26" t="n"/>
      <c r="AU439" s="26" t="n"/>
      <c r="AV439" s="26" t="n"/>
      <c r="AW439" s="26" t="n"/>
      <c r="AX439" s="26" t="n"/>
      <c r="AY439" s="26" t="n"/>
      <c r="AZ439" s="26" t="n"/>
      <c r="BA439" s="26" t="n"/>
      <c r="BB439" s="26" t="n"/>
      <c r="BC439" s="26" t="n"/>
      <c r="BD439" s="26" t="n"/>
      <c r="BE439" s="26" t="n"/>
      <c r="BF439" s="26" t="n"/>
      <c r="BG439" s="26" t="n"/>
      <c r="BH439" s="26" t="n"/>
      <c r="BI439" s="26" t="n"/>
      <c r="BJ439" s="26" t="n"/>
      <c r="BK439" s="26" t="n"/>
      <c r="BL439" s="26" t="n"/>
      <c r="BM439" s="26" t="n"/>
      <c r="BN439" s="26" t="n"/>
    </row>
    <row r="440" ht="13" customHeight="1">
      <c r="A440" s="25" t="n"/>
      <c r="B440" s="26" t="n"/>
      <c r="C440" s="26" t="n"/>
      <c r="D440" s="27" t="n"/>
      <c r="E440" s="26" t="n"/>
      <c r="F440" s="26" t="n"/>
      <c r="G440" s="28" t="n"/>
      <c r="H440" s="29" t="n"/>
      <c r="I440" s="29" t="n"/>
      <c r="J440" s="26" t="n"/>
      <c r="K440" s="30" t="n"/>
      <c r="L440" s="26" t="n"/>
      <c r="M440" s="26" t="n"/>
      <c r="N440" s="26" t="n"/>
      <c r="O440" s="26" t="n"/>
      <c r="P440" s="26" t="n"/>
      <c r="Q440" s="26" t="n"/>
      <c r="R440" s="26" t="n"/>
      <c r="S440" s="26" t="n"/>
      <c r="T440" s="26" t="n"/>
      <c r="U440" s="26" t="n"/>
      <c r="V440" s="26" t="n"/>
      <c r="W440" s="26" t="n"/>
      <c r="X440" s="26" t="n"/>
      <c r="Y440" s="26" t="n"/>
      <c r="Z440" s="26" t="n"/>
      <c r="AA440" s="26" t="n"/>
      <c r="AB440" s="26" t="n"/>
      <c r="AC440" s="26" t="n"/>
      <c r="AD440" s="26" t="n"/>
      <c r="AE440" s="26" t="n"/>
      <c r="AF440" s="26" t="n"/>
      <c r="AG440" s="26" t="n"/>
      <c r="AH440" s="26" t="n"/>
      <c r="AI440" s="26" t="n"/>
      <c r="AJ440" s="26" t="n"/>
      <c r="AK440" s="26" t="n"/>
      <c r="AL440" s="31" t="n"/>
      <c r="AM440" s="30" t="n"/>
      <c r="AN440" s="26" t="n"/>
      <c r="AO440" s="26" t="n"/>
      <c r="AP440" s="26" t="n"/>
      <c r="AQ440" s="26" t="n"/>
      <c r="AR440" s="26" t="n"/>
      <c r="AS440" s="26" t="n"/>
      <c r="AT440" s="26" t="n"/>
      <c r="AU440" s="26" t="n"/>
      <c r="AV440" s="26" t="n"/>
      <c r="AW440" s="26" t="n"/>
      <c r="AX440" s="26" t="n"/>
      <c r="AY440" s="26" t="n"/>
      <c r="AZ440" s="26" t="n"/>
      <c r="BA440" s="26" t="n"/>
      <c r="BB440" s="26" t="n"/>
      <c r="BC440" s="26" t="n"/>
      <c r="BD440" s="26" t="n"/>
      <c r="BE440" s="26" t="n"/>
      <c r="BF440" s="26" t="n"/>
      <c r="BG440" s="26" t="n"/>
      <c r="BH440" s="26" t="n"/>
      <c r="BI440" s="26" t="n"/>
      <c r="BJ440" s="26" t="n"/>
      <c r="BK440" s="26" t="n"/>
      <c r="BL440" s="26" t="n"/>
      <c r="BM440" s="26" t="n"/>
      <c r="BN440" s="26" t="n"/>
    </row>
    <row r="441" ht="13" customHeight="1">
      <c r="A441" s="25" t="n"/>
      <c r="B441" s="26" t="n"/>
      <c r="C441" s="26" t="n"/>
      <c r="D441" s="27" t="n"/>
      <c r="E441" s="26" t="n"/>
      <c r="F441" s="26" t="n"/>
      <c r="G441" s="28" t="n"/>
      <c r="H441" s="29" t="n"/>
      <c r="I441" s="29" t="n"/>
      <c r="J441" s="26" t="n"/>
      <c r="K441" s="30" t="n"/>
      <c r="L441" s="26" t="n"/>
      <c r="M441" s="26" t="n"/>
      <c r="N441" s="26" t="n"/>
      <c r="O441" s="26" t="n"/>
      <c r="P441" s="26" t="n"/>
      <c r="Q441" s="26" t="n"/>
      <c r="R441" s="26" t="n"/>
      <c r="S441" s="26" t="n"/>
      <c r="T441" s="26" t="n"/>
      <c r="U441" s="26" t="n"/>
      <c r="V441" s="26" t="n"/>
      <c r="W441" s="26" t="n"/>
      <c r="X441" s="26" t="n"/>
      <c r="Y441" s="26" t="n"/>
      <c r="Z441" s="26" t="n"/>
      <c r="AA441" s="26" t="n"/>
      <c r="AB441" s="26" t="n"/>
      <c r="AC441" s="26" t="n"/>
      <c r="AD441" s="26" t="n"/>
      <c r="AE441" s="26" t="n"/>
      <c r="AF441" s="26" t="n"/>
      <c r="AG441" s="26" t="n"/>
      <c r="AH441" s="26" t="n"/>
      <c r="AI441" s="26" t="n"/>
      <c r="AJ441" s="26" t="n"/>
      <c r="AK441" s="26" t="n"/>
      <c r="AL441" s="31" t="n"/>
      <c r="AM441" s="30" t="n"/>
      <c r="AN441" s="26" t="n"/>
      <c r="AO441" s="26" t="n"/>
      <c r="AP441" s="26" t="n"/>
      <c r="AQ441" s="26" t="n"/>
      <c r="AR441" s="26" t="n"/>
      <c r="AS441" s="26" t="n"/>
      <c r="AT441" s="26" t="n"/>
      <c r="AU441" s="26" t="n"/>
      <c r="AV441" s="26" t="n"/>
      <c r="AW441" s="26" t="n"/>
      <c r="AX441" s="26" t="n"/>
      <c r="AY441" s="26" t="n"/>
      <c r="AZ441" s="26" t="n"/>
      <c r="BA441" s="26" t="n"/>
      <c r="BB441" s="26" t="n"/>
      <c r="BC441" s="26" t="n"/>
      <c r="BD441" s="26" t="n"/>
      <c r="BE441" s="26" t="n"/>
      <c r="BF441" s="26" t="n"/>
      <c r="BG441" s="26" t="n"/>
      <c r="BH441" s="26" t="n"/>
      <c r="BI441" s="26" t="n"/>
      <c r="BJ441" s="26" t="n"/>
      <c r="BK441" s="26" t="n"/>
      <c r="BL441" s="26" t="n"/>
      <c r="BM441" s="26" t="n"/>
      <c r="BN441" s="26" t="n"/>
    </row>
    <row r="442" ht="13" customHeight="1">
      <c r="A442" s="25" t="n"/>
      <c r="B442" s="26" t="n"/>
      <c r="C442" s="26" t="n"/>
      <c r="D442" s="27" t="n"/>
      <c r="E442" s="26" t="n"/>
      <c r="F442" s="26" t="n"/>
      <c r="G442" s="28" t="n"/>
      <c r="H442" s="29" t="n"/>
      <c r="I442" s="29" t="n"/>
      <c r="J442" s="26" t="n"/>
      <c r="K442" s="30" t="n"/>
      <c r="L442" s="26" t="n"/>
      <c r="M442" s="26" t="n"/>
      <c r="N442" s="26" t="n"/>
      <c r="O442" s="26" t="n"/>
      <c r="P442" s="26" t="n"/>
      <c r="Q442" s="26" t="n"/>
      <c r="R442" s="26" t="n"/>
      <c r="S442" s="26" t="n"/>
      <c r="T442" s="26" t="n"/>
      <c r="U442" s="26" t="n"/>
      <c r="V442" s="26" t="n"/>
      <c r="W442" s="26" t="n"/>
      <c r="X442" s="26" t="n"/>
      <c r="Y442" s="26" t="n"/>
      <c r="Z442" s="26" t="n"/>
      <c r="AA442" s="26" t="n"/>
      <c r="AB442" s="26" t="n"/>
      <c r="AC442" s="26" t="n"/>
      <c r="AD442" s="26" t="n"/>
      <c r="AE442" s="26" t="n"/>
      <c r="AF442" s="26" t="n"/>
      <c r="AG442" s="26" t="n"/>
      <c r="AH442" s="26" t="n"/>
      <c r="AI442" s="26" t="n"/>
      <c r="AJ442" s="26" t="n"/>
      <c r="AK442" s="26" t="n"/>
      <c r="AL442" s="31" t="n"/>
      <c r="AM442" s="30" t="n"/>
      <c r="AN442" s="26" t="n"/>
      <c r="AO442" s="26" t="n"/>
      <c r="AP442" s="26" t="n"/>
      <c r="AQ442" s="26" t="n"/>
      <c r="AR442" s="26" t="n"/>
      <c r="AS442" s="26" t="n"/>
      <c r="AT442" s="26" t="n"/>
      <c r="AU442" s="26" t="n"/>
      <c r="AV442" s="26" t="n"/>
      <c r="AW442" s="26" t="n"/>
      <c r="AX442" s="26" t="n"/>
      <c r="AY442" s="26" t="n"/>
      <c r="AZ442" s="26" t="n"/>
      <c r="BA442" s="26" t="n"/>
      <c r="BB442" s="26" t="n"/>
      <c r="BC442" s="26" t="n"/>
      <c r="BD442" s="26" t="n"/>
      <c r="BE442" s="26" t="n"/>
      <c r="BF442" s="26" t="n"/>
      <c r="BG442" s="26" t="n"/>
      <c r="BH442" s="26" t="n"/>
      <c r="BI442" s="26" t="n"/>
      <c r="BJ442" s="26" t="n"/>
      <c r="BK442" s="26" t="n"/>
      <c r="BL442" s="26" t="n"/>
      <c r="BM442" s="26" t="n"/>
      <c r="BN442" s="26" t="n"/>
    </row>
    <row r="443" ht="13" customHeight="1">
      <c r="A443" s="25" t="n"/>
      <c r="B443" s="26" t="n"/>
      <c r="C443" s="26" t="n"/>
      <c r="D443" s="27" t="n"/>
      <c r="E443" s="26" t="n"/>
      <c r="F443" s="26" t="n"/>
      <c r="G443" s="28" t="n"/>
      <c r="H443" s="29" t="n"/>
      <c r="I443" s="29" t="n"/>
      <c r="J443" s="26" t="n"/>
      <c r="K443" s="30" t="n"/>
      <c r="L443" s="26" t="n"/>
      <c r="M443" s="26" t="n"/>
      <c r="N443" s="26" t="n"/>
      <c r="O443" s="26" t="n"/>
      <c r="P443" s="26" t="n"/>
      <c r="Q443" s="26" t="n"/>
      <c r="R443" s="26" t="n"/>
      <c r="S443" s="26" t="n"/>
      <c r="T443" s="26" t="n"/>
      <c r="U443" s="26" t="n"/>
      <c r="V443" s="26" t="n"/>
      <c r="W443" s="26" t="n"/>
      <c r="X443" s="26" t="n"/>
      <c r="Y443" s="26" t="n"/>
      <c r="Z443" s="26" t="n"/>
      <c r="AA443" s="26" t="n"/>
      <c r="AB443" s="26" t="n"/>
      <c r="AC443" s="26" t="n"/>
      <c r="AD443" s="26" t="n"/>
      <c r="AE443" s="26" t="n"/>
      <c r="AF443" s="26" t="n"/>
      <c r="AG443" s="26" t="n"/>
      <c r="AH443" s="26" t="n"/>
      <c r="AI443" s="26" t="n"/>
      <c r="AJ443" s="26" t="n"/>
      <c r="AK443" s="26" t="n"/>
      <c r="AL443" s="31" t="n"/>
      <c r="AM443" s="30" t="n"/>
      <c r="AN443" s="26" t="n"/>
      <c r="AO443" s="26" t="n"/>
      <c r="AP443" s="26" t="n"/>
      <c r="AQ443" s="26" t="n"/>
      <c r="AR443" s="26" t="n"/>
      <c r="AS443" s="26" t="n"/>
      <c r="AT443" s="26" t="n"/>
      <c r="AU443" s="26" t="n"/>
      <c r="AV443" s="26" t="n"/>
      <c r="AW443" s="26" t="n"/>
      <c r="AX443" s="26" t="n"/>
      <c r="AY443" s="26" t="n"/>
      <c r="AZ443" s="26" t="n"/>
      <c r="BA443" s="26" t="n"/>
      <c r="BB443" s="26" t="n"/>
      <c r="BC443" s="26" t="n"/>
      <c r="BD443" s="26" t="n"/>
      <c r="BE443" s="26" t="n"/>
      <c r="BF443" s="26" t="n"/>
      <c r="BG443" s="26" t="n"/>
      <c r="BH443" s="26" t="n"/>
      <c r="BI443" s="26" t="n"/>
      <c r="BJ443" s="26" t="n"/>
      <c r="BK443" s="26" t="n"/>
      <c r="BL443" s="26" t="n"/>
      <c r="BM443" s="26" t="n"/>
      <c r="BN443" s="26" t="n"/>
    </row>
    <row r="444" ht="13" customHeight="1">
      <c r="A444" s="25" t="n"/>
      <c r="B444" s="26" t="n"/>
      <c r="C444" s="26" t="n"/>
      <c r="D444" s="27" t="n"/>
      <c r="E444" s="26" t="n"/>
      <c r="F444" s="26" t="n"/>
      <c r="G444" s="28" t="n"/>
      <c r="H444" s="29" t="n"/>
      <c r="I444" s="29" t="n"/>
      <c r="J444" s="26" t="n"/>
      <c r="K444" s="30" t="n"/>
      <c r="L444" s="26" t="n"/>
      <c r="M444" s="26" t="n"/>
      <c r="N444" s="26" t="n"/>
      <c r="O444" s="26" t="n"/>
      <c r="P444" s="26" t="n"/>
      <c r="Q444" s="26" t="n"/>
      <c r="R444" s="26" t="n"/>
      <c r="S444" s="26" t="n"/>
      <c r="T444" s="26" t="n"/>
      <c r="U444" s="26" t="n"/>
      <c r="V444" s="26" t="n"/>
      <c r="W444" s="26" t="n"/>
      <c r="X444" s="26" t="n"/>
      <c r="Y444" s="26" t="n"/>
      <c r="Z444" s="26" t="n"/>
      <c r="AA444" s="26" t="n"/>
      <c r="AB444" s="26" t="n"/>
      <c r="AC444" s="26" t="n"/>
      <c r="AD444" s="26" t="n"/>
      <c r="AE444" s="26" t="n"/>
      <c r="AF444" s="26" t="n"/>
      <c r="AG444" s="26" t="n"/>
      <c r="AH444" s="26" t="n"/>
      <c r="AI444" s="26" t="n"/>
      <c r="AJ444" s="26" t="n"/>
      <c r="AK444" s="26" t="n"/>
      <c r="AL444" s="31" t="n"/>
      <c r="AM444" s="30" t="n"/>
      <c r="AN444" s="26" t="n"/>
      <c r="AO444" s="26" t="n"/>
      <c r="AP444" s="26" t="n"/>
      <c r="AQ444" s="26" t="n"/>
      <c r="AR444" s="26" t="n"/>
      <c r="AS444" s="26" t="n"/>
      <c r="AT444" s="26" t="n"/>
      <c r="AU444" s="26" t="n"/>
      <c r="AV444" s="26" t="n"/>
      <c r="AW444" s="26" t="n"/>
      <c r="AX444" s="26" t="n"/>
      <c r="AY444" s="26" t="n"/>
      <c r="AZ444" s="26" t="n"/>
      <c r="BA444" s="26" t="n"/>
      <c r="BB444" s="26" t="n"/>
      <c r="BC444" s="26" t="n"/>
      <c r="BD444" s="26" t="n"/>
      <c r="BE444" s="26" t="n"/>
      <c r="BF444" s="26" t="n"/>
      <c r="BG444" s="26" t="n"/>
      <c r="BH444" s="26" t="n"/>
      <c r="BI444" s="26" t="n"/>
      <c r="BJ444" s="26" t="n"/>
      <c r="BK444" s="26" t="n"/>
      <c r="BL444" s="26" t="n"/>
      <c r="BM444" s="26" t="n"/>
      <c r="BN444" s="26" t="n"/>
    </row>
    <row r="445" ht="13" customHeight="1">
      <c r="A445" s="25" t="n"/>
      <c r="B445" s="26" t="n"/>
      <c r="C445" s="26" t="n"/>
      <c r="D445" s="27" t="n"/>
      <c r="E445" s="26" t="n"/>
      <c r="F445" s="26" t="n"/>
      <c r="G445" s="28" t="n"/>
      <c r="H445" s="29" t="n"/>
      <c r="I445" s="29" t="n"/>
      <c r="J445" s="26" t="n"/>
      <c r="K445" s="30" t="n"/>
      <c r="L445" s="26" t="n"/>
      <c r="M445" s="26" t="n"/>
      <c r="N445" s="26" t="n"/>
      <c r="O445" s="26" t="n"/>
      <c r="P445" s="26" t="n"/>
      <c r="Q445" s="26" t="n"/>
      <c r="R445" s="26" t="n"/>
      <c r="S445" s="26" t="n"/>
      <c r="T445" s="26" t="n"/>
      <c r="U445" s="26" t="n"/>
      <c r="V445" s="26" t="n"/>
      <c r="W445" s="26" t="n"/>
      <c r="X445" s="26" t="n"/>
      <c r="Y445" s="26" t="n"/>
      <c r="Z445" s="26" t="n"/>
      <c r="AA445" s="26" t="n"/>
      <c r="AB445" s="26" t="n"/>
      <c r="AC445" s="26" t="n"/>
      <c r="AD445" s="26" t="n"/>
      <c r="AE445" s="26" t="n"/>
      <c r="AF445" s="26" t="n"/>
      <c r="AG445" s="26" t="n"/>
      <c r="AH445" s="26" t="n"/>
      <c r="AI445" s="26" t="n"/>
      <c r="AJ445" s="26" t="n"/>
      <c r="AK445" s="26" t="n"/>
      <c r="AL445" s="31" t="n"/>
      <c r="AM445" s="30" t="n"/>
      <c r="AN445" s="26" t="n"/>
      <c r="AO445" s="26" t="n"/>
      <c r="AP445" s="26" t="n"/>
      <c r="AQ445" s="26" t="n"/>
      <c r="AR445" s="26" t="n"/>
      <c r="AS445" s="26" t="n"/>
      <c r="AT445" s="26" t="n"/>
      <c r="AU445" s="26" t="n"/>
      <c r="AV445" s="26" t="n"/>
      <c r="AW445" s="26" t="n"/>
      <c r="AX445" s="26" t="n"/>
      <c r="AY445" s="26" t="n"/>
      <c r="AZ445" s="26" t="n"/>
      <c r="BA445" s="26" t="n"/>
      <c r="BB445" s="26" t="n"/>
      <c r="BC445" s="26" t="n"/>
      <c r="BD445" s="26" t="n"/>
      <c r="BE445" s="26" t="n"/>
      <c r="BF445" s="26" t="n"/>
      <c r="BG445" s="26" t="n"/>
      <c r="BH445" s="26" t="n"/>
      <c r="BI445" s="26" t="n"/>
      <c r="BJ445" s="26" t="n"/>
      <c r="BK445" s="26" t="n"/>
      <c r="BL445" s="26" t="n"/>
      <c r="BM445" s="26" t="n"/>
      <c r="BN445" s="26" t="n"/>
    </row>
    <row r="446" ht="13" customHeight="1">
      <c r="A446" s="25" t="n"/>
      <c r="B446" s="26" t="n"/>
      <c r="C446" s="26" t="n"/>
      <c r="D446" s="27" t="n"/>
      <c r="E446" s="26" t="n"/>
      <c r="F446" s="26" t="n"/>
      <c r="G446" s="28" t="n"/>
      <c r="H446" s="29" t="n"/>
      <c r="I446" s="29" t="n"/>
      <c r="J446" s="26" t="n"/>
      <c r="K446" s="30" t="n"/>
      <c r="L446" s="26" t="n"/>
      <c r="M446" s="26" t="n"/>
      <c r="N446" s="26" t="n"/>
      <c r="O446" s="26" t="n"/>
      <c r="P446" s="26" t="n"/>
      <c r="Q446" s="26" t="n"/>
      <c r="R446" s="26" t="n"/>
      <c r="S446" s="26" t="n"/>
      <c r="T446" s="26" t="n"/>
      <c r="U446" s="26" t="n"/>
      <c r="V446" s="26" t="n"/>
      <c r="W446" s="26" t="n"/>
      <c r="X446" s="26" t="n"/>
      <c r="Y446" s="26" t="n"/>
      <c r="Z446" s="26" t="n"/>
      <c r="AA446" s="26" t="n"/>
      <c r="AB446" s="26" t="n"/>
      <c r="AC446" s="26" t="n"/>
      <c r="AD446" s="26" t="n"/>
      <c r="AE446" s="26" t="n"/>
      <c r="AF446" s="26" t="n"/>
      <c r="AG446" s="26" t="n"/>
      <c r="AH446" s="26" t="n"/>
      <c r="AI446" s="26" t="n"/>
      <c r="AJ446" s="26" t="n"/>
      <c r="AK446" s="26" t="n"/>
      <c r="AL446" s="31" t="n"/>
      <c r="AM446" s="30" t="n"/>
      <c r="AN446" s="26" t="n"/>
      <c r="AO446" s="26" t="n"/>
      <c r="AP446" s="26" t="n"/>
      <c r="AQ446" s="26" t="n"/>
      <c r="AR446" s="26" t="n"/>
      <c r="AS446" s="26" t="n"/>
      <c r="AT446" s="26" t="n"/>
      <c r="AU446" s="26" t="n"/>
      <c r="AV446" s="26" t="n"/>
      <c r="AW446" s="26" t="n"/>
      <c r="AX446" s="26" t="n"/>
      <c r="AY446" s="26" t="n"/>
      <c r="AZ446" s="26" t="n"/>
      <c r="BA446" s="26" t="n"/>
      <c r="BB446" s="26" t="n"/>
      <c r="BC446" s="26" t="n"/>
      <c r="BD446" s="26" t="n"/>
      <c r="BE446" s="26" t="n"/>
      <c r="BF446" s="26" t="n"/>
      <c r="BG446" s="26" t="n"/>
      <c r="BH446" s="26" t="n"/>
      <c r="BI446" s="26" t="n"/>
      <c r="BJ446" s="26" t="n"/>
      <c r="BK446" s="26" t="n"/>
      <c r="BL446" s="26" t="n"/>
      <c r="BM446" s="26" t="n"/>
      <c r="BN446" s="26" t="n"/>
    </row>
    <row r="447" ht="13" customHeight="1">
      <c r="A447" s="25" t="n"/>
      <c r="B447" s="26" t="n"/>
      <c r="C447" s="26" t="n"/>
      <c r="D447" s="27" t="n"/>
      <c r="E447" s="26" t="n"/>
      <c r="F447" s="26" t="n"/>
      <c r="G447" s="28" t="n"/>
      <c r="H447" s="29" t="n"/>
      <c r="I447" s="29" t="n"/>
      <c r="J447" s="26" t="n"/>
      <c r="K447" s="30" t="n"/>
      <c r="L447" s="26" t="n"/>
      <c r="M447" s="26" t="n"/>
      <c r="N447" s="26" t="n"/>
      <c r="O447" s="26" t="n"/>
      <c r="P447" s="26" t="n"/>
      <c r="Q447" s="26" t="n"/>
      <c r="R447" s="26" t="n"/>
      <c r="S447" s="26" t="n"/>
      <c r="T447" s="26" t="n"/>
      <c r="U447" s="26" t="n"/>
      <c r="V447" s="26" t="n"/>
      <c r="W447" s="26" t="n"/>
      <c r="X447" s="26" t="n"/>
      <c r="Y447" s="26" t="n"/>
      <c r="Z447" s="26" t="n"/>
      <c r="AA447" s="26" t="n"/>
      <c r="AB447" s="26" t="n"/>
      <c r="AC447" s="26" t="n"/>
      <c r="AD447" s="26" t="n"/>
      <c r="AE447" s="26" t="n"/>
      <c r="AF447" s="26" t="n"/>
      <c r="AG447" s="26" t="n"/>
      <c r="AH447" s="26" t="n"/>
      <c r="AI447" s="26" t="n"/>
      <c r="AJ447" s="26" t="n"/>
      <c r="AK447" s="26" t="n"/>
      <c r="AL447" s="31" t="n"/>
      <c r="AM447" s="30" t="n"/>
      <c r="AN447" s="26" t="n"/>
      <c r="AO447" s="26" t="n"/>
      <c r="AP447" s="26" t="n"/>
      <c r="AQ447" s="26" t="n"/>
      <c r="AR447" s="26" t="n"/>
      <c r="AS447" s="26" t="n"/>
      <c r="AT447" s="26" t="n"/>
      <c r="AU447" s="26" t="n"/>
      <c r="AV447" s="26" t="n"/>
      <c r="AW447" s="26" t="n"/>
      <c r="AX447" s="26" t="n"/>
      <c r="AY447" s="26" t="n"/>
      <c r="AZ447" s="26" t="n"/>
      <c r="BA447" s="26" t="n"/>
      <c r="BB447" s="26" t="n"/>
      <c r="BC447" s="26" t="n"/>
      <c r="BD447" s="26" t="n"/>
      <c r="BE447" s="26" t="n"/>
      <c r="BF447" s="26" t="n"/>
      <c r="BG447" s="26" t="n"/>
      <c r="BH447" s="26" t="n"/>
      <c r="BI447" s="26" t="n"/>
      <c r="BJ447" s="26" t="n"/>
      <c r="BK447" s="26" t="n"/>
      <c r="BL447" s="26" t="n"/>
      <c r="BM447" s="26" t="n"/>
      <c r="BN447" s="26" t="n"/>
    </row>
    <row r="448" ht="13" customHeight="1">
      <c r="A448" s="25" t="n"/>
      <c r="B448" s="26" t="n"/>
      <c r="C448" s="26" t="n"/>
      <c r="D448" s="27" t="n"/>
      <c r="E448" s="26" t="n"/>
      <c r="F448" s="26" t="n"/>
      <c r="G448" s="28" t="n"/>
      <c r="H448" s="29" t="n"/>
      <c r="I448" s="29" t="n"/>
      <c r="J448" s="26" t="n"/>
      <c r="K448" s="30" t="n"/>
      <c r="L448" s="26" t="n"/>
      <c r="M448" s="26" t="n"/>
      <c r="N448" s="26" t="n"/>
      <c r="O448" s="26" t="n"/>
      <c r="P448" s="26" t="n"/>
      <c r="Q448" s="26" t="n"/>
      <c r="R448" s="26" t="n"/>
      <c r="S448" s="26" t="n"/>
      <c r="T448" s="26" t="n"/>
      <c r="U448" s="26" t="n"/>
      <c r="V448" s="26" t="n"/>
      <c r="W448" s="26" t="n"/>
      <c r="X448" s="26" t="n"/>
      <c r="Y448" s="26" t="n"/>
      <c r="Z448" s="26" t="n"/>
      <c r="AA448" s="26" t="n"/>
      <c r="AB448" s="26" t="n"/>
      <c r="AC448" s="26" t="n"/>
      <c r="AD448" s="26" t="n"/>
      <c r="AE448" s="26" t="n"/>
      <c r="AF448" s="26" t="n"/>
      <c r="AG448" s="26" t="n"/>
      <c r="AH448" s="26" t="n"/>
      <c r="AI448" s="26" t="n"/>
      <c r="AJ448" s="26" t="n"/>
      <c r="AK448" s="26" t="n"/>
      <c r="AL448" s="31" t="n"/>
      <c r="AM448" s="30" t="n"/>
      <c r="AN448" s="26" t="n"/>
      <c r="AO448" s="26" t="n"/>
      <c r="AP448" s="26" t="n"/>
      <c r="AQ448" s="26" t="n"/>
      <c r="AR448" s="26" t="n"/>
      <c r="AS448" s="26" t="n"/>
      <c r="AT448" s="26" t="n"/>
      <c r="AU448" s="26" t="n"/>
      <c r="AV448" s="26" t="n"/>
      <c r="AW448" s="26" t="n"/>
      <c r="AX448" s="26" t="n"/>
      <c r="AY448" s="26" t="n"/>
      <c r="AZ448" s="26" t="n"/>
      <c r="BA448" s="26" t="n"/>
      <c r="BB448" s="26" t="n"/>
      <c r="BC448" s="26" t="n"/>
      <c r="BD448" s="26" t="n"/>
      <c r="BE448" s="26" t="n"/>
      <c r="BF448" s="26" t="n"/>
      <c r="BG448" s="26" t="n"/>
      <c r="BH448" s="26" t="n"/>
      <c r="BI448" s="26" t="n"/>
      <c r="BJ448" s="26" t="n"/>
      <c r="BK448" s="26" t="n"/>
      <c r="BL448" s="26" t="n"/>
      <c r="BM448" s="26" t="n"/>
      <c r="BN448" s="26" t="n"/>
    </row>
    <row r="449" ht="13" customHeight="1">
      <c r="A449" s="25" t="n"/>
      <c r="B449" s="26" t="n"/>
      <c r="C449" s="26" t="n"/>
      <c r="D449" s="27" t="n"/>
      <c r="E449" s="26" t="n"/>
      <c r="F449" s="26" t="n"/>
      <c r="G449" s="28" t="n"/>
      <c r="H449" s="29" t="n"/>
      <c r="I449" s="29" t="n"/>
      <c r="J449" s="26" t="n"/>
      <c r="K449" s="30" t="n"/>
      <c r="L449" s="26" t="n"/>
      <c r="M449" s="26" t="n"/>
      <c r="N449" s="26" t="n"/>
      <c r="O449" s="26" t="n"/>
      <c r="P449" s="26" t="n"/>
      <c r="Q449" s="26" t="n"/>
      <c r="R449" s="26" t="n"/>
      <c r="S449" s="26" t="n"/>
      <c r="T449" s="26" t="n"/>
      <c r="U449" s="26" t="n"/>
      <c r="V449" s="26" t="n"/>
      <c r="W449" s="26" t="n"/>
      <c r="X449" s="26" t="n"/>
      <c r="Y449" s="26" t="n"/>
      <c r="Z449" s="26" t="n"/>
      <c r="AA449" s="26" t="n"/>
      <c r="AB449" s="26" t="n"/>
      <c r="AC449" s="26" t="n"/>
      <c r="AD449" s="26" t="n"/>
      <c r="AE449" s="26" t="n"/>
      <c r="AF449" s="26" t="n"/>
      <c r="AG449" s="26" t="n"/>
      <c r="AH449" s="26" t="n"/>
      <c r="AI449" s="26" t="n"/>
      <c r="AJ449" s="26" t="n"/>
      <c r="AK449" s="26" t="n"/>
      <c r="AL449" s="31" t="n"/>
      <c r="AM449" s="30" t="n"/>
      <c r="AN449" s="26" t="n"/>
      <c r="AO449" s="26" t="n"/>
      <c r="AP449" s="26" t="n"/>
      <c r="AQ449" s="26" t="n"/>
      <c r="AR449" s="26" t="n"/>
      <c r="AS449" s="26" t="n"/>
      <c r="AT449" s="26" t="n"/>
      <c r="AU449" s="26" t="n"/>
      <c r="AV449" s="26" t="n"/>
      <c r="AW449" s="26" t="n"/>
      <c r="AX449" s="26" t="n"/>
      <c r="AY449" s="26" t="n"/>
      <c r="AZ449" s="26" t="n"/>
      <c r="BA449" s="26" t="n"/>
      <c r="BB449" s="26" t="n"/>
      <c r="BC449" s="26" t="n"/>
      <c r="BD449" s="26" t="n"/>
      <c r="BE449" s="26" t="n"/>
      <c r="BF449" s="26" t="n"/>
      <c r="BG449" s="26" t="n"/>
      <c r="BH449" s="26" t="n"/>
      <c r="BI449" s="26" t="n"/>
      <c r="BJ449" s="26" t="n"/>
      <c r="BK449" s="26" t="n"/>
      <c r="BL449" s="26" t="n"/>
      <c r="BM449" s="26" t="n"/>
      <c r="BN449" s="26" t="n"/>
    </row>
    <row r="450" ht="13" customHeight="1">
      <c r="A450" s="25" t="n"/>
      <c r="B450" s="26" t="n"/>
      <c r="C450" s="26" t="n"/>
      <c r="D450" s="27" t="n"/>
      <c r="E450" s="26" t="n"/>
      <c r="F450" s="26" t="n"/>
      <c r="G450" s="28" t="n"/>
      <c r="H450" s="29" t="n"/>
      <c r="I450" s="29" t="n"/>
      <c r="J450" s="26" t="n"/>
      <c r="K450" s="30" t="n"/>
      <c r="L450" s="26" t="n"/>
      <c r="M450" s="26" t="n"/>
      <c r="N450" s="26" t="n"/>
      <c r="O450" s="26" t="n"/>
      <c r="P450" s="26" t="n"/>
      <c r="Q450" s="26" t="n"/>
      <c r="R450" s="26" t="n"/>
      <c r="S450" s="26" t="n"/>
      <c r="T450" s="26" t="n"/>
      <c r="U450" s="26" t="n"/>
      <c r="V450" s="26" t="n"/>
      <c r="W450" s="26" t="n"/>
      <c r="X450" s="26" t="n"/>
      <c r="Y450" s="26" t="n"/>
      <c r="Z450" s="26" t="n"/>
      <c r="AA450" s="26" t="n"/>
      <c r="AB450" s="26" t="n"/>
      <c r="AC450" s="26" t="n"/>
      <c r="AD450" s="26" t="n"/>
      <c r="AE450" s="26" t="n"/>
      <c r="AF450" s="26" t="n"/>
      <c r="AG450" s="26" t="n"/>
      <c r="AH450" s="26" t="n"/>
      <c r="AI450" s="26" t="n"/>
      <c r="AJ450" s="26" t="n"/>
      <c r="AK450" s="26" t="n"/>
      <c r="AL450" s="31" t="n"/>
      <c r="AM450" s="30" t="n"/>
      <c r="AN450" s="26" t="n"/>
      <c r="AO450" s="26" t="n"/>
      <c r="AP450" s="26" t="n"/>
      <c r="AQ450" s="26" t="n"/>
      <c r="AR450" s="26" t="n"/>
      <c r="AS450" s="26" t="n"/>
      <c r="AT450" s="26" t="n"/>
      <c r="AU450" s="26" t="n"/>
      <c r="AV450" s="26" t="n"/>
      <c r="AW450" s="26" t="n"/>
      <c r="AX450" s="26" t="n"/>
      <c r="AY450" s="26" t="n"/>
      <c r="AZ450" s="26" t="n"/>
      <c r="BA450" s="26" t="n"/>
      <c r="BB450" s="26" t="n"/>
      <c r="BC450" s="26" t="n"/>
      <c r="BD450" s="26" t="n"/>
      <c r="BE450" s="26" t="n"/>
      <c r="BF450" s="26" t="n"/>
      <c r="BG450" s="26" t="n"/>
      <c r="BH450" s="26" t="n"/>
      <c r="BI450" s="26" t="n"/>
      <c r="BJ450" s="26" t="n"/>
      <c r="BK450" s="26" t="n"/>
      <c r="BL450" s="26" t="n"/>
      <c r="BM450" s="26" t="n"/>
      <c r="BN450" s="26" t="n"/>
    </row>
    <row r="451" ht="13" customHeight="1">
      <c r="A451" s="25" t="n"/>
      <c r="B451" s="26" t="n"/>
      <c r="C451" s="26" t="n"/>
      <c r="D451" s="27" t="n"/>
      <c r="E451" s="26" t="n"/>
      <c r="F451" s="26" t="n"/>
      <c r="G451" s="28" t="n"/>
      <c r="H451" s="29" t="n"/>
      <c r="I451" s="29" t="n"/>
      <c r="J451" s="26" t="n"/>
      <c r="K451" s="30" t="n"/>
      <c r="L451" s="26" t="n"/>
      <c r="M451" s="26" t="n"/>
      <c r="N451" s="26" t="n"/>
      <c r="O451" s="26" t="n"/>
      <c r="P451" s="26" t="n"/>
      <c r="Q451" s="26" t="n"/>
      <c r="R451" s="26" t="n"/>
      <c r="S451" s="26" t="n"/>
      <c r="T451" s="26" t="n"/>
      <c r="U451" s="26" t="n"/>
      <c r="V451" s="26" t="n"/>
      <c r="W451" s="26" t="n"/>
      <c r="X451" s="26" t="n"/>
      <c r="Y451" s="26" t="n"/>
      <c r="Z451" s="26" t="n"/>
      <c r="AA451" s="26" t="n"/>
      <c r="AB451" s="26" t="n"/>
      <c r="AC451" s="26" t="n"/>
      <c r="AD451" s="26" t="n"/>
      <c r="AE451" s="26" t="n"/>
      <c r="AF451" s="26" t="n"/>
      <c r="AG451" s="26" t="n"/>
      <c r="AH451" s="26" t="n"/>
      <c r="AI451" s="26" t="n"/>
      <c r="AJ451" s="26" t="n"/>
      <c r="AK451" s="26" t="n"/>
      <c r="AL451" s="31" t="n"/>
      <c r="AM451" s="30" t="n"/>
      <c r="AN451" s="26" t="n"/>
      <c r="AO451" s="26" t="n"/>
      <c r="AP451" s="26" t="n"/>
      <c r="AQ451" s="26" t="n"/>
      <c r="AR451" s="26" t="n"/>
      <c r="AS451" s="26" t="n"/>
      <c r="AT451" s="26" t="n"/>
      <c r="AU451" s="26" t="n"/>
      <c r="AV451" s="26" t="n"/>
      <c r="AW451" s="26" t="n"/>
      <c r="AX451" s="26" t="n"/>
      <c r="AY451" s="26" t="n"/>
      <c r="AZ451" s="26" t="n"/>
      <c r="BA451" s="26" t="n"/>
      <c r="BB451" s="26" t="n"/>
      <c r="BC451" s="26" t="n"/>
      <c r="BD451" s="26" t="n"/>
      <c r="BE451" s="26" t="n"/>
      <c r="BF451" s="26" t="n"/>
      <c r="BG451" s="26" t="n"/>
      <c r="BH451" s="26" t="n"/>
      <c r="BI451" s="26" t="n"/>
      <c r="BJ451" s="26" t="n"/>
      <c r="BK451" s="26" t="n"/>
      <c r="BL451" s="26" t="n"/>
      <c r="BM451" s="26" t="n"/>
      <c r="BN451" s="26" t="n"/>
    </row>
    <row r="452" ht="13" customHeight="1">
      <c r="A452" s="25" t="n"/>
      <c r="B452" s="26" t="n"/>
      <c r="C452" s="26" t="n"/>
      <c r="D452" s="27" t="n"/>
      <c r="E452" s="26" t="n"/>
      <c r="F452" s="26" t="n"/>
      <c r="G452" s="28" t="n"/>
      <c r="H452" s="29" t="n"/>
      <c r="I452" s="29" t="n"/>
      <c r="J452" s="26" t="n"/>
      <c r="K452" s="30" t="n"/>
      <c r="L452" s="26" t="n"/>
      <c r="M452" s="26" t="n"/>
      <c r="N452" s="26" t="n"/>
      <c r="O452" s="26" t="n"/>
      <c r="P452" s="26" t="n"/>
      <c r="Q452" s="26" t="n"/>
      <c r="R452" s="26" t="n"/>
      <c r="S452" s="26" t="n"/>
      <c r="T452" s="26" t="n"/>
      <c r="U452" s="26" t="n"/>
      <c r="V452" s="26" t="n"/>
      <c r="W452" s="26" t="n"/>
      <c r="X452" s="26" t="n"/>
      <c r="Y452" s="26" t="n"/>
      <c r="Z452" s="26" t="n"/>
      <c r="AA452" s="26" t="n"/>
      <c r="AB452" s="26" t="n"/>
      <c r="AC452" s="26" t="n"/>
      <c r="AD452" s="26" t="n"/>
      <c r="AE452" s="26" t="n"/>
      <c r="AF452" s="26" t="n"/>
      <c r="AG452" s="26" t="n"/>
      <c r="AH452" s="26" t="n"/>
      <c r="AI452" s="26" t="n"/>
      <c r="AJ452" s="26" t="n"/>
      <c r="AK452" s="26" t="n"/>
      <c r="AL452" s="31" t="n"/>
      <c r="AM452" s="30" t="n"/>
      <c r="AN452" s="26" t="n"/>
      <c r="AO452" s="26" t="n"/>
      <c r="AP452" s="26" t="n"/>
      <c r="AQ452" s="26" t="n"/>
      <c r="AR452" s="26" t="n"/>
      <c r="AS452" s="26" t="n"/>
      <c r="AT452" s="26" t="n"/>
      <c r="AU452" s="26" t="n"/>
      <c r="AV452" s="26" t="n"/>
      <c r="AW452" s="26" t="n"/>
      <c r="AX452" s="26" t="n"/>
      <c r="AY452" s="26" t="n"/>
      <c r="AZ452" s="26" t="n"/>
      <c r="BA452" s="26" t="n"/>
      <c r="BB452" s="26" t="n"/>
      <c r="BC452" s="26" t="n"/>
      <c r="BD452" s="26" t="n"/>
      <c r="BE452" s="26" t="n"/>
      <c r="BF452" s="26" t="n"/>
      <c r="BG452" s="26" t="n"/>
      <c r="BH452" s="26" t="n"/>
      <c r="BI452" s="26" t="n"/>
      <c r="BJ452" s="26" t="n"/>
      <c r="BK452" s="26" t="n"/>
      <c r="BL452" s="26" t="n"/>
      <c r="BM452" s="26" t="n"/>
      <c r="BN452" s="26" t="n"/>
    </row>
    <row r="453" ht="13" customHeight="1">
      <c r="A453" s="25" t="n"/>
      <c r="B453" s="26" t="n"/>
      <c r="C453" s="26" t="n"/>
      <c r="D453" s="27" t="n"/>
      <c r="E453" s="26" t="n"/>
      <c r="F453" s="26" t="n"/>
      <c r="G453" s="28" t="n"/>
      <c r="H453" s="29" t="n"/>
      <c r="I453" s="29" t="n"/>
      <c r="J453" s="26" t="n"/>
      <c r="K453" s="30" t="n"/>
      <c r="L453" s="26" t="n"/>
      <c r="M453" s="26" t="n"/>
      <c r="N453" s="26" t="n"/>
      <c r="O453" s="26" t="n"/>
      <c r="P453" s="26" t="n"/>
      <c r="Q453" s="26" t="n"/>
      <c r="R453" s="26" t="n"/>
      <c r="S453" s="26" t="n"/>
      <c r="T453" s="26" t="n"/>
      <c r="U453" s="26" t="n"/>
      <c r="V453" s="26" t="n"/>
      <c r="W453" s="26" t="n"/>
      <c r="X453" s="26" t="n"/>
      <c r="Y453" s="26" t="n"/>
      <c r="Z453" s="26" t="n"/>
      <c r="AA453" s="26" t="n"/>
      <c r="AB453" s="26" t="n"/>
      <c r="AC453" s="26" t="n"/>
      <c r="AD453" s="26" t="n"/>
      <c r="AE453" s="26" t="n"/>
      <c r="AF453" s="26" t="n"/>
      <c r="AG453" s="26" t="n"/>
      <c r="AH453" s="26" t="n"/>
      <c r="AI453" s="26" t="n"/>
      <c r="AJ453" s="26" t="n"/>
      <c r="AK453" s="26" t="n"/>
      <c r="AL453" s="31" t="n"/>
      <c r="AM453" s="30" t="n"/>
      <c r="AN453" s="26" t="n"/>
      <c r="AO453" s="26" t="n"/>
      <c r="AP453" s="26" t="n"/>
      <c r="AQ453" s="26" t="n"/>
      <c r="AR453" s="26" t="n"/>
      <c r="AS453" s="26" t="n"/>
      <c r="AT453" s="26" t="n"/>
      <c r="AU453" s="26" t="n"/>
      <c r="AV453" s="26" t="n"/>
      <c r="AW453" s="26" t="n"/>
      <c r="AX453" s="26" t="n"/>
      <c r="AY453" s="26" t="n"/>
      <c r="AZ453" s="26" t="n"/>
      <c r="BA453" s="26" t="n"/>
      <c r="BB453" s="26" t="n"/>
      <c r="BC453" s="26" t="n"/>
      <c r="BD453" s="26" t="n"/>
      <c r="BE453" s="26" t="n"/>
      <c r="BF453" s="26" t="n"/>
      <c r="BG453" s="26" t="n"/>
      <c r="BH453" s="26" t="n"/>
      <c r="BI453" s="26" t="n"/>
      <c r="BJ453" s="26" t="n"/>
      <c r="BK453" s="26" t="n"/>
      <c r="BL453" s="26" t="n"/>
      <c r="BM453" s="26" t="n"/>
      <c r="BN453" s="26" t="n"/>
    </row>
    <row r="454" ht="13" customHeight="1">
      <c r="A454" s="25" t="n"/>
      <c r="B454" s="26" t="n"/>
      <c r="C454" s="26" t="n"/>
      <c r="D454" s="27" t="n"/>
      <c r="E454" s="26" t="n"/>
      <c r="F454" s="26" t="n"/>
      <c r="G454" s="28" t="n"/>
      <c r="H454" s="29" t="n"/>
      <c r="I454" s="29" t="n"/>
      <c r="J454" s="26" t="n"/>
      <c r="K454" s="30" t="n"/>
      <c r="L454" s="26" t="n"/>
      <c r="M454" s="26" t="n"/>
      <c r="N454" s="26" t="n"/>
      <c r="O454" s="26" t="n"/>
      <c r="P454" s="26" t="n"/>
      <c r="Q454" s="26" t="n"/>
      <c r="R454" s="26" t="n"/>
      <c r="S454" s="26" t="n"/>
      <c r="T454" s="26" t="n"/>
      <c r="U454" s="26" t="n"/>
      <c r="V454" s="26" t="n"/>
      <c r="W454" s="26" t="n"/>
      <c r="X454" s="26" t="n"/>
      <c r="Y454" s="26" t="n"/>
      <c r="Z454" s="26" t="n"/>
      <c r="AA454" s="26" t="n"/>
      <c r="AB454" s="26" t="n"/>
      <c r="AC454" s="26" t="n"/>
      <c r="AD454" s="26" t="n"/>
      <c r="AE454" s="26" t="n"/>
      <c r="AF454" s="26" t="n"/>
      <c r="AG454" s="26" t="n"/>
      <c r="AH454" s="26" t="n"/>
      <c r="AI454" s="26" t="n"/>
      <c r="AJ454" s="26" t="n"/>
      <c r="AK454" s="26" t="n"/>
      <c r="AL454" s="31" t="n"/>
      <c r="AM454" s="30" t="n"/>
      <c r="AN454" s="26" t="n"/>
      <c r="AO454" s="26" t="n"/>
      <c r="AP454" s="26" t="n"/>
      <c r="AQ454" s="26" t="n"/>
      <c r="AR454" s="26" t="n"/>
      <c r="AS454" s="26" t="n"/>
      <c r="AT454" s="26" t="n"/>
      <c r="AU454" s="26" t="n"/>
      <c r="AV454" s="26" t="n"/>
      <c r="AW454" s="26" t="n"/>
      <c r="AX454" s="26" t="n"/>
      <c r="AY454" s="26" t="n"/>
      <c r="AZ454" s="26" t="n"/>
      <c r="BA454" s="26" t="n"/>
      <c r="BB454" s="26" t="n"/>
      <c r="BC454" s="26" t="n"/>
      <c r="BD454" s="26" t="n"/>
      <c r="BE454" s="26" t="n"/>
      <c r="BF454" s="26" t="n"/>
      <c r="BG454" s="26" t="n"/>
      <c r="BH454" s="26" t="n"/>
      <c r="BI454" s="26" t="n"/>
      <c r="BJ454" s="26" t="n"/>
      <c r="BK454" s="26" t="n"/>
      <c r="BL454" s="26" t="n"/>
      <c r="BM454" s="26" t="n"/>
      <c r="BN454" s="26" t="n"/>
    </row>
    <row r="455" ht="13" customHeight="1">
      <c r="A455" s="25" t="n"/>
      <c r="B455" s="26" t="n"/>
      <c r="C455" s="26" t="n"/>
      <c r="D455" s="27" t="n"/>
      <c r="E455" s="26" t="n"/>
      <c r="F455" s="26" t="n"/>
      <c r="G455" s="28" t="n"/>
      <c r="H455" s="29" t="n"/>
      <c r="I455" s="29" t="n"/>
      <c r="J455" s="26" t="n"/>
      <c r="K455" s="30" t="n"/>
      <c r="L455" s="26" t="n"/>
      <c r="M455" s="26" t="n"/>
      <c r="N455" s="26" t="n"/>
      <c r="O455" s="26" t="n"/>
      <c r="P455" s="26" t="n"/>
      <c r="Q455" s="26" t="n"/>
      <c r="R455" s="26" t="n"/>
      <c r="S455" s="26" t="n"/>
      <c r="T455" s="26" t="n"/>
      <c r="U455" s="26" t="n"/>
      <c r="V455" s="26" t="n"/>
      <c r="W455" s="26" t="n"/>
      <c r="X455" s="26" t="n"/>
      <c r="Y455" s="26" t="n"/>
      <c r="Z455" s="26" t="n"/>
      <c r="AA455" s="26" t="n"/>
      <c r="AB455" s="26" t="n"/>
      <c r="AC455" s="26" t="n"/>
      <c r="AD455" s="26" t="n"/>
      <c r="AE455" s="26" t="n"/>
      <c r="AF455" s="26" t="n"/>
      <c r="AG455" s="26" t="n"/>
      <c r="AH455" s="26" t="n"/>
      <c r="AI455" s="26" t="n"/>
      <c r="AJ455" s="26" t="n"/>
      <c r="AK455" s="26" t="n"/>
      <c r="AL455" s="31" t="n"/>
      <c r="AM455" s="30" t="n"/>
      <c r="AN455" s="26" t="n"/>
      <c r="AO455" s="26" t="n"/>
      <c r="AP455" s="26" t="n"/>
      <c r="AQ455" s="26" t="n"/>
      <c r="AR455" s="26" t="n"/>
      <c r="AS455" s="26" t="n"/>
      <c r="AT455" s="26" t="n"/>
      <c r="AU455" s="26" t="n"/>
      <c r="AV455" s="26" t="n"/>
      <c r="AW455" s="26" t="n"/>
      <c r="AX455" s="26" t="n"/>
      <c r="AY455" s="26" t="n"/>
      <c r="AZ455" s="26" t="n"/>
      <c r="BA455" s="26" t="n"/>
      <c r="BB455" s="26" t="n"/>
      <c r="BC455" s="26" t="n"/>
      <c r="BD455" s="26" t="n"/>
      <c r="BE455" s="26" t="n"/>
      <c r="BF455" s="26" t="n"/>
      <c r="BG455" s="26" t="n"/>
      <c r="BH455" s="26" t="n"/>
      <c r="BI455" s="26" t="n"/>
      <c r="BJ455" s="26" t="n"/>
      <c r="BK455" s="26" t="n"/>
      <c r="BL455" s="26" t="n"/>
      <c r="BM455" s="26" t="n"/>
      <c r="BN455" s="26" t="n"/>
    </row>
    <row r="456" ht="13" customHeight="1">
      <c r="A456" s="25" t="n"/>
      <c r="B456" s="26" t="n"/>
      <c r="C456" s="26" t="n"/>
      <c r="D456" s="27" t="n"/>
      <c r="E456" s="26" t="n"/>
      <c r="F456" s="26" t="n"/>
      <c r="G456" s="28" t="n"/>
      <c r="H456" s="29" t="n"/>
      <c r="I456" s="29" t="n"/>
      <c r="J456" s="26" t="n"/>
      <c r="K456" s="30" t="n"/>
      <c r="L456" s="26" t="n"/>
      <c r="M456" s="26" t="n"/>
      <c r="N456" s="26" t="n"/>
      <c r="O456" s="26" t="n"/>
      <c r="P456" s="26" t="n"/>
      <c r="Q456" s="26" t="n"/>
      <c r="R456" s="26" t="n"/>
      <c r="S456" s="26" t="n"/>
      <c r="T456" s="26" t="n"/>
      <c r="U456" s="26" t="n"/>
      <c r="V456" s="26" t="n"/>
      <c r="W456" s="26" t="n"/>
      <c r="X456" s="26" t="n"/>
      <c r="Y456" s="26" t="n"/>
      <c r="Z456" s="26" t="n"/>
      <c r="AA456" s="26" t="n"/>
      <c r="AB456" s="26" t="n"/>
      <c r="AC456" s="26" t="n"/>
      <c r="AD456" s="26" t="n"/>
      <c r="AE456" s="26" t="n"/>
      <c r="AF456" s="26" t="n"/>
      <c r="AG456" s="26" t="n"/>
      <c r="AH456" s="26" t="n"/>
      <c r="AI456" s="26" t="n"/>
      <c r="AJ456" s="26" t="n"/>
      <c r="AK456" s="26" t="n"/>
      <c r="AL456" s="31" t="n"/>
      <c r="AM456" s="30" t="n"/>
      <c r="AN456" s="26" t="n"/>
      <c r="AO456" s="26" t="n"/>
      <c r="AP456" s="26" t="n"/>
      <c r="AQ456" s="26" t="n"/>
      <c r="AR456" s="26" t="n"/>
      <c r="AS456" s="26" t="n"/>
      <c r="AT456" s="26" t="n"/>
      <c r="AU456" s="26" t="n"/>
      <c r="AV456" s="26" t="n"/>
      <c r="AW456" s="26" t="n"/>
      <c r="AX456" s="26" t="n"/>
      <c r="AY456" s="26" t="n"/>
      <c r="AZ456" s="26" t="n"/>
      <c r="BA456" s="26" t="n"/>
      <c r="BB456" s="26" t="n"/>
      <c r="BC456" s="26" t="n"/>
      <c r="BD456" s="26" t="n"/>
      <c r="BE456" s="26" t="n"/>
      <c r="BF456" s="26" t="n"/>
      <c r="BG456" s="26" t="n"/>
      <c r="BH456" s="26" t="n"/>
      <c r="BI456" s="26" t="n"/>
      <c r="BJ456" s="26" t="n"/>
      <c r="BK456" s="26" t="n"/>
      <c r="BL456" s="26" t="n"/>
      <c r="BM456" s="26" t="n"/>
      <c r="BN456" s="26" t="n"/>
    </row>
    <row r="457" ht="13" customHeight="1">
      <c r="A457" s="25" t="n"/>
      <c r="B457" s="26" t="n"/>
      <c r="C457" s="26" t="n"/>
      <c r="D457" s="27" t="n"/>
      <c r="E457" s="26" t="n"/>
      <c r="F457" s="26" t="n"/>
      <c r="G457" s="28" t="n"/>
      <c r="H457" s="29" t="n"/>
      <c r="I457" s="29" t="n"/>
      <c r="J457" s="26" t="n"/>
      <c r="K457" s="30" t="n"/>
      <c r="L457" s="26" t="n"/>
      <c r="M457" s="26" t="n"/>
      <c r="N457" s="26" t="n"/>
      <c r="O457" s="26" t="n"/>
      <c r="P457" s="26" t="n"/>
      <c r="Q457" s="26" t="n"/>
      <c r="R457" s="26" t="n"/>
      <c r="S457" s="26" t="n"/>
      <c r="T457" s="26" t="n"/>
      <c r="U457" s="26" t="n"/>
      <c r="V457" s="26" t="n"/>
      <c r="W457" s="26" t="n"/>
      <c r="X457" s="26" t="n"/>
      <c r="Y457" s="26" t="n"/>
      <c r="Z457" s="26" t="n"/>
      <c r="AA457" s="26" t="n"/>
      <c r="AB457" s="26" t="n"/>
      <c r="AC457" s="26" t="n"/>
      <c r="AD457" s="26" t="n"/>
      <c r="AE457" s="26" t="n"/>
      <c r="AF457" s="26" t="n"/>
      <c r="AG457" s="26" t="n"/>
      <c r="AH457" s="26" t="n"/>
      <c r="AI457" s="26" t="n"/>
      <c r="AJ457" s="26" t="n"/>
      <c r="AK457" s="26" t="n"/>
      <c r="AL457" s="31" t="n"/>
      <c r="AM457" s="30" t="n"/>
      <c r="AN457" s="26" t="n"/>
      <c r="AO457" s="26" t="n"/>
      <c r="AP457" s="26" t="n"/>
      <c r="AQ457" s="26" t="n"/>
      <c r="AR457" s="26" t="n"/>
      <c r="AS457" s="26" t="n"/>
      <c r="AT457" s="26" t="n"/>
      <c r="AU457" s="26" t="n"/>
      <c r="AV457" s="26" t="n"/>
      <c r="AW457" s="26" t="n"/>
      <c r="AX457" s="26" t="n"/>
      <c r="AY457" s="26" t="n"/>
      <c r="AZ457" s="26" t="n"/>
      <c r="BA457" s="26" t="n"/>
      <c r="BB457" s="26" t="n"/>
      <c r="BC457" s="26" t="n"/>
      <c r="BD457" s="26" t="n"/>
      <c r="BE457" s="26" t="n"/>
      <c r="BF457" s="26" t="n"/>
      <c r="BG457" s="26" t="n"/>
      <c r="BH457" s="26" t="n"/>
      <c r="BI457" s="26" t="n"/>
      <c r="BJ457" s="26" t="n"/>
      <c r="BK457" s="26" t="n"/>
      <c r="BL457" s="26" t="n"/>
      <c r="BM457" s="26" t="n"/>
      <c r="BN457" s="26" t="n"/>
    </row>
    <row r="458" ht="13" customHeight="1">
      <c r="A458" s="25" t="n"/>
      <c r="B458" s="26" t="n"/>
      <c r="C458" s="26" t="n"/>
      <c r="D458" s="27" t="n"/>
      <c r="E458" s="26" t="n"/>
      <c r="F458" s="26" t="n"/>
      <c r="G458" s="28" t="n"/>
      <c r="H458" s="29" t="n"/>
      <c r="I458" s="29" t="n"/>
      <c r="J458" s="26" t="n"/>
      <c r="K458" s="30" t="n"/>
      <c r="L458" s="26" t="n"/>
      <c r="M458" s="26" t="n"/>
      <c r="N458" s="26" t="n"/>
      <c r="O458" s="26" t="n"/>
      <c r="P458" s="26" t="n"/>
      <c r="Q458" s="26" t="n"/>
      <c r="R458" s="26" t="n"/>
      <c r="S458" s="26" t="n"/>
      <c r="T458" s="26" t="n"/>
      <c r="U458" s="26" t="n"/>
      <c r="V458" s="26" t="n"/>
      <c r="W458" s="26" t="n"/>
      <c r="X458" s="26" t="n"/>
      <c r="Y458" s="26" t="n"/>
      <c r="Z458" s="26" t="n"/>
      <c r="AA458" s="26" t="n"/>
      <c r="AB458" s="26" t="n"/>
      <c r="AC458" s="26" t="n"/>
      <c r="AD458" s="26" t="n"/>
      <c r="AE458" s="26" t="n"/>
      <c r="AF458" s="26" t="n"/>
      <c r="AG458" s="26" t="n"/>
      <c r="AH458" s="26" t="n"/>
      <c r="AI458" s="26" t="n"/>
      <c r="AJ458" s="26" t="n"/>
      <c r="AK458" s="26" t="n"/>
      <c r="AL458" s="31" t="n"/>
      <c r="AM458" s="30" t="n"/>
      <c r="AN458" s="26" t="n"/>
      <c r="AO458" s="26" t="n"/>
      <c r="AP458" s="26" t="n"/>
      <c r="AQ458" s="26" t="n"/>
      <c r="AR458" s="26" t="n"/>
      <c r="AS458" s="26" t="n"/>
      <c r="AT458" s="26" t="n"/>
      <c r="AU458" s="26" t="n"/>
      <c r="AV458" s="26" t="n"/>
      <c r="AW458" s="26" t="n"/>
      <c r="AX458" s="26" t="n"/>
      <c r="AY458" s="26" t="n"/>
      <c r="AZ458" s="26" t="n"/>
      <c r="BA458" s="26" t="n"/>
      <c r="BB458" s="26" t="n"/>
      <c r="BC458" s="26" t="n"/>
      <c r="BD458" s="26" t="n"/>
      <c r="BE458" s="26" t="n"/>
      <c r="BF458" s="26" t="n"/>
      <c r="BG458" s="26" t="n"/>
      <c r="BH458" s="26" t="n"/>
      <c r="BI458" s="26" t="n"/>
      <c r="BJ458" s="26" t="n"/>
      <c r="BK458" s="26" t="n"/>
      <c r="BL458" s="26" t="n"/>
      <c r="BM458" s="26" t="n"/>
      <c r="BN458" s="26" t="n"/>
    </row>
    <row r="459" ht="13" customHeight="1">
      <c r="A459" s="25" t="n"/>
      <c r="B459" s="26" t="n"/>
      <c r="C459" s="26" t="n"/>
      <c r="D459" s="27" t="n"/>
      <c r="E459" s="26" t="n"/>
      <c r="F459" s="26" t="n"/>
      <c r="G459" s="28" t="n"/>
      <c r="H459" s="29" t="n"/>
      <c r="I459" s="29" t="n"/>
      <c r="J459" s="26" t="n"/>
      <c r="K459" s="30" t="n"/>
      <c r="L459" s="26" t="n"/>
      <c r="M459" s="26" t="n"/>
      <c r="N459" s="26" t="n"/>
      <c r="O459" s="26" t="n"/>
      <c r="P459" s="26" t="n"/>
      <c r="Q459" s="26" t="n"/>
      <c r="R459" s="26" t="n"/>
      <c r="S459" s="26" t="n"/>
      <c r="T459" s="26" t="n"/>
      <c r="U459" s="26" t="n"/>
      <c r="V459" s="26" t="n"/>
      <c r="W459" s="26" t="n"/>
      <c r="X459" s="26" t="n"/>
      <c r="Y459" s="26" t="n"/>
      <c r="Z459" s="26" t="n"/>
      <c r="AA459" s="26" t="n"/>
      <c r="AB459" s="26" t="n"/>
      <c r="AC459" s="26" t="n"/>
      <c r="AD459" s="26" t="n"/>
      <c r="AE459" s="26" t="n"/>
      <c r="AF459" s="26" t="n"/>
      <c r="AG459" s="26" t="n"/>
      <c r="AH459" s="26" t="n"/>
      <c r="AI459" s="26" t="n"/>
      <c r="AJ459" s="26" t="n"/>
      <c r="AK459" s="26" t="n"/>
      <c r="AL459" s="31" t="n"/>
      <c r="AM459" s="30" t="n"/>
      <c r="AN459" s="26" t="n"/>
      <c r="AO459" s="26" t="n"/>
      <c r="AP459" s="26" t="n"/>
      <c r="AQ459" s="26" t="n"/>
      <c r="AR459" s="26" t="n"/>
      <c r="AS459" s="26" t="n"/>
      <c r="AT459" s="26" t="n"/>
      <c r="AU459" s="26" t="n"/>
      <c r="AV459" s="26" t="n"/>
      <c r="AW459" s="26" t="n"/>
      <c r="AX459" s="26" t="n"/>
      <c r="AY459" s="26" t="n"/>
      <c r="AZ459" s="26" t="n"/>
      <c r="BA459" s="26" t="n"/>
      <c r="BB459" s="26" t="n"/>
      <c r="BC459" s="26" t="n"/>
      <c r="BD459" s="26" t="n"/>
      <c r="BE459" s="26" t="n"/>
      <c r="BF459" s="26" t="n"/>
      <c r="BG459" s="26" t="n"/>
      <c r="BH459" s="26" t="n"/>
      <c r="BI459" s="26" t="n"/>
      <c r="BJ459" s="26" t="n"/>
      <c r="BK459" s="26" t="n"/>
      <c r="BL459" s="26" t="n"/>
      <c r="BM459" s="26" t="n"/>
      <c r="BN459" s="26" t="n"/>
    </row>
    <row r="460" ht="13" customHeight="1">
      <c r="A460" s="25" t="n"/>
      <c r="B460" s="26" t="n"/>
      <c r="C460" s="26" t="n"/>
      <c r="D460" s="27" t="n"/>
      <c r="E460" s="26" t="n"/>
      <c r="F460" s="26" t="n"/>
      <c r="G460" s="28" t="n"/>
      <c r="H460" s="29" t="n"/>
      <c r="I460" s="29" t="n"/>
      <c r="J460" s="26" t="n"/>
      <c r="K460" s="30" t="n"/>
      <c r="L460" s="26" t="n"/>
      <c r="M460" s="26" t="n"/>
      <c r="N460" s="26" t="n"/>
      <c r="O460" s="26" t="n"/>
      <c r="P460" s="26" t="n"/>
      <c r="Q460" s="26" t="n"/>
      <c r="R460" s="26" t="n"/>
      <c r="S460" s="26" t="n"/>
      <c r="T460" s="26" t="n"/>
      <c r="U460" s="26" t="n"/>
      <c r="V460" s="26" t="n"/>
      <c r="W460" s="26" t="n"/>
      <c r="X460" s="26" t="n"/>
      <c r="Y460" s="26" t="n"/>
      <c r="Z460" s="26" t="n"/>
      <c r="AA460" s="26" t="n"/>
      <c r="AB460" s="26" t="n"/>
      <c r="AC460" s="26" t="n"/>
      <c r="AD460" s="26" t="n"/>
      <c r="AE460" s="26" t="n"/>
      <c r="AF460" s="26" t="n"/>
      <c r="AG460" s="26" t="n"/>
      <c r="AH460" s="26" t="n"/>
      <c r="AI460" s="26" t="n"/>
      <c r="AJ460" s="26" t="n"/>
      <c r="AK460" s="26" t="n"/>
      <c r="AL460" s="31" t="n"/>
      <c r="AM460" s="30" t="n"/>
      <c r="AN460" s="26" t="n"/>
      <c r="AO460" s="26" t="n"/>
      <c r="AP460" s="26" t="n"/>
      <c r="AQ460" s="26" t="n"/>
      <c r="AR460" s="26" t="n"/>
      <c r="AS460" s="26" t="n"/>
      <c r="AT460" s="26" t="n"/>
      <c r="AU460" s="26" t="n"/>
      <c r="AV460" s="26" t="n"/>
      <c r="AW460" s="26" t="n"/>
      <c r="AX460" s="26" t="n"/>
      <c r="AY460" s="26" t="n"/>
      <c r="AZ460" s="26" t="n"/>
      <c r="BA460" s="26" t="n"/>
      <c r="BB460" s="26" t="n"/>
      <c r="BC460" s="26" t="n"/>
      <c r="BD460" s="26" t="n"/>
      <c r="BE460" s="26" t="n"/>
      <c r="BF460" s="26" t="n"/>
      <c r="BG460" s="26" t="n"/>
      <c r="BH460" s="26" t="n"/>
      <c r="BI460" s="26" t="n"/>
      <c r="BJ460" s="26" t="n"/>
      <c r="BK460" s="26" t="n"/>
      <c r="BL460" s="26" t="n"/>
      <c r="BM460" s="26" t="n"/>
      <c r="BN460" s="26" t="n"/>
    </row>
    <row r="461" ht="13" customHeight="1">
      <c r="A461" s="25" t="n"/>
      <c r="B461" s="26" t="n"/>
      <c r="C461" s="26" t="n"/>
      <c r="D461" s="27" t="n"/>
      <c r="E461" s="26" t="n"/>
      <c r="F461" s="26" t="n"/>
      <c r="G461" s="28" t="n"/>
      <c r="H461" s="29" t="n"/>
      <c r="I461" s="29" t="n"/>
      <c r="J461" s="26" t="n"/>
      <c r="K461" s="30" t="n"/>
      <c r="L461" s="26" t="n"/>
      <c r="M461" s="26" t="n"/>
      <c r="N461" s="26" t="n"/>
      <c r="O461" s="26" t="n"/>
      <c r="P461" s="26" t="n"/>
      <c r="Q461" s="26" t="n"/>
      <c r="R461" s="26" t="n"/>
      <c r="S461" s="26" t="n"/>
      <c r="T461" s="26" t="n"/>
      <c r="U461" s="26" t="n"/>
      <c r="V461" s="26" t="n"/>
      <c r="W461" s="26" t="n"/>
      <c r="X461" s="26" t="n"/>
      <c r="Y461" s="26" t="n"/>
      <c r="Z461" s="26" t="n"/>
      <c r="AA461" s="26" t="n"/>
      <c r="AB461" s="26" t="n"/>
      <c r="AC461" s="26" t="n"/>
      <c r="AD461" s="26" t="n"/>
      <c r="AE461" s="26" t="n"/>
      <c r="AF461" s="26" t="n"/>
      <c r="AG461" s="26" t="n"/>
      <c r="AH461" s="26" t="n"/>
      <c r="AI461" s="26" t="n"/>
      <c r="AJ461" s="26" t="n"/>
      <c r="AK461" s="26" t="n"/>
      <c r="AL461" s="31" t="n"/>
      <c r="AM461" s="30" t="n"/>
      <c r="AN461" s="26" t="n"/>
      <c r="AO461" s="26" t="n"/>
      <c r="AP461" s="26" t="n"/>
      <c r="AQ461" s="26" t="n"/>
      <c r="AR461" s="26" t="n"/>
      <c r="AS461" s="26" t="n"/>
      <c r="AT461" s="26" t="n"/>
      <c r="AU461" s="26" t="n"/>
      <c r="AV461" s="26" t="n"/>
      <c r="AW461" s="26" t="n"/>
      <c r="AX461" s="26" t="n"/>
      <c r="AY461" s="26" t="n"/>
      <c r="AZ461" s="26" t="n"/>
      <c r="BA461" s="26" t="n"/>
      <c r="BB461" s="26" t="n"/>
      <c r="BC461" s="26" t="n"/>
      <c r="BD461" s="26" t="n"/>
      <c r="BE461" s="26" t="n"/>
      <c r="BF461" s="26" t="n"/>
      <c r="BG461" s="26" t="n"/>
      <c r="BH461" s="26" t="n"/>
      <c r="BI461" s="26" t="n"/>
      <c r="BJ461" s="26" t="n"/>
      <c r="BK461" s="26" t="n"/>
      <c r="BL461" s="26" t="n"/>
      <c r="BM461" s="26" t="n"/>
      <c r="BN461" s="26" t="n"/>
    </row>
  </sheetData>
  <conditionalFormatting sqref="K2:AL33">
    <cfRule type="expression" priority="1" dxfId="0">
      <formula>AM2=0</formula>
    </cfRule>
  </conditionalFormatting>
  <dataValidations count="2">
    <dataValidation sqref="E2:F33" showDropDown="0" showInputMessage="0" showErrorMessage="0" allowBlank="1" type="list">
      <formula1>"YES"</formula1>
    </dataValidation>
    <dataValidation sqref="I2:I33 K2:Q33 AL2:AL33" showDropDown="1" showInputMessage="0" showErrorMessage="0" allowBlank="1" type="custom">
      <formula1>AND(ISNUMBER(I2),(NOT(OR(NOT(ISERROR(DATEVALUE(I2))), AND(ISNUMBER(I2), LEFT(CELL("format", I2))="D")))))</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R29"/>
  <sheetViews>
    <sheetView tabSelected="1" topLeftCell="D1" workbookViewId="0">
      <pane ySplit="1" topLeftCell="A2" activePane="bottomLeft" state="frozen"/>
      <selection pane="bottomLeft" activeCell="I6" sqref="I6"/>
    </sheetView>
  </sheetViews>
  <sheetFormatPr baseColWidth="10" defaultColWidth="12.6640625" defaultRowHeight="15.75" customHeight="1"/>
  <cols>
    <col width="9.6640625" customWidth="1" min="1" max="1"/>
    <col width="12.6640625" customWidth="1" min="2" max="2"/>
    <col width="37.6640625" customWidth="1" min="3" max="4"/>
    <col width="11.33203125" customWidth="1" min="5" max="5"/>
    <col width="37.6640625" customWidth="1" min="6" max="6"/>
    <col width="20.1640625" customWidth="1" min="7" max="7"/>
    <col width="17.83203125" customWidth="1" min="8" max="8"/>
    <col width="25.1640625" customWidth="1" min="9" max="10"/>
    <col width="14.6640625" customWidth="1" min="11" max="11"/>
    <col width="15.5" customWidth="1" min="12" max="12"/>
    <col width="15.83203125" customWidth="1" min="13" max="13"/>
    <col width="15.5" customWidth="1" min="14" max="14"/>
  </cols>
  <sheetData>
    <row r="1" ht="22.5" customHeight="1">
      <c r="A1" s="32" t="inlineStr">
        <is>
          <t>CMA #</t>
        </is>
      </c>
      <c r="B1" s="33" t="inlineStr">
        <is>
          <t>Part</t>
        </is>
      </c>
      <c r="C1" s="34" t="inlineStr">
        <is>
          <t>Stimulus</t>
        </is>
      </c>
      <c r="D1" s="34" t="inlineStr">
        <is>
          <t>Question</t>
        </is>
      </c>
      <c r="E1" s="35" t="inlineStr">
        <is>
          <t>Answer</t>
        </is>
      </c>
      <c r="F1" s="36" t="inlineStr">
        <is>
          <t>Full Answer</t>
        </is>
      </c>
      <c r="G1" s="36" t="inlineStr">
        <is>
          <t>Stimulus Type</t>
        </is>
      </c>
      <c r="H1" s="36" t="inlineStr">
        <is>
          <t>Source Type</t>
        </is>
      </c>
      <c r="I1" s="34" t="inlineStr">
        <is>
          <t>Task Model</t>
        </is>
      </c>
      <c r="J1" s="37" t="inlineStr">
        <is>
          <t>Skill</t>
        </is>
      </c>
      <c r="K1" s="38" t="inlineStr">
        <is>
          <t>Content</t>
        </is>
      </c>
      <c r="L1" s="33" t="inlineStr">
        <is>
          <t>Need OI?</t>
        </is>
      </c>
      <c r="M1" s="33" t="inlineStr">
        <is>
          <t>% Correct</t>
        </is>
      </c>
      <c r="N1" s="33" t="inlineStr">
        <is>
          <t>Point Biserial</t>
        </is>
      </c>
      <c r="O1" t="inlineStr">
        <is>
          <t>Option 1</t>
        </is>
      </c>
      <c r="P1" t="inlineStr">
        <is>
          <t>Option 2</t>
        </is>
      </c>
      <c r="Q1" t="inlineStr">
        <is>
          <t>Option 3</t>
        </is>
      </c>
      <c r="R1" t="inlineStr">
        <is>
          <t>Option 4</t>
        </is>
      </c>
    </row>
    <row r="2" ht="22.5" customHeight="1">
      <c r="A2" s="39" t="n">
        <v>1</v>
      </c>
      <c r="B2" s="40" t="inlineStr">
        <is>
          <t>Part I</t>
        </is>
      </c>
      <c r="C2" s="41" t="inlineStr">
        <is>
          <t>John W. Dower, “Throwing Off  Asia ,” Massachusetts Institute of Technology, 2008</t>
        </is>
      </c>
      <c r="D2" s="41" t="inlineStr">
        <is>
          <t>What claim is best supported by this passage?</t>
        </is>
      </c>
      <c r="E2" s="42" t="n">
        <v>4</v>
      </c>
      <c r="F2" s="43" t="inlineStr">
        <is>
          <t>Japan experienced a period of cultural development despite its isolation.</t>
        </is>
      </c>
      <c r="G2" s="44" t="inlineStr">
        <is>
          <t>Text-based</t>
        </is>
      </c>
      <c r="H2" s="41" t="inlineStr">
        <is>
          <t>Secondary</t>
        </is>
      </c>
      <c r="I2" s="41" t="inlineStr">
        <is>
          <t>4. Claim Validity (Without Outside Information)</t>
        </is>
      </c>
      <c r="J2" s="45" t="inlineStr">
        <is>
          <t>A. Gathering, Interpreting, and Using Evidence</t>
        </is>
      </c>
      <c r="K2" s="46" t="inlineStr">
        <is>
          <t>10.01b.1</t>
        </is>
      </c>
      <c r="L2" s="47" t="inlineStr">
        <is>
          <t>No</t>
        </is>
      </c>
      <c r="M2" s="48">
        <f>IFERROR(__xludf.DUMMYFUNCTION("PERCENTIF(Scores[Question 1],1)"),0.6875)</f>
        <v/>
      </c>
      <c r="N2" s="49">
        <f>IFERROR(PEARSON(Scores[MC Score],Scores[Question 1]),"")</f>
        <v/>
      </c>
      <c r="O2" t="inlineStr">
        <is>
          <t>Japan challenged China for supremacy in Asia.</t>
        </is>
      </c>
      <c r="P2" t="inlineStr">
        <is>
          <t>Japan relied on natural resources for industrial growth.</t>
        </is>
      </c>
      <c r="Q2" t="inlineStr">
        <is>
          <t>Japan made great industrial and territorial gains that rivaled world powers.</t>
        </is>
      </c>
      <c r="R2" t="inlineStr">
        <is>
          <t>Japan experienced a period of cultural development despite its isolation.</t>
        </is>
      </c>
    </row>
    <row r="3" ht="22.5" customHeight="1">
      <c r="A3" s="50" t="n">
        <v>2</v>
      </c>
      <c r="B3" s="40" t="inlineStr">
        <is>
          <t>Part I</t>
        </is>
      </c>
      <c r="C3" s="41" t="inlineStr">
        <is>
          <t>John W. Dower, “Throwing Off  Asia ,” Massachusetts Institute of Technology, 2008</t>
        </is>
      </c>
      <c r="D3" s="51" t="inlineStr">
        <is>
          <t>This passage best describes which development in Japanese history?</t>
        </is>
      </c>
      <c r="E3" s="52" t="n">
        <v>1</v>
      </c>
      <c r="F3" s="43" t="inlineStr">
        <is>
          <t>the rule of the Tokugawa Shogunate</t>
        </is>
      </c>
      <c r="G3" s="44" t="inlineStr">
        <is>
          <t>Text-based</t>
        </is>
      </c>
      <c r="H3" s="51" t="inlineStr">
        <is>
          <t>Secondary</t>
        </is>
      </c>
      <c r="I3" s="51" t="inlineStr">
        <is>
          <t>1. Best Use</t>
        </is>
      </c>
      <c r="J3" s="53" t="inlineStr">
        <is>
          <t>A. Gathering, Interpreting, and Using Evidence</t>
        </is>
      </c>
      <c r="K3" s="54" t="inlineStr">
        <is>
          <t>10.01b.1</t>
        </is>
      </c>
      <c r="L3" s="55" t="inlineStr">
        <is>
          <t>Yes</t>
        </is>
      </c>
      <c r="M3" s="48">
        <f>IFERROR(__xludf.DUMMYFUNCTION("PERCENTIF(Scores[Question 2],1)"),0.65625)</f>
        <v/>
      </c>
      <c r="N3" s="49">
        <f>IFERROR(PEARSON(Scores[MC Score],Scores[Question 2]),"")</f>
        <v/>
      </c>
      <c r="O3" t="inlineStr">
        <is>
          <t>the rule of the Tokugawa Shogunate</t>
        </is>
      </c>
      <c r="P3" t="inlineStr">
        <is>
          <t>the arrival of Commodore Matthew Perry</t>
        </is>
      </c>
      <c r="Q3" t="inlineStr">
        <is>
          <t>the Meiji Restoration</t>
        </is>
      </c>
      <c r="R3" t="inlineStr">
        <is>
          <t>the annexation of Korea</t>
        </is>
      </c>
    </row>
    <row r="4" ht="22.5" customHeight="1">
      <c r="A4" s="39" t="n">
        <v>3</v>
      </c>
      <c r="B4" s="40" t="inlineStr">
        <is>
          <t>Part I</t>
        </is>
      </c>
      <c r="C4" s="41" t="inlineStr">
        <is>
          <t>Declaration of the Rights of Man and of the Citizen, 1789</t>
        </is>
      </c>
      <c r="D4" s="43" t="inlineStr">
        <is>
          <t>Which group would be most likely to support the ideas presented in this document?</t>
        </is>
      </c>
      <c r="E4" s="42" t="n">
        <v>3</v>
      </c>
      <c r="F4" s="43" t="inlineStr">
        <is>
          <t>the Third Estate</t>
        </is>
      </c>
      <c r="G4" s="44" t="inlineStr">
        <is>
          <t>Text-based</t>
        </is>
      </c>
      <c r="H4" s="41" t="inlineStr">
        <is>
          <t>Primary</t>
        </is>
      </c>
      <c r="I4" s="45" t="inlineStr">
        <is>
          <t>14. Stakeholder Issue</t>
        </is>
      </c>
      <c r="J4" s="45" t="inlineStr">
        <is>
          <t>C. Comparison and Contextualization</t>
        </is>
      </c>
      <c r="K4" s="46" t="inlineStr">
        <is>
          <t>10.02c.1</t>
        </is>
      </c>
      <c r="L4" s="47" t="inlineStr">
        <is>
          <t>Yes</t>
        </is>
      </c>
      <c r="M4" s="48">
        <f>IFERROR(__xludf.DUMMYFUNCTION("PERCENTIF(Scores[Question 3],1)"),0.75)</f>
        <v/>
      </c>
      <c r="N4" s="49">
        <f>IFERROR(PEARSON(Scores[MC Score],Scores[Question 3]),"")</f>
        <v/>
      </c>
      <c r="O4" t="inlineStr">
        <is>
          <t>the nobility</t>
        </is>
      </c>
      <c r="P4" t="inlineStr">
        <is>
          <t>the clergy</t>
        </is>
      </c>
      <c r="Q4" t="inlineStr">
        <is>
          <t>the Third Estate</t>
        </is>
      </c>
      <c r="R4" t="inlineStr">
        <is>
          <t>the royal officials</t>
        </is>
      </c>
    </row>
    <row r="5" ht="22.5" customHeight="1">
      <c r="A5" s="50" t="n">
        <v>4</v>
      </c>
      <c r="B5" s="40" t="inlineStr">
        <is>
          <t>Part I</t>
        </is>
      </c>
      <c r="C5" s="51" t="inlineStr">
        <is>
          <t>Declaration of the Rights of Man and of the Citizen, 1789</t>
        </is>
      </c>
      <c r="D5" s="43" t="inlineStr">
        <is>
          <t>Which claim is best supported by this document?</t>
        </is>
      </c>
      <c r="E5" s="52" t="n">
        <v>2</v>
      </c>
      <c r="F5" s="43" t="inlineStr">
        <is>
          <t>The rights of all citizens should be respected with fairness and justice.</t>
        </is>
      </c>
      <c r="G5" s="44" t="inlineStr">
        <is>
          <t>Text-based</t>
        </is>
      </c>
      <c r="H5" s="51" t="inlineStr">
        <is>
          <t>Primary</t>
        </is>
      </c>
      <c r="I5" s="51" t="inlineStr">
        <is>
          <t>4. Claim Validity (Without Outside Information)</t>
        </is>
      </c>
      <c r="J5" s="53" t="inlineStr">
        <is>
          <t>A. Gathering, Interpreting, and Using Evidence</t>
        </is>
      </c>
      <c r="K5" s="54" t="inlineStr">
        <is>
          <t>10.02c.1</t>
        </is>
      </c>
      <c r="L5" s="55" t="inlineStr">
        <is>
          <t>No</t>
        </is>
      </c>
      <c r="M5" s="48">
        <f>IFERROR(__xludf.DUMMYFUNCTION("PERCENTIF(Scores[Question 6],1)"),0.3125)</f>
        <v/>
      </c>
      <c r="N5" s="49">
        <f>IFERROR(PEARSON(Scores[MC Score],Scores[Question 6]),"")</f>
        <v/>
      </c>
      <c r="O5" t="inlineStr">
        <is>
          <t>People arrested should be presumed guilty until proven innocent.</t>
        </is>
      </c>
      <c r="P5" t="inlineStr">
        <is>
          <t>The rights of all citizens should be respected with fairness and justice.</t>
        </is>
      </c>
      <c r="Q5" t="inlineStr">
        <is>
          <t>Religious practices should be limited by the government.</t>
        </is>
      </c>
      <c r="R5" t="inlineStr">
        <is>
          <t>Freedom of speech should be restricted for the public good.</t>
        </is>
      </c>
    </row>
    <row r="6" ht="22.5" customHeight="1">
      <c r="A6" s="39" t="n">
        <v>5</v>
      </c>
      <c r="B6" s="40" t="inlineStr">
        <is>
          <t>Part I</t>
        </is>
      </c>
      <c r="C6" s="41" t="inlineStr">
        <is>
          <t>Henry Brun et al., Global History and Geography, Amsco, 2004 (adapted)</t>
        </is>
      </c>
      <c r="D6" s="43" t="inlineStr">
        <is>
          <t>The situation shown on this map was most infl uenced by the</t>
        </is>
      </c>
      <c r="E6" s="42" t="n">
        <v>1</v>
      </c>
      <c r="F6" s="43" t="inlineStr">
        <is>
          <t>French Revolution</t>
        </is>
      </c>
      <c r="G6" s="56" t="inlineStr">
        <is>
          <t>Map-based</t>
        </is>
      </c>
      <c r="H6" s="41" t="inlineStr">
        <is>
          <t>Secondary</t>
        </is>
      </c>
      <c r="I6" s="45" t="inlineStr">
        <is>
          <t>7. Cause</t>
        </is>
      </c>
      <c r="J6" s="45" t="inlineStr">
        <is>
          <t>B. Chronological Reasoning and Causation</t>
        </is>
      </c>
      <c r="K6" s="46" t="inlineStr">
        <is>
          <t>10.02c.2</t>
        </is>
      </c>
      <c r="L6" s="47" t="inlineStr">
        <is>
          <t>Yes</t>
        </is>
      </c>
      <c r="M6" s="48">
        <f>IFERROR(__xludf.DUMMYFUNCTION("PERCENTIF(Scores[Question 8],1)"),0.375)</f>
        <v/>
      </c>
      <c r="N6" s="49">
        <f>IFERROR(PEARSON(Scores[MC Score],Scores[Question 8]),"")</f>
        <v/>
      </c>
      <c r="O6" t="inlineStr">
        <is>
          <t>French Revolution</t>
        </is>
      </c>
      <c r="P6" t="inlineStr">
        <is>
          <t>German Unification</t>
        </is>
      </c>
      <c r="Q6" t="inlineStr">
        <is>
          <t>Balfour Declaration</t>
        </is>
      </c>
      <c r="R6" t="inlineStr">
        <is>
          <t>Treaty of Versailles</t>
        </is>
      </c>
    </row>
    <row r="7" ht="22.5" customHeight="1">
      <c r="A7" s="50" t="n">
        <v>6</v>
      </c>
      <c r="B7" s="40" t="inlineStr">
        <is>
          <t>Part I</t>
        </is>
      </c>
      <c r="C7" s="51" t="inlineStr">
        <is>
          <t>Henry Brun et al., Global History and Geography, Amsco, 2004 (adapted)</t>
        </is>
      </c>
      <c r="D7" s="43" t="inlineStr">
        <is>
          <t>Which claim about Latin America is best supported by the information on this map?</t>
        </is>
      </c>
      <c r="E7" s="52" t="n">
        <v>3</v>
      </c>
      <c r="F7" s="43" t="inlineStr">
        <is>
          <t>Nationalism became a growing force during the 19th century.</t>
        </is>
      </c>
      <c r="G7" s="56" t="inlineStr">
        <is>
          <t>Map-based</t>
        </is>
      </c>
      <c r="H7" s="51" t="inlineStr">
        <is>
          <t>Secondary</t>
        </is>
      </c>
      <c r="I7" s="51" t="inlineStr">
        <is>
          <t>13. Interpret Visual Data</t>
        </is>
      </c>
      <c r="J7" s="53" t="inlineStr">
        <is>
          <t>A. Gathering, Interpreting, and Using Evidence</t>
        </is>
      </c>
      <c r="K7" s="54" t="inlineStr">
        <is>
          <t>10.02c.2</t>
        </is>
      </c>
      <c r="L7" s="55" t="inlineStr">
        <is>
          <t>No</t>
        </is>
      </c>
      <c r="M7" s="48">
        <f>IFERROR(__xludf.DUMMYFUNCTION("PERCENTIF(Scores[Question 4],1)"),0.71875)</f>
        <v/>
      </c>
      <c r="N7" s="49">
        <f>IFERROR(PEARSON(Scores[MC Score],Scores[Question 4]),"")</f>
        <v/>
      </c>
      <c r="O7" t="inlineStr">
        <is>
          <t>European countries had control over most of the region until World War I.</t>
        </is>
      </c>
      <c r="P7" t="inlineStr">
        <is>
          <t>Most independence movements occurred in the 20th century.</t>
        </is>
      </c>
      <c r="Q7" t="inlineStr">
        <is>
          <t>Nationalism became a growing force during the 19th century.</t>
        </is>
      </c>
      <c r="R7" t="inlineStr">
        <is>
          <t>Most countries gained independence before the Haitian Revolution.</t>
        </is>
      </c>
    </row>
    <row r="8" ht="22.5" customHeight="1">
      <c r="A8" s="39" t="n">
        <v>7</v>
      </c>
      <c r="B8" s="40" t="inlineStr">
        <is>
          <t>Part I</t>
        </is>
      </c>
      <c r="C8" s="41" t="inlineStr">
        <is>
          <t>“The Industrial Revolution and the Changing Face of Britain,” The British Museum online</t>
        </is>
      </c>
      <c r="D8" s="43" t="inlineStr">
        <is>
          <t>This passage would be most useful for</t>
        </is>
      </c>
      <c r="E8" s="42" t="n">
        <v>2</v>
      </c>
      <c r="F8" s="43" t="inlineStr">
        <is>
          <t>explaining the economic benefi ts of the Agricultural Revolution in Britain</t>
        </is>
      </c>
      <c r="G8" s="44" t="inlineStr">
        <is>
          <t>Text-based</t>
        </is>
      </c>
      <c r="H8" s="41" t="inlineStr">
        <is>
          <t>Secondary</t>
        </is>
      </c>
      <c r="I8" s="45" t="inlineStr">
        <is>
          <t>1. Best Use</t>
        </is>
      </c>
      <c r="J8" s="45" t="inlineStr">
        <is>
          <t>A. Gathering, Interpreting, and Using Evidence</t>
        </is>
      </c>
      <c r="K8" s="46" t="inlineStr">
        <is>
          <t>10.03a.1</t>
        </is>
      </c>
      <c r="L8" s="47" t="inlineStr">
        <is>
          <t>Yes</t>
        </is>
      </c>
      <c r="M8" s="48">
        <f>IFERROR(__xludf.DUMMYFUNCTION("PERCENTIF(Scores[Question 5],1)"),0.4375)</f>
        <v/>
      </c>
      <c r="N8" s="49">
        <f>IFERROR(PEARSON(Scores[MC Score],Scores[Question 5]),"")</f>
        <v/>
      </c>
      <c r="O8" t="inlineStr">
        <is>
          <t>studying how urbanization affected British government policies</t>
        </is>
      </c>
      <c r="P8" t="inlineStr">
        <is>
          <t>explaining the economic benefits of the Agricultural Revolution in Britain</t>
        </is>
      </c>
      <c r="Q8" t="inlineStr">
        <is>
          <t>analyzing the distribution of natural resources in Britain</t>
        </is>
      </c>
      <c r="R8" t="inlineStr">
        <is>
          <t>understanding how the Agricultural Revolution led to British imperialism</t>
        </is>
      </c>
    </row>
    <row r="9" ht="22.5" customHeight="1">
      <c r="A9" s="50" t="n">
        <v>8</v>
      </c>
      <c r="B9" s="40" t="inlineStr">
        <is>
          <t>Part I</t>
        </is>
      </c>
      <c r="C9" s="51" t="inlineStr">
        <is>
          <t>“The Industrial Revolution and the Changing Face of Britain,” The British Museum online</t>
        </is>
      </c>
      <c r="D9" s="43" t="inlineStr">
        <is>
          <t>What was one way British farmers responded to the changes described in this passage?</t>
        </is>
      </c>
      <c r="E9" s="57" t="n">
        <v>3</v>
      </c>
      <c r="F9" s="43" t="inlineStr">
        <is>
          <t>Farmers specialized based on their location</t>
        </is>
      </c>
      <c r="G9" s="44" t="inlineStr">
        <is>
          <t>Text-based</t>
        </is>
      </c>
      <c r="H9" s="51" t="inlineStr">
        <is>
          <t>Secondary</t>
        </is>
      </c>
      <c r="I9" s="53" t="inlineStr">
        <is>
          <t>18. Response to Problem</t>
        </is>
      </c>
      <c r="J9" s="53" t="inlineStr">
        <is>
          <t>B. Chronological Reasoning and Causation</t>
        </is>
      </c>
      <c r="K9" s="54" t="inlineStr">
        <is>
          <t>10.03a.1</t>
        </is>
      </c>
      <c r="L9" s="55" t="inlineStr">
        <is>
          <t>No</t>
        </is>
      </c>
      <c r="M9" s="48">
        <f>IFERROR(__xludf.DUMMYFUNCTION("PERCENTIF(Scores[Question 8],1)"),0.375)</f>
        <v/>
      </c>
      <c r="N9" s="49">
        <f>IFERROR(PEARSON(Scores[MC Score],Scores[Question 8]),"")</f>
        <v/>
      </c>
      <c r="O9" t="inlineStr">
        <is>
          <t>The enclosure system was eliminated.</t>
        </is>
      </c>
      <c r="P9" t="inlineStr">
        <is>
          <t>Agricultural productivity in Britain decreased.</t>
        </is>
      </c>
      <c r="Q9" t="inlineStr">
        <is>
          <t>Farmers specialized based on their location.</t>
        </is>
      </c>
      <c r="R9" t="inlineStr">
        <is>
          <t>Most farmers in the provinces fled to the countryside.</t>
        </is>
      </c>
    </row>
    <row r="10" ht="22.5" customHeight="1">
      <c r="A10" s="39" t="n">
        <v>9</v>
      </c>
      <c r="B10" s="40" t="inlineStr">
        <is>
          <t>Part I</t>
        </is>
      </c>
      <c r="C10" s="41" t="inlineStr">
        <is>
          <t>Punch, July 3, 1858</t>
        </is>
      </c>
      <c r="D10" s="43" t="inlineStr">
        <is>
          <t>Which statement best explains the cartoonist’s perspective of conditions in London during this time period?</t>
        </is>
      </c>
      <c r="E10" s="42" t="n">
        <v>1</v>
      </c>
      <c r="F10" s="43" t="inlineStr">
        <is>
          <t>Industrialization led to contamination of water supplies and illness.</t>
        </is>
      </c>
      <c r="G10" s="56" t="inlineStr">
        <is>
          <t>Visual-based</t>
        </is>
      </c>
      <c r="H10" s="41" t="inlineStr">
        <is>
          <t>Primary</t>
        </is>
      </c>
      <c r="I10" s="45" t="inlineStr">
        <is>
          <t>2. POV</t>
        </is>
      </c>
      <c r="J10" s="45" t="inlineStr">
        <is>
          <t>A. Gathering, Interpreting, and Using Evidence</t>
        </is>
      </c>
      <c r="K10" s="46" t="inlineStr">
        <is>
          <t>10.09c.3</t>
        </is>
      </c>
      <c r="L10" s="47" t="inlineStr">
        <is>
          <t>No</t>
        </is>
      </c>
      <c r="M10" s="48">
        <f>IFERROR(__xludf.DUMMYFUNCTION("PERCENTIF(Scores[Question 9],1)"),0.59375)</f>
        <v/>
      </c>
      <c r="N10" s="49">
        <f>IFERROR(PEARSON(Scores[MC Score],Scores[Question 9]),"")</f>
        <v/>
      </c>
      <c r="O10" t="inlineStr">
        <is>
          <t>Industrialization led to contamination of water supplies and illness.</t>
        </is>
      </c>
      <c r="P10" t="inlineStr">
        <is>
          <t>The growth of factories contributed to poor working conditions.</t>
        </is>
      </c>
      <c r="Q10" t="inlineStr">
        <is>
          <t>Urbanization caused a scarcity of food and mass starvation.</t>
        </is>
      </c>
      <c r="R10" t="inlineStr">
        <is>
          <t>The church offered support to those living in urban poverty.</t>
        </is>
      </c>
    </row>
    <row r="11" ht="22.5" customHeight="1">
      <c r="A11" s="50" t="n">
        <v>10</v>
      </c>
      <c r="B11" s="40" t="inlineStr">
        <is>
          <t>Part I</t>
        </is>
      </c>
      <c r="C11" s="51" t="inlineStr">
        <is>
          <t>Punch, July 3, 1858</t>
        </is>
      </c>
      <c r="D11" s="43" t="inlineStr">
        <is>
          <t>What was the cartoonist’s purpose in creating this illustration?</t>
        </is>
      </c>
      <c r="E11" s="52" t="n">
        <v>3</v>
      </c>
      <c r="F11" s="43" t="inlineStr">
        <is>
          <t>to encourage the government to make reforms</t>
        </is>
      </c>
      <c r="G11" s="56" t="inlineStr">
        <is>
          <t>Visual-based</t>
        </is>
      </c>
      <c r="H11" s="51" t="inlineStr">
        <is>
          <t>Primary</t>
        </is>
      </c>
      <c r="I11" s="53" t="inlineStr">
        <is>
          <t>2. POV</t>
        </is>
      </c>
      <c r="J11" s="53" t="inlineStr">
        <is>
          <t>A. Gathering, Interpreting, and Using Evidence</t>
        </is>
      </c>
      <c r="K11" s="54" t="inlineStr">
        <is>
          <t>10.09c.3</t>
        </is>
      </c>
      <c r="L11" s="55" t="inlineStr">
        <is>
          <t>No</t>
        </is>
      </c>
      <c r="M11" s="48">
        <f>IFERROR(__xludf.DUMMYFUNCTION("PERCENTIF(Scores[Question 10],1)"),0.3125)</f>
        <v/>
      </c>
      <c r="N11" s="49">
        <f>IFERROR(PEARSON(Scores[MC Score],Scores[Question 10]),"")</f>
        <v/>
      </c>
      <c r="O11" t="inlineStr">
        <is>
          <t>to attract people to settle in London</t>
        </is>
      </c>
      <c r="P11" t="inlineStr">
        <is>
          <t>to promote Queen Victoria's humanitarian efforts</t>
        </is>
      </c>
      <c r="Q11" t="inlineStr">
        <is>
          <t>to encourage the government to make reforms</t>
        </is>
      </c>
      <c r="R11" t="inlineStr">
        <is>
          <t>to raise public awareness of the impacts of irrigation</t>
        </is>
      </c>
    </row>
    <row r="12" ht="22.5" customHeight="1">
      <c r="A12" s="39" t="n">
        <v>11</v>
      </c>
      <c r="B12" s="40" t="inlineStr">
        <is>
          <t>Part I</t>
        </is>
      </c>
      <c r="C12" s="41" t="inlineStr">
        <is>
          <t>Kevin Reilly, Worlds of History, Bedford/St. Martin’s, 2007 (adapted)</t>
        </is>
      </c>
      <c r="D12" s="43" t="inlineStr">
        <is>
          <t>Based on this map, which two countries acquired the most foreign territory?</t>
        </is>
      </c>
      <c r="E12" s="40" t="n">
        <v>1</v>
      </c>
      <c r="F12" s="43" t="inlineStr">
        <is>
          <t>Great Britain and France</t>
        </is>
      </c>
      <c r="G12" s="44" t="inlineStr">
        <is>
          <t>Map-based</t>
        </is>
      </c>
      <c r="H12" s="41" t="inlineStr">
        <is>
          <t>Secondary</t>
        </is>
      </c>
      <c r="I12" s="45" t="inlineStr">
        <is>
          <t>13. Interpret Visual Data</t>
        </is>
      </c>
      <c r="J12" s="45" t="inlineStr">
        <is>
          <t>A. Gathering, Interpreting, and Using Evidence</t>
        </is>
      </c>
      <c r="K12" s="46" t="inlineStr">
        <is>
          <t>10.04a.2</t>
        </is>
      </c>
      <c r="L12" s="47" t="inlineStr">
        <is>
          <t>No</t>
        </is>
      </c>
      <c r="M12" s="48">
        <f>IFERROR(__xludf.DUMMYFUNCTION("PERCENTIF(Scores[Question 11],1)"),0.6875)</f>
        <v/>
      </c>
      <c r="N12" s="49">
        <f>IFERROR(PEARSON(Scores[MC Score],Scores[Question 11]),"")</f>
        <v/>
      </c>
      <c r="O12" t="inlineStr">
        <is>
          <t>Great Britain and France</t>
        </is>
      </c>
      <c r="P12" t="inlineStr">
        <is>
          <t>the Netherlands and Belgium</t>
        </is>
      </c>
      <c r="Q12" t="inlineStr">
        <is>
          <t>Spain and Portugal</t>
        </is>
      </c>
      <c r="R12" t="inlineStr">
        <is>
          <t>Germany and Italy</t>
        </is>
      </c>
    </row>
    <row r="13" ht="22.5" customHeight="1">
      <c r="A13" s="50" t="n">
        <v>12</v>
      </c>
      <c r="B13" s="40" t="inlineStr">
        <is>
          <t>Part I</t>
        </is>
      </c>
      <c r="C13" s="51" t="inlineStr">
        <is>
          <t>Kevin Reilly, Worlds of History, Bedford/St. Martin’s, 2007 (adapted)</t>
        </is>
      </c>
      <c r="D13" s="43" t="inlineStr">
        <is>
          <t>The situation shown on this map was caused in part by European nations’ desire to</t>
        </is>
      </c>
      <c r="E13" s="57" t="n">
        <v>4</v>
      </c>
      <c r="F13" s="43" t="inlineStr">
        <is>
          <t>obtain raw materials for their industries</t>
        </is>
      </c>
      <c r="G13" s="44" t="inlineStr">
        <is>
          <t>Map-based</t>
        </is>
      </c>
      <c r="H13" s="51" t="inlineStr">
        <is>
          <t>Secondary</t>
        </is>
      </c>
      <c r="I13" s="53" t="inlineStr">
        <is>
          <t>7. Cause</t>
        </is>
      </c>
      <c r="J13" s="53" t="inlineStr">
        <is>
          <t>B. Chronological Reasoning and Causation</t>
        </is>
      </c>
      <c r="K13" s="54" t="inlineStr">
        <is>
          <t>10.04a.2</t>
        </is>
      </c>
      <c r="L13" s="55" t="inlineStr">
        <is>
          <t>Yes</t>
        </is>
      </c>
      <c r="M13" s="48">
        <f>IFERROR(__xludf.DUMMYFUNCTION("PERCENTIF(Scores[Question 12],1)"),0.5625)</f>
        <v/>
      </c>
      <c r="N13" s="49">
        <f>IFERROR(PEARSON(Scores[MC Score],Scores[Question 12]),"")</f>
        <v/>
      </c>
      <c r="O13" t="inlineStr">
        <is>
          <t>import factory-made goods</t>
        </is>
      </c>
      <c r="P13" t="inlineStr">
        <is>
          <t>encourage immigration into their countries</t>
        </is>
      </c>
      <c r="Q13" t="inlineStr">
        <is>
          <t>establish democratic governments worldwide</t>
        </is>
      </c>
      <c r="R13" t="inlineStr">
        <is>
          <t>obtain raw materials for their industries</t>
        </is>
      </c>
    </row>
    <row r="14" ht="22.5" customHeight="1">
      <c r="A14" s="39" t="n">
        <v>13</v>
      </c>
      <c r="B14" s="40" t="inlineStr">
        <is>
          <t>Part I</t>
        </is>
      </c>
      <c r="C14" s="41" t="inlineStr">
        <is>
          <t>Philip Dorf, Visualized World History, Oxford, 1948 (adapted)</t>
        </is>
      </c>
      <c r="D14" s="43" t="inlineStr">
        <is>
          <t>Which empire’s decline is depicted in this illustration?</t>
        </is>
      </c>
      <c r="E14" s="40" t="n">
        <v>2</v>
      </c>
      <c r="F14" s="43" t="inlineStr">
        <is>
          <t>Ottoman Empire</t>
        </is>
      </c>
      <c r="G14" s="44" t="inlineStr">
        <is>
          <t>Visual-based</t>
        </is>
      </c>
      <c r="H14" s="41" t="inlineStr">
        <is>
          <t>Primary</t>
        </is>
      </c>
      <c r="I14" s="45" t="inlineStr">
        <is>
          <t>1. Best Use</t>
        </is>
      </c>
      <c r="J14" s="45" t="inlineStr">
        <is>
          <t>A. Gathering, Interpreting, and Using Evidence</t>
        </is>
      </c>
      <c r="K14" s="46" t="inlineStr">
        <is>
          <t>10.02d.1</t>
        </is>
      </c>
      <c r="L14" s="47" t="inlineStr">
        <is>
          <t>Yes</t>
        </is>
      </c>
      <c r="M14" s="48">
        <f>IFERROR(__xludf.DUMMYFUNCTION("PERCENTIF(Scores[Question 13],1)"),0.34375)</f>
        <v/>
      </c>
      <c r="N14" s="49">
        <f>IFERROR(PEARSON(Scores[MC Score],Scores[Question 13]),"")</f>
        <v/>
      </c>
      <c r="O14" t="inlineStr">
        <is>
          <t>Mughal Empire</t>
        </is>
      </c>
      <c r="P14" t="inlineStr">
        <is>
          <t>Ottoman Empire</t>
        </is>
      </c>
      <c r="Q14" t="inlineStr">
        <is>
          <t>Austro-Hungarian Empire</t>
        </is>
      </c>
      <c r="R14" t="inlineStr">
        <is>
          <t>British Empire</t>
        </is>
      </c>
    </row>
    <row r="15" ht="22.5" customHeight="1">
      <c r="A15" s="50" t="n">
        <v>14</v>
      </c>
      <c r="B15" s="40" t="inlineStr">
        <is>
          <t>Part I</t>
        </is>
      </c>
      <c r="C15" s="51" t="inlineStr">
        <is>
          <t>Philip Dorf, Visualized World History, Oxford, 1948 (adapted)</t>
        </is>
      </c>
      <c r="D15" s="43" t="inlineStr">
        <is>
          <t>The conditions shown in this illustration played a major role in bringing about the</t>
        </is>
      </c>
      <c r="E15" s="57" t="n">
        <v>2</v>
      </c>
      <c r="F15" s="43" t="inlineStr">
        <is>
          <t>start of World War I</t>
        </is>
      </c>
      <c r="G15" s="44" t="inlineStr">
        <is>
          <t>Visual-based</t>
        </is>
      </c>
      <c r="H15" s="51" t="inlineStr">
        <is>
          <t>Primary</t>
        </is>
      </c>
      <c r="I15" s="53" t="inlineStr">
        <is>
          <t>7. Cause</t>
        </is>
      </c>
      <c r="J15" s="53" t="inlineStr">
        <is>
          <t>B. Chronological Reasoning and Causation</t>
        </is>
      </c>
      <c r="K15" s="54" t="inlineStr">
        <is>
          <t>10.05a.1</t>
        </is>
      </c>
      <c r="L15" s="55" t="inlineStr">
        <is>
          <t>Yes</t>
        </is>
      </c>
      <c r="M15" s="48">
        <f>IFERROR(__xludf.DUMMYFUNCTION("PERCENTIF(Scores[Question 14],1)"),0.375)</f>
        <v/>
      </c>
      <c r="N15" s="49">
        <f>IFERROR(PEARSON(Scores[MC Score],Scores[Question 14]),"")</f>
        <v/>
      </c>
      <c r="O15" t="inlineStr">
        <is>
          <t>unification of Italy</t>
        </is>
      </c>
      <c r="P15" t="inlineStr">
        <is>
          <t>start of World War I</t>
        </is>
      </c>
      <c r="Q15" t="inlineStr">
        <is>
          <t>Potsdam Conference</t>
        </is>
      </c>
      <c r="R15" t="inlineStr">
        <is>
          <t>signing of the Warsaw Pact</t>
        </is>
      </c>
    </row>
    <row r="16" ht="22.5" customHeight="1">
      <c r="A16" s="39" t="n">
        <v>15</v>
      </c>
      <c r="B16" s="40" t="inlineStr">
        <is>
          <t>Part I</t>
        </is>
      </c>
      <c r="C16" s="41" t="inlineStr">
        <is>
          <t>“Armenians Are Sent to Perish in Desert,” New York Times, August 18, 1915</t>
        </is>
      </c>
      <c r="D16" s="43" t="inlineStr">
        <is>
          <t>Which group faced treatment most similar to the group addressed in this article?</t>
        </is>
      </c>
      <c r="E16" s="40" t="n">
        <v>4</v>
      </c>
      <c r="F16" s="43" t="inlineStr">
        <is>
          <t>Jews in Nazi Germany</t>
        </is>
      </c>
      <c r="G16" s="56" t="inlineStr">
        <is>
          <t>Text-based</t>
        </is>
      </c>
      <c r="H16" s="41" t="inlineStr">
        <is>
          <t>Primary</t>
        </is>
      </c>
      <c r="I16" s="45" t="inlineStr">
        <is>
          <t>10. Compare</t>
        </is>
      </c>
      <c r="J16" s="45" t="inlineStr">
        <is>
          <t>C. Comparison and Contextualization</t>
        </is>
      </c>
      <c r="K16" s="46" t="inlineStr">
        <is>
          <t>10.05e.1</t>
        </is>
      </c>
      <c r="L16" s="47" t="inlineStr">
        <is>
          <t>Yes</t>
        </is>
      </c>
      <c r="M16" s="48">
        <f>IFERROR(__xludf.DUMMYFUNCTION("PERCENTIF(Scores[Question 15],1)"),0.46875)</f>
        <v/>
      </c>
      <c r="N16" s="49">
        <f>IFERROR(PEARSON(Scores[MC Score],Scores[Question 15]),"")</f>
        <v/>
      </c>
      <c r="O16" t="inlineStr">
        <is>
          <t>the First Estate in pre-revolutionary France</t>
        </is>
      </c>
      <c r="P16" t="inlineStr">
        <is>
          <t>the French in Haiti</t>
        </is>
      </c>
      <c r="Q16" t="inlineStr">
        <is>
          <t>Indians under the British Raj</t>
        </is>
      </c>
      <c r="R16" t="inlineStr">
        <is>
          <t>Jews in Nazi Germany</t>
        </is>
      </c>
    </row>
    <row r="17" ht="22.5" customHeight="1">
      <c r="A17" s="50" t="n">
        <v>16</v>
      </c>
      <c r="B17" s="40" t="inlineStr">
        <is>
          <t>Part I</t>
        </is>
      </c>
      <c r="C17" s="51" t="inlineStr">
        <is>
          <t>“Armenians Are Sent to Perish in Desert,” New York Times, August 18, 1915</t>
        </is>
      </c>
      <c r="D17" s="43" t="inlineStr">
        <is>
          <t>A historian would fi nd this article most useful for</t>
        </is>
      </c>
      <c r="E17" s="57" t="n">
        <v>3</v>
      </c>
      <c r="F17" s="43" t="inlineStr">
        <is>
          <t>supporting the claim that a genocide took place</t>
        </is>
      </c>
      <c r="G17" s="56" t="inlineStr">
        <is>
          <t>Text-based</t>
        </is>
      </c>
      <c r="H17" s="51" t="inlineStr">
        <is>
          <t>Primary</t>
        </is>
      </c>
      <c r="I17" s="53" t="inlineStr">
        <is>
          <t>1. Best Use</t>
        </is>
      </c>
      <c r="J17" s="53" t="inlineStr">
        <is>
          <t>A. Gathering, Interpreting, and Using Evidence</t>
        </is>
      </c>
      <c r="K17" s="54" t="inlineStr">
        <is>
          <t>10.05e.1</t>
        </is>
      </c>
      <c r="L17" s="55" t="inlineStr">
        <is>
          <t>No</t>
        </is>
      </c>
      <c r="M17" s="48">
        <f>IFERROR(__xludf.DUMMYFUNCTION("PERCENTIF(Scores[Question 16],1)"),0.53125)</f>
        <v/>
      </c>
      <c r="N17" s="49">
        <f>IFERROR(PEARSON(Scores[MC Score],Scores[Question 16]),"")</f>
        <v/>
      </c>
      <c r="O17" t="inlineStr">
        <is>
          <t>identifying the cause of the incident</t>
        </is>
      </c>
      <c r="P17" t="inlineStr">
        <is>
          <t>researching the geography of Turkey</t>
        </is>
      </c>
      <c r="Q17" t="inlineStr">
        <is>
          <t>supporting the claim that a genocide took place</t>
        </is>
      </c>
      <c r="R17" t="inlineStr">
        <is>
          <t>determining the number of people affected by the incident</t>
        </is>
      </c>
    </row>
    <row r="18" ht="22.5" customHeight="1">
      <c r="A18" s="39" t="n">
        <v>17</v>
      </c>
      <c r="B18" s="40" t="inlineStr">
        <is>
          <t>Part I</t>
        </is>
      </c>
      <c r="C18" s="41" t="inlineStr">
        <is>
          <t>Speech by Ho Chi Minh, February 18, 1930</t>
        </is>
      </c>
      <c r="D18" s="43" t="inlineStr">
        <is>
          <t>Which claim is best supported by the evidence in this speech?</t>
        </is>
      </c>
      <c r="E18" s="40" t="n">
        <v>4</v>
      </c>
      <c r="F18" s="43" t="inlineStr">
        <is>
          <t>Ho Chi Minh intended to reclaim what the French had taken from his people.</t>
        </is>
      </c>
      <c r="G18" s="56" t="inlineStr">
        <is>
          <t>Text-based</t>
        </is>
      </c>
      <c r="H18" s="41" t="inlineStr">
        <is>
          <t>Primary</t>
        </is>
      </c>
      <c r="I18" s="45" t="inlineStr">
        <is>
          <t>4. Claim Validity (Without Outside Information)</t>
        </is>
      </c>
      <c r="J18" s="45" t="inlineStr">
        <is>
          <t>A. Gathering, Interpreting, and Using Evidence</t>
        </is>
      </c>
      <c r="K18" s="46" t="inlineStr">
        <is>
          <t>10.07a.2</t>
        </is>
      </c>
      <c r="L18" s="47" t="inlineStr">
        <is>
          <t>No</t>
        </is>
      </c>
      <c r="M18" s="48">
        <f>IFERROR(__xludf.DUMMYFUNCTION("PERCENTIF(Scores[Question 17],1)"),0.46875)</f>
        <v/>
      </c>
      <c r="N18" s="49">
        <f>IFERROR(PEARSON(Scores[MC Score],Scores[Question 17]),"")</f>
        <v/>
      </c>
      <c r="O18" t="inlineStr">
        <is>
          <t>Under French control, the Vietnamese economy had grown.</t>
        </is>
      </c>
      <c r="P18" t="inlineStr">
        <is>
          <t>The French had established education systems throughout Indochina.</t>
        </is>
      </c>
      <c r="Q18" t="inlineStr">
        <is>
          <t>Ho Chi Minh gained Western support for a democratic republic in Vietnam.</t>
        </is>
      </c>
      <c r="R18" t="inlineStr">
        <is>
          <t>Ho Chi Minh intended to reclaim what the French had taken from his people.</t>
        </is>
      </c>
    </row>
    <row r="19" ht="22.5" customHeight="1">
      <c r="A19" s="50" t="n">
        <v>18</v>
      </c>
      <c r="B19" s="40" t="inlineStr">
        <is>
          <t>Part I</t>
        </is>
      </c>
      <c r="C19" s="51" t="inlineStr">
        <is>
          <t>Speech by Ho Chi Minh, February 18, 1930</t>
        </is>
      </c>
      <c r="D19" s="43" t="inlineStr">
        <is>
          <t>Which statement best describes the author’s purpose in delivering this speech?</t>
        </is>
      </c>
      <c r="E19" s="57" t="n">
        <v>3</v>
      </c>
      <c r="F19" s="43" t="inlineStr">
        <is>
          <t>to explain the goals of a Vietnamese nationalist movement</t>
        </is>
      </c>
      <c r="G19" s="56" t="inlineStr">
        <is>
          <t>Text-based</t>
        </is>
      </c>
      <c r="H19" s="51" t="inlineStr">
        <is>
          <t>Primary</t>
        </is>
      </c>
      <c r="I19" s="53" t="inlineStr">
        <is>
          <t>2. POV</t>
        </is>
      </c>
      <c r="J19" s="53" t="inlineStr">
        <is>
          <t>A. Gathering, Interpreting, and Using Evidence</t>
        </is>
      </c>
      <c r="K19" s="54" t="inlineStr">
        <is>
          <t>10.07a.2</t>
        </is>
      </c>
      <c r="L19" s="55" t="inlineStr">
        <is>
          <t>No</t>
        </is>
      </c>
      <c r="M19" s="48">
        <f>IFERROR(__xludf.DUMMYFUNCTION("PERCENTIF(Scores[Question 18],1)"),0.4375)</f>
        <v/>
      </c>
      <c r="N19" s="49">
        <f>IFERROR(PEARSON(Scores[MC Score],Scores[Question 18]),"")</f>
        <v/>
      </c>
      <c r="O19" t="inlineStr">
        <is>
          <t>to explain why he is supporting the Communist Revolution in Russia</t>
        </is>
      </c>
      <c r="P19" t="inlineStr">
        <is>
          <t>to ask the French for independence</t>
        </is>
      </c>
      <c r="Q19" t="inlineStr">
        <is>
          <t>to explain the goals of a Vietnamese nationalist movement</t>
        </is>
      </c>
      <c r="R19" t="inlineStr">
        <is>
          <t>to ask for international support for his revolution</t>
        </is>
      </c>
    </row>
    <row r="20" ht="22.5" customHeight="1">
      <c r="A20" s="39" t="n">
        <v>19</v>
      </c>
      <c r="B20" s="40" t="inlineStr">
        <is>
          <t>Part I</t>
        </is>
      </c>
      <c r="C20" s="41" t="inlineStr">
        <is>
          <t>John Hersey, Hiroshima, Alfred A. Knopf, 1946</t>
        </is>
      </c>
      <c r="D20" s="43" t="inlineStr">
        <is>
          <t>How could a historian best use this passage?</t>
        </is>
      </c>
      <c r="E20" s="40" t="n">
        <v>1</v>
      </c>
      <c r="F20" s="43" t="inlineStr">
        <is>
          <t>to understand how the atomic bomb affected civilians</t>
        </is>
      </c>
      <c r="G20" s="56" t="inlineStr">
        <is>
          <t>Text-based</t>
        </is>
      </c>
      <c r="H20" s="41" t="inlineStr">
        <is>
          <t>Primary</t>
        </is>
      </c>
      <c r="I20" s="45" t="inlineStr">
        <is>
          <t>1. Best Use</t>
        </is>
      </c>
      <c r="J20" s="45" t="inlineStr">
        <is>
          <t>A. Gathering, Interpreting, and Using Evidence</t>
        </is>
      </c>
      <c r="K20" s="46" t="inlineStr">
        <is>
          <t>10.05b.1</t>
        </is>
      </c>
      <c r="L20" s="47" t="inlineStr">
        <is>
          <t>No</t>
        </is>
      </c>
      <c r="M20" s="48">
        <f>IFERROR(__xludf.DUMMYFUNCTION("PERCENTIF(Scores[Question 19],1)"),0.65625)</f>
        <v/>
      </c>
      <c r="N20" s="49">
        <f>IFERROR(PEARSON(Scores[MC Score],Scores[Question 19]),"")</f>
        <v/>
      </c>
      <c r="O20" t="inlineStr">
        <is>
          <t>to understand how the atomic bomb affected civilians</t>
        </is>
      </c>
      <c r="P20" t="inlineStr">
        <is>
          <t>to investigate why the military dropped the atomic bomb</t>
        </is>
      </c>
      <c r="Q20" t="inlineStr">
        <is>
          <t>to illustrate how the war effort was affected by the atomic bomb</t>
        </is>
      </c>
      <c r="R20" t="inlineStr">
        <is>
          <t>to show how the atomic bomb changed government policy</t>
        </is>
      </c>
    </row>
    <row r="21" ht="22.5" customHeight="1">
      <c r="A21" s="50" t="n">
        <v>20</v>
      </c>
      <c r="B21" s="40" t="inlineStr">
        <is>
          <t>Part I</t>
        </is>
      </c>
      <c r="C21" s="51" t="inlineStr">
        <is>
          <t>John Hersey, Hiroshima, Alfred A. Knopf, 1946</t>
        </is>
      </c>
      <c r="D21" s="43" t="inlineStr">
        <is>
          <t>The events described in the passage led to the</t>
        </is>
      </c>
      <c r="E21" s="57" t="n">
        <v>3</v>
      </c>
      <c r="F21" s="43" t="inlineStr">
        <is>
          <t>Japanese surrender in World War II</t>
        </is>
      </c>
      <c r="G21" s="56" t="inlineStr">
        <is>
          <t>Text-based</t>
        </is>
      </c>
      <c r="H21" s="51" t="inlineStr">
        <is>
          <t>Primary</t>
        </is>
      </c>
      <c r="I21" s="53" t="inlineStr">
        <is>
          <t>8. Effect</t>
        </is>
      </c>
      <c r="J21" s="53" t="inlineStr">
        <is>
          <t>B. Chronological Reasoning and Causation</t>
        </is>
      </c>
      <c r="K21" s="54" t="inlineStr">
        <is>
          <t>10.05b.1</t>
        </is>
      </c>
      <c r="L21" s="55" t="inlineStr">
        <is>
          <t>Yes</t>
        </is>
      </c>
      <c r="M21" s="48">
        <f>IFERROR(__xludf.DUMMYFUNCTION("PERCENTIF(Scores[Question 20],1)"),0.5625)</f>
        <v/>
      </c>
      <c r="N21" s="49">
        <f>IFERROR(PEARSON(Scores[MC Score],Scores[Question 20]),"")</f>
        <v/>
      </c>
      <c r="O21" t="inlineStr">
        <is>
          <t>creation of spheres of influence in China</t>
        </is>
      </c>
      <c r="P21" t="inlineStr">
        <is>
          <t>D-Day invasion of Normandy</t>
        </is>
      </c>
      <c r="Q21" t="inlineStr">
        <is>
          <t>Japanese surrender in World War II</t>
        </is>
      </c>
      <c r="R21" t="inlineStr">
        <is>
          <t>collapse of the Soviet Union</t>
        </is>
      </c>
    </row>
    <row r="22" ht="22.5" customHeight="1">
      <c r="A22" s="39" t="n">
        <v>21</v>
      </c>
      <c r="B22" s="40" t="inlineStr">
        <is>
          <t>Part I</t>
        </is>
      </c>
      <c r="C22" s="41" t="inlineStr">
        <is>
          <t>New York Times Upfront, December 11, 2017</t>
        </is>
      </c>
      <c r="D22" s="43" t="inlineStr">
        <is>
          <t>What claim is best supported by the evidence included in this article?</t>
        </is>
      </c>
      <c r="E22" s="40" t="n">
        <v>4</v>
      </c>
      <c r="F22" s="43" t="inlineStr">
        <is>
          <t>Cold War confl icts in Afghanistan contributed to the rise of the Taliban.</t>
        </is>
      </c>
      <c r="G22" s="56" t="inlineStr">
        <is>
          <t>Text-based</t>
        </is>
      </c>
      <c r="H22" s="41" t="inlineStr">
        <is>
          <t>Secondary</t>
        </is>
      </c>
      <c r="I22" s="45" t="inlineStr">
        <is>
          <t>3. Claim Validity (With Outside Information)</t>
        </is>
      </c>
      <c r="J22" s="45" t="inlineStr">
        <is>
          <t>A. Gathering, Interpreting, and Using Evidence</t>
        </is>
      </c>
      <c r="K22" s="46" t="inlineStr">
        <is>
          <t>10.06b.1</t>
        </is>
      </c>
      <c r="L22" s="47" t="inlineStr">
        <is>
          <t>Yes</t>
        </is>
      </c>
      <c r="M22" s="48">
        <f>IFERROR(__xludf.DUMMYFUNCTION("PERCENTIF(Scores[Question 21],1)"),0.5)</f>
        <v/>
      </c>
      <c r="N22" s="49">
        <f>IFERROR(PEARSON(Scores[MC Score],Scores[Question 21]),"")</f>
        <v/>
      </c>
      <c r="O22" t="inlineStr">
        <is>
          <t>The United States attempted to eliminate the mujahedeen in the 1980s.</t>
        </is>
      </c>
      <c r="P22" t="inlineStr">
        <is>
          <t>The invasion of Afghanistan secured Soviet influence in the region.</t>
        </is>
      </c>
      <c r="Q22" t="inlineStr">
        <is>
          <t>The mujahedeen supported the pro-communist government in Afghanistan.</t>
        </is>
      </c>
      <c r="R22" t="inlineStr">
        <is>
          <t>Cold War conflicts in Afghanistan contributed to the rise of the Taliban.</t>
        </is>
      </c>
    </row>
    <row r="23" ht="22.5" customHeight="1">
      <c r="A23" s="50" t="n">
        <v>22</v>
      </c>
      <c r="B23" s="40" t="inlineStr">
        <is>
          <t>Part I</t>
        </is>
      </c>
      <c r="C23" s="51" t="inlineStr">
        <is>
          <t>New York Times Upfront, December 11, 2017</t>
        </is>
      </c>
      <c r="D23" s="43" t="inlineStr">
        <is>
          <t>The American actions described in this article are an example of which policy?</t>
        </is>
      </c>
      <c r="E23" s="57" t="n">
        <v>2</v>
      </c>
      <c r="F23" s="43" t="inlineStr">
        <is>
          <t>containment</t>
        </is>
      </c>
      <c r="G23" s="56" t="inlineStr">
        <is>
          <t>Text-based</t>
        </is>
      </c>
      <c r="H23" s="51" t="inlineStr">
        <is>
          <t>Secondary</t>
        </is>
      </c>
      <c r="I23" s="53" t="inlineStr">
        <is>
          <t>1. Best Use</t>
        </is>
      </c>
      <c r="J23" s="53" t="inlineStr">
        <is>
          <t>A. Gathering, Interpreting, and Using Evidence</t>
        </is>
      </c>
      <c r="K23" s="54" t="inlineStr">
        <is>
          <t>10.06b.1</t>
        </is>
      </c>
      <c r="L23" s="55" t="inlineStr">
        <is>
          <t>Yes</t>
        </is>
      </c>
      <c r="M23" s="48">
        <f>IFERROR(__xludf.DUMMYFUNCTION("PERCENTIF(Scores[Question 22],1)"),0.5625)</f>
        <v/>
      </c>
      <c r="N23" s="49">
        <f>IFERROR(PEARSON(Scores[MC Score],Scores[Question 22]),"")</f>
        <v/>
      </c>
      <c r="O23" t="inlineStr">
        <is>
          <t>perestroika</t>
        </is>
      </c>
      <c r="P23" t="inlineStr">
        <is>
          <t>containment</t>
        </is>
      </c>
      <c r="Q23" t="inlineStr">
        <is>
          <t>globalization</t>
        </is>
      </c>
      <c r="R23" t="inlineStr">
        <is>
          <t>collectivization</t>
        </is>
      </c>
    </row>
    <row r="24" ht="22.5" customHeight="1">
      <c r="A24" s="39" t="n">
        <v>23</v>
      </c>
      <c r="B24" s="40" t="inlineStr">
        <is>
          <t>Part I</t>
        </is>
      </c>
      <c r="C24" s="41" t="inlineStr">
        <is>
          <t>Mikhail Gorbachev’s resignation speech, December 25, 1991</t>
        </is>
      </c>
      <c r="D24" s="43" t="inlineStr">
        <is>
          <t>The policies described by Mikhail Gorbachev in this speech refer to</t>
        </is>
      </c>
      <c r="E24" s="40" t="n">
        <v>2</v>
      </c>
      <c r="F24" s="43" t="inlineStr">
        <is>
          <t>glasnost</t>
        </is>
      </c>
      <c r="G24" s="56" t="inlineStr">
        <is>
          <t>Text-based</t>
        </is>
      </c>
      <c r="H24" s="41" t="inlineStr">
        <is>
          <t>Primary</t>
        </is>
      </c>
      <c r="I24" s="45" t="inlineStr">
        <is>
          <t>1. Best Use</t>
        </is>
      </c>
      <c r="J24" s="45" t="inlineStr">
        <is>
          <t>A. Gathering, Interpreting, and Using Evidence</t>
        </is>
      </c>
      <c r="K24" s="46" t="inlineStr">
        <is>
          <t>10.06c.1</t>
        </is>
      </c>
      <c r="L24" s="47" t="inlineStr">
        <is>
          <t>Yes</t>
        </is>
      </c>
      <c r="M24" s="48">
        <f>IFERROR(__xludf.DUMMYFUNCTION("PERCENTIF(Scores[Question 23],1)"),0.21875)</f>
        <v/>
      </c>
      <c r="N24" s="49">
        <f>IFERROR(PEARSON(Scores[MC Score],Scores[Question 23]),"")</f>
        <v/>
      </c>
      <c r="O24" t="inlineStr">
        <is>
          <t>nuclear proliferation</t>
        </is>
      </c>
      <c r="P24" t="inlineStr">
        <is>
          <t>glasnost</t>
        </is>
      </c>
      <c r="Q24" t="inlineStr">
        <is>
          <t>détente</t>
        </is>
      </c>
      <c r="R24" t="inlineStr">
        <is>
          <t>nonalignment</t>
        </is>
      </c>
    </row>
    <row r="25" ht="22.5" customHeight="1">
      <c r="A25" s="50" t="n">
        <v>24</v>
      </c>
      <c r="B25" s="40" t="inlineStr">
        <is>
          <t>Part I</t>
        </is>
      </c>
      <c r="C25" s="51" t="inlineStr">
        <is>
          <t>Mikhail Gorbachev’s resignation speech, December 25, 1991</t>
        </is>
      </c>
      <c r="D25" s="43" t="inlineStr">
        <is>
          <t>This speech is most closely associated with the end of which international confl ict?</t>
        </is>
      </c>
      <c r="E25" s="57" t="n">
        <v>3</v>
      </c>
      <c r="F25" s="43" t="inlineStr">
        <is>
          <t>the Cold War</t>
        </is>
      </c>
      <c r="G25" s="56" t="inlineStr">
        <is>
          <t>Text-based</t>
        </is>
      </c>
      <c r="H25" s="51" t="inlineStr">
        <is>
          <t>Primary</t>
        </is>
      </c>
      <c r="I25" s="53" t="inlineStr">
        <is>
          <t>8. Effect</t>
        </is>
      </c>
      <c r="J25" s="53" t="inlineStr">
        <is>
          <t>B. Chronological Reasoning and Causation</t>
        </is>
      </c>
      <c r="K25" s="54" t="inlineStr">
        <is>
          <t>10.06c.2</t>
        </is>
      </c>
      <c r="L25" s="55" t="inlineStr">
        <is>
          <t>Yes</t>
        </is>
      </c>
      <c r="M25" s="48">
        <f>IFERROR(__xludf.DUMMYFUNCTION("PERCENTIF(Scores[Question 24],1)"),0.65625)</f>
        <v/>
      </c>
      <c r="N25" s="49">
        <f>IFERROR(PEARSON(Scores[MC Score],Scores[Question 24]),"")</f>
        <v/>
      </c>
      <c r="O25" t="inlineStr">
        <is>
          <t>the Vietnam War</t>
        </is>
      </c>
      <c r="P25" t="inlineStr">
        <is>
          <t>the Korean War</t>
        </is>
      </c>
      <c r="Q25" t="inlineStr">
        <is>
          <t>the Cold War</t>
        </is>
      </c>
      <c r="R25" t="inlineStr">
        <is>
          <t>the Persian Gulf War</t>
        </is>
      </c>
    </row>
    <row r="26" ht="22.5" customHeight="1">
      <c r="A26" s="39" t="n">
        <v>25</v>
      </c>
      <c r="B26" s="40" t="inlineStr">
        <is>
          <t>Part I</t>
        </is>
      </c>
      <c r="C26" s="41" t="inlineStr">
        <is>
          <t>Newsweek, October 18, 2010 (adapted)</t>
        </is>
      </c>
      <c r="D26" s="43" t="inlineStr">
        <is>
          <t>Based on this infographic, which region is experiencing the greatest freshwater shortage?</t>
        </is>
      </c>
      <c r="E26" s="40" t="n">
        <v>2</v>
      </c>
      <c r="F26" s="43" t="inlineStr">
        <is>
          <t>Southwest Asia</t>
        </is>
      </c>
      <c r="G26" s="56" t="inlineStr">
        <is>
          <t>Map-based</t>
        </is>
      </c>
      <c r="H26" s="41" t="inlineStr">
        <is>
          <t>Secondary</t>
        </is>
      </c>
      <c r="I26" s="45" t="inlineStr">
        <is>
          <t>13. Interpret Visual Data</t>
        </is>
      </c>
      <c r="J26" s="45" t="inlineStr">
        <is>
          <t>A. Gathering, Interpreting, and Using Evidence</t>
        </is>
      </c>
      <c r="K26" s="46" t="inlineStr">
        <is>
          <t>10.09c.3</t>
        </is>
      </c>
      <c r="L26" s="47" t="inlineStr">
        <is>
          <t>No</t>
        </is>
      </c>
      <c r="M26" s="48">
        <f>IFERROR(__xludf.DUMMYFUNCTION("PERCENTIF(Scores[Question 25],1)"),0.3125)</f>
        <v/>
      </c>
      <c r="N26" s="49">
        <f>IFERROR(PEARSON(Scores[MC Score],Scores[Question 25]),"")</f>
        <v/>
      </c>
      <c r="O26" t="inlineStr">
        <is>
          <t>Eastern Europe</t>
        </is>
      </c>
      <c r="P26" t="inlineStr">
        <is>
          <t>Southwest Asia</t>
        </is>
      </c>
      <c r="Q26" t="inlineStr">
        <is>
          <t>South America</t>
        </is>
      </c>
      <c r="R26" t="inlineStr">
        <is>
          <t>Australia</t>
        </is>
      </c>
    </row>
    <row r="27" ht="22.5" customHeight="1">
      <c r="A27" s="50" t="n">
        <v>26</v>
      </c>
      <c r="B27" s="40" t="inlineStr">
        <is>
          <t>Part I</t>
        </is>
      </c>
      <c r="C27" s="51" t="inlineStr">
        <is>
          <t>Sarah Pruitt, “10 Memorable Moments in United Nations History,” The History Channel Online, 2015 (adapted)</t>
        </is>
      </c>
      <c r="D27" s="43" t="inlineStr">
        <is>
          <t>This timeline would be most useful to a person attempting to prove</t>
        </is>
      </c>
      <c r="E27" s="57" t="n">
        <v>4</v>
      </c>
      <c r="F27" s="43" t="inlineStr">
        <is>
          <t>the range of United Nations efforts maintaining peace and providing humanitarian aid</t>
        </is>
      </c>
      <c r="G27" s="58" t="inlineStr">
        <is>
          <t>Text-based</t>
        </is>
      </c>
      <c r="H27" s="51" t="inlineStr">
        <is>
          <t>Secondary</t>
        </is>
      </c>
      <c r="I27" s="53" t="inlineStr">
        <is>
          <t>4. Claim Validity (Without Outside Information)</t>
        </is>
      </c>
      <c r="J27" s="53" t="inlineStr">
        <is>
          <t>A. Gathering, Interpreting, and Using Evidence</t>
        </is>
      </c>
      <c r="K27" s="54" t="inlineStr">
        <is>
          <t>10.09d.1</t>
        </is>
      </c>
      <c r="L27" s="55" t="inlineStr">
        <is>
          <t>No</t>
        </is>
      </c>
      <c r="M27" s="48">
        <f>IFERROR(__xludf.DUMMYFUNCTION("PERCENTIF(Scores[Question 26],1)"),0.4375)</f>
        <v/>
      </c>
      <c r="N27" s="49">
        <f>IFERROR(PEARSON(Scores[MC Score],Scores[Question 26]),"")</f>
        <v/>
      </c>
      <c r="O27" t="inlineStr">
        <is>
          <t>how effective the work of the United Nations has been in addressing epidemic disease outbreaks over time</t>
        </is>
      </c>
      <c r="P27" t="inlineStr">
        <is>
          <t>the degree to which the United Nations has been able to promote women's rights in developing regions</t>
        </is>
      </c>
      <c r="Q27" t="inlineStr">
        <is>
          <t>the extent to which environmental policy has been supported by member states of the United Nations</t>
        </is>
      </c>
      <c r="R27" t="inlineStr">
        <is>
          <t>the range of United Nations efforts maintaining peace and providing humanitarian aid</t>
        </is>
      </c>
    </row>
    <row r="28" ht="22.5" customHeight="1">
      <c r="A28" s="39" t="n">
        <v>27</v>
      </c>
      <c r="B28" s="40" t="inlineStr">
        <is>
          <t>Part I</t>
        </is>
      </c>
      <c r="C28" s="41" t="inlineStr">
        <is>
          <t>Carlotta Gall, “Erdogan’s Plan to Raise a ‘Pious Generation’ Divides Parents in Turkey,” New York Times, June 18, 2018</t>
        </is>
      </c>
      <c r="D28" s="43" t="inlineStr">
        <is>
          <t>What is the central issue described in this article?</t>
        </is>
      </c>
      <c r="E28" s="40" t="n">
        <v>1</v>
      </c>
      <c r="F28" s="43" t="inlineStr">
        <is>
          <t>conflict over Turkey’s cultural identity</t>
        </is>
      </c>
      <c r="G28" s="58" t="inlineStr">
        <is>
          <t>Text-based</t>
        </is>
      </c>
      <c r="H28" s="41" t="inlineStr">
        <is>
          <t>Primary</t>
        </is>
      </c>
      <c r="I28" s="45" t="inlineStr">
        <is>
          <t>17. Problem</t>
        </is>
      </c>
      <c r="J28" s="45" t="inlineStr">
        <is>
          <t>A. Gathering, Interpreting, and Using Evidence</t>
        </is>
      </c>
      <c r="K28" s="46" t="inlineStr">
        <is>
          <t>10.08b.1</t>
        </is>
      </c>
      <c r="L28" s="47" t="inlineStr">
        <is>
          <t>No</t>
        </is>
      </c>
      <c r="M28" s="48">
        <f>IFERROR(__xludf.DUMMYFUNCTION("PERCENTIF(Scores[Question 27],1)"),0.3125)</f>
        <v/>
      </c>
      <c r="N28" s="49">
        <f>IFERROR(PEARSON(Scores[MC Score],Scores[Question 27]),"")</f>
        <v/>
      </c>
      <c r="O28" t="inlineStr">
        <is>
          <t>conflict over Turkey's cultural identity</t>
        </is>
      </c>
      <c r="P28" t="inlineStr">
        <is>
          <t>fighting between Kemal Atatürk and Turkey's President Erdogan</t>
        </is>
      </c>
      <c r="Q28" t="inlineStr">
        <is>
          <t>passing aggressive reforms to restore Turkey's democratic institutions</t>
        </is>
      </c>
      <c r="R28" t="inlineStr">
        <is>
          <t>crackdown on protests by Turkish troops</t>
        </is>
      </c>
    </row>
    <row r="29" ht="22.5" customHeight="1">
      <c r="A29" s="59" t="n">
        <v>28</v>
      </c>
      <c r="B29" s="60" t="inlineStr">
        <is>
          <t>Part I</t>
        </is>
      </c>
      <c r="C29" s="60" t="inlineStr">
        <is>
          <t>Carlotta Gall, “Erdogan’s Plan to Raise a ‘Pious Generation’ Divides Parents in Turkey,” New York Times, June 18, 2018</t>
        </is>
      </c>
      <c r="D29" s="60" t="inlineStr">
        <is>
          <t>Which event led to changes similar to those described in this article?</t>
        </is>
      </c>
      <c r="E29" s="61" t="n">
        <v>2</v>
      </c>
      <c r="F29" s="60" t="inlineStr">
        <is>
          <t>the Islamic Revolution of 1979 in Iran</t>
        </is>
      </c>
      <c r="G29" s="62" t="inlineStr">
        <is>
          <t>Text-based</t>
        </is>
      </c>
      <c r="H29" s="60" t="inlineStr">
        <is>
          <t>Primary</t>
        </is>
      </c>
      <c r="I29" s="60" t="inlineStr">
        <is>
          <t>10. Compare</t>
        </is>
      </c>
      <c r="J29" s="60" t="inlineStr">
        <is>
          <t>C. Comparison and Contextualization</t>
        </is>
      </c>
      <c r="K29" s="60" t="inlineStr">
        <is>
          <t>10.08b.1</t>
        </is>
      </c>
      <c r="L29" s="60" t="inlineStr">
        <is>
          <t>Yes</t>
        </is>
      </c>
      <c r="M29" s="63">
        <f>IFERROR(__xludf.DUMMYFUNCTION("PERCENTIF(Scores[Question 28],1)"),0.40625)</f>
        <v/>
      </c>
      <c r="N29" s="64">
        <f>IFERROR(PEARSON(Scores[MC Score],Scores[Question 28]),"")</f>
        <v/>
      </c>
      <c r="O29" t="inlineStr">
        <is>
          <t>the seizing of the Suez Canal by Gamal Nasser</t>
        </is>
      </c>
      <c r="P29" t="inlineStr">
        <is>
          <t>the Islamic Revolution of 1979 in Iran</t>
        </is>
      </c>
      <c r="Q29" t="inlineStr">
        <is>
          <t>the collapse of the Austrian Empire</t>
        </is>
      </c>
      <c r="R29" t="inlineStr">
        <is>
          <t>the partition of India in 1948</t>
        </is>
      </c>
    </row>
  </sheetData>
  <dataValidations count="7">
    <dataValidation sqref="B2:B29" showDropDown="0" showInputMessage="0" showErrorMessage="0" allowBlank="1" type="list">
      <formula1>"Part I,Part II,Part IIIA,Part IIIB"</formula1>
    </dataValidation>
    <dataValidation sqref="M2:N29" showDropDown="1" showInputMessage="0" showErrorMessage="0" allowBlank="1" type="custom">
      <formula1>AND(ISNUMBER(M2),(NOT(OR(NOT(ISERROR(DATEVALUE(M2))), AND(ISNUMBER(M2), LEFT(CELL("format", M2))="D")))))</formula1>
    </dataValidation>
    <dataValidation sqref="L2:L29" showDropDown="0" showInputMessage="0" showErrorMessage="0" allowBlank="1" type="list">
      <formula1>"Yes,No"</formula1>
    </dataValidation>
    <dataValidation sqref="I2:I29" showDropDown="0" showInputMessage="0" showErrorMessage="0" allowBlank="1" type="list">
      <formula1>"1. Best Use,2. POV,3. Claim Validity (With Outside Information),4. Claim Validity (Without Outside Information),5. Turning Point,6. Change Over Time,7. Cause,8. Effect,9. Impact of Setting,10. Compare,11. Contrast,12. Informed Civic Action,13. Interpret V"&amp;"isual Data,14. Stakeholder Issue,15. Recommended Action,16. Sequence of Events,17. Problem,18. Response to Problem"</formula1>
    </dataValidation>
    <dataValidation sqref="G2:G29" showDropDown="0" showInputMessage="0" showErrorMessage="0" allowBlank="1" type="list">
      <formula1>"Text-based,Map-based,Data-based,Visual-based"</formula1>
    </dataValidation>
    <dataValidation sqref="J2:K29" showDropDown="0" showInputMessage="0" showErrorMessage="0" allowBlank="1" type="list">
      <formula1>#REF!</formula1>
    </dataValidation>
    <dataValidation sqref="H2:H29" showDropDown="0" showInputMessage="0" showErrorMessage="0" allowBlank="1" type="list">
      <formula1>"Primary,Secondary,Both"</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E158"/>
  <sheetViews>
    <sheetView workbookViewId="0">
      <pane ySplit="1" topLeftCell="A2" activePane="bottomLeft" state="frozen"/>
      <selection pane="bottomLeft" activeCell="B3" sqref="B3"/>
    </sheetView>
  </sheetViews>
  <sheetFormatPr baseColWidth="10" defaultColWidth="12.6640625" defaultRowHeight="15.75" customHeight="1"/>
  <cols>
    <col width="8.6640625" customWidth="1" min="1" max="1"/>
    <col width="25.1640625" customWidth="1" min="2" max="2"/>
    <col hidden="1" width="50.1640625" customWidth="1" min="3" max="3"/>
    <col width="50.1640625" customWidth="1" min="4" max="5"/>
  </cols>
  <sheetData>
    <row r="1" ht="22.5" customHeight="1">
      <c r="A1" s="23" t="inlineStr">
        <is>
          <t>#</t>
        </is>
      </c>
      <c r="B1" s="62" t="inlineStr">
        <is>
          <t>Unit / Concept / Content</t>
        </is>
      </c>
      <c r="C1" s="62" t="inlineStr">
        <is>
          <t>Unit</t>
        </is>
      </c>
      <c r="D1" s="62" t="inlineStr">
        <is>
          <t>Conceptual Understanding</t>
        </is>
      </c>
      <c r="E1" s="62" t="inlineStr">
        <is>
          <t>Specifications</t>
        </is>
      </c>
    </row>
    <row r="2" hidden="1" ht="22.5" customHeight="1">
      <c r="A2" s="23" t="n">
        <v>11.01</v>
      </c>
      <c r="B2" s="65" t="inlineStr">
        <is>
          <t>Colonial Foundations (1607-1763)</t>
        </is>
      </c>
      <c r="C2" s="60" t="inlineStr">
        <is>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is>
      </c>
      <c r="D2" s="60" t="inlineStr">
        <is>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is>
      </c>
      <c r="E2" s="60" t="n"/>
    </row>
    <row r="3" ht="22.5" customHeight="1">
      <c r="A3" s="23" t="n">
        <v>10.01</v>
      </c>
      <c r="B3" s="62" t="inlineStr">
        <is>
          <t>The World in 1750</t>
        </is>
      </c>
      <c r="C3" s="60" t="inlineStr">
        <is>
          <t>THE WORLD in 1750</t>
        </is>
      </c>
      <c r="D3" s="60" t="inlineStr">
        <is>
          <t>The world in 1750 was marked by powerful Eurasian states and empires, coastal African kingdoms, and growing European maritime empires. The interactions of these states, empires, and kingdoms disrupted regional trade networks and influenced the development of new global trade networks.</t>
        </is>
      </c>
      <c r="E3" s="60" t="inlineStr">
        <is>
          <t>The world in 1750 was marked by powerful Eurasian states and empires, coastal African kingdoms, and growing European maritime empires. The interactions of these states, empires, and kingdoms disrupted regional trade networks and influenced the development of new global trade networks.</t>
        </is>
      </c>
    </row>
    <row r="4" ht="22.5" customHeight="1">
      <c r="A4" s="23" t="inlineStr">
        <is>
          <t>10.01a</t>
        </is>
      </c>
      <c r="B4" s="62" t="inlineStr">
        <is>
          <t>Eurasian States and Empires ca. 1750</t>
        </is>
      </c>
      <c r="C4" s="60" t="inlineStr">
        <is>
          <t>THE WORLD in 1750</t>
        </is>
      </c>
      <c r="D4" s="60" t="inlineStr">
        <is>
          <t>Powerful Eurasian states and empires faced and responded to challenges ca. 1750.</t>
        </is>
      </c>
      <c r="E4" s="60" t="inlineStr">
        <is>
          <t>Powerful Eurasian states and empires faced and responded to challenges ca. 1750.</t>
        </is>
      </c>
    </row>
    <row r="5" ht="22.5" customHeight="1">
      <c r="A5" s="23" t="inlineStr">
        <is>
          <t>10.01a.1</t>
        </is>
      </c>
      <c r="B5" s="62" t="inlineStr">
        <is>
          <t>Mughal &amp; Ottoman (c. 1750)</t>
        </is>
      </c>
      <c r="C5" s="60" t="inlineStr">
        <is>
          <t>THE WORLD in 1750</t>
        </is>
      </c>
      <c r="D5" s="60" t="inlineStr">
        <is>
          <t>Powerful Eurasian states and empires faced and responded to challenges ca. 1750.</t>
        </is>
      </c>
      <c r="E5" s="60" t="inlineStr">
        <is>
          <t>Students will compare and contrast the Mughal Empire and the Ottoman Empire in 1750 in terms of religious and ethnic tolerance, political organization, and commercial activity.</t>
        </is>
      </c>
    </row>
    <row r="6" ht="22.5" customHeight="1">
      <c r="A6" s="23" t="inlineStr">
        <is>
          <t>10.01a.2</t>
        </is>
      </c>
      <c r="B6" s="62" t="inlineStr">
        <is>
          <t>Tokugawa Shogunate</t>
        </is>
      </c>
      <c r="C6" s="60" t="inlineStr">
        <is>
          <t>THE WORLD in 1750</t>
        </is>
      </c>
      <c r="D6" s="60" t="inlineStr">
        <is>
          <t>Powerful Eurasian states and empires faced and responded to challenges ca. 1750.</t>
        </is>
      </c>
      <c r="E6" s="60" t="inlineStr">
        <is>
          <t>Students will examine efforts to unify, stabilize, and centralize Japan under the rule of the Tokugawa Shogunate.</t>
        </is>
      </c>
    </row>
    <row r="7" ht="22.5" customHeight="1">
      <c r="A7" s="23" t="inlineStr">
        <is>
          <t>10.01a.3</t>
        </is>
      </c>
      <c r="B7" s="62" t="inlineStr">
        <is>
          <t>Comparing Tokugawa Shogunate &amp; Bourbon Dynasty</t>
        </is>
      </c>
      <c r="C7" s="60" t="inlineStr">
        <is>
          <t>THE WORLD in 1750</t>
        </is>
      </c>
      <c r="D7" s="60" t="inlineStr">
        <is>
          <t>Powerful Eurasian states and empires faced and responded to challenges ca. 1750.</t>
        </is>
      </c>
      <c r="E7" s="60" t="inlineStr">
        <is>
          <t>Students will compare and contrast the Tokugawa Shogunate in Japan with France under the rule of the Bourbon Dynasty, looking at the role of Edo and Paris/Versailles, attempts to control the daimyo and nobles, and the development of bureaucracies.</t>
        </is>
      </c>
    </row>
    <row r="8" ht="22.5" customHeight="1">
      <c r="A8" s="23" t="inlineStr">
        <is>
          <t>10.01b</t>
        </is>
      </c>
      <c r="B8" s="62" t="inlineStr">
        <is>
          <t>Interactions with Outsiders Eurasian States and Empire ca. 1750</t>
        </is>
      </c>
      <c r="C8" s="60" t="inlineStr">
        <is>
          <t>THE WORLD in 1750</t>
        </is>
      </c>
      <c r="D8" s="60" t="inlineStr">
        <is>
          <t>Perceptions of outsiders and interactions with them varied across Eurasia.</t>
        </is>
      </c>
      <c r="E8" s="60" t="inlineStr">
        <is>
          <t>Perceptions of outsiders and interactions with them varied across Eurasia.</t>
        </is>
      </c>
    </row>
    <row r="9" ht="22.5" customHeight="1">
      <c r="A9" s="23" t="inlineStr">
        <is>
          <t>10.01b.1</t>
        </is>
      </c>
      <c r="B9" s="62" t="inlineStr">
        <is>
          <t>Tokugawa &amp; Mughal Responses to Outsiders</t>
        </is>
      </c>
      <c r="C9" s="60" t="inlineStr">
        <is>
          <t>THE WORLD in 1750</t>
        </is>
      </c>
      <c r="D9" s="60" t="inlineStr">
        <is>
          <t>Perceptions of outsiders and interactions with them varied across Eurasia.</t>
        </is>
      </c>
      <c r="E9" s="60" t="inlineStr">
        <is>
          <t>Students will compare and contrast the Tokugawa and Mughal responses to outsiders, with attention to the impacts of those decisions.</t>
        </is>
      </c>
    </row>
    <row r="10" ht="22.5" customHeight="1">
      <c r="A10" s="23" t="inlineStr">
        <is>
          <t>10.01b.2</t>
        </is>
      </c>
      <c r="B10" s="62" t="inlineStr">
        <is>
          <t>Eurasia World Map</t>
        </is>
      </c>
      <c r="C10" s="60" t="inlineStr">
        <is>
          <t>THE WORLD in 1750</t>
        </is>
      </c>
      <c r="D10" s="60" t="inlineStr">
        <is>
          <t>Perceptions of outsiders and interactions with them varied across Eurasia.</t>
        </is>
      </c>
      <c r="E10" s="60" t="inlineStr">
        <is>
          <t>Students will create a world map showing the extent of European maritime empires, the Russian Empire, the Ottoman Empire, Mughal Empire, China under the Qing Dynasty, Japan under the Tokugawa Shogunate, Ashanti, Benin, and Dahomey ca. 1750.</t>
        </is>
      </c>
    </row>
    <row r="11" ht="22.5" customHeight="1">
      <c r="A11" s="23" t="inlineStr">
        <is>
          <t>10.01b.3</t>
        </is>
      </c>
      <c r="B11" s="62" t="inlineStr">
        <is>
          <t>Comparing Empire's Geography &amp; Power</t>
        </is>
      </c>
      <c r="C11" s="60" t="inlineStr">
        <is>
          <t>THE WORLD in 1750</t>
        </is>
      </c>
      <c r="D11" s="60" t="inlineStr">
        <is>
          <t>Perceptions of outsiders and interactions with them varied across Eurasia.</t>
        </is>
      </c>
      <c r="E11" s="60" t="inlineStr">
        <is>
          <t>Students will compare the size of these states, empires, and kingdoms relative to the power they wielded in their regions and in the world.</t>
        </is>
      </c>
    </row>
    <row r="12" ht="22.5" customHeight="1">
      <c r="A12" s="23" t="n">
        <v>10.02</v>
      </c>
      <c r="B12" s="62" t="inlineStr">
        <is>
          <t>Enlightenment, Revolution, &amp; Nationalism</t>
        </is>
      </c>
      <c r="C12" s="60" t="inlineStr">
        <is>
          <t>ENLIGHTENMENT, REVOLUTION, AND NATIONALISM</t>
        </is>
      </c>
      <c r="D12" s="60" t="inlineStr">
        <is>
          <t>The Enlightenment called into question traditional beliefs and inspired widespread political, economic, and social change. This intellectual movement was used to challenge political authorities in Europe and colonial rule in the Americas. These ideals inspired political and social movements.</t>
        </is>
      </c>
      <c r="E12" s="60" t="inlineStr">
        <is>
          <t>The Enlightenment called into question traditional beliefs and inspired widespread political, economic, and social change. This intellectual movement was used to challenge political authorities in Europe and colonial rule in the Americas. These ideals inspired political and social movements.</t>
        </is>
      </c>
    </row>
    <row r="13" hidden="1" ht="22.5" customHeight="1">
      <c r="A13" s="23" t="n">
        <v>11.02</v>
      </c>
      <c r="B13" s="65" t="inlineStr">
        <is>
          <t>Constitutional Foundations (1763–1824)</t>
        </is>
      </c>
      <c r="C13" s="60" t="inlineStr">
        <is>
          <t>Growing political and economic tensions led the American colonists to declare their independence from Great Britain. Once independent, the new nation confronted the challenge of creating a stable federal republic.</t>
        </is>
      </c>
      <c r="D13" s="60" t="inlineStr">
        <is>
          <t>Growing political and economic tensions led the American colonists to declare their independence from Great Britain. Once independent, the new nation confronted the challenge of creating a stable federal republic.</t>
        </is>
      </c>
      <c r="E13" s="60" t="n"/>
    </row>
    <row r="14" ht="22.5" customHeight="1">
      <c r="A14" s="23" t="inlineStr">
        <is>
          <t>10.02a</t>
        </is>
      </c>
      <c r="B14" s="62" t="inlineStr">
        <is>
          <t>Political Philosophies</t>
        </is>
      </c>
      <c r="C14" s="60" t="inlineStr">
        <is>
          <t>ENLIGHTENMENT, REVOLUTION, AND NATIONALISM</t>
        </is>
      </c>
      <c r="D14" s="60" t="inlineStr">
        <is>
          <t>Enlightenment thinkers developed political philosophies based on natural laws, which included the concepts of social contract, consent of the governed, and the rights of citizens.</t>
        </is>
      </c>
      <c r="E14" s="60" t="inlineStr">
        <is>
          <t>Enlightenment thinkers developed political philosophies based on natural laws, which included the concepts of social contract, consent of the governed, and the rights of citizens.</t>
        </is>
      </c>
    </row>
    <row r="15" ht="22.5" customHeight="1">
      <c r="A15" s="23" t="inlineStr">
        <is>
          <t>10.02a.1</t>
        </is>
      </c>
      <c r="B15" s="62" t="inlineStr">
        <is>
          <t>Political Philosophies</t>
        </is>
      </c>
      <c r="C15" s="60" t="inlineStr">
        <is>
          <t>ENLIGHTENMENT, REVOLUTION, AND NATIONALISM</t>
        </is>
      </c>
      <c r="D15" s="60" t="inlineStr">
        <is>
          <t>Enlightenment thinkers developed political philosophies based on natural laws, which included the concepts of social contract, consent of the governed, and the rights of citizens.</t>
        </is>
      </c>
      <c r="E15" s="60" t="inlineStr">
        <is>
          <t>Students will examine at least three Enlightenment thinkers, including John Locke, Baron de Montesquieu, and Jean-Jacques Rousseau, and key ideas from their written works.</t>
        </is>
      </c>
    </row>
    <row r="16" ht="22.5" customHeight="1">
      <c r="A16" s="23" t="inlineStr">
        <is>
          <t>10.02b</t>
        </is>
      </c>
      <c r="B16" s="62" t="inlineStr">
        <is>
          <t>Challenging Tradition</t>
        </is>
      </c>
      <c r="C16" s="60" t="inlineStr">
        <is>
          <t>ENLIGHTENMENT, REVOLUTION, AND NATIONALISM</t>
        </is>
      </c>
      <c r="D16" s="60" t="inlineStr">
        <is>
          <t>Individuals used Enlightenment ideals to challenge traditional beliefs and secure people’s rights in reform movements, such as women’s rights and abolition; some leaders may be considered enlightened despots.</t>
        </is>
      </c>
      <c r="E16" s="60" t="inlineStr">
        <is>
          <t>Individuals used Enlightenment ideals to challenge traditional beliefs and secure people’s rights in reform movements, such as women’s rights and abolition; some leaders may be considered enlightened despots.</t>
        </is>
      </c>
    </row>
    <row r="17" ht="22.5" customHeight="1">
      <c r="A17" s="23" t="inlineStr">
        <is>
          <t>10.02b.1</t>
        </is>
      </c>
      <c r="B17" s="62" t="inlineStr">
        <is>
          <t>Gender &amp; Abolition</t>
        </is>
      </c>
      <c r="C17" s="60" t="inlineStr">
        <is>
          <t>ENLIGHTENMENT, REVOLUTION, AND NATIONALISM</t>
        </is>
      </c>
      <c r="D17" s="60" t="inlineStr">
        <is>
          <t>Individuals used Enlightenment ideals to challenge traditional beliefs and secure people’s rights in reform movements, such as women’s rights and abolition; some leaders may be considered enlightened despots.</t>
        </is>
      </c>
      <c r="E17" s="60" t="inlineStr">
        <is>
          <t>Students will explore the influence of Enlightenment ideals on issues of gender and abolition by examining the ideas of individuals such as Mary Wollstonecraft and William Wilberforce.</t>
        </is>
      </c>
    </row>
    <row r="18" ht="22.5" customHeight="1">
      <c r="A18" s="23" t="inlineStr">
        <is>
          <t>10.02b.2</t>
        </is>
      </c>
      <c r="B18" s="62" t="inlineStr">
        <is>
          <t>Enlightened Despots</t>
        </is>
      </c>
      <c r="C18" s="60" t="inlineStr">
        <is>
          <t>ENLIGHTENMENT, REVOLUTION, AND NATIONALISM</t>
        </is>
      </c>
      <c r="D18" s="60" t="inlineStr">
        <is>
          <t>Individuals used Enlightenment ideals to challenge traditional beliefs and secure people’s rights in reform movements, such as women’s rights and abolition; some leaders may be considered enlightened despots.</t>
        </is>
      </c>
      <c r="E18" s="60" t="inlineStr">
        <is>
          <t>Students will examine enlightened despots including Catherine the Great.</t>
        </is>
      </c>
    </row>
    <row r="19" ht="22.5" customHeight="1">
      <c r="A19" s="23" t="inlineStr">
        <is>
          <t>10.02c</t>
        </is>
      </c>
      <c r="B19" s="62" t="inlineStr">
        <is>
          <t>Political Revolutions</t>
        </is>
      </c>
      <c r="C19" s="60" t="inlineStr">
        <is>
          <t>ENLIGHTENMENT, REVOLUTION, AND NATIONALISM</t>
        </is>
      </c>
      <c r="D19" s="60" t="inlineStr">
        <is>
          <t>Individuals and groups drew upon principles of the Enlightenment to spread rebellions and call for revolutions in France and the Americas.</t>
        </is>
      </c>
      <c r="E19" s="60" t="inlineStr">
        <is>
          <t>Individuals and groups drew upon principles of the Enlightenment to spread rebellions and call for revolutions in France and the Americas.</t>
        </is>
      </c>
    </row>
    <row r="20" ht="22.5" customHeight="1">
      <c r="A20" s="23" t="inlineStr">
        <is>
          <t>10.02c.1</t>
        </is>
      </c>
      <c r="B20" s="62" t="inlineStr">
        <is>
          <t>French Revolutions</t>
        </is>
      </c>
      <c r="C20" s="60" t="inlineStr">
        <is>
          <t>ENLIGHTENMENT, REVOLUTION, AND NATIONALISM</t>
        </is>
      </c>
      <c r="D20" s="60" t="inlineStr">
        <is>
          <t>Individuals and groups drew upon principles of the Enlightenment to spread rebellions and call for revolutions in France and the Americas.</t>
        </is>
      </c>
      <c r="E20" s="60" t="inlineStr">
        <is>
          <t>Students will examine evidence related to the preconditions of the French Revolution and the course of the revolution, noting the roles of Olympe de Gouges, Maximilien Robespierre, and Napoleon Bonaparte.</t>
        </is>
      </c>
    </row>
    <row r="21" ht="22.5" customHeight="1">
      <c r="A21" s="23" t="inlineStr">
        <is>
          <t>10.02c.2</t>
        </is>
      </c>
      <c r="B21" s="62" t="inlineStr">
        <is>
          <t>Latin American Revolutions</t>
        </is>
      </c>
      <c r="C21" s="60" t="inlineStr">
        <is>
          <t>ENLIGHTENMENT, REVOLUTION, AND NATIONALISM</t>
        </is>
      </c>
      <c r="D21" s="60" t="inlineStr">
        <is>
          <t>Individuals and groups drew upon principles of the Enlightenment to spread rebellions and call for revolutions in France and the Americas.</t>
        </is>
      </c>
      <c r="E21" s="60" t="inlineStr">
        <is>
          <t>Students will examine the evidence related to the impacts of the French Revolution on resistance and revolutionary movements, noting the roles of Toussaint L'Ouverture and Simon Bolivar.</t>
        </is>
      </c>
    </row>
    <row r="22" ht="22.5" customHeight="1">
      <c r="A22" s="23" t="inlineStr">
        <is>
          <t>10.02d</t>
        </is>
      </c>
      <c r="B22" s="62" t="inlineStr">
        <is>
          <t>Cultural Identity and Nationalism</t>
        </is>
      </c>
      <c r="C22" s="60" t="inlineStr">
        <is>
          <t>ENLIGHTENMENT, REVOLUTION, AND NATIONALISM</t>
        </is>
      </c>
      <c r="D22" s="60" t="inlineStr">
        <is>
          <t>Cultural identity and nationalism inspired political movements that attempted to unify people into new nation-states and posed challenges to multinational states.</t>
        </is>
      </c>
      <c r="E22" s="60" t="inlineStr">
        <is>
          <t>Cultural identity and nationalism inspired political movements that attempted to unify people into new nation-states and posed challenges to multinational states.</t>
        </is>
      </c>
    </row>
    <row r="23" ht="22.5" customHeight="1">
      <c r="A23" s="23" t="inlineStr">
        <is>
          <t>10.02d.1</t>
        </is>
      </c>
      <c r="B23" s="62" t="inlineStr">
        <is>
          <t>Italy, Germany &amp; Ottoman, Austrian</t>
        </is>
      </c>
      <c r="C23" s="60" t="inlineStr">
        <is>
          <t>ENLIGHTENMENT, REVOLUTION, AND NATIONALISM</t>
        </is>
      </c>
      <c r="D23" s="60" t="inlineStr">
        <is>
          <t>Cultural identity and nationalism inspired political movements that attempted to unify people into new nation-states and posed challenges to multinational states.</t>
        </is>
      </c>
      <c r="E23" s="60" t="inlineStr">
        <is>
          <t>Students will investigate the role of cultural identity and nationalism in the unification of Italy and Germany and in the dissolution of the Ottoman and Austrian Empires.</t>
        </is>
      </c>
    </row>
    <row r="24" ht="22.5" customHeight="1">
      <c r="A24" s="23" t="n">
        <v>10.03</v>
      </c>
      <c r="B24" s="62" t="inlineStr">
        <is>
          <t>Industrial Revolution</t>
        </is>
      </c>
      <c r="C24" s="60" t="inlineStr">
        <is>
          <t>CAUSES AND EFFECTS OF THE INDUSTRIAL REVOLUTION</t>
        </is>
      </c>
      <c r="D24" s="60" t="inlineStr">
        <is>
          <t>Innovations in agriculture, production, and transportation led to the Industrial Revolution, which originated in Western Europe and spread over time to Japan and other regions. This led to major population shifts and transformed economic and social systems.</t>
        </is>
      </c>
      <c r="E24" s="60" t="inlineStr">
        <is>
          <t>Innovations in agriculture, production, and transportation led to the Industrial Revolution, which originated in Western Europe and spread over time to Japan and other regions. This led to major population shifts and transformed economic and social systems.</t>
        </is>
      </c>
    </row>
    <row r="25" ht="22.5" customHeight="1">
      <c r="A25" s="23" t="inlineStr">
        <is>
          <t>10.03a</t>
        </is>
      </c>
      <c r="B25" s="62" t="inlineStr">
        <is>
          <t>Economic and Social Revolutions</t>
        </is>
      </c>
      <c r="C25" s="60" t="inlineStr">
        <is>
          <t>CAUSES AND EFFECTS OF THE INDUSTRIAL REVOLUTION</t>
        </is>
      </c>
      <c r="D25" s="60" t="inlineStr">
        <is>
          <t>Agricultural innovations and technologies enabled people to alter their environment, allowing them to increase and support farming on a large scale.</t>
        </is>
      </c>
      <c r="E25" s="60" t="inlineStr">
        <is>
          <t>Agricultural innovations and technologies enabled people to alter their environment, allowing them to increase and support farming on a large scale.</t>
        </is>
      </c>
    </row>
    <row r="26" ht="22.5" customHeight="1">
      <c r="A26" s="23" t="inlineStr">
        <is>
          <t>10.03a.1</t>
        </is>
      </c>
      <c r="B26" s="62" t="inlineStr">
        <is>
          <t>British Agricultural Revolution</t>
        </is>
      </c>
      <c r="C26" s="60" t="inlineStr">
        <is>
          <t>CAUSES AND EFFECTS OF THE INDUSTRIAL REVOLUTION</t>
        </is>
      </c>
      <c r="D26" s="60" t="inlineStr">
        <is>
          <t>Agricultural innovations and technologies enabled people to alter their environment, allowing them to increase and support farming on a large scale.</t>
        </is>
      </c>
      <c r="E26" s="60" t="inlineStr">
        <is>
          <t>Students will examine the agricultural revolution in Great Britain.</t>
        </is>
      </c>
    </row>
    <row r="27" ht="22.5" customHeight="1">
      <c r="A27" s="23" t="inlineStr">
        <is>
          <t>10.03b</t>
        </is>
      </c>
      <c r="B27" s="62" t="inlineStr">
        <is>
          <t>Economics &amp; Innovations</t>
        </is>
      </c>
      <c r="C27" s="60" t="inlineStr">
        <is>
          <t>CAUSES AND EFFECTS OF THE INDUSTRIAL REVOLUTION</t>
        </is>
      </c>
      <c r="D27" s="60" t="inlineStr">
        <is>
          <t>Factors including new economic theories and practices, new sources of energy, and technological innovations influenced the development of new communication and transportation systems and new methods of production. These developments had numerous effects.</t>
        </is>
      </c>
      <c r="E27" s="60" t="inlineStr">
        <is>
          <t>Factors including new economic theories and practices, new sources of energy, and technological innovations influenced the development of new communication and transportation systems and new methods of production. These developments had numerous effects.</t>
        </is>
      </c>
    </row>
    <row r="28" ht="22.5" customHeight="1">
      <c r="A28" s="23" t="inlineStr">
        <is>
          <t>10.03b.1</t>
        </is>
      </c>
      <c r="B28" s="62" t="inlineStr">
        <is>
          <t>Industrial Production &amp; Economic Practices</t>
        </is>
      </c>
      <c r="C28" s="60" t="inlineStr">
        <is>
          <t>CAUSES AND EFFECTS OF THE INDUSTRIAL REVOLUTION</t>
        </is>
      </c>
      <c r="D28" s="60" t="inlineStr">
        <is>
          <t>Factors including new economic theories and practices, new sources of energy, and technological innovations influenced the development of new communication and transportation systems and new methods of production. These developments had numerous effects.</t>
        </is>
      </c>
      <c r="E28" s="60" t="inlineStr">
        <is>
          <t>Students will analyze the factors and conditions needed to industrialize and to expand industrial production, as well as shifts in economic practices.</t>
        </is>
      </c>
    </row>
    <row r="29" ht="22.5" customHeight="1">
      <c r="A29" s="23" t="inlineStr">
        <is>
          <t>10.03b.2</t>
        </is>
      </c>
      <c r="B29" s="62" t="inlineStr">
        <is>
          <t>Wealth of Nations</t>
        </is>
      </c>
      <c r="C29" s="60" t="inlineStr">
        <is>
          <t>CAUSES AND EFFECTS OF THE INDUSTRIAL REVOLUTION</t>
        </is>
      </c>
      <c r="D29" s="60" t="inlineStr">
        <is>
          <t>Factors including new economic theories and practices, new sources of energy, and technological innovations influenced the development of new communication and transportation systems and new methods of production. These developments had numerous effects.</t>
        </is>
      </c>
      <c r="E29" s="60" t="inlineStr">
        <is>
          <t>Students will examine the economic theory presented in The Wealth of Nations.</t>
        </is>
      </c>
    </row>
    <row r="30" hidden="1" ht="22.5" customHeight="1">
      <c r="A30" s="23" t="n">
        <v>11.03</v>
      </c>
      <c r="B30" s="65" t="inlineStr">
        <is>
          <t>Expansion, Nationalism, and Sectionalism (1800-1865)</t>
        </is>
      </c>
      <c r="C30" s="60" t="inlineStr">
        <is>
          <t>As the nation expanded, growing sectional tensions, especially over slavery, resulted in political and constitutional crises that culminated in the Civil War.</t>
        </is>
      </c>
      <c r="D30" s="60" t="inlineStr">
        <is>
          <t>As the nation expanded, growing sectional tensions, especially over slavery, resulted in political and constitutional crises that culminated in the Civil War.</t>
        </is>
      </c>
      <c r="E30" s="60" t="n"/>
    </row>
    <row r="31" ht="22.5" customHeight="1">
      <c r="A31" s="23" t="inlineStr">
        <is>
          <t>10.03b.3</t>
        </is>
      </c>
      <c r="B31" s="62" t="inlineStr">
        <is>
          <t>Energy, Technology, Communication, &amp; Transportation</t>
        </is>
      </c>
      <c r="C31" s="60" t="inlineStr">
        <is>
          <t>CAUSES AND EFFECTS OF THE INDUSTRIAL REVOLUTION</t>
        </is>
      </c>
      <c r="D31" s="60" t="inlineStr">
        <is>
          <t>Factors including new economic theories and practices, new sources of energy, and technological innovations influenced the development of new communication and transportation systems and new methods of production. These developments had numerous effects.</t>
        </is>
      </c>
      <c r="E31" s="60" t="inlineStr">
        <is>
          <t>Students will examine changes and innovations in energy, technology, communication, and transportation that enabled industrialization.</t>
        </is>
      </c>
    </row>
    <row r="32" ht="22.5" customHeight="1">
      <c r="A32" s="23" t="inlineStr">
        <is>
          <t>10.03c</t>
        </is>
      </c>
      <c r="B32" s="62" t="inlineStr">
        <is>
          <t>Urbanization &amp; Social Impact</t>
        </is>
      </c>
      <c r="C32" s="60" t="inlineStr">
        <is>
          <t>CAUSES AND EFFECTS OF THE INDUSTRIAL REVOLUTION</t>
        </is>
      </c>
      <c r="D32" s="60" t="inlineStr">
        <is>
          <t>Shifts in population from rural to urban areas led to social changes in class structure, family structure, and the daily lives of people.</t>
        </is>
      </c>
      <c r="E32" s="60" t="inlineStr">
        <is>
          <t>Shifts in population from rural to urban areas led to social changes in class structure, family structure, and the daily lives of people.</t>
        </is>
      </c>
    </row>
    <row r="33" ht="22.5" customHeight="1">
      <c r="A33" s="23" t="inlineStr">
        <is>
          <t>10.03c.1</t>
        </is>
      </c>
      <c r="B33" s="62" t="inlineStr">
        <is>
          <t>Comparing Victorian England &amp; Meiji Japan</t>
        </is>
      </c>
      <c r="C33" s="60" t="inlineStr">
        <is>
          <t>CAUSES AND EFFECTS OF THE INDUSTRIAL REVOLUTION</t>
        </is>
      </c>
      <c r="D33" s="60" t="inlineStr">
        <is>
          <t>Shifts in population from rural to urban areas led to social changes in class structure, family structure, and the daily lives of people.</t>
        </is>
      </c>
      <c r="E33" s="60" t="inlineStr">
        <is>
          <t>Students will investigate the social, political, and economic impacts of industrialization in Victorian England and Meiji Japan and compare and contrast them.</t>
        </is>
      </c>
    </row>
    <row r="34" ht="22.5" customHeight="1">
      <c r="A34" s="23" t="inlineStr">
        <is>
          <t>10.03d</t>
        </is>
      </c>
      <c r="B34" s="62" t="inlineStr">
        <is>
          <t>Social &amp; Political Reform</t>
        </is>
      </c>
      <c r="C34" s="60" t="inlineStr">
        <is>
          <t>CAUSES AND EFFECTS OF THE INDUSTRIAL REVOLUTION</t>
        </is>
      </c>
      <c r="D34" s="60" t="inlineStr">
        <is>
          <t>Social and political reform, as well as new ideologies, developed in response to industrial growth.</t>
        </is>
      </c>
      <c r="E34" s="60" t="inlineStr">
        <is>
          <t>Social and political reform, as well as new ideologies, developed in response to industrial growth.</t>
        </is>
      </c>
    </row>
    <row r="35" ht="22.5" customHeight="1">
      <c r="A35" s="23" t="inlineStr">
        <is>
          <t>10.03d.1</t>
        </is>
      </c>
      <c r="B35" s="62" t="inlineStr">
        <is>
          <t>Suffrage, Education/ Labor Reforms, &amp; Marxism</t>
        </is>
      </c>
      <c r="C35" s="60" t="inlineStr">
        <is>
          <t>CAUSES AND EFFECTS OF THE INDUSTRIAL REVOLUTION</t>
        </is>
      </c>
      <c r="D35" s="60" t="inlineStr">
        <is>
          <t>Social and political reform, as well as new ideologies, developed in response to industrial growth.</t>
        </is>
      </c>
      <c r="E35" s="60" t="inlineStr">
        <is>
          <t>Students will investigate suffrage, education, and labor reforms, as well as ideologies such as Marxism, that were intended to transform society.</t>
        </is>
      </c>
    </row>
    <row r="36" ht="22.5" customHeight="1">
      <c r="A36" s="23" t="inlineStr">
        <is>
          <t>10.03d.2</t>
        </is>
      </c>
      <c r="B36" s="62" t="inlineStr">
        <is>
          <t>Irish Potato Famine</t>
        </is>
      </c>
      <c r="C36" s="60" t="inlineStr">
        <is>
          <t>CAUSES AND EFFECTS OF THE INDUSTRIAL REVOLUTION</t>
        </is>
      </c>
      <c r="D36" s="60" t="inlineStr">
        <is>
          <t>Social and political reform, as well as new ideologies, developed in response to industrial growth.</t>
        </is>
      </c>
      <c r="E36" s="60" t="inlineStr">
        <is>
          <t>Students will examine the Irish potato famine within the context of the British agricultural revolution and Industrial Revolution.</t>
        </is>
      </c>
    </row>
    <row r="37" ht="22.5" customHeight="1">
      <c r="A37" s="23" t="n">
        <v>10.04</v>
      </c>
      <c r="B37" s="62" t="inlineStr">
        <is>
          <t>Imperialism</t>
        </is>
      </c>
      <c r="C37" s="60" t="inlineStr">
        <is>
          <t>IMPERIALISM</t>
        </is>
      </c>
      <c r="D37" s="60" t="inlineStr">
        <is>
          <t>Western European interactions with Africa and Asia shifted from limited regional contacts along the coast to greater influence and connections throughout these regions. Competing industrialized states sought to control and transport raw materials and create new markets across the world.</t>
        </is>
      </c>
      <c r="E37" s="60" t="inlineStr">
        <is>
          <t>Western European interactions with Africa and Asia shifted from limited regional contacts along the coast to greater influence and connections throughout these regions. Competing industrialized states sought to control and transport raw materials and create new markets across the world.</t>
        </is>
      </c>
    </row>
    <row r="38" ht="22.5" customHeight="1">
      <c r="A38" s="23" t="inlineStr">
        <is>
          <t>10.04a</t>
        </is>
      </c>
      <c r="B38" s="62" t="inlineStr">
        <is>
          <t>Europe/Japan &amp; Control of Resources</t>
        </is>
      </c>
      <c r="C38" s="60" t="inlineStr">
        <is>
          <t>IMPERIALISM</t>
        </is>
      </c>
      <c r="D38" s="60" t="inlineStr">
        <is>
          <t>European industrialized states and Japan sought to play a dominant role in the world and to control natural resources for political, economic, and cultural reasons.</t>
        </is>
      </c>
      <c r="E38" s="60" t="inlineStr">
        <is>
          <t>European industrialized states and Japan sought to play a dominant role in the world and to control natural resources for political, economic, and cultural reasons.</t>
        </is>
      </c>
    </row>
    <row r="39" ht="22.5" customHeight="1">
      <c r="A39" s="23" t="inlineStr">
        <is>
          <t>10.04a.1</t>
        </is>
      </c>
      <c r="B39" s="62" t="inlineStr">
        <is>
          <t>Perspectives on Imperialism</t>
        </is>
      </c>
      <c r="C39" s="60" t="inlineStr">
        <is>
          <t>IMPERIALISM</t>
        </is>
      </c>
      <c r="D39" s="60" t="inlineStr">
        <is>
          <t>European industrialized states and Japan sought to play a dominant role in the world and to control natural resources for political, economic, and cultural reasons.</t>
        </is>
      </c>
      <c r="E39" s="60" t="inlineStr">
        <is>
          <t>Students will explore imperialism from a variety of perspectives such as those of missionaries, indigenous peoples, women, merchants/business people, and government officials.</t>
        </is>
      </c>
    </row>
    <row r="40" ht="22.5" customHeight="1">
      <c r="A40" s="23" t="inlineStr">
        <is>
          <t>10.04a.2</t>
        </is>
      </c>
      <c r="B40" s="62" t="inlineStr">
        <is>
          <t>Control &amp; Spheres of Influence in Africa &amp; China</t>
        </is>
      </c>
      <c r="C40" s="60" t="inlineStr">
        <is>
          <t>IMPERIALISM</t>
        </is>
      </c>
      <c r="D40" s="60" t="inlineStr">
        <is>
          <t>European industrialized states and Japan sought to play a dominant role in the world and to control natural resources for political, economic, and cultural reasons.</t>
        </is>
      </c>
      <c r="E40" s="60" t="inlineStr">
        <is>
          <t>Students will trace how imperial powers politically and economically controlled territories and people, including direct and indirect rule in Africa (South Africa, Congo, and one other territory), India, Indochina, and spheres of influence in China.</t>
        </is>
      </c>
    </row>
    <row r="41" ht="22.5" customHeight="1">
      <c r="A41" s="23" t="inlineStr">
        <is>
          <t>10.04b</t>
        </is>
      </c>
      <c r="B41" s="62" t="inlineStr">
        <is>
          <t>Resistance &amp; Adaption to Colonial Rule</t>
        </is>
      </c>
      <c r="C41" s="60" t="inlineStr">
        <is>
          <t>IMPERIALISM</t>
        </is>
      </c>
      <c r="D41" s="60" t="inlineStr">
        <is>
          <t>Those who faced being colonized engaged in varying forms of resistance and adaptation to colonial rule with varying degrees of success.</t>
        </is>
      </c>
      <c r="E41" s="60" t="inlineStr">
        <is>
          <t>Those who faced being colonized engaged in varying forms of resistance and adaptation to colonial rule with varying degrees of success.</t>
        </is>
      </c>
    </row>
    <row r="42" ht="22.5" customHeight="1">
      <c r="A42" s="23" t="inlineStr">
        <is>
          <t>10.04b.1</t>
        </is>
      </c>
      <c r="B42" s="62" t="inlineStr">
        <is>
          <t>Resistance in Africa &amp; China</t>
        </is>
      </c>
      <c r="C42" s="60" t="inlineStr">
        <is>
          <t>IMPERIALISM</t>
        </is>
      </c>
      <c r="D42" s="60" t="inlineStr">
        <is>
          <t>Those who faced being colonized engaged in varying forms of resistance and adaptation to colonial rule with varying degrees of success.</t>
        </is>
      </c>
      <c r="E42" s="60" t="inlineStr">
        <is>
          <t>Students will investigate one example of resistance in Africa (Zulu, Ethiopia, or Southern Egypt/Sudan) and one in China (Taiping Rebellion or Boxer Rebellion and the role of Empress Dowager CiXi).</t>
        </is>
      </c>
    </row>
    <row r="43" ht="22.5" customHeight="1">
      <c r="A43" s="23" t="inlineStr">
        <is>
          <t>10.04b.2</t>
        </is>
      </c>
      <c r="B43" s="62" t="inlineStr">
        <is>
          <t>Japanese Reaction to Western Imperialism</t>
        </is>
      </c>
      <c r="C43" s="60" t="inlineStr">
        <is>
          <t>IMPERIALISM</t>
        </is>
      </c>
      <c r="D43" s="60" t="inlineStr">
        <is>
          <t>Those who faced being colonized engaged in varying forms of resistance and adaptation to colonial rule with varying degrees of success.</t>
        </is>
      </c>
      <c r="E43" s="60" t="inlineStr">
        <is>
          <t>Students will investigate how Japan reacted to the threat of Western imperialism in Asia.</t>
        </is>
      </c>
    </row>
    <row r="44" hidden="1" ht="22.5" customHeight="1">
      <c r="A44" s="23" t="n">
        <v>11.04</v>
      </c>
      <c r="B44" s="65" t="inlineStr">
        <is>
          <t>Post-Civil War Era (1865-1900)</t>
        </is>
      </c>
      <c r="C44" s="60" t="inlineStr">
        <is>
          <t>Reconstruction resulted in political reunion and expanded constitutional rights. However, those rights were undermined, and issues of inequality continued for African Americans, women, Native Americans, Mexican Americans, and Chinese immigrants.</t>
        </is>
      </c>
      <c r="D44" s="60" t="inlineStr">
        <is>
          <t>Reconstruction resulted in political reunion and expanded constitutional rights. However, those rights were undermined, and issues of inequality continued for African Americans, women, Native Americans, Mexican Americans, and Chinese immigrants.</t>
        </is>
      </c>
      <c r="E44" s="60" t="n"/>
    </row>
    <row r="45" ht="22.5" customHeight="1">
      <c r="A45" s="23" t="inlineStr">
        <is>
          <t>10.04c</t>
        </is>
      </c>
      <c r="B45" s="62" t="inlineStr">
        <is>
          <t>International Conflicts over Control (incl. Berlin Conference)</t>
        </is>
      </c>
      <c r="C45" s="60" t="inlineStr">
        <is>
          <t>IMPERIALISM</t>
        </is>
      </c>
      <c r="D45" s="60" t="inlineStr">
        <is>
          <t>International conflicts developed as imperial powers competed for control. Claims over land often resulted in borders being shifted on political maps, often with little regard for traditional cultures and commerce (e.g., Berlin Conference).</t>
        </is>
      </c>
      <c r="E45" s="60" t="inlineStr">
        <is>
          <t>International conflicts developed as imperial powers competed for control. Claims over land often resulted in borders being shifted on political maps, often with little regard for traditional cultures and commerce (e.g., Berlin Conference).</t>
        </is>
      </c>
    </row>
    <row r="46" ht="22.5" customHeight="1">
      <c r="A46" s="23" t="inlineStr">
        <is>
          <t>10.04c.1</t>
        </is>
      </c>
      <c r="B46" s="62" t="inlineStr">
        <is>
          <t>Comparing Geography of Africa (c. 1800-1914)</t>
        </is>
      </c>
      <c r="C46" s="60" t="inlineStr">
        <is>
          <t>IMPERIALISM</t>
        </is>
      </c>
      <c r="D46" s="60" t="inlineStr">
        <is>
          <t>International conflicts developed as imperial powers competed for control. Claims over land often resulted in borders being shifted on political maps, often with little regard for traditional cultures and commerce (e.g., Berlin Conference).</t>
        </is>
      </c>
      <c r="E46" s="60" t="inlineStr">
        <is>
          <t>Students will compare and contrast maps of Africa from ca. 1800 and ca. 1914, noting the changes and continuities of ethnic groups and regions, African states, and European claims.</t>
        </is>
      </c>
    </row>
    <row r="47" ht="22.5" customHeight="1">
      <c r="A47" s="23" t="n">
        <v>10.05</v>
      </c>
      <c r="B47" s="62" t="inlineStr">
        <is>
          <t>World Wars (1914-1945)</t>
        </is>
      </c>
      <c r="C47" s="60" t="inlineStr">
        <is>
          <t>UNRESOLVED GLOBAL CONFLICT (1914–1945)</t>
        </is>
      </c>
      <c r="D47" s="60" t="inlineStr">
        <is>
          <t>World War I and World War II led to geopolitical changes, human and environmental devastation, and attempts to bring stability and peace.</t>
        </is>
      </c>
      <c r="E47" s="60" t="inlineStr">
        <is>
          <t>World War I and World War II led to geopolitical changes, human and environmental devastation, and attempts to bring stability and peace.</t>
        </is>
      </c>
    </row>
    <row r="48" ht="22.5" customHeight="1">
      <c r="A48" s="23" t="inlineStr">
        <is>
          <t>10.05a</t>
        </is>
      </c>
      <c r="B48" s="62" t="inlineStr">
        <is>
          <t>Nationalism, Imperialism, &amp; Militarism</t>
        </is>
      </c>
      <c r="C48" s="60" t="inlineStr">
        <is>
          <t>UNRESOLVED GLOBAL CONFLICT (1914–1945)</t>
        </is>
      </c>
      <c r="D48" s="60" t="inlineStr">
        <is>
          <t>International competition, fueled by nationalism, imperialism, and militarism along with shifts in the balance of power and alliances, led to world wars.</t>
        </is>
      </c>
      <c r="E48" s="60" t="inlineStr">
        <is>
          <t>International competition, fueled by nationalism, imperialism, and militarism along with shifts in the balance of power and alliances, led to world wars.</t>
        </is>
      </c>
    </row>
    <row r="49" ht="22.5" customHeight="1">
      <c r="A49" s="23" t="inlineStr">
        <is>
          <t>10.05a.1</t>
        </is>
      </c>
      <c r="B49" s="62" t="inlineStr">
        <is>
          <t>Comparing Cause &amp; Effects of the World Wars</t>
        </is>
      </c>
      <c r="C49" s="60" t="inlineStr">
        <is>
          <t>UNRESOLVED GLOBAL CONFLICT (1914–1945)</t>
        </is>
      </c>
      <c r="D49" s="60" t="inlineStr">
        <is>
          <t>International competition, fueled by nationalism, imperialism, and militarism along with shifts in the balance of power and alliances, led to world wars.</t>
        </is>
      </c>
      <c r="E49" s="60" t="inlineStr">
        <is>
          <t>Students will compare and contrast long- and short-term causes and effects of World War I and World War II.</t>
        </is>
      </c>
    </row>
    <row r="50" ht="22.5" customHeight="1">
      <c r="A50" s="23" t="inlineStr">
        <is>
          <t>10.05b</t>
        </is>
      </c>
      <c r="B50" s="62" t="inlineStr">
        <is>
          <t>Technological Development</t>
        </is>
      </c>
      <c r="C50" s="60" t="inlineStr">
        <is>
          <t>UNRESOLVED GLOBAL CONFLICT (1914–1945)</t>
        </is>
      </c>
      <c r="D50" s="60" t="inlineStr">
        <is>
          <t>Technological developments increased the extent of damage and casualties in both World War I and World War II.</t>
        </is>
      </c>
      <c r="E50" s="60" t="inlineStr">
        <is>
          <t>Technological developments increased the extent of damage and casualties in both World War I and World War II.</t>
        </is>
      </c>
    </row>
    <row r="51" ht="22.5" customHeight="1">
      <c r="A51" s="23" t="inlineStr">
        <is>
          <t>10.05b.1</t>
        </is>
      </c>
      <c r="B51" s="62" t="inlineStr">
        <is>
          <t>Technological Development &amp; Devastation</t>
        </is>
      </c>
      <c r="C51" s="60" t="inlineStr">
        <is>
          <t>UNRESOLVED GLOBAL CONFLICT (1914–1945)</t>
        </is>
      </c>
      <c r="D51" s="60" t="inlineStr">
        <is>
          <t>Technological developments increased the extent of damage and casualties in both World War I and World War II.</t>
        </is>
      </c>
      <c r="E51" s="60" t="inlineStr">
        <is>
          <t>Students will compare and contrast the technologies utilized in both World War I and World War II, noting the human and environmental devastation.</t>
        </is>
      </c>
    </row>
    <row r="52" ht="22.5" customHeight="1">
      <c r="A52" s="23" t="inlineStr">
        <is>
          <t>10.05c</t>
        </is>
      </c>
      <c r="B52" s="62" t="inlineStr">
        <is>
          <t>Total War &amp; International Efforts for Peace</t>
        </is>
      </c>
      <c r="C52" s="60" t="inlineStr">
        <is>
          <t>UNRESOLVED GLOBAL CONFLICT (1914–1945)</t>
        </is>
      </c>
      <c r="D52" s="60" t="inlineStr">
        <is>
          <t>The devastation of the world wars and use of total war led people to explore ways to prevent future world wars.</t>
        </is>
      </c>
      <c r="E52" s="60" t="inlineStr">
        <is>
          <t>The devastation of the world wars and use of total war led people to explore ways to prevent future world wars.</t>
        </is>
      </c>
    </row>
    <row r="53" ht="22.5" customHeight="1">
      <c r="A53" s="23" t="inlineStr">
        <is>
          <t>10.05c.1</t>
        </is>
      </c>
      <c r="B53" s="62" t="inlineStr">
        <is>
          <t>Fourteen Points, the Treaty of Versailles, League of Nations, &amp; United Nations</t>
        </is>
      </c>
      <c r="C53" s="60" t="inlineStr">
        <is>
          <t>UNRESOLVED GLOBAL CONFLICT (1914–1945)</t>
        </is>
      </c>
      <c r="D53" s="60" t="inlineStr">
        <is>
          <t>The devastation of the world wars and use of total war led people to explore ways to prevent future world wars.</t>
        </is>
      </c>
      <c r="E53" s="60" t="inlineStr">
        <is>
          <t>Students will examine international efforts to work together to build stability and peace, including Wilson’s Fourteen Points, the Treaty of Versailles, the League of Nations, and the United Nations.</t>
        </is>
      </c>
    </row>
    <row r="54" ht="22.5" customHeight="1">
      <c r="A54" s="23" t="inlineStr">
        <is>
          <t>10.05d</t>
        </is>
      </c>
      <c r="B54" s="62" t="inlineStr">
        <is>
          <t>Interwar Nationalism &amp; Ideology</t>
        </is>
      </c>
      <c r="C54" s="60" t="inlineStr">
        <is>
          <t>UNRESOLVED GLOBAL CONFLICT (1914–1945)</t>
        </is>
      </c>
      <c r="D54" s="60" t="inlineStr">
        <is>
          <t>Nationalism and ideology played a significant role in shaping the period between the world wars.</t>
        </is>
      </c>
      <c r="E54" s="60" t="inlineStr">
        <is>
          <t>Nationalism and ideology played a significant role in shaping the period between the world wars.</t>
        </is>
      </c>
    </row>
    <row r="55" ht="22.5" customHeight="1">
      <c r="A55" s="23" t="inlineStr">
        <is>
          <t>10.05d.1</t>
        </is>
      </c>
      <c r="B55" s="62" t="inlineStr">
        <is>
          <t>Russian Revolution, Soviet Union, Lenin &amp; Stalin</t>
        </is>
      </c>
      <c r="C55" s="60" t="inlineStr">
        <is>
          <t>UNRESOLVED GLOBAL CONFLICT (1914–1945)</t>
        </is>
      </c>
      <c r="D55" s="60" t="inlineStr">
        <is>
          <t>Nationalism and ideology played a significant role in shaping the period between the world wars.</t>
        </is>
      </c>
      <c r="E55" s="60" t="inlineStr">
        <is>
          <t>Students will examine the Russian Revolution and the development of Soviet ideology and nationalism under Lenin and Stalin.</t>
        </is>
      </c>
    </row>
    <row r="56" ht="22.5" customHeight="1">
      <c r="A56" s="23" t="inlineStr">
        <is>
          <t>10.05d.2</t>
        </is>
      </c>
      <c r="B56" s="62" t="inlineStr">
        <is>
          <t>Nationalism, the Nazi Party, &amp; Hitler in Germany</t>
        </is>
      </c>
      <c r="C56" s="60" t="inlineStr">
        <is>
          <t>UNRESOLVED GLOBAL CONFLICT (1914–1945)</t>
        </is>
      </c>
      <c r="D56" s="60" t="inlineStr">
        <is>
          <t>Nationalism and ideology played a significant role in shaping the period between the world wars.</t>
        </is>
      </c>
      <c r="E56" s="60" t="inlineStr">
        <is>
          <t>Students will examine the role of nationalism and the development of the National Socialist state under Hitler in Germany.</t>
        </is>
      </c>
    </row>
    <row r="57" ht="22.5" customHeight="1">
      <c r="A57" s="23" t="inlineStr">
        <is>
          <t>10.05d.3</t>
        </is>
      </c>
      <c r="B57" s="62" t="inlineStr">
        <is>
          <t>Nationalism &amp; Militarism in Japan</t>
        </is>
      </c>
      <c r="C57" s="60" t="inlineStr">
        <is>
          <t>UNRESOLVED GLOBAL CONFLICT (1914–1945)</t>
        </is>
      </c>
      <c r="D57" s="60" t="inlineStr">
        <is>
          <t>Nationalism and ideology played a significant role in shaping the period between the world wars.</t>
        </is>
      </c>
      <c r="E57" s="60" t="inlineStr">
        <is>
          <t>Students will examine the role of nationalism and militarism in Japan.</t>
        </is>
      </c>
    </row>
    <row r="58" hidden="1" ht="22.5" customHeight="1">
      <c r="A58" s="23" t="n">
        <v>11.05</v>
      </c>
      <c r="B58" s="65" t="inlineStr">
        <is>
          <t>Industrialization and Urbanization (1870-1920)</t>
        </is>
      </c>
      <c r="C58" s="60" t="inlineStr">
        <is>
          <t>The United States was transformed from an agrarian to an increasingly industrial and urbanized society. Although this transformation created new economic opportunities, it also created societal problems that were addressed by a variety of reform efforts.</t>
        </is>
      </c>
      <c r="D58" s="60" t="inlineStr">
        <is>
          <t>The United States was transformed from an agrarian to an increasingly industrial and urbanized society. Although this transformation created new economic opportunities, it also created societal problems that were addressed by a variety of reform efforts.</t>
        </is>
      </c>
      <c r="E58" s="60" t="n"/>
    </row>
    <row r="59" ht="22.5" customHeight="1">
      <c r="A59" s="23" t="inlineStr">
        <is>
          <t>10.05d.4</t>
        </is>
      </c>
      <c r="B59" s="62" t="inlineStr">
        <is>
          <t>Great Depression &amp; Totalitarian Dictators</t>
        </is>
      </c>
      <c r="C59" s="60" t="inlineStr">
        <is>
          <t>UNRESOLVED GLOBAL CONFLICT (1914–1945)</t>
        </is>
      </c>
      <c r="D59" s="60" t="inlineStr">
        <is>
          <t>Nationalism and ideology played a significant role in shaping the period between the world wars.</t>
        </is>
      </c>
      <c r="E59" s="60" t="inlineStr">
        <is>
          <t>Students will investigate the causes of the Great Depression and its influence on the rise of totalitarian dictators and determine the common characteristics of these dictators.</t>
        </is>
      </c>
    </row>
    <row r="60" ht="22.5" customHeight="1">
      <c r="A60" s="23" t="inlineStr">
        <is>
          <t>10.05e</t>
        </is>
      </c>
      <c r="B60" s="62" t="inlineStr">
        <is>
          <t>Atrocities</t>
        </is>
      </c>
      <c r="C60" s="60" t="inlineStr">
        <is>
          <t>UNRESOLVED GLOBAL CONFLICT (1914–1945)</t>
        </is>
      </c>
      <c r="D60" s="60" t="inlineStr">
        <is>
          <t>Human atrocities and mass murders occurred in this time period.</t>
        </is>
      </c>
      <c r="E60" s="60" t="inlineStr">
        <is>
          <t>Human atrocities and mass murders occurred in this time period.</t>
        </is>
      </c>
    </row>
    <row r="61" ht="22.5" customHeight="1">
      <c r="A61" s="23" t="inlineStr">
        <is>
          <t>10.05e.1</t>
        </is>
      </c>
      <c r="B61" s="62" t="inlineStr">
        <is>
          <t>Armenian Genocide, Ukranian Holodomor, &amp; the Holocaust</t>
        </is>
      </c>
      <c r="C61" s="60" t="inlineStr">
        <is>
          <t>UNRESOLVED GLOBAL CONFLICT (1914–1945)</t>
        </is>
      </c>
      <c r="D61" s="60" t="inlineStr">
        <is>
          <t>Human atrocities and mass murders occurred in this time period.</t>
        </is>
      </c>
      <c r="E61" s="60" t="inlineStr">
        <is>
          <t>Students will examine the atrocities against the Armenians; examine the Ukrainian Holodomor, and examine the Holocaust.</t>
        </is>
      </c>
    </row>
    <row r="62" ht="22.5" customHeight="1">
      <c r="A62" s="23" t="n">
        <v>10.06</v>
      </c>
      <c r="B62" s="62" t="inlineStr">
        <is>
          <t>Cold War (1945-1991)</t>
        </is>
      </c>
      <c r="C62" s="60" t="inlineStr">
        <is>
          <t>UNRESOLVED GLOBAL CONFLICT (1945–1991: THE COLD WAR)</t>
        </is>
      </c>
      <c r="D62" s="60" t="inlineStr">
        <is>
          <t>The second half of the 20th century was shaped by the Cold War, a legacy of World War II. The United States and the Soviet Union emerged as global superpowers engaged in ideological, political, economic, and military competition.</t>
        </is>
      </c>
      <c r="E62" s="60" t="inlineStr">
        <is>
          <t>The second half of the 20th century was shaped by the Cold War, a legacy of World War II. The United States and the Soviet Union emerged as global superpowers engaged in ideological, political, economic, and military competition.</t>
        </is>
      </c>
    </row>
    <row r="63" ht="22.5" customHeight="1">
      <c r="A63" s="23" t="inlineStr">
        <is>
          <t>10.06a</t>
        </is>
      </c>
      <c r="B63" s="62" t="inlineStr">
        <is>
          <t>Cold War Balance of Power (1945-1991 C.E.)</t>
        </is>
      </c>
      <c r="C63" s="60" t="inlineStr">
        <is>
          <t>UNRESOLVED GLOBAL CONFLICT (1945–1991: THE COLD WAR)</t>
        </is>
      </c>
      <c r="D63" s="60" t="inlineStr">
        <is>
          <t>The Cold War originated from tensions near the end of World War II as plans for peace were made and implemented. The Cold War was characterized by competition for power and ideological differences between the United States and the Soviet Union.</t>
        </is>
      </c>
      <c r="E63" s="60" t="inlineStr">
        <is>
          <t>The Cold War originated from tensions near the end of World War II as plans for peace were made and implemented. The Cold War was characterized by competition for power and ideological differences between the United States and the Soviet Union.</t>
        </is>
      </c>
    </row>
    <row r="64" ht="22.5" customHeight="1">
      <c r="A64" s="23" t="inlineStr">
        <is>
          <t>10.06a.1</t>
        </is>
      </c>
      <c r="B64" s="62" t="inlineStr">
        <is>
          <t>Conceptions of Peace vs the Reality of Post-War Europe</t>
        </is>
      </c>
      <c r="C64" s="60" t="inlineStr">
        <is>
          <t>UNRESOLVED GLOBAL CONFLICT (1945–1991: THE COLD WAR)</t>
        </is>
      </c>
      <c r="D64" s="60" t="inlineStr">
        <is>
          <t>The Cold War originated from tensions near the end of World War II as plans for peace were made and implemented. The Cold War was characterized by competition for power and ideological differences between the United States and the Soviet Union.</t>
        </is>
      </c>
      <c r="E64" s="60" t="inlineStr">
        <is>
          <t>Students will compare and contrast how peace was conceived at Yalta and Potsdam with what happened in Europe in the four years after World War II (i.e., Soviet occupation of Eastern Europe, Truman Doctrine, Berlin blockade, NATO).</t>
        </is>
      </c>
    </row>
    <row r="65" ht="22.5" customHeight="1">
      <c r="A65" s="23" t="inlineStr">
        <is>
          <t>10.06b</t>
        </is>
      </c>
      <c r="B65" s="62" t="inlineStr">
        <is>
          <t>Cold War Confrontations and Attempts at Peace</t>
        </is>
      </c>
      <c r="C65" s="60" t="inlineStr">
        <is>
          <t>UNRESOLVED GLOBAL CONFLICT (1945–1991: THE COLD WAR)</t>
        </is>
      </c>
      <c r="D65" s="60" t="inlineStr">
        <is>
          <t>The Cold War was a period of confrontations and attempts at peaceful coexistence.</t>
        </is>
      </c>
      <c r="E65" s="60" t="inlineStr">
        <is>
          <t>The Cold War was a period of confrontations and attempts at peaceful coexistence.</t>
        </is>
      </c>
    </row>
    <row r="66" ht="22.5" customHeight="1">
      <c r="A66" s="23" t="inlineStr">
        <is>
          <t>10.06b.1</t>
        </is>
      </c>
      <c r="B66" s="62" t="inlineStr">
        <is>
          <t>Cuba, Vietnam, Afghanistan</t>
        </is>
      </c>
      <c r="C66" s="60" t="inlineStr">
        <is>
          <t>UNRESOLVED GLOBAL CONFLICT (1945–1991: THE COLD WAR)</t>
        </is>
      </c>
      <c r="D66" s="60" t="inlineStr">
        <is>
          <t>The Cold War was a period of confrontations and attempts at peaceful coexistence.</t>
        </is>
      </c>
      <c r="E66" s="60" t="inlineStr">
        <is>
          <t>Students will investigate the efforts to expand and contain communism in Cuba, Vietnam, and Afghanistan from multiple perspectives.</t>
        </is>
      </c>
    </row>
    <row r="67" ht="22.5" customHeight="1">
      <c r="A67" s="23" t="inlineStr">
        <is>
          <t>10.06b.2</t>
        </is>
      </c>
      <c r="B67" s="62" t="inlineStr">
        <is>
          <t>Military Alliances, Nuclear Proliferation, &amp; the Military-Industrial Complex</t>
        </is>
      </c>
      <c r="C67" s="60" t="inlineStr">
        <is>
          <t>UNRESOLVED GLOBAL CONFLICT (1945–1991: THE COLD WAR)</t>
        </is>
      </c>
      <c r="D67" s="60" t="inlineStr">
        <is>
          <t>The Cold War was a period of confrontations and attempts at peaceful coexistence.</t>
        </is>
      </c>
      <c r="E67" s="60" t="inlineStr">
        <is>
          <t>Students will examine the new military alliances, nuclear proliferation, and the rise of the military-industrial complex.</t>
        </is>
      </c>
    </row>
    <row r="68" ht="22.5" customHeight="1">
      <c r="A68" s="23" t="inlineStr">
        <is>
          <t>10.06b.3</t>
        </is>
      </c>
      <c r="B68" s="62" t="inlineStr">
        <is>
          <t>Nonalignment</t>
        </is>
      </c>
      <c r="C68" s="60" t="inlineStr">
        <is>
          <t>UNRESOLVED GLOBAL CONFLICT (1945–1991: THE COLD WAR)</t>
        </is>
      </c>
      <c r="D68" s="60" t="inlineStr">
        <is>
          <t>The Cold War was a period of confrontations and attempts at peaceful coexistence.</t>
        </is>
      </c>
      <c r="E68" s="60" t="inlineStr">
        <is>
          <t>Students will examine the reasons countries such as Egypt and India chose nonalignment.</t>
        </is>
      </c>
    </row>
    <row r="69" ht="22.5" customHeight="1">
      <c r="A69" s="23" t="inlineStr">
        <is>
          <t>10.06b.4</t>
        </is>
      </c>
      <c r="B69" s="62" t="inlineStr">
        <is>
          <t>Détente Perspectives</t>
        </is>
      </c>
      <c r="C69" s="60" t="inlineStr">
        <is>
          <t>UNRESOLVED GLOBAL CONFLICT (1945–1991: THE COLD WAR)</t>
        </is>
      </c>
      <c r="D69" s="60" t="inlineStr">
        <is>
          <t>The Cold War was a period of confrontations and attempts at peaceful coexistence.</t>
        </is>
      </c>
      <c r="E69" s="60" t="inlineStr">
        <is>
          <t>Students will explore the era of détente from both American and Soviet perspectives.</t>
        </is>
      </c>
    </row>
    <row r="70" ht="22.5" customHeight="1">
      <c r="A70" s="23" t="inlineStr">
        <is>
          <t>10.06c</t>
        </is>
      </c>
      <c r="B70" s="62" t="inlineStr">
        <is>
          <t>Collapse of Communism and the Breakup of the Soviet Union</t>
        </is>
      </c>
      <c r="C70" s="60" t="inlineStr">
        <is>
          <t>UNRESOLVED GLOBAL CONFLICT (1945–1991: THE COLD WAR)</t>
        </is>
      </c>
      <c r="D70" s="60" t="inlineStr">
        <is>
          <t>The end of the Cold War and the collapse of the communist bloc in Europe had a global impact.</t>
        </is>
      </c>
      <c r="E70" s="60" t="inlineStr">
        <is>
          <t>The end of the Cold War and the collapse of the communist bloc in Europe had a global impact.</t>
        </is>
      </c>
    </row>
    <row r="71" hidden="1" ht="22.5" customHeight="1">
      <c r="A71" s="23" t="n">
        <v>11.06</v>
      </c>
      <c r="B71" s="65" t="inlineStr">
        <is>
          <t>Rise of American Power (1890-1920)</t>
        </is>
      </c>
      <c r="C71" s="60" t="inlineStr">
        <is>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is>
      </c>
      <c r="D71" s="60" t="inlineStr">
        <is>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is>
      </c>
      <c r="E71" s="60" t="n"/>
    </row>
    <row r="72" ht="22.5" customHeight="1">
      <c r="A72" s="23" t="inlineStr">
        <is>
          <t>10.06c.1</t>
        </is>
      </c>
      <c r="B72" s="62" t="inlineStr">
        <is>
          <t>Glasnost &amp; Perestroika Reforms</t>
        </is>
      </c>
      <c r="C72" s="60" t="inlineStr">
        <is>
          <t>UNRESOLVED GLOBAL CONFLICT (1945–1991: THE COLD WAR)</t>
        </is>
      </c>
      <c r="D72" s="60" t="inlineStr">
        <is>
          <t>The end of the Cold War and the collapse of the communist bloc in Europe had a global impact.</t>
        </is>
      </c>
      <c r="E72" s="60" t="inlineStr">
        <is>
          <t>Students will investigate the political reforms of glasnost and economic reforms of perestroika.</t>
        </is>
      </c>
    </row>
    <row r="73" ht="22.5" customHeight="1">
      <c r="A73" s="23" t="inlineStr">
        <is>
          <t>10.06c.2</t>
        </is>
      </c>
      <c r="B73" s="62" t="inlineStr">
        <is>
          <t>Impact of Reform on  the Soviet Union, Bloc, and the World</t>
        </is>
      </c>
      <c r="C73" s="60" t="inlineStr">
        <is>
          <t>UNRESOLVED GLOBAL CONFLICT (1945–1991: THE COLD WAR)</t>
        </is>
      </c>
      <c r="D73" s="60" t="inlineStr">
        <is>
          <t>The end of the Cold War and the collapse of the communist bloc in Europe had a global impact.</t>
        </is>
      </c>
      <c r="E73" s="60" t="inlineStr">
        <is>
          <t>Students will examine the impacts of those reforms within the Soviet Union, on the Soviet communist bloc, and in the world.</t>
        </is>
      </c>
    </row>
    <row r="74" ht="22.5" customHeight="1">
      <c r="A74" s="23" t="n">
        <v>10.07</v>
      </c>
      <c r="B74" s="62" t="inlineStr">
        <is>
          <t>Decolonization &amp; Nationalism (1900's)</t>
        </is>
      </c>
      <c r="C74" s="60" t="inlineStr">
        <is>
          <t>DECOLONIZATION AND NATIONALISM (1900–2000)</t>
        </is>
      </c>
      <c r="D74" s="60" t="inlineStr">
        <is>
          <t>Nationalist and decolonization movements employed a variety of methods, including nonviolent resistance and armed struggle. Tensions and conflicts often continued after independence as new challenges arose.</t>
        </is>
      </c>
      <c r="E74" s="60" t="inlineStr">
        <is>
          <t>Nationalist and decolonization movements employed a variety of methods, including nonviolent resistance and armed struggle. Tensions and conflicts often continued after independence as new challenges arose.</t>
        </is>
      </c>
    </row>
    <row r="75" ht="22.5" customHeight="1">
      <c r="A75" s="23" t="inlineStr">
        <is>
          <t>10.07a</t>
        </is>
      </c>
      <c r="B75" s="62" t="inlineStr">
        <is>
          <t>India and Indochina Independence (1931 – 1975 C.E.)</t>
        </is>
      </c>
      <c r="C75" s="60" t="inlineStr">
        <is>
          <t>DECOLONIZATION AND NATIONALISM (1900–2000)</t>
        </is>
      </c>
      <c r="D75" s="60" t="inlineStr">
        <is>
          <t>Independence movements in India and Indochina developed in response to European control.</t>
        </is>
      </c>
      <c r="E75" s="60" t="inlineStr">
        <is>
          <t>Independence movements in India and Indochina developed in response to European control.</t>
        </is>
      </c>
    </row>
    <row r="76" ht="22.5" customHeight="1">
      <c r="A76" s="23" t="inlineStr">
        <is>
          <t>10.07a.1</t>
        </is>
      </c>
      <c r="B76" s="62" t="inlineStr">
        <is>
          <t>Gandhi’s Nonviolent Nationalist Movement, the Muslim League, &amp; Partition</t>
        </is>
      </c>
      <c r="C76" s="60" t="inlineStr">
        <is>
          <t>DECOLONIZATION AND NATIONALISM (1900–2000)</t>
        </is>
      </c>
      <c r="D76" s="60" t="inlineStr">
        <is>
          <t>Independence movements in India and Indochina developed in response to European control.</t>
        </is>
      </c>
      <c r="E76" s="60" t="inlineStr">
        <is>
          <t>Students will explore Gandhi’s nonviolent nationalist movement and nationalist efforts led by the Muslim League aimed at the masses that resulted in a British-partitioned subcontinent.</t>
        </is>
      </c>
    </row>
    <row r="77" ht="22.5" customHeight="1">
      <c r="A77" s="23" t="inlineStr">
        <is>
          <t>10.07a.2</t>
        </is>
      </c>
      <c r="B77" s="62" t="inlineStr">
        <is>
          <t>Comparing Gandhi &amp; Ho Chi Minh</t>
        </is>
      </c>
      <c r="C77" s="60" t="inlineStr">
        <is>
          <t>DECOLONIZATION AND NATIONALISM (1900–2000)</t>
        </is>
      </c>
      <c r="D77" s="60" t="inlineStr">
        <is>
          <t>Independence movements in India and Indochina developed in response to European control.</t>
        </is>
      </c>
      <c r="E77" s="60" t="inlineStr">
        <is>
          <t>Students will compare and contrast the ideologies and methodologies of Gandhi and Ho Chi Minh as nationalist leaders.</t>
        </is>
      </c>
    </row>
    <row r="78" ht="22.5" customHeight="1">
      <c r="A78" s="23" t="inlineStr">
        <is>
          <t>10.07b</t>
        </is>
      </c>
      <c r="B78" s="62" t="inlineStr">
        <is>
          <t>African Independence Movements (1884 – 1994 C.E.)</t>
        </is>
      </c>
      <c r="C78" s="60" t="inlineStr">
        <is>
          <t>DECOLONIZATION AND NATIONALISM (1900–2000)</t>
        </is>
      </c>
      <c r="D78" s="60" t="inlineStr">
        <is>
          <t>African independence movements gained strength as European states struggled economically after World War II. European efforts to limit African nationalist movements were often unsuccessful.</t>
        </is>
      </c>
      <c r="E78" s="60" t="inlineStr">
        <is>
          <t>African independence movements gained strength as European states struggled economically after World War II. European efforts to limit African nationalist movements were often unsuccessful.</t>
        </is>
      </c>
    </row>
    <row r="79" ht="22.5" customHeight="1">
      <c r="A79" s="23" t="inlineStr">
        <is>
          <t>10.07b.1</t>
        </is>
      </c>
      <c r="B79" s="62" t="inlineStr">
        <is>
          <t>Ghana, Algeria, and/or Kenya</t>
        </is>
      </c>
      <c r="C79" s="60" t="inlineStr">
        <is>
          <t>DECOLONIZATION AND NATIONALISM (1900–2000)</t>
        </is>
      </c>
      <c r="D79" s="60" t="inlineStr">
        <is>
          <t>African independence movements gained strength as European states struggled economically after World War II. European efforts to limit African nationalist movements were often unsuccessful.</t>
        </is>
      </c>
      <c r="E79" s="60" t="inlineStr">
        <is>
          <t>Students will explore at least two of these three African independence movements: Ghana, Algeria, Kenya.</t>
        </is>
      </c>
    </row>
    <row r="80" ht="22.5" customHeight="1">
      <c r="A80" s="23" t="inlineStr">
        <is>
          <t>10.07c</t>
        </is>
      </c>
      <c r="B80" s="62" t="inlineStr">
        <is>
          <t>Conflicts and Change in Middle East</t>
        </is>
      </c>
      <c r="C80" s="60" t="inlineStr">
        <is>
          <t>DECOLONIZATION AND NATIONALISM (1900–2000)</t>
        </is>
      </c>
      <c r="D80" s="60" t="inlineStr">
        <is>
          <t>Nationalism in the Middle East was often influenced by factors such as religious beliefs and secularism.</t>
        </is>
      </c>
      <c r="E80" s="60" t="inlineStr">
        <is>
          <t>Nationalism in the Middle East was often influenced by factors such as religious beliefs and secularism.</t>
        </is>
      </c>
    </row>
    <row r="81" ht="22.5" customHeight="1">
      <c r="A81" s="23" t="inlineStr">
        <is>
          <t>10.07c.1</t>
        </is>
      </c>
      <c r="B81" s="62" t="inlineStr">
        <is>
          <t>Zionism, Mandates, &amp; Arab Nationalism</t>
        </is>
      </c>
      <c r="C81" s="60" t="inlineStr">
        <is>
          <t>DECOLONIZATION AND NATIONALISM (1900–2000)</t>
        </is>
      </c>
      <c r="D81" s="60" t="inlineStr">
        <is>
          <t>Nationalism in the Middle East was often influenced by factors such as religious beliefs and secularism.</t>
        </is>
      </c>
      <c r="E81" s="60" t="inlineStr">
        <is>
          <t>Students will investigate Zionism, the mandates created at the end of World War I, and Arab nationalism.</t>
        </is>
      </c>
    </row>
    <row r="82" ht="22.5" customHeight="1">
      <c r="A82" s="23" t="inlineStr">
        <is>
          <t>10.07c.2</t>
        </is>
      </c>
      <c r="B82" s="62" t="inlineStr">
        <is>
          <t>Arab-Israeli Conflict</t>
        </is>
      </c>
      <c r="C82" s="60" t="inlineStr">
        <is>
          <t>DECOLONIZATION AND NATIONALISM (1900–2000)</t>
        </is>
      </c>
      <c r="D82" s="60" t="inlineStr">
        <is>
          <t>Nationalism in the Middle East was often influenced by factors such as religious beliefs and secularism.</t>
        </is>
      </c>
      <c r="E82" s="60" t="inlineStr">
        <is>
          <t>Students will examine the creation of the State of Israel and the Arab-Israeli conflict.</t>
        </is>
      </c>
    </row>
    <row r="83" ht="22.5" customHeight="1">
      <c r="A83" s="23" t="inlineStr">
        <is>
          <t>10.07d</t>
        </is>
      </c>
      <c r="B83" s="62" t="inlineStr">
        <is>
          <t>Chinese Communist Revolution</t>
        </is>
      </c>
      <c r="C83" s="60" t="inlineStr">
        <is>
          <t>DECOLONIZATION AND NATIONALISM (1900–2000)</t>
        </is>
      </c>
      <c r="D83" s="60" t="inlineStr">
        <is>
          <t>Nationalism in China influenced the removal of the imperial regime, led to numerous conflicts, and resulted in the formation of the communist People’s Republic of China.</t>
        </is>
      </c>
      <c r="E83" s="60" t="inlineStr">
        <is>
          <t>Nationalism in China influenced the removal of the imperial regime, led to numerous conflicts, and resulted in the formation of the communist People’s Republic of China.</t>
        </is>
      </c>
    </row>
    <row r="84" ht="22.5" customHeight="1">
      <c r="A84" s="23" t="inlineStr">
        <is>
          <t>10.07d.1</t>
        </is>
      </c>
      <c r="B84" s="62" t="inlineStr">
        <is>
          <t>Chinese Civil War, Communist China, &amp; Nationalist Taiwan</t>
        </is>
      </c>
      <c r="C84" s="60" t="inlineStr">
        <is>
          <t>DECOLONIZATION AND NATIONALISM (1900–2000)</t>
        </is>
      </c>
      <c r="D84" s="60" t="inlineStr">
        <is>
          <t>Nationalism in China influenced the removal of the imperial regime, led to numerous conflicts, and resulted in the formation of the communist People’s Republic of China.</t>
        </is>
      </c>
      <c r="E84" s="60" t="inlineStr">
        <is>
          <t>Students will trace the Chinese Civil War, including the role of warlords, nationalists, communists, and the world wars that resulted in the division of China into a communist-run People’s Republic of China and a nationalist-run Taiwan.</t>
        </is>
      </c>
    </row>
    <row r="85" ht="22.5" customHeight="1">
      <c r="A85" s="23" t="inlineStr">
        <is>
          <t>10.07d.2</t>
        </is>
      </c>
      <c r="B85" s="62" t="inlineStr">
        <is>
          <t>Comparing Mao Zedong &amp; Deng Xiaoping</t>
        </is>
      </c>
      <c r="C85" s="60" t="inlineStr">
        <is>
          <t>DECOLONIZATION AND NATIONALISM (1900–2000)</t>
        </is>
      </c>
      <c r="D85" s="60" t="inlineStr">
        <is>
          <t>Nationalism in China influenced the removal of the imperial regime, led to numerous conflicts, and resulted in the formation of the communist People’s Republic of China.</t>
        </is>
      </c>
      <c r="E85" s="60" t="inlineStr">
        <is>
          <t>Students will investigate political, economic, and social policies under Mao Zedong and Deng Xiaoping and compare and contrast these policies.</t>
        </is>
      </c>
    </row>
    <row r="86" hidden="1" ht="22.5" customHeight="1">
      <c r="A86" s="23" t="n">
        <v>11.07</v>
      </c>
      <c r="B86" s="65" t="inlineStr">
        <is>
          <t>Prosperity and Depression (1920-1939)</t>
        </is>
      </c>
      <c r="C86" s="60" t="inlineStr">
        <is>
          <t>The 1920s and 1930s were a time of cultural and economic changes in the nation. During this period, the nation faced significant domestic challenges, including the Great Depression</t>
        </is>
      </c>
      <c r="D86" s="60" t="inlineStr">
        <is>
          <t>The 1920s and 1930s were a time of cultural and economic changes in the nation. During this period, the nation faced significant domestic challenges, including the Great Depression</t>
        </is>
      </c>
      <c r="E86" s="60" t="n"/>
    </row>
    <row r="87" ht="22.5" customHeight="1">
      <c r="A87" s="23" t="n">
        <v>10.08</v>
      </c>
      <c r="B87" s="62" t="inlineStr">
        <is>
          <t>Tradition vs Modernization</t>
        </is>
      </c>
      <c r="C87" s="60" t="inlineStr">
        <is>
          <t>TENSIONS BETWEEN TRADITIONAL CULTURES AND MODERNIZATION</t>
        </is>
      </c>
      <c r="D87" s="60" t="inlineStr">
        <is>
          <t>Tensions exist between traditional cultures and agents of modernization. Reactions for and against modernization depend on perspective and context.</t>
        </is>
      </c>
      <c r="E87" s="60" t="inlineStr">
        <is>
          <t>Tensions exist between traditional cultures and agents of modernization. Reactions for and against modernization depend on perspective and context.</t>
        </is>
      </c>
    </row>
    <row r="88" ht="22.5" customHeight="1">
      <c r="A88" s="23" t="inlineStr">
        <is>
          <t>10.08a</t>
        </is>
      </c>
      <c r="B88" s="62" t="inlineStr">
        <is>
          <t>Tensions Between Traditional Cultures and Modernization</t>
        </is>
      </c>
      <c r="C88" s="60" t="inlineStr">
        <is>
          <t>TENSIONS BETWEEN TRADITIONAL CULTURES AND MODERNIZATION</t>
        </is>
      </c>
      <c r="D88" s="60" t="inlineStr">
        <is>
          <t>Cultures and countries experience and view modernization differently. For some, it is a change from a traditional rural, agrarian condition to a secular, urban, industrial condition. Some see modernization as a potential threat and others as an opportunity to be met.</t>
        </is>
      </c>
      <c r="E88" s="60" t="inlineStr">
        <is>
          <t>Cultures and countries experience and view modernization differently. For some, it is a change from a traditional rural, agrarian condition to a secular, urban, industrial condition. Some see modernization as a potential threat and others as an opportunity to be met.</t>
        </is>
      </c>
    </row>
    <row r="89" ht="22.5" customHeight="1">
      <c r="A89" s="23" t="inlineStr">
        <is>
          <t>10.08a.1</t>
        </is>
      </c>
      <c r="B89" s="62" t="inlineStr">
        <is>
          <t>Changes  in Social Roles &amp; Institutions</t>
        </is>
      </c>
      <c r="C89" s="60" t="inlineStr">
        <is>
          <t>TENSIONS BETWEEN TRADITIONAL CULTURES AND MODERNIZATION</t>
        </is>
      </c>
      <c r="D89" s="60" t="inlineStr">
        <is>
          <t>Cultures and countries experience and view modernization differently. For some, it is a change from a traditional rural, agrarian condition to a secular, urban, industrial condition. Some see modernization as a potential threat and others as an opportunity to be met.</t>
        </is>
      </c>
      <c r="E89" s="60" t="inlineStr">
        <is>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is>
      </c>
    </row>
    <row r="90" ht="22.5" customHeight="1">
      <c r="A90" s="23" t="inlineStr">
        <is>
          <t>10.08b</t>
        </is>
      </c>
      <c r="B90" s="62" t="inlineStr">
        <is>
          <t>Modernization and Traditional Culture</t>
        </is>
      </c>
      <c r="C90" s="60" t="inlineStr">
        <is>
          <t>TENSIONS BETWEEN TRADITIONAL CULTURES AND MODERNIZATION</t>
        </is>
      </c>
      <c r="D90" s="60" t="inlineStr">
        <is>
          <t>Tensions between agents of modernization and traditional cultures have resulted in ongoing debates within affected societies regarding social norms, gender roles, and the role of authorities and institutions.</t>
        </is>
      </c>
      <c r="E90" s="60" t="inlineStr">
        <is>
          <t>Tensions between agents of modernization and traditional cultures have resulted in ongoing debates within affected societies regarding social norms, gender roles, and the role of authorities and institutions.</t>
        </is>
      </c>
    </row>
    <row r="91" ht="22.5" customHeight="1">
      <c r="A91" s="23" t="inlineStr">
        <is>
          <t>10.08b.1</t>
        </is>
      </c>
      <c r="B91" s="62" t="inlineStr">
        <is>
          <t>Comparing Turkey (Kemal Atatürk) &amp; Iran (Pahlavis &amp; the Ayatollahs)</t>
        </is>
      </c>
      <c r="C91" s="60" t="inlineStr">
        <is>
          <t>TENSIONS BETWEEN TRADITIONAL CULTURES AND MODERNIZATION</t>
        </is>
      </c>
      <c r="D91" s="60" t="inlineStr">
        <is>
          <t>Tensions between agents of modernization and traditional cultures have resulted in ongoing debates within affected societies regarding social norms, gender roles, and the role of authorities and institutions.</t>
        </is>
      </c>
      <c r="E91" s="60" t="inlineStr">
        <is>
          <t>Students will investigate, compare, and contrast tensions between modernization and traditional culture in Turkey under the rule of Kemal Atatürk and in Iran under the Pahlavis and the Ayatollahs.</t>
        </is>
      </c>
    </row>
    <row r="92" ht="22.5" customHeight="1">
      <c r="A92" s="23" t="inlineStr">
        <is>
          <t>10.08b.2</t>
        </is>
      </c>
      <c r="B92" s="62" t="inlineStr">
        <is>
          <t>Advancements in Communications &amp; Transportation Effect on Authority</t>
        </is>
      </c>
      <c r="C92" s="60" t="inlineStr">
        <is>
          <t>TENSIONS BETWEEN TRADITIONAL CULTURES AND MODERNIZATION</t>
        </is>
      </c>
      <c r="D92" s="60" t="inlineStr">
        <is>
          <t>Tensions between agents of modernization and traditional cultures have resulted in ongoing debates within affected societies regarding social norms, gender roles, and the role of authorities and institutions.</t>
        </is>
      </c>
      <c r="E92" s="60" t="inlineStr">
        <is>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is>
      </c>
    </row>
    <row r="93" ht="22.5" customHeight="1">
      <c r="A93" s="23" t="n">
        <v>10.09</v>
      </c>
      <c r="B93" s="62" t="inlineStr">
        <is>
          <t>Globalization &amp; Environment</t>
        </is>
      </c>
      <c r="C93" s="60" t="inlineStr">
        <is>
          <t>GLOBALIZATION AND A CHANGING GLOBAL ENVIRONMENT (1990–PRESENT)</t>
        </is>
      </c>
      <c r="D93" s="60" t="inlineStr">
        <is>
          <t>Technological changes have resulted in a more interconnected world, affecting economic and political relations and in some cases leading to conflict and in others to efforts to cooperate. Globalization and population pressures have led to strains on the environment.</t>
        </is>
      </c>
      <c r="E93" s="60" t="inlineStr">
        <is>
          <t>Technological changes have resulted in a more interconnected world, affecting economic and political relations and in some cases leading to conflict and in others to efforts to cooperate. Globalization and population pressures have led to strains on the environment.</t>
        </is>
      </c>
    </row>
    <row r="94" ht="22.5" customHeight="1">
      <c r="A94" s="23" t="inlineStr">
        <is>
          <t>10.09a</t>
        </is>
      </c>
      <c r="B94" s="62" t="inlineStr">
        <is>
          <t>Globalization and an Increasingly Interconnected World</t>
        </is>
      </c>
      <c r="C94" s="60" t="inlineStr">
        <is>
          <t>GLOBALIZATION AND A CHANGING GLOBAL ENVIRONMENT (1990–PRESENT)</t>
        </is>
      </c>
      <c r="D94" s="60" t="inlineStr">
        <is>
          <t>Technological changes in communication and transportation systems allow for instantaneous interconnections and new networks of exchange between people and places that have lessened the effects of time and distance.</t>
        </is>
      </c>
      <c r="E94" s="60" t="inlineStr">
        <is>
          <t>Technological changes in communication and transportation systems allow for instantaneous interconnections and new networks of exchange between people and places that have lessened the effects of time and distance.</t>
        </is>
      </c>
    </row>
    <row r="95" ht="22.5" customHeight="1">
      <c r="A95" s="23" t="inlineStr">
        <is>
          <t>10.09a.1</t>
        </is>
      </c>
      <c r="B95" s="62" t="inlineStr">
        <is>
          <t>Information &amp; Business Changes</t>
        </is>
      </c>
      <c r="C95" s="60" t="inlineStr">
        <is>
          <t>GLOBALIZATION AND A CHANGING GLOBAL ENVIRONMENT (1990–PRESENT)</t>
        </is>
      </c>
      <c r="D95" s="60" t="inlineStr">
        <is>
          <t>Technological changes in communication and transportation systems allow for instantaneous interconnections and new networks of exchange between people and places that have lessened the effects of time and distance.</t>
        </is>
      </c>
      <c r="E95" s="60" t="inlineStr">
        <is>
          <t>Students will explore how information is accessed, exchanged, and controlled and how business is conducted in light of changing technology.</t>
        </is>
      </c>
    </row>
    <row r="96" ht="22.5" customHeight="1">
      <c r="A96" s="23" t="inlineStr">
        <is>
          <t>10.09a.2</t>
        </is>
      </c>
      <c r="B96" s="62" t="inlineStr">
        <is>
          <t>Infectious Diseases Response</t>
        </is>
      </c>
      <c r="C96" s="60" t="inlineStr">
        <is>
          <t>GLOBALIZATION AND A CHANGING GLOBAL ENVIRONMENT (1990–PRESENT)</t>
        </is>
      </c>
      <c r="D96" s="60" t="inlineStr">
        <is>
          <t>Technological changes in communication and transportation systems allow for instantaneous interconnections and new networks of exchange between people and places that have lessened the effects of time and distance.</t>
        </is>
      </c>
      <c r="E96" s="60" t="inlineStr">
        <is>
          <t>Students will investigate the causes and effects of, and responses to, one infectious disease (e.g., malaria, HIV/AIDS).</t>
        </is>
      </c>
    </row>
    <row r="97" ht="22.5" customHeight="1">
      <c r="A97" s="23" t="inlineStr">
        <is>
          <t>10.09b</t>
        </is>
      </c>
      <c r="B97" s="62" t="inlineStr">
        <is>
          <t>Globalization: a Contentious Concept</t>
        </is>
      </c>
      <c r="C97" s="60" t="inlineStr">
        <is>
          <t>GLOBALIZATION AND A CHANGING GLOBAL ENVIRONMENT (1990–PRESENT)</t>
        </is>
      </c>
      <c r="D97" s="60" t="inlineStr">
        <is>
          <t>Globalization is contentious, supported by some and criticized by others.</t>
        </is>
      </c>
      <c r="E97" s="60" t="inlineStr">
        <is>
          <t>Globalization is contentious, supported by some and criticized by others.</t>
        </is>
      </c>
    </row>
    <row r="98" ht="22.5" customHeight="1">
      <c r="A98" s="23" t="inlineStr">
        <is>
          <t>10.09b.1</t>
        </is>
      </c>
      <c r="B98" s="62" t="inlineStr">
        <is>
          <t>Globalization Arguments</t>
        </is>
      </c>
      <c r="C98" s="60" t="inlineStr">
        <is>
          <t>GLOBALIZATION AND A CHANGING GLOBAL ENVIRONMENT (1990–PRESENT)</t>
        </is>
      </c>
      <c r="D98" s="60" t="inlineStr">
        <is>
          <t>Globalization is contentious, supported by some and criticized by others.</t>
        </is>
      </c>
      <c r="E98" s="60" t="inlineStr">
        <is>
          <t>Students will compare and contrast arguments supporting and criticizing globalization by examining concerns including...</t>
        </is>
      </c>
    </row>
    <row r="99" ht="22.5" customHeight="1">
      <c r="A99" s="23" t="inlineStr">
        <is>
          <t>10.09c</t>
        </is>
      </c>
      <c r="B99" s="62" t="inlineStr">
        <is>
          <t>Environment and Sustainability</t>
        </is>
      </c>
      <c r="C99" s="60" t="inlineStr">
        <is>
          <t>GLOBALIZATION AND A CHANGING GLOBAL ENVIRONMENT (1990–PRESENT)</t>
        </is>
      </c>
      <c r="D99" s="60" t="inlineStr">
        <is>
          <t>Population pressures, industrialization, and urbanization have increased demands for limited natural resources and food resources, often straining the environment.</t>
        </is>
      </c>
      <c r="E99" s="60" t="inlineStr">
        <is>
          <t>Population pressures, industrialization, and urbanization have increased demands for limited natural resources and food resources, often straining the environment.</t>
        </is>
      </c>
    </row>
    <row r="100" ht="22.5" customHeight="1">
      <c r="A100" s="23" t="inlineStr">
        <is>
          <t>10.09c.1</t>
        </is>
      </c>
      <c r="B100" s="62" t="inlineStr">
        <is>
          <t>Population Growth &amp; Distribution</t>
        </is>
      </c>
      <c r="C100" s="60" t="inlineStr">
        <is>
          <t>GLOBALIZATION AND A CHANGING GLOBAL ENVIRONMENT (1990–PRESENT)</t>
        </is>
      </c>
      <c r="D100" s="60" t="inlineStr">
        <is>
          <t>Population pressures, industrialization, and urbanization have increased demands for limited natural resources and food resources, often straining the environment.</t>
        </is>
      </c>
      <c r="E100" s="60" t="inlineStr">
        <is>
          <t>Students will examine how the world’s population is growing exponentially for numerous reasons and how it is not evenly distributed.</t>
        </is>
      </c>
    </row>
    <row r="101" ht="22.5" customHeight="1">
      <c r="A101" s="23" t="inlineStr">
        <is>
          <t>10.09c.2</t>
        </is>
      </c>
      <c r="B101" s="62" t="inlineStr">
        <is>
          <t>Industrial Agriculture</t>
        </is>
      </c>
      <c r="C101" s="60" t="inlineStr">
        <is>
          <t>GLOBALIZATION AND A CHANGING GLOBAL ENVIRONMENT (1990–PRESENT)</t>
        </is>
      </c>
      <c r="D101" s="60" t="inlineStr">
        <is>
          <t>Population pressures, industrialization, and urbanization have increased demands for limited natural resources and food resources, often straining the environment.</t>
        </is>
      </c>
      <c r="E101" s="60" t="inlineStr">
        <is>
          <t>Students will explore efforts to increase and intensify food production through industrial agriculture (e.g., Green Revolutions, use of fertilizers and pesticides, irrigation, and genetic modifications).</t>
        </is>
      </c>
    </row>
    <row r="102" hidden="1" ht="22.5" customHeight="1">
      <c r="A102" s="23" t="n">
        <v>11.08</v>
      </c>
      <c r="B102" s="65" t="inlineStr">
        <is>
          <t>World War II (1935-1945)</t>
        </is>
      </c>
      <c r="C102" s="60" t="inlineStr">
        <is>
          <t>The participation of the United States in World War II was a transformative event for the nation and its role in the world.</t>
        </is>
      </c>
      <c r="D102" s="60" t="inlineStr">
        <is>
          <t>The participation of the United States in World War II was a transformative event for the nation and its role in the world.</t>
        </is>
      </c>
      <c r="E102" s="60" t="n"/>
    </row>
    <row r="103" ht="22.5" customHeight="1">
      <c r="A103" s="23" t="inlineStr">
        <is>
          <t>10.09c.3</t>
        </is>
      </c>
      <c r="B103" s="62" t="inlineStr">
        <is>
          <t>Environmental Strains</t>
        </is>
      </c>
      <c r="C103" s="60" t="inlineStr">
        <is>
          <t>GLOBALIZATION AND A CHANGING GLOBAL ENVIRONMENT (1990–PRESENT)</t>
        </is>
      </c>
      <c r="D103" s="60" t="inlineStr">
        <is>
          <t>Population pressures, industrialization, and urbanization have increased demands for limited natural resources and food resources, often straining the environment.</t>
        </is>
      </c>
      <c r="E103" s="60" t="inlineStr">
        <is>
          <t>Students will examine strains on the environment, such as threats to wildlife and degradation of the physical environment (i.e., desertification, deforestation and pollution) due to population growth, industrialization, and urbanization.</t>
        </is>
      </c>
    </row>
    <row r="104" ht="22.5" customHeight="1">
      <c r="A104" s="23" t="inlineStr">
        <is>
          <t>10.09d</t>
        </is>
      </c>
      <c r="B104" s="62" t="inlineStr">
        <is>
          <t>International Possibilities and Conflict</t>
        </is>
      </c>
      <c r="C104" s="60" t="inlineStr">
        <is>
          <t>GLOBALIZATION AND A CHANGING GLOBAL ENVIRONMENT (1990–PRESENT)</t>
        </is>
      </c>
      <c r="D104" s="60" t="inlineStr">
        <is>
          <t>Globalization has created new possibilities for international cooperation and for international conflict.</t>
        </is>
      </c>
      <c r="E104" s="60" t="inlineStr">
        <is>
          <t>Globalization has created new possibilities for international cooperation and for international conflict.</t>
        </is>
      </c>
    </row>
    <row r="105" ht="22.5" customHeight="1">
      <c r="A105" s="23" t="inlineStr">
        <is>
          <t>10.09d.1</t>
        </is>
      </c>
      <c r="B105" s="62" t="inlineStr">
        <is>
          <t>Attempts at Cooperation with the UN, NATO, EU, &amp; NGOs</t>
        </is>
      </c>
      <c r="C105" s="60" t="inlineStr">
        <is>
          <t>GLOBALIZATION AND A CHANGING GLOBAL ENVIRONMENT (1990–PRESENT)</t>
        </is>
      </c>
      <c r="D105" s="60" t="inlineStr">
        <is>
          <t>Globalization has created new possibilities for international cooperation and for international conflict.</t>
        </is>
      </c>
      <c r="E105" s="60" t="inlineStr">
        <is>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is>
      </c>
    </row>
    <row r="106" ht="22.5" customHeight="1">
      <c r="A106" s="23" t="inlineStr">
        <is>
          <t>10.09d.2</t>
        </is>
      </c>
      <c r="B106" s="62" t="inlineStr">
        <is>
          <t>Organizations &amp; International Action against Environmental Issues</t>
        </is>
      </c>
      <c r="C106" s="60" t="inlineStr">
        <is>
          <t>GLOBALIZATION AND A CHANGING GLOBAL ENVIRONMENT (1990–PRESENT)</t>
        </is>
      </c>
      <c r="D106" s="60" t="inlineStr">
        <is>
          <t>Globalization has created new possibilities for international cooperation and for international conflict.</t>
        </is>
      </c>
      <c r="E106" s="60" t="inlineStr">
        <is>
          <t>Students will investigate one organization and one international action that sought to provide solutions to environmental issues, including the Kyoto Protocol.</t>
        </is>
      </c>
    </row>
    <row r="107" ht="22.5" customHeight="1">
      <c r="A107" s="23" t="inlineStr">
        <is>
          <t>10.09d.3</t>
        </is>
      </c>
      <c r="B107" s="62" t="inlineStr">
        <is>
          <t>Threats to Global Security</t>
        </is>
      </c>
      <c r="C107" s="60" t="inlineStr">
        <is>
          <t>GLOBALIZATION AND A CHANGING GLOBAL ENVIRONMENT (1990–PRESENT)</t>
        </is>
      </c>
      <c r="D107" s="60" t="inlineStr">
        <is>
          <t>Globalization has created new possibilities for international cooperation and for international conflict.</t>
        </is>
      </c>
      <c r="E107" s="60" t="inlineStr">
        <is>
          <t>Students will examine threats to global security, such as international trade in weapons (e.g., chemical, biological, and nuclear), nuclear proliferation, cyber war, and terrorism, including a discussion of the events of September 11, 2001.</t>
        </is>
      </c>
    </row>
    <row r="108" ht="22.5" customHeight="1">
      <c r="A108" s="23" t="n">
        <v>10.1</v>
      </c>
      <c r="B108" s="62" t="inlineStr">
        <is>
          <t>Human Rights Violations</t>
        </is>
      </c>
      <c r="C108" s="60" t="inlineStr">
        <is>
          <t>HUMAN RIGHTS VIOLATIONS</t>
        </is>
      </c>
      <c r="D108" s="60" t="inlineStr">
        <is>
          <t>Since the Holocaust, human rights violations have generated worldwide attention and concern. The United Nations Universal Declaration of Human Rights has provided a set of principles to guide efforts to protect threatened groups Page 27 Grades 9-12 and has served as a lens through which historical occurrences of oppression can be evaluated.</t>
        </is>
      </c>
      <c r="E108" s="60" t="inlineStr">
        <is>
          <t>Since the Holocaust, human rights violations have generated worldwide attention and concern. The United Nations Universal Declaration of Human Rights has provided a set of principles to guide efforts to protect threatened groups Page 27 Grades 9-12 and has served as a lens through which historical occurrences of oppression can be evaluated.</t>
        </is>
      </c>
    </row>
    <row r="109" ht="22.5" customHeight="1">
      <c r="A109" s="23" t="inlineStr">
        <is>
          <t>10.10a</t>
        </is>
      </c>
      <c r="B109" s="62" t="inlineStr">
        <is>
          <t>Human Rights</t>
        </is>
      </c>
      <c r="C109" s="60" t="inlineStr">
        <is>
          <t>HUMAN RIGHTS VIOLATIONS</t>
        </is>
      </c>
      <c r="D109" s="60" t="inlineStr">
        <is>
          <t>Following World War II, the United Nations Universal Declaration of Human Rights (1948) was written. This provides a set of principles to guide efforts to protect threatened groups.</t>
        </is>
      </c>
      <c r="E109" s="60" t="inlineStr">
        <is>
          <t>Following World War II, the United Nations Universal Declaration of Human Rights (1948) was written. This provides a set of principles to guide efforts to protect threatened groups.</t>
        </is>
      </c>
    </row>
    <row r="110" ht="22.5" customHeight="1">
      <c r="A110" s="23" t="inlineStr">
        <is>
          <t>10.10a.1</t>
        </is>
      </c>
      <c r="B110" s="62" t="inlineStr">
        <is>
          <t>Impact of the Holocaust, Nuremberg Trials, &amp; Tokyo Trials</t>
        </is>
      </c>
      <c r="C110" s="60" t="inlineStr">
        <is>
          <t>HUMAN RIGHTS VIOLATIONS</t>
        </is>
      </c>
      <c r="D110" s="60" t="inlineStr">
        <is>
          <t>Following World War II, the United Nations Universal Declaration of Human Rights (1948) was written. This provides a set of principles to guide efforts to protect threatened groups.</t>
        </is>
      </c>
      <c r="E110" s="60" t="inlineStr">
        <is>
          <t>Students will investigate and analyze the historical context of the Holocaust, Nuremberg Trials, and Tokyo Trials and their impacts on the UN Universal Declaration of Human Rights.</t>
        </is>
      </c>
    </row>
    <row r="111" ht="22.5" customHeight="1">
      <c r="A111" s="23" t="inlineStr">
        <is>
          <t>10.10a.2</t>
        </is>
      </c>
      <c r="B111" s="62" t="inlineStr">
        <is>
          <t>The United Nations Universal Declaration of Human Rights (1948)</t>
        </is>
      </c>
      <c r="C111" s="60" t="inlineStr">
        <is>
          <t>HUMAN RIGHTS VIOLATIONS</t>
        </is>
      </c>
      <c r="D111" s="60" t="inlineStr">
        <is>
          <t>Following World War II, the United Nations Universal Declaration of Human Rights (1948) was written. This provides a set of principles to guide efforts to protect threatened groups.</t>
        </is>
      </c>
      <c r="E111" s="60" t="inlineStr">
        <is>
          <t>Students will examine the articles contained in the UN Universal Declaration of Human Rights.</t>
        </is>
      </c>
    </row>
    <row r="112" ht="22.5" customHeight="1">
      <c r="A112" s="23" t="inlineStr">
        <is>
          <t>10.10b</t>
        </is>
      </c>
      <c r="B112" s="62" t="inlineStr">
        <is>
          <t>Response to Atrocities</t>
        </is>
      </c>
      <c r="C112" s="60" t="inlineStr">
        <is>
          <t>HUMAN RIGHTS VIOLATIONS</t>
        </is>
      </c>
      <c r="D112" s="60" t="inlineStr">
        <is>
          <t>Governments, groups, and individuals have responded in various ways to the human atrocities committed in the 20th and 21st centuries.</t>
        </is>
      </c>
      <c r="E112" s="60" t="inlineStr">
        <is>
          <t>Governments, groups, and individuals have responded in various ways to the human atrocities committed in the 20th and 21st centuries.</t>
        </is>
      </c>
    </row>
    <row r="113" ht="22.5" customHeight="1">
      <c r="A113" s="23" t="inlineStr">
        <is>
          <t>10.10b.1</t>
        </is>
      </c>
      <c r="B113" s="62" t="inlineStr">
        <is>
          <t>Treaties &amp; International Courts</t>
        </is>
      </c>
      <c r="C113" s="60" t="inlineStr">
        <is>
          <t>HUMAN RIGHTS VIOLATIONS</t>
        </is>
      </c>
      <c r="D113" s="60" t="inlineStr">
        <is>
          <t>Governments, groups, and individuals have responded in various ways to the human atrocities committed in the 20th and 21st centuries.</t>
        </is>
      </c>
      <c r="E113" s="60" t="inlineStr">
        <is>
          <t>Students will explore multinational treaties and international court systems that bind countries to adhere to international human rights.</t>
        </is>
      </c>
    </row>
    <row r="114" ht="22.5" customHeight="1">
      <c r="A114" s="23" t="inlineStr">
        <is>
          <t>10.10b.2</t>
        </is>
      </c>
      <c r="B114" s="62" t="inlineStr">
        <is>
          <t>International Organization for Peace, Stability, Prosperity, &amp; Protection from Violence</t>
        </is>
      </c>
      <c r="C114" s="60" t="inlineStr">
        <is>
          <t>HUMAN RIGHTS VIOLATIONS</t>
        </is>
      </c>
      <c r="D114" s="60" t="inlineStr">
        <is>
          <t>Governments, groups, and individuals have responded in various ways to the human atrocities committed in the 20th and 21st centuries.</t>
        </is>
      </c>
      <c r="E114" s="60" t="inlineStr">
        <is>
          <t>Students will explore international organizations that work to maintain peace, stability, and economic prosperity, and to protect nations and people from oppressive governments and political violence.</t>
        </is>
      </c>
    </row>
    <row r="115" ht="22.5" customHeight="1">
      <c r="A115" s="23" t="inlineStr">
        <is>
          <t>10.10c</t>
        </is>
      </c>
      <c r="B115" s="62" t="inlineStr">
        <is>
          <t>Case Studies of Human Rights Violations</t>
        </is>
      </c>
      <c r="C115" s="60" t="inlineStr">
        <is>
          <t>HUMAN RIGHTS VIOLATIONS</t>
        </is>
      </c>
      <c r="D115" s="60" t="inlineStr">
        <is>
          <t>Historical and contemporary violations of human rights can be evaluated, using the principles and articles established within the UN Universal Declaration of Human Rights.</t>
        </is>
      </c>
      <c r="E115" s="60" t="inlineStr">
        <is>
          <t>Historical and contemporary violations of human rights can be evaluated, using the principles and articles established within the UN Universal Declaration of Human Rights.</t>
        </is>
      </c>
    </row>
    <row r="116" ht="22.5" customHeight="1">
      <c r="A116" s="23" t="inlineStr">
        <is>
          <t>10.10c.1</t>
        </is>
      </c>
      <c r="B116" s="62" t="inlineStr">
        <is>
          <t>Atrocities of Augusto Pinochet, Deng Xiaoping, &amp; Slobodan Milosevic</t>
        </is>
      </c>
      <c r="C116" s="60" t="inlineStr">
        <is>
          <t>HUMAN RIGHTS VIOLATIONS</t>
        </is>
      </c>
      <c r="D116" s="60" t="inlineStr">
        <is>
          <t>Historical and contemporary violations of human rights can be evaluated, using the principles and articles established within the UN Universal Declaration of Human Rights.</t>
        </is>
      </c>
      <c r="E116" s="60" t="inlineStr">
        <is>
          <t>Students will examine the atrocities committed under Augusto Pinochet, Deng Xiaoping, and Slobodan Milosevic in light of the principles and articles within the UN Universal Declaration of Human Rights.</t>
        </is>
      </c>
    </row>
    <row r="117" hidden="1" ht="22.5" customHeight="1">
      <c r="A117" s="23" t="n">
        <v>11.09</v>
      </c>
      <c r="B117" s="65" t="inlineStr">
        <is>
          <t>Cold War (1945-1990)</t>
        </is>
      </c>
      <c r="C117" s="60" t="inlineStr">
        <is>
          <t>In the period following World War II, the United States entered into an extended era of international conflict called the Cold War which influenced foreign and domestic policy for more than 40 years.</t>
        </is>
      </c>
      <c r="D117" s="60" t="inlineStr">
        <is>
          <t>In the period following World War II, the United States entered into an extended era of international conflict called the Cold War which influenced foreign and domestic policy for more than 40 years.</t>
        </is>
      </c>
      <c r="E117" s="60" t="n"/>
    </row>
    <row r="118" ht="22.5" customHeight="1">
      <c r="A118" s="23" t="inlineStr">
        <is>
          <t>10.10c.2</t>
        </is>
      </c>
      <c r="B118" s="62" t="inlineStr">
        <is>
          <t>Perpetrators &amp; Bystanders in Cambodia, Rwanda, &amp; Darfur</t>
        </is>
      </c>
      <c r="C118" s="60" t="inlineStr">
        <is>
          <t>HUMAN RIGHTS VIOLATIONS</t>
        </is>
      </c>
      <c r="D118" s="60" t="inlineStr">
        <is>
          <t>Historical and contemporary violations of human rights can be evaluated, using the principles and articles established within the UN Universal Declaration of Human Rights.</t>
        </is>
      </c>
      <c r="E118" s="60" t="inlineStr">
        <is>
          <t>Students will examine and analyze the roles of perpetrators and bystanders in human rights violations in Cambodia, Rwanda, and Darfur in light of the principles and articles within the UN Universal Declaration of Human Rights.</t>
        </is>
      </c>
    </row>
    <row r="119" ht="22.5" customHeight="1">
      <c r="A119" s="23" t="inlineStr">
        <is>
          <t>10.10c.3</t>
        </is>
      </c>
      <c r="B119" s="62" t="inlineStr">
        <is>
          <t>Anti-Apartheid &amp; Nelson Mandela</t>
        </is>
      </c>
      <c r="C119" s="60" t="inlineStr">
        <is>
          <t>HUMAN RIGHTS VIOLATIONS</t>
        </is>
      </c>
      <c r="D119" s="60" t="inlineStr">
        <is>
          <t>Historical and contemporary violations of human rights can be evaluated, using the principles and articles established within the UN Universal Declaration of Human Rights.</t>
        </is>
      </c>
      <c r="E119" s="60" t="inlineStr">
        <is>
          <t>Students will examine the policy of apartheid in South Africa and the growth of the anti-apartheid movements, exploring Nelson Mandela’s role in these movements and in the post-apartheid period.</t>
        </is>
      </c>
    </row>
    <row r="120" ht="22.5" customHeight="1">
      <c r="A120" s="23" t="inlineStr">
        <is>
          <t>10.10c.4</t>
        </is>
      </c>
      <c r="B120" s="62" t="inlineStr">
        <is>
          <t>Efforts to Address Human Rights Violations</t>
        </is>
      </c>
      <c r="C120" s="60" t="inlineStr">
        <is>
          <t>HUMAN RIGHTS VIOLATIONS</t>
        </is>
      </c>
      <c r="D120" s="60" t="inlineStr">
        <is>
          <t>Historical and contemporary violations of human rights can be evaluated, using the principles and articles established within the UN Universal Declaration of Human Rights.</t>
        </is>
      </c>
      <c r="E120" s="60" t="inlineStr">
        <is>
          <t>Students will explore efforts to address human rights violations by individuals and groups, including the efforts of Mother Teresa, Aung San Suu Kyi, and the Mothers of the Plaza de Mayo.</t>
        </is>
      </c>
    </row>
    <row r="121" ht="22.5" customHeight="1">
      <c r="A121" s="23" t="inlineStr">
        <is>
          <t>11.09a.3</t>
        </is>
      </c>
      <c r="B121" s="62" t="inlineStr">
        <is>
          <t>McCarthyism</t>
        </is>
      </c>
      <c r="C121" s="60" t="inlineStr">
        <is>
          <t>After World War II, ideological differences led to political tensions between the United States and the Soviet Union. In an attempt to halt the spread of Soviet influence, the United States pursued a policy of containment.</t>
        </is>
      </c>
      <c r="D121" s="60" t="inlineStr">
        <is>
          <t>Students will examine domestic concerns about the spread of communism and the rise of McCarthyism.</t>
        </is>
      </c>
      <c r="E121" s="60" t="n"/>
    </row>
    <row r="122" ht="22.5" customHeight="1">
      <c r="A122" s="23" t="inlineStr">
        <is>
          <t>11.09a.4</t>
        </is>
      </c>
      <c r="B122" s="62" t="inlineStr">
        <is>
          <t>Korean War</t>
        </is>
      </c>
      <c r="C122" s="60" t="inlineStr">
        <is>
          <t>After World War II, ideological differences led to political tensions between the United States and the Soviet Union. In an attempt to halt the spread of Soviet influence, the United States pursued a policy of containment.</t>
        </is>
      </c>
      <c r="D122" s="60" t="inlineStr">
        <is>
          <t>Students will examine the consequences of Truman’s decision to fight a limited war in defense of South Korea.</t>
        </is>
      </c>
      <c r="E122" s="60" t="n"/>
    </row>
    <row r="123" ht="22.5" customHeight="1">
      <c r="A123" s="23" t="inlineStr">
        <is>
          <t>11.09a.5</t>
        </is>
      </c>
      <c r="B123" s="62" t="inlineStr">
        <is>
          <t>Vietnam War</t>
        </is>
      </c>
      <c r="C123" s="60" t="inlineStr">
        <is>
          <t>After World War II, ideological differences led to political tensions between the United States and the Soviet Union. In an attempt to halt the spread of Soviet influence, the United States pursued a policy of containment.</t>
        </is>
      </c>
      <c r="D123" s="60" t="inlineStr">
        <is>
          <t>Students will trace the United States involvement in Vietnam, including President Johnson’s decision to escalate the fighting in Vietnam.</t>
        </is>
      </c>
      <c r="E123" s="60" t="n"/>
    </row>
    <row r="124" ht="22.5" customHeight="1">
      <c r="A124" s="23" t="inlineStr">
        <is>
          <t>11.09a.6</t>
        </is>
      </c>
      <c r="B124" s="62" t="inlineStr">
        <is>
          <t>Antiwar Movement &amp; Watergate</t>
        </is>
      </c>
      <c r="C124" s="60" t="inlineStr">
        <is>
          <t>After World War II, ideological differences led to political tensions between the United States and the Soviet Union. In an attempt to halt the spread of Soviet influence, the United States pursued a policy of containment.</t>
        </is>
      </c>
      <c r="D124" s="60" t="inlineStr">
        <is>
          <t>Students will examine reasons for declining public confidence in government, including America’s involvement in Vietnam, student protests, the growing antiwar movement, and the Watergate affair.</t>
        </is>
      </c>
      <c r="E124" s="60" t="n"/>
    </row>
    <row r="125" ht="22.5" customHeight="1">
      <c r="A125" s="23" t="inlineStr">
        <is>
          <t>11.09a.7</t>
        </is>
      </c>
      <c r="B125" s="62" t="inlineStr">
        <is>
          <t>War Powers Act</t>
        </is>
      </c>
      <c r="C125" s="60" t="inlineStr">
        <is>
          <t>After World War II, ideological differences led to political tensions between the United States and the Soviet Union. In an attempt to halt the spread of Soviet influence, the United States pursued a policy of containment.</t>
        </is>
      </c>
      <c r="D125" s="60" t="inlineStr">
        <is>
          <t>Students will examine the congressional effort to limit presidential power through the War Powers Act.</t>
        </is>
      </c>
      <c r="E125" s="60" t="n"/>
    </row>
    <row r="126" ht="22.5" customHeight="1">
      <c r="A126" s="23" t="inlineStr">
        <is>
          <t>11.09b</t>
        </is>
      </c>
      <c r="B126" s="62" t="inlineStr">
        <is>
          <t>Nuclear Arms Race</t>
        </is>
      </c>
      <c r="C126" s="60" t="inlineStr">
        <is>
          <t>The United States and the Soviet Union engaged in a nuclear arms race that eventually led to agreements that limited the arms buildup and improved United States-Soviet relations.</t>
        </is>
      </c>
      <c r="D126" s="60" t="inlineStr">
        <is>
          <t>The United States and the Soviet Union engaged in a nuclear arms race that eventually led to agreements that limited the arms buildup and improved United States-Soviet relations.</t>
        </is>
      </c>
      <c r="E126" s="60" t="n"/>
    </row>
    <row r="127" ht="22.5" customHeight="1">
      <c r="A127" s="23" t="inlineStr">
        <is>
          <t>11.09b.1</t>
        </is>
      </c>
      <c r="B127" s="62" t="inlineStr">
        <is>
          <t>Nuclear Arms Race</t>
        </is>
      </c>
      <c r="C127" s="60" t="inlineStr">
        <is>
          <t>The United States and the Soviet Union engaged in a nuclear arms race that eventually led to agreements that limited the arms buildup and improved United States-Soviet relations.</t>
        </is>
      </c>
      <c r="D127" s="60" t="inlineStr">
        <is>
          <t>Students will trace the acceleration of the nuclear arms race, beginning with the detonation of an atomic bomb by the Soviet Union in 1949, through 1969, including the effects of Sputnik and the Space Race.</t>
        </is>
      </c>
      <c r="E127" s="60" t="n"/>
    </row>
    <row r="128" ht="22.5" customHeight="1">
      <c r="A128" s="23" t="inlineStr">
        <is>
          <t>11.09b.2</t>
        </is>
      </c>
      <c r="B128" s="62" t="inlineStr">
        <is>
          <t>Cuban Missile Crisis &amp; the Nuclear Test Ban Treaty</t>
        </is>
      </c>
      <c r="C128" s="60" t="inlineStr">
        <is>
          <t>The United States and the Soviet Union engaged in a nuclear arms race that eventually led to agreements that limited the arms buildup and improved United States-Soviet relations.</t>
        </is>
      </c>
      <c r="D128" s="60" t="inlineStr">
        <is>
          <t>Students will examine Soviet motives for placing missiles in Cuba and the impact of the Cuban missile crisis on Soviet-American relations, leading to the adoption of the Nuclear Test Ban Treaty.</t>
        </is>
      </c>
      <c r="E128" s="60" t="n"/>
    </row>
    <row r="129" ht="22.5" customHeight="1">
      <c r="A129" s="23" t="inlineStr">
        <is>
          <t>11.09b.3</t>
        </is>
      </c>
      <c r="B129" s="62" t="inlineStr">
        <is>
          <t>Détente</t>
        </is>
      </c>
      <c r="C129" s="60" t="inlineStr">
        <is>
          <t>The United States and the Soviet Union engaged in a nuclear arms race that eventually led to agreements that limited the arms buildup and improved United States-Soviet relations.</t>
        </is>
      </c>
      <c r="D129" s="60" t="inlineStr">
        <is>
          <t>Students will examine the policy of détente and its effect on the nuclear arms race.</t>
        </is>
      </c>
      <c r="E129" s="60" t="n"/>
    </row>
    <row r="130" ht="22.5" customHeight="1">
      <c r="A130" s="23" t="inlineStr">
        <is>
          <t>11.09c</t>
        </is>
      </c>
      <c r="B130" s="62" t="inlineStr">
        <is>
          <t>Foreign Policy</t>
        </is>
      </c>
      <c r="C130" s="60" t="inlineStr">
        <is>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is>
      </c>
      <c r="D130" s="60" t="inlineStr">
        <is>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is>
      </c>
      <c r="E130" s="60" t="n"/>
    </row>
    <row r="131" ht="22.5" customHeight="1">
      <c r="A131" s="23" t="inlineStr">
        <is>
          <t>11.09c.1</t>
        </is>
      </c>
      <c r="B131" s="62" t="inlineStr">
        <is>
          <t>Israel &amp; the Camp David Accords</t>
        </is>
      </c>
      <c r="C131" s="60" t="inlineStr">
        <is>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is>
      </c>
      <c r="D131" s="60" t="inlineStr">
        <is>
          <t>Students will examine United States foreign policy toward the Middle East, including the recognition of and support for the State of Israel, the Camp David Accords, and the interaction with radical groups in the region.</t>
        </is>
      </c>
      <c r="E131" s="60" t="n"/>
    </row>
    <row r="132" ht="22.5" customHeight="1">
      <c r="A132" s="23" t="inlineStr">
        <is>
          <t>11.09d</t>
        </is>
      </c>
      <c r="B132" s="62" t="inlineStr">
        <is>
          <t>Cold War Ends</t>
        </is>
      </c>
      <c r="C132" s="60" t="inlineStr">
        <is>
          <t>A combination of factors contributed to the end of the Cold War, including American policies and Soviet economic and political problems that led to the loss of Soviet control over Eastern Europe</t>
        </is>
      </c>
      <c r="D132" s="60" t="inlineStr">
        <is>
          <t>A combination of factors contributed to the end of the Cold War, including American policies and Soviet economic and political problems that led to the loss of Soviet control over Eastern Europe</t>
        </is>
      </c>
      <c r="E132" s="60" t="n"/>
    </row>
    <row r="133" ht="22.5" customHeight="1">
      <c r="A133" s="23" t="inlineStr">
        <is>
          <t>11.09d.1</t>
        </is>
      </c>
      <c r="B133" s="62" t="inlineStr">
        <is>
          <t>Berlin Wall &amp; the Soviet Loss of Control</t>
        </is>
      </c>
      <c r="C133" s="60" t="inlineStr">
        <is>
          <t>A combination of factors contributed to the end of the Cold War, including American policies and Soviet economic and political problems that led to the loss of Soviet control over Eastern Europe</t>
        </is>
      </c>
      <c r="D133" s="60" t="inlineStr">
        <is>
          <t>Students will trace factors that led to the fall of the Berlin Wall and the end of the Cold War, including American policies, Soviet economic problems, Soviet efforts at reform, and the loss of Soviet control over Eastern Europe.</t>
        </is>
      </c>
      <c r="E133" s="60" t="n"/>
    </row>
    <row r="134" hidden="1" ht="22.5" customHeight="1">
      <c r="A134" s="23" t="n">
        <v>11.1</v>
      </c>
      <c r="B134" s="65" t="inlineStr">
        <is>
          <t>Social and Economic Change/ Domestic Issues (1945-present)</t>
        </is>
      </c>
      <c r="C134" s="60" t="inlineStr">
        <is>
          <t>Racial, gender, and socioeconomic inequalities were addressed by individuals, groups, and organizations. Varying political philosophies prompted debates over the role of the federal government in regulating the economy and providing a social safety net.</t>
        </is>
      </c>
      <c r="D134" s="60" t="inlineStr">
        <is>
          <t>Racial, gender, and socioeconomic inequalities were addressed by individuals, groups, and organizations. Varying political philosophies prompted debates over the role of the federal government in regulating the economy and providing a social safety net.</t>
        </is>
      </c>
      <c r="E134" s="60" t="n"/>
    </row>
    <row r="135" ht="22.5" customHeight="1">
      <c r="A135" s="23" t="inlineStr">
        <is>
          <t>11.10a</t>
        </is>
      </c>
      <c r="B135" s="62" t="inlineStr">
        <is>
          <t>Civil Rights Movement</t>
        </is>
      </c>
      <c r="C135" s="60" t="inlineStr">
        <is>
          <t>After World War II, long-term demands for equality by African Americans led to the civil rights movement. The efforts of individuals, groups, and institutions helped to redefine African American civil rights, though numerous issues remain unresolved.</t>
        </is>
      </c>
      <c r="D135" s="60" t="inlineStr">
        <is>
          <t>After World War II, long-term demands for equality by African Americans led to the civil rights movement. The efforts of individuals, groups, and institutions helped to redefine African American civil rights, though numerous issues remain unresolved.</t>
        </is>
      </c>
      <c r="E135" s="60" t="n"/>
    </row>
    <row r="136" ht="22.5" customHeight="1">
      <c r="A136" s="23" t="inlineStr">
        <is>
          <t>11.10a.1</t>
        </is>
      </c>
      <c r="B136" s="62" t="inlineStr">
        <is>
          <t>Important Civil Rights Individuals</t>
        </is>
      </c>
      <c r="C136" s="60" t="inlineStr">
        <is>
          <t>After World War II, long-term demands for equality by African Americans led to the civil rights movement. The efforts of individuals, groups, and institutions helped to redefine African American civil rights, though numerous issues remain unresolved.</t>
        </is>
      </c>
      <c r="D136" s="60" t="inlineStr">
        <is>
          <t>Students will examine the roles and impact of individuals such as Rev. Martin Luther King Jr., Stokely Carmichael, Fannie Lou Hamer, and Malcolm X on the movement and their perspectives on change.</t>
        </is>
      </c>
      <c r="E136" s="60" t="n"/>
    </row>
    <row r="137" ht="22.5" customHeight="1">
      <c r="A137" s="23" t="inlineStr">
        <is>
          <t>11.10a.2</t>
        </is>
      </c>
      <c r="B137" s="62" t="inlineStr">
        <is>
          <t>Civil Rights Groups &amp; Tactics</t>
        </is>
      </c>
      <c r="C137" s="60" t="inlineStr">
        <is>
          <t>After World War II, long-term demands for equality by African Americans led to the civil rights movement. The efforts of individuals, groups, and institutions helped to redefine African American civil rights, though numerous issues remain unresolved.</t>
        </is>
      </c>
      <c r="D137" s="60" t="inlineStr">
        <is>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is>
      </c>
      <c r="E137" s="60" t="n"/>
    </row>
    <row r="138" ht="22.5" customHeight="1">
      <c r="A138" s="23" t="inlineStr">
        <is>
          <t>11.10a.3</t>
        </is>
      </c>
      <c r="B138" s="62" t="inlineStr">
        <is>
          <t>Civil Rights Judicial &amp; Legislative Achievements</t>
        </is>
      </c>
      <c r="C138" s="60" t="inlineStr">
        <is>
          <t>After World War II, long-term demands for equality by African Americans led to the civil rights movement. The efforts of individuals, groups, and institutions helped to redefine African American civil rights, though numerous issues remain unresolved.</t>
        </is>
      </c>
      <c r="D138" s="60" t="inlineStr">
        <is>
          <t>Students will examine judicial actions and legislative achievements during the movement, such as Brown v. Board of Education of Topeka (1954), the Civil Rights Act of 1964, Heart of Atlanta Motel, Inc. v. United States (1964) and the Voting Rights Act of 1965.</t>
        </is>
      </c>
      <c r="E138" s="60" t="n"/>
    </row>
    <row r="139" ht="22.5" customHeight="1">
      <c r="A139" s="23" t="inlineStr">
        <is>
          <t>11.10a.4</t>
        </is>
      </c>
      <c r="B139" s="62" t="inlineStr">
        <is>
          <t>Civil Rights Protests &amp; Civil Resistance</t>
        </is>
      </c>
      <c r="C139" s="60" t="inlineStr">
        <is>
          <t>After World War II, long-term demands for equality by African Americans led to the civil rights movement. The efforts of individuals, groups, and institutions helped to redefine African American civil rights, though numerous issues remain unresolved.</t>
        </is>
      </c>
      <c r="D139" s="60" t="inlineStr">
        <is>
          <t>Students will analyze the significance of key events in the movement, including the Montgomery bus boycott, federal intervention at Little Rock, Arkansas; the Birmingham protest; and the March on Washington.</t>
        </is>
      </c>
      <c r="E139" s="60" t="n"/>
    </row>
    <row r="140" ht="22.5" customHeight="1">
      <c r="A140" s="23" t="inlineStr">
        <is>
          <t>11.10b</t>
        </is>
      </c>
      <c r="B140" s="62" t="inlineStr">
        <is>
          <t>Individuals, Diverse Groups, and Organizations That Have Changed America</t>
        </is>
      </c>
      <c r="C140" s="60" t="inlineStr">
        <is>
          <t>Individuals, diverse groups, and organizations have sought to bring about change in American society through a variety of methods.</t>
        </is>
      </c>
      <c r="D140" s="60" t="inlineStr">
        <is>
          <t>Individuals, diverse groups, and organizations have sought to bring about change in American society through a variety of methods.</t>
        </is>
      </c>
      <c r="E140" s="60" t="n"/>
    </row>
    <row r="141" ht="22.5" customHeight="1">
      <c r="A141" s="23" t="inlineStr">
        <is>
          <t>11.10b.1</t>
        </is>
      </c>
      <c r="B141" s="62" t="inlineStr">
        <is>
          <t>Individuals &amp; Groups Fight for Equality</t>
        </is>
      </c>
      <c r="C141" s="60" t="inlineStr">
        <is>
          <t>Individuals, diverse groups, and organizations have sought to bring about change in American society through a variety of methods.</t>
        </is>
      </c>
      <c r="D141" s="60" t="inlineStr">
        <is>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is>
      </c>
      <c r="E141" s="60" t="n"/>
    </row>
    <row r="142" ht="22.5" customHeight="1">
      <c r="A142" s="23" t="inlineStr">
        <is>
          <t>11.10b.2</t>
        </is>
      </c>
      <c r="B142" s="62" t="inlineStr">
        <is>
          <t>Civil Rights Case Studies</t>
        </is>
      </c>
      <c r="C142" s="60" t="inlineStr">
        <is>
          <t>Individuals, diverse groups, and organizations have sought to bring about change in American society through a variety of methods.</t>
        </is>
      </c>
      <c r="D142" s="60" t="inlineStr">
        <is>
          <t>Students will thoroughly investigate at least one of the efforts above.</t>
        </is>
      </c>
      <c r="E142" s="60" t="n"/>
    </row>
    <row r="143" ht="22.5" customHeight="1">
      <c r="A143" s="23" t="inlineStr">
        <is>
          <t>11.10c</t>
        </is>
      </c>
      <c r="B143" s="62" t="inlineStr">
        <is>
          <t>Domestic Policies and Problems and the Role of Government</t>
        </is>
      </c>
      <c r="C143" s="60" t="inlineStr">
        <is>
          <t>Varying political philosophies prompted debates over the role of the federal government in regulating the economy and providing a social safety net.</t>
        </is>
      </c>
      <c r="D143" s="60" t="inlineStr">
        <is>
          <t>Varying political philosophies prompted debates over the role of the federal government in regulating the economy and providing a social safety net.</t>
        </is>
      </c>
      <c r="E143" s="60" t="n"/>
    </row>
    <row r="144" ht="22.5" customHeight="1">
      <c r="A144" s="23" t="inlineStr">
        <is>
          <t>11.10c.1</t>
        </is>
      </c>
      <c r="B144" s="62" t="inlineStr">
        <is>
          <t>Great Society vs Reaganomics</t>
        </is>
      </c>
      <c r="C144" s="60" t="inlineStr">
        <is>
          <t>Varying political philosophies prompted debates over the role of the federal government in regulating the economy and providing a social safety net.</t>
        </is>
      </c>
      <c r="D144" s="60" t="inlineStr">
        <is>
          <t>Students will compare and contrast the economic policies of President Johnson (Great Society) and President Reagan (Reaganomics) regarding the size and role of the federal government.</t>
        </is>
      </c>
      <c r="E144" s="60" t="n"/>
    </row>
    <row r="145" ht="22.5" customHeight="1">
      <c r="A145" s="23" t="inlineStr">
        <is>
          <t>11.10c.2</t>
        </is>
      </c>
      <c r="B145" s="62" t="inlineStr">
        <is>
          <t>Great Recession</t>
        </is>
      </c>
      <c r="C145" s="60" t="inlineStr">
        <is>
          <t>Varying political philosophies prompted debates over the role of the federal government in regulating the economy and providing a social safety net.</t>
        </is>
      </c>
      <c r="D145" s="60" t="inlineStr">
        <is>
          <t>Students will examine the causes of the financial panic of 2008 and the federal government's response to the Great Recession.</t>
        </is>
      </c>
      <c r="E145" s="60" t="n"/>
    </row>
    <row r="146" ht="22.5" customHeight="1">
      <c r="A146" s="23" t="inlineStr">
        <is>
          <t>11.10c.3</t>
        </is>
      </c>
      <c r="B146" s="62" t="inlineStr">
        <is>
          <t>Social Safety Nets</t>
        </is>
      </c>
      <c r="C146" s="60" t="inlineStr">
        <is>
          <t>Varying political philosophies prompted debates over the role of the federal government in regulating the economy and providing a social safety net.</t>
        </is>
      </c>
      <c r="D146" s="60" t="inlineStr">
        <is>
          <t>Students will examine the debates over the role of the government in providing a social safety net, including the stability of the Social Security Trust Fund and Medicare Trust Fund, as well as changes under the Affordable Care Act.</t>
        </is>
      </c>
      <c r="E146" s="60" t="n"/>
    </row>
    <row r="147" hidden="1" ht="22.5" customHeight="1">
      <c r="A147" s="23" t="n">
        <v>11.11</v>
      </c>
      <c r="B147" s="65" t="inlineStr">
        <is>
          <t>United States in a Changing World (1990-present)</t>
        </is>
      </c>
      <c r="C147" s="60" t="inlineStr">
        <is>
          <t>The United States’ political and economic status in the world has faced external and internal challenges related to international conflicts, economic competition, and globalization. Throughout this time period, the nation has continued to debate and define its role in the world.</t>
        </is>
      </c>
      <c r="D147" s="60" t="inlineStr">
        <is>
          <t>The United States’ political and economic status in the world has faced external and internal challenges related to international conflicts, economic competition, and globalization. Throughout this time period, the nation has continued to debate and define its role in the world.</t>
        </is>
      </c>
      <c r="E147" s="60" t="n"/>
    </row>
    <row r="148" ht="22.5" customHeight="1">
      <c r="A148" s="23" t="inlineStr">
        <is>
          <t>11.11a</t>
        </is>
      </c>
      <c r="B148" s="62" t="inlineStr">
        <is>
          <t>United States: Political and Economic Status</t>
        </is>
      </c>
      <c r="C148" s="60" t="inlineStr">
        <is>
          <t>The United States created a coalition to defeat Iraq in the Persian Gulf War (1991), but was reluctant to commit American military power through the rest of the decade.</t>
        </is>
      </c>
      <c r="D148" s="60" t="inlineStr">
        <is>
          <t>The United States created a coalition to defeat Iraq in the Persian Gulf War (1991), but was reluctant to commit American military power through the rest of the decade.</t>
        </is>
      </c>
      <c r="E148" s="60" t="n"/>
    </row>
    <row r="149" ht="22.5" customHeight="1">
      <c r="A149" s="23" t="inlineStr">
        <is>
          <t>11.11a.1</t>
        </is>
      </c>
      <c r="B149" s="62" t="inlineStr">
        <is>
          <t>Persian Gulf War</t>
        </is>
      </c>
      <c r="C149" s="60" t="inlineStr">
        <is>
          <t>The United States created a coalition to defeat Iraq in the Persian Gulf War (1991), but was reluctant to commit American military power through the rest of the decade.</t>
        </is>
      </c>
      <c r="D149" s="60" t="inlineStr">
        <is>
          <t>Students will examine the decision of President George H. W. Bush to oppose Iraq’s invasion of Kuwait. Students will evaluate the positive and negative consequences of the Persian Gulf War.</t>
        </is>
      </c>
      <c r="E149" s="60" t="n"/>
    </row>
    <row r="150" ht="22.5" customHeight="1">
      <c r="A150" s="23" t="inlineStr">
        <is>
          <t>11.11a.2</t>
        </is>
      </c>
      <c r="B150" s="62" t="inlineStr">
        <is>
          <t>Reluctance to Defend Human Rights</t>
        </is>
      </c>
      <c r="C150" s="60" t="inlineStr">
        <is>
          <t>The United States created a coalition to defeat Iraq in the Persian Gulf War (1991), but was reluctant to commit American military power through the rest of the decade.</t>
        </is>
      </c>
      <c r="D150" s="60" t="inlineStr">
        <is>
          <t>Students will trace United States foreign policy regarding Bosnia, Rwanda, and Kosovo, exploring the tension between defending human rights and the reluctance to intervene stemming from the Vietnam syndrome.</t>
        </is>
      </c>
      <c r="E150" s="60" t="n"/>
    </row>
    <row r="151" ht="22.5" customHeight="1">
      <c r="A151" s="23" t="inlineStr">
        <is>
          <t>11.11b</t>
        </is>
      </c>
      <c r="B151" s="62" t="inlineStr">
        <is>
          <t>War on Terror</t>
        </is>
      </c>
      <c r="C151" s="60" t="inlineStr">
        <is>
          <t>In response to the terrorist attacks of September 11, 2001, the United States launched the War on Terror, which involved controversial foreign and domestic policies.</t>
        </is>
      </c>
      <c r="D151" s="60" t="inlineStr">
        <is>
          <t>In response to the terrorist attacks of September 11, 2001, the United States launched the War on Terror, which involved controversial foreign and domestic policies.</t>
        </is>
      </c>
      <c r="E151" s="60" t="n"/>
    </row>
    <row r="152" ht="22.5" customHeight="1">
      <c r="A152" s="23" t="inlineStr">
        <is>
          <t>11.11b.1</t>
        </is>
      </c>
      <c r="B152" s="62" t="inlineStr">
        <is>
          <t>9-11, War on Terror, &amp; PATRIOT Act</t>
        </is>
      </c>
      <c r="C152" s="60" t="inlineStr">
        <is>
          <t>In response to the terrorist attacks of September 11, 2001, the United States launched the War on Terror, which involved controversial foreign and domestic policies.</t>
        </is>
      </c>
      <c r="D152" s="60" t="inlineStr">
        <is>
          <t>Students will trace the reactions to the September 11, 2001, attacks, including responses of the American public, the authorization of the War on Terror, the invasion of Afghanistan, and the passage of the USA PATRIOT Act.</t>
        </is>
      </c>
      <c r="E152" s="60" t="n"/>
    </row>
    <row r="153" ht="22.5" customHeight="1">
      <c r="A153" s="23" t="inlineStr">
        <is>
          <t>11.11b.2</t>
        </is>
      </c>
      <c r="B153" s="62" t="inlineStr">
        <is>
          <t>Invasion of Iraq</t>
        </is>
      </c>
      <c r="C153" s="60" t="inlineStr">
        <is>
          <t>In response to the terrorist attacks of September 11, 2001, the United States launched the War on Terror, which involved controversial foreign and domestic policies.</t>
        </is>
      </c>
      <c r="D153" s="60" t="inlineStr">
        <is>
          <t>Students will examine the decision to invade Iraq, which was based on allegations concerning weapons of mass destruction, and trace the course of the war.</t>
        </is>
      </c>
      <c r="E153" s="60" t="n"/>
    </row>
    <row r="154" ht="22.5" customHeight="1">
      <c r="A154" s="23" t="inlineStr">
        <is>
          <t>11.11b.3</t>
        </is>
      </c>
      <c r="B154" s="62" t="inlineStr">
        <is>
          <t>Violation of Civil Liberties &amp; Surveillance</t>
        </is>
      </c>
      <c r="C154" s="60" t="inlineStr">
        <is>
          <t>In response to the terrorist attacks of September 11, 2001, the United States launched the War on Terror, which involved controversial foreign and domestic policies.</t>
        </is>
      </c>
      <c r="D154" s="60" t="inlineStr">
        <is>
          <t>Students will evaluate the USA PATRIOT Act, including constitutional issues raised about the violation of civil liberties by the federal government’s electronic surveillance programs.</t>
        </is>
      </c>
      <c r="E154" s="60" t="n"/>
    </row>
    <row r="155" ht="22.5" customHeight="1">
      <c r="A155" s="23" t="inlineStr">
        <is>
          <t>11.11c</t>
        </is>
      </c>
      <c r="B155" s="62" t="inlineStr">
        <is>
          <t>Globalization and Advances in Technology</t>
        </is>
      </c>
      <c r="C155" s="60" t="inlineStr">
        <is>
          <t>Globalization and advances in technology have affected the United States economy and society.</t>
        </is>
      </c>
      <c r="D155" s="60" t="inlineStr">
        <is>
          <t>Globalization and advances in technology have affected the United States economy and society.</t>
        </is>
      </c>
      <c r="E155" s="60" t="n"/>
    </row>
    <row r="156" ht="22.5" customHeight="1">
      <c r="A156" s="23" t="inlineStr">
        <is>
          <t>11.11c.1</t>
        </is>
      </c>
      <c r="B156" s="62" t="inlineStr">
        <is>
          <t>Globalization &amp; the US Economy</t>
        </is>
      </c>
      <c r="C156" s="60" t="inlineStr">
        <is>
          <t>Globalization and advances in technology have affected the United States economy and society.</t>
        </is>
      </c>
      <c r="D156" s="60" t="inlineStr">
        <is>
          <t>Students will examine the positive and negative consequences of globalization in relation to the United States economy.</t>
        </is>
      </c>
      <c r="E156" s="60" t="n"/>
    </row>
    <row r="157" ht="22.5" customHeight="1">
      <c r="A157" s="23" t="inlineStr">
        <is>
          <t>11.11c.2</t>
        </is>
      </c>
      <c r="B157" s="62" t="inlineStr">
        <is>
          <t>Multinational Corporations</t>
        </is>
      </c>
      <c r="C157" s="60" t="inlineStr">
        <is>
          <t>Globalization and advances in technology have affected the United States economy and society.</t>
        </is>
      </c>
      <c r="D157" s="60" t="inlineStr">
        <is>
          <t>Students will investigate the role of multinational corporations and their influence on both the United States economy and on other countries around the world.</t>
        </is>
      </c>
      <c r="E157" s="60" t="n"/>
    </row>
    <row r="158" ht="22.5" customHeight="1">
      <c r="A158" s="23" t="inlineStr">
        <is>
          <t>11.11c.3</t>
        </is>
      </c>
      <c r="B158" s="62" t="inlineStr">
        <is>
          <t>US vs China Rivalry</t>
        </is>
      </c>
      <c r="C158" s="60" t="inlineStr">
        <is>
          <t>Globalization and advances in technology have affected the United States economy and society.</t>
        </is>
      </c>
      <c r="D158" s="60" t="inlineStr">
        <is>
          <t>Students will examine the economic relationship and the strategic rivalry between the United States and China.</t>
        </is>
      </c>
      <c r="E158" s="60" t="n"/>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D19"/>
  <sheetViews>
    <sheetView workbookViewId="0">
      <pane ySplit="1" topLeftCell="A2" activePane="bottomLeft" state="frozen"/>
      <selection pane="bottomLeft" activeCell="B3" sqref="B3"/>
    </sheetView>
  </sheetViews>
  <sheetFormatPr baseColWidth="10" defaultColWidth="12.6640625" defaultRowHeight="15.75" customHeight="1"/>
  <cols>
    <col width="12.6640625" customWidth="1" min="1" max="1"/>
    <col width="25.1640625" customWidth="1" min="2" max="2"/>
    <col width="62.6640625" customWidth="1" min="3" max="3"/>
    <col width="25.1640625" customWidth="1" min="4" max="4"/>
  </cols>
  <sheetData>
    <row r="1" ht="22.5" customHeight="1">
      <c r="A1" s="23" t="inlineStr">
        <is>
          <t>Number</t>
        </is>
      </c>
      <c r="B1" s="62" t="inlineStr">
        <is>
          <t>Title</t>
        </is>
      </c>
      <c r="C1" s="62" t="inlineStr">
        <is>
          <t>Details</t>
        </is>
      </c>
      <c r="D1" s="62" t="inlineStr">
        <is>
          <t>Lookup Key</t>
        </is>
      </c>
    </row>
    <row r="2" ht="22.5" customHeight="1">
      <c r="A2" s="23" t="n">
        <v>1</v>
      </c>
      <c r="B2" s="60" t="inlineStr">
        <is>
          <t>Best Use</t>
        </is>
      </c>
      <c r="C2" s="60" t="inlineStr">
        <is>
          <t>Students are given a stimulus and asked to evaluate and classify (identify) best use.</t>
        </is>
      </c>
      <c r="D2" s="60">
        <f>CONCATENATE(A2,". ",B2)</f>
        <v/>
      </c>
    </row>
    <row r="3" ht="22.5" customHeight="1">
      <c r="A3" s="23" t="n">
        <v>2</v>
      </c>
      <c r="B3" s="60" t="inlineStr">
        <is>
          <t>POV</t>
        </is>
      </c>
      <c r="C3" s="60" t="inlineStr">
        <is>
          <t>Students are given a stimulus and asked to identify point of view, purpose, context, bias, format of source, location of source in time and/or place, and/or intended audience of sources using background knowledge.</t>
        </is>
      </c>
      <c r="D3" s="60">
        <f>CONCATENATE(A3,". ",B3)</f>
        <v/>
      </c>
    </row>
    <row r="4" ht="22.5" customHeight="1">
      <c r="A4" s="23" t="n">
        <v>3</v>
      </c>
      <c r="B4" s="60" t="inlineStr">
        <is>
          <t>Claim Validity (With Outside Information)</t>
        </is>
      </c>
      <c r="C4" s="60" t="inlineStr">
        <is>
          <t>Students are given a stimulus and asked to identify support for a claim found in the stimulus (bound in the same timeframe/event/space). It must require students to draw on their knowledge rather than on straight comprehension of text.</t>
        </is>
      </c>
      <c r="D4" s="60">
        <f>CONCATENATE(A4,". ",B4)</f>
        <v/>
      </c>
    </row>
    <row r="5" ht="22.5" customHeight="1">
      <c r="A5" s="23" t="n">
        <v>4</v>
      </c>
      <c r="B5" s="60" t="inlineStr">
        <is>
          <t>Claim Validity (Without Outside Information)</t>
        </is>
      </c>
      <c r="C5" s="60" t="inlineStr">
        <is>
          <t>Students are given a stimulus and asked to select a plausible claim that logically follows from evidence presented.</t>
        </is>
      </c>
      <c r="D5" s="60">
        <f>CONCATENATE(A5,". ",B5)</f>
        <v/>
      </c>
    </row>
    <row r="6" ht="22.5" customHeight="1">
      <c r="A6" s="23" t="n">
        <v>5</v>
      </c>
      <c r="B6" s="60" t="inlineStr">
        <is>
          <t>Turning Point</t>
        </is>
      </c>
      <c r="C6" s="60" t="inlineStr">
        <is>
          <t>Students are given a stimulus and asked to identify the significance of a turning point in history.</t>
        </is>
      </c>
      <c r="D6" s="60">
        <f>CONCATENATE(A6,". ",B6)</f>
        <v/>
      </c>
    </row>
    <row r="7" ht="22.5" customHeight="1">
      <c r="A7" s="23" t="n">
        <v>6</v>
      </c>
      <c r="B7" s="60" t="inlineStr">
        <is>
          <t>Change Over Time</t>
        </is>
      </c>
      <c r="C7" s="60" t="inlineStr">
        <is>
          <t>Students are given a stimulus and asked to identify significance of an event, action, idea, or development as part of change or part of continuity in history.</t>
        </is>
      </c>
      <c r="D7" s="60">
        <f>CONCATENATE(A7,". ",B7)</f>
        <v/>
      </c>
    </row>
    <row r="8" ht="22.5" customHeight="1">
      <c r="A8" s="23" t="n">
        <v>7</v>
      </c>
      <c r="B8" s="60" t="inlineStr">
        <is>
          <t>Cause</t>
        </is>
      </c>
      <c r="C8" s="60" t="inlineStr">
        <is>
          <t>Students are given a stimulus and asked to identify a central cause of the described phenomenon.</t>
        </is>
      </c>
      <c r="D8" s="60">
        <f>CONCATENATE(A8,". ",B8)</f>
        <v/>
      </c>
    </row>
    <row r="9" ht="22.5" customHeight="1">
      <c r="A9" s="23" t="n">
        <v>8</v>
      </c>
      <c r="B9" s="60" t="inlineStr">
        <is>
          <t>Effect</t>
        </is>
      </c>
      <c r="C9" s="60" t="inlineStr">
        <is>
          <t>Students are given a stimulus and asked to identify a central effect of the described phenomenon.</t>
        </is>
      </c>
      <c r="D9" s="60">
        <f>CONCATENATE(A9,". ",B9)</f>
        <v/>
      </c>
    </row>
    <row r="10" ht="22.5" customHeight="1">
      <c r="A10" s="23" t="n">
        <v>9</v>
      </c>
      <c r="B10" s="60" t="inlineStr">
        <is>
          <t>Impact of Setting</t>
        </is>
      </c>
      <c r="C10" s="60" t="inlineStr">
        <is>
          <t>Students are given a stimulus and asked to identify the impact of time and place on an issue or event linked to that stimulus.</t>
        </is>
      </c>
      <c r="D10" s="60">
        <f>CONCATENATE(A10,". ",B10)</f>
        <v/>
      </c>
    </row>
    <row r="11" ht="22.5" customHeight="1">
      <c r="A11" s="23" t="n">
        <v>10</v>
      </c>
      <c r="B11" s="60" t="inlineStr">
        <is>
          <t>Compare</t>
        </is>
      </c>
      <c r="C11" s="60" t="inlineStr">
        <is>
          <t>Students are given one stimulus or two stimuli and asked to identify a similarity in the described phenomenon (historical development, historical event, geographic setting, economic situation, individual’s action/belief) (implicit comparison).</t>
        </is>
      </c>
      <c r="D11" s="60">
        <f>CONCATENATE(A11,". ",B11)</f>
        <v/>
      </c>
    </row>
    <row r="12" ht="22.5" customHeight="1">
      <c r="A12" s="23" t="n">
        <v>11</v>
      </c>
      <c r="B12" s="60" t="inlineStr">
        <is>
          <t>Contrast</t>
        </is>
      </c>
      <c r="C12" s="60" t="inlineStr">
        <is>
          <t>Students are given one/two stimuli and asked to identify a difference in the described phenomenon (historical development, historical event, geographic setting, economic situation, individual’s action/belief) (implicit comparison).</t>
        </is>
      </c>
      <c r="D12" s="60">
        <f>CONCATENATE(A12,". ",B12)</f>
        <v/>
      </c>
    </row>
    <row r="13" ht="22.5" customHeight="1">
      <c r="A13" s="23" t="n">
        <v>12</v>
      </c>
      <c r="B13" s="60" t="inlineStr">
        <is>
          <t>Informed Civic Action</t>
        </is>
      </c>
      <c r="C13" s="60" t="inlineStr">
        <is>
          <t>Students are given a stimulus and asked to identify an informed action taken by an individual, group, or government connected to civic activism.</t>
        </is>
      </c>
      <c r="D13" s="60">
        <f>CONCATENATE(A13,". ",B13)</f>
        <v/>
      </c>
    </row>
    <row r="14" ht="22.5" customHeight="1">
      <c r="A14" s="23" t="n">
        <v>13</v>
      </c>
      <c r="B14" s="60" t="inlineStr">
        <is>
          <t>Interpret Visual Data</t>
        </is>
      </c>
      <c r="C14" s="60" t="inlineStr">
        <is>
          <t>Students are given a visual stimulus such as a map, graph, chart, timeline, cartoon, or photograph and asked to extract and interpret relevant information to answer a question.</t>
        </is>
      </c>
      <c r="D14" s="60">
        <f>CONCATENATE(A14,". ",B14)</f>
        <v/>
      </c>
    </row>
    <row r="15" ht="22.5" customHeight="1">
      <c r="A15" s="23" t="n">
        <v>14</v>
      </c>
      <c r="B15" s="60" t="inlineStr">
        <is>
          <t>Stakeholder Issue</t>
        </is>
      </c>
      <c r="C15" s="60" t="inlineStr">
        <is>
          <t>Students are given one stimulus or two stimuli and asked to identify a stakeholder or a stakeholder’s issue.</t>
        </is>
      </c>
      <c r="D15" s="60">
        <f>CONCATENATE(A15,". ",B15)</f>
        <v/>
      </c>
    </row>
    <row r="16" ht="22.5" customHeight="1">
      <c r="A16" s="23" t="n">
        <v>15</v>
      </c>
      <c r="B16" s="60" t="inlineStr">
        <is>
          <t>Recommended Action</t>
        </is>
      </c>
      <c r="C16" s="60" t="inlineStr">
        <is>
          <t>Students are given a stimulus and asked to identify a course of action recommended by a historical figure, a group, or a government.</t>
        </is>
      </c>
      <c r="D16" s="60">
        <f>CONCATENATE(A16,". ",B16)</f>
        <v/>
      </c>
    </row>
    <row r="17" ht="22.5" customHeight="1">
      <c r="A17" s="23" t="n">
        <v>16</v>
      </c>
      <c r="B17" s="60" t="inlineStr">
        <is>
          <t>Sequence of Events</t>
        </is>
      </c>
      <c r="C17" s="60" t="inlineStr">
        <is>
          <t>Students are given a stimulus and asked to identify how historical events are related chronologically.</t>
        </is>
      </c>
      <c r="D17" s="60">
        <f>CONCATENATE(A17,". ",B17)</f>
        <v/>
      </c>
    </row>
    <row r="18" ht="22.5" customHeight="1">
      <c r="A18" s="23" t="n">
        <v>17</v>
      </c>
      <c r="B18" s="60" t="inlineStr">
        <is>
          <t>Problem</t>
        </is>
      </c>
      <c r="C18" s="60" t="inlineStr">
        <is>
          <t>Students are given one stimulus or two stimuli and asked to identify a problem (issue).</t>
        </is>
      </c>
      <c r="D18" s="60">
        <f>CONCATENATE(A18,". ",B18)</f>
        <v/>
      </c>
    </row>
    <row r="19" ht="22.5" customHeight="1">
      <c r="A19" s="23" t="n">
        <v>18</v>
      </c>
      <c r="B19" s="60" t="inlineStr">
        <is>
          <t>Response to Problem</t>
        </is>
      </c>
      <c r="C19" s="60" t="inlineStr">
        <is>
          <t>Students are given one stimulus or two stimuli and asked to identify a response to a problem (issue).</t>
        </is>
      </c>
      <c r="D19" s="60">
        <f>CONCATENATE(A19,". ",B19)</f>
        <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42"/>
  <sheetViews>
    <sheetView workbookViewId="0">
      <pane ySplit="1" topLeftCell="A2" activePane="bottomLeft" state="frozen"/>
      <selection pane="bottomLeft" activeCell="B3" sqref="B3"/>
    </sheetView>
  </sheetViews>
  <sheetFormatPr baseColWidth="10" defaultColWidth="12.6640625" defaultRowHeight="15.75" customHeight="1"/>
  <cols>
    <col width="35.83203125" customWidth="1" min="1" max="1"/>
    <col width="14" customWidth="1" min="2" max="2"/>
    <col width="50.1640625" customWidth="1" min="3" max="3"/>
  </cols>
  <sheetData>
    <row r="1" ht="22.5" customHeight="1">
      <c r="A1" s="66" t="inlineStr">
        <is>
          <t>Skill</t>
        </is>
      </c>
      <c r="B1" s="23" t="inlineStr">
        <is>
          <t>Subdivision</t>
        </is>
      </c>
      <c r="C1" s="62" t="inlineStr">
        <is>
          <t>Detail</t>
        </is>
      </c>
    </row>
    <row r="2" ht="22.5" customHeight="1">
      <c r="A2" s="43" t="inlineStr">
        <is>
          <t>A. Gathering, Interpreting, and Using Evidence</t>
        </is>
      </c>
      <c r="B2" s="23" t="n">
        <v>1</v>
      </c>
      <c r="C2" s="60" t="inlineStr">
        <is>
          <t>Define and frame questions about events and the world in which we live, form hypotheses as potential answers to these questions, use evidence to answer these questions, and consider and analyze counter-hypotheses.</t>
        </is>
      </c>
    </row>
    <row r="3" ht="22.5" customHeight="1">
      <c r="A3" s="43" t="inlineStr">
        <is>
          <t>A. Gathering, Interpreting, and Using Evidence</t>
        </is>
      </c>
      <c r="B3" s="23" t="n">
        <v>2</v>
      </c>
      <c r="C3" s="60" t="inlineStr">
        <is>
          <t>Identify, describe, and evaluate evidence about events from diverse sources (including written documents, works of art, photographs, charts and graphs, artifacts, oral traditions, and other primary and secondary sources).</t>
        </is>
      </c>
    </row>
    <row r="4" ht="22.5" customHeight="1">
      <c r="A4" s="43" t="inlineStr">
        <is>
          <t>A. Gathering, Interpreting, and Using Evidence</t>
        </is>
      </c>
      <c r="B4" s="23" t="n">
        <v>3</v>
      </c>
      <c r="C4" s="60" t="inlineStr">
        <is>
          <t>Analyze evidence in terms of content, authorship, point of view, bias, purpose, format, and audience.</t>
        </is>
      </c>
    </row>
    <row r="5" ht="22.5" customHeight="1">
      <c r="A5" s="43" t="inlineStr">
        <is>
          <t>A. Gathering, Interpreting, and Using Evidence</t>
        </is>
      </c>
      <c r="B5" s="23" t="n">
        <v>4</v>
      </c>
      <c r="C5" s="60" t="inlineStr">
        <is>
          <t>Describe, analyze, and evaluate arguments of others.</t>
        </is>
      </c>
    </row>
    <row r="6" ht="22.5" customHeight="1">
      <c r="A6" s="43" t="inlineStr">
        <is>
          <t>A. Gathering, Interpreting, and Using Evidence</t>
        </is>
      </c>
      <c r="B6" s="23" t="n">
        <v>5</v>
      </c>
      <c r="C6" s="60" t="inlineStr">
        <is>
          <t>Make inferences and draw conclusions from evidence.</t>
        </is>
      </c>
    </row>
    <row r="7" ht="22.5" customHeight="1">
      <c r="A7" s="43" t="inlineStr">
        <is>
          <t>A. Gathering, Interpreting, and Using Evidence</t>
        </is>
      </c>
      <c r="B7" s="23" t="n">
        <v>6</v>
      </c>
      <c r="C7" s="60" t="inlineStr">
        <is>
          <t>Deconstruct and construct plausible and persuasive arguments, using evidence.</t>
        </is>
      </c>
    </row>
    <row r="8" ht="22.5" customHeight="1">
      <c r="A8" s="43" t="inlineStr">
        <is>
          <t>A. Gathering, Interpreting, and Using Evidence</t>
        </is>
      </c>
      <c r="B8" s="23" t="n">
        <v>7</v>
      </c>
      <c r="C8" s="60" t="inlineStr">
        <is>
          <t>Create meaningful and persuasive understandings of the past by fusing disparate and relevant evidence from primary and secondary sources and drawing connections to the present.</t>
        </is>
      </c>
    </row>
    <row r="9" ht="22.5" customHeight="1">
      <c r="A9" s="43" t="inlineStr">
        <is>
          <t>B. Chronological Reasoning and Causation</t>
        </is>
      </c>
      <c r="B9" s="23" t="n">
        <v>1</v>
      </c>
      <c r="C9" s="60" t="inlineStr">
        <is>
          <t>Articulate how events are related chronologically to one another in time and explain the ways in which earlier ideas and events may influence subsequent ideas and events.</t>
        </is>
      </c>
    </row>
    <row r="10" ht="22.5" customHeight="1">
      <c r="A10" s="43" t="inlineStr">
        <is>
          <t>B. Chronological Reasoning and Causation</t>
        </is>
      </c>
      <c r="B10" s="23" t="n">
        <v>2</v>
      </c>
      <c r="C10" s="60" t="inlineStr">
        <is>
          <t>Identify causes and effects using examples from different time periods and courses of study across several grade levels.</t>
        </is>
      </c>
    </row>
    <row r="11" ht="22.5" customHeight="1">
      <c r="A11" s="43" t="inlineStr">
        <is>
          <t>B. Chronological Reasoning and Causation</t>
        </is>
      </c>
      <c r="B11" s="23" t="n">
        <v>3</v>
      </c>
      <c r="C11" s="60" t="inlineStr">
        <is>
          <t>Identify, analyze, and evaluate the relationship between multiple causes and effects.</t>
        </is>
      </c>
    </row>
    <row r="12" ht="22.5" customHeight="1">
      <c r="A12" s="43" t="inlineStr">
        <is>
          <t>B. Chronological Reasoning and Causation</t>
        </is>
      </c>
      <c r="B12" s="23" t="n">
        <v>4</v>
      </c>
      <c r="C12" s="60" t="inlineStr">
        <is>
          <t>Distinguish between long-term and immediate causes and multiple effects (time, continuity, and change).</t>
        </is>
      </c>
    </row>
    <row r="13" ht="22.5" customHeight="1">
      <c r="A13" s="43" t="inlineStr">
        <is>
          <t>B. Chronological Reasoning and Causation</t>
        </is>
      </c>
      <c r="B13" s="23" t="n">
        <v>5</v>
      </c>
      <c r="C13" s="60" t="inlineStr">
        <is>
          <t>Recognize, analyze, and evaluate dynamics of historical continuity and change over periods of time and investigate factors that caused those changes over time.</t>
        </is>
      </c>
    </row>
    <row r="14" ht="22.5" customHeight="1">
      <c r="A14" s="43" t="inlineStr">
        <is>
          <t>B. Chronological Reasoning and Causation</t>
        </is>
      </c>
      <c r="B14" s="23" t="n">
        <v>6</v>
      </c>
      <c r="C14" s="60" t="inlineStr">
        <is>
          <t>Recognize that choice of specific periodization favors or advantages one narrative, region, or group over another narrative, region, or group.</t>
        </is>
      </c>
    </row>
    <row r="15" ht="22.5" customHeight="1">
      <c r="A15" s="43" t="inlineStr">
        <is>
          <t>B. Chronological Reasoning and Causation</t>
        </is>
      </c>
      <c r="B15" s="23" t="n">
        <v>7</v>
      </c>
      <c r="C15" s="60" t="inlineStr">
        <is>
          <t>Relate patterns of continuity and change to larger historical processes and themes.</t>
        </is>
      </c>
    </row>
    <row r="16" ht="22.5" customHeight="1">
      <c r="A16" s="43" t="inlineStr">
        <is>
          <t>B. Chronological Reasoning and Causation</t>
        </is>
      </c>
      <c r="B16" s="23" t="n">
        <v>8</v>
      </c>
      <c r="C16" s="60" t="inlineStr">
        <is>
          <t>Describe, analyze, evaluate, and construct models of historical periodization that historians use to categorize events.</t>
        </is>
      </c>
    </row>
    <row r="17" ht="22.5" customHeight="1">
      <c r="A17" s="43" t="inlineStr">
        <is>
          <t>C. Comparison and Contextualization</t>
        </is>
      </c>
      <c r="B17" s="23" t="n">
        <v>1</v>
      </c>
      <c r="C17" s="60" t="inlineStr">
        <is>
          <t>Identify similarities and differences between geographic regions across historical time periods, and relate differences in geography to different historical events andoutcomes.</t>
        </is>
      </c>
    </row>
    <row r="18" ht="22.5" customHeight="1">
      <c r="A18" s="43" t="inlineStr">
        <is>
          <t>C. Comparison and Contextualization</t>
        </is>
      </c>
      <c r="B18" s="23" t="n">
        <v>2</v>
      </c>
      <c r="C18" s="60" t="inlineStr">
        <is>
          <t>Identify, compare, and evaluate multiple perspectives on a given historical experience.</t>
        </is>
      </c>
    </row>
    <row r="19" ht="22.5" customHeight="1">
      <c r="A19" s="43" t="inlineStr">
        <is>
          <t>C. Comparison and Contextualization</t>
        </is>
      </c>
      <c r="B19" s="23" t="n">
        <v>3</v>
      </c>
      <c r="C19" s="60" t="inlineStr">
        <is>
          <t>Identify and compare similarities and differences between historical developments over time and in different geographical and cultural contexts.</t>
        </is>
      </c>
    </row>
    <row r="20" ht="22.5" customHeight="1">
      <c r="A20" s="43" t="inlineStr">
        <is>
          <t>C. Comparison and Contextualization</t>
        </is>
      </c>
      <c r="B20" s="23" t="n">
        <v>4</v>
      </c>
      <c r="C20" s="60" t="inlineStr">
        <is>
          <t>Describe, compare, and evaluate multiple historical developments (within societies; across and between societies; in various chronological and geographical contexts).</t>
        </is>
      </c>
    </row>
    <row r="21" ht="22.5" customHeight="1">
      <c r="A21" s="43" t="inlineStr">
        <is>
          <t>C. Comparison and Contextualization</t>
        </is>
      </c>
      <c r="B21" s="23" t="n">
        <v>5</v>
      </c>
      <c r="C21" s="60" t="inlineStr">
        <is>
          <t>Recognize the relationship between geography, economics, and history as a context for events and movements and as a matrix of time and place.</t>
        </is>
      </c>
    </row>
    <row r="22" ht="22.5" customHeight="1">
      <c r="A22" s="43" t="inlineStr">
        <is>
          <t>C. Comparison and Contextualization</t>
        </is>
      </c>
      <c r="B22" s="23" t="n">
        <v>6</v>
      </c>
      <c r="C22" s="60" t="inlineStr">
        <is>
          <t>Connect historical developments to specific circumstances of time and place and to broader regional, national, or global processes and draw connections to the present (where appropriate).</t>
        </is>
      </c>
    </row>
    <row r="23" ht="22.5" customHeight="1">
      <c r="A23" s="43" t="inlineStr">
        <is>
          <t>D. Geographic Reasoning</t>
        </is>
      </c>
      <c r="B23" s="23" t="n">
        <v>1</v>
      </c>
      <c r="C23" s="60" t="inlineStr">
        <is>
          <t>Ask geographic questions about where places are located, why their locations are important, and how their locations are related to the locations of other places and people.</t>
        </is>
      </c>
    </row>
    <row r="24" ht="22.5" customHeight="1">
      <c r="A24" s="43" t="inlineStr">
        <is>
          <t>D. Geographic Reasoning</t>
        </is>
      </c>
      <c r="B24" s="23" t="n">
        <v>2</v>
      </c>
      <c r="C24" s="60" t="inlineStr">
        <is>
          <t>Identify, describe, and evaluate the relationships between people, places, regions, and environments by using geographic tools to place them in a spatial context.</t>
        </is>
      </c>
    </row>
    <row r="25" ht="22.5" customHeight="1">
      <c r="A25" s="43" t="inlineStr">
        <is>
          <t>D. Geographic Reasoning</t>
        </is>
      </c>
      <c r="B25" s="23" t="n">
        <v>3</v>
      </c>
      <c r="C25" s="60" t="inlineStr">
        <is>
          <t>Identify, analyze, and evaluate the relationship between the environment and human activities, how the physical environment is modified by human activities, and how human activities are also influenced by Earth’s physical features and processes.</t>
        </is>
      </c>
    </row>
    <row r="26" ht="22.5" customHeight="1">
      <c r="A26" s="43" t="inlineStr">
        <is>
          <t>D. Geographic Reasoning</t>
        </is>
      </c>
      <c r="B26" s="23" t="n">
        <v>4</v>
      </c>
      <c r="C26" s="60" t="inlineStr">
        <is>
          <t>Recognize and interpret (at different scales) the relationships between patterns and processes.</t>
        </is>
      </c>
    </row>
    <row r="27" ht="22.5" customHeight="1">
      <c r="A27" s="43" t="inlineStr">
        <is>
          <t>D. Geographic Reasoning</t>
        </is>
      </c>
      <c r="B27" s="23" t="n">
        <v>5</v>
      </c>
      <c r="C27" s="60" t="inlineStr">
        <is>
          <t>Recognize and analyze how place and region influence the social, cultural, and economic characteristics of civilizations.</t>
        </is>
      </c>
    </row>
    <row r="28" ht="22.5" customHeight="1">
      <c r="A28" s="43" t="inlineStr">
        <is>
          <t>D. Geographic Reasoning</t>
        </is>
      </c>
      <c r="B28" s="23" t="n">
        <v>6</v>
      </c>
      <c r="C28" s="60" t="inlineStr">
        <is>
          <t>Characterize and analyze changing connections between places and regions.</t>
        </is>
      </c>
    </row>
    <row r="29" ht="22.5" customHeight="1">
      <c r="A29" s="43" t="inlineStr">
        <is>
          <t>E. Economics and Economics Systems</t>
        </is>
      </c>
      <c r="B29" s="23" t="n">
        <v>1</v>
      </c>
      <c r="C29" s="60" t="inlineStr">
        <is>
          <t xml:space="preserve">Use marginal benefits and marginal costs to construct an argument for or against an approach or solution to an economic issue. 
</t>
        </is>
      </c>
    </row>
    <row r="30" ht="22.5" customHeight="1">
      <c r="A30" s="43" t="inlineStr">
        <is>
          <t>E. Economics and Economics Systems</t>
        </is>
      </c>
      <c r="B30" s="23" t="n">
        <v>2</v>
      </c>
      <c r="C30" s="60" t="inlineStr">
        <is>
          <t>Analyze the ways in which incentives influence what is produced and distributed ina market system.</t>
        </is>
      </c>
    </row>
    <row r="31" ht="22.5" customHeight="1">
      <c r="A31" s="43" t="inlineStr">
        <is>
          <t>E. Economics and Economics Systems</t>
        </is>
      </c>
      <c r="B31" s="23" t="n">
        <v>3</v>
      </c>
      <c r="C31" s="60" t="inlineStr">
        <is>
          <t>Evaluate the extent to which competition between sellers and between buyers exists in specific markets.</t>
        </is>
      </c>
    </row>
    <row r="32" ht="22.5" customHeight="1">
      <c r="A32" s="43" t="inlineStr">
        <is>
          <t>E. Economics and Economics Systems</t>
        </is>
      </c>
      <c r="B32" s="23" t="n">
        <v>4</v>
      </c>
      <c r="C32" s="60" t="inlineStr">
        <is>
          <t>Describe concepts of property rights and rule of law as they apply to a market economy.</t>
        </is>
      </c>
    </row>
    <row r="33" ht="22.5" customHeight="1">
      <c r="A33" s="43" t="inlineStr">
        <is>
          <t>E. Economics and Economics Systems</t>
        </is>
      </c>
      <c r="B33" s="23" t="n">
        <v>5</v>
      </c>
      <c r="C33" s="60" t="inlineStr">
        <is>
          <t>Use economic indicators to analyze the current and future state of the economy.</t>
        </is>
      </c>
    </row>
    <row r="34" ht="22.5" customHeight="1">
      <c r="A34" s="43" t="inlineStr">
        <is>
          <t>E. Economics and Economics Systems</t>
        </is>
      </c>
      <c r="B34" s="23" t="n">
        <v>6</v>
      </c>
      <c r="C34" s="60" t="inlineStr">
        <is>
          <t>Analyze government economic policies and the effects on the national and global economy.</t>
        </is>
      </c>
    </row>
    <row r="35" ht="22.5" customHeight="1">
      <c r="A35" s="43" t="inlineStr">
        <is>
          <t>F. Civic Participation</t>
        </is>
      </c>
      <c r="B35" s="23" t="n">
        <v>1</v>
      </c>
      <c r="C35" s="60" t="inlineStr">
        <is>
          <t>Demonstrate respect for the rights of others in discussions and classroom debates; respectfully disagree with other viewpoints and provide evidence for a counter-argument.</t>
        </is>
      </c>
    </row>
    <row r="36" ht="22.5" customHeight="1">
      <c r="A36" s="43" t="inlineStr">
        <is>
          <t>F. Civic Participation</t>
        </is>
      </c>
      <c r="B36" s="23" t="n">
        <v>2</v>
      </c>
      <c r="C36" s="60" t="inlineStr">
        <is>
          <t>Participate in activities that focus on a classroom, school, community, state, or national issue or problem.</t>
        </is>
      </c>
    </row>
    <row r="37" ht="22.5" customHeight="1">
      <c r="A37" s="43" t="inlineStr">
        <is>
          <t>F. Civic Participation</t>
        </is>
      </c>
      <c r="B37" s="23" t="n">
        <v>3</v>
      </c>
      <c r="C37" s="60" t="inlineStr">
        <is>
          <t>Explain differing philosophies of social and political participation and the role of the individual leading to group-driven philosophies.</t>
        </is>
      </c>
    </row>
    <row r="38" ht="22.5" customHeight="1">
      <c r="A38" s="43" t="inlineStr">
        <is>
          <t>F. Civic Participation</t>
        </is>
      </c>
      <c r="B38" s="23" t="n">
        <v>4</v>
      </c>
      <c r="C38" s="60" t="inlineStr">
        <is>
          <t>Identify, describe, and contrast the roles of the individual in opportunities for social and political participation in different societies.</t>
        </is>
      </c>
    </row>
    <row r="39" ht="22.5" customHeight="1">
      <c r="A39" s="43" t="inlineStr">
        <is>
          <t>F. Civic Participation</t>
        </is>
      </c>
      <c r="B39" s="23" t="n">
        <v>5</v>
      </c>
      <c r="C39" s="60" t="inlineStr">
        <is>
          <t>Participate in persuading, debating, negotiating, and compromising in the resolution of conflicts and differences.</t>
        </is>
      </c>
    </row>
    <row r="40" ht="22.5" customHeight="1">
      <c r="A40" s="43" t="inlineStr">
        <is>
          <t>F. Civic Participation</t>
        </is>
      </c>
      <c r="B40" s="23" t="n">
        <v>6</v>
      </c>
      <c r="C40" s="60" t="inlineStr">
        <is>
          <t>Identify situations in which social actions are required and determine an appropriate course of action.</t>
        </is>
      </c>
    </row>
    <row r="41" ht="22.5" customHeight="1">
      <c r="A41" s="43" t="inlineStr">
        <is>
          <t>F. Civic Participation</t>
        </is>
      </c>
      <c r="B41" s="23" t="n">
        <v>7</v>
      </c>
      <c r="C41" s="60" t="inlineStr">
        <is>
          <t>Work to influence those in positions of power to strive for extensions of freedom, social justice, and human rights.</t>
        </is>
      </c>
    </row>
    <row r="42" ht="22.5" customHeight="1">
      <c r="A42" s="43" t="inlineStr">
        <is>
          <t>F. Civic Participation</t>
        </is>
      </c>
      <c r="B42" s="23" t="n">
        <v>8</v>
      </c>
      <c r="C42" s="60" t="inlineStr">
        <is>
          <t>Fulfill social and political responsibilities associated with citizenship in a democratic society and interdependent global community by developing awareness of and/or engaging in the political process.</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2026-05-29T15:28:28Z</dcterms:created>
  <dcterms:modified xsi:type="dcterms:W3CDTF">2026-05-29T15:44:30Z</dcterms:modified>
  <cp:lastModifiedBy>Cole Dushin</cp:lastModifiedBy>
</cp:coreProperties>
</file>